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8_{73C3C2FD-AF8D-4478-8FD0-628628670C41}" xr6:coauthVersionLast="47" xr6:coauthVersionMax="47" xr10:uidLastSave="{00000000-0000-0000-0000-000000000000}"/>
  <bookViews>
    <workbookView xWindow="-108" yWindow="-108" windowWidth="23256" windowHeight="12456" activeTab="2" xr2:uid="{C61B24B1-56AA-4FCD-ACAB-5A647B32F981}"/>
  </bookViews>
  <sheets>
    <sheet name="Order_Details" sheetId="1" r:id="rId1"/>
    <sheet name="Pivot_Table" sheetId="2" r:id="rId2"/>
    <sheet name="Dashboard" sheetId="3" r:id="rId3"/>
  </sheets>
  <externalReferences>
    <externalReference r:id="rId4"/>
  </externalReferences>
  <definedNames>
    <definedName name="NativeTimeline_orderdate">#N/A</definedName>
    <definedName name="Slicer_Product_Category">#N/A</definedName>
    <definedName name="Slicer_shipcount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2156" i="1" l="1"/>
  <c r="S2156" i="1"/>
  <c r="R2156" i="1"/>
  <c r="Q2156" i="1"/>
  <c r="P2156" i="1"/>
  <c r="O2156" i="1"/>
  <c r="N2156" i="1"/>
  <c r="M2156" i="1"/>
  <c r="L2156" i="1"/>
  <c r="K2156" i="1"/>
  <c r="J2156" i="1"/>
  <c r="I2156" i="1"/>
  <c r="H2156" i="1"/>
  <c r="G2156" i="1"/>
  <c r="F2156" i="1"/>
  <c r="T2155" i="1"/>
  <c r="S2155" i="1"/>
  <c r="R2155" i="1"/>
  <c r="Q2155" i="1"/>
  <c r="P2155" i="1"/>
  <c r="O2155" i="1"/>
  <c r="N2155" i="1"/>
  <c r="M2155" i="1"/>
  <c r="L2155" i="1"/>
  <c r="K2155" i="1"/>
  <c r="J2155" i="1"/>
  <c r="I2155" i="1"/>
  <c r="H2155" i="1"/>
  <c r="F2155" i="1"/>
  <c r="G2155" i="1" s="1"/>
  <c r="T2154" i="1"/>
  <c r="S2154" i="1"/>
  <c r="R2154" i="1"/>
  <c r="Q2154" i="1"/>
  <c r="P2154" i="1"/>
  <c r="O2154" i="1"/>
  <c r="N2154" i="1"/>
  <c r="M2154" i="1"/>
  <c r="L2154" i="1"/>
  <c r="K2154" i="1"/>
  <c r="J2154" i="1"/>
  <c r="I2154" i="1"/>
  <c r="H2154" i="1"/>
  <c r="F2154" i="1"/>
  <c r="G2154" i="1" s="1"/>
  <c r="T2153" i="1"/>
  <c r="S2153" i="1"/>
  <c r="R2153" i="1"/>
  <c r="Q2153" i="1"/>
  <c r="P2153" i="1"/>
  <c r="O2153" i="1"/>
  <c r="N2153" i="1"/>
  <c r="M2153" i="1"/>
  <c r="L2153" i="1"/>
  <c r="K2153" i="1"/>
  <c r="J2153" i="1"/>
  <c r="I2153" i="1"/>
  <c r="H2153" i="1"/>
  <c r="F2153" i="1"/>
  <c r="G2153" i="1" s="1"/>
  <c r="T2152" i="1"/>
  <c r="S2152" i="1"/>
  <c r="R2152" i="1"/>
  <c r="Q2152" i="1"/>
  <c r="P2152" i="1"/>
  <c r="O2152" i="1"/>
  <c r="N2152" i="1"/>
  <c r="M2152" i="1"/>
  <c r="L2152" i="1"/>
  <c r="K2152" i="1"/>
  <c r="J2152" i="1"/>
  <c r="I2152" i="1"/>
  <c r="H2152" i="1"/>
  <c r="F2152" i="1"/>
  <c r="G2152" i="1" s="1"/>
  <c r="T2151" i="1"/>
  <c r="S2151" i="1"/>
  <c r="R2151" i="1"/>
  <c r="Q2151" i="1"/>
  <c r="P2151" i="1"/>
  <c r="O2151" i="1"/>
  <c r="N2151" i="1"/>
  <c r="M2151" i="1"/>
  <c r="L2151" i="1"/>
  <c r="K2151" i="1"/>
  <c r="J2151" i="1"/>
  <c r="I2151" i="1"/>
  <c r="H2151" i="1"/>
  <c r="F2151" i="1"/>
  <c r="G2151" i="1" s="1"/>
  <c r="T2150" i="1"/>
  <c r="S2150" i="1"/>
  <c r="R2150" i="1"/>
  <c r="Q2150" i="1"/>
  <c r="P2150" i="1"/>
  <c r="O2150" i="1"/>
  <c r="N2150" i="1"/>
  <c r="M2150" i="1"/>
  <c r="L2150" i="1"/>
  <c r="K2150" i="1"/>
  <c r="J2150" i="1"/>
  <c r="I2150" i="1"/>
  <c r="H2150" i="1"/>
  <c r="F2150" i="1"/>
  <c r="G2150" i="1" s="1"/>
  <c r="T2149" i="1"/>
  <c r="S2149" i="1"/>
  <c r="R2149" i="1"/>
  <c r="Q2149" i="1"/>
  <c r="P2149" i="1"/>
  <c r="O2149" i="1"/>
  <c r="N2149" i="1"/>
  <c r="M2149" i="1"/>
  <c r="L2149" i="1"/>
  <c r="K2149" i="1"/>
  <c r="J2149" i="1"/>
  <c r="I2149" i="1"/>
  <c r="H2149" i="1"/>
  <c r="F2149" i="1"/>
  <c r="G2149" i="1" s="1"/>
  <c r="T2148" i="1"/>
  <c r="S2148" i="1"/>
  <c r="R2148" i="1"/>
  <c r="Q2148" i="1"/>
  <c r="P2148" i="1"/>
  <c r="O2148" i="1"/>
  <c r="N2148" i="1"/>
  <c r="M2148" i="1"/>
  <c r="L2148" i="1"/>
  <c r="K2148" i="1"/>
  <c r="J2148" i="1"/>
  <c r="I2148" i="1"/>
  <c r="H2148" i="1"/>
  <c r="G2148" i="1"/>
  <c r="F2148" i="1"/>
  <c r="T2147" i="1"/>
  <c r="S2147" i="1"/>
  <c r="R2147" i="1"/>
  <c r="Q2147" i="1"/>
  <c r="P2147" i="1"/>
  <c r="O2147" i="1"/>
  <c r="N2147" i="1"/>
  <c r="M2147" i="1"/>
  <c r="L2147" i="1"/>
  <c r="K2147" i="1"/>
  <c r="J2147" i="1"/>
  <c r="I2147" i="1"/>
  <c r="H2147" i="1"/>
  <c r="F2147" i="1"/>
  <c r="G2147" i="1" s="1"/>
  <c r="T2146" i="1"/>
  <c r="S2146" i="1"/>
  <c r="R2146" i="1"/>
  <c r="Q2146" i="1"/>
  <c r="P2146" i="1"/>
  <c r="O2146" i="1"/>
  <c r="N2146" i="1"/>
  <c r="M2146" i="1"/>
  <c r="L2146" i="1"/>
  <c r="K2146" i="1"/>
  <c r="J2146" i="1"/>
  <c r="I2146" i="1"/>
  <c r="H2146" i="1"/>
  <c r="F2146" i="1"/>
  <c r="G2146" i="1" s="1"/>
  <c r="T2145" i="1"/>
  <c r="S2145" i="1"/>
  <c r="R2145" i="1"/>
  <c r="Q2145" i="1"/>
  <c r="P2145" i="1"/>
  <c r="O2145" i="1"/>
  <c r="N2145" i="1"/>
  <c r="M2145" i="1"/>
  <c r="L2145" i="1"/>
  <c r="K2145" i="1"/>
  <c r="J2145" i="1"/>
  <c r="I2145" i="1"/>
  <c r="H2145" i="1"/>
  <c r="G2145" i="1"/>
  <c r="F2145" i="1"/>
  <c r="T2144" i="1"/>
  <c r="S2144" i="1"/>
  <c r="R2144" i="1"/>
  <c r="Q2144" i="1"/>
  <c r="P2144" i="1"/>
  <c r="O2144" i="1"/>
  <c r="N2144" i="1"/>
  <c r="M2144" i="1"/>
  <c r="L2144" i="1"/>
  <c r="K2144" i="1"/>
  <c r="J2144" i="1"/>
  <c r="I2144" i="1"/>
  <c r="H2144" i="1"/>
  <c r="F2144" i="1"/>
  <c r="G2144" i="1" s="1"/>
  <c r="T2143" i="1"/>
  <c r="S2143" i="1"/>
  <c r="R2143" i="1"/>
  <c r="Q2143" i="1"/>
  <c r="P2143" i="1"/>
  <c r="O2143" i="1"/>
  <c r="N2143" i="1"/>
  <c r="M2143" i="1"/>
  <c r="L2143" i="1"/>
  <c r="K2143" i="1"/>
  <c r="J2143" i="1"/>
  <c r="I2143" i="1"/>
  <c r="H2143" i="1"/>
  <c r="F2143" i="1"/>
  <c r="G2143" i="1" s="1"/>
  <c r="T2142" i="1"/>
  <c r="S2142" i="1"/>
  <c r="R2142" i="1"/>
  <c r="Q2142" i="1"/>
  <c r="P2142" i="1"/>
  <c r="O2142" i="1"/>
  <c r="N2142" i="1"/>
  <c r="M2142" i="1"/>
  <c r="L2142" i="1"/>
  <c r="K2142" i="1"/>
  <c r="J2142" i="1"/>
  <c r="I2142" i="1"/>
  <c r="H2142" i="1"/>
  <c r="F2142" i="1"/>
  <c r="G2142" i="1" s="1"/>
  <c r="T2141" i="1"/>
  <c r="S2141" i="1"/>
  <c r="R2141" i="1"/>
  <c r="Q2141" i="1"/>
  <c r="P2141" i="1"/>
  <c r="O2141" i="1"/>
  <c r="N2141" i="1"/>
  <c r="M2141" i="1"/>
  <c r="L2141" i="1"/>
  <c r="K2141" i="1"/>
  <c r="J2141" i="1"/>
  <c r="I2141" i="1"/>
  <c r="H2141" i="1"/>
  <c r="G2141" i="1"/>
  <c r="F2141" i="1"/>
  <c r="T2140" i="1"/>
  <c r="S2140" i="1"/>
  <c r="R2140" i="1"/>
  <c r="Q2140" i="1"/>
  <c r="P2140" i="1"/>
  <c r="O2140" i="1"/>
  <c r="N2140" i="1"/>
  <c r="M2140" i="1"/>
  <c r="L2140" i="1"/>
  <c r="K2140" i="1"/>
  <c r="J2140" i="1"/>
  <c r="I2140" i="1"/>
  <c r="H2140" i="1"/>
  <c r="G2140" i="1"/>
  <c r="F2140" i="1"/>
  <c r="T2139" i="1"/>
  <c r="S2139" i="1"/>
  <c r="R2139" i="1"/>
  <c r="Q2139" i="1"/>
  <c r="P2139" i="1"/>
  <c r="O2139" i="1"/>
  <c r="N2139" i="1"/>
  <c r="M2139" i="1"/>
  <c r="L2139" i="1"/>
  <c r="K2139" i="1"/>
  <c r="J2139" i="1"/>
  <c r="I2139" i="1"/>
  <c r="H2139" i="1"/>
  <c r="F2139" i="1"/>
  <c r="G2139" i="1" s="1"/>
  <c r="T2138" i="1"/>
  <c r="S2138" i="1"/>
  <c r="R2138" i="1"/>
  <c r="Q2138" i="1"/>
  <c r="P2138" i="1"/>
  <c r="O2138" i="1"/>
  <c r="N2138" i="1"/>
  <c r="M2138" i="1"/>
  <c r="L2138" i="1"/>
  <c r="K2138" i="1"/>
  <c r="J2138" i="1"/>
  <c r="I2138" i="1"/>
  <c r="H2138" i="1"/>
  <c r="F2138" i="1"/>
  <c r="G2138" i="1" s="1"/>
  <c r="T2137" i="1"/>
  <c r="S2137" i="1"/>
  <c r="R2137" i="1"/>
  <c r="Q2137" i="1"/>
  <c r="P2137" i="1"/>
  <c r="O2137" i="1"/>
  <c r="N2137" i="1"/>
  <c r="M2137" i="1"/>
  <c r="L2137" i="1"/>
  <c r="K2137" i="1"/>
  <c r="J2137" i="1"/>
  <c r="I2137" i="1"/>
  <c r="H2137" i="1"/>
  <c r="G2137" i="1"/>
  <c r="F2137" i="1"/>
  <c r="T2136" i="1"/>
  <c r="S2136" i="1"/>
  <c r="R2136" i="1"/>
  <c r="Q2136" i="1"/>
  <c r="P2136" i="1"/>
  <c r="O2136" i="1"/>
  <c r="N2136" i="1"/>
  <c r="M2136" i="1"/>
  <c r="L2136" i="1"/>
  <c r="K2136" i="1"/>
  <c r="J2136" i="1"/>
  <c r="I2136" i="1"/>
  <c r="H2136" i="1"/>
  <c r="G2136" i="1"/>
  <c r="F2136" i="1"/>
  <c r="T2135" i="1"/>
  <c r="S2135" i="1"/>
  <c r="R2135" i="1"/>
  <c r="Q2135" i="1"/>
  <c r="P2135" i="1"/>
  <c r="O2135" i="1"/>
  <c r="N2135" i="1"/>
  <c r="M2135" i="1"/>
  <c r="L2135" i="1"/>
  <c r="K2135" i="1"/>
  <c r="J2135" i="1"/>
  <c r="I2135" i="1"/>
  <c r="H2135" i="1"/>
  <c r="G2135" i="1"/>
  <c r="F2135" i="1"/>
  <c r="T2134" i="1"/>
  <c r="S2134" i="1"/>
  <c r="R2134" i="1"/>
  <c r="Q2134" i="1"/>
  <c r="P2134" i="1"/>
  <c r="O2134" i="1"/>
  <c r="N2134" i="1"/>
  <c r="M2134" i="1"/>
  <c r="L2134" i="1"/>
  <c r="K2134" i="1"/>
  <c r="J2134" i="1"/>
  <c r="I2134" i="1"/>
  <c r="H2134" i="1"/>
  <c r="F2134" i="1"/>
  <c r="G2134" i="1" s="1"/>
  <c r="T2133" i="1"/>
  <c r="S2133" i="1"/>
  <c r="R2133" i="1"/>
  <c r="Q2133" i="1"/>
  <c r="P2133" i="1"/>
  <c r="O2133" i="1"/>
  <c r="N2133" i="1"/>
  <c r="M2133" i="1"/>
  <c r="L2133" i="1"/>
  <c r="K2133" i="1"/>
  <c r="J2133" i="1"/>
  <c r="I2133" i="1"/>
  <c r="H2133" i="1"/>
  <c r="G2133" i="1"/>
  <c r="F2133" i="1"/>
  <c r="T2132" i="1"/>
  <c r="S2132" i="1"/>
  <c r="R2132" i="1"/>
  <c r="Q2132" i="1"/>
  <c r="P2132" i="1"/>
  <c r="O2132" i="1"/>
  <c r="N2132" i="1"/>
  <c r="M2132" i="1"/>
  <c r="L2132" i="1"/>
  <c r="K2132" i="1"/>
  <c r="J2132" i="1"/>
  <c r="I2132" i="1"/>
  <c r="H2132" i="1"/>
  <c r="G2132" i="1"/>
  <c r="F2132" i="1"/>
  <c r="T2131" i="1"/>
  <c r="S2131" i="1"/>
  <c r="R2131" i="1"/>
  <c r="Q2131" i="1"/>
  <c r="P2131" i="1"/>
  <c r="O2131" i="1"/>
  <c r="N2131" i="1"/>
  <c r="M2131" i="1"/>
  <c r="L2131" i="1"/>
  <c r="K2131" i="1"/>
  <c r="J2131" i="1"/>
  <c r="I2131" i="1"/>
  <c r="H2131" i="1"/>
  <c r="F2131" i="1"/>
  <c r="G2131" i="1" s="1"/>
  <c r="T2130" i="1"/>
  <c r="S2130" i="1"/>
  <c r="R2130" i="1"/>
  <c r="Q2130" i="1"/>
  <c r="P2130" i="1"/>
  <c r="O2130" i="1"/>
  <c r="N2130" i="1"/>
  <c r="M2130" i="1"/>
  <c r="L2130" i="1"/>
  <c r="K2130" i="1"/>
  <c r="J2130" i="1"/>
  <c r="I2130" i="1"/>
  <c r="H2130" i="1"/>
  <c r="F2130" i="1"/>
  <c r="G2130" i="1" s="1"/>
  <c r="T2129" i="1"/>
  <c r="S2129" i="1"/>
  <c r="R2129" i="1"/>
  <c r="Q2129" i="1"/>
  <c r="P2129" i="1"/>
  <c r="O2129" i="1"/>
  <c r="N2129" i="1"/>
  <c r="M2129" i="1"/>
  <c r="L2129" i="1"/>
  <c r="K2129" i="1"/>
  <c r="J2129" i="1"/>
  <c r="I2129" i="1"/>
  <c r="H2129" i="1"/>
  <c r="G2129" i="1"/>
  <c r="F2129" i="1"/>
  <c r="T2128" i="1"/>
  <c r="S2128" i="1"/>
  <c r="R2128" i="1"/>
  <c r="Q2128" i="1"/>
  <c r="P2128" i="1"/>
  <c r="O2128" i="1"/>
  <c r="N2128" i="1"/>
  <c r="M2128" i="1"/>
  <c r="L2128" i="1"/>
  <c r="K2128" i="1"/>
  <c r="J2128" i="1"/>
  <c r="I2128" i="1"/>
  <c r="H2128" i="1"/>
  <c r="G2128" i="1"/>
  <c r="F2128" i="1"/>
  <c r="T2127" i="1"/>
  <c r="S2127" i="1"/>
  <c r="R2127" i="1"/>
  <c r="Q2127" i="1"/>
  <c r="P2127" i="1"/>
  <c r="O2127" i="1"/>
  <c r="N2127" i="1"/>
  <c r="M2127" i="1"/>
  <c r="L2127" i="1"/>
  <c r="K2127" i="1"/>
  <c r="J2127" i="1"/>
  <c r="I2127" i="1"/>
  <c r="H2127" i="1"/>
  <c r="G2127" i="1"/>
  <c r="F2127" i="1"/>
  <c r="T2126" i="1"/>
  <c r="S2126" i="1"/>
  <c r="R2126" i="1"/>
  <c r="Q2126" i="1"/>
  <c r="P2126" i="1"/>
  <c r="O2126" i="1"/>
  <c r="N2126" i="1"/>
  <c r="M2126" i="1"/>
  <c r="L2126" i="1"/>
  <c r="K2126" i="1"/>
  <c r="J2126" i="1"/>
  <c r="I2126" i="1"/>
  <c r="H2126" i="1"/>
  <c r="F2126" i="1"/>
  <c r="G2126" i="1" s="1"/>
  <c r="T2125" i="1"/>
  <c r="S2125" i="1"/>
  <c r="R2125" i="1"/>
  <c r="Q2125" i="1"/>
  <c r="P2125" i="1"/>
  <c r="O2125" i="1"/>
  <c r="N2125" i="1"/>
  <c r="M2125" i="1"/>
  <c r="L2125" i="1"/>
  <c r="K2125" i="1"/>
  <c r="J2125" i="1"/>
  <c r="I2125" i="1"/>
  <c r="H2125" i="1"/>
  <c r="G2125" i="1"/>
  <c r="F2125" i="1"/>
  <c r="T2124" i="1"/>
  <c r="S2124" i="1"/>
  <c r="R2124" i="1"/>
  <c r="Q2124" i="1"/>
  <c r="P2124" i="1"/>
  <c r="O2124" i="1"/>
  <c r="N2124" i="1"/>
  <c r="M2124" i="1"/>
  <c r="L2124" i="1"/>
  <c r="K2124" i="1"/>
  <c r="J2124" i="1"/>
  <c r="I2124" i="1"/>
  <c r="H2124" i="1"/>
  <c r="G2124" i="1"/>
  <c r="F2124" i="1"/>
  <c r="T2123" i="1"/>
  <c r="S2123" i="1"/>
  <c r="R2123" i="1"/>
  <c r="Q2123" i="1"/>
  <c r="P2123" i="1"/>
  <c r="O2123" i="1"/>
  <c r="N2123" i="1"/>
  <c r="M2123" i="1"/>
  <c r="L2123" i="1"/>
  <c r="K2123" i="1"/>
  <c r="J2123" i="1"/>
  <c r="I2123" i="1"/>
  <c r="H2123" i="1"/>
  <c r="F2123" i="1"/>
  <c r="G2123" i="1" s="1"/>
  <c r="T2122" i="1"/>
  <c r="S2122" i="1"/>
  <c r="R2122" i="1"/>
  <c r="Q2122" i="1"/>
  <c r="P2122" i="1"/>
  <c r="O2122" i="1"/>
  <c r="N2122" i="1"/>
  <c r="M2122" i="1"/>
  <c r="L2122" i="1"/>
  <c r="K2122" i="1"/>
  <c r="J2122" i="1"/>
  <c r="I2122" i="1"/>
  <c r="H2122" i="1"/>
  <c r="F2122" i="1"/>
  <c r="G2122" i="1" s="1"/>
  <c r="T2121" i="1"/>
  <c r="S2121" i="1"/>
  <c r="R2121" i="1"/>
  <c r="Q2121" i="1"/>
  <c r="P2121" i="1"/>
  <c r="O2121" i="1"/>
  <c r="N2121" i="1"/>
  <c r="M2121" i="1"/>
  <c r="L2121" i="1"/>
  <c r="K2121" i="1"/>
  <c r="J2121" i="1"/>
  <c r="I2121" i="1"/>
  <c r="H2121" i="1"/>
  <c r="G2121" i="1"/>
  <c r="F2121" i="1"/>
  <c r="T2120" i="1"/>
  <c r="S2120" i="1"/>
  <c r="R2120" i="1"/>
  <c r="Q2120" i="1"/>
  <c r="P2120" i="1"/>
  <c r="O2120" i="1"/>
  <c r="N2120" i="1"/>
  <c r="M2120" i="1"/>
  <c r="L2120" i="1"/>
  <c r="K2120" i="1"/>
  <c r="J2120" i="1"/>
  <c r="I2120" i="1"/>
  <c r="H2120" i="1"/>
  <c r="G2120" i="1"/>
  <c r="F2120" i="1"/>
  <c r="T2119" i="1"/>
  <c r="S2119" i="1"/>
  <c r="R2119" i="1"/>
  <c r="Q2119" i="1"/>
  <c r="P2119" i="1"/>
  <c r="O2119" i="1"/>
  <c r="N2119" i="1"/>
  <c r="M2119" i="1"/>
  <c r="L2119" i="1"/>
  <c r="K2119" i="1"/>
  <c r="J2119" i="1"/>
  <c r="I2119" i="1"/>
  <c r="H2119" i="1"/>
  <c r="G2119" i="1"/>
  <c r="F2119" i="1"/>
  <c r="T2118" i="1"/>
  <c r="S2118" i="1"/>
  <c r="R2118" i="1"/>
  <c r="Q2118" i="1"/>
  <c r="P2118" i="1"/>
  <c r="O2118" i="1"/>
  <c r="N2118" i="1"/>
  <c r="M2118" i="1"/>
  <c r="L2118" i="1"/>
  <c r="K2118" i="1"/>
  <c r="J2118" i="1"/>
  <c r="I2118" i="1"/>
  <c r="H2118" i="1"/>
  <c r="F2118" i="1"/>
  <c r="G2118" i="1" s="1"/>
  <c r="T2117" i="1"/>
  <c r="S2117" i="1"/>
  <c r="R2117" i="1"/>
  <c r="Q2117" i="1"/>
  <c r="P2117" i="1"/>
  <c r="O2117" i="1"/>
  <c r="N2117" i="1"/>
  <c r="M2117" i="1"/>
  <c r="L2117" i="1"/>
  <c r="K2117" i="1"/>
  <c r="J2117" i="1"/>
  <c r="I2117" i="1"/>
  <c r="H2117" i="1"/>
  <c r="G2117" i="1"/>
  <c r="F2117" i="1"/>
  <c r="T2116" i="1"/>
  <c r="S2116" i="1"/>
  <c r="R2116" i="1"/>
  <c r="Q2116" i="1"/>
  <c r="P2116" i="1"/>
  <c r="O2116" i="1"/>
  <c r="N2116" i="1"/>
  <c r="M2116" i="1"/>
  <c r="L2116" i="1"/>
  <c r="K2116" i="1"/>
  <c r="J2116" i="1"/>
  <c r="I2116" i="1"/>
  <c r="H2116" i="1"/>
  <c r="G2116" i="1"/>
  <c r="F2116" i="1"/>
  <c r="T2115" i="1"/>
  <c r="S2115" i="1"/>
  <c r="R2115" i="1"/>
  <c r="Q2115" i="1"/>
  <c r="P2115" i="1"/>
  <c r="O2115" i="1"/>
  <c r="N2115" i="1"/>
  <c r="M2115" i="1"/>
  <c r="L2115" i="1"/>
  <c r="K2115" i="1"/>
  <c r="J2115" i="1"/>
  <c r="I2115" i="1"/>
  <c r="H2115" i="1"/>
  <c r="F2115" i="1"/>
  <c r="G2115" i="1" s="1"/>
  <c r="T2114" i="1"/>
  <c r="S2114" i="1"/>
  <c r="R2114" i="1"/>
  <c r="Q2114" i="1"/>
  <c r="P2114" i="1"/>
  <c r="O2114" i="1"/>
  <c r="N2114" i="1"/>
  <c r="M2114" i="1"/>
  <c r="L2114" i="1"/>
  <c r="K2114" i="1"/>
  <c r="J2114" i="1"/>
  <c r="I2114" i="1"/>
  <c r="H2114" i="1"/>
  <c r="F2114" i="1"/>
  <c r="G2114" i="1" s="1"/>
  <c r="T2113" i="1"/>
  <c r="S2113" i="1"/>
  <c r="R2113" i="1"/>
  <c r="Q2113" i="1"/>
  <c r="P2113" i="1"/>
  <c r="O2113" i="1"/>
  <c r="N2113" i="1"/>
  <c r="M2113" i="1"/>
  <c r="L2113" i="1"/>
  <c r="K2113" i="1"/>
  <c r="J2113" i="1"/>
  <c r="I2113" i="1"/>
  <c r="H2113" i="1"/>
  <c r="G2113" i="1"/>
  <c r="F2113" i="1"/>
  <c r="T2112" i="1"/>
  <c r="S2112" i="1"/>
  <c r="R2112" i="1"/>
  <c r="Q2112" i="1"/>
  <c r="P2112" i="1"/>
  <c r="O2112" i="1"/>
  <c r="N2112" i="1"/>
  <c r="M2112" i="1"/>
  <c r="L2112" i="1"/>
  <c r="K2112" i="1"/>
  <c r="J2112" i="1"/>
  <c r="I2112" i="1"/>
  <c r="H2112" i="1"/>
  <c r="G2112" i="1"/>
  <c r="F2112" i="1"/>
  <c r="T2111" i="1"/>
  <c r="S2111" i="1"/>
  <c r="R2111" i="1"/>
  <c r="Q2111" i="1"/>
  <c r="P2111" i="1"/>
  <c r="O2111" i="1"/>
  <c r="N2111" i="1"/>
  <c r="M2111" i="1"/>
  <c r="L2111" i="1"/>
  <c r="K2111" i="1"/>
  <c r="J2111" i="1"/>
  <c r="I2111" i="1"/>
  <c r="H2111" i="1"/>
  <c r="G2111" i="1"/>
  <c r="F2111" i="1"/>
  <c r="T2110" i="1"/>
  <c r="S2110" i="1"/>
  <c r="R2110" i="1"/>
  <c r="Q2110" i="1"/>
  <c r="P2110" i="1"/>
  <c r="O2110" i="1"/>
  <c r="N2110" i="1"/>
  <c r="M2110" i="1"/>
  <c r="L2110" i="1"/>
  <c r="K2110" i="1"/>
  <c r="J2110" i="1"/>
  <c r="I2110" i="1"/>
  <c r="H2110" i="1"/>
  <c r="F2110" i="1"/>
  <c r="G2110" i="1" s="1"/>
  <c r="T2109" i="1"/>
  <c r="S2109" i="1"/>
  <c r="R2109" i="1"/>
  <c r="Q2109" i="1"/>
  <c r="P2109" i="1"/>
  <c r="O2109" i="1"/>
  <c r="N2109" i="1"/>
  <c r="M2109" i="1"/>
  <c r="L2109" i="1"/>
  <c r="K2109" i="1"/>
  <c r="J2109" i="1"/>
  <c r="I2109" i="1"/>
  <c r="H2109" i="1"/>
  <c r="G2109" i="1"/>
  <c r="F2109" i="1"/>
  <c r="T2108" i="1"/>
  <c r="S2108" i="1"/>
  <c r="R2108" i="1"/>
  <c r="Q2108" i="1"/>
  <c r="P2108" i="1"/>
  <c r="O2108" i="1"/>
  <c r="N2108" i="1"/>
  <c r="M2108" i="1"/>
  <c r="L2108" i="1"/>
  <c r="K2108" i="1"/>
  <c r="J2108" i="1"/>
  <c r="I2108" i="1"/>
  <c r="H2108" i="1"/>
  <c r="G2108" i="1"/>
  <c r="F2108" i="1"/>
  <c r="T2107" i="1"/>
  <c r="S2107" i="1"/>
  <c r="R2107" i="1"/>
  <c r="Q2107" i="1"/>
  <c r="P2107" i="1"/>
  <c r="O2107" i="1"/>
  <c r="N2107" i="1"/>
  <c r="M2107" i="1"/>
  <c r="L2107" i="1"/>
  <c r="K2107" i="1"/>
  <c r="J2107" i="1"/>
  <c r="I2107" i="1"/>
  <c r="H2107" i="1"/>
  <c r="F2107" i="1"/>
  <c r="G2107" i="1" s="1"/>
  <c r="T2106" i="1"/>
  <c r="S2106" i="1"/>
  <c r="R2106" i="1"/>
  <c r="Q2106" i="1"/>
  <c r="P2106" i="1"/>
  <c r="O2106" i="1"/>
  <c r="N2106" i="1"/>
  <c r="M2106" i="1"/>
  <c r="L2106" i="1"/>
  <c r="K2106" i="1"/>
  <c r="J2106" i="1"/>
  <c r="I2106" i="1"/>
  <c r="H2106" i="1"/>
  <c r="F2106" i="1"/>
  <c r="G2106" i="1" s="1"/>
  <c r="T2105" i="1"/>
  <c r="S2105" i="1"/>
  <c r="R2105" i="1"/>
  <c r="Q2105" i="1"/>
  <c r="P2105" i="1"/>
  <c r="O2105" i="1"/>
  <c r="N2105" i="1"/>
  <c r="M2105" i="1"/>
  <c r="L2105" i="1"/>
  <c r="K2105" i="1"/>
  <c r="J2105" i="1"/>
  <c r="I2105" i="1"/>
  <c r="H2105" i="1"/>
  <c r="G2105" i="1"/>
  <c r="F2105" i="1"/>
  <c r="T2104" i="1"/>
  <c r="S2104" i="1"/>
  <c r="R2104" i="1"/>
  <c r="Q2104" i="1"/>
  <c r="P2104" i="1"/>
  <c r="O2104" i="1"/>
  <c r="N2104" i="1"/>
  <c r="M2104" i="1"/>
  <c r="L2104" i="1"/>
  <c r="K2104" i="1"/>
  <c r="J2104" i="1"/>
  <c r="I2104" i="1"/>
  <c r="H2104" i="1"/>
  <c r="G2104" i="1"/>
  <c r="F2104" i="1"/>
  <c r="T2103" i="1"/>
  <c r="S2103" i="1"/>
  <c r="R2103" i="1"/>
  <c r="Q2103" i="1"/>
  <c r="P2103" i="1"/>
  <c r="O2103" i="1"/>
  <c r="N2103" i="1"/>
  <c r="M2103" i="1"/>
  <c r="L2103" i="1"/>
  <c r="K2103" i="1"/>
  <c r="J2103" i="1"/>
  <c r="I2103" i="1"/>
  <c r="H2103" i="1"/>
  <c r="G2103" i="1"/>
  <c r="F2103" i="1"/>
  <c r="T2102" i="1"/>
  <c r="S2102" i="1"/>
  <c r="R2102" i="1"/>
  <c r="Q2102" i="1"/>
  <c r="P2102" i="1"/>
  <c r="O2102" i="1"/>
  <c r="N2102" i="1"/>
  <c r="M2102" i="1"/>
  <c r="L2102" i="1"/>
  <c r="K2102" i="1"/>
  <c r="J2102" i="1"/>
  <c r="I2102" i="1"/>
  <c r="H2102" i="1"/>
  <c r="F2102" i="1"/>
  <c r="G2102" i="1" s="1"/>
  <c r="T2101" i="1"/>
  <c r="S2101" i="1"/>
  <c r="R2101" i="1"/>
  <c r="Q2101" i="1"/>
  <c r="P2101" i="1"/>
  <c r="O2101" i="1"/>
  <c r="N2101" i="1"/>
  <c r="M2101" i="1"/>
  <c r="L2101" i="1"/>
  <c r="K2101" i="1"/>
  <c r="J2101" i="1"/>
  <c r="I2101" i="1"/>
  <c r="H2101" i="1"/>
  <c r="G2101" i="1"/>
  <c r="F2101" i="1"/>
  <c r="T2100" i="1"/>
  <c r="S2100" i="1"/>
  <c r="R2100" i="1"/>
  <c r="Q2100" i="1"/>
  <c r="P2100" i="1"/>
  <c r="O2100" i="1"/>
  <c r="N2100" i="1"/>
  <c r="M2100" i="1"/>
  <c r="L2100" i="1"/>
  <c r="K2100" i="1"/>
  <c r="J2100" i="1"/>
  <c r="I2100" i="1"/>
  <c r="H2100" i="1"/>
  <c r="G2100" i="1"/>
  <c r="F2100" i="1"/>
  <c r="T2099" i="1"/>
  <c r="S2099" i="1"/>
  <c r="R2099" i="1"/>
  <c r="Q2099" i="1"/>
  <c r="P2099" i="1"/>
  <c r="O2099" i="1"/>
  <c r="N2099" i="1"/>
  <c r="M2099" i="1"/>
  <c r="L2099" i="1"/>
  <c r="K2099" i="1"/>
  <c r="J2099" i="1"/>
  <c r="I2099" i="1"/>
  <c r="H2099" i="1"/>
  <c r="F2099" i="1"/>
  <c r="G2099" i="1" s="1"/>
  <c r="T2098" i="1"/>
  <c r="S2098" i="1"/>
  <c r="R2098" i="1"/>
  <c r="Q2098" i="1"/>
  <c r="P2098" i="1"/>
  <c r="O2098" i="1"/>
  <c r="N2098" i="1"/>
  <c r="M2098" i="1"/>
  <c r="L2098" i="1"/>
  <c r="K2098" i="1"/>
  <c r="J2098" i="1"/>
  <c r="I2098" i="1"/>
  <c r="H2098" i="1"/>
  <c r="F2098" i="1"/>
  <c r="G2098" i="1" s="1"/>
  <c r="T2097" i="1"/>
  <c r="S2097" i="1"/>
  <c r="R2097" i="1"/>
  <c r="Q2097" i="1"/>
  <c r="P2097" i="1"/>
  <c r="O2097" i="1"/>
  <c r="N2097" i="1"/>
  <c r="M2097" i="1"/>
  <c r="L2097" i="1"/>
  <c r="K2097" i="1"/>
  <c r="J2097" i="1"/>
  <c r="I2097" i="1"/>
  <c r="H2097" i="1"/>
  <c r="G2097" i="1"/>
  <c r="F2097" i="1"/>
  <c r="T2096" i="1"/>
  <c r="S2096" i="1"/>
  <c r="R2096" i="1"/>
  <c r="Q2096" i="1"/>
  <c r="P2096" i="1"/>
  <c r="O2096" i="1"/>
  <c r="N2096" i="1"/>
  <c r="M2096" i="1"/>
  <c r="L2096" i="1"/>
  <c r="K2096" i="1"/>
  <c r="J2096" i="1"/>
  <c r="I2096" i="1"/>
  <c r="H2096" i="1"/>
  <c r="G2096" i="1"/>
  <c r="F2096" i="1"/>
  <c r="T2095" i="1"/>
  <c r="S2095" i="1"/>
  <c r="R2095" i="1"/>
  <c r="Q2095" i="1"/>
  <c r="P2095" i="1"/>
  <c r="O2095" i="1"/>
  <c r="N2095" i="1"/>
  <c r="M2095" i="1"/>
  <c r="L2095" i="1"/>
  <c r="K2095" i="1"/>
  <c r="J2095" i="1"/>
  <c r="I2095" i="1"/>
  <c r="H2095" i="1"/>
  <c r="G2095" i="1"/>
  <c r="F2095" i="1"/>
  <c r="T2094" i="1"/>
  <c r="S2094" i="1"/>
  <c r="R2094" i="1"/>
  <c r="Q2094" i="1"/>
  <c r="P2094" i="1"/>
  <c r="O2094" i="1"/>
  <c r="N2094" i="1"/>
  <c r="M2094" i="1"/>
  <c r="L2094" i="1"/>
  <c r="K2094" i="1"/>
  <c r="J2094" i="1"/>
  <c r="I2094" i="1"/>
  <c r="H2094" i="1"/>
  <c r="F2094" i="1"/>
  <c r="G2094" i="1" s="1"/>
  <c r="T2093" i="1"/>
  <c r="S2093" i="1"/>
  <c r="R2093" i="1"/>
  <c r="Q2093" i="1"/>
  <c r="P2093" i="1"/>
  <c r="O2093" i="1"/>
  <c r="N2093" i="1"/>
  <c r="M2093" i="1"/>
  <c r="L2093" i="1"/>
  <c r="K2093" i="1"/>
  <c r="J2093" i="1"/>
  <c r="I2093" i="1"/>
  <c r="H2093" i="1"/>
  <c r="G2093" i="1"/>
  <c r="F2093" i="1"/>
  <c r="T2092" i="1"/>
  <c r="S2092" i="1"/>
  <c r="R2092" i="1"/>
  <c r="Q2092" i="1"/>
  <c r="P2092" i="1"/>
  <c r="O2092" i="1"/>
  <c r="N2092" i="1"/>
  <c r="M2092" i="1"/>
  <c r="L2092" i="1"/>
  <c r="K2092" i="1"/>
  <c r="J2092" i="1"/>
  <c r="I2092" i="1"/>
  <c r="H2092" i="1"/>
  <c r="G2092" i="1"/>
  <c r="F2092" i="1"/>
  <c r="T2091" i="1"/>
  <c r="S2091" i="1"/>
  <c r="R2091" i="1"/>
  <c r="Q2091" i="1"/>
  <c r="P2091" i="1"/>
  <c r="O2091" i="1"/>
  <c r="N2091" i="1"/>
  <c r="M2091" i="1"/>
  <c r="L2091" i="1"/>
  <c r="K2091" i="1"/>
  <c r="J2091" i="1"/>
  <c r="I2091" i="1"/>
  <c r="H2091" i="1"/>
  <c r="F2091" i="1"/>
  <c r="G2091" i="1" s="1"/>
  <c r="T2090" i="1"/>
  <c r="S2090" i="1"/>
  <c r="R2090" i="1"/>
  <c r="Q2090" i="1"/>
  <c r="P2090" i="1"/>
  <c r="O2090" i="1"/>
  <c r="N2090" i="1"/>
  <c r="M2090" i="1"/>
  <c r="L2090" i="1"/>
  <c r="K2090" i="1"/>
  <c r="J2090" i="1"/>
  <c r="I2090" i="1"/>
  <c r="H2090" i="1"/>
  <c r="F2090" i="1"/>
  <c r="G2090" i="1" s="1"/>
  <c r="T2089" i="1"/>
  <c r="S2089" i="1"/>
  <c r="R2089" i="1"/>
  <c r="Q2089" i="1"/>
  <c r="P2089" i="1"/>
  <c r="O2089" i="1"/>
  <c r="N2089" i="1"/>
  <c r="M2089" i="1"/>
  <c r="L2089" i="1"/>
  <c r="K2089" i="1"/>
  <c r="J2089" i="1"/>
  <c r="I2089" i="1"/>
  <c r="H2089" i="1"/>
  <c r="G2089" i="1"/>
  <c r="F2089" i="1"/>
  <c r="T2088" i="1"/>
  <c r="S2088" i="1"/>
  <c r="R2088" i="1"/>
  <c r="Q2088" i="1"/>
  <c r="P2088" i="1"/>
  <c r="O2088" i="1"/>
  <c r="N2088" i="1"/>
  <c r="M2088" i="1"/>
  <c r="L2088" i="1"/>
  <c r="K2088" i="1"/>
  <c r="J2088" i="1"/>
  <c r="I2088" i="1"/>
  <c r="H2088" i="1"/>
  <c r="G2088" i="1"/>
  <c r="F2088" i="1"/>
  <c r="T2087" i="1"/>
  <c r="S2087" i="1"/>
  <c r="R2087" i="1"/>
  <c r="Q2087" i="1"/>
  <c r="P2087" i="1"/>
  <c r="O2087" i="1"/>
  <c r="N2087" i="1"/>
  <c r="M2087" i="1"/>
  <c r="L2087" i="1"/>
  <c r="K2087" i="1"/>
  <c r="J2087" i="1"/>
  <c r="I2087" i="1"/>
  <c r="H2087" i="1"/>
  <c r="G2087" i="1"/>
  <c r="F2087" i="1"/>
  <c r="T2086" i="1"/>
  <c r="S2086" i="1"/>
  <c r="R2086" i="1"/>
  <c r="Q2086" i="1"/>
  <c r="P2086" i="1"/>
  <c r="O2086" i="1"/>
  <c r="N2086" i="1"/>
  <c r="M2086" i="1"/>
  <c r="L2086" i="1"/>
  <c r="K2086" i="1"/>
  <c r="J2086" i="1"/>
  <c r="I2086" i="1"/>
  <c r="H2086" i="1"/>
  <c r="F2086" i="1"/>
  <c r="G2086" i="1" s="1"/>
  <c r="T2085" i="1"/>
  <c r="S2085" i="1"/>
  <c r="R2085" i="1"/>
  <c r="Q2085" i="1"/>
  <c r="P2085" i="1"/>
  <c r="O2085" i="1"/>
  <c r="N2085" i="1"/>
  <c r="M2085" i="1"/>
  <c r="L2085" i="1"/>
  <c r="K2085" i="1"/>
  <c r="J2085" i="1"/>
  <c r="I2085" i="1"/>
  <c r="H2085" i="1"/>
  <c r="G2085" i="1"/>
  <c r="F2085" i="1"/>
  <c r="T2084" i="1"/>
  <c r="S2084" i="1"/>
  <c r="R2084" i="1"/>
  <c r="Q2084" i="1"/>
  <c r="P2084" i="1"/>
  <c r="O2084" i="1"/>
  <c r="N2084" i="1"/>
  <c r="M2084" i="1"/>
  <c r="L2084" i="1"/>
  <c r="K2084" i="1"/>
  <c r="J2084" i="1"/>
  <c r="I2084" i="1"/>
  <c r="H2084" i="1"/>
  <c r="G2084" i="1"/>
  <c r="F2084" i="1"/>
  <c r="T2083" i="1"/>
  <c r="S2083" i="1"/>
  <c r="R2083" i="1"/>
  <c r="Q2083" i="1"/>
  <c r="P2083" i="1"/>
  <c r="O2083" i="1"/>
  <c r="N2083" i="1"/>
  <c r="M2083" i="1"/>
  <c r="L2083" i="1"/>
  <c r="K2083" i="1"/>
  <c r="J2083" i="1"/>
  <c r="I2083" i="1"/>
  <c r="H2083" i="1"/>
  <c r="F2083" i="1"/>
  <c r="G2083" i="1" s="1"/>
  <c r="T2082" i="1"/>
  <c r="S2082" i="1"/>
  <c r="R2082" i="1"/>
  <c r="Q2082" i="1"/>
  <c r="P2082" i="1"/>
  <c r="O2082" i="1"/>
  <c r="N2082" i="1"/>
  <c r="M2082" i="1"/>
  <c r="L2082" i="1"/>
  <c r="K2082" i="1"/>
  <c r="J2082" i="1"/>
  <c r="I2082" i="1"/>
  <c r="H2082" i="1"/>
  <c r="F2082" i="1"/>
  <c r="G2082" i="1" s="1"/>
  <c r="T2081" i="1"/>
  <c r="S2081" i="1"/>
  <c r="R2081" i="1"/>
  <c r="Q2081" i="1"/>
  <c r="P2081" i="1"/>
  <c r="O2081" i="1"/>
  <c r="N2081" i="1"/>
  <c r="M2081" i="1"/>
  <c r="L2081" i="1"/>
  <c r="K2081" i="1"/>
  <c r="J2081" i="1"/>
  <c r="I2081" i="1"/>
  <c r="H2081" i="1"/>
  <c r="G2081" i="1"/>
  <c r="F2081" i="1"/>
  <c r="T2080" i="1"/>
  <c r="S2080" i="1"/>
  <c r="R2080" i="1"/>
  <c r="Q2080" i="1"/>
  <c r="P2080" i="1"/>
  <c r="O2080" i="1"/>
  <c r="N2080" i="1"/>
  <c r="M2080" i="1"/>
  <c r="L2080" i="1"/>
  <c r="K2080" i="1"/>
  <c r="J2080" i="1"/>
  <c r="I2080" i="1"/>
  <c r="H2080" i="1"/>
  <c r="G2080" i="1"/>
  <c r="F2080" i="1"/>
  <c r="T2079" i="1"/>
  <c r="S2079" i="1"/>
  <c r="R2079" i="1"/>
  <c r="Q2079" i="1"/>
  <c r="P2079" i="1"/>
  <c r="O2079" i="1"/>
  <c r="N2079" i="1"/>
  <c r="M2079" i="1"/>
  <c r="L2079" i="1"/>
  <c r="K2079" i="1"/>
  <c r="J2079" i="1"/>
  <c r="I2079" i="1"/>
  <c r="H2079" i="1"/>
  <c r="G2079" i="1"/>
  <c r="F2079" i="1"/>
  <c r="T2078" i="1"/>
  <c r="S2078" i="1"/>
  <c r="R2078" i="1"/>
  <c r="Q2078" i="1"/>
  <c r="P2078" i="1"/>
  <c r="O2078" i="1"/>
  <c r="N2078" i="1"/>
  <c r="M2078" i="1"/>
  <c r="L2078" i="1"/>
  <c r="K2078" i="1"/>
  <c r="J2078" i="1"/>
  <c r="I2078" i="1"/>
  <c r="H2078" i="1"/>
  <c r="F2078" i="1"/>
  <c r="G2078" i="1" s="1"/>
  <c r="T2077" i="1"/>
  <c r="S2077" i="1"/>
  <c r="R2077" i="1"/>
  <c r="Q2077" i="1"/>
  <c r="P2077" i="1"/>
  <c r="O2077" i="1"/>
  <c r="N2077" i="1"/>
  <c r="M2077" i="1"/>
  <c r="L2077" i="1"/>
  <c r="K2077" i="1"/>
  <c r="J2077" i="1"/>
  <c r="I2077" i="1"/>
  <c r="H2077" i="1"/>
  <c r="G2077" i="1"/>
  <c r="F2077" i="1"/>
  <c r="T2076" i="1"/>
  <c r="S2076" i="1"/>
  <c r="R2076" i="1"/>
  <c r="Q2076" i="1"/>
  <c r="P2076" i="1"/>
  <c r="O2076" i="1"/>
  <c r="N2076" i="1"/>
  <c r="M2076" i="1"/>
  <c r="L2076" i="1"/>
  <c r="K2076" i="1"/>
  <c r="J2076" i="1"/>
  <c r="I2076" i="1"/>
  <c r="H2076" i="1"/>
  <c r="G2076" i="1"/>
  <c r="F2076" i="1"/>
  <c r="T2075" i="1"/>
  <c r="S2075" i="1"/>
  <c r="R2075" i="1"/>
  <c r="Q2075" i="1"/>
  <c r="P2075" i="1"/>
  <c r="O2075" i="1"/>
  <c r="N2075" i="1"/>
  <c r="M2075" i="1"/>
  <c r="L2075" i="1"/>
  <c r="K2075" i="1"/>
  <c r="J2075" i="1"/>
  <c r="I2075" i="1"/>
  <c r="H2075" i="1"/>
  <c r="F2075" i="1"/>
  <c r="G2075" i="1" s="1"/>
  <c r="T2074" i="1"/>
  <c r="S2074" i="1"/>
  <c r="R2074" i="1"/>
  <c r="Q2074" i="1"/>
  <c r="P2074" i="1"/>
  <c r="O2074" i="1"/>
  <c r="N2074" i="1"/>
  <c r="M2074" i="1"/>
  <c r="L2074" i="1"/>
  <c r="K2074" i="1"/>
  <c r="J2074" i="1"/>
  <c r="I2074" i="1"/>
  <c r="H2074" i="1"/>
  <c r="F2074" i="1"/>
  <c r="G2074" i="1" s="1"/>
  <c r="T2073" i="1"/>
  <c r="S2073" i="1"/>
  <c r="R2073" i="1"/>
  <c r="Q2073" i="1"/>
  <c r="P2073" i="1"/>
  <c r="O2073" i="1"/>
  <c r="N2073" i="1"/>
  <c r="M2073" i="1"/>
  <c r="L2073" i="1"/>
  <c r="K2073" i="1"/>
  <c r="J2073" i="1"/>
  <c r="I2073" i="1"/>
  <c r="H2073" i="1"/>
  <c r="G2073" i="1"/>
  <c r="F2073" i="1"/>
  <c r="T2072" i="1"/>
  <c r="S2072" i="1"/>
  <c r="R2072" i="1"/>
  <c r="Q2072" i="1"/>
  <c r="P2072" i="1"/>
  <c r="O2072" i="1"/>
  <c r="N2072" i="1"/>
  <c r="M2072" i="1"/>
  <c r="L2072" i="1"/>
  <c r="K2072" i="1"/>
  <c r="J2072" i="1"/>
  <c r="I2072" i="1"/>
  <c r="H2072" i="1"/>
  <c r="G2072" i="1"/>
  <c r="F2072" i="1"/>
  <c r="T2071" i="1"/>
  <c r="S2071" i="1"/>
  <c r="R2071" i="1"/>
  <c r="Q2071" i="1"/>
  <c r="P2071" i="1"/>
  <c r="O2071" i="1"/>
  <c r="N2071" i="1"/>
  <c r="M2071" i="1"/>
  <c r="L2071" i="1"/>
  <c r="K2071" i="1"/>
  <c r="J2071" i="1"/>
  <c r="I2071" i="1"/>
  <c r="H2071" i="1"/>
  <c r="G2071" i="1"/>
  <c r="F2071" i="1"/>
  <c r="T2070" i="1"/>
  <c r="S2070" i="1"/>
  <c r="R2070" i="1"/>
  <c r="Q2070" i="1"/>
  <c r="P2070" i="1"/>
  <c r="O2070" i="1"/>
  <c r="N2070" i="1"/>
  <c r="M2070" i="1"/>
  <c r="L2070" i="1"/>
  <c r="K2070" i="1"/>
  <c r="J2070" i="1"/>
  <c r="I2070" i="1"/>
  <c r="H2070" i="1"/>
  <c r="F2070" i="1"/>
  <c r="G2070" i="1" s="1"/>
  <c r="T2069" i="1"/>
  <c r="S2069" i="1"/>
  <c r="R2069" i="1"/>
  <c r="Q2069" i="1"/>
  <c r="P2069" i="1"/>
  <c r="O2069" i="1"/>
  <c r="N2069" i="1"/>
  <c r="M2069" i="1"/>
  <c r="L2069" i="1"/>
  <c r="K2069" i="1"/>
  <c r="J2069" i="1"/>
  <c r="I2069" i="1"/>
  <c r="H2069" i="1"/>
  <c r="G2069" i="1"/>
  <c r="F2069" i="1"/>
  <c r="T2068" i="1"/>
  <c r="S2068" i="1"/>
  <c r="R2068" i="1"/>
  <c r="Q2068" i="1"/>
  <c r="P2068" i="1"/>
  <c r="O2068" i="1"/>
  <c r="N2068" i="1"/>
  <c r="M2068" i="1"/>
  <c r="L2068" i="1"/>
  <c r="K2068" i="1"/>
  <c r="J2068" i="1"/>
  <c r="I2068" i="1"/>
  <c r="H2068" i="1"/>
  <c r="G2068" i="1"/>
  <c r="F2068" i="1"/>
  <c r="T2067" i="1"/>
  <c r="S2067" i="1"/>
  <c r="R2067" i="1"/>
  <c r="Q2067" i="1"/>
  <c r="P2067" i="1"/>
  <c r="O2067" i="1"/>
  <c r="N2067" i="1"/>
  <c r="M2067" i="1"/>
  <c r="L2067" i="1"/>
  <c r="K2067" i="1"/>
  <c r="J2067" i="1"/>
  <c r="I2067" i="1"/>
  <c r="H2067" i="1"/>
  <c r="F2067" i="1"/>
  <c r="G2067" i="1" s="1"/>
  <c r="T2066" i="1"/>
  <c r="S2066" i="1"/>
  <c r="R2066" i="1"/>
  <c r="Q2066" i="1"/>
  <c r="P2066" i="1"/>
  <c r="O2066" i="1"/>
  <c r="N2066" i="1"/>
  <c r="M2066" i="1"/>
  <c r="L2066" i="1"/>
  <c r="K2066" i="1"/>
  <c r="J2066" i="1"/>
  <c r="I2066" i="1"/>
  <c r="H2066" i="1"/>
  <c r="F2066" i="1"/>
  <c r="G2066" i="1" s="1"/>
  <c r="T2065" i="1"/>
  <c r="S2065" i="1"/>
  <c r="R2065" i="1"/>
  <c r="Q2065" i="1"/>
  <c r="P2065" i="1"/>
  <c r="O2065" i="1"/>
  <c r="N2065" i="1"/>
  <c r="M2065" i="1"/>
  <c r="L2065" i="1"/>
  <c r="K2065" i="1"/>
  <c r="J2065" i="1"/>
  <c r="I2065" i="1"/>
  <c r="H2065" i="1"/>
  <c r="G2065" i="1"/>
  <c r="F2065" i="1"/>
  <c r="T2064" i="1"/>
  <c r="S2064" i="1"/>
  <c r="R2064" i="1"/>
  <c r="Q2064" i="1"/>
  <c r="P2064" i="1"/>
  <c r="O2064" i="1"/>
  <c r="N2064" i="1"/>
  <c r="M2064" i="1"/>
  <c r="L2064" i="1"/>
  <c r="K2064" i="1"/>
  <c r="J2064" i="1"/>
  <c r="I2064" i="1"/>
  <c r="H2064" i="1"/>
  <c r="G2064" i="1"/>
  <c r="F2064" i="1"/>
  <c r="T2063" i="1"/>
  <c r="S2063" i="1"/>
  <c r="R2063" i="1"/>
  <c r="Q2063" i="1"/>
  <c r="P2063" i="1"/>
  <c r="O2063" i="1"/>
  <c r="N2063" i="1"/>
  <c r="M2063" i="1"/>
  <c r="L2063" i="1"/>
  <c r="K2063" i="1"/>
  <c r="J2063" i="1"/>
  <c r="I2063" i="1"/>
  <c r="H2063" i="1"/>
  <c r="G2063" i="1"/>
  <c r="F2063" i="1"/>
  <c r="T2062" i="1"/>
  <c r="S2062" i="1"/>
  <c r="R2062" i="1"/>
  <c r="Q2062" i="1"/>
  <c r="P2062" i="1"/>
  <c r="O2062" i="1"/>
  <c r="N2062" i="1"/>
  <c r="M2062" i="1"/>
  <c r="L2062" i="1"/>
  <c r="K2062" i="1"/>
  <c r="J2062" i="1"/>
  <c r="I2062" i="1"/>
  <c r="H2062" i="1"/>
  <c r="F2062" i="1"/>
  <c r="G2062" i="1" s="1"/>
  <c r="T2061" i="1"/>
  <c r="S2061" i="1"/>
  <c r="R2061" i="1"/>
  <c r="Q2061" i="1"/>
  <c r="P2061" i="1"/>
  <c r="O2061" i="1"/>
  <c r="N2061" i="1"/>
  <c r="M2061" i="1"/>
  <c r="L2061" i="1"/>
  <c r="K2061" i="1"/>
  <c r="J2061" i="1"/>
  <c r="I2061" i="1"/>
  <c r="H2061" i="1"/>
  <c r="G2061" i="1"/>
  <c r="F2061" i="1"/>
  <c r="T2060" i="1"/>
  <c r="S2060" i="1"/>
  <c r="R2060" i="1"/>
  <c r="Q2060" i="1"/>
  <c r="P2060" i="1"/>
  <c r="O2060" i="1"/>
  <c r="N2060" i="1"/>
  <c r="M2060" i="1"/>
  <c r="L2060" i="1"/>
  <c r="K2060" i="1"/>
  <c r="J2060" i="1"/>
  <c r="I2060" i="1"/>
  <c r="H2060" i="1"/>
  <c r="G2060" i="1"/>
  <c r="F2060" i="1"/>
  <c r="T2059" i="1"/>
  <c r="S2059" i="1"/>
  <c r="R2059" i="1"/>
  <c r="Q2059" i="1"/>
  <c r="P2059" i="1"/>
  <c r="O2059" i="1"/>
  <c r="N2059" i="1"/>
  <c r="M2059" i="1"/>
  <c r="L2059" i="1"/>
  <c r="K2059" i="1"/>
  <c r="J2059" i="1"/>
  <c r="I2059" i="1"/>
  <c r="H2059" i="1"/>
  <c r="F2059" i="1"/>
  <c r="G2059" i="1" s="1"/>
  <c r="T2058" i="1"/>
  <c r="S2058" i="1"/>
  <c r="R2058" i="1"/>
  <c r="Q2058" i="1"/>
  <c r="P2058" i="1"/>
  <c r="O2058" i="1"/>
  <c r="N2058" i="1"/>
  <c r="M2058" i="1"/>
  <c r="L2058" i="1"/>
  <c r="K2058" i="1"/>
  <c r="J2058" i="1"/>
  <c r="I2058" i="1"/>
  <c r="H2058" i="1"/>
  <c r="F2058" i="1"/>
  <c r="G2058" i="1" s="1"/>
  <c r="T2057" i="1"/>
  <c r="S2057" i="1"/>
  <c r="R2057" i="1"/>
  <c r="Q2057" i="1"/>
  <c r="P2057" i="1"/>
  <c r="O2057" i="1"/>
  <c r="N2057" i="1"/>
  <c r="M2057" i="1"/>
  <c r="L2057" i="1"/>
  <c r="K2057" i="1"/>
  <c r="J2057" i="1"/>
  <c r="I2057" i="1"/>
  <c r="H2057" i="1"/>
  <c r="G2057" i="1"/>
  <c r="F2057" i="1"/>
  <c r="T2056" i="1"/>
  <c r="S2056" i="1"/>
  <c r="R2056" i="1"/>
  <c r="Q2056" i="1"/>
  <c r="P2056" i="1"/>
  <c r="O2056" i="1"/>
  <c r="N2056" i="1"/>
  <c r="M2056" i="1"/>
  <c r="L2056" i="1"/>
  <c r="K2056" i="1"/>
  <c r="J2056" i="1"/>
  <c r="I2056" i="1"/>
  <c r="H2056" i="1"/>
  <c r="G2056" i="1"/>
  <c r="F2056" i="1"/>
  <c r="T2055" i="1"/>
  <c r="S2055" i="1"/>
  <c r="R2055" i="1"/>
  <c r="Q2055" i="1"/>
  <c r="P2055" i="1"/>
  <c r="O2055" i="1"/>
  <c r="N2055" i="1"/>
  <c r="M2055" i="1"/>
  <c r="L2055" i="1"/>
  <c r="K2055" i="1"/>
  <c r="J2055" i="1"/>
  <c r="I2055" i="1"/>
  <c r="H2055" i="1"/>
  <c r="G2055" i="1"/>
  <c r="F2055" i="1"/>
  <c r="T2054" i="1"/>
  <c r="S2054" i="1"/>
  <c r="R2054" i="1"/>
  <c r="Q2054" i="1"/>
  <c r="P2054" i="1"/>
  <c r="O2054" i="1"/>
  <c r="N2054" i="1"/>
  <c r="M2054" i="1"/>
  <c r="L2054" i="1"/>
  <c r="K2054" i="1"/>
  <c r="J2054" i="1"/>
  <c r="I2054" i="1"/>
  <c r="H2054" i="1"/>
  <c r="F2054" i="1"/>
  <c r="G2054" i="1" s="1"/>
  <c r="T2053" i="1"/>
  <c r="S2053" i="1"/>
  <c r="R2053" i="1"/>
  <c r="Q2053" i="1"/>
  <c r="P2053" i="1"/>
  <c r="O2053" i="1"/>
  <c r="N2053" i="1"/>
  <c r="M2053" i="1"/>
  <c r="L2053" i="1"/>
  <c r="K2053" i="1"/>
  <c r="J2053" i="1"/>
  <c r="I2053" i="1"/>
  <c r="H2053" i="1"/>
  <c r="G2053" i="1"/>
  <c r="F2053" i="1"/>
  <c r="T2052" i="1"/>
  <c r="S2052" i="1"/>
  <c r="R2052" i="1"/>
  <c r="Q2052" i="1"/>
  <c r="P2052" i="1"/>
  <c r="O2052" i="1"/>
  <c r="N2052" i="1"/>
  <c r="M2052" i="1"/>
  <c r="L2052" i="1"/>
  <c r="K2052" i="1"/>
  <c r="J2052" i="1"/>
  <c r="I2052" i="1"/>
  <c r="H2052" i="1"/>
  <c r="G2052" i="1"/>
  <c r="F2052" i="1"/>
  <c r="T2051" i="1"/>
  <c r="S2051" i="1"/>
  <c r="R2051" i="1"/>
  <c r="Q2051" i="1"/>
  <c r="P2051" i="1"/>
  <c r="O2051" i="1"/>
  <c r="N2051" i="1"/>
  <c r="M2051" i="1"/>
  <c r="L2051" i="1"/>
  <c r="K2051" i="1"/>
  <c r="J2051" i="1"/>
  <c r="I2051" i="1"/>
  <c r="H2051" i="1"/>
  <c r="F2051" i="1"/>
  <c r="G2051" i="1" s="1"/>
  <c r="T2050" i="1"/>
  <c r="S2050" i="1"/>
  <c r="R2050" i="1"/>
  <c r="Q2050" i="1"/>
  <c r="P2050" i="1"/>
  <c r="O2050" i="1"/>
  <c r="N2050" i="1"/>
  <c r="M2050" i="1"/>
  <c r="L2050" i="1"/>
  <c r="K2050" i="1"/>
  <c r="J2050" i="1"/>
  <c r="I2050" i="1"/>
  <c r="H2050" i="1"/>
  <c r="F2050" i="1"/>
  <c r="G2050" i="1" s="1"/>
  <c r="T2049" i="1"/>
  <c r="S2049" i="1"/>
  <c r="R2049" i="1"/>
  <c r="Q2049" i="1"/>
  <c r="P2049" i="1"/>
  <c r="O2049" i="1"/>
  <c r="N2049" i="1"/>
  <c r="M2049" i="1"/>
  <c r="L2049" i="1"/>
  <c r="K2049" i="1"/>
  <c r="J2049" i="1"/>
  <c r="I2049" i="1"/>
  <c r="H2049" i="1"/>
  <c r="G2049" i="1"/>
  <c r="F2049" i="1"/>
  <c r="T2048" i="1"/>
  <c r="S2048" i="1"/>
  <c r="R2048" i="1"/>
  <c r="Q2048" i="1"/>
  <c r="P2048" i="1"/>
  <c r="O2048" i="1"/>
  <c r="N2048" i="1"/>
  <c r="M2048" i="1"/>
  <c r="L2048" i="1"/>
  <c r="K2048" i="1"/>
  <c r="J2048" i="1"/>
  <c r="I2048" i="1"/>
  <c r="H2048" i="1"/>
  <c r="G2048" i="1"/>
  <c r="F2048" i="1"/>
  <c r="T2047" i="1"/>
  <c r="S2047" i="1"/>
  <c r="R2047" i="1"/>
  <c r="Q2047" i="1"/>
  <c r="P2047" i="1"/>
  <c r="O2047" i="1"/>
  <c r="N2047" i="1"/>
  <c r="M2047" i="1"/>
  <c r="L2047" i="1"/>
  <c r="K2047" i="1"/>
  <c r="J2047" i="1"/>
  <c r="I2047" i="1"/>
  <c r="H2047" i="1"/>
  <c r="G2047" i="1"/>
  <c r="F2047" i="1"/>
  <c r="T2046" i="1"/>
  <c r="S2046" i="1"/>
  <c r="R2046" i="1"/>
  <c r="Q2046" i="1"/>
  <c r="P2046" i="1"/>
  <c r="O2046" i="1"/>
  <c r="N2046" i="1"/>
  <c r="M2046" i="1"/>
  <c r="L2046" i="1"/>
  <c r="K2046" i="1"/>
  <c r="J2046" i="1"/>
  <c r="I2046" i="1"/>
  <c r="H2046" i="1"/>
  <c r="F2046" i="1"/>
  <c r="G2046" i="1" s="1"/>
  <c r="T2045" i="1"/>
  <c r="S2045" i="1"/>
  <c r="R2045" i="1"/>
  <c r="Q2045" i="1"/>
  <c r="P2045" i="1"/>
  <c r="O2045" i="1"/>
  <c r="N2045" i="1"/>
  <c r="M2045" i="1"/>
  <c r="L2045" i="1"/>
  <c r="K2045" i="1"/>
  <c r="J2045" i="1"/>
  <c r="I2045" i="1"/>
  <c r="H2045" i="1"/>
  <c r="G2045" i="1"/>
  <c r="F2045" i="1"/>
  <c r="T2044" i="1"/>
  <c r="S2044" i="1"/>
  <c r="R2044" i="1"/>
  <c r="Q2044" i="1"/>
  <c r="P2044" i="1"/>
  <c r="O2044" i="1"/>
  <c r="N2044" i="1"/>
  <c r="M2044" i="1"/>
  <c r="L2044" i="1"/>
  <c r="K2044" i="1"/>
  <c r="J2044" i="1"/>
  <c r="I2044" i="1"/>
  <c r="H2044" i="1"/>
  <c r="G2044" i="1"/>
  <c r="F2044" i="1"/>
  <c r="T2043" i="1"/>
  <c r="S2043" i="1"/>
  <c r="R2043" i="1"/>
  <c r="Q2043" i="1"/>
  <c r="P2043" i="1"/>
  <c r="O2043" i="1"/>
  <c r="N2043" i="1"/>
  <c r="M2043" i="1"/>
  <c r="L2043" i="1"/>
  <c r="K2043" i="1"/>
  <c r="J2043" i="1"/>
  <c r="I2043" i="1"/>
  <c r="H2043" i="1"/>
  <c r="F2043" i="1"/>
  <c r="G2043" i="1" s="1"/>
  <c r="T2042" i="1"/>
  <c r="S2042" i="1"/>
  <c r="R2042" i="1"/>
  <c r="Q2042" i="1"/>
  <c r="P2042" i="1"/>
  <c r="O2042" i="1"/>
  <c r="N2042" i="1"/>
  <c r="M2042" i="1"/>
  <c r="L2042" i="1"/>
  <c r="K2042" i="1"/>
  <c r="J2042" i="1"/>
  <c r="I2042" i="1"/>
  <c r="H2042" i="1"/>
  <c r="F2042" i="1"/>
  <c r="G2042" i="1" s="1"/>
  <c r="T2041" i="1"/>
  <c r="S2041" i="1"/>
  <c r="R2041" i="1"/>
  <c r="Q2041" i="1"/>
  <c r="P2041" i="1"/>
  <c r="O2041" i="1"/>
  <c r="N2041" i="1"/>
  <c r="M2041" i="1"/>
  <c r="L2041" i="1"/>
  <c r="K2041" i="1"/>
  <c r="J2041" i="1"/>
  <c r="I2041" i="1"/>
  <c r="H2041" i="1"/>
  <c r="G2041" i="1"/>
  <c r="F2041" i="1"/>
  <c r="T2040" i="1"/>
  <c r="S2040" i="1"/>
  <c r="R2040" i="1"/>
  <c r="Q2040" i="1"/>
  <c r="P2040" i="1"/>
  <c r="O2040" i="1"/>
  <c r="N2040" i="1"/>
  <c r="M2040" i="1"/>
  <c r="L2040" i="1"/>
  <c r="K2040" i="1"/>
  <c r="J2040" i="1"/>
  <c r="I2040" i="1"/>
  <c r="H2040" i="1"/>
  <c r="G2040" i="1"/>
  <c r="F2040" i="1"/>
  <c r="T2039" i="1"/>
  <c r="S2039" i="1"/>
  <c r="R2039" i="1"/>
  <c r="Q2039" i="1"/>
  <c r="P2039" i="1"/>
  <c r="O2039" i="1"/>
  <c r="N2039" i="1"/>
  <c r="M2039" i="1"/>
  <c r="L2039" i="1"/>
  <c r="K2039" i="1"/>
  <c r="J2039" i="1"/>
  <c r="I2039" i="1"/>
  <c r="H2039" i="1"/>
  <c r="G2039" i="1"/>
  <c r="F2039" i="1"/>
  <c r="T2038" i="1"/>
  <c r="S2038" i="1"/>
  <c r="R2038" i="1"/>
  <c r="Q2038" i="1"/>
  <c r="P2038" i="1"/>
  <c r="O2038" i="1"/>
  <c r="N2038" i="1"/>
  <c r="M2038" i="1"/>
  <c r="L2038" i="1"/>
  <c r="K2038" i="1"/>
  <c r="J2038" i="1"/>
  <c r="I2038" i="1"/>
  <c r="H2038" i="1"/>
  <c r="F2038" i="1"/>
  <c r="G2038" i="1" s="1"/>
  <c r="T2037" i="1"/>
  <c r="S2037" i="1"/>
  <c r="R2037" i="1"/>
  <c r="Q2037" i="1"/>
  <c r="P2037" i="1"/>
  <c r="O2037" i="1"/>
  <c r="N2037" i="1"/>
  <c r="M2037" i="1"/>
  <c r="L2037" i="1"/>
  <c r="K2037" i="1"/>
  <c r="J2037" i="1"/>
  <c r="I2037" i="1"/>
  <c r="H2037" i="1"/>
  <c r="G2037" i="1"/>
  <c r="F2037" i="1"/>
  <c r="T2036" i="1"/>
  <c r="S2036" i="1"/>
  <c r="R2036" i="1"/>
  <c r="Q2036" i="1"/>
  <c r="P2036" i="1"/>
  <c r="O2036" i="1"/>
  <c r="N2036" i="1"/>
  <c r="M2036" i="1"/>
  <c r="L2036" i="1"/>
  <c r="K2036" i="1"/>
  <c r="J2036" i="1"/>
  <c r="I2036" i="1"/>
  <c r="H2036" i="1"/>
  <c r="G2036" i="1"/>
  <c r="F2036" i="1"/>
  <c r="T2035" i="1"/>
  <c r="S2035" i="1"/>
  <c r="R2035" i="1"/>
  <c r="Q2035" i="1"/>
  <c r="P2035" i="1"/>
  <c r="O2035" i="1"/>
  <c r="N2035" i="1"/>
  <c r="M2035" i="1"/>
  <c r="L2035" i="1"/>
  <c r="K2035" i="1"/>
  <c r="J2035" i="1"/>
  <c r="I2035" i="1"/>
  <c r="H2035" i="1"/>
  <c r="F2035" i="1"/>
  <c r="G2035" i="1" s="1"/>
  <c r="T2034" i="1"/>
  <c r="S2034" i="1"/>
  <c r="R2034" i="1"/>
  <c r="Q2034" i="1"/>
  <c r="P2034" i="1"/>
  <c r="O2034" i="1"/>
  <c r="N2034" i="1"/>
  <c r="M2034" i="1"/>
  <c r="L2034" i="1"/>
  <c r="K2034" i="1"/>
  <c r="J2034" i="1"/>
  <c r="I2034" i="1"/>
  <c r="H2034" i="1"/>
  <c r="F2034" i="1"/>
  <c r="G2034" i="1" s="1"/>
  <c r="T2033" i="1"/>
  <c r="S2033" i="1"/>
  <c r="R2033" i="1"/>
  <c r="Q2033" i="1"/>
  <c r="P2033" i="1"/>
  <c r="O2033" i="1"/>
  <c r="N2033" i="1"/>
  <c r="M2033" i="1"/>
  <c r="L2033" i="1"/>
  <c r="K2033" i="1"/>
  <c r="J2033" i="1"/>
  <c r="I2033" i="1"/>
  <c r="H2033" i="1"/>
  <c r="G2033" i="1"/>
  <c r="F2033" i="1"/>
  <c r="T2032" i="1"/>
  <c r="S2032" i="1"/>
  <c r="R2032" i="1"/>
  <c r="Q2032" i="1"/>
  <c r="P2032" i="1"/>
  <c r="O2032" i="1"/>
  <c r="N2032" i="1"/>
  <c r="M2032" i="1"/>
  <c r="L2032" i="1"/>
  <c r="K2032" i="1"/>
  <c r="J2032" i="1"/>
  <c r="I2032" i="1"/>
  <c r="H2032" i="1"/>
  <c r="G2032" i="1"/>
  <c r="F2032" i="1"/>
  <c r="T2031" i="1"/>
  <c r="S2031" i="1"/>
  <c r="R2031" i="1"/>
  <c r="Q2031" i="1"/>
  <c r="P2031" i="1"/>
  <c r="O2031" i="1"/>
  <c r="N2031" i="1"/>
  <c r="M2031" i="1"/>
  <c r="L2031" i="1"/>
  <c r="K2031" i="1"/>
  <c r="J2031" i="1"/>
  <c r="I2031" i="1"/>
  <c r="H2031" i="1"/>
  <c r="G2031" i="1"/>
  <c r="F2031" i="1"/>
  <c r="T2030" i="1"/>
  <c r="S2030" i="1"/>
  <c r="R2030" i="1"/>
  <c r="Q2030" i="1"/>
  <c r="P2030" i="1"/>
  <c r="O2030" i="1"/>
  <c r="N2030" i="1"/>
  <c r="M2030" i="1"/>
  <c r="L2030" i="1"/>
  <c r="K2030" i="1"/>
  <c r="J2030" i="1"/>
  <c r="I2030" i="1"/>
  <c r="H2030" i="1"/>
  <c r="F2030" i="1"/>
  <c r="G2030" i="1" s="1"/>
  <c r="T2029" i="1"/>
  <c r="S2029" i="1"/>
  <c r="R2029" i="1"/>
  <c r="Q2029" i="1"/>
  <c r="P2029" i="1"/>
  <c r="O2029" i="1"/>
  <c r="N2029" i="1"/>
  <c r="M2029" i="1"/>
  <c r="L2029" i="1"/>
  <c r="K2029" i="1"/>
  <c r="J2029" i="1"/>
  <c r="I2029" i="1"/>
  <c r="H2029" i="1"/>
  <c r="G2029" i="1"/>
  <c r="F2029" i="1"/>
  <c r="T2028" i="1"/>
  <c r="S2028" i="1"/>
  <c r="R2028" i="1"/>
  <c r="Q2028" i="1"/>
  <c r="P2028" i="1"/>
  <c r="O2028" i="1"/>
  <c r="N2028" i="1"/>
  <c r="M2028" i="1"/>
  <c r="L2028" i="1"/>
  <c r="K2028" i="1"/>
  <c r="J2028" i="1"/>
  <c r="I2028" i="1"/>
  <c r="H2028" i="1"/>
  <c r="G2028" i="1"/>
  <c r="F2028" i="1"/>
  <c r="T2027" i="1"/>
  <c r="S2027" i="1"/>
  <c r="R2027" i="1"/>
  <c r="Q2027" i="1"/>
  <c r="P2027" i="1"/>
  <c r="O2027" i="1"/>
  <c r="N2027" i="1"/>
  <c r="M2027" i="1"/>
  <c r="L2027" i="1"/>
  <c r="K2027" i="1"/>
  <c r="J2027" i="1"/>
  <c r="I2027" i="1"/>
  <c r="H2027" i="1"/>
  <c r="F2027" i="1"/>
  <c r="G2027" i="1" s="1"/>
  <c r="T2026" i="1"/>
  <c r="S2026" i="1"/>
  <c r="R2026" i="1"/>
  <c r="Q2026" i="1"/>
  <c r="P2026" i="1"/>
  <c r="O2026" i="1"/>
  <c r="N2026" i="1"/>
  <c r="M2026" i="1"/>
  <c r="L2026" i="1"/>
  <c r="K2026" i="1"/>
  <c r="J2026" i="1"/>
  <c r="I2026" i="1"/>
  <c r="H2026" i="1"/>
  <c r="F2026" i="1"/>
  <c r="G2026" i="1" s="1"/>
  <c r="T2025" i="1"/>
  <c r="S2025" i="1"/>
  <c r="R2025" i="1"/>
  <c r="Q2025" i="1"/>
  <c r="P2025" i="1"/>
  <c r="O2025" i="1"/>
  <c r="N2025" i="1"/>
  <c r="M2025" i="1"/>
  <c r="L2025" i="1"/>
  <c r="K2025" i="1"/>
  <c r="J2025" i="1"/>
  <c r="I2025" i="1"/>
  <c r="H2025" i="1"/>
  <c r="G2025" i="1"/>
  <c r="F2025" i="1"/>
  <c r="T2024" i="1"/>
  <c r="S2024" i="1"/>
  <c r="R2024" i="1"/>
  <c r="Q2024" i="1"/>
  <c r="P2024" i="1"/>
  <c r="O2024" i="1"/>
  <c r="N2024" i="1"/>
  <c r="M2024" i="1"/>
  <c r="L2024" i="1"/>
  <c r="K2024" i="1"/>
  <c r="J2024" i="1"/>
  <c r="I2024" i="1"/>
  <c r="H2024" i="1"/>
  <c r="G2024" i="1"/>
  <c r="F2024" i="1"/>
  <c r="T2023" i="1"/>
  <c r="S2023" i="1"/>
  <c r="R2023" i="1"/>
  <c r="Q2023" i="1"/>
  <c r="P2023" i="1"/>
  <c r="O2023" i="1"/>
  <c r="N2023" i="1"/>
  <c r="M2023" i="1"/>
  <c r="L2023" i="1"/>
  <c r="K2023" i="1"/>
  <c r="J2023" i="1"/>
  <c r="I2023" i="1"/>
  <c r="H2023" i="1"/>
  <c r="G2023" i="1"/>
  <c r="F2023" i="1"/>
  <c r="T2022" i="1"/>
  <c r="S2022" i="1"/>
  <c r="R2022" i="1"/>
  <c r="Q2022" i="1"/>
  <c r="P2022" i="1"/>
  <c r="O2022" i="1"/>
  <c r="N2022" i="1"/>
  <c r="M2022" i="1"/>
  <c r="L2022" i="1"/>
  <c r="K2022" i="1"/>
  <c r="J2022" i="1"/>
  <c r="I2022" i="1"/>
  <c r="H2022" i="1"/>
  <c r="F2022" i="1"/>
  <c r="G2022" i="1" s="1"/>
  <c r="T2021" i="1"/>
  <c r="S2021" i="1"/>
  <c r="R2021" i="1"/>
  <c r="Q2021" i="1"/>
  <c r="P2021" i="1"/>
  <c r="O2021" i="1"/>
  <c r="N2021" i="1"/>
  <c r="M2021" i="1"/>
  <c r="L2021" i="1"/>
  <c r="K2021" i="1"/>
  <c r="J2021" i="1"/>
  <c r="I2021" i="1"/>
  <c r="H2021" i="1"/>
  <c r="G2021" i="1"/>
  <c r="F2021" i="1"/>
  <c r="T2020" i="1"/>
  <c r="S2020" i="1"/>
  <c r="R2020" i="1"/>
  <c r="Q2020" i="1"/>
  <c r="P2020" i="1"/>
  <c r="O2020" i="1"/>
  <c r="N2020" i="1"/>
  <c r="M2020" i="1"/>
  <c r="L2020" i="1"/>
  <c r="K2020" i="1"/>
  <c r="J2020" i="1"/>
  <c r="I2020" i="1"/>
  <c r="H2020" i="1"/>
  <c r="G2020" i="1"/>
  <c r="F2020" i="1"/>
  <c r="T2019" i="1"/>
  <c r="S2019" i="1"/>
  <c r="R2019" i="1"/>
  <c r="Q2019" i="1"/>
  <c r="P2019" i="1"/>
  <c r="O2019" i="1"/>
  <c r="N2019" i="1"/>
  <c r="M2019" i="1"/>
  <c r="L2019" i="1"/>
  <c r="K2019" i="1"/>
  <c r="J2019" i="1"/>
  <c r="I2019" i="1"/>
  <c r="H2019" i="1"/>
  <c r="F2019" i="1"/>
  <c r="G2019" i="1" s="1"/>
  <c r="T2018" i="1"/>
  <c r="S2018" i="1"/>
  <c r="R2018" i="1"/>
  <c r="Q2018" i="1"/>
  <c r="P2018" i="1"/>
  <c r="O2018" i="1"/>
  <c r="N2018" i="1"/>
  <c r="M2018" i="1"/>
  <c r="L2018" i="1"/>
  <c r="K2018" i="1"/>
  <c r="J2018" i="1"/>
  <c r="I2018" i="1"/>
  <c r="H2018" i="1"/>
  <c r="F2018" i="1"/>
  <c r="G2018" i="1" s="1"/>
  <c r="T2017" i="1"/>
  <c r="S2017" i="1"/>
  <c r="R2017" i="1"/>
  <c r="Q2017" i="1"/>
  <c r="P2017" i="1"/>
  <c r="O2017" i="1"/>
  <c r="N2017" i="1"/>
  <c r="M2017" i="1"/>
  <c r="L2017" i="1"/>
  <c r="K2017" i="1"/>
  <c r="J2017" i="1"/>
  <c r="I2017" i="1"/>
  <c r="H2017" i="1"/>
  <c r="G2017" i="1"/>
  <c r="F2017" i="1"/>
  <c r="T2016" i="1"/>
  <c r="S2016" i="1"/>
  <c r="R2016" i="1"/>
  <c r="Q2016" i="1"/>
  <c r="P2016" i="1"/>
  <c r="O2016" i="1"/>
  <c r="N2016" i="1"/>
  <c r="M2016" i="1"/>
  <c r="L2016" i="1"/>
  <c r="K2016" i="1"/>
  <c r="J2016" i="1"/>
  <c r="I2016" i="1"/>
  <c r="H2016" i="1"/>
  <c r="G2016" i="1"/>
  <c r="F2016" i="1"/>
  <c r="T2015" i="1"/>
  <c r="S2015" i="1"/>
  <c r="R2015" i="1"/>
  <c r="Q2015" i="1"/>
  <c r="P2015" i="1"/>
  <c r="O2015" i="1"/>
  <c r="N2015" i="1"/>
  <c r="M2015" i="1"/>
  <c r="L2015" i="1"/>
  <c r="K2015" i="1"/>
  <c r="J2015" i="1"/>
  <c r="I2015" i="1"/>
  <c r="H2015" i="1"/>
  <c r="G2015" i="1"/>
  <c r="F2015" i="1"/>
  <c r="T2014" i="1"/>
  <c r="S2014" i="1"/>
  <c r="R2014" i="1"/>
  <c r="Q2014" i="1"/>
  <c r="P2014" i="1"/>
  <c r="O2014" i="1"/>
  <c r="N2014" i="1"/>
  <c r="M2014" i="1"/>
  <c r="L2014" i="1"/>
  <c r="K2014" i="1"/>
  <c r="J2014" i="1"/>
  <c r="I2014" i="1"/>
  <c r="H2014" i="1"/>
  <c r="F2014" i="1"/>
  <c r="G2014" i="1" s="1"/>
  <c r="T2013" i="1"/>
  <c r="S2013" i="1"/>
  <c r="R2013" i="1"/>
  <c r="Q2013" i="1"/>
  <c r="P2013" i="1"/>
  <c r="O2013" i="1"/>
  <c r="N2013" i="1"/>
  <c r="M2013" i="1"/>
  <c r="L2013" i="1"/>
  <c r="K2013" i="1"/>
  <c r="J2013" i="1"/>
  <c r="I2013" i="1"/>
  <c r="H2013" i="1"/>
  <c r="G2013" i="1"/>
  <c r="F2013" i="1"/>
  <c r="T2012" i="1"/>
  <c r="S2012" i="1"/>
  <c r="R2012" i="1"/>
  <c r="Q2012" i="1"/>
  <c r="P2012" i="1"/>
  <c r="O2012" i="1"/>
  <c r="N2012" i="1"/>
  <c r="M2012" i="1"/>
  <c r="L2012" i="1"/>
  <c r="K2012" i="1"/>
  <c r="J2012" i="1"/>
  <c r="I2012" i="1"/>
  <c r="H2012" i="1"/>
  <c r="G2012" i="1"/>
  <c r="F2012" i="1"/>
  <c r="T2011" i="1"/>
  <c r="S2011" i="1"/>
  <c r="R2011" i="1"/>
  <c r="Q2011" i="1"/>
  <c r="P2011" i="1"/>
  <c r="O2011" i="1"/>
  <c r="N2011" i="1"/>
  <c r="M2011" i="1"/>
  <c r="L2011" i="1"/>
  <c r="K2011" i="1"/>
  <c r="J2011" i="1"/>
  <c r="I2011" i="1"/>
  <c r="H2011" i="1"/>
  <c r="F2011" i="1"/>
  <c r="G2011" i="1" s="1"/>
  <c r="T2010" i="1"/>
  <c r="S2010" i="1"/>
  <c r="R2010" i="1"/>
  <c r="Q2010" i="1"/>
  <c r="P2010" i="1"/>
  <c r="O2010" i="1"/>
  <c r="N2010" i="1"/>
  <c r="M2010" i="1"/>
  <c r="L2010" i="1"/>
  <c r="K2010" i="1"/>
  <c r="J2010" i="1"/>
  <c r="I2010" i="1"/>
  <c r="H2010" i="1"/>
  <c r="F2010" i="1"/>
  <c r="G2010" i="1" s="1"/>
  <c r="T2009" i="1"/>
  <c r="S2009" i="1"/>
  <c r="R2009" i="1"/>
  <c r="Q2009" i="1"/>
  <c r="P2009" i="1"/>
  <c r="O2009" i="1"/>
  <c r="N2009" i="1"/>
  <c r="M2009" i="1"/>
  <c r="L2009" i="1"/>
  <c r="K2009" i="1"/>
  <c r="J2009" i="1"/>
  <c r="I2009" i="1"/>
  <c r="H2009" i="1"/>
  <c r="G2009" i="1"/>
  <c r="F2009" i="1"/>
  <c r="T2008" i="1"/>
  <c r="S2008" i="1"/>
  <c r="R2008" i="1"/>
  <c r="Q2008" i="1"/>
  <c r="P2008" i="1"/>
  <c r="O2008" i="1"/>
  <c r="N2008" i="1"/>
  <c r="M2008" i="1"/>
  <c r="L2008" i="1"/>
  <c r="K2008" i="1"/>
  <c r="J2008" i="1"/>
  <c r="I2008" i="1"/>
  <c r="H2008" i="1"/>
  <c r="F2008" i="1"/>
  <c r="G2008" i="1" s="1"/>
  <c r="T2007" i="1"/>
  <c r="S2007" i="1"/>
  <c r="R2007" i="1"/>
  <c r="Q2007" i="1"/>
  <c r="P2007" i="1"/>
  <c r="O2007" i="1"/>
  <c r="N2007" i="1"/>
  <c r="M2007" i="1"/>
  <c r="L2007" i="1"/>
  <c r="K2007" i="1"/>
  <c r="J2007" i="1"/>
  <c r="I2007" i="1"/>
  <c r="H2007" i="1"/>
  <c r="G2007" i="1"/>
  <c r="F2007" i="1"/>
  <c r="T2006" i="1"/>
  <c r="S2006" i="1"/>
  <c r="R2006" i="1"/>
  <c r="Q2006" i="1"/>
  <c r="P2006" i="1"/>
  <c r="O2006" i="1"/>
  <c r="N2006" i="1"/>
  <c r="M2006" i="1"/>
  <c r="L2006" i="1"/>
  <c r="K2006" i="1"/>
  <c r="J2006" i="1"/>
  <c r="I2006" i="1"/>
  <c r="H2006" i="1"/>
  <c r="F2006" i="1"/>
  <c r="G2006" i="1" s="1"/>
  <c r="T2005" i="1"/>
  <c r="S2005" i="1"/>
  <c r="R2005" i="1"/>
  <c r="Q2005" i="1"/>
  <c r="P2005" i="1"/>
  <c r="O2005" i="1"/>
  <c r="N2005" i="1"/>
  <c r="M2005" i="1"/>
  <c r="L2005" i="1"/>
  <c r="K2005" i="1"/>
  <c r="J2005" i="1"/>
  <c r="I2005" i="1"/>
  <c r="H2005" i="1"/>
  <c r="G2005" i="1"/>
  <c r="F2005" i="1"/>
  <c r="T2004" i="1"/>
  <c r="S2004" i="1"/>
  <c r="R2004" i="1"/>
  <c r="Q2004" i="1"/>
  <c r="P2004" i="1"/>
  <c r="O2004" i="1"/>
  <c r="N2004" i="1"/>
  <c r="M2004" i="1"/>
  <c r="L2004" i="1"/>
  <c r="K2004" i="1"/>
  <c r="J2004" i="1"/>
  <c r="I2004" i="1"/>
  <c r="H2004" i="1"/>
  <c r="G2004" i="1"/>
  <c r="F2004" i="1"/>
  <c r="T2003" i="1"/>
  <c r="S2003" i="1"/>
  <c r="R2003" i="1"/>
  <c r="Q2003" i="1"/>
  <c r="P2003" i="1"/>
  <c r="O2003" i="1"/>
  <c r="N2003" i="1"/>
  <c r="M2003" i="1"/>
  <c r="L2003" i="1"/>
  <c r="K2003" i="1"/>
  <c r="J2003" i="1"/>
  <c r="I2003" i="1"/>
  <c r="H2003" i="1"/>
  <c r="F2003" i="1"/>
  <c r="G2003" i="1" s="1"/>
  <c r="T2002" i="1"/>
  <c r="S2002" i="1"/>
  <c r="R2002" i="1"/>
  <c r="Q2002" i="1"/>
  <c r="P2002" i="1"/>
  <c r="O2002" i="1"/>
  <c r="N2002" i="1"/>
  <c r="M2002" i="1"/>
  <c r="L2002" i="1"/>
  <c r="K2002" i="1"/>
  <c r="J2002" i="1"/>
  <c r="I2002" i="1"/>
  <c r="H2002" i="1"/>
  <c r="F2002" i="1"/>
  <c r="G2002" i="1" s="1"/>
  <c r="T2001" i="1"/>
  <c r="S2001" i="1"/>
  <c r="R2001" i="1"/>
  <c r="Q2001" i="1"/>
  <c r="P2001" i="1"/>
  <c r="O2001" i="1"/>
  <c r="N2001" i="1"/>
  <c r="M2001" i="1"/>
  <c r="L2001" i="1"/>
  <c r="K2001" i="1"/>
  <c r="J2001" i="1"/>
  <c r="I2001" i="1"/>
  <c r="H2001" i="1"/>
  <c r="G2001" i="1"/>
  <c r="F2001" i="1"/>
  <c r="T2000" i="1"/>
  <c r="S2000" i="1"/>
  <c r="R2000" i="1"/>
  <c r="Q2000" i="1"/>
  <c r="P2000" i="1"/>
  <c r="O2000" i="1"/>
  <c r="N2000" i="1"/>
  <c r="M2000" i="1"/>
  <c r="L2000" i="1"/>
  <c r="K2000" i="1"/>
  <c r="J2000" i="1"/>
  <c r="I2000" i="1"/>
  <c r="H2000" i="1"/>
  <c r="F2000" i="1"/>
  <c r="G2000" i="1" s="1"/>
  <c r="T1999" i="1"/>
  <c r="S1999" i="1"/>
  <c r="R1999" i="1"/>
  <c r="Q1999" i="1"/>
  <c r="P1999" i="1"/>
  <c r="O1999" i="1"/>
  <c r="N1999" i="1"/>
  <c r="M1999" i="1"/>
  <c r="L1999" i="1"/>
  <c r="K1999" i="1"/>
  <c r="J1999" i="1"/>
  <c r="I1999" i="1"/>
  <c r="H1999" i="1"/>
  <c r="G1999" i="1"/>
  <c r="F1999" i="1"/>
  <c r="T1998" i="1"/>
  <c r="S1998" i="1"/>
  <c r="R1998" i="1"/>
  <c r="Q1998" i="1"/>
  <c r="P1998" i="1"/>
  <c r="O1998" i="1"/>
  <c r="N1998" i="1"/>
  <c r="M1998" i="1"/>
  <c r="L1998" i="1"/>
  <c r="K1998" i="1"/>
  <c r="J1998" i="1"/>
  <c r="I1998" i="1"/>
  <c r="H1998" i="1"/>
  <c r="F1998" i="1"/>
  <c r="G1998" i="1" s="1"/>
  <c r="T1997" i="1"/>
  <c r="S1997" i="1"/>
  <c r="R1997" i="1"/>
  <c r="Q1997" i="1"/>
  <c r="P1997" i="1"/>
  <c r="O1997" i="1"/>
  <c r="N1997" i="1"/>
  <c r="M1997" i="1"/>
  <c r="L1997" i="1"/>
  <c r="K1997" i="1"/>
  <c r="J1997" i="1"/>
  <c r="I1997" i="1"/>
  <c r="H1997" i="1"/>
  <c r="G1997" i="1"/>
  <c r="F1997" i="1"/>
  <c r="T1996" i="1"/>
  <c r="S1996" i="1"/>
  <c r="R1996" i="1"/>
  <c r="Q1996" i="1"/>
  <c r="P1996" i="1"/>
  <c r="O1996" i="1"/>
  <c r="N1996" i="1"/>
  <c r="M1996" i="1"/>
  <c r="L1996" i="1"/>
  <c r="K1996" i="1"/>
  <c r="J1996" i="1"/>
  <c r="I1996" i="1"/>
  <c r="H1996" i="1"/>
  <c r="G1996" i="1"/>
  <c r="F1996" i="1"/>
  <c r="T1995" i="1"/>
  <c r="S1995" i="1"/>
  <c r="R1995" i="1"/>
  <c r="Q1995" i="1"/>
  <c r="P1995" i="1"/>
  <c r="O1995" i="1"/>
  <c r="N1995" i="1"/>
  <c r="M1995" i="1"/>
  <c r="L1995" i="1"/>
  <c r="K1995" i="1"/>
  <c r="J1995" i="1"/>
  <c r="I1995" i="1"/>
  <c r="H1995" i="1"/>
  <c r="F1995" i="1"/>
  <c r="G1995" i="1" s="1"/>
  <c r="T1994" i="1"/>
  <c r="S1994" i="1"/>
  <c r="R1994" i="1"/>
  <c r="Q1994" i="1"/>
  <c r="P1994" i="1"/>
  <c r="O1994" i="1"/>
  <c r="N1994" i="1"/>
  <c r="M1994" i="1"/>
  <c r="L1994" i="1"/>
  <c r="K1994" i="1"/>
  <c r="J1994" i="1"/>
  <c r="I1994" i="1"/>
  <c r="H1994" i="1"/>
  <c r="F1994" i="1"/>
  <c r="G1994" i="1" s="1"/>
  <c r="T1993" i="1"/>
  <c r="S1993" i="1"/>
  <c r="R1993" i="1"/>
  <c r="Q1993" i="1"/>
  <c r="P1993" i="1"/>
  <c r="O1993" i="1"/>
  <c r="N1993" i="1"/>
  <c r="M1993" i="1"/>
  <c r="L1993" i="1"/>
  <c r="K1993" i="1"/>
  <c r="J1993" i="1"/>
  <c r="I1993" i="1"/>
  <c r="H1993" i="1"/>
  <c r="G1993" i="1"/>
  <c r="F1993" i="1"/>
  <c r="T1992" i="1"/>
  <c r="S1992" i="1"/>
  <c r="R1992" i="1"/>
  <c r="Q1992" i="1"/>
  <c r="P1992" i="1"/>
  <c r="O1992" i="1"/>
  <c r="N1992" i="1"/>
  <c r="M1992" i="1"/>
  <c r="L1992" i="1"/>
  <c r="K1992" i="1"/>
  <c r="J1992" i="1"/>
  <c r="I1992" i="1"/>
  <c r="H1992" i="1"/>
  <c r="F1992" i="1"/>
  <c r="G1992" i="1" s="1"/>
  <c r="T1991" i="1"/>
  <c r="S1991" i="1"/>
  <c r="R1991" i="1"/>
  <c r="Q1991" i="1"/>
  <c r="P1991" i="1"/>
  <c r="O1991" i="1"/>
  <c r="N1991" i="1"/>
  <c r="M1991" i="1"/>
  <c r="L1991" i="1"/>
  <c r="K1991" i="1"/>
  <c r="J1991" i="1"/>
  <c r="I1991" i="1"/>
  <c r="H1991" i="1"/>
  <c r="G1991" i="1"/>
  <c r="F1991" i="1"/>
  <c r="T1990" i="1"/>
  <c r="S1990" i="1"/>
  <c r="R1990" i="1"/>
  <c r="Q1990" i="1"/>
  <c r="P1990" i="1"/>
  <c r="O1990" i="1"/>
  <c r="N1990" i="1"/>
  <c r="M1990" i="1"/>
  <c r="L1990" i="1"/>
  <c r="K1990" i="1"/>
  <c r="J1990" i="1"/>
  <c r="I1990" i="1"/>
  <c r="H1990" i="1"/>
  <c r="F1990" i="1"/>
  <c r="G1990" i="1" s="1"/>
  <c r="T1989" i="1"/>
  <c r="S1989" i="1"/>
  <c r="R1989" i="1"/>
  <c r="Q1989" i="1"/>
  <c r="P1989" i="1"/>
  <c r="O1989" i="1"/>
  <c r="N1989" i="1"/>
  <c r="M1989" i="1"/>
  <c r="L1989" i="1"/>
  <c r="K1989" i="1"/>
  <c r="J1989" i="1"/>
  <c r="I1989" i="1"/>
  <c r="H1989" i="1"/>
  <c r="G1989" i="1"/>
  <c r="F1989" i="1"/>
  <c r="T1988" i="1"/>
  <c r="S1988" i="1"/>
  <c r="R1988" i="1"/>
  <c r="Q1988" i="1"/>
  <c r="P1988" i="1"/>
  <c r="O1988" i="1"/>
  <c r="N1988" i="1"/>
  <c r="M1988" i="1"/>
  <c r="L1988" i="1"/>
  <c r="K1988" i="1"/>
  <c r="J1988" i="1"/>
  <c r="I1988" i="1"/>
  <c r="H1988" i="1"/>
  <c r="G1988" i="1"/>
  <c r="F1988" i="1"/>
  <c r="T1987" i="1"/>
  <c r="S1987" i="1"/>
  <c r="R1987" i="1"/>
  <c r="Q1987" i="1"/>
  <c r="P1987" i="1"/>
  <c r="O1987" i="1"/>
  <c r="N1987" i="1"/>
  <c r="M1987" i="1"/>
  <c r="L1987" i="1"/>
  <c r="K1987" i="1"/>
  <c r="J1987" i="1"/>
  <c r="I1987" i="1"/>
  <c r="H1987" i="1"/>
  <c r="F1987" i="1"/>
  <c r="G1987" i="1" s="1"/>
  <c r="T1986" i="1"/>
  <c r="S1986" i="1"/>
  <c r="R1986" i="1"/>
  <c r="Q1986" i="1"/>
  <c r="P1986" i="1"/>
  <c r="O1986" i="1"/>
  <c r="N1986" i="1"/>
  <c r="M1986" i="1"/>
  <c r="L1986" i="1"/>
  <c r="K1986" i="1"/>
  <c r="J1986" i="1"/>
  <c r="I1986" i="1"/>
  <c r="H1986" i="1"/>
  <c r="F1986" i="1"/>
  <c r="G1986" i="1" s="1"/>
  <c r="T1985" i="1"/>
  <c r="S1985" i="1"/>
  <c r="R1985" i="1"/>
  <c r="Q1985" i="1"/>
  <c r="P1985" i="1"/>
  <c r="O1985" i="1"/>
  <c r="N1985" i="1"/>
  <c r="M1985" i="1"/>
  <c r="L1985" i="1"/>
  <c r="K1985" i="1"/>
  <c r="J1985" i="1"/>
  <c r="I1985" i="1"/>
  <c r="H1985" i="1"/>
  <c r="G1985" i="1"/>
  <c r="F1985" i="1"/>
  <c r="T1984" i="1"/>
  <c r="S1984" i="1"/>
  <c r="R1984" i="1"/>
  <c r="Q1984" i="1"/>
  <c r="P1984" i="1"/>
  <c r="O1984" i="1"/>
  <c r="N1984" i="1"/>
  <c r="M1984" i="1"/>
  <c r="L1984" i="1"/>
  <c r="K1984" i="1"/>
  <c r="J1984" i="1"/>
  <c r="I1984" i="1"/>
  <c r="H1984" i="1"/>
  <c r="F1984" i="1"/>
  <c r="G1984" i="1" s="1"/>
  <c r="T1983" i="1"/>
  <c r="S1983" i="1"/>
  <c r="R1983" i="1"/>
  <c r="Q1983" i="1"/>
  <c r="P1983" i="1"/>
  <c r="O1983" i="1"/>
  <c r="N1983" i="1"/>
  <c r="M1983" i="1"/>
  <c r="L1983" i="1"/>
  <c r="K1983" i="1"/>
  <c r="J1983" i="1"/>
  <c r="I1983" i="1"/>
  <c r="H1983" i="1"/>
  <c r="G1983" i="1"/>
  <c r="F1983" i="1"/>
  <c r="T1982" i="1"/>
  <c r="S1982" i="1"/>
  <c r="R1982" i="1"/>
  <c r="Q1982" i="1"/>
  <c r="P1982" i="1"/>
  <c r="O1982" i="1"/>
  <c r="N1982" i="1"/>
  <c r="M1982" i="1"/>
  <c r="L1982" i="1"/>
  <c r="K1982" i="1"/>
  <c r="J1982" i="1"/>
  <c r="I1982" i="1"/>
  <c r="H1982" i="1"/>
  <c r="F1982" i="1"/>
  <c r="G1982" i="1" s="1"/>
  <c r="T1981" i="1"/>
  <c r="S1981" i="1"/>
  <c r="R1981" i="1"/>
  <c r="Q1981" i="1"/>
  <c r="P1981" i="1"/>
  <c r="O1981" i="1"/>
  <c r="N1981" i="1"/>
  <c r="M1981" i="1"/>
  <c r="L1981" i="1"/>
  <c r="K1981" i="1"/>
  <c r="J1981" i="1"/>
  <c r="I1981" i="1"/>
  <c r="H1981" i="1"/>
  <c r="G1981" i="1"/>
  <c r="F1981" i="1"/>
  <c r="T1980" i="1"/>
  <c r="S1980" i="1"/>
  <c r="R1980" i="1"/>
  <c r="Q1980" i="1"/>
  <c r="P1980" i="1"/>
  <c r="O1980" i="1"/>
  <c r="N1980" i="1"/>
  <c r="M1980" i="1"/>
  <c r="L1980" i="1"/>
  <c r="K1980" i="1"/>
  <c r="J1980" i="1"/>
  <c r="I1980" i="1"/>
  <c r="H1980" i="1"/>
  <c r="G1980" i="1"/>
  <c r="F1980" i="1"/>
  <c r="T1979" i="1"/>
  <c r="S1979" i="1"/>
  <c r="R1979" i="1"/>
  <c r="Q1979" i="1"/>
  <c r="P1979" i="1"/>
  <c r="O1979" i="1"/>
  <c r="N1979" i="1"/>
  <c r="M1979" i="1"/>
  <c r="L1979" i="1"/>
  <c r="K1979" i="1"/>
  <c r="J1979" i="1"/>
  <c r="I1979" i="1"/>
  <c r="H1979" i="1"/>
  <c r="F1979" i="1"/>
  <c r="G1979" i="1" s="1"/>
  <c r="T1978" i="1"/>
  <c r="S1978" i="1"/>
  <c r="R1978" i="1"/>
  <c r="Q1978" i="1"/>
  <c r="P1978" i="1"/>
  <c r="O1978" i="1"/>
  <c r="N1978" i="1"/>
  <c r="M1978" i="1"/>
  <c r="L1978" i="1"/>
  <c r="K1978" i="1"/>
  <c r="J1978" i="1"/>
  <c r="I1978" i="1"/>
  <c r="H1978" i="1"/>
  <c r="F1978" i="1"/>
  <c r="G1978" i="1" s="1"/>
  <c r="T1977" i="1"/>
  <c r="S1977" i="1"/>
  <c r="R1977" i="1"/>
  <c r="Q1977" i="1"/>
  <c r="P1977" i="1"/>
  <c r="O1977" i="1"/>
  <c r="N1977" i="1"/>
  <c r="M1977" i="1"/>
  <c r="L1977" i="1"/>
  <c r="K1977" i="1"/>
  <c r="J1977" i="1"/>
  <c r="I1977" i="1"/>
  <c r="H1977" i="1"/>
  <c r="G1977" i="1"/>
  <c r="F1977" i="1"/>
  <c r="T1976" i="1"/>
  <c r="S1976" i="1"/>
  <c r="R1976" i="1"/>
  <c r="Q1976" i="1"/>
  <c r="P1976" i="1"/>
  <c r="O1976" i="1"/>
  <c r="N1976" i="1"/>
  <c r="M1976" i="1"/>
  <c r="L1976" i="1"/>
  <c r="K1976" i="1"/>
  <c r="J1976" i="1"/>
  <c r="I1976" i="1"/>
  <c r="H1976" i="1"/>
  <c r="F1976" i="1"/>
  <c r="G1976" i="1" s="1"/>
  <c r="T1975" i="1"/>
  <c r="S1975" i="1"/>
  <c r="R1975" i="1"/>
  <c r="Q1975" i="1"/>
  <c r="P1975" i="1"/>
  <c r="O1975" i="1"/>
  <c r="N1975" i="1"/>
  <c r="M1975" i="1"/>
  <c r="L1975" i="1"/>
  <c r="K1975" i="1"/>
  <c r="J1975" i="1"/>
  <c r="I1975" i="1"/>
  <c r="H1975" i="1"/>
  <c r="G1975" i="1"/>
  <c r="F1975" i="1"/>
  <c r="T1974" i="1"/>
  <c r="S1974" i="1"/>
  <c r="R1974" i="1"/>
  <c r="Q1974" i="1"/>
  <c r="P1974" i="1"/>
  <c r="O1974" i="1"/>
  <c r="N1974" i="1"/>
  <c r="M1974" i="1"/>
  <c r="L1974" i="1"/>
  <c r="K1974" i="1"/>
  <c r="J1974" i="1"/>
  <c r="I1974" i="1"/>
  <c r="H1974" i="1"/>
  <c r="F1974" i="1"/>
  <c r="G1974" i="1" s="1"/>
  <c r="T1973" i="1"/>
  <c r="S1973" i="1"/>
  <c r="R1973" i="1"/>
  <c r="Q1973" i="1"/>
  <c r="P1973" i="1"/>
  <c r="O1973" i="1"/>
  <c r="N1973" i="1"/>
  <c r="M1973" i="1"/>
  <c r="L1973" i="1"/>
  <c r="K1973" i="1"/>
  <c r="J1973" i="1"/>
  <c r="I1973" i="1"/>
  <c r="H1973" i="1"/>
  <c r="G1973" i="1"/>
  <c r="F1973" i="1"/>
  <c r="T1972" i="1"/>
  <c r="S1972" i="1"/>
  <c r="R1972" i="1"/>
  <c r="Q1972" i="1"/>
  <c r="P1972" i="1"/>
  <c r="O1972" i="1"/>
  <c r="N1972" i="1"/>
  <c r="M1972" i="1"/>
  <c r="L1972" i="1"/>
  <c r="K1972" i="1"/>
  <c r="J1972" i="1"/>
  <c r="I1972" i="1"/>
  <c r="H1972" i="1"/>
  <c r="G1972" i="1"/>
  <c r="F1972" i="1"/>
  <c r="T1971" i="1"/>
  <c r="S1971" i="1"/>
  <c r="R1971" i="1"/>
  <c r="Q1971" i="1"/>
  <c r="P1971" i="1"/>
  <c r="O1971" i="1"/>
  <c r="N1971" i="1"/>
  <c r="M1971" i="1"/>
  <c r="L1971" i="1"/>
  <c r="K1971" i="1"/>
  <c r="J1971" i="1"/>
  <c r="I1971" i="1"/>
  <c r="H1971" i="1"/>
  <c r="F1971" i="1"/>
  <c r="G1971" i="1" s="1"/>
  <c r="T1970" i="1"/>
  <c r="S1970" i="1"/>
  <c r="R1970" i="1"/>
  <c r="Q1970" i="1"/>
  <c r="P1970" i="1"/>
  <c r="O1970" i="1"/>
  <c r="N1970" i="1"/>
  <c r="M1970" i="1"/>
  <c r="L1970" i="1"/>
  <c r="K1970" i="1"/>
  <c r="J1970" i="1"/>
  <c r="I1970" i="1"/>
  <c r="H1970" i="1"/>
  <c r="F1970" i="1"/>
  <c r="G1970" i="1" s="1"/>
  <c r="T1969" i="1"/>
  <c r="S1969" i="1"/>
  <c r="R1969" i="1"/>
  <c r="Q1969" i="1"/>
  <c r="P1969" i="1"/>
  <c r="O1969" i="1"/>
  <c r="N1969" i="1"/>
  <c r="M1969" i="1"/>
  <c r="L1969" i="1"/>
  <c r="K1969" i="1"/>
  <c r="J1969" i="1"/>
  <c r="I1969" i="1"/>
  <c r="H1969" i="1"/>
  <c r="G1969" i="1"/>
  <c r="F1969" i="1"/>
  <c r="T1968" i="1"/>
  <c r="S1968" i="1"/>
  <c r="R1968" i="1"/>
  <c r="Q1968" i="1"/>
  <c r="P1968" i="1"/>
  <c r="O1968" i="1"/>
  <c r="N1968" i="1"/>
  <c r="M1968" i="1"/>
  <c r="L1968" i="1"/>
  <c r="K1968" i="1"/>
  <c r="J1968" i="1"/>
  <c r="I1968" i="1"/>
  <c r="H1968" i="1"/>
  <c r="F1968" i="1"/>
  <c r="G1968" i="1" s="1"/>
  <c r="T1967" i="1"/>
  <c r="S1967" i="1"/>
  <c r="R1967" i="1"/>
  <c r="Q1967" i="1"/>
  <c r="P1967" i="1"/>
  <c r="O1967" i="1"/>
  <c r="N1967" i="1"/>
  <c r="M1967" i="1"/>
  <c r="L1967" i="1"/>
  <c r="K1967" i="1"/>
  <c r="J1967" i="1"/>
  <c r="I1967" i="1"/>
  <c r="H1967" i="1"/>
  <c r="G1967" i="1"/>
  <c r="F1967" i="1"/>
  <c r="T1966" i="1"/>
  <c r="S1966" i="1"/>
  <c r="R1966" i="1"/>
  <c r="Q1966" i="1"/>
  <c r="P1966" i="1"/>
  <c r="O1966" i="1"/>
  <c r="N1966" i="1"/>
  <c r="M1966" i="1"/>
  <c r="L1966" i="1"/>
  <c r="K1966" i="1"/>
  <c r="J1966" i="1"/>
  <c r="I1966" i="1"/>
  <c r="H1966" i="1"/>
  <c r="F1966" i="1"/>
  <c r="G1966" i="1" s="1"/>
  <c r="T1965" i="1"/>
  <c r="S1965" i="1"/>
  <c r="R1965" i="1"/>
  <c r="Q1965" i="1"/>
  <c r="P1965" i="1"/>
  <c r="O1965" i="1"/>
  <c r="N1965" i="1"/>
  <c r="M1965" i="1"/>
  <c r="L1965" i="1"/>
  <c r="K1965" i="1"/>
  <c r="J1965" i="1"/>
  <c r="I1965" i="1"/>
  <c r="H1965" i="1"/>
  <c r="G1965" i="1"/>
  <c r="F1965" i="1"/>
  <c r="T1964" i="1"/>
  <c r="S1964" i="1"/>
  <c r="R1964" i="1"/>
  <c r="Q1964" i="1"/>
  <c r="P1964" i="1"/>
  <c r="O1964" i="1"/>
  <c r="N1964" i="1"/>
  <c r="M1964" i="1"/>
  <c r="L1964" i="1"/>
  <c r="K1964" i="1"/>
  <c r="J1964" i="1"/>
  <c r="I1964" i="1"/>
  <c r="H1964" i="1"/>
  <c r="G1964" i="1"/>
  <c r="F1964" i="1"/>
  <c r="T1963" i="1"/>
  <c r="S1963" i="1"/>
  <c r="R1963" i="1"/>
  <c r="Q1963" i="1"/>
  <c r="P1963" i="1"/>
  <c r="O1963" i="1"/>
  <c r="N1963" i="1"/>
  <c r="M1963" i="1"/>
  <c r="L1963" i="1"/>
  <c r="K1963" i="1"/>
  <c r="J1963" i="1"/>
  <c r="I1963" i="1"/>
  <c r="H1963" i="1"/>
  <c r="F1963" i="1"/>
  <c r="G1963" i="1" s="1"/>
  <c r="T1962" i="1"/>
  <c r="S1962" i="1"/>
  <c r="R1962" i="1"/>
  <c r="Q1962" i="1"/>
  <c r="P1962" i="1"/>
  <c r="O1962" i="1"/>
  <c r="N1962" i="1"/>
  <c r="M1962" i="1"/>
  <c r="L1962" i="1"/>
  <c r="K1962" i="1"/>
  <c r="J1962" i="1"/>
  <c r="I1962" i="1"/>
  <c r="H1962" i="1"/>
  <c r="F1962" i="1"/>
  <c r="G1962" i="1" s="1"/>
  <c r="T1961" i="1"/>
  <c r="S1961" i="1"/>
  <c r="R1961" i="1"/>
  <c r="Q1961" i="1"/>
  <c r="P1961" i="1"/>
  <c r="O1961" i="1"/>
  <c r="N1961" i="1"/>
  <c r="M1961" i="1"/>
  <c r="L1961" i="1"/>
  <c r="K1961" i="1"/>
  <c r="J1961" i="1"/>
  <c r="I1961" i="1"/>
  <c r="H1961" i="1"/>
  <c r="G1961" i="1"/>
  <c r="F1961" i="1"/>
  <c r="T1960" i="1"/>
  <c r="S1960" i="1"/>
  <c r="R1960" i="1"/>
  <c r="Q1960" i="1"/>
  <c r="P1960" i="1"/>
  <c r="O1960" i="1"/>
  <c r="N1960" i="1"/>
  <c r="M1960" i="1"/>
  <c r="L1960" i="1"/>
  <c r="K1960" i="1"/>
  <c r="J1960" i="1"/>
  <c r="I1960" i="1"/>
  <c r="H1960" i="1"/>
  <c r="F1960" i="1"/>
  <c r="G1960" i="1" s="1"/>
  <c r="T1959" i="1"/>
  <c r="S1959" i="1"/>
  <c r="R1959" i="1"/>
  <c r="Q1959" i="1"/>
  <c r="P1959" i="1"/>
  <c r="O1959" i="1"/>
  <c r="N1959" i="1"/>
  <c r="M1959" i="1"/>
  <c r="L1959" i="1"/>
  <c r="K1959" i="1"/>
  <c r="J1959" i="1"/>
  <c r="I1959" i="1"/>
  <c r="H1959" i="1"/>
  <c r="G1959" i="1"/>
  <c r="F1959" i="1"/>
  <c r="T1958" i="1"/>
  <c r="S1958" i="1"/>
  <c r="R1958" i="1"/>
  <c r="Q1958" i="1"/>
  <c r="P1958" i="1"/>
  <c r="O1958" i="1"/>
  <c r="N1958" i="1"/>
  <c r="M1958" i="1"/>
  <c r="L1958" i="1"/>
  <c r="K1958" i="1"/>
  <c r="J1958" i="1"/>
  <c r="I1958" i="1"/>
  <c r="H1958" i="1"/>
  <c r="F1958" i="1"/>
  <c r="G1958" i="1" s="1"/>
  <c r="T1957" i="1"/>
  <c r="S1957" i="1"/>
  <c r="R1957" i="1"/>
  <c r="Q1957" i="1"/>
  <c r="P1957" i="1"/>
  <c r="O1957" i="1"/>
  <c r="N1957" i="1"/>
  <c r="M1957" i="1"/>
  <c r="L1957" i="1"/>
  <c r="K1957" i="1"/>
  <c r="J1957" i="1"/>
  <c r="I1957" i="1"/>
  <c r="H1957" i="1"/>
  <c r="G1957" i="1"/>
  <c r="F1957" i="1"/>
  <c r="T1956" i="1"/>
  <c r="S1956" i="1"/>
  <c r="R1956" i="1"/>
  <c r="Q1956" i="1"/>
  <c r="P1956" i="1"/>
  <c r="O1956" i="1"/>
  <c r="N1956" i="1"/>
  <c r="M1956" i="1"/>
  <c r="L1956" i="1"/>
  <c r="K1956" i="1"/>
  <c r="J1956" i="1"/>
  <c r="I1956" i="1"/>
  <c r="H1956" i="1"/>
  <c r="G1956" i="1"/>
  <c r="F1956" i="1"/>
  <c r="T1955" i="1"/>
  <c r="S1955" i="1"/>
  <c r="R1955" i="1"/>
  <c r="Q1955" i="1"/>
  <c r="P1955" i="1"/>
  <c r="O1955" i="1"/>
  <c r="N1955" i="1"/>
  <c r="M1955" i="1"/>
  <c r="L1955" i="1"/>
  <c r="K1955" i="1"/>
  <c r="J1955" i="1"/>
  <c r="I1955" i="1"/>
  <c r="H1955" i="1"/>
  <c r="F1955" i="1"/>
  <c r="G1955" i="1" s="1"/>
  <c r="T1954" i="1"/>
  <c r="S1954" i="1"/>
  <c r="R1954" i="1"/>
  <c r="Q1954" i="1"/>
  <c r="P1954" i="1"/>
  <c r="O1954" i="1"/>
  <c r="N1954" i="1"/>
  <c r="M1954" i="1"/>
  <c r="L1954" i="1"/>
  <c r="K1954" i="1"/>
  <c r="J1954" i="1"/>
  <c r="I1954" i="1"/>
  <c r="H1954" i="1"/>
  <c r="F1954" i="1"/>
  <c r="G1954" i="1" s="1"/>
  <c r="T1953" i="1"/>
  <c r="S1953" i="1"/>
  <c r="R1953" i="1"/>
  <c r="Q1953" i="1"/>
  <c r="P1953" i="1"/>
  <c r="O1953" i="1"/>
  <c r="N1953" i="1"/>
  <c r="M1953" i="1"/>
  <c r="L1953" i="1"/>
  <c r="K1953" i="1"/>
  <c r="J1953" i="1"/>
  <c r="I1953" i="1"/>
  <c r="H1953" i="1"/>
  <c r="G1953" i="1"/>
  <c r="F1953" i="1"/>
  <c r="T1952" i="1"/>
  <c r="S1952" i="1"/>
  <c r="R1952" i="1"/>
  <c r="Q1952" i="1"/>
  <c r="P1952" i="1"/>
  <c r="O1952" i="1"/>
  <c r="N1952" i="1"/>
  <c r="M1952" i="1"/>
  <c r="L1952" i="1"/>
  <c r="K1952" i="1"/>
  <c r="J1952" i="1"/>
  <c r="I1952" i="1"/>
  <c r="H1952" i="1"/>
  <c r="F1952" i="1"/>
  <c r="G1952" i="1" s="1"/>
  <c r="T1951" i="1"/>
  <c r="S1951" i="1"/>
  <c r="R1951" i="1"/>
  <c r="Q1951" i="1"/>
  <c r="P1951" i="1"/>
  <c r="O1951" i="1"/>
  <c r="N1951" i="1"/>
  <c r="M1951" i="1"/>
  <c r="L1951" i="1"/>
  <c r="K1951" i="1"/>
  <c r="J1951" i="1"/>
  <c r="I1951" i="1"/>
  <c r="H1951" i="1"/>
  <c r="G1951" i="1"/>
  <c r="F1951" i="1"/>
  <c r="T1950" i="1"/>
  <c r="S1950" i="1"/>
  <c r="R1950" i="1"/>
  <c r="Q1950" i="1"/>
  <c r="P1950" i="1"/>
  <c r="O1950" i="1"/>
  <c r="N1950" i="1"/>
  <c r="M1950" i="1"/>
  <c r="L1950" i="1"/>
  <c r="K1950" i="1"/>
  <c r="J1950" i="1"/>
  <c r="I1950" i="1"/>
  <c r="H1950" i="1"/>
  <c r="F1950" i="1"/>
  <c r="G1950" i="1" s="1"/>
  <c r="T1949" i="1"/>
  <c r="S1949" i="1"/>
  <c r="R1949" i="1"/>
  <c r="Q1949" i="1"/>
  <c r="P1949" i="1"/>
  <c r="O1949" i="1"/>
  <c r="N1949" i="1"/>
  <c r="M1949" i="1"/>
  <c r="L1949" i="1"/>
  <c r="K1949" i="1"/>
  <c r="J1949" i="1"/>
  <c r="I1949" i="1"/>
  <c r="H1949" i="1"/>
  <c r="G1949" i="1"/>
  <c r="F1949" i="1"/>
  <c r="T1948" i="1"/>
  <c r="S1948" i="1"/>
  <c r="R1948" i="1"/>
  <c r="Q1948" i="1"/>
  <c r="P1948" i="1"/>
  <c r="O1948" i="1"/>
  <c r="N1948" i="1"/>
  <c r="M1948" i="1"/>
  <c r="L1948" i="1"/>
  <c r="K1948" i="1"/>
  <c r="J1948" i="1"/>
  <c r="I1948" i="1"/>
  <c r="H1948" i="1"/>
  <c r="G1948" i="1"/>
  <c r="F1948" i="1"/>
  <c r="T1947" i="1"/>
  <c r="S1947" i="1"/>
  <c r="R1947" i="1"/>
  <c r="Q1947" i="1"/>
  <c r="P1947" i="1"/>
  <c r="O1947" i="1"/>
  <c r="N1947" i="1"/>
  <c r="M1947" i="1"/>
  <c r="L1947" i="1"/>
  <c r="K1947" i="1"/>
  <c r="J1947" i="1"/>
  <c r="I1947" i="1"/>
  <c r="H1947" i="1"/>
  <c r="F1947" i="1"/>
  <c r="G1947" i="1" s="1"/>
  <c r="T1946" i="1"/>
  <c r="S1946" i="1"/>
  <c r="R1946" i="1"/>
  <c r="Q1946" i="1"/>
  <c r="P1946" i="1"/>
  <c r="O1946" i="1"/>
  <c r="N1946" i="1"/>
  <c r="M1946" i="1"/>
  <c r="L1946" i="1"/>
  <c r="K1946" i="1"/>
  <c r="J1946" i="1"/>
  <c r="I1946" i="1"/>
  <c r="H1946" i="1"/>
  <c r="F1946" i="1"/>
  <c r="G1946" i="1" s="1"/>
  <c r="T1945" i="1"/>
  <c r="S1945" i="1"/>
  <c r="R1945" i="1"/>
  <c r="Q1945" i="1"/>
  <c r="P1945" i="1"/>
  <c r="O1945" i="1"/>
  <c r="N1945" i="1"/>
  <c r="M1945" i="1"/>
  <c r="L1945" i="1"/>
  <c r="K1945" i="1"/>
  <c r="J1945" i="1"/>
  <c r="I1945" i="1"/>
  <c r="H1945" i="1"/>
  <c r="G1945" i="1"/>
  <c r="F1945" i="1"/>
  <c r="T1944" i="1"/>
  <c r="S1944" i="1"/>
  <c r="R1944" i="1"/>
  <c r="Q1944" i="1"/>
  <c r="P1944" i="1"/>
  <c r="O1944" i="1"/>
  <c r="N1944" i="1"/>
  <c r="M1944" i="1"/>
  <c r="L1944" i="1"/>
  <c r="K1944" i="1"/>
  <c r="J1944" i="1"/>
  <c r="I1944" i="1"/>
  <c r="H1944" i="1"/>
  <c r="F1944" i="1"/>
  <c r="G1944" i="1" s="1"/>
  <c r="T1943" i="1"/>
  <c r="S1943" i="1"/>
  <c r="R1943" i="1"/>
  <c r="Q1943" i="1"/>
  <c r="P1943" i="1"/>
  <c r="O1943" i="1"/>
  <c r="N1943" i="1"/>
  <c r="M1943" i="1"/>
  <c r="L1943" i="1"/>
  <c r="K1943" i="1"/>
  <c r="J1943" i="1"/>
  <c r="I1943" i="1"/>
  <c r="H1943" i="1"/>
  <c r="G1943" i="1"/>
  <c r="F1943" i="1"/>
  <c r="T1942" i="1"/>
  <c r="S1942" i="1"/>
  <c r="R1942" i="1"/>
  <c r="Q1942" i="1"/>
  <c r="P1942" i="1"/>
  <c r="O1942" i="1"/>
  <c r="N1942" i="1"/>
  <c r="M1942" i="1"/>
  <c r="L1942" i="1"/>
  <c r="K1942" i="1"/>
  <c r="J1942" i="1"/>
  <c r="I1942" i="1"/>
  <c r="H1942" i="1"/>
  <c r="F1942" i="1"/>
  <c r="G1942" i="1" s="1"/>
  <c r="T1941" i="1"/>
  <c r="S1941" i="1"/>
  <c r="R1941" i="1"/>
  <c r="Q1941" i="1"/>
  <c r="P1941" i="1"/>
  <c r="O1941" i="1"/>
  <c r="N1941" i="1"/>
  <c r="M1941" i="1"/>
  <c r="L1941" i="1"/>
  <c r="K1941" i="1"/>
  <c r="J1941" i="1"/>
  <c r="I1941" i="1"/>
  <c r="H1941" i="1"/>
  <c r="G1941" i="1"/>
  <c r="F1941" i="1"/>
  <c r="T1940" i="1"/>
  <c r="S1940" i="1"/>
  <c r="R1940" i="1"/>
  <c r="Q1940" i="1"/>
  <c r="P1940" i="1"/>
  <c r="O1940" i="1"/>
  <c r="N1940" i="1"/>
  <c r="M1940" i="1"/>
  <c r="L1940" i="1"/>
  <c r="K1940" i="1"/>
  <c r="J1940" i="1"/>
  <c r="I1940" i="1"/>
  <c r="H1940" i="1"/>
  <c r="G1940" i="1"/>
  <c r="F1940" i="1"/>
  <c r="T1939" i="1"/>
  <c r="S1939" i="1"/>
  <c r="R1939" i="1"/>
  <c r="Q1939" i="1"/>
  <c r="P1939" i="1"/>
  <c r="O1939" i="1"/>
  <c r="N1939" i="1"/>
  <c r="M1939" i="1"/>
  <c r="L1939" i="1"/>
  <c r="K1939" i="1"/>
  <c r="J1939" i="1"/>
  <c r="I1939" i="1"/>
  <c r="H1939" i="1"/>
  <c r="F1939" i="1"/>
  <c r="G1939" i="1" s="1"/>
  <c r="T1938" i="1"/>
  <c r="S1938" i="1"/>
  <c r="R1938" i="1"/>
  <c r="Q1938" i="1"/>
  <c r="P1938" i="1"/>
  <c r="O1938" i="1"/>
  <c r="N1938" i="1"/>
  <c r="M1938" i="1"/>
  <c r="L1938" i="1"/>
  <c r="K1938" i="1"/>
  <c r="J1938" i="1"/>
  <c r="I1938" i="1"/>
  <c r="H1938" i="1"/>
  <c r="F1938" i="1"/>
  <c r="G1938" i="1" s="1"/>
  <c r="T1937" i="1"/>
  <c r="S1937" i="1"/>
  <c r="R1937" i="1"/>
  <c r="Q1937" i="1"/>
  <c r="P1937" i="1"/>
  <c r="O1937" i="1"/>
  <c r="N1937" i="1"/>
  <c r="M1937" i="1"/>
  <c r="L1937" i="1"/>
  <c r="K1937" i="1"/>
  <c r="J1937" i="1"/>
  <c r="I1937" i="1"/>
  <c r="H1937" i="1"/>
  <c r="G1937" i="1"/>
  <c r="F1937" i="1"/>
  <c r="T1936" i="1"/>
  <c r="S1936" i="1"/>
  <c r="R1936" i="1"/>
  <c r="Q1936" i="1"/>
  <c r="P1936" i="1"/>
  <c r="O1936" i="1"/>
  <c r="N1936" i="1"/>
  <c r="M1936" i="1"/>
  <c r="L1936" i="1"/>
  <c r="K1936" i="1"/>
  <c r="J1936" i="1"/>
  <c r="I1936" i="1"/>
  <c r="H1936" i="1"/>
  <c r="F1936" i="1"/>
  <c r="G1936" i="1" s="1"/>
  <c r="T1935" i="1"/>
  <c r="S1935" i="1"/>
  <c r="R1935" i="1"/>
  <c r="Q1935" i="1"/>
  <c r="P1935" i="1"/>
  <c r="O1935" i="1"/>
  <c r="N1935" i="1"/>
  <c r="M1935" i="1"/>
  <c r="L1935" i="1"/>
  <c r="K1935" i="1"/>
  <c r="J1935" i="1"/>
  <c r="I1935" i="1"/>
  <c r="H1935" i="1"/>
  <c r="G1935" i="1"/>
  <c r="F1935" i="1"/>
  <c r="T1934" i="1"/>
  <c r="S1934" i="1"/>
  <c r="R1934" i="1"/>
  <c r="Q1934" i="1"/>
  <c r="P1934" i="1"/>
  <c r="O1934" i="1"/>
  <c r="N1934" i="1"/>
  <c r="M1934" i="1"/>
  <c r="L1934" i="1"/>
  <c r="K1934" i="1"/>
  <c r="J1934" i="1"/>
  <c r="I1934" i="1"/>
  <c r="H1934" i="1"/>
  <c r="F1934" i="1"/>
  <c r="G1934" i="1" s="1"/>
  <c r="T1933" i="1"/>
  <c r="S1933" i="1"/>
  <c r="R1933" i="1"/>
  <c r="Q1933" i="1"/>
  <c r="P1933" i="1"/>
  <c r="O1933" i="1"/>
  <c r="N1933" i="1"/>
  <c r="M1933" i="1"/>
  <c r="L1933" i="1"/>
  <c r="K1933" i="1"/>
  <c r="J1933" i="1"/>
  <c r="I1933" i="1"/>
  <c r="H1933" i="1"/>
  <c r="G1933" i="1"/>
  <c r="F1933" i="1"/>
  <c r="T1932" i="1"/>
  <c r="S1932" i="1"/>
  <c r="R1932" i="1"/>
  <c r="Q1932" i="1"/>
  <c r="P1932" i="1"/>
  <c r="O1932" i="1"/>
  <c r="N1932" i="1"/>
  <c r="M1932" i="1"/>
  <c r="L1932" i="1"/>
  <c r="K1932" i="1"/>
  <c r="J1932" i="1"/>
  <c r="I1932" i="1"/>
  <c r="H1932" i="1"/>
  <c r="G1932" i="1"/>
  <c r="F1932" i="1"/>
  <c r="T1931" i="1"/>
  <c r="S1931" i="1"/>
  <c r="R1931" i="1"/>
  <c r="Q1931" i="1"/>
  <c r="P1931" i="1"/>
  <c r="O1931" i="1"/>
  <c r="N1931" i="1"/>
  <c r="M1931" i="1"/>
  <c r="L1931" i="1"/>
  <c r="K1931" i="1"/>
  <c r="J1931" i="1"/>
  <c r="I1931" i="1"/>
  <c r="H1931" i="1"/>
  <c r="F1931" i="1"/>
  <c r="G1931" i="1" s="1"/>
  <c r="T1930" i="1"/>
  <c r="S1930" i="1"/>
  <c r="R1930" i="1"/>
  <c r="Q1930" i="1"/>
  <c r="P1930" i="1"/>
  <c r="O1930" i="1"/>
  <c r="N1930" i="1"/>
  <c r="M1930" i="1"/>
  <c r="L1930" i="1"/>
  <c r="K1930" i="1"/>
  <c r="J1930" i="1"/>
  <c r="I1930" i="1"/>
  <c r="H1930" i="1"/>
  <c r="F1930" i="1"/>
  <c r="G1930" i="1" s="1"/>
  <c r="T1929" i="1"/>
  <c r="S1929" i="1"/>
  <c r="R1929" i="1"/>
  <c r="Q1929" i="1"/>
  <c r="P1929" i="1"/>
  <c r="O1929" i="1"/>
  <c r="N1929" i="1"/>
  <c r="M1929" i="1"/>
  <c r="L1929" i="1"/>
  <c r="K1929" i="1"/>
  <c r="J1929" i="1"/>
  <c r="I1929" i="1"/>
  <c r="H1929" i="1"/>
  <c r="G1929" i="1"/>
  <c r="F1929" i="1"/>
  <c r="T1928" i="1"/>
  <c r="S1928" i="1"/>
  <c r="R1928" i="1"/>
  <c r="Q1928" i="1"/>
  <c r="P1928" i="1"/>
  <c r="O1928" i="1"/>
  <c r="N1928" i="1"/>
  <c r="M1928" i="1"/>
  <c r="L1928" i="1"/>
  <c r="K1928" i="1"/>
  <c r="J1928" i="1"/>
  <c r="I1928" i="1"/>
  <c r="H1928" i="1"/>
  <c r="F1928" i="1"/>
  <c r="G1928" i="1" s="1"/>
  <c r="T1927" i="1"/>
  <c r="S1927" i="1"/>
  <c r="R1927" i="1"/>
  <c r="Q1927" i="1"/>
  <c r="P1927" i="1"/>
  <c r="O1927" i="1"/>
  <c r="N1927" i="1"/>
  <c r="M1927" i="1"/>
  <c r="L1927" i="1"/>
  <c r="K1927" i="1"/>
  <c r="J1927" i="1"/>
  <c r="I1927" i="1"/>
  <c r="H1927" i="1"/>
  <c r="G1927" i="1"/>
  <c r="F1927" i="1"/>
  <c r="T1926" i="1"/>
  <c r="S1926" i="1"/>
  <c r="R1926" i="1"/>
  <c r="Q1926" i="1"/>
  <c r="P1926" i="1"/>
  <c r="O1926" i="1"/>
  <c r="N1926" i="1"/>
  <c r="M1926" i="1"/>
  <c r="L1926" i="1"/>
  <c r="K1926" i="1"/>
  <c r="J1926" i="1"/>
  <c r="I1926" i="1"/>
  <c r="H1926" i="1"/>
  <c r="F1926" i="1"/>
  <c r="G1926" i="1" s="1"/>
  <c r="T1925" i="1"/>
  <c r="S1925" i="1"/>
  <c r="R1925" i="1"/>
  <c r="Q1925" i="1"/>
  <c r="P1925" i="1"/>
  <c r="O1925" i="1"/>
  <c r="N1925" i="1"/>
  <c r="M1925" i="1"/>
  <c r="L1925" i="1"/>
  <c r="K1925" i="1"/>
  <c r="J1925" i="1"/>
  <c r="I1925" i="1"/>
  <c r="H1925" i="1"/>
  <c r="G1925" i="1"/>
  <c r="F1925" i="1"/>
  <c r="T1924" i="1"/>
  <c r="S1924" i="1"/>
  <c r="R1924" i="1"/>
  <c r="Q1924" i="1"/>
  <c r="P1924" i="1"/>
  <c r="O1924" i="1"/>
  <c r="N1924" i="1"/>
  <c r="M1924" i="1"/>
  <c r="L1924" i="1"/>
  <c r="K1924" i="1"/>
  <c r="J1924" i="1"/>
  <c r="I1924" i="1"/>
  <c r="H1924" i="1"/>
  <c r="G1924" i="1"/>
  <c r="F1924" i="1"/>
  <c r="T1923" i="1"/>
  <c r="S1923" i="1"/>
  <c r="R1923" i="1"/>
  <c r="Q1923" i="1"/>
  <c r="P1923" i="1"/>
  <c r="O1923" i="1"/>
  <c r="N1923" i="1"/>
  <c r="M1923" i="1"/>
  <c r="L1923" i="1"/>
  <c r="K1923" i="1"/>
  <c r="J1923" i="1"/>
  <c r="I1923" i="1"/>
  <c r="H1923" i="1"/>
  <c r="F1923" i="1"/>
  <c r="G1923" i="1" s="1"/>
  <c r="T1922" i="1"/>
  <c r="S1922" i="1"/>
  <c r="R1922" i="1"/>
  <c r="Q1922" i="1"/>
  <c r="P1922" i="1"/>
  <c r="O1922" i="1"/>
  <c r="N1922" i="1"/>
  <c r="M1922" i="1"/>
  <c r="L1922" i="1"/>
  <c r="K1922" i="1"/>
  <c r="J1922" i="1"/>
  <c r="I1922" i="1"/>
  <c r="H1922" i="1"/>
  <c r="F1922" i="1"/>
  <c r="G1922" i="1" s="1"/>
  <c r="T1921" i="1"/>
  <c r="S1921" i="1"/>
  <c r="R1921" i="1"/>
  <c r="Q1921" i="1"/>
  <c r="P1921" i="1"/>
  <c r="O1921" i="1"/>
  <c r="N1921" i="1"/>
  <c r="M1921" i="1"/>
  <c r="L1921" i="1"/>
  <c r="K1921" i="1"/>
  <c r="J1921" i="1"/>
  <c r="I1921" i="1"/>
  <c r="H1921" i="1"/>
  <c r="G1921" i="1"/>
  <c r="F1921" i="1"/>
  <c r="T1920" i="1"/>
  <c r="S1920" i="1"/>
  <c r="R1920" i="1"/>
  <c r="Q1920" i="1"/>
  <c r="P1920" i="1"/>
  <c r="O1920" i="1"/>
  <c r="N1920" i="1"/>
  <c r="M1920" i="1"/>
  <c r="L1920" i="1"/>
  <c r="K1920" i="1"/>
  <c r="J1920" i="1"/>
  <c r="I1920" i="1"/>
  <c r="H1920" i="1"/>
  <c r="F1920" i="1"/>
  <c r="G1920" i="1" s="1"/>
  <c r="T1919" i="1"/>
  <c r="S1919" i="1"/>
  <c r="R1919" i="1"/>
  <c r="Q1919" i="1"/>
  <c r="P1919" i="1"/>
  <c r="O1919" i="1"/>
  <c r="N1919" i="1"/>
  <c r="M1919" i="1"/>
  <c r="L1919" i="1"/>
  <c r="K1919" i="1"/>
  <c r="J1919" i="1"/>
  <c r="I1919" i="1"/>
  <c r="H1919" i="1"/>
  <c r="G1919" i="1"/>
  <c r="F1919" i="1"/>
  <c r="T1918" i="1"/>
  <c r="S1918" i="1"/>
  <c r="R1918" i="1"/>
  <c r="Q1918" i="1"/>
  <c r="P1918" i="1"/>
  <c r="O1918" i="1"/>
  <c r="N1918" i="1"/>
  <c r="M1918" i="1"/>
  <c r="L1918" i="1"/>
  <c r="K1918" i="1"/>
  <c r="J1918" i="1"/>
  <c r="I1918" i="1"/>
  <c r="H1918" i="1"/>
  <c r="F1918" i="1"/>
  <c r="G1918" i="1" s="1"/>
  <c r="T1917" i="1"/>
  <c r="S1917" i="1"/>
  <c r="R1917" i="1"/>
  <c r="Q1917" i="1"/>
  <c r="P1917" i="1"/>
  <c r="O1917" i="1"/>
  <c r="N1917" i="1"/>
  <c r="M1917" i="1"/>
  <c r="L1917" i="1"/>
  <c r="K1917" i="1"/>
  <c r="J1917" i="1"/>
  <c r="I1917" i="1"/>
  <c r="H1917" i="1"/>
  <c r="G1917" i="1"/>
  <c r="F1917" i="1"/>
  <c r="T1916" i="1"/>
  <c r="S1916" i="1"/>
  <c r="R1916" i="1"/>
  <c r="Q1916" i="1"/>
  <c r="P1916" i="1"/>
  <c r="O1916" i="1"/>
  <c r="N1916" i="1"/>
  <c r="M1916" i="1"/>
  <c r="L1916" i="1"/>
  <c r="K1916" i="1"/>
  <c r="J1916" i="1"/>
  <c r="I1916" i="1"/>
  <c r="H1916" i="1"/>
  <c r="G1916" i="1"/>
  <c r="F1916" i="1"/>
  <c r="T1915" i="1"/>
  <c r="S1915" i="1"/>
  <c r="R1915" i="1"/>
  <c r="Q1915" i="1"/>
  <c r="P1915" i="1"/>
  <c r="O1915" i="1"/>
  <c r="N1915" i="1"/>
  <c r="M1915" i="1"/>
  <c r="L1915" i="1"/>
  <c r="K1915" i="1"/>
  <c r="J1915" i="1"/>
  <c r="I1915" i="1"/>
  <c r="H1915" i="1"/>
  <c r="F1915" i="1"/>
  <c r="G1915" i="1" s="1"/>
  <c r="T1914" i="1"/>
  <c r="S1914" i="1"/>
  <c r="R1914" i="1"/>
  <c r="Q1914" i="1"/>
  <c r="P1914" i="1"/>
  <c r="O1914" i="1"/>
  <c r="N1914" i="1"/>
  <c r="M1914" i="1"/>
  <c r="L1914" i="1"/>
  <c r="K1914" i="1"/>
  <c r="J1914" i="1"/>
  <c r="I1914" i="1"/>
  <c r="H1914" i="1"/>
  <c r="F1914" i="1"/>
  <c r="G1914" i="1" s="1"/>
  <c r="T1913" i="1"/>
  <c r="S1913" i="1"/>
  <c r="R1913" i="1"/>
  <c r="Q1913" i="1"/>
  <c r="P1913" i="1"/>
  <c r="O1913" i="1"/>
  <c r="N1913" i="1"/>
  <c r="M1913" i="1"/>
  <c r="L1913" i="1"/>
  <c r="K1913" i="1"/>
  <c r="J1913" i="1"/>
  <c r="I1913" i="1"/>
  <c r="H1913" i="1"/>
  <c r="G1913" i="1"/>
  <c r="F1913" i="1"/>
  <c r="T1912" i="1"/>
  <c r="S1912" i="1"/>
  <c r="R1912" i="1"/>
  <c r="Q1912" i="1"/>
  <c r="P1912" i="1"/>
  <c r="O1912" i="1"/>
  <c r="N1912" i="1"/>
  <c r="M1912" i="1"/>
  <c r="L1912" i="1"/>
  <c r="K1912" i="1"/>
  <c r="J1912" i="1"/>
  <c r="I1912" i="1"/>
  <c r="H1912" i="1"/>
  <c r="F1912" i="1"/>
  <c r="G1912" i="1" s="1"/>
  <c r="T1911" i="1"/>
  <c r="S1911" i="1"/>
  <c r="R1911" i="1"/>
  <c r="Q1911" i="1"/>
  <c r="P1911" i="1"/>
  <c r="O1911" i="1"/>
  <c r="N1911" i="1"/>
  <c r="M1911" i="1"/>
  <c r="L1911" i="1"/>
  <c r="K1911" i="1"/>
  <c r="J1911" i="1"/>
  <c r="I1911" i="1"/>
  <c r="H1911" i="1"/>
  <c r="G1911" i="1"/>
  <c r="F1911" i="1"/>
  <c r="T1910" i="1"/>
  <c r="S1910" i="1"/>
  <c r="R1910" i="1"/>
  <c r="Q1910" i="1"/>
  <c r="P1910" i="1"/>
  <c r="O1910" i="1"/>
  <c r="N1910" i="1"/>
  <c r="M1910" i="1"/>
  <c r="L1910" i="1"/>
  <c r="K1910" i="1"/>
  <c r="J1910" i="1"/>
  <c r="I1910" i="1"/>
  <c r="H1910" i="1"/>
  <c r="F1910" i="1"/>
  <c r="G1910" i="1" s="1"/>
  <c r="T1909" i="1"/>
  <c r="S1909" i="1"/>
  <c r="R1909" i="1"/>
  <c r="Q1909" i="1"/>
  <c r="P1909" i="1"/>
  <c r="O1909" i="1"/>
  <c r="N1909" i="1"/>
  <c r="M1909" i="1"/>
  <c r="L1909" i="1"/>
  <c r="K1909" i="1"/>
  <c r="J1909" i="1"/>
  <c r="I1909" i="1"/>
  <c r="H1909" i="1"/>
  <c r="G1909" i="1"/>
  <c r="F1909" i="1"/>
  <c r="T1908" i="1"/>
  <c r="S1908" i="1"/>
  <c r="R1908" i="1"/>
  <c r="Q1908" i="1"/>
  <c r="P1908" i="1"/>
  <c r="O1908" i="1"/>
  <c r="N1908" i="1"/>
  <c r="M1908" i="1"/>
  <c r="L1908" i="1"/>
  <c r="K1908" i="1"/>
  <c r="J1908" i="1"/>
  <c r="I1908" i="1"/>
  <c r="H1908" i="1"/>
  <c r="G1908" i="1"/>
  <c r="F1908" i="1"/>
  <c r="T1907" i="1"/>
  <c r="S1907" i="1"/>
  <c r="R1907" i="1"/>
  <c r="Q1907" i="1"/>
  <c r="P1907" i="1"/>
  <c r="O1907" i="1"/>
  <c r="N1907" i="1"/>
  <c r="M1907" i="1"/>
  <c r="L1907" i="1"/>
  <c r="K1907" i="1"/>
  <c r="J1907" i="1"/>
  <c r="I1907" i="1"/>
  <c r="H1907" i="1"/>
  <c r="F1907" i="1"/>
  <c r="G1907" i="1" s="1"/>
  <c r="T1906" i="1"/>
  <c r="S1906" i="1"/>
  <c r="R1906" i="1"/>
  <c r="Q1906" i="1"/>
  <c r="P1906" i="1"/>
  <c r="O1906" i="1"/>
  <c r="N1906" i="1"/>
  <c r="M1906" i="1"/>
  <c r="L1906" i="1"/>
  <c r="K1906" i="1"/>
  <c r="J1906" i="1"/>
  <c r="I1906" i="1"/>
  <c r="H1906" i="1"/>
  <c r="F1906" i="1"/>
  <c r="G1906" i="1" s="1"/>
  <c r="T1905" i="1"/>
  <c r="S1905" i="1"/>
  <c r="R1905" i="1"/>
  <c r="Q1905" i="1"/>
  <c r="P1905" i="1"/>
  <c r="O1905" i="1"/>
  <c r="N1905" i="1"/>
  <c r="M1905" i="1"/>
  <c r="L1905" i="1"/>
  <c r="K1905" i="1"/>
  <c r="J1905" i="1"/>
  <c r="I1905" i="1"/>
  <c r="H1905" i="1"/>
  <c r="G1905" i="1"/>
  <c r="F1905" i="1"/>
  <c r="T1904" i="1"/>
  <c r="S1904" i="1"/>
  <c r="R1904" i="1"/>
  <c r="Q1904" i="1"/>
  <c r="P1904" i="1"/>
  <c r="O1904" i="1"/>
  <c r="N1904" i="1"/>
  <c r="M1904" i="1"/>
  <c r="L1904" i="1"/>
  <c r="K1904" i="1"/>
  <c r="J1904" i="1"/>
  <c r="I1904" i="1"/>
  <c r="H1904" i="1"/>
  <c r="F1904" i="1"/>
  <c r="G1904" i="1" s="1"/>
  <c r="T1903" i="1"/>
  <c r="S1903" i="1"/>
  <c r="R1903" i="1"/>
  <c r="Q1903" i="1"/>
  <c r="P1903" i="1"/>
  <c r="O1903" i="1"/>
  <c r="N1903" i="1"/>
  <c r="M1903" i="1"/>
  <c r="L1903" i="1"/>
  <c r="K1903" i="1"/>
  <c r="J1903" i="1"/>
  <c r="I1903" i="1"/>
  <c r="H1903" i="1"/>
  <c r="G1903" i="1"/>
  <c r="F1903" i="1"/>
  <c r="T1902" i="1"/>
  <c r="S1902" i="1"/>
  <c r="R1902" i="1"/>
  <c r="Q1902" i="1"/>
  <c r="P1902" i="1"/>
  <c r="O1902" i="1"/>
  <c r="N1902" i="1"/>
  <c r="M1902" i="1"/>
  <c r="L1902" i="1"/>
  <c r="K1902" i="1"/>
  <c r="J1902" i="1"/>
  <c r="I1902" i="1"/>
  <c r="H1902" i="1"/>
  <c r="F1902" i="1"/>
  <c r="G1902" i="1" s="1"/>
  <c r="T1901" i="1"/>
  <c r="S1901" i="1"/>
  <c r="R1901" i="1"/>
  <c r="Q1901" i="1"/>
  <c r="P1901" i="1"/>
  <c r="O1901" i="1"/>
  <c r="N1901" i="1"/>
  <c r="M1901" i="1"/>
  <c r="L1901" i="1"/>
  <c r="K1901" i="1"/>
  <c r="J1901" i="1"/>
  <c r="I1901" i="1"/>
  <c r="H1901" i="1"/>
  <c r="G1901" i="1"/>
  <c r="F1901" i="1"/>
  <c r="T1900" i="1"/>
  <c r="S1900" i="1"/>
  <c r="R1900" i="1"/>
  <c r="Q1900" i="1"/>
  <c r="P1900" i="1"/>
  <c r="O1900" i="1"/>
  <c r="N1900" i="1"/>
  <c r="M1900" i="1"/>
  <c r="L1900" i="1"/>
  <c r="K1900" i="1"/>
  <c r="J1900" i="1"/>
  <c r="I1900" i="1"/>
  <c r="H1900" i="1"/>
  <c r="G1900" i="1"/>
  <c r="F1900" i="1"/>
  <c r="T1899" i="1"/>
  <c r="S1899" i="1"/>
  <c r="R1899" i="1"/>
  <c r="Q1899" i="1"/>
  <c r="P1899" i="1"/>
  <c r="O1899" i="1"/>
  <c r="N1899" i="1"/>
  <c r="M1899" i="1"/>
  <c r="L1899" i="1"/>
  <c r="K1899" i="1"/>
  <c r="J1899" i="1"/>
  <c r="I1899" i="1"/>
  <c r="H1899" i="1"/>
  <c r="F1899" i="1"/>
  <c r="G1899" i="1" s="1"/>
  <c r="T1898" i="1"/>
  <c r="S1898" i="1"/>
  <c r="R1898" i="1"/>
  <c r="Q1898" i="1"/>
  <c r="P1898" i="1"/>
  <c r="O1898" i="1"/>
  <c r="N1898" i="1"/>
  <c r="M1898" i="1"/>
  <c r="L1898" i="1"/>
  <c r="K1898" i="1"/>
  <c r="J1898" i="1"/>
  <c r="I1898" i="1"/>
  <c r="H1898" i="1"/>
  <c r="F1898" i="1"/>
  <c r="G1898" i="1" s="1"/>
  <c r="T1897" i="1"/>
  <c r="S1897" i="1"/>
  <c r="R1897" i="1"/>
  <c r="Q1897" i="1"/>
  <c r="P1897" i="1"/>
  <c r="O1897" i="1"/>
  <c r="N1897" i="1"/>
  <c r="M1897" i="1"/>
  <c r="L1897" i="1"/>
  <c r="K1897" i="1"/>
  <c r="J1897" i="1"/>
  <c r="I1897" i="1"/>
  <c r="H1897" i="1"/>
  <c r="G1897" i="1"/>
  <c r="F1897" i="1"/>
  <c r="T1896" i="1"/>
  <c r="S1896" i="1"/>
  <c r="R1896" i="1"/>
  <c r="Q1896" i="1"/>
  <c r="P1896" i="1"/>
  <c r="O1896" i="1"/>
  <c r="N1896" i="1"/>
  <c r="M1896" i="1"/>
  <c r="L1896" i="1"/>
  <c r="K1896" i="1"/>
  <c r="J1896" i="1"/>
  <c r="I1896" i="1"/>
  <c r="H1896" i="1"/>
  <c r="F1896" i="1"/>
  <c r="G1896" i="1" s="1"/>
  <c r="T1895" i="1"/>
  <c r="S1895" i="1"/>
  <c r="R1895" i="1"/>
  <c r="Q1895" i="1"/>
  <c r="P1895" i="1"/>
  <c r="O1895" i="1"/>
  <c r="N1895" i="1"/>
  <c r="M1895" i="1"/>
  <c r="L1895" i="1"/>
  <c r="K1895" i="1"/>
  <c r="J1895" i="1"/>
  <c r="I1895" i="1"/>
  <c r="H1895" i="1"/>
  <c r="G1895" i="1"/>
  <c r="F1895" i="1"/>
  <c r="T1894" i="1"/>
  <c r="S1894" i="1"/>
  <c r="R1894" i="1"/>
  <c r="Q1894" i="1"/>
  <c r="P1894" i="1"/>
  <c r="O1894" i="1"/>
  <c r="N1894" i="1"/>
  <c r="M1894" i="1"/>
  <c r="L1894" i="1"/>
  <c r="K1894" i="1"/>
  <c r="J1894" i="1"/>
  <c r="I1894" i="1"/>
  <c r="H1894" i="1"/>
  <c r="F1894" i="1"/>
  <c r="G1894" i="1" s="1"/>
  <c r="T1893" i="1"/>
  <c r="S1893" i="1"/>
  <c r="R1893" i="1"/>
  <c r="Q1893" i="1"/>
  <c r="P1893" i="1"/>
  <c r="O1893" i="1"/>
  <c r="N1893" i="1"/>
  <c r="M1893" i="1"/>
  <c r="L1893" i="1"/>
  <c r="K1893" i="1"/>
  <c r="J1893" i="1"/>
  <c r="I1893" i="1"/>
  <c r="H1893" i="1"/>
  <c r="G1893" i="1"/>
  <c r="F1893" i="1"/>
  <c r="T1892" i="1"/>
  <c r="S1892" i="1"/>
  <c r="R1892" i="1"/>
  <c r="Q1892" i="1"/>
  <c r="P1892" i="1"/>
  <c r="O1892" i="1"/>
  <c r="N1892" i="1"/>
  <c r="M1892" i="1"/>
  <c r="L1892" i="1"/>
  <c r="K1892" i="1"/>
  <c r="J1892" i="1"/>
  <c r="I1892" i="1"/>
  <c r="H1892" i="1"/>
  <c r="G1892" i="1"/>
  <c r="F1892" i="1"/>
  <c r="T1891" i="1"/>
  <c r="S1891" i="1"/>
  <c r="R1891" i="1"/>
  <c r="Q1891" i="1"/>
  <c r="P1891" i="1"/>
  <c r="O1891" i="1"/>
  <c r="N1891" i="1"/>
  <c r="M1891" i="1"/>
  <c r="L1891" i="1"/>
  <c r="K1891" i="1"/>
  <c r="J1891" i="1"/>
  <c r="I1891" i="1"/>
  <c r="H1891" i="1"/>
  <c r="F1891" i="1"/>
  <c r="G1891" i="1" s="1"/>
  <c r="T1890" i="1"/>
  <c r="S1890" i="1"/>
  <c r="R1890" i="1"/>
  <c r="Q1890" i="1"/>
  <c r="P1890" i="1"/>
  <c r="O1890" i="1"/>
  <c r="N1890" i="1"/>
  <c r="M1890" i="1"/>
  <c r="L1890" i="1"/>
  <c r="K1890" i="1"/>
  <c r="J1890" i="1"/>
  <c r="I1890" i="1"/>
  <c r="H1890" i="1"/>
  <c r="F1890" i="1"/>
  <c r="G1890" i="1" s="1"/>
  <c r="T1889" i="1"/>
  <c r="S1889" i="1"/>
  <c r="R1889" i="1"/>
  <c r="Q1889" i="1"/>
  <c r="P1889" i="1"/>
  <c r="O1889" i="1"/>
  <c r="N1889" i="1"/>
  <c r="M1889" i="1"/>
  <c r="L1889" i="1"/>
  <c r="K1889" i="1"/>
  <c r="J1889" i="1"/>
  <c r="I1889" i="1"/>
  <c r="H1889" i="1"/>
  <c r="G1889" i="1"/>
  <c r="F1889" i="1"/>
  <c r="T1888" i="1"/>
  <c r="S1888" i="1"/>
  <c r="R1888" i="1"/>
  <c r="Q1888" i="1"/>
  <c r="P1888" i="1"/>
  <c r="O1888" i="1"/>
  <c r="N1888" i="1"/>
  <c r="M1888" i="1"/>
  <c r="L1888" i="1"/>
  <c r="K1888" i="1"/>
  <c r="J1888" i="1"/>
  <c r="I1888" i="1"/>
  <c r="H1888" i="1"/>
  <c r="F1888" i="1"/>
  <c r="G1888" i="1" s="1"/>
  <c r="T1887" i="1"/>
  <c r="S1887" i="1"/>
  <c r="R1887" i="1"/>
  <c r="Q1887" i="1"/>
  <c r="P1887" i="1"/>
  <c r="O1887" i="1"/>
  <c r="N1887" i="1"/>
  <c r="M1887" i="1"/>
  <c r="L1887" i="1"/>
  <c r="K1887" i="1"/>
  <c r="J1887" i="1"/>
  <c r="I1887" i="1"/>
  <c r="H1887" i="1"/>
  <c r="G1887" i="1"/>
  <c r="F1887" i="1"/>
  <c r="T1886" i="1"/>
  <c r="S1886" i="1"/>
  <c r="R1886" i="1"/>
  <c r="Q1886" i="1"/>
  <c r="P1886" i="1"/>
  <c r="O1886" i="1"/>
  <c r="N1886" i="1"/>
  <c r="M1886" i="1"/>
  <c r="L1886" i="1"/>
  <c r="K1886" i="1"/>
  <c r="J1886" i="1"/>
  <c r="I1886" i="1"/>
  <c r="H1886" i="1"/>
  <c r="F1886" i="1"/>
  <c r="G1886" i="1" s="1"/>
  <c r="T1885" i="1"/>
  <c r="S1885" i="1"/>
  <c r="R1885" i="1"/>
  <c r="Q1885" i="1"/>
  <c r="P1885" i="1"/>
  <c r="O1885" i="1"/>
  <c r="N1885" i="1"/>
  <c r="M1885" i="1"/>
  <c r="L1885" i="1"/>
  <c r="K1885" i="1"/>
  <c r="J1885" i="1"/>
  <c r="I1885" i="1"/>
  <c r="H1885" i="1"/>
  <c r="G1885" i="1"/>
  <c r="F1885" i="1"/>
  <c r="T1884" i="1"/>
  <c r="S1884" i="1"/>
  <c r="R1884" i="1"/>
  <c r="Q1884" i="1"/>
  <c r="P1884" i="1"/>
  <c r="O1884" i="1"/>
  <c r="N1884" i="1"/>
  <c r="M1884" i="1"/>
  <c r="L1884" i="1"/>
  <c r="K1884" i="1"/>
  <c r="J1884" i="1"/>
  <c r="I1884" i="1"/>
  <c r="H1884" i="1"/>
  <c r="G1884" i="1"/>
  <c r="F1884" i="1"/>
  <c r="T1883" i="1"/>
  <c r="S1883" i="1"/>
  <c r="R1883" i="1"/>
  <c r="Q1883" i="1"/>
  <c r="P1883" i="1"/>
  <c r="O1883" i="1"/>
  <c r="N1883" i="1"/>
  <c r="M1883" i="1"/>
  <c r="L1883" i="1"/>
  <c r="K1883" i="1"/>
  <c r="J1883" i="1"/>
  <c r="I1883" i="1"/>
  <c r="H1883" i="1"/>
  <c r="F1883" i="1"/>
  <c r="G1883" i="1" s="1"/>
  <c r="T1882" i="1"/>
  <c r="S1882" i="1"/>
  <c r="R1882" i="1"/>
  <c r="Q1882" i="1"/>
  <c r="P1882" i="1"/>
  <c r="O1882" i="1"/>
  <c r="N1882" i="1"/>
  <c r="M1882" i="1"/>
  <c r="L1882" i="1"/>
  <c r="K1882" i="1"/>
  <c r="J1882" i="1"/>
  <c r="I1882" i="1"/>
  <c r="H1882" i="1"/>
  <c r="F1882" i="1"/>
  <c r="G1882" i="1" s="1"/>
  <c r="T1881" i="1"/>
  <c r="S1881" i="1"/>
  <c r="R1881" i="1"/>
  <c r="Q1881" i="1"/>
  <c r="P1881" i="1"/>
  <c r="O1881" i="1"/>
  <c r="N1881" i="1"/>
  <c r="M1881" i="1"/>
  <c r="L1881" i="1"/>
  <c r="K1881" i="1"/>
  <c r="J1881" i="1"/>
  <c r="I1881" i="1"/>
  <c r="H1881" i="1"/>
  <c r="G1881" i="1"/>
  <c r="F1881" i="1"/>
  <c r="T1880" i="1"/>
  <c r="S1880" i="1"/>
  <c r="R1880" i="1"/>
  <c r="Q1880" i="1"/>
  <c r="P1880" i="1"/>
  <c r="O1880" i="1"/>
  <c r="N1880" i="1"/>
  <c r="M1880" i="1"/>
  <c r="L1880" i="1"/>
  <c r="K1880" i="1"/>
  <c r="J1880" i="1"/>
  <c r="I1880" i="1"/>
  <c r="H1880" i="1"/>
  <c r="F1880" i="1"/>
  <c r="G1880" i="1" s="1"/>
  <c r="T1879" i="1"/>
  <c r="S1879" i="1"/>
  <c r="R1879" i="1"/>
  <c r="Q1879" i="1"/>
  <c r="P1879" i="1"/>
  <c r="O1879" i="1"/>
  <c r="N1879" i="1"/>
  <c r="M1879" i="1"/>
  <c r="L1879" i="1"/>
  <c r="K1879" i="1"/>
  <c r="J1879" i="1"/>
  <c r="I1879" i="1"/>
  <c r="H1879" i="1"/>
  <c r="G1879" i="1"/>
  <c r="F1879" i="1"/>
  <c r="T1878" i="1"/>
  <c r="S1878" i="1"/>
  <c r="R1878" i="1"/>
  <c r="Q1878" i="1"/>
  <c r="P1878" i="1"/>
  <c r="O1878" i="1"/>
  <c r="N1878" i="1"/>
  <c r="M1878" i="1"/>
  <c r="L1878" i="1"/>
  <c r="K1878" i="1"/>
  <c r="J1878" i="1"/>
  <c r="I1878" i="1"/>
  <c r="H1878" i="1"/>
  <c r="F1878" i="1"/>
  <c r="G1878" i="1" s="1"/>
  <c r="T1877" i="1"/>
  <c r="S1877" i="1"/>
  <c r="R1877" i="1"/>
  <c r="Q1877" i="1"/>
  <c r="P1877" i="1"/>
  <c r="O1877" i="1"/>
  <c r="N1877" i="1"/>
  <c r="M1877" i="1"/>
  <c r="L1877" i="1"/>
  <c r="K1877" i="1"/>
  <c r="J1877" i="1"/>
  <c r="I1877" i="1"/>
  <c r="H1877" i="1"/>
  <c r="G1877" i="1"/>
  <c r="F1877" i="1"/>
  <c r="T1876" i="1"/>
  <c r="S1876" i="1"/>
  <c r="R1876" i="1"/>
  <c r="Q1876" i="1"/>
  <c r="P1876" i="1"/>
  <c r="O1876" i="1"/>
  <c r="N1876" i="1"/>
  <c r="M1876" i="1"/>
  <c r="L1876" i="1"/>
  <c r="K1876" i="1"/>
  <c r="J1876" i="1"/>
  <c r="I1876" i="1"/>
  <c r="H1876" i="1"/>
  <c r="G1876" i="1"/>
  <c r="F1876" i="1"/>
  <c r="T1875" i="1"/>
  <c r="S1875" i="1"/>
  <c r="R1875" i="1"/>
  <c r="Q1875" i="1"/>
  <c r="P1875" i="1"/>
  <c r="O1875" i="1"/>
  <c r="N1875" i="1"/>
  <c r="M1875" i="1"/>
  <c r="L1875" i="1"/>
  <c r="K1875" i="1"/>
  <c r="J1875" i="1"/>
  <c r="I1875" i="1"/>
  <c r="H1875" i="1"/>
  <c r="F1875" i="1"/>
  <c r="G1875" i="1" s="1"/>
  <c r="T1874" i="1"/>
  <c r="S1874" i="1"/>
  <c r="R1874" i="1"/>
  <c r="Q1874" i="1"/>
  <c r="P1874" i="1"/>
  <c r="O1874" i="1"/>
  <c r="N1874" i="1"/>
  <c r="M1874" i="1"/>
  <c r="L1874" i="1"/>
  <c r="K1874" i="1"/>
  <c r="J1874" i="1"/>
  <c r="I1874" i="1"/>
  <c r="H1874" i="1"/>
  <c r="F1874" i="1"/>
  <c r="G1874" i="1" s="1"/>
  <c r="T1873" i="1"/>
  <c r="S1873" i="1"/>
  <c r="R1873" i="1"/>
  <c r="Q1873" i="1"/>
  <c r="P1873" i="1"/>
  <c r="O1873" i="1"/>
  <c r="N1873" i="1"/>
  <c r="M1873" i="1"/>
  <c r="L1873" i="1"/>
  <c r="K1873" i="1"/>
  <c r="J1873" i="1"/>
  <c r="I1873" i="1"/>
  <c r="H1873" i="1"/>
  <c r="G1873" i="1"/>
  <c r="F1873" i="1"/>
  <c r="T1872" i="1"/>
  <c r="S1872" i="1"/>
  <c r="R1872" i="1"/>
  <c r="Q1872" i="1"/>
  <c r="P1872" i="1"/>
  <c r="O1872" i="1"/>
  <c r="N1872" i="1"/>
  <c r="M1872" i="1"/>
  <c r="L1872" i="1"/>
  <c r="K1872" i="1"/>
  <c r="J1872" i="1"/>
  <c r="I1872" i="1"/>
  <c r="H1872" i="1"/>
  <c r="F1872" i="1"/>
  <c r="G1872" i="1" s="1"/>
  <c r="T1871" i="1"/>
  <c r="S1871" i="1"/>
  <c r="R1871" i="1"/>
  <c r="Q1871" i="1"/>
  <c r="P1871" i="1"/>
  <c r="O1871" i="1"/>
  <c r="N1871" i="1"/>
  <c r="M1871" i="1"/>
  <c r="L1871" i="1"/>
  <c r="K1871" i="1"/>
  <c r="J1871" i="1"/>
  <c r="I1871" i="1"/>
  <c r="H1871" i="1"/>
  <c r="G1871" i="1"/>
  <c r="F1871" i="1"/>
  <c r="T1870" i="1"/>
  <c r="S1870" i="1"/>
  <c r="R1870" i="1"/>
  <c r="Q1870" i="1"/>
  <c r="P1870" i="1"/>
  <c r="O1870" i="1"/>
  <c r="N1870" i="1"/>
  <c r="M1870" i="1"/>
  <c r="L1870" i="1"/>
  <c r="K1870" i="1"/>
  <c r="J1870" i="1"/>
  <c r="I1870" i="1"/>
  <c r="H1870" i="1"/>
  <c r="F1870" i="1"/>
  <c r="G1870" i="1" s="1"/>
  <c r="T1869" i="1"/>
  <c r="S1869" i="1"/>
  <c r="R1869" i="1"/>
  <c r="Q1869" i="1"/>
  <c r="P1869" i="1"/>
  <c r="O1869" i="1"/>
  <c r="N1869" i="1"/>
  <c r="M1869" i="1"/>
  <c r="L1869" i="1"/>
  <c r="K1869" i="1"/>
  <c r="J1869" i="1"/>
  <c r="I1869" i="1"/>
  <c r="H1869" i="1"/>
  <c r="G1869" i="1"/>
  <c r="F1869" i="1"/>
  <c r="T1868" i="1"/>
  <c r="S1868" i="1"/>
  <c r="R1868" i="1"/>
  <c r="Q1868" i="1"/>
  <c r="P1868" i="1"/>
  <c r="O1868" i="1"/>
  <c r="N1868" i="1"/>
  <c r="M1868" i="1"/>
  <c r="L1868" i="1"/>
  <c r="K1868" i="1"/>
  <c r="J1868" i="1"/>
  <c r="I1868" i="1"/>
  <c r="H1868" i="1"/>
  <c r="G1868" i="1"/>
  <c r="F1868" i="1"/>
  <c r="T1867" i="1"/>
  <c r="S1867" i="1"/>
  <c r="R1867" i="1"/>
  <c r="Q1867" i="1"/>
  <c r="P1867" i="1"/>
  <c r="O1867" i="1"/>
  <c r="N1867" i="1"/>
  <c r="M1867" i="1"/>
  <c r="L1867" i="1"/>
  <c r="K1867" i="1"/>
  <c r="J1867" i="1"/>
  <c r="I1867" i="1"/>
  <c r="H1867" i="1"/>
  <c r="F1867" i="1"/>
  <c r="G1867" i="1" s="1"/>
  <c r="T1866" i="1"/>
  <c r="S1866" i="1"/>
  <c r="R1866" i="1"/>
  <c r="Q1866" i="1"/>
  <c r="P1866" i="1"/>
  <c r="O1866" i="1"/>
  <c r="N1866" i="1"/>
  <c r="M1866" i="1"/>
  <c r="L1866" i="1"/>
  <c r="K1866" i="1"/>
  <c r="J1866" i="1"/>
  <c r="I1866" i="1"/>
  <c r="H1866" i="1"/>
  <c r="F1866" i="1"/>
  <c r="G1866" i="1" s="1"/>
  <c r="T1865" i="1"/>
  <c r="S1865" i="1"/>
  <c r="R1865" i="1"/>
  <c r="Q1865" i="1"/>
  <c r="P1865" i="1"/>
  <c r="O1865" i="1"/>
  <c r="N1865" i="1"/>
  <c r="M1865" i="1"/>
  <c r="L1865" i="1"/>
  <c r="K1865" i="1"/>
  <c r="J1865" i="1"/>
  <c r="I1865" i="1"/>
  <c r="H1865" i="1"/>
  <c r="G1865" i="1"/>
  <c r="F1865" i="1"/>
  <c r="T1864" i="1"/>
  <c r="S1864" i="1"/>
  <c r="R1864" i="1"/>
  <c r="Q1864" i="1"/>
  <c r="P1864" i="1"/>
  <c r="O1864" i="1"/>
  <c r="N1864" i="1"/>
  <c r="M1864" i="1"/>
  <c r="L1864" i="1"/>
  <c r="K1864" i="1"/>
  <c r="J1864" i="1"/>
  <c r="I1864" i="1"/>
  <c r="H1864" i="1"/>
  <c r="F1864" i="1"/>
  <c r="G1864" i="1" s="1"/>
  <c r="T1863" i="1"/>
  <c r="S1863" i="1"/>
  <c r="R1863" i="1"/>
  <c r="Q1863" i="1"/>
  <c r="P1863" i="1"/>
  <c r="O1863" i="1"/>
  <c r="N1863" i="1"/>
  <c r="M1863" i="1"/>
  <c r="L1863" i="1"/>
  <c r="K1863" i="1"/>
  <c r="J1863" i="1"/>
  <c r="I1863" i="1"/>
  <c r="H1863" i="1"/>
  <c r="G1863" i="1"/>
  <c r="F1863" i="1"/>
  <c r="T1862" i="1"/>
  <c r="S1862" i="1"/>
  <c r="R1862" i="1"/>
  <c r="Q1862" i="1"/>
  <c r="P1862" i="1"/>
  <c r="O1862" i="1"/>
  <c r="N1862" i="1"/>
  <c r="M1862" i="1"/>
  <c r="L1862" i="1"/>
  <c r="K1862" i="1"/>
  <c r="J1862" i="1"/>
  <c r="I1862" i="1"/>
  <c r="H1862" i="1"/>
  <c r="F1862" i="1"/>
  <c r="G1862" i="1" s="1"/>
  <c r="T1861" i="1"/>
  <c r="S1861" i="1"/>
  <c r="R1861" i="1"/>
  <c r="Q1861" i="1"/>
  <c r="P1861" i="1"/>
  <c r="O1861" i="1"/>
  <c r="N1861" i="1"/>
  <c r="M1861" i="1"/>
  <c r="L1861" i="1"/>
  <c r="K1861" i="1"/>
  <c r="J1861" i="1"/>
  <c r="I1861" i="1"/>
  <c r="H1861" i="1"/>
  <c r="G1861" i="1"/>
  <c r="F1861" i="1"/>
  <c r="T1860" i="1"/>
  <c r="S1860" i="1"/>
  <c r="R1860" i="1"/>
  <c r="Q1860" i="1"/>
  <c r="P1860" i="1"/>
  <c r="O1860" i="1"/>
  <c r="N1860" i="1"/>
  <c r="M1860" i="1"/>
  <c r="L1860" i="1"/>
  <c r="K1860" i="1"/>
  <c r="J1860" i="1"/>
  <c r="I1860" i="1"/>
  <c r="H1860" i="1"/>
  <c r="G1860" i="1"/>
  <c r="F1860" i="1"/>
  <c r="T1859" i="1"/>
  <c r="S1859" i="1"/>
  <c r="R1859" i="1"/>
  <c r="Q1859" i="1"/>
  <c r="P1859" i="1"/>
  <c r="O1859" i="1"/>
  <c r="N1859" i="1"/>
  <c r="M1859" i="1"/>
  <c r="L1859" i="1"/>
  <c r="K1859" i="1"/>
  <c r="J1859" i="1"/>
  <c r="I1859" i="1"/>
  <c r="H1859" i="1"/>
  <c r="F1859" i="1"/>
  <c r="G1859" i="1" s="1"/>
  <c r="T1858" i="1"/>
  <c r="S1858" i="1"/>
  <c r="R1858" i="1"/>
  <c r="Q1858" i="1"/>
  <c r="P1858" i="1"/>
  <c r="O1858" i="1"/>
  <c r="N1858" i="1"/>
  <c r="M1858" i="1"/>
  <c r="L1858" i="1"/>
  <c r="K1858" i="1"/>
  <c r="J1858" i="1"/>
  <c r="I1858" i="1"/>
  <c r="H1858" i="1"/>
  <c r="F1858" i="1"/>
  <c r="G1858" i="1" s="1"/>
  <c r="T1857" i="1"/>
  <c r="S1857" i="1"/>
  <c r="R1857" i="1"/>
  <c r="Q1857" i="1"/>
  <c r="P1857" i="1"/>
  <c r="O1857" i="1"/>
  <c r="N1857" i="1"/>
  <c r="M1857" i="1"/>
  <c r="L1857" i="1"/>
  <c r="K1857" i="1"/>
  <c r="J1857" i="1"/>
  <c r="I1857" i="1"/>
  <c r="H1857" i="1"/>
  <c r="G1857" i="1"/>
  <c r="F1857" i="1"/>
  <c r="T1856" i="1"/>
  <c r="S1856" i="1"/>
  <c r="R1856" i="1"/>
  <c r="Q1856" i="1"/>
  <c r="P1856" i="1"/>
  <c r="O1856" i="1"/>
  <c r="N1856" i="1"/>
  <c r="M1856" i="1"/>
  <c r="L1856" i="1"/>
  <c r="K1856" i="1"/>
  <c r="J1856" i="1"/>
  <c r="I1856" i="1"/>
  <c r="H1856" i="1"/>
  <c r="F1856" i="1"/>
  <c r="G1856" i="1" s="1"/>
  <c r="T1855" i="1"/>
  <c r="S1855" i="1"/>
  <c r="R1855" i="1"/>
  <c r="Q1855" i="1"/>
  <c r="P1855" i="1"/>
  <c r="O1855" i="1"/>
  <c r="N1855" i="1"/>
  <c r="M1855" i="1"/>
  <c r="L1855" i="1"/>
  <c r="K1855" i="1"/>
  <c r="J1855" i="1"/>
  <c r="I1855" i="1"/>
  <c r="H1855" i="1"/>
  <c r="G1855" i="1"/>
  <c r="F1855" i="1"/>
  <c r="T1854" i="1"/>
  <c r="S1854" i="1"/>
  <c r="R1854" i="1"/>
  <c r="Q1854" i="1"/>
  <c r="P1854" i="1"/>
  <c r="O1854" i="1"/>
  <c r="N1854" i="1"/>
  <c r="M1854" i="1"/>
  <c r="L1854" i="1"/>
  <c r="K1854" i="1"/>
  <c r="J1854" i="1"/>
  <c r="I1854" i="1"/>
  <c r="H1854" i="1"/>
  <c r="F1854" i="1"/>
  <c r="G1854" i="1" s="1"/>
  <c r="T1853" i="1"/>
  <c r="S1853" i="1"/>
  <c r="R1853" i="1"/>
  <c r="Q1853" i="1"/>
  <c r="P1853" i="1"/>
  <c r="O1853" i="1"/>
  <c r="N1853" i="1"/>
  <c r="M1853" i="1"/>
  <c r="L1853" i="1"/>
  <c r="K1853" i="1"/>
  <c r="J1853" i="1"/>
  <c r="I1853" i="1"/>
  <c r="H1853" i="1"/>
  <c r="G1853" i="1"/>
  <c r="F1853" i="1"/>
  <c r="T1852" i="1"/>
  <c r="S1852" i="1"/>
  <c r="R1852" i="1"/>
  <c r="Q1852" i="1"/>
  <c r="P1852" i="1"/>
  <c r="O1852" i="1"/>
  <c r="N1852" i="1"/>
  <c r="M1852" i="1"/>
  <c r="L1852" i="1"/>
  <c r="K1852" i="1"/>
  <c r="J1852" i="1"/>
  <c r="I1852" i="1"/>
  <c r="H1852" i="1"/>
  <c r="G1852" i="1"/>
  <c r="F1852" i="1"/>
  <c r="T1851" i="1"/>
  <c r="S1851" i="1"/>
  <c r="R1851" i="1"/>
  <c r="Q1851" i="1"/>
  <c r="P1851" i="1"/>
  <c r="O1851" i="1"/>
  <c r="N1851" i="1"/>
  <c r="M1851" i="1"/>
  <c r="L1851" i="1"/>
  <c r="K1851" i="1"/>
  <c r="J1851" i="1"/>
  <c r="I1851" i="1"/>
  <c r="H1851" i="1"/>
  <c r="F1851" i="1"/>
  <c r="G1851" i="1" s="1"/>
  <c r="T1850" i="1"/>
  <c r="S1850" i="1"/>
  <c r="R1850" i="1"/>
  <c r="Q1850" i="1"/>
  <c r="P1850" i="1"/>
  <c r="O1850" i="1"/>
  <c r="N1850" i="1"/>
  <c r="M1850" i="1"/>
  <c r="L1850" i="1"/>
  <c r="K1850" i="1"/>
  <c r="J1850" i="1"/>
  <c r="I1850" i="1"/>
  <c r="H1850" i="1"/>
  <c r="F1850" i="1"/>
  <c r="G1850" i="1" s="1"/>
  <c r="T1849" i="1"/>
  <c r="S1849" i="1"/>
  <c r="R1849" i="1"/>
  <c r="Q1849" i="1"/>
  <c r="P1849" i="1"/>
  <c r="O1849" i="1"/>
  <c r="N1849" i="1"/>
  <c r="M1849" i="1"/>
  <c r="L1849" i="1"/>
  <c r="K1849" i="1"/>
  <c r="J1849" i="1"/>
  <c r="I1849" i="1"/>
  <c r="H1849" i="1"/>
  <c r="G1849" i="1"/>
  <c r="F1849" i="1"/>
  <c r="T1848" i="1"/>
  <c r="S1848" i="1"/>
  <c r="R1848" i="1"/>
  <c r="Q1848" i="1"/>
  <c r="P1848" i="1"/>
  <c r="O1848" i="1"/>
  <c r="N1848" i="1"/>
  <c r="M1848" i="1"/>
  <c r="L1848" i="1"/>
  <c r="K1848" i="1"/>
  <c r="J1848" i="1"/>
  <c r="I1848" i="1"/>
  <c r="H1848" i="1"/>
  <c r="F1848" i="1"/>
  <c r="G1848" i="1" s="1"/>
  <c r="T1847" i="1"/>
  <c r="S1847" i="1"/>
  <c r="R1847" i="1"/>
  <c r="Q1847" i="1"/>
  <c r="P1847" i="1"/>
  <c r="O1847" i="1"/>
  <c r="N1847" i="1"/>
  <c r="M1847" i="1"/>
  <c r="L1847" i="1"/>
  <c r="K1847" i="1"/>
  <c r="J1847" i="1"/>
  <c r="I1847" i="1"/>
  <c r="H1847" i="1"/>
  <c r="G1847" i="1"/>
  <c r="F1847" i="1"/>
  <c r="T1846" i="1"/>
  <c r="S1846" i="1"/>
  <c r="R1846" i="1"/>
  <c r="Q1846" i="1"/>
  <c r="P1846" i="1"/>
  <c r="O1846" i="1"/>
  <c r="N1846" i="1"/>
  <c r="M1846" i="1"/>
  <c r="L1846" i="1"/>
  <c r="K1846" i="1"/>
  <c r="J1846" i="1"/>
  <c r="I1846" i="1"/>
  <c r="H1846" i="1"/>
  <c r="F1846" i="1"/>
  <c r="G1846" i="1" s="1"/>
  <c r="T1845" i="1"/>
  <c r="S1845" i="1"/>
  <c r="R1845" i="1"/>
  <c r="Q1845" i="1"/>
  <c r="P1845" i="1"/>
  <c r="O1845" i="1"/>
  <c r="N1845" i="1"/>
  <c r="M1845" i="1"/>
  <c r="L1845" i="1"/>
  <c r="K1845" i="1"/>
  <c r="J1845" i="1"/>
  <c r="I1845" i="1"/>
  <c r="H1845" i="1"/>
  <c r="G1845" i="1"/>
  <c r="F1845" i="1"/>
  <c r="T1844" i="1"/>
  <c r="S1844" i="1"/>
  <c r="R1844" i="1"/>
  <c r="Q1844" i="1"/>
  <c r="P1844" i="1"/>
  <c r="O1844" i="1"/>
  <c r="N1844" i="1"/>
  <c r="M1844" i="1"/>
  <c r="L1844" i="1"/>
  <c r="K1844" i="1"/>
  <c r="J1844" i="1"/>
  <c r="I1844" i="1"/>
  <c r="H1844" i="1"/>
  <c r="G1844" i="1"/>
  <c r="F1844" i="1"/>
  <c r="T1843" i="1"/>
  <c r="S1843" i="1"/>
  <c r="R1843" i="1"/>
  <c r="Q1843" i="1"/>
  <c r="P1843" i="1"/>
  <c r="O1843" i="1"/>
  <c r="N1843" i="1"/>
  <c r="M1843" i="1"/>
  <c r="L1843" i="1"/>
  <c r="K1843" i="1"/>
  <c r="J1843" i="1"/>
  <c r="I1843" i="1"/>
  <c r="H1843" i="1"/>
  <c r="F1843" i="1"/>
  <c r="G1843" i="1" s="1"/>
  <c r="T1842" i="1"/>
  <c r="S1842" i="1"/>
  <c r="R1842" i="1"/>
  <c r="Q1842" i="1"/>
  <c r="P1842" i="1"/>
  <c r="O1842" i="1"/>
  <c r="N1842" i="1"/>
  <c r="M1842" i="1"/>
  <c r="L1842" i="1"/>
  <c r="K1842" i="1"/>
  <c r="J1842" i="1"/>
  <c r="I1842" i="1"/>
  <c r="H1842" i="1"/>
  <c r="F1842" i="1"/>
  <c r="G1842" i="1" s="1"/>
  <c r="T1841" i="1"/>
  <c r="S1841" i="1"/>
  <c r="R1841" i="1"/>
  <c r="Q1841" i="1"/>
  <c r="P1841" i="1"/>
  <c r="O1841" i="1"/>
  <c r="N1841" i="1"/>
  <c r="M1841" i="1"/>
  <c r="L1841" i="1"/>
  <c r="K1841" i="1"/>
  <c r="J1841" i="1"/>
  <c r="I1841" i="1"/>
  <c r="H1841" i="1"/>
  <c r="G1841" i="1"/>
  <c r="F1841" i="1"/>
  <c r="T1840" i="1"/>
  <c r="S1840" i="1"/>
  <c r="R1840" i="1"/>
  <c r="Q1840" i="1"/>
  <c r="P1840" i="1"/>
  <c r="O1840" i="1"/>
  <c r="N1840" i="1"/>
  <c r="M1840" i="1"/>
  <c r="L1840" i="1"/>
  <c r="K1840" i="1"/>
  <c r="J1840" i="1"/>
  <c r="I1840" i="1"/>
  <c r="H1840" i="1"/>
  <c r="F1840" i="1"/>
  <c r="G1840" i="1" s="1"/>
  <c r="T1839" i="1"/>
  <c r="S1839" i="1"/>
  <c r="R1839" i="1"/>
  <c r="Q1839" i="1"/>
  <c r="P1839" i="1"/>
  <c r="O1839" i="1"/>
  <c r="N1839" i="1"/>
  <c r="M1839" i="1"/>
  <c r="L1839" i="1"/>
  <c r="K1839" i="1"/>
  <c r="J1839" i="1"/>
  <c r="I1839" i="1"/>
  <c r="H1839" i="1"/>
  <c r="G1839" i="1"/>
  <c r="F1839" i="1"/>
  <c r="T1838" i="1"/>
  <c r="S1838" i="1"/>
  <c r="R1838" i="1"/>
  <c r="Q1838" i="1"/>
  <c r="P1838" i="1"/>
  <c r="O1838" i="1"/>
  <c r="N1838" i="1"/>
  <c r="M1838" i="1"/>
  <c r="L1838" i="1"/>
  <c r="K1838" i="1"/>
  <c r="J1838" i="1"/>
  <c r="I1838" i="1"/>
  <c r="H1838" i="1"/>
  <c r="F1838" i="1"/>
  <c r="G1838" i="1" s="1"/>
  <c r="T1837" i="1"/>
  <c r="S1837" i="1"/>
  <c r="R1837" i="1"/>
  <c r="Q1837" i="1"/>
  <c r="P1837" i="1"/>
  <c r="O1837" i="1"/>
  <c r="N1837" i="1"/>
  <c r="M1837" i="1"/>
  <c r="L1837" i="1"/>
  <c r="K1837" i="1"/>
  <c r="J1837" i="1"/>
  <c r="I1837" i="1"/>
  <c r="H1837" i="1"/>
  <c r="G1837" i="1"/>
  <c r="F1837" i="1"/>
  <c r="T1836" i="1"/>
  <c r="S1836" i="1"/>
  <c r="R1836" i="1"/>
  <c r="Q1836" i="1"/>
  <c r="P1836" i="1"/>
  <c r="O1836" i="1"/>
  <c r="N1836" i="1"/>
  <c r="M1836" i="1"/>
  <c r="L1836" i="1"/>
  <c r="K1836" i="1"/>
  <c r="J1836" i="1"/>
  <c r="I1836" i="1"/>
  <c r="H1836" i="1"/>
  <c r="G1836" i="1"/>
  <c r="F1836" i="1"/>
  <c r="T1835" i="1"/>
  <c r="S1835" i="1"/>
  <c r="R1835" i="1"/>
  <c r="Q1835" i="1"/>
  <c r="P1835" i="1"/>
  <c r="O1835" i="1"/>
  <c r="N1835" i="1"/>
  <c r="M1835" i="1"/>
  <c r="L1835" i="1"/>
  <c r="K1835" i="1"/>
  <c r="J1835" i="1"/>
  <c r="I1835" i="1"/>
  <c r="H1835" i="1"/>
  <c r="F1835" i="1"/>
  <c r="G1835" i="1" s="1"/>
  <c r="T1834" i="1"/>
  <c r="S1834" i="1"/>
  <c r="R1834" i="1"/>
  <c r="Q1834" i="1"/>
  <c r="P1834" i="1"/>
  <c r="O1834" i="1"/>
  <c r="N1834" i="1"/>
  <c r="M1834" i="1"/>
  <c r="L1834" i="1"/>
  <c r="K1834" i="1"/>
  <c r="J1834" i="1"/>
  <c r="I1834" i="1"/>
  <c r="H1834" i="1"/>
  <c r="F1834" i="1"/>
  <c r="G1834" i="1" s="1"/>
  <c r="T1833" i="1"/>
  <c r="S1833" i="1"/>
  <c r="R1833" i="1"/>
  <c r="Q1833" i="1"/>
  <c r="P1833" i="1"/>
  <c r="O1833" i="1"/>
  <c r="N1833" i="1"/>
  <c r="M1833" i="1"/>
  <c r="L1833" i="1"/>
  <c r="K1833" i="1"/>
  <c r="J1833" i="1"/>
  <c r="I1833" i="1"/>
  <c r="H1833" i="1"/>
  <c r="G1833" i="1"/>
  <c r="F1833" i="1"/>
  <c r="T1832" i="1"/>
  <c r="S1832" i="1"/>
  <c r="R1832" i="1"/>
  <c r="Q1832" i="1"/>
  <c r="P1832" i="1"/>
  <c r="O1832" i="1"/>
  <c r="N1832" i="1"/>
  <c r="M1832" i="1"/>
  <c r="L1832" i="1"/>
  <c r="K1832" i="1"/>
  <c r="J1832" i="1"/>
  <c r="I1832" i="1"/>
  <c r="H1832" i="1"/>
  <c r="F1832" i="1"/>
  <c r="G1832" i="1" s="1"/>
  <c r="T1831" i="1"/>
  <c r="S1831" i="1"/>
  <c r="R1831" i="1"/>
  <c r="Q1831" i="1"/>
  <c r="P1831" i="1"/>
  <c r="O1831" i="1"/>
  <c r="N1831" i="1"/>
  <c r="M1831" i="1"/>
  <c r="L1831" i="1"/>
  <c r="K1831" i="1"/>
  <c r="J1831" i="1"/>
  <c r="I1831" i="1"/>
  <c r="H1831" i="1"/>
  <c r="G1831" i="1"/>
  <c r="F1831" i="1"/>
  <c r="T1830" i="1"/>
  <c r="S1830" i="1"/>
  <c r="R1830" i="1"/>
  <c r="Q1830" i="1"/>
  <c r="P1830" i="1"/>
  <c r="O1830" i="1"/>
  <c r="N1830" i="1"/>
  <c r="M1830" i="1"/>
  <c r="L1830" i="1"/>
  <c r="K1830" i="1"/>
  <c r="J1830" i="1"/>
  <c r="I1830" i="1"/>
  <c r="H1830" i="1"/>
  <c r="F1830" i="1"/>
  <c r="G1830" i="1" s="1"/>
  <c r="T1829" i="1"/>
  <c r="S1829" i="1"/>
  <c r="R1829" i="1"/>
  <c r="Q1829" i="1"/>
  <c r="P1829" i="1"/>
  <c r="O1829" i="1"/>
  <c r="N1829" i="1"/>
  <c r="M1829" i="1"/>
  <c r="L1829" i="1"/>
  <c r="K1829" i="1"/>
  <c r="J1829" i="1"/>
  <c r="I1829" i="1"/>
  <c r="H1829" i="1"/>
  <c r="G1829" i="1"/>
  <c r="F1829" i="1"/>
  <c r="T1828" i="1"/>
  <c r="S1828" i="1"/>
  <c r="R1828" i="1"/>
  <c r="Q1828" i="1"/>
  <c r="P1828" i="1"/>
  <c r="O1828" i="1"/>
  <c r="N1828" i="1"/>
  <c r="M1828" i="1"/>
  <c r="L1828" i="1"/>
  <c r="K1828" i="1"/>
  <c r="J1828" i="1"/>
  <c r="I1828" i="1"/>
  <c r="H1828" i="1"/>
  <c r="G1828" i="1"/>
  <c r="F1828" i="1"/>
  <c r="T1827" i="1"/>
  <c r="S1827" i="1"/>
  <c r="R1827" i="1"/>
  <c r="Q1827" i="1"/>
  <c r="P1827" i="1"/>
  <c r="O1827" i="1"/>
  <c r="N1827" i="1"/>
  <c r="M1827" i="1"/>
  <c r="L1827" i="1"/>
  <c r="K1827" i="1"/>
  <c r="J1827" i="1"/>
  <c r="I1827" i="1"/>
  <c r="H1827" i="1"/>
  <c r="F1827" i="1"/>
  <c r="G1827" i="1" s="1"/>
  <c r="T1826" i="1"/>
  <c r="S1826" i="1"/>
  <c r="R1826" i="1"/>
  <c r="Q1826" i="1"/>
  <c r="P1826" i="1"/>
  <c r="O1826" i="1"/>
  <c r="N1826" i="1"/>
  <c r="M1826" i="1"/>
  <c r="L1826" i="1"/>
  <c r="K1826" i="1"/>
  <c r="J1826" i="1"/>
  <c r="I1826" i="1"/>
  <c r="H1826" i="1"/>
  <c r="F1826" i="1"/>
  <c r="G1826" i="1" s="1"/>
  <c r="T1825" i="1"/>
  <c r="S1825" i="1"/>
  <c r="R1825" i="1"/>
  <c r="Q1825" i="1"/>
  <c r="P1825" i="1"/>
  <c r="O1825" i="1"/>
  <c r="N1825" i="1"/>
  <c r="M1825" i="1"/>
  <c r="L1825" i="1"/>
  <c r="K1825" i="1"/>
  <c r="J1825" i="1"/>
  <c r="I1825" i="1"/>
  <c r="H1825" i="1"/>
  <c r="G1825" i="1"/>
  <c r="F1825" i="1"/>
  <c r="T1824" i="1"/>
  <c r="S1824" i="1"/>
  <c r="R1824" i="1"/>
  <c r="Q1824" i="1"/>
  <c r="P1824" i="1"/>
  <c r="O1824" i="1"/>
  <c r="N1824" i="1"/>
  <c r="M1824" i="1"/>
  <c r="L1824" i="1"/>
  <c r="K1824" i="1"/>
  <c r="J1824" i="1"/>
  <c r="I1824" i="1"/>
  <c r="H1824" i="1"/>
  <c r="F1824" i="1"/>
  <c r="G1824" i="1" s="1"/>
  <c r="T1823" i="1"/>
  <c r="S1823" i="1"/>
  <c r="R1823" i="1"/>
  <c r="Q1823" i="1"/>
  <c r="P1823" i="1"/>
  <c r="O1823" i="1"/>
  <c r="N1823" i="1"/>
  <c r="M1823" i="1"/>
  <c r="L1823" i="1"/>
  <c r="K1823" i="1"/>
  <c r="J1823" i="1"/>
  <c r="I1823" i="1"/>
  <c r="H1823" i="1"/>
  <c r="G1823" i="1"/>
  <c r="F1823" i="1"/>
  <c r="T1822" i="1"/>
  <c r="S1822" i="1"/>
  <c r="R1822" i="1"/>
  <c r="Q1822" i="1"/>
  <c r="P1822" i="1"/>
  <c r="O1822" i="1"/>
  <c r="N1822" i="1"/>
  <c r="M1822" i="1"/>
  <c r="L1822" i="1"/>
  <c r="K1822" i="1"/>
  <c r="J1822" i="1"/>
  <c r="I1822" i="1"/>
  <c r="H1822" i="1"/>
  <c r="F1822" i="1"/>
  <c r="G1822" i="1" s="1"/>
  <c r="T1821" i="1"/>
  <c r="S1821" i="1"/>
  <c r="R1821" i="1"/>
  <c r="Q1821" i="1"/>
  <c r="P1821" i="1"/>
  <c r="O1821" i="1"/>
  <c r="N1821" i="1"/>
  <c r="M1821" i="1"/>
  <c r="L1821" i="1"/>
  <c r="K1821" i="1"/>
  <c r="J1821" i="1"/>
  <c r="I1821" i="1"/>
  <c r="H1821" i="1"/>
  <c r="G1821" i="1"/>
  <c r="F1821" i="1"/>
  <c r="T1820" i="1"/>
  <c r="S1820" i="1"/>
  <c r="R1820" i="1"/>
  <c r="Q1820" i="1"/>
  <c r="P1820" i="1"/>
  <c r="O1820" i="1"/>
  <c r="N1820" i="1"/>
  <c r="M1820" i="1"/>
  <c r="L1820" i="1"/>
  <c r="K1820" i="1"/>
  <c r="J1820" i="1"/>
  <c r="I1820" i="1"/>
  <c r="H1820" i="1"/>
  <c r="G1820" i="1"/>
  <c r="F1820" i="1"/>
  <c r="T1819" i="1"/>
  <c r="S1819" i="1"/>
  <c r="R1819" i="1"/>
  <c r="Q1819" i="1"/>
  <c r="P1819" i="1"/>
  <c r="O1819" i="1"/>
  <c r="N1819" i="1"/>
  <c r="M1819" i="1"/>
  <c r="L1819" i="1"/>
  <c r="K1819" i="1"/>
  <c r="J1819" i="1"/>
  <c r="I1819" i="1"/>
  <c r="H1819" i="1"/>
  <c r="F1819" i="1"/>
  <c r="G1819" i="1" s="1"/>
  <c r="T1818" i="1"/>
  <c r="S1818" i="1"/>
  <c r="R1818" i="1"/>
  <c r="Q1818" i="1"/>
  <c r="P1818" i="1"/>
  <c r="O1818" i="1"/>
  <c r="N1818" i="1"/>
  <c r="M1818" i="1"/>
  <c r="L1818" i="1"/>
  <c r="K1818" i="1"/>
  <c r="J1818" i="1"/>
  <c r="I1818" i="1"/>
  <c r="H1818" i="1"/>
  <c r="F1818" i="1"/>
  <c r="G1818" i="1" s="1"/>
  <c r="T1817" i="1"/>
  <c r="S1817" i="1"/>
  <c r="R1817" i="1"/>
  <c r="Q1817" i="1"/>
  <c r="P1817" i="1"/>
  <c r="O1817" i="1"/>
  <c r="N1817" i="1"/>
  <c r="M1817" i="1"/>
  <c r="L1817" i="1"/>
  <c r="K1817" i="1"/>
  <c r="J1817" i="1"/>
  <c r="I1817" i="1"/>
  <c r="H1817" i="1"/>
  <c r="G1817" i="1"/>
  <c r="F1817" i="1"/>
  <c r="T1816" i="1"/>
  <c r="S1816" i="1"/>
  <c r="R1816" i="1"/>
  <c r="Q1816" i="1"/>
  <c r="P1816" i="1"/>
  <c r="O1816" i="1"/>
  <c r="N1816" i="1"/>
  <c r="M1816" i="1"/>
  <c r="L1816" i="1"/>
  <c r="K1816" i="1"/>
  <c r="J1816" i="1"/>
  <c r="I1816" i="1"/>
  <c r="H1816" i="1"/>
  <c r="F1816" i="1"/>
  <c r="G1816" i="1" s="1"/>
  <c r="T1815" i="1"/>
  <c r="S1815" i="1"/>
  <c r="R1815" i="1"/>
  <c r="Q1815" i="1"/>
  <c r="P1815" i="1"/>
  <c r="O1815" i="1"/>
  <c r="N1815" i="1"/>
  <c r="M1815" i="1"/>
  <c r="L1815" i="1"/>
  <c r="K1815" i="1"/>
  <c r="J1815" i="1"/>
  <c r="I1815" i="1"/>
  <c r="H1815" i="1"/>
  <c r="G1815" i="1"/>
  <c r="F1815" i="1"/>
  <c r="T1814" i="1"/>
  <c r="S1814" i="1"/>
  <c r="R1814" i="1"/>
  <c r="Q1814" i="1"/>
  <c r="P1814" i="1"/>
  <c r="O1814" i="1"/>
  <c r="N1814" i="1"/>
  <c r="M1814" i="1"/>
  <c r="L1814" i="1"/>
  <c r="K1814" i="1"/>
  <c r="J1814" i="1"/>
  <c r="I1814" i="1"/>
  <c r="H1814" i="1"/>
  <c r="F1814" i="1"/>
  <c r="G1814" i="1" s="1"/>
  <c r="T1813" i="1"/>
  <c r="S1813" i="1"/>
  <c r="R1813" i="1"/>
  <c r="Q1813" i="1"/>
  <c r="P1813" i="1"/>
  <c r="O1813" i="1"/>
  <c r="N1813" i="1"/>
  <c r="M1813" i="1"/>
  <c r="L1813" i="1"/>
  <c r="K1813" i="1"/>
  <c r="J1813" i="1"/>
  <c r="I1813" i="1"/>
  <c r="H1813" i="1"/>
  <c r="G1813" i="1"/>
  <c r="F1813" i="1"/>
  <c r="T1812" i="1"/>
  <c r="S1812" i="1"/>
  <c r="R1812" i="1"/>
  <c r="Q1812" i="1"/>
  <c r="P1812" i="1"/>
  <c r="O1812" i="1"/>
  <c r="N1812" i="1"/>
  <c r="M1812" i="1"/>
  <c r="L1812" i="1"/>
  <c r="K1812" i="1"/>
  <c r="J1812" i="1"/>
  <c r="I1812" i="1"/>
  <c r="H1812" i="1"/>
  <c r="G1812" i="1"/>
  <c r="F1812" i="1"/>
  <c r="T1811" i="1"/>
  <c r="S1811" i="1"/>
  <c r="R1811" i="1"/>
  <c r="Q1811" i="1"/>
  <c r="P1811" i="1"/>
  <c r="O1811" i="1"/>
  <c r="N1811" i="1"/>
  <c r="M1811" i="1"/>
  <c r="L1811" i="1"/>
  <c r="K1811" i="1"/>
  <c r="J1811" i="1"/>
  <c r="I1811" i="1"/>
  <c r="H1811" i="1"/>
  <c r="F1811" i="1"/>
  <c r="G1811" i="1" s="1"/>
  <c r="T1810" i="1"/>
  <c r="S1810" i="1"/>
  <c r="R1810" i="1"/>
  <c r="Q1810" i="1"/>
  <c r="P1810" i="1"/>
  <c r="O1810" i="1"/>
  <c r="N1810" i="1"/>
  <c r="M1810" i="1"/>
  <c r="L1810" i="1"/>
  <c r="K1810" i="1"/>
  <c r="J1810" i="1"/>
  <c r="I1810" i="1"/>
  <c r="H1810" i="1"/>
  <c r="F1810" i="1"/>
  <c r="G1810" i="1" s="1"/>
  <c r="T1809" i="1"/>
  <c r="S1809" i="1"/>
  <c r="R1809" i="1"/>
  <c r="Q1809" i="1"/>
  <c r="P1809" i="1"/>
  <c r="O1809" i="1"/>
  <c r="N1809" i="1"/>
  <c r="M1809" i="1"/>
  <c r="L1809" i="1"/>
  <c r="K1809" i="1"/>
  <c r="J1809" i="1"/>
  <c r="I1809" i="1"/>
  <c r="H1809" i="1"/>
  <c r="G1809" i="1"/>
  <c r="F1809" i="1"/>
  <c r="T1808" i="1"/>
  <c r="S1808" i="1"/>
  <c r="R1808" i="1"/>
  <c r="Q1808" i="1"/>
  <c r="P1808" i="1"/>
  <c r="O1808" i="1"/>
  <c r="N1808" i="1"/>
  <c r="M1808" i="1"/>
  <c r="L1808" i="1"/>
  <c r="K1808" i="1"/>
  <c r="J1808" i="1"/>
  <c r="I1808" i="1"/>
  <c r="H1808" i="1"/>
  <c r="F1808" i="1"/>
  <c r="G1808" i="1" s="1"/>
  <c r="T1807" i="1"/>
  <c r="S1807" i="1"/>
  <c r="R1807" i="1"/>
  <c r="Q1807" i="1"/>
  <c r="P1807" i="1"/>
  <c r="O1807" i="1"/>
  <c r="N1807" i="1"/>
  <c r="M1807" i="1"/>
  <c r="L1807" i="1"/>
  <c r="K1807" i="1"/>
  <c r="J1807" i="1"/>
  <c r="I1807" i="1"/>
  <c r="H1807" i="1"/>
  <c r="G1807" i="1"/>
  <c r="F1807" i="1"/>
  <c r="T1806" i="1"/>
  <c r="S1806" i="1"/>
  <c r="R1806" i="1"/>
  <c r="Q1806" i="1"/>
  <c r="P1806" i="1"/>
  <c r="O1806" i="1"/>
  <c r="N1806" i="1"/>
  <c r="M1806" i="1"/>
  <c r="L1806" i="1"/>
  <c r="K1806" i="1"/>
  <c r="J1806" i="1"/>
  <c r="I1806" i="1"/>
  <c r="H1806" i="1"/>
  <c r="F1806" i="1"/>
  <c r="G1806" i="1" s="1"/>
  <c r="T1805" i="1"/>
  <c r="S1805" i="1"/>
  <c r="R1805" i="1"/>
  <c r="Q1805" i="1"/>
  <c r="P1805" i="1"/>
  <c r="O1805" i="1"/>
  <c r="N1805" i="1"/>
  <c r="M1805" i="1"/>
  <c r="L1805" i="1"/>
  <c r="K1805" i="1"/>
  <c r="J1805" i="1"/>
  <c r="I1805" i="1"/>
  <c r="H1805" i="1"/>
  <c r="G1805" i="1"/>
  <c r="F1805" i="1"/>
  <c r="T1804" i="1"/>
  <c r="S1804" i="1"/>
  <c r="R1804" i="1"/>
  <c r="Q1804" i="1"/>
  <c r="P1804" i="1"/>
  <c r="O1804" i="1"/>
  <c r="N1804" i="1"/>
  <c r="M1804" i="1"/>
  <c r="L1804" i="1"/>
  <c r="K1804" i="1"/>
  <c r="J1804" i="1"/>
  <c r="I1804" i="1"/>
  <c r="H1804" i="1"/>
  <c r="G1804" i="1"/>
  <c r="F1804" i="1"/>
  <c r="T1803" i="1"/>
  <c r="S1803" i="1"/>
  <c r="R1803" i="1"/>
  <c r="Q1803" i="1"/>
  <c r="P1803" i="1"/>
  <c r="O1803" i="1"/>
  <c r="N1803" i="1"/>
  <c r="M1803" i="1"/>
  <c r="L1803" i="1"/>
  <c r="K1803" i="1"/>
  <c r="J1803" i="1"/>
  <c r="I1803" i="1"/>
  <c r="H1803" i="1"/>
  <c r="F1803" i="1"/>
  <c r="G1803" i="1" s="1"/>
  <c r="T1802" i="1"/>
  <c r="S1802" i="1"/>
  <c r="R1802" i="1"/>
  <c r="Q1802" i="1"/>
  <c r="P1802" i="1"/>
  <c r="O1802" i="1"/>
  <c r="N1802" i="1"/>
  <c r="M1802" i="1"/>
  <c r="L1802" i="1"/>
  <c r="K1802" i="1"/>
  <c r="J1802" i="1"/>
  <c r="I1802" i="1"/>
  <c r="H1802" i="1"/>
  <c r="F1802" i="1"/>
  <c r="G1802" i="1" s="1"/>
  <c r="T1801" i="1"/>
  <c r="S1801" i="1"/>
  <c r="R1801" i="1"/>
  <c r="Q1801" i="1"/>
  <c r="P1801" i="1"/>
  <c r="O1801" i="1"/>
  <c r="N1801" i="1"/>
  <c r="M1801" i="1"/>
  <c r="L1801" i="1"/>
  <c r="K1801" i="1"/>
  <c r="J1801" i="1"/>
  <c r="I1801" i="1"/>
  <c r="H1801" i="1"/>
  <c r="G1801" i="1"/>
  <c r="F1801" i="1"/>
  <c r="T1800" i="1"/>
  <c r="S1800" i="1"/>
  <c r="R1800" i="1"/>
  <c r="Q1800" i="1"/>
  <c r="P1800" i="1"/>
  <c r="O1800" i="1"/>
  <c r="N1800" i="1"/>
  <c r="M1800" i="1"/>
  <c r="L1800" i="1"/>
  <c r="K1800" i="1"/>
  <c r="J1800" i="1"/>
  <c r="I1800" i="1"/>
  <c r="H1800" i="1"/>
  <c r="F1800" i="1"/>
  <c r="G1800" i="1" s="1"/>
  <c r="T1799" i="1"/>
  <c r="S1799" i="1"/>
  <c r="R1799" i="1"/>
  <c r="Q1799" i="1"/>
  <c r="P1799" i="1"/>
  <c r="O1799" i="1"/>
  <c r="N1799" i="1"/>
  <c r="M1799" i="1"/>
  <c r="L1799" i="1"/>
  <c r="K1799" i="1"/>
  <c r="J1799" i="1"/>
  <c r="I1799" i="1"/>
  <c r="H1799" i="1"/>
  <c r="G1799" i="1"/>
  <c r="F1799" i="1"/>
  <c r="T1798" i="1"/>
  <c r="S1798" i="1"/>
  <c r="R1798" i="1"/>
  <c r="Q1798" i="1"/>
  <c r="P1798" i="1"/>
  <c r="O1798" i="1"/>
  <c r="N1798" i="1"/>
  <c r="M1798" i="1"/>
  <c r="L1798" i="1"/>
  <c r="K1798" i="1"/>
  <c r="J1798" i="1"/>
  <c r="I1798" i="1"/>
  <c r="H1798" i="1"/>
  <c r="F1798" i="1"/>
  <c r="G1798" i="1" s="1"/>
  <c r="T1797" i="1"/>
  <c r="S1797" i="1"/>
  <c r="R1797" i="1"/>
  <c r="Q1797" i="1"/>
  <c r="P1797" i="1"/>
  <c r="O1797" i="1"/>
  <c r="N1797" i="1"/>
  <c r="M1797" i="1"/>
  <c r="L1797" i="1"/>
  <c r="K1797" i="1"/>
  <c r="J1797" i="1"/>
  <c r="I1797" i="1"/>
  <c r="H1797" i="1"/>
  <c r="G1797" i="1"/>
  <c r="F1797" i="1"/>
  <c r="T1796" i="1"/>
  <c r="S1796" i="1"/>
  <c r="R1796" i="1"/>
  <c r="Q1796" i="1"/>
  <c r="P1796" i="1"/>
  <c r="O1796" i="1"/>
  <c r="N1796" i="1"/>
  <c r="M1796" i="1"/>
  <c r="L1796" i="1"/>
  <c r="K1796" i="1"/>
  <c r="J1796" i="1"/>
  <c r="I1796" i="1"/>
  <c r="H1796" i="1"/>
  <c r="G1796" i="1"/>
  <c r="F1796" i="1"/>
  <c r="T1795" i="1"/>
  <c r="S1795" i="1"/>
  <c r="R1795" i="1"/>
  <c r="Q1795" i="1"/>
  <c r="P1795" i="1"/>
  <c r="O1795" i="1"/>
  <c r="N1795" i="1"/>
  <c r="M1795" i="1"/>
  <c r="L1795" i="1"/>
  <c r="K1795" i="1"/>
  <c r="J1795" i="1"/>
  <c r="I1795" i="1"/>
  <c r="H1795" i="1"/>
  <c r="F1795" i="1"/>
  <c r="G1795" i="1" s="1"/>
  <c r="T1794" i="1"/>
  <c r="S1794" i="1"/>
  <c r="R1794" i="1"/>
  <c r="Q1794" i="1"/>
  <c r="P1794" i="1"/>
  <c r="O1794" i="1"/>
  <c r="N1794" i="1"/>
  <c r="M1794" i="1"/>
  <c r="L1794" i="1"/>
  <c r="K1794" i="1"/>
  <c r="J1794" i="1"/>
  <c r="I1794" i="1"/>
  <c r="H1794" i="1"/>
  <c r="F1794" i="1"/>
  <c r="G1794" i="1" s="1"/>
  <c r="T1793" i="1"/>
  <c r="S1793" i="1"/>
  <c r="R1793" i="1"/>
  <c r="Q1793" i="1"/>
  <c r="P1793" i="1"/>
  <c r="O1793" i="1"/>
  <c r="N1793" i="1"/>
  <c r="M1793" i="1"/>
  <c r="L1793" i="1"/>
  <c r="K1793" i="1"/>
  <c r="J1793" i="1"/>
  <c r="I1793" i="1"/>
  <c r="H1793" i="1"/>
  <c r="G1793" i="1"/>
  <c r="F1793" i="1"/>
  <c r="T1792" i="1"/>
  <c r="S1792" i="1"/>
  <c r="R1792" i="1"/>
  <c r="Q1792" i="1"/>
  <c r="P1792" i="1"/>
  <c r="O1792" i="1"/>
  <c r="N1792" i="1"/>
  <c r="M1792" i="1"/>
  <c r="L1792" i="1"/>
  <c r="K1792" i="1"/>
  <c r="J1792" i="1"/>
  <c r="I1792" i="1"/>
  <c r="H1792" i="1"/>
  <c r="F1792" i="1"/>
  <c r="G1792" i="1" s="1"/>
  <c r="T1791" i="1"/>
  <c r="S1791" i="1"/>
  <c r="R1791" i="1"/>
  <c r="Q1791" i="1"/>
  <c r="P1791" i="1"/>
  <c r="O1791" i="1"/>
  <c r="N1791" i="1"/>
  <c r="M1791" i="1"/>
  <c r="L1791" i="1"/>
  <c r="K1791" i="1"/>
  <c r="J1791" i="1"/>
  <c r="I1791" i="1"/>
  <c r="H1791" i="1"/>
  <c r="G1791" i="1"/>
  <c r="F1791" i="1"/>
  <c r="T1790" i="1"/>
  <c r="S1790" i="1"/>
  <c r="R1790" i="1"/>
  <c r="Q1790" i="1"/>
  <c r="P1790" i="1"/>
  <c r="O1790" i="1"/>
  <c r="N1790" i="1"/>
  <c r="M1790" i="1"/>
  <c r="L1790" i="1"/>
  <c r="K1790" i="1"/>
  <c r="J1790" i="1"/>
  <c r="I1790" i="1"/>
  <c r="H1790" i="1"/>
  <c r="F1790" i="1"/>
  <c r="G1790" i="1" s="1"/>
  <c r="T1789" i="1"/>
  <c r="S1789" i="1"/>
  <c r="R1789" i="1"/>
  <c r="Q1789" i="1"/>
  <c r="P1789" i="1"/>
  <c r="O1789" i="1"/>
  <c r="N1789" i="1"/>
  <c r="M1789" i="1"/>
  <c r="L1789" i="1"/>
  <c r="K1789" i="1"/>
  <c r="J1789" i="1"/>
  <c r="I1789" i="1"/>
  <c r="H1789" i="1"/>
  <c r="G1789" i="1"/>
  <c r="F1789" i="1"/>
  <c r="T1788" i="1"/>
  <c r="S1788" i="1"/>
  <c r="R1788" i="1"/>
  <c r="Q1788" i="1"/>
  <c r="P1788" i="1"/>
  <c r="O1788" i="1"/>
  <c r="N1788" i="1"/>
  <c r="M1788" i="1"/>
  <c r="L1788" i="1"/>
  <c r="K1788" i="1"/>
  <c r="J1788" i="1"/>
  <c r="I1788" i="1"/>
  <c r="H1788" i="1"/>
  <c r="G1788" i="1"/>
  <c r="F1788" i="1"/>
  <c r="T1787" i="1"/>
  <c r="S1787" i="1"/>
  <c r="R1787" i="1"/>
  <c r="Q1787" i="1"/>
  <c r="P1787" i="1"/>
  <c r="O1787" i="1"/>
  <c r="N1787" i="1"/>
  <c r="M1787" i="1"/>
  <c r="L1787" i="1"/>
  <c r="K1787" i="1"/>
  <c r="J1787" i="1"/>
  <c r="I1787" i="1"/>
  <c r="H1787" i="1"/>
  <c r="F1787" i="1"/>
  <c r="G1787" i="1" s="1"/>
  <c r="T1786" i="1"/>
  <c r="S1786" i="1"/>
  <c r="R1786" i="1"/>
  <c r="Q1786" i="1"/>
  <c r="P1786" i="1"/>
  <c r="O1786" i="1"/>
  <c r="N1786" i="1"/>
  <c r="M1786" i="1"/>
  <c r="L1786" i="1"/>
  <c r="K1786" i="1"/>
  <c r="J1786" i="1"/>
  <c r="I1786" i="1"/>
  <c r="H1786" i="1"/>
  <c r="F1786" i="1"/>
  <c r="G1786" i="1" s="1"/>
  <c r="T1785" i="1"/>
  <c r="S1785" i="1"/>
  <c r="R1785" i="1"/>
  <c r="Q1785" i="1"/>
  <c r="P1785" i="1"/>
  <c r="O1785" i="1"/>
  <c r="N1785" i="1"/>
  <c r="M1785" i="1"/>
  <c r="L1785" i="1"/>
  <c r="K1785" i="1"/>
  <c r="J1785" i="1"/>
  <c r="I1785" i="1"/>
  <c r="H1785" i="1"/>
  <c r="G1785" i="1"/>
  <c r="F1785" i="1"/>
  <c r="T1784" i="1"/>
  <c r="S1784" i="1"/>
  <c r="R1784" i="1"/>
  <c r="Q1784" i="1"/>
  <c r="P1784" i="1"/>
  <c r="O1784" i="1"/>
  <c r="N1784" i="1"/>
  <c r="M1784" i="1"/>
  <c r="L1784" i="1"/>
  <c r="K1784" i="1"/>
  <c r="J1784" i="1"/>
  <c r="I1784" i="1"/>
  <c r="H1784" i="1"/>
  <c r="F1784" i="1"/>
  <c r="G1784" i="1" s="1"/>
  <c r="T1783" i="1"/>
  <c r="S1783" i="1"/>
  <c r="R1783" i="1"/>
  <c r="Q1783" i="1"/>
  <c r="P1783" i="1"/>
  <c r="O1783" i="1"/>
  <c r="N1783" i="1"/>
  <c r="M1783" i="1"/>
  <c r="L1783" i="1"/>
  <c r="K1783" i="1"/>
  <c r="J1783" i="1"/>
  <c r="I1783" i="1"/>
  <c r="H1783" i="1"/>
  <c r="G1783" i="1"/>
  <c r="F1783" i="1"/>
  <c r="T1782" i="1"/>
  <c r="S1782" i="1"/>
  <c r="R1782" i="1"/>
  <c r="Q1782" i="1"/>
  <c r="P1782" i="1"/>
  <c r="O1782" i="1"/>
  <c r="N1782" i="1"/>
  <c r="M1782" i="1"/>
  <c r="L1782" i="1"/>
  <c r="K1782" i="1"/>
  <c r="J1782" i="1"/>
  <c r="I1782" i="1"/>
  <c r="H1782" i="1"/>
  <c r="F1782" i="1"/>
  <c r="G1782" i="1" s="1"/>
  <c r="T1781" i="1"/>
  <c r="S1781" i="1"/>
  <c r="R1781" i="1"/>
  <c r="Q1781" i="1"/>
  <c r="P1781" i="1"/>
  <c r="O1781" i="1"/>
  <c r="N1781" i="1"/>
  <c r="M1781" i="1"/>
  <c r="L1781" i="1"/>
  <c r="K1781" i="1"/>
  <c r="J1781" i="1"/>
  <c r="I1781" i="1"/>
  <c r="H1781" i="1"/>
  <c r="G1781" i="1"/>
  <c r="F1781" i="1"/>
  <c r="T1780" i="1"/>
  <c r="S1780" i="1"/>
  <c r="R1780" i="1"/>
  <c r="Q1780" i="1"/>
  <c r="P1780" i="1"/>
  <c r="O1780" i="1"/>
  <c r="N1780" i="1"/>
  <c r="M1780" i="1"/>
  <c r="L1780" i="1"/>
  <c r="K1780" i="1"/>
  <c r="J1780" i="1"/>
  <c r="I1780" i="1"/>
  <c r="H1780" i="1"/>
  <c r="G1780" i="1"/>
  <c r="F1780" i="1"/>
  <c r="T1779" i="1"/>
  <c r="S1779" i="1"/>
  <c r="R1779" i="1"/>
  <c r="Q1779" i="1"/>
  <c r="P1779" i="1"/>
  <c r="O1779" i="1"/>
  <c r="N1779" i="1"/>
  <c r="M1779" i="1"/>
  <c r="L1779" i="1"/>
  <c r="K1779" i="1"/>
  <c r="J1779" i="1"/>
  <c r="I1779" i="1"/>
  <c r="H1779" i="1"/>
  <c r="F1779" i="1"/>
  <c r="G1779" i="1" s="1"/>
  <c r="T1778" i="1"/>
  <c r="S1778" i="1"/>
  <c r="R1778" i="1"/>
  <c r="Q1778" i="1"/>
  <c r="P1778" i="1"/>
  <c r="O1778" i="1"/>
  <c r="N1778" i="1"/>
  <c r="M1778" i="1"/>
  <c r="L1778" i="1"/>
  <c r="K1778" i="1"/>
  <c r="J1778" i="1"/>
  <c r="I1778" i="1"/>
  <c r="H1778" i="1"/>
  <c r="F1778" i="1"/>
  <c r="G1778" i="1" s="1"/>
  <c r="T1777" i="1"/>
  <c r="S1777" i="1"/>
  <c r="R1777" i="1"/>
  <c r="Q1777" i="1"/>
  <c r="P1777" i="1"/>
  <c r="O1777" i="1"/>
  <c r="N1777" i="1"/>
  <c r="M1777" i="1"/>
  <c r="L1777" i="1"/>
  <c r="K1777" i="1"/>
  <c r="J1777" i="1"/>
  <c r="I1777" i="1"/>
  <c r="H1777" i="1"/>
  <c r="G1777" i="1"/>
  <c r="F1777" i="1"/>
  <c r="T1776" i="1"/>
  <c r="S1776" i="1"/>
  <c r="R1776" i="1"/>
  <c r="Q1776" i="1"/>
  <c r="P1776" i="1"/>
  <c r="O1776" i="1"/>
  <c r="N1776" i="1"/>
  <c r="M1776" i="1"/>
  <c r="L1776" i="1"/>
  <c r="K1776" i="1"/>
  <c r="J1776" i="1"/>
  <c r="I1776" i="1"/>
  <c r="H1776" i="1"/>
  <c r="F1776" i="1"/>
  <c r="G1776" i="1" s="1"/>
  <c r="T1775" i="1"/>
  <c r="S1775" i="1"/>
  <c r="R1775" i="1"/>
  <c r="Q1775" i="1"/>
  <c r="P1775" i="1"/>
  <c r="O1775" i="1"/>
  <c r="N1775" i="1"/>
  <c r="M1775" i="1"/>
  <c r="L1775" i="1"/>
  <c r="K1775" i="1"/>
  <c r="J1775" i="1"/>
  <c r="I1775" i="1"/>
  <c r="H1775" i="1"/>
  <c r="G1775" i="1"/>
  <c r="F1775" i="1"/>
  <c r="T1774" i="1"/>
  <c r="S1774" i="1"/>
  <c r="R1774" i="1"/>
  <c r="Q1774" i="1"/>
  <c r="P1774" i="1"/>
  <c r="O1774" i="1"/>
  <c r="N1774" i="1"/>
  <c r="M1774" i="1"/>
  <c r="L1774" i="1"/>
  <c r="K1774" i="1"/>
  <c r="J1774" i="1"/>
  <c r="I1774" i="1"/>
  <c r="H1774" i="1"/>
  <c r="F1774" i="1"/>
  <c r="G1774" i="1" s="1"/>
  <c r="T1773" i="1"/>
  <c r="S1773" i="1"/>
  <c r="R1773" i="1"/>
  <c r="Q1773" i="1"/>
  <c r="P1773" i="1"/>
  <c r="O1773" i="1"/>
  <c r="N1773" i="1"/>
  <c r="M1773" i="1"/>
  <c r="L1773" i="1"/>
  <c r="K1773" i="1"/>
  <c r="J1773" i="1"/>
  <c r="I1773" i="1"/>
  <c r="H1773" i="1"/>
  <c r="G1773" i="1"/>
  <c r="F1773" i="1"/>
  <c r="T1772" i="1"/>
  <c r="S1772" i="1"/>
  <c r="R1772" i="1"/>
  <c r="Q1772" i="1"/>
  <c r="P1772" i="1"/>
  <c r="O1772" i="1"/>
  <c r="N1772" i="1"/>
  <c r="M1772" i="1"/>
  <c r="L1772" i="1"/>
  <c r="K1772" i="1"/>
  <c r="J1772" i="1"/>
  <c r="I1772" i="1"/>
  <c r="H1772" i="1"/>
  <c r="G1772" i="1"/>
  <c r="F1772" i="1"/>
  <c r="T1771" i="1"/>
  <c r="S1771" i="1"/>
  <c r="R1771" i="1"/>
  <c r="Q1771" i="1"/>
  <c r="P1771" i="1"/>
  <c r="O1771" i="1"/>
  <c r="N1771" i="1"/>
  <c r="M1771" i="1"/>
  <c r="L1771" i="1"/>
  <c r="K1771" i="1"/>
  <c r="J1771" i="1"/>
  <c r="I1771" i="1"/>
  <c r="H1771" i="1"/>
  <c r="F1771" i="1"/>
  <c r="G1771" i="1" s="1"/>
  <c r="T1770" i="1"/>
  <c r="S1770" i="1"/>
  <c r="R1770" i="1"/>
  <c r="Q1770" i="1"/>
  <c r="P1770" i="1"/>
  <c r="O1770" i="1"/>
  <c r="N1770" i="1"/>
  <c r="M1770" i="1"/>
  <c r="L1770" i="1"/>
  <c r="K1770" i="1"/>
  <c r="J1770" i="1"/>
  <c r="I1770" i="1"/>
  <c r="H1770" i="1"/>
  <c r="F1770" i="1"/>
  <c r="G1770" i="1" s="1"/>
  <c r="T1769" i="1"/>
  <c r="S1769" i="1"/>
  <c r="R1769" i="1"/>
  <c r="Q1769" i="1"/>
  <c r="P1769" i="1"/>
  <c r="O1769" i="1"/>
  <c r="N1769" i="1"/>
  <c r="M1769" i="1"/>
  <c r="L1769" i="1"/>
  <c r="K1769" i="1"/>
  <c r="J1769" i="1"/>
  <c r="I1769" i="1"/>
  <c r="H1769" i="1"/>
  <c r="G1769" i="1"/>
  <c r="F1769" i="1"/>
  <c r="T1768" i="1"/>
  <c r="S1768" i="1"/>
  <c r="R1768" i="1"/>
  <c r="Q1768" i="1"/>
  <c r="P1768" i="1"/>
  <c r="O1768" i="1"/>
  <c r="N1768" i="1"/>
  <c r="M1768" i="1"/>
  <c r="L1768" i="1"/>
  <c r="K1768" i="1"/>
  <c r="J1768" i="1"/>
  <c r="I1768" i="1"/>
  <c r="H1768" i="1"/>
  <c r="F1768" i="1"/>
  <c r="G1768" i="1" s="1"/>
  <c r="T1767" i="1"/>
  <c r="S1767" i="1"/>
  <c r="R1767" i="1"/>
  <c r="Q1767" i="1"/>
  <c r="P1767" i="1"/>
  <c r="O1767" i="1"/>
  <c r="N1767" i="1"/>
  <c r="M1767" i="1"/>
  <c r="L1767" i="1"/>
  <c r="K1767" i="1"/>
  <c r="J1767" i="1"/>
  <c r="I1767" i="1"/>
  <c r="H1767" i="1"/>
  <c r="G1767" i="1"/>
  <c r="F1767" i="1"/>
  <c r="T1766" i="1"/>
  <c r="S1766" i="1"/>
  <c r="R1766" i="1"/>
  <c r="Q1766" i="1"/>
  <c r="P1766" i="1"/>
  <c r="O1766" i="1"/>
  <c r="N1766" i="1"/>
  <c r="M1766" i="1"/>
  <c r="L1766" i="1"/>
  <c r="K1766" i="1"/>
  <c r="J1766" i="1"/>
  <c r="I1766" i="1"/>
  <c r="H1766" i="1"/>
  <c r="F1766" i="1"/>
  <c r="G1766" i="1" s="1"/>
  <c r="T1765" i="1"/>
  <c r="S1765" i="1"/>
  <c r="R1765" i="1"/>
  <c r="Q1765" i="1"/>
  <c r="P1765" i="1"/>
  <c r="O1765" i="1"/>
  <c r="N1765" i="1"/>
  <c r="M1765" i="1"/>
  <c r="L1765" i="1"/>
  <c r="K1765" i="1"/>
  <c r="J1765" i="1"/>
  <c r="I1765" i="1"/>
  <c r="H1765" i="1"/>
  <c r="G1765" i="1"/>
  <c r="F1765" i="1"/>
  <c r="T1764" i="1"/>
  <c r="S1764" i="1"/>
  <c r="R1764" i="1"/>
  <c r="Q1764" i="1"/>
  <c r="P1764" i="1"/>
  <c r="O1764" i="1"/>
  <c r="N1764" i="1"/>
  <c r="M1764" i="1"/>
  <c r="L1764" i="1"/>
  <c r="K1764" i="1"/>
  <c r="J1764" i="1"/>
  <c r="I1764" i="1"/>
  <c r="H1764" i="1"/>
  <c r="G1764" i="1"/>
  <c r="F1764" i="1"/>
  <c r="T1763" i="1"/>
  <c r="S1763" i="1"/>
  <c r="R1763" i="1"/>
  <c r="Q1763" i="1"/>
  <c r="P1763" i="1"/>
  <c r="O1763" i="1"/>
  <c r="N1763" i="1"/>
  <c r="M1763" i="1"/>
  <c r="L1763" i="1"/>
  <c r="K1763" i="1"/>
  <c r="J1763" i="1"/>
  <c r="I1763" i="1"/>
  <c r="H1763" i="1"/>
  <c r="F1763" i="1"/>
  <c r="G1763" i="1" s="1"/>
  <c r="T1762" i="1"/>
  <c r="S1762" i="1"/>
  <c r="R1762" i="1"/>
  <c r="Q1762" i="1"/>
  <c r="P1762" i="1"/>
  <c r="O1762" i="1"/>
  <c r="N1762" i="1"/>
  <c r="M1762" i="1"/>
  <c r="L1762" i="1"/>
  <c r="K1762" i="1"/>
  <c r="J1762" i="1"/>
  <c r="I1762" i="1"/>
  <c r="H1762" i="1"/>
  <c r="F1762" i="1"/>
  <c r="G1762" i="1" s="1"/>
  <c r="T1761" i="1"/>
  <c r="S1761" i="1"/>
  <c r="R1761" i="1"/>
  <c r="Q1761" i="1"/>
  <c r="P1761" i="1"/>
  <c r="O1761" i="1"/>
  <c r="N1761" i="1"/>
  <c r="M1761" i="1"/>
  <c r="L1761" i="1"/>
  <c r="K1761" i="1"/>
  <c r="J1761" i="1"/>
  <c r="I1761" i="1"/>
  <c r="H1761" i="1"/>
  <c r="G1761" i="1"/>
  <c r="F1761" i="1"/>
  <c r="T1760" i="1"/>
  <c r="S1760" i="1"/>
  <c r="R1760" i="1"/>
  <c r="Q1760" i="1"/>
  <c r="P1760" i="1"/>
  <c r="O1760" i="1"/>
  <c r="N1760" i="1"/>
  <c r="M1760" i="1"/>
  <c r="L1760" i="1"/>
  <c r="K1760" i="1"/>
  <c r="J1760" i="1"/>
  <c r="I1760" i="1"/>
  <c r="H1760" i="1"/>
  <c r="F1760" i="1"/>
  <c r="G1760" i="1" s="1"/>
  <c r="T1759" i="1"/>
  <c r="S1759" i="1"/>
  <c r="R1759" i="1"/>
  <c r="Q1759" i="1"/>
  <c r="P1759" i="1"/>
  <c r="O1759" i="1"/>
  <c r="N1759" i="1"/>
  <c r="M1759" i="1"/>
  <c r="L1759" i="1"/>
  <c r="K1759" i="1"/>
  <c r="J1759" i="1"/>
  <c r="I1759" i="1"/>
  <c r="H1759" i="1"/>
  <c r="G1759" i="1"/>
  <c r="F1759" i="1"/>
  <c r="T1758" i="1"/>
  <c r="S1758" i="1"/>
  <c r="R1758" i="1"/>
  <c r="Q1758" i="1"/>
  <c r="P1758" i="1"/>
  <c r="O1758" i="1"/>
  <c r="N1758" i="1"/>
  <c r="M1758" i="1"/>
  <c r="L1758" i="1"/>
  <c r="K1758" i="1"/>
  <c r="J1758" i="1"/>
  <c r="I1758" i="1"/>
  <c r="H1758" i="1"/>
  <c r="F1758" i="1"/>
  <c r="G1758" i="1" s="1"/>
  <c r="T1757" i="1"/>
  <c r="S1757" i="1"/>
  <c r="R1757" i="1"/>
  <c r="Q1757" i="1"/>
  <c r="P1757" i="1"/>
  <c r="O1757" i="1"/>
  <c r="N1757" i="1"/>
  <c r="M1757" i="1"/>
  <c r="L1757" i="1"/>
  <c r="K1757" i="1"/>
  <c r="J1757" i="1"/>
  <c r="I1757" i="1"/>
  <c r="H1757" i="1"/>
  <c r="G1757" i="1"/>
  <c r="F1757" i="1"/>
  <c r="T1756" i="1"/>
  <c r="S1756" i="1"/>
  <c r="R1756" i="1"/>
  <c r="Q1756" i="1"/>
  <c r="P1756" i="1"/>
  <c r="O1756" i="1"/>
  <c r="N1756" i="1"/>
  <c r="M1756" i="1"/>
  <c r="L1756" i="1"/>
  <c r="K1756" i="1"/>
  <c r="J1756" i="1"/>
  <c r="I1756" i="1"/>
  <c r="H1756" i="1"/>
  <c r="G1756" i="1"/>
  <c r="F1756" i="1"/>
  <c r="T1755" i="1"/>
  <c r="S1755" i="1"/>
  <c r="R1755" i="1"/>
  <c r="Q1755" i="1"/>
  <c r="P1755" i="1"/>
  <c r="O1755" i="1"/>
  <c r="N1755" i="1"/>
  <c r="M1755" i="1"/>
  <c r="L1755" i="1"/>
  <c r="K1755" i="1"/>
  <c r="J1755" i="1"/>
  <c r="I1755" i="1"/>
  <c r="H1755" i="1"/>
  <c r="F1755" i="1"/>
  <c r="G1755" i="1" s="1"/>
  <c r="T1754" i="1"/>
  <c r="S1754" i="1"/>
  <c r="R1754" i="1"/>
  <c r="Q1754" i="1"/>
  <c r="P1754" i="1"/>
  <c r="O1754" i="1"/>
  <c r="N1754" i="1"/>
  <c r="M1754" i="1"/>
  <c r="L1754" i="1"/>
  <c r="K1754" i="1"/>
  <c r="J1754" i="1"/>
  <c r="I1754" i="1"/>
  <c r="H1754" i="1"/>
  <c r="F1754" i="1"/>
  <c r="G1754" i="1" s="1"/>
  <c r="T1753" i="1"/>
  <c r="S1753" i="1"/>
  <c r="R1753" i="1"/>
  <c r="Q1753" i="1"/>
  <c r="P1753" i="1"/>
  <c r="O1753" i="1"/>
  <c r="N1753" i="1"/>
  <c r="M1753" i="1"/>
  <c r="L1753" i="1"/>
  <c r="K1753" i="1"/>
  <c r="J1753" i="1"/>
  <c r="I1753" i="1"/>
  <c r="H1753" i="1"/>
  <c r="G1753" i="1"/>
  <c r="F1753" i="1"/>
  <c r="T1752" i="1"/>
  <c r="S1752" i="1"/>
  <c r="R1752" i="1"/>
  <c r="Q1752" i="1"/>
  <c r="P1752" i="1"/>
  <c r="O1752" i="1"/>
  <c r="N1752" i="1"/>
  <c r="M1752" i="1"/>
  <c r="L1752" i="1"/>
  <c r="K1752" i="1"/>
  <c r="J1752" i="1"/>
  <c r="I1752" i="1"/>
  <c r="H1752" i="1"/>
  <c r="F1752" i="1"/>
  <c r="G1752" i="1" s="1"/>
  <c r="T1751" i="1"/>
  <c r="S1751" i="1"/>
  <c r="R1751" i="1"/>
  <c r="Q1751" i="1"/>
  <c r="P1751" i="1"/>
  <c r="O1751" i="1"/>
  <c r="N1751" i="1"/>
  <c r="M1751" i="1"/>
  <c r="L1751" i="1"/>
  <c r="K1751" i="1"/>
  <c r="J1751" i="1"/>
  <c r="I1751" i="1"/>
  <c r="H1751" i="1"/>
  <c r="G1751" i="1"/>
  <c r="F1751" i="1"/>
  <c r="T1750" i="1"/>
  <c r="S1750" i="1"/>
  <c r="R1750" i="1"/>
  <c r="Q1750" i="1"/>
  <c r="P1750" i="1"/>
  <c r="O1750" i="1"/>
  <c r="N1750" i="1"/>
  <c r="M1750" i="1"/>
  <c r="L1750" i="1"/>
  <c r="K1750" i="1"/>
  <c r="J1750" i="1"/>
  <c r="I1750" i="1"/>
  <c r="H1750" i="1"/>
  <c r="F1750" i="1"/>
  <c r="G1750" i="1" s="1"/>
  <c r="T1749" i="1"/>
  <c r="S1749" i="1"/>
  <c r="R1749" i="1"/>
  <c r="Q1749" i="1"/>
  <c r="P1749" i="1"/>
  <c r="O1749" i="1"/>
  <c r="N1749" i="1"/>
  <c r="M1749" i="1"/>
  <c r="L1749" i="1"/>
  <c r="K1749" i="1"/>
  <c r="J1749" i="1"/>
  <c r="I1749" i="1"/>
  <c r="H1749" i="1"/>
  <c r="G1749" i="1"/>
  <c r="F1749" i="1"/>
  <c r="T1748" i="1"/>
  <c r="S1748" i="1"/>
  <c r="R1748" i="1"/>
  <c r="Q1748" i="1"/>
  <c r="P1748" i="1"/>
  <c r="O1748" i="1"/>
  <c r="N1748" i="1"/>
  <c r="M1748" i="1"/>
  <c r="L1748" i="1"/>
  <c r="K1748" i="1"/>
  <c r="J1748" i="1"/>
  <c r="I1748" i="1"/>
  <c r="H1748" i="1"/>
  <c r="G1748" i="1"/>
  <c r="F1748" i="1"/>
  <c r="T1747" i="1"/>
  <c r="S1747" i="1"/>
  <c r="R1747" i="1"/>
  <c r="Q1747" i="1"/>
  <c r="P1747" i="1"/>
  <c r="O1747" i="1"/>
  <c r="N1747" i="1"/>
  <c r="M1747" i="1"/>
  <c r="L1747" i="1"/>
  <c r="K1747" i="1"/>
  <c r="J1747" i="1"/>
  <c r="I1747" i="1"/>
  <c r="H1747" i="1"/>
  <c r="F1747" i="1"/>
  <c r="G1747" i="1" s="1"/>
  <c r="T1746" i="1"/>
  <c r="S1746" i="1"/>
  <c r="R1746" i="1"/>
  <c r="Q1746" i="1"/>
  <c r="P1746" i="1"/>
  <c r="O1746" i="1"/>
  <c r="N1746" i="1"/>
  <c r="M1746" i="1"/>
  <c r="L1746" i="1"/>
  <c r="K1746" i="1"/>
  <c r="J1746" i="1"/>
  <c r="I1746" i="1"/>
  <c r="H1746" i="1"/>
  <c r="F1746" i="1"/>
  <c r="G1746" i="1" s="1"/>
  <c r="T1745" i="1"/>
  <c r="S1745" i="1"/>
  <c r="R1745" i="1"/>
  <c r="Q1745" i="1"/>
  <c r="P1745" i="1"/>
  <c r="O1745" i="1"/>
  <c r="N1745" i="1"/>
  <c r="M1745" i="1"/>
  <c r="L1745" i="1"/>
  <c r="K1745" i="1"/>
  <c r="J1745" i="1"/>
  <c r="I1745" i="1"/>
  <c r="H1745" i="1"/>
  <c r="G1745" i="1"/>
  <c r="F1745" i="1"/>
  <c r="T1744" i="1"/>
  <c r="S1744" i="1"/>
  <c r="R1744" i="1"/>
  <c r="Q1744" i="1"/>
  <c r="P1744" i="1"/>
  <c r="O1744" i="1"/>
  <c r="N1744" i="1"/>
  <c r="M1744" i="1"/>
  <c r="L1744" i="1"/>
  <c r="K1744" i="1"/>
  <c r="J1744" i="1"/>
  <c r="I1744" i="1"/>
  <c r="H1744" i="1"/>
  <c r="F1744" i="1"/>
  <c r="G1744" i="1" s="1"/>
  <c r="T1743" i="1"/>
  <c r="S1743" i="1"/>
  <c r="R1743" i="1"/>
  <c r="Q1743" i="1"/>
  <c r="P1743" i="1"/>
  <c r="O1743" i="1"/>
  <c r="N1743" i="1"/>
  <c r="M1743" i="1"/>
  <c r="L1743" i="1"/>
  <c r="K1743" i="1"/>
  <c r="J1743" i="1"/>
  <c r="I1743" i="1"/>
  <c r="H1743" i="1"/>
  <c r="G1743" i="1"/>
  <c r="F1743" i="1"/>
  <c r="T1742" i="1"/>
  <c r="S1742" i="1"/>
  <c r="R1742" i="1"/>
  <c r="Q1742" i="1"/>
  <c r="P1742" i="1"/>
  <c r="O1742" i="1"/>
  <c r="N1742" i="1"/>
  <c r="M1742" i="1"/>
  <c r="L1742" i="1"/>
  <c r="K1742" i="1"/>
  <c r="J1742" i="1"/>
  <c r="I1742" i="1"/>
  <c r="H1742" i="1"/>
  <c r="F1742" i="1"/>
  <c r="G1742" i="1" s="1"/>
  <c r="T1741" i="1"/>
  <c r="S1741" i="1"/>
  <c r="R1741" i="1"/>
  <c r="Q1741" i="1"/>
  <c r="P1741" i="1"/>
  <c r="O1741" i="1"/>
  <c r="N1741" i="1"/>
  <c r="M1741" i="1"/>
  <c r="L1741" i="1"/>
  <c r="K1741" i="1"/>
  <c r="J1741" i="1"/>
  <c r="I1741" i="1"/>
  <c r="H1741" i="1"/>
  <c r="G1741" i="1"/>
  <c r="F1741" i="1"/>
  <c r="T1740" i="1"/>
  <c r="S1740" i="1"/>
  <c r="R1740" i="1"/>
  <c r="Q1740" i="1"/>
  <c r="P1740" i="1"/>
  <c r="O1740" i="1"/>
  <c r="N1740" i="1"/>
  <c r="M1740" i="1"/>
  <c r="L1740" i="1"/>
  <c r="K1740" i="1"/>
  <c r="J1740" i="1"/>
  <c r="I1740" i="1"/>
  <c r="H1740" i="1"/>
  <c r="G1740" i="1"/>
  <c r="F1740" i="1"/>
  <c r="T1739" i="1"/>
  <c r="S1739" i="1"/>
  <c r="R1739" i="1"/>
  <c r="Q1739" i="1"/>
  <c r="P1739" i="1"/>
  <c r="O1739" i="1"/>
  <c r="N1739" i="1"/>
  <c r="M1739" i="1"/>
  <c r="L1739" i="1"/>
  <c r="K1739" i="1"/>
  <c r="J1739" i="1"/>
  <c r="I1739" i="1"/>
  <c r="H1739" i="1"/>
  <c r="F1739" i="1"/>
  <c r="G1739" i="1" s="1"/>
  <c r="T1738" i="1"/>
  <c r="S1738" i="1"/>
  <c r="R1738" i="1"/>
  <c r="Q1738" i="1"/>
  <c r="P1738" i="1"/>
  <c r="O1738" i="1"/>
  <c r="N1738" i="1"/>
  <c r="M1738" i="1"/>
  <c r="L1738" i="1"/>
  <c r="K1738" i="1"/>
  <c r="J1738" i="1"/>
  <c r="I1738" i="1"/>
  <c r="H1738" i="1"/>
  <c r="F1738" i="1"/>
  <c r="G1738" i="1" s="1"/>
  <c r="T1737" i="1"/>
  <c r="S1737" i="1"/>
  <c r="R1737" i="1"/>
  <c r="Q1737" i="1"/>
  <c r="P1737" i="1"/>
  <c r="O1737" i="1"/>
  <c r="N1737" i="1"/>
  <c r="M1737" i="1"/>
  <c r="L1737" i="1"/>
  <c r="K1737" i="1"/>
  <c r="J1737" i="1"/>
  <c r="I1737" i="1"/>
  <c r="H1737" i="1"/>
  <c r="G1737" i="1"/>
  <c r="F1737" i="1"/>
  <c r="T1736" i="1"/>
  <c r="S1736" i="1"/>
  <c r="R1736" i="1"/>
  <c r="Q1736" i="1"/>
  <c r="P1736" i="1"/>
  <c r="O1736" i="1"/>
  <c r="N1736" i="1"/>
  <c r="M1736" i="1"/>
  <c r="L1736" i="1"/>
  <c r="K1736" i="1"/>
  <c r="J1736" i="1"/>
  <c r="I1736" i="1"/>
  <c r="H1736" i="1"/>
  <c r="F1736" i="1"/>
  <c r="G1736" i="1" s="1"/>
  <c r="T1735" i="1"/>
  <c r="S1735" i="1"/>
  <c r="R1735" i="1"/>
  <c r="Q1735" i="1"/>
  <c r="P1735" i="1"/>
  <c r="O1735" i="1"/>
  <c r="N1735" i="1"/>
  <c r="M1735" i="1"/>
  <c r="L1735" i="1"/>
  <c r="K1735" i="1"/>
  <c r="J1735" i="1"/>
  <c r="I1735" i="1"/>
  <c r="H1735" i="1"/>
  <c r="G1735" i="1"/>
  <c r="F1735" i="1"/>
  <c r="T1734" i="1"/>
  <c r="S1734" i="1"/>
  <c r="R1734" i="1"/>
  <c r="Q1734" i="1"/>
  <c r="P1734" i="1"/>
  <c r="O1734" i="1"/>
  <c r="N1734" i="1"/>
  <c r="M1734" i="1"/>
  <c r="L1734" i="1"/>
  <c r="K1734" i="1"/>
  <c r="J1734" i="1"/>
  <c r="I1734" i="1"/>
  <c r="H1734" i="1"/>
  <c r="F1734" i="1"/>
  <c r="G1734" i="1" s="1"/>
  <c r="T1733" i="1"/>
  <c r="S1733" i="1"/>
  <c r="R1733" i="1"/>
  <c r="Q1733" i="1"/>
  <c r="P1733" i="1"/>
  <c r="O1733" i="1"/>
  <c r="N1733" i="1"/>
  <c r="M1733" i="1"/>
  <c r="L1733" i="1"/>
  <c r="K1733" i="1"/>
  <c r="J1733" i="1"/>
  <c r="I1733" i="1"/>
  <c r="H1733" i="1"/>
  <c r="G1733" i="1"/>
  <c r="F1733" i="1"/>
  <c r="T1732" i="1"/>
  <c r="S1732" i="1"/>
  <c r="R1732" i="1"/>
  <c r="Q1732" i="1"/>
  <c r="P1732" i="1"/>
  <c r="O1732" i="1"/>
  <c r="N1732" i="1"/>
  <c r="M1732" i="1"/>
  <c r="L1732" i="1"/>
  <c r="K1732" i="1"/>
  <c r="J1732" i="1"/>
  <c r="I1732" i="1"/>
  <c r="H1732" i="1"/>
  <c r="G1732" i="1"/>
  <c r="F1732" i="1"/>
  <c r="T1731" i="1"/>
  <c r="S1731" i="1"/>
  <c r="R1731" i="1"/>
  <c r="Q1731" i="1"/>
  <c r="P1731" i="1"/>
  <c r="O1731" i="1"/>
  <c r="N1731" i="1"/>
  <c r="M1731" i="1"/>
  <c r="L1731" i="1"/>
  <c r="K1731" i="1"/>
  <c r="J1731" i="1"/>
  <c r="I1731" i="1"/>
  <c r="H1731" i="1"/>
  <c r="F1731" i="1"/>
  <c r="G1731" i="1" s="1"/>
  <c r="T1730" i="1"/>
  <c r="S1730" i="1"/>
  <c r="R1730" i="1"/>
  <c r="Q1730" i="1"/>
  <c r="P1730" i="1"/>
  <c r="O1730" i="1"/>
  <c r="N1730" i="1"/>
  <c r="M1730" i="1"/>
  <c r="L1730" i="1"/>
  <c r="K1730" i="1"/>
  <c r="J1730" i="1"/>
  <c r="I1730" i="1"/>
  <c r="H1730" i="1"/>
  <c r="G1730" i="1"/>
  <c r="F1730" i="1"/>
  <c r="T1729" i="1"/>
  <c r="S1729" i="1"/>
  <c r="R1729" i="1"/>
  <c r="Q1729" i="1"/>
  <c r="P1729" i="1"/>
  <c r="O1729" i="1"/>
  <c r="N1729" i="1"/>
  <c r="M1729" i="1"/>
  <c r="L1729" i="1"/>
  <c r="K1729" i="1"/>
  <c r="J1729" i="1"/>
  <c r="I1729" i="1"/>
  <c r="H1729" i="1"/>
  <c r="G1729" i="1"/>
  <c r="F1729" i="1"/>
  <c r="T1728" i="1"/>
  <c r="S1728" i="1"/>
  <c r="R1728" i="1"/>
  <c r="Q1728" i="1"/>
  <c r="P1728" i="1"/>
  <c r="O1728" i="1"/>
  <c r="N1728" i="1"/>
  <c r="M1728" i="1"/>
  <c r="L1728" i="1"/>
  <c r="K1728" i="1"/>
  <c r="J1728" i="1"/>
  <c r="I1728" i="1"/>
  <c r="H1728" i="1"/>
  <c r="F1728" i="1"/>
  <c r="G1728" i="1" s="1"/>
  <c r="T1727" i="1"/>
  <c r="S1727" i="1"/>
  <c r="R1727" i="1"/>
  <c r="Q1727" i="1"/>
  <c r="P1727" i="1"/>
  <c r="O1727" i="1"/>
  <c r="N1727" i="1"/>
  <c r="M1727" i="1"/>
  <c r="L1727" i="1"/>
  <c r="K1727" i="1"/>
  <c r="J1727" i="1"/>
  <c r="I1727" i="1"/>
  <c r="H1727" i="1"/>
  <c r="G1727" i="1"/>
  <c r="F1727" i="1"/>
  <c r="T1726" i="1"/>
  <c r="S1726" i="1"/>
  <c r="R1726" i="1"/>
  <c r="Q1726" i="1"/>
  <c r="P1726" i="1"/>
  <c r="O1726" i="1"/>
  <c r="N1726" i="1"/>
  <c r="M1726" i="1"/>
  <c r="L1726" i="1"/>
  <c r="K1726" i="1"/>
  <c r="J1726" i="1"/>
  <c r="I1726" i="1"/>
  <c r="H1726" i="1"/>
  <c r="F1726" i="1"/>
  <c r="G1726" i="1" s="1"/>
  <c r="T1725" i="1"/>
  <c r="S1725" i="1"/>
  <c r="R1725" i="1"/>
  <c r="Q1725" i="1"/>
  <c r="P1725" i="1"/>
  <c r="O1725" i="1"/>
  <c r="N1725" i="1"/>
  <c r="M1725" i="1"/>
  <c r="L1725" i="1"/>
  <c r="K1725" i="1"/>
  <c r="J1725" i="1"/>
  <c r="I1725" i="1"/>
  <c r="H1725" i="1"/>
  <c r="G1725" i="1"/>
  <c r="F1725" i="1"/>
  <c r="T1724" i="1"/>
  <c r="S1724" i="1"/>
  <c r="R1724" i="1"/>
  <c r="Q1724" i="1"/>
  <c r="P1724" i="1"/>
  <c r="O1724" i="1"/>
  <c r="N1724" i="1"/>
  <c r="M1724" i="1"/>
  <c r="L1724" i="1"/>
  <c r="K1724" i="1"/>
  <c r="J1724" i="1"/>
  <c r="I1724" i="1"/>
  <c r="H1724" i="1"/>
  <c r="G1724" i="1"/>
  <c r="F1724" i="1"/>
  <c r="T1723" i="1"/>
  <c r="S1723" i="1"/>
  <c r="R1723" i="1"/>
  <c r="Q1723" i="1"/>
  <c r="P1723" i="1"/>
  <c r="O1723" i="1"/>
  <c r="N1723" i="1"/>
  <c r="M1723" i="1"/>
  <c r="L1723" i="1"/>
  <c r="K1723" i="1"/>
  <c r="J1723" i="1"/>
  <c r="I1723" i="1"/>
  <c r="H1723" i="1"/>
  <c r="F1723" i="1"/>
  <c r="G1723" i="1" s="1"/>
  <c r="T1722" i="1"/>
  <c r="S1722" i="1"/>
  <c r="R1722" i="1"/>
  <c r="Q1722" i="1"/>
  <c r="P1722" i="1"/>
  <c r="O1722" i="1"/>
  <c r="N1722" i="1"/>
  <c r="M1722" i="1"/>
  <c r="L1722" i="1"/>
  <c r="K1722" i="1"/>
  <c r="J1722" i="1"/>
  <c r="I1722" i="1"/>
  <c r="H1722" i="1"/>
  <c r="G1722" i="1"/>
  <c r="F1722" i="1"/>
  <c r="T1721" i="1"/>
  <c r="S1721" i="1"/>
  <c r="R1721" i="1"/>
  <c r="Q1721" i="1"/>
  <c r="P1721" i="1"/>
  <c r="O1721" i="1"/>
  <c r="N1721" i="1"/>
  <c r="M1721" i="1"/>
  <c r="L1721" i="1"/>
  <c r="K1721" i="1"/>
  <c r="J1721" i="1"/>
  <c r="I1721" i="1"/>
  <c r="H1721" i="1"/>
  <c r="G1721" i="1"/>
  <c r="F1721" i="1"/>
  <c r="T1720" i="1"/>
  <c r="S1720" i="1"/>
  <c r="R1720" i="1"/>
  <c r="Q1720" i="1"/>
  <c r="P1720" i="1"/>
  <c r="O1720" i="1"/>
  <c r="N1720" i="1"/>
  <c r="M1720" i="1"/>
  <c r="L1720" i="1"/>
  <c r="K1720" i="1"/>
  <c r="J1720" i="1"/>
  <c r="I1720" i="1"/>
  <c r="H1720" i="1"/>
  <c r="F1720" i="1"/>
  <c r="G1720" i="1" s="1"/>
  <c r="T1719" i="1"/>
  <c r="S1719" i="1"/>
  <c r="R1719" i="1"/>
  <c r="Q1719" i="1"/>
  <c r="P1719" i="1"/>
  <c r="O1719" i="1"/>
  <c r="N1719" i="1"/>
  <c r="M1719" i="1"/>
  <c r="L1719" i="1"/>
  <c r="K1719" i="1"/>
  <c r="J1719" i="1"/>
  <c r="I1719" i="1"/>
  <c r="H1719" i="1"/>
  <c r="G1719" i="1"/>
  <c r="F1719" i="1"/>
  <c r="T1718" i="1"/>
  <c r="S1718" i="1"/>
  <c r="R1718" i="1"/>
  <c r="Q1718" i="1"/>
  <c r="P1718" i="1"/>
  <c r="O1718" i="1"/>
  <c r="N1718" i="1"/>
  <c r="M1718" i="1"/>
  <c r="L1718" i="1"/>
  <c r="K1718" i="1"/>
  <c r="J1718" i="1"/>
  <c r="I1718" i="1"/>
  <c r="H1718" i="1"/>
  <c r="F1718" i="1"/>
  <c r="G1718" i="1" s="1"/>
  <c r="T1717" i="1"/>
  <c r="S1717" i="1"/>
  <c r="R1717" i="1"/>
  <c r="Q1717" i="1"/>
  <c r="P1717" i="1"/>
  <c r="O1717" i="1"/>
  <c r="N1717" i="1"/>
  <c r="M1717" i="1"/>
  <c r="L1717" i="1"/>
  <c r="K1717" i="1"/>
  <c r="J1717" i="1"/>
  <c r="I1717" i="1"/>
  <c r="H1717" i="1"/>
  <c r="G1717" i="1"/>
  <c r="F1717" i="1"/>
  <c r="T1716" i="1"/>
  <c r="S1716" i="1"/>
  <c r="R1716" i="1"/>
  <c r="Q1716" i="1"/>
  <c r="P1716" i="1"/>
  <c r="O1716" i="1"/>
  <c r="N1716" i="1"/>
  <c r="M1716" i="1"/>
  <c r="L1716" i="1"/>
  <c r="K1716" i="1"/>
  <c r="J1716" i="1"/>
  <c r="I1716" i="1"/>
  <c r="H1716" i="1"/>
  <c r="G1716" i="1"/>
  <c r="F1716" i="1"/>
  <c r="T1715" i="1"/>
  <c r="S1715" i="1"/>
  <c r="R1715" i="1"/>
  <c r="Q1715" i="1"/>
  <c r="P1715" i="1"/>
  <c r="O1715" i="1"/>
  <c r="N1715" i="1"/>
  <c r="M1715" i="1"/>
  <c r="L1715" i="1"/>
  <c r="K1715" i="1"/>
  <c r="J1715" i="1"/>
  <c r="I1715" i="1"/>
  <c r="H1715" i="1"/>
  <c r="F1715" i="1"/>
  <c r="G1715" i="1" s="1"/>
  <c r="T1714" i="1"/>
  <c r="S1714" i="1"/>
  <c r="R1714" i="1"/>
  <c r="Q1714" i="1"/>
  <c r="P1714" i="1"/>
  <c r="O1714" i="1"/>
  <c r="N1714" i="1"/>
  <c r="M1714" i="1"/>
  <c r="L1714" i="1"/>
  <c r="K1714" i="1"/>
  <c r="J1714" i="1"/>
  <c r="I1714" i="1"/>
  <c r="H1714" i="1"/>
  <c r="G1714" i="1"/>
  <c r="F1714" i="1"/>
  <c r="T1713" i="1"/>
  <c r="S1713" i="1"/>
  <c r="R1713" i="1"/>
  <c r="Q1713" i="1"/>
  <c r="P1713" i="1"/>
  <c r="O1713" i="1"/>
  <c r="N1713" i="1"/>
  <c r="M1713" i="1"/>
  <c r="L1713" i="1"/>
  <c r="K1713" i="1"/>
  <c r="J1713" i="1"/>
  <c r="I1713" i="1"/>
  <c r="H1713" i="1"/>
  <c r="G1713" i="1"/>
  <c r="F1713" i="1"/>
  <c r="T1712" i="1"/>
  <c r="S1712" i="1"/>
  <c r="R1712" i="1"/>
  <c r="Q1712" i="1"/>
  <c r="P1712" i="1"/>
  <c r="O1712" i="1"/>
  <c r="N1712" i="1"/>
  <c r="M1712" i="1"/>
  <c r="L1712" i="1"/>
  <c r="K1712" i="1"/>
  <c r="J1712" i="1"/>
  <c r="I1712" i="1"/>
  <c r="H1712" i="1"/>
  <c r="F1712" i="1"/>
  <c r="G1712" i="1" s="1"/>
  <c r="T1711" i="1"/>
  <c r="S1711" i="1"/>
  <c r="R1711" i="1"/>
  <c r="Q1711" i="1"/>
  <c r="P1711" i="1"/>
  <c r="O1711" i="1"/>
  <c r="N1711" i="1"/>
  <c r="M1711" i="1"/>
  <c r="L1711" i="1"/>
  <c r="K1711" i="1"/>
  <c r="J1711" i="1"/>
  <c r="I1711" i="1"/>
  <c r="H1711" i="1"/>
  <c r="G1711" i="1"/>
  <c r="F1711" i="1"/>
  <c r="T1710" i="1"/>
  <c r="S1710" i="1"/>
  <c r="R1710" i="1"/>
  <c r="Q1710" i="1"/>
  <c r="P1710" i="1"/>
  <c r="O1710" i="1"/>
  <c r="N1710" i="1"/>
  <c r="M1710" i="1"/>
  <c r="L1710" i="1"/>
  <c r="K1710" i="1"/>
  <c r="J1710" i="1"/>
  <c r="I1710" i="1"/>
  <c r="H1710" i="1"/>
  <c r="F1710" i="1"/>
  <c r="G1710" i="1" s="1"/>
  <c r="T1709" i="1"/>
  <c r="S1709" i="1"/>
  <c r="R1709" i="1"/>
  <c r="Q1709" i="1"/>
  <c r="P1709" i="1"/>
  <c r="O1709" i="1"/>
  <c r="N1709" i="1"/>
  <c r="M1709" i="1"/>
  <c r="L1709" i="1"/>
  <c r="K1709" i="1"/>
  <c r="J1709" i="1"/>
  <c r="I1709" i="1"/>
  <c r="H1709" i="1"/>
  <c r="G1709" i="1"/>
  <c r="F1709" i="1"/>
  <c r="T1708" i="1"/>
  <c r="S1708" i="1"/>
  <c r="R1708" i="1"/>
  <c r="Q1708" i="1"/>
  <c r="P1708" i="1"/>
  <c r="O1708" i="1"/>
  <c r="N1708" i="1"/>
  <c r="M1708" i="1"/>
  <c r="L1708" i="1"/>
  <c r="K1708" i="1"/>
  <c r="J1708" i="1"/>
  <c r="I1708" i="1"/>
  <c r="H1708" i="1"/>
  <c r="G1708" i="1"/>
  <c r="F1708" i="1"/>
  <c r="T1707" i="1"/>
  <c r="S1707" i="1"/>
  <c r="R1707" i="1"/>
  <c r="Q1707" i="1"/>
  <c r="P1707" i="1"/>
  <c r="O1707" i="1"/>
  <c r="N1707" i="1"/>
  <c r="M1707" i="1"/>
  <c r="L1707" i="1"/>
  <c r="K1707" i="1"/>
  <c r="J1707" i="1"/>
  <c r="I1707" i="1"/>
  <c r="H1707" i="1"/>
  <c r="F1707" i="1"/>
  <c r="G1707" i="1" s="1"/>
  <c r="T1706" i="1"/>
  <c r="S1706" i="1"/>
  <c r="R1706" i="1"/>
  <c r="Q1706" i="1"/>
  <c r="P1706" i="1"/>
  <c r="O1706" i="1"/>
  <c r="N1706" i="1"/>
  <c r="M1706" i="1"/>
  <c r="L1706" i="1"/>
  <c r="K1706" i="1"/>
  <c r="J1706" i="1"/>
  <c r="I1706" i="1"/>
  <c r="H1706" i="1"/>
  <c r="G1706" i="1"/>
  <c r="F1706" i="1"/>
  <c r="T1705" i="1"/>
  <c r="S1705" i="1"/>
  <c r="R1705" i="1"/>
  <c r="Q1705" i="1"/>
  <c r="P1705" i="1"/>
  <c r="O1705" i="1"/>
  <c r="N1705" i="1"/>
  <c r="M1705" i="1"/>
  <c r="L1705" i="1"/>
  <c r="K1705" i="1"/>
  <c r="J1705" i="1"/>
  <c r="I1705" i="1"/>
  <c r="H1705" i="1"/>
  <c r="G1705" i="1"/>
  <c r="F1705" i="1"/>
  <c r="T1704" i="1"/>
  <c r="S1704" i="1"/>
  <c r="R1704" i="1"/>
  <c r="Q1704" i="1"/>
  <c r="P1704" i="1"/>
  <c r="O1704" i="1"/>
  <c r="N1704" i="1"/>
  <c r="M1704" i="1"/>
  <c r="L1704" i="1"/>
  <c r="K1704" i="1"/>
  <c r="J1704" i="1"/>
  <c r="I1704" i="1"/>
  <c r="H1704" i="1"/>
  <c r="F1704" i="1"/>
  <c r="G1704" i="1" s="1"/>
  <c r="T1703" i="1"/>
  <c r="S1703" i="1"/>
  <c r="R1703" i="1"/>
  <c r="Q1703" i="1"/>
  <c r="P1703" i="1"/>
  <c r="O1703" i="1"/>
  <c r="N1703" i="1"/>
  <c r="M1703" i="1"/>
  <c r="L1703" i="1"/>
  <c r="K1703" i="1"/>
  <c r="J1703" i="1"/>
  <c r="I1703" i="1"/>
  <c r="H1703" i="1"/>
  <c r="G1703" i="1"/>
  <c r="F1703" i="1"/>
  <c r="T1702" i="1"/>
  <c r="S1702" i="1"/>
  <c r="R1702" i="1"/>
  <c r="Q1702" i="1"/>
  <c r="P1702" i="1"/>
  <c r="O1702" i="1"/>
  <c r="N1702" i="1"/>
  <c r="M1702" i="1"/>
  <c r="L1702" i="1"/>
  <c r="K1702" i="1"/>
  <c r="J1702" i="1"/>
  <c r="I1702" i="1"/>
  <c r="H1702" i="1"/>
  <c r="F1702" i="1"/>
  <c r="G1702" i="1" s="1"/>
  <c r="T1701" i="1"/>
  <c r="S1701" i="1"/>
  <c r="R1701" i="1"/>
  <c r="Q1701" i="1"/>
  <c r="P1701" i="1"/>
  <c r="O1701" i="1"/>
  <c r="N1701" i="1"/>
  <c r="M1701" i="1"/>
  <c r="L1701" i="1"/>
  <c r="K1701" i="1"/>
  <c r="J1701" i="1"/>
  <c r="I1701" i="1"/>
  <c r="H1701" i="1"/>
  <c r="G1701" i="1"/>
  <c r="F1701" i="1"/>
  <c r="T1700" i="1"/>
  <c r="S1700" i="1"/>
  <c r="R1700" i="1"/>
  <c r="Q1700" i="1"/>
  <c r="P1700" i="1"/>
  <c r="O1700" i="1"/>
  <c r="N1700" i="1"/>
  <c r="M1700" i="1"/>
  <c r="L1700" i="1"/>
  <c r="K1700" i="1"/>
  <c r="J1700" i="1"/>
  <c r="I1700" i="1"/>
  <c r="H1700" i="1"/>
  <c r="G1700" i="1"/>
  <c r="F1700" i="1"/>
  <c r="T1699" i="1"/>
  <c r="S1699" i="1"/>
  <c r="R1699" i="1"/>
  <c r="Q1699" i="1"/>
  <c r="P1699" i="1"/>
  <c r="O1699" i="1"/>
  <c r="N1699" i="1"/>
  <c r="M1699" i="1"/>
  <c r="L1699" i="1"/>
  <c r="K1699" i="1"/>
  <c r="J1699" i="1"/>
  <c r="I1699" i="1"/>
  <c r="H1699" i="1"/>
  <c r="F1699" i="1"/>
  <c r="G1699" i="1" s="1"/>
  <c r="T1698" i="1"/>
  <c r="S1698" i="1"/>
  <c r="R1698" i="1"/>
  <c r="Q1698" i="1"/>
  <c r="P1698" i="1"/>
  <c r="O1698" i="1"/>
  <c r="N1698" i="1"/>
  <c r="M1698" i="1"/>
  <c r="L1698" i="1"/>
  <c r="K1698" i="1"/>
  <c r="J1698" i="1"/>
  <c r="I1698" i="1"/>
  <c r="H1698" i="1"/>
  <c r="G1698" i="1"/>
  <c r="F1698" i="1"/>
  <c r="T1697" i="1"/>
  <c r="S1697" i="1"/>
  <c r="R1697" i="1"/>
  <c r="Q1697" i="1"/>
  <c r="P1697" i="1"/>
  <c r="O1697" i="1"/>
  <c r="N1697" i="1"/>
  <c r="M1697" i="1"/>
  <c r="L1697" i="1"/>
  <c r="K1697" i="1"/>
  <c r="J1697" i="1"/>
  <c r="I1697" i="1"/>
  <c r="H1697" i="1"/>
  <c r="G1697" i="1"/>
  <c r="F1697" i="1"/>
  <c r="T1696" i="1"/>
  <c r="S1696" i="1"/>
  <c r="R1696" i="1"/>
  <c r="Q1696" i="1"/>
  <c r="P1696" i="1"/>
  <c r="O1696" i="1"/>
  <c r="N1696" i="1"/>
  <c r="M1696" i="1"/>
  <c r="L1696" i="1"/>
  <c r="K1696" i="1"/>
  <c r="J1696" i="1"/>
  <c r="I1696" i="1"/>
  <c r="H1696" i="1"/>
  <c r="F1696" i="1"/>
  <c r="G1696" i="1" s="1"/>
  <c r="T1695" i="1"/>
  <c r="S1695" i="1"/>
  <c r="R1695" i="1"/>
  <c r="Q1695" i="1"/>
  <c r="P1695" i="1"/>
  <c r="O1695" i="1"/>
  <c r="N1695" i="1"/>
  <c r="M1695" i="1"/>
  <c r="L1695" i="1"/>
  <c r="K1695" i="1"/>
  <c r="J1695" i="1"/>
  <c r="I1695" i="1"/>
  <c r="H1695" i="1"/>
  <c r="G1695" i="1"/>
  <c r="F1695" i="1"/>
  <c r="T1694" i="1"/>
  <c r="S1694" i="1"/>
  <c r="R1694" i="1"/>
  <c r="Q1694" i="1"/>
  <c r="P1694" i="1"/>
  <c r="O1694" i="1"/>
  <c r="N1694" i="1"/>
  <c r="M1694" i="1"/>
  <c r="L1694" i="1"/>
  <c r="K1694" i="1"/>
  <c r="J1694" i="1"/>
  <c r="I1694" i="1"/>
  <c r="H1694" i="1"/>
  <c r="F1694" i="1"/>
  <c r="G1694" i="1" s="1"/>
  <c r="T1693" i="1"/>
  <c r="S1693" i="1"/>
  <c r="R1693" i="1"/>
  <c r="Q1693" i="1"/>
  <c r="P1693" i="1"/>
  <c r="O1693" i="1"/>
  <c r="N1693" i="1"/>
  <c r="M1693" i="1"/>
  <c r="L1693" i="1"/>
  <c r="K1693" i="1"/>
  <c r="J1693" i="1"/>
  <c r="I1693" i="1"/>
  <c r="H1693" i="1"/>
  <c r="G1693" i="1"/>
  <c r="F1693" i="1"/>
  <c r="T1692" i="1"/>
  <c r="S1692" i="1"/>
  <c r="R1692" i="1"/>
  <c r="Q1692" i="1"/>
  <c r="P1692" i="1"/>
  <c r="O1692" i="1"/>
  <c r="N1692" i="1"/>
  <c r="M1692" i="1"/>
  <c r="L1692" i="1"/>
  <c r="K1692" i="1"/>
  <c r="J1692" i="1"/>
  <c r="I1692" i="1"/>
  <c r="H1692" i="1"/>
  <c r="G1692" i="1"/>
  <c r="F1692" i="1"/>
  <c r="T1691" i="1"/>
  <c r="S1691" i="1"/>
  <c r="R1691" i="1"/>
  <c r="Q1691" i="1"/>
  <c r="P1691" i="1"/>
  <c r="O1691" i="1"/>
  <c r="N1691" i="1"/>
  <c r="M1691" i="1"/>
  <c r="L1691" i="1"/>
  <c r="K1691" i="1"/>
  <c r="J1691" i="1"/>
  <c r="I1691" i="1"/>
  <c r="H1691" i="1"/>
  <c r="F1691" i="1"/>
  <c r="G1691" i="1" s="1"/>
  <c r="T1690" i="1"/>
  <c r="S1690" i="1"/>
  <c r="R1690" i="1"/>
  <c r="Q1690" i="1"/>
  <c r="P1690" i="1"/>
  <c r="O1690" i="1"/>
  <c r="N1690" i="1"/>
  <c r="M1690" i="1"/>
  <c r="L1690" i="1"/>
  <c r="K1690" i="1"/>
  <c r="J1690" i="1"/>
  <c r="I1690" i="1"/>
  <c r="H1690" i="1"/>
  <c r="G1690" i="1"/>
  <c r="F1690" i="1"/>
  <c r="T1689" i="1"/>
  <c r="S1689" i="1"/>
  <c r="R1689" i="1"/>
  <c r="Q1689" i="1"/>
  <c r="P1689" i="1"/>
  <c r="O1689" i="1"/>
  <c r="N1689" i="1"/>
  <c r="M1689" i="1"/>
  <c r="L1689" i="1"/>
  <c r="K1689" i="1"/>
  <c r="J1689" i="1"/>
  <c r="I1689" i="1"/>
  <c r="H1689" i="1"/>
  <c r="G1689" i="1"/>
  <c r="F1689" i="1"/>
  <c r="T1688" i="1"/>
  <c r="S1688" i="1"/>
  <c r="R1688" i="1"/>
  <c r="Q1688" i="1"/>
  <c r="P1688" i="1"/>
  <c r="O1688" i="1"/>
  <c r="N1688" i="1"/>
  <c r="M1688" i="1"/>
  <c r="L1688" i="1"/>
  <c r="K1688" i="1"/>
  <c r="J1688" i="1"/>
  <c r="I1688" i="1"/>
  <c r="H1688" i="1"/>
  <c r="F1688" i="1"/>
  <c r="G1688" i="1" s="1"/>
  <c r="T1687" i="1"/>
  <c r="S1687" i="1"/>
  <c r="R1687" i="1"/>
  <c r="Q1687" i="1"/>
  <c r="P1687" i="1"/>
  <c r="O1687" i="1"/>
  <c r="N1687" i="1"/>
  <c r="M1687" i="1"/>
  <c r="L1687" i="1"/>
  <c r="K1687" i="1"/>
  <c r="J1687" i="1"/>
  <c r="I1687" i="1"/>
  <c r="H1687" i="1"/>
  <c r="G1687" i="1"/>
  <c r="F1687" i="1"/>
  <c r="T1686" i="1"/>
  <c r="S1686" i="1"/>
  <c r="R1686" i="1"/>
  <c r="Q1686" i="1"/>
  <c r="P1686" i="1"/>
  <c r="O1686" i="1"/>
  <c r="N1686" i="1"/>
  <c r="M1686" i="1"/>
  <c r="L1686" i="1"/>
  <c r="K1686" i="1"/>
  <c r="J1686" i="1"/>
  <c r="I1686" i="1"/>
  <c r="H1686" i="1"/>
  <c r="F1686" i="1"/>
  <c r="G1686" i="1" s="1"/>
  <c r="T1685" i="1"/>
  <c r="S1685" i="1"/>
  <c r="R1685" i="1"/>
  <c r="Q1685" i="1"/>
  <c r="P1685" i="1"/>
  <c r="O1685" i="1"/>
  <c r="N1685" i="1"/>
  <c r="M1685" i="1"/>
  <c r="L1685" i="1"/>
  <c r="K1685" i="1"/>
  <c r="J1685" i="1"/>
  <c r="I1685" i="1"/>
  <c r="H1685" i="1"/>
  <c r="G1685" i="1"/>
  <c r="F1685" i="1"/>
  <c r="T1684" i="1"/>
  <c r="S1684" i="1"/>
  <c r="R1684" i="1"/>
  <c r="Q1684" i="1"/>
  <c r="P1684" i="1"/>
  <c r="O1684" i="1"/>
  <c r="N1684" i="1"/>
  <c r="M1684" i="1"/>
  <c r="L1684" i="1"/>
  <c r="K1684" i="1"/>
  <c r="J1684" i="1"/>
  <c r="I1684" i="1"/>
  <c r="H1684" i="1"/>
  <c r="G1684" i="1"/>
  <c r="F1684" i="1"/>
  <c r="T1683" i="1"/>
  <c r="S1683" i="1"/>
  <c r="R1683" i="1"/>
  <c r="Q1683" i="1"/>
  <c r="P1683" i="1"/>
  <c r="O1683" i="1"/>
  <c r="N1683" i="1"/>
  <c r="M1683" i="1"/>
  <c r="L1683" i="1"/>
  <c r="K1683" i="1"/>
  <c r="J1683" i="1"/>
  <c r="I1683" i="1"/>
  <c r="H1683" i="1"/>
  <c r="F1683" i="1"/>
  <c r="G1683" i="1" s="1"/>
  <c r="T1682" i="1"/>
  <c r="S1682" i="1"/>
  <c r="R1682" i="1"/>
  <c r="Q1682" i="1"/>
  <c r="P1682" i="1"/>
  <c r="O1682" i="1"/>
  <c r="N1682" i="1"/>
  <c r="M1682" i="1"/>
  <c r="L1682" i="1"/>
  <c r="K1682" i="1"/>
  <c r="J1682" i="1"/>
  <c r="I1682" i="1"/>
  <c r="H1682" i="1"/>
  <c r="G1682" i="1"/>
  <c r="F1682" i="1"/>
  <c r="T1681" i="1"/>
  <c r="S1681" i="1"/>
  <c r="R1681" i="1"/>
  <c r="Q1681" i="1"/>
  <c r="P1681" i="1"/>
  <c r="O1681" i="1"/>
  <c r="N1681" i="1"/>
  <c r="M1681" i="1"/>
  <c r="L1681" i="1"/>
  <c r="K1681" i="1"/>
  <c r="J1681" i="1"/>
  <c r="I1681" i="1"/>
  <c r="H1681" i="1"/>
  <c r="G1681" i="1"/>
  <c r="F1681" i="1"/>
  <c r="T1680" i="1"/>
  <c r="S1680" i="1"/>
  <c r="R1680" i="1"/>
  <c r="Q1680" i="1"/>
  <c r="P1680" i="1"/>
  <c r="O1680" i="1"/>
  <c r="N1680" i="1"/>
  <c r="M1680" i="1"/>
  <c r="L1680" i="1"/>
  <c r="K1680" i="1"/>
  <c r="J1680" i="1"/>
  <c r="I1680" i="1"/>
  <c r="H1680" i="1"/>
  <c r="F1680" i="1"/>
  <c r="G1680" i="1" s="1"/>
  <c r="T1679" i="1"/>
  <c r="S1679" i="1"/>
  <c r="R1679" i="1"/>
  <c r="Q1679" i="1"/>
  <c r="P1679" i="1"/>
  <c r="O1679" i="1"/>
  <c r="N1679" i="1"/>
  <c r="M1679" i="1"/>
  <c r="L1679" i="1"/>
  <c r="K1679" i="1"/>
  <c r="J1679" i="1"/>
  <c r="I1679" i="1"/>
  <c r="H1679" i="1"/>
  <c r="G1679" i="1"/>
  <c r="F1679" i="1"/>
  <c r="T1678" i="1"/>
  <c r="S1678" i="1"/>
  <c r="R1678" i="1"/>
  <c r="Q1678" i="1"/>
  <c r="P1678" i="1"/>
  <c r="O1678" i="1"/>
  <c r="N1678" i="1"/>
  <c r="M1678" i="1"/>
  <c r="L1678" i="1"/>
  <c r="K1678" i="1"/>
  <c r="J1678" i="1"/>
  <c r="I1678" i="1"/>
  <c r="H1678" i="1"/>
  <c r="F1678" i="1"/>
  <c r="G1678" i="1" s="1"/>
  <c r="T1677" i="1"/>
  <c r="S1677" i="1"/>
  <c r="R1677" i="1"/>
  <c r="Q1677" i="1"/>
  <c r="P1677" i="1"/>
  <c r="O1677" i="1"/>
  <c r="N1677" i="1"/>
  <c r="M1677" i="1"/>
  <c r="L1677" i="1"/>
  <c r="K1677" i="1"/>
  <c r="J1677" i="1"/>
  <c r="I1677" i="1"/>
  <c r="H1677" i="1"/>
  <c r="G1677" i="1"/>
  <c r="F1677" i="1"/>
  <c r="T1676" i="1"/>
  <c r="S1676" i="1"/>
  <c r="R1676" i="1"/>
  <c r="Q1676" i="1"/>
  <c r="P1676" i="1"/>
  <c r="O1676" i="1"/>
  <c r="N1676" i="1"/>
  <c r="M1676" i="1"/>
  <c r="L1676" i="1"/>
  <c r="K1676" i="1"/>
  <c r="J1676" i="1"/>
  <c r="I1676" i="1"/>
  <c r="H1676" i="1"/>
  <c r="G1676" i="1"/>
  <c r="F1676" i="1"/>
  <c r="T1675" i="1"/>
  <c r="S1675" i="1"/>
  <c r="R1675" i="1"/>
  <c r="Q1675" i="1"/>
  <c r="P1675" i="1"/>
  <c r="O1675" i="1"/>
  <c r="N1675" i="1"/>
  <c r="M1675" i="1"/>
  <c r="L1675" i="1"/>
  <c r="K1675" i="1"/>
  <c r="J1675" i="1"/>
  <c r="I1675" i="1"/>
  <c r="H1675" i="1"/>
  <c r="F1675" i="1"/>
  <c r="G1675" i="1" s="1"/>
  <c r="T1674" i="1"/>
  <c r="S1674" i="1"/>
  <c r="R1674" i="1"/>
  <c r="Q1674" i="1"/>
  <c r="P1674" i="1"/>
  <c r="O1674" i="1"/>
  <c r="N1674" i="1"/>
  <c r="M1674" i="1"/>
  <c r="L1674" i="1"/>
  <c r="K1674" i="1"/>
  <c r="J1674" i="1"/>
  <c r="I1674" i="1"/>
  <c r="H1674" i="1"/>
  <c r="G1674" i="1"/>
  <c r="F1674" i="1"/>
  <c r="T1673" i="1"/>
  <c r="S1673" i="1"/>
  <c r="R1673" i="1"/>
  <c r="Q1673" i="1"/>
  <c r="P1673" i="1"/>
  <c r="O1673" i="1"/>
  <c r="N1673" i="1"/>
  <c r="M1673" i="1"/>
  <c r="L1673" i="1"/>
  <c r="K1673" i="1"/>
  <c r="J1673" i="1"/>
  <c r="I1673" i="1"/>
  <c r="H1673" i="1"/>
  <c r="G1673" i="1"/>
  <c r="F1673" i="1"/>
  <c r="T1672" i="1"/>
  <c r="S1672" i="1"/>
  <c r="R1672" i="1"/>
  <c r="Q1672" i="1"/>
  <c r="P1672" i="1"/>
  <c r="O1672" i="1"/>
  <c r="N1672" i="1"/>
  <c r="M1672" i="1"/>
  <c r="L1672" i="1"/>
  <c r="K1672" i="1"/>
  <c r="J1672" i="1"/>
  <c r="I1672" i="1"/>
  <c r="H1672" i="1"/>
  <c r="F1672" i="1"/>
  <c r="G1672" i="1" s="1"/>
  <c r="T1671" i="1"/>
  <c r="S1671" i="1"/>
  <c r="R1671" i="1"/>
  <c r="Q1671" i="1"/>
  <c r="P1671" i="1"/>
  <c r="O1671" i="1"/>
  <c r="N1671" i="1"/>
  <c r="M1671" i="1"/>
  <c r="L1671" i="1"/>
  <c r="K1671" i="1"/>
  <c r="J1671" i="1"/>
  <c r="I1671" i="1"/>
  <c r="H1671" i="1"/>
  <c r="G1671" i="1"/>
  <c r="F1671" i="1"/>
  <c r="T1670" i="1"/>
  <c r="S1670" i="1"/>
  <c r="R1670" i="1"/>
  <c r="Q1670" i="1"/>
  <c r="P1670" i="1"/>
  <c r="O1670" i="1"/>
  <c r="N1670" i="1"/>
  <c r="M1670" i="1"/>
  <c r="L1670" i="1"/>
  <c r="K1670" i="1"/>
  <c r="J1670" i="1"/>
  <c r="I1670" i="1"/>
  <c r="H1670" i="1"/>
  <c r="F1670" i="1"/>
  <c r="G1670" i="1" s="1"/>
  <c r="T1669" i="1"/>
  <c r="S1669" i="1"/>
  <c r="R1669" i="1"/>
  <c r="Q1669" i="1"/>
  <c r="P1669" i="1"/>
  <c r="O1669" i="1"/>
  <c r="N1669" i="1"/>
  <c r="M1669" i="1"/>
  <c r="L1669" i="1"/>
  <c r="K1669" i="1"/>
  <c r="J1669" i="1"/>
  <c r="I1669" i="1"/>
  <c r="H1669" i="1"/>
  <c r="G1669" i="1"/>
  <c r="F1669" i="1"/>
  <c r="T1668" i="1"/>
  <c r="S1668" i="1"/>
  <c r="R1668" i="1"/>
  <c r="Q1668" i="1"/>
  <c r="P1668" i="1"/>
  <c r="O1668" i="1"/>
  <c r="N1668" i="1"/>
  <c r="M1668" i="1"/>
  <c r="L1668" i="1"/>
  <c r="K1668" i="1"/>
  <c r="J1668" i="1"/>
  <c r="I1668" i="1"/>
  <c r="H1668" i="1"/>
  <c r="G1668" i="1"/>
  <c r="F1668" i="1"/>
  <c r="T1667" i="1"/>
  <c r="S1667" i="1"/>
  <c r="R1667" i="1"/>
  <c r="Q1667" i="1"/>
  <c r="P1667" i="1"/>
  <c r="O1667" i="1"/>
  <c r="N1667" i="1"/>
  <c r="M1667" i="1"/>
  <c r="L1667" i="1"/>
  <c r="K1667" i="1"/>
  <c r="J1667" i="1"/>
  <c r="I1667" i="1"/>
  <c r="H1667" i="1"/>
  <c r="F1667" i="1"/>
  <c r="G1667" i="1" s="1"/>
  <c r="T1666" i="1"/>
  <c r="S1666" i="1"/>
  <c r="R1666" i="1"/>
  <c r="Q1666" i="1"/>
  <c r="P1666" i="1"/>
  <c r="O1666" i="1"/>
  <c r="N1666" i="1"/>
  <c r="M1666" i="1"/>
  <c r="L1666" i="1"/>
  <c r="K1666" i="1"/>
  <c r="J1666" i="1"/>
  <c r="I1666" i="1"/>
  <c r="H1666" i="1"/>
  <c r="G1666" i="1"/>
  <c r="F1666" i="1"/>
  <c r="T1665" i="1"/>
  <c r="S1665" i="1"/>
  <c r="R1665" i="1"/>
  <c r="Q1665" i="1"/>
  <c r="P1665" i="1"/>
  <c r="O1665" i="1"/>
  <c r="N1665" i="1"/>
  <c r="M1665" i="1"/>
  <c r="L1665" i="1"/>
  <c r="K1665" i="1"/>
  <c r="J1665" i="1"/>
  <c r="I1665" i="1"/>
  <c r="H1665" i="1"/>
  <c r="G1665" i="1"/>
  <c r="F1665" i="1"/>
  <c r="T1664" i="1"/>
  <c r="S1664" i="1"/>
  <c r="R1664" i="1"/>
  <c r="Q1664" i="1"/>
  <c r="P1664" i="1"/>
  <c r="O1664" i="1"/>
  <c r="N1664" i="1"/>
  <c r="M1664" i="1"/>
  <c r="L1664" i="1"/>
  <c r="K1664" i="1"/>
  <c r="J1664" i="1"/>
  <c r="I1664" i="1"/>
  <c r="H1664" i="1"/>
  <c r="F1664" i="1"/>
  <c r="G1664" i="1" s="1"/>
  <c r="T1663" i="1"/>
  <c r="S1663" i="1"/>
  <c r="R1663" i="1"/>
  <c r="Q1663" i="1"/>
  <c r="P1663" i="1"/>
  <c r="O1663" i="1"/>
  <c r="N1663" i="1"/>
  <c r="M1663" i="1"/>
  <c r="L1663" i="1"/>
  <c r="K1663" i="1"/>
  <c r="J1663" i="1"/>
  <c r="I1663" i="1"/>
  <c r="H1663" i="1"/>
  <c r="G1663" i="1"/>
  <c r="F1663" i="1"/>
  <c r="T1662" i="1"/>
  <c r="S1662" i="1"/>
  <c r="R1662" i="1"/>
  <c r="Q1662" i="1"/>
  <c r="P1662" i="1"/>
  <c r="O1662" i="1"/>
  <c r="N1662" i="1"/>
  <c r="M1662" i="1"/>
  <c r="L1662" i="1"/>
  <c r="K1662" i="1"/>
  <c r="J1662" i="1"/>
  <c r="I1662" i="1"/>
  <c r="H1662" i="1"/>
  <c r="F1662" i="1"/>
  <c r="G1662" i="1" s="1"/>
  <c r="T1661" i="1"/>
  <c r="S1661" i="1"/>
  <c r="R1661" i="1"/>
  <c r="Q1661" i="1"/>
  <c r="P1661" i="1"/>
  <c r="O1661" i="1"/>
  <c r="N1661" i="1"/>
  <c r="M1661" i="1"/>
  <c r="L1661" i="1"/>
  <c r="K1661" i="1"/>
  <c r="J1661" i="1"/>
  <c r="I1661" i="1"/>
  <c r="H1661" i="1"/>
  <c r="G1661" i="1"/>
  <c r="F1661" i="1"/>
  <c r="T1660" i="1"/>
  <c r="S1660" i="1"/>
  <c r="R1660" i="1"/>
  <c r="Q1660" i="1"/>
  <c r="P1660" i="1"/>
  <c r="O1660" i="1"/>
  <c r="N1660" i="1"/>
  <c r="M1660" i="1"/>
  <c r="L1660" i="1"/>
  <c r="K1660" i="1"/>
  <c r="J1660" i="1"/>
  <c r="I1660" i="1"/>
  <c r="H1660" i="1"/>
  <c r="G1660" i="1"/>
  <c r="F1660" i="1"/>
  <c r="T1659" i="1"/>
  <c r="S1659" i="1"/>
  <c r="R1659" i="1"/>
  <c r="Q1659" i="1"/>
  <c r="P1659" i="1"/>
  <c r="O1659" i="1"/>
  <c r="N1659" i="1"/>
  <c r="M1659" i="1"/>
  <c r="L1659" i="1"/>
  <c r="K1659" i="1"/>
  <c r="J1659" i="1"/>
  <c r="I1659" i="1"/>
  <c r="H1659" i="1"/>
  <c r="F1659" i="1"/>
  <c r="G1659" i="1" s="1"/>
  <c r="T1658" i="1"/>
  <c r="S1658" i="1"/>
  <c r="R1658" i="1"/>
  <c r="Q1658" i="1"/>
  <c r="P1658" i="1"/>
  <c r="O1658" i="1"/>
  <c r="N1658" i="1"/>
  <c r="M1658" i="1"/>
  <c r="L1658" i="1"/>
  <c r="K1658" i="1"/>
  <c r="J1658" i="1"/>
  <c r="I1658" i="1"/>
  <c r="H1658" i="1"/>
  <c r="G1658" i="1"/>
  <c r="F1658" i="1"/>
  <c r="T1657" i="1"/>
  <c r="S1657" i="1"/>
  <c r="R1657" i="1"/>
  <c r="Q1657" i="1"/>
  <c r="P1657" i="1"/>
  <c r="O1657" i="1"/>
  <c r="N1657" i="1"/>
  <c r="M1657" i="1"/>
  <c r="L1657" i="1"/>
  <c r="K1657" i="1"/>
  <c r="J1657" i="1"/>
  <c r="I1657" i="1"/>
  <c r="H1657" i="1"/>
  <c r="G1657" i="1"/>
  <c r="F1657" i="1"/>
  <c r="T1656" i="1"/>
  <c r="S1656" i="1"/>
  <c r="R1656" i="1"/>
  <c r="Q1656" i="1"/>
  <c r="P1656" i="1"/>
  <c r="O1656" i="1"/>
  <c r="N1656" i="1"/>
  <c r="M1656" i="1"/>
  <c r="L1656" i="1"/>
  <c r="K1656" i="1"/>
  <c r="J1656" i="1"/>
  <c r="I1656" i="1"/>
  <c r="H1656" i="1"/>
  <c r="F1656" i="1"/>
  <c r="G1656" i="1" s="1"/>
  <c r="T1655" i="1"/>
  <c r="S1655" i="1"/>
  <c r="R1655" i="1"/>
  <c r="Q1655" i="1"/>
  <c r="P1655" i="1"/>
  <c r="O1655" i="1"/>
  <c r="N1655" i="1"/>
  <c r="M1655" i="1"/>
  <c r="L1655" i="1"/>
  <c r="K1655" i="1"/>
  <c r="J1655" i="1"/>
  <c r="I1655" i="1"/>
  <c r="H1655" i="1"/>
  <c r="G1655" i="1"/>
  <c r="F1655" i="1"/>
  <c r="T1654" i="1"/>
  <c r="S1654" i="1"/>
  <c r="R1654" i="1"/>
  <c r="Q1654" i="1"/>
  <c r="P1654" i="1"/>
  <c r="O1654" i="1"/>
  <c r="N1654" i="1"/>
  <c r="M1654" i="1"/>
  <c r="L1654" i="1"/>
  <c r="K1654" i="1"/>
  <c r="J1654" i="1"/>
  <c r="I1654" i="1"/>
  <c r="H1654" i="1"/>
  <c r="F1654" i="1"/>
  <c r="G1654" i="1" s="1"/>
  <c r="T1653" i="1"/>
  <c r="S1653" i="1"/>
  <c r="R1653" i="1"/>
  <c r="Q1653" i="1"/>
  <c r="P1653" i="1"/>
  <c r="O1653" i="1"/>
  <c r="N1653" i="1"/>
  <c r="M1653" i="1"/>
  <c r="L1653" i="1"/>
  <c r="K1653" i="1"/>
  <c r="J1653" i="1"/>
  <c r="I1653" i="1"/>
  <c r="H1653" i="1"/>
  <c r="G1653" i="1"/>
  <c r="F1653" i="1"/>
  <c r="T1652" i="1"/>
  <c r="S1652" i="1"/>
  <c r="R1652" i="1"/>
  <c r="Q1652" i="1"/>
  <c r="P1652" i="1"/>
  <c r="O1652" i="1"/>
  <c r="N1652" i="1"/>
  <c r="M1652" i="1"/>
  <c r="L1652" i="1"/>
  <c r="K1652" i="1"/>
  <c r="J1652" i="1"/>
  <c r="I1652" i="1"/>
  <c r="H1652" i="1"/>
  <c r="G1652" i="1"/>
  <c r="F1652" i="1"/>
  <c r="T1651" i="1"/>
  <c r="S1651" i="1"/>
  <c r="R1651" i="1"/>
  <c r="Q1651" i="1"/>
  <c r="P1651" i="1"/>
  <c r="O1651" i="1"/>
  <c r="N1651" i="1"/>
  <c r="M1651" i="1"/>
  <c r="L1651" i="1"/>
  <c r="K1651" i="1"/>
  <c r="J1651" i="1"/>
  <c r="I1651" i="1"/>
  <c r="H1651" i="1"/>
  <c r="F1651" i="1"/>
  <c r="G1651" i="1" s="1"/>
  <c r="T1650" i="1"/>
  <c r="S1650" i="1"/>
  <c r="R1650" i="1"/>
  <c r="Q1650" i="1"/>
  <c r="P1650" i="1"/>
  <c r="O1650" i="1"/>
  <c r="N1650" i="1"/>
  <c r="M1650" i="1"/>
  <c r="L1650" i="1"/>
  <c r="K1650" i="1"/>
  <c r="J1650" i="1"/>
  <c r="I1650" i="1"/>
  <c r="H1650" i="1"/>
  <c r="G1650" i="1"/>
  <c r="F1650" i="1"/>
  <c r="T1649" i="1"/>
  <c r="S1649" i="1"/>
  <c r="R1649" i="1"/>
  <c r="Q1649" i="1"/>
  <c r="P1649" i="1"/>
  <c r="O1649" i="1"/>
  <c r="N1649" i="1"/>
  <c r="M1649" i="1"/>
  <c r="L1649" i="1"/>
  <c r="K1649" i="1"/>
  <c r="J1649" i="1"/>
  <c r="I1649" i="1"/>
  <c r="H1649" i="1"/>
  <c r="G1649" i="1"/>
  <c r="F1649" i="1"/>
  <c r="T1648" i="1"/>
  <c r="S1648" i="1"/>
  <c r="R1648" i="1"/>
  <c r="Q1648" i="1"/>
  <c r="P1648" i="1"/>
  <c r="O1648" i="1"/>
  <c r="N1648" i="1"/>
  <c r="M1648" i="1"/>
  <c r="L1648" i="1"/>
  <c r="K1648" i="1"/>
  <c r="J1648" i="1"/>
  <c r="I1648" i="1"/>
  <c r="H1648" i="1"/>
  <c r="F1648" i="1"/>
  <c r="G1648" i="1" s="1"/>
  <c r="T1647" i="1"/>
  <c r="S1647" i="1"/>
  <c r="R1647" i="1"/>
  <c r="Q1647" i="1"/>
  <c r="P1647" i="1"/>
  <c r="O1647" i="1"/>
  <c r="N1647" i="1"/>
  <c r="M1647" i="1"/>
  <c r="L1647" i="1"/>
  <c r="K1647" i="1"/>
  <c r="J1647" i="1"/>
  <c r="I1647" i="1"/>
  <c r="H1647" i="1"/>
  <c r="G1647" i="1"/>
  <c r="F1647" i="1"/>
  <c r="T1646" i="1"/>
  <c r="S1646" i="1"/>
  <c r="R1646" i="1"/>
  <c r="Q1646" i="1"/>
  <c r="P1646" i="1"/>
  <c r="O1646" i="1"/>
  <c r="N1646" i="1"/>
  <c r="M1646" i="1"/>
  <c r="L1646" i="1"/>
  <c r="K1646" i="1"/>
  <c r="J1646" i="1"/>
  <c r="I1646" i="1"/>
  <c r="H1646" i="1"/>
  <c r="F1646" i="1"/>
  <c r="G1646" i="1" s="1"/>
  <c r="T1645" i="1"/>
  <c r="S1645" i="1"/>
  <c r="R1645" i="1"/>
  <c r="Q1645" i="1"/>
  <c r="P1645" i="1"/>
  <c r="O1645" i="1"/>
  <c r="N1645" i="1"/>
  <c r="M1645" i="1"/>
  <c r="L1645" i="1"/>
  <c r="K1645" i="1"/>
  <c r="J1645" i="1"/>
  <c r="I1645" i="1"/>
  <c r="H1645" i="1"/>
  <c r="G1645" i="1"/>
  <c r="F1645" i="1"/>
  <c r="T1644" i="1"/>
  <c r="S1644" i="1"/>
  <c r="R1644" i="1"/>
  <c r="Q1644" i="1"/>
  <c r="P1644" i="1"/>
  <c r="O1644" i="1"/>
  <c r="N1644" i="1"/>
  <c r="M1644" i="1"/>
  <c r="L1644" i="1"/>
  <c r="K1644" i="1"/>
  <c r="J1644" i="1"/>
  <c r="I1644" i="1"/>
  <c r="H1644" i="1"/>
  <c r="G1644" i="1"/>
  <c r="F1644" i="1"/>
  <c r="T1643" i="1"/>
  <c r="S1643" i="1"/>
  <c r="R1643" i="1"/>
  <c r="Q1643" i="1"/>
  <c r="P1643" i="1"/>
  <c r="O1643" i="1"/>
  <c r="N1643" i="1"/>
  <c r="M1643" i="1"/>
  <c r="L1643" i="1"/>
  <c r="K1643" i="1"/>
  <c r="J1643" i="1"/>
  <c r="I1643" i="1"/>
  <c r="H1643" i="1"/>
  <c r="F1643" i="1"/>
  <c r="G1643" i="1" s="1"/>
  <c r="T1642" i="1"/>
  <c r="S1642" i="1"/>
  <c r="R1642" i="1"/>
  <c r="Q1642" i="1"/>
  <c r="P1642" i="1"/>
  <c r="O1642" i="1"/>
  <c r="N1642" i="1"/>
  <c r="M1642" i="1"/>
  <c r="L1642" i="1"/>
  <c r="K1642" i="1"/>
  <c r="J1642" i="1"/>
  <c r="I1642" i="1"/>
  <c r="H1642" i="1"/>
  <c r="G1642" i="1"/>
  <c r="F1642" i="1"/>
  <c r="T1641" i="1"/>
  <c r="S1641" i="1"/>
  <c r="R1641" i="1"/>
  <c r="Q1641" i="1"/>
  <c r="P1641" i="1"/>
  <c r="O1641" i="1"/>
  <c r="N1641" i="1"/>
  <c r="M1641" i="1"/>
  <c r="L1641" i="1"/>
  <c r="K1641" i="1"/>
  <c r="J1641" i="1"/>
  <c r="I1641" i="1"/>
  <c r="H1641" i="1"/>
  <c r="G1641" i="1"/>
  <c r="F1641" i="1"/>
  <c r="T1640" i="1"/>
  <c r="S1640" i="1"/>
  <c r="R1640" i="1"/>
  <c r="Q1640" i="1"/>
  <c r="P1640" i="1"/>
  <c r="O1640" i="1"/>
  <c r="N1640" i="1"/>
  <c r="M1640" i="1"/>
  <c r="L1640" i="1"/>
  <c r="K1640" i="1"/>
  <c r="J1640" i="1"/>
  <c r="I1640" i="1"/>
  <c r="H1640" i="1"/>
  <c r="F1640" i="1"/>
  <c r="G1640" i="1" s="1"/>
  <c r="T1639" i="1"/>
  <c r="S1639" i="1"/>
  <c r="R1639" i="1"/>
  <c r="Q1639" i="1"/>
  <c r="P1639" i="1"/>
  <c r="O1639" i="1"/>
  <c r="N1639" i="1"/>
  <c r="M1639" i="1"/>
  <c r="L1639" i="1"/>
  <c r="K1639" i="1"/>
  <c r="J1639" i="1"/>
  <c r="I1639" i="1"/>
  <c r="H1639" i="1"/>
  <c r="G1639" i="1"/>
  <c r="F1639" i="1"/>
  <c r="T1638" i="1"/>
  <c r="S1638" i="1"/>
  <c r="R1638" i="1"/>
  <c r="Q1638" i="1"/>
  <c r="P1638" i="1"/>
  <c r="O1638" i="1"/>
  <c r="N1638" i="1"/>
  <c r="M1638" i="1"/>
  <c r="L1638" i="1"/>
  <c r="K1638" i="1"/>
  <c r="J1638" i="1"/>
  <c r="I1638" i="1"/>
  <c r="H1638" i="1"/>
  <c r="F1638" i="1"/>
  <c r="G1638" i="1" s="1"/>
  <c r="T1637" i="1"/>
  <c r="S1637" i="1"/>
  <c r="R1637" i="1"/>
  <c r="Q1637" i="1"/>
  <c r="P1637" i="1"/>
  <c r="O1637" i="1"/>
  <c r="N1637" i="1"/>
  <c r="M1637" i="1"/>
  <c r="L1637" i="1"/>
  <c r="K1637" i="1"/>
  <c r="J1637" i="1"/>
  <c r="I1637" i="1"/>
  <c r="H1637" i="1"/>
  <c r="G1637" i="1"/>
  <c r="F1637" i="1"/>
  <c r="T1636" i="1"/>
  <c r="S1636" i="1"/>
  <c r="R1636" i="1"/>
  <c r="Q1636" i="1"/>
  <c r="P1636" i="1"/>
  <c r="O1636" i="1"/>
  <c r="N1636" i="1"/>
  <c r="M1636" i="1"/>
  <c r="L1636" i="1"/>
  <c r="K1636" i="1"/>
  <c r="J1636" i="1"/>
  <c r="I1636" i="1"/>
  <c r="H1636" i="1"/>
  <c r="G1636" i="1"/>
  <c r="F1636" i="1"/>
  <c r="T1635" i="1"/>
  <c r="S1635" i="1"/>
  <c r="R1635" i="1"/>
  <c r="Q1635" i="1"/>
  <c r="P1635" i="1"/>
  <c r="O1635" i="1"/>
  <c r="N1635" i="1"/>
  <c r="M1635" i="1"/>
  <c r="L1635" i="1"/>
  <c r="K1635" i="1"/>
  <c r="J1635" i="1"/>
  <c r="I1635" i="1"/>
  <c r="H1635" i="1"/>
  <c r="F1635" i="1"/>
  <c r="G1635" i="1" s="1"/>
  <c r="T1634" i="1"/>
  <c r="S1634" i="1"/>
  <c r="R1634" i="1"/>
  <c r="Q1634" i="1"/>
  <c r="P1634" i="1"/>
  <c r="O1634" i="1"/>
  <c r="N1634" i="1"/>
  <c r="M1634" i="1"/>
  <c r="L1634" i="1"/>
  <c r="K1634" i="1"/>
  <c r="J1634" i="1"/>
  <c r="I1634" i="1"/>
  <c r="H1634" i="1"/>
  <c r="G1634" i="1"/>
  <c r="F1634" i="1"/>
  <c r="T1633" i="1"/>
  <c r="S1633" i="1"/>
  <c r="R1633" i="1"/>
  <c r="Q1633" i="1"/>
  <c r="P1633" i="1"/>
  <c r="O1633" i="1"/>
  <c r="N1633" i="1"/>
  <c r="M1633" i="1"/>
  <c r="L1633" i="1"/>
  <c r="K1633" i="1"/>
  <c r="J1633" i="1"/>
  <c r="I1633" i="1"/>
  <c r="H1633" i="1"/>
  <c r="G1633" i="1"/>
  <c r="F1633" i="1"/>
  <c r="T1632" i="1"/>
  <c r="S1632" i="1"/>
  <c r="R1632" i="1"/>
  <c r="Q1632" i="1"/>
  <c r="P1632" i="1"/>
  <c r="O1632" i="1"/>
  <c r="N1632" i="1"/>
  <c r="M1632" i="1"/>
  <c r="L1632" i="1"/>
  <c r="K1632" i="1"/>
  <c r="J1632" i="1"/>
  <c r="I1632" i="1"/>
  <c r="H1632" i="1"/>
  <c r="F1632" i="1"/>
  <c r="G1632" i="1" s="1"/>
  <c r="T1631" i="1"/>
  <c r="S1631" i="1"/>
  <c r="R1631" i="1"/>
  <c r="Q1631" i="1"/>
  <c r="P1631" i="1"/>
  <c r="O1631" i="1"/>
  <c r="N1631" i="1"/>
  <c r="M1631" i="1"/>
  <c r="L1631" i="1"/>
  <c r="K1631" i="1"/>
  <c r="J1631" i="1"/>
  <c r="I1631" i="1"/>
  <c r="H1631" i="1"/>
  <c r="G1631" i="1"/>
  <c r="F1631" i="1"/>
  <c r="T1630" i="1"/>
  <c r="S1630" i="1"/>
  <c r="R1630" i="1"/>
  <c r="Q1630" i="1"/>
  <c r="P1630" i="1"/>
  <c r="O1630" i="1"/>
  <c r="N1630" i="1"/>
  <c r="M1630" i="1"/>
  <c r="L1630" i="1"/>
  <c r="K1630" i="1"/>
  <c r="J1630" i="1"/>
  <c r="I1630" i="1"/>
  <c r="H1630" i="1"/>
  <c r="F1630" i="1"/>
  <c r="G1630" i="1" s="1"/>
  <c r="T1629" i="1"/>
  <c r="S1629" i="1"/>
  <c r="R1629" i="1"/>
  <c r="Q1629" i="1"/>
  <c r="P1629" i="1"/>
  <c r="O1629" i="1"/>
  <c r="N1629" i="1"/>
  <c r="M1629" i="1"/>
  <c r="L1629" i="1"/>
  <c r="K1629" i="1"/>
  <c r="J1629" i="1"/>
  <c r="I1629" i="1"/>
  <c r="H1629" i="1"/>
  <c r="G1629" i="1"/>
  <c r="F1629" i="1"/>
  <c r="T1628" i="1"/>
  <c r="S1628" i="1"/>
  <c r="R1628" i="1"/>
  <c r="Q1628" i="1"/>
  <c r="P1628" i="1"/>
  <c r="O1628" i="1"/>
  <c r="N1628" i="1"/>
  <c r="M1628" i="1"/>
  <c r="L1628" i="1"/>
  <c r="K1628" i="1"/>
  <c r="J1628" i="1"/>
  <c r="I1628" i="1"/>
  <c r="H1628" i="1"/>
  <c r="G1628" i="1"/>
  <c r="F1628" i="1"/>
  <c r="T1627" i="1"/>
  <c r="S1627" i="1"/>
  <c r="R1627" i="1"/>
  <c r="Q1627" i="1"/>
  <c r="P1627" i="1"/>
  <c r="O1627" i="1"/>
  <c r="N1627" i="1"/>
  <c r="M1627" i="1"/>
  <c r="L1627" i="1"/>
  <c r="K1627" i="1"/>
  <c r="J1627" i="1"/>
  <c r="I1627" i="1"/>
  <c r="H1627" i="1"/>
  <c r="F1627" i="1"/>
  <c r="G1627" i="1" s="1"/>
  <c r="T1626" i="1"/>
  <c r="S1626" i="1"/>
  <c r="R1626" i="1"/>
  <c r="Q1626" i="1"/>
  <c r="P1626" i="1"/>
  <c r="O1626" i="1"/>
  <c r="N1626" i="1"/>
  <c r="M1626" i="1"/>
  <c r="L1626" i="1"/>
  <c r="K1626" i="1"/>
  <c r="J1626" i="1"/>
  <c r="I1626" i="1"/>
  <c r="H1626" i="1"/>
  <c r="G1626" i="1"/>
  <c r="F1626" i="1"/>
  <c r="T1625" i="1"/>
  <c r="S1625" i="1"/>
  <c r="R1625" i="1"/>
  <c r="Q1625" i="1"/>
  <c r="P1625" i="1"/>
  <c r="O1625" i="1"/>
  <c r="N1625" i="1"/>
  <c r="M1625" i="1"/>
  <c r="L1625" i="1"/>
  <c r="K1625" i="1"/>
  <c r="J1625" i="1"/>
  <c r="I1625" i="1"/>
  <c r="H1625" i="1"/>
  <c r="G1625" i="1"/>
  <c r="F1625" i="1"/>
  <c r="T1624" i="1"/>
  <c r="S1624" i="1"/>
  <c r="R1624" i="1"/>
  <c r="Q1624" i="1"/>
  <c r="P1624" i="1"/>
  <c r="O1624" i="1"/>
  <c r="N1624" i="1"/>
  <c r="M1624" i="1"/>
  <c r="L1624" i="1"/>
  <c r="K1624" i="1"/>
  <c r="J1624" i="1"/>
  <c r="I1624" i="1"/>
  <c r="H1624" i="1"/>
  <c r="F1624" i="1"/>
  <c r="G1624" i="1" s="1"/>
  <c r="T1623" i="1"/>
  <c r="S1623" i="1"/>
  <c r="R1623" i="1"/>
  <c r="Q1623" i="1"/>
  <c r="P1623" i="1"/>
  <c r="O1623" i="1"/>
  <c r="N1623" i="1"/>
  <c r="M1623" i="1"/>
  <c r="L1623" i="1"/>
  <c r="K1623" i="1"/>
  <c r="J1623" i="1"/>
  <c r="I1623" i="1"/>
  <c r="H1623" i="1"/>
  <c r="G1623" i="1"/>
  <c r="F1623" i="1"/>
  <c r="T1622" i="1"/>
  <c r="S1622" i="1"/>
  <c r="R1622" i="1"/>
  <c r="Q1622" i="1"/>
  <c r="P1622" i="1"/>
  <c r="O1622" i="1"/>
  <c r="N1622" i="1"/>
  <c r="M1622" i="1"/>
  <c r="L1622" i="1"/>
  <c r="K1622" i="1"/>
  <c r="J1622" i="1"/>
  <c r="I1622" i="1"/>
  <c r="H1622" i="1"/>
  <c r="F1622" i="1"/>
  <c r="G1622" i="1" s="1"/>
  <c r="T1621" i="1"/>
  <c r="S1621" i="1"/>
  <c r="R1621" i="1"/>
  <c r="Q1621" i="1"/>
  <c r="P1621" i="1"/>
  <c r="O1621" i="1"/>
  <c r="N1621" i="1"/>
  <c r="M1621" i="1"/>
  <c r="L1621" i="1"/>
  <c r="K1621" i="1"/>
  <c r="J1621" i="1"/>
  <c r="I1621" i="1"/>
  <c r="H1621" i="1"/>
  <c r="G1621" i="1"/>
  <c r="F1621" i="1"/>
  <c r="T1620" i="1"/>
  <c r="S1620" i="1"/>
  <c r="R1620" i="1"/>
  <c r="Q1620" i="1"/>
  <c r="P1620" i="1"/>
  <c r="O1620" i="1"/>
  <c r="N1620" i="1"/>
  <c r="M1620" i="1"/>
  <c r="L1620" i="1"/>
  <c r="K1620" i="1"/>
  <c r="J1620" i="1"/>
  <c r="I1620" i="1"/>
  <c r="H1620" i="1"/>
  <c r="G1620" i="1"/>
  <c r="F1620" i="1"/>
  <c r="T1619" i="1"/>
  <c r="S1619" i="1"/>
  <c r="R1619" i="1"/>
  <c r="Q1619" i="1"/>
  <c r="P1619" i="1"/>
  <c r="O1619" i="1"/>
  <c r="N1619" i="1"/>
  <c r="M1619" i="1"/>
  <c r="L1619" i="1"/>
  <c r="K1619" i="1"/>
  <c r="J1619" i="1"/>
  <c r="I1619" i="1"/>
  <c r="H1619" i="1"/>
  <c r="F1619" i="1"/>
  <c r="G1619" i="1" s="1"/>
  <c r="T1618" i="1"/>
  <c r="S1618" i="1"/>
  <c r="R1618" i="1"/>
  <c r="Q1618" i="1"/>
  <c r="P1618" i="1"/>
  <c r="O1618" i="1"/>
  <c r="N1618" i="1"/>
  <c r="M1618" i="1"/>
  <c r="L1618" i="1"/>
  <c r="K1618" i="1"/>
  <c r="J1618" i="1"/>
  <c r="I1618" i="1"/>
  <c r="H1618" i="1"/>
  <c r="G1618" i="1"/>
  <c r="F1618" i="1"/>
  <c r="T1617" i="1"/>
  <c r="S1617" i="1"/>
  <c r="R1617" i="1"/>
  <c r="Q1617" i="1"/>
  <c r="P1617" i="1"/>
  <c r="O1617" i="1"/>
  <c r="N1617" i="1"/>
  <c r="M1617" i="1"/>
  <c r="L1617" i="1"/>
  <c r="K1617" i="1"/>
  <c r="J1617" i="1"/>
  <c r="I1617" i="1"/>
  <c r="H1617" i="1"/>
  <c r="G1617" i="1"/>
  <c r="F1617" i="1"/>
  <c r="T1616" i="1"/>
  <c r="S1616" i="1"/>
  <c r="R1616" i="1"/>
  <c r="Q1616" i="1"/>
  <c r="P1616" i="1"/>
  <c r="O1616" i="1"/>
  <c r="N1616" i="1"/>
  <c r="M1616" i="1"/>
  <c r="L1616" i="1"/>
  <c r="K1616" i="1"/>
  <c r="J1616" i="1"/>
  <c r="I1616" i="1"/>
  <c r="H1616" i="1"/>
  <c r="F1616" i="1"/>
  <c r="G1616" i="1" s="1"/>
  <c r="T1615" i="1"/>
  <c r="S1615" i="1"/>
  <c r="R1615" i="1"/>
  <c r="Q1615" i="1"/>
  <c r="P1615" i="1"/>
  <c r="O1615" i="1"/>
  <c r="N1615" i="1"/>
  <c r="M1615" i="1"/>
  <c r="L1615" i="1"/>
  <c r="K1615" i="1"/>
  <c r="J1615" i="1"/>
  <c r="I1615" i="1"/>
  <c r="H1615" i="1"/>
  <c r="G1615" i="1"/>
  <c r="F1615" i="1"/>
  <c r="T1614" i="1"/>
  <c r="S1614" i="1"/>
  <c r="R1614" i="1"/>
  <c r="Q1614" i="1"/>
  <c r="P1614" i="1"/>
  <c r="O1614" i="1"/>
  <c r="N1614" i="1"/>
  <c r="M1614" i="1"/>
  <c r="L1614" i="1"/>
  <c r="K1614" i="1"/>
  <c r="J1614" i="1"/>
  <c r="I1614" i="1"/>
  <c r="H1614" i="1"/>
  <c r="F1614" i="1"/>
  <c r="G1614" i="1" s="1"/>
  <c r="T1613" i="1"/>
  <c r="S1613" i="1"/>
  <c r="R1613" i="1"/>
  <c r="Q1613" i="1"/>
  <c r="P1613" i="1"/>
  <c r="O1613" i="1"/>
  <c r="N1613" i="1"/>
  <c r="M1613" i="1"/>
  <c r="L1613" i="1"/>
  <c r="K1613" i="1"/>
  <c r="J1613" i="1"/>
  <c r="I1613" i="1"/>
  <c r="H1613" i="1"/>
  <c r="G1613" i="1"/>
  <c r="F1613" i="1"/>
  <c r="T1612" i="1"/>
  <c r="S1612" i="1"/>
  <c r="R1612" i="1"/>
  <c r="Q1612" i="1"/>
  <c r="P1612" i="1"/>
  <c r="O1612" i="1"/>
  <c r="N1612" i="1"/>
  <c r="M1612" i="1"/>
  <c r="L1612" i="1"/>
  <c r="K1612" i="1"/>
  <c r="J1612" i="1"/>
  <c r="I1612" i="1"/>
  <c r="H1612" i="1"/>
  <c r="G1612" i="1"/>
  <c r="F1612" i="1"/>
  <c r="T1611" i="1"/>
  <c r="S1611" i="1"/>
  <c r="R1611" i="1"/>
  <c r="Q1611" i="1"/>
  <c r="P1611" i="1"/>
  <c r="O1611" i="1"/>
  <c r="N1611" i="1"/>
  <c r="M1611" i="1"/>
  <c r="L1611" i="1"/>
  <c r="K1611" i="1"/>
  <c r="J1611" i="1"/>
  <c r="I1611" i="1"/>
  <c r="H1611" i="1"/>
  <c r="F1611" i="1"/>
  <c r="G1611" i="1" s="1"/>
  <c r="T1610" i="1"/>
  <c r="S1610" i="1"/>
  <c r="R1610" i="1"/>
  <c r="Q1610" i="1"/>
  <c r="P1610" i="1"/>
  <c r="O1610" i="1"/>
  <c r="N1610" i="1"/>
  <c r="M1610" i="1"/>
  <c r="L1610" i="1"/>
  <c r="K1610" i="1"/>
  <c r="J1610" i="1"/>
  <c r="I1610" i="1"/>
  <c r="H1610" i="1"/>
  <c r="G1610" i="1"/>
  <c r="F1610" i="1"/>
  <c r="T1609" i="1"/>
  <c r="S1609" i="1"/>
  <c r="R1609" i="1"/>
  <c r="Q1609" i="1"/>
  <c r="P1609" i="1"/>
  <c r="O1609" i="1"/>
  <c r="N1609" i="1"/>
  <c r="M1609" i="1"/>
  <c r="L1609" i="1"/>
  <c r="K1609" i="1"/>
  <c r="J1609" i="1"/>
  <c r="I1609" i="1"/>
  <c r="H1609" i="1"/>
  <c r="G1609" i="1"/>
  <c r="F1609" i="1"/>
  <c r="T1608" i="1"/>
  <c r="S1608" i="1"/>
  <c r="R1608" i="1"/>
  <c r="Q1608" i="1"/>
  <c r="P1608" i="1"/>
  <c r="O1608" i="1"/>
  <c r="N1608" i="1"/>
  <c r="M1608" i="1"/>
  <c r="L1608" i="1"/>
  <c r="K1608" i="1"/>
  <c r="J1608" i="1"/>
  <c r="I1608" i="1"/>
  <c r="H1608" i="1"/>
  <c r="F1608" i="1"/>
  <c r="G1608" i="1" s="1"/>
  <c r="T1607" i="1"/>
  <c r="S1607" i="1"/>
  <c r="R1607" i="1"/>
  <c r="Q1607" i="1"/>
  <c r="P1607" i="1"/>
  <c r="O1607" i="1"/>
  <c r="N1607" i="1"/>
  <c r="M1607" i="1"/>
  <c r="L1607" i="1"/>
  <c r="K1607" i="1"/>
  <c r="J1607" i="1"/>
  <c r="I1607" i="1"/>
  <c r="H1607" i="1"/>
  <c r="G1607" i="1"/>
  <c r="F1607" i="1"/>
  <c r="T1606" i="1"/>
  <c r="S1606" i="1"/>
  <c r="R1606" i="1"/>
  <c r="Q1606" i="1"/>
  <c r="P1606" i="1"/>
  <c r="O1606" i="1"/>
  <c r="N1606" i="1"/>
  <c r="M1606" i="1"/>
  <c r="L1606" i="1"/>
  <c r="K1606" i="1"/>
  <c r="J1606" i="1"/>
  <c r="I1606" i="1"/>
  <c r="H1606" i="1"/>
  <c r="F1606" i="1"/>
  <c r="G1606" i="1" s="1"/>
  <c r="T1605" i="1"/>
  <c r="S1605" i="1"/>
  <c r="R1605" i="1"/>
  <c r="Q1605" i="1"/>
  <c r="P1605" i="1"/>
  <c r="O1605" i="1"/>
  <c r="N1605" i="1"/>
  <c r="M1605" i="1"/>
  <c r="L1605" i="1"/>
  <c r="K1605" i="1"/>
  <c r="J1605" i="1"/>
  <c r="I1605" i="1"/>
  <c r="H1605" i="1"/>
  <c r="G1605" i="1"/>
  <c r="F1605" i="1"/>
  <c r="T1604" i="1"/>
  <c r="S1604" i="1"/>
  <c r="R1604" i="1"/>
  <c r="Q1604" i="1"/>
  <c r="P1604" i="1"/>
  <c r="O1604" i="1"/>
  <c r="N1604" i="1"/>
  <c r="M1604" i="1"/>
  <c r="L1604" i="1"/>
  <c r="K1604" i="1"/>
  <c r="J1604" i="1"/>
  <c r="I1604" i="1"/>
  <c r="H1604" i="1"/>
  <c r="F1604" i="1"/>
  <c r="G1604" i="1" s="1"/>
  <c r="T1603" i="1"/>
  <c r="S1603" i="1"/>
  <c r="R1603" i="1"/>
  <c r="Q1603" i="1"/>
  <c r="P1603" i="1"/>
  <c r="O1603" i="1"/>
  <c r="N1603" i="1"/>
  <c r="M1603" i="1"/>
  <c r="L1603" i="1"/>
  <c r="K1603" i="1"/>
  <c r="J1603" i="1"/>
  <c r="I1603" i="1"/>
  <c r="H1603" i="1"/>
  <c r="F1603" i="1"/>
  <c r="G1603" i="1" s="1"/>
  <c r="T1602" i="1"/>
  <c r="S1602" i="1"/>
  <c r="R1602" i="1"/>
  <c r="Q1602" i="1"/>
  <c r="P1602" i="1"/>
  <c r="O1602" i="1"/>
  <c r="N1602" i="1"/>
  <c r="M1602" i="1"/>
  <c r="L1602" i="1"/>
  <c r="K1602" i="1"/>
  <c r="J1602" i="1"/>
  <c r="I1602" i="1"/>
  <c r="H1602" i="1"/>
  <c r="G1602" i="1"/>
  <c r="F1602" i="1"/>
  <c r="T1601" i="1"/>
  <c r="S1601" i="1"/>
  <c r="R1601" i="1"/>
  <c r="Q1601" i="1"/>
  <c r="P1601" i="1"/>
  <c r="O1601" i="1"/>
  <c r="N1601" i="1"/>
  <c r="M1601" i="1"/>
  <c r="L1601" i="1"/>
  <c r="K1601" i="1"/>
  <c r="J1601" i="1"/>
  <c r="I1601" i="1"/>
  <c r="H1601" i="1"/>
  <c r="G1601" i="1"/>
  <c r="F1601" i="1"/>
  <c r="T1600" i="1"/>
  <c r="S1600" i="1"/>
  <c r="R1600" i="1"/>
  <c r="Q1600" i="1"/>
  <c r="P1600" i="1"/>
  <c r="O1600" i="1"/>
  <c r="N1600" i="1"/>
  <c r="M1600" i="1"/>
  <c r="L1600" i="1"/>
  <c r="K1600" i="1"/>
  <c r="J1600" i="1"/>
  <c r="I1600" i="1"/>
  <c r="H1600" i="1"/>
  <c r="F1600" i="1"/>
  <c r="G1600" i="1" s="1"/>
  <c r="T1599" i="1"/>
  <c r="S1599" i="1"/>
  <c r="R1599" i="1"/>
  <c r="Q1599" i="1"/>
  <c r="P1599" i="1"/>
  <c r="O1599" i="1"/>
  <c r="N1599" i="1"/>
  <c r="M1599" i="1"/>
  <c r="L1599" i="1"/>
  <c r="K1599" i="1"/>
  <c r="J1599" i="1"/>
  <c r="I1599" i="1"/>
  <c r="H1599" i="1"/>
  <c r="G1599" i="1"/>
  <c r="F1599" i="1"/>
  <c r="T1598" i="1"/>
  <c r="S1598" i="1"/>
  <c r="R1598" i="1"/>
  <c r="Q1598" i="1"/>
  <c r="P1598" i="1"/>
  <c r="O1598" i="1"/>
  <c r="N1598" i="1"/>
  <c r="M1598" i="1"/>
  <c r="L1598" i="1"/>
  <c r="K1598" i="1"/>
  <c r="J1598" i="1"/>
  <c r="I1598" i="1"/>
  <c r="H1598" i="1"/>
  <c r="F1598" i="1"/>
  <c r="G1598" i="1" s="1"/>
  <c r="T1597" i="1"/>
  <c r="S1597" i="1"/>
  <c r="R1597" i="1"/>
  <c r="Q1597" i="1"/>
  <c r="P1597" i="1"/>
  <c r="O1597" i="1"/>
  <c r="N1597" i="1"/>
  <c r="M1597" i="1"/>
  <c r="L1597" i="1"/>
  <c r="K1597" i="1"/>
  <c r="J1597" i="1"/>
  <c r="I1597" i="1"/>
  <c r="H1597" i="1"/>
  <c r="G1597" i="1"/>
  <c r="F1597" i="1"/>
  <c r="T1596" i="1"/>
  <c r="S1596" i="1"/>
  <c r="R1596" i="1"/>
  <c r="Q1596" i="1"/>
  <c r="P1596" i="1"/>
  <c r="O1596" i="1"/>
  <c r="N1596" i="1"/>
  <c r="M1596" i="1"/>
  <c r="L1596" i="1"/>
  <c r="K1596" i="1"/>
  <c r="J1596" i="1"/>
  <c r="I1596" i="1"/>
  <c r="H1596" i="1"/>
  <c r="G1596" i="1"/>
  <c r="F1596" i="1"/>
  <c r="T1595" i="1"/>
  <c r="S1595" i="1"/>
  <c r="R1595" i="1"/>
  <c r="Q1595" i="1"/>
  <c r="P1595" i="1"/>
  <c r="O1595" i="1"/>
  <c r="N1595" i="1"/>
  <c r="M1595" i="1"/>
  <c r="L1595" i="1"/>
  <c r="K1595" i="1"/>
  <c r="J1595" i="1"/>
  <c r="I1595" i="1"/>
  <c r="H1595" i="1"/>
  <c r="F1595" i="1"/>
  <c r="G1595" i="1" s="1"/>
  <c r="T1594" i="1"/>
  <c r="S1594" i="1"/>
  <c r="R1594" i="1"/>
  <c r="Q1594" i="1"/>
  <c r="P1594" i="1"/>
  <c r="O1594" i="1"/>
  <c r="N1594" i="1"/>
  <c r="M1594" i="1"/>
  <c r="L1594" i="1"/>
  <c r="K1594" i="1"/>
  <c r="J1594" i="1"/>
  <c r="I1594" i="1"/>
  <c r="H1594" i="1"/>
  <c r="G1594" i="1"/>
  <c r="F1594" i="1"/>
  <c r="T1593" i="1"/>
  <c r="S1593" i="1"/>
  <c r="R1593" i="1"/>
  <c r="Q1593" i="1"/>
  <c r="P1593" i="1"/>
  <c r="O1593" i="1"/>
  <c r="N1593" i="1"/>
  <c r="M1593" i="1"/>
  <c r="L1593" i="1"/>
  <c r="K1593" i="1"/>
  <c r="J1593" i="1"/>
  <c r="I1593" i="1"/>
  <c r="H1593" i="1"/>
  <c r="G1593" i="1"/>
  <c r="F1593" i="1"/>
  <c r="T1592" i="1"/>
  <c r="S1592" i="1"/>
  <c r="R1592" i="1"/>
  <c r="Q1592" i="1"/>
  <c r="P1592" i="1"/>
  <c r="O1592" i="1"/>
  <c r="N1592" i="1"/>
  <c r="M1592" i="1"/>
  <c r="L1592" i="1"/>
  <c r="K1592" i="1"/>
  <c r="J1592" i="1"/>
  <c r="I1592" i="1"/>
  <c r="H1592" i="1"/>
  <c r="F1592" i="1"/>
  <c r="G1592" i="1" s="1"/>
  <c r="T1591" i="1"/>
  <c r="S1591" i="1"/>
  <c r="R1591" i="1"/>
  <c r="Q1591" i="1"/>
  <c r="P1591" i="1"/>
  <c r="O1591" i="1"/>
  <c r="N1591" i="1"/>
  <c r="M1591" i="1"/>
  <c r="L1591" i="1"/>
  <c r="K1591" i="1"/>
  <c r="J1591" i="1"/>
  <c r="I1591" i="1"/>
  <c r="H1591" i="1"/>
  <c r="G1591" i="1"/>
  <c r="F1591" i="1"/>
  <c r="T1590" i="1"/>
  <c r="S1590" i="1"/>
  <c r="R1590" i="1"/>
  <c r="Q1590" i="1"/>
  <c r="P1590" i="1"/>
  <c r="O1590" i="1"/>
  <c r="N1590" i="1"/>
  <c r="M1590" i="1"/>
  <c r="L1590" i="1"/>
  <c r="K1590" i="1"/>
  <c r="J1590" i="1"/>
  <c r="I1590" i="1"/>
  <c r="H1590" i="1"/>
  <c r="F1590" i="1"/>
  <c r="G1590" i="1" s="1"/>
  <c r="T1589" i="1"/>
  <c r="S1589" i="1"/>
  <c r="R1589" i="1"/>
  <c r="Q1589" i="1"/>
  <c r="P1589" i="1"/>
  <c r="O1589" i="1"/>
  <c r="N1589" i="1"/>
  <c r="M1589" i="1"/>
  <c r="L1589" i="1"/>
  <c r="K1589" i="1"/>
  <c r="J1589" i="1"/>
  <c r="I1589" i="1"/>
  <c r="H1589" i="1"/>
  <c r="G1589" i="1"/>
  <c r="F1589" i="1"/>
  <c r="T1588" i="1"/>
  <c r="S1588" i="1"/>
  <c r="R1588" i="1"/>
  <c r="Q1588" i="1"/>
  <c r="P1588" i="1"/>
  <c r="O1588" i="1"/>
  <c r="N1588" i="1"/>
  <c r="M1588" i="1"/>
  <c r="L1588" i="1"/>
  <c r="K1588" i="1"/>
  <c r="J1588" i="1"/>
  <c r="I1588" i="1"/>
  <c r="H1588" i="1"/>
  <c r="G1588" i="1"/>
  <c r="F1588" i="1"/>
  <c r="T1587" i="1"/>
  <c r="S1587" i="1"/>
  <c r="R1587" i="1"/>
  <c r="Q1587" i="1"/>
  <c r="P1587" i="1"/>
  <c r="O1587" i="1"/>
  <c r="N1587" i="1"/>
  <c r="M1587" i="1"/>
  <c r="L1587" i="1"/>
  <c r="K1587" i="1"/>
  <c r="J1587" i="1"/>
  <c r="I1587" i="1"/>
  <c r="H1587" i="1"/>
  <c r="F1587" i="1"/>
  <c r="G1587" i="1" s="1"/>
  <c r="T1586" i="1"/>
  <c r="S1586" i="1"/>
  <c r="R1586" i="1"/>
  <c r="Q1586" i="1"/>
  <c r="P1586" i="1"/>
  <c r="O1586" i="1"/>
  <c r="N1586" i="1"/>
  <c r="M1586" i="1"/>
  <c r="L1586" i="1"/>
  <c r="K1586" i="1"/>
  <c r="J1586" i="1"/>
  <c r="I1586" i="1"/>
  <c r="H1586" i="1"/>
  <c r="G1586" i="1"/>
  <c r="F1586" i="1"/>
  <c r="T1585" i="1"/>
  <c r="S1585" i="1"/>
  <c r="R1585" i="1"/>
  <c r="Q1585" i="1"/>
  <c r="P1585" i="1"/>
  <c r="O1585" i="1"/>
  <c r="N1585" i="1"/>
  <c r="M1585" i="1"/>
  <c r="L1585" i="1"/>
  <c r="K1585" i="1"/>
  <c r="J1585" i="1"/>
  <c r="I1585" i="1"/>
  <c r="H1585" i="1"/>
  <c r="G1585" i="1"/>
  <c r="F1585" i="1"/>
  <c r="T1584" i="1"/>
  <c r="S1584" i="1"/>
  <c r="R1584" i="1"/>
  <c r="Q1584" i="1"/>
  <c r="P1584" i="1"/>
  <c r="O1584" i="1"/>
  <c r="N1584" i="1"/>
  <c r="M1584" i="1"/>
  <c r="L1584" i="1"/>
  <c r="K1584" i="1"/>
  <c r="J1584" i="1"/>
  <c r="I1584" i="1"/>
  <c r="H1584" i="1"/>
  <c r="F1584" i="1"/>
  <c r="G1584" i="1" s="1"/>
  <c r="T1583" i="1"/>
  <c r="S1583" i="1"/>
  <c r="R1583" i="1"/>
  <c r="Q1583" i="1"/>
  <c r="P1583" i="1"/>
  <c r="O1583" i="1"/>
  <c r="N1583" i="1"/>
  <c r="M1583" i="1"/>
  <c r="L1583" i="1"/>
  <c r="K1583" i="1"/>
  <c r="J1583" i="1"/>
  <c r="I1583" i="1"/>
  <c r="H1583" i="1"/>
  <c r="G1583" i="1"/>
  <c r="F1583" i="1"/>
  <c r="T1582" i="1"/>
  <c r="S1582" i="1"/>
  <c r="R1582" i="1"/>
  <c r="Q1582" i="1"/>
  <c r="P1582" i="1"/>
  <c r="O1582" i="1"/>
  <c r="N1582" i="1"/>
  <c r="M1582" i="1"/>
  <c r="L1582" i="1"/>
  <c r="K1582" i="1"/>
  <c r="J1582" i="1"/>
  <c r="I1582" i="1"/>
  <c r="H1582" i="1"/>
  <c r="F1582" i="1"/>
  <c r="G1582" i="1" s="1"/>
  <c r="T1581" i="1"/>
  <c r="S1581" i="1"/>
  <c r="R1581" i="1"/>
  <c r="Q1581" i="1"/>
  <c r="P1581" i="1"/>
  <c r="O1581" i="1"/>
  <c r="N1581" i="1"/>
  <c r="M1581" i="1"/>
  <c r="L1581" i="1"/>
  <c r="K1581" i="1"/>
  <c r="J1581" i="1"/>
  <c r="I1581" i="1"/>
  <c r="H1581" i="1"/>
  <c r="G1581" i="1"/>
  <c r="F1581" i="1"/>
  <c r="T1580" i="1"/>
  <c r="S1580" i="1"/>
  <c r="R1580" i="1"/>
  <c r="Q1580" i="1"/>
  <c r="P1580" i="1"/>
  <c r="O1580" i="1"/>
  <c r="N1580" i="1"/>
  <c r="M1580" i="1"/>
  <c r="L1580" i="1"/>
  <c r="K1580" i="1"/>
  <c r="J1580" i="1"/>
  <c r="I1580" i="1"/>
  <c r="H1580" i="1"/>
  <c r="G1580" i="1"/>
  <c r="F1580" i="1"/>
  <c r="T1579" i="1"/>
  <c r="S1579" i="1"/>
  <c r="R1579" i="1"/>
  <c r="Q1579" i="1"/>
  <c r="P1579" i="1"/>
  <c r="O1579" i="1"/>
  <c r="N1579" i="1"/>
  <c r="M1579" i="1"/>
  <c r="L1579" i="1"/>
  <c r="K1579" i="1"/>
  <c r="J1579" i="1"/>
  <c r="I1579" i="1"/>
  <c r="H1579" i="1"/>
  <c r="F1579" i="1"/>
  <c r="G1579" i="1" s="1"/>
  <c r="T1578" i="1"/>
  <c r="S1578" i="1"/>
  <c r="R1578" i="1"/>
  <c r="Q1578" i="1"/>
  <c r="P1578" i="1"/>
  <c r="O1578" i="1"/>
  <c r="N1578" i="1"/>
  <c r="M1578" i="1"/>
  <c r="L1578" i="1"/>
  <c r="K1578" i="1"/>
  <c r="J1578" i="1"/>
  <c r="I1578" i="1"/>
  <c r="H1578" i="1"/>
  <c r="G1578" i="1"/>
  <c r="F1578" i="1"/>
  <c r="T1577" i="1"/>
  <c r="S1577" i="1"/>
  <c r="R1577" i="1"/>
  <c r="Q1577" i="1"/>
  <c r="P1577" i="1"/>
  <c r="O1577" i="1"/>
  <c r="N1577" i="1"/>
  <c r="M1577" i="1"/>
  <c r="L1577" i="1"/>
  <c r="K1577" i="1"/>
  <c r="J1577" i="1"/>
  <c r="I1577" i="1"/>
  <c r="H1577" i="1"/>
  <c r="G1577" i="1"/>
  <c r="F1577" i="1"/>
  <c r="T1576" i="1"/>
  <c r="S1576" i="1"/>
  <c r="R1576" i="1"/>
  <c r="Q1576" i="1"/>
  <c r="P1576" i="1"/>
  <c r="O1576" i="1"/>
  <c r="N1576" i="1"/>
  <c r="M1576" i="1"/>
  <c r="L1576" i="1"/>
  <c r="K1576" i="1"/>
  <c r="J1576" i="1"/>
  <c r="I1576" i="1"/>
  <c r="H1576" i="1"/>
  <c r="F1576" i="1"/>
  <c r="G1576" i="1" s="1"/>
  <c r="T1575" i="1"/>
  <c r="S1575" i="1"/>
  <c r="R1575" i="1"/>
  <c r="Q1575" i="1"/>
  <c r="P1575" i="1"/>
  <c r="O1575" i="1"/>
  <c r="N1575" i="1"/>
  <c r="M1575" i="1"/>
  <c r="L1575" i="1"/>
  <c r="K1575" i="1"/>
  <c r="J1575" i="1"/>
  <c r="I1575" i="1"/>
  <c r="H1575" i="1"/>
  <c r="G1575" i="1"/>
  <c r="F1575" i="1"/>
  <c r="T1574" i="1"/>
  <c r="S1574" i="1"/>
  <c r="R1574" i="1"/>
  <c r="Q1574" i="1"/>
  <c r="P1574" i="1"/>
  <c r="O1574" i="1"/>
  <c r="N1574" i="1"/>
  <c r="M1574" i="1"/>
  <c r="L1574" i="1"/>
  <c r="K1574" i="1"/>
  <c r="J1574" i="1"/>
  <c r="I1574" i="1"/>
  <c r="H1574" i="1"/>
  <c r="F1574" i="1"/>
  <c r="G1574" i="1" s="1"/>
  <c r="T1573" i="1"/>
  <c r="S1573" i="1"/>
  <c r="R1573" i="1"/>
  <c r="Q1573" i="1"/>
  <c r="P1573" i="1"/>
  <c r="O1573" i="1"/>
  <c r="N1573" i="1"/>
  <c r="M1573" i="1"/>
  <c r="L1573" i="1"/>
  <c r="K1573" i="1"/>
  <c r="J1573" i="1"/>
  <c r="I1573" i="1"/>
  <c r="H1573" i="1"/>
  <c r="G1573" i="1"/>
  <c r="F1573" i="1"/>
  <c r="T1572" i="1"/>
  <c r="S1572" i="1"/>
  <c r="R1572" i="1"/>
  <c r="Q1572" i="1"/>
  <c r="P1572" i="1"/>
  <c r="O1572" i="1"/>
  <c r="N1572" i="1"/>
  <c r="M1572" i="1"/>
  <c r="L1572" i="1"/>
  <c r="K1572" i="1"/>
  <c r="J1572" i="1"/>
  <c r="I1572" i="1"/>
  <c r="H1572" i="1"/>
  <c r="F1572" i="1"/>
  <c r="G1572" i="1" s="1"/>
  <c r="T1571" i="1"/>
  <c r="S1571" i="1"/>
  <c r="R1571" i="1"/>
  <c r="Q1571" i="1"/>
  <c r="P1571" i="1"/>
  <c r="O1571" i="1"/>
  <c r="N1571" i="1"/>
  <c r="M1571" i="1"/>
  <c r="L1571" i="1"/>
  <c r="K1571" i="1"/>
  <c r="J1571" i="1"/>
  <c r="I1571" i="1"/>
  <c r="H1571" i="1"/>
  <c r="F1571" i="1"/>
  <c r="G1571" i="1" s="1"/>
  <c r="T1570" i="1"/>
  <c r="S1570" i="1"/>
  <c r="R1570" i="1"/>
  <c r="Q1570" i="1"/>
  <c r="P1570" i="1"/>
  <c r="O1570" i="1"/>
  <c r="N1570" i="1"/>
  <c r="M1570" i="1"/>
  <c r="L1570" i="1"/>
  <c r="K1570" i="1"/>
  <c r="J1570" i="1"/>
  <c r="I1570" i="1"/>
  <c r="H1570" i="1"/>
  <c r="G1570" i="1"/>
  <c r="F1570" i="1"/>
  <c r="T1569" i="1"/>
  <c r="S1569" i="1"/>
  <c r="R1569" i="1"/>
  <c r="Q1569" i="1"/>
  <c r="P1569" i="1"/>
  <c r="O1569" i="1"/>
  <c r="N1569" i="1"/>
  <c r="M1569" i="1"/>
  <c r="L1569" i="1"/>
  <c r="K1569" i="1"/>
  <c r="J1569" i="1"/>
  <c r="I1569" i="1"/>
  <c r="H1569" i="1"/>
  <c r="G1569" i="1"/>
  <c r="F1569" i="1"/>
  <c r="T1568" i="1"/>
  <c r="S1568" i="1"/>
  <c r="R1568" i="1"/>
  <c r="Q1568" i="1"/>
  <c r="P1568" i="1"/>
  <c r="O1568" i="1"/>
  <c r="N1568" i="1"/>
  <c r="M1568" i="1"/>
  <c r="L1568" i="1"/>
  <c r="K1568" i="1"/>
  <c r="J1568" i="1"/>
  <c r="I1568" i="1"/>
  <c r="H1568" i="1"/>
  <c r="F1568" i="1"/>
  <c r="G1568" i="1" s="1"/>
  <c r="T1567" i="1"/>
  <c r="S1567" i="1"/>
  <c r="R1567" i="1"/>
  <c r="Q1567" i="1"/>
  <c r="P1567" i="1"/>
  <c r="O1567" i="1"/>
  <c r="N1567" i="1"/>
  <c r="M1567" i="1"/>
  <c r="L1567" i="1"/>
  <c r="K1567" i="1"/>
  <c r="J1567" i="1"/>
  <c r="I1567" i="1"/>
  <c r="H1567" i="1"/>
  <c r="G1567" i="1"/>
  <c r="F1567" i="1"/>
  <c r="T1566" i="1"/>
  <c r="S1566" i="1"/>
  <c r="R1566" i="1"/>
  <c r="Q1566" i="1"/>
  <c r="P1566" i="1"/>
  <c r="O1566" i="1"/>
  <c r="N1566" i="1"/>
  <c r="M1566" i="1"/>
  <c r="L1566" i="1"/>
  <c r="K1566" i="1"/>
  <c r="J1566" i="1"/>
  <c r="I1566" i="1"/>
  <c r="H1566" i="1"/>
  <c r="F1566" i="1"/>
  <c r="G1566" i="1" s="1"/>
  <c r="T1565" i="1"/>
  <c r="S1565" i="1"/>
  <c r="R1565" i="1"/>
  <c r="Q1565" i="1"/>
  <c r="P1565" i="1"/>
  <c r="O1565" i="1"/>
  <c r="N1565" i="1"/>
  <c r="M1565" i="1"/>
  <c r="L1565" i="1"/>
  <c r="K1565" i="1"/>
  <c r="J1565" i="1"/>
  <c r="I1565" i="1"/>
  <c r="H1565" i="1"/>
  <c r="G1565" i="1"/>
  <c r="F1565" i="1"/>
  <c r="T1564" i="1"/>
  <c r="S1564" i="1"/>
  <c r="R1564" i="1"/>
  <c r="Q1564" i="1"/>
  <c r="P1564" i="1"/>
  <c r="O1564" i="1"/>
  <c r="N1564" i="1"/>
  <c r="M1564" i="1"/>
  <c r="L1564" i="1"/>
  <c r="K1564" i="1"/>
  <c r="J1564" i="1"/>
  <c r="I1564" i="1"/>
  <c r="H1564" i="1"/>
  <c r="F1564" i="1"/>
  <c r="G1564" i="1" s="1"/>
  <c r="T1563" i="1"/>
  <c r="S1563" i="1"/>
  <c r="R1563" i="1"/>
  <c r="Q1563" i="1"/>
  <c r="P1563" i="1"/>
  <c r="O1563" i="1"/>
  <c r="N1563" i="1"/>
  <c r="M1563" i="1"/>
  <c r="L1563" i="1"/>
  <c r="K1563" i="1"/>
  <c r="J1563" i="1"/>
  <c r="I1563" i="1"/>
  <c r="H1563" i="1"/>
  <c r="F1563" i="1"/>
  <c r="G1563" i="1" s="1"/>
  <c r="T1562" i="1"/>
  <c r="S1562" i="1"/>
  <c r="R1562" i="1"/>
  <c r="Q1562" i="1"/>
  <c r="P1562" i="1"/>
  <c r="O1562" i="1"/>
  <c r="N1562" i="1"/>
  <c r="M1562" i="1"/>
  <c r="L1562" i="1"/>
  <c r="K1562" i="1"/>
  <c r="J1562" i="1"/>
  <c r="I1562" i="1"/>
  <c r="H1562" i="1"/>
  <c r="G1562" i="1"/>
  <c r="F1562" i="1"/>
  <c r="T1561" i="1"/>
  <c r="S1561" i="1"/>
  <c r="R1561" i="1"/>
  <c r="Q1561" i="1"/>
  <c r="P1561" i="1"/>
  <c r="O1561" i="1"/>
  <c r="N1561" i="1"/>
  <c r="M1561" i="1"/>
  <c r="L1561" i="1"/>
  <c r="K1561" i="1"/>
  <c r="J1561" i="1"/>
  <c r="I1561" i="1"/>
  <c r="H1561" i="1"/>
  <c r="G1561" i="1"/>
  <c r="F1561" i="1"/>
  <c r="T1560" i="1"/>
  <c r="S1560" i="1"/>
  <c r="R1560" i="1"/>
  <c r="Q1560" i="1"/>
  <c r="P1560" i="1"/>
  <c r="O1560" i="1"/>
  <c r="N1560" i="1"/>
  <c r="M1560" i="1"/>
  <c r="L1560" i="1"/>
  <c r="K1560" i="1"/>
  <c r="J1560" i="1"/>
  <c r="I1560" i="1"/>
  <c r="H1560" i="1"/>
  <c r="F1560" i="1"/>
  <c r="G1560" i="1" s="1"/>
  <c r="T1559" i="1"/>
  <c r="S1559" i="1"/>
  <c r="R1559" i="1"/>
  <c r="Q1559" i="1"/>
  <c r="P1559" i="1"/>
  <c r="O1559" i="1"/>
  <c r="N1559" i="1"/>
  <c r="M1559" i="1"/>
  <c r="L1559" i="1"/>
  <c r="K1559" i="1"/>
  <c r="J1559" i="1"/>
  <c r="I1559" i="1"/>
  <c r="H1559" i="1"/>
  <c r="G1559" i="1"/>
  <c r="F1559" i="1"/>
  <c r="T1558" i="1"/>
  <c r="S1558" i="1"/>
  <c r="R1558" i="1"/>
  <c r="Q1558" i="1"/>
  <c r="P1558" i="1"/>
  <c r="O1558" i="1"/>
  <c r="N1558" i="1"/>
  <c r="M1558" i="1"/>
  <c r="L1558" i="1"/>
  <c r="K1558" i="1"/>
  <c r="J1558" i="1"/>
  <c r="I1558" i="1"/>
  <c r="H1558" i="1"/>
  <c r="F1558" i="1"/>
  <c r="G1558" i="1" s="1"/>
  <c r="T1557" i="1"/>
  <c r="S1557" i="1"/>
  <c r="R1557" i="1"/>
  <c r="Q1557" i="1"/>
  <c r="P1557" i="1"/>
  <c r="O1557" i="1"/>
  <c r="N1557" i="1"/>
  <c r="M1557" i="1"/>
  <c r="L1557" i="1"/>
  <c r="K1557" i="1"/>
  <c r="J1557" i="1"/>
  <c r="I1557" i="1"/>
  <c r="H1557" i="1"/>
  <c r="G1557" i="1"/>
  <c r="F1557" i="1"/>
  <c r="T1556" i="1"/>
  <c r="S1556" i="1"/>
  <c r="R1556" i="1"/>
  <c r="Q1556" i="1"/>
  <c r="P1556" i="1"/>
  <c r="O1556" i="1"/>
  <c r="N1556" i="1"/>
  <c r="M1556" i="1"/>
  <c r="L1556" i="1"/>
  <c r="K1556" i="1"/>
  <c r="J1556" i="1"/>
  <c r="I1556" i="1"/>
  <c r="H1556" i="1"/>
  <c r="F1556" i="1"/>
  <c r="G1556" i="1" s="1"/>
  <c r="T1555" i="1"/>
  <c r="S1555" i="1"/>
  <c r="R1555" i="1"/>
  <c r="Q1555" i="1"/>
  <c r="P1555" i="1"/>
  <c r="O1555" i="1"/>
  <c r="N1555" i="1"/>
  <c r="M1555" i="1"/>
  <c r="L1555" i="1"/>
  <c r="K1555" i="1"/>
  <c r="J1555" i="1"/>
  <c r="I1555" i="1"/>
  <c r="H1555" i="1"/>
  <c r="F1555" i="1"/>
  <c r="G1555" i="1" s="1"/>
  <c r="T1554" i="1"/>
  <c r="S1554" i="1"/>
  <c r="R1554" i="1"/>
  <c r="Q1554" i="1"/>
  <c r="P1554" i="1"/>
  <c r="O1554" i="1"/>
  <c r="N1554" i="1"/>
  <c r="M1554" i="1"/>
  <c r="L1554" i="1"/>
  <c r="K1554" i="1"/>
  <c r="J1554" i="1"/>
  <c r="I1554" i="1"/>
  <c r="H1554" i="1"/>
  <c r="G1554" i="1"/>
  <c r="F1554" i="1"/>
  <c r="T1553" i="1"/>
  <c r="S1553" i="1"/>
  <c r="R1553" i="1"/>
  <c r="Q1553" i="1"/>
  <c r="P1553" i="1"/>
  <c r="O1553" i="1"/>
  <c r="N1553" i="1"/>
  <c r="M1553" i="1"/>
  <c r="L1553" i="1"/>
  <c r="K1553" i="1"/>
  <c r="J1553" i="1"/>
  <c r="I1553" i="1"/>
  <c r="H1553" i="1"/>
  <c r="G1553" i="1"/>
  <c r="F1553" i="1"/>
  <c r="T1552" i="1"/>
  <c r="S1552" i="1"/>
  <c r="R1552" i="1"/>
  <c r="Q1552" i="1"/>
  <c r="P1552" i="1"/>
  <c r="O1552" i="1"/>
  <c r="N1552" i="1"/>
  <c r="M1552" i="1"/>
  <c r="L1552" i="1"/>
  <c r="K1552" i="1"/>
  <c r="J1552" i="1"/>
  <c r="I1552" i="1"/>
  <c r="H1552" i="1"/>
  <c r="F1552" i="1"/>
  <c r="G1552" i="1" s="1"/>
  <c r="T1551" i="1"/>
  <c r="S1551" i="1"/>
  <c r="R1551" i="1"/>
  <c r="Q1551" i="1"/>
  <c r="P1551" i="1"/>
  <c r="O1551" i="1"/>
  <c r="N1551" i="1"/>
  <c r="M1551" i="1"/>
  <c r="L1551" i="1"/>
  <c r="K1551" i="1"/>
  <c r="J1551" i="1"/>
  <c r="I1551" i="1"/>
  <c r="H1551" i="1"/>
  <c r="G1551" i="1"/>
  <c r="F1551" i="1"/>
  <c r="T1550" i="1"/>
  <c r="S1550" i="1"/>
  <c r="R1550" i="1"/>
  <c r="Q1550" i="1"/>
  <c r="P1550" i="1"/>
  <c r="O1550" i="1"/>
  <c r="N1550" i="1"/>
  <c r="M1550" i="1"/>
  <c r="L1550" i="1"/>
  <c r="K1550" i="1"/>
  <c r="J1550" i="1"/>
  <c r="I1550" i="1"/>
  <c r="H1550" i="1"/>
  <c r="F1550" i="1"/>
  <c r="G1550" i="1" s="1"/>
  <c r="T1549" i="1"/>
  <c r="S1549" i="1"/>
  <c r="R1549" i="1"/>
  <c r="Q1549" i="1"/>
  <c r="P1549" i="1"/>
  <c r="O1549" i="1"/>
  <c r="N1549" i="1"/>
  <c r="M1549" i="1"/>
  <c r="L1549" i="1"/>
  <c r="K1549" i="1"/>
  <c r="J1549" i="1"/>
  <c r="I1549" i="1"/>
  <c r="H1549" i="1"/>
  <c r="G1549" i="1"/>
  <c r="F1549" i="1"/>
  <c r="T1548" i="1"/>
  <c r="S1548" i="1"/>
  <c r="R1548" i="1"/>
  <c r="Q1548" i="1"/>
  <c r="P1548" i="1"/>
  <c r="O1548" i="1"/>
  <c r="N1548" i="1"/>
  <c r="M1548" i="1"/>
  <c r="L1548" i="1"/>
  <c r="K1548" i="1"/>
  <c r="J1548" i="1"/>
  <c r="I1548" i="1"/>
  <c r="H1548" i="1"/>
  <c r="G1548" i="1"/>
  <c r="F1548" i="1"/>
  <c r="T1547" i="1"/>
  <c r="S1547" i="1"/>
  <c r="R1547" i="1"/>
  <c r="Q1547" i="1"/>
  <c r="P1547" i="1"/>
  <c r="O1547" i="1"/>
  <c r="N1547" i="1"/>
  <c r="M1547" i="1"/>
  <c r="L1547" i="1"/>
  <c r="K1547" i="1"/>
  <c r="J1547" i="1"/>
  <c r="I1547" i="1"/>
  <c r="H1547" i="1"/>
  <c r="F1547" i="1"/>
  <c r="G1547" i="1" s="1"/>
  <c r="T1546" i="1"/>
  <c r="S1546" i="1"/>
  <c r="R1546" i="1"/>
  <c r="Q1546" i="1"/>
  <c r="P1546" i="1"/>
  <c r="O1546" i="1"/>
  <c r="N1546" i="1"/>
  <c r="M1546" i="1"/>
  <c r="L1546" i="1"/>
  <c r="K1546" i="1"/>
  <c r="J1546" i="1"/>
  <c r="I1546" i="1"/>
  <c r="H1546" i="1"/>
  <c r="G1546" i="1"/>
  <c r="F1546" i="1"/>
  <c r="T1545" i="1"/>
  <c r="S1545" i="1"/>
  <c r="R1545" i="1"/>
  <c r="Q1545" i="1"/>
  <c r="P1545" i="1"/>
  <c r="O1545" i="1"/>
  <c r="N1545" i="1"/>
  <c r="M1545" i="1"/>
  <c r="L1545" i="1"/>
  <c r="K1545" i="1"/>
  <c r="J1545" i="1"/>
  <c r="I1545" i="1"/>
  <c r="H1545" i="1"/>
  <c r="G1545" i="1"/>
  <c r="F1545" i="1"/>
  <c r="T1544" i="1"/>
  <c r="S1544" i="1"/>
  <c r="R1544" i="1"/>
  <c r="Q1544" i="1"/>
  <c r="P1544" i="1"/>
  <c r="O1544" i="1"/>
  <c r="N1544" i="1"/>
  <c r="M1544" i="1"/>
  <c r="L1544" i="1"/>
  <c r="K1544" i="1"/>
  <c r="J1544" i="1"/>
  <c r="I1544" i="1"/>
  <c r="H1544" i="1"/>
  <c r="F1544" i="1"/>
  <c r="G1544" i="1" s="1"/>
  <c r="T1543" i="1"/>
  <c r="S1543" i="1"/>
  <c r="R1543" i="1"/>
  <c r="Q1543" i="1"/>
  <c r="P1543" i="1"/>
  <c r="O1543" i="1"/>
  <c r="N1543" i="1"/>
  <c r="M1543" i="1"/>
  <c r="L1543" i="1"/>
  <c r="K1543" i="1"/>
  <c r="J1543" i="1"/>
  <c r="I1543" i="1"/>
  <c r="H1543" i="1"/>
  <c r="G1543" i="1"/>
  <c r="F1543" i="1"/>
  <c r="T1542" i="1"/>
  <c r="S1542" i="1"/>
  <c r="R1542" i="1"/>
  <c r="Q1542" i="1"/>
  <c r="P1542" i="1"/>
  <c r="O1542" i="1"/>
  <c r="N1542" i="1"/>
  <c r="M1542" i="1"/>
  <c r="L1542" i="1"/>
  <c r="K1542" i="1"/>
  <c r="J1542" i="1"/>
  <c r="I1542" i="1"/>
  <c r="H1542" i="1"/>
  <c r="F1542" i="1"/>
  <c r="G1542" i="1" s="1"/>
  <c r="T1541" i="1"/>
  <c r="S1541" i="1"/>
  <c r="R1541" i="1"/>
  <c r="Q1541" i="1"/>
  <c r="P1541" i="1"/>
  <c r="O1541" i="1"/>
  <c r="N1541" i="1"/>
  <c r="M1541" i="1"/>
  <c r="L1541" i="1"/>
  <c r="K1541" i="1"/>
  <c r="J1541" i="1"/>
  <c r="I1541" i="1"/>
  <c r="H1541" i="1"/>
  <c r="G1541" i="1"/>
  <c r="F1541" i="1"/>
  <c r="T1540" i="1"/>
  <c r="S1540" i="1"/>
  <c r="R1540" i="1"/>
  <c r="Q1540" i="1"/>
  <c r="P1540" i="1"/>
  <c r="O1540" i="1"/>
  <c r="N1540" i="1"/>
  <c r="M1540" i="1"/>
  <c r="L1540" i="1"/>
  <c r="K1540" i="1"/>
  <c r="J1540" i="1"/>
  <c r="I1540" i="1"/>
  <c r="H1540" i="1"/>
  <c r="F1540" i="1"/>
  <c r="G1540" i="1" s="1"/>
  <c r="T1539" i="1"/>
  <c r="S1539" i="1"/>
  <c r="R1539" i="1"/>
  <c r="Q1539" i="1"/>
  <c r="P1539" i="1"/>
  <c r="O1539" i="1"/>
  <c r="N1539" i="1"/>
  <c r="M1539" i="1"/>
  <c r="L1539" i="1"/>
  <c r="K1539" i="1"/>
  <c r="J1539" i="1"/>
  <c r="I1539" i="1"/>
  <c r="H1539" i="1"/>
  <c r="F1539" i="1"/>
  <c r="G1539" i="1" s="1"/>
  <c r="T1538" i="1"/>
  <c r="S1538" i="1"/>
  <c r="R1538" i="1"/>
  <c r="Q1538" i="1"/>
  <c r="P1538" i="1"/>
  <c r="O1538" i="1"/>
  <c r="N1538" i="1"/>
  <c r="M1538" i="1"/>
  <c r="L1538" i="1"/>
  <c r="K1538" i="1"/>
  <c r="J1538" i="1"/>
  <c r="I1538" i="1"/>
  <c r="H1538" i="1"/>
  <c r="G1538" i="1"/>
  <c r="F1538" i="1"/>
  <c r="T1537" i="1"/>
  <c r="S1537" i="1"/>
  <c r="R1537" i="1"/>
  <c r="Q1537" i="1"/>
  <c r="P1537" i="1"/>
  <c r="O1537" i="1"/>
  <c r="N1537" i="1"/>
  <c r="M1537" i="1"/>
  <c r="L1537" i="1"/>
  <c r="K1537" i="1"/>
  <c r="J1537" i="1"/>
  <c r="I1537" i="1"/>
  <c r="H1537" i="1"/>
  <c r="G1537" i="1"/>
  <c r="F1537" i="1"/>
  <c r="T1536" i="1"/>
  <c r="S1536" i="1"/>
  <c r="R1536" i="1"/>
  <c r="Q1536" i="1"/>
  <c r="P1536" i="1"/>
  <c r="O1536" i="1"/>
  <c r="N1536" i="1"/>
  <c r="M1536" i="1"/>
  <c r="L1536" i="1"/>
  <c r="K1536" i="1"/>
  <c r="J1536" i="1"/>
  <c r="I1536" i="1"/>
  <c r="H1536" i="1"/>
  <c r="F1536" i="1"/>
  <c r="G1536" i="1" s="1"/>
  <c r="T1535" i="1"/>
  <c r="S1535" i="1"/>
  <c r="R1535" i="1"/>
  <c r="Q1535" i="1"/>
  <c r="P1535" i="1"/>
  <c r="O1535" i="1"/>
  <c r="N1535" i="1"/>
  <c r="M1535" i="1"/>
  <c r="L1535" i="1"/>
  <c r="K1535" i="1"/>
  <c r="J1535" i="1"/>
  <c r="I1535" i="1"/>
  <c r="H1535" i="1"/>
  <c r="G1535" i="1"/>
  <c r="F1535" i="1"/>
  <c r="T1534" i="1"/>
  <c r="S1534" i="1"/>
  <c r="R1534" i="1"/>
  <c r="Q1534" i="1"/>
  <c r="P1534" i="1"/>
  <c r="O1534" i="1"/>
  <c r="N1534" i="1"/>
  <c r="M1534" i="1"/>
  <c r="L1534" i="1"/>
  <c r="K1534" i="1"/>
  <c r="J1534" i="1"/>
  <c r="I1534" i="1"/>
  <c r="H1534" i="1"/>
  <c r="F1534" i="1"/>
  <c r="G1534" i="1" s="1"/>
  <c r="T1533" i="1"/>
  <c r="S1533" i="1"/>
  <c r="R1533" i="1"/>
  <c r="Q1533" i="1"/>
  <c r="P1533" i="1"/>
  <c r="O1533" i="1"/>
  <c r="N1533" i="1"/>
  <c r="M1533" i="1"/>
  <c r="L1533" i="1"/>
  <c r="K1533" i="1"/>
  <c r="J1533" i="1"/>
  <c r="I1533" i="1"/>
  <c r="H1533" i="1"/>
  <c r="G1533" i="1"/>
  <c r="F1533" i="1"/>
  <c r="T1532" i="1"/>
  <c r="S1532" i="1"/>
  <c r="R1532" i="1"/>
  <c r="Q1532" i="1"/>
  <c r="P1532" i="1"/>
  <c r="O1532" i="1"/>
  <c r="N1532" i="1"/>
  <c r="M1532" i="1"/>
  <c r="L1532" i="1"/>
  <c r="K1532" i="1"/>
  <c r="J1532" i="1"/>
  <c r="I1532" i="1"/>
  <c r="H1532" i="1"/>
  <c r="G1532" i="1"/>
  <c r="F1532" i="1"/>
  <c r="T1531" i="1"/>
  <c r="S1531" i="1"/>
  <c r="R1531" i="1"/>
  <c r="Q1531" i="1"/>
  <c r="P1531" i="1"/>
  <c r="O1531" i="1"/>
  <c r="N1531" i="1"/>
  <c r="M1531" i="1"/>
  <c r="L1531" i="1"/>
  <c r="K1531" i="1"/>
  <c r="J1531" i="1"/>
  <c r="I1531" i="1"/>
  <c r="H1531" i="1"/>
  <c r="F1531" i="1"/>
  <c r="G1531" i="1" s="1"/>
  <c r="T1530" i="1"/>
  <c r="S1530" i="1"/>
  <c r="R1530" i="1"/>
  <c r="Q1530" i="1"/>
  <c r="P1530" i="1"/>
  <c r="O1530" i="1"/>
  <c r="N1530" i="1"/>
  <c r="M1530" i="1"/>
  <c r="L1530" i="1"/>
  <c r="K1530" i="1"/>
  <c r="J1530" i="1"/>
  <c r="I1530" i="1"/>
  <c r="H1530" i="1"/>
  <c r="G1530" i="1"/>
  <c r="F1530" i="1"/>
  <c r="T1529" i="1"/>
  <c r="S1529" i="1"/>
  <c r="R1529" i="1"/>
  <c r="Q1529" i="1"/>
  <c r="P1529" i="1"/>
  <c r="O1529" i="1"/>
  <c r="N1529" i="1"/>
  <c r="M1529" i="1"/>
  <c r="L1529" i="1"/>
  <c r="K1529" i="1"/>
  <c r="J1529" i="1"/>
  <c r="I1529" i="1"/>
  <c r="H1529" i="1"/>
  <c r="G1529" i="1"/>
  <c r="F1529" i="1"/>
  <c r="T1528" i="1"/>
  <c r="S1528" i="1"/>
  <c r="R1528" i="1"/>
  <c r="Q1528" i="1"/>
  <c r="P1528" i="1"/>
  <c r="O1528" i="1"/>
  <c r="N1528" i="1"/>
  <c r="M1528" i="1"/>
  <c r="L1528" i="1"/>
  <c r="K1528" i="1"/>
  <c r="J1528" i="1"/>
  <c r="I1528" i="1"/>
  <c r="H1528" i="1"/>
  <c r="G1528" i="1"/>
  <c r="F1528" i="1"/>
  <c r="T1527" i="1"/>
  <c r="S1527" i="1"/>
  <c r="R1527" i="1"/>
  <c r="Q1527" i="1"/>
  <c r="P1527" i="1"/>
  <c r="O1527" i="1"/>
  <c r="N1527" i="1"/>
  <c r="M1527" i="1"/>
  <c r="L1527" i="1"/>
  <c r="K1527" i="1"/>
  <c r="J1527" i="1"/>
  <c r="I1527" i="1"/>
  <c r="H1527" i="1"/>
  <c r="F1527" i="1"/>
  <c r="G1527" i="1" s="1"/>
  <c r="T1526" i="1"/>
  <c r="S1526" i="1"/>
  <c r="R1526" i="1"/>
  <c r="Q1526" i="1"/>
  <c r="P1526" i="1"/>
  <c r="O1526" i="1"/>
  <c r="N1526" i="1"/>
  <c r="M1526" i="1"/>
  <c r="L1526" i="1"/>
  <c r="K1526" i="1"/>
  <c r="J1526" i="1"/>
  <c r="I1526" i="1"/>
  <c r="H1526" i="1"/>
  <c r="F1526" i="1"/>
  <c r="G1526" i="1" s="1"/>
  <c r="T1525" i="1"/>
  <c r="S1525" i="1"/>
  <c r="R1525" i="1"/>
  <c r="Q1525" i="1"/>
  <c r="P1525" i="1"/>
  <c r="O1525" i="1"/>
  <c r="N1525" i="1"/>
  <c r="M1525" i="1"/>
  <c r="L1525" i="1"/>
  <c r="K1525" i="1"/>
  <c r="J1525" i="1"/>
  <c r="I1525" i="1"/>
  <c r="H1525" i="1"/>
  <c r="G1525" i="1"/>
  <c r="F1525" i="1"/>
  <c r="T1524" i="1"/>
  <c r="S1524" i="1"/>
  <c r="R1524" i="1"/>
  <c r="Q1524" i="1"/>
  <c r="P1524" i="1"/>
  <c r="O1524" i="1"/>
  <c r="N1524" i="1"/>
  <c r="M1524" i="1"/>
  <c r="L1524" i="1"/>
  <c r="K1524" i="1"/>
  <c r="J1524" i="1"/>
  <c r="I1524" i="1"/>
  <c r="H1524" i="1"/>
  <c r="G1524" i="1"/>
  <c r="F1524" i="1"/>
  <c r="T1523" i="1"/>
  <c r="S1523" i="1"/>
  <c r="R1523" i="1"/>
  <c r="Q1523" i="1"/>
  <c r="P1523" i="1"/>
  <c r="O1523" i="1"/>
  <c r="N1523" i="1"/>
  <c r="M1523" i="1"/>
  <c r="L1523" i="1"/>
  <c r="K1523" i="1"/>
  <c r="J1523" i="1"/>
  <c r="I1523" i="1"/>
  <c r="H1523" i="1"/>
  <c r="F1523" i="1"/>
  <c r="G1523" i="1" s="1"/>
  <c r="T1522" i="1"/>
  <c r="S1522" i="1"/>
  <c r="R1522" i="1"/>
  <c r="Q1522" i="1"/>
  <c r="P1522" i="1"/>
  <c r="O1522" i="1"/>
  <c r="N1522" i="1"/>
  <c r="M1522" i="1"/>
  <c r="L1522" i="1"/>
  <c r="K1522" i="1"/>
  <c r="J1522" i="1"/>
  <c r="I1522" i="1"/>
  <c r="H1522" i="1"/>
  <c r="G1522" i="1"/>
  <c r="F1522" i="1"/>
  <c r="T1521" i="1"/>
  <c r="S1521" i="1"/>
  <c r="R1521" i="1"/>
  <c r="Q1521" i="1"/>
  <c r="P1521" i="1"/>
  <c r="O1521" i="1"/>
  <c r="N1521" i="1"/>
  <c r="M1521" i="1"/>
  <c r="L1521" i="1"/>
  <c r="K1521" i="1"/>
  <c r="J1521" i="1"/>
  <c r="I1521" i="1"/>
  <c r="H1521" i="1"/>
  <c r="G1521" i="1"/>
  <c r="F1521" i="1"/>
  <c r="T1520" i="1"/>
  <c r="S1520" i="1"/>
  <c r="R1520" i="1"/>
  <c r="Q1520" i="1"/>
  <c r="P1520" i="1"/>
  <c r="O1520" i="1"/>
  <c r="N1520" i="1"/>
  <c r="M1520" i="1"/>
  <c r="L1520" i="1"/>
  <c r="K1520" i="1"/>
  <c r="J1520" i="1"/>
  <c r="I1520" i="1"/>
  <c r="H1520" i="1"/>
  <c r="F1520" i="1"/>
  <c r="G1520" i="1" s="1"/>
  <c r="T1519" i="1"/>
  <c r="S1519" i="1"/>
  <c r="R1519" i="1"/>
  <c r="Q1519" i="1"/>
  <c r="P1519" i="1"/>
  <c r="O1519" i="1"/>
  <c r="N1519" i="1"/>
  <c r="M1519" i="1"/>
  <c r="L1519" i="1"/>
  <c r="K1519" i="1"/>
  <c r="J1519" i="1"/>
  <c r="I1519" i="1"/>
  <c r="H1519" i="1"/>
  <c r="G1519" i="1"/>
  <c r="F1519" i="1"/>
  <c r="T1518" i="1"/>
  <c r="S1518" i="1"/>
  <c r="R1518" i="1"/>
  <c r="Q1518" i="1"/>
  <c r="P1518" i="1"/>
  <c r="O1518" i="1"/>
  <c r="N1518" i="1"/>
  <c r="M1518" i="1"/>
  <c r="L1518" i="1"/>
  <c r="K1518" i="1"/>
  <c r="J1518" i="1"/>
  <c r="I1518" i="1"/>
  <c r="H1518" i="1"/>
  <c r="F1518" i="1"/>
  <c r="G1518" i="1" s="1"/>
  <c r="T1517" i="1"/>
  <c r="S1517" i="1"/>
  <c r="R1517" i="1"/>
  <c r="Q1517" i="1"/>
  <c r="P1517" i="1"/>
  <c r="O1517" i="1"/>
  <c r="N1517" i="1"/>
  <c r="M1517" i="1"/>
  <c r="L1517" i="1"/>
  <c r="K1517" i="1"/>
  <c r="J1517" i="1"/>
  <c r="I1517" i="1"/>
  <c r="H1517" i="1"/>
  <c r="G1517" i="1"/>
  <c r="F1517" i="1"/>
  <c r="T1516" i="1"/>
  <c r="S1516" i="1"/>
  <c r="R1516" i="1"/>
  <c r="Q1516" i="1"/>
  <c r="P1516" i="1"/>
  <c r="O1516" i="1"/>
  <c r="N1516" i="1"/>
  <c r="M1516" i="1"/>
  <c r="L1516" i="1"/>
  <c r="K1516" i="1"/>
  <c r="J1516" i="1"/>
  <c r="I1516" i="1"/>
  <c r="H1516" i="1"/>
  <c r="G1516" i="1"/>
  <c r="F1516" i="1"/>
  <c r="T1515" i="1"/>
  <c r="S1515" i="1"/>
  <c r="R1515" i="1"/>
  <c r="Q1515" i="1"/>
  <c r="P1515" i="1"/>
  <c r="O1515" i="1"/>
  <c r="N1515" i="1"/>
  <c r="M1515" i="1"/>
  <c r="L1515" i="1"/>
  <c r="K1515" i="1"/>
  <c r="J1515" i="1"/>
  <c r="I1515" i="1"/>
  <c r="H1515" i="1"/>
  <c r="F1515" i="1"/>
  <c r="G1515" i="1" s="1"/>
  <c r="T1514" i="1"/>
  <c r="S1514" i="1"/>
  <c r="R1514" i="1"/>
  <c r="Q1514" i="1"/>
  <c r="P1514" i="1"/>
  <c r="O1514" i="1"/>
  <c r="N1514" i="1"/>
  <c r="M1514" i="1"/>
  <c r="L1514" i="1"/>
  <c r="K1514" i="1"/>
  <c r="J1514" i="1"/>
  <c r="I1514" i="1"/>
  <c r="H1514" i="1"/>
  <c r="G1514" i="1"/>
  <c r="F1514" i="1"/>
  <c r="T1513" i="1"/>
  <c r="S1513" i="1"/>
  <c r="R1513" i="1"/>
  <c r="Q1513" i="1"/>
  <c r="P1513" i="1"/>
  <c r="O1513" i="1"/>
  <c r="N1513" i="1"/>
  <c r="M1513" i="1"/>
  <c r="L1513" i="1"/>
  <c r="K1513" i="1"/>
  <c r="J1513" i="1"/>
  <c r="I1513" i="1"/>
  <c r="H1513" i="1"/>
  <c r="G1513" i="1"/>
  <c r="F1513" i="1"/>
  <c r="T1512" i="1"/>
  <c r="S1512" i="1"/>
  <c r="R1512" i="1"/>
  <c r="Q1512" i="1"/>
  <c r="P1512" i="1"/>
  <c r="O1512" i="1"/>
  <c r="N1512" i="1"/>
  <c r="M1512" i="1"/>
  <c r="L1512" i="1"/>
  <c r="K1512" i="1"/>
  <c r="J1512" i="1"/>
  <c r="I1512" i="1"/>
  <c r="H1512" i="1"/>
  <c r="F1512" i="1"/>
  <c r="G1512" i="1" s="1"/>
  <c r="T1511" i="1"/>
  <c r="S1511" i="1"/>
  <c r="R1511" i="1"/>
  <c r="Q1511" i="1"/>
  <c r="P1511" i="1"/>
  <c r="O1511" i="1"/>
  <c r="N1511" i="1"/>
  <c r="M1511" i="1"/>
  <c r="L1511" i="1"/>
  <c r="K1511" i="1"/>
  <c r="J1511" i="1"/>
  <c r="I1511" i="1"/>
  <c r="H1511" i="1"/>
  <c r="G1511" i="1"/>
  <c r="F1511" i="1"/>
  <c r="T1510" i="1"/>
  <c r="S1510" i="1"/>
  <c r="R1510" i="1"/>
  <c r="Q1510" i="1"/>
  <c r="P1510" i="1"/>
  <c r="O1510" i="1"/>
  <c r="N1510" i="1"/>
  <c r="M1510" i="1"/>
  <c r="L1510" i="1"/>
  <c r="K1510" i="1"/>
  <c r="J1510" i="1"/>
  <c r="I1510" i="1"/>
  <c r="H1510" i="1"/>
  <c r="F1510" i="1"/>
  <c r="G1510" i="1" s="1"/>
  <c r="T1509" i="1"/>
  <c r="S1509" i="1"/>
  <c r="R1509" i="1"/>
  <c r="Q1509" i="1"/>
  <c r="P1509" i="1"/>
  <c r="O1509" i="1"/>
  <c r="N1509" i="1"/>
  <c r="M1509" i="1"/>
  <c r="L1509" i="1"/>
  <c r="K1509" i="1"/>
  <c r="J1509" i="1"/>
  <c r="I1509" i="1"/>
  <c r="H1509" i="1"/>
  <c r="G1509" i="1"/>
  <c r="F1509" i="1"/>
  <c r="T1508" i="1"/>
  <c r="S1508" i="1"/>
  <c r="R1508" i="1"/>
  <c r="Q1508" i="1"/>
  <c r="P1508" i="1"/>
  <c r="O1508" i="1"/>
  <c r="N1508" i="1"/>
  <c r="M1508" i="1"/>
  <c r="L1508" i="1"/>
  <c r="K1508" i="1"/>
  <c r="J1508" i="1"/>
  <c r="I1508" i="1"/>
  <c r="H1508" i="1"/>
  <c r="F1508" i="1"/>
  <c r="G1508" i="1" s="1"/>
  <c r="T1507" i="1"/>
  <c r="S1507" i="1"/>
  <c r="R1507" i="1"/>
  <c r="Q1507" i="1"/>
  <c r="P1507" i="1"/>
  <c r="O1507" i="1"/>
  <c r="N1507" i="1"/>
  <c r="M1507" i="1"/>
  <c r="L1507" i="1"/>
  <c r="K1507" i="1"/>
  <c r="J1507" i="1"/>
  <c r="I1507" i="1"/>
  <c r="H1507" i="1"/>
  <c r="F1507" i="1"/>
  <c r="G1507" i="1" s="1"/>
  <c r="T1506" i="1"/>
  <c r="S1506" i="1"/>
  <c r="R1506" i="1"/>
  <c r="Q1506" i="1"/>
  <c r="P1506" i="1"/>
  <c r="O1506" i="1"/>
  <c r="N1506" i="1"/>
  <c r="M1506" i="1"/>
  <c r="L1506" i="1"/>
  <c r="K1506" i="1"/>
  <c r="J1506" i="1"/>
  <c r="I1506" i="1"/>
  <c r="H1506" i="1"/>
  <c r="G1506" i="1"/>
  <c r="F1506" i="1"/>
  <c r="T1505" i="1"/>
  <c r="S1505" i="1"/>
  <c r="R1505" i="1"/>
  <c r="Q1505" i="1"/>
  <c r="P1505" i="1"/>
  <c r="O1505" i="1"/>
  <c r="N1505" i="1"/>
  <c r="M1505" i="1"/>
  <c r="L1505" i="1"/>
  <c r="K1505" i="1"/>
  <c r="J1505" i="1"/>
  <c r="I1505" i="1"/>
  <c r="H1505" i="1"/>
  <c r="G1505" i="1"/>
  <c r="F1505" i="1"/>
  <c r="T1504" i="1"/>
  <c r="S1504" i="1"/>
  <c r="R1504" i="1"/>
  <c r="Q1504" i="1"/>
  <c r="P1504" i="1"/>
  <c r="O1504" i="1"/>
  <c r="N1504" i="1"/>
  <c r="M1504" i="1"/>
  <c r="L1504" i="1"/>
  <c r="K1504" i="1"/>
  <c r="J1504" i="1"/>
  <c r="I1504" i="1"/>
  <c r="H1504" i="1"/>
  <c r="F1504" i="1"/>
  <c r="G1504" i="1" s="1"/>
  <c r="T1503" i="1"/>
  <c r="S1503" i="1"/>
  <c r="R1503" i="1"/>
  <c r="Q1503" i="1"/>
  <c r="P1503" i="1"/>
  <c r="O1503" i="1"/>
  <c r="N1503" i="1"/>
  <c r="M1503" i="1"/>
  <c r="L1503" i="1"/>
  <c r="K1503" i="1"/>
  <c r="J1503" i="1"/>
  <c r="I1503" i="1"/>
  <c r="H1503" i="1"/>
  <c r="G1503" i="1"/>
  <c r="F1503" i="1"/>
  <c r="T1502" i="1"/>
  <c r="S1502" i="1"/>
  <c r="R1502" i="1"/>
  <c r="Q1502" i="1"/>
  <c r="P1502" i="1"/>
  <c r="O1502" i="1"/>
  <c r="N1502" i="1"/>
  <c r="M1502" i="1"/>
  <c r="L1502" i="1"/>
  <c r="K1502" i="1"/>
  <c r="J1502" i="1"/>
  <c r="I1502" i="1"/>
  <c r="H1502" i="1"/>
  <c r="F1502" i="1"/>
  <c r="G1502" i="1" s="1"/>
  <c r="T1501" i="1"/>
  <c r="S1501" i="1"/>
  <c r="R1501" i="1"/>
  <c r="Q1501" i="1"/>
  <c r="P1501" i="1"/>
  <c r="O1501" i="1"/>
  <c r="N1501" i="1"/>
  <c r="M1501" i="1"/>
  <c r="L1501" i="1"/>
  <c r="K1501" i="1"/>
  <c r="J1501" i="1"/>
  <c r="I1501" i="1"/>
  <c r="H1501" i="1"/>
  <c r="G1501" i="1"/>
  <c r="F1501" i="1"/>
  <c r="T1500" i="1"/>
  <c r="S1500" i="1"/>
  <c r="R1500" i="1"/>
  <c r="Q1500" i="1"/>
  <c r="P1500" i="1"/>
  <c r="O1500" i="1"/>
  <c r="N1500" i="1"/>
  <c r="M1500" i="1"/>
  <c r="L1500" i="1"/>
  <c r="K1500" i="1"/>
  <c r="J1500" i="1"/>
  <c r="I1500" i="1"/>
  <c r="H1500" i="1"/>
  <c r="G1500" i="1"/>
  <c r="F1500" i="1"/>
  <c r="T1499" i="1"/>
  <c r="S1499" i="1"/>
  <c r="R1499" i="1"/>
  <c r="Q1499" i="1"/>
  <c r="P1499" i="1"/>
  <c r="O1499" i="1"/>
  <c r="N1499" i="1"/>
  <c r="M1499" i="1"/>
  <c r="L1499" i="1"/>
  <c r="K1499" i="1"/>
  <c r="J1499" i="1"/>
  <c r="I1499" i="1"/>
  <c r="H1499" i="1"/>
  <c r="F1499" i="1"/>
  <c r="G1499" i="1" s="1"/>
  <c r="T1498" i="1"/>
  <c r="S1498" i="1"/>
  <c r="R1498" i="1"/>
  <c r="Q1498" i="1"/>
  <c r="P1498" i="1"/>
  <c r="O1498" i="1"/>
  <c r="N1498" i="1"/>
  <c r="M1498" i="1"/>
  <c r="L1498" i="1"/>
  <c r="K1498" i="1"/>
  <c r="J1498" i="1"/>
  <c r="I1498" i="1"/>
  <c r="H1498" i="1"/>
  <c r="G1498" i="1"/>
  <c r="F1498" i="1"/>
  <c r="T1497" i="1"/>
  <c r="S1497" i="1"/>
  <c r="R1497" i="1"/>
  <c r="Q1497" i="1"/>
  <c r="P1497" i="1"/>
  <c r="O1497" i="1"/>
  <c r="N1497" i="1"/>
  <c r="M1497" i="1"/>
  <c r="L1497" i="1"/>
  <c r="K1497" i="1"/>
  <c r="J1497" i="1"/>
  <c r="I1497" i="1"/>
  <c r="H1497" i="1"/>
  <c r="G1497" i="1"/>
  <c r="F1497" i="1"/>
  <c r="T1496" i="1"/>
  <c r="S1496" i="1"/>
  <c r="R1496" i="1"/>
  <c r="Q1496" i="1"/>
  <c r="P1496" i="1"/>
  <c r="O1496" i="1"/>
  <c r="N1496" i="1"/>
  <c r="M1496" i="1"/>
  <c r="L1496" i="1"/>
  <c r="K1496" i="1"/>
  <c r="J1496" i="1"/>
  <c r="I1496" i="1"/>
  <c r="H1496" i="1"/>
  <c r="G1496" i="1"/>
  <c r="F1496" i="1"/>
  <c r="T1495" i="1"/>
  <c r="S1495" i="1"/>
  <c r="R1495" i="1"/>
  <c r="Q1495" i="1"/>
  <c r="P1495" i="1"/>
  <c r="O1495" i="1"/>
  <c r="N1495" i="1"/>
  <c r="M1495" i="1"/>
  <c r="L1495" i="1"/>
  <c r="K1495" i="1"/>
  <c r="J1495" i="1"/>
  <c r="I1495" i="1"/>
  <c r="H1495" i="1"/>
  <c r="F1495" i="1"/>
  <c r="G1495" i="1" s="1"/>
  <c r="T1494" i="1"/>
  <c r="S1494" i="1"/>
  <c r="R1494" i="1"/>
  <c r="Q1494" i="1"/>
  <c r="P1494" i="1"/>
  <c r="O1494" i="1"/>
  <c r="N1494" i="1"/>
  <c r="M1494" i="1"/>
  <c r="L1494" i="1"/>
  <c r="K1494" i="1"/>
  <c r="J1494" i="1"/>
  <c r="I1494" i="1"/>
  <c r="H1494" i="1"/>
  <c r="F1494" i="1"/>
  <c r="G1494" i="1" s="1"/>
  <c r="T1493" i="1"/>
  <c r="S1493" i="1"/>
  <c r="R1493" i="1"/>
  <c r="Q1493" i="1"/>
  <c r="P1493" i="1"/>
  <c r="O1493" i="1"/>
  <c r="N1493" i="1"/>
  <c r="M1493" i="1"/>
  <c r="L1493" i="1"/>
  <c r="K1493" i="1"/>
  <c r="J1493" i="1"/>
  <c r="I1493" i="1"/>
  <c r="H1493" i="1"/>
  <c r="G1493" i="1"/>
  <c r="F1493" i="1"/>
  <c r="T1492" i="1"/>
  <c r="S1492" i="1"/>
  <c r="R1492" i="1"/>
  <c r="Q1492" i="1"/>
  <c r="P1492" i="1"/>
  <c r="O1492" i="1"/>
  <c r="N1492" i="1"/>
  <c r="M1492" i="1"/>
  <c r="L1492" i="1"/>
  <c r="K1492" i="1"/>
  <c r="J1492" i="1"/>
  <c r="I1492" i="1"/>
  <c r="H1492" i="1"/>
  <c r="G1492" i="1"/>
  <c r="F1492" i="1"/>
  <c r="T1491" i="1"/>
  <c r="S1491" i="1"/>
  <c r="R1491" i="1"/>
  <c r="Q1491" i="1"/>
  <c r="P1491" i="1"/>
  <c r="O1491" i="1"/>
  <c r="N1491" i="1"/>
  <c r="M1491" i="1"/>
  <c r="L1491" i="1"/>
  <c r="K1491" i="1"/>
  <c r="J1491" i="1"/>
  <c r="I1491" i="1"/>
  <c r="H1491" i="1"/>
  <c r="F1491" i="1"/>
  <c r="G1491" i="1" s="1"/>
  <c r="T1490" i="1"/>
  <c r="S1490" i="1"/>
  <c r="R1490" i="1"/>
  <c r="Q1490" i="1"/>
  <c r="P1490" i="1"/>
  <c r="O1490" i="1"/>
  <c r="N1490" i="1"/>
  <c r="M1490" i="1"/>
  <c r="L1490" i="1"/>
  <c r="K1490" i="1"/>
  <c r="J1490" i="1"/>
  <c r="I1490" i="1"/>
  <c r="H1490" i="1"/>
  <c r="G1490" i="1"/>
  <c r="F1490" i="1"/>
  <c r="T1489" i="1"/>
  <c r="S1489" i="1"/>
  <c r="R1489" i="1"/>
  <c r="Q1489" i="1"/>
  <c r="P1489" i="1"/>
  <c r="O1489" i="1"/>
  <c r="N1489" i="1"/>
  <c r="M1489" i="1"/>
  <c r="L1489" i="1"/>
  <c r="K1489" i="1"/>
  <c r="J1489" i="1"/>
  <c r="I1489" i="1"/>
  <c r="H1489" i="1"/>
  <c r="F1489" i="1"/>
  <c r="G1489" i="1" s="1"/>
  <c r="T1488" i="1"/>
  <c r="S1488" i="1"/>
  <c r="R1488" i="1"/>
  <c r="Q1488" i="1"/>
  <c r="P1488" i="1"/>
  <c r="O1488" i="1"/>
  <c r="N1488" i="1"/>
  <c r="M1488" i="1"/>
  <c r="L1488" i="1"/>
  <c r="K1488" i="1"/>
  <c r="J1488" i="1"/>
  <c r="I1488" i="1"/>
  <c r="H1488" i="1"/>
  <c r="F1488" i="1"/>
  <c r="G1488" i="1" s="1"/>
  <c r="T1487" i="1"/>
  <c r="S1487" i="1"/>
  <c r="R1487" i="1"/>
  <c r="Q1487" i="1"/>
  <c r="P1487" i="1"/>
  <c r="O1487" i="1"/>
  <c r="N1487" i="1"/>
  <c r="M1487" i="1"/>
  <c r="L1487" i="1"/>
  <c r="K1487" i="1"/>
  <c r="J1487" i="1"/>
  <c r="I1487" i="1"/>
  <c r="H1487" i="1"/>
  <c r="G1487" i="1"/>
  <c r="F1487" i="1"/>
  <c r="T1486" i="1"/>
  <c r="S1486" i="1"/>
  <c r="R1486" i="1"/>
  <c r="Q1486" i="1"/>
  <c r="P1486" i="1"/>
  <c r="O1486" i="1"/>
  <c r="N1486" i="1"/>
  <c r="M1486" i="1"/>
  <c r="L1486" i="1"/>
  <c r="K1486" i="1"/>
  <c r="J1486" i="1"/>
  <c r="I1486" i="1"/>
  <c r="H1486" i="1"/>
  <c r="F1486" i="1"/>
  <c r="G1486" i="1" s="1"/>
  <c r="T1485" i="1"/>
  <c r="S1485" i="1"/>
  <c r="R1485" i="1"/>
  <c r="Q1485" i="1"/>
  <c r="P1485" i="1"/>
  <c r="O1485" i="1"/>
  <c r="N1485" i="1"/>
  <c r="M1485" i="1"/>
  <c r="L1485" i="1"/>
  <c r="K1485" i="1"/>
  <c r="J1485" i="1"/>
  <c r="I1485" i="1"/>
  <c r="H1485" i="1"/>
  <c r="G1485" i="1"/>
  <c r="F1485" i="1"/>
  <c r="T1484" i="1"/>
  <c r="S1484" i="1"/>
  <c r="R1484" i="1"/>
  <c r="Q1484" i="1"/>
  <c r="P1484" i="1"/>
  <c r="O1484" i="1"/>
  <c r="N1484" i="1"/>
  <c r="M1484" i="1"/>
  <c r="L1484" i="1"/>
  <c r="K1484" i="1"/>
  <c r="J1484" i="1"/>
  <c r="I1484" i="1"/>
  <c r="H1484" i="1"/>
  <c r="G1484" i="1"/>
  <c r="F1484" i="1"/>
  <c r="T1483" i="1"/>
  <c r="S1483" i="1"/>
  <c r="R1483" i="1"/>
  <c r="Q1483" i="1"/>
  <c r="P1483" i="1"/>
  <c r="O1483" i="1"/>
  <c r="N1483" i="1"/>
  <c r="M1483" i="1"/>
  <c r="L1483" i="1"/>
  <c r="K1483" i="1"/>
  <c r="J1483" i="1"/>
  <c r="I1483" i="1"/>
  <c r="H1483" i="1"/>
  <c r="F1483" i="1"/>
  <c r="G1483" i="1" s="1"/>
  <c r="T1482" i="1"/>
  <c r="S1482" i="1"/>
  <c r="R1482" i="1"/>
  <c r="Q1482" i="1"/>
  <c r="P1482" i="1"/>
  <c r="O1482" i="1"/>
  <c r="N1482" i="1"/>
  <c r="M1482" i="1"/>
  <c r="L1482" i="1"/>
  <c r="K1482" i="1"/>
  <c r="J1482" i="1"/>
  <c r="I1482" i="1"/>
  <c r="H1482" i="1"/>
  <c r="F1482" i="1"/>
  <c r="G1482" i="1" s="1"/>
  <c r="T1481" i="1"/>
  <c r="S1481" i="1"/>
  <c r="R1481" i="1"/>
  <c r="Q1481" i="1"/>
  <c r="P1481" i="1"/>
  <c r="O1481" i="1"/>
  <c r="N1481" i="1"/>
  <c r="M1481" i="1"/>
  <c r="L1481" i="1"/>
  <c r="K1481" i="1"/>
  <c r="J1481" i="1"/>
  <c r="I1481" i="1"/>
  <c r="H1481" i="1"/>
  <c r="G1481" i="1"/>
  <c r="F1481" i="1"/>
  <c r="T1480" i="1"/>
  <c r="S1480" i="1"/>
  <c r="R1480" i="1"/>
  <c r="Q1480" i="1"/>
  <c r="P1480" i="1"/>
  <c r="O1480" i="1"/>
  <c r="N1480" i="1"/>
  <c r="M1480" i="1"/>
  <c r="L1480" i="1"/>
  <c r="K1480" i="1"/>
  <c r="J1480" i="1"/>
  <c r="I1480" i="1"/>
  <c r="H1480" i="1"/>
  <c r="F1480" i="1"/>
  <c r="G1480" i="1" s="1"/>
  <c r="T1479" i="1"/>
  <c r="S1479" i="1"/>
  <c r="R1479" i="1"/>
  <c r="Q1479" i="1"/>
  <c r="P1479" i="1"/>
  <c r="O1479" i="1"/>
  <c r="N1479" i="1"/>
  <c r="M1479" i="1"/>
  <c r="L1479" i="1"/>
  <c r="K1479" i="1"/>
  <c r="J1479" i="1"/>
  <c r="I1479" i="1"/>
  <c r="H1479" i="1"/>
  <c r="G1479" i="1"/>
  <c r="F1479" i="1"/>
  <c r="T1478" i="1"/>
  <c r="S1478" i="1"/>
  <c r="R1478" i="1"/>
  <c r="Q1478" i="1"/>
  <c r="P1478" i="1"/>
  <c r="O1478" i="1"/>
  <c r="N1478" i="1"/>
  <c r="M1478" i="1"/>
  <c r="L1478" i="1"/>
  <c r="K1478" i="1"/>
  <c r="J1478" i="1"/>
  <c r="I1478" i="1"/>
  <c r="H1478" i="1"/>
  <c r="F1478" i="1"/>
  <c r="G1478" i="1" s="1"/>
  <c r="T1477" i="1"/>
  <c r="S1477" i="1"/>
  <c r="R1477" i="1"/>
  <c r="Q1477" i="1"/>
  <c r="P1477" i="1"/>
  <c r="O1477" i="1"/>
  <c r="N1477" i="1"/>
  <c r="M1477" i="1"/>
  <c r="L1477" i="1"/>
  <c r="K1477" i="1"/>
  <c r="J1477" i="1"/>
  <c r="I1477" i="1"/>
  <c r="H1477" i="1"/>
  <c r="G1477" i="1"/>
  <c r="F1477" i="1"/>
  <c r="T1476" i="1"/>
  <c r="S1476" i="1"/>
  <c r="R1476" i="1"/>
  <c r="Q1476" i="1"/>
  <c r="P1476" i="1"/>
  <c r="O1476" i="1"/>
  <c r="N1476" i="1"/>
  <c r="M1476" i="1"/>
  <c r="L1476" i="1"/>
  <c r="K1476" i="1"/>
  <c r="J1476" i="1"/>
  <c r="I1476" i="1"/>
  <c r="H1476" i="1"/>
  <c r="G1476" i="1"/>
  <c r="F1476" i="1"/>
  <c r="T1475" i="1"/>
  <c r="S1475" i="1"/>
  <c r="R1475" i="1"/>
  <c r="Q1475" i="1"/>
  <c r="P1475" i="1"/>
  <c r="O1475" i="1"/>
  <c r="N1475" i="1"/>
  <c r="M1475" i="1"/>
  <c r="L1475" i="1"/>
  <c r="K1475" i="1"/>
  <c r="J1475" i="1"/>
  <c r="I1475" i="1"/>
  <c r="H1475" i="1"/>
  <c r="F1475" i="1"/>
  <c r="G1475" i="1" s="1"/>
  <c r="T1474" i="1"/>
  <c r="S1474" i="1"/>
  <c r="R1474" i="1"/>
  <c r="Q1474" i="1"/>
  <c r="P1474" i="1"/>
  <c r="O1474" i="1"/>
  <c r="N1474" i="1"/>
  <c r="M1474" i="1"/>
  <c r="L1474" i="1"/>
  <c r="K1474" i="1"/>
  <c r="J1474" i="1"/>
  <c r="I1474" i="1"/>
  <c r="H1474" i="1"/>
  <c r="F1474" i="1"/>
  <c r="G1474" i="1" s="1"/>
  <c r="T1473" i="1"/>
  <c r="S1473" i="1"/>
  <c r="R1473" i="1"/>
  <c r="Q1473" i="1"/>
  <c r="P1473" i="1"/>
  <c r="O1473" i="1"/>
  <c r="N1473" i="1"/>
  <c r="M1473" i="1"/>
  <c r="L1473" i="1"/>
  <c r="K1473" i="1"/>
  <c r="J1473" i="1"/>
  <c r="I1473" i="1"/>
  <c r="H1473" i="1"/>
  <c r="G1473" i="1"/>
  <c r="F1473" i="1"/>
  <c r="T1472" i="1"/>
  <c r="S1472" i="1"/>
  <c r="R1472" i="1"/>
  <c r="Q1472" i="1"/>
  <c r="P1472" i="1"/>
  <c r="O1472" i="1"/>
  <c r="N1472" i="1"/>
  <c r="M1472" i="1"/>
  <c r="L1472" i="1"/>
  <c r="K1472" i="1"/>
  <c r="J1472" i="1"/>
  <c r="I1472" i="1"/>
  <c r="H1472" i="1"/>
  <c r="F1472" i="1"/>
  <c r="G1472" i="1" s="1"/>
  <c r="T1471" i="1"/>
  <c r="S1471" i="1"/>
  <c r="R1471" i="1"/>
  <c r="Q1471" i="1"/>
  <c r="P1471" i="1"/>
  <c r="O1471" i="1"/>
  <c r="N1471" i="1"/>
  <c r="M1471" i="1"/>
  <c r="L1471" i="1"/>
  <c r="K1471" i="1"/>
  <c r="J1471" i="1"/>
  <c r="I1471" i="1"/>
  <c r="H1471" i="1"/>
  <c r="G1471" i="1"/>
  <c r="F1471" i="1"/>
  <c r="T1470" i="1"/>
  <c r="S1470" i="1"/>
  <c r="R1470" i="1"/>
  <c r="Q1470" i="1"/>
  <c r="P1470" i="1"/>
  <c r="O1470" i="1"/>
  <c r="N1470" i="1"/>
  <c r="M1470" i="1"/>
  <c r="L1470" i="1"/>
  <c r="K1470" i="1"/>
  <c r="J1470" i="1"/>
  <c r="I1470" i="1"/>
  <c r="H1470" i="1"/>
  <c r="F1470" i="1"/>
  <c r="G1470" i="1" s="1"/>
  <c r="T1469" i="1"/>
  <c r="S1469" i="1"/>
  <c r="R1469" i="1"/>
  <c r="Q1469" i="1"/>
  <c r="P1469" i="1"/>
  <c r="O1469" i="1"/>
  <c r="N1469" i="1"/>
  <c r="M1469" i="1"/>
  <c r="L1469" i="1"/>
  <c r="K1469" i="1"/>
  <c r="J1469" i="1"/>
  <c r="I1469" i="1"/>
  <c r="H1469" i="1"/>
  <c r="G1469" i="1"/>
  <c r="F1469" i="1"/>
  <c r="T1468" i="1"/>
  <c r="S1468" i="1"/>
  <c r="R1468" i="1"/>
  <c r="Q1468" i="1"/>
  <c r="P1468" i="1"/>
  <c r="O1468" i="1"/>
  <c r="N1468" i="1"/>
  <c r="M1468" i="1"/>
  <c r="L1468" i="1"/>
  <c r="K1468" i="1"/>
  <c r="J1468" i="1"/>
  <c r="I1468" i="1"/>
  <c r="H1468" i="1"/>
  <c r="G1468" i="1"/>
  <c r="F1468" i="1"/>
  <c r="T1467" i="1"/>
  <c r="S1467" i="1"/>
  <c r="R1467" i="1"/>
  <c r="Q1467" i="1"/>
  <c r="P1467" i="1"/>
  <c r="O1467" i="1"/>
  <c r="N1467" i="1"/>
  <c r="M1467" i="1"/>
  <c r="L1467" i="1"/>
  <c r="K1467" i="1"/>
  <c r="J1467" i="1"/>
  <c r="I1467" i="1"/>
  <c r="H1467" i="1"/>
  <c r="F1467" i="1"/>
  <c r="G1467" i="1" s="1"/>
  <c r="T1466" i="1"/>
  <c r="S1466" i="1"/>
  <c r="R1466" i="1"/>
  <c r="Q1466" i="1"/>
  <c r="P1466" i="1"/>
  <c r="O1466" i="1"/>
  <c r="N1466" i="1"/>
  <c r="M1466" i="1"/>
  <c r="L1466" i="1"/>
  <c r="K1466" i="1"/>
  <c r="J1466" i="1"/>
  <c r="I1466" i="1"/>
  <c r="H1466" i="1"/>
  <c r="F1466" i="1"/>
  <c r="G1466" i="1" s="1"/>
  <c r="T1465" i="1"/>
  <c r="S1465" i="1"/>
  <c r="R1465" i="1"/>
  <c r="Q1465" i="1"/>
  <c r="P1465" i="1"/>
  <c r="O1465" i="1"/>
  <c r="N1465" i="1"/>
  <c r="M1465" i="1"/>
  <c r="L1465" i="1"/>
  <c r="K1465" i="1"/>
  <c r="J1465" i="1"/>
  <c r="I1465" i="1"/>
  <c r="H1465" i="1"/>
  <c r="G1465" i="1"/>
  <c r="F1465" i="1"/>
  <c r="T1464" i="1"/>
  <c r="S1464" i="1"/>
  <c r="R1464" i="1"/>
  <c r="Q1464" i="1"/>
  <c r="P1464" i="1"/>
  <c r="O1464" i="1"/>
  <c r="N1464" i="1"/>
  <c r="M1464" i="1"/>
  <c r="L1464" i="1"/>
  <c r="K1464" i="1"/>
  <c r="J1464" i="1"/>
  <c r="I1464" i="1"/>
  <c r="H1464" i="1"/>
  <c r="F1464" i="1"/>
  <c r="G1464" i="1" s="1"/>
  <c r="T1463" i="1"/>
  <c r="S1463" i="1"/>
  <c r="R1463" i="1"/>
  <c r="Q1463" i="1"/>
  <c r="P1463" i="1"/>
  <c r="O1463" i="1"/>
  <c r="N1463" i="1"/>
  <c r="M1463" i="1"/>
  <c r="L1463" i="1"/>
  <c r="K1463" i="1"/>
  <c r="J1463" i="1"/>
  <c r="I1463" i="1"/>
  <c r="H1463" i="1"/>
  <c r="G1463" i="1"/>
  <c r="F1463" i="1"/>
  <c r="T1462" i="1"/>
  <c r="S1462" i="1"/>
  <c r="R1462" i="1"/>
  <c r="Q1462" i="1"/>
  <c r="P1462" i="1"/>
  <c r="O1462" i="1"/>
  <c r="N1462" i="1"/>
  <c r="M1462" i="1"/>
  <c r="L1462" i="1"/>
  <c r="K1462" i="1"/>
  <c r="J1462" i="1"/>
  <c r="I1462" i="1"/>
  <c r="H1462" i="1"/>
  <c r="F1462" i="1"/>
  <c r="G1462" i="1" s="1"/>
  <c r="T1461" i="1"/>
  <c r="S1461" i="1"/>
  <c r="R1461" i="1"/>
  <c r="Q1461" i="1"/>
  <c r="P1461" i="1"/>
  <c r="O1461" i="1"/>
  <c r="N1461" i="1"/>
  <c r="M1461" i="1"/>
  <c r="L1461" i="1"/>
  <c r="K1461" i="1"/>
  <c r="J1461" i="1"/>
  <c r="I1461" i="1"/>
  <c r="H1461" i="1"/>
  <c r="G1461" i="1"/>
  <c r="F1461" i="1"/>
  <c r="T1460" i="1"/>
  <c r="S1460" i="1"/>
  <c r="R1460" i="1"/>
  <c r="Q1460" i="1"/>
  <c r="P1460" i="1"/>
  <c r="O1460" i="1"/>
  <c r="N1460" i="1"/>
  <c r="M1460" i="1"/>
  <c r="L1460" i="1"/>
  <c r="K1460" i="1"/>
  <c r="J1460" i="1"/>
  <c r="I1460" i="1"/>
  <c r="H1460" i="1"/>
  <c r="G1460" i="1"/>
  <c r="F1460" i="1"/>
  <c r="T1459" i="1"/>
  <c r="S1459" i="1"/>
  <c r="R1459" i="1"/>
  <c r="Q1459" i="1"/>
  <c r="P1459" i="1"/>
  <c r="O1459" i="1"/>
  <c r="N1459" i="1"/>
  <c r="M1459" i="1"/>
  <c r="L1459" i="1"/>
  <c r="K1459" i="1"/>
  <c r="J1459" i="1"/>
  <c r="I1459" i="1"/>
  <c r="H1459" i="1"/>
  <c r="F1459" i="1"/>
  <c r="G1459" i="1" s="1"/>
  <c r="T1458" i="1"/>
  <c r="S1458" i="1"/>
  <c r="R1458" i="1"/>
  <c r="Q1458" i="1"/>
  <c r="P1458" i="1"/>
  <c r="O1458" i="1"/>
  <c r="N1458" i="1"/>
  <c r="M1458" i="1"/>
  <c r="L1458" i="1"/>
  <c r="K1458" i="1"/>
  <c r="J1458" i="1"/>
  <c r="I1458" i="1"/>
  <c r="H1458" i="1"/>
  <c r="F1458" i="1"/>
  <c r="G1458" i="1" s="1"/>
  <c r="T1457" i="1"/>
  <c r="S1457" i="1"/>
  <c r="R1457" i="1"/>
  <c r="Q1457" i="1"/>
  <c r="P1457" i="1"/>
  <c r="O1457" i="1"/>
  <c r="N1457" i="1"/>
  <c r="M1457" i="1"/>
  <c r="L1457" i="1"/>
  <c r="K1457" i="1"/>
  <c r="J1457" i="1"/>
  <c r="I1457" i="1"/>
  <c r="H1457" i="1"/>
  <c r="G1457" i="1"/>
  <c r="F1457" i="1"/>
  <c r="T1456" i="1"/>
  <c r="S1456" i="1"/>
  <c r="R1456" i="1"/>
  <c r="Q1456" i="1"/>
  <c r="P1456" i="1"/>
  <c r="O1456" i="1"/>
  <c r="N1456" i="1"/>
  <c r="M1456" i="1"/>
  <c r="L1456" i="1"/>
  <c r="K1456" i="1"/>
  <c r="J1456" i="1"/>
  <c r="I1456" i="1"/>
  <c r="H1456" i="1"/>
  <c r="F1456" i="1"/>
  <c r="G1456" i="1" s="1"/>
  <c r="T1455" i="1"/>
  <c r="S1455" i="1"/>
  <c r="R1455" i="1"/>
  <c r="Q1455" i="1"/>
  <c r="P1455" i="1"/>
  <c r="O1455" i="1"/>
  <c r="N1455" i="1"/>
  <c r="M1455" i="1"/>
  <c r="L1455" i="1"/>
  <c r="K1455" i="1"/>
  <c r="J1455" i="1"/>
  <c r="I1455" i="1"/>
  <c r="H1455" i="1"/>
  <c r="G1455" i="1"/>
  <c r="F1455" i="1"/>
  <c r="T1454" i="1"/>
  <c r="S1454" i="1"/>
  <c r="R1454" i="1"/>
  <c r="Q1454" i="1"/>
  <c r="P1454" i="1"/>
  <c r="O1454" i="1"/>
  <c r="N1454" i="1"/>
  <c r="M1454" i="1"/>
  <c r="L1454" i="1"/>
  <c r="K1454" i="1"/>
  <c r="J1454" i="1"/>
  <c r="I1454" i="1"/>
  <c r="H1454" i="1"/>
  <c r="F1454" i="1"/>
  <c r="G1454" i="1" s="1"/>
  <c r="T1453" i="1"/>
  <c r="S1453" i="1"/>
  <c r="R1453" i="1"/>
  <c r="Q1453" i="1"/>
  <c r="P1453" i="1"/>
  <c r="O1453" i="1"/>
  <c r="N1453" i="1"/>
  <c r="M1453" i="1"/>
  <c r="L1453" i="1"/>
  <c r="K1453" i="1"/>
  <c r="J1453" i="1"/>
  <c r="I1453" i="1"/>
  <c r="H1453" i="1"/>
  <c r="G1453" i="1"/>
  <c r="F1453" i="1"/>
  <c r="T1452" i="1"/>
  <c r="S1452" i="1"/>
  <c r="R1452" i="1"/>
  <c r="Q1452" i="1"/>
  <c r="P1452" i="1"/>
  <c r="O1452" i="1"/>
  <c r="N1452" i="1"/>
  <c r="M1452" i="1"/>
  <c r="L1452" i="1"/>
  <c r="K1452" i="1"/>
  <c r="J1452" i="1"/>
  <c r="I1452" i="1"/>
  <c r="H1452" i="1"/>
  <c r="G1452" i="1"/>
  <c r="F1452" i="1"/>
  <c r="T1451" i="1"/>
  <c r="S1451" i="1"/>
  <c r="R1451" i="1"/>
  <c r="Q1451" i="1"/>
  <c r="P1451" i="1"/>
  <c r="O1451" i="1"/>
  <c r="N1451" i="1"/>
  <c r="M1451" i="1"/>
  <c r="L1451" i="1"/>
  <c r="K1451" i="1"/>
  <c r="J1451" i="1"/>
  <c r="I1451" i="1"/>
  <c r="H1451" i="1"/>
  <c r="F1451" i="1"/>
  <c r="G1451" i="1" s="1"/>
  <c r="T1450" i="1"/>
  <c r="S1450" i="1"/>
  <c r="R1450" i="1"/>
  <c r="Q1450" i="1"/>
  <c r="P1450" i="1"/>
  <c r="O1450" i="1"/>
  <c r="N1450" i="1"/>
  <c r="M1450" i="1"/>
  <c r="L1450" i="1"/>
  <c r="K1450" i="1"/>
  <c r="J1450" i="1"/>
  <c r="I1450" i="1"/>
  <c r="H1450" i="1"/>
  <c r="F1450" i="1"/>
  <c r="G1450" i="1" s="1"/>
  <c r="T1449" i="1"/>
  <c r="S1449" i="1"/>
  <c r="R1449" i="1"/>
  <c r="Q1449" i="1"/>
  <c r="P1449" i="1"/>
  <c r="O1449" i="1"/>
  <c r="N1449" i="1"/>
  <c r="M1449" i="1"/>
  <c r="L1449" i="1"/>
  <c r="K1449" i="1"/>
  <c r="J1449" i="1"/>
  <c r="I1449" i="1"/>
  <c r="H1449" i="1"/>
  <c r="G1449" i="1"/>
  <c r="F1449" i="1"/>
  <c r="T1448" i="1"/>
  <c r="S1448" i="1"/>
  <c r="R1448" i="1"/>
  <c r="Q1448" i="1"/>
  <c r="P1448" i="1"/>
  <c r="O1448" i="1"/>
  <c r="N1448" i="1"/>
  <c r="M1448" i="1"/>
  <c r="L1448" i="1"/>
  <c r="K1448" i="1"/>
  <c r="J1448" i="1"/>
  <c r="I1448" i="1"/>
  <c r="H1448" i="1"/>
  <c r="F1448" i="1"/>
  <c r="G1448" i="1" s="1"/>
  <c r="T1447" i="1"/>
  <c r="S1447" i="1"/>
  <c r="R1447" i="1"/>
  <c r="Q1447" i="1"/>
  <c r="P1447" i="1"/>
  <c r="O1447" i="1"/>
  <c r="N1447" i="1"/>
  <c r="M1447" i="1"/>
  <c r="L1447" i="1"/>
  <c r="K1447" i="1"/>
  <c r="J1447" i="1"/>
  <c r="I1447" i="1"/>
  <c r="H1447" i="1"/>
  <c r="G1447" i="1"/>
  <c r="F1447" i="1"/>
  <c r="T1446" i="1"/>
  <c r="S1446" i="1"/>
  <c r="R1446" i="1"/>
  <c r="Q1446" i="1"/>
  <c r="P1446" i="1"/>
  <c r="O1446" i="1"/>
  <c r="N1446" i="1"/>
  <c r="M1446" i="1"/>
  <c r="L1446" i="1"/>
  <c r="K1446" i="1"/>
  <c r="J1446" i="1"/>
  <c r="I1446" i="1"/>
  <c r="H1446" i="1"/>
  <c r="F1446" i="1"/>
  <c r="G1446" i="1" s="1"/>
  <c r="T1445" i="1"/>
  <c r="S1445" i="1"/>
  <c r="R1445" i="1"/>
  <c r="Q1445" i="1"/>
  <c r="P1445" i="1"/>
  <c r="O1445" i="1"/>
  <c r="N1445" i="1"/>
  <c r="M1445" i="1"/>
  <c r="L1445" i="1"/>
  <c r="K1445" i="1"/>
  <c r="J1445" i="1"/>
  <c r="I1445" i="1"/>
  <c r="H1445" i="1"/>
  <c r="G1445" i="1"/>
  <c r="F1445" i="1"/>
  <c r="T1444" i="1"/>
  <c r="S1444" i="1"/>
  <c r="R1444" i="1"/>
  <c r="Q1444" i="1"/>
  <c r="P1444" i="1"/>
  <c r="O1444" i="1"/>
  <c r="N1444" i="1"/>
  <c r="M1444" i="1"/>
  <c r="L1444" i="1"/>
  <c r="K1444" i="1"/>
  <c r="J1444" i="1"/>
  <c r="I1444" i="1"/>
  <c r="H1444" i="1"/>
  <c r="G1444" i="1"/>
  <c r="F1444" i="1"/>
  <c r="T1443" i="1"/>
  <c r="S1443" i="1"/>
  <c r="R1443" i="1"/>
  <c r="Q1443" i="1"/>
  <c r="P1443" i="1"/>
  <c r="O1443" i="1"/>
  <c r="N1443" i="1"/>
  <c r="M1443" i="1"/>
  <c r="L1443" i="1"/>
  <c r="K1443" i="1"/>
  <c r="J1443" i="1"/>
  <c r="I1443" i="1"/>
  <c r="H1443" i="1"/>
  <c r="F1443" i="1"/>
  <c r="G1443" i="1" s="1"/>
  <c r="T1442" i="1"/>
  <c r="S1442" i="1"/>
  <c r="R1442" i="1"/>
  <c r="Q1442" i="1"/>
  <c r="P1442" i="1"/>
  <c r="O1442" i="1"/>
  <c r="N1442" i="1"/>
  <c r="M1442" i="1"/>
  <c r="L1442" i="1"/>
  <c r="K1442" i="1"/>
  <c r="J1442" i="1"/>
  <c r="I1442" i="1"/>
  <c r="H1442" i="1"/>
  <c r="F1442" i="1"/>
  <c r="G1442" i="1" s="1"/>
  <c r="T1441" i="1"/>
  <c r="S1441" i="1"/>
  <c r="R1441" i="1"/>
  <c r="Q1441" i="1"/>
  <c r="P1441" i="1"/>
  <c r="O1441" i="1"/>
  <c r="N1441" i="1"/>
  <c r="M1441" i="1"/>
  <c r="L1441" i="1"/>
  <c r="K1441" i="1"/>
  <c r="J1441" i="1"/>
  <c r="I1441" i="1"/>
  <c r="H1441" i="1"/>
  <c r="G1441" i="1"/>
  <c r="F1441" i="1"/>
  <c r="T1440" i="1"/>
  <c r="S1440" i="1"/>
  <c r="R1440" i="1"/>
  <c r="Q1440" i="1"/>
  <c r="P1440" i="1"/>
  <c r="O1440" i="1"/>
  <c r="N1440" i="1"/>
  <c r="M1440" i="1"/>
  <c r="L1440" i="1"/>
  <c r="K1440" i="1"/>
  <c r="J1440" i="1"/>
  <c r="I1440" i="1"/>
  <c r="H1440" i="1"/>
  <c r="F1440" i="1"/>
  <c r="G1440" i="1" s="1"/>
  <c r="T1439" i="1"/>
  <c r="S1439" i="1"/>
  <c r="R1439" i="1"/>
  <c r="Q1439" i="1"/>
  <c r="P1439" i="1"/>
  <c r="O1439" i="1"/>
  <c r="N1439" i="1"/>
  <c r="M1439" i="1"/>
  <c r="L1439" i="1"/>
  <c r="K1439" i="1"/>
  <c r="J1439" i="1"/>
  <c r="I1439" i="1"/>
  <c r="H1439" i="1"/>
  <c r="G1439" i="1"/>
  <c r="F1439" i="1"/>
  <c r="T1438" i="1"/>
  <c r="S1438" i="1"/>
  <c r="R1438" i="1"/>
  <c r="Q1438" i="1"/>
  <c r="P1438" i="1"/>
  <c r="O1438" i="1"/>
  <c r="N1438" i="1"/>
  <c r="M1438" i="1"/>
  <c r="L1438" i="1"/>
  <c r="K1438" i="1"/>
  <c r="J1438" i="1"/>
  <c r="I1438" i="1"/>
  <c r="H1438" i="1"/>
  <c r="F1438" i="1"/>
  <c r="G1438" i="1" s="1"/>
  <c r="T1437" i="1"/>
  <c r="S1437" i="1"/>
  <c r="R1437" i="1"/>
  <c r="Q1437" i="1"/>
  <c r="P1437" i="1"/>
  <c r="O1437" i="1"/>
  <c r="N1437" i="1"/>
  <c r="M1437" i="1"/>
  <c r="L1437" i="1"/>
  <c r="K1437" i="1"/>
  <c r="J1437" i="1"/>
  <c r="I1437" i="1"/>
  <c r="H1437" i="1"/>
  <c r="G1437" i="1"/>
  <c r="F1437" i="1"/>
  <c r="T1436" i="1"/>
  <c r="S1436" i="1"/>
  <c r="R1436" i="1"/>
  <c r="Q1436" i="1"/>
  <c r="P1436" i="1"/>
  <c r="O1436" i="1"/>
  <c r="N1436" i="1"/>
  <c r="M1436" i="1"/>
  <c r="L1436" i="1"/>
  <c r="K1436" i="1"/>
  <c r="J1436" i="1"/>
  <c r="I1436" i="1"/>
  <c r="H1436" i="1"/>
  <c r="G1436" i="1"/>
  <c r="F1436" i="1"/>
  <c r="T1435" i="1"/>
  <c r="S1435" i="1"/>
  <c r="R1435" i="1"/>
  <c r="Q1435" i="1"/>
  <c r="P1435" i="1"/>
  <c r="O1435" i="1"/>
  <c r="N1435" i="1"/>
  <c r="M1435" i="1"/>
  <c r="L1435" i="1"/>
  <c r="K1435" i="1"/>
  <c r="J1435" i="1"/>
  <c r="I1435" i="1"/>
  <c r="H1435" i="1"/>
  <c r="F1435" i="1"/>
  <c r="G1435" i="1" s="1"/>
  <c r="T1434" i="1"/>
  <c r="S1434" i="1"/>
  <c r="R1434" i="1"/>
  <c r="Q1434" i="1"/>
  <c r="P1434" i="1"/>
  <c r="O1434" i="1"/>
  <c r="N1434" i="1"/>
  <c r="M1434" i="1"/>
  <c r="L1434" i="1"/>
  <c r="K1434" i="1"/>
  <c r="J1434" i="1"/>
  <c r="I1434" i="1"/>
  <c r="H1434" i="1"/>
  <c r="F1434" i="1"/>
  <c r="G1434" i="1" s="1"/>
  <c r="T1433" i="1"/>
  <c r="S1433" i="1"/>
  <c r="R1433" i="1"/>
  <c r="Q1433" i="1"/>
  <c r="P1433" i="1"/>
  <c r="O1433" i="1"/>
  <c r="N1433" i="1"/>
  <c r="M1433" i="1"/>
  <c r="L1433" i="1"/>
  <c r="K1433" i="1"/>
  <c r="J1433" i="1"/>
  <c r="I1433" i="1"/>
  <c r="H1433" i="1"/>
  <c r="G1433" i="1"/>
  <c r="F1433" i="1"/>
  <c r="T1432" i="1"/>
  <c r="S1432" i="1"/>
  <c r="R1432" i="1"/>
  <c r="Q1432" i="1"/>
  <c r="P1432" i="1"/>
  <c r="O1432" i="1"/>
  <c r="N1432" i="1"/>
  <c r="M1432" i="1"/>
  <c r="L1432" i="1"/>
  <c r="K1432" i="1"/>
  <c r="J1432" i="1"/>
  <c r="I1432" i="1"/>
  <c r="H1432" i="1"/>
  <c r="F1432" i="1"/>
  <c r="G1432" i="1" s="1"/>
  <c r="T1431" i="1"/>
  <c r="S1431" i="1"/>
  <c r="R1431" i="1"/>
  <c r="Q1431" i="1"/>
  <c r="P1431" i="1"/>
  <c r="O1431" i="1"/>
  <c r="N1431" i="1"/>
  <c r="M1431" i="1"/>
  <c r="L1431" i="1"/>
  <c r="K1431" i="1"/>
  <c r="J1431" i="1"/>
  <c r="I1431" i="1"/>
  <c r="H1431" i="1"/>
  <c r="G1431" i="1"/>
  <c r="F1431" i="1"/>
  <c r="T1430" i="1"/>
  <c r="S1430" i="1"/>
  <c r="R1430" i="1"/>
  <c r="Q1430" i="1"/>
  <c r="P1430" i="1"/>
  <c r="O1430" i="1"/>
  <c r="N1430" i="1"/>
  <c r="M1430" i="1"/>
  <c r="L1430" i="1"/>
  <c r="K1430" i="1"/>
  <c r="J1430" i="1"/>
  <c r="I1430" i="1"/>
  <c r="H1430" i="1"/>
  <c r="F1430" i="1"/>
  <c r="G1430" i="1" s="1"/>
  <c r="T1429" i="1"/>
  <c r="S1429" i="1"/>
  <c r="R1429" i="1"/>
  <c r="Q1429" i="1"/>
  <c r="P1429" i="1"/>
  <c r="O1429" i="1"/>
  <c r="N1429" i="1"/>
  <c r="M1429" i="1"/>
  <c r="L1429" i="1"/>
  <c r="K1429" i="1"/>
  <c r="J1429" i="1"/>
  <c r="I1429" i="1"/>
  <c r="H1429" i="1"/>
  <c r="G1429" i="1"/>
  <c r="F1429" i="1"/>
  <c r="T1428" i="1"/>
  <c r="S1428" i="1"/>
  <c r="R1428" i="1"/>
  <c r="Q1428" i="1"/>
  <c r="P1428" i="1"/>
  <c r="O1428" i="1"/>
  <c r="N1428" i="1"/>
  <c r="M1428" i="1"/>
  <c r="L1428" i="1"/>
  <c r="K1428" i="1"/>
  <c r="J1428" i="1"/>
  <c r="I1428" i="1"/>
  <c r="H1428" i="1"/>
  <c r="G1428" i="1"/>
  <c r="F1428" i="1"/>
  <c r="T1427" i="1"/>
  <c r="S1427" i="1"/>
  <c r="R1427" i="1"/>
  <c r="Q1427" i="1"/>
  <c r="P1427" i="1"/>
  <c r="O1427" i="1"/>
  <c r="N1427" i="1"/>
  <c r="M1427" i="1"/>
  <c r="L1427" i="1"/>
  <c r="K1427" i="1"/>
  <c r="J1427" i="1"/>
  <c r="I1427" i="1"/>
  <c r="H1427" i="1"/>
  <c r="F1427" i="1"/>
  <c r="G1427" i="1" s="1"/>
  <c r="T1426" i="1"/>
  <c r="S1426" i="1"/>
  <c r="R1426" i="1"/>
  <c r="Q1426" i="1"/>
  <c r="P1426" i="1"/>
  <c r="O1426" i="1"/>
  <c r="N1426" i="1"/>
  <c r="M1426" i="1"/>
  <c r="L1426" i="1"/>
  <c r="K1426" i="1"/>
  <c r="J1426" i="1"/>
  <c r="I1426" i="1"/>
  <c r="H1426" i="1"/>
  <c r="F1426" i="1"/>
  <c r="G1426" i="1" s="1"/>
  <c r="T1425" i="1"/>
  <c r="S1425" i="1"/>
  <c r="R1425" i="1"/>
  <c r="Q1425" i="1"/>
  <c r="P1425" i="1"/>
  <c r="O1425" i="1"/>
  <c r="N1425" i="1"/>
  <c r="M1425" i="1"/>
  <c r="L1425" i="1"/>
  <c r="K1425" i="1"/>
  <c r="J1425" i="1"/>
  <c r="I1425" i="1"/>
  <c r="H1425" i="1"/>
  <c r="G1425" i="1"/>
  <c r="F1425" i="1"/>
  <c r="T1424" i="1"/>
  <c r="S1424" i="1"/>
  <c r="R1424" i="1"/>
  <c r="Q1424" i="1"/>
  <c r="P1424" i="1"/>
  <c r="O1424" i="1"/>
  <c r="N1424" i="1"/>
  <c r="M1424" i="1"/>
  <c r="L1424" i="1"/>
  <c r="K1424" i="1"/>
  <c r="J1424" i="1"/>
  <c r="I1424" i="1"/>
  <c r="H1424" i="1"/>
  <c r="F1424" i="1"/>
  <c r="G1424" i="1" s="1"/>
  <c r="T1423" i="1"/>
  <c r="S1423" i="1"/>
  <c r="R1423" i="1"/>
  <c r="Q1423" i="1"/>
  <c r="P1423" i="1"/>
  <c r="O1423" i="1"/>
  <c r="N1423" i="1"/>
  <c r="M1423" i="1"/>
  <c r="L1423" i="1"/>
  <c r="K1423" i="1"/>
  <c r="J1423" i="1"/>
  <c r="I1423" i="1"/>
  <c r="H1423" i="1"/>
  <c r="G1423" i="1"/>
  <c r="F1423" i="1"/>
  <c r="T1422" i="1"/>
  <c r="S1422" i="1"/>
  <c r="R1422" i="1"/>
  <c r="Q1422" i="1"/>
  <c r="P1422" i="1"/>
  <c r="O1422" i="1"/>
  <c r="N1422" i="1"/>
  <c r="M1422" i="1"/>
  <c r="L1422" i="1"/>
  <c r="K1422" i="1"/>
  <c r="J1422" i="1"/>
  <c r="I1422" i="1"/>
  <c r="H1422" i="1"/>
  <c r="F1422" i="1"/>
  <c r="G1422" i="1" s="1"/>
  <c r="T1421" i="1"/>
  <c r="S1421" i="1"/>
  <c r="R1421" i="1"/>
  <c r="Q1421" i="1"/>
  <c r="P1421" i="1"/>
  <c r="O1421" i="1"/>
  <c r="N1421" i="1"/>
  <c r="M1421" i="1"/>
  <c r="L1421" i="1"/>
  <c r="K1421" i="1"/>
  <c r="J1421" i="1"/>
  <c r="I1421" i="1"/>
  <c r="H1421" i="1"/>
  <c r="G1421" i="1"/>
  <c r="F1421" i="1"/>
  <c r="T1420" i="1"/>
  <c r="S1420" i="1"/>
  <c r="R1420" i="1"/>
  <c r="Q1420" i="1"/>
  <c r="P1420" i="1"/>
  <c r="O1420" i="1"/>
  <c r="N1420" i="1"/>
  <c r="M1420" i="1"/>
  <c r="L1420" i="1"/>
  <c r="K1420" i="1"/>
  <c r="J1420" i="1"/>
  <c r="I1420" i="1"/>
  <c r="H1420" i="1"/>
  <c r="G1420" i="1"/>
  <c r="F1420" i="1"/>
  <c r="T1419" i="1"/>
  <c r="S1419" i="1"/>
  <c r="R1419" i="1"/>
  <c r="Q1419" i="1"/>
  <c r="P1419" i="1"/>
  <c r="O1419" i="1"/>
  <c r="N1419" i="1"/>
  <c r="M1419" i="1"/>
  <c r="L1419" i="1"/>
  <c r="K1419" i="1"/>
  <c r="J1419" i="1"/>
  <c r="I1419" i="1"/>
  <c r="H1419" i="1"/>
  <c r="F1419" i="1"/>
  <c r="G1419" i="1" s="1"/>
  <c r="T1418" i="1"/>
  <c r="S1418" i="1"/>
  <c r="R1418" i="1"/>
  <c r="Q1418" i="1"/>
  <c r="P1418" i="1"/>
  <c r="O1418" i="1"/>
  <c r="N1418" i="1"/>
  <c r="M1418" i="1"/>
  <c r="L1418" i="1"/>
  <c r="K1418" i="1"/>
  <c r="J1418" i="1"/>
  <c r="I1418" i="1"/>
  <c r="H1418" i="1"/>
  <c r="F1418" i="1"/>
  <c r="G1418" i="1" s="1"/>
  <c r="T1417" i="1"/>
  <c r="S1417" i="1"/>
  <c r="R1417" i="1"/>
  <c r="Q1417" i="1"/>
  <c r="P1417" i="1"/>
  <c r="O1417" i="1"/>
  <c r="N1417" i="1"/>
  <c r="M1417" i="1"/>
  <c r="L1417" i="1"/>
  <c r="K1417" i="1"/>
  <c r="J1417" i="1"/>
  <c r="I1417" i="1"/>
  <c r="H1417" i="1"/>
  <c r="G1417" i="1"/>
  <c r="F1417" i="1"/>
  <c r="T1416" i="1"/>
  <c r="S1416" i="1"/>
  <c r="R1416" i="1"/>
  <c r="Q1416" i="1"/>
  <c r="P1416" i="1"/>
  <c r="O1416" i="1"/>
  <c r="N1416" i="1"/>
  <c r="M1416" i="1"/>
  <c r="L1416" i="1"/>
  <c r="K1416" i="1"/>
  <c r="J1416" i="1"/>
  <c r="I1416" i="1"/>
  <c r="H1416" i="1"/>
  <c r="F1416" i="1"/>
  <c r="G1416" i="1" s="1"/>
  <c r="T1415" i="1"/>
  <c r="S1415" i="1"/>
  <c r="R1415" i="1"/>
  <c r="Q1415" i="1"/>
  <c r="P1415" i="1"/>
  <c r="O1415" i="1"/>
  <c r="N1415" i="1"/>
  <c r="M1415" i="1"/>
  <c r="L1415" i="1"/>
  <c r="K1415" i="1"/>
  <c r="J1415" i="1"/>
  <c r="I1415" i="1"/>
  <c r="H1415" i="1"/>
  <c r="G1415" i="1"/>
  <c r="F1415" i="1"/>
  <c r="T1414" i="1"/>
  <c r="S1414" i="1"/>
  <c r="R1414" i="1"/>
  <c r="Q1414" i="1"/>
  <c r="P1414" i="1"/>
  <c r="O1414" i="1"/>
  <c r="N1414" i="1"/>
  <c r="M1414" i="1"/>
  <c r="L1414" i="1"/>
  <c r="K1414" i="1"/>
  <c r="J1414" i="1"/>
  <c r="I1414" i="1"/>
  <c r="H1414" i="1"/>
  <c r="F1414" i="1"/>
  <c r="G1414" i="1" s="1"/>
  <c r="T1413" i="1"/>
  <c r="S1413" i="1"/>
  <c r="R1413" i="1"/>
  <c r="Q1413" i="1"/>
  <c r="P1413" i="1"/>
  <c r="O1413" i="1"/>
  <c r="N1413" i="1"/>
  <c r="M1413" i="1"/>
  <c r="L1413" i="1"/>
  <c r="K1413" i="1"/>
  <c r="J1413" i="1"/>
  <c r="I1413" i="1"/>
  <c r="H1413" i="1"/>
  <c r="G1413" i="1"/>
  <c r="F1413" i="1"/>
  <c r="T1412" i="1"/>
  <c r="S1412" i="1"/>
  <c r="R1412" i="1"/>
  <c r="Q1412" i="1"/>
  <c r="P1412" i="1"/>
  <c r="O1412" i="1"/>
  <c r="N1412" i="1"/>
  <c r="M1412" i="1"/>
  <c r="L1412" i="1"/>
  <c r="K1412" i="1"/>
  <c r="J1412" i="1"/>
  <c r="I1412" i="1"/>
  <c r="H1412" i="1"/>
  <c r="G1412" i="1"/>
  <c r="F1412" i="1"/>
  <c r="T1411" i="1"/>
  <c r="S1411" i="1"/>
  <c r="R1411" i="1"/>
  <c r="Q1411" i="1"/>
  <c r="P1411" i="1"/>
  <c r="O1411" i="1"/>
  <c r="N1411" i="1"/>
  <c r="M1411" i="1"/>
  <c r="L1411" i="1"/>
  <c r="K1411" i="1"/>
  <c r="J1411" i="1"/>
  <c r="I1411" i="1"/>
  <c r="H1411" i="1"/>
  <c r="F1411" i="1"/>
  <c r="G1411" i="1" s="1"/>
  <c r="T1410" i="1"/>
  <c r="S1410" i="1"/>
  <c r="R1410" i="1"/>
  <c r="Q1410" i="1"/>
  <c r="P1410" i="1"/>
  <c r="O1410" i="1"/>
  <c r="N1410" i="1"/>
  <c r="M1410" i="1"/>
  <c r="L1410" i="1"/>
  <c r="K1410" i="1"/>
  <c r="J1410" i="1"/>
  <c r="I1410" i="1"/>
  <c r="H1410" i="1"/>
  <c r="F1410" i="1"/>
  <c r="G1410" i="1" s="1"/>
  <c r="T1409" i="1"/>
  <c r="S1409" i="1"/>
  <c r="R1409" i="1"/>
  <c r="Q1409" i="1"/>
  <c r="P1409" i="1"/>
  <c r="O1409" i="1"/>
  <c r="N1409" i="1"/>
  <c r="M1409" i="1"/>
  <c r="L1409" i="1"/>
  <c r="K1409" i="1"/>
  <c r="J1409" i="1"/>
  <c r="I1409" i="1"/>
  <c r="H1409" i="1"/>
  <c r="G1409" i="1"/>
  <c r="F1409" i="1"/>
  <c r="T1408" i="1"/>
  <c r="S1408" i="1"/>
  <c r="R1408" i="1"/>
  <c r="Q1408" i="1"/>
  <c r="P1408" i="1"/>
  <c r="O1408" i="1"/>
  <c r="N1408" i="1"/>
  <c r="M1408" i="1"/>
  <c r="L1408" i="1"/>
  <c r="K1408" i="1"/>
  <c r="J1408" i="1"/>
  <c r="I1408" i="1"/>
  <c r="H1408" i="1"/>
  <c r="F1408" i="1"/>
  <c r="G1408" i="1" s="1"/>
  <c r="T1407" i="1"/>
  <c r="S1407" i="1"/>
  <c r="R1407" i="1"/>
  <c r="Q1407" i="1"/>
  <c r="P1407" i="1"/>
  <c r="O1407" i="1"/>
  <c r="N1407" i="1"/>
  <c r="M1407" i="1"/>
  <c r="L1407" i="1"/>
  <c r="K1407" i="1"/>
  <c r="J1407" i="1"/>
  <c r="I1407" i="1"/>
  <c r="H1407" i="1"/>
  <c r="G1407" i="1"/>
  <c r="F1407" i="1"/>
  <c r="T1406" i="1"/>
  <c r="S1406" i="1"/>
  <c r="R1406" i="1"/>
  <c r="Q1406" i="1"/>
  <c r="P1406" i="1"/>
  <c r="O1406" i="1"/>
  <c r="N1406" i="1"/>
  <c r="M1406" i="1"/>
  <c r="L1406" i="1"/>
  <c r="K1406" i="1"/>
  <c r="J1406" i="1"/>
  <c r="I1406" i="1"/>
  <c r="H1406" i="1"/>
  <c r="F1406" i="1"/>
  <c r="G1406" i="1" s="1"/>
  <c r="T1405" i="1"/>
  <c r="S1405" i="1"/>
  <c r="R1405" i="1"/>
  <c r="Q1405" i="1"/>
  <c r="P1405" i="1"/>
  <c r="O1405" i="1"/>
  <c r="N1405" i="1"/>
  <c r="M1405" i="1"/>
  <c r="L1405" i="1"/>
  <c r="K1405" i="1"/>
  <c r="J1405" i="1"/>
  <c r="I1405" i="1"/>
  <c r="H1405" i="1"/>
  <c r="G1405" i="1"/>
  <c r="F1405" i="1"/>
  <c r="T1404" i="1"/>
  <c r="S1404" i="1"/>
  <c r="R1404" i="1"/>
  <c r="Q1404" i="1"/>
  <c r="P1404" i="1"/>
  <c r="O1404" i="1"/>
  <c r="N1404" i="1"/>
  <c r="M1404" i="1"/>
  <c r="L1404" i="1"/>
  <c r="K1404" i="1"/>
  <c r="J1404" i="1"/>
  <c r="I1404" i="1"/>
  <c r="H1404" i="1"/>
  <c r="G1404" i="1"/>
  <c r="F1404" i="1"/>
  <c r="T1403" i="1"/>
  <c r="S1403" i="1"/>
  <c r="R1403" i="1"/>
  <c r="Q1403" i="1"/>
  <c r="P1403" i="1"/>
  <c r="O1403" i="1"/>
  <c r="N1403" i="1"/>
  <c r="M1403" i="1"/>
  <c r="L1403" i="1"/>
  <c r="K1403" i="1"/>
  <c r="J1403" i="1"/>
  <c r="I1403" i="1"/>
  <c r="H1403" i="1"/>
  <c r="F1403" i="1"/>
  <c r="G1403" i="1" s="1"/>
  <c r="T1402" i="1"/>
  <c r="S1402" i="1"/>
  <c r="R1402" i="1"/>
  <c r="Q1402" i="1"/>
  <c r="P1402" i="1"/>
  <c r="O1402" i="1"/>
  <c r="N1402" i="1"/>
  <c r="M1402" i="1"/>
  <c r="L1402" i="1"/>
  <c r="K1402" i="1"/>
  <c r="J1402" i="1"/>
  <c r="I1402" i="1"/>
  <c r="H1402" i="1"/>
  <c r="F1402" i="1"/>
  <c r="G1402" i="1" s="1"/>
  <c r="T1401" i="1"/>
  <c r="S1401" i="1"/>
  <c r="R1401" i="1"/>
  <c r="Q1401" i="1"/>
  <c r="P1401" i="1"/>
  <c r="O1401" i="1"/>
  <c r="N1401" i="1"/>
  <c r="M1401" i="1"/>
  <c r="L1401" i="1"/>
  <c r="K1401" i="1"/>
  <c r="J1401" i="1"/>
  <c r="I1401" i="1"/>
  <c r="H1401" i="1"/>
  <c r="G1401" i="1"/>
  <c r="F1401" i="1"/>
  <c r="T1400" i="1"/>
  <c r="S1400" i="1"/>
  <c r="R1400" i="1"/>
  <c r="Q1400" i="1"/>
  <c r="P1400" i="1"/>
  <c r="O1400" i="1"/>
  <c r="N1400" i="1"/>
  <c r="M1400" i="1"/>
  <c r="L1400" i="1"/>
  <c r="K1400" i="1"/>
  <c r="J1400" i="1"/>
  <c r="I1400" i="1"/>
  <c r="H1400" i="1"/>
  <c r="F1400" i="1"/>
  <c r="G1400" i="1" s="1"/>
  <c r="T1399" i="1"/>
  <c r="S1399" i="1"/>
  <c r="R1399" i="1"/>
  <c r="Q1399" i="1"/>
  <c r="P1399" i="1"/>
  <c r="O1399" i="1"/>
  <c r="N1399" i="1"/>
  <c r="M1399" i="1"/>
  <c r="L1399" i="1"/>
  <c r="K1399" i="1"/>
  <c r="J1399" i="1"/>
  <c r="I1399" i="1"/>
  <c r="H1399" i="1"/>
  <c r="G1399" i="1"/>
  <c r="F1399" i="1"/>
  <c r="T1398" i="1"/>
  <c r="S1398" i="1"/>
  <c r="R1398" i="1"/>
  <c r="Q1398" i="1"/>
  <c r="P1398" i="1"/>
  <c r="O1398" i="1"/>
  <c r="N1398" i="1"/>
  <c r="M1398" i="1"/>
  <c r="L1398" i="1"/>
  <c r="K1398" i="1"/>
  <c r="J1398" i="1"/>
  <c r="I1398" i="1"/>
  <c r="H1398" i="1"/>
  <c r="F1398" i="1"/>
  <c r="G1398" i="1" s="1"/>
  <c r="T1397" i="1"/>
  <c r="S1397" i="1"/>
  <c r="R1397" i="1"/>
  <c r="Q1397" i="1"/>
  <c r="P1397" i="1"/>
  <c r="O1397" i="1"/>
  <c r="N1397" i="1"/>
  <c r="M1397" i="1"/>
  <c r="L1397" i="1"/>
  <c r="K1397" i="1"/>
  <c r="J1397" i="1"/>
  <c r="I1397" i="1"/>
  <c r="H1397" i="1"/>
  <c r="G1397" i="1"/>
  <c r="F1397" i="1"/>
  <c r="T1396" i="1"/>
  <c r="S1396" i="1"/>
  <c r="R1396" i="1"/>
  <c r="Q1396" i="1"/>
  <c r="P1396" i="1"/>
  <c r="O1396" i="1"/>
  <c r="N1396" i="1"/>
  <c r="M1396" i="1"/>
  <c r="L1396" i="1"/>
  <c r="K1396" i="1"/>
  <c r="J1396" i="1"/>
  <c r="I1396" i="1"/>
  <c r="H1396" i="1"/>
  <c r="G1396" i="1"/>
  <c r="F1396" i="1"/>
  <c r="T1395" i="1"/>
  <c r="S1395" i="1"/>
  <c r="R1395" i="1"/>
  <c r="Q1395" i="1"/>
  <c r="P1395" i="1"/>
  <c r="O1395" i="1"/>
  <c r="N1395" i="1"/>
  <c r="M1395" i="1"/>
  <c r="L1395" i="1"/>
  <c r="K1395" i="1"/>
  <c r="J1395" i="1"/>
  <c r="I1395" i="1"/>
  <c r="H1395" i="1"/>
  <c r="F1395" i="1"/>
  <c r="G1395" i="1" s="1"/>
  <c r="T1394" i="1"/>
  <c r="S1394" i="1"/>
  <c r="R1394" i="1"/>
  <c r="Q1394" i="1"/>
  <c r="P1394" i="1"/>
  <c r="O1394" i="1"/>
  <c r="N1394" i="1"/>
  <c r="M1394" i="1"/>
  <c r="L1394" i="1"/>
  <c r="K1394" i="1"/>
  <c r="J1394" i="1"/>
  <c r="I1394" i="1"/>
  <c r="H1394" i="1"/>
  <c r="F1394" i="1"/>
  <c r="G1394" i="1" s="1"/>
  <c r="T1393" i="1"/>
  <c r="S1393" i="1"/>
  <c r="R1393" i="1"/>
  <c r="Q1393" i="1"/>
  <c r="P1393" i="1"/>
  <c r="O1393" i="1"/>
  <c r="N1393" i="1"/>
  <c r="M1393" i="1"/>
  <c r="L1393" i="1"/>
  <c r="K1393" i="1"/>
  <c r="J1393" i="1"/>
  <c r="I1393" i="1"/>
  <c r="H1393" i="1"/>
  <c r="G1393" i="1"/>
  <c r="F1393" i="1"/>
  <c r="T1392" i="1"/>
  <c r="S1392" i="1"/>
  <c r="R1392" i="1"/>
  <c r="Q1392" i="1"/>
  <c r="P1392" i="1"/>
  <c r="O1392" i="1"/>
  <c r="N1392" i="1"/>
  <c r="M1392" i="1"/>
  <c r="L1392" i="1"/>
  <c r="K1392" i="1"/>
  <c r="J1392" i="1"/>
  <c r="I1392" i="1"/>
  <c r="H1392" i="1"/>
  <c r="F1392" i="1"/>
  <c r="G1392" i="1" s="1"/>
  <c r="T1391" i="1"/>
  <c r="S1391" i="1"/>
  <c r="R1391" i="1"/>
  <c r="Q1391" i="1"/>
  <c r="P1391" i="1"/>
  <c r="O1391" i="1"/>
  <c r="N1391" i="1"/>
  <c r="M1391" i="1"/>
  <c r="L1391" i="1"/>
  <c r="K1391" i="1"/>
  <c r="J1391" i="1"/>
  <c r="I1391" i="1"/>
  <c r="H1391" i="1"/>
  <c r="G1391" i="1"/>
  <c r="F1391" i="1"/>
  <c r="T1390" i="1"/>
  <c r="S1390" i="1"/>
  <c r="R1390" i="1"/>
  <c r="Q1390" i="1"/>
  <c r="P1390" i="1"/>
  <c r="O1390" i="1"/>
  <c r="N1390" i="1"/>
  <c r="M1390" i="1"/>
  <c r="L1390" i="1"/>
  <c r="K1390" i="1"/>
  <c r="J1390" i="1"/>
  <c r="I1390" i="1"/>
  <c r="H1390" i="1"/>
  <c r="F1390" i="1"/>
  <c r="G1390" i="1" s="1"/>
  <c r="T1389" i="1"/>
  <c r="S1389" i="1"/>
  <c r="R1389" i="1"/>
  <c r="Q1389" i="1"/>
  <c r="P1389" i="1"/>
  <c r="O1389" i="1"/>
  <c r="N1389" i="1"/>
  <c r="M1389" i="1"/>
  <c r="L1389" i="1"/>
  <c r="K1389" i="1"/>
  <c r="J1389" i="1"/>
  <c r="I1389" i="1"/>
  <c r="H1389" i="1"/>
  <c r="G1389" i="1"/>
  <c r="F1389" i="1"/>
  <c r="T1388" i="1"/>
  <c r="S1388" i="1"/>
  <c r="R1388" i="1"/>
  <c r="Q1388" i="1"/>
  <c r="P1388" i="1"/>
  <c r="O1388" i="1"/>
  <c r="N1388" i="1"/>
  <c r="M1388" i="1"/>
  <c r="L1388" i="1"/>
  <c r="K1388" i="1"/>
  <c r="J1388" i="1"/>
  <c r="I1388" i="1"/>
  <c r="H1388" i="1"/>
  <c r="G1388" i="1"/>
  <c r="F1388" i="1"/>
  <c r="T1387" i="1"/>
  <c r="S1387" i="1"/>
  <c r="R1387" i="1"/>
  <c r="Q1387" i="1"/>
  <c r="P1387" i="1"/>
  <c r="O1387" i="1"/>
  <c r="N1387" i="1"/>
  <c r="M1387" i="1"/>
  <c r="L1387" i="1"/>
  <c r="K1387" i="1"/>
  <c r="J1387" i="1"/>
  <c r="I1387" i="1"/>
  <c r="H1387" i="1"/>
  <c r="F1387" i="1"/>
  <c r="G1387" i="1" s="1"/>
  <c r="T1386" i="1"/>
  <c r="S1386" i="1"/>
  <c r="R1386" i="1"/>
  <c r="Q1386" i="1"/>
  <c r="P1386" i="1"/>
  <c r="O1386" i="1"/>
  <c r="N1386" i="1"/>
  <c r="M1386" i="1"/>
  <c r="L1386" i="1"/>
  <c r="K1386" i="1"/>
  <c r="J1386" i="1"/>
  <c r="I1386" i="1"/>
  <c r="H1386" i="1"/>
  <c r="F1386" i="1"/>
  <c r="G1386" i="1" s="1"/>
  <c r="T1385" i="1"/>
  <c r="S1385" i="1"/>
  <c r="R1385" i="1"/>
  <c r="Q1385" i="1"/>
  <c r="P1385" i="1"/>
  <c r="O1385" i="1"/>
  <c r="N1385" i="1"/>
  <c r="M1385" i="1"/>
  <c r="L1385" i="1"/>
  <c r="K1385" i="1"/>
  <c r="J1385" i="1"/>
  <c r="I1385" i="1"/>
  <c r="H1385" i="1"/>
  <c r="G1385" i="1"/>
  <c r="F1385" i="1"/>
  <c r="T1384" i="1"/>
  <c r="S1384" i="1"/>
  <c r="R1384" i="1"/>
  <c r="Q1384" i="1"/>
  <c r="P1384" i="1"/>
  <c r="O1384" i="1"/>
  <c r="N1384" i="1"/>
  <c r="M1384" i="1"/>
  <c r="L1384" i="1"/>
  <c r="K1384" i="1"/>
  <c r="J1384" i="1"/>
  <c r="I1384" i="1"/>
  <c r="H1384" i="1"/>
  <c r="F1384" i="1"/>
  <c r="G1384" i="1" s="1"/>
  <c r="T1383" i="1"/>
  <c r="S1383" i="1"/>
  <c r="R1383" i="1"/>
  <c r="Q1383" i="1"/>
  <c r="P1383" i="1"/>
  <c r="O1383" i="1"/>
  <c r="N1383" i="1"/>
  <c r="M1383" i="1"/>
  <c r="L1383" i="1"/>
  <c r="K1383" i="1"/>
  <c r="J1383" i="1"/>
  <c r="I1383" i="1"/>
  <c r="H1383" i="1"/>
  <c r="G1383" i="1"/>
  <c r="F1383" i="1"/>
  <c r="T1382" i="1"/>
  <c r="S1382" i="1"/>
  <c r="R1382" i="1"/>
  <c r="Q1382" i="1"/>
  <c r="P1382" i="1"/>
  <c r="O1382" i="1"/>
  <c r="N1382" i="1"/>
  <c r="M1382" i="1"/>
  <c r="L1382" i="1"/>
  <c r="K1382" i="1"/>
  <c r="J1382" i="1"/>
  <c r="I1382" i="1"/>
  <c r="H1382" i="1"/>
  <c r="F1382" i="1"/>
  <c r="G1382" i="1" s="1"/>
  <c r="T1381" i="1"/>
  <c r="S1381" i="1"/>
  <c r="R1381" i="1"/>
  <c r="Q1381" i="1"/>
  <c r="P1381" i="1"/>
  <c r="O1381" i="1"/>
  <c r="N1381" i="1"/>
  <c r="M1381" i="1"/>
  <c r="L1381" i="1"/>
  <c r="K1381" i="1"/>
  <c r="J1381" i="1"/>
  <c r="I1381" i="1"/>
  <c r="H1381" i="1"/>
  <c r="G1381" i="1"/>
  <c r="F1381" i="1"/>
  <c r="T1380" i="1"/>
  <c r="S1380" i="1"/>
  <c r="R1380" i="1"/>
  <c r="Q1380" i="1"/>
  <c r="P1380" i="1"/>
  <c r="O1380" i="1"/>
  <c r="N1380" i="1"/>
  <c r="M1380" i="1"/>
  <c r="L1380" i="1"/>
  <c r="K1380" i="1"/>
  <c r="J1380" i="1"/>
  <c r="I1380" i="1"/>
  <c r="H1380" i="1"/>
  <c r="G1380" i="1"/>
  <c r="F1380" i="1"/>
  <c r="T1379" i="1"/>
  <c r="S1379" i="1"/>
  <c r="R1379" i="1"/>
  <c r="Q1379" i="1"/>
  <c r="P1379" i="1"/>
  <c r="O1379" i="1"/>
  <c r="N1379" i="1"/>
  <c r="M1379" i="1"/>
  <c r="L1379" i="1"/>
  <c r="K1379" i="1"/>
  <c r="J1379" i="1"/>
  <c r="I1379" i="1"/>
  <c r="H1379" i="1"/>
  <c r="F1379" i="1"/>
  <c r="G1379" i="1" s="1"/>
  <c r="T1378" i="1"/>
  <c r="S1378" i="1"/>
  <c r="R1378" i="1"/>
  <c r="Q1378" i="1"/>
  <c r="P1378" i="1"/>
  <c r="O1378" i="1"/>
  <c r="N1378" i="1"/>
  <c r="M1378" i="1"/>
  <c r="L1378" i="1"/>
  <c r="K1378" i="1"/>
  <c r="J1378" i="1"/>
  <c r="I1378" i="1"/>
  <c r="H1378" i="1"/>
  <c r="F1378" i="1"/>
  <c r="G1378" i="1" s="1"/>
  <c r="T1377" i="1"/>
  <c r="S1377" i="1"/>
  <c r="R1377" i="1"/>
  <c r="Q1377" i="1"/>
  <c r="P1377" i="1"/>
  <c r="O1377" i="1"/>
  <c r="N1377" i="1"/>
  <c r="M1377" i="1"/>
  <c r="L1377" i="1"/>
  <c r="K1377" i="1"/>
  <c r="J1377" i="1"/>
  <c r="I1377" i="1"/>
  <c r="H1377" i="1"/>
  <c r="G1377" i="1"/>
  <c r="F1377" i="1"/>
  <c r="T1376" i="1"/>
  <c r="S1376" i="1"/>
  <c r="R1376" i="1"/>
  <c r="Q1376" i="1"/>
  <c r="P1376" i="1"/>
  <c r="O1376" i="1"/>
  <c r="N1376" i="1"/>
  <c r="M1376" i="1"/>
  <c r="L1376" i="1"/>
  <c r="K1376" i="1"/>
  <c r="J1376" i="1"/>
  <c r="I1376" i="1"/>
  <c r="H1376" i="1"/>
  <c r="F1376" i="1"/>
  <c r="G1376" i="1" s="1"/>
  <c r="T1375" i="1"/>
  <c r="S1375" i="1"/>
  <c r="R1375" i="1"/>
  <c r="Q1375" i="1"/>
  <c r="P1375" i="1"/>
  <c r="O1375" i="1"/>
  <c r="N1375" i="1"/>
  <c r="M1375" i="1"/>
  <c r="L1375" i="1"/>
  <c r="K1375" i="1"/>
  <c r="J1375" i="1"/>
  <c r="I1375" i="1"/>
  <c r="H1375" i="1"/>
  <c r="G1375" i="1"/>
  <c r="F1375" i="1"/>
  <c r="T1374" i="1"/>
  <c r="S1374" i="1"/>
  <c r="R1374" i="1"/>
  <c r="Q1374" i="1"/>
  <c r="P1374" i="1"/>
  <c r="O1374" i="1"/>
  <c r="N1374" i="1"/>
  <c r="M1374" i="1"/>
  <c r="L1374" i="1"/>
  <c r="K1374" i="1"/>
  <c r="J1374" i="1"/>
  <c r="I1374" i="1"/>
  <c r="H1374" i="1"/>
  <c r="F1374" i="1"/>
  <c r="G1374" i="1" s="1"/>
  <c r="T1373" i="1"/>
  <c r="S1373" i="1"/>
  <c r="R1373" i="1"/>
  <c r="Q1373" i="1"/>
  <c r="P1373" i="1"/>
  <c r="O1373" i="1"/>
  <c r="N1373" i="1"/>
  <c r="M1373" i="1"/>
  <c r="L1373" i="1"/>
  <c r="K1373" i="1"/>
  <c r="J1373" i="1"/>
  <c r="I1373" i="1"/>
  <c r="H1373" i="1"/>
  <c r="G1373" i="1"/>
  <c r="F1373" i="1"/>
  <c r="T1372" i="1"/>
  <c r="S1372" i="1"/>
  <c r="R1372" i="1"/>
  <c r="Q1372" i="1"/>
  <c r="P1372" i="1"/>
  <c r="O1372" i="1"/>
  <c r="N1372" i="1"/>
  <c r="M1372" i="1"/>
  <c r="L1372" i="1"/>
  <c r="K1372" i="1"/>
  <c r="J1372" i="1"/>
  <c r="I1372" i="1"/>
  <c r="H1372" i="1"/>
  <c r="G1372" i="1"/>
  <c r="F1372" i="1"/>
  <c r="T1371" i="1"/>
  <c r="S1371" i="1"/>
  <c r="R1371" i="1"/>
  <c r="Q1371" i="1"/>
  <c r="P1371" i="1"/>
  <c r="O1371" i="1"/>
  <c r="N1371" i="1"/>
  <c r="M1371" i="1"/>
  <c r="L1371" i="1"/>
  <c r="K1371" i="1"/>
  <c r="J1371" i="1"/>
  <c r="I1371" i="1"/>
  <c r="H1371" i="1"/>
  <c r="F1371" i="1"/>
  <c r="G1371" i="1" s="1"/>
  <c r="T1370" i="1"/>
  <c r="S1370" i="1"/>
  <c r="R1370" i="1"/>
  <c r="Q1370" i="1"/>
  <c r="P1370" i="1"/>
  <c r="O1370" i="1"/>
  <c r="N1370" i="1"/>
  <c r="M1370" i="1"/>
  <c r="L1370" i="1"/>
  <c r="K1370" i="1"/>
  <c r="J1370" i="1"/>
  <c r="I1370" i="1"/>
  <c r="H1370" i="1"/>
  <c r="F1370" i="1"/>
  <c r="G1370" i="1" s="1"/>
  <c r="T1369" i="1"/>
  <c r="S1369" i="1"/>
  <c r="R1369" i="1"/>
  <c r="Q1369" i="1"/>
  <c r="P1369" i="1"/>
  <c r="O1369" i="1"/>
  <c r="N1369" i="1"/>
  <c r="M1369" i="1"/>
  <c r="L1369" i="1"/>
  <c r="K1369" i="1"/>
  <c r="J1369" i="1"/>
  <c r="I1369" i="1"/>
  <c r="H1369" i="1"/>
  <c r="G1369" i="1"/>
  <c r="F1369" i="1"/>
  <c r="T1368" i="1"/>
  <c r="S1368" i="1"/>
  <c r="R1368" i="1"/>
  <c r="Q1368" i="1"/>
  <c r="P1368" i="1"/>
  <c r="O1368" i="1"/>
  <c r="N1368" i="1"/>
  <c r="M1368" i="1"/>
  <c r="L1368" i="1"/>
  <c r="K1368" i="1"/>
  <c r="J1368" i="1"/>
  <c r="I1368" i="1"/>
  <c r="H1368" i="1"/>
  <c r="F1368" i="1"/>
  <c r="G1368" i="1" s="1"/>
  <c r="T1367" i="1"/>
  <c r="S1367" i="1"/>
  <c r="R1367" i="1"/>
  <c r="Q1367" i="1"/>
  <c r="P1367" i="1"/>
  <c r="O1367" i="1"/>
  <c r="N1367" i="1"/>
  <c r="M1367" i="1"/>
  <c r="L1367" i="1"/>
  <c r="K1367" i="1"/>
  <c r="J1367" i="1"/>
  <c r="I1367" i="1"/>
  <c r="H1367" i="1"/>
  <c r="G1367" i="1"/>
  <c r="F1367" i="1"/>
  <c r="T1366" i="1"/>
  <c r="S1366" i="1"/>
  <c r="R1366" i="1"/>
  <c r="Q1366" i="1"/>
  <c r="P1366" i="1"/>
  <c r="O1366" i="1"/>
  <c r="N1366" i="1"/>
  <c r="M1366" i="1"/>
  <c r="L1366" i="1"/>
  <c r="K1366" i="1"/>
  <c r="J1366" i="1"/>
  <c r="I1366" i="1"/>
  <c r="H1366" i="1"/>
  <c r="F1366" i="1"/>
  <c r="G1366" i="1" s="1"/>
  <c r="T1365" i="1"/>
  <c r="S1365" i="1"/>
  <c r="R1365" i="1"/>
  <c r="Q1365" i="1"/>
  <c r="P1365" i="1"/>
  <c r="O1365" i="1"/>
  <c r="N1365" i="1"/>
  <c r="M1365" i="1"/>
  <c r="L1365" i="1"/>
  <c r="K1365" i="1"/>
  <c r="J1365" i="1"/>
  <c r="I1365" i="1"/>
  <c r="H1365" i="1"/>
  <c r="G1365" i="1"/>
  <c r="F1365" i="1"/>
  <c r="T1364" i="1"/>
  <c r="S1364" i="1"/>
  <c r="R1364" i="1"/>
  <c r="Q1364" i="1"/>
  <c r="P1364" i="1"/>
  <c r="O1364" i="1"/>
  <c r="N1364" i="1"/>
  <c r="M1364" i="1"/>
  <c r="L1364" i="1"/>
  <c r="K1364" i="1"/>
  <c r="J1364" i="1"/>
  <c r="I1364" i="1"/>
  <c r="H1364" i="1"/>
  <c r="G1364" i="1"/>
  <c r="F1364" i="1"/>
  <c r="T1363" i="1"/>
  <c r="S1363" i="1"/>
  <c r="R1363" i="1"/>
  <c r="Q1363" i="1"/>
  <c r="P1363" i="1"/>
  <c r="O1363" i="1"/>
  <c r="N1363" i="1"/>
  <c r="M1363" i="1"/>
  <c r="L1363" i="1"/>
  <c r="K1363" i="1"/>
  <c r="J1363" i="1"/>
  <c r="I1363" i="1"/>
  <c r="H1363" i="1"/>
  <c r="F1363" i="1"/>
  <c r="G1363" i="1" s="1"/>
  <c r="T1362" i="1"/>
  <c r="S1362" i="1"/>
  <c r="R1362" i="1"/>
  <c r="Q1362" i="1"/>
  <c r="P1362" i="1"/>
  <c r="O1362" i="1"/>
  <c r="N1362" i="1"/>
  <c r="M1362" i="1"/>
  <c r="L1362" i="1"/>
  <c r="K1362" i="1"/>
  <c r="J1362" i="1"/>
  <c r="I1362" i="1"/>
  <c r="H1362" i="1"/>
  <c r="F1362" i="1"/>
  <c r="G1362" i="1" s="1"/>
  <c r="T1361" i="1"/>
  <c r="S1361" i="1"/>
  <c r="R1361" i="1"/>
  <c r="Q1361" i="1"/>
  <c r="P1361" i="1"/>
  <c r="O1361" i="1"/>
  <c r="N1361" i="1"/>
  <c r="M1361" i="1"/>
  <c r="L1361" i="1"/>
  <c r="K1361" i="1"/>
  <c r="J1361" i="1"/>
  <c r="I1361" i="1"/>
  <c r="H1361" i="1"/>
  <c r="G1361" i="1"/>
  <c r="F1361" i="1"/>
  <c r="T1360" i="1"/>
  <c r="S1360" i="1"/>
  <c r="R1360" i="1"/>
  <c r="Q1360" i="1"/>
  <c r="P1360" i="1"/>
  <c r="O1360" i="1"/>
  <c r="N1360" i="1"/>
  <c r="M1360" i="1"/>
  <c r="L1360" i="1"/>
  <c r="K1360" i="1"/>
  <c r="J1360" i="1"/>
  <c r="I1360" i="1"/>
  <c r="H1360" i="1"/>
  <c r="F1360" i="1"/>
  <c r="G1360" i="1" s="1"/>
  <c r="T1359" i="1"/>
  <c r="S1359" i="1"/>
  <c r="R1359" i="1"/>
  <c r="Q1359" i="1"/>
  <c r="P1359" i="1"/>
  <c r="O1359" i="1"/>
  <c r="N1359" i="1"/>
  <c r="M1359" i="1"/>
  <c r="L1359" i="1"/>
  <c r="K1359" i="1"/>
  <c r="J1359" i="1"/>
  <c r="I1359" i="1"/>
  <c r="H1359" i="1"/>
  <c r="G1359" i="1"/>
  <c r="F1359" i="1"/>
  <c r="T1358" i="1"/>
  <c r="S1358" i="1"/>
  <c r="R1358" i="1"/>
  <c r="Q1358" i="1"/>
  <c r="P1358" i="1"/>
  <c r="O1358" i="1"/>
  <c r="N1358" i="1"/>
  <c r="M1358" i="1"/>
  <c r="L1358" i="1"/>
  <c r="K1358" i="1"/>
  <c r="J1358" i="1"/>
  <c r="I1358" i="1"/>
  <c r="H1358" i="1"/>
  <c r="F1358" i="1"/>
  <c r="G1358" i="1" s="1"/>
  <c r="T1357" i="1"/>
  <c r="S1357" i="1"/>
  <c r="R1357" i="1"/>
  <c r="Q1357" i="1"/>
  <c r="P1357" i="1"/>
  <c r="O1357" i="1"/>
  <c r="N1357" i="1"/>
  <c r="M1357" i="1"/>
  <c r="L1357" i="1"/>
  <c r="K1357" i="1"/>
  <c r="J1357" i="1"/>
  <c r="I1357" i="1"/>
  <c r="H1357" i="1"/>
  <c r="G1357" i="1"/>
  <c r="F1357" i="1"/>
  <c r="T1356" i="1"/>
  <c r="S1356" i="1"/>
  <c r="R1356" i="1"/>
  <c r="Q1356" i="1"/>
  <c r="P1356" i="1"/>
  <c r="O1356" i="1"/>
  <c r="N1356" i="1"/>
  <c r="M1356" i="1"/>
  <c r="L1356" i="1"/>
  <c r="K1356" i="1"/>
  <c r="J1356" i="1"/>
  <c r="I1356" i="1"/>
  <c r="H1356" i="1"/>
  <c r="G1356" i="1"/>
  <c r="F1356" i="1"/>
  <c r="T1355" i="1"/>
  <c r="S1355" i="1"/>
  <c r="R1355" i="1"/>
  <c r="Q1355" i="1"/>
  <c r="P1355" i="1"/>
  <c r="O1355" i="1"/>
  <c r="N1355" i="1"/>
  <c r="M1355" i="1"/>
  <c r="L1355" i="1"/>
  <c r="K1355" i="1"/>
  <c r="J1355" i="1"/>
  <c r="I1355" i="1"/>
  <c r="H1355" i="1"/>
  <c r="F1355" i="1"/>
  <c r="G1355" i="1" s="1"/>
  <c r="T1354" i="1"/>
  <c r="S1354" i="1"/>
  <c r="R1354" i="1"/>
  <c r="Q1354" i="1"/>
  <c r="P1354" i="1"/>
  <c r="O1354" i="1"/>
  <c r="N1354" i="1"/>
  <c r="M1354" i="1"/>
  <c r="L1354" i="1"/>
  <c r="K1354" i="1"/>
  <c r="J1354" i="1"/>
  <c r="I1354" i="1"/>
  <c r="H1354" i="1"/>
  <c r="F1354" i="1"/>
  <c r="G1354" i="1" s="1"/>
  <c r="T1353" i="1"/>
  <c r="S1353" i="1"/>
  <c r="R1353" i="1"/>
  <c r="Q1353" i="1"/>
  <c r="P1353" i="1"/>
  <c r="O1353" i="1"/>
  <c r="N1353" i="1"/>
  <c r="M1353" i="1"/>
  <c r="L1353" i="1"/>
  <c r="K1353" i="1"/>
  <c r="J1353" i="1"/>
  <c r="I1353" i="1"/>
  <c r="H1353" i="1"/>
  <c r="G1353" i="1"/>
  <c r="F1353" i="1"/>
  <c r="T1352" i="1"/>
  <c r="S1352" i="1"/>
  <c r="R1352" i="1"/>
  <c r="Q1352" i="1"/>
  <c r="P1352" i="1"/>
  <c r="O1352" i="1"/>
  <c r="N1352" i="1"/>
  <c r="M1352" i="1"/>
  <c r="L1352" i="1"/>
  <c r="K1352" i="1"/>
  <c r="J1352" i="1"/>
  <c r="I1352" i="1"/>
  <c r="H1352" i="1"/>
  <c r="F1352" i="1"/>
  <c r="G1352" i="1" s="1"/>
  <c r="T1351" i="1"/>
  <c r="S1351" i="1"/>
  <c r="R1351" i="1"/>
  <c r="Q1351" i="1"/>
  <c r="P1351" i="1"/>
  <c r="O1351" i="1"/>
  <c r="N1351" i="1"/>
  <c r="M1351" i="1"/>
  <c r="L1351" i="1"/>
  <c r="K1351" i="1"/>
  <c r="J1351" i="1"/>
  <c r="I1351" i="1"/>
  <c r="H1351" i="1"/>
  <c r="G1351" i="1"/>
  <c r="F1351" i="1"/>
  <c r="T1350" i="1"/>
  <c r="S1350" i="1"/>
  <c r="R1350" i="1"/>
  <c r="Q1350" i="1"/>
  <c r="P1350" i="1"/>
  <c r="O1350" i="1"/>
  <c r="N1350" i="1"/>
  <c r="M1350" i="1"/>
  <c r="L1350" i="1"/>
  <c r="K1350" i="1"/>
  <c r="J1350" i="1"/>
  <c r="I1350" i="1"/>
  <c r="H1350" i="1"/>
  <c r="F1350" i="1"/>
  <c r="G1350" i="1" s="1"/>
  <c r="T1349" i="1"/>
  <c r="S1349" i="1"/>
  <c r="R1349" i="1"/>
  <c r="Q1349" i="1"/>
  <c r="P1349" i="1"/>
  <c r="O1349" i="1"/>
  <c r="N1349" i="1"/>
  <c r="M1349" i="1"/>
  <c r="L1349" i="1"/>
  <c r="K1349" i="1"/>
  <c r="J1349" i="1"/>
  <c r="I1349" i="1"/>
  <c r="H1349" i="1"/>
  <c r="G1349" i="1"/>
  <c r="F1349" i="1"/>
  <c r="T1348" i="1"/>
  <c r="S1348" i="1"/>
  <c r="R1348" i="1"/>
  <c r="Q1348" i="1"/>
  <c r="P1348" i="1"/>
  <c r="O1348" i="1"/>
  <c r="N1348" i="1"/>
  <c r="M1348" i="1"/>
  <c r="L1348" i="1"/>
  <c r="K1348" i="1"/>
  <c r="J1348" i="1"/>
  <c r="I1348" i="1"/>
  <c r="H1348" i="1"/>
  <c r="G1348" i="1"/>
  <c r="F1348" i="1"/>
  <c r="T1347" i="1"/>
  <c r="S1347" i="1"/>
  <c r="R1347" i="1"/>
  <c r="Q1347" i="1"/>
  <c r="P1347" i="1"/>
  <c r="O1347" i="1"/>
  <c r="N1347" i="1"/>
  <c r="M1347" i="1"/>
  <c r="L1347" i="1"/>
  <c r="K1347" i="1"/>
  <c r="J1347" i="1"/>
  <c r="I1347" i="1"/>
  <c r="H1347" i="1"/>
  <c r="F1347" i="1"/>
  <c r="G1347" i="1" s="1"/>
  <c r="T1346" i="1"/>
  <c r="S1346" i="1"/>
  <c r="R1346" i="1"/>
  <c r="Q1346" i="1"/>
  <c r="P1346" i="1"/>
  <c r="O1346" i="1"/>
  <c r="N1346" i="1"/>
  <c r="M1346" i="1"/>
  <c r="L1346" i="1"/>
  <c r="K1346" i="1"/>
  <c r="J1346" i="1"/>
  <c r="I1346" i="1"/>
  <c r="H1346" i="1"/>
  <c r="F1346" i="1"/>
  <c r="G1346" i="1" s="1"/>
  <c r="T1345" i="1"/>
  <c r="S1345" i="1"/>
  <c r="R1345" i="1"/>
  <c r="Q1345" i="1"/>
  <c r="P1345" i="1"/>
  <c r="O1345" i="1"/>
  <c r="N1345" i="1"/>
  <c r="M1345" i="1"/>
  <c r="L1345" i="1"/>
  <c r="K1345" i="1"/>
  <c r="J1345" i="1"/>
  <c r="I1345" i="1"/>
  <c r="H1345" i="1"/>
  <c r="G1345" i="1"/>
  <c r="F1345" i="1"/>
  <c r="T1344" i="1"/>
  <c r="S1344" i="1"/>
  <c r="R1344" i="1"/>
  <c r="Q1344" i="1"/>
  <c r="P1344" i="1"/>
  <c r="O1344" i="1"/>
  <c r="N1344" i="1"/>
  <c r="M1344" i="1"/>
  <c r="L1344" i="1"/>
  <c r="K1344" i="1"/>
  <c r="J1344" i="1"/>
  <c r="I1344" i="1"/>
  <c r="H1344" i="1"/>
  <c r="F1344" i="1"/>
  <c r="G1344" i="1" s="1"/>
  <c r="T1343" i="1"/>
  <c r="S1343" i="1"/>
  <c r="R1343" i="1"/>
  <c r="Q1343" i="1"/>
  <c r="P1343" i="1"/>
  <c r="O1343" i="1"/>
  <c r="N1343" i="1"/>
  <c r="M1343" i="1"/>
  <c r="L1343" i="1"/>
  <c r="K1343" i="1"/>
  <c r="J1343" i="1"/>
  <c r="I1343" i="1"/>
  <c r="H1343" i="1"/>
  <c r="G1343" i="1"/>
  <c r="F1343" i="1"/>
  <c r="T1342" i="1"/>
  <c r="S1342" i="1"/>
  <c r="R1342" i="1"/>
  <c r="Q1342" i="1"/>
  <c r="P1342" i="1"/>
  <c r="O1342" i="1"/>
  <c r="N1342" i="1"/>
  <c r="M1342" i="1"/>
  <c r="L1342" i="1"/>
  <c r="K1342" i="1"/>
  <c r="J1342" i="1"/>
  <c r="I1342" i="1"/>
  <c r="H1342" i="1"/>
  <c r="F1342" i="1"/>
  <c r="G1342" i="1" s="1"/>
  <c r="T1341" i="1"/>
  <c r="S1341" i="1"/>
  <c r="R1341" i="1"/>
  <c r="Q1341" i="1"/>
  <c r="P1341" i="1"/>
  <c r="O1341" i="1"/>
  <c r="N1341" i="1"/>
  <c r="M1341" i="1"/>
  <c r="L1341" i="1"/>
  <c r="K1341" i="1"/>
  <c r="J1341" i="1"/>
  <c r="I1341" i="1"/>
  <c r="H1341" i="1"/>
  <c r="G1341" i="1"/>
  <c r="F1341" i="1"/>
  <c r="T1340" i="1"/>
  <c r="S1340" i="1"/>
  <c r="R1340" i="1"/>
  <c r="Q1340" i="1"/>
  <c r="P1340" i="1"/>
  <c r="O1340" i="1"/>
  <c r="N1340" i="1"/>
  <c r="M1340" i="1"/>
  <c r="L1340" i="1"/>
  <c r="K1340" i="1"/>
  <c r="J1340" i="1"/>
  <c r="I1340" i="1"/>
  <c r="H1340" i="1"/>
  <c r="G1340" i="1"/>
  <c r="F1340" i="1"/>
  <c r="T1339" i="1"/>
  <c r="S1339" i="1"/>
  <c r="R1339" i="1"/>
  <c r="Q1339" i="1"/>
  <c r="P1339" i="1"/>
  <c r="O1339" i="1"/>
  <c r="N1339" i="1"/>
  <c r="M1339" i="1"/>
  <c r="L1339" i="1"/>
  <c r="K1339" i="1"/>
  <c r="J1339" i="1"/>
  <c r="I1339" i="1"/>
  <c r="H1339" i="1"/>
  <c r="F1339" i="1"/>
  <c r="G1339" i="1" s="1"/>
  <c r="T1338" i="1"/>
  <c r="S1338" i="1"/>
  <c r="R1338" i="1"/>
  <c r="Q1338" i="1"/>
  <c r="P1338" i="1"/>
  <c r="O1338" i="1"/>
  <c r="N1338" i="1"/>
  <c r="M1338" i="1"/>
  <c r="L1338" i="1"/>
  <c r="K1338" i="1"/>
  <c r="J1338" i="1"/>
  <c r="I1338" i="1"/>
  <c r="H1338" i="1"/>
  <c r="F1338" i="1"/>
  <c r="G1338" i="1" s="1"/>
  <c r="T1337" i="1"/>
  <c r="S1337" i="1"/>
  <c r="R1337" i="1"/>
  <c r="Q1337" i="1"/>
  <c r="P1337" i="1"/>
  <c r="O1337" i="1"/>
  <c r="N1337" i="1"/>
  <c r="M1337" i="1"/>
  <c r="L1337" i="1"/>
  <c r="K1337" i="1"/>
  <c r="J1337" i="1"/>
  <c r="I1337" i="1"/>
  <c r="H1337" i="1"/>
  <c r="G1337" i="1"/>
  <c r="F1337" i="1"/>
  <c r="T1336" i="1"/>
  <c r="S1336" i="1"/>
  <c r="R1336" i="1"/>
  <c r="Q1336" i="1"/>
  <c r="P1336" i="1"/>
  <c r="O1336" i="1"/>
  <c r="N1336" i="1"/>
  <c r="M1336" i="1"/>
  <c r="L1336" i="1"/>
  <c r="K1336" i="1"/>
  <c r="J1336" i="1"/>
  <c r="I1336" i="1"/>
  <c r="H1336" i="1"/>
  <c r="F1336" i="1"/>
  <c r="G1336" i="1" s="1"/>
  <c r="T1335" i="1"/>
  <c r="S1335" i="1"/>
  <c r="R1335" i="1"/>
  <c r="Q1335" i="1"/>
  <c r="P1335" i="1"/>
  <c r="O1335" i="1"/>
  <c r="N1335" i="1"/>
  <c r="M1335" i="1"/>
  <c r="L1335" i="1"/>
  <c r="K1335" i="1"/>
  <c r="J1335" i="1"/>
  <c r="I1335" i="1"/>
  <c r="H1335" i="1"/>
  <c r="G1335" i="1"/>
  <c r="F1335" i="1"/>
  <c r="T1334" i="1"/>
  <c r="S1334" i="1"/>
  <c r="R1334" i="1"/>
  <c r="Q1334" i="1"/>
  <c r="P1334" i="1"/>
  <c r="O1334" i="1"/>
  <c r="N1334" i="1"/>
  <c r="M1334" i="1"/>
  <c r="L1334" i="1"/>
  <c r="K1334" i="1"/>
  <c r="J1334" i="1"/>
  <c r="I1334" i="1"/>
  <c r="H1334" i="1"/>
  <c r="F1334" i="1"/>
  <c r="G1334" i="1" s="1"/>
  <c r="T1333" i="1"/>
  <c r="S1333" i="1"/>
  <c r="R1333" i="1"/>
  <c r="Q1333" i="1"/>
  <c r="P1333" i="1"/>
  <c r="O1333" i="1"/>
  <c r="N1333" i="1"/>
  <c r="M1333" i="1"/>
  <c r="L1333" i="1"/>
  <c r="K1333" i="1"/>
  <c r="J1333" i="1"/>
  <c r="I1333" i="1"/>
  <c r="H1333" i="1"/>
  <c r="G1333" i="1"/>
  <c r="F1333" i="1"/>
  <c r="T1332" i="1"/>
  <c r="S1332" i="1"/>
  <c r="R1332" i="1"/>
  <c r="Q1332" i="1"/>
  <c r="P1332" i="1"/>
  <c r="O1332" i="1"/>
  <c r="N1332" i="1"/>
  <c r="M1332" i="1"/>
  <c r="L1332" i="1"/>
  <c r="K1332" i="1"/>
  <c r="J1332" i="1"/>
  <c r="I1332" i="1"/>
  <c r="H1332" i="1"/>
  <c r="G1332" i="1"/>
  <c r="F1332" i="1"/>
  <c r="T1331" i="1"/>
  <c r="S1331" i="1"/>
  <c r="R1331" i="1"/>
  <c r="Q1331" i="1"/>
  <c r="P1331" i="1"/>
  <c r="O1331" i="1"/>
  <c r="N1331" i="1"/>
  <c r="M1331" i="1"/>
  <c r="L1331" i="1"/>
  <c r="K1331" i="1"/>
  <c r="J1331" i="1"/>
  <c r="I1331" i="1"/>
  <c r="H1331" i="1"/>
  <c r="F1331" i="1"/>
  <c r="G1331" i="1" s="1"/>
  <c r="T1330" i="1"/>
  <c r="S1330" i="1"/>
  <c r="R1330" i="1"/>
  <c r="Q1330" i="1"/>
  <c r="P1330" i="1"/>
  <c r="O1330" i="1"/>
  <c r="N1330" i="1"/>
  <c r="M1330" i="1"/>
  <c r="L1330" i="1"/>
  <c r="K1330" i="1"/>
  <c r="J1330" i="1"/>
  <c r="I1330" i="1"/>
  <c r="H1330" i="1"/>
  <c r="F1330" i="1"/>
  <c r="G1330" i="1" s="1"/>
  <c r="T1329" i="1"/>
  <c r="S1329" i="1"/>
  <c r="R1329" i="1"/>
  <c r="Q1329" i="1"/>
  <c r="P1329" i="1"/>
  <c r="O1329" i="1"/>
  <c r="N1329" i="1"/>
  <c r="M1329" i="1"/>
  <c r="L1329" i="1"/>
  <c r="K1329" i="1"/>
  <c r="J1329" i="1"/>
  <c r="I1329" i="1"/>
  <c r="H1329" i="1"/>
  <c r="G1329" i="1"/>
  <c r="F1329" i="1"/>
  <c r="T1328" i="1"/>
  <c r="S1328" i="1"/>
  <c r="R1328" i="1"/>
  <c r="Q1328" i="1"/>
  <c r="P1328" i="1"/>
  <c r="O1328" i="1"/>
  <c r="N1328" i="1"/>
  <c r="M1328" i="1"/>
  <c r="L1328" i="1"/>
  <c r="K1328" i="1"/>
  <c r="J1328" i="1"/>
  <c r="I1328" i="1"/>
  <c r="H1328" i="1"/>
  <c r="F1328" i="1"/>
  <c r="G1328" i="1" s="1"/>
  <c r="T1327" i="1"/>
  <c r="S1327" i="1"/>
  <c r="R1327" i="1"/>
  <c r="Q1327" i="1"/>
  <c r="P1327" i="1"/>
  <c r="O1327" i="1"/>
  <c r="N1327" i="1"/>
  <c r="M1327" i="1"/>
  <c r="L1327" i="1"/>
  <c r="K1327" i="1"/>
  <c r="J1327" i="1"/>
  <c r="I1327" i="1"/>
  <c r="H1327" i="1"/>
  <c r="G1327" i="1"/>
  <c r="F1327" i="1"/>
  <c r="T1326" i="1"/>
  <c r="S1326" i="1"/>
  <c r="R1326" i="1"/>
  <c r="Q1326" i="1"/>
  <c r="P1326" i="1"/>
  <c r="O1326" i="1"/>
  <c r="N1326" i="1"/>
  <c r="M1326" i="1"/>
  <c r="L1326" i="1"/>
  <c r="K1326" i="1"/>
  <c r="J1326" i="1"/>
  <c r="I1326" i="1"/>
  <c r="H1326" i="1"/>
  <c r="F1326" i="1"/>
  <c r="G1326" i="1" s="1"/>
  <c r="T1325" i="1"/>
  <c r="S1325" i="1"/>
  <c r="R1325" i="1"/>
  <c r="Q1325" i="1"/>
  <c r="P1325" i="1"/>
  <c r="O1325" i="1"/>
  <c r="N1325" i="1"/>
  <c r="M1325" i="1"/>
  <c r="L1325" i="1"/>
  <c r="K1325" i="1"/>
  <c r="J1325" i="1"/>
  <c r="I1325" i="1"/>
  <c r="H1325" i="1"/>
  <c r="G1325" i="1"/>
  <c r="F1325" i="1"/>
  <c r="T1324" i="1"/>
  <c r="S1324" i="1"/>
  <c r="R1324" i="1"/>
  <c r="Q1324" i="1"/>
  <c r="P1324" i="1"/>
  <c r="O1324" i="1"/>
  <c r="N1324" i="1"/>
  <c r="M1324" i="1"/>
  <c r="L1324" i="1"/>
  <c r="K1324" i="1"/>
  <c r="J1324" i="1"/>
  <c r="I1324" i="1"/>
  <c r="H1324" i="1"/>
  <c r="G1324" i="1"/>
  <c r="F1324" i="1"/>
  <c r="T1323" i="1"/>
  <c r="S1323" i="1"/>
  <c r="R1323" i="1"/>
  <c r="Q1323" i="1"/>
  <c r="P1323" i="1"/>
  <c r="O1323" i="1"/>
  <c r="N1323" i="1"/>
  <c r="M1323" i="1"/>
  <c r="L1323" i="1"/>
  <c r="K1323" i="1"/>
  <c r="J1323" i="1"/>
  <c r="I1323" i="1"/>
  <c r="H1323" i="1"/>
  <c r="F1323" i="1"/>
  <c r="G1323" i="1" s="1"/>
  <c r="T1322" i="1"/>
  <c r="S1322" i="1"/>
  <c r="R1322" i="1"/>
  <c r="Q1322" i="1"/>
  <c r="P1322" i="1"/>
  <c r="O1322" i="1"/>
  <c r="N1322" i="1"/>
  <c r="M1322" i="1"/>
  <c r="L1322" i="1"/>
  <c r="K1322" i="1"/>
  <c r="J1322" i="1"/>
  <c r="I1322" i="1"/>
  <c r="H1322" i="1"/>
  <c r="F1322" i="1"/>
  <c r="G1322" i="1" s="1"/>
  <c r="T1321" i="1"/>
  <c r="S1321" i="1"/>
  <c r="R1321" i="1"/>
  <c r="Q1321" i="1"/>
  <c r="P1321" i="1"/>
  <c r="O1321" i="1"/>
  <c r="N1321" i="1"/>
  <c r="M1321" i="1"/>
  <c r="L1321" i="1"/>
  <c r="K1321" i="1"/>
  <c r="J1321" i="1"/>
  <c r="I1321" i="1"/>
  <c r="H1321" i="1"/>
  <c r="G1321" i="1"/>
  <c r="F1321" i="1"/>
  <c r="T1320" i="1"/>
  <c r="S1320" i="1"/>
  <c r="R1320" i="1"/>
  <c r="Q1320" i="1"/>
  <c r="P1320" i="1"/>
  <c r="O1320" i="1"/>
  <c r="N1320" i="1"/>
  <c r="M1320" i="1"/>
  <c r="L1320" i="1"/>
  <c r="K1320" i="1"/>
  <c r="J1320" i="1"/>
  <c r="I1320" i="1"/>
  <c r="H1320" i="1"/>
  <c r="F1320" i="1"/>
  <c r="G1320" i="1" s="1"/>
  <c r="T1319" i="1"/>
  <c r="S1319" i="1"/>
  <c r="R1319" i="1"/>
  <c r="Q1319" i="1"/>
  <c r="P1319" i="1"/>
  <c r="O1319" i="1"/>
  <c r="N1319" i="1"/>
  <c r="M1319" i="1"/>
  <c r="L1319" i="1"/>
  <c r="K1319" i="1"/>
  <c r="J1319" i="1"/>
  <c r="I1319" i="1"/>
  <c r="H1319" i="1"/>
  <c r="G1319" i="1"/>
  <c r="F1319" i="1"/>
  <c r="T1318" i="1"/>
  <c r="S1318" i="1"/>
  <c r="R1318" i="1"/>
  <c r="Q1318" i="1"/>
  <c r="P1318" i="1"/>
  <c r="O1318" i="1"/>
  <c r="N1318" i="1"/>
  <c r="M1318" i="1"/>
  <c r="L1318" i="1"/>
  <c r="K1318" i="1"/>
  <c r="J1318" i="1"/>
  <c r="I1318" i="1"/>
  <c r="H1318" i="1"/>
  <c r="F1318" i="1"/>
  <c r="G1318" i="1" s="1"/>
  <c r="T1317" i="1"/>
  <c r="S1317" i="1"/>
  <c r="R1317" i="1"/>
  <c r="Q1317" i="1"/>
  <c r="P1317" i="1"/>
  <c r="O1317" i="1"/>
  <c r="N1317" i="1"/>
  <c r="M1317" i="1"/>
  <c r="L1317" i="1"/>
  <c r="K1317" i="1"/>
  <c r="J1317" i="1"/>
  <c r="I1317" i="1"/>
  <c r="H1317" i="1"/>
  <c r="G1317" i="1"/>
  <c r="F1317" i="1"/>
  <c r="T1316" i="1"/>
  <c r="S1316" i="1"/>
  <c r="R1316" i="1"/>
  <c r="Q1316" i="1"/>
  <c r="P1316" i="1"/>
  <c r="O1316" i="1"/>
  <c r="N1316" i="1"/>
  <c r="M1316" i="1"/>
  <c r="L1316" i="1"/>
  <c r="K1316" i="1"/>
  <c r="J1316" i="1"/>
  <c r="I1316" i="1"/>
  <c r="H1316" i="1"/>
  <c r="G1316" i="1"/>
  <c r="F1316" i="1"/>
  <c r="T1315" i="1"/>
  <c r="S1315" i="1"/>
  <c r="R1315" i="1"/>
  <c r="Q1315" i="1"/>
  <c r="P1315" i="1"/>
  <c r="O1315" i="1"/>
  <c r="N1315" i="1"/>
  <c r="M1315" i="1"/>
  <c r="L1315" i="1"/>
  <c r="K1315" i="1"/>
  <c r="J1315" i="1"/>
  <c r="I1315" i="1"/>
  <c r="H1315" i="1"/>
  <c r="F1315" i="1"/>
  <c r="G1315" i="1" s="1"/>
  <c r="T1314" i="1"/>
  <c r="S1314" i="1"/>
  <c r="R1314" i="1"/>
  <c r="Q1314" i="1"/>
  <c r="P1314" i="1"/>
  <c r="O1314" i="1"/>
  <c r="N1314" i="1"/>
  <c r="M1314" i="1"/>
  <c r="L1314" i="1"/>
  <c r="K1314" i="1"/>
  <c r="J1314" i="1"/>
  <c r="I1314" i="1"/>
  <c r="H1314" i="1"/>
  <c r="F1314" i="1"/>
  <c r="G1314" i="1" s="1"/>
  <c r="T1313" i="1"/>
  <c r="S1313" i="1"/>
  <c r="R1313" i="1"/>
  <c r="Q1313" i="1"/>
  <c r="P1313" i="1"/>
  <c r="O1313" i="1"/>
  <c r="N1313" i="1"/>
  <c r="M1313" i="1"/>
  <c r="L1313" i="1"/>
  <c r="K1313" i="1"/>
  <c r="J1313" i="1"/>
  <c r="I1313" i="1"/>
  <c r="H1313" i="1"/>
  <c r="G1313" i="1"/>
  <c r="F1313" i="1"/>
  <c r="T1312" i="1"/>
  <c r="S1312" i="1"/>
  <c r="R1312" i="1"/>
  <c r="Q1312" i="1"/>
  <c r="P1312" i="1"/>
  <c r="O1312" i="1"/>
  <c r="N1312" i="1"/>
  <c r="M1312" i="1"/>
  <c r="L1312" i="1"/>
  <c r="K1312" i="1"/>
  <c r="J1312" i="1"/>
  <c r="I1312" i="1"/>
  <c r="H1312" i="1"/>
  <c r="F1312" i="1"/>
  <c r="G1312" i="1" s="1"/>
  <c r="T1311" i="1"/>
  <c r="S1311" i="1"/>
  <c r="R1311" i="1"/>
  <c r="Q1311" i="1"/>
  <c r="P1311" i="1"/>
  <c r="O1311" i="1"/>
  <c r="N1311" i="1"/>
  <c r="M1311" i="1"/>
  <c r="L1311" i="1"/>
  <c r="K1311" i="1"/>
  <c r="J1311" i="1"/>
  <c r="I1311" i="1"/>
  <c r="H1311" i="1"/>
  <c r="G1311" i="1"/>
  <c r="F1311" i="1"/>
  <c r="T1310" i="1"/>
  <c r="S1310" i="1"/>
  <c r="R1310" i="1"/>
  <c r="Q1310" i="1"/>
  <c r="P1310" i="1"/>
  <c r="O1310" i="1"/>
  <c r="N1310" i="1"/>
  <c r="M1310" i="1"/>
  <c r="L1310" i="1"/>
  <c r="K1310" i="1"/>
  <c r="J1310" i="1"/>
  <c r="I1310" i="1"/>
  <c r="H1310" i="1"/>
  <c r="F1310" i="1"/>
  <c r="G1310" i="1" s="1"/>
  <c r="T1309" i="1"/>
  <c r="S1309" i="1"/>
  <c r="R1309" i="1"/>
  <c r="Q1309" i="1"/>
  <c r="P1309" i="1"/>
  <c r="O1309" i="1"/>
  <c r="N1309" i="1"/>
  <c r="M1309" i="1"/>
  <c r="L1309" i="1"/>
  <c r="K1309" i="1"/>
  <c r="J1309" i="1"/>
  <c r="I1309" i="1"/>
  <c r="H1309" i="1"/>
  <c r="G1309" i="1"/>
  <c r="F1309" i="1"/>
  <c r="T1308" i="1"/>
  <c r="S1308" i="1"/>
  <c r="R1308" i="1"/>
  <c r="Q1308" i="1"/>
  <c r="P1308" i="1"/>
  <c r="O1308" i="1"/>
  <c r="N1308" i="1"/>
  <c r="M1308" i="1"/>
  <c r="L1308" i="1"/>
  <c r="K1308" i="1"/>
  <c r="J1308" i="1"/>
  <c r="I1308" i="1"/>
  <c r="H1308" i="1"/>
  <c r="G1308" i="1"/>
  <c r="F1308" i="1"/>
  <c r="T1307" i="1"/>
  <c r="S1307" i="1"/>
  <c r="R1307" i="1"/>
  <c r="Q1307" i="1"/>
  <c r="P1307" i="1"/>
  <c r="O1307" i="1"/>
  <c r="N1307" i="1"/>
  <c r="M1307" i="1"/>
  <c r="L1307" i="1"/>
  <c r="K1307" i="1"/>
  <c r="J1307" i="1"/>
  <c r="I1307" i="1"/>
  <c r="H1307" i="1"/>
  <c r="F1307" i="1"/>
  <c r="G1307" i="1" s="1"/>
  <c r="T1306" i="1"/>
  <c r="S1306" i="1"/>
  <c r="R1306" i="1"/>
  <c r="Q1306" i="1"/>
  <c r="P1306" i="1"/>
  <c r="O1306" i="1"/>
  <c r="N1306" i="1"/>
  <c r="M1306" i="1"/>
  <c r="L1306" i="1"/>
  <c r="K1306" i="1"/>
  <c r="J1306" i="1"/>
  <c r="I1306" i="1"/>
  <c r="H1306" i="1"/>
  <c r="F1306" i="1"/>
  <c r="G1306" i="1" s="1"/>
  <c r="T1305" i="1"/>
  <c r="S1305" i="1"/>
  <c r="R1305" i="1"/>
  <c r="Q1305" i="1"/>
  <c r="P1305" i="1"/>
  <c r="O1305" i="1"/>
  <c r="N1305" i="1"/>
  <c r="M1305" i="1"/>
  <c r="L1305" i="1"/>
  <c r="K1305" i="1"/>
  <c r="J1305" i="1"/>
  <c r="I1305" i="1"/>
  <c r="H1305" i="1"/>
  <c r="G1305" i="1"/>
  <c r="F1305" i="1"/>
  <c r="T1304" i="1"/>
  <c r="S1304" i="1"/>
  <c r="R1304" i="1"/>
  <c r="Q1304" i="1"/>
  <c r="P1304" i="1"/>
  <c r="O1304" i="1"/>
  <c r="N1304" i="1"/>
  <c r="M1304" i="1"/>
  <c r="L1304" i="1"/>
  <c r="K1304" i="1"/>
  <c r="J1304" i="1"/>
  <c r="I1304" i="1"/>
  <c r="H1304" i="1"/>
  <c r="F1304" i="1"/>
  <c r="G1304" i="1" s="1"/>
  <c r="T1303" i="1"/>
  <c r="S1303" i="1"/>
  <c r="R1303" i="1"/>
  <c r="Q1303" i="1"/>
  <c r="P1303" i="1"/>
  <c r="O1303" i="1"/>
  <c r="N1303" i="1"/>
  <c r="M1303" i="1"/>
  <c r="L1303" i="1"/>
  <c r="K1303" i="1"/>
  <c r="J1303" i="1"/>
  <c r="I1303" i="1"/>
  <c r="H1303" i="1"/>
  <c r="G1303" i="1"/>
  <c r="F1303" i="1"/>
  <c r="T1302" i="1"/>
  <c r="S1302" i="1"/>
  <c r="R1302" i="1"/>
  <c r="Q1302" i="1"/>
  <c r="P1302" i="1"/>
  <c r="O1302" i="1"/>
  <c r="N1302" i="1"/>
  <c r="M1302" i="1"/>
  <c r="L1302" i="1"/>
  <c r="K1302" i="1"/>
  <c r="J1302" i="1"/>
  <c r="I1302" i="1"/>
  <c r="H1302" i="1"/>
  <c r="F1302" i="1"/>
  <c r="G1302" i="1" s="1"/>
  <c r="T1301" i="1"/>
  <c r="S1301" i="1"/>
  <c r="R1301" i="1"/>
  <c r="Q1301" i="1"/>
  <c r="P1301" i="1"/>
  <c r="O1301" i="1"/>
  <c r="N1301" i="1"/>
  <c r="M1301" i="1"/>
  <c r="L1301" i="1"/>
  <c r="K1301" i="1"/>
  <c r="J1301" i="1"/>
  <c r="I1301" i="1"/>
  <c r="H1301" i="1"/>
  <c r="G1301" i="1"/>
  <c r="F1301" i="1"/>
  <c r="T1300" i="1"/>
  <c r="S1300" i="1"/>
  <c r="R1300" i="1"/>
  <c r="Q1300" i="1"/>
  <c r="P1300" i="1"/>
  <c r="O1300" i="1"/>
  <c r="N1300" i="1"/>
  <c r="M1300" i="1"/>
  <c r="L1300" i="1"/>
  <c r="K1300" i="1"/>
  <c r="J1300" i="1"/>
  <c r="I1300" i="1"/>
  <c r="H1300" i="1"/>
  <c r="G1300" i="1"/>
  <c r="F1300" i="1"/>
  <c r="T1299" i="1"/>
  <c r="S1299" i="1"/>
  <c r="R1299" i="1"/>
  <c r="Q1299" i="1"/>
  <c r="P1299" i="1"/>
  <c r="O1299" i="1"/>
  <c r="N1299" i="1"/>
  <c r="M1299" i="1"/>
  <c r="L1299" i="1"/>
  <c r="K1299" i="1"/>
  <c r="J1299" i="1"/>
  <c r="I1299" i="1"/>
  <c r="H1299" i="1"/>
  <c r="F1299" i="1"/>
  <c r="G1299" i="1" s="1"/>
  <c r="T1298" i="1"/>
  <c r="S1298" i="1"/>
  <c r="R1298" i="1"/>
  <c r="Q1298" i="1"/>
  <c r="P1298" i="1"/>
  <c r="O1298" i="1"/>
  <c r="N1298" i="1"/>
  <c r="M1298" i="1"/>
  <c r="L1298" i="1"/>
  <c r="K1298" i="1"/>
  <c r="J1298" i="1"/>
  <c r="I1298" i="1"/>
  <c r="H1298" i="1"/>
  <c r="F1298" i="1"/>
  <c r="G1298" i="1" s="1"/>
  <c r="T1297" i="1"/>
  <c r="S1297" i="1"/>
  <c r="R1297" i="1"/>
  <c r="Q1297" i="1"/>
  <c r="P1297" i="1"/>
  <c r="O1297" i="1"/>
  <c r="N1297" i="1"/>
  <c r="M1297" i="1"/>
  <c r="L1297" i="1"/>
  <c r="K1297" i="1"/>
  <c r="J1297" i="1"/>
  <c r="I1297" i="1"/>
  <c r="H1297" i="1"/>
  <c r="G1297" i="1"/>
  <c r="F1297" i="1"/>
  <c r="T1296" i="1"/>
  <c r="S1296" i="1"/>
  <c r="R1296" i="1"/>
  <c r="Q1296" i="1"/>
  <c r="P1296" i="1"/>
  <c r="O1296" i="1"/>
  <c r="N1296" i="1"/>
  <c r="M1296" i="1"/>
  <c r="L1296" i="1"/>
  <c r="K1296" i="1"/>
  <c r="J1296" i="1"/>
  <c r="I1296" i="1"/>
  <c r="H1296" i="1"/>
  <c r="F1296" i="1"/>
  <c r="G1296" i="1" s="1"/>
  <c r="T1295" i="1"/>
  <c r="S1295" i="1"/>
  <c r="R1295" i="1"/>
  <c r="Q1295" i="1"/>
  <c r="P1295" i="1"/>
  <c r="O1295" i="1"/>
  <c r="N1295" i="1"/>
  <c r="M1295" i="1"/>
  <c r="L1295" i="1"/>
  <c r="K1295" i="1"/>
  <c r="J1295" i="1"/>
  <c r="I1295" i="1"/>
  <c r="H1295" i="1"/>
  <c r="G1295" i="1"/>
  <c r="F1295" i="1"/>
  <c r="T1294" i="1"/>
  <c r="S1294" i="1"/>
  <c r="R1294" i="1"/>
  <c r="Q1294" i="1"/>
  <c r="P1294" i="1"/>
  <c r="O1294" i="1"/>
  <c r="N1294" i="1"/>
  <c r="M1294" i="1"/>
  <c r="L1294" i="1"/>
  <c r="K1294" i="1"/>
  <c r="J1294" i="1"/>
  <c r="I1294" i="1"/>
  <c r="H1294" i="1"/>
  <c r="F1294" i="1"/>
  <c r="G1294" i="1" s="1"/>
  <c r="T1293" i="1"/>
  <c r="S1293" i="1"/>
  <c r="R1293" i="1"/>
  <c r="Q1293" i="1"/>
  <c r="P1293" i="1"/>
  <c r="O1293" i="1"/>
  <c r="N1293" i="1"/>
  <c r="M1293" i="1"/>
  <c r="L1293" i="1"/>
  <c r="K1293" i="1"/>
  <c r="J1293" i="1"/>
  <c r="I1293" i="1"/>
  <c r="H1293" i="1"/>
  <c r="G1293" i="1"/>
  <c r="F1293" i="1"/>
  <c r="T1292" i="1"/>
  <c r="S1292" i="1"/>
  <c r="R1292" i="1"/>
  <c r="Q1292" i="1"/>
  <c r="P1292" i="1"/>
  <c r="O1292" i="1"/>
  <c r="N1292" i="1"/>
  <c r="M1292" i="1"/>
  <c r="L1292" i="1"/>
  <c r="K1292" i="1"/>
  <c r="J1292" i="1"/>
  <c r="I1292" i="1"/>
  <c r="H1292" i="1"/>
  <c r="G1292" i="1"/>
  <c r="F1292" i="1"/>
  <c r="T1291" i="1"/>
  <c r="S1291" i="1"/>
  <c r="R1291" i="1"/>
  <c r="Q1291" i="1"/>
  <c r="P1291" i="1"/>
  <c r="O1291" i="1"/>
  <c r="N1291" i="1"/>
  <c r="M1291" i="1"/>
  <c r="L1291" i="1"/>
  <c r="K1291" i="1"/>
  <c r="J1291" i="1"/>
  <c r="I1291" i="1"/>
  <c r="H1291" i="1"/>
  <c r="F1291" i="1"/>
  <c r="G1291" i="1" s="1"/>
  <c r="T1290" i="1"/>
  <c r="S1290" i="1"/>
  <c r="R1290" i="1"/>
  <c r="Q1290" i="1"/>
  <c r="P1290" i="1"/>
  <c r="O1290" i="1"/>
  <c r="N1290" i="1"/>
  <c r="M1290" i="1"/>
  <c r="L1290" i="1"/>
  <c r="K1290" i="1"/>
  <c r="J1290" i="1"/>
  <c r="I1290" i="1"/>
  <c r="H1290" i="1"/>
  <c r="F1290" i="1"/>
  <c r="G1290" i="1" s="1"/>
  <c r="T1289" i="1"/>
  <c r="S1289" i="1"/>
  <c r="R1289" i="1"/>
  <c r="Q1289" i="1"/>
  <c r="P1289" i="1"/>
  <c r="O1289" i="1"/>
  <c r="N1289" i="1"/>
  <c r="M1289" i="1"/>
  <c r="L1289" i="1"/>
  <c r="K1289" i="1"/>
  <c r="J1289" i="1"/>
  <c r="I1289" i="1"/>
  <c r="H1289" i="1"/>
  <c r="G1289" i="1"/>
  <c r="F1289" i="1"/>
  <c r="T1288" i="1"/>
  <c r="S1288" i="1"/>
  <c r="R1288" i="1"/>
  <c r="Q1288" i="1"/>
  <c r="P1288" i="1"/>
  <c r="O1288" i="1"/>
  <c r="N1288" i="1"/>
  <c r="M1288" i="1"/>
  <c r="L1288" i="1"/>
  <c r="K1288" i="1"/>
  <c r="J1288" i="1"/>
  <c r="I1288" i="1"/>
  <c r="H1288" i="1"/>
  <c r="F1288" i="1"/>
  <c r="G1288" i="1" s="1"/>
  <c r="T1287" i="1"/>
  <c r="S1287" i="1"/>
  <c r="R1287" i="1"/>
  <c r="Q1287" i="1"/>
  <c r="P1287" i="1"/>
  <c r="O1287" i="1"/>
  <c r="N1287" i="1"/>
  <c r="M1287" i="1"/>
  <c r="L1287" i="1"/>
  <c r="K1287" i="1"/>
  <c r="J1287" i="1"/>
  <c r="I1287" i="1"/>
  <c r="H1287" i="1"/>
  <c r="G1287" i="1"/>
  <c r="F1287" i="1"/>
  <c r="T1286" i="1"/>
  <c r="S1286" i="1"/>
  <c r="R1286" i="1"/>
  <c r="Q1286" i="1"/>
  <c r="P1286" i="1"/>
  <c r="O1286" i="1"/>
  <c r="N1286" i="1"/>
  <c r="M1286" i="1"/>
  <c r="L1286" i="1"/>
  <c r="K1286" i="1"/>
  <c r="J1286" i="1"/>
  <c r="I1286" i="1"/>
  <c r="H1286" i="1"/>
  <c r="F1286" i="1"/>
  <c r="G1286" i="1" s="1"/>
  <c r="T1285" i="1"/>
  <c r="S1285" i="1"/>
  <c r="R1285" i="1"/>
  <c r="Q1285" i="1"/>
  <c r="P1285" i="1"/>
  <c r="O1285" i="1"/>
  <c r="N1285" i="1"/>
  <c r="M1285" i="1"/>
  <c r="L1285" i="1"/>
  <c r="K1285" i="1"/>
  <c r="J1285" i="1"/>
  <c r="I1285" i="1"/>
  <c r="H1285" i="1"/>
  <c r="G1285" i="1"/>
  <c r="F1285" i="1"/>
  <c r="T1284" i="1"/>
  <c r="S1284" i="1"/>
  <c r="R1284" i="1"/>
  <c r="Q1284" i="1"/>
  <c r="P1284" i="1"/>
  <c r="O1284" i="1"/>
  <c r="N1284" i="1"/>
  <c r="M1284" i="1"/>
  <c r="L1284" i="1"/>
  <c r="K1284" i="1"/>
  <c r="J1284" i="1"/>
  <c r="I1284" i="1"/>
  <c r="H1284" i="1"/>
  <c r="G1284" i="1"/>
  <c r="F1284" i="1"/>
  <c r="T1283" i="1"/>
  <c r="S1283" i="1"/>
  <c r="R1283" i="1"/>
  <c r="Q1283" i="1"/>
  <c r="P1283" i="1"/>
  <c r="O1283" i="1"/>
  <c r="N1283" i="1"/>
  <c r="M1283" i="1"/>
  <c r="L1283" i="1"/>
  <c r="K1283" i="1"/>
  <c r="J1283" i="1"/>
  <c r="I1283" i="1"/>
  <c r="H1283" i="1"/>
  <c r="F1283" i="1"/>
  <c r="G1283" i="1" s="1"/>
  <c r="T1282" i="1"/>
  <c r="S1282" i="1"/>
  <c r="R1282" i="1"/>
  <c r="Q1282" i="1"/>
  <c r="P1282" i="1"/>
  <c r="O1282" i="1"/>
  <c r="N1282" i="1"/>
  <c r="M1282" i="1"/>
  <c r="L1282" i="1"/>
  <c r="K1282" i="1"/>
  <c r="J1282" i="1"/>
  <c r="I1282" i="1"/>
  <c r="H1282" i="1"/>
  <c r="F1282" i="1"/>
  <c r="G1282" i="1" s="1"/>
  <c r="T1281" i="1"/>
  <c r="S1281" i="1"/>
  <c r="R1281" i="1"/>
  <c r="Q1281" i="1"/>
  <c r="P1281" i="1"/>
  <c r="O1281" i="1"/>
  <c r="N1281" i="1"/>
  <c r="M1281" i="1"/>
  <c r="L1281" i="1"/>
  <c r="K1281" i="1"/>
  <c r="J1281" i="1"/>
  <c r="I1281" i="1"/>
  <c r="H1281" i="1"/>
  <c r="G1281" i="1"/>
  <c r="F1281" i="1"/>
  <c r="T1280" i="1"/>
  <c r="S1280" i="1"/>
  <c r="R1280" i="1"/>
  <c r="Q1280" i="1"/>
  <c r="P1280" i="1"/>
  <c r="O1280" i="1"/>
  <c r="N1280" i="1"/>
  <c r="M1280" i="1"/>
  <c r="L1280" i="1"/>
  <c r="K1280" i="1"/>
  <c r="J1280" i="1"/>
  <c r="I1280" i="1"/>
  <c r="H1280" i="1"/>
  <c r="F1280" i="1"/>
  <c r="G1280" i="1" s="1"/>
  <c r="T1279" i="1"/>
  <c r="S1279" i="1"/>
  <c r="R1279" i="1"/>
  <c r="Q1279" i="1"/>
  <c r="P1279" i="1"/>
  <c r="O1279" i="1"/>
  <c r="N1279" i="1"/>
  <c r="M1279" i="1"/>
  <c r="L1279" i="1"/>
  <c r="K1279" i="1"/>
  <c r="J1279" i="1"/>
  <c r="I1279" i="1"/>
  <c r="H1279" i="1"/>
  <c r="G1279" i="1"/>
  <c r="F1279" i="1"/>
  <c r="T1278" i="1"/>
  <c r="S1278" i="1"/>
  <c r="R1278" i="1"/>
  <c r="Q1278" i="1"/>
  <c r="P1278" i="1"/>
  <c r="O1278" i="1"/>
  <c r="N1278" i="1"/>
  <c r="M1278" i="1"/>
  <c r="L1278" i="1"/>
  <c r="K1278" i="1"/>
  <c r="J1278" i="1"/>
  <c r="I1278" i="1"/>
  <c r="H1278" i="1"/>
  <c r="F1278" i="1"/>
  <c r="G1278" i="1" s="1"/>
  <c r="T1277" i="1"/>
  <c r="S1277" i="1"/>
  <c r="R1277" i="1"/>
  <c r="Q1277" i="1"/>
  <c r="P1277" i="1"/>
  <c r="O1277" i="1"/>
  <c r="N1277" i="1"/>
  <c r="M1277" i="1"/>
  <c r="L1277" i="1"/>
  <c r="K1277" i="1"/>
  <c r="J1277" i="1"/>
  <c r="I1277" i="1"/>
  <c r="H1277" i="1"/>
  <c r="G1277" i="1"/>
  <c r="F1277" i="1"/>
  <c r="T1276" i="1"/>
  <c r="S1276" i="1"/>
  <c r="R1276" i="1"/>
  <c r="Q1276" i="1"/>
  <c r="P1276" i="1"/>
  <c r="O1276" i="1"/>
  <c r="N1276" i="1"/>
  <c r="M1276" i="1"/>
  <c r="L1276" i="1"/>
  <c r="K1276" i="1"/>
  <c r="J1276" i="1"/>
  <c r="I1276" i="1"/>
  <c r="H1276" i="1"/>
  <c r="G1276" i="1"/>
  <c r="F1276" i="1"/>
  <c r="T1275" i="1"/>
  <c r="S1275" i="1"/>
  <c r="R1275" i="1"/>
  <c r="Q1275" i="1"/>
  <c r="P1275" i="1"/>
  <c r="O1275" i="1"/>
  <c r="N1275" i="1"/>
  <c r="M1275" i="1"/>
  <c r="L1275" i="1"/>
  <c r="K1275" i="1"/>
  <c r="J1275" i="1"/>
  <c r="I1275" i="1"/>
  <c r="H1275" i="1"/>
  <c r="F1275" i="1"/>
  <c r="G1275" i="1" s="1"/>
  <c r="T1274" i="1"/>
  <c r="S1274" i="1"/>
  <c r="R1274" i="1"/>
  <c r="Q1274" i="1"/>
  <c r="P1274" i="1"/>
  <c r="O1274" i="1"/>
  <c r="N1274" i="1"/>
  <c r="M1274" i="1"/>
  <c r="L1274" i="1"/>
  <c r="K1274" i="1"/>
  <c r="J1274" i="1"/>
  <c r="I1274" i="1"/>
  <c r="H1274" i="1"/>
  <c r="F1274" i="1"/>
  <c r="G1274" i="1" s="1"/>
  <c r="T1273" i="1"/>
  <c r="S1273" i="1"/>
  <c r="R1273" i="1"/>
  <c r="Q1273" i="1"/>
  <c r="P1273" i="1"/>
  <c r="O1273" i="1"/>
  <c r="N1273" i="1"/>
  <c r="M1273" i="1"/>
  <c r="L1273" i="1"/>
  <c r="K1273" i="1"/>
  <c r="J1273" i="1"/>
  <c r="I1273" i="1"/>
  <c r="H1273" i="1"/>
  <c r="G1273" i="1"/>
  <c r="F1273" i="1"/>
  <c r="T1272" i="1"/>
  <c r="S1272" i="1"/>
  <c r="R1272" i="1"/>
  <c r="Q1272" i="1"/>
  <c r="P1272" i="1"/>
  <c r="O1272" i="1"/>
  <c r="N1272" i="1"/>
  <c r="M1272" i="1"/>
  <c r="L1272" i="1"/>
  <c r="K1272" i="1"/>
  <c r="J1272" i="1"/>
  <c r="I1272" i="1"/>
  <c r="H1272" i="1"/>
  <c r="F1272" i="1"/>
  <c r="G1272" i="1" s="1"/>
  <c r="T1271" i="1"/>
  <c r="S1271" i="1"/>
  <c r="R1271" i="1"/>
  <c r="Q1271" i="1"/>
  <c r="P1271" i="1"/>
  <c r="O1271" i="1"/>
  <c r="N1271" i="1"/>
  <c r="M1271" i="1"/>
  <c r="L1271" i="1"/>
  <c r="K1271" i="1"/>
  <c r="J1271" i="1"/>
  <c r="I1271" i="1"/>
  <c r="H1271" i="1"/>
  <c r="G1271" i="1"/>
  <c r="F1271" i="1"/>
  <c r="T1270" i="1"/>
  <c r="S1270" i="1"/>
  <c r="R1270" i="1"/>
  <c r="Q1270" i="1"/>
  <c r="P1270" i="1"/>
  <c r="O1270" i="1"/>
  <c r="N1270" i="1"/>
  <c r="M1270" i="1"/>
  <c r="L1270" i="1"/>
  <c r="K1270" i="1"/>
  <c r="J1270" i="1"/>
  <c r="I1270" i="1"/>
  <c r="H1270" i="1"/>
  <c r="F1270" i="1"/>
  <c r="G1270" i="1" s="1"/>
  <c r="T1269" i="1"/>
  <c r="S1269" i="1"/>
  <c r="R1269" i="1"/>
  <c r="Q1269" i="1"/>
  <c r="P1269" i="1"/>
  <c r="O1269" i="1"/>
  <c r="N1269" i="1"/>
  <c r="M1269" i="1"/>
  <c r="L1269" i="1"/>
  <c r="K1269" i="1"/>
  <c r="J1269" i="1"/>
  <c r="I1269" i="1"/>
  <c r="H1269" i="1"/>
  <c r="G1269" i="1"/>
  <c r="F1269" i="1"/>
  <c r="T1268" i="1"/>
  <c r="S1268" i="1"/>
  <c r="R1268" i="1"/>
  <c r="Q1268" i="1"/>
  <c r="P1268" i="1"/>
  <c r="O1268" i="1"/>
  <c r="N1268" i="1"/>
  <c r="M1268" i="1"/>
  <c r="L1268" i="1"/>
  <c r="K1268" i="1"/>
  <c r="J1268" i="1"/>
  <c r="I1268" i="1"/>
  <c r="H1268" i="1"/>
  <c r="G1268" i="1"/>
  <c r="F1268" i="1"/>
  <c r="T1267" i="1"/>
  <c r="S1267" i="1"/>
  <c r="R1267" i="1"/>
  <c r="Q1267" i="1"/>
  <c r="P1267" i="1"/>
  <c r="O1267" i="1"/>
  <c r="N1267" i="1"/>
  <c r="M1267" i="1"/>
  <c r="L1267" i="1"/>
  <c r="K1267" i="1"/>
  <c r="J1267" i="1"/>
  <c r="I1267" i="1"/>
  <c r="H1267" i="1"/>
  <c r="F1267" i="1"/>
  <c r="G1267" i="1" s="1"/>
  <c r="T1266" i="1"/>
  <c r="S1266" i="1"/>
  <c r="R1266" i="1"/>
  <c r="Q1266" i="1"/>
  <c r="P1266" i="1"/>
  <c r="O1266" i="1"/>
  <c r="N1266" i="1"/>
  <c r="M1266" i="1"/>
  <c r="L1266" i="1"/>
  <c r="K1266" i="1"/>
  <c r="J1266" i="1"/>
  <c r="I1266" i="1"/>
  <c r="H1266" i="1"/>
  <c r="F1266" i="1"/>
  <c r="G1266" i="1" s="1"/>
  <c r="T1265" i="1"/>
  <c r="S1265" i="1"/>
  <c r="R1265" i="1"/>
  <c r="Q1265" i="1"/>
  <c r="P1265" i="1"/>
  <c r="O1265" i="1"/>
  <c r="N1265" i="1"/>
  <c r="M1265" i="1"/>
  <c r="L1265" i="1"/>
  <c r="K1265" i="1"/>
  <c r="J1265" i="1"/>
  <c r="I1265" i="1"/>
  <c r="H1265" i="1"/>
  <c r="G1265" i="1"/>
  <c r="F1265" i="1"/>
  <c r="T1264" i="1"/>
  <c r="S1264" i="1"/>
  <c r="R1264" i="1"/>
  <c r="Q1264" i="1"/>
  <c r="P1264" i="1"/>
  <c r="O1264" i="1"/>
  <c r="N1264" i="1"/>
  <c r="M1264" i="1"/>
  <c r="L1264" i="1"/>
  <c r="K1264" i="1"/>
  <c r="J1264" i="1"/>
  <c r="I1264" i="1"/>
  <c r="H1264" i="1"/>
  <c r="F1264" i="1"/>
  <c r="G1264" i="1" s="1"/>
  <c r="T1263" i="1"/>
  <c r="S1263" i="1"/>
  <c r="R1263" i="1"/>
  <c r="Q1263" i="1"/>
  <c r="P1263" i="1"/>
  <c r="O1263" i="1"/>
  <c r="N1263" i="1"/>
  <c r="M1263" i="1"/>
  <c r="L1263" i="1"/>
  <c r="K1263" i="1"/>
  <c r="J1263" i="1"/>
  <c r="I1263" i="1"/>
  <c r="H1263" i="1"/>
  <c r="G1263" i="1"/>
  <c r="F1263" i="1"/>
  <c r="T1262" i="1"/>
  <c r="S1262" i="1"/>
  <c r="R1262" i="1"/>
  <c r="Q1262" i="1"/>
  <c r="P1262" i="1"/>
  <c r="O1262" i="1"/>
  <c r="N1262" i="1"/>
  <c r="M1262" i="1"/>
  <c r="L1262" i="1"/>
  <c r="K1262" i="1"/>
  <c r="J1262" i="1"/>
  <c r="I1262" i="1"/>
  <c r="H1262" i="1"/>
  <c r="F1262" i="1"/>
  <c r="G1262" i="1" s="1"/>
  <c r="T1261" i="1"/>
  <c r="S1261" i="1"/>
  <c r="R1261" i="1"/>
  <c r="Q1261" i="1"/>
  <c r="P1261" i="1"/>
  <c r="O1261" i="1"/>
  <c r="N1261" i="1"/>
  <c r="M1261" i="1"/>
  <c r="L1261" i="1"/>
  <c r="K1261" i="1"/>
  <c r="J1261" i="1"/>
  <c r="I1261" i="1"/>
  <c r="H1261" i="1"/>
  <c r="G1261" i="1"/>
  <c r="F1261" i="1"/>
  <c r="T1260" i="1"/>
  <c r="S1260" i="1"/>
  <c r="R1260" i="1"/>
  <c r="Q1260" i="1"/>
  <c r="P1260" i="1"/>
  <c r="O1260" i="1"/>
  <c r="N1260" i="1"/>
  <c r="M1260" i="1"/>
  <c r="L1260" i="1"/>
  <c r="K1260" i="1"/>
  <c r="J1260" i="1"/>
  <c r="I1260" i="1"/>
  <c r="H1260" i="1"/>
  <c r="G1260" i="1"/>
  <c r="F1260" i="1"/>
  <c r="T1259" i="1"/>
  <c r="S1259" i="1"/>
  <c r="R1259" i="1"/>
  <c r="Q1259" i="1"/>
  <c r="P1259" i="1"/>
  <c r="O1259" i="1"/>
  <c r="N1259" i="1"/>
  <c r="M1259" i="1"/>
  <c r="L1259" i="1"/>
  <c r="K1259" i="1"/>
  <c r="J1259" i="1"/>
  <c r="I1259" i="1"/>
  <c r="H1259" i="1"/>
  <c r="F1259" i="1"/>
  <c r="G1259" i="1" s="1"/>
  <c r="T1258" i="1"/>
  <c r="S1258" i="1"/>
  <c r="R1258" i="1"/>
  <c r="Q1258" i="1"/>
  <c r="P1258" i="1"/>
  <c r="O1258" i="1"/>
  <c r="N1258" i="1"/>
  <c r="M1258" i="1"/>
  <c r="L1258" i="1"/>
  <c r="K1258" i="1"/>
  <c r="J1258" i="1"/>
  <c r="I1258" i="1"/>
  <c r="H1258" i="1"/>
  <c r="F1258" i="1"/>
  <c r="G1258" i="1" s="1"/>
  <c r="T1257" i="1"/>
  <c r="S1257" i="1"/>
  <c r="R1257" i="1"/>
  <c r="Q1257" i="1"/>
  <c r="P1257" i="1"/>
  <c r="O1257" i="1"/>
  <c r="N1257" i="1"/>
  <c r="M1257" i="1"/>
  <c r="L1257" i="1"/>
  <c r="K1257" i="1"/>
  <c r="J1257" i="1"/>
  <c r="I1257" i="1"/>
  <c r="H1257" i="1"/>
  <c r="G1257" i="1"/>
  <c r="F1257" i="1"/>
  <c r="T1256" i="1"/>
  <c r="S1256" i="1"/>
  <c r="R1256" i="1"/>
  <c r="Q1256" i="1"/>
  <c r="P1256" i="1"/>
  <c r="O1256" i="1"/>
  <c r="N1256" i="1"/>
  <c r="M1256" i="1"/>
  <c r="L1256" i="1"/>
  <c r="K1256" i="1"/>
  <c r="J1256" i="1"/>
  <c r="I1256" i="1"/>
  <c r="H1256" i="1"/>
  <c r="F1256" i="1"/>
  <c r="G1256" i="1" s="1"/>
  <c r="T1255" i="1"/>
  <c r="S1255" i="1"/>
  <c r="R1255" i="1"/>
  <c r="Q1255" i="1"/>
  <c r="P1255" i="1"/>
  <c r="O1255" i="1"/>
  <c r="N1255" i="1"/>
  <c r="M1255" i="1"/>
  <c r="L1255" i="1"/>
  <c r="K1255" i="1"/>
  <c r="J1255" i="1"/>
  <c r="I1255" i="1"/>
  <c r="H1255" i="1"/>
  <c r="G1255" i="1"/>
  <c r="F1255" i="1"/>
  <c r="T1254" i="1"/>
  <c r="S1254" i="1"/>
  <c r="R1254" i="1"/>
  <c r="Q1254" i="1"/>
  <c r="P1254" i="1"/>
  <c r="O1254" i="1"/>
  <c r="N1254" i="1"/>
  <c r="M1254" i="1"/>
  <c r="L1254" i="1"/>
  <c r="K1254" i="1"/>
  <c r="J1254" i="1"/>
  <c r="I1254" i="1"/>
  <c r="H1254" i="1"/>
  <c r="F1254" i="1"/>
  <c r="G1254" i="1" s="1"/>
  <c r="T1253" i="1"/>
  <c r="S1253" i="1"/>
  <c r="R1253" i="1"/>
  <c r="Q1253" i="1"/>
  <c r="P1253" i="1"/>
  <c r="O1253" i="1"/>
  <c r="N1253" i="1"/>
  <c r="M1253" i="1"/>
  <c r="L1253" i="1"/>
  <c r="K1253" i="1"/>
  <c r="J1253" i="1"/>
  <c r="I1253" i="1"/>
  <c r="H1253" i="1"/>
  <c r="G1253" i="1"/>
  <c r="F1253" i="1"/>
  <c r="T1252" i="1"/>
  <c r="S1252" i="1"/>
  <c r="R1252" i="1"/>
  <c r="Q1252" i="1"/>
  <c r="P1252" i="1"/>
  <c r="O1252" i="1"/>
  <c r="N1252" i="1"/>
  <c r="M1252" i="1"/>
  <c r="L1252" i="1"/>
  <c r="K1252" i="1"/>
  <c r="J1252" i="1"/>
  <c r="I1252" i="1"/>
  <c r="H1252" i="1"/>
  <c r="G1252" i="1"/>
  <c r="F1252" i="1"/>
  <c r="T1251" i="1"/>
  <c r="S1251" i="1"/>
  <c r="R1251" i="1"/>
  <c r="Q1251" i="1"/>
  <c r="P1251" i="1"/>
  <c r="O1251" i="1"/>
  <c r="N1251" i="1"/>
  <c r="M1251" i="1"/>
  <c r="L1251" i="1"/>
  <c r="K1251" i="1"/>
  <c r="J1251" i="1"/>
  <c r="I1251" i="1"/>
  <c r="H1251" i="1"/>
  <c r="F1251" i="1"/>
  <c r="G1251" i="1" s="1"/>
  <c r="T1250" i="1"/>
  <c r="S1250" i="1"/>
  <c r="R1250" i="1"/>
  <c r="Q1250" i="1"/>
  <c r="P1250" i="1"/>
  <c r="O1250" i="1"/>
  <c r="N1250" i="1"/>
  <c r="M1250" i="1"/>
  <c r="L1250" i="1"/>
  <c r="K1250" i="1"/>
  <c r="J1250" i="1"/>
  <c r="I1250" i="1"/>
  <c r="H1250" i="1"/>
  <c r="F1250" i="1"/>
  <c r="G1250" i="1" s="1"/>
  <c r="T1249" i="1"/>
  <c r="S1249" i="1"/>
  <c r="R1249" i="1"/>
  <c r="Q1249" i="1"/>
  <c r="P1249" i="1"/>
  <c r="O1249" i="1"/>
  <c r="N1249" i="1"/>
  <c r="M1249" i="1"/>
  <c r="L1249" i="1"/>
  <c r="K1249" i="1"/>
  <c r="J1249" i="1"/>
  <c r="I1249" i="1"/>
  <c r="H1249" i="1"/>
  <c r="G1249" i="1"/>
  <c r="F1249" i="1"/>
  <c r="T1248" i="1"/>
  <c r="S1248" i="1"/>
  <c r="R1248" i="1"/>
  <c r="Q1248" i="1"/>
  <c r="P1248" i="1"/>
  <c r="O1248" i="1"/>
  <c r="N1248" i="1"/>
  <c r="M1248" i="1"/>
  <c r="L1248" i="1"/>
  <c r="K1248" i="1"/>
  <c r="J1248" i="1"/>
  <c r="I1248" i="1"/>
  <c r="H1248" i="1"/>
  <c r="F1248" i="1"/>
  <c r="G1248" i="1" s="1"/>
  <c r="T1247" i="1"/>
  <c r="S1247" i="1"/>
  <c r="R1247" i="1"/>
  <c r="Q1247" i="1"/>
  <c r="P1247" i="1"/>
  <c r="O1247" i="1"/>
  <c r="N1247" i="1"/>
  <c r="M1247" i="1"/>
  <c r="L1247" i="1"/>
  <c r="K1247" i="1"/>
  <c r="J1247" i="1"/>
  <c r="I1247" i="1"/>
  <c r="H1247" i="1"/>
  <c r="G1247" i="1"/>
  <c r="F1247" i="1"/>
  <c r="T1246" i="1"/>
  <c r="S1246" i="1"/>
  <c r="R1246" i="1"/>
  <c r="Q1246" i="1"/>
  <c r="P1246" i="1"/>
  <c r="O1246" i="1"/>
  <c r="N1246" i="1"/>
  <c r="M1246" i="1"/>
  <c r="L1246" i="1"/>
  <c r="K1246" i="1"/>
  <c r="J1246" i="1"/>
  <c r="I1246" i="1"/>
  <c r="H1246" i="1"/>
  <c r="F1246" i="1"/>
  <c r="G1246" i="1" s="1"/>
  <c r="T1245" i="1"/>
  <c r="S1245" i="1"/>
  <c r="R1245" i="1"/>
  <c r="Q1245" i="1"/>
  <c r="P1245" i="1"/>
  <c r="O1245" i="1"/>
  <c r="N1245" i="1"/>
  <c r="M1245" i="1"/>
  <c r="L1245" i="1"/>
  <c r="K1245" i="1"/>
  <c r="J1245" i="1"/>
  <c r="I1245" i="1"/>
  <c r="H1245" i="1"/>
  <c r="G1245" i="1"/>
  <c r="F1245" i="1"/>
  <c r="T1244" i="1"/>
  <c r="S1244" i="1"/>
  <c r="R1244" i="1"/>
  <c r="Q1244" i="1"/>
  <c r="P1244" i="1"/>
  <c r="O1244" i="1"/>
  <c r="N1244" i="1"/>
  <c r="M1244" i="1"/>
  <c r="L1244" i="1"/>
  <c r="K1244" i="1"/>
  <c r="J1244" i="1"/>
  <c r="I1244" i="1"/>
  <c r="H1244" i="1"/>
  <c r="G1244" i="1"/>
  <c r="F1244" i="1"/>
  <c r="T1243" i="1"/>
  <c r="S1243" i="1"/>
  <c r="R1243" i="1"/>
  <c r="Q1243" i="1"/>
  <c r="P1243" i="1"/>
  <c r="O1243" i="1"/>
  <c r="N1243" i="1"/>
  <c r="M1243" i="1"/>
  <c r="L1243" i="1"/>
  <c r="K1243" i="1"/>
  <c r="J1243" i="1"/>
  <c r="I1243" i="1"/>
  <c r="H1243" i="1"/>
  <c r="F1243" i="1"/>
  <c r="G1243" i="1" s="1"/>
  <c r="T1242" i="1"/>
  <c r="S1242" i="1"/>
  <c r="R1242" i="1"/>
  <c r="Q1242" i="1"/>
  <c r="P1242" i="1"/>
  <c r="O1242" i="1"/>
  <c r="N1242" i="1"/>
  <c r="M1242" i="1"/>
  <c r="L1242" i="1"/>
  <c r="K1242" i="1"/>
  <c r="J1242" i="1"/>
  <c r="I1242" i="1"/>
  <c r="H1242" i="1"/>
  <c r="F1242" i="1"/>
  <c r="G1242" i="1" s="1"/>
  <c r="T1241" i="1"/>
  <c r="S1241" i="1"/>
  <c r="R1241" i="1"/>
  <c r="Q1241" i="1"/>
  <c r="P1241" i="1"/>
  <c r="O1241" i="1"/>
  <c r="N1241" i="1"/>
  <c r="M1241" i="1"/>
  <c r="L1241" i="1"/>
  <c r="K1241" i="1"/>
  <c r="J1241" i="1"/>
  <c r="I1241" i="1"/>
  <c r="H1241" i="1"/>
  <c r="G1241" i="1"/>
  <c r="F1241" i="1"/>
  <c r="T1240" i="1"/>
  <c r="S1240" i="1"/>
  <c r="R1240" i="1"/>
  <c r="Q1240" i="1"/>
  <c r="P1240" i="1"/>
  <c r="O1240" i="1"/>
  <c r="N1240" i="1"/>
  <c r="M1240" i="1"/>
  <c r="L1240" i="1"/>
  <c r="K1240" i="1"/>
  <c r="J1240" i="1"/>
  <c r="I1240" i="1"/>
  <c r="H1240" i="1"/>
  <c r="F1240" i="1"/>
  <c r="G1240" i="1" s="1"/>
  <c r="T1239" i="1"/>
  <c r="S1239" i="1"/>
  <c r="R1239" i="1"/>
  <c r="Q1239" i="1"/>
  <c r="P1239" i="1"/>
  <c r="O1239" i="1"/>
  <c r="N1239" i="1"/>
  <c r="M1239" i="1"/>
  <c r="L1239" i="1"/>
  <c r="K1239" i="1"/>
  <c r="J1239" i="1"/>
  <c r="I1239" i="1"/>
  <c r="H1239" i="1"/>
  <c r="G1239" i="1"/>
  <c r="F1239" i="1"/>
  <c r="T1238" i="1"/>
  <c r="S1238" i="1"/>
  <c r="R1238" i="1"/>
  <c r="Q1238" i="1"/>
  <c r="P1238" i="1"/>
  <c r="O1238" i="1"/>
  <c r="N1238" i="1"/>
  <c r="M1238" i="1"/>
  <c r="L1238" i="1"/>
  <c r="K1238" i="1"/>
  <c r="J1238" i="1"/>
  <c r="I1238" i="1"/>
  <c r="H1238" i="1"/>
  <c r="F1238" i="1"/>
  <c r="G1238" i="1" s="1"/>
  <c r="T1237" i="1"/>
  <c r="S1237" i="1"/>
  <c r="R1237" i="1"/>
  <c r="Q1237" i="1"/>
  <c r="P1237" i="1"/>
  <c r="O1237" i="1"/>
  <c r="N1237" i="1"/>
  <c r="M1237" i="1"/>
  <c r="L1237" i="1"/>
  <c r="K1237" i="1"/>
  <c r="J1237" i="1"/>
  <c r="I1237" i="1"/>
  <c r="H1237" i="1"/>
  <c r="G1237" i="1"/>
  <c r="F1237" i="1"/>
  <c r="T1236" i="1"/>
  <c r="S1236" i="1"/>
  <c r="R1236" i="1"/>
  <c r="Q1236" i="1"/>
  <c r="P1236" i="1"/>
  <c r="O1236" i="1"/>
  <c r="N1236" i="1"/>
  <c r="M1236" i="1"/>
  <c r="L1236" i="1"/>
  <c r="K1236" i="1"/>
  <c r="J1236" i="1"/>
  <c r="I1236" i="1"/>
  <c r="H1236" i="1"/>
  <c r="G1236" i="1"/>
  <c r="F1236" i="1"/>
  <c r="T1235" i="1"/>
  <c r="S1235" i="1"/>
  <c r="R1235" i="1"/>
  <c r="Q1235" i="1"/>
  <c r="P1235" i="1"/>
  <c r="O1235" i="1"/>
  <c r="N1235" i="1"/>
  <c r="M1235" i="1"/>
  <c r="L1235" i="1"/>
  <c r="K1235" i="1"/>
  <c r="J1235" i="1"/>
  <c r="I1235" i="1"/>
  <c r="H1235" i="1"/>
  <c r="F1235" i="1"/>
  <c r="G1235" i="1" s="1"/>
  <c r="T1234" i="1"/>
  <c r="S1234" i="1"/>
  <c r="R1234" i="1"/>
  <c r="Q1234" i="1"/>
  <c r="P1234" i="1"/>
  <c r="O1234" i="1"/>
  <c r="N1234" i="1"/>
  <c r="M1234" i="1"/>
  <c r="L1234" i="1"/>
  <c r="K1234" i="1"/>
  <c r="J1234" i="1"/>
  <c r="I1234" i="1"/>
  <c r="H1234" i="1"/>
  <c r="F1234" i="1"/>
  <c r="G1234" i="1" s="1"/>
  <c r="T1233" i="1"/>
  <c r="S1233" i="1"/>
  <c r="R1233" i="1"/>
  <c r="Q1233" i="1"/>
  <c r="P1233" i="1"/>
  <c r="O1233" i="1"/>
  <c r="N1233" i="1"/>
  <c r="M1233" i="1"/>
  <c r="L1233" i="1"/>
  <c r="K1233" i="1"/>
  <c r="J1233" i="1"/>
  <c r="I1233" i="1"/>
  <c r="H1233" i="1"/>
  <c r="G1233" i="1"/>
  <c r="F1233" i="1"/>
  <c r="T1232" i="1"/>
  <c r="S1232" i="1"/>
  <c r="R1232" i="1"/>
  <c r="Q1232" i="1"/>
  <c r="P1232" i="1"/>
  <c r="O1232" i="1"/>
  <c r="N1232" i="1"/>
  <c r="M1232" i="1"/>
  <c r="L1232" i="1"/>
  <c r="K1232" i="1"/>
  <c r="J1232" i="1"/>
  <c r="I1232" i="1"/>
  <c r="H1232" i="1"/>
  <c r="F1232" i="1"/>
  <c r="G1232" i="1" s="1"/>
  <c r="T1231" i="1"/>
  <c r="S1231" i="1"/>
  <c r="R1231" i="1"/>
  <c r="Q1231" i="1"/>
  <c r="P1231" i="1"/>
  <c r="O1231" i="1"/>
  <c r="N1231" i="1"/>
  <c r="M1231" i="1"/>
  <c r="L1231" i="1"/>
  <c r="K1231" i="1"/>
  <c r="J1231" i="1"/>
  <c r="I1231" i="1"/>
  <c r="H1231" i="1"/>
  <c r="G1231" i="1"/>
  <c r="F1231" i="1"/>
  <c r="T1230" i="1"/>
  <c r="S1230" i="1"/>
  <c r="R1230" i="1"/>
  <c r="Q1230" i="1"/>
  <c r="P1230" i="1"/>
  <c r="O1230" i="1"/>
  <c r="N1230" i="1"/>
  <c r="M1230" i="1"/>
  <c r="L1230" i="1"/>
  <c r="K1230" i="1"/>
  <c r="J1230" i="1"/>
  <c r="I1230" i="1"/>
  <c r="H1230" i="1"/>
  <c r="F1230" i="1"/>
  <c r="G1230" i="1" s="1"/>
  <c r="T1229" i="1"/>
  <c r="S1229" i="1"/>
  <c r="R1229" i="1"/>
  <c r="Q1229" i="1"/>
  <c r="P1229" i="1"/>
  <c r="O1229" i="1"/>
  <c r="N1229" i="1"/>
  <c r="M1229" i="1"/>
  <c r="L1229" i="1"/>
  <c r="K1229" i="1"/>
  <c r="J1229" i="1"/>
  <c r="I1229" i="1"/>
  <c r="H1229" i="1"/>
  <c r="G1229" i="1"/>
  <c r="F1229" i="1"/>
  <c r="T1228" i="1"/>
  <c r="S1228" i="1"/>
  <c r="R1228" i="1"/>
  <c r="Q1228" i="1"/>
  <c r="P1228" i="1"/>
  <c r="O1228" i="1"/>
  <c r="N1228" i="1"/>
  <c r="M1228" i="1"/>
  <c r="L1228" i="1"/>
  <c r="K1228" i="1"/>
  <c r="J1228" i="1"/>
  <c r="I1228" i="1"/>
  <c r="H1228" i="1"/>
  <c r="G1228" i="1"/>
  <c r="F1228" i="1"/>
  <c r="T1227" i="1"/>
  <c r="S1227" i="1"/>
  <c r="R1227" i="1"/>
  <c r="Q1227" i="1"/>
  <c r="P1227" i="1"/>
  <c r="O1227" i="1"/>
  <c r="N1227" i="1"/>
  <c r="M1227" i="1"/>
  <c r="L1227" i="1"/>
  <c r="K1227" i="1"/>
  <c r="J1227" i="1"/>
  <c r="I1227" i="1"/>
  <c r="H1227" i="1"/>
  <c r="F1227" i="1"/>
  <c r="G1227" i="1" s="1"/>
  <c r="T1226" i="1"/>
  <c r="S1226" i="1"/>
  <c r="R1226" i="1"/>
  <c r="Q1226" i="1"/>
  <c r="P1226" i="1"/>
  <c r="O1226" i="1"/>
  <c r="N1226" i="1"/>
  <c r="M1226" i="1"/>
  <c r="L1226" i="1"/>
  <c r="K1226" i="1"/>
  <c r="J1226" i="1"/>
  <c r="I1226" i="1"/>
  <c r="H1226" i="1"/>
  <c r="F1226" i="1"/>
  <c r="G1226" i="1" s="1"/>
  <c r="T1225" i="1"/>
  <c r="S1225" i="1"/>
  <c r="R1225" i="1"/>
  <c r="Q1225" i="1"/>
  <c r="P1225" i="1"/>
  <c r="O1225" i="1"/>
  <c r="N1225" i="1"/>
  <c r="M1225" i="1"/>
  <c r="L1225" i="1"/>
  <c r="K1225" i="1"/>
  <c r="J1225" i="1"/>
  <c r="I1225" i="1"/>
  <c r="H1225" i="1"/>
  <c r="G1225" i="1"/>
  <c r="F1225" i="1"/>
  <c r="T1224" i="1"/>
  <c r="S1224" i="1"/>
  <c r="R1224" i="1"/>
  <c r="Q1224" i="1"/>
  <c r="P1224" i="1"/>
  <c r="O1224" i="1"/>
  <c r="N1224" i="1"/>
  <c r="M1224" i="1"/>
  <c r="L1224" i="1"/>
  <c r="K1224" i="1"/>
  <c r="J1224" i="1"/>
  <c r="I1224" i="1"/>
  <c r="H1224" i="1"/>
  <c r="F1224" i="1"/>
  <c r="G1224" i="1" s="1"/>
  <c r="T1223" i="1"/>
  <c r="S1223" i="1"/>
  <c r="R1223" i="1"/>
  <c r="Q1223" i="1"/>
  <c r="P1223" i="1"/>
  <c r="O1223" i="1"/>
  <c r="N1223" i="1"/>
  <c r="M1223" i="1"/>
  <c r="L1223" i="1"/>
  <c r="K1223" i="1"/>
  <c r="J1223" i="1"/>
  <c r="I1223" i="1"/>
  <c r="H1223" i="1"/>
  <c r="G1223" i="1"/>
  <c r="F1223" i="1"/>
  <c r="T1222" i="1"/>
  <c r="S1222" i="1"/>
  <c r="R1222" i="1"/>
  <c r="Q1222" i="1"/>
  <c r="P1222" i="1"/>
  <c r="O1222" i="1"/>
  <c r="N1222" i="1"/>
  <c r="M1222" i="1"/>
  <c r="L1222" i="1"/>
  <c r="K1222" i="1"/>
  <c r="J1222" i="1"/>
  <c r="I1222" i="1"/>
  <c r="H1222" i="1"/>
  <c r="F1222" i="1"/>
  <c r="G1222" i="1" s="1"/>
  <c r="T1221" i="1"/>
  <c r="S1221" i="1"/>
  <c r="R1221" i="1"/>
  <c r="Q1221" i="1"/>
  <c r="P1221" i="1"/>
  <c r="O1221" i="1"/>
  <c r="N1221" i="1"/>
  <c r="M1221" i="1"/>
  <c r="L1221" i="1"/>
  <c r="K1221" i="1"/>
  <c r="J1221" i="1"/>
  <c r="I1221" i="1"/>
  <c r="H1221" i="1"/>
  <c r="G1221" i="1"/>
  <c r="F1221" i="1"/>
  <c r="T1220" i="1"/>
  <c r="S1220" i="1"/>
  <c r="R1220" i="1"/>
  <c r="Q1220" i="1"/>
  <c r="P1220" i="1"/>
  <c r="O1220" i="1"/>
  <c r="N1220" i="1"/>
  <c r="M1220" i="1"/>
  <c r="L1220" i="1"/>
  <c r="K1220" i="1"/>
  <c r="J1220" i="1"/>
  <c r="I1220" i="1"/>
  <c r="H1220" i="1"/>
  <c r="G1220" i="1"/>
  <c r="F1220" i="1"/>
  <c r="T1219" i="1"/>
  <c r="S1219" i="1"/>
  <c r="R1219" i="1"/>
  <c r="Q1219" i="1"/>
  <c r="P1219" i="1"/>
  <c r="O1219" i="1"/>
  <c r="N1219" i="1"/>
  <c r="M1219" i="1"/>
  <c r="L1219" i="1"/>
  <c r="K1219" i="1"/>
  <c r="J1219" i="1"/>
  <c r="I1219" i="1"/>
  <c r="H1219" i="1"/>
  <c r="F1219" i="1"/>
  <c r="G1219" i="1" s="1"/>
  <c r="T1218" i="1"/>
  <c r="S1218" i="1"/>
  <c r="R1218" i="1"/>
  <c r="Q1218" i="1"/>
  <c r="P1218" i="1"/>
  <c r="O1218" i="1"/>
  <c r="N1218" i="1"/>
  <c r="M1218" i="1"/>
  <c r="L1218" i="1"/>
  <c r="K1218" i="1"/>
  <c r="J1218" i="1"/>
  <c r="I1218" i="1"/>
  <c r="H1218" i="1"/>
  <c r="F1218" i="1"/>
  <c r="G1218" i="1" s="1"/>
  <c r="T1217" i="1"/>
  <c r="S1217" i="1"/>
  <c r="R1217" i="1"/>
  <c r="Q1217" i="1"/>
  <c r="P1217" i="1"/>
  <c r="O1217" i="1"/>
  <c r="N1217" i="1"/>
  <c r="M1217" i="1"/>
  <c r="L1217" i="1"/>
  <c r="K1217" i="1"/>
  <c r="J1217" i="1"/>
  <c r="I1217" i="1"/>
  <c r="H1217" i="1"/>
  <c r="G1217" i="1"/>
  <c r="F1217" i="1"/>
  <c r="T1216" i="1"/>
  <c r="S1216" i="1"/>
  <c r="R1216" i="1"/>
  <c r="Q1216" i="1"/>
  <c r="P1216" i="1"/>
  <c r="O1216" i="1"/>
  <c r="N1216" i="1"/>
  <c r="M1216" i="1"/>
  <c r="L1216" i="1"/>
  <c r="K1216" i="1"/>
  <c r="J1216" i="1"/>
  <c r="I1216" i="1"/>
  <c r="H1216" i="1"/>
  <c r="F1216" i="1"/>
  <c r="G1216" i="1" s="1"/>
  <c r="T1215" i="1"/>
  <c r="S1215" i="1"/>
  <c r="R1215" i="1"/>
  <c r="Q1215" i="1"/>
  <c r="P1215" i="1"/>
  <c r="O1215" i="1"/>
  <c r="N1215" i="1"/>
  <c r="M1215" i="1"/>
  <c r="L1215" i="1"/>
  <c r="K1215" i="1"/>
  <c r="J1215" i="1"/>
  <c r="I1215" i="1"/>
  <c r="H1215" i="1"/>
  <c r="G1215" i="1"/>
  <c r="F1215" i="1"/>
  <c r="T1214" i="1"/>
  <c r="S1214" i="1"/>
  <c r="R1214" i="1"/>
  <c r="Q1214" i="1"/>
  <c r="P1214" i="1"/>
  <c r="O1214" i="1"/>
  <c r="N1214" i="1"/>
  <c r="M1214" i="1"/>
  <c r="L1214" i="1"/>
  <c r="K1214" i="1"/>
  <c r="J1214" i="1"/>
  <c r="I1214" i="1"/>
  <c r="H1214" i="1"/>
  <c r="F1214" i="1"/>
  <c r="G1214" i="1" s="1"/>
  <c r="T1213" i="1"/>
  <c r="S1213" i="1"/>
  <c r="R1213" i="1"/>
  <c r="Q1213" i="1"/>
  <c r="P1213" i="1"/>
  <c r="O1213" i="1"/>
  <c r="N1213" i="1"/>
  <c r="M1213" i="1"/>
  <c r="L1213" i="1"/>
  <c r="K1213" i="1"/>
  <c r="J1213" i="1"/>
  <c r="I1213" i="1"/>
  <c r="H1213" i="1"/>
  <c r="G1213" i="1"/>
  <c r="F1213" i="1"/>
  <c r="T1212" i="1"/>
  <c r="S1212" i="1"/>
  <c r="R1212" i="1"/>
  <c r="Q1212" i="1"/>
  <c r="P1212" i="1"/>
  <c r="O1212" i="1"/>
  <c r="N1212" i="1"/>
  <c r="M1212" i="1"/>
  <c r="L1212" i="1"/>
  <c r="K1212" i="1"/>
  <c r="J1212" i="1"/>
  <c r="I1212" i="1"/>
  <c r="H1212" i="1"/>
  <c r="G1212" i="1"/>
  <c r="F1212" i="1"/>
  <c r="T1211" i="1"/>
  <c r="S1211" i="1"/>
  <c r="R1211" i="1"/>
  <c r="Q1211" i="1"/>
  <c r="P1211" i="1"/>
  <c r="O1211" i="1"/>
  <c r="N1211" i="1"/>
  <c r="M1211" i="1"/>
  <c r="L1211" i="1"/>
  <c r="K1211" i="1"/>
  <c r="J1211" i="1"/>
  <c r="I1211" i="1"/>
  <c r="H1211" i="1"/>
  <c r="F1211" i="1"/>
  <c r="G1211" i="1" s="1"/>
  <c r="T1210" i="1"/>
  <c r="S1210" i="1"/>
  <c r="R1210" i="1"/>
  <c r="Q1210" i="1"/>
  <c r="P1210" i="1"/>
  <c r="O1210" i="1"/>
  <c r="N1210" i="1"/>
  <c r="M1210" i="1"/>
  <c r="L1210" i="1"/>
  <c r="K1210" i="1"/>
  <c r="J1210" i="1"/>
  <c r="I1210" i="1"/>
  <c r="H1210" i="1"/>
  <c r="F1210" i="1"/>
  <c r="G1210" i="1" s="1"/>
  <c r="T1209" i="1"/>
  <c r="S1209" i="1"/>
  <c r="R1209" i="1"/>
  <c r="Q1209" i="1"/>
  <c r="P1209" i="1"/>
  <c r="O1209" i="1"/>
  <c r="N1209" i="1"/>
  <c r="M1209" i="1"/>
  <c r="L1209" i="1"/>
  <c r="K1209" i="1"/>
  <c r="J1209" i="1"/>
  <c r="I1209" i="1"/>
  <c r="H1209" i="1"/>
  <c r="G1209" i="1"/>
  <c r="F1209" i="1"/>
  <c r="T1208" i="1"/>
  <c r="S1208" i="1"/>
  <c r="R1208" i="1"/>
  <c r="Q1208" i="1"/>
  <c r="P1208" i="1"/>
  <c r="O1208" i="1"/>
  <c r="N1208" i="1"/>
  <c r="M1208" i="1"/>
  <c r="L1208" i="1"/>
  <c r="K1208" i="1"/>
  <c r="J1208" i="1"/>
  <c r="I1208" i="1"/>
  <c r="H1208" i="1"/>
  <c r="F1208" i="1"/>
  <c r="G1208" i="1" s="1"/>
  <c r="T1207" i="1"/>
  <c r="S1207" i="1"/>
  <c r="R1207" i="1"/>
  <c r="Q1207" i="1"/>
  <c r="P1207" i="1"/>
  <c r="O1207" i="1"/>
  <c r="N1207" i="1"/>
  <c r="M1207" i="1"/>
  <c r="L1207" i="1"/>
  <c r="K1207" i="1"/>
  <c r="J1207" i="1"/>
  <c r="I1207" i="1"/>
  <c r="H1207" i="1"/>
  <c r="G1207" i="1"/>
  <c r="F1207" i="1"/>
  <c r="T1206" i="1"/>
  <c r="S1206" i="1"/>
  <c r="R1206" i="1"/>
  <c r="Q1206" i="1"/>
  <c r="P1206" i="1"/>
  <c r="O1206" i="1"/>
  <c r="N1206" i="1"/>
  <c r="M1206" i="1"/>
  <c r="L1206" i="1"/>
  <c r="K1206" i="1"/>
  <c r="J1206" i="1"/>
  <c r="I1206" i="1"/>
  <c r="H1206" i="1"/>
  <c r="F1206" i="1"/>
  <c r="G1206" i="1" s="1"/>
  <c r="T1205" i="1"/>
  <c r="S1205" i="1"/>
  <c r="R1205" i="1"/>
  <c r="Q1205" i="1"/>
  <c r="P1205" i="1"/>
  <c r="O1205" i="1"/>
  <c r="N1205" i="1"/>
  <c r="M1205" i="1"/>
  <c r="L1205" i="1"/>
  <c r="K1205" i="1"/>
  <c r="J1205" i="1"/>
  <c r="I1205" i="1"/>
  <c r="H1205" i="1"/>
  <c r="G1205" i="1"/>
  <c r="F1205" i="1"/>
  <c r="T1204" i="1"/>
  <c r="S1204" i="1"/>
  <c r="R1204" i="1"/>
  <c r="Q1204" i="1"/>
  <c r="P1204" i="1"/>
  <c r="O1204" i="1"/>
  <c r="N1204" i="1"/>
  <c r="M1204" i="1"/>
  <c r="L1204" i="1"/>
  <c r="K1204" i="1"/>
  <c r="J1204" i="1"/>
  <c r="I1204" i="1"/>
  <c r="H1204" i="1"/>
  <c r="G1204" i="1"/>
  <c r="F1204" i="1"/>
  <c r="T1203" i="1"/>
  <c r="S1203" i="1"/>
  <c r="R1203" i="1"/>
  <c r="Q1203" i="1"/>
  <c r="P1203" i="1"/>
  <c r="O1203" i="1"/>
  <c r="N1203" i="1"/>
  <c r="M1203" i="1"/>
  <c r="L1203" i="1"/>
  <c r="K1203" i="1"/>
  <c r="J1203" i="1"/>
  <c r="I1203" i="1"/>
  <c r="H1203" i="1"/>
  <c r="F1203" i="1"/>
  <c r="G1203" i="1" s="1"/>
  <c r="T1202" i="1"/>
  <c r="S1202" i="1"/>
  <c r="R1202" i="1"/>
  <c r="Q1202" i="1"/>
  <c r="P1202" i="1"/>
  <c r="O1202" i="1"/>
  <c r="N1202" i="1"/>
  <c r="M1202" i="1"/>
  <c r="L1202" i="1"/>
  <c r="K1202" i="1"/>
  <c r="J1202" i="1"/>
  <c r="I1202" i="1"/>
  <c r="H1202" i="1"/>
  <c r="G1202" i="1"/>
  <c r="F1202" i="1"/>
  <c r="T1201" i="1"/>
  <c r="S1201" i="1"/>
  <c r="R1201" i="1"/>
  <c r="Q1201" i="1"/>
  <c r="P1201" i="1"/>
  <c r="O1201" i="1"/>
  <c r="N1201" i="1"/>
  <c r="M1201" i="1"/>
  <c r="L1201" i="1"/>
  <c r="K1201" i="1"/>
  <c r="J1201" i="1"/>
  <c r="I1201" i="1"/>
  <c r="H1201" i="1"/>
  <c r="G1201" i="1"/>
  <c r="F1201" i="1"/>
  <c r="T1200" i="1"/>
  <c r="S1200" i="1"/>
  <c r="R1200" i="1"/>
  <c r="Q1200" i="1"/>
  <c r="P1200" i="1"/>
  <c r="O1200" i="1"/>
  <c r="N1200" i="1"/>
  <c r="M1200" i="1"/>
  <c r="L1200" i="1"/>
  <c r="K1200" i="1"/>
  <c r="J1200" i="1"/>
  <c r="I1200" i="1"/>
  <c r="H1200" i="1"/>
  <c r="F1200" i="1"/>
  <c r="G1200" i="1" s="1"/>
  <c r="T1199" i="1"/>
  <c r="S1199" i="1"/>
  <c r="R1199" i="1"/>
  <c r="Q1199" i="1"/>
  <c r="P1199" i="1"/>
  <c r="O1199" i="1"/>
  <c r="N1199" i="1"/>
  <c r="M1199" i="1"/>
  <c r="L1199" i="1"/>
  <c r="K1199" i="1"/>
  <c r="J1199" i="1"/>
  <c r="I1199" i="1"/>
  <c r="H1199" i="1"/>
  <c r="G1199" i="1"/>
  <c r="F1199" i="1"/>
  <c r="T1198" i="1"/>
  <c r="S1198" i="1"/>
  <c r="R1198" i="1"/>
  <c r="Q1198" i="1"/>
  <c r="P1198" i="1"/>
  <c r="O1198" i="1"/>
  <c r="N1198" i="1"/>
  <c r="M1198" i="1"/>
  <c r="L1198" i="1"/>
  <c r="K1198" i="1"/>
  <c r="J1198" i="1"/>
  <c r="I1198" i="1"/>
  <c r="H1198" i="1"/>
  <c r="F1198" i="1"/>
  <c r="G1198" i="1" s="1"/>
  <c r="T1197" i="1"/>
  <c r="S1197" i="1"/>
  <c r="R1197" i="1"/>
  <c r="Q1197" i="1"/>
  <c r="P1197" i="1"/>
  <c r="O1197" i="1"/>
  <c r="N1197" i="1"/>
  <c r="M1197" i="1"/>
  <c r="L1197" i="1"/>
  <c r="K1197" i="1"/>
  <c r="J1197" i="1"/>
  <c r="I1197" i="1"/>
  <c r="H1197" i="1"/>
  <c r="G1197" i="1"/>
  <c r="F1197" i="1"/>
  <c r="T1196" i="1"/>
  <c r="S1196" i="1"/>
  <c r="R1196" i="1"/>
  <c r="Q1196" i="1"/>
  <c r="P1196" i="1"/>
  <c r="O1196" i="1"/>
  <c r="N1196" i="1"/>
  <c r="M1196" i="1"/>
  <c r="L1196" i="1"/>
  <c r="K1196" i="1"/>
  <c r="J1196" i="1"/>
  <c r="I1196" i="1"/>
  <c r="H1196" i="1"/>
  <c r="G1196" i="1"/>
  <c r="F1196" i="1"/>
  <c r="T1195" i="1"/>
  <c r="S1195" i="1"/>
  <c r="R1195" i="1"/>
  <c r="Q1195" i="1"/>
  <c r="P1195" i="1"/>
  <c r="O1195" i="1"/>
  <c r="N1195" i="1"/>
  <c r="M1195" i="1"/>
  <c r="L1195" i="1"/>
  <c r="K1195" i="1"/>
  <c r="J1195" i="1"/>
  <c r="I1195" i="1"/>
  <c r="H1195" i="1"/>
  <c r="F1195" i="1"/>
  <c r="G1195" i="1" s="1"/>
  <c r="T1194" i="1"/>
  <c r="S1194" i="1"/>
  <c r="R1194" i="1"/>
  <c r="Q1194" i="1"/>
  <c r="P1194" i="1"/>
  <c r="O1194" i="1"/>
  <c r="N1194" i="1"/>
  <c r="M1194" i="1"/>
  <c r="L1194" i="1"/>
  <c r="K1194" i="1"/>
  <c r="J1194" i="1"/>
  <c r="I1194" i="1"/>
  <c r="H1194" i="1"/>
  <c r="G1194" i="1"/>
  <c r="F1194" i="1"/>
  <c r="T1193" i="1"/>
  <c r="S1193" i="1"/>
  <c r="R1193" i="1"/>
  <c r="Q1193" i="1"/>
  <c r="P1193" i="1"/>
  <c r="O1193" i="1"/>
  <c r="N1193" i="1"/>
  <c r="M1193" i="1"/>
  <c r="L1193" i="1"/>
  <c r="K1193" i="1"/>
  <c r="J1193" i="1"/>
  <c r="I1193" i="1"/>
  <c r="H1193" i="1"/>
  <c r="G1193" i="1"/>
  <c r="F1193" i="1"/>
  <c r="T1192" i="1"/>
  <c r="S1192" i="1"/>
  <c r="R1192" i="1"/>
  <c r="Q1192" i="1"/>
  <c r="P1192" i="1"/>
  <c r="O1192" i="1"/>
  <c r="N1192" i="1"/>
  <c r="M1192" i="1"/>
  <c r="L1192" i="1"/>
  <c r="K1192" i="1"/>
  <c r="J1192" i="1"/>
  <c r="I1192" i="1"/>
  <c r="H1192" i="1"/>
  <c r="F1192" i="1"/>
  <c r="G1192" i="1" s="1"/>
  <c r="T1191" i="1"/>
  <c r="S1191" i="1"/>
  <c r="R1191" i="1"/>
  <c r="Q1191" i="1"/>
  <c r="P1191" i="1"/>
  <c r="O1191" i="1"/>
  <c r="N1191" i="1"/>
  <c r="M1191" i="1"/>
  <c r="L1191" i="1"/>
  <c r="K1191" i="1"/>
  <c r="J1191" i="1"/>
  <c r="I1191" i="1"/>
  <c r="H1191" i="1"/>
  <c r="G1191" i="1"/>
  <c r="F1191" i="1"/>
  <c r="T1190" i="1"/>
  <c r="S1190" i="1"/>
  <c r="R1190" i="1"/>
  <c r="Q1190" i="1"/>
  <c r="P1190" i="1"/>
  <c r="O1190" i="1"/>
  <c r="N1190" i="1"/>
  <c r="M1190" i="1"/>
  <c r="L1190" i="1"/>
  <c r="K1190" i="1"/>
  <c r="J1190" i="1"/>
  <c r="I1190" i="1"/>
  <c r="H1190" i="1"/>
  <c r="F1190" i="1"/>
  <c r="G1190" i="1" s="1"/>
  <c r="T1189" i="1"/>
  <c r="S1189" i="1"/>
  <c r="R1189" i="1"/>
  <c r="Q1189" i="1"/>
  <c r="P1189" i="1"/>
  <c r="O1189" i="1"/>
  <c r="N1189" i="1"/>
  <c r="M1189" i="1"/>
  <c r="L1189" i="1"/>
  <c r="K1189" i="1"/>
  <c r="J1189" i="1"/>
  <c r="I1189" i="1"/>
  <c r="H1189" i="1"/>
  <c r="G1189" i="1"/>
  <c r="F1189" i="1"/>
  <c r="T1188" i="1"/>
  <c r="S1188" i="1"/>
  <c r="R1188" i="1"/>
  <c r="Q1188" i="1"/>
  <c r="P1188" i="1"/>
  <c r="O1188" i="1"/>
  <c r="N1188" i="1"/>
  <c r="M1188" i="1"/>
  <c r="L1188" i="1"/>
  <c r="K1188" i="1"/>
  <c r="J1188" i="1"/>
  <c r="I1188" i="1"/>
  <c r="H1188" i="1"/>
  <c r="G1188" i="1"/>
  <c r="F1188" i="1"/>
  <c r="T1187" i="1"/>
  <c r="S1187" i="1"/>
  <c r="R1187" i="1"/>
  <c r="Q1187" i="1"/>
  <c r="P1187" i="1"/>
  <c r="O1187" i="1"/>
  <c r="N1187" i="1"/>
  <c r="M1187" i="1"/>
  <c r="L1187" i="1"/>
  <c r="K1187" i="1"/>
  <c r="J1187" i="1"/>
  <c r="I1187" i="1"/>
  <c r="H1187" i="1"/>
  <c r="F1187" i="1"/>
  <c r="G1187" i="1" s="1"/>
  <c r="T1186" i="1"/>
  <c r="S1186" i="1"/>
  <c r="R1186" i="1"/>
  <c r="Q1186" i="1"/>
  <c r="P1186" i="1"/>
  <c r="O1186" i="1"/>
  <c r="N1186" i="1"/>
  <c r="M1186" i="1"/>
  <c r="L1186" i="1"/>
  <c r="K1186" i="1"/>
  <c r="J1186" i="1"/>
  <c r="I1186" i="1"/>
  <c r="H1186" i="1"/>
  <c r="G1186" i="1"/>
  <c r="F1186" i="1"/>
  <c r="T1185" i="1"/>
  <c r="S1185" i="1"/>
  <c r="R1185" i="1"/>
  <c r="Q1185" i="1"/>
  <c r="P1185" i="1"/>
  <c r="O1185" i="1"/>
  <c r="N1185" i="1"/>
  <c r="M1185" i="1"/>
  <c r="L1185" i="1"/>
  <c r="K1185" i="1"/>
  <c r="J1185" i="1"/>
  <c r="I1185" i="1"/>
  <c r="H1185" i="1"/>
  <c r="G1185" i="1"/>
  <c r="F1185" i="1"/>
  <c r="T1184" i="1"/>
  <c r="S1184" i="1"/>
  <c r="R1184" i="1"/>
  <c r="Q1184" i="1"/>
  <c r="P1184" i="1"/>
  <c r="O1184" i="1"/>
  <c r="N1184" i="1"/>
  <c r="M1184" i="1"/>
  <c r="L1184" i="1"/>
  <c r="K1184" i="1"/>
  <c r="J1184" i="1"/>
  <c r="I1184" i="1"/>
  <c r="H1184" i="1"/>
  <c r="F1184" i="1"/>
  <c r="G1184" i="1" s="1"/>
  <c r="T1183" i="1"/>
  <c r="S1183" i="1"/>
  <c r="R1183" i="1"/>
  <c r="Q1183" i="1"/>
  <c r="P1183" i="1"/>
  <c r="O1183" i="1"/>
  <c r="N1183" i="1"/>
  <c r="M1183" i="1"/>
  <c r="L1183" i="1"/>
  <c r="K1183" i="1"/>
  <c r="J1183" i="1"/>
  <c r="I1183" i="1"/>
  <c r="H1183" i="1"/>
  <c r="G1183" i="1"/>
  <c r="F1183" i="1"/>
  <c r="T1182" i="1"/>
  <c r="S1182" i="1"/>
  <c r="R1182" i="1"/>
  <c r="Q1182" i="1"/>
  <c r="P1182" i="1"/>
  <c r="O1182" i="1"/>
  <c r="N1182" i="1"/>
  <c r="M1182" i="1"/>
  <c r="L1182" i="1"/>
  <c r="K1182" i="1"/>
  <c r="J1182" i="1"/>
  <c r="I1182" i="1"/>
  <c r="H1182" i="1"/>
  <c r="F1182" i="1"/>
  <c r="G1182" i="1" s="1"/>
  <c r="T1181" i="1"/>
  <c r="S1181" i="1"/>
  <c r="R1181" i="1"/>
  <c r="Q1181" i="1"/>
  <c r="P1181" i="1"/>
  <c r="O1181" i="1"/>
  <c r="N1181" i="1"/>
  <c r="M1181" i="1"/>
  <c r="L1181" i="1"/>
  <c r="K1181" i="1"/>
  <c r="J1181" i="1"/>
  <c r="I1181" i="1"/>
  <c r="H1181" i="1"/>
  <c r="G1181" i="1"/>
  <c r="F1181" i="1"/>
  <c r="T1180" i="1"/>
  <c r="S1180" i="1"/>
  <c r="R1180" i="1"/>
  <c r="Q1180" i="1"/>
  <c r="P1180" i="1"/>
  <c r="O1180" i="1"/>
  <c r="N1180" i="1"/>
  <c r="M1180" i="1"/>
  <c r="L1180" i="1"/>
  <c r="K1180" i="1"/>
  <c r="J1180" i="1"/>
  <c r="I1180" i="1"/>
  <c r="H1180" i="1"/>
  <c r="G1180" i="1"/>
  <c r="F1180" i="1"/>
  <c r="T1179" i="1"/>
  <c r="S1179" i="1"/>
  <c r="R1179" i="1"/>
  <c r="Q1179" i="1"/>
  <c r="P1179" i="1"/>
  <c r="O1179" i="1"/>
  <c r="N1179" i="1"/>
  <c r="M1179" i="1"/>
  <c r="L1179" i="1"/>
  <c r="K1179" i="1"/>
  <c r="J1179" i="1"/>
  <c r="I1179" i="1"/>
  <c r="H1179" i="1"/>
  <c r="F1179" i="1"/>
  <c r="G1179" i="1" s="1"/>
  <c r="T1178" i="1"/>
  <c r="S1178" i="1"/>
  <c r="R1178" i="1"/>
  <c r="Q1178" i="1"/>
  <c r="P1178" i="1"/>
  <c r="O1178" i="1"/>
  <c r="N1178" i="1"/>
  <c r="M1178" i="1"/>
  <c r="L1178" i="1"/>
  <c r="K1178" i="1"/>
  <c r="J1178" i="1"/>
  <c r="I1178" i="1"/>
  <c r="H1178" i="1"/>
  <c r="G1178" i="1"/>
  <c r="F1178" i="1"/>
  <c r="T1177" i="1"/>
  <c r="S1177" i="1"/>
  <c r="R1177" i="1"/>
  <c r="Q1177" i="1"/>
  <c r="P1177" i="1"/>
  <c r="O1177" i="1"/>
  <c r="N1177" i="1"/>
  <c r="M1177" i="1"/>
  <c r="L1177" i="1"/>
  <c r="K1177" i="1"/>
  <c r="J1177" i="1"/>
  <c r="I1177" i="1"/>
  <c r="H1177" i="1"/>
  <c r="G1177" i="1"/>
  <c r="F1177" i="1"/>
  <c r="T1176" i="1"/>
  <c r="S1176" i="1"/>
  <c r="R1176" i="1"/>
  <c r="Q1176" i="1"/>
  <c r="P1176" i="1"/>
  <c r="O1176" i="1"/>
  <c r="N1176" i="1"/>
  <c r="M1176" i="1"/>
  <c r="L1176" i="1"/>
  <c r="K1176" i="1"/>
  <c r="J1176" i="1"/>
  <c r="I1176" i="1"/>
  <c r="H1176" i="1"/>
  <c r="F1176" i="1"/>
  <c r="G1176" i="1" s="1"/>
  <c r="T1175" i="1"/>
  <c r="S1175" i="1"/>
  <c r="R1175" i="1"/>
  <c r="Q1175" i="1"/>
  <c r="P1175" i="1"/>
  <c r="O1175" i="1"/>
  <c r="N1175" i="1"/>
  <c r="M1175" i="1"/>
  <c r="L1175" i="1"/>
  <c r="K1175" i="1"/>
  <c r="J1175" i="1"/>
  <c r="I1175" i="1"/>
  <c r="H1175" i="1"/>
  <c r="G1175" i="1"/>
  <c r="F1175" i="1"/>
  <c r="T1174" i="1"/>
  <c r="S1174" i="1"/>
  <c r="R1174" i="1"/>
  <c r="Q1174" i="1"/>
  <c r="P1174" i="1"/>
  <c r="O1174" i="1"/>
  <c r="N1174" i="1"/>
  <c r="M1174" i="1"/>
  <c r="L1174" i="1"/>
  <c r="K1174" i="1"/>
  <c r="J1174" i="1"/>
  <c r="I1174" i="1"/>
  <c r="H1174" i="1"/>
  <c r="F1174" i="1"/>
  <c r="G1174" i="1" s="1"/>
  <c r="T1173" i="1"/>
  <c r="S1173" i="1"/>
  <c r="R1173" i="1"/>
  <c r="Q1173" i="1"/>
  <c r="P1173" i="1"/>
  <c r="O1173" i="1"/>
  <c r="N1173" i="1"/>
  <c r="M1173" i="1"/>
  <c r="L1173" i="1"/>
  <c r="K1173" i="1"/>
  <c r="J1173" i="1"/>
  <c r="I1173" i="1"/>
  <c r="H1173" i="1"/>
  <c r="G1173" i="1"/>
  <c r="F1173" i="1"/>
  <c r="T1172" i="1"/>
  <c r="S1172" i="1"/>
  <c r="R1172" i="1"/>
  <c r="Q1172" i="1"/>
  <c r="P1172" i="1"/>
  <c r="O1172" i="1"/>
  <c r="N1172" i="1"/>
  <c r="M1172" i="1"/>
  <c r="L1172" i="1"/>
  <c r="K1172" i="1"/>
  <c r="J1172" i="1"/>
  <c r="I1172" i="1"/>
  <c r="H1172" i="1"/>
  <c r="G1172" i="1"/>
  <c r="F1172" i="1"/>
  <c r="T1171" i="1"/>
  <c r="S1171" i="1"/>
  <c r="R1171" i="1"/>
  <c r="Q1171" i="1"/>
  <c r="P1171" i="1"/>
  <c r="O1171" i="1"/>
  <c r="N1171" i="1"/>
  <c r="M1171" i="1"/>
  <c r="L1171" i="1"/>
  <c r="K1171" i="1"/>
  <c r="J1171" i="1"/>
  <c r="I1171" i="1"/>
  <c r="H1171" i="1"/>
  <c r="F1171" i="1"/>
  <c r="G1171" i="1" s="1"/>
  <c r="T1170" i="1"/>
  <c r="S1170" i="1"/>
  <c r="R1170" i="1"/>
  <c r="Q1170" i="1"/>
  <c r="P1170" i="1"/>
  <c r="O1170" i="1"/>
  <c r="N1170" i="1"/>
  <c r="M1170" i="1"/>
  <c r="L1170" i="1"/>
  <c r="K1170" i="1"/>
  <c r="J1170" i="1"/>
  <c r="I1170" i="1"/>
  <c r="H1170" i="1"/>
  <c r="G1170" i="1"/>
  <c r="F1170" i="1"/>
  <c r="T1169" i="1"/>
  <c r="S1169" i="1"/>
  <c r="R1169" i="1"/>
  <c r="Q1169" i="1"/>
  <c r="P1169" i="1"/>
  <c r="O1169" i="1"/>
  <c r="N1169" i="1"/>
  <c r="M1169" i="1"/>
  <c r="L1169" i="1"/>
  <c r="K1169" i="1"/>
  <c r="J1169" i="1"/>
  <c r="I1169" i="1"/>
  <c r="H1169" i="1"/>
  <c r="G1169" i="1"/>
  <c r="F1169" i="1"/>
  <c r="T1168" i="1"/>
  <c r="S1168" i="1"/>
  <c r="R1168" i="1"/>
  <c r="Q1168" i="1"/>
  <c r="P1168" i="1"/>
  <c r="O1168" i="1"/>
  <c r="N1168" i="1"/>
  <c r="M1168" i="1"/>
  <c r="L1168" i="1"/>
  <c r="K1168" i="1"/>
  <c r="J1168" i="1"/>
  <c r="I1168" i="1"/>
  <c r="H1168" i="1"/>
  <c r="F1168" i="1"/>
  <c r="G1168" i="1" s="1"/>
  <c r="T1167" i="1"/>
  <c r="S1167" i="1"/>
  <c r="R1167" i="1"/>
  <c r="Q1167" i="1"/>
  <c r="P1167" i="1"/>
  <c r="O1167" i="1"/>
  <c r="N1167" i="1"/>
  <c r="M1167" i="1"/>
  <c r="L1167" i="1"/>
  <c r="K1167" i="1"/>
  <c r="J1167" i="1"/>
  <c r="I1167" i="1"/>
  <c r="H1167" i="1"/>
  <c r="G1167" i="1"/>
  <c r="F1167" i="1"/>
  <c r="T1166" i="1"/>
  <c r="S1166" i="1"/>
  <c r="R1166" i="1"/>
  <c r="Q1166" i="1"/>
  <c r="P1166" i="1"/>
  <c r="O1166" i="1"/>
  <c r="N1166" i="1"/>
  <c r="M1166" i="1"/>
  <c r="L1166" i="1"/>
  <c r="K1166" i="1"/>
  <c r="J1166" i="1"/>
  <c r="I1166" i="1"/>
  <c r="H1166" i="1"/>
  <c r="F1166" i="1"/>
  <c r="G1166" i="1" s="1"/>
  <c r="T1165" i="1"/>
  <c r="S1165" i="1"/>
  <c r="R1165" i="1"/>
  <c r="Q1165" i="1"/>
  <c r="P1165" i="1"/>
  <c r="O1165" i="1"/>
  <c r="N1165" i="1"/>
  <c r="M1165" i="1"/>
  <c r="L1165" i="1"/>
  <c r="K1165" i="1"/>
  <c r="J1165" i="1"/>
  <c r="I1165" i="1"/>
  <c r="H1165" i="1"/>
  <c r="G1165" i="1"/>
  <c r="F1165" i="1"/>
  <c r="T1164" i="1"/>
  <c r="S1164" i="1"/>
  <c r="R1164" i="1"/>
  <c r="Q1164" i="1"/>
  <c r="P1164" i="1"/>
  <c r="O1164" i="1"/>
  <c r="N1164" i="1"/>
  <c r="M1164" i="1"/>
  <c r="L1164" i="1"/>
  <c r="K1164" i="1"/>
  <c r="J1164" i="1"/>
  <c r="I1164" i="1"/>
  <c r="H1164" i="1"/>
  <c r="G1164" i="1"/>
  <c r="F1164" i="1"/>
  <c r="T1163" i="1"/>
  <c r="S1163" i="1"/>
  <c r="R1163" i="1"/>
  <c r="Q1163" i="1"/>
  <c r="P1163" i="1"/>
  <c r="O1163" i="1"/>
  <c r="N1163" i="1"/>
  <c r="M1163" i="1"/>
  <c r="L1163" i="1"/>
  <c r="K1163" i="1"/>
  <c r="J1163" i="1"/>
  <c r="I1163" i="1"/>
  <c r="H1163" i="1"/>
  <c r="F1163" i="1"/>
  <c r="G1163" i="1" s="1"/>
  <c r="T1162" i="1"/>
  <c r="S1162" i="1"/>
  <c r="R1162" i="1"/>
  <c r="Q1162" i="1"/>
  <c r="P1162" i="1"/>
  <c r="O1162" i="1"/>
  <c r="N1162" i="1"/>
  <c r="M1162" i="1"/>
  <c r="L1162" i="1"/>
  <c r="K1162" i="1"/>
  <c r="J1162" i="1"/>
  <c r="I1162" i="1"/>
  <c r="H1162" i="1"/>
  <c r="G1162" i="1"/>
  <c r="F1162" i="1"/>
  <c r="T1161" i="1"/>
  <c r="S1161" i="1"/>
  <c r="R1161" i="1"/>
  <c r="Q1161" i="1"/>
  <c r="P1161" i="1"/>
  <c r="O1161" i="1"/>
  <c r="N1161" i="1"/>
  <c r="M1161" i="1"/>
  <c r="L1161" i="1"/>
  <c r="K1161" i="1"/>
  <c r="J1161" i="1"/>
  <c r="I1161" i="1"/>
  <c r="H1161" i="1"/>
  <c r="G1161" i="1"/>
  <c r="F1161" i="1"/>
  <c r="T1160" i="1"/>
  <c r="S1160" i="1"/>
  <c r="R1160" i="1"/>
  <c r="Q1160" i="1"/>
  <c r="P1160" i="1"/>
  <c r="O1160" i="1"/>
  <c r="N1160" i="1"/>
  <c r="M1160" i="1"/>
  <c r="L1160" i="1"/>
  <c r="K1160" i="1"/>
  <c r="J1160" i="1"/>
  <c r="I1160" i="1"/>
  <c r="H1160" i="1"/>
  <c r="F1160" i="1"/>
  <c r="G1160" i="1" s="1"/>
  <c r="T1159" i="1"/>
  <c r="S1159" i="1"/>
  <c r="R1159" i="1"/>
  <c r="Q1159" i="1"/>
  <c r="P1159" i="1"/>
  <c r="O1159" i="1"/>
  <c r="N1159" i="1"/>
  <c r="M1159" i="1"/>
  <c r="L1159" i="1"/>
  <c r="K1159" i="1"/>
  <c r="J1159" i="1"/>
  <c r="I1159" i="1"/>
  <c r="H1159" i="1"/>
  <c r="G1159" i="1"/>
  <c r="F1159" i="1"/>
  <c r="T1158" i="1"/>
  <c r="S1158" i="1"/>
  <c r="R1158" i="1"/>
  <c r="Q1158" i="1"/>
  <c r="P1158" i="1"/>
  <c r="O1158" i="1"/>
  <c r="N1158" i="1"/>
  <c r="M1158" i="1"/>
  <c r="L1158" i="1"/>
  <c r="K1158" i="1"/>
  <c r="J1158" i="1"/>
  <c r="I1158" i="1"/>
  <c r="H1158" i="1"/>
  <c r="F1158" i="1"/>
  <c r="G1158" i="1" s="1"/>
  <c r="T1157" i="1"/>
  <c r="S1157" i="1"/>
  <c r="R1157" i="1"/>
  <c r="Q1157" i="1"/>
  <c r="P1157" i="1"/>
  <c r="O1157" i="1"/>
  <c r="N1157" i="1"/>
  <c r="M1157" i="1"/>
  <c r="L1157" i="1"/>
  <c r="K1157" i="1"/>
  <c r="J1157" i="1"/>
  <c r="I1157" i="1"/>
  <c r="H1157" i="1"/>
  <c r="G1157" i="1"/>
  <c r="F1157" i="1"/>
  <c r="T1156" i="1"/>
  <c r="S1156" i="1"/>
  <c r="R1156" i="1"/>
  <c r="Q1156" i="1"/>
  <c r="P1156" i="1"/>
  <c r="O1156" i="1"/>
  <c r="N1156" i="1"/>
  <c r="M1156" i="1"/>
  <c r="L1156" i="1"/>
  <c r="K1156" i="1"/>
  <c r="J1156" i="1"/>
  <c r="I1156" i="1"/>
  <c r="H1156" i="1"/>
  <c r="G1156" i="1"/>
  <c r="F1156" i="1"/>
  <c r="T1155" i="1"/>
  <c r="S1155" i="1"/>
  <c r="R1155" i="1"/>
  <c r="Q1155" i="1"/>
  <c r="P1155" i="1"/>
  <c r="O1155" i="1"/>
  <c r="N1155" i="1"/>
  <c r="M1155" i="1"/>
  <c r="L1155" i="1"/>
  <c r="K1155" i="1"/>
  <c r="J1155" i="1"/>
  <c r="I1155" i="1"/>
  <c r="H1155" i="1"/>
  <c r="F1155" i="1"/>
  <c r="G1155" i="1" s="1"/>
  <c r="T1154" i="1"/>
  <c r="S1154" i="1"/>
  <c r="R1154" i="1"/>
  <c r="Q1154" i="1"/>
  <c r="P1154" i="1"/>
  <c r="O1154" i="1"/>
  <c r="N1154" i="1"/>
  <c r="M1154" i="1"/>
  <c r="L1154" i="1"/>
  <c r="K1154" i="1"/>
  <c r="J1154" i="1"/>
  <c r="I1154" i="1"/>
  <c r="H1154" i="1"/>
  <c r="G1154" i="1"/>
  <c r="F1154" i="1"/>
  <c r="T1153" i="1"/>
  <c r="S1153" i="1"/>
  <c r="R1153" i="1"/>
  <c r="Q1153" i="1"/>
  <c r="P1153" i="1"/>
  <c r="O1153" i="1"/>
  <c r="N1153" i="1"/>
  <c r="M1153" i="1"/>
  <c r="L1153" i="1"/>
  <c r="K1153" i="1"/>
  <c r="J1153" i="1"/>
  <c r="I1153" i="1"/>
  <c r="H1153" i="1"/>
  <c r="G1153" i="1"/>
  <c r="F1153" i="1"/>
  <c r="T1152" i="1"/>
  <c r="S1152" i="1"/>
  <c r="R1152" i="1"/>
  <c r="Q1152" i="1"/>
  <c r="P1152" i="1"/>
  <c r="O1152" i="1"/>
  <c r="N1152" i="1"/>
  <c r="M1152" i="1"/>
  <c r="L1152" i="1"/>
  <c r="K1152" i="1"/>
  <c r="J1152" i="1"/>
  <c r="I1152" i="1"/>
  <c r="H1152" i="1"/>
  <c r="F1152" i="1"/>
  <c r="G1152" i="1" s="1"/>
  <c r="T1151" i="1"/>
  <c r="S1151" i="1"/>
  <c r="R1151" i="1"/>
  <c r="Q1151" i="1"/>
  <c r="P1151" i="1"/>
  <c r="O1151" i="1"/>
  <c r="N1151" i="1"/>
  <c r="M1151" i="1"/>
  <c r="L1151" i="1"/>
  <c r="K1151" i="1"/>
  <c r="J1151" i="1"/>
  <c r="I1151" i="1"/>
  <c r="H1151" i="1"/>
  <c r="G1151" i="1"/>
  <c r="F1151" i="1"/>
  <c r="T1150" i="1"/>
  <c r="S1150" i="1"/>
  <c r="R1150" i="1"/>
  <c r="Q1150" i="1"/>
  <c r="P1150" i="1"/>
  <c r="O1150" i="1"/>
  <c r="N1150" i="1"/>
  <c r="M1150" i="1"/>
  <c r="L1150" i="1"/>
  <c r="K1150" i="1"/>
  <c r="J1150" i="1"/>
  <c r="I1150" i="1"/>
  <c r="H1150" i="1"/>
  <c r="F1150" i="1"/>
  <c r="G1150" i="1" s="1"/>
  <c r="T1149" i="1"/>
  <c r="S1149" i="1"/>
  <c r="R1149" i="1"/>
  <c r="Q1149" i="1"/>
  <c r="P1149" i="1"/>
  <c r="O1149" i="1"/>
  <c r="N1149" i="1"/>
  <c r="M1149" i="1"/>
  <c r="L1149" i="1"/>
  <c r="K1149" i="1"/>
  <c r="J1149" i="1"/>
  <c r="I1149" i="1"/>
  <c r="H1149" i="1"/>
  <c r="G1149" i="1"/>
  <c r="F1149" i="1"/>
  <c r="T1148" i="1"/>
  <c r="S1148" i="1"/>
  <c r="R1148" i="1"/>
  <c r="Q1148" i="1"/>
  <c r="P1148" i="1"/>
  <c r="O1148" i="1"/>
  <c r="N1148" i="1"/>
  <c r="M1148" i="1"/>
  <c r="L1148" i="1"/>
  <c r="K1148" i="1"/>
  <c r="J1148" i="1"/>
  <c r="I1148" i="1"/>
  <c r="H1148" i="1"/>
  <c r="G1148" i="1"/>
  <c r="F1148" i="1"/>
  <c r="T1147" i="1"/>
  <c r="S1147" i="1"/>
  <c r="R1147" i="1"/>
  <c r="Q1147" i="1"/>
  <c r="P1147" i="1"/>
  <c r="O1147" i="1"/>
  <c r="N1147" i="1"/>
  <c r="M1147" i="1"/>
  <c r="L1147" i="1"/>
  <c r="K1147" i="1"/>
  <c r="J1147" i="1"/>
  <c r="I1147" i="1"/>
  <c r="H1147" i="1"/>
  <c r="F1147" i="1"/>
  <c r="G1147" i="1" s="1"/>
  <c r="T1146" i="1"/>
  <c r="S1146" i="1"/>
  <c r="R1146" i="1"/>
  <c r="Q1146" i="1"/>
  <c r="P1146" i="1"/>
  <c r="O1146" i="1"/>
  <c r="N1146" i="1"/>
  <c r="M1146" i="1"/>
  <c r="L1146" i="1"/>
  <c r="K1146" i="1"/>
  <c r="J1146" i="1"/>
  <c r="I1146" i="1"/>
  <c r="H1146" i="1"/>
  <c r="G1146" i="1"/>
  <c r="F1146" i="1"/>
  <c r="T1145" i="1"/>
  <c r="S1145" i="1"/>
  <c r="R1145" i="1"/>
  <c r="Q1145" i="1"/>
  <c r="P1145" i="1"/>
  <c r="O1145" i="1"/>
  <c r="N1145" i="1"/>
  <c r="M1145" i="1"/>
  <c r="L1145" i="1"/>
  <c r="K1145" i="1"/>
  <c r="J1145" i="1"/>
  <c r="I1145" i="1"/>
  <c r="H1145" i="1"/>
  <c r="G1145" i="1"/>
  <c r="F1145" i="1"/>
  <c r="T1144" i="1"/>
  <c r="S1144" i="1"/>
  <c r="R1144" i="1"/>
  <c r="Q1144" i="1"/>
  <c r="P1144" i="1"/>
  <c r="O1144" i="1"/>
  <c r="N1144" i="1"/>
  <c r="M1144" i="1"/>
  <c r="L1144" i="1"/>
  <c r="K1144" i="1"/>
  <c r="J1144" i="1"/>
  <c r="I1144" i="1"/>
  <c r="H1144" i="1"/>
  <c r="F1144" i="1"/>
  <c r="G1144" i="1" s="1"/>
  <c r="T1143" i="1"/>
  <c r="S1143" i="1"/>
  <c r="R1143" i="1"/>
  <c r="Q1143" i="1"/>
  <c r="P1143" i="1"/>
  <c r="O1143" i="1"/>
  <c r="N1143" i="1"/>
  <c r="M1143" i="1"/>
  <c r="L1143" i="1"/>
  <c r="K1143" i="1"/>
  <c r="J1143" i="1"/>
  <c r="I1143" i="1"/>
  <c r="H1143" i="1"/>
  <c r="G1143" i="1"/>
  <c r="F1143" i="1"/>
  <c r="T1142" i="1"/>
  <c r="S1142" i="1"/>
  <c r="R1142" i="1"/>
  <c r="Q1142" i="1"/>
  <c r="P1142" i="1"/>
  <c r="O1142" i="1"/>
  <c r="N1142" i="1"/>
  <c r="M1142" i="1"/>
  <c r="L1142" i="1"/>
  <c r="K1142" i="1"/>
  <c r="J1142" i="1"/>
  <c r="I1142" i="1"/>
  <c r="H1142" i="1"/>
  <c r="F1142" i="1"/>
  <c r="G1142" i="1" s="1"/>
  <c r="T1141" i="1"/>
  <c r="S1141" i="1"/>
  <c r="R1141" i="1"/>
  <c r="Q1141" i="1"/>
  <c r="P1141" i="1"/>
  <c r="O1141" i="1"/>
  <c r="N1141" i="1"/>
  <c r="M1141" i="1"/>
  <c r="L1141" i="1"/>
  <c r="K1141" i="1"/>
  <c r="J1141" i="1"/>
  <c r="I1141" i="1"/>
  <c r="H1141" i="1"/>
  <c r="G1141" i="1"/>
  <c r="F1141" i="1"/>
  <c r="T1140" i="1"/>
  <c r="S1140" i="1"/>
  <c r="R1140" i="1"/>
  <c r="Q1140" i="1"/>
  <c r="P1140" i="1"/>
  <c r="O1140" i="1"/>
  <c r="N1140" i="1"/>
  <c r="M1140" i="1"/>
  <c r="L1140" i="1"/>
  <c r="K1140" i="1"/>
  <c r="J1140" i="1"/>
  <c r="I1140" i="1"/>
  <c r="H1140" i="1"/>
  <c r="G1140" i="1"/>
  <c r="F1140" i="1"/>
  <c r="T1139" i="1"/>
  <c r="S1139" i="1"/>
  <c r="R1139" i="1"/>
  <c r="Q1139" i="1"/>
  <c r="P1139" i="1"/>
  <c r="O1139" i="1"/>
  <c r="N1139" i="1"/>
  <c r="M1139" i="1"/>
  <c r="L1139" i="1"/>
  <c r="K1139" i="1"/>
  <c r="J1139" i="1"/>
  <c r="I1139" i="1"/>
  <c r="H1139" i="1"/>
  <c r="F1139" i="1"/>
  <c r="G1139" i="1" s="1"/>
  <c r="T1138" i="1"/>
  <c r="S1138" i="1"/>
  <c r="R1138" i="1"/>
  <c r="Q1138" i="1"/>
  <c r="P1138" i="1"/>
  <c r="O1138" i="1"/>
  <c r="N1138" i="1"/>
  <c r="M1138" i="1"/>
  <c r="L1138" i="1"/>
  <c r="K1138" i="1"/>
  <c r="J1138" i="1"/>
  <c r="I1138" i="1"/>
  <c r="H1138" i="1"/>
  <c r="G1138" i="1"/>
  <c r="F1138" i="1"/>
  <c r="T1137" i="1"/>
  <c r="S1137" i="1"/>
  <c r="R1137" i="1"/>
  <c r="Q1137" i="1"/>
  <c r="P1137" i="1"/>
  <c r="O1137" i="1"/>
  <c r="N1137" i="1"/>
  <c r="M1137" i="1"/>
  <c r="L1137" i="1"/>
  <c r="K1137" i="1"/>
  <c r="J1137" i="1"/>
  <c r="I1137" i="1"/>
  <c r="H1137" i="1"/>
  <c r="G1137" i="1"/>
  <c r="F1137" i="1"/>
  <c r="T1136" i="1"/>
  <c r="S1136" i="1"/>
  <c r="R1136" i="1"/>
  <c r="Q1136" i="1"/>
  <c r="P1136" i="1"/>
  <c r="O1136" i="1"/>
  <c r="N1136" i="1"/>
  <c r="M1136" i="1"/>
  <c r="L1136" i="1"/>
  <c r="K1136" i="1"/>
  <c r="J1136" i="1"/>
  <c r="I1136" i="1"/>
  <c r="H1136" i="1"/>
  <c r="F1136" i="1"/>
  <c r="G1136" i="1" s="1"/>
  <c r="T1135" i="1"/>
  <c r="S1135" i="1"/>
  <c r="R1135" i="1"/>
  <c r="Q1135" i="1"/>
  <c r="P1135" i="1"/>
  <c r="O1135" i="1"/>
  <c r="N1135" i="1"/>
  <c r="M1135" i="1"/>
  <c r="L1135" i="1"/>
  <c r="K1135" i="1"/>
  <c r="J1135" i="1"/>
  <c r="I1135" i="1"/>
  <c r="H1135" i="1"/>
  <c r="G1135" i="1"/>
  <c r="F1135" i="1"/>
  <c r="T1134" i="1"/>
  <c r="S1134" i="1"/>
  <c r="R1134" i="1"/>
  <c r="Q1134" i="1"/>
  <c r="P1134" i="1"/>
  <c r="O1134" i="1"/>
  <c r="N1134" i="1"/>
  <c r="M1134" i="1"/>
  <c r="L1134" i="1"/>
  <c r="K1134" i="1"/>
  <c r="J1134" i="1"/>
  <c r="I1134" i="1"/>
  <c r="H1134" i="1"/>
  <c r="F1134" i="1"/>
  <c r="G1134" i="1" s="1"/>
  <c r="T1133" i="1"/>
  <c r="S1133" i="1"/>
  <c r="R1133" i="1"/>
  <c r="Q1133" i="1"/>
  <c r="P1133" i="1"/>
  <c r="O1133" i="1"/>
  <c r="N1133" i="1"/>
  <c r="M1133" i="1"/>
  <c r="L1133" i="1"/>
  <c r="K1133" i="1"/>
  <c r="J1133" i="1"/>
  <c r="I1133" i="1"/>
  <c r="H1133" i="1"/>
  <c r="G1133" i="1"/>
  <c r="F1133" i="1"/>
  <c r="T1132" i="1"/>
  <c r="S1132" i="1"/>
  <c r="R1132" i="1"/>
  <c r="Q1132" i="1"/>
  <c r="P1132" i="1"/>
  <c r="O1132" i="1"/>
  <c r="N1132" i="1"/>
  <c r="M1132" i="1"/>
  <c r="L1132" i="1"/>
  <c r="K1132" i="1"/>
  <c r="J1132" i="1"/>
  <c r="I1132" i="1"/>
  <c r="H1132" i="1"/>
  <c r="G1132" i="1"/>
  <c r="F1132" i="1"/>
  <c r="T1131" i="1"/>
  <c r="S1131" i="1"/>
  <c r="R1131" i="1"/>
  <c r="Q1131" i="1"/>
  <c r="P1131" i="1"/>
  <c r="O1131" i="1"/>
  <c r="N1131" i="1"/>
  <c r="M1131" i="1"/>
  <c r="L1131" i="1"/>
  <c r="K1131" i="1"/>
  <c r="J1131" i="1"/>
  <c r="I1131" i="1"/>
  <c r="H1131" i="1"/>
  <c r="F1131" i="1"/>
  <c r="G1131" i="1" s="1"/>
  <c r="T1130" i="1"/>
  <c r="S1130" i="1"/>
  <c r="R1130" i="1"/>
  <c r="Q1130" i="1"/>
  <c r="P1130" i="1"/>
  <c r="O1130" i="1"/>
  <c r="N1130" i="1"/>
  <c r="M1130" i="1"/>
  <c r="L1130" i="1"/>
  <c r="K1130" i="1"/>
  <c r="J1130" i="1"/>
  <c r="I1130" i="1"/>
  <c r="H1130" i="1"/>
  <c r="G1130" i="1"/>
  <c r="F1130" i="1"/>
  <c r="T1129" i="1"/>
  <c r="S1129" i="1"/>
  <c r="R1129" i="1"/>
  <c r="Q1129" i="1"/>
  <c r="P1129" i="1"/>
  <c r="O1129" i="1"/>
  <c r="N1129" i="1"/>
  <c r="M1129" i="1"/>
  <c r="L1129" i="1"/>
  <c r="K1129" i="1"/>
  <c r="J1129" i="1"/>
  <c r="I1129" i="1"/>
  <c r="H1129" i="1"/>
  <c r="G1129" i="1"/>
  <c r="F1129" i="1"/>
  <c r="T1128" i="1"/>
  <c r="S1128" i="1"/>
  <c r="R1128" i="1"/>
  <c r="Q1128" i="1"/>
  <c r="P1128" i="1"/>
  <c r="O1128" i="1"/>
  <c r="N1128" i="1"/>
  <c r="M1128" i="1"/>
  <c r="L1128" i="1"/>
  <c r="K1128" i="1"/>
  <c r="J1128" i="1"/>
  <c r="I1128" i="1"/>
  <c r="H1128" i="1"/>
  <c r="F1128" i="1"/>
  <c r="G1128" i="1" s="1"/>
  <c r="T1127" i="1"/>
  <c r="S1127" i="1"/>
  <c r="R1127" i="1"/>
  <c r="Q1127" i="1"/>
  <c r="P1127" i="1"/>
  <c r="O1127" i="1"/>
  <c r="N1127" i="1"/>
  <c r="M1127" i="1"/>
  <c r="L1127" i="1"/>
  <c r="K1127" i="1"/>
  <c r="J1127" i="1"/>
  <c r="I1127" i="1"/>
  <c r="H1127" i="1"/>
  <c r="G1127" i="1"/>
  <c r="F1127" i="1"/>
  <c r="T1126" i="1"/>
  <c r="S1126" i="1"/>
  <c r="R1126" i="1"/>
  <c r="Q1126" i="1"/>
  <c r="P1126" i="1"/>
  <c r="O1126" i="1"/>
  <c r="N1126" i="1"/>
  <c r="M1126" i="1"/>
  <c r="L1126" i="1"/>
  <c r="K1126" i="1"/>
  <c r="J1126" i="1"/>
  <c r="I1126" i="1"/>
  <c r="H1126" i="1"/>
  <c r="F1126" i="1"/>
  <c r="G1126" i="1" s="1"/>
  <c r="T1125" i="1"/>
  <c r="S1125" i="1"/>
  <c r="R1125" i="1"/>
  <c r="Q1125" i="1"/>
  <c r="P1125" i="1"/>
  <c r="O1125" i="1"/>
  <c r="N1125" i="1"/>
  <c r="M1125" i="1"/>
  <c r="L1125" i="1"/>
  <c r="K1125" i="1"/>
  <c r="J1125" i="1"/>
  <c r="I1125" i="1"/>
  <c r="H1125" i="1"/>
  <c r="G1125" i="1"/>
  <c r="F1125" i="1"/>
  <c r="T1124" i="1"/>
  <c r="S1124" i="1"/>
  <c r="R1124" i="1"/>
  <c r="Q1124" i="1"/>
  <c r="P1124" i="1"/>
  <c r="O1124" i="1"/>
  <c r="N1124" i="1"/>
  <c r="M1124" i="1"/>
  <c r="L1124" i="1"/>
  <c r="K1124" i="1"/>
  <c r="J1124" i="1"/>
  <c r="I1124" i="1"/>
  <c r="H1124" i="1"/>
  <c r="G1124" i="1"/>
  <c r="F1124" i="1"/>
  <c r="T1123" i="1"/>
  <c r="S1123" i="1"/>
  <c r="R1123" i="1"/>
  <c r="Q1123" i="1"/>
  <c r="P1123" i="1"/>
  <c r="O1123" i="1"/>
  <c r="N1123" i="1"/>
  <c r="M1123" i="1"/>
  <c r="L1123" i="1"/>
  <c r="K1123" i="1"/>
  <c r="J1123" i="1"/>
  <c r="I1123" i="1"/>
  <c r="H1123" i="1"/>
  <c r="F1123" i="1"/>
  <c r="G1123" i="1" s="1"/>
  <c r="T1122" i="1"/>
  <c r="S1122" i="1"/>
  <c r="R1122" i="1"/>
  <c r="Q1122" i="1"/>
  <c r="P1122" i="1"/>
  <c r="O1122" i="1"/>
  <c r="N1122" i="1"/>
  <c r="M1122" i="1"/>
  <c r="L1122" i="1"/>
  <c r="K1122" i="1"/>
  <c r="J1122" i="1"/>
  <c r="I1122" i="1"/>
  <c r="H1122" i="1"/>
  <c r="G1122" i="1"/>
  <c r="F1122" i="1"/>
  <c r="T1121" i="1"/>
  <c r="S1121" i="1"/>
  <c r="R1121" i="1"/>
  <c r="Q1121" i="1"/>
  <c r="P1121" i="1"/>
  <c r="O1121" i="1"/>
  <c r="N1121" i="1"/>
  <c r="M1121" i="1"/>
  <c r="L1121" i="1"/>
  <c r="K1121" i="1"/>
  <c r="J1121" i="1"/>
  <c r="I1121" i="1"/>
  <c r="H1121" i="1"/>
  <c r="G1121" i="1"/>
  <c r="F1121" i="1"/>
  <c r="T1120" i="1"/>
  <c r="S1120" i="1"/>
  <c r="R1120" i="1"/>
  <c r="Q1120" i="1"/>
  <c r="P1120" i="1"/>
  <c r="O1120" i="1"/>
  <c r="N1120" i="1"/>
  <c r="M1120" i="1"/>
  <c r="L1120" i="1"/>
  <c r="K1120" i="1"/>
  <c r="J1120" i="1"/>
  <c r="I1120" i="1"/>
  <c r="H1120" i="1"/>
  <c r="F1120" i="1"/>
  <c r="G1120" i="1" s="1"/>
  <c r="T1119" i="1"/>
  <c r="S1119" i="1"/>
  <c r="R1119" i="1"/>
  <c r="Q1119" i="1"/>
  <c r="P1119" i="1"/>
  <c r="O1119" i="1"/>
  <c r="N1119" i="1"/>
  <c r="M1119" i="1"/>
  <c r="L1119" i="1"/>
  <c r="K1119" i="1"/>
  <c r="J1119" i="1"/>
  <c r="I1119" i="1"/>
  <c r="H1119" i="1"/>
  <c r="G1119" i="1"/>
  <c r="F1119" i="1"/>
  <c r="T1118" i="1"/>
  <c r="S1118" i="1"/>
  <c r="R1118" i="1"/>
  <c r="Q1118" i="1"/>
  <c r="P1118" i="1"/>
  <c r="O1118" i="1"/>
  <c r="N1118" i="1"/>
  <c r="M1118" i="1"/>
  <c r="L1118" i="1"/>
  <c r="K1118" i="1"/>
  <c r="J1118" i="1"/>
  <c r="I1118" i="1"/>
  <c r="H1118" i="1"/>
  <c r="F1118" i="1"/>
  <c r="G1118" i="1" s="1"/>
  <c r="T1117" i="1"/>
  <c r="S1117" i="1"/>
  <c r="R1117" i="1"/>
  <c r="Q1117" i="1"/>
  <c r="P1117" i="1"/>
  <c r="O1117" i="1"/>
  <c r="N1117" i="1"/>
  <c r="M1117" i="1"/>
  <c r="L1117" i="1"/>
  <c r="K1117" i="1"/>
  <c r="J1117" i="1"/>
  <c r="I1117" i="1"/>
  <c r="H1117" i="1"/>
  <c r="G1117" i="1"/>
  <c r="F1117" i="1"/>
  <c r="T1116" i="1"/>
  <c r="S1116" i="1"/>
  <c r="R1116" i="1"/>
  <c r="Q1116" i="1"/>
  <c r="P1116" i="1"/>
  <c r="O1116" i="1"/>
  <c r="N1116" i="1"/>
  <c r="M1116" i="1"/>
  <c r="L1116" i="1"/>
  <c r="K1116" i="1"/>
  <c r="J1116" i="1"/>
  <c r="I1116" i="1"/>
  <c r="H1116" i="1"/>
  <c r="G1116" i="1"/>
  <c r="F1116" i="1"/>
  <c r="T1115" i="1"/>
  <c r="S1115" i="1"/>
  <c r="R1115" i="1"/>
  <c r="Q1115" i="1"/>
  <c r="P1115" i="1"/>
  <c r="O1115" i="1"/>
  <c r="N1115" i="1"/>
  <c r="M1115" i="1"/>
  <c r="L1115" i="1"/>
  <c r="K1115" i="1"/>
  <c r="J1115" i="1"/>
  <c r="I1115" i="1"/>
  <c r="H1115" i="1"/>
  <c r="F1115" i="1"/>
  <c r="G1115" i="1" s="1"/>
  <c r="T1114" i="1"/>
  <c r="S1114" i="1"/>
  <c r="R1114" i="1"/>
  <c r="Q1114" i="1"/>
  <c r="P1114" i="1"/>
  <c r="O1114" i="1"/>
  <c r="N1114" i="1"/>
  <c r="M1114" i="1"/>
  <c r="L1114" i="1"/>
  <c r="K1114" i="1"/>
  <c r="J1114" i="1"/>
  <c r="I1114" i="1"/>
  <c r="H1114" i="1"/>
  <c r="G1114" i="1"/>
  <c r="F1114" i="1"/>
  <c r="T1113" i="1"/>
  <c r="S1113" i="1"/>
  <c r="R1113" i="1"/>
  <c r="Q1113" i="1"/>
  <c r="P1113" i="1"/>
  <c r="O1113" i="1"/>
  <c r="N1113" i="1"/>
  <c r="M1113" i="1"/>
  <c r="L1113" i="1"/>
  <c r="K1113" i="1"/>
  <c r="J1113" i="1"/>
  <c r="I1113" i="1"/>
  <c r="H1113" i="1"/>
  <c r="G1113" i="1"/>
  <c r="F1113" i="1"/>
  <c r="T1112" i="1"/>
  <c r="S1112" i="1"/>
  <c r="R1112" i="1"/>
  <c r="Q1112" i="1"/>
  <c r="P1112" i="1"/>
  <c r="O1112" i="1"/>
  <c r="N1112" i="1"/>
  <c r="M1112" i="1"/>
  <c r="L1112" i="1"/>
  <c r="K1112" i="1"/>
  <c r="J1112" i="1"/>
  <c r="I1112" i="1"/>
  <c r="H1112" i="1"/>
  <c r="F1112" i="1"/>
  <c r="G1112" i="1" s="1"/>
  <c r="T1111" i="1"/>
  <c r="S1111" i="1"/>
  <c r="R1111" i="1"/>
  <c r="Q1111" i="1"/>
  <c r="P1111" i="1"/>
  <c r="O1111" i="1"/>
  <c r="N1111" i="1"/>
  <c r="M1111" i="1"/>
  <c r="L1111" i="1"/>
  <c r="K1111" i="1"/>
  <c r="J1111" i="1"/>
  <c r="I1111" i="1"/>
  <c r="H1111" i="1"/>
  <c r="G1111" i="1"/>
  <c r="F1111" i="1"/>
  <c r="T1110" i="1"/>
  <c r="S1110" i="1"/>
  <c r="R1110" i="1"/>
  <c r="Q1110" i="1"/>
  <c r="P1110" i="1"/>
  <c r="O1110" i="1"/>
  <c r="N1110" i="1"/>
  <c r="M1110" i="1"/>
  <c r="L1110" i="1"/>
  <c r="K1110" i="1"/>
  <c r="J1110" i="1"/>
  <c r="I1110" i="1"/>
  <c r="H1110" i="1"/>
  <c r="F1110" i="1"/>
  <c r="G1110" i="1" s="1"/>
  <c r="T1109" i="1"/>
  <c r="S1109" i="1"/>
  <c r="R1109" i="1"/>
  <c r="Q1109" i="1"/>
  <c r="P1109" i="1"/>
  <c r="O1109" i="1"/>
  <c r="N1109" i="1"/>
  <c r="M1109" i="1"/>
  <c r="L1109" i="1"/>
  <c r="K1109" i="1"/>
  <c r="J1109" i="1"/>
  <c r="I1109" i="1"/>
  <c r="H1109" i="1"/>
  <c r="G1109" i="1"/>
  <c r="F1109" i="1"/>
  <c r="T1108" i="1"/>
  <c r="S1108" i="1"/>
  <c r="R1108" i="1"/>
  <c r="Q1108" i="1"/>
  <c r="P1108" i="1"/>
  <c r="O1108" i="1"/>
  <c r="N1108" i="1"/>
  <c r="M1108" i="1"/>
  <c r="L1108" i="1"/>
  <c r="K1108" i="1"/>
  <c r="J1108" i="1"/>
  <c r="I1108" i="1"/>
  <c r="H1108" i="1"/>
  <c r="G1108" i="1"/>
  <c r="F1108" i="1"/>
  <c r="T1107" i="1"/>
  <c r="S1107" i="1"/>
  <c r="R1107" i="1"/>
  <c r="Q1107" i="1"/>
  <c r="P1107" i="1"/>
  <c r="O1107" i="1"/>
  <c r="N1107" i="1"/>
  <c r="M1107" i="1"/>
  <c r="L1107" i="1"/>
  <c r="K1107" i="1"/>
  <c r="J1107" i="1"/>
  <c r="I1107" i="1"/>
  <c r="H1107" i="1"/>
  <c r="F1107" i="1"/>
  <c r="G1107" i="1" s="1"/>
  <c r="T1106" i="1"/>
  <c r="S1106" i="1"/>
  <c r="R1106" i="1"/>
  <c r="Q1106" i="1"/>
  <c r="P1106" i="1"/>
  <c r="O1106" i="1"/>
  <c r="N1106" i="1"/>
  <c r="M1106" i="1"/>
  <c r="L1106" i="1"/>
  <c r="K1106" i="1"/>
  <c r="J1106" i="1"/>
  <c r="I1106" i="1"/>
  <c r="H1106" i="1"/>
  <c r="G1106" i="1"/>
  <c r="F1106" i="1"/>
  <c r="T1105" i="1"/>
  <c r="S1105" i="1"/>
  <c r="R1105" i="1"/>
  <c r="Q1105" i="1"/>
  <c r="P1105" i="1"/>
  <c r="O1105" i="1"/>
  <c r="N1105" i="1"/>
  <c r="M1105" i="1"/>
  <c r="L1105" i="1"/>
  <c r="K1105" i="1"/>
  <c r="J1105" i="1"/>
  <c r="I1105" i="1"/>
  <c r="H1105" i="1"/>
  <c r="G1105" i="1"/>
  <c r="F1105" i="1"/>
  <c r="T1104" i="1"/>
  <c r="S1104" i="1"/>
  <c r="R1104" i="1"/>
  <c r="Q1104" i="1"/>
  <c r="P1104" i="1"/>
  <c r="O1104" i="1"/>
  <c r="N1104" i="1"/>
  <c r="M1104" i="1"/>
  <c r="L1104" i="1"/>
  <c r="K1104" i="1"/>
  <c r="J1104" i="1"/>
  <c r="I1104" i="1"/>
  <c r="H1104" i="1"/>
  <c r="F1104" i="1"/>
  <c r="G1104" i="1" s="1"/>
  <c r="T1103" i="1"/>
  <c r="S1103" i="1"/>
  <c r="R1103" i="1"/>
  <c r="Q1103" i="1"/>
  <c r="P1103" i="1"/>
  <c r="O1103" i="1"/>
  <c r="N1103" i="1"/>
  <c r="M1103" i="1"/>
  <c r="L1103" i="1"/>
  <c r="K1103" i="1"/>
  <c r="J1103" i="1"/>
  <c r="I1103" i="1"/>
  <c r="H1103" i="1"/>
  <c r="G1103" i="1"/>
  <c r="F1103" i="1"/>
  <c r="T1102" i="1"/>
  <c r="S1102" i="1"/>
  <c r="R1102" i="1"/>
  <c r="Q1102" i="1"/>
  <c r="P1102" i="1"/>
  <c r="O1102" i="1"/>
  <c r="N1102" i="1"/>
  <c r="M1102" i="1"/>
  <c r="L1102" i="1"/>
  <c r="K1102" i="1"/>
  <c r="J1102" i="1"/>
  <c r="I1102" i="1"/>
  <c r="H1102" i="1"/>
  <c r="F1102" i="1"/>
  <c r="G1102" i="1" s="1"/>
  <c r="T1101" i="1"/>
  <c r="S1101" i="1"/>
  <c r="R1101" i="1"/>
  <c r="Q1101" i="1"/>
  <c r="P1101" i="1"/>
  <c r="O1101" i="1"/>
  <c r="N1101" i="1"/>
  <c r="M1101" i="1"/>
  <c r="L1101" i="1"/>
  <c r="K1101" i="1"/>
  <c r="J1101" i="1"/>
  <c r="I1101" i="1"/>
  <c r="H1101" i="1"/>
  <c r="G1101" i="1"/>
  <c r="F1101" i="1"/>
  <c r="T1100" i="1"/>
  <c r="S1100" i="1"/>
  <c r="R1100" i="1"/>
  <c r="Q1100" i="1"/>
  <c r="P1100" i="1"/>
  <c r="O1100" i="1"/>
  <c r="N1100" i="1"/>
  <c r="M1100" i="1"/>
  <c r="L1100" i="1"/>
  <c r="K1100" i="1"/>
  <c r="J1100" i="1"/>
  <c r="I1100" i="1"/>
  <c r="H1100" i="1"/>
  <c r="G1100" i="1"/>
  <c r="F1100" i="1"/>
  <c r="T1099" i="1"/>
  <c r="S1099" i="1"/>
  <c r="R1099" i="1"/>
  <c r="Q1099" i="1"/>
  <c r="P1099" i="1"/>
  <c r="O1099" i="1"/>
  <c r="N1099" i="1"/>
  <c r="M1099" i="1"/>
  <c r="L1099" i="1"/>
  <c r="K1099" i="1"/>
  <c r="J1099" i="1"/>
  <c r="I1099" i="1"/>
  <c r="H1099" i="1"/>
  <c r="F1099" i="1"/>
  <c r="G1099" i="1" s="1"/>
  <c r="T1098" i="1"/>
  <c r="S1098" i="1"/>
  <c r="R1098" i="1"/>
  <c r="Q1098" i="1"/>
  <c r="P1098" i="1"/>
  <c r="O1098" i="1"/>
  <c r="N1098" i="1"/>
  <c r="M1098" i="1"/>
  <c r="L1098" i="1"/>
  <c r="K1098" i="1"/>
  <c r="J1098" i="1"/>
  <c r="I1098" i="1"/>
  <c r="H1098" i="1"/>
  <c r="G1098" i="1"/>
  <c r="F1098" i="1"/>
  <c r="T1097" i="1"/>
  <c r="S1097" i="1"/>
  <c r="R1097" i="1"/>
  <c r="Q1097" i="1"/>
  <c r="P1097" i="1"/>
  <c r="O1097" i="1"/>
  <c r="N1097" i="1"/>
  <c r="M1097" i="1"/>
  <c r="L1097" i="1"/>
  <c r="K1097" i="1"/>
  <c r="J1097" i="1"/>
  <c r="I1097" i="1"/>
  <c r="H1097" i="1"/>
  <c r="G1097" i="1"/>
  <c r="F1097" i="1"/>
  <c r="T1096" i="1"/>
  <c r="S1096" i="1"/>
  <c r="R1096" i="1"/>
  <c r="Q1096" i="1"/>
  <c r="P1096" i="1"/>
  <c r="O1096" i="1"/>
  <c r="N1096" i="1"/>
  <c r="M1096" i="1"/>
  <c r="L1096" i="1"/>
  <c r="K1096" i="1"/>
  <c r="J1096" i="1"/>
  <c r="I1096" i="1"/>
  <c r="H1096" i="1"/>
  <c r="F1096" i="1"/>
  <c r="G1096" i="1" s="1"/>
  <c r="T1095" i="1"/>
  <c r="S1095" i="1"/>
  <c r="R1095" i="1"/>
  <c r="Q1095" i="1"/>
  <c r="P1095" i="1"/>
  <c r="O1095" i="1"/>
  <c r="N1095" i="1"/>
  <c r="M1095" i="1"/>
  <c r="L1095" i="1"/>
  <c r="K1095" i="1"/>
  <c r="J1095" i="1"/>
  <c r="I1095" i="1"/>
  <c r="H1095" i="1"/>
  <c r="G1095" i="1"/>
  <c r="F1095" i="1"/>
  <c r="T1094" i="1"/>
  <c r="S1094" i="1"/>
  <c r="R1094" i="1"/>
  <c r="Q1094" i="1"/>
  <c r="P1094" i="1"/>
  <c r="O1094" i="1"/>
  <c r="N1094" i="1"/>
  <c r="M1094" i="1"/>
  <c r="L1094" i="1"/>
  <c r="K1094" i="1"/>
  <c r="J1094" i="1"/>
  <c r="I1094" i="1"/>
  <c r="H1094" i="1"/>
  <c r="F1094" i="1"/>
  <c r="G1094" i="1" s="1"/>
  <c r="T1093" i="1"/>
  <c r="S1093" i="1"/>
  <c r="R1093" i="1"/>
  <c r="Q1093" i="1"/>
  <c r="P1093" i="1"/>
  <c r="O1093" i="1"/>
  <c r="N1093" i="1"/>
  <c r="M1093" i="1"/>
  <c r="L1093" i="1"/>
  <c r="K1093" i="1"/>
  <c r="J1093" i="1"/>
  <c r="I1093" i="1"/>
  <c r="H1093" i="1"/>
  <c r="G1093" i="1"/>
  <c r="F1093" i="1"/>
  <c r="T1092" i="1"/>
  <c r="S1092" i="1"/>
  <c r="R1092" i="1"/>
  <c r="Q1092" i="1"/>
  <c r="P1092" i="1"/>
  <c r="O1092" i="1"/>
  <c r="N1092" i="1"/>
  <c r="M1092" i="1"/>
  <c r="L1092" i="1"/>
  <c r="K1092" i="1"/>
  <c r="J1092" i="1"/>
  <c r="I1092" i="1"/>
  <c r="H1092" i="1"/>
  <c r="G1092" i="1"/>
  <c r="F1092" i="1"/>
  <c r="T1091" i="1"/>
  <c r="S1091" i="1"/>
  <c r="R1091" i="1"/>
  <c r="Q1091" i="1"/>
  <c r="P1091" i="1"/>
  <c r="O1091" i="1"/>
  <c r="N1091" i="1"/>
  <c r="M1091" i="1"/>
  <c r="L1091" i="1"/>
  <c r="K1091" i="1"/>
  <c r="J1091" i="1"/>
  <c r="I1091" i="1"/>
  <c r="H1091" i="1"/>
  <c r="F1091" i="1"/>
  <c r="G1091" i="1" s="1"/>
  <c r="T1090" i="1"/>
  <c r="S1090" i="1"/>
  <c r="R1090" i="1"/>
  <c r="Q1090" i="1"/>
  <c r="P1090" i="1"/>
  <c r="O1090" i="1"/>
  <c r="N1090" i="1"/>
  <c r="M1090" i="1"/>
  <c r="L1090" i="1"/>
  <c r="K1090" i="1"/>
  <c r="J1090" i="1"/>
  <c r="I1090" i="1"/>
  <c r="H1090" i="1"/>
  <c r="G1090" i="1"/>
  <c r="F1090" i="1"/>
  <c r="T1089" i="1"/>
  <c r="S1089" i="1"/>
  <c r="R1089" i="1"/>
  <c r="Q1089" i="1"/>
  <c r="P1089" i="1"/>
  <c r="O1089" i="1"/>
  <c r="N1089" i="1"/>
  <c r="M1089" i="1"/>
  <c r="L1089" i="1"/>
  <c r="K1089" i="1"/>
  <c r="J1089" i="1"/>
  <c r="I1089" i="1"/>
  <c r="H1089" i="1"/>
  <c r="G1089" i="1"/>
  <c r="F1089" i="1"/>
  <c r="T1088" i="1"/>
  <c r="S1088" i="1"/>
  <c r="R1088" i="1"/>
  <c r="Q1088" i="1"/>
  <c r="P1088" i="1"/>
  <c r="O1088" i="1"/>
  <c r="N1088" i="1"/>
  <c r="M1088" i="1"/>
  <c r="L1088" i="1"/>
  <c r="K1088" i="1"/>
  <c r="J1088" i="1"/>
  <c r="I1088" i="1"/>
  <c r="H1088" i="1"/>
  <c r="F1088" i="1"/>
  <c r="G1088" i="1" s="1"/>
  <c r="T1087" i="1"/>
  <c r="S1087" i="1"/>
  <c r="R1087" i="1"/>
  <c r="Q1087" i="1"/>
  <c r="P1087" i="1"/>
  <c r="O1087" i="1"/>
  <c r="N1087" i="1"/>
  <c r="M1087" i="1"/>
  <c r="L1087" i="1"/>
  <c r="K1087" i="1"/>
  <c r="J1087" i="1"/>
  <c r="I1087" i="1"/>
  <c r="H1087" i="1"/>
  <c r="G1087" i="1"/>
  <c r="F1087" i="1"/>
  <c r="T1086" i="1"/>
  <c r="S1086" i="1"/>
  <c r="R1086" i="1"/>
  <c r="Q1086" i="1"/>
  <c r="P1086" i="1"/>
  <c r="O1086" i="1"/>
  <c r="N1086" i="1"/>
  <c r="M1086" i="1"/>
  <c r="L1086" i="1"/>
  <c r="K1086" i="1"/>
  <c r="J1086" i="1"/>
  <c r="I1086" i="1"/>
  <c r="H1086" i="1"/>
  <c r="F1086" i="1"/>
  <c r="G1086" i="1" s="1"/>
  <c r="T1085" i="1"/>
  <c r="S1085" i="1"/>
  <c r="R1085" i="1"/>
  <c r="Q1085" i="1"/>
  <c r="P1085" i="1"/>
  <c r="O1085" i="1"/>
  <c r="N1085" i="1"/>
  <c r="M1085" i="1"/>
  <c r="L1085" i="1"/>
  <c r="K1085" i="1"/>
  <c r="J1085" i="1"/>
  <c r="I1085" i="1"/>
  <c r="H1085" i="1"/>
  <c r="G1085" i="1"/>
  <c r="F1085" i="1"/>
  <c r="T1084" i="1"/>
  <c r="S1084" i="1"/>
  <c r="R1084" i="1"/>
  <c r="Q1084" i="1"/>
  <c r="P1084" i="1"/>
  <c r="O1084" i="1"/>
  <c r="N1084" i="1"/>
  <c r="M1084" i="1"/>
  <c r="L1084" i="1"/>
  <c r="K1084" i="1"/>
  <c r="J1084" i="1"/>
  <c r="I1084" i="1"/>
  <c r="H1084" i="1"/>
  <c r="G1084" i="1"/>
  <c r="F1084" i="1"/>
  <c r="T1083" i="1"/>
  <c r="S1083" i="1"/>
  <c r="R1083" i="1"/>
  <c r="Q1083" i="1"/>
  <c r="P1083" i="1"/>
  <c r="O1083" i="1"/>
  <c r="N1083" i="1"/>
  <c r="M1083" i="1"/>
  <c r="L1083" i="1"/>
  <c r="K1083" i="1"/>
  <c r="J1083" i="1"/>
  <c r="I1083" i="1"/>
  <c r="H1083" i="1"/>
  <c r="F1083" i="1"/>
  <c r="G1083" i="1" s="1"/>
  <c r="T1082" i="1"/>
  <c r="S1082" i="1"/>
  <c r="R1082" i="1"/>
  <c r="Q1082" i="1"/>
  <c r="P1082" i="1"/>
  <c r="O1082" i="1"/>
  <c r="N1082" i="1"/>
  <c r="M1082" i="1"/>
  <c r="L1082" i="1"/>
  <c r="K1082" i="1"/>
  <c r="J1082" i="1"/>
  <c r="I1082" i="1"/>
  <c r="H1082" i="1"/>
  <c r="G1082" i="1"/>
  <c r="F1082" i="1"/>
  <c r="T1081" i="1"/>
  <c r="S1081" i="1"/>
  <c r="R1081" i="1"/>
  <c r="Q1081" i="1"/>
  <c r="P1081" i="1"/>
  <c r="O1081" i="1"/>
  <c r="N1081" i="1"/>
  <c r="M1081" i="1"/>
  <c r="L1081" i="1"/>
  <c r="K1081" i="1"/>
  <c r="J1081" i="1"/>
  <c r="I1081" i="1"/>
  <c r="H1081" i="1"/>
  <c r="G1081" i="1"/>
  <c r="F1081" i="1"/>
  <c r="T1080" i="1"/>
  <c r="S1080" i="1"/>
  <c r="R1080" i="1"/>
  <c r="Q1080" i="1"/>
  <c r="P1080" i="1"/>
  <c r="O1080" i="1"/>
  <c r="N1080" i="1"/>
  <c r="M1080" i="1"/>
  <c r="L1080" i="1"/>
  <c r="K1080" i="1"/>
  <c r="J1080" i="1"/>
  <c r="I1080" i="1"/>
  <c r="H1080" i="1"/>
  <c r="F1080" i="1"/>
  <c r="G1080" i="1" s="1"/>
  <c r="T1079" i="1"/>
  <c r="S1079" i="1"/>
  <c r="R1079" i="1"/>
  <c r="Q1079" i="1"/>
  <c r="P1079" i="1"/>
  <c r="O1079" i="1"/>
  <c r="N1079" i="1"/>
  <c r="M1079" i="1"/>
  <c r="L1079" i="1"/>
  <c r="K1079" i="1"/>
  <c r="J1079" i="1"/>
  <c r="I1079" i="1"/>
  <c r="H1079" i="1"/>
  <c r="G1079" i="1"/>
  <c r="F1079" i="1"/>
  <c r="T1078" i="1"/>
  <c r="S1078" i="1"/>
  <c r="R1078" i="1"/>
  <c r="Q1078" i="1"/>
  <c r="P1078" i="1"/>
  <c r="O1078" i="1"/>
  <c r="N1078" i="1"/>
  <c r="M1078" i="1"/>
  <c r="L1078" i="1"/>
  <c r="K1078" i="1"/>
  <c r="J1078" i="1"/>
  <c r="I1078" i="1"/>
  <c r="H1078" i="1"/>
  <c r="F1078" i="1"/>
  <c r="G1078" i="1" s="1"/>
  <c r="T1077" i="1"/>
  <c r="S1077" i="1"/>
  <c r="R1077" i="1"/>
  <c r="Q1077" i="1"/>
  <c r="P1077" i="1"/>
  <c r="O1077" i="1"/>
  <c r="N1077" i="1"/>
  <c r="M1077" i="1"/>
  <c r="L1077" i="1"/>
  <c r="K1077" i="1"/>
  <c r="J1077" i="1"/>
  <c r="I1077" i="1"/>
  <c r="H1077" i="1"/>
  <c r="G1077" i="1"/>
  <c r="F1077" i="1"/>
  <c r="T1076" i="1"/>
  <c r="S1076" i="1"/>
  <c r="R1076" i="1"/>
  <c r="Q1076" i="1"/>
  <c r="P1076" i="1"/>
  <c r="O1076" i="1"/>
  <c r="N1076" i="1"/>
  <c r="M1076" i="1"/>
  <c r="L1076" i="1"/>
  <c r="K1076" i="1"/>
  <c r="J1076" i="1"/>
  <c r="I1076" i="1"/>
  <c r="H1076" i="1"/>
  <c r="G1076" i="1"/>
  <c r="F1076" i="1"/>
  <c r="T1075" i="1"/>
  <c r="S1075" i="1"/>
  <c r="R1075" i="1"/>
  <c r="Q1075" i="1"/>
  <c r="P1075" i="1"/>
  <c r="O1075" i="1"/>
  <c r="N1075" i="1"/>
  <c r="M1075" i="1"/>
  <c r="L1075" i="1"/>
  <c r="K1075" i="1"/>
  <c r="J1075" i="1"/>
  <c r="I1075" i="1"/>
  <c r="H1075" i="1"/>
  <c r="F1075" i="1"/>
  <c r="G1075" i="1" s="1"/>
  <c r="T1074" i="1"/>
  <c r="S1074" i="1"/>
  <c r="R1074" i="1"/>
  <c r="Q1074" i="1"/>
  <c r="P1074" i="1"/>
  <c r="O1074" i="1"/>
  <c r="N1074" i="1"/>
  <c r="M1074" i="1"/>
  <c r="L1074" i="1"/>
  <c r="K1074" i="1"/>
  <c r="J1074" i="1"/>
  <c r="I1074" i="1"/>
  <c r="H1074" i="1"/>
  <c r="G1074" i="1"/>
  <c r="F1074" i="1"/>
  <c r="T1073" i="1"/>
  <c r="S1073" i="1"/>
  <c r="R1073" i="1"/>
  <c r="Q1073" i="1"/>
  <c r="P1073" i="1"/>
  <c r="O1073" i="1"/>
  <c r="N1073" i="1"/>
  <c r="M1073" i="1"/>
  <c r="L1073" i="1"/>
  <c r="K1073" i="1"/>
  <c r="J1073" i="1"/>
  <c r="I1073" i="1"/>
  <c r="H1073" i="1"/>
  <c r="G1073" i="1"/>
  <c r="F1073" i="1"/>
  <c r="T1072" i="1"/>
  <c r="S1072" i="1"/>
  <c r="R1072" i="1"/>
  <c r="Q1072" i="1"/>
  <c r="P1072" i="1"/>
  <c r="O1072" i="1"/>
  <c r="N1072" i="1"/>
  <c r="M1072" i="1"/>
  <c r="L1072" i="1"/>
  <c r="K1072" i="1"/>
  <c r="J1072" i="1"/>
  <c r="I1072" i="1"/>
  <c r="H1072" i="1"/>
  <c r="F1072" i="1"/>
  <c r="G1072" i="1" s="1"/>
  <c r="T1071" i="1"/>
  <c r="S1071" i="1"/>
  <c r="R1071" i="1"/>
  <c r="Q1071" i="1"/>
  <c r="P1071" i="1"/>
  <c r="O1071" i="1"/>
  <c r="N1071" i="1"/>
  <c r="M1071" i="1"/>
  <c r="L1071" i="1"/>
  <c r="K1071" i="1"/>
  <c r="J1071" i="1"/>
  <c r="I1071" i="1"/>
  <c r="H1071" i="1"/>
  <c r="G1071" i="1"/>
  <c r="F1071" i="1"/>
  <c r="T1070" i="1"/>
  <c r="S1070" i="1"/>
  <c r="R1070" i="1"/>
  <c r="Q1070" i="1"/>
  <c r="P1070" i="1"/>
  <c r="O1070" i="1"/>
  <c r="N1070" i="1"/>
  <c r="M1070" i="1"/>
  <c r="L1070" i="1"/>
  <c r="K1070" i="1"/>
  <c r="J1070" i="1"/>
  <c r="I1070" i="1"/>
  <c r="H1070" i="1"/>
  <c r="F1070" i="1"/>
  <c r="G1070" i="1" s="1"/>
  <c r="T1069" i="1"/>
  <c r="S1069" i="1"/>
  <c r="R1069" i="1"/>
  <c r="Q1069" i="1"/>
  <c r="P1069" i="1"/>
  <c r="O1069" i="1"/>
  <c r="N1069" i="1"/>
  <c r="M1069" i="1"/>
  <c r="L1069" i="1"/>
  <c r="K1069" i="1"/>
  <c r="J1069" i="1"/>
  <c r="I1069" i="1"/>
  <c r="H1069" i="1"/>
  <c r="G1069" i="1"/>
  <c r="F1069" i="1"/>
  <c r="T1068" i="1"/>
  <c r="S1068" i="1"/>
  <c r="R1068" i="1"/>
  <c r="Q1068" i="1"/>
  <c r="P1068" i="1"/>
  <c r="O1068" i="1"/>
  <c r="N1068" i="1"/>
  <c r="M1068" i="1"/>
  <c r="L1068" i="1"/>
  <c r="K1068" i="1"/>
  <c r="J1068" i="1"/>
  <c r="I1068" i="1"/>
  <c r="H1068" i="1"/>
  <c r="G1068" i="1"/>
  <c r="F1068" i="1"/>
  <c r="T1067" i="1"/>
  <c r="S1067" i="1"/>
  <c r="R1067" i="1"/>
  <c r="Q1067" i="1"/>
  <c r="P1067" i="1"/>
  <c r="O1067" i="1"/>
  <c r="N1067" i="1"/>
  <c r="M1067" i="1"/>
  <c r="L1067" i="1"/>
  <c r="K1067" i="1"/>
  <c r="J1067" i="1"/>
  <c r="I1067" i="1"/>
  <c r="H1067" i="1"/>
  <c r="F1067" i="1"/>
  <c r="G1067" i="1" s="1"/>
  <c r="T1066" i="1"/>
  <c r="S1066" i="1"/>
  <c r="R1066" i="1"/>
  <c r="Q1066" i="1"/>
  <c r="P1066" i="1"/>
  <c r="O1066" i="1"/>
  <c r="N1066" i="1"/>
  <c r="M1066" i="1"/>
  <c r="L1066" i="1"/>
  <c r="K1066" i="1"/>
  <c r="J1066" i="1"/>
  <c r="I1066" i="1"/>
  <c r="H1066" i="1"/>
  <c r="G1066" i="1"/>
  <c r="F1066" i="1"/>
  <c r="T1065" i="1"/>
  <c r="S1065" i="1"/>
  <c r="R1065" i="1"/>
  <c r="Q1065" i="1"/>
  <c r="P1065" i="1"/>
  <c r="O1065" i="1"/>
  <c r="N1065" i="1"/>
  <c r="M1065" i="1"/>
  <c r="L1065" i="1"/>
  <c r="K1065" i="1"/>
  <c r="J1065" i="1"/>
  <c r="I1065" i="1"/>
  <c r="H1065" i="1"/>
  <c r="G1065" i="1"/>
  <c r="F1065" i="1"/>
  <c r="T1064" i="1"/>
  <c r="S1064" i="1"/>
  <c r="R1064" i="1"/>
  <c r="Q1064" i="1"/>
  <c r="P1064" i="1"/>
  <c r="O1064" i="1"/>
  <c r="N1064" i="1"/>
  <c r="M1064" i="1"/>
  <c r="L1064" i="1"/>
  <c r="K1064" i="1"/>
  <c r="J1064" i="1"/>
  <c r="I1064" i="1"/>
  <c r="H1064" i="1"/>
  <c r="F1064" i="1"/>
  <c r="G1064" i="1" s="1"/>
  <c r="T1063" i="1"/>
  <c r="S1063" i="1"/>
  <c r="R1063" i="1"/>
  <c r="Q1063" i="1"/>
  <c r="P1063" i="1"/>
  <c r="O1063" i="1"/>
  <c r="N1063" i="1"/>
  <c r="M1063" i="1"/>
  <c r="L1063" i="1"/>
  <c r="K1063" i="1"/>
  <c r="J1063" i="1"/>
  <c r="I1063" i="1"/>
  <c r="H1063" i="1"/>
  <c r="G1063" i="1"/>
  <c r="F1063" i="1"/>
  <c r="T1062" i="1"/>
  <c r="S1062" i="1"/>
  <c r="R1062" i="1"/>
  <c r="Q1062" i="1"/>
  <c r="P1062" i="1"/>
  <c r="O1062" i="1"/>
  <c r="N1062" i="1"/>
  <c r="M1062" i="1"/>
  <c r="L1062" i="1"/>
  <c r="K1062" i="1"/>
  <c r="J1062" i="1"/>
  <c r="I1062" i="1"/>
  <c r="H1062" i="1"/>
  <c r="F1062" i="1"/>
  <c r="G1062" i="1" s="1"/>
  <c r="T1061" i="1"/>
  <c r="S1061" i="1"/>
  <c r="R1061" i="1"/>
  <c r="Q1061" i="1"/>
  <c r="P1061" i="1"/>
  <c r="O1061" i="1"/>
  <c r="N1061" i="1"/>
  <c r="M1061" i="1"/>
  <c r="L1061" i="1"/>
  <c r="K1061" i="1"/>
  <c r="J1061" i="1"/>
  <c r="I1061" i="1"/>
  <c r="H1061" i="1"/>
  <c r="G1061" i="1"/>
  <c r="F1061" i="1"/>
  <c r="T1060" i="1"/>
  <c r="S1060" i="1"/>
  <c r="R1060" i="1"/>
  <c r="Q1060" i="1"/>
  <c r="P1060" i="1"/>
  <c r="O1060" i="1"/>
  <c r="N1060" i="1"/>
  <c r="M1060" i="1"/>
  <c r="L1060" i="1"/>
  <c r="K1060" i="1"/>
  <c r="J1060" i="1"/>
  <c r="I1060" i="1"/>
  <c r="H1060" i="1"/>
  <c r="G1060" i="1"/>
  <c r="F1060" i="1"/>
  <c r="T1059" i="1"/>
  <c r="S1059" i="1"/>
  <c r="R1059" i="1"/>
  <c r="Q1059" i="1"/>
  <c r="P1059" i="1"/>
  <c r="O1059" i="1"/>
  <c r="N1059" i="1"/>
  <c r="M1059" i="1"/>
  <c r="L1059" i="1"/>
  <c r="K1059" i="1"/>
  <c r="J1059" i="1"/>
  <c r="I1059" i="1"/>
  <c r="H1059" i="1"/>
  <c r="F1059" i="1"/>
  <c r="G1059" i="1" s="1"/>
  <c r="T1058" i="1"/>
  <c r="S1058" i="1"/>
  <c r="R1058" i="1"/>
  <c r="Q1058" i="1"/>
  <c r="P1058" i="1"/>
  <c r="O1058" i="1"/>
  <c r="N1058" i="1"/>
  <c r="M1058" i="1"/>
  <c r="L1058" i="1"/>
  <c r="K1058" i="1"/>
  <c r="J1058" i="1"/>
  <c r="I1058" i="1"/>
  <c r="H1058" i="1"/>
  <c r="G1058" i="1"/>
  <c r="F1058" i="1"/>
  <c r="T1057" i="1"/>
  <c r="S1057" i="1"/>
  <c r="R1057" i="1"/>
  <c r="Q1057" i="1"/>
  <c r="P1057" i="1"/>
  <c r="O1057" i="1"/>
  <c r="N1057" i="1"/>
  <c r="M1057" i="1"/>
  <c r="L1057" i="1"/>
  <c r="K1057" i="1"/>
  <c r="J1057" i="1"/>
  <c r="I1057" i="1"/>
  <c r="H1057" i="1"/>
  <c r="G1057" i="1"/>
  <c r="F1057" i="1"/>
  <c r="T1056" i="1"/>
  <c r="S1056" i="1"/>
  <c r="R1056" i="1"/>
  <c r="Q1056" i="1"/>
  <c r="P1056" i="1"/>
  <c r="O1056" i="1"/>
  <c r="N1056" i="1"/>
  <c r="M1056" i="1"/>
  <c r="L1056" i="1"/>
  <c r="K1056" i="1"/>
  <c r="J1056" i="1"/>
  <c r="I1056" i="1"/>
  <c r="H1056" i="1"/>
  <c r="F1056" i="1"/>
  <c r="G1056" i="1" s="1"/>
  <c r="T1055" i="1"/>
  <c r="S1055" i="1"/>
  <c r="R1055" i="1"/>
  <c r="Q1055" i="1"/>
  <c r="P1055" i="1"/>
  <c r="O1055" i="1"/>
  <c r="N1055" i="1"/>
  <c r="M1055" i="1"/>
  <c r="L1055" i="1"/>
  <c r="K1055" i="1"/>
  <c r="J1055" i="1"/>
  <c r="I1055" i="1"/>
  <c r="H1055" i="1"/>
  <c r="G1055" i="1"/>
  <c r="F1055" i="1"/>
  <c r="T1054" i="1"/>
  <c r="S1054" i="1"/>
  <c r="R1054" i="1"/>
  <c r="Q1054" i="1"/>
  <c r="P1054" i="1"/>
  <c r="O1054" i="1"/>
  <c r="N1054" i="1"/>
  <c r="M1054" i="1"/>
  <c r="L1054" i="1"/>
  <c r="K1054" i="1"/>
  <c r="J1054" i="1"/>
  <c r="I1054" i="1"/>
  <c r="H1054" i="1"/>
  <c r="F1054" i="1"/>
  <c r="G1054" i="1" s="1"/>
  <c r="T1053" i="1"/>
  <c r="S1053" i="1"/>
  <c r="R1053" i="1"/>
  <c r="Q1053" i="1"/>
  <c r="P1053" i="1"/>
  <c r="O1053" i="1"/>
  <c r="N1053" i="1"/>
  <c r="M1053" i="1"/>
  <c r="L1053" i="1"/>
  <c r="K1053" i="1"/>
  <c r="J1053" i="1"/>
  <c r="I1053" i="1"/>
  <c r="H1053" i="1"/>
  <c r="G1053" i="1"/>
  <c r="F1053" i="1"/>
  <c r="T1052" i="1"/>
  <c r="S1052" i="1"/>
  <c r="R1052" i="1"/>
  <c r="Q1052" i="1"/>
  <c r="P1052" i="1"/>
  <c r="O1052" i="1"/>
  <c r="N1052" i="1"/>
  <c r="M1052" i="1"/>
  <c r="L1052" i="1"/>
  <c r="K1052" i="1"/>
  <c r="J1052" i="1"/>
  <c r="I1052" i="1"/>
  <c r="H1052" i="1"/>
  <c r="G1052" i="1"/>
  <c r="F1052" i="1"/>
  <c r="T1051" i="1"/>
  <c r="S1051" i="1"/>
  <c r="R1051" i="1"/>
  <c r="Q1051" i="1"/>
  <c r="P1051" i="1"/>
  <c r="O1051" i="1"/>
  <c r="N1051" i="1"/>
  <c r="M1051" i="1"/>
  <c r="L1051" i="1"/>
  <c r="K1051" i="1"/>
  <c r="J1051" i="1"/>
  <c r="I1051" i="1"/>
  <c r="H1051" i="1"/>
  <c r="F1051" i="1"/>
  <c r="G1051" i="1" s="1"/>
  <c r="T1050" i="1"/>
  <c r="S1050" i="1"/>
  <c r="R1050" i="1"/>
  <c r="Q1050" i="1"/>
  <c r="P1050" i="1"/>
  <c r="O1050" i="1"/>
  <c r="N1050" i="1"/>
  <c r="M1050" i="1"/>
  <c r="L1050" i="1"/>
  <c r="K1050" i="1"/>
  <c r="J1050" i="1"/>
  <c r="I1050" i="1"/>
  <c r="H1050" i="1"/>
  <c r="G1050" i="1"/>
  <c r="F1050" i="1"/>
  <c r="T1049" i="1"/>
  <c r="S1049" i="1"/>
  <c r="R1049" i="1"/>
  <c r="Q1049" i="1"/>
  <c r="P1049" i="1"/>
  <c r="O1049" i="1"/>
  <c r="N1049" i="1"/>
  <c r="M1049" i="1"/>
  <c r="L1049" i="1"/>
  <c r="K1049" i="1"/>
  <c r="J1049" i="1"/>
  <c r="I1049" i="1"/>
  <c r="H1049" i="1"/>
  <c r="G1049" i="1"/>
  <c r="F1049" i="1"/>
  <c r="T1048" i="1"/>
  <c r="S1048" i="1"/>
  <c r="R1048" i="1"/>
  <c r="Q1048" i="1"/>
  <c r="P1048" i="1"/>
  <c r="O1048" i="1"/>
  <c r="N1048" i="1"/>
  <c r="M1048" i="1"/>
  <c r="L1048" i="1"/>
  <c r="K1048" i="1"/>
  <c r="J1048" i="1"/>
  <c r="I1048" i="1"/>
  <c r="H1048" i="1"/>
  <c r="F1048" i="1"/>
  <c r="G1048" i="1" s="1"/>
  <c r="T1047" i="1"/>
  <c r="S1047" i="1"/>
  <c r="R1047" i="1"/>
  <c r="Q1047" i="1"/>
  <c r="P1047" i="1"/>
  <c r="O1047" i="1"/>
  <c r="N1047" i="1"/>
  <c r="M1047" i="1"/>
  <c r="L1047" i="1"/>
  <c r="K1047" i="1"/>
  <c r="J1047" i="1"/>
  <c r="I1047" i="1"/>
  <c r="H1047" i="1"/>
  <c r="G1047" i="1"/>
  <c r="F1047" i="1"/>
  <c r="T1046" i="1"/>
  <c r="S1046" i="1"/>
  <c r="R1046" i="1"/>
  <c r="Q1046" i="1"/>
  <c r="P1046" i="1"/>
  <c r="O1046" i="1"/>
  <c r="N1046" i="1"/>
  <c r="M1046" i="1"/>
  <c r="L1046" i="1"/>
  <c r="K1046" i="1"/>
  <c r="J1046" i="1"/>
  <c r="I1046" i="1"/>
  <c r="H1046" i="1"/>
  <c r="F1046" i="1"/>
  <c r="G1046" i="1" s="1"/>
  <c r="T1045" i="1"/>
  <c r="S1045" i="1"/>
  <c r="R1045" i="1"/>
  <c r="Q1045" i="1"/>
  <c r="P1045" i="1"/>
  <c r="O1045" i="1"/>
  <c r="N1045" i="1"/>
  <c r="M1045" i="1"/>
  <c r="L1045" i="1"/>
  <c r="K1045" i="1"/>
  <c r="J1045" i="1"/>
  <c r="I1045" i="1"/>
  <c r="H1045" i="1"/>
  <c r="G1045" i="1"/>
  <c r="F1045" i="1"/>
  <c r="T1044" i="1"/>
  <c r="S1044" i="1"/>
  <c r="R1044" i="1"/>
  <c r="Q1044" i="1"/>
  <c r="P1044" i="1"/>
  <c r="O1044" i="1"/>
  <c r="N1044" i="1"/>
  <c r="M1044" i="1"/>
  <c r="L1044" i="1"/>
  <c r="K1044" i="1"/>
  <c r="J1044" i="1"/>
  <c r="I1044" i="1"/>
  <c r="H1044" i="1"/>
  <c r="G1044" i="1"/>
  <c r="F1044" i="1"/>
  <c r="T1043" i="1"/>
  <c r="S1043" i="1"/>
  <c r="R1043" i="1"/>
  <c r="Q1043" i="1"/>
  <c r="P1043" i="1"/>
  <c r="O1043" i="1"/>
  <c r="N1043" i="1"/>
  <c r="M1043" i="1"/>
  <c r="L1043" i="1"/>
  <c r="K1043" i="1"/>
  <c r="J1043" i="1"/>
  <c r="I1043" i="1"/>
  <c r="H1043" i="1"/>
  <c r="F1043" i="1"/>
  <c r="G1043" i="1" s="1"/>
  <c r="T1042" i="1"/>
  <c r="S1042" i="1"/>
  <c r="R1042" i="1"/>
  <c r="Q1042" i="1"/>
  <c r="P1042" i="1"/>
  <c r="O1042" i="1"/>
  <c r="N1042" i="1"/>
  <c r="M1042" i="1"/>
  <c r="L1042" i="1"/>
  <c r="K1042" i="1"/>
  <c r="J1042" i="1"/>
  <c r="I1042" i="1"/>
  <c r="H1042" i="1"/>
  <c r="G1042" i="1"/>
  <c r="F1042" i="1"/>
  <c r="T1041" i="1"/>
  <c r="S1041" i="1"/>
  <c r="R1041" i="1"/>
  <c r="Q1041" i="1"/>
  <c r="P1041" i="1"/>
  <c r="O1041" i="1"/>
  <c r="N1041" i="1"/>
  <c r="M1041" i="1"/>
  <c r="L1041" i="1"/>
  <c r="K1041" i="1"/>
  <c r="J1041" i="1"/>
  <c r="I1041" i="1"/>
  <c r="H1041" i="1"/>
  <c r="G1041" i="1"/>
  <c r="F1041" i="1"/>
  <c r="T1040" i="1"/>
  <c r="S1040" i="1"/>
  <c r="R1040" i="1"/>
  <c r="Q1040" i="1"/>
  <c r="P1040" i="1"/>
  <c r="O1040" i="1"/>
  <c r="N1040" i="1"/>
  <c r="M1040" i="1"/>
  <c r="L1040" i="1"/>
  <c r="K1040" i="1"/>
  <c r="J1040" i="1"/>
  <c r="I1040" i="1"/>
  <c r="H1040" i="1"/>
  <c r="F1040" i="1"/>
  <c r="G1040" i="1" s="1"/>
  <c r="T1039" i="1"/>
  <c r="S1039" i="1"/>
  <c r="R1039" i="1"/>
  <c r="Q1039" i="1"/>
  <c r="P1039" i="1"/>
  <c r="O1039" i="1"/>
  <c r="N1039" i="1"/>
  <c r="M1039" i="1"/>
  <c r="L1039" i="1"/>
  <c r="K1039" i="1"/>
  <c r="J1039" i="1"/>
  <c r="I1039" i="1"/>
  <c r="H1039" i="1"/>
  <c r="G1039" i="1"/>
  <c r="F1039" i="1"/>
  <c r="T1038" i="1"/>
  <c r="S1038" i="1"/>
  <c r="R1038" i="1"/>
  <c r="Q1038" i="1"/>
  <c r="P1038" i="1"/>
  <c r="O1038" i="1"/>
  <c r="N1038" i="1"/>
  <c r="M1038" i="1"/>
  <c r="L1038" i="1"/>
  <c r="K1038" i="1"/>
  <c r="J1038" i="1"/>
  <c r="I1038" i="1"/>
  <c r="H1038" i="1"/>
  <c r="F1038" i="1"/>
  <c r="G1038" i="1" s="1"/>
  <c r="T1037" i="1"/>
  <c r="S1037" i="1"/>
  <c r="R1037" i="1"/>
  <c r="Q1037" i="1"/>
  <c r="P1037" i="1"/>
  <c r="O1037" i="1"/>
  <c r="N1037" i="1"/>
  <c r="M1037" i="1"/>
  <c r="L1037" i="1"/>
  <c r="K1037" i="1"/>
  <c r="J1037" i="1"/>
  <c r="I1037" i="1"/>
  <c r="H1037" i="1"/>
  <c r="G1037" i="1"/>
  <c r="F1037" i="1"/>
  <c r="T1036" i="1"/>
  <c r="S1036" i="1"/>
  <c r="R1036" i="1"/>
  <c r="Q1036" i="1"/>
  <c r="P1036" i="1"/>
  <c r="O1036" i="1"/>
  <c r="N1036" i="1"/>
  <c r="M1036" i="1"/>
  <c r="L1036" i="1"/>
  <c r="K1036" i="1"/>
  <c r="J1036" i="1"/>
  <c r="I1036" i="1"/>
  <c r="H1036" i="1"/>
  <c r="G1036" i="1"/>
  <c r="F1036" i="1"/>
  <c r="T1035" i="1"/>
  <c r="S1035" i="1"/>
  <c r="R1035" i="1"/>
  <c r="Q1035" i="1"/>
  <c r="P1035" i="1"/>
  <c r="O1035" i="1"/>
  <c r="N1035" i="1"/>
  <c r="M1035" i="1"/>
  <c r="L1035" i="1"/>
  <c r="K1035" i="1"/>
  <c r="J1035" i="1"/>
  <c r="I1035" i="1"/>
  <c r="H1035" i="1"/>
  <c r="F1035" i="1"/>
  <c r="G1035" i="1" s="1"/>
  <c r="T1034" i="1"/>
  <c r="S1034" i="1"/>
  <c r="R1034" i="1"/>
  <c r="Q1034" i="1"/>
  <c r="P1034" i="1"/>
  <c r="O1034" i="1"/>
  <c r="N1034" i="1"/>
  <c r="M1034" i="1"/>
  <c r="L1034" i="1"/>
  <c r="K1034" i="1"/>
  <c r="J1034" i="1"/>
  <c r="I1034" i="1"/>
  <c r="H1034" i="1"/>
  <c r="G1034" i="1"/>
  <c r="F1034" i="1"/>
  <c r="T1033" i="1"/>
  <c r="S1033" i="1"/>
  <c r="R1033" i="1"/>
  <c r="Q1033" i="1"/>
  <c r="P1033" i="1"/>
  <c r="O1033" i="1"/>
  <c r="N1033" i="1"/>
  <c r="M1033" i="1"/>
  <c r="L1033" i="1"/>
  <c r="K1033" i="1"/>
  <c r="J1033" i="1"/>
  <c r="I1033" i="1"/>
  <c r="H1033" i="1"/>
  <c r="G1033" i="1"/>
  <c r="F1033" i="1"/>
  <c r="T1032" i="1"/>
  <c r="S1032" i="1"/>
  <c r="R1032" i="1"/>
  <c r="Q1032" i="1"/>
  <c r="P1032" i="1"/>
  <c r="O1032" i="1"/>
  <c r="N1032" i="1"/>
  <c r="M1032" i="1"/>
  <c r="L1032" i="1"/>
  <c r="K1032" i="1"/>
  <c r="J1032" i="1"/>
  <c r="I1032" i="1"/>
  <c r="H1032" i="1"/>
  <c r="F1032" i="1"/>
  <c r="G1032" i="1" s="1"/>
  <c r="T1031" i="1"/>
  <c r="S1031" i="1"/>
  <c r="R1031" i="1"/>
  <c r="Q1031" i="1"/>
  <c r="P1031" i="1"/>
  <c r="O1031" i="1"/>
  <c r="N1031" i="1"/>
  <c r="M1031" i="1"/>
  <c r="L1031" i="1"/>
  <c r="K1031" i="1"/>
  <c r="J1031" i="1"/>
  <c r="I1031" i="1"/>
  <c r="H1031" i="1"/>
  <c r="G1031" i="1"/>
  <c r="F1031" i="1"/>
  <c r="T1030" i="1"/>
  <c r="S1030" i="1"/>
  <c r="R1030" i="1"/>
  <c r="Q1030" i="1"/>
  <c r="P1030" i="1"/>
  <c r="O1030" i="1"/>
  <c r="N1030" i="1"/>
  <c r="M1030" i="1"/>
  <c r="L1030" i="1"/>
  <c r="K1030" i="1"/>
  <c r="J1030" i="1"/>
  <c r="I1030" i="1"/>
  <c r="H1030" i="1"/>
  <c r="F1030" i="1"/>
  <c r="G1030" i="1" s="1"/>
  <c r="T1029" i="1"/>
  <c r="S1029" i="1"/>
  <c r="R1029" i="1"/>
  <c r="Q1029" i="1"/>
  <c r="P1029" i="1"/>
  <c r="O1029" i="1"/>
  <c r="N1029" i="1"/>
  <c r="M1029" i="1"/>
  <c r="L1029" i="1"/>
  <c r="K1029" i="1"/>
  <c r="J1029" i="1"/>
  <c r="I1029" i="1"/>
  <c r="H1029" i="1"/>
  <c r="G1029" i="1"/>
  <c r="F1029" i="1"/>
  <c r="T1028" i="1"/>
  <c r="S1028" i="1"/>
  <c r="R1028" i="1"/>
  <c r="Q1028" i="1"/>
  <c r="P1028" i="1"/>
  <c r="O1028" i="1"/>
  <c r="N1028" i="1"/>
  <c r="M1028" i="1"/>
  <c r="L1028" i="1"/>
  <c r="K1028" i="1"/>
  <c r="J1028" i="1"/>
  <c r="I1028" i="1"/>
  <c r="H1028" i="1"/>
  <c r="G1028" i="1"/>
  <c r="F1028" i="1"/>
  <c r="T1027" i="1"/>
  <c r="S1027" i="1"/>
  <c r="R1027" i="1"/>
  <c r="Q1027" i="1"/>
  <c r="P1027" i="1"/>
  <c r="O1027" i="1"/>
  <c r="N1027" i="1"/>
  <c r="M1027" i="1"/>
  <c r="L1027" i="1"/>
  <c r="K1027" i="1"/>
  <c r="J1027" i="1"/>
  <c r="I1027" i="1"/>
  <c r="H1027" i="1"/>
  <c r="F1027" i="1"/>
  <c r="G1027" i="1" s="1"/>
  <c r="T1026" i="1"/>
  <c r="S1026" i="1"/>
  <c r="R1026" i="1"/>
  <c r="Q1026" i="1"/>
  <c r="P1026" i="1"/>
  <c r="O1026" i="1"/>
  <c r="N1026" i="1"/>
  <c r="M1026" i="1"/>
  <c r="L1026" i="1"/>
  <c r="K1026" i="1"/>
  <c r="J1026" i="1"/>
  <c r="I1026" i="1"/>
  <c r="H1026" i="1"/>
  <c r="G1026" i="1"/>
  <c r="F1026" i="1"/>
  <c r="T1025" i="1"/>
  <c r="S1025" i="1"/>
  <c r="R1025" i="1"/>
  <c r="Q1025" i="1"/>
  <c r="P1025" i="1"/>
  <c r="O1025" i="1"/>
  <c r="N1025" i="1"/>
  <c r="M1025" i="1"/>
  <c r="L1025" i="1"/>
  <c r="K1025" i="1"/>
  <c r="J1025" i="1"/>
  <c r="I1025" i="1"/>
  <c r="H1025" i="1"/>
  <c r="G1025" i="1"/>
  <c r="F1025" i="1"/>
  <c r="T1024" i="1"/>
  <c r="S1024" i="1"/>
  <c r="R1024" i="1"/>
  <c r="Q1024" i="1"/>
  <c r="P1024" i="1"/>
  <c r="O1024" i="1"/>
  <c r="N1024" i="1"/>
  <c r="M1024" i="1"/>
  <c r="L1024" i="1"/>
  <c r="K1024" i="1"/>
  <c r="J1024" i="1"/>
  <c r="I1024" i="1"/>
  <c r="H1024" i="1"/>
  <c r="F1024" i="1"/>
  <c r="G1024" i="1" s="1"/>
  <c r="T1023" i="1"/>
  <c r="S1023" i="1"/>
  <c r="R1023" i="1"/>
  <c r="Q1023" i="1"/>
  <c r="P1023" i="1"/>
  <c r="O1023" i="1"/>
  <c r="N1023" i="1"/>
  <c r="M1023" i="1"/>
  <c r="L1023" i="1"/>
  <c r="K1023" i="1"/>
  <c r="J1023" i="1"/>
  <c r="I1023" i="1"/>
  <c r="H1023" i="1"/>
  <c r="G1023" i="1"/>
  <c r="F1023" i="1"/>
  <c r="T1022" i="1"/>
  <c r="S1022" i="1"/>
  <c r="R1022" i="1"/>
  <c r="Q1022" i="1"/>
  <c r="P1022" i="1"/>
  <c r="O1022" i="1"/>
  <c r="N1022" i="1"/>
  <c r="M1022" i="1"/>
  <c r="L1022" i="1"/>
  <c r="K1022" i="1"/>
  <c r="J1022" i="1"/>
  <c r="I1022" i="1"/>
  <c r="H1022" i="1"/>
  <c r="F1022" i="1"/>
  <c r="G1022" i="1" s="1"/>
  <c r="T1021" i="1"/>
  <c r="S1021" i="1"/>
  <c r="R1021" i="1"/>
  <c r="Q1021" i="1"/>
  <c r="P1021" i="1"/>
  <c r="O1021" i="1"/>
  <c r="N1021" i="1"/>
  <c r="M1021" i="1"/>
  <c r="L1021" i="1"/>
  <c r="K1021" i="1"/>
  <c r="J1021" i="1"/>
  <c r="I1021" i="1"/>
  <c r="H1021" i="1"/>
  <c r="G1021" i="1"/>
  <c r="F1021" i="1"/>
  <c r="T1020" i="1"/>
  <c r="S1020" i="1"/>
  <c r="R1020" i="1"/>
  <c r="Q1020" i="1"/>
  <c r="P1020" i="1"/>
  <c r="O1020" i="1"/>
  <c r="N1020" i="1"/>
  <c r="M1020" i="1"/>
  <c r="L1020" i="1"/>
  <c r="K1020" i="1"/>
  <c r="J1020" i="1"/>
  <c r="I1020" i="1"/>
  <c r="H1020" i="1"/>
  <c r="G1020" i="1"/>
  <c r="F1020" i="1"/>
  <c r="T1019" i="1"/>
  <c r="S1019" i="1"/>
  <c r="R1019" i="1"/>
  <c r="Q1019" i="1"/>
  <c r="P1019" i="1"/>
  <c r="O1019" i="1"/>
  <c r="N1019" i="1"/>
  <c r="M1019" i="1"/>
  <c r="L1019" i="1"/>
  <c r="K1019" i="1"/>
  <c r="J1019" i="1"/>
  <c r="I1019" i="1"/>
  <c r="H1019" i="1"/>
  <c r="F1019" i="1"/>
  <c r="G1019" i="1" s="1"/>
  <c r="T1018" i="1"/>
  <c r="S1018" i="1"/>
  <c r="R1018" i="1"/>
  <c r="Q1018" i="1"/>
  <c r="P1018" i="1"/>
  <c r="O1018" i="1"/>
  <c r="N1018" i="1"/>
  <c r="M1018" i="1"/>
  <c r="L1018" i="1"/>
  <c r="K1018" i="1"/>
  <c r="J1018" i="1"/>
  <c r="I1018" i="1"/>
  <c r="H1018" i="1"/>
  <c r="G1018" i="1"/>
  <c r="F1018" i="1"/>
  <c r="T1017" i="1"/>
  <c r="S1017" i="1"/>
  <c r="R1017" i="1"/>
  <c r="Q1017" i="1"/>
  <c r="P1017" i="1"/>
  <c r="O1017" i="1"/>
  <c r="N1017" i="1"/>
  <c r="M1017" i="1"/>
  <c r="L1017" i="1"/>
  <c r="K1017" i="1"/>
  <c r="J1017" i="1"/>
  <c r="I1017" i="1"/>
  <c r="H1017" i="1"/>
  <c r="G1017" i="1"/>
  <c r="F1017" i="1"/>
  <c r="T1016" i="1"/>
  <c r="S1016" i="1"/>
  <c r="R1016" i="1"/>
  <c r="Q1016" i="1"/>
  <c r="P1016" i="1"/>
  <c r="O1016" i="1"/>
  <c r="N1016" i="1"/>
  <c r="M1016" i="1"/>
  <c r="L1016" i="1"/>
  <c r="K1016" i="1"/>
  <c r="J1016" i="1"/>
  <c r="I1016" i="1"/>
  <c r="H1016" i="1"/>
  <c r="F1016" i="1"/>
  <c r="G1016" i="1" s="1"/>
  <c r="T1015" i="1"/>
  <c r="S1015" i="1"/>
  <c r="R1015" i="1"/>
  <c r="Q1015" i="1"/>
  <c r="P1015" i="1"/>
  <c r="O1015" i="1"/>
  <c r="N1015" i="1"/>
  <c r="M1015" i="1"/>
  <c r="L1015" i="1"/>
  <c r="K1015" i="1"/>
  <c r="J1015" i="1"/>
  <c r="I1015" i="1"/>
  <c r="H1015" i="1"/>
  <c r="G1015" i="1"/>
  <c r="F1015" i="1"/>
  <c r="T1014" i="1"/>
  <c r="S1014" i="1"/>
  <c r="R1014" i="1"/>
  <c r="Q1014" i="1"/>
  <c r="P1014" i="1"/>
  <c r="O1014" i="1"/>
  <c r="N1014" i="1"/>
  <c r="M1014" i="1"/>
  <c r="L1014" i="1"/>
  <c r="K1014" i="1"/>
  <c r="J1014" i="1"/>
  <c r="I1014" i="1"/>
  <c r="H1014" i="1"/>
  <c r="F1014" i="1"/>
  <c r="G1014" i="1" s="1"/>
  <c r="T1013" i="1"/>
  <c r="S1013" i="1"/>
  <c r="R1013" i="1"/>
  <c r="Q1013" i="1"/>
  <c r="P1013" i="1"/>
  <c r="O1013" i="1"/>
  <c r="N1013" i="1"/>
  <c r="M1013" i="1"/>
  <c r="L1013" i="1"/>
  <c r="K1013" i="1"/>
  <c r="J1013" i="1"/>
  <c r="I1013" i="1"/>
  <c r="H1013" i="1"/>
  <c r="G1013" i="1"/>
  <c r="F1013" i="1"/>
  <c r="T1012" i="1"/>
  <c r="S1012" i="1"/>
  <c r="R1012" i="1"/>
  <c r="Q1012" i="1"/>
  <c r="P1012" i="1"/>
  <c r="O1012" i="1"/>
  <c r="N1012" i="1"/>
  <c r="M1012" i="1"/>
  <c r="L1012" i="1"/>
  <c r="K1012" i="1"/>
  <c r="J1012" i="1"/>
  <c r="I1012" i="1"/>
  <c r="H1012" i="1"/>
  <c r="G1012" i="1"/>
  <c r="F1012" i="1"/>
  <c r="T1011" i="1"/>
  <c r="S1011" i="1"/>
  <c r="R1011" i="1"/>
  <c r="Q1011" i="1"/>
  <c r="P1011" i="1"/>
  <c r="O1011" i="1"/>
  <c r="N1011" i="1"/>
  <c r="M1011" i="1"/>
  <c r="L1011" i="1"/>
  <c r="K1011" i="1"/>
  <c r="J1011" i="1"/>
  <c r="I1011" i="1"/>
  <c r="H1011" i="1"/>
  <c r="F1011" i="1"/>
  <c r="G1011" i="1" s="1"/>
  <c r="T1010" i="1"/>
  <c r="S1010" i="1"/>
  <c r="R1010" i="1"/>
  <c r="Q1010" i="1"/>
  <c r="P1010" i="1"/>
  <c r="O1010" i="1"/>
  <c r="N1010" i="1"/>
  <c r="M1010" i="1"/>
  <c r="L1010" i="1"/>
  <c r="K1010" i="1"/>
  <c r="J1010" i="1"/>
  <c r="I1010" i="1"/>
  <c r="H1010" i="1"/>
  <c r="G1010" i="1"/>
  <c r="F1010" i="1"/>
  <c r="T1009" i="1"/>
  <c r="S1009" i="1"/>
  <c r="R1009" i="1"/>
  <c r="Q1009" i="1"/>
  <c r="P1009" i="1"/>
  <c r="O1009" i="1"/>
  <c r="N1009" i="1"/>
  <c r="M1009" i="1"/>
  <c r="L1009" i="1"/>
  <c r="K1009" i="1"/>
  <c r="J1009" i="1"/>
  <c r="I1009" i="1"/>
  <c r="H1009" i="1"/>
  <c r="G1009" i="1"/>
  <c r="F1009" i="1"/>
  <c r="T1008" i="1"/>
  <c r="S1008" i="1"/>
  <c r="R1008" i="1"/>
  <c r="Q1008" i="1"/>
  <c r="P1008" i="1"/>
  <c r="O1008" i="1"/>
  <c r="N1008" i="1"/>
  <c r="M1008" i="1"/>
  <c r="L1008" i="1"/>
  <c r="K1008" i="1"/>
  <c r="J1008" i="1"/>
  <c r="I1008" i="1"/>
  <c r="H1008" i="1"/>
  <c r="F1008" i="1"/>
  <c r="G1008" i="1" s="1"/>
  <c r="T1007" i="1"/>
  <c r="S1007" i="1"/>
  <c r="R1007" i="1"/>
  <c r="Q1007" i="1"/>
  <c r="P1007" i="1"/>
  <c r="O1007" i="1"/>
  <c r="N1007" i="1"/>
  <c r="M1007" i="1"/>
  <c r="L1007" i="1"/>
  <c r="K1007" i="1"/>
  <c r="J1007" i="1"/>
  <c r="I1007" i="1"/>
  <c r="H1007" i="1"/>
  <c r="G1007" i="1"/>
  <c r="F1007" i="1"/>
  <c r="T1006" i="1"/>
  <c r="S1006" i="1"/>
  <c r="R1006" i="1"/>
  <c r="Q1006" i="1"/>
  <c r="P1006" i="1"/>
  <c r="O1006" i="1"/>
  <c r="N1006" i="1"/>
  <c r="M1006" i="1"/>
  <c r="L1006" i="1"/>
  <c r="K1006" i="1"/>
  <c r="J1006" i="1"/>
  <c r="I1006" i="1"/>
  <c r="H1006" i="1"/>
  <c r="F1006" i="1"/>
  <c r="G1006" i="1" s="1"/>
  <c r="T1005" i="1"/>
  <c r="S1005" i="1"/>
  <c r="R1005" i="1"/>
  <c r="Q1005" i="1"/>
  <c r="P1005" i="1"/>
  <c r="O1005" i="1"/>
  <c r="N1005" i="1"/>
  <c r="M1005" i="1"/>
  <c r="L1005" i="1"/>
  <c r="K1005" i="1"/>
  <c r="J1005" i="1"/>
  <c r="I1005" i="1"/>
  <c r="H1005" i="1"/>
  <c r="G1005" i="1"/>
  <c r="F1005" i="1"/>
  <c r="T1004" i="1"/>
  <c r="S1004" i="1"/>
  <c r="R1004" i="1"/>
  <c r="Q1004" i="1"/>
  <c r="P1004" i="1"/>
  <c r="O1004" i="1"/>
  <c r="N1004" i="1"/>
  <c r="M1004" i="1"/>
  <c r="L1004" i="1"/>
  <c r="K1004" i="1"/>
  <c r="J1004" i="1"/>
  <c r="I1004" i="1"/>
  <c r="H1004" i="1"/>
  <c r="G1004" i="1"/>
  <c r="F1004" i="1"/>
  <c r="T1003" i="1"/>
  <c r="S1003" i="1"/>
  <c r="R1003" i="1"/>
  <c r="Q1003" i="1"/>
  <c r="P1003" i="1"/>
  <c r="O1003" i="1"/>
  <c r="N1003" i="1"/>
  <c r="M1003" i="1"/>
  <c r="L1003" i="1"/>
  <c r="K1003" i="1"/>
  <c r="J1003" i="1"/>
  <c r="I1003" i="1"/>
  <c r="H1003" i="1"/>
  <c r="F1003" i="1"/>
  <c r="G1003" i="1" s="1"/>
  <c r="T1002" i="1"/>
  <c r="S1002" i="1"/>
  <c r="R1002" i="1"/>
  <c r="Q1002" i="1"/>
  <c r="P1002" i="1"/>
  <c r="O1002" i="1"/>
  <c r="N1002" i="1"/>
  <c r="M1002" i="1"/>
  <c r="L1002" i="1"/>
  <c r="K1002" i="1"/>
  <c r="J1002" i="1"/>
  <c r="I1002" i="1"/>
  <c r="H1002" i="1"/>
  <c r="G1002" i="1"/>
  <c r="F1002" i="1"/>
  <c r="T1001" i="1"/>
  <c r="S1001" i="1"/>
  <c r="R1001" i="1"/>
  <c r="Q1001" i="1"/>
  <c r="P1001" i="1"/>
  <c r="O1001" i="1"/>
  <c r="N1001" i="1"/>
  <c r="M1001" i="1"/>
  <c r="L1001" i="1"/>
  <c r="K1001" i="1"/>
  <c r="J1001" i="1"/>
  <c r="I1001" i="1"/>
  <c r="H1001" i="1"/>
  <c r="G1001" i="1"/>
  <c r="F1001" i="1"/>
  <c r="T1000" i="1"/>
  <c r="S1000" i="1"/>
  <c r="R1000" i="1"/>
  <c r="Q1000" i="1"/>
  <c r="P1000" i="1"/>
  <c r="O1000" i="1"/>
  <c r="N1000" i="1"/>
  <c r="M1000" i="1"/>
  <c r="L1000" i="1"/>
  <c r="K1000" i="1"/>
  <c r="J1000" i="1"/>
  <c r="I1000" i="1"/>
  <c r="H1000" i="1"/>
  <c r="F1000" i="1"/>
  <c r="G1000" i="1" s="1"/>
  <c r="T999" i="1"/>
  <c r="S999" i="1"/>
  <c r="R999" i="1"/>
  <c r="Q999" i="1"/>
  <c r="P999" i="1"/>
  <c r="O999" i="1"/>
  <c r="N999" i="1"/>
  <c r="M999" i="1"/>
  <c r="L999" i="1"/>
  <c r="K999" i="1"/>
  <c r="J999" i="1"/>
  <c r="I999" i="1"/>
  <c r="H999" i="1"/>
  <c r="G999" i="1"/>
  <c r="F999" i="1"/>
  <c r="T998" i="1"/>
  <c r="S998" i="1"/>
  <c r="R998" i="1"/>
  <c r="Q998" i="1"/>
  <c r="P998" i="1"/>
  <c r="O998" i="1"/>
  <c r="N998" i="1"/>
  <c r="M998" i="1"/>
  <c r="L998" i="1"/>
  <c r="K998" i="1"/>
  <c r="J998" i="1"/>
  <c r="I998" i="1"/>
  <c r="H998" i="1"/>
  <c r="F998" i="1"/>
  <c r="G998" i="1" s="1"/>
  <c r="T997" i="1"/>
  <c r="S997" i="1"/>
  <c r="R997" i="1"/>
  <c r="Q997" i="1"/>
  <c r="P997" i="1"/>
  <c r="O997" i="1"/>
  <c r="N997" i="1"/>
  <c r="M997" i="1"/>
  <c r="L997" i="1"/>
  <c r="K997" i="1"/>
  <c r="J997" i="1"/>
  <c r="I997" i="1"/>
  <c r="H997" i="1"/>
  <c r="G997" i="1"/>
  <c r="F997" i="1"/>
  <c r="T996" i="1"/>
  <c r="S996" i="1"/>
  <c r="R996" i="1"/>
  <c r="Q996" i="1"/>
  <c r="P996" i="1"/>
  <c r="O996" i="1"/>
  <c r="N996" i="1"/>
  <c r="M996" i="1"/>
  <c r="L996" i="1"/>
  <c r="K996" i="1"/>
  <c r="J996" i="1"/>
  <c r="I996" i="1"/>
  <c r="H996" i="1"/>
  <c r="G996" i="1"/>
  <c r="F996" i="1"/>
  <c r="T995" i="1"/>
  <c r="S995" i="1"/>
  <c r="R995" i="1"/>
  <c r="Q995" i="1"/>
  <c r="P995" i="1"/>
  <c r="O995" i="1"/>
  <c r="N995" i="1"/>
  <c r="M995" i="1"/>
  <c r="L995" i="1"/>
  <c r="K995" i="1"/>
  <c r="J995" i="1"/>
  <c r="I995" i="1"/>
  <c r="H995" i="1"/>
  <c r="F995" i="1"/>
  <c r="G995" i="1" s="1"/>
  <c r="T994" i="1"/>
  <c r="S994" i="1"/>
  <c r="R994" i="1"/>
  <c r="Q994" i="1"/>
  <c r="P994" i="1"/>
  <c r="O994" i="1"/>
  <c r="N994" i="1"/>
  <c r="M994" i="1"/>
  <c r="L994" i="1"/>
  <c r="K994" i="1"/>
  <c r="J994" i="1"/>
  <c r="I994" i="1"/>
  <c r="H994" i="1"/>
  <c r="G994" i="1"/>
  <c r="F994" i="1"/>
  <c r="T993" i="1"/>
  <c r="S993" i="1"/>
  <c r="R993" i="1"/>
  <c r="Q993" i="1"/>
  <c r="P993" i="1"/>
  <c r="O993" i="1"/>
  <c r="N993" i="1"/>
  <c r="M993" i="1"/>
  <c r="L993" i="1"/>
  <c r="K993" i="1"/>
  <c r="J993" i="1"/>
  <c r="I993" i="1"/>
  <c r="H993" i="1"/>
  <c r="G993" i="1"/>
  <c r="F993" i="1"/>
  <c r="T992" i="1"/>
  <c r="S992" i="1"/>
  <c r="R992" i="1"/>
  <c r="Q992" i="1"/>
  <c r="P992" i="1"/>
  <c r="O992" i="1"/>
  <c r="N992" i="1"/>
  <c r="M992" i="1"/>
  <c r="L992" i="1"/>
  <c r="K992" i="1"/>
  <c r="J992" i="1"/>
  <c r="I992" i="1"/>
  <c r="H992" i="1"/>
  <c r="F992" i="1"/>
  <c r="G992" i="1" s="1"/>
  <c r="T991" i="1"/>
  <c r="S991" i="1"/>
  <c r="R991" i="1"/>
  <c r="Q991" i="1"/>
  <c r="P991" i="1"/>
  <c r="O991" i="1"/>
  <c r="N991" i="1"/>
  <c r="M991" i="1"/>
  <c r="L991" i="1"/>
  <c r="K991" i="1"/>
  <c r="J991" i="1"/>
  <c r="I991" i="1"/>
  <c r="H991" i="1"/>
  <c r="G991" i="1"/>
  <c r="F991" i="1"/>
  <c r="T990" i="1"/>
  <c r="S990" i="1"/>
  <c r="R990" i="1"/>
  <c r="Q990" i="1"/>
  <c r="P990" i="1"/>
  <c r="O990" i="1"/>
  <c r="N990" i="1"/>
  <c r="M990" i="1"/>
  <c r="L990" i="1"/>
  <c r="K990" i="1"/>
  <c r="J990" i="1"/>
  <c r="I990" i="1"/>
  <c r="H990" i="1"/>
  <c r="F990" i="1"/>
  <c r="G990" i="1" s="1"/>
  <c r="T989" i="1"/>
  <c r="S989" i="1"/>
  <c r="R989" i="1"/>
  <c r="Q989" i="1"/>
  <c r="P989" i="1"/>
  <c r="O989" i="1"/>
  <c r="N989" i="1"/>
  <c r="M989" i="1"/>
  <c r="L989" i="1"/>
  <c r="K989" i="1"/>
  <c r="J989" i="1"/>
  <c r="I989" i="1"/>
  <c r="H989" i="1"/>
  <c r="G989" i="1"/>
  <c r="F989" i="1"/>
  <c r="T988" i="1"/>
  <c r="S988" i="1"/>
  <c r="R988" i="1"/>
  <c r="Q988" i="1"/>
  <c r="P988" i="1"/>
  <c r="O988" i="1"/>
  <c r="N988" i="1"/>
  <c r="M988" i="1"/>
  <c r="L988" i="1"/>
  <c r="K988" i="1"/>
  <c r="J988" i="1"/>
  <c r="I988" i="1"/>
  <c r="H988" i="1"/>
  <c r="G988" i="1"/>
  <c r="F988" i="1"/>
  <c r="T987" i="1"/>
  <c r="S987" i="1"/>
  <c r="R987" i="1"/>
  <c r="Q987" i="1"/>
  <c r="P987" i="1"/>
  <c r="O987" i="1"/>
  <c r="N987" i="1"/>
  <c r="M987" i="1"/>
  <c r="L987" i="1"/>
  <c r="K987" i="1"/>
  <c r="J987" i="1"/>
  <c r="I987" i="1"/>
  <c r="H987" i="1"/>
  <c r="F987" i="1"/>
  <c r="G987" i="1" s="1"/>
  <c r="T986" i="1"/>
  <c r="S986" i="1"/>
  <c r="R986" i="1"/>
  <c r="Q986" i="1"/>
  <c r="P986" i="1"/>
  <c r="O986" i="1"/>
  <c r="N986" i="1"/>
  <c r="M986" i="1"/>
  <c r="L986" i="1"/>
  <c r="K986" i="1"/>
  <c r="J986" i="1"/>
  <c r="I986" i="1"/>
  <c r="H986" i="1"/>
  <c r="G986" i="1"/>
  <c r="F986" i="1"/>
  <c r="T985" i="1"/>
  <c r="S985" i="1"/>
  <c r="R985" i="1"/>
  <c r="Q985" i="1"/>
  <c r="P985" i="1"/>
  <c r="O985" i="1"/>
  <c r="N985" i="1"/>
  <c r="M985" i="1"/>
  <c r="L985" i="1"/>
  <c r="K985" i="1"/>
  <c r="J985" i="1"/>
  <c r="I985" i="1"/>
  <c r="H985" i="1"/>
  <c r="G985" i="1"/>
  <c r="F985" i="1"/>
  <c r="T984" i="1"/>
  <c r="S984" i="1"/>
  <c r="R984" i="1"/>
  <c r="Q984" i="1"/>
  <c r="P984" i="1"/>
  <c r="O984" i="1"/>
  <c r="N984" i="1"/>
  <c r="M984" i="1"/>
  <c r="L984" i="1"/>
  <c r="K984" i="1"/>
  <c r="J984" i="1"/>
  <c r="I984" i="1"/>
  <c r="H984" i="1"/>
  <c r="F984" i="1"/>
  <c r="G984" i="1" s="1"/>
  <c r="T983" i="1"/>
  <c r="S983" i="1"/>
  <c r="R983" i="1"/>
  <c r="Q983" i="1"/>
  <c r="P983" i="1"/>
  <c r="O983" i="1"/>
  <c r="N983" i="1"/>
  <c r="M983" i="1"/>
  <c r="L983" i="1"/>
  <c r="K983" i="1"/>
  <c r="J983" i="1"/>
  <c r="I983" i="1"/>
  <c r="H983" i="1"/>
  <c r="G983" i="1"/>
  <c r="F983" i="1"/>
  <c r="T982" i="1"/>
  <c r="S982" i="1"/>
  <c r="R982" i="1"/>
  <c r="Q982" i="1"/>
  <c r="P982" i="1"/>
  <c r="O982" i="1"/>
  <c r="N982" i="1"/>
  <c r="M982" i="1"/>
  <c r="L982" i="1"/>
  <c r="K982" i="1"/>
  <c r="J982" i="1"/>
  <c r="I982" i="1"/>
  <c r="H982" i="1"/>
  <c r="F982" i="1"/>
  <c r="G982" i="1" s="1"/>
  <c r="T981" i="1"/>
  <c r="S981" i="1"/>
  <c r="R981" i="1"/>
  <c r="Q981" i="1"/>
  <c r="P981" i="1"/>
  <c r="O981" i="1"/>
  <c r="N981" i="1"/>
  <c r="M981" i="1"/>
  <c r="L981" i="1"/>
  <c r="K981" i="1"/>
  <c r="J981" i="1"/>
  <c r="I981" i="1"/>
  <c r="H981" i="1"/>
  <c r="G981" i="1"/>
  <c r="F981" i="1"/>
  <c r="T980" i="1"/>
  <c r="S980" i="1"/>
  <c r="R980" i="1"/>
  <c r="Q980" i="1"/>
  <c r="P980" i="1"/>
  <c r="O980" i="1"/>
  <c r="N980" i="1"/>
  <c r="M980" i="1"/>
  <c r="L980" i="1"/>
  <c r="K980" i="1"/>
  <c r="J980" i="1"/>
  <c r="I980" i="1"/>
  <c r="H980" i="1"/>
  <c r="G980" i="1"/>
  <c r="F980" i="1"/>
  <c r="T979" i="1"/>
  <c r="S979" i="1"/>
  <c r="R979" i="1"/>
  <c r="Q979" i="1"/>
  <c r="P979" i="1"/>
  <c r="O979" i="1"/>
  <c r="N979" i="1"/>
  <c r="M979" i="1"/>
  <c r="L979" i="1"/>
  <c r="K979" i="1"/>
  <c r="J979" i="1"/>
  <c r="I979" i="1"/>
  <c r="H979" i="1"/>
  <c r="F979" i="1"/>
  <c r="G979" i="1" s="1"/>
  <c r="T978" i="1"/>
  <c r="S978" i="1"/>
  <c r="R978" i="1"/>
  <c r="Q978" i="1"/>
  <c r="P978" i="1"/>
  <c r="O978" i="1"/>
  <c r="N978" i="1"/>
  <c r="M978" i="1"/>
  <c r="L978" i="1"/>
  <c r="K978" i="1"/>
  <c r="J978" i="1"/>
  <c r="I978" i="1"/>
  <c r="H978" i="1"/>
  <c r="G978" i="1"/>
  <c r="F978" i="1"/>
  <c r="T977" i="1"/>
  <c r="S977" i="1"/>
  <c r="R977" i="1"/>
  <c r="Q977" i="1"/>
  <c r="P977" i="1"/>
  <c r="O977" i="1"/>
  <c r="N977" i="1"/>
  <c r="M977" i="1"/>
  <c r="L977" i="1"/>
  <c r="K977" i="1"/>
  <c r="J977" i="1"/>
  <c r="I977" i="1"/>
  <c r="H977" i="1"/>
  <c r="G977" i="1"/>
  <c r="F977" i="1"/>
  <c r="T976" i="1"/>
  <c r="S976" i="1"/>
  <c r="R976" i="1"/>
  <c r="Q976" i="1"/>
  <c r="P976" i="1"/>
  <c r="O976" i="1"/>
  <c r="N976" i="1"/>
  <c r="M976" i="1"/>
  <c r="L976" i="1"/>
  <c r="K976" i="1"/>
  <c r="J976" i="1"/>
  <c r="I976" i="1"/>
  <c r="H976" i="1"/>
  <c r="F976" i="1"/>
  <c r="G976" i="1" s="1"/>
  <c r="T975" i="1"/>
  <c r="S975" i="1"/>
  <c r="R975" i="1"/>
  <c r="Q975" i="1"/>
  <c r="P975" i="1"/>
  <c r="O975" i="1"/>
  <c r="N975" i="1"/>
  <c r="M975" i="1"/>
  <c r="L975" i="1"/>
  <c r="K975" i="1"/>
  <c r="J975" i="1"/>
  <c r="I975" i="1"/>
  <c r="H975" i="1"/>
  <c r="G975" i="1"/>
  <c r="F975" i="1"/>
  <c r="T974" i="1"/>
  <c r="S974" i="1"/>
  <c r="R974" i="1"/>
  <c r="Q974" i="1"/>
  <c r="P974" i="1"/>
  <c r="O974" i="1"/>
  <c r="N974" i="1"/>
  <c r="M974" i="1"/>
  <c r="L974" i="1"/>
  <c r="K974" i="1"/>
  <c r="J974" i="1"/>
  <c r="I974" i="1"/>
  <c r="H974" i="1"/>
  <c r="F974" i="1"/>
  <c r="G974" i="1" s="1"/>
  <c r="T973" i="1"/>
  <c r="S973" i="1"/>
  <c r="R973" i="1"/>
  <c r="Q973" i="1"/>
  <c r="P973" i="1"/>
  <c r="O973" i="1"/>
  <c r="N973" i="1"/>
  <c r="M973" i="1"/>
  <c r="L973" i="1"/>
  <c r="K973" i="1"/>
  <c r="J973" i="1"/>
  <c r="I973" i="1"/>
  <c r="H973" i="1"/>
  <c r="G973" i="1"/>
  <c r="F973" i="1"/>
  <c r="T972" i="1"/>
  <c r="S972" i="1"/>
  <c r="R972" i="1"/>
  <c r="Q972" i="1"/>
  <c r="P972" i="1"/>
  <c r="O972" i="1"/>
  <c r="N972" i="1"/>
  <c r="M972" i="1"/>
  <c r="L972" i="1"/>
  <c r="K972" i="1"/>
  <c r="J972" i="1"/>
  <c r="I972" i="1"/>
  <c r="H972" i="1"/>
  <c r="G972" i="1"/>
  <c r="F972" i="1"/>
  <c r="T971" i="1"/>
  <c r="S971" i="1"/>
  <c r="R971" i="1"/>
  <c r="Q971" i="1"/>
  <c r="P971" i="1"/>
  <c r="O971" i="1"/>
  <c r="N971" i="1"/>
  <c r="M971" i="1"/>
  <c r="L971" i="1"/>
  <c r="K971" i="1"/>
  <c r="J971" i="1"/>
  <c r="I971" i="1"/>
  <c r="H971" i="1"/>
  <c r="F971" i="1"/>
  <c r="G971" i="1" s="1"/>
  <c r="T970" i="1"/>
  <c r="S970" i="1"/>
  <c r="R970" i="1"/>
  <c r="Q970" i="1"/>
  <c r="P970" i="1"/>
  <c r="O970" i="1"/>
  <c r="N970" i="1"/>
  <c r="M970" i="1"/>
  <c r="L970" i="1"/>
  <c r="K970" i="1"/>
  <c r="J970" i="1"/>
  <c r="I970" i="1"/>
  <c r="H970" i="1"/>
  <c r="G970" i="1"/>
  <c r="F970" i="1"/>
  <c r="T969" i="1"/>
  <c r="S969" i="1"/>
  <c r="R969" i="1"/>
  <c r="Q969" i="1"/>
  <c r="P969" i="1"/>
  <c r="O969" i="1"/>
  <c r="N969" i="1"/>
  <c r="M969" i="1"/>
  <c r="L969" i="1"/>
  <c r="K969" i="1"/>
  <c r="J969" i="1"/>
  <c r="I969" i="1"/>
  <c r="H969" i="1"/>
  <c r="G969" i="1"/>
  <c r="F969" i="1"/>
  <c r="T968" i="1"/>
  <c r="S968" i="1"/>
  <c r="R968" i="1"/>
  <c r="Q968" i="1"/>
  <c r="P968" i="1"/>
  <c r="O968" i="1"/>
  <c r="N968" i="1"/>
  <c r="M968" i="1"/>
  <c r="L968" i="1"/>
  <c r="K968" i="1"/>
  <c r="J968" i="1"/>
  <c r="I968" i="1"/>
  <c r="H968" i="1"/>
  <c r="F968" i="1"/>
  <c r="G968" i="1" s="1"/>
  <c r="T967" i="1"/>
  <c r="S967" i="1"/>
  <c r="R967" i="1"/>
  <c r="Q967" i="1"/>
  <c r="P967" i="1"/>
  <c r="O967" i="1"/>
  <c r="N967" i="1"/>
  <c r="M967" i="1"/>
  <c r="L967" i="1"/>
  <c r="K967" i="1"/>
  <c r="J967" i="1"/>
  <c r="I967" i="1"/>
  <c r="H967" i="1"/>
  <c r="G967" i="1"/>
  <c r="F967" i="1"/>
  <c r="T966" i="1"/>
  <c r="S966" i="1"/>
  <c r="R966" i="1"/>
  <c r="Q966" i="1"/>
  <c r="P966" i="1"/>
  <c r="O966" i="1"/>
  <c r="N966" i="1"/>
  <c r="M966" i="1"/>
  <c r="L966" i="1"/>
  <c r="K966" i="1"/>
  <c r="J966" i="1"/>
  <c r="I966" i="1"/>
  <c r="H966" i="1"/>
  <c r="F966" i="1"/>
  <c r="G966" i="1" s="1"/>
  <c r="T965" i="1"/>
  <c r="S965" i="1"/>
  <c r="R965" i="1"/>
  <c r="Q965" i="1"/>
  <c r="P965" i="1"/>
  <c r="O965" i="1"/>
  <c r="N965" i="1"/>
  <c r="M965" i="1"/>
  <c r="L965" i="1"/>
  <c r="K965" i="1"/>
  <c r="J965" i="1"/>
  <c r="I965" i="1"/>
  <c r="H965" i="1"/>
  <c r="G965" i="1"/>
  <c r="F965" i="1"/>
  <c r="T964" i="1"/>
  <c r="S964" i="1"/>
  <c r="R964" i="1"/>
  <c r="Q964" i="1"/>
  <c r="P964" i="1"/>
  <c r="O964" i="1"/>
  <c r="N964" i="1"/>
  <c r="M964" i="1"/>
  <c r="L964" i="1"/>
  <c r="K964" i="1"/>
  <c r="J964" i="1"/>
  <c r="I964" i="1"/>
  <c r="H964" i="1"/>
  <c r="G964" i="1"/>
  <c r="F964" i="1"/>
  <c r="T963" i="1"/>
  <c r="S963" i="1"/>
  <c r="R963" i="1"/>
  <c r="Q963" i="1"/>
  <c r="P963" i="1"/>
  <c r="O963" i="1"/>
  <c r="N963" i="1"/>
  <c r="M963" i="1"/>
  <c r="L963" i="1"/>
  <c r="K963" i="1"/>
  <c r="J963" i="1"/>
  <c r="I963" i="1"/>
  <c r="H963" i="1"/>
  <c r="F963" i="1"/>
  <c r="G963" i="1" s="1"/>
  <c r="T962" i="1"/>
  <c r="S962" i="1"/>
  <c r="R962" i="1"/>
  <c r="Q962" i="1"/>
  <c r="P962" i="1"/>
  <c r="O962" i="1"/>
  <c r="N962" i="1"/>
  <c r="M962" i="1"/>
  <c r="L962" i="1"/>
  <c r="K962" i="1"/>
  <c r="J962" i="1"/>
  <c r="I962" i="1"/>
  <c r="H962" i="1"/>
  <c r="G962" i="1"/>
  <c r="F962" i="1"/>
  <c r="T961" i="1"/>
  <c r="S961" i="1"/>
  <c r="R961" i="1"/>
  <c r="Q961" i="1"/>
  <c r="P961" i="1"/>
  <c r="O961" i="1"/>
  <c r="N961" i="1"/>
  <c r="M961" i="1"/>
  <c r="L961" i="1"/>
  <c r="K961" i="1"/>
  <c r="J961" i="1"/>
  <c r="I961" i="1"/>
  <c r="H961" i="1"/>
  <c r="G961" i="1"/>
  <c r="F961" i="1"/>
  <c r="T960" i="1"/>
  <c r="S960" i="1"/>
  <c r="R960" i="1"/>
  <c r="Q960" i="1"/>
  <c r="P960" i="1"/>
  <c r="O960" i="1"/>
  <c r="N960" i="1"/>
  <c r="M960" i="1"/>
  <c r="L960" i="1"/>
  <c r="K960" i="1"/>
  <c r="J960" i="1"/>
  <c r="I960" i="1"/>
  <c r="H960" i="1"/>
  <c r="F960" i="1"/>
  <c r="G960" i="1" s="1"/>
  <c r="T959" i="1"/>
  <c r="S959" i="1"/>
  <c r="R959" i="1"/>
  <c r="Q959" i="1"/>
  <c r="P959" i="1"/>
  <c r="O959" i="1"/>
  <c r="N959" i="1"/>
  <c r="M959" i="1"/>
  <c r="L959" i="1"/>
  <c r="K959" i="1"/>
  <c r="J959" i="1"/>
  <c r="I959" i="1"/>
  <c r="H959" i="1"/>
  <c r="G959" i="1"/>
  <c r="F959" i="1"/>
  <c r="T958" i="1"/>
  <c r="S958" i="1"/>
  <c r="R958" i="1"/>
  <c r="Q958" i="1"/>
  <c r="P958" i="1"/>
  <c r="O958" i="1"/>
  <c r="N958" i="1"/>
  <c r="M958" i="1"/>
  <c r="L958" i="1"/>
  <c r="K958" i="1"/>
  <c r="J958" i="1"/>
  <c r="I958" i="1"/>
  <c r="H958" i="1"/>
  <c r="F958" i="1"/>
  <c r="G958" i="1" s="1"/>
  <c r="T957" i="1"/>
  <c r="S957" i="1"/>
  <c r="R957" i="1"/>
  <c r="Q957" i="1"/>
  <c r="P957" i="1"/>
  <c r="O957" i="1"/>
  <c r="N957" i="1"/>
  <c r="M957" i="1"/>
  <c r="L957" i="1"/>
  <c r="K957" i="1"/>
  <c r="J957" i="1"/>
  <c r="I957" i="1"/>
  <c r="H957" i="1"/>
  <c r="G957" i="1"/>
  <c r="F957" i="1"/>
  <c r="T956" i="1"/>
  <c r="S956" i="1"/>
  <c r="R956" i="1"/>
  <c r="Q956" i="1"/>
  <c r="P956" i="1"/>
  <c r="O956" i="1"/>
  <c r="N956" i="1"/>
  <c r="M956" i="1"/>
  <c r="L956" i="1"/>
  <c r="K956" i="1"/>
  <c r="J956" i="1"/>
  <c r="I956" i="1"/>
  <c r="H956" i="1"/>
  <c r="G956" i="1"/>
  <c r="F956" i="1"/>
  <c r="T955" i="1"/>
  <c r="S955" i="1"/>
  <c r="R955" i="1"/>
  <c r="Q955" i="1"/>
  <c r="P955" i="1"/>
  <c r="O955" i="1"/>
  <c r="N955" i="1"/>
  <c r="M955" i="1"/>
  <c r="L955" i="1"/>
  <c r="K955" i="1"/>
  <c r="J955" i="1"/>
  <c r="I955" i="1"/>
  <c r="H955" i="1"/>
  <c r="F955" i="1"/>
  <c r="G955" i="1" s="1"/>
  <c r="T954" i="1"/>
  <c r="S954" i="1"/>
  <c r="R954" i="1"/>
  <c r="Q954" i="1"/>
  <c r="P954" i="1"/>
  <c r="O954" i="1"/>
  <c r="N954" i="1"/>
  <c r="M954" i="1"/>
  <c r="L954" i="1"/>
  <c r="K954" i="1"/>
  <c r="J954" i="1"/>
  <c r="I954" i="1"/>
  <c r="H954" i="1"/>
  <c r="G954" i="1"/>
  <c r="F954" i="1"/>
  <c r="T953" i="1"/>
  <c r="S953" i="1"/>
  <c r="R953" i="1"/>
  <c r="Q953" i="1"/>
  <c r="P953" i="1"/>
  <c r="O953" i="1"/>
  <c r="N953" i="1"/>
  <c r="M953" i="1"/>
  <c r="L953" i="1"/>
  <c r="K953" i="1"/>
  <c r="J953" i="1"/>
  <c r="I953" i="1"/>
  <c r="H953" i="1"/>
  <c r="G953" i="1"/>
  <c r="F953" i="1"/>
  <c r="T952" i="1"/>
  <c r="S952" i="1"/>
  <c r="R952" i="1"/>
  <c r="Q952" i="1"/>
  <c r="P952" i="1"/>
  <c r="O952" i="1"/>
  <c r="N952" i="1"/>
  <c r="M952" i="1"/>
  <c r="L952" i="1"/>
  <c r="K952" i="1"/>
  <c r="J952" i="1"/>
  <c r="I952" i="1"/>
  <c r="H952" i="1"/>
  <c r="F952" i="1"/>
  <c r="G952" i="1" s="1"/>
  <c r="T951" i="1"/>
  <c r="S951" i="1"/>
  <c r="R951" i="1"/>
  <c r="Q951" i="1"/>
  <c r="P951" i="1"/>
  <c r="O951" i="1"/>
  <c r="N951" i="1"/>
  <c r="M951" i="1"/>
  <c r="L951" i="1"/>
  <c r="K951" i="1"/>
  <c r="J951" i="1"/>
  <c r="I951" i="1"/>
  <c r="H951" i="1"/>
  <c r="G951" i="1"/>
  <c r="F951" i="1"/>
  <c r="T950" i="1"/>
  <c r="S950" i="1"/>
  <c r="R950" i="1"/>
  <c r="Q950" i="1"/>
  <c r="P950" i="1"/>
  <c r="O950" i="1"/>
  <c r="N950" i="1"/>
  <c r="M950" i="1"/>
  <c r="L950" i="1"/>
  <c r="K950" i="1"/>
  <c r="J950" i="1"/>
  <c r="I950" i="1"/>
  <c r="H950" i="1"/>
  <c r="F950" i="1"/>
  <c r="G950" i="1" s="1"/>
  <c r="T949" i="1"/>
  <c r="S949" i="1"/>
  <c r="R949" i="1"/>
  <c r="Q949" i="1"/>
  <c r="P949" i="1"/>
  <c r="O949" i="1"/>
  <c r="N949" i="1"/>
  <c r="M949" i="1"/>
  <c r="L949" i="1"/>
  <c r="K949" i="1"/>
  <c r="J949" i="1"/>
  <c r="I949" i="1"/>
  <c r="H949" i="1"/>
  <c r="G949" i="1"/>
  <c r="F949" i="1"/>
  <c r="T948" i="1"/>
  <c r="S948" i="1"/>
  <c r="R948" i="1"/>
  <c r="Q948" i="1"/>
  <c r="P948" i="1"/>
  <c r="O948" i="1"/>
  <c r="N948" i="1"/>
  <c r="M948" i="1"/>
  <c r="L948" i="1"/>
  <c r="K948" i="1"/>
  <c r="J948" i="1"/>
  <c r="I948" i="1"/>
  <c r="H948" i="1"/>
  <c r="G948" i="1"/>
  <c r="F948" i="1"/>
  <c r="T947" i="1"/>
  <c r="S947" i="1"/>
  <c r="R947" i="1"/>
  <c r="Q947" i="1"/>
  <c r="P947" i="1"/>
  <c r="O947" i="1"/>
  <c r="N947" i="1"/>
  <c r="M947" i="1"/>
  <c r="L947" i="1"/>
  <c r="K947" i="1"/>
  <c r="J947" i="1"/>
  <c r="I947" i="1"/>
  <c r="H947" i="1"/>
  <c r="F947" i="1"/>
  <c r="G947" i="1" s="1"/>
  <c r="T946" i="1"/>
  <c r="S946" i="1"/>
  <c r="R946" i="1"/>
  <c r="Q946" i="1"/>
  <c r="P946" i="1"/>
  <c r="O946" i="1"/>
  <c r="N946" i="1"/>
  <c r="M946" i="1"/>
  <c r="L946" i="1"/>
  <c r="K946" i="1"/>
  <c r="J946" i="1"/>
  <c r="I946" i="1"/>
  <c r="H946" i="1"/>
  <c r="G946" i="1"/>
  <c r="F946" i="1"/>
  <c r="T945" i="1"/>
  <c r="S945" i="1"/>
  <c r="R945" i="1"/>
  <c r="Q945" i="1"/>
  <c r="P945" i="1"/>
  <c r="O945" i="1"/>
  <c r="N945" i="1"/>
  <c r="M945" i="1"/>
  <c r="L945" i="1"/>
  <c r="K945" i="1"/>
  <c r="J945" i="1"/>
  <c r="I945" i="1"/>
  <c r="H945" i="1"/>
  <c r="G945" i="1"/>
  <c r="F945" i="1"/>
  <c r="T944" i="1"/>
  <c r="S944" i="1"/>
  <c r="R944" i="1"/>
  <c r="Q944" i="1"/>
  <c r="P944" i="1"/>
  <c r="O944" i="1"/>
  <c r="N944" i="1"/>
  <c r="M944" i="1"/>
  <c r="L944" i="1"/>
  <c r="K944" i="1"/>
  <c r="J944" i="1"/>
  <c r="I944" i="1"/>
  <c r="H944" i="1"/>
  <c r="F944" i="1"/>
  <c r="G944" i="1" s="1"/>
  <c r="T943" i="1"/>
  <c r="S943" i="1"/>
  <c r="R943" i="1"/>
  <c r="Q943" i="1"/>
  <c r="P943" i="1"/>
  <c r="O943" i="1"/>
  <c r="N943" i="1"/>
  <c r="M943" i="1"/>
  <c r="L943" i="1"/>
  <c r="K943" i="1"/>
  <c r="J943" i="1"/>
  <c r="I943" i="1"/>
  <c r="H943" i="1"/>
  <c r="G943" i="1"/>
  <c r="F943" i="1"/>
  <c r="T942" i="1"/>
  <c r="S942" i="1"/>
  <c r="R942" i="1"/>
  <c r="Q942" i="1"/>
  <c r="P942" i="1"/>
  <c r="O942" i="1"/>
  <c r="N942" i="1"/>
  <c r="M942" i="1"/>
  <c r="L942" i="1"/>
  <c r="K942" i="1"/>
  <c r="J942" i="1"/>
  <c r="I942" i="1"/>
  <c r="H942" i="1"/>
  <c r="F942" i="1"/>
  <c r="G942" i="1" s="1"/>
  <c r="T941" i="1"/>
  <c r="S941" i="1"/>
  <c r="R941" i="1"/>
  <c r="Q941" i="1"/>
  <c r="P941" i="1"/>
  <c r="O941" i="1"/>
  <c r="N941" i="1"/>
  <c r="M941" i="1"/>
  <c r="L941" i="1"/>
  <c r="K941" i="1"/>
  <c r="J941" i="1"/>
  <c r="I941" i="1"/>
  <c r="H941" i="1"/>
  <c r="G941" i="1"/>
  <c r="F941" i="1"/>
  <c r="T940" i="1"/>
  <c r="S940" i="1"/>
  <c r="R940" i="1"/>
  <c r="Q940" i="1"/>
  <c r="P940" i="1"/>
  <c r="O940" i="1"/>
  <c r="N940" i="1"/>
  <c r="M940" i="1"/>
  <c r="L940" i="1"/>
  <c r="K940" i="1"/>
  <c r="J940" i="1"/>
  <c r="I940" i="1"/>
  <c r="H940" i="1"/>
  <c r="G940" i="1"/>
  <c r="F940" i="1"/>
  <c r="T939" i="1"/>
  <c r="S939" i="1"/>
  <c r="R939" i="1"/>
  <c r="Q939" i="1"/>
  <c r="P939" i="1"/>
  <c r="O939" i="1"/>
  <c r="N939" i="1"/>
  <c r="M939" i="1"/>
  <c r="L939" i="1"/>
  <c r="K939" i="1"/>
  <c r="J939" i="1"/>
  <c r="I939" i="1"/>
  <c r="H939" i="1"/>
  <c r="F939" i="1"/>
  <c r="G939" i="1" s="1"/>
  <c r="T938" i="1"/>
  <c r="S938" i="1"/>
  <c r="R938" i="1"/>
  <c r="Q938" i="1"/>
  <c r="P938" i="1"/>
  <c r="O938" i="1"/>
  <c r="N938" i="1"/>
  <c r="M938" i="1"/>
  <c r="L938" i="1"/>
  <c r="K938" i="1"/>
  <c r="J938" i="1"/>
  <c r="I938" i="1"/>
  <c r="H938" i="1"/>
  <c r="G938" i="1"/>
  <c r="F938" i="1"/>
  <c r="T937" i="1"/>
  <c r="S937" i="1"/>
  <c r="R937" i="1"/>
  <c r="Q937" i="1"/>
  <c r="P937" i="1"/>
  <c r="O937" i="1"/>
  <c r="N937" i="1"/>
  <c r="M937" i="1"/>
  <c r="L937" i="1"/>
  <c r="K937" i="1"/>
  <c r="J937" i="1"/>
  <c r="I937" i="1"/>
  <c r="H937" i="1"/>
  <c r="G937" i="1"/>
  <c r="F937" i="1"/>
  <c r="T936" i="1"/>
  <c r="S936" i="1"/>
  <c r="R936" i="1"/>
  <c r="Q936" i="1"/>
  <c r="P936" i="1"/>
  <c r="O936" i="1"/>
  <c r="N936" i="1"/>
  <c r="M936" i="1"/>
  <c r="L936" i="1"/>
  <c r="K936" i="1"/>
  <c r="J936" i="1"/>
  <c r="I936" i="1"/>
  <c r="H936" i="1"/>
  <c r="F936" i="1"/>
  <c r="G936" i="1" s="1"/>
  <c r="T935" i="1"/>
  <c r="S935" i="1"/>
  <c r="R935" i="1"/>
  <c r="Q935" i="1"/>
  <c r="P935" i="1"/>
  <c r="O935" i="1"/>
  <c r="N935" i="1"/>
  <c r="M935" i="1"/>
  <c r="L935" i="1"/>
  <c r="K935" i="1"/>
  <c r="J935" i="1"/>
  <c r="I935" i="1"/>
  <c r="H935" i="1"/>
  <c r="G935" i="1"/>
  <c r="F935" i="1"/>
  <c r="T934" i="1"/>
  <c r="S934" i="1"/>
  <c r="R934" i="1"/>
  <c r="Q934" i="1"/>
  <c r="P934" i="1"/>
  <c r="O934" i="1"/>
  <c r="N934" i="1"/>
  <c r="M934" i="1"/>
  <c r="L934" i="1"/>
  <c r="K934" i="1"/>
  <c r="J934" i="1"/>
  <c r="I934" i="1"/>
  <c r="H934" i="1"/>
  <c r="F934" i="1"/>
  <c r="G934" i="1" s="1"/>
  <c r="T933" i="1"/>
  <c r="S933" i="1"/>
  <c r="R933" i="1"/>
  <c r="Q933" i="1"/>
  <c r="P933" i="1"/>
  <c r="O933" i="1"/>
  <c r="N933" i="1"/>
  <c r="M933" i="1"/>
  <c r="L933" i="1"/>
  <c r="K933" i="1"/>
  <c r="J933" i="1"/>
  <c r="I933" i="1"/>
  <c r="H933" i="1"/>
  <c r="G933" i="1"/>
  <c r="F933" i="1"/>
  <c r="T932" i="1"/>
  <c r="S932" i="1"/>
  <c r="R932" i="1"/>
  <c r="Q932" i="1"/>
  <c r="P932" i="1"/>
  <c r="O932" i="1"/>
  <c r="N932" i="1"/>
  <c r="M932" i="1"/>
  <c r="L932" i="1"/>
  <c r="K932" i="1"/>
  <c r="J932" i="1"/>
  <c r="I932" i="1"/>
  <c r="H932" i="1"/>
  <c r="G932" i="1"/>
  <c r="F932" i="1"/>
  <c r="T931" i="1"/>
  <c r="S931" i="1"/>
  <c r="R931" i="1"/>
  <c r="Q931" i="1"/>
  <c r="P931" i="1"/>
  <c r="O931" i="1"/>
  <c r="N931" i="1"/>
  <c r="M931" i="1"/>
  <c r="L931" i="1"/>
  <c r="K931" i="1"/>
  <c r="J931" i="1"/>
  <c r="I931" i="1"/>
  <c r="H931" i="1"/>
  <c r="F931" i="1"/>
  <c r="G931" i="1" s="1"/>
  <c r="T930" i="1"/>
  <c r="S930" i="1"/>
  <c r="R930" i="1"/>
  <c r="Q930" i="1"/>
  <c r="P930" i="1"/>
  <c r="O930" i="1"/>
  <c r="N930" i="1"/>
  <c r="M930" i="1"/>
  <c r="L930" i="1"/>
  <c r="K930" i="1"/>
  <c r="J930" i="1"/>
  <c r="I930" i="1"/>
  <c r="H930" i="1"/>
  <c r="G930" i="1"/>
  <c r="F930" i="1"/>
  <c r="T929" i="1"/>
  <c r="S929" i="1"/>
  <c r="R929" i="1"/>
  <c r="Q929" i="1"/>
  <c r="P929" i="1"/>
  <c r="O929" i="1"/>
  <c r="N929" i="1"/>
  <c r="M929" i="1"/>
  <c r="L929" i="1"/>
  <c r="K929" i="1"/>
  <c r="J929" i="1"/>
  <c r="I929" i="1"/>
  <c r="H929" i="1"/>
  <c r="G929" i="1"/>
  <c r="F929" i="1"/>
  <c r="T928" i="1"/>
  <c r="S928" i="1"/>
  <c r="R928" i="1"/>
  <c r="Q928" i="1"/>
  <c r="P928" i="1"/>
  <c r="O928" i="1"/>
  <c r="N928" i="1"/>
  <c r="M928" i="1"/>
  <c r="L928" i="1"/>
  <c r="K928" i="1"/>
  <c r="J928" i="1"/>
  <c r="I928" i="1"/>
  <c r="H928" i="1"/>
  <c r="F928" i="1"/>
  <c r="G928" i="1" s="1"/>
  <c r="T927" i="1"/>
  <c r="S927" i="1"/>
  <c r="R927" i="1"/>
  <c r="Q927" i="1"/>
  <c r="P927" i="1"/>
  <c r="O927" i="1"/>
  <c r="N927" i="1"/>
  <c r="M927" i="1"/>
  <c r="L927" i="1"/>
  <c r="K927" i="1"/>
  <c r="J927" i="1"/>
  <c r="I927" i="1"/>
  <c r="H927" i="1"/>
  <c r="G927" i="1"/>
  <c r="F927" i="1"/>
  <c r="T926" i="1"/>
  <c r="S926" i="1"/>
  <c r="R926" i="1"/>
  <c r="Q926" i="1"/>
  <c r="P926" i="1"/>
  <c r="O926" i="1"/>
  <c r="N926" i="1"/>
  <c r="M926" i="1"/>
  <c r="L926" i="1"/>
  <c r="K926" i="1"/>
  <c r="J926" i="1"/>
  <c r="I926" i="1"/>
  <c r="H926" i="1"/>
  <c r="F926" i="1"/>
  <c r="G926" i="1" s="1"/>
  <c r="T925" i="1"/>
  <c r="S925" i="1"/>
  <c r="R925" i="1"/>
  <c r="Q925" i="1"/>
  <c r="P925" i="1"/>
  <c r="O925" i="1"/>
  <c r="N925" i="1"/>
  <c r="M925" i="1"/>
  <c r="L925" i="1"/>
  <c r="K925" i="1"/>
  <c r="J925" i="1"/>
  <c r="I925" i="1"/>
  <c r="H925" i="1"/>
  <c r="G925" i="1"/>
  <c r="F925" i="1"/>
  <c r="T924" i="1"/>
  <c r="S924" i="1"/>
  <c r="R924" i="1"/>
  <c r="Q924" i="1"/>
  <c r="P924" i="1"/>
  <c r="O924" i="1"/>
  <c r="N924" i="1"/>
  <c r="M924" i="1"/>
  <c r="L924" i="1"/>
  <c r="K924" i="1"/>
  <c r="J924" i="1"/>
  <c r="I924" i="1"/>
  <c r="H924" i="1"/>
  <c r="G924" i="1"/>
  <c r="F924" i="1"/>
  <c r="T923" i="1"/>
  <c r="S923" i="1"/>
  <c r="R923" i="1"/>
  <c r="Q923" i="1"/>
  <c r="P923" i="1"/>
  <c r="O923" i="1"/>
  <c r="N923" i="1"/>
  <c r="M923" i="1"/>
  <c r="L923" i="1"/>
  <c r="K923" i="1"/>
  <c r="J923" i="1"/>
  <c r="I923" i="1"/>
  <c r="H923" i="1"/>
  <c r="F923" i="1"/>
  <c r="G923" i="1" s="1"/>
  <c r="T922" i="1"/>
  <c r="S922" i="1"/>
  <c r="R922" i="1"/>
  <c r="Q922" i="1"/>
  <c r="P922" i="1"/>
  <c r="O922" i="1"/>
  <c r="N922" i="1"/>
  <c r="M922" i="1"/>
  <c r="L922" i="1"/>
  <c r="K922" i="1"/>
  <c r="J922" i="1"/>
  <c r="I922" i="1"/>
  <c r="H922" i="1"/>
  <c r="G922" i="1"/>
  <c r="F922" i="1"/>
  <c r="T921" i="1"/>
  <c r="S921" i="1"/>
  <c r="R921" i="1"/>
  <c r="Q921" i="1"/>
  <c r="P921" i="1"/>
  <c r="O921" i="1"/>
  <c r="N921" i="1"/>
  <c r="M921" i="1"/>
  <c r="L921" i="1"/>
  <c r="K921" i="1"/>
  <c r="J921" i="1"/>
  <c r="I921" i="1"/>
  <c r="H921" i="1"/>
  <c r="G921" i="1"/>
  <c r="F921" i="1"/>
  <c r="T920" i="1"/>
  <c r="S920" i="1"/>
  <c r="R920" i="1"/>
  <c r="Q920" i="1"/>
  <c r="P920" i="1"/>
  <c r="O920" i="1"/>
  <c r="N920" i="1"/>
  <c r="M920" i="1"/>
  <c r="L920" i="1"/>
  <c r="K920" i="1"/>
  <c r="J920" i="1"/>
  <c r="I920" i="1"/>
  <c r="H920" i="1"/>
  <c r="F920" i="1"/>
  <c r="G920" i="1" s="1"/>
  <c r="T919" i="1"/>
  <c r="S919" i="1"/>
  <c r="R919" i="1"/>
  <c r="Q919" i="1"/>
  <c r="P919" i="1"/>
  <c r="O919" i="1"/>
  <c r="N919" i="1"/>
  <c r="M919" i="1"/>
  <c r="L919" i="1"/>
  <c r="K919" i="1"/>
  <c r="J919" i="1"/>
  <c r="I919" i="1"/>
  <c r="H919" i="1"/>
  <c r="G919" i="1"/>
  <c r="F919" i="1"/>
  <c r="T918" i="1"/>
  <c r="S918" i="1"/>
  <c r="R918" i="1"/>
  <c r="Q918" i="1"/>
  <c r="P918" i="1"/>
  <c r="O918" i="1"/>
  <c r="N918" i="1"/>
  <c r="M918" i="1"/>
  <c r="L918" i="1"/>
  <c r="K918" i="1"/>
  <c r="J918" i="1"/>
  <c r="I918" i="1"/>
  <c r="H918" i="1"/>
  <c r="F918" i="1"/>
  <c r="G918" i="1" s="1"/>
  <c r="T917" i="1"/>
  <c r="S917" i="1"/>
  <c r="R917" i="1"/>
  <c r="Q917" i="1"/>
  <c r="P917" i="1"/>
  <c r="O917" i="1"/>
  <c r="N917" i="1"/>
  <c r="M917" i="1"/>
  <c r="L917" i="1"/>
  <c r="K917" i="1"/>
  <c r="J917" i="1"/>
  <c r="I917" i="1"/>
  <c r="H917" i="1"/>
  <c r="G917" i="1"/>
  <c r="F917" i="1"/>
  <c r="T916" i="1"/>
  <c r="S916" i="1"/>
  <c r="R916" i="1"/>
  <c r="Q916" i="1"/>
  <c r="P916" i="1"/>
  <c r="O916" i="1"/>
  <c r="N916" i="1"/>
  <c r="M916" i="1"/>
  <c r="L916" i="1"/>
  <c r="K916" i="1"/>
  <c r="J916" i="1"/>
  <c r="I916" i="1"/>
  <c r="H916" i="1"/>
  <c r="G916" i="1"/>
  <c r="F916" i="1"/>
  <c r="T915" i="1"/>
  <c r="S915" i="1"/>
  <c r="R915" i="1"/>
  <c r="Q915" i="1"/>
  <c r="P915" i="1"/>
  <c r="O915" i="1"/>
  <c r="N915" i="1"/>
  <c r="M915" i="1"/>
  <c r="L915" i="1"/>
  <c r="K915" i="1"/>
  <c r="J915" i="1"/>
  <c r="I915" i="1"/>
  <c r="H915" i="1"/>
  <c r="F915" i="1"/>
  <c r="G915" i="1" s="1"/>
  <c r="T914" i="1"/>
  <c r="S914" i="1"/>
  <c r="R914" i="1"/>
  <c r="Q914" i="1"/>
  <c r="P914" i="1"/>
  <c r="O914" i="1"/>
  <c r="N914" i="1"/>
  <c r="M914" i="1"/>
  <c r="L914" i="1"/>
  <c r="K914" i="1"/>
  <c r="J914" i="1"/>
  <c r="I914" i="1"/>
  <c r="H914" i="1"/>
  <c r="G914" i="1"/>
  <c r="F914" i="1"/>
  <c r="T913" i="1"/>
  <c r="S913" i="1"/>
  <c r="R913" i="1"/>
  <c r="Q913" i="1"/>
  <c r="P913" i="1"/>
  <c r="O913" i="1"/>
  <c r="N913" i="1"/>
  <c r="M913" i="1"/>
  <c r="L913" i="1"/>
  <c r="K913" i="1"/>
  <c r="J913" i="1"/>
  <c r="I913" i="1"/>
  <c r="H913" i="1"/>
  <c r="G913" i="1"/>
  <c r="F913" i="1"/>
  <c r="T912" i="1"/>
  <c r="S912" i="1"/>
  <c r="R912" i="1"/>
  <c r="Q912" i="1"/>
  <c r="P912" i="1"/>
  <c r="O912" i="1"/>
  <c r="N912" i="1"/>
  <c r="M912" i="1"/>
  <c r="L912" i="1"/>
  <c r="K912" i="1"/>
  <c r="J912" i="1"/>
  <c r="I912" i="1"/>
  <c r="H912" i="1"/>
  <c r="F912" i="1"/>
  <c r="G912" i="1" s="1"/>
  <c r="T911" i="1"/>
  <c r="S911" i="1"/>
  <c r="R911" i="1"/>
  <c r="Q911" i="1"/>
  <c r="P911" i="1"/>
  <c r="O911" i="1"/>
  <c r="N911" i="1"/>
  <c r="M911" i="1"/>
  <c r="L911" i="1"/>
  <c r="K911" i="1"/>
  <c r="J911" i="1"/>
  <c r="I911" i="1"/>
  <c r="H911" i="1"/>
  <c r="G911" i="1"/>
  <c r="F911" i="1"/>
  <c r="T910" i="1"/>
  <c r="S910" i="1"/>
  <c r="R910" i="1"/>
  <c r="Q910" i="1"/>
  <c r="P910" i="1"/>
  <c r="O910" i="1"/>
  <c r="N910" i="1"/>
  <c r="M910" i="1"/>
  <c r="L910" i="1"/>
  <c r="K910" i="1"/>
  <c r="J910" i="1"/>
  <c r="I910" i="1"/>
  <c r="H910" i="1"/>
  <c r="F910" i="1"/>
  <c r="G910" i="1" s="1"/>
  <c r="T909" i="1"/>
  <c r="S909" i="1"/>
  <c r="R909" i="1"/>
  <c r="Q909" i="1"/>
  <c r="P909" i="1"/>
  <c r="O909" i="1"/>
  <c r="N909" i="1"/>
  <c r="M909" i="1"/>
  <c r="L909" i="1"/>
  <c r="K909" i="1"/>
  <c r="J909" i="1"/>
  <c r="I909" i="1"/>
  <c r="H909" i="1"/>
  <c r="G909" i="1"/>
  <c r="F909" i="1"/>
  <c r="T908" i="1"/>
  <c r="S908" i="1"/>
  <c r="R908" i="1"/>
  <c r="Q908" i="1"/>
  <c r="P908" i="1"/>
  <c r="O908" i="1"/>
  <c r="N908" i="1"/>
  <c r="M908" i="1"/>
  <c r="L908" i="1"/>
  <c r="K908" i="1"/>
  <c r="J908" i="1"/>
  <c r="I908" i="1"/>
  <c r="H908" i="1"/>
  <c r="F908" i="1"/>
  <c r="G908" i="1" s="1"/>
  <c r="T907" i="1"/>
  <c r="S907" i="1"/>
  <c r="R907" i="1"/>
  <c r="Q907" i="1"/>
  <c r="P907" i="1"/>
  <c r="O907" i="1"/>
  <c r="N907" i="1"/>
  <c r="M907" i="1"/>
  <c r="L907" i="1"/>
  <c r="K907" i="1"/>
  <c r="J907" i="1"/>
  <c r="I907" i="1"/>
  <c r="H907" i="1"/>
  <c r="F907" i="1"/>
  <c r="G907" i="1" s="1"/>
  <c r="T906" i="1"/>
  <c r="S906" i="1"/>
  <c r="R906" i="1"/>
  <c r="Q906" i="1"/>
  <c r="P906" i="1"/>
  <c r="O906" i="1"/>
  <c r="N906" i="1"/>
  <c r="M906" i="1"/>
  <c r="L906" i="1"/>
  <c r="K906" i="1"/>
  <c r="J906" i="1"/>
  <c r="I906" i="1"/>
  <c r="H906" i="1"/>
  <c r="G906" i="1"/>
  <c r="F906" i="1"/>
  <c r="T905" i="1"/>
  <c r="S905" i="1"/>
  <c r="R905" i="1"/>
  <c r="Q905" i="1"/>
  <c r="P905" i="1"/>
  <c r="O905" i="1"/>
  <c r="N905" i="1"/>
  <c r="M905" i="1"/>
  <c r="L905" i="1"/>
  <c r="K905" i="1"/>
  <c r="J905" i="1"/>
  <c r="I905" i="1"/>
  <c r="H905" i="1"/>
  <c r="G905" i="1"/>
  <c r="F905" i="1"/>
  <c r="T904" i="1"/>
  <c r="S904" i="1"/>
  <c r="R904" i="1"/>
  <c r="Q904" i="1"/>
  <c r="P904" i="1"/>
  <c r="O904" i="1"/>
  <c r="N904" i="1"/>
  <c r="M904" i="1"/>
  <c r="L904" i="1"/>
  <c r="K904" i="1"/>
  <c r="J904" i="1"/>
  <c r="I904" i="1"/>
  <c r="H904" i="1"/>
  <c r="F904" i="1"/>
  <c r="G904" i="1" s="1"/>
  <c r="T903" i="1"/>
  <c r="S903" i="1"/>
  <c r="R903" i="1"/>
  <c r="Q903" i="1"/>
  <c r="P903" i="1"/>
  <c r="O903" i="1"/>
  <c r="N903" i="1"/>
  <c r="M903" i="1"/>
  <c r="L903" i="1"/>
  <c r="K903" i="1"/>
  <c r="J903" i="1"/>
  <c r="I903" i="1"/>
  <c r="H903" i="1"/>
  <c r="G903" i="1"/>
  <c r="F903" i="1"/>
  <c r="T902" i="1"/>
  <c r="S902" i="1"/>
  <c r="R902" i="1"/>
  <c r="Q902" i="1"/>
  <c r="P902" i="1"/>
  <c r="O902" i="1"/>
  <c r="N902" i="1"/>
  <c r="M902" i="1"/>
  <c r="L902" i="1"/>
  <c r="K902" i="1"/>
  <c r="J902" i="1"/>
  <c r="I902" i="1"/>
  <c r="H902" i="1"/>
  <c r="F902" i="1"/>
  <c r="G902" i="1" s="1"/>
  <c r="T901" i="1"/>
  <c r="S901" i="1"/>
  <c r="R901" i="1"/>
  <c r="Q901" i="1"/>
  <c r="P901" i="1"/>
  <c r="O901" i="1"/>
  <c r="N901" i="1"/>
  <c r="M901" i="1"/>
  <c r="L901" i="1"/>
  <c r="K901" i="1"/>
  <c r="J901" i="1"/>
  <c r="I901" i="1"/>
  <c r="H901" i="1"/>
  <c r="G901" i="1"/>
  <c r="F901" i="1"/>
  <c r="T900" i="1"/>
  <c r="S900" i="1"/>
  <c r="R900" i="1"/>
  <c r="Q900" i="1"/>
  <c r="P900" i="1"/>
  <c r="O900" i="1"/>
  <c r="N900" i="1"/>
  <c r="M900" i="1"/>
  <c r="L900" i="1"/>
  <c r="K900" i="1"/>
  <c r="J900" i="1"/>
  <c r="I900" i="1"/>
  <c r="H900" i="1"/>
  <c r="G900" i="1"/>
  <c r="F900" i="1"/>
  <c r="T899" i="1"/>
  <c r="S899" i="1"/>
  <c r="R899" i="1"/>
  <c r="Q899" i="1"/>
  <c r="P899" i="1"/>
  <c r="O899" i="1"/>
  <c r="N899" i="1"/>
  <c r="M899" i="1"/>
  <c r="L899" i="1"/>
  <c r="K899" i="1"/>
  <c r="J899" i="1"/>
  <c r="I899" i="1"/>
  <c r="H899" i="1"/>
  <c r="F899" i="1"/>
  <c r="G899" i="1" s="1"/>
  <c r="T898" i="1"/>
  <c r="S898" i="1"/>
  <c r="R898" i="1"/>
  <c r="Q898" i="1"/>
  <c r="P898" i="1"/>
  <c r="O898" i="1"/>
  <c r="N898" i="1"/>
  <c r="M898" i="1"/>
  <c r="L898" i="1"/>
  <c r="K898" i="1"/>
  <c r="J898" i="1"/>
  <c r="I898" i="1"/>
  <c r="H898" i="1"/>
  <c r="G898" i="1"/>
  <c r="F898" i="1"/>
  <c r="T897" i="1"/>
  <c r="S897" i="1"/>
  <c r="R897" i="1"/>
  <c r="Q897" i="1"/>
  <c r="P897" i="1"/>
  <c r="O897" i="1"/>
  <c r="N897" i="1"/>
  <c r="M897" i="1"/>
  <c r="L897" i="1"/>
  <c r="K897" i="1"/>
  <c r="J897" i="1"/>
  <c r="I897" i="1"/>
  <c r="H897" i="1"/>
  <c r="G897" i="1"/>
  <c r="F897" i="1"/>
  <c r="T896" i="1"/>
  <c r="S896" i="1"/>
  <c r="R896" i="1"/>
  <c r="Q896" i="1"/>
  <c r="P896" i="1"/>
  <c r="O896" i="1"/>
  <c r="N896" i="1"/>
  <c r="M896" i="1"/>
  <c r="L896" i="1"/>
  <c r="K896" i="1"/>
  <c r="J896" i="1"/>
  <c r="I896" i="1"/>
  <c r="H896" i="1"/>
  <c r="F896" i="1"/>
  <c r="G896" i="1" s="1"/>
  <c r="T895" i="1"/>
  <c r="S895" i="1"/>
  <c r="R895" i="1"/>
  <c r="Q895" i="1"/>
  <c r="P895" i="1"/>
  <c r="O895" i="1"/>
  <c r="N895" i="1"/>
  <c r="M895" i="1"/>
  <c r="L895" i="1"/>
  <c r="K895" i="1"/>
  <c r="J895" i="1"/>
  <c r="I895" i="1"/>
  <c r="H895" i="1"/>
  <c r="G895" i="1"/>
  <c r="F895" i="1"/>
  <c r="T894" i="1"/>
  <c r="S894" i="1"/>
  <c r="R894" i="1"/>
  <c r="Q894" i="1"/>
  <c r="P894" i="1"/>
  <c r="O894" i="1"/>
  <c r="N894" i="1"/>
  <c r="M894" i="1"/>
  <c r="L894" i="1"/>
  <c r="K894" i="1"/>
  <c r="J894" i="1"/>
  <c r="I894" i="1"/>
  <c r="H894" i="1"/>
  <c r="F894" i="1"/>
  <c r="G894" i="1" s="1"/>
  <c r="T893" i="1"/>
  <c r="S893" i="1"/>
  <c r="R893" i="1"/>
  <c r="Q893" i="1"/>
  <c r="P893" i="1"/>
  <c r="O893" i="1"/>
  <c r="N893" i="1"/>
  <c r="M893" i="1"/>
  <c r="L893" i="1"/>
  <c r="K893" i="1"/>
  <c r="J893" i="1"/>
  <c r="I893" i="1"/>
  <c r="H893" i="1"/>
  <c r="G893" i="1"/>
  <c r="F893" i="1"/>
  <c r="T892" i="1"/>
  <c r="S892" i="1"/>
  <c r="R892" i="1"/>
  <c r="Q892" i="1"/>
  <c r="P892" i="1"/>
  <c r="O892" i="1"/>
  <c r="N892" i="1"/>
  <c r="M892" i="1"/>
  <c r="L892" i="1"/>
  <c r="K892" i="1"/>
  <c r="J892" i="1"/>
  <c r="I892" i="1"/>
  <c r="H892" i="1"/>
  <c r="F892" i="1"/>
  <c r="G892" i="1" s="1"/>
  <c r="T891" i="1"/>
  <c r="S891" i="1"/>
  <c r="R891" i="1"/>
  <c r="Q891" i="1"/>
  <c r="P891" i="1"/>
  <c r="O891" i="1"/>
  <c r="N891" i="1"/>
  <c r="M891" i="1"/>
  <c r="L891" i="1"/>
  <c r="K891" i="1"/>
  <c r="J891" i="1"/>
  <c r="I891" i="1"/>
  <c r="H891" i="1"/>
  <c r="F891" i="1"/>
  <c r="G891" i="1" s="1"/>
  <c r="T890" i="1"/>
  <c r="S890" i="1"/>
  <c r="R890" i="1"/>
  <c r="Q890" i="1"/>
  <c r="P890" i="1"/>
  <c r="O890" i="1"/>
  <c r="N890" i="1"/>
  <c r="M890" i="1"/>
  <c r="L890" i="1"/>
  <c r="K890" i="1"/>
  <c r="J890" i="1"/>
  <c r="I890" i="1"/>
  <c r="H890" i="1"/>
  <c r="G890" i="1"/>
  <c r="F890" i="1"/>
  <c r="T889" i="1"/>
  <c r="S889" i="1"/>
  <c r="R889" i="1"/>
  <c r="Q889" i="1"/>
  <c r="P889" i="1"/>
  <c r="O889" i="1"/>
  <c r="N889" i="1"/>
  <c r="M889" i="1"/>
  <c r="L889" i="1"/>
  <c r="K889" i="1"/>
  <c r="J889" i="1"/>
  <c r="I889" i="1"/>
  <c r="H889" i="1"/>
  <c r="G889" i="1"/>
  <c r="F889" i="1"/>
  <c r="T888" i="1"/>
  <c r="S888" i="1"/>
  <c r="R888" i="1"/>
  <c r="Q888" i="1"/>
  <c r="P888" i="1"/>
  <c r="O888" i="1"/>
  <c r="N888" i="1"/>
  <c r="M888" i="1"/>
  <c r="L888" i="1"/>
  <c r="K888" i="1"/>
  <c r="J888" i="1"/>
  <c r="I888" i="1"/>
  <c r="H888" i="1"/>
  <c r="F888" i="1"/>
  <c r="G888" i="1" s="1"/>
  <c r="T887" i="1"/>
  <c r="S887" i="1"/>
  <c r="R887" i="1"/>
  <c r="Q887" i="1"/>
  <c r="P887" i="1"/>
  <c r="O887" i="1"/>
  <c r="N887" i="1"/>
  <c r="M887" i="1"/>
  <c r="L887" i="1"/>
  <c r="K887" i="1"/>
  <c r="J887" i="1"/>
  <c r="I887" i="1"/>
  <c r="H887" i="1"/>
  <c r="G887" i="1"/>
  <c r="F887" i="1"/>
  <c r="T886" i="1"/>
  <c r="S886" i="1"/>
  <c r="R886" i="1"/>
  <c r="Q886" i="1"/>
  <c r="P886" i="1"/>
  <c r="O886" i="1"/>
  <c r="N886" i="1"/>
  <c r="M886" i="1"/>
  <c r="L886" i="1"/>
  <c r="K886" i="1"/>
  <c r="J886" i="1"/>
  <c r="I886" i="1"/>
  <c r="H886" i="1"/>
  <c r="F886" i="1"/>
  <c r="G886" i="1" s="1"/>
  <c r="T885" i="1"/>
  <c r="S885" i="1"/>
  <c r="R885" i="1"/>
  <c r="Q885" i="1"/>
  <c r="P885" i="1"/>
  <c r="O885" i="1"/>
  <c r="N885" i="1"/>
  <c r="M885" i="1"/>
  <c r="L885" i="1"/>
  <c r="K885" i="1"/>
  <c r="J885" i="1"/>
  <c r="I885" i="1"/>
  <c r="H885" i="1"/>
  <c r="G885" i="1"/>
  <c r="F885" i="1"/>
  <c r="T884" i="1"/>
  <c r="S884" i="1"/>
  <c r="R884" i="1"/>
  <c r="Q884" i="1"/>
  <c r="P884" i="1"/>
  <c r="O884" i="1"/>
  <c r="N884" i="1"/>
  <c r="M884" i="1"/>
  <c r="L884" i="1"/>
  <c r="K884" i="1"/>
  <c r="J884" i="1"/>
  <c r="I884" i="1"/>
  <c r="H884" i="1"/>
  <c r="G884" i="1"/>
  <c r="F884" i="1"/>
  <c r="T883" i="1"/>
  <c r="S883" i="1"/>
  <c r="R883" i="1"/>
  <c r="Q883" i="1"/>
  <c r="P883" i="1"/>
  <c r="O883" i="1"/>
  <c r="N883" i="1"/>
  <c r="M883" i="1"/>
  <c r="L883" i="1"/>
  <c r="K883" i="1"/>
  <c r="J883" i="1"/>
  <c r="I883" i="1"/>
  <c r="H883" i="1"/>
  <c r="F883" i="1"/>
  <c r="G883" i="1" s="1"/>
  <c r="T882" i="1"/>
  <c r="S882" i="1"/>
  <c r="R882" i="1"/>
  <c r="Q882" i="1"/>
  <c r="P882" i="1"/>
  <c r="O882" i="1"/>
  <c r="N882" i="1"/>
  <c r="M882" i="1"/>
  <c r="L882" i="1"/>
  <c r="K882" i="1"/>
  <c r="J882" i="1"/>
  <c r="I882" i="1"/>
  <c r="H882" i="1"/>
  <c r="G882" i="1"/>
  <c r="F882" i="1"/>
  <c r="T881" i="1"/>
  <c r="S881" i="1"/>
  <c r="R881" i="1"/>
  <c r="Q881" i="1"/>
  <c r="P881" i="1"/>
  <c r="O881" i="1"/>
  <c r="N881" i="1"/>
  <c r="M881" i="1"/>
  <c r="L881" i="1"/>
  <c r="K881" i="1"/>
  <c r="J881" i="1"/>
  <c r="I881" i="1"/>
  <c r="H881" i="1"/>
  <c r="G881" i="1"/>
  <c r="F881" i="1"/>
  <c r="T880" i="1"/>
  <c r="S880" i="1"/>
  <c r="R880" i="1"/>
  <c r="Q880" i="1"/>
  <c r="P880" i="1"/>
  <c r="O880" i="1"/>
  <c r="N880" i="1"/>
  <c r="M880" i="1"/>
  <c r="L880" i="1"/>
  <c r="K880" i="1"/>
  <c r="J880" i="1"/>
  <c r="I880" i="1"/>
  <c r="H880" i="1"/>
  <c r="F880" i="1"/>
  <c r="G880" i="1" s="1"/>
  <c r="T879" i="1"/>
  <c r="S879" i="1"/>
  <c r="R879" i="1"/>
  <c r="Q879" i="1"/>
  <c r="P879" i="1"/>
  <c r="O879" i="1"/>
  <c r="N879" i="1"/>
  <c r="M879" i="1"/>
  <c r="L879" i="1"/>
  <c r="K879" i="1"/>
  <c r="J879" i="1"/>
  <c r="I879" i="1"/>
  <c r="H879" i="1"/>
  <c r="G879" i="1"/>
  <c r="F879" i="1"/>
  <c r="T878" i="1"/>
  <c r="S878" i="1"/>
  <c r="R878" i="1"/>
  <c r="Q878" i="1"/>
  <c r="P878" i="1"/>
  <c r="O878" i="1"/>
  <c r="N878" i="1"/>
  <c r="M878" i="1"/>
  <c r="L878" i="1"/>
  <c r="K878" i="1"/>
  <c r="J878" i="1"/>
  <c r="I878" i="1"/>
  <c r="H878" i="1"/>
  <c r="F878" i="1"/>
  <c r="G878" i="1" s="1"/>
  <c r="T877" i="1"/>
  <c r="S877" i="1"/>
  <c r="R877" i="1"/>
  <c r="Q877" i="1"/>
  <c r="P877" i="1"/>
  <c r="O877" i="1"/>
  <c r="N877" i="1"/>
  <c r="M877" i="1"/>
  <c r="L877" i="1"/>
  <c r="K877" i="1"/>
  <c r="J877" i="1"/>
  <c r="I877" i="1"/>
  <c r="H877" i="1"/>
  <c r="G877" i="1"/>
  <c r="F877" i="1"/>
  <c r="T876" i="1"/>
  <c r="S876" i="1"/>
  <c r="R876" i="1"/>
  <c r="Q876" i="1"/>
  <c r="P876" i="1"/>
  <c r="O876" i="1"/>
  <c r="N876" i="1"/>
  <c r="M876" i="1"/>
  <c r="L876" i="1"/>
  <c r="K876" i="1"/>
  <c r="J876" i="1"/>
  <c r="I876" i="1"/>
  <c r="H876" i="1"/>
  <c r="G876" i="1"/>
  <c r="F876" i="1"/>
  <c r="T875" i="1"/>
  <c r="S875" i="1"/>
  <c r="R875" i="1"/>
  <c r="Q875" i="1"/>
  <c r="P875" i="1"/>
  <c r="O875" i="1"/>
  <c r="N875" i="1"/>
  <c r="M875" i="1"/>
  <c r="L875" i="1"/>
  <c r="K875" i="1"/>
  <c r="J875" i="1"/>
  <c r="I875" i="1"/>
  <c r="H875" i="1"/>
  <c r="F875" i="1"/>
  <c r="G875" i="1" s="1"/>
  <c r="T874" i="1"/>
  <c r="S874" i="1"/>
  <c r="R874" i="1"/>
  <c r="Q874" i="1"/>
  <c r="P874" i="1"/>
  <c r="O874" i="1"/>
  <c r="N874" i="1"/>
  <c r="M874" i="1"/>
  <c r="L874" i="1"/>
  <c r="K874" i="1"/>
  <c r="J874" i="1"/>
  <c r="I874" i="1"/>
  <c r="H874" i="1"/>
  <c r="G874" i="1"/>
  <c r="F874" i="1"/>
  <c r="T873" i="1"/>
  <c r="S873" i="1"/>
  <c r="R873" i="1"/>
  <c r="Q873" i="1"/>
  <c r="P873" i="1"/>
  <c r="O873" i="1"/>
  <c r="N873" i="1"/>
  <c r="M873" i="1"/>
  <c r="L873" i="1"/>
  <c r="K873" i="1"/>
  <c r="J873" i="1"/>
  <c r="I873" i="1"/>
  <c r="H873" i="1"/>
  <c r="G873" i="1"/>
  <c r="F873" i="1"/>
  <c r="T872" i="1"/>
  <c r="S872" i="1"/>
  <c r="R872" i="1"/>
  <c r="Q872" i="1"/>
  <c r="P872" i="1"/>
  <c r="O872" i="1"/>
  <c r="N872" i="1"/>
  <c r="M872" i="1"/>
  <c r="L872" i="1"/>
  <c r="K872" i="1"/>
  <c r="J872" i="1"/>
  <c r="I872" i="1"/>
  <c r="H872" i="1"/>
  <c r="F872" i="1"/>
  <c r="G872" i="1" s="1"/>
  <c r="T871" i="1"/>
  <c r="S871" i="1"/>
  <c r="R871" i="1"/>
  <c r="Q871" i="1"/>
  <c r="P871" i="1"/>
  <c r="O871" i="1"/>
  <c r="N871" i="1"/>
  <c r="M871" i="1"/>
  <c r="L871" i="1"/>
  <c r="K871" i="1"/>
  <c r="J871" i="1"/>
  <c r="I871" i="1"/>
  <c r="H871" i="1"/>
  <c r="G871" i="1"/>
  <c r="F871" i="1"/>
  <c r="T870" i="1"/>
  <c r="S870" i="1"/>
  <c r="R870" i="1"/>
  <c r="Q870" i="1"/>
  <c r="P870" i="1"/>
  <c r="O870" i="1"/>
  <c r="N870" i="1"/>
  <c r="M870" i="1"/>
  <c r="L870" i="1"/>
  <c r="K870" i="1"/>
  <c r="J870" i="1"/>
  <c r="I870" i="1"/>
  <c r="H870" i="1"/>
  <c r="F870" i="1"/>
  <c r="G870" i="1" s="1"/>
  <c r="T869" i="1"/>
  <c r="S869" i="1"/>
  <c r="R869" i="1"/>
  <c r="Q869" i="1"/>
  <c r="P869" i="1"/>
  <c r="O869" i="1"/>
  <c r="N869" i="1"/>
  <c r="M869" i="1"/>
  <c r="L869" i="1"/>
  <c r="K869" i="1"/>
  <c r="J869" i="1"/>
  <c r="I869" i="1"/>
  <c r="H869" i="1"/>
  <c r="G869" i="1"/>
  <c r="F869" i="1"/>
  <c r="T868" i="1"/>
  <c r="S868" i="1"/>
  <c r="R868" i="1"/>
  <c r="Q868" i="1"/>
  <c r="P868" i="1"/>
  <c r="O868" i="1"/>
  <c r="N868" i="1"/>
  <c r="M868" i="1"/>
  <c r="L868" i="1"/>
  <c r="K868" i="1"/>
  <c r="J868" i="1"/>
  <c r="I868" i="1"/>
  <c r="H868" i="1"/>
  <c r="G868" i="1"/>
  <c r="F868" i="1"/>
  <c r="T867" i="1"/>
  <c r="S867" i="1"/>
  <c r="R867" i="1"/>
  <c r="Q867" i="1"/>
  <c r="P867" i="1"/>
  <c r="O867" i="1"/>
  <c r="N867" i="1"/>
  <c r="M867" i="1"/>
  <c r="L867" i="1"/>
  <c r="K867" i="1"/>
  <c r="J867" i="1"/>
  <c r="I867" i="1"/>
  <c r="H867" i="1"/>
  <c r="F867" i="1"/>
  <c r="G867" i="1" s="1"/>
  <c r="T866" i="1"/>
  <c r="S866" i="1"/>
  <c r="R866" i="1"/>
  <c r="Q866" i="1"/>
  <c r="P866" i="1"/>
  <c r="O866" i="1"/>
  <c r="N866" i="1"/>
  <c r="M866" i="1"/>
  <c r="L866" i="1"/>
  <c r="K866" i="1"/>
  <c r="J866" i="1"/>
  <c r="I866" i="1"/>
  <c r="H866" i="1"/>
  <c r="G866" i="1"/>
  <c r="F866" i="1"/>
  <c r="T865" i="1"/>
  <c r="S865" i="1"/>
  <c r="R865" i="1"/>
  <c r="Q865" i="1"/>
  <c r="P865" i="1"/>
  <c r="O865" i="1"/>
  <c r="N865" i="1"/>
  <c r="M865" i="1"/>
  <c r="L865" i="1"/>
  <c r="K865" i="1"/>
  <c r="J865" i="1"/>
  <c r="I865" i="1"/>
  <c r="H865" i="1"/>
  <c r="G865" i="1"/>
  <c r="F865" i="1"/>
  <c r="T864" i="1"/>
  <c r="S864" i="1"/>
  <c r="R864" i="1"/>
  <c r="Q864" i="1"/>
  <c r="P864" i="1"/>
  <c r="O864" i="1"/>
  <c r="N864" i="1"/>
  <c r="M864" i="1"/>
  <c r="L864" i="1"/>
  <c r="K864" i="1"/>
  <c r="J864" i="1"/>
  <c r="I864" i="1"/>
  <c r="H864" i="1"/>
  <c r="F864" i="1"/>
  <c r="G864" i="1" s="1"/>
  <c r="T863" i="1"/>
  <c r="S863" i="1"/>
  <c r="R863" i="1"/>
  <c r="Q863" i="1"/>
  <c r="P863" i="1"/>
  <c r="O863" i="1"/>
  <c r="N863" i="1"/>
  <c r="M863" i="1"/>
  <c r="L863" i="1"/>
  <c r="K863" i="1"/>
  <c r="J863" i="1"/>
  <c r="I863" i="1"/>
  <c r="H863" i="1"/>
  <c r="G863" i="1"/>
  <c r="F863" i="1"/>
  <c r="T862" i="1"/>
  <c r="S862" i="1"/>
  <c r="R862" i="1"/>
  <c r="Q862" i="1"/>
  <c r="P862" i="1"/>
  <c r="O862" i="1"/>
  <c r="N862" i="1"/>
  <c r="M862" i="1"/>
  <c r="L862" i="1"/>
  <c r="K862" i="1"/>
  <c r="J862" i="1"/>
  <c r="I862" i="1"/>
  <c r="H862" i="1"/>
  <c r="F862" i="1"/>
  <c r="G862" i="1" s="1"/>
  <c r="T861" i="1"/>
  <c r="S861" i="1"/>
  <c r="R861" i="1"/>
  <c r="Q861" i="1"/>
  <c r="P861" i="1"/>
  <c r="O861" i="1"/>
  <c r="N861" i="1"/>
  <c r="M861" i="1"/>
  <c r="L861" i="1"/>
  <c r="K861" i="1"/>
  <c r="J861" i="1"/>
  <c r="I861" i="1"/>
  <c r="H861" i="1"/>
  <c r="G861" i="1"/>
  <c r="F861" i="1"/>
  <c r="T860" i="1"/>
  <c r="S860" i="1"/>
  <c r="R860" i="1"/>
  <c r="Q860" i="1"/>
  <c r="P860" i="1"/>
  <c r="O860" i="1"/>
  <c r="N860" i="1"/>
  <c r="M860" i="1"/>
  <c r="L860" i="1"/>
  <c r="K860" i="1"/>
  <c r="J860" i="1"/>
  <c r="I860" i="1"/>
  <c r="H860" i="1"/>
  <c r="F860" i="1"/>
  <c r="G860" i="1" s="1"/>
  <c r="T859" i="1"/>
  <c r="S859" i="1"/>
  <c r="R859" i="1"/>
  <c r="Q859" i="1"/>
  <c r="P859" i="1"/>
  <c r="O859" i="1"/>
  <c r="N859" i="1"/>
  <c r="M859" i="1"/>
  <c r="L859" i="1"/>
  <c r="K859" i="1"/>
  <c r="J859" i="1"/>
  <c r="I859" i="1"/>
  <c r="H859" i="1"/>
  <c r="F859" i="1"/>
  <c r="G859" i="1" s="1"/>
  <c r="T858" i="1"/>
  <c r="S858" i="1"/>
  <c r="R858" i="1"/>
  <c r="Q858" i="1"/>
  <c r="P858" i="1"/>
  <c r="O858" i="1"/>
  <c r="N858" i="1"/>
  <c r="M858" i="1"/>
  <c r="L858" i="1"/>
  <c r="K858" i="1"/>
  <c r="J858" i="1"/>
  <c r="I858" i="1"/>
  <c r="H858" i="1"/>
  <c r="G858" i="1"/>
  <c r="F858" i="1"/>
  <c r="T857" i="1"/>
  <c r="S857" i="1"/>
  <c r="R857" i="1"/>
  <c r="Q857" i="1"/>
  <c r="P857" i="1"/>
  <c r="O857" i="1"/>
  <c r="N857" i="1"/>
  <c r="M857" i="1"/>
  <c r="L857" i="1"/>
  <c r="K857" i="1"/>
  <c r="J857" i="1"/>
  <c r="I857" i="1"/>
  <c r="H857" i="1"/>
  <c r="F857" i="1"/>
  <c r="G857" i="1" s="1"/>
  <c r="T856" i="1"/>
  <c r="S856" i="1"/>
  <c r="R856" i="1"/>
  <c r="Q856" i="1"/>
  <c r="P856" i="1"/>
  <c r="O856" i="1"/>
  <c r="N856" i="1"/>
  <c r="M856" i="1"/>
  <c r="L856" i="1"/>
  <c r="K856" i="1"/>
  <c r="J856" i="1"/>
  <c r="I856" i="1"/>
  <c r="H856" i="1"/>
  <c r="F856" i="1"/>
  <c r="G856" i="1" s="1"/>
  <c r="T855" i="1"/>
  <c r="S855" i="1"/>
  <c r="R855" i="1"/>
  <c r="Q855" i="1"/>
  <c r="P855" i="1"/>
  <c r="O855" i="1"/>
  <c r="N855" i="1"/>
  <c r="M855" i="1"/>
  <c r="L855" i="1"/>
  <c r="K855" i="1"/>
  <c r="J855" i="1"/>
  <c r="I855" i="1"/>
  <c r="H855" i="1"/>
  <c r="G855" i="1"/>
  <c r="F855" i="1"/>
  <c r="T854" i="1"/>
  <c r="S854" i="1"/>
  <c r="R854" i="1"/>
  <c r="Q854" i="1"/>
  <c r="P854" i="1"/>
  <c r="O854" i="1"/>
  <c r="N854" i="1"/>
  <c r="M854" i="1"/>
  <c r="L854" i="1"/>
  <c r="K854" i="1"/>
  <c r="J854" i="1"/>
  <c r="I854" i="1"/>
  <c r="H854" i="1"/>
  <c r="F854" i="1"/>
  <c r="G854" i="1" s="1"/>
  <c r="T853" i="1"/>
  <c r="S853" i="1"/>
  <c r="R853" i="1"/>
  <c r="Q853" i="1"/>
  <c r="P853" i="1"/>
  <c r="O853" i="1"/>
  <c r="N853" i="1"/>
  <c r="M853" i="1"/>
  <c r="L853" i="1"/>
  <c r="K853" i="1"/>
  <c r="J853" i="1"/>
  <c r="I853" i="1"/>
  <c r="H853" i="1"/>
  <c r="G853" i="1"/>
  <c r="F853" i="1"/>
  <c r="T852" i="1"/>
  <c r="S852" i="1"/>
  <c r="R852" i="1"/>
  <c r="Q852" i="1"/>
  <c r="P852" i="1"/>
  <c r="O852" i="1"/>
  <c r="N852" i="1"/>
  <c r="M852" i="1"/>
  <c r="L852" i="1"/>
  <c r="K852" i="1"/>
  <c r="J852" i="1"/>
  <c r="I852" i="1"/>
  <c r="H852" i="1"/>
  <c r="G852" i="1"/>
  <c r="F852" i="1"/>
  <c r="T851" i="1"/>
  <c r="S851" i="1"/>
  <c r="R851" i="1"/>
  <c r="Q851" i="1"/>
  <c r="P851" i="1"/>
  <c r="O851" i="1"/>
  <c r="N851" i="1"/>
  <c r="M851" i="1"/>
  <c r="L851" i="1"/>
  <c r="K851" i="1"/>
  <c r="J851" i="1"/>
  <c r="I851" i="1"/>
  <c r="H851" i="1"/>
  <c r="F851" i="1"/>
  <c r="G851" i="1" s="1"/>
  <c r="T850" i="1"/>
  <c r="S850" i="1"/>
  <c r="R850" i="1"/>
  <c r="Q850" i="1"/>
  <c r="P850" i="1"/>
  <c r="O850" i="1"/>
  <c r="N850" i="1"/>
  <c r="M850" i="1"/>
  <c r="L850" i="1"/>
  <c r="K850" i="1"/>
  <c r="J850" i="1"/>
  <c r="I850" i="1"/>
  <c r="H850" i="1"/>
  <c r="G850" i="1"/>
  <c r="F850" i="1"/>
  <c r="T849" i="1"/>
  <c r="S849" i="1"/>
  <c r="R849" i="1"/>
  <c r="Q849" i="1"/>
  <c r="P849" i="1"/>
  <c r="O849" i="1"/>
  <c r="N849" i="1"/>
  <c r="M849" i="1"/>
  <c r="L849" i="1"/>
  <c r="K849" i="1"/>
  <c r="J849" i="1"/>
  <c r="I849" i="1"/>
  <c r="H849" i="1"/>
  <c r="F849" i="1"/>
  <c r="G849" i="1" s="1"/>
  <c r="T848" i="1"/>
  <c r="S848" i="1"/>
  <c r="R848" i="1"/>
  <c r="Q848" i="1"/>
  <c r="P848" i="1"/>
  <c r="O848" i="1"/>
  <c r="N848" i="1"/>
  <c r="M848" i="1"/>
  <c r="L848" i="1"/>
  <c r="K848" i="1"/>
  <c r="J848" i="1"/>
  <c r="I848" i="1"/>
  <c r="H848" i="1"/>
  <c r="G848" i="1"/>
  <c r="F848" i="1"/>
  <c r="T847" i="1"/>
  <c r="S847" i="1"/>
  <c r="R847" i="1"/>
  <c r="Q847" i="1"/>
  <c r="P847" i="1"/>
  <c r="O847" i="1"/>
  <c r="N847" i="1"/>
  <c r="M847" i="1"/>
  <c r="L847" i="1"/>
  <c r="K847" i="1"/>
  <c r="J847" i="1"/>
  <c r="I847" i="1"/>
  <c r="H847" i="1"/>
  <c r="F847" i="1"/>
  <c r="G847" i="1" s="1"/>
  <c r="T846" i="1"/>
  <c r="S846" i="1"/>
  <c r="R846" i="1"/>
  <c r="Q846" i="1"/>
  <c r="P846" i="1"/>
  <c r="O846" i="1"/>
  <c r="N846" i="1"/>
  <c r="M846" i="1"/>
  <c r="L846" i="1"/>
  <c r="K846" i="1"/>
  <c r="J846" i="1"/>
  <c r="I846" i="1"/>
  <c r="H846" i="1"/>
  <c r="G846" i="1"/>
  <c r="F846" i="1"/>
  <c r="T845" i="1"/>
  <c r="S845" i="1"/>
  <c r="R845" i="1"/>
  <c r="Q845" i="1"/>
  <c r="P845" i="1"/>
  <c r="O845" i="1"/>
  <c r="N845" i="1"/>
  <c r="M845" i="1"/>
  <c r="L845" i="1"/>
  <c r="K845" i="1"/>
  <c r="J845" i="1"/>
  <c r="I845" i="1"/>
  <c r="H845" i="1"/>
  <c r="G845" i="1"/>
  <c r="F845" i="1"/>
  <c r="T844" i="1"/>
  <c r="S844" i="1"/>
  <c r="R844" i="1"/>
  <c r="Q844" i="1"/>
  <c r="P844" i="1"/>
  <c r="O844" i="1"/>
  <c r="N844" i="1"/>
  <c r="M844" i="1"/>
  <c r="L844" i="1"/>
  <c r="K844" i="1"/>
  <c r="J844" i="1"/>
  <c r="I844" i="1"/>
  <c r="H844" i="1"/>
  <c r="F844" i="1"/>
  <c r="G844" i="1" s="1"/>
  <c r="T843" i="1"/>
  <c r="S843" i="1"/>
  <c r="R843" i="1"/>
  <c r="Q843" i="1"/>
  <c r="P843" i="1"/>
  <c r="O843" i="1"/>
  <c r="N843" i="1"/>
  <c r="M843" i="1"/>
  <c r="L843" i="1"/>
  <c r="K843" i="1"/>
  <c r="J843" i="1"/>
  <c r="I843" i="1"/>
  <c r="H843" i="1"/>
  <c r="F843" i="1"/>
  <c r="G843" i="1" s="1"/>
  <c r="T842" i="1"/>
  <c r="S842" i="1"/>
  <c r="R842" i="1"/>
  <c r="Q842" i="1"/>
  <c r="P842" i="1"/>
  <c r="O842" i="1"/>
  <c r="N842" i="1"/>
  <c r="M842" i="1"/>
  <c r="L842" i="1"/>
  <c r="K842" i="1"/>
  <c r="J842" i="1"/>
  <c r="I842" i="1"/>
  <c r="H842" i="1"/>
  <c r="G842" i="1"/>
  <c r="F842" i="1"/>
  <c r="T841" i="1"/>
  <c r="S841" i="1"/>
  <c r="R841" i="1"/>
  <c r="Q841" i="1"/>
  <c r="P841" i="1"/>
  <c r="O841" i="1"/>
  <c r="N841" i="1"/>
  <c r="M841" i="1"/>
  <c r="L841" i="1"/>
  <c r="K841" i="1"/>
  <c r="J841" i="1"/>
  <c r="I841" i="1"/>
  <c r="H841" i="1"/>
  <c r="F841" i="1"/>
  <c r="G841" i="1" s="1"/>
  <c r="T840" i="1"/>
  <c r="S840" i="1"/>
  <c r="R840" i="1"/>
  <c r="Q840" i="1"/>
  <c r="P840" i="1"/>
  <c r="O840" i="1"/>
  <c r="N840" i="1"/>
  <c r="M840" i="1"/>
  <c r="L840" i="1"/>
  <c r="K840" i="1"/>
  <c r="J840" i="1"/>
  <c r="I840" i="1"/>
  <c r="H840" i="1"/>
  <c r="G840" i="1"/>
  <c r="F840" i="1"/>
  <c r="T839" i="1"/>
  <c r="S839" i="1"/>
  <c r="R839" i="1"/>
  <c r="Q839" i="1"/>
  <c r="P839" i="1"/>
  <c r="O839" i="1"/>
  <c r="N839" i="1"/>
  <c r="M839" i="1"/>
  <c r="L839" i="1"/>
  <c r="K839" i="1"/>
  <c r="J839" i="1"/>
  <c r="I839" i="1"/>
  <c r="H839" i="1"/>
  <c r="F839" i="1"/>
  <c r="G839" i="1" s="1"/>
  <c r="T838" i="1"/>
  <c r="S838" i="1"/>
  <c r="R838" i="1"/>
  <c r="Q838" i="1"/>
  <c r="P838" i="1"/>
  <c r="O838" i="1"/>
  <c r="N838" i="1"/>
  <c r="M838" i="1"/>
  <c r="L838" i="1"/>
  <c r="K838" i="1"/>
  <c r="J838" i="1"/>
  <c r="I838" i="1"/>
  <c r="H838" i="1"/>
  <c r="G838" i="1"/>
  <c r="F838" i="1"/>
  <c r="T837" i="1"/>
  <c r="S837" i="1"/>
  <c r="R837" i="1"/>
  <c r="Q837" i="1"/>
  <c r="P837" i="1"/>
  <c r="O837" i="1"/>
  <c r="N837" i="1"/>
  <c r="M837" i="1"/>
  <c r="L837" i="1"/>
  <c r="K837" i="1"/>
  <c r="J837" i="1"/>
  <c r="I837" i="1"/>
  <c r="H837" i="1"/>
  <c r="G837" i="1"/>
  <c r="F837" i="1"/>
  <c r="T836" i="1"/>
  <c r="S836" i="1"/>
  <c r="R836" i="1"/>
  <c r="Q836" i="1"/>
  <c r="P836" i="1"/>
  <c r="O836" i="1"/>
  <c r="N836" i="1"/>
  <c r="M836" i="1"/>
  <c r="L836" i="1"/>
  <c r="K836" i="1"/>
  <c r="J836" i="1"/>
  <c r="I836" i="1"/>
  <c r="H836" i="1"/>
  <c r="F836" i="1"/>
  <c r="G836" i="1" s="1"/>
  <c r="T835" i="1"/>
  <c r="S835" i="1"/>
  <c r="R835" i="1"/>
  <c r="Q835" i="1"/>
  <c r="P835" i="1"/>
  <c r="O835" i="1"/>
  <c r="N835" i="1"/>
  <c r="M835" i="1"/>
  <c r="L835" i="1"/>
  <c r="K835" i="1"/>
  <c r="J835" i="1"/>
  <c r="I835" i="1"/>
  <c r="H835" i="1"/>
  <c r="F835" i="1"/>
  <c r="G835" i="1" s="1"/>
  <c r="T834" i="1"/>
  <c r="S834" i="1"/>
  <c r="R834" i="1"/>
  <c r="Q834" i="1"/>
  <c r="P834" i="1"/>
  <c r="O834" i="1"/>
  <c r="N834" i="1"/>
  <c r="M834" i="1"/>
  <c r="L834" i="1"/>
  <c r="K834" i="1"/>
  <c r="J834" i="1"/>
  <c r="I834" i="1"/>
  <c r="H834" i="1"/>
  <c r="G834" i="1"/>
  <c r="F834" i="1"/>
  <c r="T833" i="1"/>
  <c r="S833" i="1"/>
  <c r="R833" i="1"/>
  <c r="Q833" i="1"/>
  <c r="P833" i="1"/>
  <c r="O833" i="1"/>
  <c r="N833" i="1"/>
  <c r="M833" i="1"/>
  <c r="L833" i="1"/>
  <c r="K833" i="1"/>
  <c r="J833" i="1"/>
  <c r="I833" i="1"/>
  <c r="H833" i="1"/>
  <c r="F833" i="1"/>
  <c r="G833" i="1" s="1"/>
  <c r="T832" i="1"/>
  <c r="S832" i="1"/>
  <c r="R832" i="1"/>
  <c r="Q832" i="1"/>
  <c r="P832" i="1"/>
  <c r="O832" i="1"/>
  <c r="N832" i="1"/>
  <c r="M832" i="1"/>
  <c r="L832" i="1"/>
  <c r="K832" i="1"/>
  <c r="J832" i="1"/>
  <c r="I832" i="1"/>
  <c r="H832" i="1"/>
  <c r="G832" i="1"/>
  <c r="F832" i="1"/>
  <c r="T831" i="1"/>
  <c r="S831" i="1"/>
  <c r="R831" i="1"/>
  <c r="Q831" i="1"/>
  <c r="P831" i="1"/>
  <c r="O831" i="1"/>
  <c r="N831" i="1"/>
  <c r="M831" i="1"/>
  <c r="L831" i="1"/>
  <c r="K831" i="1"/>
  <c r="J831" i="1"/>
  <c r="I831" i="1"/>
  <c r="H831" i="1"/>
  <c r="F831" i="1"/>
  <c r="G831" i="1" s="1"/>
  <c r="T830" i="1"/>
  <c r="S830" i="1"/>
  <c r="R830" i="1"/>
  <c r="Q830" i="1"/>
  <c r="P830" i="1"/>
  <c r="O830" i="1"/>
  <c r="N830" i="1"/>
  <c r="M830" i="1"/>
  <c r="L830" i="1"/>
  <c r="K830" i="1"/>
  <c r="J830" i="1"/>
  <c r="I830" i="1"/>
  <c r="H830" i="1"/>
  <c r="G830" i="1"/>
  <c r="F830" i="1"/>
  <c r="T829" i="1"/>
  <c r="S829" i="1"/>
  <c r="R829" i="1"/>
  <c r="Q829" i="1"/>
  <c r="P829" i="1"/>
  <c r="O829" i="1"/>
  <c r="N829" i="1"/>
  <c r="M829" i="1"/>
  <c r="L829" i="1"/>
  <c r="K829" i="1"/>
  <c r="J829" i="1"/>
  <c r="I829" i="1"/>
  <c r="H829" i="1"/>
  <c r="G829" i="1"/>
  <c r="F829" i="1"/>
  <c r="T828" i="1"/>
  <c r="S828" i="1"/>
  <c r="R828" i="1"/>
  <c r="Q828" i="1"/>
  <c r="P828" i="1"/>
  <c r="O828" i="1"/>
  <c r="N828" i="1"/>
  <c r="M828" i="1"/>
  <c r="L828" i="1"/>
  <c r="K828" i="1"/>
  <c r="J828" i="1"/>
  <c r="I828" i="1"/>
  <c r="H828" i="1"/>
  <c r="F828" i="1"/>
  <c r="G828" i="1" s="1"/>
  <c r="T827" i="1"/>
  <c r="S827" i="1"/>
  <c r="R827" i="1"/>
  <c r="Q827" i="1"/>
  <c r="P827" i="1"/>
  <c r="O827" i="1"/>
  <c r="N827" i="1"/>
  <c r="M827" i="1"/>
  <c r="L827" i="1"/>
  <c r="K827" i="1"/>
  <c r="J827" i="1"/>
  <c r="I827" i="1"/>
  <c r="H827" i="1"/>
  <c r="F827" i="1"/>
  <c r="G827" i="1" s="1"/>
  <c r="T826" i="1"/>
  <c r="S826" i="1"/>
  <c r="R826" i="1"/>
  <c r="Q826" i="1"/>
  <c r="P826" i="1"/>
  <c r="O826" i="1"/>
  <c r="N826" i="1"/>
  <c r="M826" i="1"/>
  <c r="L826" i="1"/>
  <c r="K826" i="1"/>
  <c r="J826" i="1"/>
  <c r="I826" i="1"/>
  <c r="H826" i="1"/>
  <c r="G826" i="1"/>
  <c r="F826" i="1"/>
  <c r="T825" i="1"/>
  <c r="S825" i="1"/>
  <c r="R825" i="1"/>
  <c r="Q825" i="1"/>
  <c r="P825" i="1"/>
  <c r="O825" i="1"/>
  <c r="N825" i="1"/>
  <c r="M825" i="1"/>
  <c r="L825" i="1"/>
  <c r="K825" i="1"/>
  <c r="J825" i="1"/>
  <c r="I825" i="1"/>
  <c r="H825" i="1"/>
  <c r="F825" i="1"/>
  <c r="G825" i="1" s="1"/>
  <c r="T824" i="1"/>
  <c r="S824" i="1"/>
  <c r="R824" i="1"/>
  <c r="Q824" i="1"/>
  <c r="P824" i="1"/>
  <c r="O824" i="1"/>
  <c r="N824" i="1"/>
  <c r="M824" i="1"/>
  <c r="L824" i="1"/>
  <c r="K824" i="1"/>
  <c r="J824" i="1"/>
  <c r="I824" i="1"/>
  <c r="H824" i="1"/>
  <c r="F824" i="1"/>
  <c r="G824" i="1" s="1"/>
  <c r="T823" i="1"/>
  <c r="S823" i="1"/>
  <c r="R823" i="1"/>
  <c r="Q823" i="1"/>
  <c r="P823" i="1"/>
  <c r="O823" i="1"/>
  <c r="N823" i="1"/>
  <c r="M823" i="1"/>
  <c r="L823" i="1"/>
  <c r="K823" i="1"/>
  <c r="J823" i="1"/>
  <c r="I823" i="1"/>
  <c r="H823" i="1"/>
  <c r="F823" i="1"/>
  <c r="G823" i="1" s="1"/>
  <c r="T822" i="1"/>
  <c r="S822" i="1"/>
  <c r="R822" i="1"/>
  <c r="Q822" i="1"/>
  <c r="P822" i="1"/>
  <c r="O822" i="1"/>
  <c r="N822" i="1"/>
  <c r="M822" i="1"/>
  <c r="L822" i="1"/>
  <c r="K822" i="1"/>
  <c r="J822" i="1"/>
  <c r="I822" i="1"/>
  <c r="H822" i="1"/>
  <c r="G822" i="1"/>
  <c r="F822" i="1"/>
  <c r="T821" i="1"/>
  <c r="S821" i="1"/>
  <c r="R821" i="1"/>
  <c r="Q821" i="1"/>
  <c r="P821" i="1"/>
  <c r="O821" i="1"/>
  <c r="N821" i="1"/>
  <c r="M821" i="1"/>
  <c r="L821" i="1"/>
  <c r="K821" i="1"/>
  <c r="J821" i="1"/>
  <c r="I821" i="1"/>
  <c r="H821" i="1"/>
  <c r="G821" i="1"/>
  <c r="F821" i="1"/>
  <c r="T820" i="1"/>
  <c r="S820" i="1"/>
  <c r="R820" i="1"/>
  <c r="Q820" i="1"/>
  <c r="P820" i="1"/>
  <c r="O820" i="1"/>
  <c r="N820" i="1"/>
  <c r="M820" i="1"/>
  <c r="L820" i="1"/>
  <c r="K820" i="1"/>
  <c r="J820" i="1"/>
  <c r="I820" i="1"/>
  <c r="H820" i="1"/>
  <c r="F820" i="1"/>
  <c r="G820" i="1" s="1"/>
  <c r="T819" i="1"/>
  <c r="S819" i="1"/>
  <c r="R819" i="1"/>
  <c r="Q819" i="1"/>
  <c r="P819" i="1"/>
  <c r="O819" i="1"/>
  <c r="N819" i="1"/>
  <c r="M819" i="1"/>
  <c r="L819" i="1"/>
  <c r="K819" i="1"/>
  <c r="J819" i="1"/>
  <c r="I819" i="1"/>
  <c r="H819" i="1"/>
  <c r="F819" i="1"/>
  <c r="G819" i="1" s="1"/>
  <c r="T818" i="1"/>
  <c r="S818" i="1"/>
  <c r="R818" i="1"/>
  <c r="Q818" i="1"/>
  <c r="P818" i="1"/>
  <c r="O818" i="1"/>
  <c r="N818" i="1"/>
  <c r="M818" i="1"/>
  <c r="L818" i="1"/>
  <c r="K818" i="1"/>
  <c r="J818" i="1"/>
  <c r="I818" i="1"/>
  <c r="H818" i="1"/>
  <c r="G818" i="1"/>
  <c r="F818" i="1"/>
  <c r="T817" i="1"/>
  <c r="S817" i="1"/>
  <c r="R817" i="1"/>
  <c r="Q817" i="1"/>
  <c r="P817" i="1"/>
  <c r="O817" i="1"/>
  <c r="N817" i="1"/>
  <c r="M817" i="1"/>
  <c r="L817" i="1"/>
  <c r="K817" i="1"/>
  <c r="J817" i="1"/>
  <c r="I817" i="1"/>
  <c r="H817" i="1"/>
  <c r="F817" i="1"/>
  <c r="G817" i="1" s="1"/>
  <c r="T816" i="1"/>
  <c r="S816" i="1"/>
  <c r="R816" i="1"/>
  <c r="Q816" i="1"/>
  <c r="P816" i="1"/>
  <c r="O816" i="1"/>
  <c r="N816" i="1"/>
  <c r="M816" i="1"/>
  <c r="L816" i="1"/>
  <c r="K816" i="1"/>
  <c r="J816" i="1"/>
  <c r="I816" i="1"/>
  <c r="H816" i="1"/>
  <c r="F816" i="1"/>
  <c r="G816" i="1" s="1"/>
  <c r="T815" i="1"/>
  <c r="S815" i="1"/>
  <c r="R815" i="1"/>
  <c r="Q815" i="1"/>
  <c r="P815" i="1"/>
  <c r="O815" i="1"/>
  <c r="N815" i="1"/>
  <c r="M815" i="1"/>
  <c r="L815" i="1"/>
  <c r="K815" i="1"/>
  <c r="J815" i="1"/>
  <c r="I815" i="1"/>
  <c r="H815" i="1"/>
  <c r="F815" i="1"/>
  <c r="G815" i="1" s="1"/>
  <c r="T814" i="1"/>
  <c r="S814" i="1"/>
  <c r="R814" i="1"/>
  <c r="Q814" i="1"/>
  <c r="P814" i="1"/>
  <c r="O814" i="1"/>
  <c r="N814" i="1"/>
  <c r="M814" i="1"/>
  <c r="L814" i="1"/>
  <c r="K814" i="1"/>
  <c r="J814" i="1"/>
  <c r="I814" i="1"/>
  <c r="H814" i="1"/>
  <c r="G814" i="1"/>
  <c r="F814" i="1"/>
  <c r="T813" i="1"/>
  <c r="S813" i="1"/>
  <c r="R813" i="1"/>
  <c r="Q813" i="1"/>
  <c r="P813" i="1"/>
  <c r="O813" i="1"/>
  <c r="N813" i="1"/>
  <c r="M813" i="1"/>
  <c r="L813" i="1"/>
  <c r="K813" i="1"/>
  <c r="J813" i="1"/>
  <c r="I813" i="1"/>
  <c r="H813" i="1"/>
  <c r="G813" i="1"/>
  <c r="F813" i="1"/>
  <c r="T812" i="1"/>
  <c r="S812" i="1"/>
  <c r="R812" i="1"/>
  <c r="Q812" i="1"/>
  <c r="P812" i="1"/>
  <c r="O812" i="1"/>
  <c r="N812" i="1"/>
  <c r="M812" i="1"/>
  <c r="L812" i="1"/>
  <c r="K812" i="1"/>
  <c r="J812" i="1"/>
  <c r="I812" i="1"/>
  <c r="H812" i="1"/>
  <c r="F812" i="1"/>
  <c r="G812" i="1" s="1"/>
  <c r="T811" i="1"/>
  <c r="S811" i="1"/>
  <c r="R811" i="1"/>
  <c r="Q811" i="1"/>
  <c r="P811" i="1"/>
  <c r="O811" i="1"/>
  <c r="N811" i="1"/>
  <c r="M811" i="1"/>
  <c r="L811" i="1"/>
  <c r="K811" i="1"/>
  <c r="J811" i="1"/>
  <c r="I811" i="1"/>
  <c r="H811" i="1"/>
  <c r="F811" i="1"/>
  <c r="G811" i="1" s="1"/>
  <c r="T810" i="1"/>
  <c r="S810" i="1"/>
  <c r="R810" i="1"/>
  <c r="Q810" i="1"/>
  <c r="P810" i="1"/>
  <c r="O810" i="1"/>
  <c r="N810" i="1"/>
  <c r="M810" i="1"/>
  <c r="L810" i="1"/>
  <c r="K810" i="1"/>
  <c r="J810" i="1"/>
  <c r="I810" i="1"/>
  <c r="H810" i="1"/>
  <c r="G810" i="1"/>
  <c r="F810" i="1"/>
  <c r="T809" i="1"/>
  <c r="S809" i="1"/>
  <c r="R809" i="1"/>
  <c r="Q809" i="1"/>
  <c r="P809" i="1"/>
  <c r="O809" i="1"/>
  <c r="N809" i="1"/>
  <c r="M809" i="1"/>
  <c r="L809" i="1"/>
  <c r="K809" i="1"/>
  <c r="J809" i="1"/>
  <c r="I809" i="1"/>
  <c r="H809" i="1"/>
  <c r="F809" i="1"/>
  <c r="G809" i="1" s="1"/>
  <c r="T808" i="1"/>
  <c r="S808" i="1"/>
  <c r="R808" i="1"/>
  <c r="Q808" i="1"/>
  <c r="P808" i="1"/>
  <c r="O808" i="1"/>
  <c r="N808" i="1"/>
  <c r="M808" i="1"/>
  <c r="L808" i="1"/>
  <c r="K808" i="1"/>
  <c r="J808" i="1"/>
  <c r="I808" i="1"/>
  <c r="H808" i="1"/>
  <c r="F808" i="1"/>
  <c r="G808" i="1" s="1"/>
  <c r="T807" i="1"/>
  <c r="S807" i="1"/>
  <c r="R807" i="1"/>
  <c r="Q807" i="1"/>
  <c r="P807" i="1"/>
  <c r="O807" i="1"/>
  <c r="N807" i="1"/>
  <c r="M807" i="1"/>
  <c r="L807" i="1"/>
  <c r="K807" i="1"/>
  <c r="J807" i="1"/>
  <c r="I807" i="1"/>
  <c r="H807" i="1"/>
  <c r="F807" i="1"/>
  <c r="G807" i="1" s="1"/>
  <c r="T806" i="1"/>
  <c r="S806" i="1"/>
  <c r="R806" i="1"/>
  <c r="Q806" i="1"/>
  <c r="P806" i="1"/>
  <c r="O806" i="1"/>
  <c r="N806" i="1"/>
  <c r="M806" i="1"/>
  <c r="L806" i="1"/>
  <c r="K806" i="1"/>
  <c r="J806" i="1"/>
  <c r="I806" i="1"/>
  <c r="H806" i="1"/>
  <c r="G806" i="1"/>
  <c r="F806" i="1"/>
  <c r="T805" i="1"/>
  <c r="S805" i="1"/>
  <c r="R805" i="1"/>
  <c r="Q805" i="1"/>
  <c r="P805" i="1"/>
  <c r="O805" i="1"/>
  <c r="N805" i="1"/>
  <c r="M805" i="1"/>
  <c r="L805" i="1"/>
  <c r="K805" i="1"/>
  <c r="J805" i="1"/>
  <c r="I805" i="1"/>
  <c r="H805" i="1"/>
  <c r="G805" i="1"/>
  <c r="F805" i="1"/>
  <c r="T804" i="1"/>
  <c r="S804" i="1"/>
  <c r="R804" i="1"/>
  <c r="Q804" i="1"/>
  <c r="P804" i="1"/>
  <c r="O804" i="1"/>
  <c r="N804" i="1"/>
  <c r="M804" i="1"/>
  <c r="L804" i="1"/>
  <c r="K804" i="1"/>
  <c r="J804" i="1"/>
  <c r="I804" i="1"/>
  <c r="H804" i="1"/>
  <c r="F804" i="1"/>
  <c r="G804" i="1" s="1"/>
  <c r="T803" i="1"/>
  <c r="S803" i="1"/>
  <c r="R803" i="1"/>
  <c r="Q803" i="1"/>
  <c r="P803" i="1"/>
  <c r="O803" i="1"/>
  <c r="N803" i="1"/>
  <c r="M803" i="1"/>
  <c r="L803" i="1"/>
  <c r="K803" i="1"/>
  <c r="J803" i="1"/>
  <c r="I803" i="1"/>
  <c r="H803" i="1"/>
  <c r="F803" i="1"/>
  <c r="G803" i="1" s="1"/>
  <c r="T802" i="1"/>
  <c r="S802" i="1"/>
  <c r="R802" i="1"/>
  <c r="Q802" i="1"/>
  <c r="P802" i="1"/>
  <c r="O802" i="1"/>
  <c r="N802" i="1"/>
  <c r="M802" i="1"/>
  <c r="L802" i="1"/>
  <c r="K802" i="1"/>
  <c r="J802" i="1"/>
  <c r="I802" i="1"/>
  <c r="H802" i="1"/>
  <c r="G802" i="1"/>
  <c r="F802" i="1"/>
  <c r="T801" i="1"/>
  <c r="S801" i="1"/>
  <c r="R801" i="1"/>
  <c r="Q801" i="1"/>
  <c r="P801" i="1"/>
  <c r="O801" i="1"/>
  <c r="N801" i="1"/>
  <c r="M801" i="1"/>
  <c r="L801" i="1"/>
  <c r="K801" i="1"/>
  <c r="J801" i="1"/>
  <c r="I801" i="1"/>
  <c r="H801" i="1"/>
  <c r="F801" i="1"/>
  <c r="G801" i="1" s="1"/>
  <c r="T800" i="1"/>
  <c r="S800" i="1"/>
  <c r="R800" i="1"/>
  <c r="Q800" i="1"/>
  <c r="P800" i="1"/>
  <c r="O800" i="1"/>
  <c r="N800" i="1"/>
  <c r="M800" i="1"/>
  <c r="L800" i="1"/>
  <c r="K800" i="1"/>
  <c r="J800" i="1"/>
  <c r="I800" i="1"/>
  <c r="H800" i="1"/>
  <c r="F800" i="1"/>
  <c r="G800" i="1" s="1"/>
  <c r="T799" i="1"/>
  <c r="S799" i="1"/>
  <c r="R799" i="1"/>
  <c r="Q799" i="1"/>
  <c r="P799" i="1"/>
  <c r="O799" i="1"/>
  <c r="N799" i="1"/>
  <c r="M799" i="1"/>
  <c r="L799" i="1"/>
  <c r="K799" i="1"/>
  <c r="J799" i="1"/>
  <c r="I799" i="1"/>
  <c r="H799" i="1"/>
  <c r="F799" i="1"/>
  <c r="G799" i="1" s="1"/>
  <c r="T798" i="1"/>
  <c r="S798" i="1"/>
  <c r="R798" i="1"/>
  <c r="Q798" i="1"/>
  <c r="P798" i="1"/>
  <c r="O798" i="1"/>
  <c r="N798" i="1"/>
  <c r="M798" i="1"/>
  <c r="L798" i="1"/>
  <c r="K798" i="1"/>
  <c r="J798" i="1"/>
  <c r="I798" i="1"/>
  <c r="H798" i="1"/>
  <c r="G798" i="1"/>
  <c r="F798" i="1"/>
  <c r="T797" i="1"/>
  <c r="S797" i="1"/>
  <c r="R797" i="1"/>
  <c r="Q797" i="1"/>
  <c r="P797" i="1"/>
  <c r="O797" i="1"/>
  <c r="N797" i="1"/>
  <c r="M797" i="1"/>
  <c r="L797" i="1"/>
  <c r="K797" i="1"/>
  <c r="J797" i="1"/>
  <c r="I797" i="1"/>
  <c r="H797" i="1"/>
  <c r="G797" i="1"/>
  <c r="F797" i="1"/>
  <c r="T796" i="1"/>
  <c r="S796" i="1"/>
  <c r="R796" i="1"/>
  <c r="Q796" i="1"/>
  <c r="P796" i="1"/>
  <c r="O796" i="1"/>
  <c r="N796" i="1"/>
  <c r="M796" i="1"/>
  <c r="L796" i="1"/>
  <c r="K796" i="1"/>
  <c r="J796" i="1"/>
  <c r="I796" i="1"/>
  <c r="H796" i="1"/>
  <c r="F796" i="1"/>
  <c r="G796" i="1" s="1"/>
  <c r="T795" i="1"/>
  <c r="S795" i="1"/>
  <c r="R795" i="1"/>
  <c r="Q795" i="1"/>
  <c r="P795" i="1"/>
  <c r="O795" i="1"/>
  <c r="N795" i="1"/>
  <c r="M795" i="1"/>
  <c r="L795" i="1"/>
  <c r="K795" i="1"/>
  <c r="J795" i="1"/>
  <c r="I795" i="1"/>
  <c r="H795" i="1"/>
  <c r="F795" i="1"/>
  <c r="G795" i="1" s="1"/>
  <c r="T794" i="1"/>
  <c r="S794" i="1"/>
  <c r="R794" i="1"/>
  <c r="Q794" i="1"/>
  <c r="P794" i="1"/>
  <c r="O794" i="1"/>
  <c r="N794" i="1"/>
  <c r="M794" i="1"/>
  <c r="L794" i="1"/>
  <c r="K794" i="1"/>
  <c r="J794" i="1"/>
  <c r="I794" i="1"/>
  <c r="H794" i="1"/>
  <c r="G794" i="1"/>
  <c r="F794" i="1"/>
  <c r="T793" i="1"/>
  <c r="S793" i="1"/>
  <c r="R793" i="1"/>
  <c r="Q793" i="1"/>
  <c r="P793" i="1"/>
  <c r="O793" i="1"/>
  <c r="N793" i="1"/>
  <c r="M793" i="1"/>
  <c r="L793" i="1"/>
  <c r="K793" i="1"/>
  <c r="J793" i="1"/>
  <c r="I793" i="1"/>
  <c r="H793" i="1"/>
  <c r="G793" i="1"/>
  <c r="F793" i="1"/>
  <c r="T792" i="1"/>
  <c r="S792" i="1"/>
  <c r="R792" i="1"/>
  <c r="Q792" i="1"/>
  <c r="P792" i="1"/>
  <c r="O792" i="1"/>
  <c r="N792" i="1"/>
  <c r="M792" i="1"/>
  <c r="L792" i="1"/>
  <c r="K792" i="1"/>
  <c r="J792" i="1"/>
  <c r="I792" i="1"/>
  <c r="H792" i="1"/>
  <c r="F792" i="1"/>
  <c r="G792" i="1" s="1"/>
  <c r="T791" i="1"/>
  <c r="S791" i="1"/>
  <c r="R791" i="1"/>
  <c r="Q791" i="1"/>
  <c r="P791" i="1"/>
  <c r="O791" i="1"/>
  <c r="N791" i="1"/>
  <c r="M791" i="1"/>
  <c r="L791" i="1"/>
  <c r="K791" i="1"/>
  <c r="J791" i="1"/>
  <c r="I791" i="1"/>
  <c r="H791" i="1"/>
  <c r="F791" i="1"/>
  <c r="G791" i="1" s="1"/>
  <c r="T790" i="1"/>
  <c r="S790" i="1"/>
  <c r="R790" i="1"/>
  <c r="Q790" i="1"/>
  <c r="P790" i="1"/>
  <c r="O790" i="1"/>
  <c r="N790" i="1"/>
  <c r="M790" i="1"/>
  <c r="L790" i="1"/>
  <c r="K790" i="1"/>
  <c r="J790" i="1"/>
  <c r="I790" i="1"/>
  <c r="H790" i="1"/>
  <c r="G790" i="1"/>
  <c r="F790" i="1"/>
  <c r="T789" i="1"/>
  <c r="S789" i="1"/>
  <c r="R789" i="1"/>
  <c r="Q789" i="1"/>
  <c r="P789" i="1"/>
  <c r="O789" i="1"/>
  <c r="N789" i="1"/>
  <c r="M789" i="1"/>
  <c r="L789" i="1"/>
  <c r="K789" i="1"/>
  <c r="J789" i="1"/>
  <c r="I789" i="1"/>
  <c r="H789" i="1"/>
  <c r="G789" i="1"/>
  <c r="F789" i="1"/>
  <c r="T788" i="1"/>
  <c r="S788" i="1"/>
  <c r="R788" i="1"/>
  <c r="Q788" i="1"/>
  <c r="P788" i="1"/>
  <c r="O788" i="1"/>
  <c r="N788" i="1"/>
  <c r="M788" i="1"/>
  <c r="L788" i="1"/>
  <c r="K788" i="1"/>
  <c r="J788" i="1"/>
  <c r="I788" i="1"/>
  <c r="H788" i="1"/>
  <c r="F788" i="1"/>
  <c r="G788" i="1" s="1"/>
  <c r="T787" i="1"/>
  <c r="S787" i="1"/>
  <c r="R787" i="1"/>
  <c r="Q787" i="1"/>
  <c r="P787" i="1"/>
  <c r="O787" i="1"/>
  <c r="N787" i="1"/>
  <c r="M787" i="1"/>
  <c r="L787" i="1"/>
  <c r="K787" i="1"/>
  <c r="J787" i="1"/>
  <c r="I787" i="1"/>
  <c r="H787" i="1"/>
  <c r="F787" i="1"/>
  <c r="G787" i="1" s="1"/>
  <c r="T786" i="1"/>
  <c r="S786" i="1"/>
  <c r="R786" i="1"/>
  <c r="Q786" i="1"/>
  <c r="P786" i="1"/>
  <c r="O786" i="1"/>
  <c r="N786" i="1"/>
  <c r="M786" i="1"/>
  <c r="L786" i="1"/>
  <c r="K786" i="1"/>
  <c r="J786" i="1"/>
  <c r="I786" i="1"/>
  <c r="H786" i="1"/>
  <c r="G786" i="1"/>
  <c r="F786" i="1"/>
  <c r="T785" i="1"/>
  <c r="S785" i="1"/>
  <c r="R785" i="1"/>
  <c r="Q785" i="1"/>
  <c r="P785" i="1"/>
  <c r="O785" i="1"/>
  <c r="N785" i="1"/>
  <c r="M785" i="1"/>
  <c r="L785" i="1"/>
  <c r="K785" i="1"/>
  <c r="J785" i="1"/>
  <c r="I785" i="1"/>
  <c r="H785" i="1"/>
  <c r="G785" i="1"/>
  <c r="F785" i="1"/>
  <c r="T784" i="1"/>
  <c r="S784" i="1"/>
  <c r="R784" i="1"/>
  <c r="Q784" i="1"/>
  <c r="P784" i="1"/>
  <c r="O784" i="1"/>
  <c r="N784" i="1"/>
  <c r="M784" i="1"/>
  <c r="L784" i="1"/>
  <c r="K784" i="1"/>
  <c r="J784" i="1"/>
  <c r="I784" i="1"/>
  <c r="H784" i="1"/>
  <c r="F784" i="1"/>
  <c r="G784" i="1" s="1"/>
  <c r="T783" i="1"/>
  <c r="S783" i="1"/>
  <c r="R783" i="1"/>
  <c r="Q783" i="1"/>
  <c r="P783" i="1"/>
  <c r="O783" i="1"/>
  <c r="N783" i="1"/>
  <c r="M783" i="1"/>
  <c r="L783" i="1"/>
  <c r="K783" i="1"/>
  <c r="J783" i="1"/>
  <c r="I783" i="1"/>
  <c r="H783" i="1"/>
  <c r="F783" i="1"/>
  <c r="G783" i="1" s="1"/>
  <c r="T782" i="1"/>
  <c r="S782" i="1"/>
  <c r="R782" i="1"/>
  <c r="Q782" i="1"/>
  <c r="P782" i="1"/>
  <c r="O782" i="1"/>
  <c r="N782" i="1"/>
  <c r="M782" i="1"/>
  <c r="L782" i="1"/>
  <c r="K782" i="1"/>
  <c r="J782" i="1"/>
  <c r="I782" i="1"/>
  <c r="H782" i="1"/>
  <c r="G782" i="1"/>
  <c r="F782" i="1"/>
  <c r="T781" i="1"/>
  <c r="S781" i="1"/>
  <c r="R781" i="1"/>
  <c r="Q781" i="1"/>
  <c r="P781" i="1"/>
  <c r="O781" i="1"/>
  <c r="N781" i="1"/>
  <c r="M781" i="1"/>
  <c r="L781" i="1"/>
  <c r="K781" i="1"/>
  <c r="J781" i="1"/>
  <c r="I781" i="1"/>
  <c r="H781" i="1"/>
  <c r="G781" i="1"/>
  <c r="F781" i="1"/>
  <c r="T780" i="1"/>
  <c r="S780" i="1"/>
  <c r="R780" i="1"/>
  <c r="Q780" i="1"/>
  <c r="P780" i="1"/>
  <c r="O780" i="1"/>
  <c r="N780" i="1"/>
  <c r="M780" i="1"/>
  <c r="L780" i="1"/>
  <c r="K780" i="1"/>
  <c r="J780" i="1"/>
  <c r="I780" i="1"/>
  <c r="H780" i="1"/>
  <c r="F780" i="1"/>
  <c r="G780" i="1" s="1"/>
  <c r="T779" i="1"/>
  <c r="S779" i="1"/>
  <c r="R779" i="1"/>
  <c r="Q779" i="1"/>
  <c r="P779" i="1"/>
  <c r="O779" i="1"/>
  <c r="N779" i="1"/>
  <c r="M779" i="1"/>
  <c r="L779" i="1"/>
  <c r="K779" i="1"/>
  <c r="J779" i="1"/>
  <c r="I779" i="1"/>
  <c r="H779" i="1"/>
  <c r="F779" i="1"/>
  <c r="G779" i="1" s="1"/>
  <c r="T778" i="1"/>
  <c r="S778" i="1"/>
  <c r="R778" i="1"/>
  <c r="Q778" i="1"/>
  <c r="P778" i="1"/>
  <c r="O778" i="1"/>
  <c r="N778" i="1"/>
  <c r="M778" i="1"/>
  <c r="L778" i="1"/>
  <c r="K778" i="1"/>
  <c r="J778" i="1"/>
  <c r="I778" i="1"/>
  <c r="H778" i="1"/>
  <c r="G778" i="1"/>
  <c r="F778" i="1"/>
  <c r="T777" i="1"/>
  <c r="S777" i="1"/>
  <c r="R777" i="1"/>
  <c r="Q777" i="1"/>
  <c r="P777" i="1"/>
  <c r="O777" i="1"/>
  <c r="N777" i="1"/>
  <c r="M777" i="1"/>
  <c r="L777" i="1"/>
  <c r="K777" i="1"/>
  <c r="J777" i="1"/>
  <c r="I777" i="1"/>
  <c r="H777" i="1"/>
  <c r="G777" i="1"/>
  <c r="F777" i="1"/>
  <c r="T776" i="1"/>
  <c r="S776" i="1"/>
  <c r="R776" i="1"/>
  <c r="Q776" i="1"/>
  <c r="P776" i="1"/>
  <c r="O776" i="1"/>
  <c r="N776" i="1"/>
  <c r="M776" i="1"/>
  <c r="L776" i="1"/>
  <c r="K776" i="1"/>
  <c r="J776" i="1"/>
  <c r="I776" i="1"/>
  <c r="H776" i="1"/>
  <c r="F776" i="1"/>
  <c r="G776" i="1" s="1"/>
  <c r="T775" i="1"/>
  <c r="S775" i="1"/>
  <c r="R775" i="1"/>
  <c r="Q775" i="1"/>
  <c r="P775" i="1"/>
  <c r="O775" i="1"/>
  <c r="N775" i="1"/>
  <c r="M775" i="1"/>
  <c r="L775" i="1"/>
  <c r="K775" i="1"/>
  <c r="J775" i="1"/>
  <c r="I775" i="1"/>
  <c r="H775" i="1"/>
  <c r="F775" i="1"/>
  <c r="G775" i="1" s="1"/>
  <c r="T774" i="1"/>
  <c r="S774" i="1"/>
  <c r="R774" i="1"/>
  <c r="Q774" i="1"/>
  <c r="P774" i="1"/>
  <c r="O774" i="1"/>
  <c r="N774" i="1"/>
  <c r="M774" i="1"/>
  <c r="L774" i="1"/>
  <c r="K774" i="1"/>
  <c r="J774" i="1"/>
  <c r="I774" i="1"/>
  <c r="H774" i="1"/>
  <c r="G774" i="1"/>
  <c r="F774" i="1"/>
  <c r="T773" i="1"/>
  <c r="S773" i="1"/>
  <c r="R773" i="1"/>
  <c r="Q773" i="1"/>
  <c r="P773" i="1"/>
  <c r="O773" i="1"/>
  <c r="N773" i="1"/>
  <c r="M773" i="1"/>
  <c r="L773" i="1"/>
  <c r="K773" i="1"/>
  <c r="J773" i="1"/>
  <c r="I773" i="1"/>
  <c r="H773" i="1"/>
  <c r="G773" i="1"/>
  <c r="F773" i="1"/>
  <c r="T772" i="1"/>
  <c r="S772" i="1"/>
  <c r="R772" i="1"/>
  <c r="Q772" i="1"/>
  <c r="P772" i="1"/>
  <c r="O772" i="1"/>
  <c r="N772" i="1"/>
  <c r="M772" i="1"/>
  <c r="L772" i="1"/>
  <c r="K772" i="1"/>
  <c r="J772" i="1"/>
  <c r="I772" i="1"/>
  <c r="H772" i="1"/>
  <c r="F772" i="1"/>
  <c r="G772" i="1" s="1"/>
  <c r="T771" i="1"/>
  <c r="S771" i="1"/>
  <c r="R771" i="1"/>
  <c r="Q771" i="1"/>
  <c r="P771" i="1"/>
  <c r="O771" i="1"/>
  <c r="N771" i="1"/>
  <c r="M771" i="1"/>
  <c r="L771" i="1"/>
  <c r="K771" i="1"/>
  <c r="J771" i="1"/>
  <c r="I771" i="1"/>
  <c r="H771" i="1"/>
  <c r="F771" i="1"/>
  <c r="G771" i="1" s="1"/>
  <c r="T770" i="1"/>
  <c r="S770" i="1"/>
  <c r="R770" i="1"/>
  <c r="Q770" i="1"/>
  <c r="P770" i="1"/>
  <c r="O770" i="1"/>
  <c r="N770" i="1"/>
  <c r="M770" i="1"/>
  <c r="L770" i="1"/>
  <c r="K770" i="1"/>
  <c r="J770" i="1"/>
  <c r="I770" i="1"/>
  <c r="H770" i="1"/>
  <c r="G770" i="1"/>
  <c r="F770" i="1"/>
  <c r="T769" i="1"/>
  <c r="S769" i="1"/>
  <c r="R769" i="1"/>
  <c r="Q769" i="1"/>
  <c r="P769" i="1"/>
  <c r="O769" i="1"/>
  <c r="N769" i="1"/>
  <c r="M769" i="1"/>
  <c r="L769" i="1"/>
  <c r="K769" i="1"/>
  <c r="J769" i="1"/>
  <c r="I769" i="1"/>
  <c r="H769" i="1"/>
  <c r="G769" i="1"/>
  <c r="F769" i="1"/>
  <c r="T768" i="1"/>
  <c r="S768" i="1"/>
  <c r="R768" i="1"/>
  <c r="Q768" i="1"/>
  <c r="P768" i="1"/>
  <c r="O768" i="1"/>
  <c r="N768" i="1"/>
  <c r="M768" i="1"/>
  <c r="L768" i="1"/>
  <c r="K768" i="1"/>
  <c r="J768" i="1"/>
  <c r="I768" i="1"/>
  <c r="H768" i="1"/>
  <c r="F768" i="1"/>
  <c r="G768" i="1" s="1"/>
  <c r="T767" i="1"/>
  <c r="S767" i="1"/>
  <c r="R767" i="1"/>
  <c r="Q767" i="1"/>
  <c r="P767" i="1"/>
  <c r="O767" i="1"/>
  <c r="N767" i="1"/>
  <c r="M767" i="1"/>
  <c r="L767" i="1"/>
  <c r="K767" i="1"/>
  <c r="J767" i="1"/>
  <c r="I767" i="1"/>
  <c r="H767" i="1"/>
  <c r="F767" i="1"/>
  <c r="G767" i="1" s="1"/>
  <c r="T766" i="1"/>
  <c r="S766" i="1"/>
  <c r="R766" i="1"/>
  <c r="Q766" i="1"/>
  <c r="P766" i="1"/>
  <c r="O766" i="1"/>
  <c r="N766" i="1"/>
  <c r="M766" i="1"/>
  <c r="L766" i="1"/>
  <c r="K766" i="1"/>
  <c r="J766" i="1"/>
  <c r="I766" i="1"/>
  <c r="H766" i="1"/>
  <c r="G766" i="1"/>
  <c r="F766" i="1"/>
  <c r="T765" i="1"/>
  <c r="S765" i="1"/>
  <c r="R765" i="1"/>
  <c r="Q765" i="1"/>
  <c r="P765" i="1"/>
  <c r="O765" i="1"/>
  <c r="N765" i="1"/>
  <c r="M765" i="1"/>
  <c r="L765" i="1"/>
  <c r="K765" i="1"/>
  <c r="J765" i="1"/>
  <c r="I765" i="1"/>
  <c r="H765" i="1"/>
  <c r="G765" i="1"/>
  <c r="F765" i="1"/>
  <c r="T764" i="1"/>
  <c r="S764" i="1"/>
  <c r="R764" i="1"/>
  <c r="Q764" i="1"/>
  <c r="P764" i="1"/>
  <c r="O764" i="1"/>
  <c r="N764" i="1"/>
  <c r="M764" i="1"/>
  <c r="L764" i="1"/>
  <c r="K764" i="1"/>
  <c r="J764" i="1"/>
  <c r="I764" i="1"/>
  <c r="H764" i="1"/>
  <c r="F764" i="1"/>
  <c r="G764" i="1" s="1"/>
  <c r="T763" i="1"/>
  <c r="S763" i="1"/>
  <c r="R763" i="1"/>
  <c r="Q763" i="1"/>
  <c r="P763" i="1"/>
  <c r="O763" i="1"/>
  <c r="N763" i="1"/>
  <c r="M763" i="1"/>
  <c r="L763" i="1"/>
  <c r="K763" i="1"/>
  <c r="J763" i="1"/>
  <c r="I763" i="1"/>
  <c r="H763" i="1"/>
  <c r="F763" i="1"/>
  <c r="G763" i="1" s="1"/>
  <c r="T762" i="1"/>
  <c r="S762" i="1"/>
  <c r="R762" i="1"/>
  <c r="Q762" i="1"/>
  <c r="P762" i="1"/>
  <c r="O762" i="1"/>
  <c r="N762" i="1"/>
  <c r="M762" i="1"/>
  <c r="L762" i="1"/>
  <c r="K762" i="1"/>
  <c r="J762" i="1"/>
  <c r="I762" i="1"/>
  <c r="H762" i="1"/>
  <c r="G762" i="1"/>
  <c r="F762" i="1"/>
  <c r="T761" i="1"/>
  <c r="S761" i="1"/>
  <c r="R761" i="1"/>
  <c r="Q761" i="1"/>
  <c r="P761" i="1"/>
  <c r="O761" i="1"/>
  <c r="N761" i="1"/>
  <c r="M761" i="1"/>
  <c r="L761" i="1"/>
  <c r="K761" i="1"/>
  <c r="J761" i="1"/>
  <c r="I761" i="1"/>
  <c r="H761" i="1"/>
  <c r="G761" i="1"/>
  <c r="F761" i="1"/>
  <c r="T760" i="1"/>
  <c r="S760" i="1"/>
  <c r="R760" i="1"/>
  <c r="Q760" i="1"/>
  <c r="P760" i="1"/>
  <c r="O760" i="1"/>
  <c r="N760" i="1"/>
  <c r="M760" i="1"/>
  <c r="L760" i="1"/>
  <c r="K760" i="1"/>
  <c r="J760" i="1"/>
  <c r="I760" i="1"/>
  <c r="H760" i="1"/>
  <c r="F760" i="1"/>
  <c r="G760" i="1" s="1"/>
  <c r="T759" i="1"/>
  <c r="S759" i="1"/>
  <c r="R759" i="1"/>
  <c r="Q759" i="1"/>
  <c r="P759" i="1"/>
  <c r="O759" i="1"/>
  <c r="N759" i="1"/>
  <c r="M759" i="1"/>
  <c r="L759" i="1"/>
  <c r="K759" i="1"/>
  <c r="J759" i="1"/>
  <c r="I759" i="1"/>
  <c r="H759" i="1"/>
  <c r="F759" i="1"/>
  <c r="G759" i="1" s="1"/>
  <c r="T758" i="1"/>
  <c r="S758" i="1"/>
  <c r="R758" i="1"/>
  <c r="Q758" i="1"/>
  <c r="P758" i="1"/>
  <c r="O758" i="1"/>
  <c r="N758" i="1"/>
  <c r="M758" i="1"/>
  <c r="L758" i="1"/>
  <c r="K758" i="1"/>
  <c r="J758" i="1"/>
  <c r="I758" i="1"/>
  <c r="H758" i="1"/>
  <c r="G758" i="1"/>
  <c r="F758" i="1"/>
  <c r="T757" i="1"/>
  <c r="S757" i="1"/>
  <c r="R757" i="1"/>
  <c r="Q757" i="1"/>
  <c r="P757" i="1"/>
  <c r="O757" i="1"/>
  <c r="N757" i="1"/>
  <c r="M757" i="1"/>
  <c r="L757" i="1"/>
  <c r="K757" i="1"/>
  <c r="J757" i="1"/>
  <c r="I757" i="1"/>
  <c r="H757" i="1"/>
  <c r="G757" i="1"/>
  <c r="F757" i="1"/>
  <c r="T756" i="1"/>
  <c r="S756" i="1"/>
  <c r="R756" i="1"/>
  <c r="Q756" i="1"/>
  <c r="P756" i="1"/>
  <c r="O756" i="1"/>
  <c r="N756" i="1"/>
  <c r="M756" i="1"/>
  <c r="L756" i="1"/>
  <c r="K756" i="1"/>
  <c r="J756" i="1"/>
  <c r="I756" i="1"/>
  <c r="H756" i="1"/>
  <c r="F756" i="1"/>
  <c r="G756" i="1" s="1"/>
  <c r="T755" i="1"/>
  <c r="S755" i="1"/>
  <c r="R755" i="1"/>
  <c r="Q755" i="1"/>
  <c r="P755" i="1"/>
  <c r="O755" i="1"/>
  <c r="N755" i="1"/>
  <c r="M755" i="1"/>
  <c r="L755" i="1"/>
  <c r="K755" i="1"/>
  <c r="J755" i="1"/>
  <c r="I755" i="1"/>
  <c r="H755" i="1"/>
  <c r="F755" i="1"/>
  <c r="G755" i="1" s="1"/>
  <c r="T754" i="1"/>
  <c r="S754" i="1"/>
  <c r="R754" i="1"/>
  <c r="Q754" i="1"/>
  <c r="P754" i="1"/>
  <c r="O754" i="1"/>
  <c r="N754" i="1"/>
  <c r="M754" i="1"/>
  <c r="L754" i="1"/>
  <c r="K754" i="1"/>
  <c r="J754" i="1"/>
  <c r="I754" i="1"/>
  <c r="H754" i="1"/>
  <c r="G754" i="1"/>
  <c r="F754" i="1"/>
  <c r="T753" i="1"/>
  <c r="S753" i="1"/>
  <c r="R753" i="1"/>
  <c r="Q753" i="1"/>
  <c r="P753" i="1"/>
  <c r="O753" i="1"/>
  <c r="N753" i="1"/>
  <c r="M753" i="1"/>
  <c r="L753" i="1"/>
  <c r="K753" i="1"/>
  <c r="J753" i="1"/>
  <c r="I753" i="1"/>
  <c r="H753" i="1"/>
  <c r="G753" i="1"/>
  <c r="F753" i="1"/>
  <c r="T752" i="1"/>
  <c r="S752" i="1"/>
  <c r="R752" i="1"/>
  <c r="Q752" i="1"/>
  <c r="P752" i="1"/>
  <c r="O752" i="1"/>
  <c r="N752" i="1"/>
  <c r="M752" i="1"/>
  <c r="L752" i="1"/>
  <c r="K752" i="1"/>
  <c r="J752" i="1"/>
  <c r="I752" i="1"/>
  <c r="H752" i="1"/>
  <c r="F752" i="1"/>
  <c r="G752" i="1" s="1"/>
  <c r="T751" i="1"/>
  <c r="S751" i="1"/>
  <c r="R751" i="1"/>
  <c r="Q751" i="1"/>
  <c r="P751" i="1"/>
  <c r="O751" i="1"/>
  <c r="N751" i="1"/>
  <c r="M751" i="1"/>
  <c r="L751" i="1"/>
  <c r="K751" i="1"/>
  <c r="J751" i="1"/>
  <c r="I751" i="1"/>
  <c r="H751" i="1"/>
  <c r="F751" i="1"/>
  <c r="G751" i="1" s="1"/>
  <c r="T750" i="1"/>
  <c r="S750" i="1"/>
  <c r="R750" i="1"/>
  <c r="Q750" i="1"/>
  <c r="P750" i="1"/>
  <c r="O750" i="1"/>
  <c r="N750" i="1"/>
  <c r="M750" i="1"/>
  <c r="L750" i="1"/>
  <c r="K750" i="1"/>
  <c r="J750" i="1"/>
  <c r="I750" i="1"/>
  <c r="H750" i="1"/>
  <c r="G750" i="1"/>
  <c r="F750" i="1"/>
  <c r="T749" i="1"/>
  <c r="S749" i="1"/>
  <c r="R749" i="1"/>
  <c r="Q749" i="1"/>
  <c r="P749" i="1"/>
  <c r="O749" i="1"/>
  <c r="N749" i="1"/>
  <c r="M749" i="1"/>
  <c r="L749" i="1"/>
  <c r="K749" i="1"/>
  <c r="J749" i="1"/>
  <c r="I749" i="1"/>
  <c r="H749" i="1"/>
  <c r="G749" i="1"/>
  <c r="F749" i="1"/>
  <c r="T748" i="1"/>
  <c r="S748" i="1"/>
  <c r="R748" i="1"/>
  <c r="Q748" i="1"/>
  <c r="P748" i="1"/>
  <c r="O748" i="1"/>
  <c r="N748" i="1"/>
  <c r="M748" i="1"/>
  <c r="L748" i="1"/>
  <c r="K748" i="1"/>
  <c r="J748" i="1"/>
  <c r="I748" i="1"/>
  <c r="H748" i="1"/>
  <c r="F748" i="1"/>
  <c r="G748" i="1" s="1"/>
  <c r="T747" i="1"/>
  <c r="S747" i="1"/>
  <c r="R747" i="1"/>
  <c r="Q747" i="1"/>
  <c r="P747" i="1"/>
  <c r="O747" i="1"/>
  <c r="N747" i="1"/>
  <c r="M747" i="1"/>
  <c r="L747" i="1"/>
  <c r="K747" i="1"/>
  <c r="J747" i="1"/>
  <c r="I747" i="1"/>
  <c r="H747" i="1"/>
  <c r="F747" i="1"/>
  <c r="G747" i="1" s="1"/>
  <c r="T746" i="1"/>
  <c r="S746" i="1"/>
  <c r="R746" i="1"/>
  <c r="Q746" i="1"/>
  <c r="P746" i="1"/>
  <c r="O746" i="1"/>
  <c r="N746" i="1"/>
  <c r="M746" i="1"/>
  <c r="L746" i="1"/>
  <c r="K746" i="1"/>
  <c r="J746" i="1"/>
  <c r="I746" i="1"/>
  <c r="H746" i="1"/>
  <c r="G746" i="1"/>
  <c r="F746" i="1"/>
  <c r="T745" i="1"/>
  <c r="S745" i="1"/>
  <c r="R745" i="1"/>
  <c r="Q745" i="1"/>
  <c r="P745" i="1"/>
  <c r="O745" i="1"/>
  <c r="N745" i="1"/>
  <c r="M745" i="1"/>
  <c r="L745" i="1"/>
  <c r="K745" i="1"/>
  <c r="J745" i="1"/>
  <c r="I745" i="1"/>
  <c r="H745" i="1"/>
  <c r="G745" i="1"/>
  <c r="F745" i="1"/>
  <c r="T744" i="1"/>
  <c r="S744" i="1"/>
  <c r="R744" i="1"/>
  <c r="Q744" i="1"/>
  <c r="P744" i="1"/>
  <c r="O744" i="1"/>
  <c r="N744" i="1"/>
  <c r="M744" i="1"/>
  <c r="L744" i="1"/>
  <c r="K744" i="1"/>
  <c r="J744" i="1"/>
  <c r="I744" i="1"/>
  <c r="H744" i="1"/>
  <c r="F744" i="1"/>
  <c r="G744" i="1" s="1"/>
  <c r="T743" i="1"/>
  <c r="S743" i="1"/>
  <c r="R743" i="1"/>
  <c r="Q743" i="1"/>
  <c r="P743" i="1"/>
  <c r="O743" i="1"/>
  <c r="N743" i="1"/>
  <c r="M743" i="1"/>
  <c r="L743" i="1"/>
  <c r="K743" i="1"/>
  <c r="J743" i="1"/>
  <c r="I743" i="1"/>
  <c r="H743" i="1"/>
  <c r="F743" i="1"/>
  <c r="G743" i="1" s="1"/>
  <c r="T742" i="1"/>
  <c r="S742" i="1"/>
  <c r="R742" i="1"/>
  <c r="Q742" i="1"/>
  <c r="P742" i="1"/>
  <c r="O742" i="1"/>
  <c r="N742" i="1"/>
  <c r="M742" i="1"/>
  <c r="L742" i="1"/>
  <c r="K742" i="1"/>
  <c r="J742" i="1"/>
  <c r="I742" i="1"/>
  <c r="H742" i="1"/>
  <c r="G742" i="1"/>
  <c r="F742" i="1"/>
  <c r="T741" i="1"/>
  <c r="S741" i="1"/>
  <c r="R741" i="1"/>
  <c r="Q741" i="1"/>
  <c r="P741" i="1"/>
  <c r="O741" i="1"/>
  <c r="N741" i="1"/>
  <c r="M741" i="1"/>
  <c r="L741" i="1"/>
  <c r="K741" i="1"/>
  <c r="J741" i="1"/>
  <c r="I741" i="1"/>
  <c r="H741" i="1"/>
  <c r="G741" i="1"/>
  <c r="F741" i="1"/>
  <c r="T740" i="1"/>
  <c r="S740" i="1"/>
  <c r="R740" i="1"/>
  <c r="Q740" i="1"/>
  <c r="P740" i="1"/>
  <c r="O740" i="1"/>
  <c r="N740" i="1"/>
  <c r="M740" i="1"/>
  <c r="L740" i="1"/>
  <c r="K740" i="1"/>
  <c r="J740" i="1"/>
  <c r="I740" i="1"/>
  <c r="H740" i="1"/>
  <c r="F740" i="1"/>
  <c r="G740" i="1" s="1"/>
  <c r="T739" i="1"/>
  <c r="S739" i="1"/>
  <c r="R739" i="1"/>
  <c r="Q739" i="1"/>
  <c r="P739" i="1"/>
  <c r="O739" i="1"/>
  <c r="N739" i="1"/>
  <c r="M739" i="1"/>
  <c r="L739" i="1"/>
  <c r="K739" i="1"/>
  <c r="J739" i="1"/>
  <c r="I739" i="1"/>
  <c r="H739" i="1"/>
  <c r="F739" i="1"/>
  <c r="G739" i="1" s="1"/>
  <c r="T738" i="1"/>
  <c r="S738" i="1"/>
  <c r="R738" i="1"/>
  <c r="Q738" i="1"/>
  <c r="P738" i="1"/>
  <c r="O738" i="1"/>
  <c r="N738" i="1"/>
  <c r="M738" i="1"/>
  <c r="L738" i="1"/>
  <c r="K738" i="1"/>
  <c r="J738" i="1"/>
  <c r="I738" i="1"/>
  <c r="H738" i="1"/>
  <c r="G738" i="1"/>
  <c r="F738" i="1"/>
  <c r="T737" i="1"/>
  <c r="S737" i="1"/>
  <c r="R737" i="1"/>
  <c r="Q737" i="1"/>
  <c r="P737" i="1"/>
  <c r="O737" i="1"/>
  <c r="N737" i="1"/>
  <c r="M737" i="1"/>
  <c r="L737" i="1"/>
  <c r="K737" i="1"/>
  <c r="J737" i="1"/>
  <c r="I737" i="1"/>
  <c r="H737" i="1"/>
  <c r="G737" i="1"/>
  <c r="F737" i="1"/>
  <c r="T736" i="1"/>
  <c r="S736" i="1"/>
  <c r="R736" i="1"/>
  <c r="Q736" i="1"/>
  <c r="P736" i="1"/>
  <c r="O736" i="1"/>
  <c r="N736" i="1"/>
  <c r="M736" i="1"/>
  <c r="L736" i="1"/>
  <c r="K736" i="1"/>
  <c r="J736" i="1"/>
  <c r="I736" i="1"/>
  <c r="H736" i="1"/>
  <c r="F736" i="1"/>
  <c r="G736" i="1" s="1"/>
  <c r="T735" i="1"/>
  <c r="S735" i="1"/>
  <c r="R735" i="1"/>
  <c r="Q735" i="1"/>
  <c r="P735" i="1"/>
  <c r="O735" i="1"/>
  <c r="N735" i="1"/>
  <c r="M735" i="1"/>
  <c r="L735" i="1"/>
  <c r="K735" i="1"/>
  <c r="J735" i="1"/>
  <c r="I735" i="1"/>
  <c r="H735" i="1"/>
  <c r="F735" i="1"/>
  <c r="G735" i="1" s="1"/>
  <c r="T734" i="1"/>
  <c r="S734" i="1"/>
  <c r="R734" i="1"/>
  <c r="Q734" i="1"/>
  <c r="P734" i="1"/>
  <c r="O734" i="1"/>
  <c r="N734" i="1"/>
  <c r="M734" i="1"/>
  <c r="L734" i="1"/>
  <c r="K734" i="1"/>
  <c r="J734" i="1"/>
  <c r="I734" i="1"/>
  <c r="H734" i="1"/>
  <c r="G734" i="1"/>
  <c r="F734" i="1"/>
  <c r="T733" i="1"/>
  <c r="S733" i="1"/>
  <c r="R733" i="1"/>
  <c r="Q733" i="1"/>
  <c r="P733" i="1"/>
  <c r="O733" i="1"/>
  <c r="N733" i="1"/>
  <c r="M733" i="1"/>
  <c r="L733" i="1"/>
  <c r="K733" i="1"/>
  <c r="J733" i="1"/>
  <c r="I733" i="1"/>
  <c r="H733" i="1"/>
  <c r="G733" i="1"/>
  <c r="F733" i="1"/>
  <c r="T732" i="1"/>
  <c r="S732" i="1"/>
  <c r="R732" i="1"/>
  <c r="Q732" i="1"/>
  <c r="P732" i="1"/>
  <c r="O732" i="1"/>
  <c r="N732" i="1"/>
  <c r="M732" i="1"/>
  <c r="L732" i="1"/>
  <c r="K732" i="1"/>
  <c r="J732" i="1"/>
  <c r="I732" i="1"/>
  <c r="H732" i="1"/>
  <c r="F732" i="1"/>
  <c r="G732" i="1" s="1"/>
  <c r="T731" i="1"/>
  <c r="S731" i="1"/>
  <c r="R731" i="1"/>
  <c r="Q731" i="1"/>
  <c r="P731" i="1"/>
  <c r="O731" i="1"/>
  <c r="N731" i="1"/>
  <c r="M731" i="1"/>
  <c r="L731" i="1"/>
  <c r="K731" i="1"/>
  <c r="J731" i="1"/>
  <c r="I731" i="1"/>
  <c r="H731" i="1"/>
  <c r="F731" i="1"/>
  <c r="G731" i="1" s="1"/>
  <c r="T730" i="1"/>
  <c r="S730" i="1"/>
  <c r="R730" i="1"/>
  <c r="Q730" i="1"/>
  <c r="P730" i="1"/>
  <c r="O730" i="1"/>
  <c r="N730" i="1"/>
  <c r="M730" i="1"/>
  <c r="L730" i="1"/>
  <c r="K730" i="1"/>
  <c r="J730" i="1"/>
  <c r="I730" i="1"/>
  <c r="H730" i="1"/>
  <c r="G730" i="1"/>
  <c r="F730" i="1"/>
  <c r="T729" i="1"/>
  <c r="S729" i="1"/>
  <c r="R729" i="1"/>
  <c r="Q729" i="1"/>
  <c r="P729" i="1"/>
  <c r="O729" i="1"/>
  <c r="N729" i="1"/>
  <c r="M729" i="1"/>
  <c r="L729" i="1"/>
  <c r="K729" i="1"/>
  <c r="J729" i="1"/>
  <c r="I729" i="1"/>
  <c r="H729" i="1"/>
  <c r="G729" i="1"/>
  <c r="F729" i="1"/>
  <c r="T728" i="1"/>
  <c r="S728" i="1"/>
  <c r="R728" i="1"/>
  <c r="Q728" i="1"/>
  <c r="P728" i="1"/>
  <c r="O728" i="1"/>
  <c r="N728" i="1"/>
  <c r="M728" i="1"/>
  <c r="L728" i="1"/>
  <c r="K728" i="1"/>
  <c r="J728" i="1"/>
  <c r="I728" i="1"/>
  <c r="H728" i="1"/>
  <c r="F728" i="1"/>
  <c r="G728" i="1" s="1"/>
  <c r="T727" i="1"/>
  <c r="S727" i="1"/>
  <c r="R727" i="1"/>
  <c r="Q727" i="1"/>
  <c r="P727" i="1"/>
  <c r="O727" i="1"/>
  <c r="N727" i="1"/>
  <c r="M727" i="1"/>
  <c r="L727" i="1"/>
  <c r="K727" i="1"/>
  <c r="J727" i="1"/>
  <c r="I727" i="1"/>
  <c r="H727" i="1"/>
  <c r="F727" i="1"/>
  <c r="G727" i="1" s="1"/>
  <c r="T726" i="1"/>
  <c r="S726" i="1"/>
  <c r="R726" i="1"/>
  <c r="Q726" i="1"/>
  <c r="P726" i="1"/>
  <c r="O726" i="1"/>
  <c r="N726" i="1"/>
  <c r="M726" i="1"/>
  <c r="L726" i="1"/>
  <c r="K726" i="1"/>
  <c r="J726" i="1"/>
  <c r="I726" i="1"/>
  <c r="H726" i="1"/>
  <c r="G726" i="1"/>
  <c r="F726" i="1"/>
  <c r="T725" i="1"/>
  <c r="S725" i="1"/>
  <c r="R725" i="1"/>
  <c r="Q725" i="1"/>
  <c r="P725" i="1"/>
  <c r="O725" i="1"/>
  <c r="N725" i="1"/>
  <c r="M725" i="1"/>
  <c r="L725" i="1"/>
  <c r="K725" i="1"/>
  <c r="J725" i="1"/>
  <c r="I725" i="1"/>
  <c r="H725" i="1"/>
  <c r="G725" i="1"/>
  <c r="F725" i="1"/>
  <c r="T724" i="1"/>
  <c r="S724" i="1"/>
  <c r="R724" i="1"/>
  <c r="Q724" i="1"/>
  <c r="P724" i="1"/>
  <c r="O724" i="1"/>
  <c r="N724" i="1"/>
  <c r="M724" i="1"/>
  <c r="L724" i="1"/>
  <c r="K724" i="1"/>
  <c r="J724" i="1"/>
  <c r="I724" i="1"/>
  <c r="H724" i="1"/>
  <c r="F724" i="1"/>
  <c r="G724" i="1" s="1"/>
  <c r="T723" i="1"/>
  <c r="S723" i="1"/>
  <c r="R723" i="1"/>
  <c r="Q723" i="1"/>
  <c r="P723" i="1"/>
  <c r="O723" i="1"/>
  <c r="N723" i="1"/>
  <c r="M723" i="1"/>
  <c r="L723" i="1"/>
  <c r="K723" i="1"/>
  <c r="J723" i="1"/>
  <c r="I723" i="1"/>
  <c r="H723" i="1"/>
  <c r="F723" i="1"/>
  <c r="G723" i="1" s="1"/>
  <c r="T722" i="1"/>
  <c r="S722" i="1"/>
  <c r="R722" i="1"/>
  <c r="Q722" i="1"/>
  <c r="P722" i="1"/>
  <c r="O722" i="1"/>
  <c r="N722" i="1"/>
  <c r="M722" i="1"/>
  <c r="L722" i="1"/>
  <c r="K722" i="1"/>
  <c r="J722" i="1"/>
  <c r="I722" i="1"/>
  <c r="H722" i="1"/>
  <c r="G722" i="1"/>
  <c r="F722" i="1"/>
  <c r="T721" i="1"/>
  <c r="S721" i="1"/>
  <c r="R721" i="1"/>
  <c r="Q721" i="1"/>
  <c r="P721" i="1"/>
  <c r="O721" i="1"/>
  <c r="N721" i="1"/>
  <c r="M721" i="1"/>
  <c r="L721" i="1"/>
  <c r="K721" i="1"/>
  <c r="J721" i="1"/>
  <c r="I721" i="1"/>
  <c r="H721" i="1"/>
  <c r="G721" i="1"/>
  <c r="F721" i="1"/>
  <c r="T720" i="1"/>
  <c r="S720" i="1"/>
  <c r="R720" i="1"/>
  <c r="Q720" i="1"/>
  <c r="P720" i="1"/>
  <c r="O720" i="1"/>
  <c r="N720" i="1"/>
  <c r="M720" i="1"/>
  <c r="L720" i="1"/>
  <c r="K720" i="1"/>
  <c r="J720" i="1"/>
  <c r="I720" i="1"/>
  <c r="H720" i="1"/>
  <c r="F720" i="1"/>
  <c r="G720" i="1" s="1"/>
  <c r="T719" i="1"/>
  <c r="S719" i="1"/>
  <c r="R719" i="1"/>
  <c r="Q719" i="1"/>
  <c r="P719" i="1"/>
  <c r="O719" i="1"/>
  <c r="N719" i="1"/>
  <c r="M719" i="1"/>
  <c r="L719" i="1"/>
  <c r="K719" i="1"/>
  <c r="J719" i="1"/>
  <c r="I719" i="1"/>
  <c r="H719" i="1"/>
  <c r="F719" i="1"/>
  <c r="G719" i="1" s="1"/>
  <c r="T718" i="1"/>
  <c r="S718" i="1"/>
  <c r="R718" i="1"/>
  <c r="Q718" i="1"/>
  <c r="P718" i="1"/>
  <c r="O718" i="1"/>
  <c r="N718" i="1"/>
  <c r="M718" i="1"/>
  <c r="L718" i="1"/>
  <c r="K718" i="1"/>
  <c r="J718" i="1"/>
  <c r="I718" i="1"/>
  <c r="H718" i="1"/>
  <c r="G718" i="1"/>
  <c r="F718" i="1"/>
  <c r="T717" i="1"/>
  <c r="S717" i="1"/>
  <c r="R717" i="1"/>
  <c r="Q717" i="1"/>
  <c r="P717" i="1"/>
  <c r="O717" i="1"/>
  <c r="N717" i="1"/>
  <c r="M717" i="1"/>
  <c r="L717" i="1"/>
  <c r="K717" i="1"/>
  <c r="J717" i="1"/>
  <c r="I717" i="1"/>
  <c r="H717" i="1"/>
  <c r="G717" i="1"/>
  <c r="F717" i="1"/>
  <c r="T716" i="1"/>
  <c r="S716" i="1"/>
  <c r="R716" i="1"/>
  <c r="Q716" i="1"/>
  <c r="P716" i="1"/>
  <c r="O716" i="1"/>
  <c r="N716" i="1"/>
  <c r="M716" i="1"/>
  <c r="L716" i="1"/>
  <c r="K716" i="1"/>
  <c r="J716" i="1"/>
  <c r="I716" i="1"/>
  <c r="H716" i="1"/>
  <c r="F716" i="1"/>
  <c r="G716" i="1" s="1"/>
  <c r="T715" i="1"/>
  <c r="S715" i="1"/>
  <c r="R715" i="1"/>
  <c r="Q715" i="1"/>
  <c r="P715" i="1"/>
  <c r="O715" i="1"/>
  <c r="N715" i="1"/>
  <c r="M715" i="1"/>
  <c r="L715" i="1"/>
  <c r="K715" i="1"/>
  <c r="J715" i="1"/>
  <c r="I715" i="1"/>
  <c r="H715" i="1"/>
  <c r="F715" i="1"/>
  <c r="G715" i="1" s="1"/>
  <c r="T714" i="1"/>
  <c r="S714" i="1"/>
  <c r="R714" i="1"/>
  <c r="Q714" i="1"/>
  <c r="P714" i="1"/>
  <c r="O714" i="1"/>
  <c r="N714" i="1"/>
  <c r="M714" i="1"/>
  <c r="L714" i="1"/>
  <c r="K714" i="1"/>
  <c r="J714" i="1"/>
  <c r="I714" i="1"/>
  <c r="H714" i="1"/>
  <c r="G714" i="1"/>
  <c r="F714" i="1"/>
  <c r="T713" i="1"/>
  <c r="S713" i="1"/>
  <c r="R713" i="1"/>
  <c r="Q713" i="1"/>
  <c r="P713" i="1"/>
  <c r="O713" i="1"/>
  <c r="N713" i="1"/>
  <c r="M713" i="1"/>
  <c r="L713" i="1"/>
  <c r="K713" i="1"/>
  <c r="J713" i="1"/>
  <c r="I713" i="1"/>
  <c r="H713" i="1"/>
  <c r="G713" i="1"/>
  <c r="F713" i="1"/>
  <c r="T712" i="1"/>
  <c r="S712" i="1"/>
  <c r="R712" i="1"/>
  <c r="Q712" i="1"/>
  <c r="P712" i="1"/>
  <c r="O712" i="1"/>
  <c r="N712" i="1"/>
  <c r="M712" i="1"/>
  <c r="L712" i="1"/>
  <c r="K712" i="1"/>
  <c r="J712" i="1"/>
  <c r="I712" i="1"/>
  <c r="H712" i="1"/>
  <c r="F712" i="1"/>
  <c r="G712" i="1" s="1"/>
  <c r="T711" i="1"/>
  <c r="S711" i="1"/>
  <c r="R711" i="1"/>
  <c r="Q711" i="1"/>
  <c r="P711" i="1"/>
  <c r="O711" i="1"/>
  <c r="N711" i="1"/>
  <c r="M711" i="1"/>
  <c r="L711" i="1"/>
  <c r="K711" i="1"/>
  <c r="J711" i="1"/>
  <c r="I711" i="1"/>
  <c r="H711" i="1"/>
  <c r="F711" i="1"/>
  <c r="G711" i="1" s="1"/>
  <c r="T710" i="1"/>
  <c r="S710" i="1"/>
  <c r="R710" i="1"/>
  <c r="Q710" i="1"/>
  <c r="P710" i="1"/>
  <c r="O710" i="1"/>
  <c r="N710" i="1"/>
  <c r="M710" i="1"/>
  <c r="L710" i="1"/>
  <c r="K710" i="1"/>
  <c r="J710" i="1"/>
  <c r="I710" i="1"/>
  <c r="H710" i="1"/>
  <c r="G710" i="1"/>
  <c r="F710" i="1"/>
  <c r="T709" i="1"/>
  <c r="S709" i="1"/>
  <c r="R709" i="1"/>
  <c r="Q709" i="1"/>
  <c r="P709" i="1"/>
  <c r="O709" i="1"/>
  <c r="N709" i="1"/>
  <c r="M709" i="1"/>
  <c r="L709" i="1"/>
  <c r="K709" i="1"/>
  <c r="J709" i="1"/>
  <c r="I709" i="1"/>
  <c r="H709" i="1"/>
  <c r="G709" i="1"/>
  <c r="F709" i="1"/>
  <c r="T708" i="1"/>
  <c r="S708" i="1"/>
  <c r="R708" i="1"/>
  <c r="Q708" i="1"/>
  <c r="P708" i="1"/>
  <c r="O708" i="1"/>
  <c r="N708" i="1"/>
  <c r="M708" i="1"/>
  <c r="L708" i="1"/>
  <c r="K708" i="1"/>
  <c r="J708" i="1"/>
  <c r="I708" i="1"/>
  <c r="H708" i="1"/>
  <c r="F708" i="1"/>
  <c r="G708" i="1" s="1"/>
  <c r="T707" i="1"/>
  <c r="S707" i="1"/>
  <c r="R707" i="1"/>
  <c r="Q707" i="1"/>
  <c r="P707" i="1"/>
  <c r="O707" i="1"/>
  <c r="N707" i="1"/>
  <c r="M707" i="1"/>
  <c r="L707" i="1"/>
  <c r="K707" i="1"/>
  <c r="J707" i="1"/>
  <c r="I707" i="1"/>
  <c r="H707" i="1"/>
  <c r="F707" i="1"/>
  <c r="G707" i="1" s="1"/>
  <c r="T706" i="1"/>
  <c r="S706" i="1"/>
  <c r="R706" i="1"/>
  <c r="Q706" i="1"/>
  <c r="P706" i="1"/>
  <c r="O706" i="1"/>
  <c r="N706" i="1"/>
  <c r="M706" i="1"/>
  <c r="L706" i="1"/>
  <c r="K706" i="1"/>
  <c r="J706" i="1"/>
  <c r="I706" i="1"/>
  <c r="H706" i="1"/>
  <c r="G706" i="1"/>
  <c r="F706" i="1"/>
  <c r="T705" i="1"/>
  <c r="S705" i="1"/>
  <c r="R705" i="1"/>
  <c r="Q705" i="1"/>
  <c r="P705" i="1"/>
  <c r="O705" i="1"/>
  <c r="N705" i="1"/>
  <c r="M705" i="1"/>
  <c r="L705" i="1"/>
  <c r="K705" i="1"/>
  <c r="J705" i="1"/>
  <c r="I705" i="1"/>
  <c r="H705" i="1"/>
  <c r="G705" i="1"/>
  <c r="F705" i="1"/>
  <c r="T704" i="1"/>
  <c r="S704" i="1"/>
  <c r="R704" i="1"/>
  <c r="Q704" i="1"/>
  <c r="P704" i="1"/>
  <c r="O704" i="1"/>
  <c r="N704" i="1"/>
  <c r="M704" i="1"/>
  <c r="L704" i="1"/>
  <c r="K704" i="1"/>
  <c r="J704" i="1"/>
  <c r="I704" i="1"/>
  <c r="H704" i="1"/>
  <c r="F704" i="1"/>
  <c r="G704" i="1" s="1"/>
  <c r="T703" i="1"/>
  <c r="S703" i="1"/>
  <c r="R703" i="1"/>
  <c r="Q703" i="1"/>
  <c r="P703" i="1"/>
  <c r="O703" i="1"/>
  <c r="N703" i="1"/>
  <c r="M703" i="1"/>
  <c r="L703" i="1"/>
  <c r="K703" i="1"/>
  <c r="J703" i="1"/>
  <c r="I703" i="1"/>
  <c r="H703" i="1"/>
  <c r="F703" i="1"/>
  <c r="G703" i="1" s="1"/>
  <c r="T702" i="1"/>
  <c r="S702" i="1"/>
  <c r="R702" i="1"/>
  <c r="Q702" i="1"/>
  <c r="P702" i="1"/>
  <c r="O702" i="1"/>
  <c r="N702" i="1"/>
  <c r="M702" i="1"/>
  <c r="L702" i="1"/>
  <c r="K702" i="1"/>
  <c r="J702" i="1"/>
  <c r="I702" i="1"/>
  <c r="H702" i="1"/>
  <c r="G702" i="1"/>
  <c r="F702" i="1"/>
  <c r="T701" i="1"/>
  <c r="S701" i="1"/>
  <c r="R701" i="1"/>
  <c r="Q701" i="1"/>
  <c r="P701" i="1"/>
  <c r="O701" i="1"/>
  <c r="N701" i="1"/>
  <c r="M701" i="1"/>
  <c r="L701" i="1"/>
  <c r="K701" i="1"/>
  <c r="J701" i="1"/>
  <c r="I701" i="1"/>
  <c r="H701" i="1"/>
  <c r="G701" i="1"/>
  <c r="F701" i="1"/>
  <c r="T700" i="1"/>
  <c r="S700" i="1"/>
  <c r="R700" i="1"/>
  <c r="Q700" i="1"/>
  <c r="P700" i="1"/>
  <c r="O700" i="1"/>
  <c r="N700" i="1"/>
  <c r="M700" i="1"/>
  <c r="L700" i="1"/>
  <c r="K700" i="1"/>
  <c r="J700" i="1"/>
  <c r="I700" i="1"/>
  <c r="H700" i="1"/>
  <c r="F700" i="1"/>
  <c r="G700" i="1" s="1"/>
  <c r="T699" i="1"/>
  <c r="S699" i="1"/>
  <c r="R699" i="1"/>
  <c r="Q699" i="1"/>
  <c r="P699" i="1"/>
  <c r="O699" i="1"/>
  <c r="N699" i="1"/>
  <c r="M699" i="1"/>
  <c r="L699" i="1"/>
  <c r="K699" i="1"/>
  <c r="J699" i="1"/>
  <c r="I699" i="1"/>
  <c r="H699" i="1"/>
  <c r="F699" i="1"/>
  <c r="G699" i="1" s="1"/>
  <c r="T698" i="1"/>
  <c r="S698" i="1"/>
  <c r="R698" i="1"/>
  <c r="Q698" i="1"/>
  <c r="P698" i="1"/>
  <c r="O698" i="1"/>
  <c r="N698" i="1"/>
  <c r="M698" i="1"/>
  <c r="L698" i="1"/>
  <c r="K698" i="1"/>
  <c r="J698" i="1"/>
  <c r="I698" i="1"/>
  <c r="H698" i="1"/>
  <c r="G698" i="1"/>
  <c r="F698" i="1"/>
  <c r="T697" i="1"/>
  <c r="S697" i="1"/>
  <c r="R697" i="1"/>
  <c r="Q697" i="1"/>
  <c r="P697" i="1"/>
  <c r="O697" i="1"/>
  <c r="N697" i="1"/>
  <c r="M697" i="1"/>
  <c r="L697" i="1"/>
  <c r="K697" i="1"/>
  <c r="J697" i="1"/>
  <c r="I697" i="1"/>
  <c r="H697" i="1"/>
  <c r="G697" i="1"/>
  <c r="F697" i="1"/>
  <c r="T696" i="1"/>
  <c r="S696" i="1"/>
  <c r="R696" i="1"/>
  <c r="Q696" i="1"/>
  <c r="P696" i="1"/>
  <c r="O696" i="1"/>
  <c r="N696" i="1"/>
  <c r="M696" i="1"/>
  <c r="L696" i="1"/>
  <c r="K696" i="1"/>
  <c r="J696" i="1"/>
  <c r="I696" i="1"/>
  <c r="H696" i="1"/>
  <c r="F696" i="1"/>
  <c r="G696" i="1" s="1"/>
  <c r="T695" i="1"/>
  <c r="S695" i="1"/>
  <c r="R695" i="1"/>
  <c r="Q695" i="1"/>
  <c r="P695" i="1"/>
  <c r="O695" i="1"/>
  <c r="N695" i="1"/>
  <c r="M695" i="1"/>
  <c r="L695" i="1"/>
  <c r="K695" i="1"/>
  <c r="J695" i="1"/>
  <c r="I695" i="1"/>
  <c r="H695" i="1"/>
  <c r="F695" i="1"/>
  <c r="G695" i="1" s="1"/>
  <c r="T694" i="1"/>
  <c r="S694" i="1"/>
  <c r="R694" i="1"/>
  <c r="Q694" i="1"/>
  <c r="P694" i="1"/>
  <c r="O694" i="1"/>
  <c r="N694" i="1"/>
  <c r="M694" i="1"/>
  <c r="L694" i="1"/>
  <c r="K694" i="1"/>
  <c r="J694" i="1"/>
  <c r="I694" i="1"/>
  <c r="H694" i="1"/>
  <c r="G694" i="1"/>
  <c r="F694" i="1"/>
  <c r="T693" i="1"/>
  <c r="S693" i="1"/>
  <c r="R693" i="1"/>
  <c r="Q693" i="1"/>
  <c r="P693" i="1"/>
  <c r="O693" i="1"/>
  <c r="N693" i="1"/>
  <c r="M693" i="1"/>
  <c r="L693" i="1"/>
  <c r="K693" i="1"/>
  <c r="J693" i="1"/>
  <c r="I693" i="1"/>
  <c r="H693" i="1"/>
  <c r="G693" i="1"/>
  <c r="F693" i="1"/>
  <c r="T692" i="1"/>
  <c r="S692" i="1"/>
  <c r="R692" i="1"/>
  <c r="Q692" i="1"/>
  <c r="P692" i="1"/>
  <c r="O692" i="1"/>
  <c r="N692" i="1"/>
  <c r="M692" i="1"/>
  <c r="L692" i="1"/>
  <c r="K692" i="1"/>
  <c r="J692" i="1"/>
  <c r="I692" i="1"/>
  <c r="H692" i="1"/>
  <c r="F692" i="1"/>
  <c r="G692" i="1" s="1"/>
  <c r="T691" i="1"/>
  <c r="S691" i="1"/>
  <c r="R691" i="1"/>
  <c r="Q691" i="1"/>
  <c r="P691" i="1"/>
  <c r="O691" i="1"/>
  <c r="N691" i="1"/>
  <c r="M691" i="1"/>
  <c r="L691" i="1"/>
  <c r="K691" i="1"/>
  <c r="J691" i="1"/>
  <c r="I691" i="1"/>
  <c r="H691" i="1"/>
  <c r="F691" i="1"/>
  <c r="G691" i="1" s="1"/>
  <c r="T690" i="1"/>
  <c r="S690" i="1"/>
  <c r="R690" i="1"/>
  <c r="Q690" i="1"/>
  <c r="P690" i="1"/>
  <c r="O690" i="1"/>
  <c r="N690" i="1"/>
  <c r="M690" i="1"/>
  <c r="L690" i="1"/>
  <c r="K690" i="1"/>
  <c r="J690" i="1"/>
  <c r="I690" i="1"/>
  <c r="H690" i="1"/>
  <c r="G690" i="1"/>
  <c r="F690" i="1"/>
  <c r="T689" i="1"/>
  <c r="S689" i="1"/>
  <c r="R689" i="1"/>
  <c r="Q689" i="1"/>
  <c r="P689" i="1"/>
  <c r="O689" i="1"/>
  <c r="N689" i="1"/>
  <c r="M689" i="1"/>
  <c r="L689" i="1"/>
  <c r="K689" i="1"/>
  <c r="J689" i="1"/>
  <c r="I689" i="1"/>
  <c r="H689" i="1"/>
  <c r="G689" i="1"/>
  <c r="F689" i="1"/>
  <c r="T688" i="1"/>
  <c r="S688" i="1"/>
  <c r="R688" i="1"/>
  <c r="Q688" i="1"/>
  <c r="P688" i="1"/>
  <c r="O688" i="1"/>
  <c r="N688" i="1"/>
  <c r="M688" i="1"/>
  <c r="L688" i="1"/>
  <c r="K688" i="1"/>
  <c r="J688" i="1"/>
  <c r="I688" i="1"/>
  <c r="H688" i="1"/>
  <c r="F688" i="1"/>
  <c r="G688" i="1" s="1"/>
  <c r="T687" i="1"/>
  <c r="S687" i="1"/>
  <c r="R687" i="1"/>
  <c r="Q687" i="1"/>
  <c r="P687" i="1"/>
  <c r="O687" i="1"/>
  <c r="N687" i="1"/>
  <c r="M687" i="1"/>
  <c r="L687" i="1"/>
  <c r="K687" i="1"/>
  <c r="J687" i="1"/>
  <c r="I687" i="1"/>
  <c r="H687" i="1"/>
  <c r="F687" i="1"/>
  <c r="G687" i="1" s="1"/>
  <c r="T686" i="1"/>
  <c r="S686" i="1"/>
  <c r="R686" i="1"/>
  <c r="Q686" i="1"/>
  <c r="P686" i="1"/>
  <c r="O686" i="1"/>
  <c r="N686" i="1"/>
  <c r="M686" i="1"/>
  <c r="L686" i="1"/>
  <c r="K686" i="1"/>
  <c r="J686" i="1"/>
  <c r="I686" i="1"/>
  <c r="H686" i="1"/>
  <c r="G686" i="1"/>
  <c r="F686" i="1"/>
  <c r="T685" i="1"/>
  <c r="S685" i="1"/>
  <c r="R685" i="1"/>
  <c r="Q685" i="1"/>
  <c r="P685" i="1"/>
  <c r="O685" i="1"/>
  <c r="N685" i="1"/>
  <c r="M685" i="1"/>
  <c r="L685" i="1"/>
  <c r="K685" i="1"/>
  <c r="J685" i="1"/>
  <c r="I685" i="1"/>
  <c r="H685" i="1"/>
  <c r="G685" i="1"/>
  <c r="F685" i="1"/>
  <c r="T684" i="1"/>
  <c r="S684" i="1"/>
  <c r="R684" i="1"/>
  <c r="Q684" i="1"/>
  <c r="P684" i="1"/>
  <c r="O684" i="1"/>
  <c r="N684" i="1"/>
  <c r="M684" i="1"/>
  <c r="L684" i="1"/>
  <c r="K684" i="1"/>
  <c r="J684" i="1"/>
  <c r="I684" i="1"/>
  <c r="H684" i="1"/>
  <c r="F684" i="1"/>
  <c r="G684" i="1" s="1"/>
  <c r="T683" i="1"/>
  <c r="S683" i="1"/>
  <c r="R683" i="1"/>
  <c r="Q683" i="1"/>
  <c r="P683" i="1"/>
  <c r="O683" i="1"/>
  <c r="N683" i="1"/>
  <c r="M683" i="1"/>
  <c r="L683" i="1"/>
  <c r="K683" i="1"/>
  <c r="J683" i="1"/>
  <c r="I683" i="1"/>
  <c r="H683" i="1"/>
  <c r="F683" i="1"/>
  <c r="G683" i="1" s="1"/>
  <c r="T682" i="1"/>
  <c r="S682" i="1"/>
  <c r="R682" i="1"/>
  <c r="Q682" i="1"/>
  <c r="P682" i="1"/>
  <c r="O682" i="1"/>
  <c r="N682" i="1"/>
  <c r="M682" i="1"/>
  <c r="L682" i="1"/>
  <c r="K682" i="1"/>
  <c r="J682" i="1"/>
  <c r="I682" i="1"/>
  <c r="H682" i="1"/>
  <c r="G682" i="1"/>
  <c r="F682" i="1"/>
  <c r="T681" i="1"/>
  <c r="S681" i="1"/>
  <c r="R681" i="1"/>
  <c r="Q681" i="1"/>
  <c r="P681" i="1"/>
  <c r="O681" i="1"/>
  <c r="N681" i="1"/>
  <c r="M681" i="1"/>
  <c r="L681" i="1"/>
  <c r="K681" i="1"/>
  <c r="J681" i="1"/>
  <c r="I681" i="1"/>
  <c r="H681" i="1"/>
  <c r="G681" i="1"/>
  <c r="F681" i="1"/>
  <c r="T680" i="1"/>
  <c r="S680" i="1"/>
  <c r="R680" i="1"/>
  <c r="Q680" i="1"/>
  <c r="P680" i="1"/>
  <c r="O680" i="1"/>
  <c r="N680" i="1"/>
  <c r="M680" i="1"/>
  <c r="L680" i="1"/>
  <c r="K680" i="1"/>
  <c r="J680" i="1"/>
  <c r="I680" i="1"/>
  <c r="H680" i="1"/>
  <c r="F680" i="1"/>
  <c r="G680" i="1" s="1"/>
  <c r="T679" i="1"/>
  <c r="S679" i="1"/>
  <c r="R679" i="1"/>
  <c r="Q679" i="1"/>
  <c r="P679" i="1"/>
  <c r="O679" i="1"/>
  <c r="N679" i="1"/>
  <c r="M679" i="1"/>
  <c r="L679" i="1"/>
  <c r="K679" i="1"/>
  <c r="J679" i="1"/>
  <c r="I679" i="1"/>
  <c r="H679" i="1"/>
  <c r="F679" i="1"/>
  <c r="G679" i="1" s="1"/>
  <c r="T678" i="1"/>
  <c r="S678" i="1"/>
  <c r="R678" i="1"/>
  <c r="Q678" i="1"/>
  <c r="P678" i="1"/>
  <c r="O678" i="1"/>
  <c r="N678" i="1"/>
  <c r="M678" i="1"/>
  <c r="L678" i="1"/>
  <c r="K678" i="1"/>
  <c r="J678" i="1"/>
  <c r="I678" i="1"/>
  <c r="H678" i="1"/>
  <c r="G678" i="1"/>
  <c r="F678" i="1"/>
  <c r="T677" i="1"/>
  <c r="S677" i="1"/>
  <c r="R677" i="1"/>
  <c r="Q677" i="1"/>
  <c r="P677" i="1"/>
  <c r="O677" i="1"/>
  <c r="N677" i="1"/>
  <c r="M677" i="1"/>
  <c r="L677" i="1"/>
  <c r="K677" i="1"/>
  <c r="J677" i="1"/>
  <c r="I677" i="1"/>
  <c r="H677" i="1"/>
  <c r="G677" i="1"/>
  <c r="F677" i="1"/>
  <c r="T676" i="1"/>
  <c r="S676" i="1"/>
  <c r="R676" i="1"/>
  <c r="Q676" i="1"/>
  <c r="P676" i="1"/>
  <c r="O676" i="1"/>
  <c r="N676" i="1"/>
  <c r="M676" i="1"/>
  <c r="L676" i="1"/>
  <c r="K676" i="1"/>
  <c r="J676" i="1"/>
  <c r="I676" i="1"/>
  <c r="H676" i="1"/>
  <c r="F676" i="1"/>
  <c r="G676" i="1" s="1"/>
  <c r="T675" i="1"/>
  <c r="S675" i="1"/>
  <c r="R675" i="1"/>
  <c r="Q675" i="1"/>
  <c r="P675" i="1"/>
  <c r="O675" i="1"/>
  <c r="N675" i="1"/>
  <c r="M675" i="1"/>
  <c r="L675" i="1"/>
  <c r="K675" i="1"/>
  <c r="J675" i="1"/>
  <c r="I675" i="1"/>
  <c r="H675" i="1"/>
  <c r="F675" i="1"/>
  <c r="G675" i="1" s="1"/>
  <c r="T674" i="1"/>
  <c r="S674" i="1"/>
  <c r="R674" i="1"/>
  <c r="Q674" i="1"/>
  <c r="P674" i="1"/>
  <c r="O674" i="1"/>
  <c r="N674" i="1"/>
  <c r="M674" i="1"/>
  <c r="L674" i="1"/>
  <c r="K674" i="1"/>
  <c r="J674" i="1"/>
  <c r="I674" i="1"/>
  <c r="H674" i="1"/>
  <c r="G674" i="1"/>
  <c r="F674" i="1"/>
  <c r="T673" i="1"/>
  <c r="S673" i="1"/>
  <c r="R673" i="1"/>
  <c r="Q673" i="1"/>
  <c r="P673" i="1"/>
  <c r="O673" i="1"/>
  <c r="N673" i="1"/>
  <c r="M673" i="1"/>
  <c r="L673" i="1"/>
  <c r="K673" i="1"/>
  <c r="J673" i="1"/>
  <c r="I673" i="1"/>
  <c r="H673" i="1"/>
  <c r="G673" i="1"/>
  <c r="F673" i="1"/>
  <c r="T672" i="1"/>
  <c r="S672" i="1"/>
  <c r="R672" i="1"/>
  <c r="Q672" i="1"/>
  <c r="P672" i="1"/>
  <c r="O672" i="1"/>
  <c r="N672" i="1"/>
  <c r="M672" i="1"/>
  <c r="L672" i="1"/>
  <c r="K672" i="1"/>
  <c r="J672" i="1"/>
  <c r="I672" i="1"/>
  <c r="H672" i="1"/>
  <c r="F672" i="1"/>
  <c r="G672" i="1" s="1"/>
  <c r="T671" i="1"/>
  <c r="S671" i="1"/>
  <c r="R671" i="1"/>
  <c r="Q671" i="1"/>
  <c r="P671" i="1"/>
  <c r="O671" i="1"/>
  <c r="N671" i="1"/>
  <c r="M671" i="1"/>
  <c r="L671" i="1"/>
  <c r="K671" i="1"/>
  <c r="J671" i="1"/>
  <c r="I671" i="1"/>
  <c r="H671" i="1"/>
  <c r="F671" i="1"/>
  <c r="G671" i="1" s="1"/>
  <c r="T670" i="1"/>
  <c r="S670" i="1"/>
  <c r="R670" i="1"/>
  <c r="Q670" i="1"/>
  <c r="P670" i="1"/>
  <c r="O670" i="1"/>
  <c r="N670" i="1"/>
  <c r="M670" i="1"/>
  <c r="L670" i="1"/>
  <c r="K670" i="1"/>
  <c r="J670" i="1"/>
  <c r="I670" i="1"/>
  <c r="H670" i="1"/>
  <c r="G670" i="1"/>
  <c r="F670" i="1"/>
  <c r="T669" i="1"/>
  <c r="S669" i="1"/>
  <c r="R669" i="1"/>
  <c r="Q669" i="1"/>
  <c r="P669" i="1"/>
  <c r="O669" i="1"/>
  <c r="N669" i="1"/>
  <c r="M669" i="1"/>
  <c r="L669" i="1"/>
  <c r="K669" i="1"/>
  <c r="J669" i="1"/>
  <c r="I669" i="1"/>
  <c r="H669" i="1"/>
  <c r="G669" i="1"/>
  <c r="F669" i="1"/>
  <c r="T668" i="1"/>
  <c r="S668" i="1"/>
  <c r="R668" i="1"/>
  <c r="Q668" i="1"/>
  <c r="P668" i="1"/>
  <c r="O668" i="1"/>
  <c r="N668" i="1"/>
  <c r="M668" i="1"/>
  <c r="L668" i="1"/>
  <c r="K668" i="1"/>
  <c r="J668" i="1"/>
  <c r="I668" i="1"/>
  <c r="H668" i="1"/>
  <c r="F668" i="1"/>
  <c r="G668" i="1" s="1"/>
  <c r="T667" i="1"/>
  <c r="S667" i="1"/>
  <c r="R667" i="1"/>
  <c r="Q667" i="1"/>
  <c r="P667" i="1"/>
  <c r="O667" i="1"/>
  <c r="N667" i="1"/>
  <c r="M667" i="1"/>
  <c r="L667" i="1"/>
  <c r="K667" i="1"/>
  <c r="J667" i="1"/>
  <c r="I667" i="1"/>
  <c r="H667" i="1"/>
  <c r="F667" i="1"/>
  <c r="G667" i="1" s="1"/>
  <c r="T666" i="1"/>
  <c r="S666" i="1"/>
  <c r="R666" i="1"/>
  <c r="Q666" i="1"/>
  <c r="P666" i="1"/>
  <c r="O666" i="1"/>
  <c r="N666" i="1"/>
  <c r="M666" i="1"/>
  <c r="L666" i="1"/>
  <c r="K666" i="1"/>
  <c r="J666" i="1"/>
  <c r="I666" i="1"/>
  <c r="H666" i="1"/>
  <c r="G666" i="1"/>
  <c r="F666" i="1"/>
  <c r="T665" i="1"/>
  <c r="S665" i="1"/>
  <c r="R665" i="1"/>
  <c r="Q665" i="1"/>
  <c r="P665" i="1"/>
  <c r="O665" i="1"/>
  <c r="N665" i="1"/>
  <c r="M665" i="1"/>
  <c r="L665" i="1"/>
  <c r="K665" i="1"/>
  <c r="J665" i="1"/>
  <c r="I665" i="1"/>
  <c r="H665" i="1"/>
  <c r="G665" i="1"/>
  <c r="F665" i="1"/>
  <c r="T664" i="1"/>
  <c r="S664" i="1"/>
  <c r="R664" i="1"/>
  <c r="Q664" i="1"/>
  <c r="P664" i="1"/>
  <c r="O664" i="1"/>
  <c r="N664" i="1"/>
  <c r="M664" i="1"/>
  <c r="L664" i="1"/>
  <c r="K664" i="1"/>
  <c r="J664" i="1"/>
  <c r="I664" i="1"/>
  <c r="H664" i="1"/>
  <c r="F664" i="1"/>
  <c r="G664" i="1" s="1"/>
  <c r="T663" i="1"/>
  <c r="S663" i="1"/>
  <c r="R663" i="1"/>
  <c r="Q663" i="1"/>
  <c r="P663" i="1"/>
  <c r="O663" i="1"/>
  <c r="N663" i="1"/>
  <c r="M663" i="1"/>
  <c r="L663" i="1"/>
  <c r="K663" i="1"/>
  <c r="J663" i="1"/>
  <c r="I663" i="1"/>
  <c r="H663" i="1"/>
  <c r="F663" i="1"/>
  <c r="G663" i="1" s="1"/>
  <c r="T662" i="1"/>
  <c r="S662" i="1"/>
  <c r="R662" i="1"/>
  <c r="Q662" i="1"/>
  <c r="P662" i="1"/>
  <c r="O662" i="1"/>
  <c r="N662" i="1"/>
  <c r="M662" i="1"/>
  <c r="L662" i="1"/>
  <c r="K662" i="1"/>
  <c r="J662" i="1"/>
  <c r="I662" i="1"/>
  <c r="H662" i="1"/>
  <c r="G662" i="1"/>
  <c r="F662" i="1"/>
  <c r="T661" i="1"/>
  <c r="S661" i="1"/>
  <c r="R661" i="1"/>
  <c r="Q661" i="1"/>
  <c r="P661" i="1"/>
  <c r="O661" i="1"/>
  <c r="N661" i="1"/>
  <c r="M661" i="1"/>
  <c r="L661" i="1"/>
  <c r="K661" i="1"/>
  <c r="J661" i="1"/>
  <c r="I661" i="1"/>
  <c r="H661" i="1"/>
  <c r="G661" i="1"/>
  <c r="F661" i="1"/>
  <c r="T660" i="1"/>
  <c r="S660" i="1"/>
  <c r="R660" i="1"/>
  <c r="Q660" i="1"/>
  <c r="P660" i="1"/>
  <c r="O660" i="1"/>
  <c r="N660" i="1"/>
  <c r="M660" i="1"/>
  <c r="L660" i="1"/>
  <c r="K660" i="1"/>
  <c r="J660" i="1"/>
  <c r="I660" i="1"/>
  <c r="H660" i="1"/>
  <c r="F660" i="1"/>
  <c r="G660" i="1" s="1"/>
  <c r="T659" i="1"/>
  <c r="S659" i="1"/>
  <c r="R659" i="1"/>
  <c r="Q659" i="1"/>
  <c r="P659" i="1"/>
  <c r="O659" i="1"/>
  <c r="N659" i="1"/>
  <c r="M659" i="1"/>
  <c r="L659" i="1"/>
  <c r="K659" i="1"/>
  <c r="J659" i="1"/>
  <c r="I659" i="1"/>
  <c r="H659" i="1"/>
  <c r="F659" i="1"/>
  <c r="G659" i="1" s="1"/>
  <c r="T658" i="1"/>
  <c r="S658" i="1"/>
  <c r="R658" i="1"/>
  <c r="Q658" i="1"/>
  <c r="P658" i="1"/>
  <c r="O658" i="1"/>
  <c r="N658" i="1"/>
  <c r="M658" i="1"/>
  <c r="L658" i="1"/>
  <c r="K658" i="1"/>
  <c r="J658" i="1"/>
  <c r="I658" i="1"/>
  <c r="H658" i="1"/>
  <c r="G658" i="1"/>
  <c r="F658" i="1"/>
  <c r="T657" i="1"/>
  <c r="S657" i="1"/>
  <c r="R657" i="1"/>
  <c r="Q657" i="1"/>
  <c r="P657" i="1"/>
  <c r="O657" i="1"/>
  <c r="N657" i="1"/>
  <c r="M657" i="1"/>
  <c r="L657" i="1"/>
  <c r="K657" i="1"/>
  <c r="J657" i="1"/>
  <c r="I657" i="1"/>
  <c r="H657" i="1"/>
  <c r="G657" i="1"/>
  <c r="F657" i="1"/>
  <c r="T656" i="1"/>
  <c r="S656" i="1"/>
  <c r="R656" i="1"/>
  <c r="Q656" i="1"/>
  <c r="P656" i="1"/>
  <c r="O656" i="1"/>
  <c r="N656" i="1"/>
  <c r="M656" i="1"/>
  <c r="L656" i="1"/>
  <c r="K656" i="1"/>
  <c r="J656" i="1"/>
  <c r="I656" i="1"/>
  <c r="H656" i="1"/>
  <c r="F656" i="1"/>
  <c r="G656" i="1" s="1"/>
  <c r="T655" i="1"/>
  <c r="S655" i="1"/>
  <c r="R655" i="1"/>
  <c r="Q655" i="1"/>
  <c r="P655" i="1"/>
  <c r="O655" i="1"/>
  <c r="N655" i="1"/>
  <c r="M655" i="1"/>
  <c r="L655" i="1"/>
  <c r="K655" i="1"/>
  <c r="J655" i="1"/>
  <c r="I655" i="1"/>
  <c r="H655" i="1"/>
  <c r="F655" i="1"/>
  <c r="G655" i="1" s="1"/>
  <c r="T654" i="1"/>
  <c r="S654" i="1"/>
  <c r="R654" i="1"/>
  <c r="Q654" i="1"/>
  <c r="P654" i="1"/>
  <c r="O654" i="1"/>
  <c r="N654" i="1"/>
  <c r="M654" i="1"/>
  <c r="L654" i="1"/>
  <c r="K654" i="1"/>
  <c r="J654" i="1"/>
  <c r="I654" i="1"/>
  <c r="H654" i="1"/>
  <c r="G654" i="1"/>
  <c r="F654" i="1"/>
  <c r="T653" i="1"/>
  <c r="S653" i="1"/>
  <c r="R653" i="1"/>
  <c r="Q653" i="1"/>
  <c r="P653" i="1"/>
  <c r="O653" i="1"/>
  <c r="N653" i="1"/>
  <c r="M653" i="1"/>
  <c r="L653" i="1"/>
  <c r="K653" i="1"/>
  <c r="J653" i="1"/>
  <c r="I653" i="1"/>
  <c r="H653" i="1"/>
  <c r="G653" i="1"/>
  <c r="F653" i="1"/>
  <c r="T652" i="1"/>
  <c r="S652" i="1"/>
  <c r="R652" i="1"/>
  <c r="Q652" i="1"/>
  <c r="P652" i="1"/>
  <c r="O652" i="1"/>
  <c r="N652" i="1"/>
  <c r="M652" i="1"/>
  <c r="L652" i="1"/>
  <c r="K652" i="1"/>
  <c r="J652" i="1"/>
  <c r="I652" i="1"/>
  <c r="H652" i="1"/>
  <c r="F652" i="1"/>
  <c r="G652" i="1" s="1"/>
  <c r="T651" i="1"/>
  <c r="S651" i="1"/>
  <c r="R651" i="1"/>
  <c r="Q651" i="1"/>
  <c r="P651" i="1"/>
  <c r="O651" i="1"/>
  <c r="N651" i="1"/>
  <c r="M651" i="1"/>
  <c r="L651" i="1"/>
  <c r="K651" i="1"/>
  <c r="J651" i="1"/>
  <c r="I651" i="1"/>
  <c r="H651" i="1"/>
  <c r="F651" i="1"/>
  <c r="G651" i="1" s="1"/>
  <c r="T650" i="1"/>
  <c r="S650" i="1"/>
  <c r="R650" i="1"/>
  <c r="Q650" i="1"/>
  <c r="P650" i="1"/>
  <c r="O650" i="1"/>
  <c r="N650" i="1"/>
  <c r="M650" i="1"/>
  <c r="L650" i="1"/>
  <c r="K650" i="1"/>
  <c r="J650" i="1"/>
  <c r="I650" i="1"/>
  <c r="H650" i="1"/>
  <c r="G650" i="1"/>
  <c r="F650" i="1"/>
  <c r="T649" i="1"/>
  <c r="S649" i="1"/>
  <c r="R649" i="1"/>
  <c r="Q649" i="1"/>
  <c r="P649" i="1"/>
  <c r="O649" i="1"/>
  <c r="N649" i="1"/>
  <c r="M649" i="1"/>
  <c r="L649" i="1"/>
  <c r="K649" i="1"/>
  <c r="J649" i="1"/>
  <c r="I649" i="1"/>
  <c r="H649" i="1"/>
  <c r="G649" i="1"/>
  <c r="F649" i="1"/>
  <c r="T648" i="1"/>
  <c r="S648" i="1"/>
  <c r="R648" i="1"/>
  <c r="Q648" i="1"/>
  <c r="P648" i="1"/>
  <c r="O648" i="1"/>
  <c r="N648" i="1"/>
  <c r="M648" i="1"/>
  <c r="L648" i="1"/>
  <c r="K648" i="1"/>
  <c r="J648" i="1"/>
  <c r="I648" i="1"/>
  <c r="H648" i="1"/>
  <c r="F648" i="1"/>
  <c r="G648" i="1" s="1"/>
  <c r="T647" i="1"/>
  <c r="S647" i="1"/>
  <c r="R647" i="1"/>
  <c r="Q647" i="1"/>
  <c r="P647" i="1"/>
  <c r="O647" i="1"/>
  <c r="N647" i="1"/>
  <c r="M647" i="1"/>
  <c r="L647" i="1"/>
  <c r="K647" i="1"/>
  <c r="J647" i="1"/>
  <c r="I647" i="1"/>
  <c r="H647" i="1"/>
  <c r="F647" i="1"/>
  <c r="G647" i="1" s="1"/>
  <c r="T646" i="1"/>
  <c r="S646" i="1"/>
  <c r="R646" i="1"/>
  <c r="Q646" i="1"/>
  <c r="P646" i="1"/>
  <c r="O646" i="1"/>
  <c r="N646" i="1"/>
  <c r="M646" i="1"/>
  <c r="L646" i="1"/>
  <c r="K646" i="1"/>
  <c r="J646" i="1"/>
  <c r="I646" i="1"/>
  <c r="H646" i="1"/>
  <c r="G646" i="1"/>
  <c r="F646" i="1"/>
  <c r="T645" i="1"/>
  <c r="S645" i="1"/>
  <c r="R645" i="1"/>
  <c r="Q645" i="1"/>
  <c r="P645" i="1"/>
  <c r="O645" i="1"/>
  <c r="N645" i="1"/>
  <c r="M645" i="1"/>
  <c r="L645" i="1"/>
  <c r="K645" i="1"/>
  <c r="J645" i="1"/>
  <c r="I645" i="1"/>
  <c r="H645" i="1"/>
  <c r="G645" i="1"/>
  <c r="F645" i="1"/>
  <c r="T644" i="1"/>
  <c r="S644" i="1"/>
  <c r="R644" i="1"/>
  <c r="Q644" i="1"/>
  <c r="P644" i="1"/>
  <c r="O644" i="1"/>
  <c r="N644" i="1"/>
  <c r="M644" i="1"/>
  <c r="L644" i="1"/>
  <c r="K644" i="1"/>
  <c r="J644" i="1"/>
  <c r="I644" i="1"/>
  <c r="H644" i="1"/>
  <c r="F644" i="1"/>
  <c r="G644" i="1" s="1"/>
  <c r="T643" i="1"/>
  <c r="S643" i="1"/>
  <c r="R643" i="1"/>
  <c r="Q643" i="1"/>
  <c r="P643" i="1"/>
  <c r="O643" i="1"/>
  <c r="N643" i="1"/>
  <c r="M643" i="1"/>
  <c r="L643" i="1"/>
  <c r="K643" i="1"/>
  <c r="J643" i="1"/>
  <c r="I643" i="1"/>
  <c r="H643" i="1"/>
  <c r="F643" i="1"/>
  <c r="G643" i="1" s="1"/>
  <c r="T642" i="1"/>
  <c r="S642" i="1"/>
  <c r="R642" i="1"/>
  <c r="Q642" i="1"/>
  <c r="P642" i="1"/>
  <c r="O642" i="1"/>
  <c r="N642" i="1"/>
  <c r="M642" i="1"/>
  <c r="L642" i="1"/>
  <c r="K642" i="1"/>
  <c r="J642" i="1"/>
  <c r="I642" i="1"/>
  <c r="H642" i="1"/>
  <c r="G642" i="1"/>
  <c r="F642" i="1"/>
  <c r="T641" i="1"/>
  <c r="S641" i="1"/>
  <c r="R641" i="1"/>
  <c r="Q641" i="1"/>
  <c r="P641" i="1"/>
  <c r="O641" i="1"/>
  <c r="N641" i="1"/>
  <c r="M641" i="1"/>
  <c r="L641" i="1"/>
  <c r="K641" i="1"/>
  <c r="J641" i="1"/>
  <c r="I641" i="1"/>
  <c r="H641" i="1"/>
  <c r="G641" i="1"/>
  <c r="F641" i="1"/>
  <c r="T640" i="1"/>
  <c r="S640" i="1"/>
  <c r="R640" i="1"/>
  <c r="Q640" i="1"/>
  <c r="P640" i="1"/>
  <c r="O640" i="1"/>
  <c r="N640" i="1"/>
  <c r="M640" i="1"/>
  <c r="L640" i="1"/>
  <c r="K640" i="1"/>
  <c r="J640" i="1"/>
  <c r="I640" i="1"/>
  <c r="H640" i="1"/>
  <c r="F640" i="1"/>
  <c r="G640" i="1" s="1"/>
  <c r="T639" i="1"/>
  <c r="S639" i="1"/>
  <c r="R639" i="1"/>
  <c r="Q639" i="1"/>
  <c r="P639" i="1"/>
  <c r="O639" i="1"/>
  <c r="N639" i="1"/>
  <c r="M639" i="1"/>
  <c r="L639" i="1"/>
  <c r="K639" i="1"/>
  <c r="J639" i="1"/>
  <c r="I639" i="1"/>
  <c r="H639" i="1"/>
  <c r="F639" i="1"/>
  <c r="G639" i="1" s="1"/>
  <c r="T638" i="1"/>
  <c r="S638" i="1"/>
  <c r="R638" i="1"/>
  <c r="Q638" i="1"/>
  <c r="P638" i="1"/>
  <c r="O638" i="1"/>
  <c r="N638" i="1"/>
  <c r="M638" i="1"/>
  <c r="L638" i="1"/>
  <c r="K638" i="1"/>
  <c r="J638" i="1"/>
  <c r="I638" i="1"/>
  <c r="H638" i="1"/>
  <c r="G638" i="1"/>
  <c r="F638" i="1"/>
  <c r="T637" i="1"/>
  <c r="S637" i="1"/>
  <c r="R637" i="1"/>
  <c r="Q637" i="1"/>
  <c r="P637" i="1"/>
  <c r="O637" i="1"/>
  <c r="N637" i="1"/>
  <c r="M637" i="1"/>
  <c r="L637" i="1"/>
  <c r="K637" i="1"/>
  <c r="J637" i="1"/>
  <c r="I637" i="1"/>
  <c r="H637" i="1"/>
  <c r="G637" i="1"/>
  <c r="F637" i="1"/>
  <c r="T636" i="1"/>
  <c r="S636" i="1"/>
  <c r="R636" i="1"/>
  <c r="Q636" i="1"/>
  <c r="P636" i="1"/>
  <c r="O636" i="1"/>
  <c r="N636" i="1"/>
  <c r="M636" i="1"/>
  <c r="L636" i="1"/>
  <c r="K636" i="1"/>
  <c r="J636" i="1"/>
  <c r="I636" i="1"/>
  <c r="H636" i="1"/>
  <c r="F636" i="1"/>
  <c r="G636" i="1" s="1"/>
  <c r="T635" i="1"/>
  <c r="S635" i="1"/>
  <c r="R635" i="1"/>
  <c r="Q635" i="1"/>
  <c r="P635" i="1"/>
  <c r="O635" i="1"/>
  <c r="N635" i="1"/>
  <c r="M635" i="1"/>
  <c r="L635" i="1"/>
  <c r="K635" i="1"/>
  <c r="J635" i="1"/>
  <c r="I635" i="1"/>
  <c r="H635" i="1"/>
  <c r="F635" i="1"/>
  <c r="G635" i="1" s="1"/>
  <c r="T634" i="1"/>
  <c r="S634" i="1"/>
  <c r="R634" i="1"/>
  <c r="Q634" i="1"/>
  <c r="P634" i="1"/>
  <c r="O634" i="1"/>
  <c r="N634" i="1"/>
  <c r="M634" i="1"/>
  <c r="L634" i="1"/>
  <c r="K634" i="1"/>
  <c r="J634" i="1"/>
  <c r="I634" i="1"/>
  <c r="H634" i="1"/>
  <c r="G634" i="1"/>
  <c r="F634" i="1"/>
  <c r="T633" i="1"/>
  <c r="S633" i="1"/>
  <c r="R633" i="1"/>
  <c r="Q633" i="1"/>
  <c r="P633" i="1"/>
  <c r="O633" i="1"/>
  <c r="N633" i="1"/>
  <c r="M633" i="1"/>
  <c r="L633" i="1"/>
  <c r="K633" i="1"/>
  <c r="J633" i="1"/>
  <c r="I633" i="1"/>
  <c r="H633" i="1"/>
  <c r="G633" i="1"/>
  <c r="F633" i="1"/>
  <c r="T632" i="1"/>
  <c r="S632" i="1"/>
  <c r="R632" i="1"/>
  <c r="Q632" i="1"/>
  <c r="P632" i="1"/>
  <c r="O632" i="1"/>
  <c r="N632" i="1"/>
  <c r="M632" i="1"/>
  <c r="L632" i="1"/>
  <c r="K632" i="1"/>
  <c r="J632" i="1"/>
  <c r="I632" i="1"/>
  <c r="H632" i="1"/>
  <c r="F632" i="1"/>
  <c r="G632" i="1" s="1"/>
  <c r="T631" i="1"/>
  <c r="S631" i="1"/>
  <c r="R631" i="1"/>
  <c r="Q631" i="1"/>
  <c r="P631" i="1"/>
  <c r="O631" i="1"/>
  <c r="N631" i="1"/>
  <c r="M631" i="1"/>
  <c r="L631" i="1"/>
  <c r="K631" i="1"/>
  <c r="J631" i="1"/>
  <c r="I631" i="1"/>
  <c r="H631" i="1"/>
  <c r="F631" i="1"/>
  <c r="G631" i="1" s="1"/>
  <c r="T630" i="1"/>
  <c r="S630" i="1"/>
  <c r="R630" i="1"/>
  <c r="Q630" i="1"/>
  <c r="P630" i="1"/>
  <c r="O630" i="1"/>
  <c r="N630" i="1"/>
  <c r="M630" i="1"/>
  <c r="L630" i="1"/>
  <c r="K630" i="1"/>
  <c r="J630" i="1"/>
  <c r="I630" i="1"/>
  <c r="H630" i="1"/>
  <c r="G630" i="1"/>
  <c r="F630" i="1"/>
  <c r="T629" i="1"/>
  <c r="S629" i="1"/>
  <c r="R629" i="1"/>
  <c r="Q629" i="1"/>
  <c r="P629" i="1"/>
  <c r="O629" i="1"/>
  <c r="N629" i="1"/>
  <c r="M629" i="1"/>
  <c r="L629" i="1"/>
  <c r="K629" i="1"/>
  <c r="J629" i="1"/>
  <c r="I629" i="1"/>
  <c r="H629" i="1"/>
  <c r="G629" i="1"/>
  <c r="F629" i="1"/>
  <c r="T628" i="1"/>
  <c r="S628" i="1"/>
  <c r="R628" i="1"/>
  <c r="Q628" i="1"/>
  <c r="P628" i="1"/>
  <c r="O628" i="1"/>
  <c r="N628" i="1"/>
  <c r="M628" i="1"/>
  <c r="L628" i="1"/>
  <c r="K628" i="1"/>
  <c r="J628" i="1"/>
  <c r="I628" i="1"/>
  <c r="H628" i="1"/>
  <c r="F628" i="1"/>
  <c r="G628" i="1" s="1"/>
  <c r="T627" i="1"/>
  <c r="S627" i="1"/>
  <c r="R627" i="1"/>
  <c r="Q627" i="1"/>
  <c r="P627" i="1"/>
  <c r="O627" i="1"/>
  <c r="N627" i="1"/>
  <c r="M627" i="1"/>
  <c r="L627" i="1"/>
  <c r="K627" i="1"/>
  <c r="J627" i="1"/>
  <c r="I627" i="1"/>
  <c r="H627" i="1"/>
  <c r="F627" i="1"/>
  <c r="G627" i="1" s="1"/>
  <c r="T626" i="1"/>
  <c r="S626" i="1"/>
  <c r="R626" i="1"/>
  <c r="Q626" i="1"/>
  <c r="P626" i="1"/>
  <c r="O626" i="1"/>
  <c r="N626" i="1"/>
  <c r="M626" i="1"/>
  <c r="L626" i="1"/>
  <c r="K626" i="1"/>
  <c r="J626" i="1"/>
  <c r="I626" i="1"/>
  <c r="H626" i="1"/>
  <c r="G626" i="1"/>
  <c r="F626" i="1"/>
  <c r="T625" i="1"/>
  <c r="S625" i="1"/>
  <c r="R625" i="1"/>
  <c r="Q625" i="1"/>
  <c r="P625" i="1"/>
  <c r="O625" i="1"/>
  <c r="N625" i="1"/>
  <c r="M625" i="1"/>
  <c r="L625" i="1"/>
  <c r="K625" i="1"/>
  <c r="J625" i="1"/>
  <c r="I625" i="1"/>
  <c r="H625" i="1"/>
  <c r="G625" i="1"/>
  <c r="F625" i="1"/>
  <c r="T624" i="1"/>
  <c r="S624" i="1"/>
  <c r="R624" i="1"/>
  <c r="Q624" i="1"/>
  <c r="P624" i="1"/>
  <c r="O624" i="1"/>
  <c r="N624" i="1"/>
  <c r="M624" i="1"/>
  <c r="L624" i="1"/>
  <c r="K624" i="1"/>
  <c r="J624" i="1"/>
  <c r="I624" i="1"/>
  <c r="H624" i="1"/>
  <c r="F624" i="1"/>
  <c r="G624" i="1" s="1"/>
  <c r="T623" i="1"/>
  <c r="S623" i="1"/>
  <c r="R623" i="1"/>
  <c r="Q623" i="1"/>
  <c r="P623" i="1"/>
  <c r="O623" i="1"/>
  <c r="N623" i="1"/>
  <c r="M623" i="1"/>
  <c r="L623" i="1"/>
  <c r="K623" i="1"/>
  <c r="J623" i="1"/>
  <c r="I623" i="1"/>
  <c r="H623" i="1"/>
  <c r="F623" i="1"/>
  <c r="G623" i="1" s="1"/>
  <c r="T622" i="1"/>
  <c r="S622" i="1"/>
  <c r="R622" i="1"/>
  <c r="Q622" i="1"/>
  <c r="P622" i="1"/>
  <c r="O622" i="1"/>
  <c r="N622" i="1"/>
  <c r="M622" i="1"/>
  <c r="L622" i="1"/>
  <c r="K622" i="1"/>
  <c r="J622" i="1"/>
  <c r="I622" i="1"/>
  <c r="H622" i="1"/>
  <c r="G622" i="1"/>
  <c r="F622" i="1"/>
  <c r="T621" i="1"/>
  <c r="S621" i="1"/>
  <c r="R621" i="1"/>
  <c r="Q621" i="1"/>
  <c r="P621" i="1"/>
  <c r="O621" i="1"/>
  <c r="N621" i="1"/>
  <c r="M621" i="1"/>
  <c r="L621" i="1"/>
  <c r="K621" i="1"/>
  <c r="J621" i="1"/>
  <c r="I621" i="1"/>
  <c r="H621" i="1"/>
  <c r="G621" i="1"/>
  <c r="F621" i="1"/>
  <c r="T620" i="1"/>
  <c r="S620" i="1"/>
  <c r="R620" i="1"/>
  <c r="Q620" i="1"/>
  <c r="P620" i="1"/>
  <c r="O620" i="1"/>
  <c r="N620" i="1"/>
  <c r="M620" i="1"/>
  <c r="L620" i="1"/>
  <c r="K620" i="1"/>
  <c r="J620" i="1"/>
  <c r="I620" i="1"/>
  <c r="H620" i="1"/>
  <c r="F620" i="1"/>
  <c r="G620" i="1" s="1"/>
  <c r="T619" i="1"/>
  <c r="S619" i="1"/>
  <c r="R619" i="1"/>
  <c r="Q619" i="1"/>
  <c r="P619" i="1"/>
  <c r="O619" i="1"/>
  <c r="N619" i="1"/>
  <c r="M619" i="1"/>
  <c r="L619" i="1"/>
  <c r="K619" i="1"/>
  <c r="J619" i="1"/>
  <c r="I619" i="1"/>
  <c r="H619" i="1"/>
  <c r="F619" i="1"/>
  <c r="G619" i="1" s="1"/>
  <c r="T618" i="1"/>
  <c r="S618" i="1"/>
  <c r="R618" i="1"/>
  <c r="Q618" i="1"/>
  <c r="P618" i="1"/>
  <c r="O618" i="1"/>
  <c r="N618" i="1"/>
  <c r="M618" i="1"/>
  <c r="L618" i="1"/>
  <c r="K618" i="1"/>
  <c r="J618" i="1"/>
  <c r="I618" i="1"/>
  <c r="H618" i="1"/>
  <c r="G618" i="1"/>
  <c r="F618" i="1"/>
  <c r="T617" i="1"/>
  <c r="S617" i="1"/>
  <c r="R617" i="1"/>
  <c r="Q617" i="1"/>
  <c r="P617" i="1"/>
  <c r="O617" i="1"/>
  <c r="N617" i="1"/>
  <c r="M617" i="1"/>
  <c r="L617" i="1"/>
  <c r="K617" i="1"/>
  <c r="J617" i="1"/>
  <c r="I617" i="1"/>
  <c r="H617" i="1"/>
  <c r="G617" i="1"/>
  <c r="F617" i="1"/>
  <c r="T616" i="1"/>
  <c r="S616" i="1"/>
  <c r="R616" i="1"/>
  <c r="Q616" i="1"/>
  <c r="P616" i="1"/>
  <c r="O616" i="1"/>
  <c r="N616" i="1"/>
  <c r="M616" i="1"/>
  <c r="L616" i="1"/>
  <c r="K616" i="1"/>
  <c r="J616" i="1"/>
  <c r="I616" i="1"/>
  <c r="H616" i="1"/>
  <c r="F616" i="1"/>
  <c r="G616" i="1" s="1"/>
  <c r="T615" i="1"/>
  <c r="S615" i="1"/>
  <c r="R615" i="1"/>
  <c r="Q615" i="1"/>
  <c r="P615" i="1"/>
  <c r="O615" i="1"/>
  <c r="N615" i="1"/>
  <c r="M615" i="1"/>
  <c r="L615" i="1"/>
  <c r="K615" i="1"/>
  <c r="J615" i="1"/>
  <c r="I615" i="1"/>
  <c r="H615" i="1"/>
  <c r="F615" i="1"/>
  <c r="G615" i="1" s="1"/>
  <c r="T614" i="1"/>
  <c r="S614" i="1"/>
  <c r="R614" i="1"/>
  <c r="Q614" i="1"/>
  <c r="P614" i="1"/>
  <c r="O614" i="1"/>
  <c r="N614" i="1"/>
  <c r="M614" i="1"/>
  <c r="L614" i="1"/>
  <c r="K614" i="1"/>
  <c r="J614" i="1"/>
  <c r="I614" i="1"/>
  <c r="H614" i="1"/>
  <c r="G614" i="1"/>
  <c r="F614" i="1"/>
  <c r="T613" i="1"/>
  <c r="S613" i="1"/>
  <c r="R613" i="1"/>
  <c r="Q613" i="1"/>
  <c r="P613" i="1"/>
  <c r="O613" i="1"/>
  <c r="N613" i="1"/>
  <c r="M613" i="1"/>
  <c r="L613" i="1"/>
  <c r="K613" i="1"/>
  <c r="J613" i="1"/>
  <c r="I613" i="1"/>
  <c r="H613" i="1"/>
  <c r="G613" i="1"/>
  <c r="F613" i="1"/>
  <c r="T612" i="1"/>
  <c r="S612" i="1"/>
  <c r="R612" i="1"/>
  <c r="Q612" i="1"/>
  <c r="P612" i="1"/>
  <c r="O612" i="1"/>
  <c r="N612" i="1"/>
  <c r="M612" i="1"/>
  <c r="L612" i="1"/>
  <c r="K612" i="1"/>
  <c r="J612" i="1"/>
  <c r="I612" i="1"/>
  <c r="H612" i="1"/>
  <c r="F612" i="1"/>
  <c r="G612" i="1" s="1"/>
  <c r="T611" i="1"/>
  <c r="S611" i="1"/>
  <c r="R611" i="1"/>
  <c r="Q611" i="1"/>
  <c r="P611" i="1"/>
  <c r="O611" i="1"/>
  <c r="N611" i="1"/>
  <c r="M611" i="1"/>
  <c r="L611" i="1"/>
  <c r="K611" i="1"/>
  <c r="J611" i="1"/>
  <c r="I611" i="1"/>
  <c r="H611" i="1"/>
  <c r="F611" i="1"/>
  <c r="G611" i="1" s="1"/>
  <c r="T610" i="1"/>
  <c r="S610" i="1"/>
  <c r="R610" i="1"/>
  <c r="Q610" i="1"/>
  <c r="P610" i="1"/>
  <c r="O610" i="1"/>
  <c r="N610" i="1"/>
  <c r="M610" i="1"/>
  <c r="L610" i="1"/>
  <c r="K610" i="1"/>
  <c r="J610" i="1"/>
  <c r="I610" i="1"/>
  <c r="H610" i="1"/>
  <c r="G610" i="1"/>
  <c r="F610" i="1"/>
  <c r="T609" i="1"/>
  <c r="S609" i="1"/>
  <c r="R609" i="1"/>
  <c r="Q609" i="1"/>
  <c r="P609" i="1"/>
  <c r="O609" i="1"/>
  <c r="N609" i="1"/>
  <c r="M609" i="1"/>
  <c r="L609" i="1"/>
  <c r="K609" i="1"/>
  <c r="J609" i="1"/>
  <c r="I609" i="1"/>
  <c r="H609" i="1"/>
  <c r="G609" i="1"/>
  <c r="F609" i="1"/>
  <c r="T608" i="1"/>
  <c r="S608" i="1"/>
  <c r="R608" i="1"/>
  <c r="Q608" i="1"/>
  <c r="P608" i="1"/>
  <c r="O608" i="1"/>
  <c r="N608" i="1"/>
  <c r="M608" i="1"/>
  <c r="L608" i="1"/>
  <c r="K608" i="1"/>
  <c r="J608" i="1"/>
  <c r="I608" i="1"/>
  <c r="H608" i="1"/>
  <c r="F608" i="1"/>
  <c r="G608" i="1" s="1"/>
  <c r="T607" i="1"/>
  <c r="S607" i="1"/>
  <c r="R607" i="1"/>
  <c r="Q607" i="1"/>
  <c r="P607" i="1"/>
  <c r="O607" i="1"/>
  <c r="N607" i="1"/>
  <c r="M607" i="1"/>
  <c r="L607" i="1"/>
  <c r="K607" i="1"/>
  <c r="J607" i="1"/>
  <c r="I607" i="1"/>
  <c r="H607" i="1"/>
  <c r="F607" i="1"/>
  <c r="G607" i="1" s="1"/>
  <c r="T606" i="1"/>
  <c r="S606" i="1"/>
  <c r="R606" i="1"/>
  <c r="Q606" i="1"/>
  <c r="P606" i="1"/>
  <c r="O606" i="1"/>
  <c r="N606" i="1"/>
  <c r="M606" i="1"/>
  <c r="L606" i="1"/>
  <c r="K606" i="1"/>
  <c r="J606" i="1"/>
  <c r="I606" i="1"/>
  <c r="H606" i="1"/>
  <c r="G606" i="1"/>
  <c r="F606" i="1"/>
  <c r="T605" i="1"/>
  <c r="S605" i="1"/>
  <c r="R605" i="1"/>
  <c r="Q605" i="1"/>
  <c r="P605" i="1"/>
  <c r="O605" i="1"/>
  <c r="N605" i="1"/>
  <c r="M605" i="1"/>
  <c r="L605" i="1"/>
  <c r="K605" i="1"/>
  <c r="J605" i="1"/>
  <c r="I605" i="1"/>
  <c r="H605" i="1"/>
  <c r="G605" i="1"/>
  <c r="F605" i="1"/>
  <c r="T604" i="1"/>
  <c r="S604" i="1"/>
  <c r="R604" i="1"/>
  <c r="Q604" i="1"/>
  <c r="P604" i="1"/>
  <c r="O604" i="1"/>
  <c r="N604" i="1"/>
  <c r="M604" i="1"/>
  <c r="L604" i="1"/>
  <c r="K604" i="1"/>
  <c r="J604" i="1"/>
  <c r="I604" i="1"/>
  <c r="H604" i="1"/>
  <c r="F604" i="1"/>
  <c r="G604" i="1" s="1"/>
  <c r="T603" i="1"/>
  <c r="S603" i="1"/>
  <c r="R603" i="1"/>
  <c r="Q603" i="1"/>
  <c r="P603" i="1"/>
  <c r="O603" i="1"/>
  <c r="N603" i="1"/>
  <c r="M603" i="1"/>
  <c r="L603" i="1"/>
  <c r="K603" i="1"/>
  <c r="J603" i="1"/>
  <c r="I603" i="1"/>
  <c r="H603" i="1"/>
  <c r="F603" i="1"/>
  <c r="G603" i="1" s="1"/>
  <c r="T602" i="1"/>
  <c r="S602" i="1"/>
  <c r="R602" i="1"/>
  <c r="Q602" i="1"/>
  <c r="P602" i="1"/>
  <c r="O602" i="1"/>
  <c r="N602" i="1"/>
  <c r="M602" i="1"/>
  <c r="L602" i="1"/>
  <c r="K602" i="1"/>
  <c r="J602" i="1"/>
  <c r="I602" i="1"/>
  <c r="H602" i="1"/>
  <c r="G602" i="1"/>
  <c r="F602" i="1"/>
  <c r="T601" i="1"/>
  <c r="S601" i="1"/>
  <c r="R601" i="1"/>
  <c r="Q601" i="1"/>
  <c r="P601" i="1"/>
  <c r="O601" i="1"/>
  <c r="N601" i="1"/>
  <c r="M601" i="1"/>
  <c r="L601" i="1"/>
  <c r="K601" i="1"/>
  <c r="J601" i="1"/>
  <c r="I601" i="1"/>
  <c r="H601" i="1"/>
  <c r="F601" i="1"/>
  <c r="G601" i="1" s="1"/>
  <c r="T600" i="1"/>
  <c r="S600" i="1"/>
  <c r="R600" i="1"/>
  <c r="Q600" i="1"/>
  <c r="P600" i="1"/>
  <c r="O600" i="1"/>
  <c r="N600" i="1"/>
  <c r="M600" i="1"/>
  <c r="L600" i="1"/>
  <c r="K600" i="1"/>
  <c r="J600" i="1"/>
  <c r="I600" i="1"/>
  <c r="H600" i="1"/>
  <c r="F600" i="1"/>
  <c r="G600" i="1" s="1"/>
  <c r="T599" i="1"/>
  <c r="S599" i="1"/>
  <c r="R599" i="1"/>
  <c r="Q599" i="1"/>
  <c r="P599" i="1"/>
  <c r="O599" i="1"/>
  <c r="N599" i="1"/>
  <c r="M599" i="1"/>
  <c r="L599" i="1"/>
  <c r="K599" i="1"/>
  <c r="J599" i="1"/>
  <c r="I599" i="1"/>
  <c r="H599" i="1"/>
  <c r="F599" i="1"/>
  <c r="G599" i="1" s="1"/>
  <c r="T598" i="1"/>
  <c r="S598" i="1"/>
  <c r="R598" i="1"/>
  <c r="Q598" i="1"/>
  <c r="P598" i="1"/>
  <c r="O598" i="1"/>
  <c r="N598" i="1"/>
  <c r="M598" i="1"/>
  <c r="L598" i="1"/>
  <c r="K598" i="1"/>
  <c r="J598" i="1"/>
  <c r="I598" i="1"/>
  <c r="H598" i="1"/>
  <c r="G598" i="1"/>
  <c r="F598" i="1"/>
  <c r="T597" i="1"/>
  <c r="S597" i="1"/>
  <c r="R597" i="1"/>
  <c r="Q597" i="1"/>
  <c r="P597" i="1"/>
  <c r="O597" i="1"/>
  <c r="N597" i="1"/>
  <c r="M597" i="1"/>
  <c r="L597" i="1"/>
  <c r="K597" i="1"/>
  <c r="J597" i="1"/>
  <c r="I597" i="1"/>
  <c r="H597" i="1"/>
  <c r="G597" i="1"/>
  <c r="F597" i="1"/>
  <c r="T596" i="1"/>
  <c r="S596" i="1"/>
  <c r="R596" i="1"/>
  <c r="Q596" i="1"/>
  <c r="P596" i="1"/>
  <c r="O596" i="1"/>
  <c r="N596" i="1"/>
  <c r="M596" i="1"/>
  <c r="L596" i="1"/>
  <c r="K596" i="1"/>
  <c r="J596" i="1"/>
  <c r="I596" i="1"/>
  <c r="H596" i="1"/>
  <c r="F596" i="1"/>
  <c r="G596" i="1" s="1"/>
  <c r="T595" i="1"/>
  <c r="S595" i="1"/>
  <c r="R595" i="1"/>
  <c r="Q595" i="1"/>
  <c r="P595" i="1"/>
  <c r="O595" i="1"/>
  <c r="N595" i="1"/>
  <c r="M595" i="1"/>
  <c r="L595" i="1"/>
  <c r="K595" i="1"/>
  <c r="J595" i="1"/>
  <c r="I595" i="1"/>
  <c r="H595" i="1"/>
  <c r="F595" i="1"/>
  <c r="G595" i="1" s="1"/>
  <c r="T594" i="1"/>
  <c r="S594" i="1"/>
  <c r="R594" i="1"/>
  <c r="Q594" i="1"/>
  <c r="P594" i="1"/>
  <c r="O594" i="1"/>
  <c r="N594" i="1"/>
  <c r="M594" i="1"/>
  <c r="L594" i="1"/>
  <c r="K594" i="1"/>
  <c r="J594" i="1"/>
  <c r="I594" i="1"/>
  <c r="H594" i="1"/>
  <c r="G594" i="1"/>
  <c r="F594" i="1"/>
  <c r="T593" i="1"/>
  <c r="S593" i="1"/>
  <c r="R593" i="1"/>
  <c r="Q593" i="1"/>
  <c r="P593" i="1"/>
  <c r="O593" i="1"/>
  <c r="N593" i="1"/>
  <c r="M593" i="1"/>
  <c r="L593" i="1"/>
  <c r="K593" i="1"/>
  <c r="J593" i="1"/>
  <c r="I593" i="1"/>
  <c r="H593" i="1"/>
  <c r="G593" i="1"/>
  <c r="F593" i="1"/>
  <c r="T592" i="1"/>
  <c r="S592" i="1"/>
  <c r="R592" i="1"/>
  <c r="Q592" i="1"/>
  <c r="P592" i="1"/>
  <c r="O592" i="1"/>
  <c r="N592" i="1"/>
  <c r="M592" i="1"/>
  <c r="L592" i="1"/>
  <c r="K592" i="1"/>
  <c r="J592" i="1"/>
  <c r="I592" i="1"/>
  <c r="H592" i="1"/>
  <c r="F592" i="1"/>
  <c r="G592" i="1" s="1"/>
  <c r="T591" i="1"/>
  <c r="S591" i="1"/>
  <c r="R591" i="1"/>
  <c r="Q591" i="1"/>
  <c r="P591" i="1"/>
  <c r="O591" i="1"/>
  <c r="N591" i="1"/>
  <c r="M591" i="1"/>
  <c r="L591" i="1"/>
  <c r="K591" i="1"/>
  <c r="J591" i="1"/>
  <c r="I591" i="1"/>
  <c r="H591" i="1"/>
  <c r="F591" i="1"/>
  <c r="G591" i="1" s="1"/>
  <c r="T590" i="1"/>
  <c r="S590" i="1"/>
  <c r="R590" i="1"/>
  <c r="Q590" i="1"/>
  <c r="P590" i="1"/>
  <c r="O590" i="1"/>
  <c r="N590" i="1"/>
  <c r="M590" i="1"/>
  <c r="L590" i="1"/>
  <c r="K590" i="1"/>
  <c r="J590" i="1"/>
  <c r="I590" i="1"/>
  <c r="H590" i="1"/>
  <c r="G590" i="1"/>
  <c r="F590" i="1"/>
  <c r="T589" i="1"/>
  <c r="S589" i="1"/>
  <c r="R589" i="1"/>
  <c r="Q589" i="1"/>
  <c r="P589" i="1"/>
  <c r="O589" i="1"/>
  <c r="N589" i="1"/>
  <c r="M589" i="1"/>
  <c r="L589" i="1"/>
  <c r="K589" i="1"/>
  <c r="J589" i="1"/>
  <c r="I589" i="1"/>
  <c r="H589" i="1"/>
  <c r="G589" i="1"/>
  <c r="F589" i="1"/>
  <c r="T588" i="1"/>
  <c r="S588" i="1"/>
  <c r="R588" i="1"/>
  <c r="Q588" i="1"/>
  <c r="P588" i="1"/>
  <c r="O588" i="1"/>
  <c r="N588" i="1"/>
  <c r="M588" i="1"/>
  <c r="L588" i="1"/>
  <c r="K588" i="1"/>
  <c r="J588" i="1"/>
  <c r="I588" i="1"/>
  <c r="H588" i="1"/>
  <c r="F588" i="1"/>
  <c r="G588" i="1" s="1"/>
  <c r="T587" i="1"/>
  <c r="S587" i="1"/>
  <c r="R587" i="1"/>
  <c r="Q587" i="1"/>
  <c r="P587" i="1"/>
  <c r="O587" i="1"/>
  <c r="N587" i="1"/>
  <c r="M587" i="1"/>
  <c r="L587" i="1"/>
  <c r="K587" i="1"/>
  <c r="J587" i="1"/>
  <c r="I587" i="1"/>
  <c r="H587" i="1"/>
  <c r="F587" i="1"/>
  <c r="G587" i="1" s="1"/>
  <c r="T586" i="1"/>
  <c r="S586" i="1"/>
  <c r="R586" i="1"/>
  <c r="Q586" i="1"/>
  <c r="P586" i="1"/>
  <c r="O586" i="1"/>
  <c r="N586" i="1"/>
  <c r="M586" i="1"/>
  <c r="L586" i="1"/>
  <c r="K586" i="1"/>
  <c r="J586" i="1"/>
  <c r="I586" i="1"/>
  <c r="H586" i="1"/>
  <c r="G586" i="1"/>
  <c r="F586" i="1"/>
  <c r="T585" i="1"/>
  <c r="S585" i="1"/>
  <c r="R585" i="1"/>
  <c r="Q585" i="1"/>
  <c r="P585" i="1"/>
  <c r="O585" i="1"/>
  <c r="N585" i="1"/>
  <c r="M585" i="1"/>
  <c r="L585" i="1"/>
  <c r="K585" i="1"/>
  <c r="J585" i="1"/>
  <c r="I585" i="1"/>
  <c r="H585" i="1"/>
  <c r="F585" i="1"/>
  <c r="G585" i="1" s="1"/>
  <c r="T584" i="1"/>
  <c r="S584" i="1"/>
  <c r="R584" i="1"/>
  <c r="Q584" i="1"/>
  <c r="P584" i="1"/>
  <c r="O584" i="1"/>
  <c r="N584" i="1"/>
  <c r="M584" i="1"/>
  <c r="L584" i="1"/>
  <c r="K584" i="1"/>
  <c r="J584" i="1"/>
  <c r="I584" i="1"/>
  <c r="H584" i="1"/>
  <c r="F584" i="1"/>
  <c r="G584" i="1" s="1"/>
  <c r="T583" i="1"/>
  <c r="S583" i="1"/>
  <c r="R583" i="1"/>
  <c r="Q583" i="1"/>
  <c r="P583" i="1"/>
  <c r="O583" i="1"/>
  <c r="N583" i="1"/>
  <c r="M583" i="1"/>
  <c r="L583" i="1"/>
  <c r="K583" i="1"/>
  <c r="J583" i="1"/>
  <c r="I583" i="1"/>
  <c r="H583" i="1"/>
  <c r="F583" i="1"/>
  <c r="G583" i="1" s="1"/>
  <c r="T582" i="1"/>
  <c r="S582" i="1"/>
  <c r="R582" i="1"/>
  <c r="Q582" i="1"/>
  <c r="P582" i="1"/>
  <c r="O582" i="1"/>
  <c r="N582" i="1"/>
  <c r="M582" i="1"/>
  <c r="L582" i="1"/>
  <c r="K582" i="1"/>
  <c r="J582" i="1"/>
  <c r="I582" i="1"/>
  <c r="H582" i="1"/>
  <c r="G582" i="1"/>
  <c r="F582" i="1"/>
  <c r="T581" i="1"/>
  <c r="S581" i="1"/>
  <c r="R581" i="1"/>
  <c r="Q581" i="1"/>
  <c r="P581" i="1"/>
  <c r="O581" i="1"/>
  <c r="N581" i="1"/>
  <c r="M581" i="1"/>
  <c r="L581" i="1"/>
  <c r="K581" i="1"/>
  <c r="J581" i="1"/>
  <c r="I581" i="1"/>
  <c r="H581" i="1"/>
  <c r="G581" i="1"/>
  <c r="F581" i="1"/>
  <c r="T580" i="1"/>
  <c r="S580" i="1"/>
  <c r="R580" i="1"/>
  <c r="Q580" i="1"/>
  <c r="P580" i="1"/>
  <c r="O580" i="1"/>
  <c r="N580" i="1"/>
  <c r="M580" i="1"/>
  <c r="L580" i="1"/>
  <c r="K580" i="1"/>
  <c r="J580" i="1"/>
  <c r="I580" i="1"/>
  <c r="H580" i="1"/>
  <c r="F580" i="1"/>
  <c r="G580" i="1" s="1"/>
  <c r="T579" i="1"/>
  <c r="S579" i="1"/>
  <c r="R579" i="1"/>
  <c r="Q579" i="1"/>
  <c r="P579" i="1"/>
  <c r="O579" i="1"/>
  <c r="N579" i="1"/>
  <c r="M579" i="1"/>
  <c r="L579" i="1"/>
  <c r="K579" i="1"/>
  <c r="J579" i="1"/>
  <c r="I579" i="1"/>
  <c r="H579" i="1"/>
  <c r="F579" i="1"/>
  <c r="G579" i="1" s="1"/>
  <c r="T578" i="1"/>
  <c r="S578" i="1"/>
  <c r="R578" i="1"/>
  <c r="Q578" i="1"/>
  <c r="P578" i="1"/>
  <c r="O578" i="1"/>
  <c r="N578" i="1"/>
  <c r="M578" i="1"/>
  <c r="L578" i="1"/>
  <c r="K578" i="1"/>
  <c r="J578" i="1"/>
  <c r="I578" i="1"/>
  <c r="H578" i="1"/>
  <c r="G578" i="1"/>
  <c r="F578" i="1"/>
  <c r="T577" i="1"/>
  <c r="S577" i="1"/>
  <c r="R577" i="1"/>
  <c r="Q577" i="1"/>
  <c r="P577" i="1"/>
  <c r="O577" i="1"/>
  <c r="N577" i="1"/>
  <c r="M577" i="1"/>
  <c r="L577" i="1"/>
  <c r="K577" i="1"/>
  <c r="J577" i="1"/>
  <c r="I577" i="1"/>
  <c r="H577" i="1"/>
  <c r="G577" i="1"/>
  <c r="F577" i="1"/>
  <c r="T576" i="1"/>
  <c r="S576" i="1"/>
  <c r="R576" i="1"/>
  <c r="Q576" i="1"/>
  <c r="P576" i="1"/>
  <c r="O576" i="1"/>
  <c r="N576" i="1"/>
  <c r="M576" i="1"/>
  <c r="L576" i="1"/>
  <c r="K576" i="1"/>
  <c r="J576" i="1"/>
  <c r="I576" i="1"/>
  <c r="H576" i="1"/>
  <c r="F576" i="1"/>
  <c r="G576" i="1" s="1"/>
  <c r="T575" i="1"/>
  <c r="S575" i="1"/>
  <c r="R575" i="1"/>
  <c r="Q575" i="1"/>
  <c r="P575" i="1"/>
  <c r="O575" i="1"/>
  <c r="N575" i="1"/>
  <c r="M575" i="1"/>
  <c r="L575" i="1"/>
  <c r="K575" i="1"/>
  <c r="J575" i="1"/>
  <c r="I575" i="1"/>
  <c r="H575" i="1"/>
  <c r="F575" i="1"/>
  <c r="G575" i="1" s="1"/>
  <c r="T574" i="1"/>
  <c r="S574" i="1"/>
  <c r="R574" i="1"/>
  <c r="Q574" i="1"/>
  <c r="P574" i="1"/>
  <c r="O574" i="1"/>
  <c r="N574" i="1"/>
  <c r="M574" i="1"/>
  <c r="L574" i="1"/>
  <c r="K574" i="1"/>
  <c r="J574" i="1"/>
  <c r="I574" i="1"/>
  <c r="H574" i="1"/>
  <c r="G574" i="1"/>
  <c r="F574" i="1"/>
  <c r="T573" i="1"/>
  <c r="S573" i="1"/>
  <c r="R573" i="1"/>
  <c r="Q573" i="1"/>
  <c r="P573" i="1"/>
  <c r="O573" i="1"/>
  <c r="N573" i="1"/>
  <c r="M573" i="1"/>
  <c r="L573" i="1"/>
  <c r="K573" i="1"/>
  <c r="J573" i="1"/>
  <c r="I573" i="1"/>
  <c r="H573" i="1"/>
  <c r="G573" i="1"/>
  <c r="F573" i="1"/>
  <c r="T572" i="1"/>
  <c r="S572" i="1"/>
  <c r="R572" i="1"/>
  <c r="Q572" i="1"/>
  <c r="P572" i="1"/>
  <c r="O572" i="1"/>
  <c r="N572" i="1"/>
  <c r="M572" i="1"/>
  <c r="L572" i="1"/>
  <c r="K572" i="1"/>
  <c r="J572" i="1"/>
  <c r="I572" i="1"/>
  <c r="H572" i="1"/>
  <c r="F572" i="1"/>
  <c r="G572" i="1" s="1"/>
  <c r="T571" i="1"/>
  <c r="S571" i="1"/>
  <c r="R571" i="1"/>
  <c r="Q571" i="1"/>
  <c r="P571" i="1"/>
  <c r="O571" i="1"/>
  <c r="N571" i="1"/>
  <c r="M571" i="1"/>
  <c r="L571" i="1"/>
  <c r="K571" i="1"/>
  <c r="J571" i="1"/>
  <c r="I571" i="1"/>
  <c r="H571" i="1"/>
  <c r="F571" i="1"/>
  <c r="G571" i="1" s="1"/>
  <c r="T570" i="1"/>
  <c r="S570" i="1"/>
  <c r="R570" i="1"/>
  <c r="Q570" i="1"/>
  <c r="P570" i="1"/>
  <c r="O570" i="1"/>
  <c r="N570" i="1"/>
  <c r="M570" i="1"/>
  <c r="L570" i="1"/>
  <c r="K570" i="1"/>
  <c r="J570" i="1"/>
  <c r="I570" i="1"/>
  <c r="H570" i="1"/>
  <c r="G570" i="1"/>
  <c r="F570" i="1"/>
  <c r="T569" i="1"/>
  <c r="S569" i="1"/>
  <c r="R569" i="1"/>
  <c r="Q569" i="1"/>
  <c r="P569" i="1"/>
  <c r="O569" i="1"/>
  <c r="N569" i="1"/>
  <c r="M569" i="1"/>
  <c r="L569" i="1"/>
  <c r="K569" i="1"/>
  <c r="J569" i="1"/>
  <c r="I569" i="1"/>
  <c r="H569" i="1"/>
  <c r="F569" i="1"/>
  <c r="G569" i="1" s="1"/>
  <c r="T568" i="1"/>
  <c r="S568" i="1"/>
  <c r="R568" i="1"/>
  <c r="Q568" i="1"/>
  <c r="P568" i="1"/>
  <c r="O568" i="1"/>
  <c r="N568" i="1"/>
  <c r="M568" i="1"/>
  <c r="L568" i="1"/>
  <c r="K568" i="1"/>
  <c r="J568" i="1"/>
  <c r="I568" i="1"/>
  <c r="H568" i="1"/>
  <c r="F568" i="1"/>
  <c r="G568" i="1" s="1"/>
  <c r="T567" i="1"/>
  <c r="S567" i="1"/>
  <c r="R567" i="1"/>
  <c r="Q567" i="1"/>
  <c r="P567" i="1"/>
  <c r="O567" i="1"/>
  <c r="N567" i="1"/>
  <c r="M567" i="1"/>
  <c r="L567" i="1"/>
  <c r="K567" i="1"/>
  <c r="J567" i="1"/>
  <c r="I567" i="1"/>
  <c r="H567" i="1"/>
  <c r="F567" i="1"/>
  <c r="G567" i="1" s="1"/>
  <c r="T566" i="1"/>
  <c r="S566" i="1"/>
  <c r="R566" i="1"/>
  <c r="Q566" i="1"/>
  <c r="P566" i="1"/>
  <c r="O566" i="1"/>
  <c r="N566" i="1"/>
  <c r="M566" i="1"/>
  <c r="L566" i="1"/>
  <c r="K566" i="1"/>
  <c r="J566" i="1"/>
  <c r="I566" i="1"/>
  <c r="H566" i="1"/>
  <c r="G566" i="1"/>
  <c r="F566" i="1"/>
  <c r="T565" i="1"/>
  <c r="S565" i="1"/>
  <c r="R565" i="1"/>
  <c r="Q565" i="1"/>
  <c r="P565" i="1"/>
  <c r="O565" i="1"/>
  <c r="N565" i="1"/>
  <c r="M565" i="1"/>
  <c r="L565" i="1"/>
  <c r="K565" i="1"/>
  <c r="J565" i="1"/>
  <c r="I565" i="1"/>
  <c r="H565" i="1"/>
  <c r="G565" i="1"/>
  <c r="F565" i="1"/>
  <c r="T564" i="1"/>
  <c r="S564" i="1"/>
  <c r="R564" i="1"/>
  <c r="Q564" i="1"/>
  <c r="P564" i="1"/>
  <c r="O564" i="1"/>
  <c r="N564" i="1"/>
  <c r="M564" i="1"/>
  <c r="L564" i="1"/>
  <c r="K564" i="1"/>
  <c r="J564" i="1"/>
  <c r="I564" i="1"/>
  <c r="H564" i="1"/>
  <c r="F564" i="1"/>
  <c r="G564" i="1" s="1"/>
  <c r="T563" i="1"/>
  <c r="S563" i="1"/>
  <c r="R563" i="1"/>
  <c r="Q563" i="1"/>
  <c r="P563" i="1"/>
  <c r="O563" i="1"/>
  <c r="N563" i="1"/>
  <c r="M563" i="1"/>
  <c r="L563" i="1"/>
  <c r="K563" i="1"/>
  <c r="J563" i="1"/>
  <c r="I563" i="1"/>
  <c r="H563" i="1"/>
  <c r="F563" i="1"/>
  <c r="G563" i="1" s="1"/>
  <c r="T562" i="1"/>
  <c r="S562" i="1"/>
  <c r="R562" i="1"/>
  <c r="Q562" i="1"/>
  <c r="P562" i="1"/>
  <c r="O562" i="1"/>
  <c r="N562" i="1"/>
  <c r="M562" i="1"/>
  <c r="L562" i="1"/>
  <c r="K562" i="1"/>
  <c r="J562" i="1"/>
  <c r="I562" i="1"/>
  <c r="H562" i="1"/>
  <c r="G562" i="1"/>
  <c r="F562" i="1"/>
  <c r="T561" i="1"/>
  <c r="S561" i="1"/>
  <c r="R561" i="1"/>
  <c r="Q561" i="1"/>
  <c r="P561" i="1"/>
  <c r="O561" i="1"/>
  <c r="N561" i="1"/>
  <c r="M561" i="1"/>
  <c r="L561" i="1"/>
  <c r="K561" i="1"/>
  <c r="J561" i="1"/>
  <c r="I561" i="1"/>
  <c r="H561" i="1"/>
  <c r="G561" i="1"/>
  <c r="F561" i="1"/>
  <c r="T560" i="1"/>
  <c r="S560" i="1"/>
  <c r="R560" i="1"/>
  <c r="Q560" i="1"/>
  <c r="P560" i="1"/>
  <c r="O560" i="1"/>
  <c r="N560" i="1"/>
  <c r="M560" i="1"/>
  <c r="L560" i="1"/>
  <c r="K560" i="1"/>
  <c r="J560" i="1"/>
  <c r="I560" i="1"/>
  <c r="H560" i="1"/>
  <c r="F560" i="1"/>
  <c r="G560" i="1" s="1"/>
  <c r="T559" i="1"/>
  <c r="S559" i="1"/>
  <c r="R559" i="1"/>
  <c r="Q559" i="1"/>
  <c r="P559" i="1"/>
  <c r="O559" i="1"/>
  <c r="N559" i="1"/>
  <c r="M559" i="1"/>
  <c r="L559" i="1"/>
  <c r="K559" i="1"/>
  <c r="J559" i="1"/>
  <c r="I559" i="1"/>
  <c r="H559" i="1"/>
  <c r="F559" i="1"/>
  <c r="G559" i="1" s="1"/>
  <c r="T558" i="1"/>
  <c r="S558" i="1"/>
  <c r="R558" i="1"/>
  <c r="Q558" i="1"/>
  <c r="P558" i="1"/>
  <c r="O558" i="1"/>
  <c r="N558" i="1"/>
  <c r="M558" i="1"/>
  <c r="L558" i="1"/>
  <c r="K558" i="1"/>
  <c r="J558" i="1"/>
  <c r="I558" i="1"/>
  <c r="H558" i="1"/>
  <c r="G558" i="1"/>
  <c r="F558" i="1"/>
  <c r="T557" i="1"/>
  <c r="S557" i="1"/>
  <c r="R557" i="1"/>
  <c r="Q557" i="1"/>
  <c r="P557" i="1"/>
  <c r="O557" i="1"/>
  <c r="N557" i="1"/>
  <c r="M557" i="1"/>
  <c r="L557" i="1"/>
  <c r="K557" i="1"/>
  <c r="J557" i="1"/>
  <c r="I557" i="1"/>
  <c r="H557" i="1"/>
  <c r="G557" i="1"/>
  <c r="F557" i="1"/>
  <c r="T556" i="1"/>
  <c r="S556" i="1"/>
  <c r="R556" i="1"/>
  <c r="Q556" i="1"/>
  <c r="P556" i="1"/>
  <c r="O556" i="1"/>
  <c r="N556" i="1"/>
  <c r="M556" i="1"/>
  <c r="L556" i="1"/>
  <c r="K556" i="1"/>
  <c r="J556" i="1"/>
  <c r="I556" i="1"/>
  <c r="H556" i="1"/>
  <c r="F556" i="1"/>
  <c r="G556" i="1" s="1"/>
  <c r="T555" i="1"/>
  <c r="S555" i="1"/>
  <c r="R555" i="1"/>
  <c r="Q555" i="1"/>
  <c r="P555" i="1"/>
  <c r="O555" i="1"/>
  <c r="N555" i="1"/>
  <c r="M555" i="1"/>
  <c r="L555" i="1"/>
  <c r="K555" i="1"/>
  <c r="J555" i="1"/>
  <c r="I555" i="1"/>
  <c r="H555" i="1"/>
  <c r="F555" i="1"/>
  <c r="G555" i="1" s="1"/>
  <c r="T554" i="1"/>
  <c r="S554" i="1"/>
  <c r="R554" i="1"/>
  <c r="Q554" i="1"/>
  <c r="P554" i="1"/>
  <c r="O554" i="1"/>
  <c r="N554" i="1"/>
  <c r="M554" i="1"/>
  <c r="L554" i="1"/>
  <c r="K554" i="1"/>
  <c r="J554" i="1"/>
  <c r="I554" i="1"/>
  <c r="H554" i="1"/>
  <c r="G554" i="1"/>
  <c r="F554" i="1"/>
  <c r="T553" i="1"/>
  <c r="S553" i="1"/>
  <c r="R553" i="1"/>
  <c r="Q553" i="1"/>
  <c r="P553" i="1"/>
  <c r="O553" i="1"/>
  <c r="N553" i="1"/>
  <c r="M553" i="1"/>
  <c r="L553" i="1"/>
  <c r="K553" i="1"/>
  <c r="J553" i="1"/>
  <c r="I553" i="1"/>
  <c r="H553" i="1"/>
  <c r="F553" i="1"/>
  <c r="G553" i="1" s="1"/>
  <c r="T552" i="1"/>
  <c r="S552" i="1"/>
  <c r="R552" i="1"/>
  <c r="Q552" i="1"/>
  <c r="P552" i="1"/>
  <c r="O552" i="1"/>
  <c r="N552" i="1"/>
  <c r="M552" i="1"/>
  <c r="L552" i="1"/>
  <c r="K552" i="1"/>
  <c r="J552" i="1"/>
  <c r="I552" i="1"/>
  <c r="H552" i="1"/>
  <c r="F552" i="1"/>
  <c r="G552" i="1" s="1"/>
  <c r="T551" i="1"/>
  <c r="S551" i="1"/>
  <c r="R551" i="1"/>
  <c r="Q551" i="1"/>
  <c r="P551" i="1"/>
  <c r="O551" i="1"/>
  <c r="N551" i="1"/>
  <c r="M551" i="1"/>
  <c r="L551" i="1"/>
  <c r="K551" i="1"/>
  <c r="J551" i="1"/>
  <c r="I551" i="1"/>
  <c r="H551" i="1"/>
  <c r="F551" i="1"/>
  <c r="G551" i="1" s="1"/>
  <c r="T550" i="1"/>
  <c r="S550" i="1"/>
  <c r="R550" i="1"/>
  <c r="Q550" i="1"/>
  <c r="P550" i="1"/>
  <c r="O550" i="1"/>
  <c r="N550" i="1"/>
  <c r="M550" i="1"/>
  <c r="L550" i="1"/>
  <c r="K550" i="1"/>
  <c r="J550" i="1"/>
  <c r="I550" i="1"/>
  <c r="H550" i="1"/>
  <c r="G550" i="1"/>
  <c r="F550" i="1"/>
  <c r="T549" i="1"/>
  <c r="S549" i="1"/>
  <c r="R549" i="1"/>
  <c r="Q549" i="1"/>
  <c r="P549" i="1"/>
  <c r="O549" i="1"/>
  <c r="N549" i="1"/>
  <c r="M549" i="1"/>
  <c r="L549" i="1"/>
  <c r="K549" i="1"/>
  <c r="J549" i="1"/>
  <c r="I549" i="1"/>
  <c r="H549" i="1"/>
  <c r="G549" i="1"/>
  <c r="F549" i="1"/>
  <c r="T548" i="1"/>
  <c r="S548" i="1"/>
  <c r="R548" i="1"/>
  <c r="Q548" i="1"/>
  <c r="P548" i="1"/>
  <c r="O548" i="1"/>
  <c r="N548" i="1"/>
  <c r="M548" i="1"/>
  <c r="L548" i="1"/>
  <c r="K548" i="1"/>
  <c r="J548" i="1"/>
  <c r="I548" i="1"/>
  <c r="H548" i="1"/>
  <c r="F548" i="1"/>
  <c r="G548" i="1" s="1"/>
  <c r="T547" i="1"/>
  <c r="S547" i="1"/>
  <c r="R547" i="1"/>
  <c r="Q547" i="1"/>
  <c r="P547" i="1"/>
  <c r="O547" i="1"/>
  <c r="N547" i="1"/>
  <c r="M547" i="1"/>
  <c r="L547" i="1"/>
  <c r="K547" i="1"/>
  <c r="J547" i="1"/>
  <c r="I547" i="1"/>
  <c r="H547" i="1"/>
  <c r="F547" i="1"/>
  <c r="G547" i="1" s="1"/>
  <c r="T546" i="1"/>
  <c r="S546" i="1"/>
  <c r="R546" i="1"/>
  <c r="Q546" i="1"/>
  <c r="P546" i="1"/>
  <c r="O546" i="1"/>
  <c r="N546" i="1"/>
  <c r="M546" i="1"/>
  <c r="L546" i="1"/>
  <c r="K546" i="1"/>
  <c r="J546" i="1"/>
  <c r="I546" i="1"/>
  <c r="H546" i="1"/>
  <c r="G546" i="1"/>
  <c r="F546" i="1"/>
  <c r="T545" i="1"/>
  <c r="S545" i="1"/>
  <c r="R545" i="1"/>
  <c r="Q545" i="1"/>
  <c r="P545" i="1"/>
  <c r="O545" i="1"/>
  <c r="N545" i="1"/>
  <c r="M545" i="1"/>
  <c r="L545" i="1"/>
  <c r="K545" i="1"/>
  <c r="J545" i="1"/>
  <c r="I545" i="1"/>
  <c r="H545" i="1"/>
  <c r="G545" i="1"/>
  <c r="F545" i="1"/>
  <c r="T544" i="1"/>
  <c r="S544" i="1"/>
  <c r="R544" i="1"/>
  <c r="Q544" i="1"/>
  <c r="P544" i="1"/>
  <c r="O544" i="1"/>
  <c r="N544" i="1"/>
  <c r="M544" i="1"/>
  <c r="L544" i="1"/>
  <c r="K544" i="1"/>
  <c r="J544" i="1"/>
  <c r="I544" i="1"/>
  <c r="H544" i="1"/>
  <c r="F544" i="1"/>
  <c r="G544" i="1" s="1"/>
  <c r="T543" i="1"/>
  <c r="S543" i="1"/>
  <c r="R543" i="1"/>
  <c r="Q543" i="1"/>
  <c r="P543" i="1"/>
  <c r="O543" i="1"/>
  <c r="N543" i="1"/>
  <c r="M543" i="1"/>
  <c r="L543" i="1"/>
  <c r="K543" i="1"/>
  <c r="J543" i="1"/>
  <c r="I543" i="1"/>
  <c r="H543" i="1"/>
  <c r="F543" i="1"/>
  <c r="G543" i="1" s="1"/>
  <c r="T542" i="1"/>
  <c r="S542" i="1"/>
  <c r="R542" i="1"/>
  <c r="Q542" i="1"/>
  <c r="P542" i="1"/>
  <c r="O542" i="1"/>
  <c r="N542" i="1"/>
  <c r="M542" i="1"/>
  <c r="L542" i="1"/>
  <c r="K542" i="1"/>
  <c r="J542" i="1"/>
  <c r="I542" i="1"/>
  <c r="H542" i="1"/>
  <c r="G542" i="1"/>
  <c r="F542" i="1"/>
  <c r="T541" i="1"/>
  <c r="S541" i="1"/>
  <c r="R541" i="1"/>
  <c r="Q541" i="1"/>
  <c r="P541" i="1"/>
  <c r="O541" i="1"/>
  <c r="N541" i="1"/>
  <c r="M541" i="1"/>
  <c r="L541" i="1"/>
  <c r="K541" i="1"/>
  <c r="J541" i="1"/>
  <c r="I541" i="1"/>
  <c r="H541" i="1"/>
  <c r="G541" i="1"/>
  <c r="F541" i="1"/>
  <c r="T540" i="1"/>
  <c r="S540" i="1"/>
  <c r="R540" i="1"/>
  <c r="Q540" i="1"/>
  <c r="P540" i="1"/>
  <c r="O540" i="1"/>
  <c r="N540" i="1"/>
  <c r="M540" i="1"/>
  <c r="L540" i="1"/>
  <c r="K540" i="1"/>
  <c r="J540" i="1"/>
  <c r="I540" i="1"/>
  <c r="H540" i="1"/>
  <c r="F540" i="1"/>
  <c r="G540" i="1" s="1"/>
  <c r="T539" i="1"/>
  <c r="S539" i="1"/>
  <c r="R539" i="1"/>
  <c r="Q539" i="1"/>
  <c r="P539" i="1"/>
  <c r="O539" i="1"/>
  <c r="N539" i="1"/>
  <c r="M539" i="1"/>
  <c r="L539" i="1"/>
  <c r="K539" i="1"/>
  <c r="J539" i="1"/>
  <c r="I539" i="1"/>
  <c r="H539" i="1"/>
  <c r="F539" i="1"/>
  <c r="G539" i="1" s="1"/>
  <c r="T538" i="1"/>
  <c r="S538" i="1"/>
  <c r="R538" i="1"/>
  <c r="Q538" i="1"/>
  <c r="P538" i="1"/>
  <c r="O538" i="1"/>
  <c r="N538" i="1"/>
  <c r="M538" i="1"/>
  <c r="L538" i="1"/>
  <c r="K538" i="1"/>
  <c r="J538" i="1"/>
  <c r="I538" i="1"/>
  <c r="H538" i="1"/>
  <c r="G538" i="1"/>
  <c r="F538" i="1"/>
  <c r="T537" i="1"/>
  <c r="S537" i="1"/>
  <c r="R537" i="1"/>
  <c r="Q537" i="1"/>
  <c r="P537" i="1"/>
  <c r="O537" i="1"/>
  <c r="N537" i="1"/>
  <c r="M537" i="1"/>
  <c r="L537" i="1"/>
  <c r="K537" i="1"/>
  <c r="J537" i="1"/>
  <c r="I537" i="1"/>
  <c r="H537" i="1"/>
  <c r="F537" i="1"/>
  <c r="G537" i="1" s="1"/>
  <c r="T536" i="1"/>
  <c r="S536" i="1"/>
  <c r="R536" i="1"/>
  <c r="Q536" i="1"/>
  <c r="P536" i="1"/>
  <c r="O536" i="1"/>
  <c r="N536" i="1"/>
  <c r="M536" i="1"/>
  <c r="L536" i="1"/>
  <c r="K536" i="1"/>
  <c r="J536" i="1"/>
  <c r="I536" i="1"/>
  <c r="H536" i="1"/>
  <c r="F536" i="1"/>
  <c r="G536" i="1" s="1"/>
  <c r="T535" i="1"/>
  <c r="S535" i="1"/>
  <c r="R535" i="1"/>
  <c r="Q535" i="1"/>
  <c r="P535" i="1"/>
  <c r="O535" i="1"/>
  <c r="N535" i="1"/>
  <c r="M535" i="1"/>
  <c r="L535" i="1"/>
  <c r="K535" i="1"/>
  <c r="J535" i="1"/>
  <c r="I535" i="1"/>
  <c r="H535" i="1"/>
  <c r="F535" i="1"/>
  <c r="G535" i="1" s="1"/>
  <c r="T534" i="1"/>
  <c r="S534" i="1"/>
  <c r="R534" i="1"/>
  <c r="Q534" i="1"/>
  <c r="P534" i="1"/>
  <c r="O534" i="1"/>
  <c r="N534" i="1"/>
  <c r="M534" i="1"/>
  <c r="L534" i="1"/>
  <c r="K534" i="1"/>
  <c r="J534" i="1"/>
  <c r="I534" i="1"/>
  <c r="H534" i="1"/>
  <c r="G534" i="1"/>
  <c r="F534" i="1"/>
  <c r="T533" i="1"/>
  <c r="S533" i="1"/>
  <c r="R533" i="1"/>
  <c r="Q533" i="1"/>
  <c r="P533" i="1"/>
  <c r="O533" i="1"/>
  <c r="N533" i="1"/>
  <c r="M533" i="1"/>
  <c r="L533" i="1"/>
  <c r="K533" i="1"/>
  <c r="J533" i="1"/>
  <c r="I533" i="1"/>
  <c r="H533" i="1"/>
  <c r="G533" i="1"/>
  <c r="F533" i="1"/>
  <c r="T532" i="1"/>
  <c r="S532" i="1"/>
  <c r="R532" i="1"/>
  <c r="Q532" i="1"/>
  <c r="P532" i="1"/>
  <c r="O532" i="1"/>
  <c r="N532" i="1"/>
  <c r="M532" i="1"/>
  <c r="L532" i="1"/>
  <c r="K532" i="1"/>
  <c r="J532" i="1"/>
  <c r="I532" i="1"/>
  <c r="H532" i="1"/>
  <c r="F532" i="1"/>
  <c r="G532" i="1" s="1"/>
  <c r="T531" i="1"/>
  <c r="S531" i="1"/>
  <c r="R531" i="1"/>
  <c r="Q531" i="1"/>
  <c r="P531" i="1"/>
  <c r="O531" i="1"/>
  <c r="N531" i="1"/>
  <c r="M531" i="1"/>
  <c r="L531" i="1"/>
  <c r="K531" i="1"/>
  <c r="J531" i="1"/>
  <c r="I531" i="1"/>
  <c r="H531" i="1"/>
  <c r="F531" i="1"/>
  <c r="G531" i="1" s="1"/>
  <c r="T530" i="1"/>
  <c r="S530" i="1"/>
  <c r="R530" i="1"/>
  <c r="Q530" i="1"/>
  <c r="P530" i="1"/>
  <c r="O530" i="1"/>
  <c r="N530" i="1"/>
  <c r="M530" i="1"/>
  <c r="L530" i="1"/>
  <c r="K530" i="1"/>
  <c r="J530" i="1"/>
  <c r="I530" i="1"/>
  <c r="H530" i="1"/>
  <c r="G530" i="1"/>
  <c r="F530" i="1"/>
  <c r="T529" i="1"/>
  <c r="S529" i="1"/>
  <c r="R529" i="1"/>
  <c r="Q529" i="1"/>
  <c r="P529" i="1"/>
  <c r="O529" i="1"/>
  <c r="N529" i="1"/>
  <c r="M529" i="1"/>
  <c r="L529" i="1"/>
  <c r="K529" i="1"/>
  <c r="J529" i="1"/>
  <c r="I529" i="1"/>
  <c r="H529" i="1"/>
  <c r="G529" i="1"/>
  <c r="F529" i="1"/>
  <c r="T528" i="1"/>
  <c r="S528" i="1"/>
  <c r="R528" i="1"/>
  <c r="Q528" i="1"/>
  <c r="P528" i="1"/>
  <c r="O528" i="1"/>
  <c r="N528" i="1"/>
  <c r="M528" i="1"/>
  <c r="L528" i="1"/>
  <c r="K528" i="1"/>
  <c r="J528" i="1"/>
  <c r="I528" i="1"/>
  <c r="H528" i="1"/>
  <c r="F528" i="1"/>
  <c r="G528" i="1" s="1"/>
  <c r="T527" i="1"/>
  <c r="S527" i="1"/>
  <c r="R527" i="1"/>
  <c r="Q527" i="1"/>
  <c r="P527" i="1"/>
  <c r="O527" i="1"/>
  <c r="N527" i="1"/>
  <c r="M527" i="1"/>
  <c r="L527" i="1"/>
  <c r="K527" i="1"/>
  <c r="J527" i="1"/>
  <c r="I527" i="1"/>
  <c r="H527" i="1"/>
  <c r="F527" i="1"/>
  <c r="G527" i="1" s="1"/>
  <c r="T526" i="1"/>
  <c r="S526" i="1"/>
  <c r="R526" i="1"/>
  <c r="Q526" i="1"/>
  <c r="P526" i="1"/>
  <c r="O526" i="1"/>
  <c r="N526" i="1"/>
  <c r="M526" i="1"/>
  <c r="L526" i="1"/>
  <c r="K526" i="1"/>
  <c r="J526" i="1"/>
  <c r="I526" i="1"/>
  <c r="H526" i="1"/>
  <c r="G526" i="1"/>
  <c r="F526" i="1"/>
  <c r="T525" i="1"/>
  <c r="S525" i="1"/>
  <c r="R525" i="1"/>
  <c r="Q525" i="1"/>
  <c r="P525" i="1"/>
  <c r="O525" i="1"/>
  <c r="N525" i="1"/>
  <c r="M525" i="1"/>
  <c r="L525" i="1"/>
  <c r="K525" i="1"/>
  <c r="J525" i="1"/>
  <c r="I525" i="1"/>
  <c r="H525" i="1"/>
  <c r="G525" i="1"/>
  <c r="F525" i="1"/>
  <c r="T524" i="1"/>
  <c r="S524" i="1"/>
  <c r="R524" i="1"/>
  <c r="Q524" i="1"/>
  <c r="P524" i="1"/>
  <c r="O524" i="1"/>
  <c r="N524" i="1"/>
  <c r="M524" i="1"/>
  <c r="L524" i="1"/>
  <c r="K524" i="1"/>
  <c r="J524" i="1"/>
  <c r="I524" i="1"/>
  <c r="H524" i="1"/>
  <c r="F524" i="1"/>
  <c r="G524" i="1" s="1"/>
  <c r="T523" i="1"/>
  <c r="S523" i="1"/>
  <c r="R523" i="1"/>
  <c r="Q523" i="1"/>
  <c r="P523" i="1"/>
  <c r="O523" i="1"/>
  <c r="N523" i="1"/>
  <c r="M523" i="1"/>
  <c r="L523" i="1"/>
  <c r="K523" i="1"/>
  <c r="J523" i="1"/>
  <c r="I523" i="1"/>
  <c r="H523" i="1"/>
  <c r="F523" i="1"/>
  <c r="G523" i="1" s="1"/>
  <c r="T522" i="1"/>
  <c r="S522" i="1"/>
  <c r="R522" i="1"/>
  <c r="Q522" i="1"/>
  <c r="P522" i="1"/>
  <c r="O522" i="1"/>
  <c r="N522" i="1"/>
  <c r="M522" i="1"/>
  <c r="L522" i="1"/>
  <c r="K522" i="1"/>
  <c r="J522" i="1"/>
  <c r="I522" i="1"/>
  <c r="H522" i="1"/>
  <c r="G522" i="1"/>
  <c r="F522" i="1"/>
  <c r="T521" i="1"/>
  <c r="S521" i="1"/>
  <c r="R521" i="1"/>
  <c r="Q521" i="1"/>
  <c r="P521" i="1"/>
  <c r="O521" i="1"/>
  <c r="N521" i="1"/>
  <c r="M521" i="1"/>
  <c r="L521" i="1"/>
  <c r="K521" i="1"/>
  <c r="J521" i="1"/>
  <c r="I521" i="1"/>
  <c r="H521" i="1"/>
  <c r="F521" i="1"/>
  <c r="G521" i="1" s="1"/>
  <c r="T520" i="1"/>
  <c r="S520" i="1"/>
  <c r="R520" i="1"/>
  <c r="Q520" i="1"/>
  <c r="P520" i="1"/>
  <c r="O520" i="1"/>
  <c r="N520" i="1"/>
  <c r="M520" i="1"/>
  <c r="L520" i="1"/>
  <c r="K520" i="1"/>
  <c r="J520" i="1"/>
  <c r="I520" i="1"/>
  <c r="H520" i="1"/>
  <c r="F520" i="1"/>
  <c r="G520" i="1" s="1"/>
  <c r="T519" i="1"/>
  <c r="S519" i="1"/>
  <c r="R519" i="1"/>
  <c r="Q519" i="1"/>
  <c r="P519" i="1"/>
  <c r="O519" i="1"/>
  <c r="N519" i="1"/>
  <c r="M519" i="1"/>
  <c r="L519" i="1"/>
  <c r="K519" i="1"/>
  <c r="J519" i="1"/>
  <c r="I519" i="1"/>
  <c r="H519" i="1"/>
  <c r="F519" i="1"/>
  <c r="G519" i="1" s="1"/>
  <c r="T518" i="1"/>
  <c r="S518" i="1"/>
  <c r="R518" i="1"/>
  <c r="Q518" i="1"/>
  <c r="P518" i="1"/>
  <c r="O518" i="1"/>
  <c r="N518" i="1"/>
  <c r="M518" i="1"/>
  <c r="L518" i="1"/>
  <c r="K518" i="1"/>
  <c r="J518" i="1"/>
  <c r="I518" i="1"/>
  <c r="H518" i="1"/>
  <c r="G518" i="1"/>
  <c r="F518" i="1"/>
  <c r="T517" i="1"/>
  <c r="S517" i="1"/>
  <c r="R517" i="1"/>
  <c r="Q517" i="1"/>
  <c r="P517" i="1"/>
  <c r="O517" i="1"/>
  <c r="N517" i="1"/>
  <c r="M517" i="1"/>
  <c r="L517" i="1"/>
  <c r="K517" i="1"/>
  <c r="J517" i="1"/>
  <c r="I517" i="1"/>
  <c r="H517" i="1"/>
  <c r="G517" i="1"/>
  <c r="F517" i="1"/>
  <c r="T516" i="1"/>
  <c r="S516" i="1"/>
  <c r="R516" i="1"/>
  <c r="Q516" i="1"/>
  <c r="P516" i="1"/>
  <c r="O516" i="1"/>
  <c r="N516" i="1"/>
  <c r="M516" i="1"/>
  <c r="L516" i="1"/>
  <c r="K516" i="1"/>
  <c r="J516" i="1"/>
  <c r="I516" i="1"/>
  <c r="H516" i="1"/>
  <c r="F516" i="1"/>
  <c r="G516" i="1" s="1"/>
  <c r="T515" i="1"/>
  <c r="S515" i="1"/>
  <c r="R515" i="1"/>
  <c r="Q515" i="1"/>
  <c r="P515" i="1"/>
  <c r="O515" i="1"/>
  <c r="N515" i="1"/>
  <c r="M515" i="1"/>
  <c r="L515" i="1"/>
  <c r="K515" i="1"/>
  <c r="J515" i="1"/>
  <c r="I515" i="1"/>
  <c r="H515" i="1"/>
  <c r="F515" i="1"/>
  <c r="G515" i="1" s="1"/>
  <c r="T514" i="1"/>
  <c r="S514" i="1"/>
  <c r="R514" i="1"/>
  <c r="Q514" i="1"/>
  <c r="P514" i="1"/>
  <c r="O514" i="1"/>
  <c r="N514" i="1"/>
  <c r="M514" i="1"/>
  <c r="L514" i="1"/>
  <c r="K514" i="1"/>
  <c r="J514" i="1"/>
  <c r="I514" i="1"/>
  <c r="H514" i="1"/>
  <c r="G514" i="1"/>
  <c r="F514" i="1"/>
  <c r="T513" i="1"/>
  <c r="S513" i="1"/>
  <c r="R513" i="1"/>
  <c r="Q513" i="1"/>
  <c r="P513" i="1"/>
  <c r="O513" i="1"/>
  <c r="N513" i="1"/>
  <c r="M513" i="1"/>
  <c r="L513" i="1"/>
  <c r="K513" i="1"/>
  <c r="J513" i="1"/>
  <c r="I513" i="1"/>
  <c r="H513" i="1"/>
  <c r="G513" i="1"/>
  <c r="F513" i="1"/>
  <c r="T512" i="1"/>
  <c r="S512" i="1"/>
  <c r="R512" i="1"/>
  <c r="Q512" i="1"/>
  <c r="P512" i="1"/>
  <c r="O512" i="1"/>
  <c r="N512" i="1"/>
  <c r="M512" i="1"/>
  <c r="L512" i="1"/>
  <c r="K512" i="1"/>
  <c r="J512" i="1"/>
  <c r="I512" i="1"/>
  <c r="H512" i="1"/>
  <c r="F512" i="1"/>
  <c r="G512" i="1" s="1"/>
  <c r="T511" i="1"/>
  <c r="S511" i="1"/>
  <c r="R511" i="1"/>
  <c r="Q511" i="1"/>
  <c r="P511" i="1"/>
  <c r="O511" i="1"/>
  <c r="N511" i="1"/>
  <c r="M511" i="1"/>
  <c r="L511" i="1"/>
  <c r="K511" i="1"/>
  <c r="J511" i="1"/>
  <c r="I511" i="1"/>
  <c r="H511" i="1"/>
  <c r="F511" i="1"/>
  <c r="G511" i="1" s="1"/>
  <c r="T510" i="1"/>
  <c r="S510" i="1"/>
  <c r="R510" i="1"/>
  <c r="Q510" i="1"/>
  <c r="P510" i="1"/>
  <c r="O510" i="1"/>
  <c r="N510" i="1"/>
  <c r="M510" i="1"/>
  <c r="L510" i="1"/>
  <c r="K510" i="1"/>
  <c r="J510" i="1"/>
  <c r="I510" i="1"/>
  <c r="H510" i="1"/>
  <c r="G510" i="1"/>
  <c r="F510" i="1"/>
  <c r="T509" i="1"/>
  <c r="S509" i="1"/>
  <c r="R509" i="1"/>
  <c r="Q509" i="1"/>
  <c r="P509" i="1"/>
  <c r="O509" i="1"/>
  <c r="N509" i="1"/>
  <c r="M509" i="1"/>
  <c r="L509" i="1"/>
  <c r="K509" i="1"/>
  <c r="J509" i="1"/>
  <c r="I509" i="1"/>
  <c r="H509" i="1"/>
  <c r="G509" i="1"/>
  <c r="F509" i="1"/>
  <c r="T508" i="1"/>
  <c r="S508" i="1"/>
  <c r="R508" i="1"/>
  <c r="Q508" i="1"/>
  <c r="P508" i="1"/>
  <c r="O508" i="1"/>
  <c r="N508" i="1"/>
  <c r="M508" i="1"/>
  <c r="L508" i="1"/>
  <c r="K508" i="1"/>
  <c r="J508" i="1"/>
  <c r="I508" i="1"/>
  <c r="H508" i="1"/>
  <c r="F508" i="1"/>
  <c r="G508" i="1" s="1"/>
  <c r="T507" i="1"/>
  <c r="S507" i="1"/>
  <c r="R507" i="1"/>
  <c r="Q507" i="1"/>
  <c r="P507" i="1"/>
  <c r="O507" i="1"/>
  <c r="N507" i="1"/>
  <c r="M507" i="1"/>
  <c r="L507" i="1"/>
  <c r="K507" i="1"/>
  <c r="J507" i="1"/>
  <c r="I507" i="1"/>
  <c r="H507" i="1"/>
  <c r="F507" i="1"/>
  <c r="G507" i="1" s="1"/>
  <c r="T506" i="1"/>
  <c r="S506" i="1"/>
  <c r="R506" i="1"/>
  <c r="Q506" i="1"/>
  <c r="P506" i="1"/>
  <c r="O506" i="1"/>
  <c r="N506" i="1"/>
  <c r="M506" i="1"/>
  <c r="L506" i="1"/>
  <c r="K506" i="1"/>
  <c r="J506" i="1"/>
  <c r="I506" i="1"/>
  <c r="H506" i="1"/>
  <c r="G506" i="1"/>
  <c r="F506" i="1"/>
  <c r="T505" i="1"/>
  <c r="S505" i="1"/>
  <c r="R505" i="1"/>
  <c r="Q505" i="1"/>
  <c r="P505" i="1"/>
  <c r="O505" i="1"/>
  <c r="N505" i="1"/>
  <c r="M505" i="1"/>
  <c r="L505" i="1"/>
  <c r="K505" i="1"/>
  <c r="J505" i="1"/>
  <c r="I505" i="1"/>
  <c r="H505" i="1"/>
  <c r="F505" i="1"/>
  <c r="G505" i="1" s="1"/>
  <c r="T504" i="1"/>
  <c r="S504" i="1"/>
  <c r="R504" i="1"/>
  <c r="Q504" i="1"/>
  <c r="P504" i="1"/>
  <c r="O504" i="1"/>
  <c r="N504" i="1"/>
  <c r="M504" i="1"/>
  <c r="L504" i="1"/>
  <c r="K504" i="1"/>
  <c r="J504" i="1"/>
  <c r="I504" i="1"/>
  <c r="H504" i="1"/>
  <c r="F504" i="1"/>
  <c r="G504" i="1" s="1"/>
  <c r="T503" i="1"/>
  <c r="S503" i="1"/>
  <c r="R503" i="1"/>
  <c r="Q503" i="1"/>
  <c r="P503" i="1"/>
  <c r="O503" i="1"/>
  <c r="N503" i="1"/>
  <c r="M503" i="1"/>
  <c r="L503" i="1"/>
  <c r="K503" i="1"/>
  <c r="J503" i="1"/>
  <c r="I503" i="1"/>
  <c r="H503" i="1"/>
  <c r="F503" i="1"/>
  <c r="G503" i="1" s="1"/>
  <c r="T502" i="1"/>
  <c r="S502" i="1"/>
  <c r="R502" i="1"/>
  <c r="Q502" i="1"/>
  <c r="P502" i="1"/>
  <c r="O502" i="1"/>
  <c r="N502" i="1"/>
  <c r="M502" i="1"/>
  <c r="L502" i="1"/>
  <c r="K502" i="1"/>
  <c r="J502" i="1"/>
  <c r="I502" i="1"/>
  <c r="H502" i="1"/>
  <c r="G502" i="1"/>
  <c r="F502" i="1"/>
  <c r="T501" i="1"/>
  <c r="S501" i="1"/>
  <c r="R501" i="1"/>
  <c r="Q501" i="1"/>
  <c r="P501" i="1"/>
  <c r="O501" i="1"/>
  <c r="N501" i="1"/>
  <c r="M501" i="1"/>
  <c r="L501" i="1"/>
  <c r="K501" i="1"/>
  <c r="J501" i="1"/>
  <c r="I501" i="1"/>
  <c r="H501" i="1"/>
  <c r="G501" i="1"/>
  <c r="F501" i="1"/>
  <c r="T500" i="1"/>
  <c r="S500" i="1"/>
  <c r="R500" i="1"/>
  <c r="Q500" i="1"/>
  <c r="P500" i="1"/>
  <c r="O500" i="1"/>
  <c r="N500" i="1"/>
  <c r="M500" i="1"/>
  <c r="L500" i="1"/>
  <c r="K500" i="1"/>
  <c r="J500" i="1"/>
  <c r="I500" i="1"/>
  <c r="H500" i="1"/>
  <c r="F500" i="1"/>
  <c r="G500" i="1" s="1"/>
  <c r="T499" i="1"/>
  <c r="S499" i="1"/>
  <c r="R499" i="1"/>
  <c r="Q499" i="1"/>
  <c r="P499" i="1"/>
  <c r="O499" i="1"/>
  <c r="N499" i="1"/>
  <c r="M499" i="1"/>
  <c r="L499" i="1"/>
  <c r="K499" i="1"/>
  <c r="J499" i="1"/>
  <c r="I499" i="1"/>
  <c r="H499" i="1"/>
  <c r="F499" i="1"/>
  <c r="G499" i="1" s="1"/>
  <c r="T498" i="1"/>
  <c r="S498" i="1"/>
  <c r="R498" i="1"/>
  <c r="Q498" i="1"/>
  <c r="P498" i="1"/>
  <c r="O498" i="1"/>
  <c r="N498" i="1"/>
  <c r="M498" i="1"/>
  <c r="L498" i="1"/>
  <c r="K498" i="1"/>
  <c r="J498" i="1"/>
  <c r="I498" i="1"/>
  <c r="H498" i="1"/>
  <c r="G498" i="1"/>
  <c r="F498" i="1"/>
  <c r="T497" i="1"/>
  <c r="S497" i="1"/>
  <c r="R497" i="1"/>
  <c r="Q497" i="1"/>
  <c r="P497" i="1"/>
  <c r="O497" i="1"/>
  <c r="N497" i="1"/>
  <c r="M497" i="1"/>
  <c r="L497" i="1"/>
  <c r="K497" i="1"/>
  <c r="J497" i="1"/>
  <c r="I497" i="1"/>
  <c r="H497" i="1"/>
  <c r="G497" i="1"/>
  <c r="F497" i="1"/>
  <c r="T496" i="1"/>
  <c r="S496" i="1"/>
  <c r="R496" i="1"/>
  <c r="Q496" i="1"/>
  <c r="P496" i="1"/>
  <c r="O496" i="1"/>
  <c r="N496" i="1"/>
  <c r="M496" i="1"/>
  <c r="L496" i="1"/>
  <c r="K496" i="1"/>
  <c r="J496" i="1"/>
  <c r="I496" i="1"/>
  <c r="H496" i="1"/>
  <c r="F496" i="1"/>
  <c r="G496" i="1" s="1"/>
  <c r="T495" i="1"/>
  <c r="S495" i="1"/>
  <c r="R495" i="1"/>
  <c r="Q495" i="1"/>
  <c r="P495" i="1"/>
  <c r="O495" i="1"/>
  <c r="N495" i="1"/>
  <c r="M495" i="1"/>
  <c r="L495" i="1"/>
  <c r="K495" i="1"/>
  <c r="J495" i="1"/>
  <c r="I495" i="1"/>
  <c r="H495" i="1"/>
  <c r="F495" i="1"/>
  <c r="G495" i="1" s="1"/>
  <c r="T494" i="1"/>
  <c r="S494" i="1"/>
  <c r="R494" i="1"/>
  <c r="Q494" i="1"/>
  <c r="P494" i="1"/>
  <c r="O494" i="1"/>
  <c r="N494" i="1"/>
  <c r="M494" i="1"/>
  <c r="L494" i="1"/>
  <c r="K494" i="1"/>
  <c r="J494" i="1"/>
  <c r="I494" i="1"/>
  <c r="H494" i="1"/>
  <c r="G494" i="1"/>
  <c r="F494" i="1"/>
  <c r="T493" i="1"/>
  <c r="S493" i="1"/>
  <c r="R493" i="1"/>
  <c r="Q493" i="1"/>
  <c r="P493" i="1"/>
  <c r="O493" i="1"/>
  <c r="N493" i="1"/>
  <c r="M493" i="1"/>
  <c r="L493" i="1"/>
  <c r="K493" i="1"/>
  <c r="J493" i="1"/>
  <c r="I493" i="1"/>
  <c r="H493" i="1"/>
  <c r="G493" i="1"/>
  <c r="F493" i="1"/>
  <c r="T492" i="1"/>
  <c r="S492" i="1"/>
  <c r="R492" i="1"/>
  <c r="Q492" i="1"/>
  <c r="P492" i="1"/>
  <c r="O492" i="1"/>
  <c r="N492" i="1"/>
  <c r="M492" i="1"/>
  <c r="L492" i="1"/>
  <c r="K492" i="1"/>
  <c r="J492" i="1"/>
  <c r="I492" i="1"/>
  <c r="H492" i="1"/>
  <c r="F492" i="1"/>
  <c r="G492" i="1" s="1"/>
  <c r="T491" i="1"/>
  <c r="S491" i="1"/>
  <c r="R491" i="1"/>
  <c r="Q491" i="1"/>
  <c r="P491" i="1"/>
  <c r="O491" i="1"/>
  <c r="N491" i="1"/>
  <c r="M491" i="1"/>
  <c r="L491" i="1"/>
  <c r="K491" i="1"/>
  <c r="J491" i="1"/>
  <c r="I491" i="1"/>
  <c r="H491" i="1"/>
  <c r="F491" i="1"/>
  <c r="G491" i="1" s="1"/>
  <c r="T490" i="1"/>
  <c r="S490" i="1"/>
  <c r="R490" i="1"/>
  <c r="Q490" i="1"/>
  <c r="P490" i="1"/>
  <c r="O490" i="1"/>
  <c r="N490" i="1"/>
  <c r="M490" i="1"/>
  <c r="L490" i="1"/>
  <c r="K490" i="1"/>
  <c r="J490" i="1"/>
  <c r="I490" i="1"/>
  <c r="H490" i="1"/>
  <c r="G490" i="1"/>
  <c r="F490" i="1"/>
  <c r="T489" i="1"/>
  <c r="S489" i="1"/>
  <c r="R489" i="1"/>
  <c r="Q489" i="1"/>
  <c r="P489" i="1"/>
  <c r="O489" i="1"/>
  <c r="N489" i="1"/>
  <c r="M489" i="1"/>
  <c r="L489" i="1"/>
  <c r="K489" i="1"/>
  <c r="J489" i="1"/>
  <c r="I489" i="1"/>
  <c r="H489" i="1"/>
  <c r="F489" i="1"/>
  <c r="G489" i="1" s="1"/>
  <c r="T488" i="1"/>
  <c r="S488" i="1"/>
  <c r="R488" i="1"/>
  <c r="Q488" i="1"/>
  <c r="P488" i="1"/>
  <c r="O488" i="1"/>
  <c r="N488" i="1"/>
  <c r="M488" i="1"/>
  <c r="L488" i="1"/>
  <c r="K488" i="1"/>
  <c r="J488" i="1"/>
  <c r="I488" i="1"/>
  <c r="H488" i="1"/>
  <c r="F488" i="1"/>
  <c r="G488" i="1" s="1"/>
  <c r="T487" i="1"/>
  <c r="S487" i="1"/>
  <c r="R487" i="1"/>
  <c r="Q487" i="1"/>
  <c r="P487" i="1"/>
  <c r="O487" i="1"/>
  <c r="N487" i="1"/>
  <c r="M487" i="1"/>
  <c r="L487" i="1"/>
  <c r="K487" i="1"/>
  <c r="J487" i="1"/>
  <c r="I487" i="1"/>
  <c r="H487" i="1"/>
  <c r="F487" i="1"/>
  <c r="G487" i="1" s="1"/>
  <c r="T486" i="1"/>
  <c r="S486" i="1"/>
  <c r="R486" i="1"/>
  <c r="Q486" i="1"/>
  <c r="P486" i="1"/>
  <c r="O486" i="1"/>
  <c r="N486" i="1"/>
  <c r="M486" i="1"/>
  <c r="L486" i="1"/>
  <c r="K486" i="1"/>
  <c r="J486" i="1"/>
  <c r="I486" i="1"/>
  <c r="H486" i="1"/>
  <c r="G486" i="1"/>
  <c r="F486" i="1"/>
  <c r="T485" i="1"/>
  <c r="S485" i="1"/>
  <c r="R485" i="1"/>
  <c r="Q485" i="1"/>
  <c r="P485" i="1"/>
  <c r="O485" i="1"/>
  <c r="N485" i="1"/>
  <c r="M485" i="1"/>
  <c r="L485" i="1"/>
  <c r="K485" i="1"/>
  <c r="J485" i="1"/>
  <c r="I485" i="1"/>
  <c r="H485" i="1"/>
  <c r="G485" i="1"/>
  <c r="F485" i="1"/>
  <c r="T484" i="1"/>
  <c r="S484" i="1"/>
  <c r="R484" i="1"/>
  <c r="Q484" i="1"/>
  <c r="P484" i="1"/>
  <c r="O484" i="1"/>
  <c r="N484" i="1"/>
  <c r="M484" i="1"/>
  <c r="L484" i="1"/>
  <c r="K484" i="1"/>
  <c r="J484" i="1"/>
  <c r="I484" i="1"/>
  <c r="H484" i="1"/>
  <c r="F484" i="1"/>
  <c r="G484" i="1" s="1"/>
  <c r="T483" i="1"/>
  <c r="S483" i="1"/>
  <c r="R483" i="1"/>
  <c r="Q483" i="1"/>
  <c r="P483" i="1"/>
  <c r="O483" i="1"/>
  <c r="N483" i="1"/>
  <c r="M483" i="1"/>
  <c r="L483" i="1"/>
  <c r="K483" i="1"/>
  <c r="J483" i="1"/>
  <c r="I483" i="1"/>
  <c r="H483" i="1"/>
  <c r="F483" i="1"/>
  <c r="G483" i="1" s="1"/>
  <c r="T482" i="1"/>
  <c r="S482" i="1"/>
  <c r="R482" i="1"/>
  <c r="Q482" i="1"/>
  <c r="P482" i="1"/>
  <c r="O482" i="1"/>
  <c r="N482" i="1"/>
  <c r="M482" i="1"/>
  <c r="L482" i="1"/>
  <c r="K482" i="1"/>
  <c r="J482" i="1"/>
  <c r="I482" i="1"/>
  <c r="H482" i="1"/>
  <c r="G482" i="1"/>
  <c r="F482" i="1"/>
  <c r="T481" i="1"/>
  <c r="S481" i="1"/>
  <c r="R481" i="1"/>
  <c r="Q481" i="1"/>
  <c r="P481" i="1"/>
  <c r="O481" i="1"/>
  <c r="N481" i="1"/>
  <c r="M481" i="1"/>
  <c r="L481" i="1"/>
  <c r="K481" i="1"/>
  <c r="J481" i="1"/>
  <c r="I481" i="1"/>
  <c r="H481" i="1"/>
  <c r="G481" i="1"/>
  <c r="F481" i="1"/>
  <c r="T480" i="1"/>
  <c r="S480" i="1"/>
  <c r="R480" i="1"/>
  <c r="Q480" i="1"/>
  <c r="P480" i="1"/>
  <c r="O480" i="1"/>
  <c r="N480" i="1"/>
  <c r="M480" i="1"/>
  <c r="L480" i="1"/>
  <c r="K480" i="1"/>
  <c r="J480" i="1"/>
  <c r="I480" i="1"/>
  <c r="H480" i="1"/>
  <c r="F480" i="1"/>
  <c r="G480" i="1" s="1"/>
  <c r="T479" i="1"/>
  <c r="S479" i="1"/>
  <c r="R479" i="1"/>
  <c r="Q479" i="1"/>
  <c r="P479" i="1"/>
  <c r="O479" i="1"/>
  <c r="N479" i="1"/>
  <c r="M479" i="1"/>
  <c r="L479" i="1"/>
  <c r="K479" i="1"/>
  <c r="J479" i="1"/>
  <c r="I479" i="1"/>
  <c r="H479" i="1"/>
  <c r="F479" i="1"/>
  <c r="G479" i="1" s="1"/>
  <c r="T478" i="1"/>
  <c r="S478" i="1"/>
  <c r="R478" i="1"/>
  <c r="Q478" i="1"/>
  <c r="P478" i="1"/>
  <c r="O478" i="1"/>
  <c r="N478" i="1"/>
  <c r="M478" i="1"/>
  <c r="L478" i="1"/>
  <c r="K478" i="1"/>
  <c r="J478" i="1"/>
  <c r="I478" i="1"/>
  <c r="H478" i="1"/>
  <c r="G478" i="1"/>
  <c r="F478" i="1"/>
  <c r="T477" i="1"/>
  <c r="S477" i="1"/>
  <c r="R477" i="1"/>
  <c r="Q477" i="1"/>
  <c r="P477" i="1"/>
  <c r="O477" i="1"/>
  <c r="N477" i="1"/>
  <c r="M477" i="1"/>
  <c r="L477" i="1"/>
  <c r="K477" i="1"/>
  <c r="J477" i="1"/>
  <c r="I477" i="1"/>
  <c r="H477" i="1"/>
  <c r="G477" i="1"/>
  <c r="F477" i="1"/>
  <c r="T476" i="1"/>
  <c r="S476" i="1"/>
  <c r="R476" i="1"/>
  <c r="Q476" i="1"/>
  <c r="P476" i="1"/>
  <c r="O476" i="1"/>
  <c r="N476" i="1"/>
  <c r="M476" i="1"/>
  <c r="L476" i="1"/>
  <c r="K476" i="1"/>
  <c r="J476" i="1"/>
  <c r="I476" i="1"/>
  <c r="H476" i="1"/>
  <c r="F476" i="1"/>
  <c r="G476" i="1" s="1"/>
  <c r="T475" i="1"/>
  <c r="S475" i="1"/>
  <c r="R475" i="1"/>
  <c r="Q475" i="1"/>
  <c r="P475" i="1"/>
  <c r="O475" i="1"/>
  <c r="N475" i="1"/>
  <c r="M475" i="1"/>
  <c r="L475" i="1"/>
  <c r="K475" i="1"/>
  <c r="J475" i="1"/>
  <c r="I475" i="1"/>
  <c r="H475" i="1"/>
  <c r="F475" i="1"/>
  <c r="G475" i="1" s="1"/>
  <c r="T474" i="1"/>
  <c r="S474" i="1"/>
  <c r="R474" i="1"/>
  <c r="Q474" i="1"/>
  <c r="P474" i="1"/>
  <c r="O474" i="1"/>
  <c r="N474" i="1"/>
  <c r="M474" i="1"/>
  <c r="L474" i="1"/>
  <c r="K474" i="1"/>
  <c r="J474" i="1"/>
  <c r="I474" i="1"/>
  <c r="H474" i="1"/>
  <c r="G474" i="1"/>
  <c r="F474" i="1"/>
  <c r="T473" i="1"/>
  <c r="S473" i="1"/>
  <c r="R473" i="1"/>
  <c r="Q473" i="1"/>
  <c r="P473" i="1"/>
  <c r="O473" i="1"/>
  <c r="N473" i="1"/>
  <c r="M473" i="1"/>
  <c r="L473" i="1"/>
  <c r="K473" i="1"/>
  <c r="J473" i="1"/>
  <c r="I473" i="1"/>
  <c r="H473" i="1"/>
  <c r="F473" i="1"/>
  <c r="G473" i="1" s="1"/>
  <c r="T472" i="1"/>
  <c r="S472" i="1"/>
  <c r="R472" i="1"/>
  <c r="Q472" i="1"/>
  <c r="P472" i="1"/>
  <c r="O472" i="1"/>
  <c r="N472" i="1"/>
  <c r="M472" i="1"/>
  <c r="L472" i="1"/>
  <c r="K472" i="1"/>
  <c r="J472" i="1"/>
  <c r="I472" i="1"/>
  <c r="H472" i="1"/>
  <c r="F472" i="1"/>
  <c r="G472" i="1" s="1"/>
  <c r="T471" i="1"/>
  <c r="S471" i="1"/>
  <c r="R471" i="1"/>
  <c r="Q471" i="1"/>
  <c r="P471" i="1"/>
  <c r="O471" i="1"/>
  <c r="N471" i="1"/>
  <c r="M471" i="1"/>
  <c r="L471" i="1"/>
  <c r="K471" i="1"/>
  <c r="J471" i="1"/>
  <c r="I471" i="1"/>
  <c r="H471" i="1"/>
  <c r="F471" i="1"/>
  <c r="G471" i="1" s="1"/>
  <c r="T470" i="1"/>
  <c r="S470" i="1"/>
  <c r="R470" i="1"/>
  <c r="Q470" i="1"/>
  <c r="P470" i="1"/>
  <c r="O470" i="1"/>
  <c r="N470" i="1"/>
  <c r="M470" i="1"/>
  <c r="L470" i="1"/>
  <c r="K470" i="1"/>
  <c r="J470" i="1"/>
  <c r="I470" i="1"/>
  <c r="H470" i="1"/>
  <c r="G470" i="1"/>
  <c r="F470" i="1"/>
  <c r="T469" i="1"/>
  <c r="S469" i="1"/>
  <c r="R469" i="1"/>
  <c r="Q469" i="1"/>
  <c r="P469" i="1"/>
  <c r="O469" i="1"/>
  <c r="N469" i="1"/>
  <c r="M469" i="1"/>
  <c r="L469" i="1"/>
  <c r="K469" i="1"/>
  <c r="J469" i="1"/>
  <c r="I469" i="1"/>
  <c r="H469" i="1"/>
  <c r="G469" i="1"/>
  <c r="F469" i="1"/>
  <c r="T468" i="1"/>
  <c r="S468" i="1"/>
  <c r="R468" i="1"/>
  <c r="Q468" i="1"/>
  <c r="P468" i="1"/>
  <c r="O468" i="1"/>
  <c r="N468" i="1"/>
  <c r="M468" i="1"/>
  <c r="L468" i="1"/>
  <c r="K468" i="1"/>
  <c r="J468" i="1"/>
  <c r="I468" i="1"/>
  <c r="H468" i="1"/>
  <c r="F468" i="1"/>
  <c r="G468" i="1" s="1"/>
  <c r="T467" i="1"/>
  <c r="S467" i="1"/>
  <c r="R467" i="1"/>
  <c r="Q467" i="1"/>
  <c r="P467" i="1"/>
  <c r="O467" i="1"/>
  <c r="N467" i="1"/>
  <c r="M467" i="1"/>
  <c r="L467" i="1"/>
  <c r="K467" i="1"/>
  <c r="J467" i="1"/>
  <c r="I467" i="1"/>
  <c r="H467" i="1"/>
  <c r="F467" i="1"/>
  <c r="G467" i="1" s="1"/>
  <c r="T466" i="1"/>
  <c r="S466" i="1"/>
  <c r="R466" i="1"/>
  <c r="Q466" i="1"/>
  <c r="P466" i="1"/>
  <c r="O466" i="1"/>
  <c r="N466" i="1"/>
  <c r="M466" i="1"/>
  <c r="L466" i="1"/>
  <c r="K466" i="1"/>
  <c r="J466" i="1"/>
  <c r="I466" i="1"/>
  <c r="H466" i="1"/>
  <c r="G466" i="1"/>
  <c r="F466" i="1"/>
  <c r="T465" i="1"/>
  <c r="S465" i="1"/>
  <c r="R465" i="1"/>
  <c r="Q465" i="1"/>
  <c r="P465" i="1"/>
  <c r="O465" i="1"/>
  <c r="N465" i="1"/>
  <c r="M465" i="1"/>
  <c r="L465" i="1"/>
  <c r="K465" i="1"/>
  <c r="J465" i="1"/>
  <c r="I465" i="1"/>
  <c r="H465" i="1"/>
  <c r="G465" i="1"/>
  <c r="F465" i="1"/>
  <c r="T464" i="1"/>
  <c r="S464" i="1"/>
  <c r="R464" i="1"/>
  <c r="Q464" i="1"/>
  <c r="P464" i="1"/>
  <c r="O464" i="1"/>
  <c r="N464" i="1"/>
  <c r="M464" i="1"/>
  <c r="L464" i="1"/>
  <c r="K464" i="1"/>
  <c r="J464" i="1"/>
  <c r="I464" i="1"/>
  <c r="H464" i="1"/>
  <c r="F464" i="1"/>
  <c r="G464" i="1" s="1"/>
  <c r="T463" i="1"/>
  <c r="S463" i="1"/>
  <c r="R463" i="1"/>
  <c r="Q463" i="1"/>
  <c r="P463" i="1"/>
  <c r="O463" i="1"/>
  <c r="N463" i="1"/>
  <c r="M463" i="1"/>
  <c r="L463" i="1"/>
  <c r="K463" i="1"/>
  <c r="J463" i="1"/>
  <c r="I463" i="1"/>
  <c r="H463" i="1"/>
  <c r="F463" i="1"/>
  <c r="G463" i="1" s="1"/>
  <c r="T462" i="1"/>
  <c r="S462" i="1"/>
  <c r="R462" i="1"/>
  <c r="Q462" i="1"/>
  <c r="P462" i="1"/>
  <c r="O462" i="1"/>
  <c r="N462" i="1"/>
  <c r="M462" i="1"/>
  <c r="L462" i="1"/>
  <c r="K462" i="1"/>
  <c r="J462" i="1"/>
  <c r="I462" i="1"/>
  <c r="H462" i="1"/>
  <c r="G462" i="1"/>
  <c r="F462" i="1"/>
  <c r="T461" i="1"/>
  <c r="S461" i="1"/>
  <c r="R461" i="1"/>
  <c r="Q461" i="1"/>
  <c r="P461" i="1"/>
  <c r="O461" i="1"/>
  <c r="N461" i="1"/>
  <c r="M461" i="1"/>
  <c r="L461" i="1"/>
  <c r="K461" i="1"/>
  <c r="J461" i="1"/>
  <c r="I461" i="1"/>
  <c r="H461" i="1"/>
  <c r="G461" i="1"/>
  <c r="F461" i="1"/>
  <c r="T460" i="1"/>
  <c r="S460" i="1"/>
  <c r="R460" i="1"/>
  <c r="Q460" i="1"/>
  <c r="P460" i="1"/>
  <c r="O460" i="1"/>
  <c r="N460" i="1"/>
  <c r="M460" i="1"/>
  <c r="L460" i="1"/>
  <c r="K460" i="1"/>
  <c r="J460" i="1"/>
  <c r="I460" i="1"/>
  <c r="H460" i="1"/>
  <c r="F460" i="1"/>
  <c r="G460" i="1" s="1"/>
  <c r="T459" i="1"/>
  <c r="S459" i="1"/>
  <c r="R459" i="1"/>
  <c r="Q459" i="1"/>
  <c r="P459" i="1"/>
  <c r="O459" i="1"/>
  <c r="N459" i="1"/>
  <c r="M459" i="1"/>
  <c r="L459" i="1"/>
  <c r="K459" i="1"/>
  <c r="J459" i="1"/>
  <c r="I459" i="1"/>
  <c r="H459" i="1"/>
  <c r="F459" i="1"/>
  <c r="G459" i="1" s="1"/>
  <c r="T458" i="1"/>
  <c r="S458" i="1"/>
  <c r="R458" i="1"/>
  <c r="Q458" i="1"/>
  <c r="P458" i="1"/>
  <c r="O458" i="1"/>
  <c r="N458" i="1"/>
  <c r="M458" i="1"/>
  <c r="L458" i="1"/>
  <c r="K458" i="1"/>
  <c r="J458" i="1"/>
  <c r="I458" i="1"/>
  <c r="H458" i="1"/>
  <c r="G458" i="1"/>
  <c r="F458" i="1"/>
  <c r="T457" i="1"/>
  <c r="S457" i="1"/>
  <c r="R457" i="1"/>
  <c r="Q457" i="1"/>
  <c r="P457" i="1"/>
  <c r="O457" i="1"/>
  <c r="N457" i="1"/>
  <c r="M457" i="1"/>
  <c r="L457" i="1"/>
  <c r="K457" i="1"/>
  <c r="J457" i="1"/>
  <c r="I457" i="1"/>
  <c r="H457" i="1"/>
  <c r="F457" i="1"/>
  <c r="G457" i="1" s="1"/>
  <c r="T456" i="1"/>
  <c r="S456" i="1"/>
  <c r="R456" i="1"/>
  <c r="Q456" i="1"/>
  <c r="P456" i="1"/>
  <c r="O456" i="1"/>
  <c r="N456" i="1"/>
  <c r="M456" i="1"/>
  <c r="L456" i="1"/>
  <c r="K456" i="1"/>
  <c r="J456" i="1"/>
  <c r="I456" i="1"/>
  <c r="H456" i="1"/>
  <c r="F456" i="1"/>
  <c r="G456" i="1" s="1"/>
  <c r="T455" i="1"/>
  <c r="S455" i="1"/>
  <c r="R455" i="1"/>
  <c r="Q455" i="1"/>
  <c r="P455" i="1"/>
  <c r="O455" i="1"/>
  <c r="N455" i="1"/>
  <c r="M455" i="1"/>
  <c r="L455" i="1"/>
  <c r="K455" i="1"/>
  <c r="J455" i="1"/>
  <c r="I455" i="1"/>
  <c r="H455" i="1"/>
  <c r="F455" i="1"/>
  <c r="G455" i="1" s="1"/>
  <c r="T454" i="1"/>
  <c r="S454" i="1"/>
  <c r="R454" i="1"/>
  <c r="Q454" i="1"/>
  <c r="P454" i="1"/>
  <c r="O454" i="1"/>
  <c r="N454" i="1"/>
  <c r="M454" i="1"/>
  <c r="L454" i="1"/>
  <c r="K454" i="1"/>
  <c r="J454" i="1"/>
  <c r="I454" i="1"/>
  <c r="H454" i="1"/>
  <c r="G454" i="1"/>
  <c r="F454" i="1"/>
  <c r="T453" i="1"/>
  <c r="S453" i="1"/>
  <c r="R453" i="1"/>
  <c r="Q453" i="1"/>
  <c r="P453" i="1"/>
  <c r="O453" i="1"/>
  <c r="N453" i="1"/>
  <c r="M453" i="1"/>
  <c r="L453" i="1"/>
  <c r="K453" i="1"/>
  <c r="J453" i="1"/>
  <c r="I453" i="1"/>
  <c r="H453" i="1"/>
  <c r="G453" i="1"/>
  <c r="F453" i="1"/>
  <c r="T452" i="1"/>
  <c r="S452" i="1"/>
  <c r="R452" i="1"/>
  <c r="Q452" i="1"/>
  <c r="P452" i="1"/>
  <c r="O452" i="1"/>
  <c r="N452" i="1"/>
  <c r="M452" i="1"/>
  <c r="L452" i="1"/>
  <c r="K452" i="1"/>
  <c r="J452" i="1"/>
  <c r="I452" i="1"/>
  <c r="H452" i="1"/>
  <c r="F452" i="1"/>
  <c r="G452" i="1" s="1"/>
  <c r="T451" i="1"/>
  <c r="S451" i="1"/>
  <c r="R451" i="1"/>
  <c r="Q451" i="1"/>
  <c r="P451" i="1"/>
  <c r="O451" i="1"/>
  <c r="N451" i="1"/>
  <c r="M451" i="1"/>
  <c r="L451" i="1"/>
  <c r="K451" i="1"/>
  <c r="J451" i="1"/>
  <c r="I451" i="1"/>
  <c r="H451" i="1"/>
  <c r="F451" i="1"/>
  <c r="G451" i="1" s="1"/>
  <c r="T450" i="1"/>
  <c r="S450" i="1"/>
  <c r="R450" i="1"/>
  <c r="Q450" i="1"/>
  <c r="P450" i="1"/>
  <c r="O450" i="1"/>
  <c r="N450" i="1"/>
  <c r="M450" i="1"/>
  <c r="L450" i="1"/>
  <c r="K450" i="1"/>
  <c r="J450" i="1"/>
  <c r="I450" i="1"/>
  <c r="H450" i="1"/>
  <c r="G450" i="1"/>
  <c r="F450" i="1"/>
  <c r="T449" i="1"/>
  <c r="S449" i="1"/>
  <c r="R449" i="1"/>
  <c r="Q449" i="1"/>
  <c r="P449" i="1"/>
  <c r="O449" i="1"/>
  <c r="N449" i="1"/>
  <c r="M449" i="1"/>
  <c r="L449" i="1"/>
  <c r="K449" i="1"/>
  <c r="J449" i="1"/>
  <c r="I449" i="1"/>
  <c r="H449" i="1"/>
  <c r="G449" i="1"/>
  <c r="F449" i="1"/>
  <c r="T448" i="1"/>
  <c r="S448" i="1"/>
  <c r="R448" i="1"/>
  <c r="Q448" i="1"/>
  <c r="P448" i="1"/>
  <c r="O448" i="1"/>
  <c r="N448" i="1"/>
  <c r="M448" i="1"/>
  <c r="L448" i="1"/>
  <c r="K448" i="1"/>
  <c r="J448" i="1"/>
  <c r="I448" i="1"/>
  <c r="H448" i="1"/>
  <c r="F448" i="1"/>
  <c r="G448" i="1" s="1"/>
  <c r="T447" i="1"/>
  <c r="S447" i="1"/>
  <c r="R447" i="1"/>
  <c r="Q447" i="1"/>
  <c r="P447" i="1"/>
  <c r="O447" i="1"/>
  <c r="N447" i="1"/>
  <c r="M447" i="1"/>
  <c r="L447" i="1"/>
  <c r="K447" i="1"/>
  <c r="J447" i="1"/>
  <c r="I447" i="1"/>
  <c r="H447" i="1"/>
  <c r="F447" i="1"/>
  <c r="G447" i="1" s="1"/>
  <c r="T446" i="1"/>
  <c r="S446" i="1"/>
  <c r="R446" i="1"/>
  <c r="Q446" i="1"/>
  <c r="P446" i="1"/>
  <c r="O446" i="1"/>
  <c r="N446" i="1"/>
  <c r="M446" i="1"/>
  <c r="L446" i="1"/>
  <c r="K446" i="1"/>
  <c r="J446" i="1"/>
  <c r="I446" i="1"/>
  <c r="H446" i="1"/>
  <c r="G446" i="1"/>
  <c r="F446" i="1"/>
  <c r="T445" i="1"/>
  <c r="S445" i="1"/>
  <c r="R445" i="1"/>
  <c r="Q445" i="1"/>
  <c r="P445" i="1"/>
  <c r="O445" i="1"/>
  <c r="N445" i="1"/>
  <c r="M445" i="1"/>
  <c r="L445" i="1"/>
  <c r="K445" i="1"/>
  <c r="J445" i="1"/>
  <c r="I445" i="1"/>
  <c r="H445" i="1"/>
  <c r="G445" i="1"/>
  <c r="F445" i="1"/>
  <c r="T444" i="1"/>
  <c r="S444" i="1"/>
  <c r="R444" i="1"/>
  <c r="Q444" i="1"/>
  <c r="P444" i="1"/>
  <c r="O444" i="1"/>
  <c r="N444" i="1"/>
  <c r="M444" i="1"/>
  <c r="L444" i="1"/>
  <c r="K444" i="1"/>
  <c r="J444" i="1"/>
  <c r="I444" i="1"/>
  <c r="H444" i="1"/>
  <c r="F444" i="1"/>
  <c r="G444" i="1" s="1"/>
  <c r="T443" i="1"/>
  <c r="S443" i="1"/>
  <c r="R443" i="1"/>
  <c r="Q443" i="1"/>
  <c r="P443" i="1"/>
  <c r="O443" i="1"/>
  <c r="N443" i="1"/>
  <c r="M443" i="1"/>
  <c r="L443" i="1"/>
  <c r="K443" i="1"/>
  <c r="J443" i="1"/>
  <c r="I443" i="1"/>
  <c r="H443" i="1"/>
  <c r="F443" i="1"/>
  <c r="G443" i="1" s="1"/>
  <c r="T442" i="1"/>
  <c r="S442" i="1"/>
  <c r="R442" i="1"/>
  <c r="Q442" i="1"/>
  <c r="P442" i="1"/>
  <c r="O442" i="1"/>
  <c r="N442" i="1"/>
  <c r="M442" i="1"/>
  <c r="L442" i="1"/>
  <c r="K442" i="1"/>
  <c r="J442" i="1"/>
  <c r="I442" i="1"/>
  <c r="H442" i="1"/>
  <c r="G442" i="1"/>
  <c r="F442" i="1"/>
  <c r="T441" i="1"/>
  <c r="S441" i="1"/>
  <c r="R441" i="1"/>
  <c r="Q441" i="1"/>
  <c r="P441" i="1"/>
  <c r="O441" i="1"/>
  <c r="N441" i="1"/>
  <c r="M441" i="1"/>
  <c r="L441" i="1"/>
  <c r="K441" i="1"/>
  <c r="J441" i="1"/>
  <c r="I441" i="1"/>
  <c r="H441" i="1"/>
  <c r="F441" i="1"/>
  <c r="G441" i="1" s="1"/>
  <c r="T440" i="1"/>
  <c r="S440" i="1"/>
  <c r="R440" i="1"/>
  <c r="Q440" i="1"/>
  <c r="P440" i="1"/>
  <c r="O440" i="1"/>
  <c r="N440" i="1"/>
  <c r="M440" i="1"/>
  <c r="L440" i="1"/>
  <c r="K440" i="1"/>
  <c r="J440" i="1"/>
  <c r="I440" i="1"/>
  <c r="H440" i="1"/>
  <c r="F440" i="1"/>
  <c r="G440" i="1" s="1"/>
  <c r="T439" i="1"/>
  <c r="S439" i="1"/>
  <c r="R439" i="1"/>
  <c r="Q439" i="1"/>
  <c r="P439" i="1"/>
  <c r="O439" i="1"/>
  <c r="N439" i="1"/>
  <c r="M439" i="1"/>
  <c r="L439" i="1"/>
  <c r="K439" i="1"/>
  <c r="J439" i="1"/>
  <c r="I439" i="1"/>
  <c r="H439" i="1"/>
  <c r="F439" i="1"/>
  <c r="G439" i="1" s="1"/>
  <c r="T438" i="1"/>
  <c r="S438" i="1"/>
  <c r="R438" i="1"/>
  <c r="Q438" i="1"/>
  <c r="P438" i="1"/>
  <c r="O438" i="1"/>
  <c r="N438" i="1"/>
  <c r="M438" i="1"/>
  <c r="L438" i="1"/>
  <c r="K438" i="1"/>
  <c r="J438" i="1"/>
  <c r="I438" i="1"/>
  <c r="H438" i="1"/>
  <c r="G438" i="1"/>
  <c r="F438" i="1"/>
  <c r="T437" i="1"/>
  <c r="S437" i="1"/>
  <c r="R437" i="1"/>
  <c r="Q437" i="1"/>
  <c r="P437" i="1"/>
  <c r="O437" i="1"/>
  <c r="N437" i="1"/>
  <c r="M437" i="1"/>
  <c r="L437" i="1"/>
  <c r="K437" i="1"/>
  <c r="J437" i="1"/>
  <c r="I437" i="1"/>
  <c r="H437" i="1"/>
  <c r="G437" i="1"/>
  <c r="F437" i="1"/>
  <c r="T436" i="1"/>
  <c r="S436" i="1"/>
  <c r="R436" i="1"/>
  <c r="Q436" i="1"/>
  <c r="P436" i="1"/>
  <c r="O436" i="1"/>
  <c r="N436" i="1"/>
  <c r="M436" i="1"/>
  <c r="L436" i="1"/>
  <c r="K436" i="1"/>
  <c r="J436" i="1"/>
  <c r="I436" i="1"/>
  <c r="H436" i="1"/>
  <c r="F436" i="1"/>
  <c r="G436" i="1" s="1"/>
  <c r="T435" i="1"/>
  <c r="S435" i="1"/>
  <c r="R435" i="1"/>
  <c r="Q435" i="1"/>
  <c r="P435" i="1"/>
  <c r="O435" i="1"/>
  <c r="N435" i="1"/>
  <c r="M435" i="1"/>
  <c r="L435" i="1"/>
  <c r="K435" i="1"/>
  <c r="J435" i="1"/>
  <c r="I435" i="1"/>
  <c r="H435" i="1"/>
  <c r="F435" i="1"/>
  <c r="G435" i="1" s="1"/>
  <c r="T434" i="1"/>
  <c r="S434" i="1"/>
  <c r="R434" i="1"/>
  <c r="Q434" i="1"/>
  <c r="P434" i="1"/>
  <c r="O434" i="1"/>
  <c r="N434" i="1"/>
  <c r="M434" i="1"/>
  <c r="L434" i="1"/>
  <c r="K434" i="1"/>
  <c r="J434" i="1"/>
  <c r="I434" i="1"/>
  <c r="H434" i="1"/>
  <c r="G434" i="1"/>
  <c r="F434" i="1"/>
  <c r="T433" i="1"/>
  <c r="S433" i="1"/>
  <c r="R433" i="1"/>
  <c r="Q433" i="1"/>
  <c r="P433" i="1"/>
  <c r="O433" i="1"/>
  <c r="N433" i="1"/>
  <c r="M433" i="1"/>
  <c r="L433" i="1"/>
  <c r="K433" i="1"/>
  <c r="J433" i="1"/>
  <c r="I433" i="1"/>
  <c r="H433" i="1"/>
  <c r="G433" i="1"/>
  <c r="F433" i="1"/>
  <c r="T432" i="1"/>
  <c r="S432" i="1"/>
  <c r="R432" i="1"/>
  <c r="Q432" i="1"/>
  <c r="P432" i="1"/>
  <c r="O432" i="1"/>
  <c r="N432" i="1"/>
  <c r="M432" i="1"/>
  <c r="L432" i="1"/>
  <c r="K432" i="1"/>
  <c r="J432" i="1"/>
  <c r="I432" i="1"/>
  <c r="H432" i="1"/>
  <c r="F432" i="1"/>
  <c r="G432" i="1" s="1"/>
  <c r="T431" i="1"/>
  <c r="S431" i="1"/>
  <c r="R431" i="1"/>
  <c r="Q431" i="1"/>
  <c r="P431" i="1"/>
  <c r="O431" i="1"/>
  <c r="N431" i="1"/>
  <c r="M431" i="1"/>
  <c r="L431" i="1"/>
  <c r="K431" i="1"/>
  <c r="J431" i="1"/>
  <c r="I431" i="1"/>
  <c r="H431" i="1"/>
  <c r="F431" i="1"/>
  <c r="G431" i="1" s="1"/>
  <c r="T430" i="1"/>
  <c r="S430" i="1"/>
  <c r="R430" i="1"/>
  <c r="Q430" i="1"/>
  <c r="P430" i="1"/>
  <c r="O430" i="1"/>
  <c r="N430" i="1"/>
  <c r="M430" i="1"/>
  <c r="L430" i="1"/>
  <c r="K430" i="1"/>
  <c r="J430" i="1"/>
  <c r="I430" i="1"/>
  <c r="H430" i="1"/>
  <c r="G430" i="1"/>
  <c r="F430" i="1"/>
  <c r="T429" i="1"/>
  <c r="S429" i="1"/>
  <c r="R429" i="1"/>
  <c r="Q429" i="1"/>
  <c r="P429" i="1"/>
  <c r="O429" i="1"/>
  <c r="N429" i="1"/>
  <c r="M429" i="1"/>
  <c r="L429" i="1"/>
  <c r="K429" i="1"/>
  <c r="J429" i="1"/>
  <c r="I429" i="1"/>
  <c r="H429" i="1"/>
  <c r="G429" i="1"/>
  <c r="F429" i="1"/>
  <c r="T428" i="1"/>
  <c r="S428" i="1"/>
  <c r="R428" i="1"/>
  <c r="Q428" i="1"/>
  <c r="P428" i="1"/>
  <c r="O428" i="1"/>
  <c r="N428" i="1"/>
  <c r="M428" i="1"/>
  <c r="L428" i="1"/>
  <c r="K428" i="1"/>
  <c r="J428" i="1"/>
  <c r="I428" i="1"/>
  <c r="H428" i="1"/>
  <c r="F428" i="1"/>
  <c r="G428" i="1" s="1"/>
  <c r="T427" i="1"/>
  <c r="S427" i="1"/>
  <c r="R427" i="1"/>
  <c r="Q427" i="1"/>
  <c r="P427" i="1"/>
  <c r="O427" i="1"/>
  <c r="N427" i="1"/>
  <c r="M427" i="1"/>
  <c r="L427" i="1"/>
  <c r="K427" i="1"/>
  <c r="J427" i="1"/>
  <c r="I427" i="1"/>
  <c r="H427" i="1"/>
  <c r="F427" i="1"/>
  <c r="G427" i="1" s="1"/>
  <c r="T426" i="1"/>
  <c r="S426" i="1"/>
  <c r="R426" i="1"/>
  <c r="Q426" i="1"/>
  <c r="P426" i="1"/>
  <c r="O426" i="1"/>
  <c r="N426" i="1"/>
  <c r="M426" i="1"/>
  <c r="L426" i="1"/>
  <c r="K426" i="1"/>
  <c r="J426" i="1"/>
  <c r="I426" i="1"/>
  <c r="H426" i="1"/>
  <c r="G426" i="1"/>
  <c r="F426" i="1"/>
  <c r="T425" i="1"/>
  <c r="S425" i="1"/>
  <c r="R425" i="1"/>
  <c r="Q425" i="1"/>
  <c r="P425" i="1"/>
  <c r="O425" i="1"/>
  <c r="N425" i="1"/>
  <c r="M425" i="1"/>
  <c r="L425" i="1"/>
  <c r="K425" i="1"/>
  <c r="J425" i="1"/>
  <c r="I425" i="1"/>
  <c r="H425" i="1"/>
  <c r="F425" i="1"/>
  <c r="G425" i="1" s="1"/>
  <c r="T424" i="1"/>
  <c r="S424" i="1"/>
  <c r="R424" i="1"/>
  <c r="Q424" i="1"/>
  <c r="P424" i="1"/>
  <c r="O424" i="1"/>
  <c r="N424" i="1"/>
  <c r="M424" i="1"/>
  <c r="L424" i="1"/>
  <c r="K424" i="1"/>
  <c r="J424" i="1"/>
  <c r="I424" i="1"/>
  <c r="H424" i="1"/>
  <c r="F424" i="1"/>
  <c r="G424" i="1" s="1"/>
  <c r="T423" i="1"/>
  <c r="S423" i="1"/>
  <c r="R423" i="1"/>
  <c r="Q423" i="1"/>
  <c r="P423" i="1"/>
  <c r="O423" i="1"/>
  <c r="N423" i="1"/>
  <c r="M423" i="1"/>
  <c r="L423" i="1"/>
  <c r="K423" i="1"/>
  <c r="J423" i="1"/>
  <c r="I423" i="1"/>
  <c r="H423" i="1"/>
  <c r="G423" i="1"/>
  <c r="F423" i="1"/>
  <c r="T422" i="1"/>
  <c r="S422" i="1"/>
  <c r="R422" i="1"/>
  <c r="Q422" i="1"/>
  <c r="P422" i="1"/>
  <c r="O422" i="1"/>
  <c r="N422" i="1"/>
  <c r="M422" i="1"/>
  <c r="L422" i="1"/>
  <c r="K422" i="1"/>
  <c r="J422" i="1"/>
  <c r="I422" i="1"/>
  <c r="H422" i="1"/>
  <c r="F422" i="1"/>
  <c r="G422" i="1" s="1"/>
  <c r="T421" i="1"/>
  <c r="S421" i="1"/>
  <c r="R421" i="1"/>
  <c r="Q421" i="1"/>
  <c r="P421" i="1"/>
  <c r="O421" i="1"/>
  <c r="N421" i="1"/>
  <c r="M421" i="1"/>
  <c r="L421" i="1"/>
  <c r="K421" i="1"/>
  <c r="J421" i="1"/>
  <c r="I421" i="1"/>
  <c r="H421" i="1"/>
  <c r="G421" i="1"/>
  <c r="F421" i="1"/>
  <c r="T420" i="1"/>
  <c r="S420" i="1"/>
  <c r="R420" i="1"/>
  <c r="Q420" i="1"/>
  <c r="P420" i="1"/>
  <c r="O420" i="1"/>
  <c r="N420" i="1"/>
  <c r="M420" i="1"/>
  <c r="L420" i="1"/>
  <c r="K420" i="1"/>
  <c r="J420" i="1"/>
  <c r="I420" i="1"/>
  <c r="H420" i="1"/>
  <c r="F420" i="1"/>
  <c r="G420" i="1" s="1"/>
  <c r="T419" i="1"/>
  <c r="S419" i="1"/>
  <c r="R419" i="1"/>
  <c r="Q419" i="1"/>
  <c r="P419" i="1"/>
  <c r="O419" i="1"/>
  <c r="N419" i="1"/>
  <c r="M419" i="1"/>
  <c r="L419" i="1"/>
  <c r="K419" i="1"/>
  <c r="J419" i="1"/>
  <c r="I419" i="1"/>
  <c r="H419" i="1"/>
  <c r="G419" i="1"/>
  <c r="F419" i="1"/>
  <c r="T418" i="1"/>
  <c r="S418" i="1"/>
  <c r="R418" i="1"/>
  <c r="Q418" i="1"/>
  <c r="P418" i="1"/>
  <c r="O418" i="1"/>
  <c r="N418" i="1"/>
  <c r="M418" i="1"/>
  <c r="L418" i="1"/>
  <c r="K418" i="1"/>
  <c r="J418" i="1"/>
  <c r="I418" i="1"/>
  <c r="H418" i="1"/>
  <c r="G418" i="1"/>
  <c r="F418" i="1"/>
  <c r="T417" i="1"/>
  <c r="S417" i="1"/>
  <c r="R417" i="1"/>
  <c r="Q417" i="1"/>
  <c r="P417" i="1"/>
  <c r="O417" i="1"/>
  <c r="N417" i="1"/>
  <c r="M417" i="1"/>
  <c r="L417" i="1"/>
  <c r="K417" i="1"/>
  <c r="J417" i="1"/>
  <c r="I417" i="1"/>
  <c r="H417" i="1"/>
  <c r="F417" i="1"/>
  <c r="G417" i="1" s="1"/>
  <c r="T416" i="1"/>
  <c r="S416" i="1"/>
  <c r="R416" i="1"/>
  <c r="Q416" i="1"/>
  <c r="P416" i="1"/>
  <c r="O416" i="1"/>
  <c r="N416" i="1"/>
  <c r="M416" i="1"/>
  <c r="L416" i="1"/>
  <c r="K416" i="1"/>
  <c r="J416" i="1"/>
  <c r="I416" i="1"/>
  <c r="H416" i="1"/>
  <c r="F416" i="1"/>
  <c r="G416" i="1" s="1"/>
  <c r="T415" i="1"/>
  <c r="S415" i="1"/>
  <c r="R415" i="1"/>
  <c r="Q415" i="1"/>
  <c r="P415" i="1"/>
  <c r="O415" i="1"/>
  <c r="N415" i="1"/>
  <c r="M415" i="1"/>
  <c r="L415" i="1"/>
  <c r="K415" i="1"/>
  <c r="J415" i="1"/>
  <c r="I415" i="1"/>
  <c r="H415" i="1"/>
  <c r="G415" i="1"/>
  <c r="F415" i="1"/>
  <c r="T414" i="1"/>
  <c r="S414" i="1"/>
  <c r="R414" i="1"/>
  <c r="Q414" i="1"/>
  <c r="P414" i="1"/>
  <c r="O414" i="1"/>
  <c r="N414" i="1"/>
  <c r="M414" i="1"/>
  <c r="L414" i="1"/>
  <c r="K414" i="1"/>
  <c r="J414" i="1"/>
  <c r="I414" i="1"/>
  <c r="H414" i="1"/>
  <c r="F414" i="1"/>
  <c r="G414" i="1" s="1"/>
  <c r="T413" i="1"/>
  <c r="S413" i="1"/>
  <c r="R413" i="1"/>
  <c r="Q413" i="1"/>
  <c r="P413" i="1"/>
  <c r="O413" i="1"/>
  <c r="N413" i="1"/>
  <c r="M413" i="1"/>
  <c r="L413" i="1"/>
  <c r="K413" i="1"/>
  <c r="J413" i="1"/>
  <c r="I413" i="1"/>
  <c r="H413" i="1"/>
  <c r="G413" i="1"/>
  <c r="F413" i="1"/>
  <c r="T412" i="1"/>
  <c r="S412" i="1"/>
  <c r="R412" i="1"/>
  <c r="Q412" i="1"/>
  <c r="P412" i="1"/>
  <c r="O412" i="1"/>
  <c r="N412" i="1"/>
  <c r="M412" i="1"/>
  <c r="L412" i="1"/>
  <c r="K412" i="1"/>
  <c r="J412" i="1"/>
  <c r="I412" i="1"/>
  <c r="H412" i="1"/>
  <c r="F412" i="1"/>
  <c r="G412" i="1" s="1"/>
  <c r="T411" i="1"/>
  <c r="S411" i="1"/>
  <c r="R411" i="1"/>
  <c r="Q411" i="1"/>
  <c r="P411" i="1"/>
  <c r="O411" i="1"/>
  <c r="N411" i="1"/>
  <c r="M411" i="1"/>
  <c r="L411" i="1"/>
  <c r="K411" i="1"/>
  <c r="J411" i="1"/>
  <c r="I411" i="1"/>
  <c r="H411" i="1"/>
  <c r="G411" i="1"/>
  <c r="F411" i="1"/>
  <c r="T410" i="1"/>
  <c r="S410" i="1"/>
  <c r="R410" i="1"/>
  <c r="Q410" i="1"/>
  <c r="P410" i="1"/>
  <c r="O410" i="1"/>
  <c r="N410" i="1"/>
  <c r="M410" i="1"/>
  <c r="L410" i="1"/>
  <c r="K410" i="1"/>
  <c r="J410" i="1"/>
  <c r="I410" i="1"/>
  <c r="H410" i="1"/>
  <c r="G410" i="1"/>
  <c r="F410" i="1"/>
  <c r="T409" i="1"/>
  <c r="S409" i="1"/>
  <c r="R409" i="1"/>
  <c r="Q409" i="1"/>
  <c r="P409" i="1"/>
  <c r="O409" i="1"/>
  <c r="N409" i="1"/>
  <c r="M409" i="1"/>
  <c r="L409" i="1"/>
  <c r="K409" i="1"/>
  <c r="J409" i="1"/>
  <c r="I409" i="1"/>
  <c r="H409" i="1"/>
  <c r="F409" i="1"/>
  <c r="G409" i="1" s="1"/>
  <c r="T408" i="1"/>
  <c r="S408" i="1"/>
  <c r="R408" i="1"/>
  <c r="Q408" i="1"/>
  <c r="P408" i="1"/>
  <c r="O408" i="1"/>
  <c r="N408" i="1"/>
  <c r="M408" i="1"/>
  <c r="L408" i="1"/>
  <c r="K408" i="1"/>
  <c r="J408" i="1"/>
  <c r="I408" i="1"/>
  <c r="H408" i="1"/>
  <c r="F408" i="1"/>
  <c r="G408" i="1" s="1"/>
  <c r="T407" i="1"/>
  <c r="S407" i="1"/>
  <c r="R407" i="1"/>
  <c r="Q407" i="1"/>
  <c r="P407" i="1"/>
  <c r="O407" i="1"/>
  <c r="N407" i="1"/>
  <c r="M407" i="1"/>
  <c r="L407" i="1"/>
  <c r="K407" i="1"/>
  <c r="J407" i="1"/>
  <c r="I407" i="1"/>
  <c r="H407" i="1"/>
  <c r="G407" i="1"/>
  <c r="F407" i="1"/>
  <c r="T406" i="1"/>
  <c r="S406" i="1"/>
  <c r="R406" i="1"/>
  <c r="Q406" i="1"/>
  <c r="P406" i="1"/>
  <c r="O406" i="1"/>
  <c r="N406" i="1"/>
  <c r="M406" i="1"/>
  <c r="L406" i="1"/>
  <c r="K406" i="1"/>
  <c r="J406" i="1"/>
  <c r="I406" i="1"/>
  <c r="H406" i="1"/>
  <c r="F406" i="1"/>
  <c r="G406" i="1" s="1"/>
  <c r="T405" i="1"/>
  <c r="S405" i="1"/>
  <c r="R405" i="1"/>
  <c r="Q405" i="1"/>
  <c r="P405" i="1"/>
  <c r="O405" i="1"/>
  <c r="N405" i="1"/>
  <c r="M405" i="1"/>
  <c r="L405" i="1"/>
  <c r="K405" i="1"/>
  <c r="J405" i="1"/>
  <c r="I405" i="1"/>
  <c r="H405" i="1"/>
  <c r="G405" i="1"/>
  <c r="F405" i="1"/>
  <c r="T404" i="1"/>
  <c r="S404" i="1"/>
  <c r="R404" i="1"/>
  <c r="Q404" i="1"/>
  <c r="P404" i="1"/>
  <c r="O404" i="1"/>
  <c r="N404" i="1"/>
  <c r="M404" i="1"/>
  <c r="L404" i="1"/>
  <c r="K404" i="1"/>
  <c r="J404" i="1"/>
  <c r="I404" i="1"/>
  <c r="H404" i="1"/>
  <c r="F404" i="1"/>
  <c r="G404" i="1" s="1"/>
  <c r="T403" i="1"/>
  <c r="S403" i="1"/>
  <c r="R403" i="1"/>
  <c r="Q403" i="1"/>
  <c r="P403" i="1"/>
  <c r="O403" i="1"/>
  <c r="N403" i="1"/>
  <c r="M403" i="1"/>
  <c r="L403" i="1"/>
  <c r="K403" i="1"/>
  <c r="J403" i="1"/>
  <c r="I403" i="1"/>
  <c r="H403" i="1"/>
  <c r="G403" i="1"/>
  <c r="F403" i="1"/>
  <c r="T402" i="1"/>
  <c r="S402" i="1"/>
  <c r="R402" i="1"/>
  <c r="Q402" i="1"/>
  <c r="P402" i="1"/>
  <c r="O402" i="1"/>
  <c r="N402" i="1"/>
  <c r="M402" i="1"/>
  <c r="L402" i="1"/>
  <c r="K402" i="1"/>
  <c r="J402" i="1"/>
  <c r="I402" i="1"/>
  <c r="H402" i="1"/>
  <c r="G402" i="1"/>
  <c r="F402" i="1"/>
  <c r="T401" i="1"/>
  <c r="S401" i="1"/>
  <c r="R401" i="1"/>
  <c r="Q401" i="1"/>
  <c r="P401" i="1"/>
  <c r="O401" i="1"/>
  <c r="N401" i="1"/>
  <c r="M401" i="1"/>
  <c r="L401" i="1"/>
  <c r="K401" i="1"/>
  <c r="J401" i="1"/>
  <c r="I401" i="1"/>
  <c r="H401" i="1"/>
  <c r="G401" i="1"/>
  <c r="F401" i="1"/>
  <c r="T400" i="1"/>
  <c r="S400" i="1"/>
  <c r="R400" i="1"/>
  <c r="Q400" i="1"/>
  <c r="P400" i="1"/>
  <c r="O400" i="1"/>
  <c r="N400" i="1"/>
  <c r="M400" i="1"/>
  <c r="L400" i="1"/>
  <c r="K400" i="1"/>
  <c r="J400" i="1"/>
  <c r="I400" i="1"/>
  <c r="H400" i="1"/>
  <c r="F400" i="1"/>
  <c r="G400" i="1" s="1"/>
  <c r="T399" i="1"/>
  <c r="S399" i="1"/>
  <c r="R399" i="1"/>
  <c r="Q399" i="1"/>
  <c r="P399" i="1"/>
  <c r="O399" i="1"/>
  <c r="N399" i="1"/>
  <c r="M399" i="1"/>
  <c r="L399" i="1"/>
  <c r="K399" i="1"/>
  <c r="J399" i="1"/>
  <c r="I399" i="1"/>
  <c r="H399" i="1"/>
  <c r="G399" i="1"/>
  <c r="F399" i="1"/>
  <c r="T398" i="1"/>
  <c r="S398" i="1"/>
  <c r="R398" i="1"/>
  <c r="Q398" i="1"/>
  <c r="P398" i="1"/>
  <c r="O398" i="1"/>
  <c r="N398" i="1"/>
  <c r="M398" i="1"/>
  <c r="L398" i="1"/>
  <c r="K398" i="1"/>
  <c r="J398" i="1"/>
  <c r="I398" i="1"/>
  <c r="H398" i="1"/>
  <c r="F398" i="1"/>
  <c r="G398" i="1" s="1"/>
  <c r="T397" i="1"/>
  <c r="S397" i="1"/>
  <c r="R397" i="1"/>
  <c r="Q397" i="1"/>
  <c r="P397" i="1"/>
  <c r="O397" i="1"/>
  <c r="N397" i="1"/>
  <c r="M397" i="1"/>
  <c r="L397" i="1"/>
  <c r="K397" i="1"/>
  <c r="J397" i="1"/>
  <c r="I397" i="1"/>
  <c r="H397" i="1"/>
  <c r="G397" i="1"/>
  <c r="F397" i="1"/>
  <c r="T396" i="1"/>
  <c r="S396" i="1"/>
  <c r="R396" i="1"/>
  <c r="Q396" i="1"/>
  <c r="P396" i="1"/>
  <c r="O396" i="1"/>
  <c r="N396" i="1"/>
  <c r="M396" i="1"/>
  <c r="L396" i="1"/>
  <c r="K396" i="1"/>
  <c r="J396" i="1"/>
  <c r="I396" i="1"/>
  <c r="H396" i="1"/>
  <c r="F396" i="1"/>
  <c r="G396" i="1" s="1"/>
  <c r="T395" i="1"/>
  <c r="S395" i="1"/>
  <c r="R395" i="1"/>
  <c r="Q395" i="1"/>
  <c r="P395" i="1"/>
  <c r="O395" i="1"/>
  <c r="N395" i="1"/>
  <c r="M395" i="1"/>
  <c r="L395" i="1"/>
  <c r="K395" i="1"/>
  <c r="J395" i="1"/>
  <c r="I395" i="1"/>
  <c r="H395" i="1"/>
  <c r="F395" i="1"/>
  <c r="G395" i="1" s="1"/>
  <c r="T394" i="1"/>
  <c r="S394" i="1"/>
  <c r="R394" i="1"/>
  <c r="Q394" i="1"/>
  <c r="P394" i="1"/>
  <c r="O394" i="1"/>
  <c r="N394" i="1"/>
  <c r="M394" i="1"/>
  <c r="L394" i="1"/>
  <c r="K394" i="1"/>
  <c r="J394" i="1"/>
  <c r="I394" i="1"/>
  <c r="H394" i="1"/>
  <c r="G394" i="1"/>
  <c r="F394" i="1"/>
  <c r="T393" i="1"/>
  <c r="S393" i="1"/>
  <c r="R393" i="1"/>
  <c r="Q393" i="1"/>
  <c r="P393" i="1"/>
  <c r="O393" i="1"/>
  <c r="N393" i="1"/>
  <c r="M393" i="1"/>
  <c r="L393" i="1"/>
  <c r="K393" i="1"/>
  <c r="J393" i="1"/>
  <c r="I393" i="1"/>
  <c r="H393" i="1"/>
  <c r="F393" i="1"/>
  <c r="G393" i="1" s="1"/>
  <c r="T392" i="1"/>
  <c r="S392" i="1"/>
  <c r="R392" i="1"/>
  <c r="Q392" i="1"/>
  <c r="P392" i="1"/>
  <c r="O392" i="1"/>
  <c r="N392" i="1"/>
  <c r="M392" i="1"/>
  <c r="L392" i="1"/>
  <c r="K392" i="1"/>
  <c r="J392" i="1"/>
  <c r="I392" i="1"/>
  <c r="H392" i="1"/>
  <c r="F392" i="1"/>
  <c r="G392" i="1" s="1"/>
  <c r="T391" i="1"/>
  <c r="S391" i="1"/>
  <c r="R391" i="1"/>
  <c r="Q391" i="1"/>
  <c r="P391" i="1"/>
  <c r="O391" i="1"/>
  <c r="N391" i="1"/>
  <c r="M391" i="1"/>
  <c r="L391" i="1"/>
  <c r="K391" i="1"/>
  <c r="J391" i="1"/>
  <c r="I391" i="1"/>
  <c r="H391" i="1"/>
  <c r="G391" i="1"/>
  <c r="F391" i="1"/>
  <c r="T390" i="1"/>
  <c r="S390" i="1"/>
  <c r="R390" i="1"/>
  <c r="Q390" i="1"/>
  <c r="P390" i="1"/>
  <c r="O390" i="1"/>
  <c r="N390" i="1"/>
  <c r="M390" i="1"/>
  <c r="L390" i="1"/>
  <c r="K390" i="1"/>
  <c r="J390" i="1"/>
  <c r="I390" i="1"/>
  <c r="H390" i="1"/>
  <c r="F390" i="1"/>
  <c r="G390" i="1" s="1"/>
  <c r="T389" i="1"/>
  <c r="S389" i="1"/>
  <c r="R389" i="1"/>
  <c r="Q389" i="1"/>
  <c r="P389" i="1"/>
  <c r="O389" i="1"/>
  <c r="N389" i="1"/>
  <c r="M389" i="1"/>
  <c r="L389" i="1"/>
  <c r="K389" i="1"/>
  <c r="J389" i="1"/>
  <c r="I389" i="1"/>
  <c r="H389" i="1"/>
  <c r="G389" i="1"/>
  <c r="F389" i="1"/>
  <c r="T388" i="1"/>
  <c r="S388" i="1"/>
  <c r="R388" i="1"/>
  <c r="Q388" i="1"/>
  <c r="P388" i="1"/>
  <c r="O388" i="1"/>
  <c r="N388" i="1"/>
  <c r="M388" i="1"/>
  <c r="L388" i="1"/>
  <c r="K388" i="1"/>
  <c r="J388" i="1"/>
  <c r="I388" i="1"/>
  <c r="H388" i="1"/>
  <c r="F388" i="1"/>
  <c r="G388" i="1" s="1"/>
  <c r="T387" i="1"/>
  <c r="S387" i="1"/>
  <c r="R387" i="1"/>
  <c r="Q387" i="1"/>
  <c r="P387" i="1"/>
  <c r="O387" i="1"/>
  <c r="N387" i="1"/>
  <c r="M387" i="1"/>
  <c r="L387" i="1"/>
  <c r="K387" i="1"/>
  <c r="J387" i="1"/>
  <c r="I387" i="1"/>
  <c r="H387" i="1"/>
  <c r="F387" i="1"/>
  <c r="G387" i="1" s="1"/>
  <c r="T386" i="1"/>
  <c r="S386" i="1"/>
  <c r="R386" i="1"/>
  <c r="Q386" i="1"/>
  <c r="P386" i="1"/>
  <c r="O386" i="1"/>
  <c r="N386" i="1"/>
  <c r="M386" i="1"/>
  <c r="L386" i="1"/>
  <c r="K386" i="1"/>
  <c r="J386" i="1"/>
  <c r="I386" i="1"/>
  <c r="H386" i="1"/>
  <c r="G386" i="1"/>
  <c r="F386" i="1"/>
  <c r="T385" i="1"/>
  <c r="S385" i="1"/>
  <c r="R385" i="1"/>
  <c r="Q385" i="1"/>
  <c r="P385" i="1"/>
  <c r="O385" i="1"/>
  <c r="N385" i="1"/>
  <c r="M385" i="1"/>
  <c r="L385" i="1"/>
  <c r="K385" i="1"/>
  <c r="J385" i="1"/>
  <c r="I385" i="1"/>
  <c r="H385" i="1"/>
  <c r="G385" i="1"/>
  <c r="F385" i="1"/>
  <c r="T384" i="1"/>
  <c r="S384" i="1"/>
  <c r="R384" i="1"/>
  <c r="Q384" i="1"/>
  <c r="P384" i="1"/>
  <c r="O384" i="1"/>
  <c r="N384" i="1"/>
  <c r="M384" i="1"/>
  <c r="L384" i="1"/>
  <c r="K384" i="1"/>
  <c r="J384" i="1"/>
  <c r="I384" i="1"/>
  <c r="H384" i="1"/>
  <c r="F384" i="1"/>
  <c r="G384" i="1" s="1"/>
  <c r="T383" i="1"/>
  <c r="S383" i="1"/>
  <c r="R383" i="1"/>
  <c r="Q383" i="1"/>
  <c r="P383" i="1"/>
  <c r="O383" i="1"/>
  <c r="N383" i="1"/>
  <c r="M383" i="1"/>
  <c r="L383" i="1"/>
  <c r="K383" i="1"/>
  <c r="J383" i="1"/>
  <c r="I383" i="1"/>
  <c r="H383" i="1"/>
  <c r="G383" i="1"/>
  <c r="F383" i="1"/>
  <c r="T382" i="1"/>
  <c r="S382" i="1"/>
  <c r="R382" i="1"/>
  <c r="Q382" i="1"/>
  <c r="P382" i="1"/>
  <c r="O382" i="1"/>
  <c r="N382" i="1"/>
  <c r="M382" i="1"/>
  <c r="L382" i="1"/>
  <c r="K382" i="1"/>
  <c r="J382" i="1"/>
  <c r="I382" i="1"/>
  <c r="H382" i="1"/>
  <c r="G382" i="1"/>
  <c r="F382" i="1"/>
  <c r="T381" i="1"/>
  <c r="S381" i="1"/>
  <c r="R381" i="1"/>
  <c r="Q381" i="1"/>
  <c r="P381" i="1"/>
  <c r="O381" i="1"/>
  <c r="N381" i="1"/>
  <c r="M381" i="1"/>
  <c r="L381" i="1"/>
  <c r="K381" i="1"/>
  <c r="J381" i="1"/>
  <c r="I381" i="1"/>
  <c r="H381" i="1"/>
  <c r="G381" i="1"/>
  <c r="F381" i="1"/>
  <c r="T380" i="1"/>
  <c r="S380" i="1"/>
  <c r="R380" i="1"/>
  <c r="Q380" i="1"/>
  <c r="P380" i="1"/>
  <c r="O380" i="1"/>
  <c r="N380" i="1"/>
  <c r="M380" i="1"/>
  <c r="L380" i="1"/>
  <c r="K380" i="1"/>
  <c r="J380" i="1"/>
  <c r="I380" i="1"/>
  <c r="H380" i="1"/>
  <c r="F380" i="1"/>
  <c r="G380" i="1" s="1"/>
  <c r="T379" i="1"/>
  <c r="S379" i="1"/>
  <c r="R379" i="1"/>
  <c r="Q379" i="1"/>
  <c r="P379" i="1"/>
  <c r="O379" i="1"/>
  <c r="N379" i="1"/>
  <c r="M379" i="1"/>
  <c r="L379" i="1"/>
  <c r="K379" i="1"/>
  <c r="J379" i="1"/>
  <c r="I379" i="1"/>
  <c r="H379" i="1"/>
  <c r="F379" i="1"/>
  <c r="G379" i="1" s="1"/>
  <c r="T378" i="1"/>
  <c r="S378" i="1"/>
  <c r="R378" i="1"/>
  <c r="Q378" i="1"/>
  <c r="P378" i="1"/>
  <c r="O378" i="1"/>
  <c r="N378" i="1"/>
  <c r="M378" i="1"/>
  <c r="L378" i="1"/>
  <c r="K378" i="1"/>
  <c r="J378" i="1"/>
  <c r="I378" i="1"/>
  <c r="H378" i="1"/>
  <c r="G378" i="1"/>
  <c r="F378" i="1"/>
  <c r="T377" i="1"/>
  <c r="S377" i="1"/>
  <c r="R377" i="1"/>
  <c r="Q377" i="1"/>
  <c r="P377" i="1"/>
  <c r="O377" i="1"/>
  <c r="N377" i="1"/>
  <c r="M377" i="1"/>
  <c r="L377" i="1"/>
  <c r="K377" i="1"/>
  <c r="J377" i="1"/>
  <c r="I377" i="1"/>
  <c r="H377" i="1"/>
  <c r="G377" i="1"/>
  <c r="F377" i="1"/>
  <c r="T376" i="1"/>
  <c r="S376" i="1"/>
  <c r="R376" i="1"/>
  <c r="Q376" i="1"/>
  <c r="P376" i="1"/>
  <c r="O376" i="1"/>
  <c r="N376" i="1"/>
  <c r="M376" i="1"/>
  <c r="L376" i="1"/>
  <c r="K376" i="1"/>
  <c r="J376" i="1"/>
  <c r="I376" i="1"/>
  <c r="H376" i="1"/>
  <c r="F376" i="1"/>
  <c r="G376" i="1" s="1"/>
  <c r="T375" i="1"/>
  <c r="S375" i="1"/>
  <c r="R375" i="1"/>
  <c r="Q375" i="1"/>
  <c r="P375" i="1"/>
  <c r="O375" i="1"/>
  <c r="N375" i="1"/>
  <c r="M375" i="1"/>
  <c r="L375" i="1"/>
  <c r="K375" i="1"/>
  <c r="J375" i="1"/>
  <c r="I375" i="1"/>
  <c r="H375" i="1"/>
  <c r="G375" i="1"/>
  <c r="F375" i="1"/>
  <c r="T374" i="1"/>
  <c r="S374" i="1"/>
  <c r="R374" i="1"/>
  <c r="Q374" i="1"/>
  <c r="P374" i="1"/>
  <c r="O374" i="1"/>
  <c r="N374" i="1"/>
  <c r="M374" i="1"/>
  <c r="L374" i="1"/>
  <c r="K374" i="1"/>
  <c r="J374" i="1"/>
  <c r="I374" i="1"/>
  <c r="H374" i="1"/>
  <c r="G374" i="1"/>
  <c r="F374" i="1"/>
  <c r="T373" i="1"/>
  <c r="S373" i="1"/>
  <c r="R373" i="1"/>
  <c r="Q373" i="1"/>
  <c r="P373" i="1"/>
  <c r="O373" i="1"/>
  <c r="N373" i="1"/>
  <c r="M373" i="1"/>
  <c r="L373" i="1"/>
  <c r="K373" i="1"/>
  <c r="J373" i="1"/>
  <c r="I373" i="1"/>
  <c r="H373" i="1"/>
  <c r="G373" i="1"/>
  <c r="F373" i="1"/>
  <c r="T372" i="1"/>
  <c r="S372" i="1"/>
  <c r="R372" i="1"/>
  <c r="Q372" i="1"/>
  <c r="P372" i="1"/>
  <c r="O372" i="1"/>
  <c r="N372" i="1"/>
  <c r="M372" i="1"/>
  <c r="L372" i="1"/>
  <c r="K372" i="1"/>
  <c r="J372" i="1"/>
  <c r="I372" i="1"/>
  <c r="H372" i="1"/>
  <c r="F372" i="1"/>
  <c r="G372" i="1" s="1"/>
  <c r="T371" i="1"/>
  <c r="S371" i="1"/>
  <c r="R371" i="1"/>
  <c r="Q371" i="1"/>
  <c r="P371" i="1"/>
  <c r="O371" i="1"/>
  <c r="N371" i="1"/>
  <c r="M371" i="1"/>
  <c r="L371" i="1"/>
  <c r="K371" i="1"/>
  <c r="J371" i="1"/>
  <c r="I371" i="1"/>
  <c r="H371" i="1"/>
  <c r="F371" i="1"/>
  <c r="G371" i="1" s="1"/>
  <c r="T370" i="1"/>
  <c r="S370" i="1"/>
  <c r="R370" i="1"/>
  <c r="Q370" i="1"/>
  <c r="P370" i="1"/>
  <c r="O370" i="1"/>
  <c r="N370" i="1"/>
  <c r="M370" i="1"/>
  <c r="L370" i="1"/>
  <c r="K370" i="1"/>
  <c r="J370" i="1"/>
  <c r="I370" i="1"/>
  <c r="H370" i="1"/>
  <c r="G370" i="1"/>
  <c r="F370" i="1"/>
  <c r="T369" i="1"/>
  <c r="S369" i="1"/>
  <c r="R369" i="1"/>
  <c r="Q369" i="1"/>
  <c r="P369" i="1"/>
  <c r="O369" i="1"/>
  <c r="N369" i="1"/>
  <c r="M369" i="1"/>
  <c r="L369" i="1"/>
  <c r="K369" i="1"/>
  <c r="J369" i="1"/>
  <c r="I369" i="1"/>
  <c r="H369" i="1"/>
  <c r="F369" i="1"/>
  <c r="G369" i="1" s="1"/>
  <c r="T368" i="1"/>
  <c r="S368" i="1"/>
  <c r="R368" i="1"/>
  <c r="Q368" i="1"/>
  <c r="P368" i="1"/>
  <c r="O368" i="1"/>
  <c r="N368" i="1"/>
  <c r="M368" i="1"/>
  <c r="L368" i="1"/>
  <c r="K368" i="1"/>
  <c r="J368" i="1"/>
  <c r="I368" i="1"/>
  <c r="H368" i="1"/>
  <c r="F368" i="1"/>
  <c r="G368" i="1" s="1"/>
  <c r="T367" i="1"/>
  <c r="S367" i="1"/>
  <c r="R367" i="1"/>
  <c r="Q367" i="1"/>
  <c r="P367" i="1"/>
  <c r="O367" i="1"/>
  <c r="N367" i="1"/>
  <c r="M367" i="1"/>
  <c r="L367" i="1"/>
  <c r="K367" i="1"/>
  <c r="J367" i="1"/>
  <c r="I367" i="1"/>
  <c r="H367" i="1"/>
  <c r="G367" i="1"/>
  <c r="F367" i="1"/>
  <c r="T366" i="1"/>
  <c r="S366" i="1"/>
  <c r="R366" i="1"/>
  <c r="Q366" i="1"/>
  <c r="P366" i="1"/>
  <c r="O366" i="1"/>
  <c r="N366" i="1"/>
  <c r="M366" i="1"/>
  <c r="L366" i="1"/>
  <c r="K366" i="1"/>
  <c r="J366" i="1"/>
  <c r="I366" i="1"/>
  <c r="H366" i="1"/>
  <c r="G366" i="1"/>
  <c r="F366" i="1"/>
  <c r="T365" i="1"/>
  <c r="S365" i="1"/>
  <c r="R365" i="1"/>
  <c r="Q365" i="1"/>
  <c r="P365" i="1"/>
  <c r="O365" i="1"/>
  <c r="N365" i="1"/>
  <c r="M365" i="1"/>
  <c r="L365" i="1"/>
  <c r="K365" i="1"/>
  <c r="J365" i="1"/>
  <c r="I365" i="1"/>
  <c r="H365" i="1"/>
  <c r="G365" i="1"/>
  <c r="F365" i="1"/>
  <c r="T364" i="1"/>
  <c r="S364" i="1"/>
  <c r="R364" i="1"/>
  <c r="Q364" i="1"/>
  <c r="P364" i="1"/>
  <c r="O364" i="1"/>
  <c r="N364" i="1"/>
  <c r="M364" i="1"/>
  <c r="L364" i="1"/>
  <c r="K364" i="1"/>
  <c r="J364" i="1"/>
  <c r="I364" i="1"/>
  <c r="H364" i="1"/>
  <c r="F364" i="1"/>
  <c r="G364" i="1" s="1"/>
  <c r="T363" i="1"/>
  <c r="S363" i="1"/>
  <c r="R363" i="1"/>
  <c r="Q363" i="1"/>
  <c r="P363" i="1"/>
  <c r="O363" i="1"/>
  <c r="N363" i="1"/>
  <c r="M363" i="1"/>
  <c r="L363" i="1"/>
  <c r="K363" i="1"/>
  <c r="J363" i="1"/>
  <c r="I363" i="1"/>
  <c r="H363" i="1"/>
  <c r="F363" i="1"/>
  <c r="G363" i="1" s="1"/>
  <c r="T362" i="1"/>
  <c r="S362" i="1"/>
  <c r="R362" i="1"/>
  <c r="Q362" i="1"/>
  <c r="P362" i="1"/>
  <c r="O362" i="1"/>
  <c r="N362" i="1"/>
  <c r="M362" i="1"/>
  <c r="L362" i="1"/>
  <c r="K362" i="1"/>
  <c r="J362" i="1"/>
  <c r="I362" i="1"/>
  <c r="H362" i="1"/>
  <c r="G362" i="1"/>
  <c r="F362" i="1"/>
  <c r="T361" i="1"/>
  <c r="S361" i="1"/>
  <c r="R361" i="1"/>
  <c r="Q361" i="1"/>
  <c r="P361" i="1"/>
  <c r="O361" i="1"/>
  <c r="N361" i="1"/>
  <c r="M361" i="1"/>
  <c r="L361" i="1"/>
  <c r="K361" i="1"/>
  <c r="J361" i="1"/>
  <c r="I361" i="1"/>
  <c r="H361" i="1"/>
  <c r="G361" i="1"/>
  <c r="F361" i="1"/>
  <c r="T360" i="1"/>
  <c r="S360" i="1"/>
  <c r="R360" i="1"/>
  <c r="Q360" i="1"/>
  <c r="P360" i="1"/>
  <c r="O360" i="1"/>
  <c r="N360" i="1"/>
  <c r="M360" i="1"/>
  <c r="L360" i="1"/>
  <c r="K360" i="1"/>
  <c r="J360" i="1"/>
  <c r="I360" i="1"/>
  <c r="H360" i="1"/>
  <c r="F360" i="1"/>
  <c r="G360" i="1" s="1"/>
  <c r="T359" i="1"/>
  <c r="S359" i="1"/>
  <c r="R359" i="1"/>
  <c r="Q359" i="1"/>
  <c r="P359" i="1"/>
  <c r="O359" i="1"/>
  <c r="N359" i="1"/>
  <c r="M359" i="1"/>
  <c r="L359" i="1"/>
  <c r="K359" i="1"/>
  <c r="J359" i="1"/>
  <c r="I359" i="1"/>
  <c r="H359" i="1"/>
  <c r="G359" i="1"/>
  <c r="F359" i="1"/>
  <c r="T358" i="1"/>
  <c r="S358" i="1"/>
  <c r="R358" i="1"/>
  <c r="Q358" i="1"/>
  <c r="P358" i="1"/>
  <c r="O358" i="1"/>
  <c r="N358" i="1"/>
  <c r="M358" i="1"/>
  <c r="L358" i="1"/>
  <c r="K358" i="1"/>
  <c r="J358" i="1"/>
  <c r="I358" i="1"/>
  <c r="H358" i="1"/>
  <c r="G358" i="1"/>
  <c r="F358" i="1"/>
  <c r="T357" i="1"/>
  <c r="S357" i="1"/>
  <c r="R357" i="1"/>
  <c r="Q357" i="1"/>
  <c r="P357" i="1"/>
  <c r="O357" i="1"/>
  <c r="N357" i="1"/>
  <c r="M357" i="1"/>
  <c r="L357" i="1"/>
  <c r="K357" i="1"/>
  <c r="J357" i="1"/>
  <c r="I357" i="1"/>
  <c r="H357" i="1"/>
  <c r="G357" i="1"/>
  <c r="F357" i="1"/>
  <c r="T356" i="1"/>
  <c r="S356" i="1"/>
  <c r="R356" i="1"/>
  <c r="Q356" i="1"/>
  <c r="P356" i="1"/>
  <c r="O356" i="1"/>
  <c r="N356" i="1"/>
  <c r="M356" i="1"/>
  <c r="L356" i="1"/>
  <c r="K356" i="1"/>
  <c r="J356" i="1"/>
  <c r="I356" i="1"/>
  <c r="H356" i="1"/>
  <c r="F356" i="1"/>
  <c r="G356" i="1" s="1"/>
  <c r="T355" i="1"/>
  <c r="S355" i="1"/>
  <c r="R355" i="1"/>
  <c r="Q355" i="1"/>
  <c r="P355" i="1"/>
  <c r="O355" i="1"/>
  <c r="N355" i="1"/>
  <c r="M355" i="1"/>
  <c r="L355" i="1"/>
  <c r="K355" i="1"/>
  <c r="J355" i="1"/>
  <c r="I355" i="1"/>
  <c r="H355" i="1"/>
  <c r="F355" i="1"/>
  <c r="G355" i="1" s="1"/>
  <c r="T354" i="1"/>
  <c r="S354" i="1"/>
  <c r="R354" i="1"/>
  <c r="Q354" i="1"/>
  <c r="P354" i="1"/>
  <c r="O354" i="1"/>
  <c r="N354" i="1"/>
  <c r="M354" i="1"/>
  <c r="L354" i="1"/>
  <c r="K354" i="1"/>
  <c r="J354" i="1"/>
  <c r="I354" i="1"/>
  <c r="H354" i="1"/>
  <c r="G354" i="1"/>
  <c r="F354" i="1"/>
  <c r="T353" i="1"/>
  <c r="S353" i="1"/>
  <c r="R353" i="1"/>
  <c r="Q353" i="1"/>
  <c r="P353" i="1"/>
  <c r="O353" i="1"/>
  <c r="N353" i="1"/>
  <c r="M353" i="1"/>
  <c r="L353" i="1"/>
  <c r="K353" i="1"/>
  <c r="J353" i="1"/>
  <c r="I353" i="1"/>
  <c r="H353" i="1"/>
  <c r="F353" i="1"/>
  <c r="G353" i="1" s="1"/>
  <c r="T352" i="1"/>
  <c r="S352" i="1"/>
  <c r="R352" i="1"/>
  <c r="Q352" i="1"/>
  <c r="P352" i="1"/>
  <c r="O352" i="1"/>
  <c r="N352" i="1"/>
  <c r="M352" i="1"/>
  <c r="L352" i="1"/>
  <c r="K352" i="1"/>
  <c r="J352" i="1"/>
  <c r="I352" i="1"/>
  <c r="H352" i="1"/>
  <c r="F352" i="1"/>
  <c r="G352" i="1" s="1"/>
  <c r="T351" i="1"/>
  <c r="S351" i="1"/>
  <c r="R351" i="1"/>
  <c r="Q351" i="1"/>
  <c r="P351" i="1"/>
  <c r="O351" i="1"/>
  <c r="N351" i="1"/>
  <c r="M351" i="1"/>
  <c r="L351" i="1"/>
  <c r="K351" i="1"/>
  <c r="J351" i="1"/>
  <c r="I351" i="1"/>
  <c r="H351" i="1"/>
  <c r="G351" i="1"/>
  <c r="F351" i="1"/>
  <c r="T350" i="1"/>
  <c r="S350" i="1"/>
  <c r="R350" i="1"/>
  <c r="Q350" i="1"/>
  <c r="P350" i="1"/>
  <c r="O350" i="1"/>
  <c r="N350" i="1"/>
  <c r="M350" i="1"/>
  <c r="L350" i="1"/>
  <c r="K350" i="1"/>
  <c r="J350" i="1"/>
  <c r="I350" i="1"/>
  <c r="H350" i="1"/>
  <c r="G350" i="1"/>
  <c r="F350" i="1"/>
  <c r="T349" i="1"/>
  <c r="S349" i="1"/>
  <c r="R349" i="1"/>
  <c r="Q349" i="1"/>
  <c r="P349" i="1"/>
  <c r="O349" i="1"/>
  <c r="N349" i="1"/>
  <c r="M349" i="1"/>
  <c r="L349" i="1"/>
  <c r="K349" i="1"/>
  <c r="J349" i="1"/>
  <c r="I349" i="1"/>
  <c r="H349" i="1"/>
  <c r="G349" i="1"/>
  <c r="F349" i="1"/>
  <c r="T348" i="1"/>
  <c r="S348" i="1"/>
  <c r="R348" i="1"/>
  <c r="Q348" i="1"/>
  <c r="P348" i="1"/>
  <c r="O348" i="1"/>
  <c r="N348" i="1"/>
  <c r="M348" i="1"/>
  <c r="L348" i="1"/>
  <c r="K348" i="1"/>
  <c r="J348" i="1"/>
  <c r="I348" i="1"/>
  <c r="H348" i="1"/>
  <c r="F348" i="1"/>
  <c r="G348" i="1" s="1"/>
  <c r="T347" i="1"/>
  <c r="S347" i="1"/>
  <c r="R347" i="1"/>
  <c r="Q347" i="1"/>
  <c r="P347" i="1"/>
  <c r="O347" i="1"/>
  <c r="N347" i="1"/>
  <c r="M347" i="1"/>
  <c r="L347" i="1"/>
  <c r="K347" i="1"/>
  <c r="J347" i="1"/>
  <c r="I347" i="1"/>
  <c r="H347" i="1"/>
  <c r="F347" i="1"/>
  <c r="G347" i="1" s="1"/>
  <c r="T346" i="1"/>
  <c r="S346" i="1"/>
  <c r="R346" i="1"/>
  <c r="Q346" i="1"/>
  <c r="P346" i="1"/>
  <c r="O346" i="1"/>
  <c r="N346" i="1"/>
  <c r="M346" i="1"/>
  <c r="L346" i="1"/>
  <c r="K346" i="1"/>
  <c r="J346" i="1"/>
  <c r="I346" i="1"/>
  <c r="H346" i="1"/>
  <c r="G346" i="1"/>
  <c r="F346" i="1"/>
  <c r="T345" i="1"/>
  <c r="S345" i="1"/>
  <c r="R345" i="1"/>
  <c r="Q345" i="1"/>
  <c r="P345" i="1"/>
  <c r="O345" i="1"/>
  <c r="N345" i="1"/>
  <c r="M345" i="1"/>
  <c r="L345" i="1"/>
  <c r="K345" i="1"/>
  <c r="J345" i="1"/>
  <c r="I345" i="1"/>
  <c r="H345" i="1"/>
  <c r="F345" i="1"/>
  <c r="G345" i="1" s="1"/>
  <c r="T344" i="1"/>
  <c r="S344" i="1"/>
  <c r="R344" i="1"/>
  <c r="Q344" i="1"/>
  <c r="P344" i="1"/>
  <c r="O344" i="1"/>
  <c r="N344" i="1"/>
  <c r="M344" i="1"/>
  <c r="L344" i="1"/>
  <c r="K344" i="1"/>
  <c r="J344" i="1"/>
  <c r="I344" i="1"/>
  <c r="H344" i="1"/>
  <c r="F344" i="1"/>
  <c r="G344" i="1" s="1"/>
  <c r="T343" i="1"/>
  <c r="S343" i="1"/>
  <c r="R343" i="1"/>
  <c r="Q343" i="1"/>
  <c r="P343" i="1"/>
  <c r="O343" i="1"/>
  <c r="N343" i="1"/>
  <c r="M343" i="1"/>
  <c r="L343" i="1"/>
  <c r="K343" i="1"/>
  <c r="J343" i="1"/>
  <c r="I343" i="1"/>
  <c r="H343" i="1"/>
  <c r="G343" i="1"/>
  <c r="F343" i="1"/>
  <c r="T342" i="1"/>
  <c r="S342" i="1"/>
  <c r="R342" i="1"/>
  <c r="Q342" i="1"/>
  <c r="P342" i="1"/>
  <c r="O342" i="1"/>
  <c r="N342" i="1"/>
  <c r="M342" i="1"/>
  <c r="L342" i="1"/>
  <c r="K342" i="1"/>
  <c r="J342" i="1"/>
  <c r="I342" i="1"/>
  <c r="H342" i="1"/>
  <c r="F342" i="1"/>
  <c r="G342" i="1" s="1"/>
  <c r="T341" i="1"/>
  <c r="S341" i="1"/>
  <c r="R341" i="1"/>
  <c r="Q341" i="1"/>
  <c r="P341" i="1"/>
  <c r="O341" i="1"/>
  <c r="N341" i="1"/>
  <c r="M341" i="1"/>
  <c r="L341" i="1"/>
  <c r="K341" i="1"/>
  <c r="J341" i="1"/>
  <c r="I341" i="1"/>
  <c r="H341" i="1"/>
  <c r="G341" i="1"/>
  <c r="F341" i="1"/>
  <c r="T340" i="1"/>
  <c r="S340" i="1"/>
  <c r="R340" i="1"/>
  <c r="Q340" i="1"/>
  <c r="P340" i="1"/>
  <c r="O340" i="1"/>
  <c r="N340" i="1"/>
  <c r="M340" i="1"/>
  <c r="L340" i="1"/>
  <c r="K340" i="1"/>
  <c r="J340" i="1"/>
  <c r="I340" i="1"/>
  <c r="H340" i="1"/>
  <c r="F340" i="1"/>
  <c r="G340" i="1" s="1"/>
  <c r="T339" i="1"/>
  <c r="S339" i="1"/>
  <c r="R339" i="1"/>
  <c r="Q339" i="1"/>
  <c r="P339" i="1"/>
  <c r="O339" i="1"/>
  <c r="N339" i="1"/>
  <c r="M339" i="1"/>
  <c r="L339" i="1"/>
  <c r="K339" i="1"/>
  <c r="J339" i="1"/>
  <c r="I339" i="1"/>
  <c r="H339" i="1"/>
  <c r="F339" i="1"/>
  <c r="G339" i="1" s="1"/>
  <c r="T338" i="1"/>
  <c r="S338" i="1"/>
  <c r="R338" i="1"/>
  <c r="Q338" i="1"/>
  <c r="P338" i="1"/>
  <c r="O338" i="1"/>
  <c r="N338" i="1"/>
  <c r="M338" i="1"/>
  <c r="L338" i="1"/>
  <c r="K338" i="1"/>
  <c r="J338" i="1"/>
  <c r="I338" i="1"/>
  <c r="H338" i="1"/>
  <c r="G338" i="1"/>
  <c r="F338" i="1"/>
  <c r="T337" i="1"/>
  <c r="S337" i="1"/>
  <c r="R337" i="1"/>
  <c r="Q337" i="1"/>
  <c r="P337" i="1"/>
  <c r="O337" i="1"/>
  <c r="N337" i="1"/>
  <c r="M337" i="1"/>
  <c r="L337" i="1"/>
  <c r="K337" i="1"/>
  <c r="J337" i="1"/>
  <c r="I337" i="1"/>
  <c r="H337" i="1"/>
  <c r="G337" i="1"/>
  <c r="F337" i="1"/>
  <c r="T336" i="1"/>
  <c r="S336" i="1"/>
  <c r="R336" i="1"/>
  <c r="Q336" i="1"/>
  <c r="P336" i="1"/>
  <c r="O336" i="1"/>
  <c r="N336" i="1"/>
  <c r="M336" i="1"/>
  <c r="L336" i="1"/>
  <c r="K336" i="1"/>
  <c r="J336" i="1"/>
  <c r="I336" i="1"/>
  <c r="H336" i="1"/>
  <c r="F336" i="1"/>
  <c r="G336" i="1" s="1"/>
  <c r="T335" i="1"/>
  <c r="S335" i="1"/>
  <c r="R335" i="1"/>
  <c r="Q335" i="1"/>
  <c r="P335" i="1"/>
  <c r="O335" i="1"/>
  <c r="N335" i="1"/>
  <c r="M335" i="1"/>
  <c r="L335" i="1"/>
  <c r="K335" i="1"/>
  <c r="J335" i="1"/>
  <c r="I335" i="1"/>
  <c r="H335" i="1"/>
  <c r="G335" i="1"/>
  <c r="F335" i="1"/>
  <c r="T334" i="1"/>
  <c r="S334" i="1"/>
  <c r="R334" i="1"/>
  <c r="Q334" i="1"/>
  <c r="P334" i="1"/>
  <c r="O334" i="1"/>
  <c r="N334" i="1"/>
  <c r="M334" i="1"/>
  <c r="L334" i="1"/>
  <c r="K334" i="1"/>
  <c r="J334" i="1"/>
  <c r="I334" i="1"/>
  <c r="H334" i="1"/>
  <c r="F334" i="1"/>
  <c r="G334" i="1" s="1"/>
  <c r="T333" i="1"/>
  <c r="S333" i="1"/>
  <c r="R333" i="1"/>
  <c r="Q333" i="1"/>
  <c r="P333" i="1"/>
  <c r="O333" i="1"/>
  <c r="N333" i="1"/>
  <c r="M333" i="1"/>
  <c r="L333" i="1"/>
  <c r="K333" i="1"/>
  <c r="J333" i="1"/>
  <c r="I333" i="1"/>
  <c r="H333" i="1"/>
  <c r="G333" i="1"/>
  <c r="F333" i="1"/>
  <c r="T332" i="1"/>
  <c r="S332" i="1"/>
  <c r="R332" i="1"/>
  <c r="Q332" i="1"/>
  <c r="P332" i="1"/>
  <c r="O332" i="1"/>
  <c r="N332" i="1"/>
  <c r="M332" i="1"/>
  <c r="L332" i="1"/>
  <c r="K332" i="1"/>
  <c r="J332" i="1"/>
  <c r="I332" i="1"/>
  <c r="H332" i="1"/>
  <c r="F332" i="1"/>
  <c r="G332" i="1" s="1"/>
  <c r="T331" i="1"/>
  <c r="S331" i="1"/>
  <c r="R331" i="1"/>
  <c r="Q331" i="1"/>
  <c r="P331" i="1"/>
  <c r="O331" i="1"/>
  <c r="N331" i="1"/>
  <c r="M331" i="1"/>
  <c r="L331" i="1"/>
  <c r="K331" i="1"/>
  <c r="J331" i="1"/>
  <c r="I331" i="1"/>
  <c r="H331" i="1"/>
  <c r="F331" i="1"/>
  <c r="G331" i="1" s="1"/>
  <c r="T330" i="1"/>
  <c r="S330" i="1"/>
  <c r="R330" i="1"/>
  <c r="Q330" i="1"/>
  <c r="P330" i="1"/>
  <c r="O330" i="1"/>
  <c r="N330" i="1"/>
  <c r="M330" i="1"/>
  <c r="L330" i="1"/>
  <c r="K330" i="1"/>
  <c r="J330" i="1"/>
  <c r="I330" i="1"/>
  <c r="H330" i="1"/>
  <c r="G330" i="1"/>
  <c r="F330" i="1"/>
  <c r="T329" i="1"/>
  <c r="S329" i="1"/>
  <c r="R329" i="1"/>
  <c r="Q329" i="1"/>
  <c r="P329" i="1"/>
  <c r="O329" i="1"/>
  <c r="N329" i="1"/>
  <c r="M329" i="1"/>
  <c r="L329" i="1"/>
  <c r="K329" i="1"/>
  <c r="J329" i="1"/>
  <c r="I329" i="1"/>
  <c r="H329" i="1"/>
  <c r="F329" i="1"/>
  <c r="G329" i="1" s="1"/>
  <c r="T328" i="1"/>
  <c r="S328" i="1"/>
  <c r="R328" i="1"/>
  <c r="Q328" i="1"/>
  <c r="P328" i="1"/>
  <c r="O328" i="1"/>
  <c r="N328" i="1"/>
  <c r="M328" i="1"/>
  <c r="L328" i="1"/>
  <c r="K328" i="1"/>
  <c r="J328" i="1"/>
  <c r="I328" i="1"/>
  <c r="H328" i="1"/>
  <c r="F328" i="1"/>
  <c r="G328" i="1" s="1"/>
  <c r="T327" i="1"/>
  <c r="S327" i="1"/>
  <c r="R327" i="1"/>
  <c r="Q327" i="1"/>
  <c r="P327" i="1"/>
  <c r="O327" i="1"/>
  <c r="N327" i="1"/>
  <c r="M327" i="1"/>
  <c r="L327" i="1"/>
  <c r="K327" i="1"/>
  <c r="J327" i="1"/>
  <c r="I327" i="1"/>
  <c r="H327" i="1"/>
  <c r="G327" i="1"/>
  <c r="F327" i="1"/>
  <c r="T326" i="1"/>
  <c r="S326" i="1"/>
  <c r="R326" i="1"/>
  <c r="Q326" i="1"/>
  <c r="P326" i="1"/>
  <c r="O326" i="1"/>
  <c r="N326" i="1"/>
  <c r="M326" i="1"/>
  <c r="L326" i="1"/>
  <c r="K326" i="1"/>
  <c r="J326" i="1"/>
  <c r="I326" i="1"/>
  <c r="H326" i="1"/>
  <c r="F326" i="1"/>
  <c r="G326" i="1" s="1"/>
  <c r="T325" i="1"/>
  <c r="S325" i="1"/>
  <c r="R325" i="1"/>
  <c r="Q325" i="1"/>
  <c r="P325" i="1"/>
  <c r="O325" i="1"/>
  <c r="N325" i="1"/>
  <c r="M325" i="1"/>
  <c r="L325" i="1"/>
  <c r="K325" i="1"/>
  <c r="J325" i="1"/>
  <c r="I325" i="1"/>
  <c r="H325" i="1"/>
  <c r="G325" i="1"/>
  <c r="F325" i="1"/>
  <c r="T324" i="1"/>
  <c r="S324" i="1"/>
  <c r="R324" i="1"/>
  <c r="Q324" i="1"/>
  <c r="P324" i="1"/>
  <c r="O324" i="1"/>
  <c r="N324" i="1"/>
  <c r="M324" i="1"/>
  <c r="L324" i="1"/>
  <c r="K324" i="1"/>
  <c r="J324" i="1"/>
  <c r="I324" i="1"/>
  <c r="H324" i="1"/>
  <c r="F324" i="1"/>
  <c r="G324" i="1" s="1"/>
  <c r="T323" i="1"/>
  <c r="S323" i="1"/>
  <c r="R323" i="1"/>
  <c r="Q323" i="1"/>
  <c r="P323" i="1"/>
  <c r="O323" i="1"/>
  <c r="N323" i="1"/>
  <c r="M323" i="1"/>
  <c r="L323" i="1"/>
  <c r="K323" i="1"/>
  <c r="J323" i="1"/>
  <c r="I323" i="1"/>
  <c r="H323" i="1"/>
  <c r="F323" i="1"/>
  <c r="G323" i="1" s="1"/>
  <c r="T322" i="1"/>
  <c r="S322" i="1"/>
  <c r="R322" i="1"/>
  <c r="Q322" i="1"/>
  <c r="P322" i="1"/>
  <c r="O322" i="1"/>
  <c r="N322" i="1"/>
  <c r="M322" i="1"/>
  <c r="L322" i="1"/>
  <c r="K322" i="1"/>
  <c r="J322" i="1"/>
  <c r="I322" i="1"/>
  <c r="H322" i="1"/>
  <c r="G322" i="1"/>
  <c r="F322" i="1"/>
  <c r="T321" i="1"/>
  <c r="S321" i="1"/>
  <c r="R321" i="1"/>
  <c r="Q321" i="1"/>
  <c r="P321" i="1"/>
  <c r="O321" i="1"/>
  <c r="N321" i="1"/>
  <c r="M321" i="1"/>
  <c r="L321" i="1"/>
  <c r="K321" i="1"/>
  <c r="J321" i="1"/>
  <c r="I321" i="1"/>
  <c r="H321" i="1"/>
  <c r="G321" i="1"/>
  <c r="F321" i="1"/>
  <c r="T320" i="1"/>
  <c r="S320" i="1"/>
  <c r="R320" i="1"/>
  <c r="Q320" i="1"/>
  <c r="P320" i="1"/>
  <c r="O320" i="1"/>
  <c r="N320" i="1"/>
  <c r="M320" i="1"/>
  <c r="L320" i="1"/>
  <c r="K320" i="1"/>
  <c r="J320" i="1"/>
  <c r="I320" i="1"/>
  <c r="H320" i="1"/>
  <c r="F320" i="1"/>
  <c r="G320" i="1" s="1"/>
  <c r="T319" i="1"/>
  <c r="S319" i="1"/>
  <c r="R319" i="1"/>
  <c r="Q319" i="1"/>
  <c r="P319" i="1"/>
  <c r="O319" i="1"/>
  <c r="N319" i="1"/>
  <c r="M319" i="1"/>
  <c r="L319" i="1"/>
  <c r="K319" i="1"/>
  <c r="J319" i="1"/>
  <c r="I319" i="1"/>
  <c r="H319" i="1"/>
  <c r="G319" i="1"/>
  <c r="F319" i="1"/>
  <c r="T318" i="1"/>
  <c r="S318" i="1"/>
  <c r="R318" i="1"/>
  <c r="Q318" i="1"/>
  <c r="P318" i="1"/>
  <c r="O318" i="1"/>
  <c r="N318" i="1"/>
  <c r="M318" i="1"/>
  <c r="L318" i="1"/>
  <c r="K318" i="1"/>
  <c r="J318" i="1"/>
  <c r="I318" i="1"/>
  <c r="H318" i="1"/>
  <c r="F318" i="1"/>
  <c r="G318" i="1" s="1"/>
  <c r="T317" i="1"/>
  <c r="S317" i="1"/>
  <c r="R317" i="1"/>
  <c r="Q317" i="1"/>
  <c r="P317" i="1"/>
  <c r="O317" i="1"/>
  <c r="N317" i="1"/>
  <c r="M317" i="1"/>
  <c r="L317" i="1"/>
  <c r="K317" i="1"/>
  <c r="J317" i="1"/>
  <c r="I317" i="1"/>
  <c r="H317" i="1"/>
  <c r="G317" i="1"/>
  <c r="F317" i="1"/>
  <c r="T316" i="1"/>
  <c r="S316" i="1"/>
  <c r="R316" i="1"/>
  <c r="Q316" i="1"/>
  <c r="P316" i="1"/>
  <c r="O316" i="1"/>
  <c r="N316" i="1"/>
  <c r="M316" i="1"/>
  <c r="L316" i="1"/>
  <c r="K316" i="1"/>
  <c r="J316" i="1"/>
  <c r="I316" i="1"/>
  <c r="H316" i="1"/>
  <c r="F316" i="1"/>
  <c r="G316" i="1" s="1"/>
  <c r="T315" i="1"/>
  <c r="S315" i="1"/>
  <c r="R315" i="1"/>
  <c r="Q315" i="1"/>
  <c r="P315" i="1"/>
  <c r="O315" i="1"/>
  <c r="N315" i="1"/>
  <c r="M315" i="1"/>
  <c r="L315" i="1"/>
  <c r="K315" i="1"/>
  <c r="J315" i="1"/>
  <c r="I315" i="1"/>
  <c r="H315" i="1"/>
  <c r="F315" i="1"/>
  <c r="G315" i="1" s="1"/>
  <c r="T314" i="1"/>
  <c r="S314" i="1"/>
  <c r="R314" i="1"/>
  <c r="Q314" i="1"/>
  <c r="P314" i="1"/>
  <c r="O314" i="1"/>
  <c r="N314" i="1"/>
  <c r="M314" i="1"/>
  <c r="L314" i="1"/>
  <c r="K314" i="1"/>
  <c r="J314" i="1"/>
  <c r="I314" i="1"/>
  <c r="H314" i="1"/>
  <c r="G314" i="1"/>
  <c r="F314" i="1"/>
  <c r="T313" i="1"/>
  <c r="S313" i="1"/>
  <c r="R313" i="1"/>
  <c r="Q313" i="1"/>
  <c r="P313" i="1"/>
  <c r="O313" i="1"/>
  <c r="N313" i="1"/>
  <c r="M313" i="1"/>
  <c r="L313" i="1"/>
  <c r="K313" i="1"/>
  <c r="J313" i="1"/>
  <c r="I313" i="1"/>
  <c r="H313" i="1"/>
  <c r="F313" i="1"/>
  <c r="G313" i="1" s="1"/>
  <c r="T312" i="1"/>
  <c r="S312" i="1"/>
  <c r="R312" i="1"/>
  <c r="Q312" i="1"/>
  <c r="P312" i="1"/>
  <c r="O312" i="1"/>
  <c r="N312" i="1"/>
  <c r="M312" i="1"/>
  <c r="L312" i="1"/>
  <c r="K312" i="1"/>
  <c r="J312" i="1"/>
  <c r="I312" i="1"/>
  <c r="H312" i="1"/>
  <c r="F312" i="1"/>
  <c r="G312" i="1" s="1"/>
  <c r="T311" i="1"/>
  <c r="S311" i="1"/>
  <c r="R311" i="1"/>
  <c r="Q311" i="1"/>
  <c r="P311" i="1"/>
  <c r="O311" i="1"/>
  <c r="N311" i="1"/>
  <c r="M311" i="1"/>
  <c r="L311" i="1"/>
  <c r="K311" i="1"/>
  <c r="J311" i="1"/>
  <c r="I311" i="1"/>
  <c r="H311" i="1"/>
  <c r="G311" i="1"/>
  <c r="F311" i="1"/>
  <c r="T310" i="1"/>
  <c r="S310" i="1"/>
  <c r="R310" i="1"/>
  <c r="Q310" i="1"/>
  <c r="P310" i="1"/>
  <c r="O310" i="1"/>
  <c r="N310" i="1"/>
  <c r="M310" i="1"/>
  <c r="L310" i="1"/>
  <c r="K310" i="1"/>
  <c r="J310" i="1"/>
  <c r="I310" i="1"/>
  <c r="H310" i="1"/>
  <c r="F310" i="1"/>
  <c r="G310" i="1" s="1"/>
  <c r="T309" i="1"/>
  <c r="S309" i="1"/>
  <c r="R309" i="1"/>
  <c r="Q309" i="1"/>
  <c r="P309" i="1"/>
  <c r="O309" i="1"/>
  <c r="N309" i="1"/>
  <c r="M309" i="1"/>
  <c r="L309" i="1"/>
  <c r="K309" i="1"/>
  <c r="J309" i="1"/>
  <c r="I309" i="1"/>
  <c r="H309" i="1"/>
  <c r="G309" i="1"/>
  <c r="F309" i="1"/>
  <c r="T308" i="1"/>
  <c r="S308" i="1"/>
  <c r="R308" i="1"/>
  <c r="Q308" i="1"/>
  <c r="P308" i="1"/>
  <c r="O308" i="1"/>
  <c r="N308" i="1"/>
  <c r="M308" i="1"/>
  <c r="L308" i="1"/>
  <c r="K308" i="1"/>
  <c r="J308" i="1"/>
  <c r="I308" i="1"/>
  <c r="H308" i="1"/>
  <c r="F308" i="1"/>
  <c r="G308" i="1" s="1"/>
  <c r="T307" i="1"/>
  <c r="S307" i="1"/>
  <c r="R307" i="1"/>
  <c r="Q307" i="1"/>
  <c r="P307" i="1"/>
  <c r="O307" i="1"/>
  <c r="N307" i="1"/>
  <c r="M307" i="1"/>
  <c r="L307" i="1"/>
  <c r="K307" i="1"/>
  <c r="J307" i="1"/>
  <c r="I307" i="1"/>
  <c r="H307" i="1"/>
  <c r="F307" i="1"/>
  <c r="G307" i="1" s="1"/>
  <c r="T306" i="1"/>
  <c r="S306" i="1"/>
  <c r="R306" i="1"/>
  <c r="Q306" i="1"/>
  <c r="P306" i="1"/>
  <c r="O306" i="1"/>
  <c r="N306" i="1"/>
  <c r="M306" i="1"/>
  <c r="L306" i="1"/>
  <c r="K306" i="1"/>
  <c r="J306" i="1"/>
  <c r="I306" i="1"/>
  <c r="H306" i="1"/>
  <c r="G306" i="1"/>
  <c r="F306" i="1"/>
  <c r="T305" i="1"/>
  <c r="S305" i="1"/>
  <c r="R305" i="1"/>
  <c r="Q305" i="1"/>
  <c r="P305" i="1"/>
  <c r="O305" i="1"/>
  <c r="N305" i="1"/>
  <c r="M305" i="1"/>
  <c r="L305" i="1"/>
  <c r="K305" i="1"/>
  <c r="J305" i="1"/>
  <c r="I305" i="1"/>
  <c r="H305" i="1"/>
  <c r="G305" i="1"/>
  <c r="F305" i="1"/>
  <c r="T304" i="1"/>
  <c r="S304" i="1"/>
  <c r="R304" i="1"/>
  <c r="Q304" i="1"/>
  <c r="P304" i="1"/>
  <c r="O304" i="1"/>
  <c r="N304" i="1"/>
  <c r="M304" i="1"/>
  <c r="L304" i="1"/>
  <c r="K304" i="1"/>
  <c r="J304" i="1"/>
  <c r="I304" i="1"/>
  <c r="H304" i="1"/>
  <c r="F304" i="1"/>
  <c r="G304" i="1" s="1"/>
  <c r="T303" i="1"/>
  <c r="S303" i="1"/>
  <c r="R303" i="1"/>
  <c r="Q303" i="1"/>
  <c r="P303" i="1"/>
  <c r="O303" i="1"/>
  <c r="N303" i="1"/>
  <c r="M303" i="1"/>
  <c r="L303" i="1"/>
  <c r="K303" i="1"/>
  <c r="J303" i="1"/>
  <c r="I303" i="1"/>
  <c r="H303" i="1"/>
  <c r="G303" i="1"/>
  <c r="F303" i="1"/>
  <c r="T302" i="1"/>
  <c r="S302" i="1"/>
  <c r="R302" i="1"/>
  <c r="Q302" i="1"/>
  <c r="P302" i="1"/>
  <c r="O302" i="1"/>
  <c r="N302" i="1"/>
  <c r="M302" i="1"/>
  <c r="L302" i="1"/>
  <c r="K302" i="1"/>
  <c r="J302" i="1"/>
  <c r="I302" i="1"/>
  <c r="H302" i="1"/>
  <c r="F302" i="1"/>
  <c r="G302" i="1" s="1"/>
  <c r="T301" i="1"/>
  <c r="S301" i="1"/>
  <c r="R301" i="1"/>
  <c r="Q301" i="1"/>
  <c r="P301" i="1"/>
  <c r="O301" i="1"/>
  <c r="N301" i="1"/>
  <c r="M301" i="1"/>
  <c r="L301" i="1"/>
  <c r="K301" i="1"/>
  <c r="J301" i="1"/>
  <c r="I301" i="1"/>
  <c r="H301" i="1"/>
  <c r="G301" i="1"/>
  <c r="F301" i="1"/>
  <c r="T300" i="1"/>
  <c r="S300" i="1"/>
  <c r="R300" i="1"/>
  <c r="Q300" i="1"/>
  <c r="P300" i="1"/>
  <c r="O300" i="1"/>
  <c r="N300" i="1"/>
  <c r="M300" i="1"/>
  <c r="L300" i="1"/>
  <c r="K300" i="1"/>
  <c r="J300" i="1"/>
  <c r="I300" i="1"/>
  <c r="H300" i="1"/>
  <c r="F300" i="1"/>
  <c r="G300" i="1" s="1"/>
  <c r="T299" i="1"/>
  <c r="S299" i="1"/>
  <c r="R299" i="1"/>
  <c r="Q299" i="1"/>
  <c r="P299" i="1"/>
  <c r="O299" i="1"/>
  <c r="N299" i="1"/>
  <c r="M299" i="1"/>
  <c r="L299" i="1"/>
  <c r="K299" i="1"/>
  <c r="J299" i="1"/>
  <c r="I299" i="1"/>
  <c r="H299" i="1"/>
  <c r="F299" i="1"/>
  <c r="G299" i="1" s="1"/>
  <c r="T298" i="1"/>
  <c r="S298" i="1"/>
  <c r="R298" i="1"/>
  <c r="Q298" i="1"/>
  <c r="P298" i="1"/>
  <c r="O298" i="1"/>
  <c r="N298" i="1"/>
  <c r="M298" i="1"/>
  <c r="L298" i="1"/>
  <c r="K298" i="1"/>
  <c r="J298" i="1"/>
  <c r="I298" i="1"/>
  <c r="H298" i="1"/>
  <c r="G298" i="1"/>
  <c r="F298" i="1"/>
  <c r="T297" i="1"/>
  <c r="S297" i="1"/>
  <c r="R297" i="1"/>
  <c r="Q297" i="1"/>
  <c r="P297" i="1"/>
  <c r="O297" i="1"/>
  <c r="N297" i="1"/>
  <c r="M297" i="1"/>
  <c r="L297" i="1"/>
  <c r="K297" i="1"/>
  <c r="J297" i="1"/>
  <c r="I297" i="1"/>
  <c r="H297" i="1"/>
  <c r="F297" i="1"/>
  <c r="G297" i="1" s="1"/>
  <c r="T296" i="1"/>
  <c r="S296" i="1"/>
  <c r="R296" i="1"/>
  <c r="Q296" i="1"/>
  <c r="P296" i="1"/>
  <c r="O296" i="1"/>
  <c r="N296" i="1"/>
  <c r="M296" i="1"/>
  <c r="L296" i="1"/>
  <c r="K296" i="1"/>
  <c r="J296" i="1"/>
  <c r="I296" i="1"/>
  <c r="H296" i="1"/>
  <c r="F296" i="1"/>
  <c r="G296" i="1" s="1"/>
  <c r="T295" i="1"/>
  <c r="S295" i="1"/>
  <c r="R295" i="1"/>
  <c r="Q295" i="1"/>
  <c r="P295" i="1"/>
  <c r="O295" i="1"/>
  <c r="N295" i="1"/>
  <c r="M295" i="1"/>
  <c r="L295" i="1"/>
  <c r="K295" i="1"/>
  <c r="J295" i="1"/>
  <c r="I295" i="1"/>
  <c r="H295" i="1"/>
  <c r="G295" i="1"/>
  <c r="F295" i="1"/>
  <c r="T294" i="1"/>
  <c r="S294" i="1"/>
  <c r="R294" i="1"/>
  <c r="Q294" i="1"/>
  <c r="P294" i="1"/>
  <c r="O294" i="1"/>
  <c r="N294" i="1"/>
  <c r="M294" i="1"/>
  <c r="L294" i="1"/>
  <c r="K294" i="1"/>
  <c r="J294" i="1"/>
  <c r="I294" i="1"/>
  <c r="H294" i="1"/>
  <c r="F294" i="1"/>
  <c r="G294" i="1" s="1"/>
  <c r="T293" i="1"/>
  <c r="S293" i="1"/>
  <c r="R293" i="1"/>
  <c r="Q293" i="1"/>
  <c r="P293" i="1"/>
  <c r="O293" i="1"/>
  <c r="N293" i="1"/>
  <c r="M293" i="1"/>
  <c r="L293" i="1"/>
  <c r="K293" i="1"/>
  <c r="J293" i="1"/>
  <c r="I293" i="1"/>
  <c r="H293" i="1"/>
  <c r="G293" i="1"/>
  <c r="F293" i="1"/>
  <c r="T292" i="1"/>
  <c r="S292" i="1"/>
  <c r="R292" i="1"/>
  <c r="Q292" i="1"/>
  <c r="P292" i="1"/>
  <c r="O292" i="1"/>
  <c r="N292" i="1"/>
  <c r="M292" i="1"/>
  <c r="L292" i="1"/>
  <c r="K292" i="1"/>
  <c r="J292" i="1"/>
  <c r="I292" i="1"/>
  <c r="H292" i="1"/>
  <c r="F292" i="1"/>
  <c r="G292" i="1" s="1"/>
  <c r="T291" i="1"/>
  <c r="S291" i="1"/>
  <c r="R291" i="1"/>
  <c r="Q291" i="1"/>
  <c r="P291" i="1"/>
  <c r="O291" i="1"/>
  <c r="N291" i="1"/>
  <c r="M291" i="1"/>
  <c r="L291" i="1"/>
  <c r="K291" i="1"/>
  <c r="J291" i="1"/>
  <c r="I291" i="1"/>
  <c r="H291" i="1"/>
  <c r="F291" i="1"/>
  <c r="G291" i="1" s="1"/>
  <c r="T290" i="1"/>
  <c r="S290" i="1"/>
  <c r="R290" i="1"/>
  <c r="Q290" i="1"/>
  <c r="P290" i="1"/>
  <c r="O290" i="1"/>
  <c r="N290" i="1"/>
  <c r="M290" i="1"/>
  <c r="L290" i="1"/>
  <c r="K290" i="1"/>
  <c r="J290" i="1"/>
  <c r="I290" i="1"/>
  <c r="H290" i="1"/>
  <c r="G290" i="1"/>
  <c r="F290" i="1"/>
  <c r="T289" i="1"/>
  <c r="S289" i="1"/>
  <c r="R289" i="1"/>
  <c r="Q289" i="1"/>
  <c r="P289" i="1"/>
  <c r="O289" i="1"/>
  <c r="N289" i="1"/>
  <c r="M289" i="1"/>
  <c r="L289" i="1"/>
  <c r="K289" i="1"/>
  <c r="J289" i="1"/>
  <c r="I289" i="1"/>
  <c r="H289" i="1"/>
  <c r="G289" i="1"/>
  <c r="F289" i="1"/>
  <c r="T288" i="1"/>
  <c r="S288" i="1"/>
  <c r="R288" i="1"/>
  <c r="Q288" i="1"/>
  <c r="P288" i="1"/>
  <c r="O288" i="1"/>
  <c r="N288" i="1"/>
  <c r="M288" i="1"/>
  <c r="L288" i="1"/>
  <c r="K288" i="1"/>
  <c r="J288" i="1"/>
  <c r="I288" i="1"/>
  <c r="H288" i="1"/>
  <c r="F288" i="1"/>
  <c r="G288" i="1" s="1"/>
  <c r="T287" i="1"/>
  <c r="S287" i="1"/>
  <c r="R287" i="1"/>
  <c r="Q287" i="1"/>
  <c r="P287" i="1"/>
  <c r="O287" i="1"/>
  <c r="N287" i="1"/>
  <c r="M287" i="1"/>
  <c r="L287" i="1"/>
  <c r="K287" i="1"/>
  <c r="J287" i="1"/>
  <c r="I287" i="1"/>
  <c r="H287" i="1"/>
  <c r="G287" i="1"/>
  <c r="F287" i="1"/>
  <c r="T286" i="1"/>
  <c r="S286" i="1"/>
  <c r="R286" i="1"/>
  <c r="Q286" i="1"/>
  <c r="P286" i="1"/>
  <c r="O286" i="1"/>
  <c r="N286" i="1"/>
  <c r="M286" i="1"/>
  <c r="L286" i="1"/>
  <c r="K286" i="1"/>
  <c r="J286" i="1"/>
  <c r="I286" i="1"/>
  <c r="H286" i="1"/>
  <c r="F286" i="1"/>
  <c r="G286" i="1" s="1"/>
  <c r="T285" i="1"/>
  <c r="S285" i="1"/>
  <c r="R285" i="1"/>
  <c r="Q285" i="1"/>
  <c r="P285" i="1"/>
  <c r="O285" i="1"/>
  <c r="N285" i="1"/>
  <c r="M285" i="1"/>
  <c r="L285" i="1"/>
  <c r="K285" i="1"/>
  <c r="J285" i="1"/>
  <c r="I285" i="1"/>
  <c r="H285" i="1"/>
  <c r="G285" i="1"/>
  <c r="F285" i="1"/>
  <c r="T284" i="1"/>
  <c r="S284" i="1"/>
  <c r="R284" i="1"/>
  <c r="Q284" i="1"/>
  <c r="P284" i="1"/>
  <c r="O284" i="1"/>
  <c r="N284" i="1"/>
  <c r="M284" i="1"/>
  <c r="L284" i="1"/>
  <c r="K284" i="1"/>
  <c r="J284" i="1"/>
  <c r="I284" i="1"/>
  <c r="H284" i="1"/>
  <c r="F284" i="1"/>
  <c r="G284" i="1" s="1"/>
  <c r="T283" i="1"/>
  <c r="S283" i="1"/>
  <c r="R283" i="1"/>
  <c r="Q283" i="1"/>
  <c r="P283" i="1"/>
  <c r="O283" i="1"/>
  <c r="N283" i="1"/>
  <c r="M283" i="1"/>
  <c r="L283" i="1"/>
  <c r="K283" i="1"/>
  <c r="J283" i="1"/>
  <c r="I283" i="1"/>
  <c r="H283" i="1"/>
  <c r="F283" i="1"/>
  <c r="G283" i="1" s="1"/>
  <c r="T282" i="1"/>
  <c r="S282" i="1"/>
  <c r="R282" i="1"/>
  <c r="Q282" i="1"/>
  <c r="P282" i="1"/>
  <c r="O282" i="1"/>
  <c r="N282" i="1"/>
  <c r="M282" i="1"/>
  <c r="L282" i="1"/>
  <c r="K282" i="1"/>
  <c r="J282" i="1"/>
  <c r="I282" i="1"/>
  <c r="H282" i="1"/>
  <c r="G282" i="1"/>
  <c r="F282" i="1"/>
  <c r="T281" i="1"/>
  <c r="S281" i="1"/>
  <c r="R281" i="1"/>
  <c r="Q281" i="1"/>
  <c r="P281" i="1"/>
  <c r="O281" i="1"/>
  <c r="N281" i="1"/>
  <c r="M281" i="1"/>
  <c r="L281" i="1"/>
  <c r="K281" i="1"/>
  <c r="J281" i="1"/>
  <c r="I281" i="1"/>
  <c r="H281" i="1"/>
  <c r="F281" i="1"/>
  <c r="G281" i="1" s="1"/>
  <c r="T280" i="1"/>
  <c r="S280" i="1"/>
  <c r="R280" i="1"/>
  <c r="Q280" i="1"/>
  <c r="P280" i="1"/>
  <c r="O280" i="1"/>
  <c r="N280" i="1"/>
  <c r="M280" i="1"/>
  <c r="L280" i="1"/>
  <c r="K280" i="1"/>
  <c r="J280" i="1"/>
  <c r="I280" i="1"/>
  <c r="H280" i="1"/>
  <c r="F280" i="1"/>
  <c r="G280" i="1" s="1"/>
  <c r="T279" i="1"/>
  <c r="S279" i="1"/>
  <c r="R279" i="1"/>
  <c r="Q279" i="1"/>
  <c r="P279" i="1"/>
  <c r="O279" i="1"/>
  <c r="N279" i="1"/>
  <c r="M279" i="1"/>
  <c r="L279" i="1"/>
  <c r="K279" i="1"/>
  <c r="J279" i="1"/>
  <c r="I279" i="1"/>
  <c r="H279" i="1"/>
  <c r="G279" i="1"/>
  <c r="F279" i="1"/>
  <c r="T278" i="1"/>
  <c r="S278" i="1"/>
  <c r="R278" i="1"/>
  <c r="Q278" i="1"/>
  <c r="P278" i="1"/>
  <c r="O278" i="1"/>
  <c r="N278" i="1"/>
  <c r="M278" i="1"/>
  <c r="L278" i="1"/>
  <c r="K278" i="1"/>
  <c r="J278" i="1"/>
  <c r="I278" i="1"/>
  <c r="H278" i="1"/>
  <c r="F278" i="1"/>
  <c r="G278" i="1" s="1"/>
  <c r="T277" i="1"/>
  <c r="S277" i="1"/>
  <c r="R277" i="1"/>
  <c r="Q277" i="1"/>
  <c r="P277" i="1"/>
  <c r="O277" i="1"/>
  <c r="N277" i="1"/>
  <c r="M277" i="1"/>
  <c r="L277" i="1"/>
  <c r="K277" i="1"/>
  <c r="J277" i="1"/>
  <c r="I277" i="1"/>
  <c r="H277" i="1"/>
  <c r="G277" i="1"/>
  <c r="F277" i="1"/>
  <c r="T276" i="1"/>
  <c r="S276" i="1"/>
  <c r="R276" i="1"/>
  <c r="Q276" i="1"/>
  <c r="P276" i="1"/>
  <c r="O276" i="1"/>
  <c r="N276" i="1"/>
  <c r="M276" i="1"/>
  <c r="L276" i="1"/>
  <c r="K276" i="1"/>
  <c r="J276" i="1"/>
  <c r="I276" i="1"/>
  <c r="H276" i="1"/>
  <c r="F276" i="1"/>
  <c r="G276" i="1" s="1"/>
  <c r="T275" i="1"/>
  <c r="S275" i="1"/>
  <c r="R275" i="1"/>
  <c r="Q275" i="1"/>
  <c r="P275" i="1"/>
  <c r="O275" i="1"/>
  <c r="N275" i="1"/>
  <c r="M275" i="1"/>
  <c r="L275" i="1"/>
  <c r="K275" i="1"/>
  <c r="J275" i="1"/>
  <c r="I275" i="1"/>
  <c r="H275" i="1"/>
  <c r="F275" i="1"/>
  <c r="G275" i="1" s="1"/>
  <c r="T274" i="1"/>
  <c r="S274" i="1"/>
  <c r="R274" i="1"/>
  <c r="Q274" i="1"/>
  <c r="P274" i="1"/>
  <c r="O274" i="1"/>
  <c r="N274" i="1"/>
  <c r="M274" i="1"/>
  <c r="L274" i="1"/>
  <c r="K274" i="1"/>
  <c r="J274" i="1"/>
  <c r="I274" i="1"/>
  <c r="H274" i="1"/>
  <c r="G274" i="1"/>
  <c r="F274" i="1"/>
  <c r="T273" i="1"/>
  <c r="S273" i="1"/>
  <c r="R273" i="1"/>
  <c r="Q273" i="1"/>
  <c r="P273" i="1"/>
  <c r="O273" i="1"/>
  <c r="N273" i="1"/>
  <c r="M273" i="1"/>
  <c r="L273" i="1"/>
  <c r="K273" i="1"/>
  <c r="J273" i="1"/>
  <c r="I273" i="1"/>
  <c r="H273" i="1"/>
  <c r="G273" i="1"/>
  <c r="F273" i="1"/>
  <c r="T272" i="1"/>
  <c r="S272" i="1"/>
  <c r="R272" i="1"/>
  <c r="Q272" i="1"/>
  <c r="P272" i="1"/>
  <c r="O272" i="1"/>
  <c r="N272" i="1"/>
  <c r="M272" i="1"/>
  <c r="L272" i="1"/>
  <c r="K272" i="1"/>
  <c r="J272" i="1"/>
  <c r="I272" i="1"/>
  <c r="H272" i="1"/>
  <c r="F272" i="1"/>
  <c r="G272" i="1" s="1"/>
  <c r="T271" i="1"/>
  <c r="S271" i="1"/>
  <c r="R271" i="1"/>
  <c r="Q271" i="1"/>
  <c r="P271" i="1"/>
  <c r="O271" i="1"/>
  <c r="N271" i="1"/>
  <c r="M271" i="1"/>
  <c r="L271" i="1"/>
  <c r="K271" i="1"/>
  <c r="J271" i="1"/>
  <c r="I271" i="1"/>
  <c r="H271" i="1"/>
  <c r="G271" i="1"/>
  <c r="F271" i="1"/>
  <c r="T270" i="1"/>
  <c r="S270" i="1"/>
  <c r="R270" i="1"/>
  <c r="Q270" i="1"/>
  <c r="P270" i="1"/>
  <c r="O270" i="1"/>
  <c r="N270" i="1"/>
  <c r="M270" i="1"/>
  <c r="L270" i="1"/>
  <c r="K270" i="1"/>
  <c r="J270" i="1"/>
  <c r="I270" i="1"/>
  <c r="H270" i="1"/>
  <c r="F270" i="1"/>
  <c r="G270" i="1" s="1"/>
  <c r="T269" i="1"/>
  <c r="S269" i="1"/>
  <c r="R269" i="1"/>
  <c r="Q269" i="1"/>
  <c r="P269" i="1"/>
  <c r="O269" i="1"/>
  <c r="N269" i="1"/>
  <c r="M269" i="1"/>
  <c r="L269" i="1"/>
  <c r="K269" i="1"/>
  <c r="J269" i="1"/>
  <c r="I269" i="1"/>
  <c r="H269" i="1"/>
  <c r="G269" i="1"/>
  <c r="F269" i="1"/>
  <c r="T268" i="1"/>
  <c r="S268" i="1"/>
  <c r="R268" i="1"/>
  <c r="Q268" i="1"/>
  <c r="P268" i="1"/>
  <c r="O268" i="1"/>
  <c r="N268" i="1"/>
  <c r="M268" i="1"/>
  <c r="L268" i="1"/>
  <c r="K268" i="1"/>
  <c r="J268" i="1"/>
  <c r="I268" i="1"/>
  <c r="H268" i="1"/>
  <c r="F268" i="1"/>
  <c r="G268" i="1" s="1"/>
  <c r="T267" i="1"/>
  <c r="S267" i="1"/>
  <c r="R267" i="1"/>
  <c r="Q267" i="1"/>
  <c r="P267" i="1"/>
  <c r="O267" i="1"/>
  <c r="N267" i="1"/>
  <c r="M267" i="1"/>
  <c r="L267" i="1"/>
  <c r="K267" i="1"/>
  <c r="J267" i="1"/>
  <c r="I267" i="1"/>
  <c r="H267" i="1"/>
  <c r="F267" i="1"/>
  <c r="G267" i="1" s="1"/>
  <c r="T266" i="1"/>
  <c r="S266" i="1"/>
  <c r="R266" i="1"/>
  <c r="Q266" i="1"/>
  <c r="P266" i="1"/>
  <c r="O266" i="1"/>
  <c r="N266" i="1"/>
  <c r="M266" i="1"/>
  <c r="L266" i="1"/>
  <c r="K266" i="1"/>
  <c r="J266" i="1"/>
  <c r="I266" i="1"/>
  <c r="H266" i="1"/>
  <c r="G266" i="1"/>
  <c r="F266" i="1"/>
  <c r="T265" i="1"/>
  <c r="S265" i="1"/>
  <c r="R265" i="1"/>
  <c r="Q265" i="1"/>
  <c r="P265" i="1"/>
  <c r="O265" i="1"/>
  <c r="N265" i="1"/>
  <c r="M265" i="1"/>
  <c r="L265" i="1"/>
  <c r="K265" i="1"/>
  <c r="J265" i="1"/>
  <c r="I265" i="1"/>
  <c r="H265" i="1"/>
  <c r="F265" i="1"/>
  <c r="G265" i="1" s="1"/>
  <c r="T264" i="1"/>
  <c r="S264" i="1"/>
  <c r="R264" i="1"/>
  <c r="Q264" i="1"/>
  <c r="P264" i="1"/>
  <c r="O264" i="1"/>
  <c r="N264" i="1"/>
  <c r="M264" i="1"/>
  <c r="L264" i="1"/>
  <c r="K264" i="1"/>
  <c r="J264" i="1"/>
  <c r="I264" i="1"/>
  <c r="H264" i="1"/>
  <c r="F264" i="1"/>
  <c r="G264" i="1" s="1"/>
  <c r="T263" i="1"/>
  <c r="S263" i="1"/>
  <c r="R263" i="1"/>
  <c r="Q263" i="1"/>
  <c r="P263" i="1"/>
  <c r="O263" i="1"/>
  <c r="N263" i="1"/>
  <c r="M263" i="1"/>
  <c r="L263" i="1"/>
  <c r="K263" i="1"/>
  <c r="J263" i="1"/>
  <c r="I263" i="1"/>
  <c r="H263" i="1"/>
  <c r="G263" i="1"/>
  <c r="F263" i="1"/>
  <c r="T262" i="1"/>
  <c r="S262" i="1"/>
  <c r="R262" i="1"/>
  <c r="Q262" i="1"/>
  <c r="P262" i="1"/>
  <c r="O262" i="1"/>
  <c r="N262" i="1"/>
  <c r="M262" i="1"/>
  <c r="L262" i="1"/>
  <c r="K262" i="1"/>
  <c r="J262" i="1"/>
  <c r="I262" i="1"/>
  <c r="H262" i="1"/>
  <c r="F262" i="1"/>
  <c r="G262" i="1" s="1"/>
  <c r="T261" i="1"/>
  <c r="S261" i="1"/>
  <c r="R261" i="1"/>
  <c r="Q261" i="1"/>
  <c r="P261" i="1"/>
  <c r="O261" i="1"/>
  <c r="N261" i="1"/>
  <c r="M261" i="1"/>
  <c r="L261" i="1"/>
  <c r="K261" i="1"/>
  <c r="J261" i="1"/>
  <c r="I261" i="1"/>
  <c r="H261" i="1"/>
  <c r="G261" i="1"/>
  <c r="F261" i="1"/>
  <c r="T260" i="1"/>
  <c r="S260" i="1"/>
  <c r="R260" i="1"/>
  <c r="Q260" i="1"/>
  <c r="P260" i="1"/>
  <c r="O260" i="1"/>
  <c r="N260" i="1"/>
  <c r="M260" i="1"/>
  <c r="L260" i="1"/>
  <c r="K260" i="1"/>
  <c r="J260" i="1"/>
  <c r="I260" i="1"/>
  <c r="H260" i="1"/>
  <c r="F260" i="1"/>
  <c r="G260" i="1" s="1"/>
  <c r="T259" i="1"/>
  <c r="S259" i="1"/>
  <c r="R259" i="1"/>
  <c r="Q259" i="1"/>
  <c r="P259" i="1"/>
  <c r="O259" i="1"/>
  <c r="N259" i="1"/>
  <c r="M259" i="1"/>
  <c r="L259" i="1"/>
  <c r="K259" i="1"/>
  <c r="J259" i="1"/>
  <c r="I259" i="1"/>
  <c r="H259" i="1"/>
  <c r="F259" i="1"/>
  <c r="G259" i="1" s="1"/>
  <c r="T258" i="1"/>
  <c r="S258" i="1"/>
  <c r="R258" i="1"/>
  <c r="Q258" i="1"/>
  <c r="P258" i="1"/>
  <c r="O258" i="1"/>
  <c r="N258" i="1"/>
  <c r="M258" i="1"/>
  <c r="L258" i="1"/>
  <c r="K258" i="1"/>
  <c r="J258" i="1"/>
  <c r="I258" i="1"/>
  <c r="H258" i="1"/>
  <c r="G258" i="1"/>
  <c r="F258" i="1"/>
  <c r="T257" i="1"/>
  <c r="S257" i="1"/>
  <c r="R257" i="1"/>
  <c r="Q257" i="1"/>
  <c r="P257" i="1"/>
  <c r="O257" i="1"/>
  <c r="N257" i="1"/>
  <c r="M257" i="1"/>
  <c r="L257" i="1"/>
  <c r="K257" i="1"/>
  <c r="J257" i="1"/>
  <c r="I257" i="1"/>
  <c r="H257" i="1"/>
  <c r="G257" i="1"/>
  <c r="F257" i="1"/>
  <c r="T256" i="1"/>
  <c r="S256" i="1"/>
  <c r="R256" i="1"/>
  <c r="Q256" i="1"/>
  <c r="P256" i="1"/>
  <c r="O256" i="1"/>
  <c r="N256" i="1"/>
  <c r="M256" i="1"/>
  <c r="L256" i="1"/>
  <c r="K256" i="1"/>
  <c r="J256" i="1"/>
  <c r="I256" i="1"/>
  <c r="H256" i="1"/>
  <c r="F256" i="1"/>
  <c r="G256" i="1" s="1"/>
  <c r="T255" i="1"/>
  <c r="S255" i="1"/>
  <c r="R255" i="1"/>
  <c r="Q255" i="1"/>
  <c r="P255" i="1"/>
  <c r="O255" i="1"/>
  <c r="N255" i="1"/>
  <c r="M255" i="1"/>
  <c r="L255" i="1"/>
  <c r="K255" i="1"/>
  <c r="J255" i="1"/>
  <c r="I255" i="1"/>
  <c r="H255" i="1"/>
  <c r="G255" i="1"/>
  <c r="F255" i="1"/>
  <c r="T254" i="1"/>
  <c r="S254" i="1"/>
  <c r="R254" i="1"/>
  <c r="Q254" i="1"/>
  <c r="P254" i="1"/>
  <c r="O254" i="1"/>
  <c r="N254" i="1"/>
  <c r="M254" i="1"/>
  <c r="L254" i="1"/>
  <c r="K254" i="1"/>
  <c r="J254" i="1"/>
  <c r="I254" i="1"/>
  <c r="H254" i="1"/>
  <c r="F254" i="1"/>
  <c r="G254" i="1" s="1"/>
  <c r="T253" i="1"/>
  <c r="S253" i="1"/>
  <c r="R253" i="1"/>
  <c r="Q253" i="1"/>
  <c r="P253" i="1"/>
  <c r="O253" i="1"/>
  <c r="N253" i="1"/>
  <c r="M253" i="1"/>
  <c r="L253" i="1"/>
  <c r="K253" i="1"/>
  <c r="J253" i="1"/>
  <c r="I253" i="1"/>
  <c r="H253" i="1"/>
  <c r="G253" i="1"/>
  <c r="F253" i="1"/>
  <c r="T252" i="1"/>
  <c r="S252" i="1"/>
  <c r="R252" i="1"/>
  <c r="Q252" i="1"/>
  <c r="P252" i="1"/>
  <c r="O252" i="1"/>
  <c r="N252" i="1"/>
  <c r="M252" i="1"/>
  <c r="L252" i="1"/>
  <c r="K252" i="1"/>
  <c r="J252" i="1"/>
  <c r="I252" i="1"/>
  <c r="H252" i="1"/>
  <c r="F252" i="1"/>
  <c r="G252" i="1" s="1"/>
  <c r="T251" i="1"/>
  <c r="S251" i="1"/>
  <c r="R251" i="1"/>
  <c r="Q251" i="1"/>
  <c r="P251" i="1"/>
  <c r="O251" i="1"/>
  <c r="N251" i="1"/>
  <c r="M251" i="1"/>
  <c r="L251" i="1"/>
  <c r="K251" i="1"/>
  <c r="J251" i="1"/>
  <c r="I251" i="1"/>
  <c r="H251" i="1"/>
  <c r="F251" i="1"/>
  <c r="G251" i="1" s="1"/>
  <c r="T250" i="1"/>
  <c r="S250" i="1"/>
  <c r="R250" i="1"/>
  <c r="Q250" i="1"/>
  <c r="P250" i="1"/>
  <c r="O250" i="1"/>
  <c r="N250" i="1"/>
  <c r="M250" i="1"/>
  <c r="L250" i="1"/>
  <c r="K250" i="1"/>
  <c r="J250" i="1"/>
  <c r="I250" i="1"/>
  <c r="H250" i="1"/>
  <c r="G250" i="1"/>
  <c r="F250" i="1"/>
  <c r="T249" i="1"/>
  <c r="S249" i="1"/>
  <c r="R249" i="1"/>
  <c r="Q249" i="1"/>
  <c r="P249" i="1"/>
  <c r="O249" i="1"/>
  <c r="N249" i="1"/>
  <c r="M249" i="1"/>
  <c r="L249" i="1"/>
  <c r="K249" i="1"/>
  <c r="J249" i="1"/>
  <c r="I249" i="1"/>
  <c r="H249" i="1"/>
  <c r="G249" i="1"/>
  <c r="F249" i="1"/>
  <c r="T248" i="1"/>
  <c r="S248" i="1"/>
  <c r="R248" i="1"/>
  <c r="Q248" i="1"/>
  <c r="P248" i="1"/>
  <c r="O248" i="1"/>
  <c r="N248" i="1"/>
  <c r="M248" i="1"/>
  <c r="L248" i="1"/>
  <c r="K248" i="1"/>
  <c r="J248" i="1"/>
  <c r="I248" i="1"/>
  <c r="H248" i="1"/>
  <c r="F248" i="1"/>
  <c r="G248" i="1" s="1"/>
  <c r="T247" i="1"/>
  <c r="S247" i="1"/>
  <c r="R247" i="1"/>
  <c r="Q247" i="1"/>
  <c r="P247" i="1"/>
  <c r="O247" i="1"/>
  <c r="N247" i="1"/>
  <c r="M247" i="1"/>
  <c r="L247" i="1"/>
  <c r="K247" i="1"/>
  <c r="J247" i="1"/>
  <c r="I247" i="1"/>
  <c r="H247" i="1"/>
  <c r="G247" i="1"/>
  <c r="F247" i="1"/>
  <c r="T246" i="1"/>
  <c r="S246" i="1"/>
  <c r="R246" i="1"/>
  <c r="Q246" i="1"/>
  <c r="P246" i="1"/>
  <c r="O246" i="1"/>
  <c r="N246" i="1"/>
  <c r="M246" i="1"/>
  <c r="L246" i="1"/>
  <c r="K246" i="1"/>
  <c r="J246" i="1"/>
  <c r="I246" i="1"/>
  <c r="H246" i="1"/>
  <c r="F246" i="1"/>
  <c r="G246" i="1" s="1"/>
  <c r="T245" i="1"/>
  <c r="S245" i="1"/>
  <c r="R245" i="1"/>
  <c r="Q245" i="1"/>
  <c r="P245" i="1"/>
  <c r="O245" i="1"/>
  <c r="N245" i="1"/>
  <c r="M245" i="1"/>
  <c r="L245" i="1"/>
  <c r="K245" i="1"/>
  <c r="J245" i="1"/>
  <c r="I245" i="1"/>
  <c r="H245" i="1"/>
  <c r="G245" i="1"/>
  <c r="F245" i="1"/>
  <c r="T244" i="1"/>
  <c r="S244" i="1"/>
  <c r="R244" i="1"/>
  <c r="Q244" i="1"/>
  <c r="P244" i="1"/>
  <c r="O244" i="1"/>
  <c r="N244" i="1"/>
  <c r="M244" i="1"/>
  <c r="L244" i="1"/>
  <c r="K244" i="1"/>
  <c r="J244" i="1"/>
  <c r="I244" i="1"/>
  <c r="H244" i="1"/>
  <c r="F244" i="1"/>
  <c r="G244" i="1" s="1"/>
  <c r="T243" i="1"/>
  <c r="S243" i="1"/>
  <c r="R243" i="1"/>
  <c r="Q243" i="1"/>
  <c r="P243" i="1"/>
  <c r="O243" i="1"/>
  <c r="N243" i="1"/>
  <c r="M243" i="1"/>
  <c r="L243" i="1"/>
  <c r="K243" i="1"/>
  <c r="J243" i="1"/>
  <c r="I243" i="1"/>
  <c r="H243" i="1"/>
  <c r="F243" i="1"/>
  <c r="G243" i="1" s="1"/>
  <c r="T242" i="1"/>
  <c r="S242" i="1"/>
  <c r="R242" i="1"/>
  <c r="Q242" i="1"/>
  <c r="P242" i="1"/>
  <c r="O242" i="1"/>
  <c r="N242" i="1"/>
  <c r="M242" i="1"/>
  <c r="L242" i="1"/>
  <c r="K242" i="1"/>
  <c r="J242" i="1"/>
  <c r="I242" i="1"/>
  <c r="H242" i="1"/>
  <c r="G242" i="1"/>
  <c r="F242" i="1"/>
  <c r="T241" i="1"/>
  <c r="S241" i="1"/>
  <c r="R241" i="1"/>
  <c r="Q241" i="1"/>
  <c r="P241" i="1"/>
  <c r="O241" i="1"/>
  <c r="N241" i="1"/>
  <c r="M241" i="1"/>
  <c r="L241" i="1"/>
  <c r="K241" i="1"/>
  <c r="J241" i="1"/>
  <c r="I241" i="1"/>
  <c r="H241" i="1"/>
  <c r="G241" i="1"/>
  <c r="F241" i="1"/>
  <c r="T240" i="1"/>
  <c r="S240" i="1"/>
  <c r="R240" i="1"/>
  <c r="Q240" i="1"/>
  <c r="P240" i="1"/>
  <c r="O240" i="1"/>
  <c r="N240" i="1"/>
  <c r="M240" i="1"/>
  <c r="L240" i="1"/>
  <c r="K240" i="1"/>
  <c r="J240" i="1"/>
  <c r="I240" i="1"/>
  <c r="H240" i="1"/>
  <c r="F240" i="1"/>
  <c r="G240" i="1" s="1"/>
  <c r="T239" i="1"/>
  <c r="S239" i="1"/>
  <c r="R239" i="1"/>
  <c r="Q239" i="1"/>
  <c r="P239" i="1"/>
  <c r="O239" i="1"/>
  <c r="N239" i="1"/>
  <c r="M239" i="1"/>
  <c r="L239" i="1"/>
  <c r="K239" i="1"/>
  <c r="J239" i="1"/>
  <c r="I239" i="1"/>
  <c r="H239" i="1"/>
  <c r="G239" i="1"/>
  <c r="F239" i="1"/>
  <c r="T238" i="1"/>
  <c r="S238" i="1"/>
  <c r="R238" i="1"/>
  <c r="Q238" i="1"/>
  <c r="P238" i="1"/>
  <c r="O238" i="1"/>
  <c r="N238" i="1"/>
  <c r="M238" i="1"/>
  <c r="L238" i="1"/>
  <c r="K238" i="1"/>
  <c r="J238" i="1"/>
  <c r="I238" i="1"/>
  <c r="H238" i="1"/>
  <c r="F238" i="1"/>
  <c r="G238" i="1" s="1"/>
  <c r="T237" i="1"/>
  <c r="S237" i="1"/>
  <c r="R237" i="1"/>
  <c r="Q237" i="1"/>
  <c r="P237" i="1"/>
  <c r="O237" i="1"/>
  <c r="N237" i="1"/>
  <c r="M237" i="1"/>
  <c r="L237" i="1"/>
  <c r="K237" i="1"/>
  <c r="J237" i="1"/>
  <c r="I237" i="1"/>
  <c r="H237" i="1"/>
  <c r="G237" i="1"/>
  <c r="F237" i="1"/>
  <c r="T236" i="1"/>
  <c r="S236" i="1"/>
  <c r="R236" i="1"/>
  <c r="Q236" i="1"/>
  <c r="P236" i="1"/>
  <c r="O236" i="1"/>
  <c r="N236" i="1"/>
  <c r="M236" i="1"/>
  <c r="L236" i="1"/>
  <c r="K236" i="1"/>
  <c r="J236" i="1"/>
  <c r="I236" i="1"/>
  <c r="H236" i="1"/>
  <c r="F236" i="1"/>
  <c r="G236" i="1" s="1"/>
  <c r="T235" i="1"/>
  <c r="S235" i="1"/>
  <c r="R235" i="1"/>
  <c r="Q235" i="1"/>
  <c r="P235" i="1"/>
  <c r="O235" i="1"/>
  <c r="N235" i="1"/>
  <c r="M235" i="1"/>
  <c r="L235" i="1"/>
  <c r="K235" i="1"/>
  <c r="J235" i="1"/>
  <c r="I235" i="1"/>
  <c r="H235" i="1"/>
  <c r="F235" i="1"/>
  <c r="G235" i="1" s="1"/>
  <c r="T234" i="1"/>
  <c r="S234" i="1"/>
  <c r="R234" i="1"/>
  <c r="Q234" i="1"/>
  <c r="P234" i="1"/>
  <c r="O234" i="1"/>
  <c r="N234" i="1"/>
  <c r="M234" i="1"/>
  <c r="L234" i="1"/>
  <c r="K234" i="1"/>
  <c r="J234" i="1"/>
  <c r="I234" i="1"/>
  <c r="H234" i="1"/>
  <c r="G234" i="1"/>
  <c r="F234" i="1"/>
  <c r="T233" i="1"/>
  <c r="S233" i="1"/>
  <c r="R233" i="1"/>
  <c r="Q233" i="1"/>
  <c r="P233" i="1"/>
  <c r="O233" i="1"/>
  <c r="N233" i="1"/>
  <c r="M233" i="1"/>
  <c r="L233" i="1"/>
  <c r="K233" i="1"/>
  <c r="J233" i="1"/>
  <c r="I233" i="1"/>
  <c r="H233" i="1"/>
  <c r="G233" i="1"/>
  <c r="F233" i="1"/>
  <c r="T232" i="1"/>
  <c r="S232" i="1"/>
  <c r="R232" i="1"/>
  <c r="Q232" i="1"/>
  <c r="P232" i="1"/>
  <c r="O232" i="1"/>
  <c r="N232" i="1"/>
  <c r="M232" i="1"/>
  <c r="L232" i="1"/>
  <c r="K232" i="1"/>
  <c r="J232" i="1"/>
  <c r="I232" i="1"/>
  <c r="H232" i="1"/>
  <c r="F232" i="1"/>
  <c r="G232" i="1" s="1"/>
  <c r="T231" i="1"/>
  <c r="S231" i="1"/>
  <c r="R231" i="1"/>
  <c r="Q231" i="1"/>
  <c r="P231" i="1"/>
  <c r="O231" i="1"/>
  <c r="N231" i="1"/>
  <c r="M231" i="1"/>
  <c r="L231" i="1"/>
  <c r="K231" i="1"/>
  <c r="J231" i="1"/>
  <c r="I231" i="1"/>
  <c r="H231" i="1"/>
  <c r="G231" i="1"/>
  <c r="F231" i="1"/>
  <c r="T230" i="1"/>
  <c r="S230" i="1"/>
  <c r="R230" i="1"/>
  <c r="Q230" i="1"/>
  <c r="P230" i="1"/>
  <c r="O230" i="1"/>
  <c r="N230" i="1"/>
  <c r="M230" i="1"/>
  <c r="L230" i="1"/>
  <c r="K230" i="1"/>
  <c r="J230" i="1"/>
  <c r="I230" i="1"/>
  <c r="H230" i="1"/>
  <c r="F230" i="1"/>
  <c r="G230" i="1" s="1"/>
  <c r="T229" i="1"/>
  <c r="S229" i="1"/>
  <c r="R229" i="1"/>
  <c r="Q229" i="1"/>
  <c r="P229" i="1"/>
  <c r="O229" i="1"/>
  <c r="N229" i="1"/>
  <c r="M229" i="1"/>
  <c r="L229" i="1"/>
  <c r="K229" i="1"/>
  <c r="J229" i="1"/>
  <c r="I229" i="1"/>
  <c r="H229" i="1"/>
  <c r="G229" i="1"/>
  <c r="F229" i="1"/>
  <c r="T228" i="1"/>
  <c r="S228" i="1"/>
  <c r="R228" i="1"/>
  <c r="Q228" i="1"/>
  <c r="P228" i="1"/>
  <c r="O228" i="1"/>
  <c r="N228" i="1"/>
  <c r="M228" i="1"/>
  <c r="L228" i="1"/>
  <c r="K228" i="1"/>
  <c r="J228" i="1"/>
  <c r="I228" i="1"/>
  <c r="H228" i="1"/>
  <c r="F228" i="1"/>
  <c r="G228" i="1" s="1"/>
  <c r="T227" i="1"/>
  <c r="S227" i="1"/>
  <c r="R227" i="1"/>
  <c r="Q227" i="1"/>
  <c r="P227" i="1"/>
  <c r="O227" i="1"/>
  <c r="N227" i="1"/>
  <c r="M227" i="1"/>
  <c r="L227" i="1"/>
  <c r="K227" i="1"/>
  <c r="J227" i="1"/>
  <c r="I227" i="1"/>
  <c r="H227" i="1"/>
  <c r="F227" i="1"/>
  <c r="G227" i="1" s="1"/>
  <c r="T226" i="1"/>
  <c r="S226" i="1"/>
  <c r="R226" i="1"/>
  <c r="Q226" i="1"/>
  <c r="P226" i="1"/>
  <c r="O226" i="1"/>
  <c r="N226" i="1"/>
  <c r="M226" i="1"/>
  <c r="L226" i="1"/>
  <c r="K226" i="1"/>
  <c r="J226" i="1"/>
  <c r="I226" i="1"/>
  <c r="H226" i="1"/>
  <c r="G226" i="1"/>
  <c r="F226" i="1"/>
  <c r="T225" i="1"/>
  <c r="S225" i="1"/>
  <c r="R225" i="1"/>
  <c r="Q225" i="1"/>
  <c r="P225" i="1"/>
  <c r="O225" i="1"/>
  <c r="N225" i="1"/>
  <c r="M225" i="1"/>
  <c r="L225" i="1"/>
  <c r="K225" i="1"/>
  <c r="J225" i="1"/>
  <c r="I225" i="1"/>
  <c r="H225" i="1"/>
  <c r="G225" i="1"/>
  <c r="F225" i="1"/>
  <c r="T224" i="1"/>
  <c r="S224" i="1"/>
  <c r="R224" i="1"/>
  <c r="Q224" i="1"/>
  <c r="P224" i="1"/>
  <c r="O224" i="1"/>
  <c r="N224" i="1"/>
  <c r="M224" i="1"/>
  <c r="L224" i="1"/>
  <c r="K224" i="1"/>
  <c r="J224" i="1"/>
  <c r="I224" i="1"/>
  <c r="H224" i="1"/>
  <c r="F224" i="1"/>
  <c r="G224" i="1" s="1"/>
  <c r="T223" i="1"/>
  <c r="S223" i="1"/>
  <c r="R223" i="1"/>
  <c r="Q223" i="1"/>
  <c r="P223" i="1"/>
  <c r="O223" i="1"/>
  <c r="N223" i="1"/>
  <c r="M223" i="1"/>
  <c r="L223" i="1"/>
  <c r="K223" i="1"/>
  <c r="J223" i="1"/>
  <c r="I223" i="1"/>
  <c r="H223" i="1"/>
  <c r="G223" i="1"/>
  <c r="F223" i="1"/>
  <c r="T222" i="1"/>
  <c r="S222" i="1"/>
  <c r="R222" i="1"/>
  <c r="Q222" i="1"/>
  <c r="P222" i="1"/>
  <c r="O222" i="1"/>
  <c r="N222" i="1"/>
  <c r="M222" i="1"/>
  <c r="L222" i="1"/>
  <c r="K222" i="1"/>
  <c r="J222" i="1"/>
  <c r="I222" i="1"/>
  <c r="H222" i="1"/>
  <c r="F222" i="1"/>
  <c r="G222" i="1" s="1"/>
  <c r="T221" i="1"/>
  <c r="S221" i="1"/>
  <c r="R221" i="1"/>
  <c r="Q221" i="1"/>
  <c r="P221" i="1"/>
  <c r="O221" i="1"/>
  <c r="N221" i="1"/>
  <c r="M221" i="1"/>
  <c r="L221" i="1"/>
  <c r="K221" i="1"/>
  <c r="J221" i="1"/>
  <c r="I221" i="1"/>
  <c r="H221" i="1"/>
  <c r="G221" i="1"/>
  <c r="F221" i="1"/>
  <c r="T220" i="1"/>
  <c r="S220" i="1"/>
  <c r="R220" i="1"/>
  <c r="Q220" i="1"/>
  <c r="P220" i="1"/>
  <c r="O220" i="1"/>
  <c r="N220" i="1"/>
  <c r="M220" i="1"/>
  <c r="L220" i="1"/>
  <c r="K220" i="1"/>
  <c r="J220" i="1"/>
  <c r="I220" i="1"/>
  <c r="H220" i="1"/>
  <c r="F220" i="1"/>
  <c r="G220" i="1" s="1"/>
  <c r="T219" i="1"/>
  <c r="S219" i="1"/>
  <c r="R219" i="1"/>
  <c r="Q219" i="1"/>
  <c r="P219" i="1"/>
  <c r="O219" i="1"/>
  <c r="N219" i="1"/>
  <c r="M219" i="1"/>
  <c r="L219" i="1"/>
  <c r="K219" i="1"/>
  <c r="J219" i="1"/>
  <c r="I219" i="1"/>
  <c r="H219" i="1"/>
  <c r="F219" i="1"/>
  <c r="G219" i="1" s="1"/>
  <c r="T218" i="1"/>
  <c r="S218" i="1"/>
  <c r="R218" i="1"/>
  <c r="Q218" i="1"/>
  <c r="P218" i="1"/>
  <c r="O218" i="1"/>
  <c r="N218" i="1"/>
  <c r="M218" i="1"/>
  <c r="L218" i="1"/>
  <c r="K218" i="1"/>
  <c r="J218" i="1"/>
  <c r="I218" i="1"/>
  <c r="H218" i="1"/>
  <c r="G218" i="1"/>
  <c r="F218" i="1"/>
  <c r="T217" i="1"/>
  <c r="S217" i="1"/>
  <c r="R217" i="1"/>
  <c r="Q217" i="1"/>
  <c r="P217" i="1"/>
  <c r="O217" i="1"/>
  <c r="N217" i="1"/>
  <c r="M217" i="1"/>
  <c r="L217" i="1"/>
  <c r="K217" i="1"/>
  <c r="J217" i="1"/>
  <c r="I217" i="1"/>
  <c r="H217" i="1"/>
  <c r="G217" i="1"/>
  <c r="F217" i="1"/>
  <c r="T216" i="1"/>
  <c r="S216" i="1"/>
  <c r="R216" i="1"/>
  <c r="Q216" i="1"/>
  <c r="P216" i="1"/>
  <c r="O216" i="1"/>
  <c r="N216" i="1"/>
  <c r="M216" i="1"/>
  <c r="L216" i="1"/>
  <c r="K216" i="1"/>
  <c r="J216" i="1"/>
  <c r="I216" i="1"/>
  <c r="H216" i="1"/>
  <c r="F216" i="1"/>
  <c r="G216" i="1" s="1"/>
  <c r="T215" i="1"/>
  <c r="S215" i="1"/>
  <c r="R215" i="1"/>
  <c r="Q215" i="1"/>
  <c r="P215" i="1"/>
  <c r="O215" i="1"/>
  <c r="N215" i="1"/>
  <c r="M215" i="1"/>
  <c r="L215" i="1"/>
  <c r="K215" i="1"/>
  <c r="J215" i="1"/>
  <c r="I215" i="1"/>
  <c r="H215" i="1"/>
  <c r="G215" i="1"/>
  <c r="F215" i="1"/>
  <c r="T214" i="1"/>
  <c r="S214" i="1"/>
  <c r="R214" i="1"/>
  <c r="Q214" i="1"/>
  <c r="P214" i="1"/>
  <c r="O214" i="1"/>
  <c r="N214" i="1"/>
  <c r="M214" i="1"/>
  <c r="L214" i="1"/>
  <c r="K214" i="1"/>
  <c r="J214" i="1"/>
  <c r="I214" i="1"/>
  <c r="H214" i="1"/>
  <c r="F214" i="1"/>
  <c r="G214" i="1" s="1"/>
  <c r="T213" i="1"/>
  <c r="S213" i="1"/>
  <c r="R213" i="1"/>
  <c r="Q213" i="1"/>
  <c r="P213" i="1"/>
  <c r="O213" i="1"/>
  <c r="N213" i="1"/>
  <c r="M213" i="1"/>
  <c r="L213" i="1"/>
  <c r="K213" i="1"/>
  <c r="J213" i="1"/>
  <c r="I213" i="1"/>
  <c r="H213" i="1"/>
  <c r="G213" i="1"/>
  <c r="F213" i="1"/>
  <c r="T212" i="1"/>
  <c r="S212" i="1"/>
  <c r="R212" i="1"/>
  <c r="Q212" i="1"/>
  <c r="P212" i="1"/>
  <c r="O212" i="1"/>
  <c r="N212" i="1"/>
  <c r="M212" i="1"/>
  <c r="L212" i="1"/>
  <c r="K212" i="1"/>
  <c r="J212" i="1"/>
  <c r="I212" i="1"/>
  <c r="H212" i="1"/>
  <c r="F212" i="1"/>
  <c r="G212" i="1" s="1"/>
  <c r="T211" i="1"/>
  <c r="S211" i="1"/>
  <c r="R211" i="1"/>
  <c r="Q211" i="1"/>
  <c r="P211" i="1"/>
  <c r="O211" i="1"/>
  <c r="N211" i="1"/>
  <c r="M211" i="1"/>
  <c r="L211" i="1"/>
  <c r="K211" i="1"/>
  <c r="J211" i="1"/>
  <c r="I211" i="1"/>
  <c r="H211" i="1"/>
  <c r="F211" i="1"/>
  <c r="G211" i="1" s="1"/>
  <c r="T210" i="1"/>
  <c r="S210" i="1"/>
  <c r="R210" i="1"/>
  <c r="Q210" i="1"/>
  <c r="P210" i="1"/>
  <c r="O210" i="1"/>
  <c r="N210" i="1"/>
  <c r="M210" i="1"/>
  <c r="L210" i="1"/>
  <c r="K210" i="1"/>
  <c r="J210" i="1"/>
  <c r="I210" i="1"/>
  <c r="H210" i="1"/>
  <c r="G210" i="1"/>
  <c r="F210" i="1"/>
  <c r="T209" i="1"/>
  <c r="S209" i="1"/>
  <c r="R209" i="1"/>
  <c r="Q209" i="1"/>
  <c r="P209" i="1"/>
  <c r="O209" i="1"/>
  <c r="N209" i="1"/>
  <c r="M209" i="1"/>
  <c r="L209" i="1"/>
  <c r="K209" i="1"/>
  <c r="J209" i="1"/>
  <c r="I209" i="1"/>
  <c r="H209" i="1"/>
  <c r="G209" i="1"/>
  <c r="F209" i="1"/>
  <c r="T208" i="1"/>
  <c r="S208" i="1"/>
  <c r="R208" i="1"/>
  <c r="Q208" i="1"/>
  <c r="P208" i="1"/>
  <c r="O208" i="1"/>
  <c r="N208" i="1"/>
  <c r="M208" i="1"/>
  <c r="L208" i="1"/>
  <c r="K208" i="1"/>
  <c r="J208" i="1"/>
  <c r="I208" i="1"/>
  <c r="H208" i="1"/>
  <c r="F208" i="1"/>
  <c r="G208" i="1" s="1"/>
  <c r="T207" i="1"/>
  <c r="S207" i="1"/>
  <c r="R207" i="1"/>
  <c r="Q207" i="1"/>
  <c r="P207" i="1"/>
  <c r="O207" i="1"/>
  <c r="N207" i="1"/>
  <c r="M207" i="1"/>
  <c r="L207" i="1"/>
  <c r="K207" i="1"/>
  <c r="J207" i="1"/>
  <c r="I207" i="1"/>
  <c r="H207" i="1"/>
  <c r="G207" i="1"/>
  <c r="F207" i="1"/>
  <c r="T206" i="1"/>
  <c r="S206" i="1"/>
  <c r="R206" i="1"/>
  <c r="Q206" i="1"/>
  <c r="P206" i="1"/>
  <c r="O206" i="1"/>
  <c r="N206" i="1"/>
  <c r="M206" i="1"/>
  <c r="L206" i="1"/>
  <c r="K206" i="1"/>
  <c r="J206" i="1"/>
  <c r="I206" i="1"/>
  <c r="H206" i="1"/>
  <c r="F206" i="1"/>
  <c r="G206" i="1" s="1"/>
  <c r="T205" i="1"/>
  <c r="S205" i="1"/>
  <c r="R205" i="1"/>
  <c r="Q205" i="1"/>
  <c r="P205" i="1"/>
  <c r="O205" i="1"/>
  <c r="N205" i="1"/>
  <c r="M205" i="1"/>
  <c r="L205" i="1"/>
  <c r="K205" i="1"/>
  <c r="J205" i="1"/>
  <c r="I205" i="1"/>
  <c r="H205" i="1"/>
  <c r="G205" i="1"/>
  <c r="F205" i="1"/>
  <c r="T204" i="1"/>
  <c r="S204" i="1"/>
  <c r="R204" i="1"/>
  <c r="Q204" i="1"/>
  <c r="P204" i="1"/>
  <c r="O204" i="1"/>
  <c r="N204" i="1"/>
  <c r="M204" i="1"/>
  <c r="L204" i="1"/>
  <c r="K204" i="1"/>
  <c r="J204" i="1"/>
  <c r="I204" i="1"/>
  <c r="H204" i="1"/>
  <c r="F204" i="1"/>
  <c r="G204" i="1" s="1"/>
  <c r="T203" i="1"/>
  <c r="S203" i="1"/>
  <c r="R203" i="1"/>
  <c r="Q203" i="1"/>
  <c r="P203" i="1"/>
  <c r="O203" i="1"/>
  <c r="N203" i="1"/>
  <c r="M203" i="1"/>
  <c r="L203" i="1"/>
  <c r="K203" i="1"/>
  <c r="J203" i="1"/>
  <c r="I203" i="1"/>
  <c r="H203" i="1"/>
  <c r="F203" i="1"/>
  <c r="G203" i="1" s="1"/>
  <c r="T202" i="1"/>
  <c r="S202" i="1"/>
  <c r="R202" i="1"/>
  <c r="Q202" i="1"/>
  <c r="P202" i="1"/>
  <c r="O202" i="1"/>
  <c r="N202" i="1"/>
  <c r="M202" i="1"/>
  <c r="L202" i="1"/>
  <c r="K202" i="1"/>
  <c r="J202" i="1"/>
  <c r="I202" i="1"/>
  <c r="H202" i="1"/>
  <c r="G202" i="1"/>
  <c r="F202" i="1"/>
  <c r="T201" i="1"/>
  <c r="S201" i="1"/>
  <c r="R201" i="1"/>
  <c r="Q201" i="1"/>
  <c r="P201" i="1"/>
  <c r="O201" i="1"/>
  <c r="N201" i="1"/>
  <c r="M201" i="1"/>
  <c r="L201" i="1"/>
  <c r="K201" i="1"/>
  <c r="J201" i="1"/>
  <c r="I201" i="1"/>
  <c r="H201" i="1"/>
  <c r="F201" i="1"/>
  <c r="G201" i="1" s="1"/>
  <c r="T200" i="1"/>
  <c r="S200" i="1"/>
  <c r="R200" i="1"/>
  <c r="Q200" i="1"/>
  <c r="P200" i="1"/>
  <c r="O200" i="1"/>
  <c r="N200" i="1"/>
  <c r="M200" i="1"/>
  <c r="L200" i="1"/>
  <c r="K200" i="1"/>
  <c r="J200" i="1"/>
  <c r="I200" i="1"/>
  <c r="H200" i="1"/>
  <c r="F200" i="1"/>
  <c r="G200" i="1" s="1"/>
  <c r="T199" i="1"/>
  <c r="S199" i="1"/>
  <c r="R199" i="1"/>
  <c r="Q199" i="1"/>
  <c r="P199" i="1"/>
  <c r="O199" i="1"/>
  <c r="N199" i="1"/>
  <c r="M199" i="1"/>
  <c r="L199" i="1"/>
  <c r="K199" i="1"/>
  <c r="J199" i="1"/>
  <c r="I199" i="1"/>
  <c r="H199" i="1"/>
  <c r="G199" i="1"/>
  <c r="F199" i="1"/>
  <c r="T198" i="1"/>
  <c r="S198" i="1"/>
  <c r="R198" i="1"/>
  <c r="Q198" i="1"/>
  <c r="P198" i="1"/>
  <c r="O198" i="1"/>
  <c r="N198" i="1"/>
  <c r="M198" i="1"/>
  <c r="L198" i="1"/>
  <c r="K198" i="1"/>
  <c r="J198" i="1"/>
  <c r="I198" i="1"/>
  <c r="H198" i="1"/>
  <c r="F198" i="1"/>
  <c r="G198" i="1" s="1"/>
  <c r="T197" i="1"/>
  <c r="S197" i="1"/>
  <c r="R197" i="1"/>
  <c r="Q197" i="1"/>
  <c r="P197" i="1"/>
  <c r="O197" i="1"/>
  <c r="N197" i="1"/>
  <c r="M197" i="1"/>
  <c r="L197" i="1"/>
  <c r="K197" i="1"/>
  <c r="J197" i="1"/>
  <c r="I197" i="1"/>
  <c r="H197" i="1"/>
  <c r="G197" i="1"/>
  <c r="F197" i="1"/>
  <c r="T196" i="1"/>
  <c r="S196" i="1"/>
  <c r="R196" i="1"/>
  <c r="Q196" i="1"/>
  <c r="P196" i="1"/>
  <c r="O196" i="1"/>
  <c r="N196" i="1"/>
  <c r="M196" i="1"/>
  <c r="L196" i="1"/>
  <c r="K196" i="1"/>
  <c r="J196" i="1"/>
  <c r="I196" i="1"/>
  <c r="H196" i="1"/>
  <c r="F196" i="1"/>
  <c r="G196" i="1" s="1"/>
  <c r="T195" i="1"/>
  <c r="S195" i="1"/>
  <c r="R195" i="1"/>
  <c r="Q195" i="1"/>
  <c r="P195" i="1"/>
  <c r="O195" i="1"/>
  <c r="N195" i="1"/>
  <c r="M195" i="1"/>
  <c r="L195" i="1"/>
  <c r="K195" i="1"/>
  <c r="J195" i="1"/>
  <c r="I195" i="1"/>
  <c r="H195" i="1"/>
  <c r="F195" i="1"/>
  <c r="G195" i="1" s="1"/>
  <c r="T194" i="1"/>
  <c r="S194" i="1"/>
  <c r="R194" i="1"/>
  <c r="Q194" i="1"/>
  <c r="P194" i="1"/>
  <c r="O194" i="1"/>
  <c r="N194" i="1"/>
  <c r="M194" i="1"/>
  <c r="L194" i="1"/>
  <c r="K194" i="1"/>
  <c r="J194" i="1"/>
  <c r="I194" i="1"/>
  <c r="H194" i="1"/>
  <c r="G194" i="1"/>
  <c r="F194" i="1"/>
  <c r="T193" i="1"/>
  <c r="S193" i="1"/>
  <c r="R193" i="1"/>
  <c r="Q193" i="1"/>
  <c r="P193" i="1"/>
  <c r="O193" i="1"/>
  <c r="N193" i="1"/>
  <c r="M193" i="1"/>
  <c r="L193" i="1"/>
  <c r="K193" i="1"/>
  <c r="J193" i="1"/>
  <c r="I193" i="1"/>
  <c r="H193" i="1"/>
  <c r="G193" i="1"/>
  <c r="F193" i="1"/>
  <c r="T192" i="1"/>
  <c r="S192" i="1"/>
  <c r="R192" i="1"/>
  <c r="Q192" i="1"/>
  <c r="P192" i="1"/>
  <c r="O192" i="1"/>
  <c r="N192" i="1"/>
  <c r="M192" i="1"/>
  <c r="L192" i="1"/>
  <c r="K192" i="1"/>
  <c r="J192" i="1"/>
  <c r="I192" i="1"/>
  <c r="H192" i="1"/>
  <c r="F192" i="1"/>
  <c r="G192" i="1" s="1"/>
  <c r="T191" i="1"/>
  <c r="S191" i="1"/>
  <c r="R191" i="1"/>
  <c r="Q191" i="1"/>
  <c r="P191" i="1"/>
  <c r="O191" i="1"/>
  <c r="N191" i="1"/>
  <c r="M191" i="1"/>
  <c r="L191" i="1"/>
  <c r="K191" i="1"/>
  <c r="J191" i="1"/>
  <c r="I191" i="1"/>
  <c r="H191" i="1"/>
  <c r="G191" i="1"/>
  <c r="F191" i="1"/>
  <c r="T190" i="1"/>
  <c r="S190" i="1"/>
  <c r="R190" i="1"/>
  <c r="Q190" i="1"/>
  <c r="P190" i="1"/>
  <c r="O190" i="1"/>
  <c r="N190" i="1"/>
  <c r="M190" i="1"/>
  <c r="L190" i="1"/>
  <c r="K190" i="1"/>
  <c r="J190" i="1"/>
  <c r="I190" i="1"/>
  <c r="H190" i="1"/>
  <c r="F190" i="1"/>
  <c r="G190" i="1" s="1"/>
  <c r="T189" i="1"/>
  <c r="S189" i="1"/>
  <c r="R189" i="1"/>
  <c r="Q189" i="1"/>
  <c r="P189" i="1"/>
  <c r="O189" i="1"/>
  <c r="N189" i="1"/>
  <c r="M189" i="1"/>
  <c r="L189" i="1"/>
  <c r="K189" i="1"/>
  <c r="J189" i="1"/>
  <c r="I189" i="1"/>
  <c r="H189" i="1"/>
  <c r="G189" i="1"/>
  <c r="F189" i="1"/>
  <c r="T188" i="1"/>
  <c r="S188" i="1"/>
  <c r="R188" i="1"/>
  <c r="Q188" i="1"/>
  <c r="P188" i="1"/>
  <c r="O188" i="1"/>
  <c r="N188" i="1"/>
  <c r="M188" i="1"/>
  <c r="L188" i="1"/>
  <c r="K188" i="1"/>
  <c r="J188" i="1"/>
  <c r="I188" i="1"/>
  <c r="H188" i="1"/>
  <c r="G188" i="1"/>
  <c r="F188" i="1"/>
  <c r="T187" i="1"/>
  <c r="S187" i="1"/>
  <c r="R187" i="1"/>
  <c r="Q187" i="1"/>
  <c r="P187" i="1"/>
  <c r="O187" i="1"/>
  <c r="N187" i="1"/>
  <c r="M187" i="1"/>
  <c r="L187" i="1"/>
  <c r="K187" i="1"/>
  <c r="J187" i="1"/>
  <c r="I187" i="1"/>
  <c r="H187" i="1"/>
  <c r="F187" i="1"/>
  <c r="G187" i="1" s="1"/>
  <c r="T186" i="1"/>
  <c r="S186" i="1"/>
  <c r="R186" i="1"/>
  <c r="Q186" i="1"/>
  <c r="P186" i="1"/>
  <c r="O186" i="1"/>
  <c r="N186" i="1"/>
  <c r="M186" i="1"/>
  <c r="L186" i="1"/>
  <c r="K186" i="1"/>
  <c r="J186" i="1"/>
  <c r="I186" i="1"/>
  <c r="H186" i="1"/>
  <c r="G186" i="1"/>
  <c r="F186" i="1"/>
  <c r="T185" i="1"/>
  <c r="S185" i="1"/>
  <c r="R185" i="1"/>
  <c r="Q185" i="1"/>
  <c r="P185" i="1"/>
  <c r="O185" i="1"/>
  <c r="N185" i="1"/>
  <c r="M185" i="1"/>
  <c r="L185" i="1"/>
  <c r="K185" i="1"/>
  <c r="J185" i="1"/>
  <c r="I185" i="1"/>
  <c r="H185" i="1"/>
  <c r="F185" i="1"/>
  <c r="G185" i="1" s="1"/>
  <c r="T184" i="1"/>
  <c r="S184" i="1"/>
  <c r="R184" i="1"/>
  <c r="Q184" i="1"/>
  <c r="P184" i="1"/>
  <c r="O184" i="1"/>
  <c r="N184" i="1"/>
  <c r="M184" i="1"/>
  <c r="L184" i="1"/>
  <c r="K184" i="1"/>
  <c r="J184" i="1"/>
  <c r="I184" i="1"/>
  <c r="H184" i="1"/>
  <c r="F184" i="1"/>
  <c r="G184" i="1" s="1"/>
  <c r="T183" i="1"/>
  <c r="S183" i="1"/>
  <c r="R183" i="1"/>
  <c r="Q183" i="1"/>
  <c r="P183" i="1"/>
  <c r="O183" i="1"/>
  <c r="N183" i="1"/>
  <c r="M183" i="1"/>
  <c r="L183" i="1"/>
  <c r="K183" i="1"/>
  <c r="J183" i="1"/>
  <c r="I183" i="1"/>
  <c r="H183" i="1"/>
  <c r="G183" i="1"/>
  <c r="F183" i="1"/>
  <c r="T182" i="1"/>
  <c r="S182" i="1"/>
  <c r="R182" i="1"/>
  <c r="Q182" i="1"/>
  <c r="P182" i="1"/>
  <c r="O182" i="1"/>
  <c r="N182" i="1"/>
  <c r="M182" i="1"/>
  <c r="L182" i="1"/>
  <c r="K182" i="1"/>
  <c r="J182" i="1"/>
  <c r="I182" i="1"/>
  <c r="H182" i="1"/>
  <c r="F182" i="1"/>
  <c r="G182" i="1" s="1"/>
  <c r="T181" i="1"/>
  <c r="S181" i="1"/>
  <c r="R181" i="1"/>
  <c r="Q181" i="1"/>
  <c r="P181" i="1"/>
  <c r="O181" i="1"/>
  <c r="N181" i="1"/>
  <c r="M181" i="1"/>
  <c r="L181" i="1"/>
  <c r="K181" i="1"/>
  <c r="J181" i="1"/>
  <c r="I181" i="1"/>
  <c r="H181" i="1"/>
  <c r="G181" i="1"/>
  <c r="F181" i="1"/>
  <c r="T180" i="1"/>
  <c r="S180" i="1"/>
  <c r="R180" i="1"/>
  <c r="Q180" i="1"/>
  <c r="P180" i="1"/>
  <c r="O180" i="1"/>
  <c r="N180" i="1"/>
  <c r="M180" i="1"/>
  <c r="L180" i="1"/>
  <c r="K180" i="1"/>
  <c r="J180" i="1"/>
  <c r="I180" i="1"/>
  <c r="H180" i="1"/>
  <c r="G180" i="1"/>
  <c r="F180" i="1"/>
  <c r="T179" i="1"/>
  <c r="S179" i="1"/>
  <c r="R179" i="1"/>
  <c r="Q179" i="1"/>
  <c r="P179" i="1"/>
  <c r="O179" i="1"/>
  <c r="N179" i="1"/>
  <c r="M179" i="1"/>
  <c r="L179" i="1"/>
  <c r="K179" i="1"/>
  <c r="J179" i="1"/>
  <c r="I179" i="1"/>
  <c r="H179" i="1"/>
  <c r="F179" i="1"/>
  <c r="G179" i="1" s="1"/>
  <c r="T178" i="1"/>
  <c r="S178" i="1"/>
  <c r="R178" i="1"/>
  <c r="Q178" i="1"/>
  <c r="P178" i="1"/>
  <c r="O178" i="1"/>
  <c r="N178" i="1"/>
  <c r="M178" i="1"/>
  <c r="L178" i="1"/>
  <c r="K178" i="1"/>
  <c r="J178" i="1"/>
  <c r="I178" i="1"/>
  <c r="H178" i="1"/>
  <c r="G178" i="1"/>
  <c r="F178" i="1"/>
  <c r="T177" i="1"/>
  <c r="S177" i="1"/>
  <c r="R177" i="1"/>
  <c r="Q177" i="1"/>
  <c r="P177" i="1"/>
  <c r="O177" i="1"/>
  <c r="N177" i="1"/>
  <c r="M177" i="1"/>
  <c r="L177" i="1"/>
  <c r="K177" i="1"/>
  <c r="J177" i="1"/>
  <c r="I177" i="1"/>
  <c r="H177" i="1"/>
  <c r="G177" i="1"/>
  <c r="F177" i="1"/>
  <c r="T176" i="1"/>
  <c r="S176" i="1"/>
  <c r="R176" i="1"/>
  <c r="Q176" i="1"/>
  <c r="P176" i="1"/>
  <c r="O176" i="1"/>
  <c r="N176" i="1"/>
  <c r="M176" i="1"/>
  <c r="L176" i="1"/>
  <c r="K176" i="1"/>
  <c r="J176" i="1"/>
  <c r="I176" i="1"/>
  <c r="H176" i="1"/>
  <c r="F176" i="1"/>
  <c r="G176" i="1" s="1"/>
  <c r="T175" i="1"/>
  <c r="S175" i="1"/>
  <c r="R175" i="1"/>
  <c r="Q175" i="1"/>
  <c r="P175" i="1"/>
  <c r="O175" i="1"/>
  <c r="N175" i="1"/>
  <c r="M175" i="1"/>
  <c r="L175" i="1"/>
  <c r="K175" i="1"/>
  <c r="J175" i="1"/>
  <c r="I175" i="1"/>
  <c r="H175" i="1"/>
  <c r="G175" i="1"/>
  <c r="F175" i="1"/>
  <c r="T174" i="1"/>
  <c r="S174" i="1"/>
  <c r="R174" i="1"/>
  <c r="Q174" i="1"/>
  <c r="P174" i="1"/>
  <c r="O174" i="1"/>
  <c r="N174" i="1"/>
  <c r="M174" i="1"/>
  <c r="L174" i="1"/>
  <c r="K174" i="1"/>
  <c r="J174" i="1"/>
  <c r="I174" i="1"/>
  <c r="H174" i="1"/>
  <c r="F174" i="1"/>
  <c r="G174" i="1" s="1"/>
  <c r="T173" i="1"/>
  <c r="S173" i="1"/>
  <c r="R173" i="1"/>
  <c r="Q173" i="1"/>
  <c r="P173" i="1"/>
  <c r="O173" i="1"/>
  <c r="N173" i="1"/>
  <c r="M173" i="1"/>
  <c r="L173" i="1"/>
  <c r="K173" i="1"/>
  <c r="J173" i="1"/>
  <c r="I173" i="1"/>
  <c r="H173" i="1"/>
  <c r="G173" i="1"/>
  <c r="F173" i="1"/>
  <c r="T172" i="1"/>
  <c r="S172" i="1"/>
  <c r="R172" i="1"/>
  <c r="Q172" i="1"/>
  <c r="P172" i="1"/>
  <c r="O172" i="1"/>
  <c r="N172" i="1"/>
  <c r="M172" i="1"/>
  <c r="L172" i="1"/>
  <c r="K172" i="1"/>
  <c r="J172" i="1"/>
  <c r="I172" i="1"/>
  <c r="H172" i="1"/>
  <c r="F172" i="1"/>
  <c r="G172" i="1" s="1"/>
  <c r="T171" i="1"/>
  <c r="S171" i="1"/>
  <c r="R171" i="1"/>
  <c r="Q171" i="1"/>
  <c r="P171" i="1"/>
  <c r="O171" i="1"/>
  <c r="N171" i="1"/>
  <c r="M171" i="1"/>
  <c r="L171" i="1"/>
  <c r="K171" i="1"/>
  <c r="J171" i="1"/>
  <c r="I171" i="1"/>
  <c r="H171" i="1"/>
  <c r="F171" i="1"/>
  <c r="G171" i="1" s="1"/>
  <c r="T170" i="1"/>
  <c r="S170" i="1"/>
  <c r="R170" i="1"/>
  <c r="Q170" i="1"/>
  <c r="P170" i="1"/>
  <c r="O170" i="1"/>
  <c r="N170" i="1"/>
  <c r="M170" i="1"/>
  <c r="L170" i="1"/>
  <c r="K170" i="1"/>
  <c r="J170" i="1"/>
  <c r="I170" i="1"/>
  <c r="H170" i="1"/>
  <c r="G170" i="1"/>
  <c r="F170" i="1"/>
  <c r="T169" i="1"/>
  <c r="S169" i="1"/>
  <c r="R169" i="1"/>
  <c r="Q169" i="1"/>
  <c r="P169" i="1"/>
  <c r="O169" i="1"/>
  <c r="N169" i="1"/>
  <c r="M169" i="1"/>
  <c r="L169" i="1"/>
  <c r="K169" i="1"/>
  <c r="J169" i="1"/>
  <c r="I169" i="1"/>
  <c r="H169" i="1"/>
  <c r="F169" i="1"/>
  <c r="G169" i="1" s="1"/>
  <c r="T168" i="1"/>
  <c r="S168" i="1"/>
  <c r="R168" i="1"/>
  <c r="Q168" i="1"/>
  <c r="P168" i="1"/>
  <c r="O168" i="1"/>
  <c r="N168" i="1"/>
  <c r="M168" i="1"/>
  <c r="L168" i="1"/>
  <c r="K168" i="1"/>
  <c r="J168" i="1"/>
  <c r="I168" i="1"/>
  <c r="H168" i="1"/>
  <c r="F168" i="1"/>
  <c r="G168" i="1" s="1"/>
  <c r="T167" i="1"/>
  <c r="S167" i="1"/>
  <c r="R167" i="1"/>
  <c r="Q167" i="1"/>
  <c r="P167" i="1"/>
  <c r="O167" i="1"/>
  <c r="N167" i="1"/>
  <c r="M167" i="1"/>
  <c r="L167" i="1"/>
  <c r="K167" i="1"/>
  <c r="J167" i="1"/>
  <c r="I167" i="1"/>
  <c r="H167" i="1"/>
  <c r="G167" i="1"/>
  <c r="F167" i="1"/>
  <c r="T166" i="1"/>
  <c r="S166" i="1"/>
  <c r="R166" i="1"/>
  <c r="Q166" i="1"/>
  <c r="P166" i="1"/>
  <c r="O166" i="1"/>
  <c r="N166" i="1"/>
  <c r="M166" i="1"/>
  <c r="L166" i="1"/>
  <c r="K166" i="1"/>
  <c r="J166" i="1"/>
  <c r="I166" i="1"/>
  <c r="H166" i="1"/>
  <c r="F166" i="1"/>
  <c r="G166" i="1" s="1"/>
  <c r="T165" i="1"/>
  <c r="S165" i="1"/>
  <c r="R165" i="1"/>
  <c r="Q165" i="1"/>
  <c r="P165" i="1"/>
  <c r="O165" i="1"/>
  <c r="N165" i="1"/>
  <c r="M165" i="1"/>
  <c r="L165" i="1"/>
  <c r="K165" i="1"/>
  <c r="J165" i="1"/>
  <c r="I165" i="1"/>
  <c r="H165" i="1"/>
  <c r="G165" i="1"/>
  <c r="F165" i="1"/>
  <c r="T164" i="1"/>
  <c r="S164" i="1"/>
  <c r="R164" i="1"/>
  <c r="Q164" i="1"/>
  <c r="P164" i="1"/>
  <c r="O164" i="1"/>
  <c r="N164" i="1"/>
  <c r="M164" i="1"/>
  <c r="L164" i="1"/>
  <c r="K164" i="1"/>
  <c r="J164" i="1"/>
  <c r="I164" i="1"/>
  <c r="H164" i="1"/>
  <c r="G164" i="1"/>
  <c r="F164" i="1"/>
  <c r="T163" i="1"/>
  <c r="S163" i="1"/>
  <c r="R163" i="1"/>
  <c r="Q163" i="1"/>
  <c r="P163" i="1"/>
  <c r="O163" i="1"/>
  <c r="N163" i="1"/>
  <c r="M163" i="1"/>
  <c r="L163" i="1"/>
  <c r="K163" i="1"/>
  <c r="J163" i="1"/>
  <c r="I163" i="1"/>
  <c r="H163" i="1"/>
  <c r="F163" i="1"/>
  <c r="G163" i="1" s="1"/>
  <c r="T162" i="1"/>
  <c r="S162" i="1"/>
  <c r="R162" i="1"/>
  <c r="Q162" i="1"/>
  <c r="P162" i="1"/>
  <c r="O162" i="1"/>
  <c r="N162" i="1"/>
  <c r="M162" i="1"/>
  <c r="L162" i="1"/>
  <c r="K162" i="1"/>
  <c r="J162" i="1"/>
  <c r="I162" i="1"/>
  <c r="H162" i="1"/>
  <c r="F162" i="1"/>
  <c r="G162" i="1" s="1"/>
  <c r="T161" i="1"/>
  <c r="S161" i="1"/>
  <c r="R161" i="1"/>
  <c r="Q161" i="1"/>
  <c r="P161" i="1"/>
  <c r="O161" i="1"/>
  <c r="N161" i="1"/>
  <c r="M161" i="1"/>
  <c r="L161" i="1"/>
  <c r="K161" i="1"/>
  <c r="J161" i="1"/>
  <c r="I161" i="1"/>
  <c r="H161" i="1"/>
  <c r="F161" i="1"/>
  <c r="G161" i="1" s="1"/>
  <c r="T160" i="1"/>
  <c r="S160" i="1"/>
  <c r="R160" i="1"/>
  <c r="Q160" i="1"/>
  <c r="P160" i="1"/>
  <c r="O160" i="1"/>
  <c r="N160" i="1"/>
  <c r="M160" i="1"/>
  <c r="L160" i="1"/>
  <c r="K160" i="1"/>
  <c r="J160" i="1"/>
  <c r="I160" i="1"/>
  <c r="H160" i="1"/>
  <c r="F160" i="1"/>
  <c r="G160" i="1" s="1"/>
  <c r="T159" i="1"/>
  <c r="S159" i="1"/>
  <c r="R159" i="1"/>
  <c r="Q159" i="1"/>
  <c r="P159" i="1"/>
  <c r="O159" i="1"/>
  <c r="N159" i="1"/>
  <c r="M159" i="1"/>
  <c r="L159" i="1"/>
  <c r="K159" i="1"/>
  <c r="J159" i="1"/>
  <c r="I159" i="1"/>
  <c r="H159" i="1"/>
  <c r="G159" i="1"/>
  <c r="F159" i="1"/>
  <c r="T158" i="1"/>
  <c r="S158" i="1"/>
  <c r="R158" i="1"/>
  <c r="Q158" i="1"/>
  <c r="P158" i="1"/>
  <c r="O158" i="1"/>
  <c r="N158" i="1"/>
  <c r="M158" i="1"/>
  <c r="L158" i="1"/>
  <c r="K158" i="1"/>
  <c r="J158" i="1"/>
  <c r="I158" i="1"/>
  <c r="H158" i="1"/>
  <c r="F158" i="1"/>
  <c r="G158" i="1" s="1"/>
  <c r="T157" i="1"/>
  <c r="S157" i="1"/>
  <c r="R157" i="1"/>
  <c r="Q157" i="1"/>
  <c r="P157" i="1"/>
  <c r="O157" i="1"/>
  <c r="N157" i="1"/>
  <c r="M157" i="1"/>
  <c r="L157" i="1"/>
  <c r="K157" i="1"/>
  <c r="J157" i="1"/>
  <c r="I157" i="1"/>
  <c r="H157" i="1"/>
  <c r="G157" i="1"/>
  <c r="F157" i="1"/>
  <c r="T156" i="1"/>
  <c r="S156" i="1"/>
  <c r="R156" i="1"/>
  <c r="Q156" i="1"/>
  <c r="P156" i="1"/>
  <c r="O156" i="1"/>
  <c r="N156" i="1"/>
  <c r="M156" i="1"/>
  <c r="L156" i="1"/>
  <c r="K156" i="1"/>
  <c r="J156" i="1"/>
  <c r="I156" i="1"/>
  <c r="H156" i="1"/>
  <c r="G156" i="1"/>
  <c r="F156" i="1"/>
  <c r="T155" i="1"/>
  <c r="S155" i="1"/>
  <c r="R155" i="1"/>
  <c r="Q155" i="1"/>
  <c r="P155" i="1"/>
  <c r="O155" i="1"/>
  <c r="N155" i="1"/>
  <c r="M155" i="1"/>
  <c r="L155" i="1"/>
  <c r="K155" i="1"/>
  <c r="J155" i="1"/>
  <c r="I155" i="1"/>
  <c r="H155" i="1"/>
  <c r="F155" i="1"/>
  <c r="G155" i="1" s="1"/>
  <c r="T154" i="1"/>
  <c r="S154" i="1"/>
  <c r="R154" i="1"/>
  <c r="Q154" i="1"/>
  <c r="P154" i="1"/>
  <c r="O154" i="1"/>
  <c r="N154" i="1"/>
  <c r="M154" i="1"/>
  <c r="L154" i="1"/>
  <c r="K154" i="1"/>
  <c r="J154" i="1"/>
  <c r="I154" i="1"/>
  <c r="H154" i="1"/>
  <c r="F154" i="1"/>
  <c r="G154" i="1" s="1"/>
  <c r="T153" i="1"/>
  <c r="S153" i="1"/>
  <c r="R153" i="1"/>
  <c r="Q153" i="1"/>
  <c r="P153" i="1"/>
  <c r="O153" i="1"/>
  <c r="N153" i="1"/>
  <c r="M153" i="1"/>
  <c r="L153" i="1"/>
  <c r="K153" i="1"/>
  <c r="J153" i="1"/>
  <c r="I153" i="1"/>
  <c r="H153" i="1"/>
  <c r="F153" i="1"/>
  <c r="G153" i="1" s="1"/>
  <c r="T152" i="1"/>
  <c r="S152" i="1"/>
  <c r="R152" i="1"/>
  <c r="Q152" i="1"/>
  <c r="P152" i="1"/>
  <c r="O152" i="1"/>
  <c r="N152" i="1"/>
  <c r="M152" i="1"/>
  <c r="L152" i="1"/>
  <c r="K152" i="1"/>
  <c r="J152" i="1"/>
  <c r="I152" i="1"/>
  <c r="H152" i="1"/>
  <c r="G152" i="1"/>
  <c r="F152" i="1"/>
  <c r="T151" i="1"/>
  <c r="S151" i="1"/>
  <c r="R151" i="1"/>
  <c r="Q151" i="1"/>
  <c r="P151" i="1"/>
  <c r="O151" i="1"/>
  <c r="N151" i="1"/>
  <c r="M151" i="1"/>
  <c r="L151" i="1"/>
  <c r="K151" i="1"/>
  <c r="J151" i="1"/>
  <c r="I151" i="1"/>
  <c r="H151" i="1"/>
  <c r="G151" i="1"/>
  <c r="F151" i="1"/>
  <c r="T150" i="1"/>
  <c r="S150" i="1"/>
  <c r="R150" i="1"/>
  <c r="Q150" i="1"/>
  <c r="P150" i="1"/>
  <c r="O150" i="1"/>
  <c r="N150" i="1"/>
  <c r="M150" i="1"/>
  <c r="L150" i="1"/>
  <c r="K150" i="1"/>
  <c r="J150" i="1"/>
  <c r="I150" i="1"/>
  <c r="H150" i="1"/>
  <c r="G150" i="1"/>
  <c r="F150" i="1"/>
  <c r="T149" i="1"/>
  <c r="S149" i="1"/>
  <c r="R149" i="1"/>
  <c r="Q149" i="1"/>
  <c r="P149" i="1"/>
  <c r="O149" i="1"/>
  <c r="N149" i="1"/>
  <c r="M149" i="1"/>
  <c r="L149" i="1"/>
  <c r="K149" i="1"/>
  <c r="J149" i="1"/>
  <c r="I149" i="1"/>
  <c r="H149" i="1"/>
  <c r="F149" i="1"/>
  <c r="G149" i="1" s="1"/>
  <c r="T148" i="1"/>
  <c r="S148" i="1"/>
  <c r="R148" i="1"/>
  <c r="Q148" i="1"/>
  <c r="P148" i="1"/>
  <c r="O148" i="1"/>
  <c r="N148" i="1"/>
  <c r="M148" i="1"/>
  <c r="L148" i="1"/>
  <c r="K148" i="1"/>
  <c r="J148" i="1"/>
  <c r="I148" i="1"/>
  <c r="H148" i="1"/>
  <c r="G148" i="1"/>
  <c r="F148" i="1"/>
  <c r="T147" i="1"/>
  <c r="S147" i="1"/>
  <c r="R147" i="1"/>
  <c r="Q147" i="1"/>
  <c r="P147" i="1"/>
  <c r="O147" i="1"/>
  <c r="N147" i="1"/>
  <c r="M147" i="1"/>
  <c r="L147" i="1"/>
  <c r="K147" i="1"/>
  <c r="J147" i="1"/>
  <c r="I147" i="1"/>
  <c r="H147" i="1"/>
  <c r="F147" i="1"/>
  <c r="G147" i="1" s="1"/>
  <c r="T146" i="1"/>
  <c r="S146" i="1"/>
  <c r="R146" i="1"/>
  <c r="Q146" i="1"/>
  <c r="P146" i="1"/>
  <c r="O146" i="1"/>
  <c r="N146" i="1"/>
  <c r="M146" i="1"/>
  <c r="L146" i="1"/>
  <c r="K146" i="1"/>
  <c r="J146" i="1"/>
  <c r="I146" i="1"/>
  <c r="H146" i="1"/>
  <c r="F146" i="1"/>
  <c r="G146" i="1" s="1"/>
  <c r="T145" i="1"/>
  <c r="S145" i="1"/>
  <c r="R145" i="1"/>
  <c r="Q145" i="1"/>
  <c r="P145" i="1"/>
  <c r="O145" i="1"/>
  <c r="N145" i="1"/>
  <c r="M145" i="1"/>
  <c r="L145" i="1"/>
  <c r="K145" i="1"/>
  <c r="J145" i="1"/>
  <c r="I145" i="1"/>
  <c r="H145" i="1"/>
  <c r="F145" i="1"/>
  <c r="G145" i="1" s="1"/>
  <c r="T144" i="1"/>
  <c r="S144" i="1"/>
  <c r="R144" i="1"/>
  <c r="Q144" i="1"/>
  <c r="P144" i="1"/>
  <c r="O144" i="1"/>
  <c r="N144" i="1"/>
  <c r="M144" i="1"/>
  <c r="L144" i="1"/>
  <c r="K144" i="1"/>
  <c r="J144" i="1"/>
  <c r="I144" i="1"/>
  <c r="H144" i="1"/>
  <c r="G144" i="1"/>
  <c r="F144" i="1"/>
  <c r="T143" i="1"/>
  <c r="S143" i="1"/>
  <c r="R143" i="1"/>
  <c r="Q143" i="1"/>
  <c r="P143" i="1"/>
  <c r="O143" i="1"/>
  <c r="N143" i="1"/>
  <c r="M143" i="1"/>
  <c r="L143" i="1"/>
  <c r="K143" i="1"/>
  <c r="J143" i="1"/>
  <c r="I143" i="1"/>
  <c r="H143" i="1"/>
  <c r="G143" i="1"/>
  <c r="F143" i="1"/>
  <c r="T142" i="1"/>
  <c r="S142" i="1"/>
  <c r="R142" i="1"/>
  <c r="Q142" i="1"/>
  <c r="P142" i="1"/>
  <c r="O142" i="1"/>
  <c r="N142" i="1"/>
  <c r="M142" i="1"/>
  <c r="L142" i="1"/>
  <c r="K142" i="1"/>
  <c r="J142" i="1"/>
  <c r="I142" i="1"/>
  <c r="H142" i="1"/>
  <c r="G142" i="1"/>
  <c r="F142" i="1"/>
  <c r="T141" i="1"/>
  <c r="S141" i="1"/>
  <c r="R141" i="1"/>
  <c r="Q141" i="1"/>
  <c r="P141" i="1"/>
  <c r="O141" i="1"/>
  <c r="N141" i="1"/>
  <c r="M141" i="1"/>
  <c r="L141" i="1"/>
  <c r="K141" i="1"/>
  <c r="J141" i="1"/>
  <c r="I141" i="1"/>
  <c r="H141" i="1"/>
  <c r="F141" i="1"/>
  <c r="G141" i="1" s="1"/>
  <c r="T140" i="1"/>
  <c r="S140" i="1"/>
  <c r="R140" i="1"/>
  <c r="Q140" i="1"/>
  <c r="P140" i="1"/>
  <c r="O140" i="1"/>
  <c r="N140" i="1"/>
  <c r="M140" i="1"/>
  <c r="L140" i="1"/>
  <c r="K140" i="1"/>
  <c r="J140" i="1"/>
  <c r="I140" i="1"/>
  <c r="H140" i="1"/>
  <c r="G140" i="1"/>
  <c r="F140" i="1"/>
  <c r="T139" i="1"/>
  <c r="S139" i="1"/>
  <c r="R139" i="1"/>
  <c r="Q139" i="1"/>
  <c r="P139" i="1"/>
  <c r="O139" i="1"/>
  <c r="N139" i="1"/>
  <c r="M139" i="1"/>
  <c r="L139" i="1"/>
  <c r="K139" i="1"/>
  <c r="J139" i="1"/>
  <c r="I139" i="1"/>
  <c r="H139" i="1"/>
  <c r="F139" i="1"/>
  <c r="G139" i="1" s="1"/>
  <c r="T138" i="1"/>
  <c r="S138" i="1"/>
  <c r="R138" i="1"/>
  <c r="Q138" i="1"/>
  <c r="P138" i="1"/>
  <c r="O138" i="1"/>
  <c r="N138" i="1"/>
  <c r="M138" i="1"/>
  <c r="L138" i="1"/>
  <c r="K138" i="1"/>
  <c r="J138" i="1"/>
  <c r="I138" i="1"/>
  <c r="H138" i="1"/>
  <c r="F138" i="1"/>
  <c r="G138" i="1" s="1"/>
  <c r="T137" i="1"/>
  <c r="S137" i="1"/>
  <c r="R137" i="1"/>
  <c r="Q137" i="1"/>
  <c r="P137" i="1"/>
  <c r="O137" i="1"/>
  <c r="N137" i="1"/>
  <c r="M137" i="1"/>
  <c r="L137" i="1"/>
  <c r="K137" i="1"/>
  <c r="J137" i="1"/>
  <c r="I137" i="1"/>
  <c r="H137" i="1"/>
  <c r="F137" i="1"/>
  <c r="G137" i="1" s="1"/>
  <c r="T136" i="1"/>
  <c r="S136" i="1"/>
  <c r="R136" i="1"/>
  <c r="Q136" i="1"/>
  <c r="P136" i="1"/>
  <c r="O136" i="1"/>
  <c r="N136" i="1"/>
  <c r="M136" i="1"/>
  <c r="L136" i="1"/>
  <c r="K136" i="1"/>
  <c r="J136" i="1"/>
  <c r="I136" i="1"/>
  <c r="H136" i="1"/>
  <c r="G136" i="1"/>
  <c r="F136" i="1"/>
  <c r="T135" i="1"/>
  <c r="S135" i="1"/>
  <c r="R135" i="1"/>
  <c r="Q135" i="1"/>
  <c r="P135" i="1"/>
  <c r="O135" i="1"/>
  <c r="N135" i="1"/>
  <c r="M135" i="1"/>
  <c r="L135" i="1"/>
  <c r="K135" i="1"/>
  <c r="J135" i="1"/>
  <c r="I135" i="1"/>
  <c r="H135" i="1"/>
  <c r="G135" i="1"/>
  <c r="F135" i="1"/>
  <c r="T134" i="1"/>
  <c r="S134" i="1"/>
  <c r="R134" i="1"/>
  <c r="Q134" i="1"/>
  <c r="P134" i="1"/>
  <c r="O134" i="1"/>
  <c r="N134" i="1"/>
  <c r="M134" i="1"/>
  <c r="L134" i="1"/>
  <c r="K134" i="1"/>
  <c r="J134" i="1"/>
  <c r="I134" i="1"/>
  <c r="H134" i="1"/>
  <c r="G134" i="1"/>
  <c r="F134" i="1"/>
  <c r="T133" i="1"/>
  <c r="S133" i="1"/>
  <c r="R133" i="1"/>
  <c r="Q133" i="1"/>
  <c r="P133" i="1"/>
  <c r="O133" i="1"/>
  <c r="N133" i="1"/>
  <c r="M133" i="1"/>
  <c r="L133" i="1"/>
  <c r="K133" i="1"/>
  <c r="J133" i="1"/>
  <c r="I133" i="1"/>
  <c r="H133" i="1"/>
  <c r="F133" i="1"/>
  <c r="G133" i="1" s="1"/>
  <c r="T132" i="1"/>
  <c r="S132" i="1"/>
  <c r="R132" i="1"/>
  <c r="Q132" i="1"/>
  <c r="P132" i="1"/>
  <c r="O132" i="1"/>
  <c r="N132" i="1"/>
  <c r="M132" i="1"/>
  <c r="L132" i="1"/>
  <c r="K132" i="1"/>
  <c r="J132" i="1"/>
  <c r="I132" i="1"/>
  <c r="H132" i="1"/>
  <c r="G132" i="1"/>
  <c r="F132" i="1"/>
  <c r="T131" i="1"/>
  <c r="S131" i="1"/>
  <c r="R131" i="1"/>
  <c r="Q131" i="1"/>
  <c r="P131" i="1"/>
  <c r="O131" i="1"/>
  <c r="N131" i="1"/>
  <c r="M131" i="1"/>
  <c r="L131" i="1"/>
  <c r="K131" i="1"/>
  <c r="J131" i="1"/>
  <c r="I131" i="1"/>
  <c r="H131" i="1"/>
  <c r="F131" i="1"/>
  <c r="G131" i="1" s="1"/>
  <c r="T130" i="1"/>
  <c r="S130" i="1"/>
  <c r="R130" i="1"/>
  <c r="Q130" i="1"/>
  <c r="P130" i="1"/>
  <c r="O130" i="1"/>
  <c r="N130" i="1"/>
  <c r="M130" i="1"/>
  <c r="L130" i="1"/>
  <c r="K130" i="1"/>
  <c r="J130" i="1"/>
  <c r="I130" i="1"/>
  <c r="H130" i="1"/>
  <c r="F130" i="1"/>
  <c r="G130" i="1" s="1"/>
  <c r="T129" i="1"/>
  <c r="S129" i="1"/>
  <c r="R129" i="1"/>
  <c r="Q129" i="1"/>
  <c r="P129" i="1"/>
  <c r="O129" i="1"/>
  <c r="N129" i="1"/>
  <c r="M129" i="1"/>
  <c r="L129" i="1"/>
  <c r="K129" i="1"/>
  <c r="J129" i="1"/>
  <c r="I129" i="1"/>
  <c r="H129" i="1"/>
  <c r="F129" i="1"/>
  <c r="G129" i="1" s="1"/>
  <c r="T128" i="1"/>
  <c r="S128" i="1"/>
  <c r="R128" i="1"/>
  <c r="Q128" i="1"/>
  <c r="P128" i="1"/>
  <c r="O128" i="1"/>
  <c r="N128" i="1"/>
  <c r="M128" i="1"/>
  <c r="L128" i="1"/>
  <c r="K128" i="1"/>
  <c r="J128" i="1"/>
  <c r="I128" i="1"/>
  <c r="H128" i="1"/>
  <c r="G128" i="1"/>
  <c r="F128" i="1"/>
  <c r="T127" i="1"/>
  <c r="S127" i="1"/>
  <c r="R127" i="1"/>
  <c r="Q127" i="1"/>
  <c r="P127" i="1"/>
  <c r="O127" i="1"/>
  <c r="N127" i="1"/>
  <c r="M127" i="1"/>
  <c r="L127" i="1"/>
  <c r="K127" i="1"/>
  <c r="J127" i="1"/>
  <c r="I127" i="1"/>
  <c r="H127" i="1"/>
  <c r="G127" i="1"/>
  <c r="F127" i="1"/>
  <c r="T126" i="1"/>
  <c r="S126" i="1"/>
  <c r="R126" i="1"/>
  <c r="Q126" i="1"/>
  <c r="P126" i="1"/>
  <c r="O126" i="1"/>
  <c r="N126" i="1"/>
  <c r="M126" i="1"/>
  <c r="L126" i="1"/>
  <c r="K126" i="1"/>
  <c r="J126" i="1"/>
  <c r="I126" i="1"/>
  <c r="H126" i="1"/>
  <c r="G126" i="1"/>
  <c r="F126" i="1"/>
  <c r="T125" i="1"/>
  <c r="S125" i="1"/>
  <c r="R125" i="1"/>
  <c r="Q125" i="1"/>
  <c r="P125" i="1"/>
  <c r="O125" i="1"/>
  <c r="N125" i="1"/>
  <c r="M125" i="1"/>
  <c r="L125" i="1"/>
  <c r="K125" i="1"/>
  <c r="J125" i="1"/>
  <c r="I125" i="1"/>
  <c r="H125" i="1"/>
  <c r="F125" i="1"/>
  <c r="G125" i="1" s="1"/>
  <c r="T124" i="1"/>
  <c r="S124" i="1"/>
  <c r="R124" i="1"/>
  <c r="Q124" i="1"/>
  <c r="P124" i="1"/>
  <c r="O124" i="1"/>
  <c r="N124" i="1"/>
  <c r="M124" i="1"/>
  <c r="L124" i="1"/>
  <c r="K124" i="1"/>
  <c r="J124" i="1"/>
  <c r="I124" i="1"/>
  <c r="H124" i="1"/>
  <c r="G124" i="1"/>
  <c r="F124" i="1"/>
  <c r="T123" i="1"/>
  <c r="S123" i="1"/>
  <c r="R123" i="1"/>
  <c r="Q123" i="1"/>
  <c r="P123" i="1"/>
  <c r="O123" i="1"/>
  <c r="N123" i="1"/>
  <c r="M123" i="1"/>
  <c r="L123" i="1"/>
  <c r="K123" i="1"/>
  <c r="J123" i="1"/>
  <c r="I123" i="1"/>
  <c r="H123" i="1"/>
  <c r="F123" i="1"/>
  <c r="G123" i="1" s="1"/>
  <c r="T122" i="1"/>
  <c r="S122" i="1"/>
  <c r="R122" i="1"/>
  <c r="Q122" i="1"/>
  <c r="P122" i="1"/>
  <c r="O122" i="1"/>
  <c r="N122" i="1"/>
  <c r="M122" i="1"/>
  <c r="L122" i="1"/>
  <c r="K122" i="1"/>
  <c r="J122" i="1"/>
  <c r="I122" i="1"/>
  <c r="H122" i="1"/>
  <c r="F122" i="1"/>
  <c r="G122" i="1" s="1"/>
  <c r="T121" i="1"/>
  <c r="S121" i="1"/>
  <c r="R121" i="1"/>
  <c r="Q121" i="1"/>
  <c r="P121" i="1"/>
  <c r="O121" i="1"/>
  <c r="N121" i="1"/>
  <c r="M121" i="1"/>
  <c r="L121" i="1"/>
  <c r="K121" i="1"/>
  <c r="J121" i="1"/>
  <c r="I121" i="1"/>
  <c r="H121" i="1"/>
  <c r="F121" i="1"/>
  <c r="G121" i="1" s="1"/>
  <c r="T120" i="1"/>
  <c r="S120" i="1"/>
  <c r="R120" i="1"/>
  <c r="Q120" i="1"/>
  <c r="P120" i="1"/>
  <c r="O120" i="1"/>
  <c r="N120" i="1"/>
  <c r="M120" i="1"/>
  <c r="L120" i="1"/>
  <c r="K120" i="1"/>
  <c r="J120" i="1"/>
  <c r="I120" i="1"/>
  <c r="H120" i="1"/>
  <c r="G120" i="1"/>
  <c r="F120" i="1"/>
  <c r="T119" i="1"/>
  <c r="S119" i="1"/>
  <c r="R119" i="1"/>
  <c r="Q119" i="1"/>
  <c r="P119" i="1"/>
  <c r="O119" i="1"/>
  <c r="N119" i="1"/>
  <c r="M119" i="1"/>
  <c r="L119" i="1"/>
  <c r="K119" i="1"/>
  <c r="J119" i="1"/>
  <c r="I119" i="1"/>
  <c r="H119" i="1"/>
  <c r="G119" i="1"/>
  <c r="F119" i="1"/>
  <c r="T118" i="1"/>
  <c r="S118" i="1"/>
  <c r="R118" i="1"/>
  <c r="Q118" i="1"/>
  <c r="P118" i="1"/>
  <c r="O118" i="1"/>
  <c r="N118" i="1"/>
  <c r="M118" i="1"/>
  <c r="L118" i="1"/>
  <c r="K118" i="1"/>
  <c r="J118" i="1"/>
  <c r="I118" i="1"/>
  <c r="H118" i="1"/>
  <c r="G118" i="1"/>
  <c r="F118" i="1"/>
  <c r="T117" i="1"/>
  <c r="S117" i="1"/>
  <c r="R117" i="1"/>
  <c r="Q117" i="1"/>
  <c r="P117" i="1"/>
  <c r="O117" i="1"/>
  <c r="N117" i="1"/>
  <c r="M117" i="1"/>
  <c r="L117" i="1"/>
  <c r="K117" i="1"/>
  <c r="J117" i="1"/>
  <c r="I117" i="1"/>
  <c r="H117" i="1"/>
  <c r="F117" i="1"/>
  <c r="G117" i="1" s="1"/>
  <c r="T116" i="1"/>
  <c r="S116" i="1"/>
  <c r="R116" i="1"/>
  <c r="Q116" i="1"/>
  <c r="P116" i="1"/>
  <c r="O116" i="1"/>
  <c r="N116" i="1"/>
  <c r="M116" i="1"/>
  <c r="L116" i="1"/>
  <c r="K116" i="1"/>
  <c r="J116" i="1"/>
  <c r="I116" i="1"/>
  <c r="H116" i="1"/>
  <c r="G116" i="1"/>
  <c r="F116" i="1"/>
  <c r="T115" i="1"/>
  <c r="S115" i="1"/>
  <c r="R115" i="1"/>
  <c r="Q115" i="1"/>
  <c r="P115" i="1"/>
  <c r="O115" i="1"/>
  <c r="N115" i="1"/>
  <c r="M115" i="1"/>
  <c r="L115" i="1"/>
  <c r="K115" i="1"/>
  <c r="J115" i="1"/>
  <c r="I115" i="1"/>
  <c r="H115" i="1"/>
  <c r="F115" i="1"/>
  <c r="G115" i="1" s="1"/>
  <c r="T114" i="1"/>
  <c r="S114" i="1"/>
  <c r="R114" i="1"/>
  <c r="Q114" i="1"/>
  <c r="P114" i="1"/>
  <c r="O114" i="1"/>
  <c r="N114" i="1"/>
  <c r="M114" i="1"/>
  <c r="L114" i="1"/>
  <c r="K114" i="1"/>
  <c r="J114" i="1"/>
  <c r="I114" i="1"/>
  <c r="H114" i="1"/>
  <c r="F114" i="1"/>
  <c r="G114" i="1" s="1"/>
  <c r="T113" i="1"/>
  <c r="S113" i="1"/>
  <c r="R113" i="1"/>
  <c r="Q113" i="1"/>
  <c r="P113" i="1"/>
  <c r="O113" i="1"/>
  <c r="N113" i="1"/>
  <c r="M113" i="1"/>
  <c r="L113" i="1"/>
  <c r="K113" i="1"/>
  <c r="J113" i="1"/>
  <c r="I113" i="1"/>
  <c r="H113" i="1"/>
  <c r="F113" i="1"/>
  <c r="G113" i="1" s="1"/>
  <c r="T112" i="1"/>
  <c r="S112" i="1"/>
  <c r="R112" i="1"/>
  <c r="Q112" i="1"/>
  <c r="P112" i="1"/>
  <c r="O112" i="1"/>
  <c r="N112" i="1"/>
  <c r="M112" i="1"/>
  <c r="L112" i="1"/>
  <c r="K112" i="1"/>
  <c r="J112" i="1"/>
  <c r="I112" i="1"/>
  <c r="H112" i="1"/>
  <c r="G112" i="1"/>
  <c r="F112" i="1"/>
  <c r="T111" i="1"/>
  <c r="S111" i="1"/>
  <c r="R111" i="1"/>
  <c r="Q111" i="1"/>
  <c r="P111" i="1"/>
  <c r="O111" i="1"/>
  <c r="N111" i="1"/>
  <c r="M111" i="1"/>
  <c r="L111" i="1"/>
  <c r="K111" i="1"/>
  <c r="J111" i="1"/>
  <c r="I111" i="1"/>
  <c r="H111" i="1"/>
  <c r="G111" i="1"/>
  <c r="F111" i="1"/>
  <c r="T110" i="1"/>
  <c r="S110" i="1"/>
  <c r="R110" i="1"/>
  <c r="Q110" i="1"/>
  <c r="P110" i="1"/>
  <c r="O110" i="1"/>
  <c r="N110" i="1"/>
  <c r="M110" i="1"/>
  <c r="L110" i="1"/>
  <c r="K110" i="1"/>
  <c r="J110" i="1"/>
  <c r="I110" i="1"/>
  <c r="H110" i="1"/>
  <c r="G110" i="1"/>
  <c r="F110" i="1"/>
  <c r="T109" i="1"/>
  <c r="S109" i="1"/>
  <c r="R109" i="1"/>
  <c r="Q109" i="1"/>
  <c r="P109" i="1"/>
  <c r="O109" i="1"/>
  <c r="N109" i="1"/>
  <c r="M109" i="1"/>
  <c r="L109" i="1"/>
  <c r="K109" i="1"/>
  <c r="J109" i="1"/>
  <c r="I109" i="1"/>
  <c r="H109" i="1"/>
  <c r="F109" i="1"/>
  <c r="G109" i="1" s="1"/>
  <c r="T108" i="1"/>
  <c r="S108" i="1"/>
  <c r="R108" i="1"/>
  <c r="Q108" i="1"/>
  <c r="P108" i="1"/>
  <c r="O108" i="1"/>
  <c r="N108" i="1"/>
  <c r="M108" i="1"/>
  <c r="L108" i="1"/>
  <c r="K108" i="1"/>
  <c r="J108" i="1"/>
  <c r="I108" i="1"/>
  <c r="H108" i="1"/>
  <c r="G108" i="1"/>
  <c r="F108" i="1"/>
  <c r="T107" i="1"/>
  <c r="S107" i="1"/>
  <c r="R107" i="1"/>
  <c r="Q107" i="1"/>
  <c r="P107" i="1"/>
  <c r="O107" i="1"/>
  <c r="N107" i="1"/>
  <c r="M107" i="1"/>
  <c r="L107" i="1"/>
  <c r="K107" i="1"/>
  <c r="J107" i="1"/>
  <c r="I107" i="1"/>
  <c r="H107" i="1"/>
  <c r="F107" i="1"/>
  <c r="G107" i="1" s="1"/>
  <c r="T106" i="1"/>
  <c r="S106" i="1"/>
  <c r="R106" i="1"/>
  <c r="Q106" i="1"/>
  <c r="P106" i="1"/>
  <c r="O106" i="1"/>
  <c r="N106" i="1"/>
  <c r="M106" i="1"/>
  <c r="L106" i="1"/>
  <c r="K106" i="1"/>
  <c r="J106" i="1"/>
  <c r="I106" i="1"/>
  <c r="H106" i="1"/>
  <c r="F106" i="1"/>
  <c r="G106" i="1" s="1"/>
  <c r="T105" i="1"/>
  <c r="S105" i="1"/>
  <c r="R105" i="1"/>
  <c r="Q105" i="1"/>
  <c r="P105" i="1"/>
  <c r="O105" i="1"/>
  <c r="N105" i="1"/>
  <c r="M105" i="1"/>
  <c r="L105" i="1"/>
  <c r="K105" i="1"/>
  <c r="J105" i="1"/>
  <c r="I105" i="1"/>
  <c r="H105" i="1"/>
  <c r="F105" i="1"/>
  <c r="G105" i="1" s="1"/>
  <c r="T104" i="1"/>
  <c r="S104" i="1"/>
  <c r="R104" i="1"/>
  <c r="Q104" i="1"/>
  <c r="P104" i="1"/>
  <c r="O104" i="1"/>
  <c r="N104" i="1"/>
  <c r="M104" i="1"/>
  <c r="L104" i="1"/>
  <c r="K104" i="1"/>
  <c r="J104" i="1"/>
  <c r="I104" i="1"/>
  <c r="H104" i="1"/>
  <c r="G104" i="1"/>
  <c r="F104" i="1"/>
  <c r="T103" i="1"/>
  <c r="S103" i="1"/>
  <c r="R103" i="1"/>
  <c r="Q103" i="1"/>
  <c r="P103" i="1"/>
  <c r="O103" i="1"/>
  <c r="N103" i="1"/>
  <c r="M103" i="1"/>
  <c r="L103" i="1"/>
  <c r="K103" i="1"/>
  <c r="J103" i="1"/>
  <c r="I103" i="1"/>
  <c r="H103" i="1"/>
  <c r="G103" i="1"/>
  <c r="F103" i="1"/>
  <c r="T102" i="1"/>
  <c r="S102" i="1"/>
  <c r="R102" i="1"/>
  <c r="Q102" i="1"/>
  <c r="P102" i="1"/>
  <c r="O102" i="1"/>
  <c r="N102" i="1"/>
  <c r="M102" i="1"/>
  <c r="L102" i="1"/>
  <c r="K102" i="1"/>
  <c r="J102" i="1"/>
  <c r="I102" i="1"/>
  <c r="H102" i="1"/>
  <c r="G102" i="1"/>
  <c r="F102" i="1"/>
  <c r="T101" i="1"/>
  <c r="S101" i="1"/>
  <c r="R101" i="1"/>
  <c r="Q101" i="1"/>
  <c r="P101" i="1"/>
  <c r="O101" i="1"/>
  <c r="N101" i="1"/>
  <c r="M101" i="1"/>
  <c r="L101" i="1"/>
  <c r="K101" i="1"/>
  <c r="J101" i="1"/>
  <c r="I101" i="1"/>
  <c r="H101" i="1"/>
  <c r="F101" i="1"/>
  <c r="G101" i="1" s="1"/>
  <c r="T100" i="1"/>
  <c r="S100" i="1"/>
  <c r="R100" i="1"/>
  <c r="Q100" i="1"/>
  <c r="P100" i="1"/>
  <c r="O100" i="1"/>
  <c r="N100" i="1"/>
  <c r="M100" i="1"/>
  <c r="L100" i="1"/>
  <c r="K100" i="1"/>
  <c r="J100" i="1"/>
  <c r="I100" i="1"/>
  <c r="H100" i="1"/>
  <c r="G100" i="1"/>
  <c r="F100" i="1"/>
  <c r="T99" i="1"/>
  <c r="S99" i="1"/>
  <c r="R99" i="1"/>
  <c r="Q99" i="1"/>
  <c r="P99" i="1"/>
  <c r="O99" i="1"/>
  <c r="N99" i="1"/>
  <c r="M99" i="1"/>
  <c r="L99" i="1"/>
  <c r="K99" i="1"/>
  <c r="J99" i="1"/>
  <c r="I99" i="1"/>
  <c r="H99" i="1"/>
  <c r="F99" i="1"/>
  <c r="G99" i="1" s="1"/>
  <c r="T98" i="1"/>
  <c r="S98" i="1"/>
  <c r="R98" i="1"/>
  <c r="Q98" i="1"/>
  <c r="P98" i="1"/>
  <c r="O98" i="1"/>
  <c r="N98" i="1"/>
  <c r="M98" i="1"/>
  <c r="L98" i="1"/>
  <c r="K98" i="1"/>
  <c r="J98" i="1"/>
  <c r="I98" i="1"/>
  <c r="H98" i="1"/>
  <c r="F98" i="1"/>
  <c r="G98" i="1" s="1"/>
  <c r="T97" i="1"/>
  <c r="S97" i="1"/>
  <c r="R97" i="1"/>
  <c r="Q97" i="1"/>
  <c r="P97" i="1"/>
  <c r="O97" i="1"/>
  <c r="N97" i="1"/>
  <c r="M97" i="1"/>
  <c r="L97" i="1"/>
  <c r="K97" i="1"/>
  <c r="J97" i="1"/>
  <c r="I97" i="1"/>
  <c r="H97" i="1"/>
  <c r="F97" i="1"/>
  <c r="G97" i="1" s="1"/>
  <c r="T96" i="1"/>
  <c r="S96" i="1"/>
  <c r="R96" i="1"/>
  <c r="Q96" i="1"/>
  <c r="P96" i="1"/>
  <c r="O96" i="1"/>
  <c r="N96" i="1"/>
  <c r="M96" i="1"/>
  <c r="L96" i="1"/>
  <c r="K96" i="1"/>
  <c r="J96" i="1"/>
  <c r="I96" i="1"/>
  <c r="H96" i="1"/>
  <c r="G96" i="1"/>
  <c r="F96" i="1"/>
  <c r="T95" i="1"/>
  <c r="S95" i="1"/>
  <c r="R95" i="1"/>
  <c r="Q95" i="1"/>
  <c r="P95" i="1"/>
  <c r="O95" i="1"/>
  <c r="N95" i="1"/>
  <c r="M95" i="1"/>
  <c r="L95" i="1"/>
  <c r="K95" i="1"/>
  <c r="J95" i="1"/>
  <c r="I95" i="1"/>
  <c r="H95" i="1"/>
  <c r="G95" i="1"/>
  <c r="F95" i="1"/>
  <c r="T94" i="1"/>
  <c r="S94" i="1"/>
  <c r="R94" i="1"/>
  <c r="Q94" i="1"/>
  <c r="P94" i="1"/>
  <c r="O94" i="1"/>
  <c r="N94" i="1"/>
  <c r="M94" i="1"/>
  <c r="L94" i="1"/>
  <c r="K94" i="1"/>
  <c r="J94" i="1"/>
  <c r="I94" i="1"/>
  <c r="H94" i="1"/>
  <c r="G94" i="1"/>
  <c r="F94" i="1"/>
  <c r="T93" i="1"/>
  <c r="S93" i="1"/>
  <c r="R93" i="1"/>
  <c r="Q93" i="1"/>
  <c r="P93" i="1"/>
  <c r="O93" i="1"/>
  <c r="N93" i="1"/>
  <c r="M93" i="1"/>
  <c r="L93" i="1"/>
  <c r="K93" i="1"/>
  <c r="J93" i="1"/>
  <c r="I93" i="1"/>
  <c r="H93" i="1"/>
  <c r="F93" i="1"/>
  <c r="G93" i="1" s="1"/>
  <c r="T92" i="1"/>
  <c r="S92" i="1"/>
  <c r="R92" i="1"/>
  <c r="Q92" i="1"/>
  <c r="P92" i="1"/>
  <c r="O92" i="1"/>
  <c r="N92" i="1"/>
  <c r="M92" i="1"/>
  <c r="L92" i="1"/>
  <c r="K92" i="1"/>
  <c r="J92" i="1"/>
  <c r="I92" i="1"/>
  <c r="H92" i="1"/>
  <c r="G92" i="1"/>
  <c r="F92" i="1"/>
  <c r="T91" i="1"/>
  <c r="S91" i="1"/>
  <c r="R91" i="1"/>
  <c r="Q91" i="1"/>
  <c r="P91" i="1"/>
  <c r="O91" i="1"/>
  <c r="N91" i="1"/>
  <c r="M91" i="1"/>
  <c r="L91" i="1"/>
  <c r="K91" i="1"/>
  <c r="J91" i="1"/>
  <c r="I91" i="1"/>
  <c r="H91" i="1"/>
  <c r="F91" i="1"/>
  <c r="G91" i="1" s="1"/>
  <c r="T90" i="1"/>
  <c r="S90" i="1"/>
  <c r="R90" i="1"/>
  <c r="Q90" i="1"/>
  <c r="P90" i="1"/>
  <c r="O90" i="1"/>
  <c r="N90" i="1"/>
  <c r="M90" i="1"/>
  <c r="L90" i="1"/>
  <c r="K90" i="1"/>
  <c r="J90" i="1"/>
  <c r="I90" i="1"/>
  <c r="H90" i="1"/>
  <c r="F90" i="1"/>
  <c r="G90" i="1" s="1"/>
  <c r="T89" i="1"/>
  <c r="S89" i="1"/>
  <c r="R89" i="1"/>
  <c r="Q89" i="1"/>
  <c r="P89" i="1"/>
  <c r="O89" i="1"/>
  <c r="N89" i="1"/>
  <c r="M89" i="1"/>
  <c r="L89" i="1"/>
  <c r="K89" i="1"/>
  <c r="J89" i="1"/>
  <c r="I89" i="1"/>
  <c r="H89" i="1"/>
  <c r="F89" i="1"/>
  <c r="G89" i="1" s="1"/>
  <c r="T88" i="1"/>
  <c r="S88" i="1"/>
  <c r="R88" i="1"/>
  <c r="Q88" i="1"/>
  <c r="P88" i="1"/>
  <c r="O88" i="1"/>
  <c r="N88" i="1"/>
  <c r="M88" i="1"/>
  <c r="L88" i="1"/>
  <c r="K88" i="1"/>
  <c r="J88" i="1"/>
  <c r="I88" i="1"/>
  <c r="H88" i="1"/>
  <c r="G88" i="1"/>
  <c r="F88" i="1"/>
  <c r="T87" i="1"/>
  <c r="S87" i="1"/>
  <c r="R87" i="1"/>
  <c r="Q87" i="1"/>
  <c r="P87" i="1"/>
  <c r="O87" i="1"/>
  <c r="N87" i="1"/>
  <c r="M87" i="1"/>
  <c r="L87" i="1"/>
  <c r="K87" i="1"/>
  <c r="J87" i="1"/>
  <c r="I87" i="1"/>
  <c r="H87" i="1"/>
  <c r="G87" i="1"/>
  <c r="F87" i="1"/>
  <c r="T86" i="1"/>
  <c r="S86" i="1"/>
  <c r="R86" i="1"/>
  <c r="Q86" i="1"/>
  <c r="P86" i="1"/>
  <c r="O86" i="1"/>
  <c r="N86" i="1"/>
  <c r="M86" i="1"/>
  <c r="L86" i="1"/>
  <c r="K86" i="1"/>
  <c r="J86" i="1"/>
  <c r="I86" i="1"/>
  <c r="H86" i="1"/>
  <c r="G86" i="1"/>
  <c r="F86" i="1"/>
  <c r="T85" i="1"/>
  <c r="S85" i="1"/>
  <c r="R85" i="1"/>
  <c r="Q85" i="1"/>
  <c r="P85" i="1"/>
  <c r="O85" i="1"/>
  <c r="N85" i="1"/>
  <c r="M85" i="1"/>
  <c r="L85" i="1"/>
  <c r="K85" i="1"/>
  <c r="J85" i="1"/>
  <c r="I85" i="1"/>
  <c r="H85" i="1"/>
  <c r="F85" i="1"/>
  <c r="G85" i="1" s="1"/>
  <c r="T84" i="1"/>
  <c r="S84" i="1"/>
  <c r="R84" i="1"/>
  <c r="Q84" i="1"/>
  <c r="P84" i="1"/>
  <c r="O84" i="1"/>
  <c r="N84" i="1"/>
  <c r="M84" i="1"/>
  <c r="L84" i="1"/>
  <c r="K84" i="1"/>
  <c r="J84" i="1"/>
  <c r="I84" i="1"/>
  <c r="H84" i="1"/>
  <c r="G84" i="1"/>
  <c r="F84" i="1"/>
  <c r="T83" i="1"/>
  <c r="S83" i="1"/>
  <c r="R83" i="1"/>
  <c r="Q83" i="1"/>
  <c r="P83" i="1"/>
  <c r="O83" i="1"/>
  <c r="N83" i="1"/>
  <c r="M83" i="1"/>
  <c r="L83" i="1"/>
  <c r="K83" i="1"/>
  <c r="J83" i="1"/>
  <c r="I83" i="1"/>
  <c r="H83" i="1"/>
  <c r="F83" i="1"/>
  <c r="G83" i="1" s="1"/>
  <c r="T82" i="1"/>
  <c r="S82" i="1"/>
  <c r="R82" i="1"/>
  <c r="Q82" i="1"/>
  <c r="P82" i="1"/>
  <c r="O82" i="1"/>
  <c r="N82" i="1"/>
  <c r="M82" i="1"/>
  <c r="L82" i="1"/>
  <c r="K82" i="1"/>
  <c r="J82" i="1"/>
  <c r="I82" i="1"/>
  <c r="H82" i="1"/>
  <c r="F82" i="1"/>
  <c r="G82" i="1" s="1"/>
  <c r="T81" i="1"/>
  <c r="S81" i="1"/>
  <c r="R81" i="1"/>
  <c r="Q81" i="1"/>
  <c r="P81" i="1"/>
  <c r="O81" i="1"/>
  <c r="N81" i="1"/>
  <c r="M81" i="1"/>
  <c r="L81" i="1"/>
  <c r="K81" i="1"/>
  <c r="J81" i="1"/>
  <c r="I81" i="1"/>
  <c r="H81" i="1"/>
  <c r="F81" i="1"/>
  <c r="G81" i="1" s="1"/>
  <c r="T80" i="1"/>
  <c r="S80" i="1"/>
  <c r="R80" i="1"/>
  <c r="Q80" i="1"/>
  <c r="P80" i="1"/>
  <c r="O80" i="1"/>
  <c r="N80" i="1"/>
  <c r="M80" i="1"/>
  <c r="L80" i="1"/>
  <c r="K80" i="1"/>
  <c r="J80" i="1"/>
  <c r="I80" i="1"/>
  <c r="H80" i="1"/>
  <c r="G80" i="1"/>
  <c r="F80" i="1"/>
  <c r="T79" i="1"/>
  <c r="S79" i="1"/>
  <c r="R79" i="1"/>
  <c r="Q79" i="1"/>
  <c r="P79" i="1"/>
  <c r="O79" i="1"/>
  <c r="N79" i="1"/>
  <c r="M79" i="1"/>
  <c r="L79" i="1"/>
  <c r="K79" i="1"/>
  <c r="J79" i="1"/>
  <c r="I79" i="1"/>
  <c r="H79" i="1"/>
  <c r="G79" i="1"/>
  <c r="F79" i="1"/>
  <c r="T78" i="1"/>
  <c r="S78" i="1"/>
  <c r="R78" i="1"/>
  <c r="Q78" i="1"/>
  <c r="P78" i="1"/>
  <c r="O78" i="1"/>
  <c r="N78" i="1"/>
  <c r="M78" i="1"/>
  <c r="L78" i="1"/>
  <c r="K78" i="1"/>
  <c r="J78" i="1"/>
  <c r="I78" i="1"/>
  <c r="H78" i="1"/>
  <c r="G78" i="1"/>
  <c r="F78" i="1"/>
  <c r="T77" i="1"/>
  <c r="S77" i="1"/>
  <c r="R77" i="1"/>
  <c r="Q77" i="1"/>
  <c r="P77" i="1"/>
  <c r="O77" i="1"/>
  <c r="N77" i="1"/>
  <c r="M77" i="1"/>
  <c r="L77" i="1"/>
  <c r="K77" i="1"/>
  <c r="J77" i="1"/>
  <c r="I77" i="1"/>
  <c r="H77" i="1"/>
  <c r="F77" i="1"/>
  <c r="G77" i="1" s="1"/>
  <c r="T76" i="1"/>
  <c r="S76" i="1"/>
  <c r="R76" i="1"/>
  <c r="Q76" i="1"/>
  <c r="P76" i="1"/>
  <c r="O76" i="1"/>
  <c r="N76" i="1"/>
  <c r="M76" i="1"/>
  <c r="L76" i="1"/>
  <c r="K76" i="1"/>
  <c r="J76" i="1"/>
  <c r="I76" i="1"/>
  <c r="H76" i="1"/>
  <c r="G76" i="1"/>
  <c r="F76" i="1"/>
  <c r="T75" i="1"/>
  <c r="S75" i="1"/>
  <c r="R75" i="1"/>
  <c r="Q75" i="1"/>
  <c r="P75" i="1"/>
  <c r="O75" i="1"/>
  <c r="N75" i="1"/>
  <c r="M75" i="1"/>
  <c r="L75" i="1"/>
  <c r="K75" i="1"/>
  <c r="J75" i="1"/>
  <c r="I75" i="1"/>
  <c r="H75" i="1"/>
  <c r="F75" i="1"/>
  <c r="G75" i="1" s="1"/>
  <c r="T74" i="1"/>
  <c r="S74" i="1"/>
  <c r="R74" i="1"/>
  <c r="Q74" i="1"/>
  <c r="P74" i="1"/>
  <c r="O74" i="1"/>
  <c r="N74" i="1"/>
  <c r="M74" i="1"/>
  <c r="L74" i="1"/>
  <c r="K74" i="1"/>
  <c r="J74" i="1"/>
  <c r="I74" i="1"/>
  <c r="H74" i="1"/>
  <c r="F74" i="1"/>
  <c r="G74" i="1" s="1"/>
  <c r="T73" i="1"/>
  <c r="S73" i="1"/>
  <c r="R73" i="1"/>
  <c r="Q73" i="1"/>
  <c r="P73" i="1"/>
  <c r="O73" i="1"/>
  <c r="N73" i="1"/>
  <c r="M73" i="1"/>
  <c r="L73" i="1"/>
  <c r="K73" i="1"/>
  <c r="J73" i="1"/>
  <c r="I73" i="1"/>
  <c r="H73" i="1"/>
  <c r="F73" i="1"/>
  <c r="G73" i="1" s="1"/>
  <c r="T72" i="1"/>
  <c r="S72" i="1"/>
  <c r="R72" i="1"/>
  <c r="Q72" i="1"/>
  <c r="P72" i="1"/>
  <c r="O72" i="1"/>
  <c r="N72" i="1"/>
  <c r="M72" i="1"/>
  <c r="L72" i="1"/>
  <c r="K72" i="1"/>
  <c r="J72" i="1"/>
  <c r="I72" i="1"/>
  <c r="H72" i="1"/>
  <c r="G72" i="1"/>
  <c r="F72" i="1"/>
  <c r="T71" i="1"/>
  <c r="S71" i="1"/>
  <c r="R71" i="1"/>
  <c r="Q71" i="1"/>
  <c r="P71" i="1"/>
  <c r="O71" i="1"/>
  <c r="N71" i="1"/>
  <c r="M71" i="1"/>
  <c r="L71" i="1"/>
  <c r="K71" i="1"/>
  <c r="J71" i="1"/>
  <c r="I71" i="1"/>
  <c r="H71" i="1"/>
  <c r="G71" i="1"/>
  <c r="F71" i="1"/>
  <c r="T70" i="1"/>
  <c r="S70" i="1"/>
  <c r="R70" i="1"/>
  <c r="Q70" i="1"/>
  <c r="P70" i="1"/>
  <c r="O70" i="1"/>
  <c r="N70" i="1"/>
  <c r="M70" i="1"/>
  <c r="L70" i="1"/>
  <c r="K70" i="1"/>
  <c r="J70" i="1"/>
  <c r="I70" i="1"/>
  <c r="H70" i="1"/>
  <c r="G70" i="1"/>
  <c r="F70" i="1"/>
  <c r="T69" i="1"/>
  <c r="S69" i="1"/>
  <c r="R69" i="1"/>
  <c r="Q69" i="1"/>
  <c r="P69" i="1"/>
  <c r="O69" i="1"/>
  <c r="N69" i="1"/>
  <c r="M69" i="1"/>
  <c r="L69" i="1"/>
  <c r="K69" i="1"/>
  <c r="J69" i="1"/>
  <c r="I69" i="1"/>
  <c r="H69" i="1"/>
  <c r="F69" i="1"/>
  <c r="G69" i="1" s="1"/>
  <c r="T68" i="1"/>
  <c r="S68" i="1"/>
  <c r="R68" i="1"/>
  <c r="Q68" i="1"/>
  <c r="P68" i="1"/>
  <c r="O68" i="1"/>
  <c r="N68" i="1"/>
  <c r="M68" i="1"/>
  <c r="L68" i="1"/>
  <c r="K68" i="1"/>
  <c r="J68" i="1"/>
  <c r="I68" i="1"/>
  <c r="H68" i="1"/>
  <c r="G68" i="1"/>
  <c r="F68" i="1"/>
  <c r="T67" i="1"/>
  <c r="S67" i="1"/>
  <c r="R67" i="1"/>
  <c r="Q67" i="1"/>
  <c r="P67" i="1"/>
  <c r="O67" i="1"/>
  <c r="N67" i="1"/>
  <c r="M67" i="1"/>
  <c r="L67" i="1"/>
  <c r="K67" i="1"/>
  <c r="J67" i="1"/>
  <c r="I67" i="1"/>
  <c r="H67" i="1"/>
  <c r="F67" i="1"/>
  <c r="G67" i="1" s="1"/>
  <c r="T66" i="1"/>
  <c r="S66" i="1"/>
  <c r="R66" i="1"/>
  <c r="Q66" i="1"/>
  <c r="P66" i="1"/>
  <c r="O66" i="1"/>
  <c r="N66" i="1"/>
  <c r="M66" i="1"/>
  <c r="L66" i="1"/>
  <c r="K66" i="1"/>
  <c r="J66" i="1"/>
  <c r="I66" i="1"/>
  <c r="H66" i="1"/>
  <c r="F66" i="1"/>
  <c r="G66" i="1" s="1"/>
  <c r="T65" i="1"/>
  <c r="S65" i="1"/>
  <c r="R65" i="1"/>
  <c r="Q65" i="1"/>
  <c r="P65" i="1"/>
  <c r="O65" i="1"/>
  <c r="N65" i="1"/>
  <c r="M65" i="1"/>
  <c r="L65" i="1"/>
  <c r="K65" i="1"/>
  <c r="J65" i="1"/>
  <c r="I65" i="1"/>
  <c r="H65" i="1"/>
  <c r="F65" i="1"/>
  <c r="G65" i="1" s="1"/>
  <c r="T64" i="1"/>
  <c r="S64" i="1"/>
  <c r="R64" i="1"/>
  <c r="Q64" i="1"/>
  <c r="P64" i="1"/>
  <c r="O64" i="1"/>
  <c r="N64" i="1"/>
  <c r="M64" i="1"/>
  <c r="L64" i="1"/>
  <c r="K64" i="1"/>
  <c r="J64" i="1"/>
  <c r="I64" i="1"/>
  <c r="H64" i="1"/>
  <c r="G64" i="1"/>
  <c r="F64" i="1"/>
  <c r="T63" i="1"/>
  <c r="S63" i="1"/>
  <c r="R63" i="1"/>
  <c r="Q63" i="1"/>
  <c r="P63" i="1"/>
  <c r="O63" i="1"/>
  <c r="N63" i="1"/>
  <c r="M63" i="1"/>
  <c r="L63" i="1"/>
  <c r="K63" i="1"/>
  <c r="J63" i="1"/>
  <c r="I63" i="1"/>
  <c r="H63" i="1"/>
  <c r="G63" i="1"/>
  <c r="F63" i="1"/>
  <c r="T62" i="1"/>
  <c r="S62" i="1"/>
  <c r="R62" i="1"/>
  <c r="Q62" i="1"/>
  <c r="P62" i="1"/>
  <c r="O62" i="1"/>
  <c r="N62" i="1"/>
  <c r="M62" i="1"/>
  <c r="L62" i="1"/>
  <c r="K62" i="1"/>
  <c r="J62" i="1"/>
  <c r="I62" i="1"/>
  <c r="H62" i="1"/>
  <c r="G62" i="1"/>
  <c r="F62" i="1"/>
  <c r="T61" i="1"/>
  <c r="S61" i="1"/>
  <c r="R61" i="1"/>
  <c r="Q61" i="1"/>
  <c r="P61" i="1"/>
  <c r="O61" i="1"/>
  <c r="N61" i="1"/>
  <c r="M61" i="1"/>
  <c r="L61" i="1"/>
  <c r="K61" i="1"/>
  <c r="J61" i="1"/>
  <c r="I61" i="1"/>
  <c r="H61" i="1"/>
  <c r="F61" i="1"/>
  <c r="G61" i="1" s="1"/>
  <c r="T60" i="1"/>
  <c r="S60" i="1"/>
  <c r="R60" i="1"/>
  <c r="Q60" i="1"/>
  <c r="P60" i="1"/>
  <c r="O60" i="1"/>
  <c r="N60" i="1"/>
  <c r="M60" i="1"/>
  <c r="L60" i="1"/>
  <c r="K60" i="1"/>
  <c r="J60" i="1"/>
  <c r="I60" i="1"/>
  <c r="H60" i="1"/>
  <c r="G60" i="1"/>
  <c r="F60" i="1"/>
  <c r="T59" i="1"/>
  <c r="S59" i="1"/>
  <c r="R59" i="1"/>
  <c r="Q59" i="1"/>
  <c r="P59" i="1"/>
  <c r="O59" i="1"/>
  <c r="N59" i="1"/>
  <c r="M59" i="1"/>
  <c r="L59" i="1"/>
  <c r="K59" i="1"/>
  <c r="J59" i="1"/>
  <c r="I59" i="1"/>
  <c r="H59" i="1"/>
  <c r="F59" i="1"/>
  <c r="G59" i="1" s="1"/>
  <c r="T58" i="1"/>
  <c r="S58" i="1"/>
  <c r="R58" i="1"/>
  <c r="Q58" i="1"/>
  <c r="P58" i="1"/>
  <c r="O58" i="1"/>
  <c r="N58" i="1"/>
  <c r="M58" i="1"/>
  <c r="L58" i="1"/>
  <c r="K58" i="1"/>
  <c r="J58" i="1"/>
  <c r="I58" i="1"/>
  <c r="H58" i="1"/>
  <c r="F58" i="1"/>
  <c r="G58" i="1" s="1"/>
  <c r="T57" i="1"/>
  <c r="S57" i="1"/>
  <c r="R57" i="1"/>
  <c r="Q57" i="1"/>
  <c r="P57" i="1"/>
  <c r="O57" i="1"/>
  <c r="N57" i="1"/>
  <c r="M57" i="1"/>
  <c r="L57" i="1"/>
  <c r="K57" i="1"/>
  <c r="J57" i="1"/>
  <c r="I57" i="1"/>
  <c r="H57" i="1"/>
  <c r="G57" i="1"/>
  <c r="F57" i="1"/>
  <c r="T56" i="1"/>
  <c r="S56" i="1"/>
  <c r="R56" i="1"/>
  <c r="Q56" i="1"/>
  <c r="P56" i="1"/>
  <c r="O56" i="1"/>
  <c r="N56" i="1"/>
  <c r="M56" i="1"/>
  <c r="L56" i="1"/>
  <c r="K56" i="1"/>
  <c r="J56" i="1"/>
  <c r="I56" i="1"/>
  <c r="H56" i="1"/>
  <c r="G56" i="1"/>
  <c r="F56" i="1"/>
  <c r="T55" i="1"/>
  <c r="S55" i="1"/>
  <c r="R55" i="1"/>
  <c r="Q55" i="1"/>
  <c r="P55" i="1"/>
  <c r="O55" i="1"/>
  <c r="N55" i="1"/>
  <c r="M55" i="1"/>
  <c r="L55" i="1"/>
  <c r="K55" i="1"/>
  <c r="J55" i="1"/>
  <c r="I55" i="1"/>
  <c r="H55" i="1"/>
  <c r="G55" i="1"/>
  <c r="F55" i="1"/>
  <c r="T54" i="1"/>
  <c r="S54" i="1"/>
  <c r="R54" i="1"/>
  <c r="Q54" i="1"/>
  <c r="P54" i="1"/>
  <c r="O54" i="1"/>
  <c r="N54" i="1"/>
  <c r="M54" i="1"/>
  <c r="L54" i="1"/>
  <c r="K54" i="1"/>
  <c r="J54" i="1"/>
  <c r="I54" i="1"/>
  <c r="H54" i="1"/>
  <c r="G54" i="1"/>
  <c r="F54" i="1"/>
  <c r="T53" i="1"/>
  <c r="S53" i="1"/>
  <c r="R53" i="1"/>
  <c r="Q53" i="1"/>
  <c r="P53" i="1"/>
  <c r="O53" i="1"/>
  <c r="N53" i="1"/>
  <c r="M53" i="1"/>
  <c r="L53" i="1"/>
  <c r="K53" i="1"/>
  <c r="J53" i="1"/>
  <c r="I53" i="1"/>
  <c r="H53" i="1"/>
  <c r="F53" i="1"/>
  <c r="G53" i="1" s="1"/>
  <c r="T52" i="1"/>
  <c r="S52" i="1"/>
  <c r="R52" i="1"/>
  <c r="Q52" i="1"/>
  <c r="P52" i="1"/>
  <c r="O52" i="1"/>
  <c r="N52" i="1"/>
  <c r="M52" i="1"/>
  <c r="L52" i="1"/>
  <c r="K52" i="1"/>
  <c r="J52" i="1"/>
  <c r="I52" i="1"/>
  <c r="H52" i="1"/>
  <c r="G52" i="1"/>
  <c r="F52" i="1"/>
  <c r="T51" i="1"/>
  <c r="S51" i="1"/>
  <c r="R51" i="1"/>
  <c r="Q51" i="1"/>
  <c r="P51" i="1"/>
  <c r="O51" i="1"/>
  <c r="N51" i="1"/>
  <c r="M51" i="1"/>
  <c r="L51" i="1"/>
  <c r="K51" i="1"/>
  <c r="J51" i="1"/>
  <c r="I51" i="1"/>
  <c r="H51" i="1"/>
  <c r="F51" i="1"/>
  <c r="G51" i="1" s="1"/>
  <c r="T50" i="1"/>
  <c r="S50" i="1"/>
  <c r="R50" i="1"/>
  <c r="Q50" i="1"/>
  <c r="P50" i="1"/>
  <c r="O50" i="1"/>
  <c r="N50" i="1"/>
  <c r="M50" i="1"/>
  <c r="L50" i="1"/>
  <c r="K50" i="1"/>
  <c r="J50" i="1"/>
  <c r="I50" i="1"/>
  <c r="H50" i="1"/>
  <c r="F50" i="1"/>
  <c r="G50" i="1" s="1"/>
  <c r="T49" i="1"/>
  <c r="S49" i="1"/>
  <c r="R49" i="1"/>
  <c r="Q49" i="1"/>
  <c r="P49" i="1"/>
  <c r="O49" i="1"/>
  <c r="N49" i="1"/>
  <c r="M49" i="1"/>
  <c r="L49" i="1"/>
  <c r="K49" i="1"/>
  <c r="J49" i="1"/>
  <c r="I49" i="1"/>
  <c r="H49" i="1"/>
  <c r="G49" i="1"/>
  <c r="F49" i="1"/>
  <c r="T48" i="1"/>
  <c r="S48" i="1"/>
  <c r="R48" i="1"/>
  <c r="Q48" i="1"/>
  <c r="P48" i="1"/>
  <c r="O48" i="1"/>
  <c r="N48" i="1"/>
  <c r="M48" i="1"/>
  <c r="L48" i="1"/>
  <c r="K48" i="1"/>
  <c r="J48" i="1"/>
  <c r="I48" i="1"/>
  <c r="H48" i="1"/>
  <c r="G48" i="1"/>
  <c r="F48" i="1"/>
  <c r="T47" i="1"/>
  <c r="S47" i="1"/>
  <c r="R47" i="1"/>
  <c r="Q47" i="1"/>
  <c r="P47" i="1"/>
  <c r="O47" i="1"/>
  <c r="N47" i="1"/>
  <c r="M47" i="1"/>
  <c r="L47" i="1"/>
  <c r="K47" i="1"/>
  <c r="J47" i="1"/>
  <c r="I47" i="1"/>
  <c r="H47" i="1"/>
  <c r="G47" i="1"/>
  <c r="F47" i="1"/>
  <c r="T46" i="1"/>
  <c r="S46" i="1"/>
  <c r="R46" i="1"/>
  <c r="Q46" i="1"/>
  <c r="P46" i="1"/>
  <c r="O46" i="1"/>
  <c r="N46" i="1"/>
  <c r="M46" i="1"/>
  <c r="L46" i="1"/>
  <c r="K46" i="1"/>
  <c r="J46" i="1"/>
  <c r="I46" i="1"/>
  <c r="H46" i="1"/>
  <c r="G46" i="1"/>
  <c r="F46" i="1"/>
  <c r="T45" i="1"/>
  <c r="S45" i="1"/>
  <c r="R45" i="1"/>
  <c r="Q45" i="1"/>
  <c r="P45" i="1"/>
  <c r="O45" i="1"/>
  <c r="N45" i="1"/>
  <c r="M45" i="1"/>
  <c r="L45" i="1"/>
  <c r="K45" i="1"/>
  <c r="J45" i="1"/>
  <c r="I45" i="1"/>
  <c r="H45" i="1"/>
  <c r="F45" i="1"/>
  <c r="G45" i="1" s="1"/>
  <c r="T44" i="1"/>
  <c r="S44" i="1"/>
  <c r="R44" i="1"/>
  <c r="Q44" i="1"/>
  <c r="P44" i="1"/>
  <c r="O44" i="1"/>
  <c r="N44" i="1"/>
  <c r="M44" i="1"/>
  <c r="L44" i="1"/>
  <c r="K44" i="1"/>
  <c r="J44" i="1"/>
  <c r="I44" i="1"/>
  <c r="H44" i="1"/>
  <c r="G44" i="1"/>
  <c r="F44" i="1"/>
  <c r="T43" i="1"/>
  <c r="S43" i="1"/>
  <c r="R43" i="1"/>
  <c r="Q43" i="1"/>
  <c r="P43" i="1"/>
  <c r="O43" i="1"/>
  <c r="N43" i="1"/>
  <c r="M43" i="1"/>
  <c r="L43" i="1"/>
  <c r="K43" i="1"/>
  <c r="J43" i="1"/>
  <c r="I43" i="1"/>
  <c r="H43" i="1"/>
  <c r="F43" i="1"/>
  <c r="G43" i="1" s="1"/>
  <c r="T42" i="1"/>
  <c r="S42" i="1"/>
  <c r="R42" i="1"/>
  <c r="Q42" i="1"/>
  <c r="P42" i="1"/>
  <c r="O42" i="1"/>
  <c r="N42" i="1"/>
  <c r="M42" i="1"/>
  <c r="L42" i="1"/>
  <c r="K42" i="1"/>
  <c r="J42" i="1"/>
  <c r="I42" i="1"/>
  <c r="H42" i="1"/>
  <c r="F42" i="1"/>
  <c r="G42" i="1" s="1"/>
  <c r="T41" i="1"/>
  <c r="S41" i="1"/>
  <c r="R41" i="1"/>
  <c r="Q41" i="1"/>
  <c r="P41" i="1"/>
  <c r="O41" i="1"/>
  <c r="N41" i="1"/>
  <c r="M41" i="1"/>
  <c r="L41" i="1"/>
  <c r="K41" i="1"/>
  <c r="J41" i="1"/>
  <c r="I41" i="1"/>
  <c r="H41" i="1"/>
  <c r="G41" i="1"/>
  <c r="F41" i="1"/>
  <c r="T40" i="1"/>
  <c r="S40" i="1"/>
  <c r="R40" i="1"/>
  <c r="Q40" i="1"/>
  <c r="P40" i="1"/>
  <c r="O40" i="1"/>
  <c r="N40" i="1"/>
  <c r="M40" i="1"/>
  <c r="L40" i="1"/>
  <c r="K40" i="1"/>
  <c r="J40" i="1"/>
  <c r="I40" i="1"/>
  <c r="H40" i="1"/>
  <c r="G40" i="1"/>
  <c r="F40" i="1"/>
  <c r="T39" i="1"/>
  <c r="S39" i="1"/>
  <c r="R39" i="1"/>
  <c r="Q39" i="1"/>
  <c r="P39" i="1"/>
  <c r="O39" i="1"/>
  <c r="N39" i="1"/>
  <c r="M39" i="1"/>
  <c r="L39" i="1"/>
  <c r="K39" i="1"/>
  <c r="J39" i="1"/>
  <c r="I39" i="1"/>
  <c r="H39" i="1"/>
  <c r="G39" i="1"/>
  <c r="F39" i="1"/>
  <c r="T38" i="1"/>
  <c r="S38" i="1"/>
  <c r="R38" i="1"/>
  <c r="Q38" i="1"/>
  <c r="P38" i="1"/>
  <c r="O38" i="1"/>
  <c r="N38" i="1"/>
  <c r="M38" i="1"/>
  <c r="L38" i="1"/>
  <c r="K38" i="1"/>
  <c r="J38" i="1"/>
  <c r="I38" i="1"/>
  <c r="H38" i="1"/>
  <c r="G38" i="1"/>
  <c r="F38" i="1"/>
  <c r="T37" i="1"/>
  <c r="S37" i="1"/>
  <c r="R37" i="1"/>
  <c r="Q37" i="1"/>
  <c r="P37" i="1"/>
  <c r="O37" i="1"/>
  <c r="N37" i="1"/>
  <c r="M37" i="1"/>
  <c r="L37" i="1"/>
  <c r="K37" i="1"/>
  <c r="J37" i="1"/>
  <c r="I37" i="1"/>
  <c r="H37" i="1"/>
  <c r="F37" i="1"/>
  <c r="G37" i="1" s="1"/>
  <c r="T36" i="1"/>
  <c r="S36" i="1"/>
  <c r="R36" i="1"/>
  <c r="Q36" i="1"/>
  <c r="P36" i="1"/>
  <c r="O36" i="1"/>
  <c r="N36" i="1"/>
  <c r="M36" i="1"/>
  <c r="L36" i="1"/>
  <c r="K36" i="1"/>
  <c r="J36" i="1"/>
  <c r="I36" i="1"/>
  <c r="H36" i="1"/>
  <c r="G36" i="1"/>
  <c r="F36" i="1"/>
  <c r="T35" i="1"/>
  <c r="S35" i="1"/>
  <c r="R35" i="1"/>
  <c r="Q35" i="1"/>
  <c r="P35" i="1"/>
  <c r="O35" i="1"/>
  <c r="N35" i="1"/>
  <c r="M35" i="1"/>
  <c r="L35" i="1"/>
  <c r="K35" i="1"/>
  <c r="J35" i="1"/>
  <c r="I35" i="1"/>
  <c r="H35" i="1"/>
  <c r="F35" i="1"/>
  <c r="G35" i="1" s="1"/>
  <c r="T34" i="1"/>
  <c r="S34" i="1"/>
  <c r="R34" i="1"/>
  <c r="Q34" i="1"/>
  <c r="P34" i="1"/>
  <c r="O34" i="1"/>
  <c r="N34" i="1"/>
  <c r="M34" i="1"/>
  <c r="L34" i="1"/>
  <c r="K34" i="1"/>
  <c r="J34" i="1"/>
  <c r="I34" i="1"/>
  <c r="H34" i="1"/>
  <c r="F34" i="1"/>
  <c r="G34" i="1" s="1"/>
  <c r="T33" i="1"/>
  <c r="S33" i="1"/>
  <c r="R33" i="1"/>
  <c r="Q33" i="1"/>
  <c r="P33" i="1"/>
  <c r="O33" i="1"/>
  <c r="N33" i="1"/>
  <c r="M33" i="1"/>
  <c r="L33" i="1"/>
  <c r="K33" i="1"/>
  <c r="J33" i="1"/>
  <c r="I33" i="1"/>
  <c r="H33" i="1"/>
  <c r="G33" i="1"/>
  <c r="F33" i="1"/>
  <c r="T32" i="1"/>
  <c r="S32" i="1"/>
  <c r="R32" i="1"/>
  <c r="Q32" i="1"/>
  <c r="P32" i="1"/>
  <c r="O32" i="1"/>
  <c r="N32" i="1"/>
  <c r="M32" i="1"/>
  <c r="L32" i="1"/>
  <c r="K32" i="1"/>
  <c r="J32" i="1"/>
  <c r="I32" i="1"/>
  <c r="H32" i="1"/>
  <c r="G32" i="1"/>
  <c r="F32" i="1"/>
  <c r="T31" i="1"/>
  <c r="S31" i="1"/>
  <c r="R31" i="1"/>
  <c r="Q31" i="1"/>
  <c r="P31" i="1"/>
  <c r="O31" i="1"/>
  <c r="N31" i="1"/>
  <c r="M31" i="1"/>
  <c r="L31" i="1"/>
  <c r="K31" i="1"/>
  <c r="J31" i="1"/>
  <c r="I31" i="1"/>
  <c r="H31" i="1"/>
  <c r="G31" i="1"/>
  <c r="F31" i="1"/>
  <c r="T30" i="1"/>
  <c r="S30" i="1"/>
  <c r="R30" i="1"/>
  <c r="Q30" i="1"/>
  <c r="P30" i="1"/>
  <c r="O30" i="1"/>
  <c r="N30" i="1"/>
  <c r="M30" i="1"/>
  <c r="L30" i="1"/>
  <c r="K30" i="1"/>
  <c r="J30" i="1"/>
  <c r="I30" i="1"/>
  <c r="H30" i="1"/>
  <c r="G30" i="1"/>
  <c r="F30" i="1"/>
  <c r="T29" i="1"/>
  <c r="S29" i="1"/>
  <c r="R29" i="1"/>
  <c r="Q29" i="1"/>
  <c r="P29" i="1"/>
  <c r="O29" i="1"/>
  <c r="N29" i="1"/>
  <c r="M29" i="1"/>
  <c r="L29" i="1"/>
  <c r="K29" i="1"/>
  <c r="J29" i="1"/>
  <c r="I29" i="1"/>
  <c r="H29" i="1"/>
  <c r="F29" i="1"/>
  <c r="G29" i="1" s="1"/>
  <c r="T28" i="1"/>
  <c r="S28" i="1"/>
  <c r="R28" i="1"/>
  <c r="Q28" i="1"/>
  <c r="P28" i="1"/>
  <c r="O28" i="1"/>
  <c r="N28" i="1"/>
  <c r="M28" i="1"/>
  <c r="L28" i="1"/>
  <c r="K28" i="1"/>
  <c r="J28" i="1"/>
  <c r="I28" i="1"/>
  <c r="H28" i="1"/>
  <c r="G28" i="1"/>
  <c r="F28" i="1"/>
  <c r="T27" i="1"/>
  <c r="S27" i="1"/>
  <c r="R27" i="1"/>
  <c r="Q27" i="1"/>
  <c r="P27" i="1"/>
  <c r="O27" i="1"/>
  <c r="N27" i="1"/>
  <c r="M27" i="1"/>
  <c r="L27" i="1"/>
  <c r="K27" i="1"/>
  <c r="J27" i="1"/>
  <c r="I27" i="1"/>
  <c r="H27" i="1"/>
  <c r="F27" i="1"/>
  <c r="G27" i="1" s="1"/>
  <c r="T26" i="1"/>
  <c r="S26" i="1"/>
  <c r="R26" i="1"/>
  <c r="Q26" i="1"/>
  <c r="P26" i="1"/>
  <c r="O26" i="1"/>
  <c r="N26" i="1"/>
  <c r="M26" i="1"/>
  <c r="L26" i="1"/>
  <c r="K26" i="1"/>
  <c r="J26" i="1"/>
  <c r="I26" i="1"/>
  <c r="H26" i="1"/>
  <c r="F26" i="1"/>
  <c r="G26" i="1" s="1"/>
  <c r="T25" i="1"/>
  <c r="S25" i="1"/>
  <c r="R25" i="1"/>
  <c r="Q25" i="1"/>
  <c r="P25" i="1"/>
  <c r="O25" i="1"/>
  <c r="N25" i="1"/>
  <c r="M25" i="1"/>
  <c r="L25" i="1"/>
  <c r="K25" i="1"/>
  <c r="J25" i="1"/>
  <c r="I25" i="1"/>
  <c r="H25" i="1"/>
  <c r="F25" i="1"/>
  <c r="G25" i="1" s="1"/>
  <c r="T24" i="1"/>
  <c r="S24" i="1"/>
  <c r="R24" i="1"/>
  <c r="Q24" i="1"/>
  <c r="P24" i="1"/>
  <c r="O24" i="1"/>
  <c r="N24" i="1"/>
  <c r="M24" i="1"/>
  <c r="L24" i="1"/>
  <c r="K24" i="1"/>
  <c r="J24" i="1"/>
  <c r="I24" i="1"/>
  <c r="H24" i="1"/>
  <c r="F24" i="1"/>
  <c r="G24" i="1" s="1"/>
  <c r="T23" i="1"/>
  <c r="S23" i="1"/>
  <c r="R23" i="1"/>
  <c r="Q23" i="1"/>
  <c r="P23" i="1"/>
  <c r="O23" i="1"/>
  <c r="N23" i="1"/>
  <c r="M23" i="1"/>
  <c r="L23" i="1"/>
  <c r="K23" i="1"/>
  <c r="J23" i="1"/>
  <c r="I23" i="1"/>
  <c r="H23" i="1"/>
  <c r="G23" i="1"/>
  <c r="F23" i="1"/>
  <c r="T22" i="1"/>
  <c r="S22" i="1"/>
  <c r="R22" i="1"/>
  <c r="Q22" i="1"/>
  <c r="P22" i="1"/>
  <c r="O22" i="1"/>
  <c r="N22" i="1"/>
  <c r="M22" i="1"/>
  <c r="L22" i="1"/>
  <c r="K22" i="1"/>
  <c r="J22" i="1"/>
  <c r="I22" i="1"/>
  <c r="H22" i="1"/>
  <c r="G22" i="1"/>
  <c r="F22" i="1"/>
  <c r="T21" i="1"/>
  <c r="S21" i="1"/>
  <c r="R21" i="1"/>
  <c r="Q21" i="1"/>
  <c r="P21" i="1"/>
  <c r="O21" i="1"/>
  <c r="N21" i="1"/>
  <c r="M21" i="1"/>
  <c r="L21" i="1"/>
  <c r="K21" i="1"/>
  <c r="J21" i="1"/>
  <c r="I21" i="1"/>
  <c r="H21" i="1"/>
  <c r="F21" i="1"/>
  <c r="G21" i="1" s="1"/>
  <c r="T20" i="1"/>
  <c r="S20" i="1"/>
  <c r="R20" i="1"/>
  <c r="Q20" i="1"/>
  <c r="P20" i="1"/>
  <c r="O20" i="1"/>
  <c r="N20" i="1"/>
  <c r="M20" i="1"/>
  <c r="L20" i="1"/>
  <c r="K20" i="1"/>
  <c r="J20" i="1"/>
  <c r="I20" i="1"/>
  <c r="H20" i="1"/>
  <c r="G20" i="1"/>
  <c r="F20" i="1"/>
  <c r="T19" i="1"/>
  <c r="S19" i="1"/>
  <c r="R19" i="1"/>
  <c r="Q19" i="1"/>
  <c r="P19" i="1"/>
  <c r="O19" i="1"/>
  <c r="N19" i="1"/>
  <c r="M19" i="1"/>
  <c r="L19" i="1"/>
  <c r="K19" i="1"/>
  <c r="J19" i="1"/>
  <c r="I19" i="1"/>
  <c r="H19" i="1"/>
  <c r="F19" i="1"/>
  <c r="G19" i="1" s="1"/>
  <c r="T18" i="1"/>
  <c r="S18" i="1"/>
  <c r="R18" i="1"/>
  <c r="Q18" i="1"/>
  <c r="P18" i="1"/>
  <c r="O18" i="1"/>
  <c r="N18" i="1"/>
  <c r="M18" i="1"/>
  <c r="L18" i="1"/>
  <c r="K18" i="1"/>
  <c r="J18" i="1"/>
  <c r="I18" i="1"/>
  <c r="H18" i="1"/>
  <c r="F18" i="1"/>
  <c r="G18" i="1" s="1"/>
  <c r="T17" i="1"/>
  <c r="S17" i="1"/>
  <c r="R17" i="1"/>
  <c r="Q17" i="1"/>
  <c r="P17" i="1"/>
  <c r="O17" i="1"/>
  <c r="N17" i="1"/>
  <c r="M17" i="1"/>
  <c r="L17" i="1"/>
  <c r="K17" i="1"/>
  <c r="J17" i="1"/>
  <c r="I17" i="1"/>
  <c r="H17" i="1"/>
  <c r="F17" i="1"/>
  <c r="G17" i="1" s="1"/>
  <c r="T16" i="1"/>
  <c r="S16" i="1"/>
  <c r="R16" i="1"/>
  <c r="Q16" i="1"/>
  <c r="P16" i="1"/>
  <c r="O16" i="1"/>
  <c r="N16" i="1"/>
  <c r="M16" i="1"/>
  <c r="L16" i="1"/>
  <c r="K16" i="1"/>
  <c r="J16" i="1"/>
  <c r="I16" i="1"/>
  <c r="H16" i="1"/>
  <c r="G16" i="1"/>
  <c r="F16" i="1"/>
  <c r="T15" i="1"/>
  <c r="S15" i="1"/>
  <c r="R15" i="1"/>
  <c r="Q15" i="1"/>
  <c r="P15" i="1"/>
  <c r="O15" i="1"/>
  <c r="N15" i="1"/>
  <c r="M15" i="1"/>
  <c r="L15" i="1"/>
  <c r="K15" i="1"/>
  <c r="J15" i="1"/>
  <c r="I15" i="1"/>
  <c r="H15" i="1"/>
  <c r="F15" i="1"/>
  <c r="G15" i="1" s="1"/>
  <c r="T14" i="1"/>
  <c r="S14" i="1"/>
  <c r="R14" i="1"/>
  <c r="Q14" i="1"/>
  <c r="P14" i="1"/>
  <c r="O14" i="1"/>
  <c r="N14" i="1"/>
  <c r="M14" i="1"/>
  <c r="L14" i="1"/>
  <c r="K14" i="1"/>
  <c r="J14" i="1"/>
  <c r="I14" i="1"/>
  <c r="H14" i="1"/>
  <c r="G14" i="1"/>
  <c r="F14" i="1"/>
  <c r="T13" i="1"/>
  <c r="S13" i="1"/>
  <c r="R13" i="1"/>
  <c r="Q13" i="1"/>
  <c r="P13" i="1"/>
  <c r="O13" i="1"/>
  <c r="N13" i="1"/>
  <c r="M13" i="1"/>
  <c r="L13" i="1"/>
  <c r="K13" i="1"/>
  <c r="J13" i="1"/>
  <c r="I13" i="1"/>
  <c r="H13" i="1"/>
  <c r="F13" i="1"/>
  <c r="G13" i="1" s="1"/>
  <c r="T12" i="1"/>
  <c r="S12" i="1"/>
  <c r="R12" i="1"/>
  <c r="Q12" i="1"/>
  <c r="P12" i="1"/>
  <c r="O12" i="1"/>
  <c r="N12" i="1"/>
  <c r="M12" i="1"/>
  <c r="L12" i="1"/>
  <c r="K12" i="1"/>
  <c r="J12" i="1"/>
  <c r="I12" i="1"/>
  <c r="H12" i="1"/>
  <c r="G12" i="1"/>
  <c r="F12" i="1"/>
  <c r="T11" i="1"/>
  <c r="S11" i="1"/>
  <c r="R11" i="1"/>
  <c r="Q11" i="1"/>
  <c r="P11" i="1"/>
  <c r="O11" i="1"/>
  <c r="N11" i="1"/>
  <c r="M11" i="1"/>
  <c r="L11" i="1"/>
  <c r="K11" i="1"/>
  <c r="J11" i="1"/>
  <c r="I11" i="1"/>
  <c r="H11" i="1"/>
  <c r="F11" i="1"/>
  <c r="G11" i="1" s="1"/>
  <c r="T10" i="1"/>
  <c r="S10" i="1"/>
  <c r="R10" i="1"/>
  <c r="Q10" i="1"/>
  <c r="P10" i="1"/>
  <c r="O10" i="1"/>
  <c r="N10" i="1"/>
  <c r="M10" i="1"/>
  <c r="L10" i="1"/>
  <c r="K10" i="1"/>
  <c r="J10" i="1"/>
  <c r="I10" i="1"/>
  <c r="H10" i="1"/>
  <c r="F10" i="1"/>
  <c r="G10" i="1" s="1"/>
  <c r="T9" i="1"/>
  <c r="S9" i="1"/>
  <c r="R9" i="1"/>
  <c r="Q9" i="1"/>
  <c r="P9" i="1"/>
  <c r="O9" i="1"/>
  <c r="N9" i="1"/>
  <c r="M9" i="1"/>
  <c r="L9" i="1"/>
  <c r="K9" i="1"/>
  <c r="J9" i="1"/>
  <c r="I9" i="1"/>
  <c r="H9" i="1"/>
  <c r="F9" i="1"/>
  <c r="G9" i="1" s="1"/>
  <c r="T8" i="1"/>
  <c r="S8" i="1"/>
  <c r="R8" i="1"/>
  <c r="Q8" i="1"/>
  <c r="P8" i="1"/>
  <c r="O8" i="1"/>
  <c r="N8" i="1"/>
  <c r="M8" i="1"/>
  <c r="L8" i="1"/>
  <c r="K8" i="1"/>
  <c r="J8" i="1"/>
  <c r="I8" i="1"/>
  <c r="H8" i="1"/>
  <c r="G8" i="1"/>
  <c r="F8" i="1"/>
  <c r="T7" i="1"/>
  <c r="S7" i="1"/>
  <c r="R7" i="1"/>
  <c r="Q7" i="1"/>
  <c r="P7" i="1"/>
  <c r="O7" i="1"/>
  <c r="N7" i="1"/>
  <c r="M7" i="1"/>
  <c r="L7" i="1"/>
  <c r="K7" i="1"/>
  <c r="J7" i="1"/>
  <c r="I7" i="1"/>
  <c r="H7" i="1"/>
  <c r="F7" i="1"/>
  <c r="G7" i="1" s="1"/>
  <c r="T6" i="1"/>
  <c r="S6" i="1"/>
  <c r="R6" i="1"/>
  <c r="Q6" i="1"/>
  <c r="P6" i="1"/>
  <c r="O6" i="1"/>
  <c r="N6" i="1"/>
  <c r="M6" i="1"/>
  <c r="K6" i="1"/>
  <c r="J6" i="1"/>
  <c r="I6" i="1"/>
  <c r="H6" i="1"/>
  <c r="F6" i="1"/>
  <c r="G6" i="1" s="1"/>
  <c r="T5" i="1"/>
  <c r="S5" i="1"/>
  <c r="R5" i="1"/>
  <c r="Q5" i="1"/>
  <c r="P5" i="1"/>
  <c r="O5" i="1"/>
  <c r="N5" i="1"/>
  <c r="M5" i="1"/>
  <c r="K5" i="1"/>
  <c r="J5" i="1"/>
  <c r="I5" i="1"/>
  <c r="H5" i="1"/>
  <c r="F5" i="1"/>
  <c r="G5" i="1" s="1"/>
  <c r="T4" i="1"/>
  <c r="S4" i="1"/>
  <c r="R4" i="1"/>
  <c r="Q4" i="1"/>
  <c r="P4" i="1"/>
  <c r="O4" i="1"/>
  <c r="N4" i="1"/>
  <c r="M4" i="1"/>
  <c r="K4" i="1"/>
  <c r="J4" i="1"/>
  <c r="I4" i="1"/>
  <c r="H4" i="1"/>
  <c r="G4" i="1"/>
  <c r="F4" i="1"/>
  <c r="T3" i="1"/>
  <c r="S3" i="1"/>
  <c r="R3" i="1"/>
  <c r="Q3" i="1"/>
  <c r="P3" i="1"/>
  <c r="O3" i="1"/>
  <c r="N3" i="1"/>
  <c r="M3" i="1"/>
  <c r="K3" i="1"/>
  <c r="J3" i="1"/>
  <c r="I3" i="1"/>
  <c r="H3" i="1"/>
  <c r="F3" i="1"/>
  <c r="G3" i="1" s="1"/>
  <c r="T2" i="1"/>
  <c r="S2" i="1"/>
  <c r="R2" i="1"/>
  <c r="Q2" i="1"/>
  <c r="P2" i="1"/>
  <c r="O2" i="1"/>
  <c r="N2" i="1"/>
  <c r="M2" i="1"/>
  <c r="K2" i="1"/>
  <c r="J2" i="1"/>
  <c r="I2" i="1"/>
  <c r="H2" i="1"/>
  <c r="F2" i="1"/>
  <c r="G2" i="1" s="1"/>
</calcChain>
</file>

<file path=xl/sharedStrings.xml><?xml version="1.0" encoding="utf-8"?>
<sst xmlns="http://schemas.openxmlformats.org/spreadsheetml/2006/main" count="101" uniqueCount="81">
  <si>
    <t>orderid</t>
  </si>
  <si>
    <t>productid</t>
  </si>
  <si>
    <t>unitprice</t>
  </si>
  <si>
    <t>qty</t>
  </si>
  <si>
    <t>discount</t>
  </si>
  <si>
    <t>Customer Name</t>
  </si>
  <si>
    <t>Column Name2</t>
  </si>
  <si>
    <t>Employee Name</t>
  </si>
  <si>
    <t>Employee Region</t>
  </si>
  <si>
    <t>Product Name</t>
  </si>
  <si>
    <t>Product Category</t>
  </si>
  <si>
    <t>orderdate</t>
  </si>
  <si>
    <t>shippeddate</t>
  </si>
  <si>
    <t>Shipping Company</t>
  </si>
  <si>
    <t>shipname</t>
  </si>
  <si>
    <t>shipcountry</t>
  </si>
  <si>
    <t>Supplying Company</t>
  </si>
  <si>
    <t>Supplier Country</t>
  </si>
  <si>
    <t>Freight Category</t>
  </si>
  <si>
    <t xml:space="preserve">Revenue </t>
  </si>
  <si>
    <t>Data Note</t>
  </si>
  <si>
    <t>Order 10248 absent from Sales Order; orderdate not available</t>
  </si>
  <si>
    <t>Order 10249 absent from Sales Order; orderdate not available</t>
  </si>
  <si>
    <t>Row Labels</t>
  </si>
  <si>
    <t xml:space="preserve">Sum of Revenue </t>
  </si>
  <si>
    <t>Beverages</t>
  </si>
  <si>
    <t>2006</t>
  </si>
  <si>
    <t>Condiments</t>
  </si>
  <si>
    <t>2007</t>
  </si>
  <si>
    <t>Confections</t>
  </si>
  <si>
    <t>2008</t>
  </si>
  <si>
    <t>Dairy Product</t>
  </si>
  <si>
    <t>&lt;7/8/2006</t>
  </si>
  <si>
    <t>Grains/Cereals</t>
  </si>
  <si>
    <t>(blank)</t>
  </si>
  <si>
    <t>Meat/Poultry</t>
  </si>
  <si>
    <t>Grand Total</t>
  </si>
  <si>
    <t>Produce</t>
  </si>
  <si>
    <t>Seafood</t>
  </si>
  <si>
    <t>REVENUE BY PRODUCT CATEGORY</t>
  </si>
  <si>
    <t>Dr. Don Funk</t>
  </si>
  <si>
    <t>Mr. Paul Suurs</t>
  </si>
  <si>
    <t>Mr. Russell King</t>
  </si>
  <si>
    <t>Mr. Sven Buck</t>
  </si>
  <si>
    <t>Mrs. Yael Peled</t>
  </si>
  <si>
    <t>Ms. Judy Lew</t>
  </si>
  <si>
    <t>Ms. Maria Cameron</t>
  </si>
  <si>
    <t>Ms. Sara Davis</t>
  </si>
  <si>
    <t>Ms. Zoya Dolgopyatova</t>
  </si>
  <si>
    <t>Not Specified</t>
  </si>
  <si>
    <t>REVENUE BY EMPLOYEE</t>
  </si>
  <si>
    <t>Argentina</t>
  </si>
  <si>
    <t>Austria</t>
  </si>
  <si>
    <t>Belgium</t>
  </si>
  <si>
    <t>Brazil</t>
  </si>
  <si>
    <t>Canada</t>
  </si>
  <si>
    <t>Denmark</t>
  </si>
  <si>
    <t>Finland</t>
  </si>
  <si>
    <t>France</t>
  </si>
  <si>
    <t>Germany</t>
  </si>
  <si>
    <t>Ireland</t>
  </si>
  <si>
    <t>Italy</t>
  </si>
  <si>
    <t>Mexico</t>
  </si>
  <si>
    <t>Norway</t>
  </si>
  <si>
    <t>Poland</t>
  </si>
  <si>
    <t>Portugal</t>
  </si>
  <si>
    <t>Spain</t>
  </si>
  <si>
    <t>Sweden</t>
  </si>
  <si>
    <t>Switzerland</t>
  </si>
  <si>
    <t>UK</t>
  </si>
  <si>
    <t>USA</t>
  </si>
  <si>
    <t>Venezuela</t>
  </si>
  <si>
    <t>REVENUE BY COUNTRY</t>
  </si>
  <si>
    <t>Shipper ETYNR</t>
  </si>
  <si>
    <t>Shipper GVSUA</t>
  </si>
  <si>
    <t>Shipper ZHISN</t>
  </si>
  <si>
    <t>SHIPPER REVENUE</t>
  </si>
  <si>
    <t>Count of orderid</t>
  </si>
  <si>
    <t>High Freight</t>
  </si>
  <si>
    <t>Low Freight</t>
  </si>
  <si>
    <t>FREIGHT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</si>
</sst>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8">
    <font>
      <sz val="11"/>
      <color theme="1"/>
      <name val="Calibri"/>
      <family val="2"/>
      <scheme val="minor"/>
    </font>
    <font>
      <sz val="11"/>
      <color theme="1"/>
      <name val="Calibri"/>
      <family val="2"/>
      <scheme val="minor"/>
    </font>
    <font>
      <b/>
      <sz val="8"/>
      <color rgb="FF000000"/>
      <name val="&quot;Helvetica Neue&quot;"/>
    </font>
    <font>
      <sz val="8"/>
      <color rgb="FF000000"/>
      <name val="&quot;Helvetica Neue&quot;"/>
    </font>
    <font>
      <sz val="8"/>
      <color rgb="FF000000"/>
      <name val="Calibri"/>
      <family val="2"/>
      <scheme val="minor"/>
    </font>
    <font>
      <b/>
      <sz val="8"/>
      <color rgb="FF000000"/>
      <name val="Calibri"/>
      <family val="2"/>
      <scheme val="minor"/>
    </font>
    <font>
      <sz val="10"/>
      <color rgb="FF0000FF"/>
      <name val="Calibri"/>
      <family val="2"/>
      <scheme val="minor"/>
    </font>
    <font>
      <sz val="10"/>
      <color rgb="FF0000FF"/>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0.34998626667073579"/>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2" fillId="0" borderId="1" xfId="0" applyFont="1" applyBorder="1" applyAlignment="1">
      <alignment vertical="top"/>
    </xf>
    <xf numFmtId="0" fontId="3" fillId="0" borderId="1" xfId="0" applyFont="1" applyBorder="1" applyAlignment="1">
      <alignment vertical="top"/>
    </xf>
    <xf numFmtId="9" fontId="3" fillId="0" borderId="1" xfId="1" applyFont="1" applyBorder="1" applyAlignment="1">
      <alignment vertical="top"/>
    </xf>
    <xf numFmtId="14" fontId="3" fillId="0" borderId="1" xfId="0" applyNumberFormat="1" applyFont="1" applyBorder="1" applyAlignment="1">
      <alignment vertical="top"/>
    </xf>
    <xf numFmtId="0" fontId="4" fillId="0" borderId="1" xfId="0" applyFont="1" applyBorder="1" applyAlignment="1">
      <alignment vertical="top"/>
    </xf>
    <xf numFmtId="0" fontId="4" fillId="0" borderId="2" xfId="0" applyFont="1" applyBorder="1" applyAlignment="1">
      <alignment vertical="top"/>
    </xf>
    <xf numFmtId="0" fontId="5" fillId="0" borderId="2" xfId="0" applyFont="1" applyBorder="1" applyAlignment="1">
      <alignment vertical="top"/>
    </xf>
    <xf numFmtId="0" fontId="3" fillId="0" borderId="0" xfId="0" applyFont="1" applyAlignment="1">
      <alignment vertical="top"/>
    </xf>
    <xf numFmtId="14" fontId="6" fillId="0" borderId="0" xfId="0" applyNumberFormat="1" applyFont="1"/>
    <xf numFmtId="14" fontId="0" fillId="0" borderId="0" xfId="0" applyNumberFormat="1"/>
    <xf numFmtId="0" fontId="7" fillId="0" borderId="0" xfId="0" applyFont="1"/>
    <xf numFmtId="0" fontId="6" fillId="0" borderId="0" xfId="0" applyFont="1"/>
    <xf numFmtId="0" fontId="0" fillId="0" borderId="0" xfId="0" applyAlignment="1">
      <alignment horizontal="left"/>
    </xf>
    <xf numFmtId="2" fontId="0" fillId="0" borderId="0" xfId="0" applyNumberFormat="1"/>
    <xf numFmtId="0" fontId="0" fillId="0" borderId="0" xfId="0" applyAlignment="1">
      <alignment horizontal="left" indent="1"/>
    </xf>
    <xf numFmtId="0" fontId="0" fillId="2" borderId="0" xfId="0" applyFill="1"/>
    <xf numFmtId="0" fontId="0" fillId="0" borderId="0" xfId="0" pivotButton="1"/>
    <xf numFmtId="164" fontId="0" fillId="0" borderId="0" xfId="0" applyNumberFormat="1"/>
    <xf numFmtId="0" fontId="0" fillId="0" borderId="0" xfId="0" applyNumberFormat="1"/>
    <xf numFmtId="0" fontId="0" fillId="3" borderId="0" xfId="0" applyFill="1" applyAlignment="1">
      <alignment horizontal="center"/>
    </xf>
  </cellXfs>
  <cellStyles count="2">
    <cellStyle name="Normal" xfId="0" builtinId="0"/>
    <cellStyle name="Percent" xfId="1" builtinId="5"/>
  </cellStyles>
  <dxfs count="12">
    <dxf>
      <numFmt numFmtId="164" formatCode="&quot;$&quot;#,##0"/>
    </dxf>
    <dxf>
      <numFmt numFmtId="2" formatCode="0.00"/>
    </dxf>
    <dxf>
      <numFmt numFmtId="2" formatCode="0.00"/>
    </dxf>
    <dxf>
      <numFmt numFmtId="2" formatCode="0.00"/>
    </dxf>
    <dxf>
      <numFmt numFmtId="2" formatCode="0.00"/>
    </dxf>
    <dxf>
      <numFmt numFmtId="164" formatCode="&quot;$&quot;#,##0"/>
    </dxf>
    <dxf>
      <numFmt numFmtId="2" formatCode="0.00"/>
    </dxf>
    <dxf>
      <numFmt numFmtId="164" formatCode="&quot;$&quot;#,##0"/>
    </dxf>
    <dxf>
      <numFmt numFmtId="2" formatCode="0.00"/>
    </dxf>
    <dxf>
      <font>
        <b/>
        <sz val="11"/>
        <color theme="1"/>
      </font>
    </dxf>
    <dxf>
      <font>
        <color theme="0"/>
        <name val="Sans Serif Collection"/>
        <family val="2"/>
        <scheme val="none"/>
      </font>
      <fill>
        <patternFill patternType="solid">
          <fgColor theme="0"/>
          <bgColor theme="5" tint="0.39994506668294322"/>
        </patternFill>
      </fill>
      <border diagonalUp="0" diagonalDown="0">
        <left style="thin">
          <color theme="5"/>
        </left>
        <right style="thin">
          <color theme="5"/>
        </right>
        <top style="thin">
          <color theme="5"/>
        </top>
        <bottom style="thin">
          <color theme="5"/>
        </bottom>
        <vertical/>
        <horizontal/>
      </border>
    </dxf>
    <dxf>
      <fill>
        <patternFill>
          <bgColor theme="5" tint="0.39994506668294322"/>
        </patternFill>
      </fill>
    </dxf>
  </dxfs>
  <tableStyles count="2" defaultTableStyle="TableStyleMedium2" defaultPivotStyle="PivotStyleLight16">
    <tableStyle name="Slicer Style 1" pivot="0" table="0" count="6" xr9:uid="{5C35E978-1316-4416-BAF6-FAA57C1BCE15}">
      <tableStyleElement type="wholeTable" dxfId="11"/>
    </tableStyle>
    <tableStyle name="Timeline Style 1" pivot="0" table="0" count="9" xr9:uid="{9FCB1657-F958-4533-AB0F-B313D8A2C6FC}">
      <tableStyleElement type="wholeTable" dxfId="10"/>
      <tableStyleElement type="headerRow" dxfId="9"/>
    </tableStyle>
  </tableStyles>
  <colors>
    <mruColors>
      <color rgb="FFFFCC00"/>
    </mruColors>
  </colors>
  <extLst>
    <ext xmlns:x14="http://schemas.microsoft.com/office/spreadsheetml/2009/9/main" uri="{46F421CA-312F-682f-3DD2-61675219B42D}">
      <x14:dxfs count="5">
        <dxf>
          <fill>
            <patternFill>
              <bgColor theme="0" tint="-0.34998626667073579"/>
            </patternFill>
          </fill>
        </dxf>
        <dxf>
          <fill>
            <patternFill>
              <bgColor theme="6" tint="-0.24994659260841701"/>
            </patternFill>
          </fill>
        </dxf>
        <dxf>
          <font>
            <color theme="0"/>
          </font>
        </dxf>
        <dxf>
          <font>
            <sz val="9"/>
            <color theme="0"/>
          </font>
          <fill>
            <patternFill>
              <bgColor theme="5" tint="-0.499984740745262"/>
            </patternFill>
          </fill>
        </dxf>
        <dxf>
          <fill>
            <patternFill>
              <bgColor theme="5"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7">
        <dxf>
          <fill>
            <patternFill>
              <bgColor rgb="FFFFCC00"/>
            </patternFill>
          </fill>
        </dxf>
        <dxf>
          <fill>
            <patternFill>
              <bgColor theme="5" tint="-0.24994659260841701"/>
            </patternFill>
          </fill>
        </dxf>
        <dxf>
          <fill>
            <patternFill patternType="solid">
              <fgColor theme="0"/>
              <bgColor theme="5" tint="-0.499984740745262"/>
            </patternFill>
          </fill>
        </dxf>
        <dxf>
          <font>
            <sz val="9"/>
            <color theme="0"/>
            <name val="Calibri"/>
            <family val="2"/>
            <scheme val="minor"/>
          </font>
        </dxf>
        <dxf>
          <font>
            <sz val="9"/>
            <color theme="0"/>
            <name val="Calibri"/>
            <family val="2"/>
            <scheme val="minor"/>
          </font>
        </dxf>
        <dxf>
          <font>
            <sz val="9"/>
            <color theme="0"/>
            <name val="Calibri"/>
            <family val="2"/>
            <scheme val="minor"/>
          </font>
        </dxf>
        <dxf>
          <font>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[NORTHHWIND.xlsx]Pivot_Table!PivotTable5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Pivot_Table!$B$65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BC-43CA-A6D4-0A34255025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BC-43CA-A6D4-0A34255025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BC-43CA-A6D4-0A3425502521}"/>
              </c:ext>
            </c:extLst>
          </c:dPt>
          <c:cat>
            <c:strRef>
              <c:f>Pivot_Table!$A$66:$A$69</c:f>
              <c:strCache>
                <c:ptCount val="3"/>
                <c:pt idx="0">
                  <c:v>Not Specified</c:v>
                </c:pt>
                <c:pt idx="1">
                  <c:v>High Freight</c:v>
                </c:pt>
                <c:pt idx="2">
                  <c:v>Low Freight</c:v>
                </c:pt>
              </c:strCache>
            </c:strRef>
          </c:cat>
          <c:val>
            <c:numRef>
              <c:f>Pivot_Table!$B$66:$B$69</c:f>
              <c:numCache>
                <c:formatCode>General</c:formatCode>
                <c:ptCount val="3"/>
                <c:pt idx="0">
                  <c:v>5</c:v>
                </c:pt>
                <c:pt idx="1">
                  <c:v>620</c:v>
                </c:pt>
                <c:pt idx="2">
                  <c:v>1530</c:v>
                </c:pt>
              </c:numCache>
            </c:numRef>
          </c:val>
          <c:extLst>
            <c:ext xmlns:c16="http://schemas.microsoft.com/office/drawing/2014/chart" uri="{C3380CC4-5D6E-409C-BE32-E72D297353CC}">
              <c16:uniqueId val="{00000000-62A7-447B-9215-84A15B96273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[NORTHHWIND.xlsx]Pivot_Table!PivotTable6</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REVENUE</a:t>
            </a:r>
            <a:r>
              <a:rPr lang="en-US" baseline="0">
                <a:solidFill>
                  <a:schemeClr val="bg1"/>
                </a:solidFill>
              </a:rPr>
              <a:t> BY PRODUCT CATEGORY</a:t>
            </a:r>
            <a:endParaRPr lang="en-US">
              <a:solidFill>
                <a:schemeClr val="bg1"/>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alpha val="88000"/>
            </a:schemeClr>
          </a:solidFill>
          <a:ln>
            <a:noFill/>
          </a:ln>
          <a:effectLst/>
        </c:spPr>
      </c:pivotFmt>
      <c:pivotFmt>
        <c:idx val="4"/>
        <c:spPr>
          <a:solidFill>
            <a:schemeClr val="accent2">
              <a:alpha val="75000"/>
            </a:schemeClr>
          </a:solidFill>
          <a:ln>
            <a:noFill/>
          </a:ln>
          <a:effectLst/>
        </c:spPr>
      </c:pivotFmt>
      <c:pivotFmt>
        <c:idx val="5"/>
        <c:spPr>
          <a:solidFill>
            <a:schemeClr val="accent2">
              <a:alpha val="63000"/>
            </a:schemeClr>
          </a:solidFill>
          <a:ln>
            <a:noFill/>
          </a:ln>
          <a:effectLst/>
        </c:spPr>
      </c:pivotFmt>
      <c:pivotFmt>
        <c:idx val="6"/>
        <c:spPr>
          <a:solidFill>
            <a:schemeClr val="accent2">
              <a:alpha val="52000"/>
            </a:schemeClr>
          </a:solidFill>
          <a:ln>
            <a:noFill/>
          </a:ln>
          <a:effectLst/>
        </c:spPr>
      </c:pivotFmt>
      <c:pivotFmt>
        <c:idx val="7"/>
        <c:spPr>
          <a:solidFill>
            <a:schemeClr val="accent2">
              <a:alpha val="39000"/>
            </a:schemeClr>
          </a:solidFill>
          <a:ln>
            <a:noFill/>
          </a:ln>
          <a:effectLst/>
        </c:spPr>
      </c:pivotFmt>
      <c:pivotFmt>
        <c:idx val="8"/>
        <c:spPr>
          <a:solidFill>
            <a:schemeClr val="accent2">
              <a:alpha val="27000"/>
            </a:schemeClr>
          </a:solidFill>
          <a:ln>
            <a:noFill/>
          </a:ln>
          <a:effectLst/>
        </c:spPr>
      </c:pivotFmt>
      <c:pivotFmt>
        <c:idx val="9"/>
        <c:spPr>
          <a:solidFill>
            <a:schemeClr val="accent2">
              <a:alpha val="15000"/>
            </a:schemeClr>
          </a:solidFill>
          <a:ln>
            <a:noFill/>
          </a:ln>
          <a:effectLst/>
        </c:spPr>
      </c:pivotFmt>
    </c:pivotFmts>
    <c:plotArea>
      <c:layout/>
      <c:barChart>
        <c:barDir val="bar"/>
        <c:grouping val="clustered"/>
        <c:varyColors val="0"/>
        <c:ser>
          <c:idx val="0"/>
          <c:order val="0"/>
          <c:tx>
            <c:strRef>
              <c:f>Pivot_Table!$B$1</c:f>
              <c:strCache>
                <c:ptCount val="1"/>
                <c:pt idx="0">
                  <c:v>Total</c:v>
                </c:pt>
              </c:strCache>
            </c:strRef>
          </c:tx>
          <c:spPr>
            <a:solidFill>
              <a:schemeClr val="accent2"/>
            </a:solidFill>
            <a:ln>
              <a:noFill/>
            </a:ln>
            <a:effectLst/>
          </c:spPr>
          <c:invertIfNegative val="0"/>
          <c:dPt>
            <c:idx val="0"/>
            <c:invertIfNegative val="0"/>
            <c:bubble3D val="0"/>
            <c:spPr>
              <a:solidFill>
                <a:schemeClr val="accent2">
                  <a:alpha val="15000"/>
                </a:schemeClr>
              </a:solidFill>
              <a:ln>
                <a:noFill/>
              </a:ln>
              <a:effectLst/>
            </c:spPr>
            <c:extLst>
              <c:ext xmlns:c16="http://schemas.microsoft.com/office/drawing/2014/chart" uri="{C3380CC4-5D6E-409C-BE32-E72D297353CC}">
                <c16:uniqueId val="{00000008-B878-4BC1-8E38-E006E761520F}"/>
              </c:ext>
            </c:extLst>
          </c:dPt>
          <c:dPt>
            <c:idx val="1"/>
            <c:invertIfNegative val="0"/>
            <c:bubble3D val="0"/>
            <c:spPr>
              <a:solidFill>
                <a:schemeClr val="accent2">
                  <a:alpha val="27000"/>
                </a:schemeClr>
              </a:solidFill>
              <a:ln>
                <a:noFill/>
              </a:ln>
              <a:effectLst/>
            </c:spPr>
            <c:extLst>
              <c:ext xmlns:c16="http://schemas.microsoft.com/office/drawing/2014/chart" uri="{C3380CC4-5D6E-409C-BE32-E72D297353CC}">
                <c16:uniqueId val="{00000007-B878-4BC1-8E38-E006E761520F}"/>
              </c:ext>
            </c:extLst>
          </c:dPt>
          <c:dPt>
            <c:idx val="2"/>
            <c:invertIfNegative val="0"/>
            <c:bubble3D val="0"/>
            <c:spPr>
              <a:solidFill>
                <a:schemeClr val="accent2">
                  <a:alpha val="39000"/>
                </a:schemeClr>
              </a:solidFill>
              <a:ln>
                <a:noFill/>
              </a:ln>
              <a:effectLst/>
            </c:spPr>
            <c:extLst>
              <c:ext xmlns:c16="http://schemas.microsoft.com/office/drawing/2014/chart" uri="{C3380CC4-5D6E-409C-BE32-E72D297353CC}">
                <c16:uniqueId val="{00000006-B878-4BC1-8E38-E006E761520F}"/>
              </c:ext>
            </c:extLst>
          </c:dPt>
          <c:dPt>
            <c:idx val="3"/>
            <c:invertIfNegative val="0"/>
            <c:bubble3D val="0"/>
            <c:spPr>
              <a:solidFill>
                <a:schemeClr val="accent2">
                  <a:alpha val="52000"/>
                </a:schemeClr>
              </a:solidFill>
              <a:ln>
                <a:noFill/>
              </a:ln>
              <a:effectLst/>
            </c:spPr>
            <c:extLst>
              <c:ext xmlns:c16="http://schemas.microsoft.com/office/drawing/2014/chart" uri="{C3380CC4-5D6E-409C-BE32-E72D297353CC}">
                <c16:uniqueId val="{00000005-B878-4BC1-8E38-E006E761520F}"/>
              </c:ext>
            </c:extLst>
          </c:dPt>
          <c:dPt>
            <c:idx val="4"/>
            <c:invertIfNegative val="0"/>
            <c:bubble3D val="0"/>
            <c:spPr>
              <a:solidFill>
                <a:schemeClr val="accent2">
                  <a:alpha val="63000"/>
                </a:schemeClr>
              </a:solidFill>
              <a:ln>
                <a:noFill/>
              </a:ln>
              <a:effectLst/>
            </c:spPr>
            <c:extLst>
              <c:ext xmlns:c16="http://schemas.microsoft.com/office/drawing/2014/chart" uri="{C3380CC4-5D6E-409C-BE32-E72D297353CC}">
                <c16:uniqueId val="{00000004-B878-4BC1-8E38-E006E761520F}"/>
              </c:ext>
            </c:extLst>
          </c:dPt>
          <c:dPt>
            <c:idx val="5"/>
            <c:invertIfNegative val="0"/>
            <c:bubble3D val="0"/>
            <c:spPr>
              <a:solidFill>
                <a:schemeClr val="accent2">
                  <a:alpha val="75000"/>
                </a:schemeClr>
              </a:solidFill>
              <a:ln>
                <a:noFill/>
              </a:ln>
              <a:effectLst/>
            </c:spPr>
            <c:extLst>
              <c:ext xmlns:c16="http://schemas.microsoft.com/office/drawing/2014/chart" uri="{C3380CC4-5D6E-409C-BE32-E72D297353CC}">
                <c16:uniqueId val="{00000003-B878-4BC1-8E38-E006E761520F}"/>
              </c:ext>
            </c:extLst>
          </c:dPt>
          <c:dPt>
            <c:idx val="6"/>
            <c:invertIfNegative val="0"/>
            <c:bubble3D val="0"/>
            <c:spPr>
              <a:solidFill>
                <a:schemeClr val="accent2">
                  <a:alpha val="88000"/>
                </a:schemeClr>
              </a:solidFill>
              <a:ln>
                <a:noFill/>
              </a:ln>
              <a:effectLst/>
            </c:spPr>
            <c:extLst>
              <c:ext xmlns:c16="http://schemas.microsoft.com/office/drawing/2014/chart" uri="{C3380CC4-5D6E-409C-BE32-E72D297353CC}">
                <c16:uniqueId val="{00000002-B878-4BC1-8E38-E006E761520F}"/>
              </c:ext>
            </c:extLst>
          </c:dPt>
          <c:cat>
            <c:strRef>
              <c:f>Pivot_Table!$A$2:$A$10</c:f>
              <c:strCache>
                <c:ptCount val="8"/>
                <c:pt idx="0">
                  <c:v>Grains/Cereals</c:v>
                </c:pt>
                <c:pt idx="1">
                  <c:v>Produce</c:v>
                </c:pt>
                <c:pt idx="2">
                  <c:v>Condiments</c:v>
                </c:pt>
                <c:pt idx="3">
                  <c:v>Seafood</c:v>
                </c:pt>
                <c:pt idx="4">
                  <c:v>Meat/Poultry</c:v>
                </c:pt>
                <c:pt idx="5">
                  <c:v>Confections</c:v>
                </c:pt>
                <c:pt idx="6">
                  <c:v>Dairy Product</c:v>
                </c:pt>
                <c:pt idx="7">
                  <c:v>Beverages</c:v>
                </c:pt>
              </c:strCache>
            </c:strRef>
          </c:cat>
          <c:val>
            <c:numRef>
              <c:f>Pivot_Table!$B$2:$B$10</c:f>
              <c:numCache>
                <c:formatCode>"$"#,##0</c:formatCode>
                <c:ptCount val="8"/>
                <c:pt idx="0">
                  <c:v>95744.587500000009</c:v>
                </c:pt>
                <c:pt idx="1">
                  <c:v>99984.579999999987</c:v>
                </c:pt>
                <c:pt idx="2">
                  <c:v>106047.08500000002</c:v>
                </c:pt>
                <c:pt idx="3">
                  <c:v>131261.73750000002</c:v>
                </c:pt>
                <c:pt idx="4">
                  <c:v>163022.35949999999</c:v>
                </c:pt>
                <c:pt idx="5">
                  <c:v>167357.22499999995</c:v>
                </c:pt>
                <c:pt idx="6">
                  <c:v>234507.285</c:v>
                </c:pt>
                <c:pt idx="7">
                  <c:v>267868.17999999993</c:v>
                </c:pt>
              </c:numCache>
            </c:numRef>
          </c:val>
          <c:extLst>
            <c:ext xmlns:c16="http://schemas.microsoft.com/office/drawing/2014/chart" uri="{C3380CC4-5D6E-409C-BE32-E72D297353CC}">
              <c16:uniqueId val="{00000000-B878-4BC1-8E38-E006E761520F}"/>
            </c:ext>
          </c:extLst>
        </c:ser>
        <c:dLbls>
          <c:showLegendKey val="0"/>
          <c:showVal val="0"/>
          <c:showCatName val="0"/>
          <c:showSerName val="0"/>
          <c:showPercent val="0"/>
          <c:showBubbleSize val="0"/>
        </c:dLbls>
        <c:gapWidth val="182"/>
        <c:axId val="917176224"/>
        <c:axId val="917176640"/>
      </c:barChart>
      <c:catAx>
        <c:axId val="91717622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17176640"/>
        <c:crosses val="autoZero"/>
        <c:auto val="1"/>
        <c:lblAlgn val="ctr"/>
        <c:lblOffset val="100"/>
        <c:noMultiLvlLbl val="0"/>
      </c:catAx>
      <c:valAx>
        <c:axId val="917176640"/>
        <c:scaling>
          <c:orientation val="minMax"/>
        </c:scaling>
        <c:delete val="0"/>
        <c:axPos val="b"/>
        <c:majorGridlines>
          <c:spPr>
            <a:ln w="9525" cap="flat" cmpd="sng" algn="ctr">
              <a:solidFill>
                <a:schemeClr val="bg1">
                  <a:alpha val="2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17176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[NORTHHWIND.xlsx]Pivot_Table!PivotTable1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REVENUE</a:t>
            </a:r>
            <a:r>
              <a:rPr lang="en-US" baseline="0">
                <a:solidFill>
                  <a:schemeClr val="bg1"/>
                </a:solidFill>
              </a:rPr>
              <a:t> BY EMPLOYEE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Pivot_Table!$B$13</c:f>
              <c:strCache>
                <c:ptCount val="1"/>
                <c:pt idx="0">
                  <c:v>Total</c:v>
                </c:pt>
              </c:strCache>
            </c:strRef>
          </c:tx>
          <c:spPr>
            <a:solidFill>
              <a:schemeClr val="accent2"/>
            </a:solidFill>
            <a:ln>
              <a:noFill/>
            </a:ln>
            <a:effectLst/>
          </c:spPr>
          <c:invertIfNegative val="0"/>
          <c:cat>
            <c:strRef>
              <c:f>Pivot_Table!$A$14:$A$24</c:f>
              <c:strCache>
                <c:ptCount val="10"/>
                <c:pt idx="0">
                  <c:v>Not Specified</c:v>
                </c:pt>
                <c:pt idx="1">
                  <c:v>Mr. Sven Buck</c:v>
                </c:pt>
                <c:pt idx="2">
                  <c:v>Mr. Paul Suurs</c:v>
                </c:pt>
                <c:pt idx="3">
                  <c:v>Ms. Zoya Dolgopyatova</c:v>
                </c:pt>
                <c:pt idx="4">
                  <c:v>Mr. Russell King</c:v>
                </c:pt>
                <c:pt idx="5">
                  <c:v>Ms. Maria Cameron</c:v>
                </c:pt>
                <c:pt idx="6">
                  <c:v>Dr. Don Funk</c:v>
                </c:pt>
                <c:pt idx="7">
                  <c:v>Ms. Sara Davis</c:v>
                </c:pt>
                <c:pt idx="8">
                  <c:v>Ms. Judy Lew</c:v>
                </c:pt>
                <c:pt idx="9">
                  <c:v>Mrs. Yael Peled</c:v>
                </c:pt>
              </c:strCache>
            </c:strRef>
          </c:cat>
          <c:val>
            <c:numRef>
              <c:f>Pivot_Table!$B$14:$B$24</c:f>
              <c:numCache>
                <c:formatCode>"$"#,##0</c:formatCode>
                <c:ptCount val="10"/>
                <c:pt idx="0">
                  <c:v>2303.4</c:v>
                </c:pt>
                <c:pt idx="1">
                  <c:v>68352.282500000001</c:v>
                </c:pt>
                <c:pt idx="2">
                  <c:v>72049.729500000001</c:v>
                </c:pt>
                <c:pt idx="3">
                  <c:v>77308.066500000015</c:v>
                </c:pt>
                <c:pt idx="4">
                  <c:v>124568.23500000002</c:v>
                </c:pt>
                <c:pt idx="5">
                  <c:v>126862.27749999995</c:v>
                </c:pt>
                <c:pt idx="6">
                  <c:v>166537.755</c:v>
                </c:pt>
                <c:pt idx="7">
                  <c:v>192107.60450000007</c:v>
                </c:pt>
                <c:pt idx="8">
                  <c:v>202812.84299999996</c:v>
                </c:pt>
                <c:pt idx="9">
                  <c:v>232890.84600000005</c:v>
                </c:pt>
              </c:numCache>
            </c:numRef>
          </c:val>
          <c:extLst>
            <c:ext xmlns:c16="http://schemas.microsoft.com/office/drawing/2014/chart" uri="{C3380CC4-5D6E-409C-BE32-E72D297353CC}">
              <c16:uniqueId val="{00000000-5AF3-431F-863C-C6F6FFF686B3}"/>
            </c:ext>
          </c:extLst>
        </c:ser>
        <c:dLbls>
          <c:showLegendKey val="0"/>
          <c:showVal val="0"/>
          <c:showCatName val="0"/>
          <c:showSerName val="0"/>
          <c:showPercent val="0"/>
          <c:showBubbleSize val="0"/>
        </c:dLbls>
        <c:gapWidth val="182"/>
        <c:axId val="912402352"/>
        <c:axId val="911880048"/>
      </c:barChart>
      <c:catAx>
        <c:axId val="91240235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11880048"/>
        <c:crosses val="autoZero"/>
        <c:auto val="1"/>
        <c:lblAlgn val="ctr"/>
        <c:lblOffset val="100"/>
        <c:noMultiLvlLbl val="0"/>
      </c:catAx>
      <c:valAx>
        <c:axId val="911880048"/>
        <c:scaling>
          <c:orientation val="minMax"/>
        </c:scaling>
        <c:delete val="0"/>
        <c:axPos val="b"/>
        <c:majorGridlines>
          <c:spPr>
            <a:ln w="9525" cap="flat" cmpd="sng" algn="ctr">
              <a:solidFill>
                <a:schemeClr val="bg1">
                  <a:alpha val="2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12402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[NORTHHWIND.xlsx]Pivot_Table!PivotTable3</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REVENUE</a:t>
            </a:r>
            <a:r>
              <a:rPr lang="en-US" baseline="0">
                <a:solidFill>
                  <a:schemeClr val="bg1"/>
                </a:solidFill>
              </a:rPr>
              <a:t> BY COUNTRY</a:t>
            </a:r>
            <a:endParaRPr lang="en-US">
              <a:solidFill>
                <a:schemeClr val="bg1"/>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s>
    <c:plotArea>
      <c:layout>
        <c:manualLayout>
          <c:layoutTarget val="inner"/>
          <c:xMode val="edge"/>
          <c:yMode val="edge"/>
          <c:x val="0.11562145157387241"/>
          <c:y val="0.15770440251572326"/>
          <c:w val="0.83890471137916267"/>
          <c:h val="0.72595247528021256"/>
        </c:manualLayout>
      </c:layout>
      <c:barChart>
        <c:barDir val="bar"/>
        <c:grouping val="clustered"/>
        <c:varyColors val="0"/>
        <c:ser>
          <c:idx val="0"/>
          <c:order val="0"/>
          <c:tx>
            <c:strRef>
              <c:f>Pivot_Table!$B$29</c:f>
              <c:strCache>
                <c:ptCount val="1"/>
                <c:pt idx="0">
                  <c:v>Total</c:v>
                </c:pt>
              </c:strCache>
            </c:strRef>
          </c:tx>
          <c:spPr>
            <a:solidFill>
              <a:schemeClr val="accent2"/>
            </a:solidFill>
            <a:ln>
              <a:noFill/>
            </a:ln>
            <a:effectLst/>
          </c:spPr>
          <c:invertIfNegative val="0"/>
          <c:cat>
            <c:strRef>
              <c:f>Pivot_Table!$A$30:$A$52</c:f>
              <c:strCache>
                <c:ptCount val="22"/>
                <c:pt idx="0">
                  <c:v>Not Specified</c:v>
                </c:pt>
                <c:pt idx="1">
                  <c:v>Poland</c:v>
                </c:pt>
                <c:pt idx="2">
                  <c:v>Norway</c:v>
                </c:pt>
                <c:pt idx="3">
                  <c:v>Argentina</c:v>
                </c:pt>
                <c:pt idx="4">
                  <c:v>Portugal</c:v>
                </c:pt>
                <c:pt idx="5">
                  <c:v>Italy</c:v>
                </c:pt>
                <c:pt idx="6">
                  <c:v>Spain</c:v>
                </c:pt>
                <c:pt idx="7">
                  <c:v>Finland</c:v>
                </c:pt>
                <c:pt idx="8">
                  <c:v>Mexico</c:v>
                </c:pt>
                <c:pt idx="9">
                  <c:v>Switzerland</c:v>
                </c:pt>
                <c:pt idx="10">
                  <c:v>Denmark</c:v>
                </c:pt>
                <c:pt idx="11">
                  <c:v>Belgium</c:v>
                </c:pt>
                <c:pt idx="12">
                  <c:v>Ireland</c:v>
                </c:pt>
                <c:pt idx="13">
                  <c:v>Canada</c:v>
                </c:pt>
                <c:pt idx="14">
                  <c:v>Sweden</c:v>
                </c:pt>
                <c:pt idx="15">
                  <c:v>Venezuela</c:v>
                </c:pt>
                <c:pt idx="16">
                  <c:v>UK</c:v>
                </c:pt>
                <c:pt idx="17">
                  <c:v>France</c:v>
                </c:pt>
                <c:pt idx="18">
                  <c:v>Brazil</c:v>
                </c:pt>
                <c:pt idx="19">
                  <c:v>Austria</c:v>
                </c:pt>
                <c:pt idx="20">
                  <c:v>Germany</c:v>
                </c:pt>
                <c:pt idx="21">
                  <c:v>USA</c:v>
                </c:pt>
              </c:strCache>
            </c:strRef>
          </c:cat>
          <c:val>
            <c:numRef>
              <c:f>Pivot_Table!$B$30:$B$52</c:f>
              <c:numCache>
                <c:formatCode>"$"#,##0</c:formatCode>
                <c:ptCount val="22"/>
                <c:pt idx="0">
                  <c:v>2303.4</c:v>
                </c:pt>
                <c:pt idx="1">
                  <c:v>3531.95</c:v>
                </c:pt>
                <c:pt idx="2">
                  <c:v>5735.1500000000005</c:v>
                </c:pt>
                <c:pt idx="3">
                  <c:v>8119.0999999999995</c:v>
                </c:pt>
                <c:pt idx="4">
                  <c:v>11472.362499999999</c:v>
                </c:pt>
                <c:pt idx="5">
                  <c:v>15770.155000000001</c:v>
                </c:pt>
                <c:pt idx="6">
                  <c:v>17983.2</c:v>
                </c:pt>
                <c:pt idx="7">
                  <c:v>18810.052499999998</c:v>
                </c:pt>
                <c:pt idx="8">
                  <c:v>23582.077500000003</c:v>
                </c:pt>
                <c:pt idx="9">
                  <c:v>31692.659</c:v>
                </c:pt>
                <c:pt idx="10">
                  <c:v>32661.022500000003</c:v>
                </c:pt>
                <c:pt idx="11">
                  <c:v>33824.855000000003</c:v>
                </c:pt>
                <c:pt idx="12">
                  <c:v>49979.905000000006</c:v>
                </c:pt>
                <c:pt idx="13">
                  <c:v>50196.29</c:v>
                </c:pt>
                <c:pt idx="14">
                  <c:v>54495.139999999992</c:v>
                </c:pt>
                <c:pt idx="15">
                  <c:v>56810.628999999986</c:v>
                </c:pt>
                <c:pt idx="16">
                  <c:v>58971.310000000005</c:v>
                </c:pt>
                <c:pt idx="17">
                  <c:v>80918.32249999998</c:v>
                </c:pt>
                <c:pt idx="18">
                  <c:v>106925.77650000002</c:v>
                </c:pt>
                <c:pt idx="19">
                  <c:v>128003.83850000001</c:v>
                </c:pt>
                <c:pt idx="20">
                  <c:v>228421.2335</c:v>
                </c:pt>
                <c:pt idx="21">
                  <c:v>245584.61050000007</c:v>
                </c:pt>
              </c:numCache>
            </c:numRef>
          </c:val>
          <c:extLst>
            <c:ext xmlns:c16="http://schemas.microsoft.com/office/drawing/2014/chart" uri="{C3380CC4-5D6E-409C-BE32-E72D297353CC}">
              <c16:uniqueId val="{00000000-3F06-4867-9E67-87B5619BF8C6}"/>
            </c:ext>
          </c:extLst>
        </c:ser>
        <c:dLbls>
          <c:showLegendKey val="0"/>
          <c:showVal val="0"/>
          <c:showCatName val="0"/>
          <c:showSerName val="0"/>
          <c:showPercent val="0"/>
          <c:showBubbleSize val="0"/>
        </c:dLbls>
        <c:gapWidth val="182"/>
        <c:axId val="1000396144"/>
        <c:axId val="1000398224"/>
      </c:barChart>
      <c:catAx>
        <c:axId val="100039614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00398224"/>
        <c:crosses val="autoZero"/>
        <c:auto val="1"/>
        <c:lblAlgn val="ctr"/>
        <c:lblOffset val="100"/>
        <c:noMultiLvlLbl val="0"/>
      </c:catAx>
      <c:valAx>
        <c:axId val="1000398224"/>
        <c:scaling>
          <c:orientation val="minMax"/>
        </c:scaling>
        <c:delete val="0"/>
        <c:axPos val="b"/>
        <c:majorGridlines>
          <c:spPr>
            <a:ln w="9525" cap="flat" cmpd="sng" algn="ctr">
              <a:solidFill>
                <a:schemeClr val="bg1">
                  <a:alpha val="20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00396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[NORTHHWIND.xlsx]Pivot_Table!PivotTable4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SHIPPER</a:t>
            </a:r>
            <a:r>
              <a:rPr lang="en-US" baseline="0">
                <a:solidFill>
                  <a:schemeClr val="bg1"/>
                </a:solidFill>
              </a:rPr>
              <a:t> REVENUE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2">
              <a:lumMod val="20000"/>
              <a:lumOff val="80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lumMod val="75000"/>
            </a:schemeClr>
          </a:solidFill>
          <a:ln w="19050">
            <a:solidFill>
              <a:schemeClr val="lt1"/>
            </a:solidFill>
          </a:ln>
          <a:effectLst/>
        </c:spPr>
        <c:dLbl>
          <c:idx val="0"/>
          <c:layout>
            <c:manualLayout>
              <c:x val="-4.2614904210419649E-3"/>
              <c:y val="1.036762199813459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
</a:t>
                </a:r>
                <a:fld id="{ECFFC743-09B5-4E3D-AF0F-68C0B5E0481E}" type="PERCENTAGE">
                  <a:rPr lang="en-US" baseline="0"/>
                  <a:pPr>
                    <a:defRPr/>
                  </a:pPr>
                  <a:t>[PERCENTAGE]</a:t>
                </a:fld>
                <a:endParaRPr lang="en-US" baseline="0"/>
              </a:p>
            </c:rich>
          </c:tx>
          <c:spPr>
            <a:solidFill>
              <a:srgbClr val="ED7D31">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2">
              <a:lumMod val="60000"/>
              <a:lumOff val="40000"/>
            </a:schemeClr>
          </a:solidFill>
          <a:ln w="19050">
            <a:solidFill>
              <a:schemeClr val="lt1"/>
            </a:solidFill>
          </a:ln>
          <a:effectLst/>
        </c:spPr>
        <c:dLbl>
          <c:idx val="0"/>
          <c:layout>
            <c:manualLayout>
              <c:x val="5.1137885052503572E-2"/>
              <c:y val="6.73895429878751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
</a:t>
                </a:r>
                <a:fld id="{62676BCD-B32D-42C3-84CB-A9CDC04D6B88}" type="PERCENTAGE">
                  <a:rPr lang="en-US" baseline="0"/>
                  <a:pPr>
                    <a:defRPr/>
                  </a:pPr>
                  <a:t>[PERCENTAGE]</a:t>
                </a:fld>
                <a:endParaRPr lang="en-US" baseline="0"/>
              </a:p>
            </c:rich>
          </c:tx>
          <c:spPr>
            <a:solidFill>
              <a:srgbClr val="ED7D31">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2"/>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
</a:t>
                </a:r>
                <a:fld id="{CF177D9C-9D23-45A6-B02E-9AADC30D4852}" type="PERCENTAGE">
                  <a:rPr lang="en-US" baseline="0"/>
                  <a:pPr>
                    <a:defRPr/>
                  </a:pPr>
                  <a:t>[PERCENTAGE]</a:t>
                </a:fld>
                <a:endParaRPr lang="en-US" baseline="0"/>
              </a:p>
            </c:rich>
          </c:tx>
          <c:spPr>
            <a:solidFill>
              <a:srgbClr val="ED7D3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2">
              <a:lumMod val="20000"/>
              <a:lumOff val="80000"/>
            </a:schemeClr>
          </a:solidFill>
          <a:ln w="19050">
            <a:solidFill>
              <a:schemeClr val="lt1"/>
            </a:solidFill>
          </a:ln>
          <a:effectLst/>
        </c:spPr>
        <c:dLbl>
          <c:idx val="0"/>
          <c:layout>
            <c:manualLayout>
              <c:x val="0.50072512447243089"/>
              <c:y val="-5.1838109990673245E-2"/>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013964937664798"/>
                  <c:h val="0.18820417684550816"/>
                </c:manualLayout>
              </c15:layout>
            </c:ext>
          </c:extLst>
        </c:dLbl>
      </c:pivotFmt>
    </c:pivotFmts>
    <c:plotArea>
      <c:layout/>
      <c:doughnutChart>
        <c:varyColors val="1"/>
        <c:ser>
          <c:idx val="0"/>
          <c:order val="0"/>
          <c:tx>
            <c:strRef>
              <c:f>Pivot_Table!$B$56</c:f>
              <c:strCache>
                <c:ptCount val="1"/>
                <c:pt idx="0">
                  <c:v>Total</c:v>
                </c:pt>
              </c:strCache>
            </c:strRef>
          </c:tx>
          <c:spPr>
            <a:solidFill>
              <a:schemeClr val="accent2">
                <a:lumMod val="20000"/>
                <a:lumOff val="80000"/>
              </a:schemeClr>
            </a:solidFill>
          </c:spPr>
          <c:dPt>
            <c:idx val="0"/>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1-79B8-4B2F-BC77-3CBB8C03087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79B8-4B2F-BC77-3CBB8C030872}"/>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79B8-4B2F-BC77-3CBB8C030872}"/>
              </c:ext>
            </c:extLst>
          </c:dPt>
          <c:dPt>
            <c:idx val="3"/>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7-79B8-4B2F-BC77-3CBB8C030872}"/>
              </c:ext>
            </c:extLst>
          </c:dPt>
          <c:dLbls>
            <c:dLbl>
              <c:idx val="0"/>
              <c:layout>
                <c:manualLayout>
                  <c:x val="0.50072512447243089"/>
                  <c:y val="-5.1838109990673245E-2"/>
                </c:manualLayout>
              </c:layout>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013964937664798"/>
                      <c:h val="0.18820417684550816"/>
                    </c:manualLayout>
                  </c15:layout>
                </c:ext>
                <c:ext xmlns:c16="http://schemas.microsoft.com/office/drawing/2014/chart" uri="{C3380CC4-5D6E-409C-BE32-E72D297353CC}">
                  <c16:uniqueId val="{00000001-79B8-4B2F-BC77-3CBB8C030872}"/>
                </c:ext>
              </c:extLst>
            </c:dLbl>
            <c:dLbl>
              <c:idx val="1"/>
              <c:layout>
                <c:manualLayout>
                  <c:x val="5.1137885052503572E-2"/>
                  <c:y val="6.73895429878751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
</a:t>
                    </a:r>
                    <a:fld id="{62676BCD-B32D-42C3-84CB-A9CDC04D6B88}" type="PERCENTAGE">
                      <a:rPr lang="en-US" baseline="0"/>
                      <a:pPr>
                        <a:defRPr/>
                      </a:pPr>
                      <a:t>[PERCENTAGE]</a:t>
                    </a:fld>
                    <a:endParaRPr lang="en-US" baseline="0"/>
                  </a:p>
                </c:rich>
              </c:tx>
              <c:spPr>
                <a:solidFill>
                  <a:srgbClr val="ED7D31">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79B8-4B2F-BC77-3CBB8C030872}"/>
                </c:ext>
              </c:extLst>
            </c:dLbl>
            <c:dLbl>
              <c:idx val="2"/>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
</a:t>
                    </a:r>
                    <a:fld id="{CF177D9C-9D23-45A6-B02E-9AADC30D4852}" type="PERCENTAGE">
                      <a:rPr lang="en-US" baseline="0"/>
                      <a:pPr>
                        <a:defRPr/>
                      </a:pPr>
                      <a:t>[PERCENTAGE]</a:t>
                    </a:fld>
                    <a:endParaRPr lang="en-US" baseline="0"/>
                  </a:p>
                </c:rich>
              </c:tx>
              <c:spPr>
                <a:solidFill>
                  <a:srgbClr val="ED7D3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5-79B8-4B2F-BC77-3CBB8C030872}"/>
                </c:ext>
              </c:extLst>
            </c:dLbl>
            <c:dLbl>
              <c:idx val="3"/>
              <c:layout>
                <c:manualLayout>
                  <c:x val="-4.2614904210419649E-3"/>
                  <c:y val="1.036762199813459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
</a:t>
                    </a:r>
                    <a:fld id="{ECFFC743-09B5-4E3D-AF0F-68C0B5E0481E}" type="PERCENTAGE">
                      <a:rPr lang="en-US" baseline="0"/>
                      <a:pPr>
                        <a:defRPr/>
                      </a:pPr>
                      <a:t>[PERCENTAGE]</a:t>
                    </a:fld>
                    <a:endParaRPr lang="en-US" baseline="0"/>
                  </a:p>
                </c:rich>
              </c:tx>
              <c:spPr>
                <a:solidFill>
                  <a:srgbClr val="ED7D31">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7-79B8-4B2F-BC77-3CBB8C03087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Pivot_Table!$A$57:$A$61</c:f>
              <c:strCache>
                <c:ptCount val="4"/>
                <c:pt idx="0">
                  <c:v>Not Specified</c:v>
                </c:pt>
                <c:pt idx="1">
                  <c:v>Shipper GVSUA</c:v>
                </c:pt>
                <c:pt idx="2">
                  <c:v>Shipper ZHISN</c:v>
                </c:pt>
                <c:pt idx="3">
                  <c:v>Shipper ETYNR</c:v>
                </c:pt>
              </c:strCache>
            </c:strRef>
          </c:cat>
          <c:val>
            <c:numRef>
              <c:f>Pivot_Table!$B$57:$B$61</c:f>
              <c:numCache>
                <c:formatCode>0.00</c:formatCode>
                <c:ptCount val="4"/>
                <c:pt idx="0">
                  <c:v>2303.4</c:v>
                </c:pt>
                <c:pt idx="1">
                  <c:v>346976.53749999992</c:v>
                </c:pt>
                <c:pt idx="2">
                  <c:v>382965.46799999994</c:v>
                </c:pt>
                <c:pt idx="3">
                  <c:v>533547.63399999996</c:v>
                </c:pt>
              </c:numCache>
            </c:numRef>
          </c:val>
          <c:extLst>
            <c:ext xmlns:c16="http://schemas.microsoft.com/office/drawing/2014/chart" uri="{C3380CC4-5D6E-409C-BE32-E72D297353CC}">
              <c16:uniqueId val="{00000008-79B8-4B2F-BC77-3CBB8C03087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[NORTHHWIND.xlsx]Pivot_Table!PivotTable5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FREIGHT</a:t>
            </a:r>
            <a:r>
              <a:rPr lang="en-US" baseline="0">
                <a:solidFill>
                  <a:schemeClr val="bg1"/>
                </a:solidFill>
              </a:rPr>
              <a:t> ANALYSIS</a:t>
            </a:r>
            <a:endParaRPr lang="en-US">
              <a:solidFill>
                <a:schemeClr val="bg1"/>
              </a:solidFill>
            </a:endParaRPr>
          </a:p>
        </c:rich>
      </c:tx>
      <c:layout>
        <c:manualLayout>
          <c:xMode val="edge"/>
          <c:yMode val="edge"/>
          <c:x val="0.36009675778091582"/>
          <c:y val="3.62070606341443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2">
              <a:lumMod val="60000"/>
              <a:lumOff val="40000"/>
            </a:schemeClr>
          </a:solidFill>
          <a:ln w="19050">
            <a:solidFill>
              <a:schemeClr val="lt1"/>
            </a:solidFill>
          </a:ln>
          <a:effectLst/>
        </c:spPr>
        <c:marker>
          <c:symbol val="none"/>
        </c:marker>
        <c:dLbl>
          <c:idx val="0"/>
          <c:spPr>
            <a:solidFill>
              <a:srgbClr val="ED7D31">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spPr>
            <a:solidFill>
              <a:srgbClr val="ED7D31">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lumMod val="75000"/>
            </a:schemeClr>
          </a:solidFill>
          <a:ln w="19050">
            <a:solidFill>
              <a:schemeClr val="lt1"/>
            </a:solidFill>
          </a:ln>
          <a:effectLst/>
        </c:spPr>
        <c:dLbl>
          <c:idx val="0"/>
          <c:spPr>
            <a:solidFill>
              <a:srgbClr val="ED7D31">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lumMod val="60000"/>
              <a:lumOff val="40000"/>
            </a:schemeClr>
          </a:solidFill>
          <a:ln w="19050">
            <a:solidFill>
              <a:schemeClr val="lt1"/>
            </a:solidFill>
          </a:ln>
          <a:effectLst/>
        </c:spPr>
        <c:dLbl>
          <c:idx val="0"/>
          <c:layout>
            <c:manualLayout>
              <c:x val="0.50361631870114965"/>
              <c:y val="0.14524322317421795"/>
            </c:manualLayout>
          </c:layout>
          <c:spPr>
            <a:solidFill>
              <a:srgbClr val="ED7D31">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Pivot_Table!$B$65</c:f>
              <c:strCache>
                <c:ptCount val="1"/>
                <c:pt idx="0">
                  <c:v>Total</c:v>
                </c:pt>
              </c:strCache>
            </c:strRef>
          </c:tx>
          <c:spPr>
            <a:solidFill>
              <a:schemeClr val="accent2">
                <a:lumMod val="60000"/>
                <a:lumOff val="40000"/>
              </a:schemeClr>
            </a:solidFill>
          </c:spPr>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BFC6-4F81-BD97-2D1BC1F901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C6-4F81-BD97-2D1BC1F901F8}"/>
              </c:ext>
            </c:extLst>
          </c:dPt>
          <c:dPt>
            <c:idx val="2"/>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5-BFC6-4F81-BD97-2D1BC1F901F8}"/>
              </c:ext>
            </c:extLst>
          </c:dPt>
          <c:dLbls>
            <c:dLbl>
              <c:idx val="0"/>
              <c:layout>
                <c:manualLayout>
                  <c:x val="0.50361631870114965"/>
                  <c:y val="0.1452432231742179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FC6-4F81-BD97-2D1BC1F901F8}"/>
                </c:ext>
              </c:extLst>
            </c:dLbl>
            <c:dLbl>
              <c:idx val="1"/>
              <c:delete val="1"/>
              <c:extLst>
                <c:ext xmlns:c15="http://schemas.microsoft.com/office/drawing/2012/chart" uri="{CE6537A1-D6FC-4f65-9D91-7224C49458BB}"/>
                <c:ext xmlns:c16="http://schemas.microsoft.com/office/drawing/2014/chart" uri="{C3380CC4-5D6E-409C-BE32-E72D297353CC}">
                  <c16:uniqueId val="{00000003-BFC6-4F81-BD97-2D1BC1F901F8}"/>
                </c:ext>
              </c:extLst>
            </c:dLbl>
            <c:dLbl>
              <c:idx val="2"/>
              <c:delete val="1"/>
              <c:extLst>
                <c:ext xmlns:c15="http://schemas.microsoft.com/office/drawing/2012/chart" uri="{CE6537A1-D6FC-4f65-9D91-7224C49458BB}"/>
                <c:ext xmlns:c16="http://schemas.microsoft.com/office/drawing/2014/chart" uri="{C3380CC4-5D6E-409C-BE32-E72D297353CC}">
                  <c16:uniqueId val="{00000005-BFC6-4F81-BD97-2D1BC1F901F8}"/>
                </c:ext>
              </c:extLst>
            </c:dLbl>
            <c:spPr>
              <a:solidFill>
                <a:srgbClr val="ED7D31">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Pivot_Table!$A$66:$A$69</c:f>
              <c:strCache>
                <c:ptCount val="3"/>
                <c:pt idx="0">
                  <c:v>Not Specified</c:v>
                </c:pt>
                <c:pt idx="1">
                  <c:v>High Freight</c:v>
                </c:pt>
                <c:pt idx="2">
                  <c:v>Low Freight</c:v>
                </c:pt>
              </c:strCache>
            </c:strRef>
          </c:cat>
          <c:val>
            <c:numRef>
              <c:f>Pivot_Table!$B$66:$B$69</c:f>
              <c:numCache>
                <c:formatCode>General</c:formatCode>
                <c:ptCount val="3"/>
                <c:pt idx="0">
                  <c:v>5</c:v>
                </c:pt>
                <c:pt idx="1">
                  <c:v>620</c:v>
                </c:pt>
                <c:pt idx="2">
                  <c:v>1530</c:v>
                </c:pt>
              </c:numCache>
            </c:numRef>
          </c:val>
          <c:extLst>
            <c:ext xmlns:c16="http://schemas.microsoft.com/office/drawing/2014/chart" uri="{C3380CC4-5D6E-409C-BE32-E72D297353CC}">
              <c16:uniqueId val="{00000006-BFC6-4F81-BD97-2D1BC1F901F8}"/>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[NORTHHWIND.xlsx]Pivot_Table!PivotTable2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REVENUE</a:t>
            </a:r>
            <a:r>
              <a:rPr lang="en-US" baseline="0">
                <a:solidFill>
                  <a:schemeClr val="bg1"/>
                </a:solidFill>
              </a:rPr>
              <a:t> BY YEAR</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1"/>
            </a:solidFill>
            <a:ln w="2857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rgbClr val="FF0000"/>
            </a:solidFill>
            <a:ln w="28575">
              <a:noFill/>
            </a:ln>
            <a:effectLst/>
          </c:spPr>
        </c:marker>
      </c:pivotFmt>
      <c:pivotFmt>
        <c:idx val="4"/>
        <c:spPr>
          <a:ln w="28575" cap="rnd">
            <a:solidFill>
              <a:schemeClr val="accent2"/>
            </a:solidFill>
            <a:round/>
          </a:ln>
          <a:effectLst/>
        </c:spPr>
        <c:marker>
          <c:symbol val="circle"/>
          <c:size val="5"/>
          <c:spPr>
            <a:solidFill>
              <a:srgbClr val="FF0000"/>
            </a:solidFill>
            <a:ln w="28575">
              <a:noFill/>
            </a:ln>
            <a:effectLst/>
          </c:spPr>
        </c:marker>
      </c:pivotFmt>
      <c:pivotFmt>
        <c:idx val="5"/>
        <c:spPr>
          <a:ln w="28575" cap="rnd">
            <a:solidFill>
              <a:schemeClr val="accent2"/>
            </a:solidFill>
            <a:round/>
          </a:ln>
          <a:effectLst/>
        </c:spPr>
        <c:marker>
          <c:symbol val="circle"/>
          <c:size val="5"/>
          <c:spPr>
            <a:solidFill>
              <a:schemeClr val="accent6">
                <a:lumMod val="75000"/>
              </a:schemeClr>
            </a:solidFill>
            <a:ln w="28575">
              <a:noFill/>
            </a:ln>
            <a:effectLst/>
          </c:spPr>
        </c:marker>
      </c:pivotFmt>
      <c:pivotFmt>
        <c:idx val="6"/>
        <c:spPr>
          <a:ln w="28575" cap="rnd">
            <a:solidFill>
              <a:schemeClr val="accent2"/>
            </a:solidFill>
            <a:round/>
          </a:ln>
          <a:effectLst/>
        </c:spPr>
        <c:marker>
          <c:symbol val="circle"/>
          <c:size val="5"/>
          <c:spPr>
            <a:solidFill>
              <a:schemeClr val="accent6">
                <a:lumMod val="75000"/>
              </a:schemeClr>
            </a:solidFill>
            <a:ln w="28575">
              <a:noFill/>
            </a:ln>
            <a:effectLst/>
          </c:spPr>
        </c:marker>
      </c:pivotFmt>
    </c:pivotFmts>
    <c:plotArea>
      <c:layout>
        <c:manualLayout>
          <c:layoutTarget val="inner"/>
          <c:xMode val="edge"/>
          <c:yMode val="edge"/>
          <c:x val="8.3185898111334242E-2"/>
          <c:y val="0.194075670241563"/>
          <c:w val="0.89513526615853045"/>
          <c:h val="0.61809353510965714"/>
        </c:manualLayout>
      </c:layout>
      <c:lineChart>
        <c:grouping val="standard"/>
        <c:varyColors val="0"/>
        <c:ser>
          <c:idx val="0"/>
          <c:order val="0"/>
          <c:tx>
            <c:strRef>
              <c:f>Pivot_Table!$F$1</c:f>
              <c:strCache>
                <c:ptCount val="1"/>
                <c:pt idx="0">
                  <c:v>Total</c:v>
                </c:pt>
              </c:strCache>
            </c:strRef>
          </c:tx>
          <c:spPr>
            <a:ln w="28575" cap="rnd">
              <a:solidFill>
                <a:schemeClr val="accent2"/>
              </a:solidFill>
              <a:round/>
            </a:ln>
            <a:effectLst/>
          </c:spPr>
          <c:marker>
            <c:symbol val="circle"/>
            <c:size val="5"/>
            <c:spPr>
              <a:solidFill>
                <a:schemeClr val="accent1"/>
              </a:solidFill>
              <a:ln w="28575">
                <a:noFill/>
              </a:ln>
              <a:effectLst/>
            </c:spPr>
          </c:marker>
          <c:dPt>
            <c:idx val="0"/>
            <c:marker>
              <c:symbol val="circle"/>
              <c:size val="5"/>
              <c:spPr>
                <a:solidFill>
                  <a:srgbClr val="FF0000"/>
                </a:solidFill>
                <a:ln w="28575">
                  <a:noFill/>
                </a:ln>
                <a:effectLst/>
              </c:spPr>
            </c:marker>
            <c:bubble3D val="0"/>
            <c:spPr>
              <a:ln w="28575" cap="rnd">
                <a:solidFill>
                  <a:schemeClr val="accent2"/>
                </a:solidFill>
                <a:round/>
              </a:ln>
              <a:effectLst/>
            </c:spPr>
            <c:extLst>
              <c:ext xmlns:c16="http://schemas.microsoft.com/office/drawing/2014/chart" uri="{C3380CC4-5D6E-409C-BE32-E72D297353CC}">
                <c16:uniqueId val="{00000002-1FC0-4A9A-A70E-FC2B24421B86}"/>
              </c:ext>
            </c:extLst>
          </c:dPt>
          <c:dPt>
            <c:idx val="1"/>
            <c:marker>
              <c:symbol val="circle"/>
              <c:size val="5"/>
              <c:spPr>
                <a:solidFill>
                  <a:schemeClr val="accent6">
                    <a:lumMod val="75000"/>
                  </a:schemeClr>
                </a:solidFill>
                <a:ln w="28575">
                  <a:noFill/>
                </a:ln>
                <a:effectLst/>
              </c:spPr>
            </c:marker>
            <c:bubble3D val="0"/>
            <c:spPr>
              <a:ln w="28575" cap="rnd">
                <a:solidFill>
                  <a:schemeClr val="accent2"/>
                </a:solidFill>
                <a:round/>
              </a:ln>
              <a:effectLst/>
            </c:spPr>
            <c:extLst>
              <c:ext xmlns:c16="http://schemas.microsoft.com/office/drawing/2014/chart" uri="{C3380CC4-5D6E-409C-BE32-E72D297353CC}">
                <c16:uniqueId val="{00000005-1FC0-4A9A-A70E-FC2B24421B86}"/>
              </c:ext>
            </c:extLst>
          </c:dPt>
          <c:dPt>
            <c:idx val="2"/>
            <c:marker>
              <c:symbol val="circle"/>
              <c:size val="5"/>
              <c:spPr>
                <a:solidFill>
                  <a:schemeClr val="accent6">
                    <a:lumMod val="75000"/>
                  </a:schemeClr>
                </a:solidFill>
                <a:ln w="28575">
                  <a:noFill/>
                </a:ln>
                <a:effectLst/>
              </c:spPr>
            </c:marker>
            <c:bubble3D val="0"/>
            <c:spPr>
              <a:ln w="28575" cap="rnd">
                <a:solidFill>
                  <a:schemeClr val="accent2"/>
                </a:solidFill>
                <a:round/>
              </a:ln>
              <a:effectLst/>
            </c:spPr>
            <c:extLst>
              <c:ext xmlns:c16="http://schemas.microsoft.com/office/drawing/2014/chart" uri="{C3380CC4-5D6E-409C-BE32-E72D297353CC}">
                <c16:uniqueId val="{00000006-1FC0-4A9A-A70E-FC2B24421B86}"/>
              </c:ext>
            </c:extLst>
          </c:dPt>
          <c:dPt>
            <c:idx val="3"/>
            <c:marker>
              <c:symbol val="circle"/>
              <c:size val="5"/>
              <c:spPr>
                <a:solidFill>
                  <a:srgbClr val="FF0000"/>
                </a:solidFill>
                <a:ln w="28575">
                  <a:noFill/>
                </a:ln>
                <a:effectLst/>
              </c:spPr>
            </c:marker>
            <c:bubble3D val="0"/>
            <c:spPr>
              <a:ln w="28575" cap="rnd">
                <a:solidFill>
                  <a:schemeClr val="accent2"/>
                </a:solidFill>
                <a:round/>
              </a:ln>
              <a:effectLst/>
            </c:spPr>
            <c:extLst>
              <c:ext xmlns:c16="http://schemas.microsoft.com/office/drawing/2014/chart" uri="{C3380CC4-5D6E-409C-BE32-E72D297353CC}">
                <c16:uniqueId val="{00000003-1FC0-4A9A-A70E-FC2B24421B86}"/>
              </c:ext>
            </c:extLst>
          </c:dPt>
          <c:cat>
            <c:multiLvlStrRef>
              <c:f>Pivot_Table!$E$2:$E$7</c:f>
              <c:multiLvlStrCache>
                <c:ptCount val="4"/>
                <c:lvl>
                  <c:pt idx="3">
                    <c:v>(blank)</c:v>
                  </c:pt>
                </c:lvl>
                <c:lvl>
                  <c:pt idx="0">
                    <c:v>2006</c:v>
                  </c:pt>
                  <c:pt idx="1">
                    <c:v>2007</c:v>
                  </c:pt>
                  <c:pt idx="2">
                    <c:v>2008</c:v>
                  </c:pt>
                  <c:pt idx="3">
                    <c:v>&lt;7/8/2006</c:v>
                  </c:pt>
                </c:lvl>
              </c:multiLvlStrCache>
            </c:multiLvlStrRef>
          </c:cat>
          <c:val>
            <c:numRef>
              <c:f>Pivot_Table!$F$2:$F$7</c:f>
              <c:numCache>
                <c:formatCode>General</c:formatCode>
                <c:ptCount val="4"/>
                <c:pt idx="0">
                  <c:v>205780.57000000004</c:v>
                </c:pt>
                <c:pt idx="1">
                  <c:v>617085.20349999995</c:v>
                </c:pt>
                <c:pt idx="2">
                  <c:v>440623.86599999992</c:v>
                </c:pt>
                <c:pt idx="3">
                  <c:v>2303.4</c:v>
                </c:pt>
              </c:numCache>
            </c:numRef>
          </c:val>
          <c:smooth val="0"/>
          <c:extLst>
            <c:ext xmlns:c16="http://schemas.microsoft.com/office/drawing/2014/chart" uri="{C3380CC4-5D6E-409C-BE32-E72D297353CC}">
              <c16:uniqueId val="{00000000-1FC0-4A9A-A70E-FC2B24421B86}"/>
            </c:ext>
          </c:extLst>
        </c:ser>
        <c:dLbls>
          <c:showLegendKey val="0"/>
          <c:showVal val="0"/>
          <c:showCatName val="0"/>
          <c:showSerName val="0"/>
          <c:showPercent val="0"/>
          <c:showBubbleSize val="0"/>
        </c:dLbls>
        <c:marker val="1"/>
        <c:smooth val="0"/>
        <c:axId val="913226336"/>
        <c:axId val="913229664"/>
      </c:lineChart>
      <c:catAx>
        <c:axId val="9132263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13229664"/>
        <c:crosses val="autoZero"/>
        <c:auto val="1"/>
        <c:lblAlgn val="ctr"/>
        <c:lblOffset val="100"/>
        <c:noMultiLvlLbl val="0"/>
      </c:catAx>
      <c:valAx>
        <c:axId val="913229664"/>
        <c:scaling>
          <c:orientation val="minMax"/>
        </c:scaling>
        <c:delete val="0"/>
        <c:axPos val="l"/>
        <c:majorGridlines>
          <c:spPr>
            <a:ln w="9525" cap="flat" cmpd="sng" algn="ctr">
              <a:solidFill>
                <a:schemeClr val="bg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13226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381000</xdr:colOff>
      <xdr:row>51</xdr:row>
      <xdr:rowOff>11430</xdr:rowOff>
    </xdr:from>
    <xdr:to>
      <xdr:col>14</xdr:col>
      <xdr:colOff>76200</xdr:colOff>
      <xdr:row>60</xdr:row>
      <xdr:rowOff>99060</xdr:rowOff>
    </xdr:to>
    <xdr:graphicFrame macro="">
      <xdr:nvGraphicFramePr>
        <xdr:cNvPr id="6" name="Chart 5">
          <a:extLst>
            <a:ext uri="{FF2B5EF4-FFF2-40B4-BE49-F238E27FC236}">
              <a16:creationId xmlns:a16="http://schemas.microsoft.com/office/drawing/2014/main" id="{4E70F80E-D5DF-4328-AA01-E1C4C73543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548778</xdr:colOff>
      <xdr:row>0</xdr:row>
      <xdr:rowOff>0</xdr:rowOff>
    </xdr:from>
    <xdr:to>
      <xdr:col>26</xdr:col>
      <xdr:colOff>574113</xdr:colOff>
      <xdr:row>40</xdr:row>
      <xdr:rowOff>30480</xdr:rowOff>
    </xdr:to>
    <xdr:pic>
      <xdr:nvPicPr>
        <xdr:cNvPr id="3" name="Picture 2">
          <a:extLst>
            <a:ext uri="{FF2B5EF4-FFF2-40B4-BE49-F238E27FC236}">
              <a16:creationId xmlns:a16="http://schemas.microsoft.com/office/drawing/2014/main" id="{915BE758-6EF6-4DD0-ACA0-171E7ECBC48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4120" y="0"/>
          <a:ext cx="14609436" cy="7361113"/>
        </a:xfrm>
        <a:prstGeom prst="rect">
          <a:avLst/>
        </a:prstGeom>
      </xdr:spPr>
    </xdr:pic>
    <xdr:clientData/>
  </xdr:twoCellAnchor>
  <xdr:twoCellAnchor>
    <xdr:from>
      <xdr:col>2</xdr:col>
      <xdr:colOff>554798</xdr:colOff>
      <xdr:row>0</xdr:row>
      <xdr:rowOff>0</xdr:rowOff>
    </xdr:from>
    <xdr:to>
      <xdr:col>26</xdr:col>
      <xdr:colOff>564205</xdr:colOff>
      <xdr:row>2</xdr:row>
      <xdr:rowOff>60960</xdr:rowOff>
    </xdr:to>
    <xdr:sp macro="" textlink="">
      <xdr:nvSpPr>
        <xdr:cNvPr id="5" name="Rectangle 4">
          <a:extLst>
            <a:ext uri="{FF2B5EF4-FFF2-40B4-BE49-F238E27FC236}">
              <a16:creationId xmlns:a16="http://schemas.microsoft.com/office/drawing/2014/main" id="{64889675-ADD2-4E4F-AF98-D07004970614}"/>
            </a:ext>
          </a:extLst>
        </xdr:cNvPr>
        <xdr:cNvSpPr/>
      </xdr:nvSpPr>
      <xdr:spPr>
        <a:xfrm>
          <a:off x="1770140" y="0"/>
          <a:ext cx="14593508" cy="427492"/>
        </a:xfrm>
        <a:prstGeom prst="rect">
          <a:avLst/>
        </a:prstGeom>
        <a:solidFill>
          <a:schemeClr val="accent2">
            <a:lumMod val="20000"/>
            <a:lumOff val="80000"/>
          </a:schemeClr>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tx1"/>
              </a:solidFill>
              <a:latin typeface="Algerian" panose="04020705040A02060702" pitchFamily="82" charset="0"/>
            </a:rPr>
            <a:t>NORTHWIND</a:t>
          </a:r>
          <a:r>
            <a:rPr lang="en-US" sz="2000" baseline="0">
              <a:solidFill>
                <a:schemeClr val="tx1"/>
              </a:solidFill>
              <a:latin typeface="Algerian" panose="04020705040A02060702" pitchFamily="82" charset="0"/>
            </a:rPr>
            <a:t> SALES INTELLIGENCE DASHBOARD(2006-2008)</a:t>
          </a:r>
          <a:endParaRPr lang="en-US" sz="2000">
            <a:solidFill>
              <a:schemeClr val="tx1"/>
            </a:solidFill>
            <a:latin typeface="Algerian" panose="04020705040A02060702" pitchFamily="82" charset="0"/>
          </a:endParaRPr>
        </a:p>
      </xdr:txBody>
    </xdr:sp>
    <xdr:clientData/>
  </xdr:twoCellAnchor>
  <xdr:twoCellAnchor>
    <xdr:from>
      <xdr:col>19</xdr:col>
      <xdr:colOff>84668</xdr:colOff>
      <xdr:row>26</xdr:row>
      <xdr:rowOff>37628</xdr:rowOff>
    </xdr:from>
    <xdr:to>
      <xdr:col>26</xdr:col>
      <xdr:colOff>498217</xdr:colOff>
      <xdr:row>39</xdr:row>
      <xdr:rowOff>103480</xdr:rowOff>
    </xdr:to>
    <xdr:graphicFrame macro="">
      <xdr:nvGraphicFramePr>
        <xdr:cNvPr id="6" name="Chart 5">
          <a:extLst>
            <a:ext uri="{FF2B5EF4-FFF2-40B4-BE49-F238E27FC236}">
              <a16:creationId xmlns:a16="http://schemas.microsoft.com/office/drawing/2014/main" id="{8F73289E-5BF0-4A97-B892-1B9741594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65852</xdr:colOff>
      <xdr:row>11</xdr:row>
      <xdr:rowOff>159399</xdr:rowOff>
    </xdr:from>
    <xdr:to>
      <xdr:col>26</xdr:col>
      <xdr:colOff>476353</xdr:colOff>
      <xdr:row>25</xdr:row>
      <xdr:rowOff>43612</xdr:rowOff>
    </xdr:to>
    <xdr:graphicFrame macro="">
      <xdr:nvGraphicFramePr>
        <xdr:cNvPr id="7" name="Chart 6">
          <a:extLst>
            <a:ext uri="{FF2B5EF4-FFF2-40B4-BE49-F238E27FC236}">
              <a16:creationId xmlns:a16="http://schemas.microsoft.com/office/drawing/2014/main" id="{FC757467-1087-4970-BC65-0E30F2D5A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112888</xdr:colOff>
      <xdr:row>11</xdr:row>
      <xdr:rowOff>141111</xdr:rowOff>
    </xdr:from>
    <xdr:to>
      <xdr:col>13</xdr:col>
      <xdr:colOff>444593</xdr:colOff>
      <xdr:row>25</xdr:row>
      <xdr:rowOff>61900</xdr:rowOff>
    </xdr:to>
    <xdr:graphicFrame macro="">
      <xdr:nvGraphicFramePr>
        <xdr:cNvPr id="8" name="Chart 7">
          <a:extLst>
            <a:ext uri="{FF2B5EF4-FFF2-40B4-BE49-F238E27FC236}">
              <a16:creationId xmlns:a16="http://schemas.microsoft.com/office/drawing/2014/main" id="{891438E5-8A3D-43B7-B9E9-5E72973B4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590051</xdr:colOff>
      <xdr:row>11</xdr:row>
      <xdr:rowOff>159399</xdr:rowOff>
    </xdr:from>
    <xdr:to>
      <xdr:col>18</xdr:col>
      <xdr:colOff>531875</xdr:colOff>
      <xdr:row>25</xdr:row>
      <xdr:rowOff>43612</xdr:rowOff>
    </xdr:to>
    <xdr:graphicFrame macro="">
      <xdr:nvGraphicFramePr>
        <xdr:cNvPr id="9" name="Chart 8">
          <a:extLst>
            <a:ext uri="{FF2B5EF4-FFF2-40B4-BE49-F238E27FC236}">
              <a16:creationId xmlns:a16="http://schemas.microsoft.com/office/drawing/2014/main" id="{5DC4C54E-6890-41FA-9B4E-951917CC9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605190</xdr:colOff>
      <xdr:row>26</xdr:row>
      <xdr:rowOff>37629</xdr:rowOff>
    </xdr:from>
    <xdr:to>
      <xdr:col>18</xdr:col>
      <xdr:colOff>542514</xdr:colOff>
      <xdr:row>39</xdr:row>
      <xdr:rowOff>103480</xdr:rowOff>
    </xdr:to>
    <xdr:graphicFrame macro="">
      <xdr:nvGraphicFramePr>
        <xdr:cNvPr id="10" name="Chart 9">
          <a:extLst>
            <a:ext uri="{FF2B5EF4-FFF2-40B4-BE49-F238E27FC236}">
              <a16:creationId xmlns:a16="http://schemas.microsoft.com/office/drawing/2014/main" id="{516510E1-FB8C-4DA2-9FEF-5ECF435D9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94076</xdr:colOff>
      <xdr:row>26</xdr:row>
      <xdr:rowOff>9408</xdr:rowOff>
    </xdr:from>
    <xdr:to>
      <xdr:col>13</xdr:col>
      <xdr:colOff>423334</xdr:colOff>
      <xdr:row>39</xdr:row>
      <xdr:rowOff>112888</xdr:rowOff>
    </xdr:to>
    <xdr:graphicFrame macro="">
      <xdr:nvGraphicFramePr>
        <xdr:cNvPr id="11" name="Chart 10">
          <a:extLst>
            <a:ext uri="{FF2B5EF4-FFF2-40B4-BE49-F238E27FC236}">
              <a16:creationId xmlns:a16="http://schemas.microsoft.com/office/drawing/2014/main" id="{0716B4D7-E39C-4217-88D1-80B75AE75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347239</xdr:colOff>
      <xdr:row>3</xdr:row>
      <xdr:rowOff>38584</xdr:rowOff>
    </xdr:from>
    <xdr:to>
      <xdr:col>19</xdr:col>
      <xdr:colOff>337594</xdr:colOff>
      <xdr:row>11</xdr:row>
      <xdr:rowOff>43116</xdr:rowOff>
    </xdr:to>
    <mc:AlternateContent xmlns:mc="http://schemas.openxmlformats.org/markup-compatibility/2006" xmlns:a14="http://schemas.microsoft.com/office/drawing/2010/main">
      <mc:Choice Requires="a14">
        <xdr:graphicFrame macro="">
          <xdr:nvGraphicFramePr>
            <xdr:cNvPr id="12" name="Product Category 1">
              <a:extLst>
                <a:ext uri="{FF2B5EF4-FFF2-40B4-BE49-F238E27FC236}">
                  <a16:creationId xmlns:a16="http://schemas.microsoft.com/office/drawing/2014/main" id="{2C89D779-7E8E-4B16-A0C9-367FCA083FF8}"/>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8246961" y="588381"/>
              <a:ext cx="3636380" cy="14706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124373</xdr:colOff>
      <xdr:row>3</xdr:row>
      <xdr:rowOff>48228</xdr:rowOff>
    </xdr:from>
    <xdr:to>
      <xdr:col>13</xdr:col>
      <xdr:colOff>173620</xdr:colOff>
      <xdr:row>11</xdr:row>
      <xdr:rowOff>28936</xdr:rowOff>
    </xdr:to>
    <mc:AlternateContent xmlns:mc="http://schemas.openxmlformats.org/markup-compatibility/2006" xmlns:tsle="http://schemas.microsoft.com/office/drawing/2012/timeslicer">
      <mc:Choice Requires="tsle">
        <xdr:graphicFrame macro="">
          <xdr:nvGraphicFramePr>
            <xdr:cNvPr id="13" name="orderdate 1">
              <a:extLst>
                <a:ext uri="{FF2B5EF4-FFF2-40B4-BE49-F238E27FC236}">
                  <a16:creationId xmlns:a16="http://schemas.microsoft.com/office/drawing/2014/main" id="{40F5BEFA-D3D4-46BA-B409-DF0A4B236821}"/>
                </a:ext>
              </a:extLst>
            </xdr:cNvPr>
            <xdr:cNvGraphicFramePr/>
          </xdr:nvGraphicFramePr>
          <xdr:xfrm>
            <a:off x="0" y="0"/>
            <a:ext cx="0" cy="0"/>
          </xdr:xfrm>
          <a:graphic>
            <a:graphicData uri="http://schemas.microsoft.com/office/drawing/2012/timeslicer">
              <tsle:timeslicer name="orderdate 1"/>
            </a:graphicData>
          </a:graphic>
        </xdr:graphicFrame>
      </mc:Choice>
      <mc:Fallback xmlns="">
        <xdr:sp macro="" textlink="">
          <xdr:nvSpPr>
            <xdr:cNvPr id="0" name=""/>
            <xdr:cNvSpPr>
              <a:spLocks noTextEdit="1"/>
            </xdr:cNvSpPr>
          </xdr:nvSpPr>
          <xdr:spPr>
            <a:xfrm>
              <a:off x="1947386" y="598025"/>
              <a:ext cx="6125956" cy="144683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PrintsWithSheet="0"/>
  </xdr:twoCellAnchor>
  <xdr:twoCellAnchor editAs="oneCell">
    <xdr:from>
      <xdr:col>19</xdr:col>
      <xdr:colOff>434052</xdr:colOff>
      <xdr:row>3</xdr:row>
      <xdr:rowOff>48230</xdr:rowOff>
    </xdr:from>
    <xdr:to>
      <xdr:col>26</xdr:col>
      <xdr:colOff>385824</xdr:colOff>
      <xdr:row>11</xdr:row>
      <xdr:rowOff>48229</xdr:rowOff>
    </xdr:to>
    <mc:AlternateContent xmlns:mc="http://schemas.openxmlformats.org/markup-compatibility/2006" xmlns:a14="http://schemas.microsoft.com/office/drawing/2010/main">
      <mc:Choice Requires="a14">
        <xdr:graphicFrame macro="">
          <xdr:nvGraphicFramePr>
            <xdr:cNvPr id="14" name="shipcountry 1">
              <a:extLst>
                <a:ext uri="{FF2B5EF4-FFF2-40B4-BE49-F238E27FC236}">
                  <a16:creationId xmlns:a16="http://schemas.microsoft.com/office/drawing/2014/main" id="{D103254C-0882-4AA9-98BE-A4371EDA240B}"/>
                </a:ext>
              </a:extLst>
            </xdr:cNvPr>
            <xdr:cNvGraphicFramePr/>
          </xdr:nvGraphicFramePr>
          <xdr:xfrm>
            <a:off x="0" y="0"/>
            <a:ext cx="0" cy="0"/>
          </xdr:xfrm>
          <a:graphic>
            <a:graphicData uri="http://schemas.microsoft.com/office/drawing/2010/slicer">
              <sle:slicer xmlns:sle="http://schemas.microsoft.com/office/drawing/2010/slicer" name="shipcountry 1"/>
            </a:graphicData>
          </a:graphic>
        </xdr:graphicFrame>
      </mc:Choice>
      <mc:Fallback xmlns="">
        <xdr:sp macro="" textlink="">
          <xdr:nvSpPr>
            <xdr:cNvPr id="0" name=""/>
            <xdr:cNvSpPr>
              <a:spLocks noTextEdit="1"/>
            </xdr:cNvSpPr>
          </xdr:nvSpPr>
          <xdr:spPr>
            <a:xfrm>
              <a:off x="11979799" y="598027"/>
              <a:ext cx="4205468" cy="1466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Northwind%20Data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der Detail"/>
      <sheetName val="Pivot_Table"/>
      <sheetName val="Assessment Brief"/>
      <sheetName val="Sales Order"/>
      <sheetName val="Category"/>
      <sheetName val="Customer"/>
      <sheetName val="Employee"/>
      <sheetName val="Employee Territory"/>
      <sheetName val="Product"/>
      <sheetName val="Region"/>
      <sheetName val="Shipper"/>
      <sheetName val="Supplier"/>
      <sheetName val="Territory"/>
    </sheetNames>
    <sheetDataSet>
      <sheetData sheetId="0"/>
      <sheetData sheetId="1"/>
      <sheetData sheetId="2"/>
      <sheetData sheetId="3">
        <row r="1">
          <cell r="A1" t="str">
            <v>orderid</v>
          </cell>
          <cell r="B1" t="str">
            <v>custid</v>
          </cell>
          <cell r="C1" t="str">
            <v>empid</v>
          </cell>
          <cell r="D1" t="str">
            <v>orderdate</v>
          </cell>
          <cell r="E1" t="str">
            <v>requireddate</v>
          </cell>
          <cell r="F1" t="str">
            <v>shippeddate</v>
          </cell>
          <cell r="G1" t="str">
            <v>shipperid</v>
          </cell>
          <cell r="H1" t="str">
            <v>freight</v>
          </cell>
          <cell r="I1" t="str">
            <v>shipname</v>
          </cell>
          <cell r="J1" t="str">
            <v>shipaddress</v>
          </cell>
          <cell r="K1" t="str">
            <v>shipcity</v>
          </cell>
          <cell r="L1" t="str">
            <v>shipregion</v>
          </cell>
          <cell r="M1" t="str">
            <v>shippostalcode</v>
          </cell>
          <cell r="N1" t="str">
            <v>shipcountry</v>
          </cell>
        </row>
        <row r="2">
          <cell r="A2">
            <v>10250</v>
          </cell>
          <cell r="B2">
            <v>34</v>
          </cell>
          <cell r="C2">
            <v>4</v>
          </cell>
          <cell r="D2">
            <v>38906</v>
          </cell>
          <cell r="E2">
            <v>38934</v>
          </cell>
          <cell r="F2">
            <v>38910</v>
          </cell>
          <cell r="G2">
            <v>2</v>
          </cell>
          <cell r="H2">
            <v>65.83</v>
          </cell>
          <cell r="I2" t="str">
            <v>Destination SCQXA</v>
          </cell>
          <cell r="J2" t="str">
            <v>Rua do Paço, 7890</v>
          </cell>
          <cell r="K2" t="str">
            <v>Rio de Janeiro</v>
          </cell>
          <cell r="L2" t="str">
            <v>RJ</v>
          </cell>
          <cell r="M2">
            <v>10195</v>
          </cell>
          <cell r="N2" t="str">
            <v>Brazil</v>
          </cell>
        </row>
        <row r="3">
          <cell r="A3">
            <v>10251</v>
          </cell>
          <cell r="B3">
            <v>84</v>
          </cell>
          <cell r="C3">
            <v>3</v>
          </cell>
          <cell r="D3">
            <v>38906</v>
          </cell>
          <cell r="E3">
            <v>38934</v>
          </cell>
          <cell r="F3">
            <v>38913</v>
          </cell>
          <cell r="G3">
            <v>1</v>
          </cell>
          <cell r="H3">
            <v>41.34</v>
          </cell>
          <cell r="I3" t="str">
            <v>Ship to 84-A</v>
          </cell>
          <cell r="J3" t="str">
            <v>3456, rue du Commerce</v>
          </cell>
          <cell r="K3" t="str">
            <v>Lyon</v>
          </cell>
          <cell r="M3">
            <v>10342</v>
          </cell>
          <cell r="N3" t="str">
            <v>France</v>
          </cell>
        </row>
        <row r="4">
          <cell r="A4">
            <v>10252</v>
          </cell>
          <cell r="B4">
            <v>76</v>
          </cell>
          <cell r="C4">
            <v>4</v>
          </cell>
          <cell r="D4">
            <v>38907</v>
          </cell>
          <cell r="E4">
            <v>38935</v>
          </cell>
          <cell r="F4">
            <v>38909</v>
          </cell>
          <cell r="G4">
            <v>2</v>
          </cell>
          <cell r="H4">
            <v>51.3</v>
          </cell>
          <cell r="I4" t="str">
            <v>Ship to 76-B</v>
          </cell>
          <cell r="J4" t="str">
            <v>Boulevard Tirou, 9012</v>
          </cell>
          <cell r="K4" t="str">
            <v>Charleroi</v>
          </cell>
          <cell r="M4">
            <v>10318</v>
          </cell>
          <cell r="N4" t="str">
            <v>Belgium</v>
          </cell>
        </row>
        <row r="5">
          <cell r="A5">
            <v>10253</v>
          </cell>
          <cell r="B5">
            <v>34</v>
          </cell>
          <cell r="C5">
            <v>3</v>
          </cell>
          <cell r="D5">
            <v>38908</v>
          </cell>
          <cell r="E5">
            <v>38922</v>
          </cell>
          <cell r="F5">
            <v>38914</v>
          </cell>
          <cell r="G5">
            <v>2</v>
          </cell>
          <cell r="H5">
            <v>58.17</v>
          </cell>
          <cell r="I5" t="str">
            <v>Destination JPAIY</v>
          </cell>
          <cell r="J5" t="str">
            <v>Rua do Paço, 8901</v>
          </cell>
          <cell r="K5" t="str">
            <v>Rio de Janeiro</v>
          </cell>
          <cell r="L5" t="str">
            <v>RJ</v>
          </cell>
          <cell r="M5">
            <v>10196</v>
          </cell>
          <cell r="N5" t="str">
            <v>Brazil</v>
          </cell>
        </row>
        <row r="6">
          <cell r="A6">
            <v>10254</v>
          </cell>
          <cell r="B6">
            <v>14</v>
          </cell>
          <cell r="C6">
            <v>5</v>
          </cell>
          <cell r="D6">
            <v>38909</v>
          </cell>
          <cell r="E6">
            <v>38937</v>
          </cell>
          <cell r="F6">
            <v>38921</v>
          </cell>
          <cell r="G6">
            <v>2</v>
          </cell>
          <cell r="H6">
            <v>22.98</v>
          </cell>
          <cell r="I6" t="str">
            <v>Destination YUJRD</v>
          </cell>
          <cell r="J6" t="str">
            <v>Hauptstr. 1234</v>
          </cell>
          <cell r="K6" t="str">
            <v>Bern</v>
          </cell>
          <cell r="M6">
            <v>10139</v>
          </cell>
          <cell r="N6" t="str">
            <v>Switzerland</v>
          </cell>
        </row>
        <row r="7">
          <cell r="A7">
            <v>10255</v>
          </cell>
          <cell r="B7">
            <v>68</v>
          </cell>
          <cell r="C7">
            <v>9</v>
          </cell>
          <cell r="D7">
            <v>38910</v>
          </cell>
          <cell r="E7">
            <v>38938</v>
          </cell>
          <cell r="F7">
            <v>38913</v>
          </cell>
          <cell r="G7">
            <v>3</v>
          </cell>
          <cell r="H7">
            <v>148.33000000000001</v>
          </cell>
          <cell r="I7" t="str">
            <v>Ship to 68-A</v>
          </cell>
          <cell r="J7" t="str">
            <v>Starenweg 6789</v>
          </cell>
          <cell r="K7" t="str">
            <v>Genève</v>
          </cell>
          <cell r="M7">
            <v>10294</v>
          </cell>
          <cell r="N7" t="str">
            <v>Switzerland</v>
          </cell>
        </row>
        <row r="8">
          <cell r="A8">
            <v>10256</v>
          </cell>
          <cell r="B8">
            <v>88</v>
          </cell>
          <cell r="C8">
            <v>3</v>
          </cell>
          <cell r="D8">
            <v>38913</v>
          </cell>
          <cell r="E8">
            <v>38941</v>
          </cell>
          <cell r="F8">
            <v>38915</v>
          </cell>
          <cell r="G8">
            <v>2</v>
          </cell>
          <cell r="H8">
            <v>13.97</v>
          </cell>
          <cell r="I8" t="str">
            <v>Ship to 88-B</v>
          </cell>
          <cell r="J8" t="str">
            <v>Rua do Mercado, 5678</v>
          </cell>
          <cell r="K8" t="str">
            <v>Resende</v>
          </cell>
          <cell r="L8" t="str">
            <v>SP</v>
          </cell>
          <cell r="M8">
            <v>10354</v>
          </cell>
          <cell r="N8" t="str">
            <v>Brazil</v>
          </cell>
        </row>
        <row r="9">
          <cell r="A9">
            <v>10257</v>
          </cell>
          <cell r="B9">
            <v>35</v>
          </cell>
          <cell r="C9">
            <v>4</v>
          </cell>
          <cell r="D9">
            <v>38914</v>
          </cell>
          <cell r="E9">
            <v>38942</v>
          </cell>
          <cell r="F9">
            <v>38920</v>
          </cell>
          <cell r="G9">
            <v>3</v>
          </cell>
          <cell r="H9">
            <v>81.91</v>
          </cell>
          <cell r="I9" t="str">
            <v>Destination JYDLM</v>
          </cell>
          <cell r="J9" t="str">
            <v>Carrera1234 con Ave. Carlos Soublette #8-35</v>
          </cell>
          <cell r="K9" t="str">
            <v>San Cristóbal</v>
          </cell>
          <cell r="L9" t="str">
            <v>Táchira</v>
          </cell>
          <cell r="M9">
            <v>10199</v>
          </cell>
          <cell r="N9" t="str">
            <v>Venezuela</v>
          </cell>
        </row>
        <row r="10">
          <cell r="A10">
            <v>10258</v>
          </cell>
          <cell r="B10">
            <v>20</v>
          </cell>
          <cell r="C10">
            <v>1</v>
          </cell>
          <cell r="D10">
            <v>38915</v>
          </cell>
          <cell r="E10">
            <v>38943</v>
          </cell>
          <cell r="F10">
            <v>38921</v>
          </cell>
          <cell r="G10">
            <v>1</v>
          </cell>
          <cell r="H10">
            <v>140.51</v>
          </cell>
          <cell r="I10" t="str">
            <v>Destination RVDMF</v>
          </cell>
          <cell r="J10" t="str">
            <v>Kirchgasse 9012</v>
          </cell>
          <cell r="K10" t="str">
            <v>Graz</v>
          </cell>
          <cell r="M10">
            <v>10157</v>
          </cell>
          <cell r="N10" t="str">
            <v>Austria</v>
          </cell>
        </row>
        <row r="11">
          <cell r="A11">
            <v>10259</v>
          </cell>
          <cell r="B11">
            <v>13</v>
          </cell>
          <cell r="C11">
            <v>4</v>
          </cell>
          <cell r="D11">
            <v>38916</v>
          </cell>
          <cell r="E11">
            <v>38944</v>
          </cell>
          <cell r="F11">
            <v>38923</v>
          </cell>
          <cell r="G11">
            <v>3</v>
          </cell>
          <cell r="H11">
            <v>3.25</v>
          </cell>
          <cell r="I11" t="str">
            <v>Destination LGGCH</v>
          </cell>
          <cell r="J11" t="str">
            <v>Sierras de Granada 9012</v>
          </cell>
          <cell r="K11" t="str">
            <v>México D.F.</v>
          </cell>
          <cell r="M11">
            <v>10137</v>
          </cell>
          <cell r="N11" t="str">
            <v>Mexico</v>
          </cell>
        </row>
        <row r="12">
          <cell r="A12">
            <v>10260</v>
          </cell>
          <cell r="B12">
            <v>56</v>
          </cell>
          <cell r="C12">
            <v>4</v>
          </cell>
          <cell r="D12">
            <v>38917</v>
          </cell>
          <cell r="E12">
            <v>38945</v>
          </cell>
          <cell r="F12">
            <v>38927</v>
          </cell>
          <cell r="G12">
            <v>1</v>
          </cell>
          <cell r="H12">
            <v>55.09</v>
          </cell>
          <cell r="I12" t="str">
            <v>Ship to 56-A</v>
          </cell>
          <cell r="J12" t="str">
            <v>Mehrheimerstr. 0123</v>
          </cell>
          <cell r="K12" t="str">
            <v>Köln</v>
          </cell>
          <cell r="M12">
            <v>10258</v>
          </cell>
          <cell r="N12" t="str">
            <v>Germany</v>
          </cell>
        </row>
        <row r="13">
          <cell r="A13">
            <v>10261</v>
          </cell>
          <cell r="B13">
            <v>61</v>
          </cell>
          <cell r="C13">
            <v>4</v>
          </cell>
          <cell r="D13">
            <v>38917</v>
          </cell>
          <cell r="E13">
            <v>38945</v>
          </cell>
          <cell r="F13">
            <v>38928</v>
          </cell>
          <cell r="G13">
            <v>2</v>
          </cell>
          <cell r="H13">
            <v>3.05</v>
          </cell>
          <cell r="I13" t="str">
            <v>Ship to 61-B</v>
          </cell>
          <cell r="J13" t="str">
            <v>Rua da Panificadora, 6789</v>
          </cell>
          <cell r="K13" t="str">
            <v>Rio de Janeiro</v>
          </cell>
          <cell r="L13" t="str">
            <v>RJ</v>
          </cell>
          <cell r="M13">
            <v>10274</v>
          </cell>
          <cell r="N13" t="str">
            <v>Brazil</v>
          </cell>
        </row>
        <row r="14">
          <cell r="A14">
            <v>10262</v>
          </cell>
          <cell r="B14">
            <v>65</v>
          </cell>
          <cell r="C14">
            <v>8</v>
          </cell>
          <cell r="D14">
            <v>38920</v>
          </cell>
          <cell r="E14">
            <v>38948</v>
          </cell>
          <cell r="F14">
            <v>38923</v>
          </cell>
          <cell r="G14">
            <v>3</v>
          </cell>
          <cell r="H14">
            <v>48.29</v>
          </cell>
          <cell r="I14" t="str">
            <v>Ship to 65-B</v>
          </cell>
          <cell r="J14" t="str">
            <v>8901 Milton Dr.</v>
          </cell>
          <cell r="K14" t="str">
            <v>Albuquerque</v>
          </cell>
          <cell r="L14" t="str">
            <v>NM</v>
          </cell>
          <cell r="M14">
            <v>10286</v>
          </cell>
          <cell r="N14" t="str">
            <v>USA</v>
          </cell>
        </row>
        <row r="15">
          <cell r="A15">
            <v>10263</v>
          </cell>
          <cell r="B15">
            <v>20</v>
          </cell>
          <cell r="C15">
            <v>9</v>
          </cell>
          <cell r="D15">
            <v>38921</v>
          </cell>
          <cell r="E15">
            <v>38949</v>
          </cell>
          <cell r="F15">
            <v>38929</v>
          </cell>
          <cell r="G15">
            <v>3</v>
          </cell>
          <cell r="H15">
            <v>146.06</v>
          </cell>
          <cell r="I15" t="str">
            <v>Destination FFXKT</v>
          </cell>
          <cell r="J15" t="str">
            <v>Kirchgasse 0123</v>
          </cell>
          <cell r="K15" t="str">
            <v>Graz</v>
          </cell>
          <cell r="M15">
            <v>10158</v>
          </cell>
          <cell r="N15" t="str">
            <v>Austria</v>
          </cell>
        </row>
        <row r="16">
          <cell r="A16">
            <v>10264</v>
          </cell>
          <cell r="B16">
            <v>24</v>
          </cell>
          <cell r="C16">
            <v>6</v>
          </cell>
          <cell r="D16">
            <v>38922</v>
          </cell>
          <cell r="E16">
            <v>38950</v>
          </cell>
          <cell r="F16">
            <v>38952</v>
          </cell>
          <cell r="G16">
            <v>3</v>
          </cell>
          <cell r="H16">
            <v>3.67</v>
          </cell>
          <cell r="I16" t="str">
            <v>Destination KBSBN</v>
          </cell>
          <cell r="J16" t="str">
            <v>Åkergatan 9012</v>
          </cell>
          <cell r="K16" t="str">
            <v>Bräcke</v>
          </cell>
          <cell r="M16">
            <v>10167</v>
          </cell>
          <cell r="N16" t="str">
            <v>Sweden</v>
          </cell>
        </row>
        <row r="17">
          <cell r="A17">
            <v>10265</v>
          </cell>
          <cell r="B17">
            <v>7</v>
          </cell>
          <cell r="C17">
            <v>2</v>
          </cell>
          <cell r="D17">
            <v>38923</v>
          </cell>
          <cell r="E17">
            <v>38951</v>
          </cell>
          <cell r="F17">
            <v>38941</v>
          </cell>
          <cell r="G17">
            <v>1</v>
          </cell>
          <cell r="H17">
            <v>55.28</v>
          </cell>
          <cell r="I17" t="str">
            <v>Ship to 7-A</v>
          </cell>
          <cell r="J17" t="str">
            <v>0123, place Kléber</v>
          </cell>
          <cell r="K17" t="str">
            <v>Strasbourg</v>
          </cell>
          <cell r="M17">
            <v>10329</v>
          </cell>
          <cell r="N17" t="str">
            <v>France</v>
          </cell>
        </row>
        <row r="18">
          <cell r="A18">
            <v>10266</v>
          </cell>
          <cell r="B18">
            <v>87</v>
          </cell>
          <cell r="C18">
            <v>3</v>
          </cell>
          <cell r="D18">
            <v>38924</v>
          </cell>
          <cell r="E18">
            <v>38966</v>
          </cell>
          <cell r="F18">
            <v>38929</v>
          </cell>
          <cell r="G18">
            <v>3</v>
          </cell>
          <cell r="H18">
            <v>25.73</v>
          </cell>
          <cell r="I18" t="str">
            <v>Ship to 87-B</v>
          </cell>
          <cell r="J18" t="str">
            <v>Torikatu 2345</v>
          </cell>
          <cell r="K18" t="str">
            <v>Oulu</v>
          </cell>
          <cell r="M18">
            <v>10351</v>
          </cell>
          <cell r="N18" t="str">
            <v>Finland</v>
          </cell>
        </row>
        <row r="19">
          <cell r="A19">
            <v>10267</v>
          </cell>
          <cell r="B19">
            <v>25</v>
          </cell>
          <cell r="C19">
            <v>4</v>
          </cell>
          <cell r="D19">
            <v>38927</v>
          </cell>
          <cell r="E19">
            <v>38955</v>
          </cell>
          <cell r="F19">
            <v>38935</v>
          </cell>
          <cell r="G19">
            <v>1</v>
          </cell>
          <cell r="H19">
            <v>208.58</v>
          </cell>
          <cell r="I19" t="str">
            <v>Destination VAPXU</v>
          </cell>
          <cell r="J19" t="str">
            <v>Berliner Platz 0123</v>
          </cell>
          <cell r="K19" t="str">
            <v>München</v>
          </cell>
          <cell r="M19">
            <v>10168</v>
          </cell>
          <cell r="N19" t="str">
            <v>Germany</v>
          </cell>
        </row>
        <row r="20">
          <cell r="A20">
            <v>10268</v>
          </cell>
          <cell r="B20">
            <v>33</v>
          </cell>
          <cell r="C20">
            <v>8</v>
          </cell>
          <cell r="D20">
            <v>38928</v>
          </cell>
          <cell r="E20">
            <v>38956</v>
          </cell>
          <cell r="F20">
            <v>38931</v>
          </cell>
          <cell r="G20">
            <v>3</v>
          </cell>
          <cell r="H20">
            <v>66.290000000000006</v>
          </cell>
          <cell r="I20" t="str">
            <v>Destination QJVQH</v>
          </cell>
          <cell r="J20" t="str">
            <v>5ª Ave. Los Palos Grandes 5678</v>
          </cell>
          <cell r="K20" t="str">
            <v>Caracas</v>
          </cell>
          <cell r="L20" t="str">
            <v>DF</v>
          </cell>
          <cell r="M20">
            <v>10193</v>
          </cell>
          <cell r="N20" t="str">
            <v>Venezuela</v>
          </cell>
        </row>
        <row r="21">
          <cell r="A21">
            <v>10269</v>
          </cell>
          <cell r="B21">
            <v>89</v>
          </cell>
          <cell r="C21">
            <v>5</v>
          </cell>
          <cell r="D21">
            <v>38929</v>
          </cell>
          <cell r="E21">
            <v>38943</v>
          </cell>
          <cell r="F21">
            <v>38938</v>
          </cell>
          <cell r="G21">
            <v>1</v>
          </cell>
          <cell r="H21">
            <v>4.5599999999999996</v>
          </cell>
          <cell r="I21" t="str">
            <v>Ship to 89-B</v>
          </cell>
          <cell r="J21" t="str">
            <v>8901 - 12th Ave. S.</v>
          </cell>
          <cell r="K21" t="str">
            <v>Seattle</v>
          </cell>
          <cell r="L21" t="str">
            <v>WA</v>
          </cell>
          <cell r="M21">
            <v>10357</v>
          </cell>
          <cell r="N21" t="str">
            <v>USA</v>
          </cell>
        </row>
        <row r="22">
          <cell r="A22">
            <v>10270</v>
          </cell>
          <cell r="B22">
            <v>87</v>
          </cell>
          <cell r="C22">
            <v>1</v>
          </cell>
          <cell r="D22">
            <v>38930</v>
          </cell>
          <cell r="E22">
            <v>38958</v>
          </cell>
          <cell r="F22">
            <v>38931</v>
          </cell>
          <cell r="G22">
            <v>1</v>
          </cell>
          <cell r="H22">
            <v>136.54</v>
          </cell>
          <cell r="I22" t="str">
            <v>Ship to 87-B</v>
          </cell>
          <cell r="J22" t="str">
            <v>Torikatu 2345</v>
          </cell>
          <cell r="K22" t="str">
            <v>Oulu</v>
          </cell>
          <cell r="M22">
            <v>10351</v>
          </cell>
          <cell r="N22" t="str">
            <v>Finland</v>
          </cell>
        </row>
        <row r="23">
          <cell r="A23">
            <v>10271</v>
          </cell>
          <cell r="B23">
            <v>75</v>
          </cell>
          <cell r="C23">
            <v>6</v>
          </cell>
          <cell r="D23">
            <v>38930</v>
          </cell>
          <cell r="E23">
            <v>38958</v>
          </cell>
          <cell r="F23">
            <v>38959</v>
          </cell>
          <cell r="G23">
            <v>2</v>
          </cell>
          <cell r="H23">
            <v>4.54</v>
          </cell>
          <cell r="I23" t="str">
            <v>Ship to 75-C</v>
          </cell>
          <cell r="J23" t="str">
            <v>P.O. Box 7890</v>
          </cell>
          <cell r="K23" t="str">
            <v>Lander</v>
          </cell>
          <cell r="L23" t="str">
            <v>WY</v>
          </cell>
          <cell r="M23">
            <v>10316</v>
          </cell>
          <cell r="N23" t="str">
            <v>USA</v>
          </cell>
        </row>
        <row r="24">
          <cell r="A24">
            <v>10272</v>
          </cell>
          <cell r="B24">
            <v>65</v>
          </cell>
          <cell r="C24">
            <v>6</v>
          </cell>
          <cell r="D24">
            <v>38931</v>
          </cell>
          <cell r="E24">
            <v>38959</v>
          </cell>
          <cell r="F24">
            <v>38935</v>
          </cell>
          <cell r="G24">
            <v>2</v>
          </cell>
          <cell r="H24">
            <v>98.03</v>
          </cell>
          <cell r="I24" t="str">
            <v>Ship to 65-A</v>
          </cell>
          <cell r="J24" t="str">
            <v>7890 Milton Dr.</v>
          </cell>
          <cell r="K24" t="str">
            <v>Albuquerque</v>
          </cell>
          <cell r="L24" t="str">
            <v>NM</v>
          </cell>
          <cell r="M24">
            <v>10285</v>
          </cell>
          <cell r="N24" t="str">
            <v>USA</v>
          </cell>
        </row>
        <row r="25">
          <cell r="A25">
            <v>10273</v>
          </cell>
          <cell r="B25">
            <v>63</v>
          </cell>
          <cell r="C25">
            <v>3</v>
          </cell>
          <cell r="D25">
            <v>38934</v>
          </cell>
          <cell r="E25">
            <v>38962</v>
          </cell>
          <cell r="F25">
            <v>38941</v>
          </cell>
          <cell r="G25">
            <v>3</v>
          </cell>
          <cell r="H25">
            <v>76.069999999999993</v>
          </cell>
          <cell r="I25" t="str">
            <v>Ship to 63-A</v>
          </cell>
          <cell r="J25" t="str">
            <v>Taucherstraße 1234</v>
          </cell>
          <cell r="K25" t="str">
            <v>Cunewalde</v>
          </cell>
          <cell r="M25">
            <v>10279</v>
          </cell>
          <cell r="N25" t="str">
            <v>Germany</v>
          </cell>
        </row>
        <row r="26">
          <cell r="A26">
            <v>10274</v>
          </cell>
          <cell r="B26">
            <v>85</v>
          </cell>
          <cell r="C26">
            <v>6</v>
          </cell>
          <cell r="D26">
            <v>38935</v>
          </cell>
          <cell r="E26">
            <v>38963</v>
          </cell>
          <cell r="F26">
            <v>38945</v>
          </cell>
          <cell r="G26">
            <v>1</v>
          </cell>
          <cell r="H26">
            <v>6.01</v>
          </cell>
          <cell r="I26" t="str">
            <v>Ship to 85-B</v>
          </cell>
          <cell r="J26" t="str">
            <v>6789 rue de l'Abbaye</v>
          </cell>
          <cell r="K26" t="str">
            <v>Reims</v>
          </cell>
          <cell r="M26">
            <v>10345</v>
          </cell>
          <cell r="N26" t="str">
            <v>France</v>
          </cell>
        </row>
        <row r="27">
          <cell r="A27">
            <v>10275</v>
          </cell>
          <cell r="B27">
            <v>49</v>
          </cell>
          <cell r="C27">
            <v>1</v>
          </cell>
          <cell r="D27">
            <v>38936</v>
          </cell>
          <cell r="E27">
            <v>38964</v>
          </cell>
          <cell r="F27">
            <v>38938</v>
          </cell>
          <cell r="G27">
            <v>1</v>
          </cell>
          <cell r="H27">
            <v>26.93</v>
          </cell>
          <cell r="I27" t="str">
            <v>Ship to 49-A</v>
          </cell>
          <cell r="J27" t="str">
            <v>Via Ludovico il Moro 8901</v>
          </cell>
          <cell r="K27" t="str">
            <v>Bergamo</v>
          </cell>
          <cell r="M27">
            <v>10235</v>
          </cell>
          <cell r="N27" t="str">
            <v>Italy</v>
          </cell>
        </row>
        <row r="28">
          <cell r="A28">
            <v>10276</v>
          </cell>
          <cell r="B28">
            <v>80</v>
          </cell>
          <cell r="C28">
            <v>8</v>
          </cell>
          <cell r="D28">
            <v>38937</v>
          </cell>
          <cell r="E28">
            <v>38951</v>
          </cell>
          <cell r="F28">
            <v>38943</v>
          </cell>
          <cell r="G28">
            <v>3</v>
          </cell>
          <cell r="H28">
            <v>13.84</v>
          </cell>
          <cell r="I28" t="str">
            <v>Ship to 80-C</v>
          </cell>
          <cell r="J28" t="str">
            <v>Avda. Azteca 5678</v>
          </cell>
          <cell r="K28" t="str">
            <v>México D.F.</v>
          </cell>
          <cell r="M28">
            <v>10334</v>
          </cell>
          <cell r="N28" t="str">
            <v>Mexico</v>
          </cell>
        </row>
        <row r="29">
          <cell r="A29">
            <v>10277</v>
          </cell>
          <cell r="B29">
            <v>52</v>
          </cell>
          <cell r="C29">
            <v>2</v>
          </cell>
          <cell r="D29">
            <v>38938</v>
          </cell>
          <cell r="E29">
            <v>38966</v>
          </cell>
          <cell r="F29">
            <v>38942</v>
          </cell>
          <cell r="G29">
            <v>3</v>
          </cell>
          <cell r="H29">
            <v>125.77</v>
          </cell>
          <cell r="I29" t="str">
            <v>Ship to 52-A</v>
          </cell>
          <cell r="J29" t="str">
            <v>Heerstr. 9012</v>
          </cell>
          <cell r="K29" t="str">
            <v>Leipzig</v>
          </cell>
          <cell r="M29">
            <v>10247</v>
          </cell>
          <cell r="N29" t="str">
            <v>Germany</v>
          </cell>
        </row>
        <row r="30">
          <cell r="A30">
            <v>10278</v>
          </cell>
          <cell r="B30">
            <v>5</v>
          </cell>
          <cell r="C30">
            <v>8</v>
          </cell>
          <cell r="D30">
            <v>38941</v>
          </cell>
          <cell r="E30">
            <v>38969</v>
          </cell>
          <cell r="F30">
            <v>38945</v>
          </cell>
          <cell r="G30">
            <v>2</v>
          </cell>
          <cell r="H30">
            <v>92.69</v>
          </cell>
          <cell r="I30" t="str">
            <v>Ship to 5-C</v>
          </cell>
          <cell r="J30" t="str">
            <v>Berguvsvägen 1234</v>
          </cell>
          <cell r="K30" t="str">
            <v>Luleå</v>
          </cell>
          <cell r="M30">
            <v>10269</v>
          </cell>
          <cell r="N30" t="str">
            <v>Sweden</v>
          </cell>
        </row>
        <row r="31">
          <cell r="A31">
            <v>10279</v>
          </cell>
          <cell r="B31">
            <v>44</v>
          </cell>
          <cell r="C31">
            <v>8</v>
          </cell>
          <cell r="D31">
            <v>38942</v>
          </cell>
          <cell r="E31">
            <v>38970</v>
          </cell>
          <cell r="F31">
            <v>38945</v>
          </cell>
          <cell r="G31">
            <v>2</v>
          </cell>
          <cell r="H31">
            <v>25.83</v>
          </cell>
          <cell r="I31" t="str">
            <v>Ship to 44-A</v>
          </cell>
          <cell r="J31" t="str">
            <v>Magazinweg 4567</v>
          </cell>
          <cell r="K31" t="str">
            <v>Frankfurt a.M.</v>
          </cell>
          <cell r="M31">
            <v>10222</v>
          </cell>
          <cell r="N31" t="str">
            <v>Germany</v>
          </cell>
        </row>
        <row r="32">
          <cell r="A32">
            <v>10280</v>
          </cell>
          <cell r="B32">
            <v>5</v>
          </cell>
          <cell r="C32">
            <v>2</v>
          </cell>
          <cell r="D32">
            <v>38943</v>
          </cell>
          <cell r="E32">
            <v>38971</v>
          </cell>
          <cell r="F32">
            <v>38972</v>
          </cell>
          <cell r="G32">
            <v>1</v>
          </cell>
          <cell r="H32">
            <v>8.98</v>
          </cell>
          <cell r="I32" t="str">
            <v>Ship to 5-B</v>
          </cell>
          <cell r="J32" t="str">
            <v>Berguvsvägen 0123</v>
          </cell>
          <cell r="K32" t="str">
            <v>Luleå</v>
          </cell>
          <cell r="M32">
            <v>10268</v>
          </cell>
          <cell r="N32" t="str">
            <v>Sweden</v>
          </cell>
        </row>
        <row r="33">
          <cell r="A33">
            <v>10281</v>
          </cell>
          <cell r="B33">
            <v>69</v>
          </cell>
          <cell r="C33">
            <v>4</v>
          </cell>
          <cell r="D33">
            <v>38943</v>
          </cell>
          <cell r="E33">
            <v>38957</v>
          </cell>
          <cell r="F33">
            <v>38950</v>
          </cell>
          <cell r="G33">
            <v>1</v>
          </cell>
          <cell r="H33">
            <v>2.94</v>
          </cell>
          <cell r="I33" t="str">
            <v>Ship to 69-A</v>
          </cell>
          <cell r="J33" t="str">
            <v>Gran Vía, 9012</v>
          </cell>
          <cell r="K33" t="str">
            <v>Madrid</v>
          </cell>
          <cell r="M33">
            <v>10297</v>
          </cell>
          <cell r="N33" t="str">
            <v>Spain</v>
          </cell>
        </row>
        <row r="34">
          <cell r="A34">
            <v>10282</v>
          </cell>
          <cell r="B34">
            <v>69</v>
          </cell>
          <cell r="C34">
            <v>4</v>
          </cell>
          <cell r="D34">
            <v>38944</v>
          </cell>
          <cell r="E34">
            <v>38972</v>
          </cell>
          <cell r="F34">
            <v>38950</v>
          </cell>
          <cell r="G34">
            <v>1</v>
          </cell>
          <cell r="H34">
            <v>12.69</v>
          </cell>
          <cell r="I34" t="str">
            <v>Ship to 69-B</v>
          </cell>
          <cell r="J34" t="str">
            <v>Gran Vía, 0123</v>
          </cell>
          <cell r="K34" t="str">
            <v>Madrid</v>
          </cell>
          <cell r="M34">
            <v>10298</v>
          </cell>
          <cell r="N34" t="str">
            <v>Spain</v>
          </cell>
        </row>
        <row r="35">
          <cell r="A35">
            <v>10283</v>
          </cell>
          <cell r="B35">
            <v>46</v>
          </cell>
          <cell r="C35">
            <v>3</v>
          </cell>
          <cell r="D35">
            <v>38945</v>
          </cell>
          <cell r="E35">
            <v>38973</v>
          </cell>
          <cell r="F35">
            <v>38952</v>
          </cell>
          <cell r="G35">
            <v>3</v>
          </cell>
          <cell r="H35">
            <v>84.81</v>
          </cell>
          <cell r="I35" t="str">
            <v>Ship to 46-A</v>
          </cell>
          <cell r="J35" t="str">
            <v>Carrera 0123 con Ave. Bolívar #65-98 Llano Largo</v>
          </cell>
          <cell r="K35" t="str">
            <v>Barquisimeto</v>
          </cell>
          <cell r="L35" t="str">
            <v>Lara</v>
          </cell>
          <cell r="M35">
            <v>10227</v>
          </cell>
          <cell r="N35" t="str">
            <v>Venezuela</v>
          </cell>
        </row>
        <row r="36">
          <cell r="A36">
            <v>10284</v>
          </cell>
          <cell r="B36">
            <v>44</v>
          </cell>
          <cell r="C36">
            <v>4</v>
          </cell>
          <cell r="D36">
            <v>38948</v>
          </cell>
          <cell r="E36">
            <v>38976</v>
          </cell>
          <cell r="F36">
            <v>38956</v>
          </cell>
          <cell r="G36">
            <v>1</v>
          </cell>
          <cell r="H36">
            <v>76.56</v>
          </cell>
          <cell r="I36" t="str">
            <v>Ship to 44-A</v>
          </cell>
          <cell r="J36" t="str">
            <v>Magazinweg 4567</v>
          </cell>
          <cell r="K36" t="str">
            <v>Frankfurt a.M.</v>
          </cell>
          <cell r="M36">
            <v>10222</v>
          </cell>
          <cell r="N36" t="str">
            <v>Germany</v>
          </cell>
        </row>
        <row r="37">
          <cell r="A37">
            <v>10285</v>
          </cell>
          <cell r="B37">
            <v>63</v>
          </cell>
          <cell r="C37">
            <v>1</v>
          </cell>
          <cell r="D37">
            <v>38949</v>
          </cell>
          <cell r="E37">
            <v>38977</v>
          </cell>
          <cell r="F37">
            <v>38955</v>
          </cell>
          <cell r="G37">
            <v>2</v>
          </cell>
          <cell r="H37">
            <v>76.83</v>
          </cell>
          <cell r="I37" t="str">
            <v>Ship to 63-B</v>
          </cell>
          <cell r="J37" t="str">
            <v>Taucherstraße 2345</v>
          </cell>
          <cell r="K37" t="str">
            <v>Cunewalde</v>
          </cell>
          <cell r="M37">
            <v>10280</v>
          </cell>
          <cell r="N37" t="str">
            <v>Germany</v>
          </cell>
        </row>
        <row r="38">
          <cell r="A38">
            <v>10286</v>
          </cell>
          <cell r="B38">
            <v>63</v>
          </cell>
          <cell r="C38">
            <v>8</v>
          </cell>
          <cell r="D38">
            <v>38950</v>
          </cell>
          <cell r="E38">
            <v>38978</v>
          </cell>
          <cell r="F38">
            <v>38959</v>
          </cell>
          <cell r="G38">
            <v>3</v>
          </cell>
          <cell r="H38">
            <v>229.24</v>
          </cell>
          <cell r="I38" t="str">
            <v>Ship to 63-B</v>
          </cell>
          <cell r="J38" t="str">
            <v>Taucherstraße 2345</v>
          </cell>
          <cell r="K38" t="str">
            <v>Cunewalde</v>
          </cell>
          <cell r="M38">
            <v>10280</v>
          </cell>
          <cell r="N38" t="str">
            <v>Germany</v>
          </cell>
        </row>
        <row r="39">
          <cell r="A39">
            <v>10287</v>
          </cell>
          <cell r="B39">
            <v>67</v>
          </cell>
          <cell r="C39">
            <v>8</v>
          </cell>
          <cell r="D39">
            <v>38951</v>
          </cell>
          <cell r="E39">
            <v>38979</v>
          </cell>
          <cell r="F39">
            <v>38957</v>
          </cell>
          <cell r="G39">
            <v>3</v>
          </cell>
          <cell r="H39">
            <v>12.76</v>
          </cell>
          <cell r="I39" t="str">
            <v>Ship to 67-A</v>
          </cell>
          <cell r="J39" t="str">
            <v>Av. Copacabana, 3456</v>
          </cell>
          <cell r="K39" t="str">
            <v>Rio de Janeiro</v>
          </cell>
          <cell r="L39" t="str">
            <v>RJ</v>
          </cell>
          <cell r="M39">
            <v>10291</v>
          </cell>
          <cell r="N39" t="str">
            <v>Brazil</v>
          </cell>
        </row>
        <row r="40">
          <cell r="A40">
            <v>10288</v>
          </cell>
          <cell r="B40">
            <v>66</v>
          </cell>
          <cell r="C40">
            <v>4</v>
          </cell>
          <cell r="D40">
            <v>38952</v>
          </cell>
          <cell r="E40">
            <v>38980</v>
          </cell>
          <cell r="F40">
            <v>38963</v>
          </cell>
          <cell r="G40">
            <v>1</v>
          </cell>
          <cell r="H40">
            <v>7.45</v>
          </cell>
          <cell r="I40" t="str">
            <v>Ship to 66-C</v>
          </cell>
          <cell r="J40" t="str">
            <v>Strada Provinciale 2345</v>
          </cell>
          <cell r="K40" t="str">
            <v>Reggio Emilia</v>
          </cell>
          <cell r="M40">
            <v>10290</v>
          </cell>
          <cell r="N40" t="str">
            <v>Italy</v>
          </cell>
        </row>
        <row r="41">
          <cell r="A41">
            <v>10289</v>
          </cell>
          <cell r="B41">
            <v>11</v>
          </cell>
          <cell r="C41">
            <v>7</v>
          </cell>
          <cell r="D41">
            <v>38955</v>
          </cell>
          <cell r="E41">
            <v>38983</v>
          </cell>
          <cell r="F41">
            <v>38957</v>
          </cell>
          <cell r="G41">
            <v>3</v>
          </cell>
          <cell r="H41">
            <v>22.77</v>
          </cell>
          <cell r="I41" t="str">
            <v>Destination DLEUN</v>
          </cell>
          <cell r="J41" t="str">
            <v>Fauntleroy Circus 4567</v>
          </cell>
          <cell r="K41" t="str">
            <v>London</v>
          </cell>
          <cell r="M41">
            <v>10132</v>
          </cell>
          <cell r="N41" t="str">
            <v>UK</v>
          </cell>
        </row>
        <row r="42">
          <cell r="A42">
            <v>10290</v>
          </cell>
          <cell r="B42">
            <v>15</v>
          </cell>
          <cell r="C42">
            <v>8</v>
          </cell>
          <cell r="D42">
            <v>38956</v>
          </cell>
          <cell r="E42">
            <v>38984</v>
          </cell>
          <cell r="F42">
            <v>38963</v>
          </cell>
          <cell r="G42">
            <v>1</v>
          </cell>
          <cell r="H42">
            <v>79.7</v>
          </cell>
          <cell r="I42" t="str">
            <v>Destination HQZHO</v>
          </cell>
          <cell r="J42" t="str">
            <v>Av. dos Lusíadas, 4567</v>
          </cell>
          <cell r="K42" t="str">
            <v>Sao Paulo</v>
          </cell>
          <cell r="L42" t="str">
            <v>SP</v>
          </cell>
          <cell r="M42">
            <v>10142</v>
          </cell>
          <cell r="N42" t="str">
            <v>Brazil</v>
          </cell>
        </row>
        <row r="43">
          <cell r="A43">
            <v>10291</v>
          </cell>
          <cell r="B43">
            <v>61</v>
          </cell>
          <cell r="C43">
            <v>6</v>
          </cell>
          <cell r="D43">
            <v>38956</v>
          </cell>
          <cell r="E43">
            <v>38984</v>
          </cell>
          <cell r="F43">
            <v>38964</v>
          </cell>
          <cell r="G43">
            <v>2</v>
          </cell>
          <cell r="H43">
            <v>6.4</v>
          </cell>
          <cell r="I43" t="str">
            <v>Ship to 61-A</v>
          </cell>
          <cell r="J43" t="str">
            <v>Rua da Panificadora, 5678</v>
          </cell>
          <cell r="K43" t="str">
            <v>Rio de Janeiro</v>
          </cell>
          <cell r="L43" t="str">
            <v>RJ</v>
          </cell>
          <cell r="M43">
            <v>10273</v>
          </cell>
          <cell r="N43" t="str">
            <v>Brazil</v>
          </cell>
        </row>
        <row r="44">
          <cell r="A44">
            <v>10292</v>
          </cell>
          <cell r="B44">
            <v>81</v>
          </cell>
          <cell r="C44">
            <v>1</v>
          </cell>
          <cell r="D44">
            <v>38957</v>
          </cell>
          <cell r="E44">
            <v>38985</v>
          </cell>
          <cell r="F44">
            <v>38962</v>
          </cell>
          <cell r="G44">
            <v>2</v>
          </cell>
          <cell r="H44">
            <v>1.35</v>
          </cell>
          <cell r="I44" t="str">
            <v>Ship to 81-A</v>
          </cell>
          <cell r="J44" t="str">
            <v>Av. Inês de Castro, 6789</v>
          </cell>
          <cell r="K44" t="str">
            <v>Sao Paulo</v>
          </cell>
          <cell r="L44" t="str">
            <v>SP</v>
          </cell>
          <cell r="M44">
            <v>10335</v>
          </cell>
          <cell r="N44" t="str">
            <v>Brazil</v>
          </cell>
        </row>
        <row r="45">
          <cell r="A45">
            <v>10293</v>
          </cell>
          <cell r="B45">
            <v>80</v>
          </cell>
          <cell r="C45">
            <v>1</v>
          </cell>
          <cell r="D45">
            <v>38958</v>
          </cell>
          <cell r="E45">
            <v>38986</v>
          </cell>
          <cell r="F45">
            <v>38971</v>
          </cell>
          <cell r="G45">
            <v>3</v>
          </cell>
          <cell r="H45">
            <v>21.18</v>
          </cell>
          <cell r="I45" t="str">
            <v>Ship to 80-B</v>
          </cell>
          <cell r="J45" t="str">
            <v>Avda. Azteca 4567</v>
          </cell>
          <cell r="K45" t="str">
            <v>México D.F.</v>
          </cell>
          <cell r="M45">
            <v>10333</v>
          </cell>
          <cell r="N45" t="str">
            <v>Mexico</v>
          </cell>
        </row>
        <row r="46">
          <cell r="A46">
            <v>10294</v>
          </cell>
          <cell r="B46">
            <v>65</v>
          </cell>
          <cell r="C46">
            <v>4</v>
          </cell>
          <cell r="D46">
            <v>38959</v>
          </cell>
          <cell r="E46">
            <v>38987</v>
          </cell>
          <cell r="F46">
            <v>38965</v>
          </cell>
          <cell r="G46">
            <v>2</v>
          </cell>
          <cell r="H46">
            <v>147.26</v>
          </cell>
          <cell r="I46" t="str">
            <v>Ship to 65-A</v>
          </cell>
          <cell r="J46" t="str">
            <v>7890 Milton Dr.</v>
          </cell>
          <cell r="K46" t="str">
            <v>Albuquerque</v>
          </cell>
          <cell r="L46" t="str">
            <v>NM</v>
          </cell>
          <cell r="M46">
            <v>10285</v>
          </cell>
          <cell r="N46" t="str">
            <v>USA</v>
          </cell>
        </row>
        <row r="47">
          <cell r="A47">
            <v>10295</v>
          </cell>
          <cell r="B47">
            <v>85</v>
          </cell>
          <cell r="C47">
            <v>2</v>
          </cell>
          <cell r="D47">
            <v>38962</v>
          </cell>
          <cell r="E47">
            <v>38990</v>
          </cell>
          <cell r="F47">
            <v>38970</v>
          </cell>
          <cell r="G47">
            <v>2</v>
          </cell>
          <cell r="H47">
            <v>1.1499999999999999</v>
          </cell>
          <cell r="I47" t="str">
            <v>Ship to 85-C</v>
          </cell>
          <cell r="J47" t="str">
            <v>7890 rue de l'Abbaye</v>
          </cell>
          <cell r="K47" t="str">
            <v>Reims</v>
          </cell>
          <cell r="M47">
            <v>10346</v>
          </cell>
          <cell r="N47" t="str">
            <v>France</v>
          </cell>
        </row>
        <row r="48">
          <cell r="A48">
            <v>10296</v>
          </cell>
          <cell r="B48">
            <v>46</v>
          </cell>
          <cell r="C48">
            <v>6</v>
          </cell>
          <cell r="D48">
            <v>38963</v>
          </cell>
          <cell r="E48">
            <v>38991</v>
          </cell>
          <cell r="F48">
            <v>38971</v>
          </cell>
          <cell r="G48">
            <v>1</v>
          </cell>
          <cell r="H48">
            <v>0.12</v>
          </cell>
          <cell r="I48" t="str">
            <v>Ship to 46-C</v>
          </cell>
          <cell r="J48" t="str">
            <v>Carrera 2345 con Ave. Bolívar #65-98 Llano Largo</v>
          </cell>
          <cell r="K48" t="str">
            <v>Barquisimeto</v>
          </cell>
          <cell r="L48" t="str">
            <v>Lara</v>
          </cell>
          <cell r="M48">
            <v>10229</v>
          </cell>
          <cell r="N48" t="str">
            <v>Venezuela</v>
          </cell>
        </row>
        <row r="49">
          <cell r="A49">
            <v>10297</v>
          </cell>
          <cell r="B49">
            <v>7</v>
          </cell>
          <cell r="C49">
            <v>5</v>
          </cell>
          <cell r="D49">
            <v>38964</v>
          </cell>
          <cell r="E49">
            <v>39006</v>
          </cell>
          <cell r="F49">
            <v>38970</v>
          </cell>
          <cell r="G49">
            <v>2</v>
          </cell>
          <cell r="H49">
            <v>5.74</v>
          </cell>
          <cell r="I49" t="str">
            <v>Ship to 7-C</v>
          </cell>
          <cell r="J49" t="str">
            <v>2345, place Kléber</v>
          </cell>
          <cell r="K49" t="str">
            <v>Strasbourg</v>
          </cell>
          <cell r="M49">
            <v>10331</v>
          </cell>
          <cell r="N49" t="str">
            <v>France</v>
          </cell>
        </row>
        <row r="50">
          <cell r="A50">
            <v>10298</v>
          </cell>
          <cell r="B50">
            <v>37</v>
          </cell>
          <cell r="C50">
            <v>6</v>
          </cell>
          <cell r="D50">
            <v>38965</v>
          </cell>
          <cell r="E50">
            <v>38993</v>
          </cell>
          <cell r="F50">
            <v>38971</v>
          </cell>
          <cell r="G50">
            <v>2</v>
          </cell>
          <cell r="H50">
            <v>168.22</v>
          </cell>
          <cell r="I50" t="str">
            <v>Destination ATSOA</v>
          </cell>
          <cell r="J50" t="str">
            <v>4567 Johnstown Road</v>
          </cell>
          <cell r="K50" t="str">
            <v>Cork</v>
          </cell>
          <cell r="L50" t="str">
            <v>Co. Cork</v>
          </cell>
          <cell r="M50">
            <v>10202</v>
          </cell>
          <cell r="N50" t="str">
            <v>Ireland</v>
          </cell>
        </row>
        <row r="51">
          <cell r="A51">
            <v>10299</v>
          </cell>
          <cell r="B51">
            <v>67</v>
          </cell>
          <cell r="C51">
            <v>4</v>
          </cell>
          <cell r="D51">
            <v>38966</v>
          </cell>
          <cell r="E51">
            <v>38994</v>
          </cell>
          <cell r="F51">
            <v>38973</v>
          </cell>
          <cell r="G51">
            <v>2</v>
          </cell>
          <cell r="H51">
            <v>29.76</v>
          </cell>
          <cell r="I51" t="str">
            <v>Ship to 67-A</v>
          </cell>
          <cell r="J51" t="str">
            <v>Av. Copacabana, 3456</v>
          </cell>
          <cell r="K51" t="str">
            <v>Rio de Janeiro</v>
          </cell>
          <cell r="L51" t="str">
            <v>RJ</v>
          </cell>
          <cell r="M51">
            <v>10291</v>
          </cell>
          <cell r="N51" t="str">
            <v>Brazil</v>
          </cell>
        </row>
        <row r="52">
          <cell r="A52">
            <v>10300</v>
          </cell>
          <cell r="B52">
            <v>49</v>
          </cell>
          <cell r="C52">
            <v>2</v>
          </cell>
          <cell r="D52">
            <v>38969</v>
          </cell>
          <cell r="E52">
            <v>38997</v>
          </cell>
          <cell r="F52">
            <v>38978</v>
          </cell>
          <cell r="G52">
            <v>2</v>
          </cell>
          <cell r="H52">
            <v>17.68</v>
          </cell>
          <cell r="I52" t="str">
            <v>Ship to 49-A</v>
          </cell>
          <cell r="J52" t="str">
            <v>Via Ludovico il Moro 8901</v>
          </cell>
          <cell r="K52" t="str">
            <v>Bergamo</v>
          </cell>
          <cell r="M52">
            <v>10235</v>
          </cell>
          <cell r="N52" t="str">
            <v>Italy</v>
          </cell>
        </row>
        <row r="53">
          <cell r="A53">
            <v>10301</v>
          </cell>
          <cell r="B53">
            <v>86</v>
          </cell>
          <cell r="C53">
            <v>8</v>
          </cell>
          <cell r="D53">
            <v>38969</v>
          </cell>
          <cell r="E53">
            <v>38997</v>
          </cell>
          <cell r="F53">
            <v>38977</v>
          </cell>
          <cell r="G53">
            <v>2</v>
          </cell>
          <cell r="H53">
            <v>45.08</v>
          </cell>
          <cell r="I53" t="str">
            <v>Ship to 86-A</v>
          </cell>
          <cell r="J53" t="str">
            <v>Adenauerallee 8901</v>
          </cell>
          <cell r="K53" t="str">
            <v>Stuttgart</v>
          </cell>
          <cell r="M53">
            <v>10347</v>
          </cell>
          <cell r="N53" t="str">
            <v>Germany</v>
          </cell>
        </row>
        <row r="54">
          <cell r="A54">
            <v>10302</v>
          </cell>
          <cell r="B54">
            <v>76</v>
          </cell>
          <cell r="C54">
            <v>4</v>
          </cell>
          <cell r="D54">
            <v>38970</v>
          </cell>
          <cell r="E54">
            <v>38998</v>
          </cell>
          <cell r="F54">
            <v>38999</v>
          </cell>
          <cell r="G54">
            <v>2</v>
          </cell>
          <cell r="H54">
            <v>6.27</v>
          </cell>
          <cell r="I54" t="str">
            <v>Ship to 76-B</v>
          </cell>
          <cell r="J54" t="str">
            <v>Boulevard Tirou, 9012</v>
          </cell>
          <cell r="K54" t="str">
            <v>Charleroi</v>
          </cell>
          <cell r="M54">
            <v>10318</v>
          </cell>
          <cell r="N54" t="str">
            <v>Belgium</v>
          </cell>
        </row>
        <row r="55">
          <cell r="A55">
            <v>10303</v>
          </cell>
          <cell r="B55">
            <v>30</v>
          </cell>
          <cell r="C55">
            <v>7</v>
          </cell>
          <cell r="D55">
            <v>38971</v>
          </cell>
          <cell r="E55">
            <v>38999</v>
          </cell>
          <cell r="F55">
            <v>38978</v>
          </cell>
          <cell r="G55">
            <v>2</v>
          </cell>
          <cell r="H55">
            <v>107.83</v>
          </cell>
          <cell r="I55" t="str">
            <v>Destination IIYDD</v>
          </cell>
          <cell r="J55" t="str">
            <v>C/ Romero, 5678</v>
          </cell>
          <cell r="K55" t="str">
            <v>Sevilla</v>
          </cell>
          <cell r="M55">
            <v>10183</v>
          </cell>
          <cell r="N55" t="str">
            <v>Spain</v>
          </cell>
        </row>
        <row r="56">
          <cell r="A56">
            <v>10304</v>
          </cell>
          <cell r="B56">
            <v>80</v>
          </cell>
          <cell r="C56">
            <v>1</v>
          </cell>
          <cell r="D56">
            <v>38972</v>
          </cell>
          <cell r="E56">
            <v>39000</v>
          </cell>
          <cell r="F56">
            <v>38977</v>
          </cell>
          <cell r="G56">
            <v>2</v>
          </cell>
          <cell r="H56">
            <v>63.79</v>
          </cell>
          <cell r="I56" t="str">
            <v>Ship to 80-C</v>
          </cell>
          <cell r="J56" t="str">
            <v>Avda. Azteca 5678</v>
          </cell>
          <cell r="K56" t="str">
            <v>México D.F.</v>
          </cell>
          <cell r="M56">
            <v>10334</v>
          </cell>
          <cell r="N56" t="str">
            <v>Mexico</v>
          </cell>
        </row>
        <row r="57">
          <cell r="A57">
            <v>10305</v>
          </cell>
          <cell r="B57">
            <v>55</v>
          </cell>
          <cell r="C57">
            <v>8</v>
          </cell>
          <cell r="D57">
            <v>38973</v>
          </cell>
          <cell r="E57">
            <v>39001</v>
          </cell>
          <cell r="F57">
            <v>38999</v>
          </cell>
          <cell r="G57">
            <v>3</v>
          </cell>
          <cell r="H57">
            <v>257.62</v>
          </cell>
          <cell r="I57" t="str">
            <v>Ship to 55-B</v>
          </cell>
          <cell r="J57" t="str">
            <v>8901 Bering St.</v>
          </cell>
          <cell r="K57" t="str">
            <v>Anchorage</v>
          </cell>
          <cell r="L57" t="str">
            <v>AK</v>
          </cell>
          <cell r="M57">
            <v>10256</v>
          </cell>
          <cell r="N57" t="str">
            <v>USA</v>
          </cell>
        </row>
        <row r="58">
          <cell r="A58">
            <v>10306</v>
          </cell>
          <cell r="B58">
            <v>69</v>
          </cell>
          <cell r="C58">
            <v>1</v>
          </cell>
          <cell r="D58">
            <v>38976</v>
          </cell>
          <cell r="E58">
            <v>39004</v>
          </cell>
          <cell r="F58">
            <v>38983</v>
          </cell>
          <cell r="G58">
            <v>3</v>
          </cell>
          <cell r="H58">
            <v>7.56</v>
          </cell>
          <cell r="I58" t="str">
            <v>Ship to 69-B</v>
          </cell>
          <cell r="J58" t="str">
            <v>Gran Vía, 0123</v>
          </cell>
          <cell r="K58" t="str">
            <v>Madrid</v>
          </cell>
          <cell r="M58">
            <v>10298</v>
          </cell>
          <cell r="N58" t="str">
            <v>Spain</v>
          </cell>
        </row>
        <row r="59">
          <cell r="A59">
            <v>10307</v>
          </cell>
          <cell r="B59">
            <v>48</v>
          </cell>
          <cell r="C59">
            <v>2</v>
          </cell>
          <cell r="D59">
            <v>38977</v>
          </cell>
          <cell r="E59">
            <v>39005</v>
          </cell>
          <cell r="F59">
            <v>38985</v>
          </cell>
          <cell r="G59">
            <v>2</v>
          </cell>
          <cell r="H59">
            <v>0.56000000000000005</v>
          </cell>
          <cell r="I59" t="str">
            <v>Ship to 48-B</v>
          </cell>
          <cell r="J59" t="str">
            <v>6789 Chiaroscuro Rd.</v>
          </cell>
          <cell r="K59" t="str">
            <v>Portland</v>
          </cell>
          <cell r="L59" t="str">
            <v>OR</v>
          </cell>
          <cell r="M59">
            <v>10233</v>
          </cell>
          <cell r="N59" t="str">
            <v>USA</v>
          </cell>
        </row>
        <row r="60">
          <cell r="A60">
            <v>10308</v>
          </cell>
          <cell r="B60">
            <v>2</v>
          </cell>
          <cell r="C60">
            <v>7</v>
          </cell>
          <cell r="D60">
            <v>38978</v>
          </cell>
          <cell r="E60">
            <v>39006</v>
          </cell>
          <cell r="F60">
            <v>38984</v>
          </cell>
          <cell r="G60">
            <v>3</v>
          </cell>
          <cell r="H60">
            <v>1.61</v>
          </cell>
          <cell r="I60" t="str">
            <v>Destination QMVCI</v>
          </cell>
          <cell r="J60" t="str">
            <v>Avda. de la Constitución 2345</v>
          </cell>
          <cell r="K60" t="str">
            <v>México D.F.</v>
          </cell>
          <cell r="M60">
            <v>10180</v>
          </cell>
          <cell r="N60" t="str">
            <v>Mexico</v>
          </cell>
        </row>
        <row r="61">
          <cell r="A61">
            <v>10309</v>
          </cell>
          <cell r="B61">
            <v>37</v>
          </cell>
          <cell r="C61">
            <v>3</v>
          </cell>
          <cell r="D61">
            <v>38979</v>
          </cell>
          <cell r="E61">
            <v>39007</v>
          </cell>
          <cell r="F61">
            <v>39013</v>
          </cell>
          <cell r="G61">
            <v>1</v>
          </cell>
          <cell r="H61">
            <v>47.3</v>
          </cell>
          <cell r="I61" t="str">
            <v>Destination ATSOA</v>
          </cell>
          <cell r="J61" t="str">
            <v>4567 Johnstown Road</v>
          </cell>
          <cell r="K61" t="str">
            <v>Cork</v>
          </cell>
          <cell r="L61" t="str">
            <v>Co. Cork</v>
          </cell>
          <cell r="M61">
            <v>10202</v>
          </cell>
          <cell r="N61" t="str">
            <v>Ireland</v>
          </cell>
        </row>
        <row r="62">
          <cell r="A62">
            <v>10310</v>
          </cell>
          <cell r="B62">
            <v>77</v>
          </cell>
          <cell r="C62">
            <v>8</v>
          </cell>
          <cell r="D62">
            <v>38980</v>
          </cell>
          <cell r="E62">
            <v>39008</v>
          </cell>
          <cell r="F62">
            <v>38987</v>
          </cell>
          <cell r="G62">
            <v>2</v>
          </cell>
          <cell r="H62">
            <v>17.52</v>
          </cell>
          <cell r="I62" t="str">
            <v>Ship to 77-B</v>
          </cell>
          <cell r="J62" t="str">
            <v>2345 Jefferson Way Suite 2</v>
          </cell>
          <cell r="K62" t="str">
            <v>Portland</v>
          </cell>
          <cell r="L62" t="str">
            <v>OR</v>
          </cell>
          <cell r="M62">
            <v>10321</v>
          </cell>
          <cell r="N62" t="str">
            <v>USA</v>
          </cell>
        </row>
        <row r="63">
          <cell r="A63">
            <v>10311</v>
          </cell>
          <cell r="B63">
            <v>18</v>
          </cell>
          <cell r="C63">
            <v>1</v>
          </cell>
          <cell r="D63">
            <v>38980</v>
          </cell>
          <cell r="E63">
            <v>38994</v>
          </cell>
          <cell r="F63">
            <v>38986</v>
          </cell>
          <cell r="G63">
            <v>3</v>
          </cell>
          <cell r="H63">
            <v>24.69</v>
          </cell>
          <cell r="I63" t="str">
            <v>Destination SNPXM</v>
          </cell>
          <cell r="J63" t="str">
            <v>0123, rue des Cinquante Otages</v>
          </cell>
          <cell r="K63" t="str">
            <v>Nantes</v>
          </cell>
          <cell r="M63">
            <v>10148</v>
          </cell>
          <cell r="N63" t="str">
            <v>France</v>
          </cell>
        </row>
        <row r="64">
          <cell r="A64">
            <v>10312</v>
          </cell>
          <cell r="B64">
            <v>86</v>
          </cell>
          <cell r="C64">
            <v>2</v>
          </cell>
          <cell r="D64">
            <v>38983</v>
          </cell>
          <cell r="E64">
            <v>39011</v>
          </cell>
          <cell r="F64">
            <v>38993</v>
          </cell>
          <cell r="G64">
            <v>2</v>
          </cell>
          <cell r="H64">
            <v>40.26</v>
          </cell>
          <cell r="I64" t="str">
            <v>Ship to 86-B</v>
          </cell>
          <cell r="J64" t="str">
            <v>Adenauerallee 9012</v>
          </cell>
          <cell r="K64" t="str">
            <v>Stuttgart</v>
          </cell>
          <cell r="M64">
            <v>10348</v>
          </cell>
          <cell r="N64" t="str">
            <v>Germany</v>
          </cell>
        </row>
        <row r="65">
          <cell r="A65">
            <v>10313</v>
          </cell>
          <cell r="B65">
            <v>63</v>
          </cell>
          <cell r="C65">
            <v>2</v>
          </cell>
          <cell r="D65">
            <v>38984</v>
          </cell>
          <cell r="E65">
            <v>39012</v>
          </cell>
          <cell r="F65">
            <v>38994</v>
          </cell>
          <cell r="G65">
            <v>2</v>
          </cell>
          <cell r="H65">
            <v>1.96</v>
          </cell>
          <cell r="I65" t="str">
            <v>Ship to 63-A</v>
          </cell>
          <cell r="J65" t="str">
            <v>Taucherstraße 1234</v>
          </cell>
          <cell r="K65" t="str">
            <v>Cunewalde</v>
          </cell>
          <cell r="M65">
            <v>10279</v>
          </cell>
          <cell r="N65" t="str">
            <v>Germany</v>
          </cell>
        </row>
        <row r="66">
          <cell r="A66">
            <v>10314</v>
          </cell>
          <cell r="B66">
            <v>65</v>
          </cell>
          <cell r="C66">
            <v>1</v>
          </cell>
          <cell r="D66">
            <v>38985</v>
          </cell>
          <cell r="E66">
            <v>39013</v>
          </cell>
          <cell r="F66">
            <v>38994</v>
          </cell>
          <cell r="G66">
            <v>2</v>
          </cell>
          <cell r="H66">
            <v>74.16</v>
          </cell>
          <cell r="I66" t="str">
            <v>Ship to 65-A</v>
          </cell>
          <cell r="J66" t="str">
            <v>7890 Milton Dr.</v>
          </cell>
          <cell r="K66" t="str">
            <v>Albuquerque</v>
          </cell>
          <cell r="L66" t="str">
            <v>NM</v>
          </cell>
          <cell r="M66">
            <v>10285</v>
          </cell>
          <cell r="N66" t="str">
            <v>USA</v>
          </cell>
        </row>
        <row r="67">
          <cell r="A67">
            <v>10315</v>
          </cell>
          <cell r="B67">
            <v>38</v>
          </cell>
          <cell r="C67">
            <v>4</v>
          </cell>
          <cell r="D67">
            <v>38986</v>
          </cell>
          <cell r="E67">
            <v>39014</v>
          </cell>
          <cell r="F67">
            <v>38993</v>
          </cell>
          <cell r="G67">
            <v>2</v>
          </cell>
          <cell r="H67">
            <v>41.76</v>
          </cell>
          <cell r="I67" t="str">
            <v>Destination AXVHD</v>
          </cell>
          <cell r="J67" t="str">
            <v>Garden House Crowther Way 9012</v>
          </cell>
          <cell r="K67" t="str">
            <v>Cowes</v>
          </cell>
          <cell r="L67" t="str">
            <v>Isle of Wight</v>
          </cell>
          <cell r="M67">
            <v>10207</v>
          </cell>
          <cell r="N67" t="str">
            <v>UK</v>
          </cell>
        </row>
        <row r="68">
          <cell r="A68">
            <v>10316</v>
          </cell>
          <cell r="B68">
            <v>65</v>
          </cell>
          <cell r="C68">
            <v>1</v>
          </cell>
          <cell r="D68">
            <v>38987</v>
          </cell>
          <cell r="E68">
            <v>39015</v>
          </cell>
          <cell r="F68">
            <v>38998</v>
          </cell>
          <cell r="G68">
            <v>3</v>
          </cell>
          <cell r="H68">
            <v>150.15</v>
          </cell>
          <cell r="I68" t="str">
            <v>Ship to 65-B</v>
          </cell>
          <cell r="J68" t="str">
            <v>8901 Milton Dr.</v>
          </cell>
          <cell r="K68" t="str">
            <v>Albuquerque</v>
          </cell>
          <cell r="L68" t="str">
            <v>NM</v>
          </cell>
          <cell r="M68">
            <v>10286</v>
          </cell>
          <cell r="N68" t="str">
            <v>USA</v>
          </cell>
        </row>
        <row r="69">
          <cell r="A69">
            <v>10317</v>
          </cell>
          <cell r="B69">
            <v>48</v>
          </cell>
          <cell r="C69">
            <v>6</v>
          </cell>
          <cell r="D69">
            <v>38990</v>
          </cell>
          <cell r="E69">
            <v>39018</v>
          </cell>
          <cell r="F69">
            <v>39000</v>
          </cell>
          <cell r="G69">
            <v>1</v>
          </cell>
          <cell r="H69">
            <v>12.69</v>
          </cell>
          <cell r="I69" t="str">
            <v>Ship to 48-B</v>
          </cell>
          <cell r="J69" t="str">
            <v>6789 Chiaroscuro Rd.</v>
          </cell>
          <cell r="K69" t="str">
            <v>Portland</v>
          </cell>
          <cell r="L69" t="str">
            <v>OR</v>
          </cell>
          <cell r="M69">
            <v>10233</v>
          </cell>
          <cell r="N69" t="str">
            <v>USA</v>
          </cell>
        </row>
        <row r="70">
          <cell r="A70">
            <v>10318</v>
          </cell>
          <cell r="B70">
            <v>38</v>
          </cell>
          <cell r="C70">
            <v>8</v>
          </cell>
          <cell r="D70">
            <v>38991</v>
          </cell>
          <cell r="E70">
            <v>39019</v>
          </cell>
          <cell r="F70">
            <v>38994</v>
          </cell>
          <cell r="G70">
            <v>2</v>
          </cell>
          <cell r="H70">
            <v>4.7300000000000004</v>
          </cell>
          <cell r="I70" t="str">
            <v>Destination AXVHD</v>
          </cell>
          <cell r="J70" t="str">
            <v>Garden House Crowther Way 9012</v>
          </cell>
          <cell r="K70" t="str">
            <v>Cowes</v>
          </cell>
          <cell r="L70" t="str">
            <v>Isle of Wight</v>
          </cell>
          <cell r="M70">
            <v>10207</v>
          </cell>
          <cell r="N70" t="str">
            <v>UK</v>
          </cell>
        </row>
        <row r="71">
          <cell r="A71">
            <v>10319</v>
          </cell>
          <cell r="B71">
            <v>80</v>
          </cell>
          <cell r="C71">
            <v>7</v>
          </cell>
          <cell r="D71">
            <v>38992</v>
          </cell>
          <cell r="E71">
            <v>39020</v>
          </cell>
          <cell r="F71">
            <v>39001</v>
          </cell>
          <cell r="G71">
            <v>3</v>
          </cell>
          <cell r="H71">
            <v>64.5</v>
          </cell>
          <cell r="I71" t="str">
            <v>Ship to 80-B</v>
          </cell>
          <cell r="J71" t="str">
            <v>Avda. Azteca 4567</v>
          </cell>
          <cell r="K71" t="str">
            <v>México D.F.</v>
          </cell>
          <cell r="M71">
            <v>10333</v>
          </cell>
          <cell r="N71" t="str">
            <v>Mexico</v>
          </cell>
        </row>
        <row r="72">
          <cell r="A72">
            <v>10320</v>
          </cell>
          <cell r="B72">
            <v>87</v>
          </cell>
          <cell r="C72">
            <v>5</v>
          </cell>
          <cell r="D72">
            <v>38993</v>
          </cell>
          <cell r="E72">
            <v>39007</v>
          </cell>
          <cell r="F72">
            <v>39008</v>
          </cell>
          <cell r="G72">
            <v>3</v>
          </cell>
          <cell r="H72">
            <v>34.57</v>
          </cell>
          <cell r="I72" t="str">
            <v>Ship to 87-A</v>
          </cell>
          <cell r="J72" t="str">
            <v>Torikatu 1234</v>
          </cell>
          <cell r="K72" t="str">
            <v>Oulu</v>
          </cell>
          <cell r="M72">
            <v>10350</v>
          </cell>
          <cell r="N72" t="str">
            <v>Finland</v>
          </cell>
        </row>
        <row r="73">
          <cell r="A73">
            <v>10321</v>
          </cell>
          <cell r="B73">
            <v>38</v>
          </cell>
          <cell r="C73">
            <v>3</v>
          </cell>
          <cell r="D73">
            <v>38993</v>
          </cell>
          <cell r="E73">
            <v>39021</v>
          </cell>
          <cell r="F73">
            <v>39001</v>
          </cell>
          <cell r="G73">
            <v>2</v>
          </cell>
          <cell r="H73">
            <v>3.43</v>
          </cell>
          <cell r="I73" t="str">
            <v>Destination LMVGS</v>
          </cell>
          <cell r="J73" t="str">
            <v>Garden House Crowther Way 8901</v>
          </cell>
          <cell r="K73" t="str">
            <v>Cowes</v>
          </cell>
          <cell r="L73" t="str">
            <v>Isle of Wight</v>
          </cell>
          <cell r="M73">
            <v>10206</v>
          </cell>
          <cell r="N73" t="str">
            <v>UK</v>
          </cell>
        </row>
        <row r="74">
          <cell r="A74">
            <v>10322</v>
          </cell>
          <cell r="B74">
            <v>58</v>
          </cell>
          <cell r="C74">
            <v>7</v>
          </cell>
          <cell r="D74">
            <v>38994</v>
          </cell>
          <cell r="E74">
            <v>39022</v>
          </cell>
          <cell r="F74">
            <v>39013</v>
          </cell>
          <cell r="G74">
            <v>3</v>
          </cell>
          <cell r="H74">
            <v>0.4</v>
          </cell>
          <cell r="I74" t="str">
            <v>Ship to 58-A</v>
          </cell>
          <cell r="J74" t="str">
            <v>Calle Dr. Jorge Cash 3456</v>
          </cell>
          <cell r="K74" t="str">
            <v>México D.F.</v>
          </cell>
          <cell r="M74">
            <v>10261</v>
          </cell>
          <cell r="N74" t="str">
            <v>Mexico</v>
          </cell>
        </row>
        <row r="75">
          <cell r="A75">
            <v>10323</v>
          </cell>
          <cell r="B75">
            <v>39</v>
          </cell>
          <cell r="C75">
            <v>4</v>
          </cell>
          <cell r="D75">
            <v>38997</v>
          </cell>
          <cell r="E75">
            <v>39025</v>
          </cell>
          <cell r="F75">
            <v>39004</v>
          </cell>
          <cell r="G75">
            <v>1</v>
          </cell>
          <cell r="H75">
            <v>4.88</v>
          </cell>
          <cell r="I75" t="str">
            <v>Destination RMBHM</v>
          </cell>
          <cell r="J75" t="str">
            <v>Maubelstr. 1234</v>
          </cell>
          <cell r="K75" t="str">
            <v>Brandenburg</v>
          </cell>
          <cell r="M75">
            <v>10209</v>
          </cell>
          <cell r="N75" t="str">
            <v>Germany</v>
          </cell>
        </row>
        <row r="76">
          <cell r="A76">
            <v>10324</v>
          </cell>
          <cell r="B76">
            <v>71</v>
          </cell>
          <cell r="C76">
            <v>9</v>
          </cell>
          <cell r="D76">
            <v>38998</v>
          </cell>
          <cell r="E76">
            <v>39026</v>
          </cell>
          <cell r="F76">
            <v>39000</v>
          </cell>
          <cell r="G76">
            <v>1</v>
          </cell>
          <cell r="H76">
            <v>214.27</v>
          </cell>
          <cell r="I76" t="str">
            <v>Ship to 71-C</v>
          </cell>
          <cell r="J76" t="str">
            <v>9012 Suffolk Ln.</v>
          </cell>
          <cell r="K76" t="str">
            <v>Boise</v>
          </cell>
          <cell r="L76" t="str">
            <v>ID</v>
          </cell>
          <cell r="M76">
            <v>10307</v>
          </cell>
          <cell r="N76" t="str">
            <v>USA</v>
          </cell>
        </row>
        <row r="77">
          <cell r="A77">
            <v>10325</v>
          </cell>
          <cell r="B77">
            <v>39</v>
          </cell>
          <cell r="C77">
            <v>1</v>
          </cell>
          <cell r="D77">
            <v>38999</v>
          </cell>
          <cell r="E77">
            <v>39013</v>
          </cell>
          <cell r="F77">
            <v>39004</v>
          </cell>
          <cell r="G77">
            <v>3</v>
          </cell>
          <cell r="H77">
            <v>64.86</v>
          </cell>
          <cell r="I77" t="str">
            <v>Destination RMBHM</v>
          </cell>
          <cell r="J77" t="str">
            <v>Maubelstr. 1234</v>
          </cell>
          <cell r="K77" t="str">
            <v>Brandenburg</v>
          </cell>
          <cell r="M77">
            <v>10209</v>
          </cell>
          <cell r="N77" t="str">
            <v>Germany</v>
          </cell>
        </row>
        <row r="78">
          <cell r="A78">
            <v>10326</v>
          </cell>
          <cell r="B78">
            <v>8</v>
          </cell>
          <cell r="C78">
            <v>4</v>
          </cell>
          <cell r="D78">
            <v>39000</v>
          </cell>
          <cell r="E78">
            <v>39028</v>
          </cell>
          <cell r="F78">
            <v>39004</v>
          </cell>
          <cell r="G78">
            <v>2</v>
          </cell>
          <cell r="H78">
            <v>77.92</v>
          </cell>
          <cell r="I78" t="str">
            <v>Ship to 8-A</v>
          </cell>
          <cell r="J78" t="str">
            <v>C/ Araquil, 0123</v>
          </cell>
          <cell r="K78" t="str">
            <v>Madrid</v>
          </cell>
          <cell r="M78">
            <v>10359</v>
          </cell>
          <cell r="N78" t="str">
            <v>Spain</v>
          </cell>
        </row>
        <row r="79">
          <cell r="A79">
            <v>10327</v>
          </cell>
          <cell r="B79">
            <v>24</v>
          </cell>
          <cell r="C79">
            <v>2</v>
          </cell>
          <cell r="D79">
            <v>39001</v>
          </cell>
          <cell r="E79">
            <v>39029</v>
          </cell>
          <cell r="F79">
            <v>39004</v>
          </cell>
          <cell r="G79">
            <v>1</v>
          </cell>
          <cell r="H79">
            <v>63.36</v>
          </cell>
          <cell r="I79" t="str">
            <v>Destination NCKKO</v>
          </cell>
          <cell r="J79" t="str">
            <v>Åkergatan 7890</v>
          </cell>
          <cell r="K79" t="str">
            <v>Bräcke</v>
          </cell>
          <cell r="M79">
            <v>10165</v>
          </cell>
          <cell r="N79" t="str">
            <v>Sweden</v>
          </cell>
        </row>
        <row r="80">
          <cell r="A80">
            <v>10328</v>
          </cell>
          <cell r="B80">
            <v>28</v>
          </cell>
          <cell r="C80">
            <v>4</v>
          </cell>
          <cell r="D80">
            <v>39004</v>
          </cell>
          <cell r="E80">
            <v>39032</v>
          </cell>
          <cell r="F80">
            <v>39007</v>
          </cell>
          <cell r="G80">
            <v>3</v>
          </cell>
          <cell r="H80">
            <v>87.03</v>
          </cell>
          <cell r="I80" t="str">
            <v>Destination CIRQO</v>
          </cell>
          <cell r="J80" t="str">
            <v>Jardim das rosas n. 8901</v>
          </cell>
          <cell r="K80" t="str">
            <v>Lisboa</v>
          </cell>
          <cell r="M80">
            <v>10176</v>
          </cell>
          <cell r="N80" t="str">
            <v>Portugal</v>
          </cell>
        </row>
        <row r="81">
          <cell r="A81">
            <v>10329</v>
          </cell>
          <cell r="B81">
            <v>75</v>
          </cell>
          <cell r="C81">
            <v>4</v>
          </cell>
          <cell r="D81">
            <v>39005</v>
          </cell>
          <cell r="E81">
            <v>39047</v>
          </cell>
          <cell r="F81">
            <v>39013</v>
          </cell>
          <cell r="G81">
            <v>2</v>
          </cell>
          <cell r="H81">
            <v>191.67</v>
          </cell>
          <cell r="I81" t="str">
            <v>Ship to 75-C</v>
          </cell>
          <cell r="J81" t="str">
            <v>P.O. Box 7890</v>
          </cell>
          <cell r="K81" t="str">
            <v>Lander</v>
          </cell>
          <cell r="L81" t="str">
            <v>WY</v>
          </cell>
          <cell r="M81">
            <v>10316</v>
          </cell>
          <cell r="N81" t="str">
            <v>USA</v>
          </cell>
        </row>
        <row r="82">
          <cell r="A82">
            <v>10330</v>
          </cell>
          <cell r="B82">
            <v>46</v>
          </cell>
          <cell r="C82">
            <v>3</v>
          </cell>
          <cell r="D82">
            <v>39006</v>
          </cell>
          <cell r="E82">
            <v>39034</v>
          </cell>
          <cell r="F82">
            <v>39018</v>
          </cell>
          <cell r="G82">
            <v>1</v>
          </cell>
          <cell r="H82">
            <v>12.75</v>
          </cell>
          <cell r="I82" t="str">
            <v>Ship to 46-A</v>
          </cell>
          <cell r="J82" t="str">
            <v>Carrera 0123 con Ave. Bolívar #65-98 Llano Largo</v>
          </cell>
          <cell r="K82" t="str">
            <v>Barquisimeto</v>
          </cell>
          <cell r="L82" t="str">
            <v>Lara</v>
          </cell>
          <cell r="M82">
            <v>10227</v>
          </cell>
          <cell r="N82" t="str">
            <v>Venezuela</v>
          </cell>
        </row>
        <row r="83">
          <cell r="A83">
            <v>10331</v>
          </cell>
          <cell r="B83">
            <v>9</v>
          </cell>
          <cell r="C83">
            <v>9</v>
          </cell>
          <cell r="D83">
            <v>39006</v>
          </cell>
          <cell r="E83">
            <v>39048</v>
          </cell>
          <cell r="F83">
            <v>39011</v>
          </cell>
          <cell r="G83">
            <v>1</v>
          </cell>
          <cell r="H83">
            <v>10.19</v>
          </cell>
          <cell r="I83" t="str">
            <v>Ship to 9-C</v>
          </cell>
          <cell r="J83" t="str">
            <v>0123, rue des Bouchers</v>
          </cell>
          <cell r="K83" t="str">
            <v>Marseille</v>
          </cell>
          <cell r="M83">
            <v>10369</v>
          </cell>
          <cell r="N83" t="str">
            <v>France</v>
          </cell>
        </row>
        <row r="84">
          <cell r="A84">
            <v>10332</v>
          </cell>
          <cell r="B84">
            <v>51</v>
          </cell>
          <cell r="C84">
            <v>3</v>
          </cell>
          <cell r="D84">
            <v>39007</v>
          </cell>
          <cell r="E84">
            <v>39049</v>
          </cell>
          <cell r="F84">
            <v>39011</v>
          </cell>
          <cell r="G84">
            <v>2</v>
          </cell>
          <cell r="H84">
            <v>52.84</v>
          </cell>
          <cell r="I84" t="str">
            <v>Ship to 51-B</v>
          </cell>
          <cell r="J84" t="str">
            <v>7890 rue St. Laurent</v>
          </cell>
          <cell r="K84" t="str">
            <v>Montréal</v>
          </cell>
          <cell r="L84" t="str">
            <v>Québec</v>
          </cell>
          <cell r="M84">
            <v>10245</v>
          </cell>
          <cell r="N84" t="str">
            <v>Canada</v>
          </cell>
        </row>
        <row r="85">
          <cell r="A85">
            <v>10333</v>
          </cell>
          <cell r="B85">
            <v>87</v>
          </cell>
          <cell r="C85">
            <v>5</v>
          </cell>
          <cell r="D85">
            <v>39008</v>
          </cell>
          <cell r="E85">
            <v>39036</v>
          </cell>
          <cell r="F85">
            <v>39015</v>
          </cell>
          <cell r="G85">
            <v>3</v>
          </cell>
          <cell r="H85">
            <v>0.59</v>
          </cell>
          <cell r="I85" t="str">
            <v>Ship to 87-C</v>
          </cell>
          <cell r="J85" t="str">
            <v>Torikatu 3456</v>
          </cell>
          <cell r="K85" t="str">
            <v>Oulu</v>
          </cell>
          <cell r="M85">
            <v>10352</v>
          </cell>
          <cell r="N85" t="str">
            <v>Finland</v>
          </cell>
        </row>
        <row r="86">
          <cell r="A86">
            <v>10334</v>
          </cell>
          <cell r="B86">
            <v>84</v>
          </cell>
          <cell r="C86">
            <v>8</v>
          </cell>
          <cell r="D86">
            <v>39011</v>
          </cell>
          <cell r="E86">
            <v>39039</v>
          </cell>
          <cell r="F86">
            <v>39018</v>
          </cell>
          <cell r="G86">
            <v>2</v>
          </cell>
          <cell r="H86">
            <v>8.56</v>
          </cell>
          <cell r="I86" t="str">
            <v>Ship to 84-B</v>
          </cell>
          <cell r="J86" t="str">
            <v>4567, rue du Commerce</v>
          </cell>
          <cell r="K86" t="str">
            <v>Lyon</v>
          </cell>
          <cell r="M86">
            <v>10343</v>
          </cell>
          <cell r="N86" t="str">
            <v>France</v>
          </cell>
        </row>
        <row r="87">
          <cell r="A87">
            <v>10335</v>
          </cell>
          <cell r="B87">
            <v>37</v>
          </cell>
          <cell r="C87">
            <v>7</v>
          </cell>
          <cell r="D87">
            <v>39012</v>
          </cell>
          <cell r="E87">
            <v>39040</v>
          </cell>
          <cell r="F87">
            <v>39014</v>
          </cell>
          <cell r="G87">
            <v>2</v>
          </cell>
          <cell r="H87">
            <v>42.11</v>
          </cell>
          <cell r="I87" t="str">
            <v>Destination ATSOA</v>
          </cell>
          <cell r="J87" t="str">
            <v>4567 Johnstown Road</v>
          </cell>
          <cell r="K87" t="str">
            <v>Cork</v>
          </cell>
          <cell r="L87" t="str">
            <v>Co. Cork</v>
          </cell>
          <cell r="M87">
            <v>10202</v>
          </cell>
          <cell r="N87" t="str">
            <v>Ireland</v>
          </cell>
        </row>
        <row r="88">
          <cell r="A88">
            <v>10336</v>
          </cell>
          <cell r="B88">
            <v>60</v>
          </cell>
          <cell r="C88">
            <v>7</v>
          </cell>
          <cell r="D88">
            <v>39013</v>
          </cell>
          <cell r="E88">
            <v>39041</v>
          </cell>
          <cell r="F88">
            <v>39015</v>
          </cell>
          <cell r="G88">
            <v>2</v>
          </cell>
          <cell r="H88">
            <v>15.51</v>
          </cell>
          <cell r="I88" t="str">
            <v>Ship to 60-B</v>
          </cell>
          <cell r="J88" t="str">
            <v>Estrada da saúde n. 3456</v>
          </cell>
          <cell r="K88" t="str">
            <v>Lisboa</v>
          </cell>
          <cell r="M88">
            <v>10271</v>
          </cell>
          <cell r="N88" t="str">
            <v>Portugal</v>
          </cell>
        </row>
        <row r="89">
          <cell r="A89">
            <v>10337</v>
          </cell>
          <cell r="B89">
            <v>25</v>
          </cell>
          <cell r="C89">
            <v>4</v>
          </cell>
          <cell r="D89">
            <v>39014</v>
          </cell>
          <cell r="E89">
            <v>39042</v>
          </cell>
          <cell r="F89">
            <v>39019</v>
          </cell>
          <cell r="G89">
            <v>3</v>
          </cell>
          <cell r="H89">
            <v>108.26</v>
          </cell>
          <cell r="I89" t="str">
            <v>Destination QOCBL</v>
          </cell>
          <cell r="J89" t="str">
            <v>Berliner Platz 1234</v>
          </cell>
          <cell r="K89" t="str">
            <v>München</v>
          </cell>
          <cell r="M89">
            <v>10169</v>
          </cell>
          <cell r="N89" t="str">
            <v>Germany</v>
          </cell>
        </row>
        <row r="90">
          <cell r="A90">
            <v>10338</v>
          </cell>
          <cell r="B90">
            <v>55</v>
          </cell>
          <cell r="C90">
            <v>4</v>
          </cell>
          <cell r="D90">
            <v>39015</v>
          </cell>
          <cell r="E90">
            <v>39043</v>
          </cell>
          <cell r="F90">
            <v>39019</v>
          </cell>
          <cell r="G90">
            <v>3</v>
          </cell>
          <cell r="H90">
            <v>84.21</v>
          </cell>
          <cell r="I90" t="str">
            <v>Ship to 55-C</v>
          </cell>
          <cell r="J90" t="str">
            <v>9012 Bering St.</v>
          </cell>
          <cell r="K90" t="str">
            <v>Anchorage</v>
          </cell>
          <cell r="L90" t="str">
            <v>AK</v>
          </cell>
          <cell r="M90">
            <v>10257</v>
          </cell>
          <cell r="N90" t="str">
            <v>USA</v>
          </cell>
        </row>
        <row r="91">
          <cell r="A91">
            <v>10339</v>
          </cell>
          <cell r="B91">
            <v>51</v>
          </cell>
          <cell r="C91">
            <v>2</v>
          </cell>
          <cell r="D91">
            <v>39018</v>
          </cell>
          <cell r="E91">
            <v>39046</v>
          </cell>
          <cell r="F91">
            <v>39025</v>
          </cell>
          <cell r="G91">
            <v>2</v>
          </cell>
          <cell r="H91">
            <v>15.66</v>
          </cell>
          <cell r="I91" t="str">
            <v>Ship to 51-C</v>
          </cell>
          <cell r="J91" t="str">
            <v>8901 rue St. Laurent</v>
          </cell>
          <cell r="K91" t="str">
            <v>Montréal</v>
          </cell>
          <cell r="L91" t="str">
            <v>Québec</v>
          </cell>
          <cell r="M91">
            <v>10246</v>
          </cell>
          <cell r="N91" t="str">
            <v>Canada</v>
          </cell>
        </row>
        <row r="92">
          <cell r="A92">
            <v>10340</v>
          </cell>
          <cell r="B92">
            <v>9</v>
          </cell>
          <cell r="C92">
            <v>1</v>
          </cell>
          <cell r="D92">
            <v>39019</v>
          </cell>
          <cell r="E92">
            <v>39047</v>
          </cell>
          <cell r="F92">
            <v>39029</v>
          </cell>
          <cell r="G92">
            <v>3</v>
          </cell>
          <cell r="H92">
            <v>166.31</v>
          </cell>
          <cell r="I92" t="str">
            <v>Ship to 9-A</v>
          </cell>
          <cell r="J92" t="str">
            <v>8901, rue des Bouchers</v>
          </cell>
          <cell r="K92" t="str">
            <v>Marseille</v>
          </cell>
          <cell r="M92">
            <v>10367</v>
          </cell>
          <cell r="N92" t="str">
            <v>France</v>
          </cell>
        </row>
        <row r="93">
          <cell r="A93">
            <v>10341</v>
          </cell>
          <cell r="B93">
            <v>73</v>
          </cell>
          <cell r="C93">
            <v>7</v>
          </cell>
          <cell r="D93">
            <v>39019</v>
          </cell>
          <cell r="E93">
            <v>39047</v>
          </cell>
          <cell r="F93">
            <v>39026</v>
          </cell>
          <cell r="G93">
            <v>3</v>
          </cell>
          <cell r="H93">
            <v>26.78</v>
          </cell>
          <cell r="I93" t="str">
            <v>Ship to 73-A</v>
          </cell>
          <cell r="J93" t="str">
            <v>Vinbæltet 1234</v>
          </cell>
          <cell r="K93" t="str">
            <v>Kobenhavn</v>
          </cell>
          <cell r="M93">
            <v>10310</v>
          </cell>
          <cell r="N93" t="str">
            <v>Denmark</v>
          </cell>
        </row>
        <row r="94">
          <cell r="A94">
            <v>10342</v>
          </cell>
          <cell r="B94">
            <v>25</v>
          </cell>
          <cell r="C94">
            <v>4</v>
          </cell>
          <cell r="D94">
            <v>39020</v>
          </cell>
          <cell r="E94">
            <v>39034</v>
          </cell>
          <cell r="F94">
            <v>39025</v>
          </cell>
          <cell r="G94">
            <v>2</v>
          </cell>
          <cell r="H94">
            <v>54.83</v>
          </cell>
          <cell r="I94" t="str">
            <v>Destination VAPXU</v>
          </cell>
          <cell r="J94" t="str">
            <v>Berliner Platz 0123</v>
          </cell>
          <cell r="K94" t="str">
            <v>München</v>
          </cell>
          <cell r="M94">
            <v>10168</v>
          </cell>
          <cell r="N94" t="str">
            <v>Germany</v>
          </cell>
        </row>
        <row r="95">
          <cell r="A95">
            <v>10343</v>
          </cell>
          <cell r="B95">
            <v>44</v>
          </cell>
          <cell r="C95">
            <v>4</v>
          </cell>
          <cell r="D95">
            <v>39021</v>
          </cell>
          <cell r="E95">
            <v>39049</v>
          </cell>
          <cell r="F95">
            <v>39027</v>
          </cell>
          <cell r="G95">
            <v>1</v>
          </cell>
          <cell r="H95">
            <v>110.37</v>
          </cell>
          <cell r="I95" t="str">
            <v>Ship to 44-A</v>
          </cell>
          <cell r="J95" t="str">
            <v>Magazinweg 4567</v>
          </cell>
          <cell r="K95" t="str">
            <v>Frankfurt a.M.</v>
          </cell>
          <cell r="M95">
            <v>10222</v>
          </cell>
          <cell r="N95" t="str">
            <v>Germany</v>
          </cell>
        </row>
        <row r="96">
          <cell r="A96">
            <v>10344</v>
          </cell>
          <cell r="B96">
            <v>89</v>
          </cell>
          <cell r="C96">
            <v>4</v>
          </cell>
          <cell r="D96">
            <v>39022</v>
          </cell>
          <cell r="E96">
            <v>39050</v>
          </cell>
          <cell r="F96">
            <v>39026</v>
          </cell>
          <cell r="G96">
            <v>2</v>
          </cell>
          <cell r="H96">
            <v>23.29</v>
          </cell>
          <cell r="I96" t="str">
            <v>Ship to 89-A</v>
          </cell>
          <cell r="J96" t="str">
            <v>7890 - 12th Ave. S.</v>
          </cell>
          <cell r="K96" t="str">
            <v>Seattle</v>
          </cell>
          <cell r="L96" t="str">
            <v>WA</v>
          </cell>
          <cell r="M96">
            <v>10356</v>
          </cell>
          <cell r="N96" t="str">
            <v>USA</v>
          </cell>
        </row>
        <row r="97">
          <cell r="A97">
            <v>10345</v>
          </cell>
          <cell r="B97">
            <v>63</v>
          </cell>
          <cell r="C97">
            <v>2</v>
          </cell>
          <cell r="D97">
            <v>39025</v>
          </cell>
          <cell r="E97">
            <v>39053</v>
          </cell>
          <cell r="F97">
            <v>39032</v>
          </cell>
          <cell r="G97">
            <v>2</v>
          </cell>
          <cell r="H97">
            <v>249.06</v>
          </cell>
          <cell r="I97" t="str">
            <v>Ship to 63-B</v>
          </cell>
          <cell r="J97" t="str">
            <v>Taucherstraße 2345</v>
          </cell>
          <cell r="K97" t="str">
            <v>Cunewalde</v>
          </cell>
          <cell r="M97">
            <v>10280</v>
          </cell>
          <cell r="N97" t="str">
            <v>Germany</v>
          </cell>
        </row>
        <row r="98">
          <cell r="A98">
            <v>10346</v>
          </cell>
          <cell r="B98">
            <v>65</v>
          </cell>
          <cell r="C98">
            <v>3</v>
          </cell>
          <cell r="D98">
            <v>39026</v>
          </cell>
          <cell r="E98">
            <v>39068</v>
          </cell>
          <cell r="F98">
            <v>39029</v>
          </cell>
          <cell r="G98">
            <v>3</v>
          </cell>
          <cell r="H98">
            <v>142.08000000000001</v>
          </cell>
          <cell r="I98" t="str">
            <v>Ship to 65-A</v>
          </cell>
          <cell r="J98" t="str">
            <v>7890 Milton Dr.</v>
          </cell>
          <cell r="K98" t="str">
            <v>Albuquerque</v>
          </cell>
          <cell r="L98" t="str">
            <v>NM</v>
          </cell>
          <cell r="M98">
            <v>10285</v>
          </cell>
          <cell r="N98" t="str">
            <v>USA</v>
          </cell>
        </row>
        <row r="99">
          <cell r="A99">
            <v>10347</v>
          </cell>
          <cell r="B99">
            <v>21</v>
          </cell>
          <cell r="C99">
            <v>4</v>
          </cell>
          <cell r="D99">
            <v>39027</v>
          </cell>
          <cell r="E99">
            <v>39055</v>
          </cell>
          <cell r="F99">
            <v>39029</v>
          </cell>
          <cell r="G99">
            <v>3</v>
          </cell>
          <cell r="H99">
            <v>3.1</v>
          </cell>
          <cell r="I99" t="str">
            <v>Destination KKELL</v>
          </cell>
          <cell r="J99" t="str">
            <v>Rua Orós, 4567</v>
          </cell>
          <cell r="K99" t="str">
            <v>Sao Paulo</v>
          </cell>
          <cell r="L99" t="str">
            <v>SP</v>
          </cell>
          <cell r="M99">
            <v>10162</v>
          </cell>
          <cell r="N99" t="str">
            <v>Brazil</v>
          </cell>
        </row>
        <row r="100">
          <cell r="A100">
            <v>10348</v>
          </cell>
          <cell r="B100">
            <v>86</v>
          </cell>
          <cell r="C100">
            <v>4</v>
          </cell>
          <cell r="D100">
            <v>39028</v>
          </cell>
          <cell r="E100">
            <v>39056</v>
          </cell>
          <cell r="F100">
            <v>39036</v>
          </cell>
          <cell r="G100">
            <v>2</v>
          </cell>
          <cell r="H100">
            <v>0.78</v>
          </cell>
          <cell r="I100" t="str">
            <v>Ship to 86-B</v>
          </cell>
          <cell r="J100" t="str">
            <v>Adenauerallee 9012</v>
          </cell>
          <cell r="K100" t="str">
            <v>Stuttgart</v>
          </cell>
          <cell r="M100">
            <v>10348</v>
          </cell>
          <cell r="N100" t="str">
            <v>Germany</v>
          </cell>
        </row>
        <row r="101">
          <cell r="A101">
            <v>10349</v>
          </cell>
          <cell r="B101">
            <v>75</v>
          </cell>
          <cell r="C101">
            <v>7</v>
          </cell>
          <cell r="D101">
            <v>39029</v>
          </cell>
          <cell r="E101">
            <v>39057</v>
          </cell>
          <cell r="F101">
            <v>39036</v>
          </cell>
          <cell r="G101">
            <v>1</v>
          </cell>
          <cell r="H101">
            <v>8.6300000000000008</v>
          </cell>
          <cell r="I101" t="str">
            <v>Ship to 75-C</v>
          </cell>
          <cell r="J101" t="str">
            <v>P.O. Box 7890</v>
          </cell>
          <cell r="K101" t="str">
            <v>Lander</v>
          </cell>
          <cell r="L101" t="str">
            <v>WY</v>
          </cell>
          <cell r="M101">
            <v>10316</v>
          </cell>
          <cell r="N101" t="str">
            <v>USA</v>
          </cell>
        </row>
        <row r="102">
          <cell r="A102">
            <v>10350</v>
          </cell>
          <cell r="B102">
            <v>41</v>
          </cell>
          <cell r="C102">
            <v>6</v>
          </cell>
          <cell r="D102">
            <v>39032</v>
          </cell>
          <cell r="E102">
            <v>39060</v>
          </cell>
          <cell r="F102">
            <v>39054</v>
          </cell>
          <cell r="G102">
            <v>2</v>
          </cell>
          <cell r="H102">
            <v>64.19</v>
          </cell>
          <cell r="I102" t="str">
            <v>Destination DWJIO</v>
          </cell>
          <cell r="J102" t="str">
            <v>9012 rue Alsace-Lorraine</v>
          </cell>
          <cell r="K102" t="str">
            <v>Toulouse</v>
          </cell>
          <cell r="M102">
            <v>10217</v>
          </cell>
          <cell r="N102" t="str">
            <v>France</v>
          </cell>
        </row>
        <row r="103">
          <cell r="A103">
            <v>10351</v>
          </cell>
          <cell r="B103">
            <v>20</v>
          </cell>
          <cell r="C103">
            <v>1</v>
          </cell>
          <cell r="D103">
            <v>39032</v>
          </cell>
          <cell r="E103">
            <v>39060</v>
          </cell>
          <cell r="F103">
            <v>39041</v>
          </cell>
          <cell r="G103">
            <v>1</v>
          </cell>
          <cell r="H103">
            <v>162.33000000000001</v>
          </cell>
          <cell r="I103" t="str">
            <v>Destination RVDMF</v>
          </cell>
          <cell r="J103" t="str">
            <v>Kirchgasse 9012</v>
          </cell>
          <cell r="K103" t="str">
            <v>Graz</v>
          </cell>
          <cell r="M103">
            <v>10157</v>
          </cell>
          <cell r="N103" t="str">
            <v>Austria</v>
          </cell>
        </row>
        <row r="104">
          <cell r="A104">
            <v>10352</v>
          </cell>
          <cell r="B104">
            <v>28</v>
          </cell>
          <cell r="C104">
            <v>3</v>
          </cell>
          <cell r="D104">
            <v>39033</v>
          </cell>
          <cell r="E104">
            <v>39047</v>
          </cell>
          <cell r="F104">
            <v>39039</v>
          </cell>
          <cell r="G104">
            <v>3</v>
          </cell>
          <cell r="H104">
            <v>1.3</v>
          </cell>
          <cell r="I104" t="str">
            <v>Destination OTSWR</v>
          </cell>
          <cell r="J104" t="str">
            <v>Jardim das rosas n. 9012</v>
          </cell>
          <cell r="K104" t="str">
            <v>Lisboa</v>
          </cell>
          <cell r="M104">
            <v>10177</v>
          </cell>
          <cell r="N104" t="str">
            <v>Portugal</v>
          </cell>
        </row>
        <row r="105">
          <cell r="A105">
            <v>10353</v>
          </cell>
          <cell r="B105">
            <v>59</v>
          </cell>
          <cell r="C105">
            <v>7</v>
          </cell>
          <cell r="D105">
            <v>39034</v>
          </cell>
          <cell r="E105">
            <v>39062</v>
          </cell>
          <cell r="F105">
            <v>39046</v>
          </cell>
          <cell r="G105">
            <v>3</v>
          </cell>
          <cell r="H105">
            <v>360.63</v>
          </cell>
          <cell r="I105" t="str">
            <v>Ship to 59-B</v>
          </cell>
          <cell r="J105" t="str">
            <v>Geislweg 7890</v>
          </cell>
          <cell r="K105" t="str">
            <v>Salzburg</v>
          </cell>
          <cell r="M105">
            <v>10265</v>
          </cell>
          <cell r="N105" t="str">
            <v>Austria</v>
          </cell>
        </row>
        <row r="106">
          <cell r="A106">
            <v>10354</v>
          </cell>
          <cell r="B106">
            <v>58</v>
          </cell>
          <cell r="C106">
            <v>8</v>
          </cell>
          <cell r="D106">
            <v>39035</v>
          </cell>
          <cell r="E106">
            <v>39063</v>
          </cell>
          <cell r="F106">
            <v>39041</v>
          </cell>
          <cell r="G106">
            <v>3</v>
          </cell>
          <cell r="H106">
            <v>53.8</v>
          </cell>
          <cell r="I106" t="str">
            <v>Ship to 58-C</v>
          </cell>
          <cell r="J106" t="str">
            <v>Calle Dr. Jorge Cash 5678</v>
          </cell>
          <cell r="K106" t="str">
            <v>México D.F.</v>
          </cell>
          <cell r="M106">
            <v>10263</v>
          </cell>
          <cell r="N106" t="str">
            <v>Mexico</v>
          </cell>
        </row>
        <row r="107">
          <cell r="A107">
            <v>10355</v>
          </cell>
          <cell r="B107">
            <v>4</v>
          </cell>
          <cell r="C107">
            <v>6</v>
          </cell>
          <cell r="D107">
            <v>39036</v>
          </cell>
          <cell r="E107">
            <v>39064</v>
          </cell>
          <cell r="F107">
            <v>39041</v>
          </cell>
          <cell r="G107">
            <v>1</v>
          </cell>
          <cell r="H107">
            <v>41.95</v>
          </cell>
          <cell r="I107" t="str">
            <v>Ship to 4-A</v>
          </cell>
          <cell r="J107" t="str">
            <v>Brook Farm Stratford St. Mary 0123</v>
          </cell>
          <cell r="K107" t="str">
            <v>Colchester</v>
          </cell>
          <cell r="L107" t="str">
            <v>Essex</v>
          </cell>
          <cell r="M107">
            <v>10238</v>
          </cell>
          <cell r="N107" t="str">
            <v>UK</v>
          </cell>
        </row>
        <row r="108">
          <cell r="A108">
            <v>10356</v>
          </cell>
          <cell r="B108">
            <v>86</v>
          </cell>
          <cell r="C108">
            <v>6</v>
          </cell>
          <cell r="D108">
            <v>39039</v>
          </cell>
          <cell r="E108">
            <v>39067</v>
          </cell>
          <cell r="F108">
            <v>39048</v>
          </cell>
          <cell r="G108">
            <v>2</v>
          </cell>
          <cell r="H108">
            <v>36.71</v>
          </cell>
          <cell r="I108" t="str">
            <v>Ship to 86-A</v>
          </cell>
          <cell r="J108" t="str">
            <v>Adenauerallee 8901</v>
          </cell>
          <cell r="K108" t="str">
            <v>Stuttgart</v>
          </cell>
          <cell r="M108">
            <v>10347</v>
          </cell>
          <cell r="N108" t="str">
            <v>Germany</v>
          </cell>
        </row>
        <row r="109">
          <cell r="A109">
            <v>10357</v>
          </cell>
          <cell r="B109">
            <v>46</v>
          </cell>
          <cell r="C109">
            <v>1</v>
          </cell>
          <cell r="D109">
            <v>39040</v>
          </cell>
          <cell r="E109">
            <v>39068</v>
          </cell>
          <cell r="F109">
            <v>39053</v>
          </cell>
          <cell r="G109">
            <v>3</v>
          </cell>
          <cell r="H109">
            <v>34.880000000000003</v>
          </cell>
          <cell r="I109" t="str">
            <v>Ship to 46-B</v>
          </cell>
          <cell r="J109" t="str">
            <v>Carrera 1234 con Ave. Bolívar #65-98 Llano Largo</v>
          </cell>
          <cell r="K109" t="str">
            <v>Barquisimeto</v>
          </cell>
          <cell r="L109" t="str">
            <v>Lara</v>
          </cell>
          <cell r="M109">
            <v>10228</v>
          </cell>
          <cell r="N109" t="str">
            <v>Venezuela</v>
          </cell>
        </row>
        <row r="110">
          <cell r="A110">
            <v>10358</v>
          </cell>
          <cell r="B110">
            <v>41</v>
          </cell>
          <cell r="C110">
            <v>5</v>
          </cell>
          <cell r="D110">
            <v>39041</v>
          </cell>
          <cell r="E110">
            <v>39069</v>
          </cell>
          <cell r="F110">
            <v>39048</v>
          </cell>
          <cell r="G110">
            <v>1</v>
          </cell>
          <cell r="H110">
            <v>19.64</v>
          </cell>
          <cell r="I110" t="str">
            <v>Ship to 41-C</v>
          </cell>
          <cell r="J110" t="str">
            <v>0123 rue Alsace-Lorraine</v>
          </cell>
          <cell r="K110" t="str">
            <v>Toulouse</v>
          </cell>
          <cell r="M110">
            <v>10218</v>
          </cell>
          <cell r="N110" t="str">
            <v>France</v>
          </cell>
        </row>
        <row r="111">
          <cell r="A111">
            <v>10359</v>
          </cell>
          <cell r="B111">
            <v>72</v>
          </cell>
          <cell r="C111">
            <v>5</v>
          </cell>
          <cell r="D111">
            <v>39042</v>
          </cell>
          <cell r="E111">
            <v>39070</v>
          </cell>
          <cell r="F111">
            <v>39047</v>
          </cell>
          <cell r="G111">
            <v>3</v>
          </cell>
          <cell r="H111">
            <v>288.43</v>
          </cell>
          <cell r="I111" t="str">
            <v>Ship to 72-C</v>
          </cell>
          <cell r="J111" t="str">
            <v>1234 Wadhurst Rd.</v>
          </cell>
          <cell r="K111" t="str">
            <v>London</v>
          </cell>
          <cell r="M111">
            <v>10309</v>
          </cell>
          <cell r="N111" t="str">
            <v>UK</v>
          </cell>
        </row>
        <row r="112">
          <cell r="A112">
            <v>10360</v>
          </cell>
          <cell r="B112">
            <v>7</v>
          </cell>
          <cell r="C112">
            <v>4</v>
          </cell>
          <cell r="D112">
            <v>39043</v>
          </cell>
          <cell r="E112">
            <v>39071</v>
          </cell>
          <cell r="F112">
            <v>39053</v>
          </cell>
          <cell r="G112">
            <v>3</v>
          </cell>
          <cell r="H112">
            <v>131.69999999999999</v>
          </cell>
          <cell r="I112" t="str">
            <v>Ship to 7-C</v>
          </cell>
          <cell r="J112" t="str">
            <v>2345, place Kléber</v>
          </cell>
          <cell r="K112" t="str">
            <v>Strasbourg</v>
          </cell>
          <cell r="M112">
            <v>10331</v>
          </cell>
          <cell r="N112" t="str">
            <v>France</v>
          </cell>
        </row>
        <row r="113">
          <cell r="A113">
            <v>10361</v>
          </cell>
          <cell r="B113">
            <v>63</v>
          </cell>
          <cell r="C113">
            <v>1</v>
          </cell>
          <cell r="D113">
            <v>39043</v>
          </cell>
          <cell r="E113">
            <v>39071</v>
          </cell>
          <cell r="F113">
            <v>39054</v>
          </cell>
          <cell r="G113">
            <v>2</v>
          </cell>
          <cell r="H113">
            <v>183.17</v>
          </cell>
          <cell r="I113" t="str">
            <v>Ship to 63-C</v>
          </cell>
          <cell r="J113" t="str">
            <v>Taucherstraße 3456</v>
          </cell>
          <cell r="K113" t="str">
            <v>Cunewalde</v>
          </cell>
          <cell r="M113">
            <v>10281</v>
          </cell>
          <cell r="N113" t="str">
            <v>Germany</v>
          </cell>
        </row>
        <row r="114">
          <cell r="A114">
            <v>10362</v>
          </cell>
          <cell r="B114">
            <v>9</v>
          </cell>
          <cell r="C114">
            <v>3</v>
          </cell>
          <cell r="D114">
            <v>39046</v>
          </cell>
          <cell r="E114">
            <v>39074</v>
          </cell>
          <cell r="F114">
            <v>39049</v>
          </cell>
          <cell r="G114">
            <v>1</v>
          </cell>
          <cell r="H114">
            <v>96.04</v>
          </cell>
          <cell r="I114" t="str">
            <v>Ship to 9-B</v>
          </cell>
          <cell r="J114" t="str">
            <v>9012, rue des Bouchers</v>
          </cell>
          <cell r="K114" t="str">
            <v>Marseille</v>
          </cell>
          <cell r="M114">
            <v>10368</v>
          </cell>
          <cell r="N114" t="str">
            <v>France</v>
          </cell>
        </row>
        <row r="115">
          <cell r="A115">
            <v>10363</v>
          </cell>
          <cell r="B115">
            <v>17</v>
          </cell>
          <cell r="C115">
            <v>4</v>
          </cell>
          <cell r="D115">
            <v>39047</v>
          </cell>
          <cell r="E115">
            <v>39075</v>
          </cell>
          <cell r="F115">
            <v>39055</v>
          </cell>
          <cell r="G115">
            <v>3</v>
          </cell>
          <cell r="H115">
            <v>30.54</v>
          </cell>
          <cell r="I115" t="str">
            <v>Destination BJCXA</v>
          </cell>
          <cell r="J115" t="str">
            <v>Walserweg 7890</v>
          </cell>
          <cell r="K115" t="str">
            <v>Aachen</v>
          </cell>
          <cell r="M115">
            <v>10145</v>
          </cell>
          <cell r="N115" t="str">
            <v>Germany</v>
          </cell>
        </row>
        <row r="116">
          <cell r="A116">
            <v>10364</v>
          </cell>
          <cell r="B116">
            <v>19</v>
          </cell>
          <cell r="C116">
            <v>1</v>
          </cell>
          <cell r="D116">
            <v>39047</v>
          </cell>
          <cell r="E116">
            <v>39089</v>
          </cell>
          <cell r="F116">
            <v>39055</v>
          </cell>
          <cell r="G116">
            <v>1</v>
          </cell>
          <cell r="H116">
            <v>71.97</v>
          </cell>
          <cell r="I116" t="str">
            <v>Destination QTKCU</v>
          </cell>
          <cell r="J116" t="str">
            <v>3456 King George</v>
          </cell>
          <cell r="K116" t="str">
            <v>London</v>
          </cell>
          <cell r="M116">
            <v>10151</v>
          </cell>
          <cell r="N116" t="str">
            <v>UK</v>
          </cell>
        </row>
        <row r="117">
          <cell r="A117">
            <v>10365</v>
          </cell>
          <cell r="B117">
            <v>3</v>
          </cell>
          <cell r="C117">
            <v>3</v>
          </cell>
          <cell r="D117">
            <v>39048</v>
          </cell>
          <cell r="E117">
            <v>39076</v>
          </cell>
          <cell r="F117">
            <v>39053</v>
          </cell>
          <cell r="G117">
            <v>2</v>
          </cell>
          <cell r="H117">
            <v>22</v>
          </cell>
          <cell r="I117" t="str">
            <v>Destination FQFLS</v>
          </cell>
          <cell r="J117" t="str">
            <v>Mataderos 3456</v>
          </cell>
          <cell r="K117" t="str">
            <v>México D.F.</v>
          </cell>
          <cell r="M117">
            <v>10211</v>
          </cell>
          <cell r="N117" t="str">
            <v>Mexico</v>
          </cell>
        </row>
        <row r="118">
          <cell r="A118">
            <v>10366</v>
          </cell>
          <cell r="B118">
            <v>29</v>
          </cell>
          <cell r="C118">
            <v>8</v>
          </cell>
          <cell r="D118">
            <v>39049</v>
          </cell>
          <cell r="E118">
            <v>39091</v>
          </cell>
          <cell r="F118">
            <v>39081</v>
          </cell>
          <cell r="G118">
            <v>2</v>
          </cell>
          <cell r="H118">
            <v>10.14</v>
          </cell>
          <cell r="I118" t="str">
            <v>Destination VPNNG</v>
          </cell>
          <cell r="J118" t="str">
            <v>Rambla de Cataluña, 0123</v>
          </cell>
          <cell r="K118" t="str">
            <v>Barcelona</v>
          </cell>
          <cell r="M118">
            <v>10178</v>
          </cell>
          <cell r="N118" t="str">
            <v>Spain</v>
          </cell>
        </row>
        <row r="119">
          <cell r="A119">
            <v>10367</v>
          </cell>
          <cell r="B119">
            <v>83</v>
          </cell>
          <cell r="C119">
            <v>7</v>
          </cell>
          <cell r="D119">
            <v>39049</v>
          </cell>
          <cell r="E119">
            <v>39077</v>
          </cell>
          <cell r="F119">
            <v>39053</v>
          </cell>
          <cell r="G119">
            <v>3</v>
          </cell>
          <cell r="H119">
            <v>13.55</v>
          </cell>
          <cell r="I119" t="str">
            <v>Ship to 83-B</v>
          </cell>
          <cell r="J119" t="str">
            <v>Smagsloget 1234</v>
          </cell>
          <cell r="K119" t="str">
            <v>Århus</v>
          </cell>
          <cell r="M119">
            <v>10340</v>
          </cell>
          <cell r="N119" t="str">
            <v>Denmark</v>
          </cell>
        </row>
        <row r="120">
          <cell r="A120">
            <v>10368</v>
          </cell>
          <cell r="B120">
            <v>20</v>
          </cell>
          <cell r="C120">
            <v>2</v>
          </cell>
          <cell r="D120">
            <v>39050</v>
          </cell>
          <cell r="E120">
            <v>39078</v>
          </cell>
          <cell r="F120">
            <v>39053</v>
          </cell>
          <cell r="G120">
            <v>2</v>
          </cell>
          <cell r="H120">
            <v>101.95</v>
          </cell>
          <cell r="I120" t="str">
            <v>Destination RVDMF</v>
          </cell>
          <cell r="J120" t="str">
            <v>Kirchgasse 9012</v>
          </cell>
          <cell r="K120" t="str">
            <v>Graz</v>
          </cell>
          <cell r="M120">
            <v>10157</v>
          </cell>
          <cell r="N120" t="str">
            <v>Austria</v>
          </cell>
        </row>
        <row r="121">
          <cell r="A121">
            <v>10369</v>
          </cell>
          <cell r="B121">
            <v>75</v>
          </cell>
          <cell r="C121">
            <v>8</v>
          </cell>
          <cell r="D121">
            <v>39053</v>
          </cell>
          <cell r="E121">
            <v>39081</v>
          </cell>
          <cell r="F121">
            <v>39060</v>
          </cell>
          <cell r="G121">
            <v>2</v>
          </cell>
          <cell r="H121">
            <v>195.68</v>
          </cell>
          <cell r="I121" t="str">
            <v>Ship to 75-C</v>
          </cell>
          <cell r="J121" t="str">
            <v>P.O. Box 7890</v>
          </cell>
          <cell r="K121" t="str">
            <v>Lander</v>
          </cell>
          <cell r="L121" t="str">
            <v>WY</v>
          </cell>
          <cell r="M121">
            <v>10316</v>
          </cell>
          <cell r="N121" t="str">
            <v>USA</v>
          </cell>
        </row>
        <row r="122">
          <cell r="A122">
            <v>10370</v>
          </cell>
          <cell r="B122">
            <v>14</v>
          </cell>
          <cell r="C122">
            <v>6</v>
          </cell>
          <cell r="D122">
            <v>39054</v>
          </cell>
          <cell r="E122">
            <v>39082</v>
          </cell>
          <cell r="F122">
            <v>39078</v>
          </cell>
          <cell r="G122">
            <v>2</v>
          </cell>
          <cell r="H122">
            <v>1.17</v>
          </cell>
          <cell r="I122" t="str">
            <v>Destination YUJRD</v>
          </cell>
          <cell r="J122" t="str">
            <v>Hauptstr. 1234</v>
          </cell>
          <cell r="K122" t="str">
            <v>Bern</v>
          </cell>
          <cell r="M122">
            <v>10139</v>
          </cell>
          <cell r="N122" t="str">
            <v>Switzerland</v>
          </cell>
        </row>
        <row r="123">
          <cell r="A123">
            <v>10371</v>
          </cell>
          <cell r="B123">
            <v>41</v>
          </cell>
          <cell r="C123">
            <v>1</v>
          </cell>
          <cell r="D123">
            <v>39054</v>
          </cell>
          <cell r="E123">
            <v>39082</v>
          </cell>
          <cell r="F123">
            <v>39075</v>
          </cell>
          <cell r="G123">
            <v>1</v>
          </cell>
          <cell r="H123">
            <v>0.45</v>
          </cell>
          <cell r="I123" t="str">
            <v>Ship to 41-C</v>
          </cell>
          <cell r="J123" t="str">
            <v>0123 rue Alsace-Lorraine</v>
          </cell>
          <cell r="K123" t="str">
            <v>Toulouse</v>
          </cell>
          <cell r="M123">
            <v>10218</v>
          </cell>
          <cell r="N123" t="str">
            <v>France</v>
          </cell>
        </row>
        <row r="124">
          <cell r="A124">
            <v>10372</v>
          </cell>
          <cell r="B124">
            <v>62</v>
          </cell>
          <cell r="C124">
            <v>5</v>
          </cell>
          <cell r="D124">
            <v>39055</v>
          </cell>
          <cell r="E124">
            <v>39083</v>
          </cell>
          <cell r="F124">
            <v>39060</v>
          </cell>
          <cell r="G124">
            <v>2</v>
          </cell>
          <cell r="H124">
            <v>890.78</v>
          </cell>
          <cell r="I124" t="str">
            <v>Ship to 62-A</v>
          </cell>
          <cell r="J124" t="str">
            <v>Alameda dos Canàrios, 8901</v>
          </cell>
          <cell r="K124" t="str">
            <v>Sao Paulo</v>
          </cell>
          <cell r="L124" t="str">
            <v>SP</v>
          </cell>
          <cell r="M124">
            <v>10276</v>
          </cell>
          <cell r="N124" t="str">
            <v>Brazil</v>
          </cell>
        </row>
        <row r="125">
          <cell r="A125">
            <v>10373</v>
          </cell>
          <cell r="B125">
            <v>37</v>
          </cell>
          <cell r="C125">
            <v>4</v>
          </cell>
          <cell r="D125">
            <v>39056</v>
          </cell>
          <cell r="E125">
            <v>39084</v>
          </cell>
          <cell r="F125">
            <v>39062</v>
          </cell>
          <cell r="G125">
            <v>3</v>
          </cell>
          <cell r="H125">
            <v>124.12</v>
          </cell>
          <cell r="I125" t="str">
            <v>Destination KPVYJ</v>
          </cell>
          <cell r="J125" t="str">
            <v>5678 Johnstown Road</v>
          </cell>
          <cell r="K125" t="str">
            <v>Cork</v>
          </cell>
          <cell r="L125" t="str">
            <v>Co. Cork</v>
          </cell>
          <cell r="M125">
            <v>10203</v>
          </cell>
          <cell r="N125" t="str">
            <v>Ireland</v>
          </cell>
        </row>
        <row r="126">
          <cell r="A126">
            <v>10374</v>
          </cell>
          <cell r="B126">
            <v>91</v>
          </cell>
          <cell r="C126">
            <v>1</v>
          </cell>
          <cell r="D126">
            <v>39056</v>
          </cell>
          <cell r="E126">
            <v>39084</v>
          </cell>
          <cell r="F126">
            <v>39060</v>
          </cell>
          <cell r="G126">
            <v>3</v>
          </cell>
          <cell r="H126">
            <v>3.94</v>
          </cell>
          <cell r="I126" t="str">
            <v>Ship to 91-A</v>
          </cell>
          <cell r="J126" t="str">
            <v>ul. Filtrowa 5678</v>
          </cell>
          <cell r="K126" t="str">
            <v>Warszawa</v>
          </cell>
          <cell r="M126">
            <v>10364</v>
          </cell>
          <cell r="N126" t="str">
            <v>Poland</v>
          </cell>
        </row>
        <row r="127">
          <cell r="A127">
            <v>10375</v>
          </cell>
          <cell r="B127">
            <v>36</v>
          </cell>
          <cell r="C127">
            <v>3</v>
          </cell>
          <cell r="D127">
            <v>39057</v>
          </cell>
          <cell r="E127">
            <v>39085</v>
          </cell>
          <cell r="F127">
            <v>39060</v>
          </cell>
          <cell r="G127">
            <v>2</v>
          </cell>
          <cell r="H127">
            <v>20.12</v>
          </cell>
          <cell r="I127" t="str">
            <v>Destination HOHCR</v>
          </cell>
          <cell r="J127" t="str">
            <v>City Center Plaza 3456 Main St.</v>
          </cell>
          <cell r="K127" t="str">
            <v>Elgin</v>
          </cell>
          <cell r="L127" t="str">
            <v>OR</v>
          </cell>
          <cell r="M127">
            <v>10201</v>
          </cell>
          <cell r="N127" t="str">
            <v>USA</v>
          </cell>
        </row>
        <row r="128">
          <cell r="A128">
            <v>10376</v>
          </cell>
          <cell r="B128">
            <v>51</v>
          </cell>
          <cell r="C128">
            <v>1</v>
          </cell>
          <cell r="D128">
            <v>39060</v>
          </cell>
          <cell r="E128">
            <v>39088</v>
          </cell>
          <cell r="F128">
            <v>39064</v>
          </cell>
          <cell r="G128">
            <v>2</v>
          </cell>
          <cell r="H128">
            <v>20.39</v>
          </cell>
          <cell r="I128" t="str">
            <v>Ship to 51-B</v>
          </cell>
          <cell r="J128" t="str">
            <v>7890 rue St. Laurent</v>
          </cell>
          <cell r="K128" t="str">
            <v>Montréal</v>
          </cell>
          <cell r="L128" t="str">
            <v>Québec</v>
          </cell>
          <cell r="M128">
            <v>10245</v>
          </cell>
          <cell r="N128" t="str">
            <v>Canada</v>
          </cell>
        </row>
        <row r="129">
          <cell r="A129">
            <v>10377</v>
          </cell>
          <cell r="B129">
            <v>72</v>
          </cell>
          <cell r="C129">
            <v>1</v>
          </cell>
          <cell r="D129">
            <v>39060</v>
          </cell>
          <cell r="E129">
            <v>39088</v>
          </cell>
          <cell r="F129">
            <v>39064</v>
          </cell>
          <cell r="G129">
            <v>3</v>
          </cell>
          <cell r="H129">
            <v>22.21</v>
          </cell>
          <cell r="I129" t="str">
            <v>Ship to 72-C</v>
          </cell>
          <cell r="J129" t="str">
            <v>1234 Wadhurst Rd.</v>
          </cell>
          <cell r="K129" t="str">
            <v>London</v>
          </cell>
          <cell r="M129">
            <v>10309</v>
          </cell>
          <cell r="N129" t="str">
            <v>UK</v>
          </cell>
        </row>
        <row r="130">
          <cell r="A130">
            <v>10378</v>
          </cell>
          <cell r="B130">
            <v>24</v>
          </cell>
          <cell r="C130">
            <v>5</v>
          </cell>
          <cell r="D130">
            <v>39061</v>
          </cell>
          <cell r="E130">
            <v>39089</v>
          </cell>
          <cell r="F130">
            <v>39070</v>
          </cell>
          <cell r="G130">
            <v>3</v>
          </cell>
          <cell r="H130">
            <v>5.44</v>
          </cell>
          <cell r="I130" t="str">
            <v>Destination KBSBN</v>
          </cell>
          <cell r="J130" t="str">
            <v>Åkergatan 9012</v>
          </cell>
          <cell r="K130" t="str">
            <v>Bräcke</v>
          </cell>
          <cell r="M130">
            <v>10167</v>
          </cell>
          <cell r="N130" t="str">
            <v>Sweden</v>
          </cell>
        </row>
        <row r="131">
          <cell r="A131">
            <v>10379</v>
          </cell>
          <cell r="B131">
            <v>61</v>
          </cell>
          <cell r="C131">
            <v>2</v>
          </cell>
          <cell r="D131">
            <v>39062</v>
          </cell>
          <cell r="E131">
            <v>39090</v>
          </cell>
          <cell r="F131">
            <v>39064</v>
          </cell>
          <cell r="G131">
            <v>1</v>
          </cell>
          <cell r="H131">
            <v>45.03</v>
          </cell>
          <cell r="I131" t="str">
            <v>Ship to 61-B</v>
          </cell>
          <cell r="J131" t="str">
            <v>Rua da Panificadora, 6789</v>
          </cell>
          <cell r="K131" t="str">
            <v>Rio de Janeiro</v>
          </cell>
          <cell r="L131" t="str">
            <v>RJ</v>
          </cell>
          <cell r="M131">
            <v>10274</v>
          </cell>
          <cell r="N131" t="str">
            <v>Brazil</v>
          </cell>
        </row>
        <row r="132">
          <cell r="A132">
            <v>10380</v>
          </cell>
          <cell r="B132">
            <v>37</v>
          </cell>
          <cell r="C132">
            <v>8</v>
          </cell>
          <cell r="D132">
            <v>39063</v>
          </cell>
          <cell r="E132">
            <v>39091</v>
          </cell>
          <cell r="F132">
            <v>39098</v>
          </cell>
          <cell r="G132">
            <v>3</v>
          </cell>
          <cell r="H132">
            <v>35.03</v>
          </cell>
          <cell r="I132" t="str">
            <v>Destination KPVYJ</v>
          </cell>
          <cell r="J132" t="str">
            <v>5678 Johnstown Road</v>
          </cell>
          <cell r="K132" t="str">
            <v>Cork</v>
          </cell>
          <cell r="L132" t="str">
            <v>Co. Cork</v>
          </cell>
          <cell r="M132">
            <v>10203</v>
          </cell>
          <cell r="N132" t="str">
            <v>Ireland</v>
          </cell>
        </row>
        <row r="133">
          <cell r="A133">
            <v>10381</v>
          </cell>
          <cell r="B133">
            <v>46</v>
          </cell>
          <cell r="C133">
            <v>3</v>
          </cell>
          <cell r="D133">
            <v>39063</v>
          </cell>
          <cell r="E133">
            <v>39091</v>
          </cell>
          <cell r="F133">
            <v>39064</v>
          </cell>
          <cell r="G133">
            <v>3</v>
          </cell>
          <cell r="H133">
            <v>7.99</v>
          </cell>
          <cell r="I133" t="str">
            <v>Ship to 46-C</v>
          </cell>
          <cell r="J133" t="str">
            <v>Carrera 2345 con Ave. Bolívar #65-98 Llano Largo</v>
          </cell>
          <cell r="K133" t="str">
            <v>Barquisimeto</v>
          </cell>
          <cell r="L133" t="str">
            <v>Lara</v>
          </cell>
          <cell r="M133">
            <v>10229</v>
          </cell>
          <cell r="N133" t="str">
            <v>Venezuela</v>
          </cell>
        </row>
        <row r="134">
          <cell r="A134">
            <v>10382</v>
          </cell>
          <cell r="B134">
            <v>20</v>
          </cell>
          <cell r="C134">
            <v>4</v>
          </cell>
          <cell r="D134">
            <v>39064</v>
          </cell>
          <cell r="E134">
            <v>39092</v>
          </cell>
          <cell r="F134">
            <v>39067</v>
          </cell>
          <cell r="G134">
            <v>1</v>
          </cell>
          <cell r="H134">
            <v>94.77</v>
          </cell>
          <cell r="I134" t="str">
            <v>Destination FFXKT</v>
          </cell>
          <cell r="J134" t="str">
            <v>Kirchgasse 0123</v>
          </cell>
          <cell r="K134" t="str">
            <v>Graz</v>
          </cell>
          <cell r="M134">
            <v>10158</v>
          </cell>
          <cell r="N134" t="str">
            <v>Austria</v>
          </cell>
        </row>
        <row r="135">
          <cell r="A135">
            <v>10383</v>
          </cell>
          <cell r="B135">
            <v>4</v>
          </cell>
          <cell r="C135">
            <v>8</v>
          </cell>
          <cell r="D135">
            <v>39067</v>
          </cell>
          <cell r="E135">
            <v>39095</v>
          </cell>
          <cell r="F135">
            <v>39069</v>
          </cell>
          <cell r="G135">
            <v>3</v>
          </cell>
          <cell r="H135">
            <v>34.24</v>
          </cell>
          <cell r="I135" t="str">
            <v>Ship to 4-B</v>
          </cell>
          <cell r="J135" t="str">
            <v>Brook Farm Stratford St. Mary 1234</v>
          </cell>
          <cell r="K135" t="str">
            <v>Colchester</v>
          </cell>
          <cell r="L135" t="str">
            <v>Essex</v>
          </cell>
          <cell r="M135">
            <v>10239</v>
          </cell>
          <cell r="N135" t="str">
            <v>UK</v>
          </cell>
        </row>
        <row r="136">
          <cell r="A136">
            <v>10384</v>
          </cell>
          <cell r="B136">
            <v>5</v>
          </cell>
          <cell r="C136">
            <v>3</v>
          </cell>
          <cell r="D136">
            <v>39067</v>
          </cell>
          <cell r="E136">
            <v>39095</v>
          </cell>
          <cell r="F136">
            <v>39071</v>
          </cell>
          <cell r="G136">
            <v>3</v>
          </cell>
          <cell r="H136">
            <v>168.64</v>
          </cell>
          <cell r="I136" t="str">
            <v>Ship to 5-C</v>
          </cell>
          <cell r="J136" t="str">
            <v>Berguvsvägen 1234</v>
          </cell>
          <cell r="K136" t="str">
            <v>Luleå</v>
          </cell>
          <cell r="M136">
            <v>10269</v>
          </cell>
          <cell r="N136" t="str">
            <v>Sweden</v>
          </cell>
        </row>
        <row r="137">
          <cell r="A137">
            <v>10385</v>
          </cell>
          <cell r="B137">
            <v>75</v>
          </cell>
          <cell r="C137">
            <v>1</v>
          </cell>
          <cell r="D137">
            <v>39068</v>
          </cell>
          <cell r="E137">
            <v>39096</v>
          </cell>
          <cell r="F137">
            <v>39074</v>
          </cell>
          <cell r="G137">
            <v>2</v>
          </cell>
          <cell r="H137">
            <v>30.96</v>
          </cell>
          <cell r="I137" t="str">
            <v>Ship to 75-B</v>
          </cell>
          <cell r="J137" t="str">
            <v>P.O. Box 6789</v>
          </cell>
          <cell r="K137" t="str">
            <v>Lander</v>
          </cell>
          <cell r="L137" t="str">
            <v>WY</v>
          </cell>
          <cell r="M137">
            <v>10315</v>
          </cell>
          <cell r="N137" t="str">
            <v>USA</v>
          </cell>
        </row>
        <row r="138">
          <cell r="A138">
            <v>10386</v>
          </cell>
          <cell r="B138">
            <v>21</v>
          </cell>
          <cell r="C138">
            <v>9</v>
          </cell>
          <cell r="D138">
            <v>39069</v>
          </cell>
          <cell r="E138">
            <v>39083</v>
          </cell>
          <cell r="F138">
            <v>39076</v>
          </cell>
          <cell r="G138">
            <v>3</v>
          </cell>
          <cell r="H138">
            <v>13.99</v>
          </cell>
          <cell r="I138" t="str">
            <v>Destination RNSMS</v>
          </cell>
          <cell r="J138" t="str">
            <v>Rua Orós, 2345</v>
          </cell>
          <cell r="K138" t="str">
            <v>Sao Paulo</v>
          </cell>
          <cell r="L138" t="str">
            <v>SP</v>
          </cell>
          <cell r="M138">
            <v>10160</v>
          </cell>
          <cell r="N138" t="str">
            <v>Brazil</v>
          </cell>
        </row>
        <row r="139">
          <cell r="A139">
            <v>10387</v>
          </cell>
          <cell r="B139">
            <v>70</v>
          </cell>
          <cell r="C139">
            <v>1</v>
          </cell>
          <cell r="D139">
            <v>39069</v>
          </cell>
          <cell r="E139">
            <v>39097</v>
          </cell>
          <cell r="F139">
            <v>39071</v>
          </cell>
          <cell r="G139">
            <v>2</v>
          </cell>
          <cell r="H139">
            <v>93.63</v>
          </cell>
          <cell r="I139" t="str">
            <v>Ship to 70-B</v>
          </cell>
          <cell r="J139" t="str">
            <v>Erling Skakkes gate 5678</v>
          </cell>
          <cell r="K139" t="str">
            <v>Stavern</v>
          </cell>
          <cell r="M139">
            <v>10303</v>
          </cell>
          <cell r="N139" t="str">
            <v>Norway</v>
          </cell>
        </row>
        <row r="140">
          <cell r="A140">
            <v>10388</v>
          </cell>
          <cell r="B140">
            <v>72</v>
          </cell>
          <cell r="C140">
            <v>2</v>
          </cell>
          <cell r="D140">
            <v>39070</v>
          </cell>
          <cell r="E140">
            <v>39098</v>
          </cell>
          <cell r="F140">
            <v>39071</v>
          </cell>
          <cell r="G140">
            <v>1</v>
          </cell>
          <cell r="H140">
            <v>34.86</v>
          </cell>
          <cell r="I140" t="str">
            <v>Ship to 72-C</v>
          </cell>
          <cell r="J140" t="str">
            <v>1234 Wadhurst Rd.</v>
          </cell>
          <cell r="K140" t="str">
            <v>London</v>
          </cell>
          <cell r="M140">
            <v>10309</v>
          </cell>
          <cell r="N140" t="str">
            <v>UK</v>
          </cell>
        </row>
        <row r="141">
          <cell r="A141">
            <v>10389</v>
          </cell>
          <cell r="B141">
            <v>10</v>
          </cell>
          <cell r="C141">
            <v>4</v>
          </cell>
          <cell r="D141">
            <v>39071</v>
          </cell>
          <cell r="E141">
            <v>39099</v>
          </cell>
          <cell r="F141">
            <v>39075</v>
          </cell>
          <cell r="G141">
            <v>2</v>
          </cell>
          <cell r="H141">
            <v>47.42</v>
          </cell>
          <cell r="I141" t="str">
            <v>Destination OLSSJ</v>
          </cell>
          <cell r="J141" t="str">
            <v>2345 Tsawassen Blvd.</v>
          </cell>
          <cell r="K141" t="str">
            <v>Tsawassen</v>
          </cell>
          <cell r="L141" t="str">
            <v>BC</v>
          </cell>
          <cell r="M141">
            <v>10130</v>
          </cell>
          <cell r="N141" t="str">
            <v>Canada</v>
          </cell>
        </row>
        <row r="142">
          <cell r="A142">
            <v>10390</v>
          </cell>
          <cell r="B142">
            <v>20</v>
          </cell>
          <cell r="C142">
            <v>6</v>
          </cell>
          <cell r="D142">
            <v>39074</v>
          </cell>
          <cell r="E142">
            <v>39102</v>
          </cell>
          <cell r="F142">
            <v>39077</v>
          </cell>
          <cell r="G142">
            <v>1</v>
          </cell>
          <cell r="H142">
            <v>126.38</v>
          </cell>
          <cell r="I142" t="str">
            <v>Destination RVDMF</v>
          </cell>
          <cell r="J142" t="str">
            <v>Kirchgasse 9012</v>
          </cell>
          <cell r="K142" t="str">
            <v>Graz</v>
          </cell>
          <cell r="M142">
            <v>10157</v>
          </cell>
          <cell r="N142" t="str">
            <v>Austria</v>
          </cell>
        </row>
        <row r="143">
          <cell r="A143">
            <v>10391</v>
          </cell>
          <cell r="B143">
            <v>17</v>
          </cell>
          <cell r="C143">
            <v>3</v>
          </cell>
          <cell r="D143">
            <v>39074</v>
          </cell>
          <cell r="E143">
            <v>39102</v>
          </cell>
          <cell r="F143">
            <v>39082</v>
          </cell>
          <cell r="G143">
            <v>3</v>
          </cell>
          <cell r="H143">
            <v>5.45</v>
          </cell>
          <cell r="I143" t="str">
            <v>Destination AJTHX</v>
          </cell>
          <cell r="J143" t="str">
            <v>Walserweg 9012</v>
          </cell>
          <cell r="K143" t="str">
            <v>Aachen</v>
          </cell>
          <cell r="M143">
            <v>10147</v>
          </cell>
          <cell r="N143" t="str">
            <v>Germany</v>
          </cell>
        </row>
        <row r="144">
          <cell r="A144">
            <v>10392</v>
          </cell>
          <cell r="B144">
            <v>59</v>
          </cell>
          <cell r="C144">
            <v>2</v>
          </cell>
          <cell r="D144">
            <v>39075</v>
          </cell>
          <cell r="E144">
            <v>39103</v>
          </cell>
          <cell r="F144">
            <v>39083</v>
          </cell>
          <cell r="G144">
            <v>3</v>
          </cell>
          <cell r="H144">
            <v>122.46</v>
          </cell>
          <cell r="I144" t="str">
            <v>Ship to 59-A</v>
          </cell>
          <cell r="J144" t="str">
            <v>Geislweg 6789</v>
          </cell>
          <cell r="K144" t="str">
            <v>Salzburg</v>
          </cell>
          <cell r="M144">
            <v>10264</v>
          </cell>
          <cell r="N144" t="str">
            <v>Austria</v>
          </cell>
        </row>
        <row r="145">
          <cell r="A145">
            <v>10393</v>
          </cell>
          <cell r="B145">
            <v>71</v>
          </cell>
          <cell r="C145">
            <v>1</v>
          </cell>
          <cell r="D145">
            <v>39076</v>
          </cell>
          <cell r="E145">
            <v>39104</v>
          </cell>
          <cell r="F145">
            <v>39085</v>
          </cell>
          <cell r="G145">
            <v>3</v>
          </cell>
          <cell r="H145">
            <v>126.56</v>
          </cell>
          <cell r="I145" t="str">
            <v>Ship to 71-B</v>
          </cell>
          <cell r="J145" t="str">
            <v>8901 Suffolk Ln.</v>
          </cell>
          <cell r="K145" t="str">
            <v>Boise</v>
          </cell>
          <cell r="L145" t="str">
            <v>ID</v>
          </cell>
          <cell r="M145">
            <v>10306</v>
          </cell>
          <cell r="N145" t="str">
            <v>USA</v>
          </cell>
        </row>
        <row r="146">
          <cell r="A146">
            <v>10394</v>
          </cell>
          <cell r="B146">
            <v>36</v>
          </cell>
          <cell r="C146">
            <v>1</v>
          </cell>
          <cell r="D146">
            <v>39076</v>
          </cell>
          <cell r="E146">
            <v>39104</v>
          </cell>
          <cell r="F146">
            <v>39085</v>
          </cell>
          <cell r="G146">
            <v>3</v>
          </cell>
          <cell r="H146">
            <v>30.34</v>
          </cell>
          <cell r="I146" t="str">
            <v>Destination AWPJG</v>
          </cell>
          <cell r="J146" t="str">
            <v>City Center Plaza 2345 Main St.</v>
          </cell>
          <cell r="K146" t="str">
            <v>Elgin</v>
          </cell>
          <cell r="L146" t="str">
            <v>OR</v>
          </cell>
          <cell r="M146">
            <v>10200</v>
          </cell>
          <cell r="N146" t="str">
            <v>USA</v>
          </cell>
        </row>
        <row r="147">
          <cell r="A147">
            <v>10395</v>
          </cell>
          <cell r="B147">
            <v>35</v>
          </cell>
          <cell r="C147">
            <v>6</v>
          </cell>
          <cell r="D147">
            <v>39077</v>
          </cell>
          <cell r="E147">
            <v>39105</v>
          </cell>
          <cell r="F147">
            <v>39085</v>
          </cell>
          <cell r="G147">
            <v>1</v>
          </cell>
          <cell r="H147">
            <v>184.41</v>
          </cell>
          <cell r="I147" t="str">
            <v>Destination JYDLM</v>
          </cell>
          <cell r="J147" t="str">
            <v>Carrera1234 con Ave. Carlos Soublette #8-35</v>
          </cell>
          <cell r="K147" t="str">
            <v>San Cristóbal</v>
          </cell>
          <cell r="L147" t="str">
            <v>Táchira</v>
          </cell>
          <cell r="M147">
            <v>10199</v>
          </cell>
          <cell r="N147" t="str">
            <v>Venezuela</v>
          </cell>
        </row>
        <row r="148">
          <cell r="A148">
            <v>10396</v>
          </cell>
          <cell r="B148">
            <v>25</v>
          </cell>
          <cell r="C148">
            <v>1</v>
          </cell>
          <cell r="D148">
            <v>39078</v>
          </cell>
          <cell r="E148">
            <v>39092</v>
          </cell>
          <cell r="F148">
            <v>39088</v>
          </cell>
          <cell r="G148">
            <v>3</v>
          </cell>
          <cell r="H148">
            <v>135.35</v>
          </cell>
          <cell r="I148" t="str">
            <v>Destination VAPXU</v>
          </cell>
          <cell r="J148" t="str">
            <v>Berliner Platz 0123</v>
          </cell>
          <cell r="K148" t="str">
            <v>München</v>
          </cell>
          <cell r="M148">
            <v>10168</v>
          </cell>
          <cell r="N148" t="str">
            <v>Germany</v>
          </cell>
        </row>
        <row r="149">
          <cell r="A149">
            <v>10397</v>
          </cell>
          <cell r="B149">
            <v>60</v>
          </cell>
          <cell r="C149">
            <v>5</v>
          </cell>
          <cell r="D149">
            <v>39078</v>
          </cell>
          <cell r="E149">
            <v>39106</v>
          </cell>
          <cell r="F149">
            <v>39084</v>
          </cell>
          <cell r="G149">
            <v>1</v>
          </cell>
          <cell r="H149">
            <v>60.26</v>
          </cell>
          <cell r="I149" t="str">
            <v>Ship to 60-A</v>
          </cell>
          <cell r="J149" t="str">
            <v>Estrada da saúde n. 2345</v>
          </cell>
          <cell r="K149" t="str">
            <v>Lisboa</v>
          </cell>
          <cell r="M149">
            <v>10270</v>
          </cell>
          <cell r="N149" t="str">
            <v>Portugal</v>
          </cell>
        </row>
        <row r="150">
          <cell r="A150">
            <v>10398</v>
          </cell>
          <cell r="B150">
            <v>71</v>
          </cell>
          <cell r="C150">
            <v>2</v>
          </cell>
          <cell r="D150">
            <v>39081</v>
          </cell>
          <cell r="E150">
            <v>39109</v>
          </cell>
          <cell r="F150">
            <v>39091</v>
          </cell>
          <cell r="G150">
            <v>3</v>
          </cell>
          <cell r="H150">
            <v>89.16</v>
          </cell>
          <cell r="I150" t="str">
            <v>Ship to 71-C</v>
          </cell>
          <cell r="J150" t="str">
            <v>9012 Suffolk Ln.</v>
          </cell>
          <cell r="K150" t="str">
            <v>Boise</v>
          </cell>
          <cell r="L150" t="str">
            <v>ID</v>
          </cell>
          <cell r="M150">
            <v>10307</v>
          </cell>
          <cell r="N150" t="str">
            <v>USA</v>
          </cell>
        </row>
        <row r="151">
          <cell r="A151">
            <v>10399</v>
          </cell>
          <cell r="B151">
            <v>83</v>
          </cell>
          <cell r="C151">
            <v>8</v>
          </cell>
          <cell r="D151">
            <v>39082</v>
          </cell>
          <cell r="E151">
            <v>39096</v>
          </cell>
          <cell r="F151">
            <v>39090</v>
          </cell>
          <cell r="G151">
            <v>3</v>
          </cell>
          <cell r="H151">
            <v>27.36</v>
          </cell>
          <cell r="I151" t="str">
            <v>Ship to 83-C</v>
          </cell>
          <cell r="J151" t="str">
            <v>Smagsloget 2345</v>
          </cell>
          <cell r="K151" t="str">
            <v>Århus</v>
          </cell>
          <cell r="M151">
            <v>10341</v>
          </cell>
          <cell r="N151" t="str">
            <v>Denmark</v>
          </cell>
        </row>
        <row r="152">
          <cell r="A152">
            <v>10400</v>
          </cell>
          <cell r="B152">
            <v>19</v>
          </cell>
          <cell r="C152">
            <v>1</v>
          </cell>
          <cell r="D152">
            <v>39083</v>
          </cell>
          <cell r="E152">
            <v>39111</v>
          </cell>
          <cell r="F152">
            <v>39098</v>
          </cell>
          <cell r="G152">
            <v>3</v>
          </cell>
          <cell r="H152">
            <v>83.93</v>
          </cell>
          <cell r="I152" t="str">
            <v>Destination BBMRT</v>
          </cell>
          <cell r="J152" t="str">
            <v>4567 King George</v>
          </cell>
          <cell r="K152" t="str">
            <v>London</v>
          </cell>
          <cell r="M152">
            <v>10152</v>
          </cell>
          <cell r="N152" t="str">
            <v>UK</v>
          </cell>
        </row>
        <row r="153">
          <cell r="A153">
            <v>10401</v>
          </cell>
          <cell r="B153">
            <v>65</v>
          </cell>
          <cell r="C153">
            <v>1</v>
          </cell>
          <cell r="D153">
            <v>39083</v>
          </cell>
          <cell r="E153">
            <v>39111</v>
          </cell>
          <cell r="F153">
            <v>39092</v>
          </cell>
          <cell r="G153">
            <v>1</v>
          </cell>
          <cell r="H153">
            <v>12.51</v>
          </cell>
          <cell r="I153" t="str">
            <v>Ship to 65-A</v>
          </cell>
          <cell r="J153" t="str">
            <v>7890 Milton Dr.</v>
          </cell>
          <cell r="K153" t="str">
            <v>Albuquerque</v>
          </cell>
          <cell r="L153" t="str">
            <v>NM</v>
          </cell>
          <cell r="M153">
            <v>10285</v>
          </cell>
          <cell r="N153" t="str">
            <v>USA</v>
          </cell>
        </row>
        <row r="154">
          <cell r="A154">
            <v>10402</v>
          </cell>
          <cell r="B154">
            <v>20</v>
          </cell>
          <cell r="C154">
            <v>8</v>
          </cell>
          <cell r="D154">
            <v>39084</v>
          </cell>
          <cell r="E154">
            <v>39126</v>
          </cell>
          <cell r="F154">
            <v>39092</v>
          </cell>
          <cell r="G154">
            <v>2</v>
          </cell>
          <cell r="H154">
            <v>67.88</v>
          </cell>
          <cell r="I154" t="str">
            <v>Destination FFXKT</v>
          </cell>
          <cell r="J154" t="str">
            <v>Kirchgasse 0123</v>
          </cell>
          <cell r="K154" t="str">
            <v>Graz</v>
          </cell>
          <cell r="M154">
            <v>10158</v>
          </cell>
          <cell r="N154" t="str">
            <v>Austria</v>
          </cell>
        </row>
        <row r="155">
          <cell r="A155">
            <v>10403</v>
          </cell>
          <cell r="B155">
            <v>20</v>
          </cell>
          <cell r="C155">
            <v>4</v>
          </cell>
          <cell r="D155">
            <v>39085</v>
          </cell>
          <cell r="E155">
            <v>39113</v>
          </cell>
          <cell r="F155">
            <v>39091</v>
          </cell>
          <cell r="G155">
            <v>3</v>
          </cell>
          <cell r="H155">
            <v>73.790000000000006</v>
          </cell>
          <cell r="I155" t="str">
            <v>Destination RVDMF</v>
          </cell>
          <cell r="J155" t="str">
            <v>Kirchgasse 9012</v>
          </cell>
          <cell r="K155" t="str">
            <v>Graz</v>
          </cell>
          <cell r="M155">
            <v>10157</v>
          </cell>
          <cell r="N155" t="str">
            <v>Austria</v>
          </cell>
        </row>
        <row r="156">
          <cell r="A156">
            <v>10404</v>
          </cell>
          <cell r="B156">
            <v>49</v>
          </cell>
          <cell r="C156">
            <v>2</v>
          </cell>
          <cell r="D156">
            <v>39085</v>
          </cell>
          <cell r="E156">
            <v>39113</v>
          </cell>
          <cell r="F156">
            <v>39090</v>
          </cell>
          <cell r="G156">
            <v>1</v>
          </cell>
          <cell r="H156">
            <v>155.97</v>
          </cell>
          <cell r="I156" t="str">
            <v>Ship to 49-B</v>
          </cell>
          <cell r="J156" t="str">
            <v>Via Ludovico il Moro 9012</v>
          </cell>
          <cell r="K156" t="str">
            <v>Bergamo</v>
          </cell>
          <cell r="M156">
            <v>10236</v>
          </cell>
          <cell r="N156" t="str">
            <v>Italy</v>
          </cell>
        </row>
        <row r="157">
          <cell r="A157">
            <v>10405</v>
          </cell>
          <cell r="B157">
            <v>47</v>
          </cell>
          <cell r="C157">
            <v>1</v>
          </cell>
          <cell r="D157">
            <v>39088</v>
          </cell>
          <cell r="E157">
            <v>39116</v>
          </cell>
          <cell r="F157">
            <v>39104</v>
          </cell>
          <cell r="G157">
            <v>1</v>
          </cell>
          <cell r="H157">
            <v>34.82</v>
          </cell>
          <cell r="I157" t="str">
            <v>Ship to 47-B</v>
          </cell>
          <cell r="J157" t="str">
            <v>Ave. 5 de Mayo Porlamar 4567</v>
          </cell>
          <cell r="K157" t="str">
            <v>I. de Margarita</v>
          </cell>
          <cell r="L157" t="str">
            <v>Nueva Esparta</v>
          </cell>
          <cell r="M157">
            <v>10231</v>
          </cell>
          <cell r="N157" t="str">
            <v>Venezuela</v>
          </cell>
        </row>
        <row r="158">
          <cell r="A158">
            <v>10406</v>
          </cell>
          <cell r="B158">
            <v>62</v>
          </cell>
          <cell r="C158">
            <v>7</v>
          </cell>
          <cell r="D158">
            <v>39089</v>
          </cell>
          <cell r="E158">
            <v>39131</v>
          </cell>
          <cell r="F158">
            <v>39095</v>
          </cell>
          <cell r="G158">
            <v>1</v>
          </cell>
          <cell r="H158">
            <v>108.04</v>
          </cell>
          <cell r="I158" t="str">
            <v>Ship to 62-A</v>
          </cell>
          <cell r="J158" t="str">
            <v>Alameda dos Canàrios, 8901</v>
          </cell>
          <cell r="K158" t="str">
            <v>Sao Paulo</v>
          </cell>
          <cell r="L158" t="str">
            <v>SP</v>
          </cell>
          <cell r="M158">
            <v>10276</v>
          </cell>
          <cell r="N158" t="str">
            <v>Brazil</v>
          </cell>
        </row>
        <row r="159">
          <cell r="A159">
            <v>10407</v>
          </cell>
          <cell r="B159">
            <v>56</v>
          </cell>
          <cell r="C159">
            <v>2</v>
          </cell>
          <cell r="D159">
            <v>39089</v>
          </cell>
          <cell r="E159">
            <v>39117</v>
          </cell>
          <cell r="F159">
            <v>39112</v>
          </cell>
          <cell r="G159">
            <v>2</v>
          </cell>
          <cell r="H159">
            <v>91.48</v>
          </cell>
          <cell r="I159" t="str">
            <v>Ship to 56-B</v>
          </cell>
          <cell r="J159" t="str">
            <v>Mehrheimerstr. 1234</v>
          </cell>
          <cell r="K159" t="str">
            <v>Köln</v>
          </cell>
          <cell r="M159">
            <v>10259</v>
          </cell>
          <cell r="N159" t="str">
            <v>Germany</v>
          </cell>
        </row>
        <row r="160">
          <cell r="A160">
            <v>10408</v>
          </cell>
          <cell r="B160">
            <v>23</v>
          </cell>
          <cell r="C160">
            <v>8</v>
          </cell>
          <cell r="D160">
            <v>39090</v>
          </cell>
          <cell r="E160">
            <v>39118</v>
          </cell>
          <cell r="F160">
            <v>39096</v>
          </cell>
          <cell r="G160">
            <v>1</v>
          </cell>
          <cell r="H160">
            <v>11.26</v>
          </cell>
          <cell r="I160" t="str">
            <v>Destination PXQRR</v>
          </cell>
          <cell r="J160" t="str">
            <v>5678, chaussée de Tournai</v>
          </cell>
          <cell r="K160" t="str">
            <v>Lille</v>
          </cell>
          <cell r="M160">
            <v>10163</v>
          </cell>
          <cell r="N160" t="str">
            <v>France</v>
          </cell>
        </row>
        <row r="161">
          <cell r="A161">
            <v>10409</v>
          </cell>
          <cell r="B161">
            <v>54</v>
          </cell>
          <cell r="C161">
            <v>3</v>
          </cell>
          <cell r="D161">
            <v>39091</v>
          </cell>
          <cell r="E161">
            <v>39119</v>
          </cell>
          <cell r="F161">
            <v>39096</v>
          </cell>
          <cell r="G161">
            <v>1</v>
          </cell>
          <cell r="H161">
            <v>29.83</v>
          </cell>
          <cell r="I161" t="str">
            <v>Ship to 54-C</v>
          </cell>
          <cell r="J161" t="str">
            <v>Ing. Gustavo Moncada 6789 Piso 20-A</v>
          </cell>
          <cell r="K161" t="str">
            <v>Buenos Aires</v>
          </cell>
          <cell r="M161">
            <v>10254</v>
          </cell>
          <cell r="N161" t="str">
            <v>Argentina</v>
          </cell>
        </row>
        <row r="162">
          <cell r="A162">
            <v>10410</v>
          </cell>
          <cell r="B162">
            <v>10</v>
          </cell>
          <cell r="C162">
            <v>3</v>
          </cell>
          <cell r="D162">
            <v>39092</v>
          </cell>
          <cell r="E162">
            <v>39120</v>
          </cell>
          <cell r="F162">
            <v>39097</v>
          </cell>
          <cell r="G162">
            <v>3</v>
          </cell>
          <cell r="H162">
            <v>2.4</v>
          </cell>
          <cell r="I162" t="str">
            <v>Destination OLSSJ</v>
          </cell>
          <cell r="J162" t="str">
            <v>2345 Tsawassen Blvd.</v>
          </cell>
          <cell r="K162" t="str">
            <v>Tsawassen</v>
          </cell>
          <cell r="L162" t="str">
            <v>BC</v>
          </cell>
          <cell r="M162">
            <v>10130</v>
          </cell>
          <cell r="N162" t="str">
            <v>Canada</v>
          </cell>
        </row>
        <row r="163">
          <cell r="A163">
            <v>10411</v>
          </cell>
          <cell r="B163">
            <v>10</v>
          </cell>
          <cell r="C163">
            <v>9</v>
          </cell>
          <cell r="D163">
            <v>39092</v>
          </cell>
          <cell r="E163">
            <v>39120</v>
          </cell>
          <cell r="F163">
            <v>39103</v>
          </cell>
          <cell r="G163">
            <v>3</v>
          </cell>
          <cell r="H163">
            <v>23.65</v>
          </cell>
          <cell r="I163" t="str">
            <v>Destination XJIBQ</v>
          </cell>
          <cell r="J163" t="str">
            <v>1234 Tsawassen Blvd.</v>
          </cell>
          <cell r="K163" t="str">
            <v>Tsawassen</v>
          </cell>
          <cell r="L163" t="str">
            <v>BC</v>
          </cell>
          <cell r="M163">
            <v>10129</v>
          </cell>
          <cell r="N163" t="str">
            <v>Canada</v>
          </cell>
        </row>
        <row r="164">
          <cell r="A164">
            <v>10412</v>
          </cell>
          <cell r="B164">
            <v>87</v>
          </cell>
          <cell r="C164">
            <v>8</v>
          </cell>
          <cell r="D164">
            <v>39095</v>
          </cell>
          <cell r="E164">
            <v>39123</v>
          </cell>
          <cell r="F164">
            <v>39097</v>
          </cell>
          <cell r="G164">
            <v>2</v>
          </cell>
          <cell r="H164">
            <v>3.77</v>
          </cell>
          <cell r="I164" t="str">
            <v>Ship to 87-C</v>
          </cell>
          <cell r="J164" t="str">
            <v>Torikatu 3456</v>
          </cell>
          <cell r="K164" t="str">
            <v>Oulu</v>
          </cell>
          <cell r="M164">
            <v>10352</v>
          </cell>
          <cell r="N164" t="str">
            <v>Finland</v>
          </cell>
        </row>
        <row r="165">
          <cell r="A165">
            <v>10413</v>
          </cell>
          <cell r="B165">
            <v>41</v>
          </cell>
          <cell r="C165">
            <v>3</v>
          </cell>
          <cell r="D165">
            <v>39096</v>
          </cell>
          <cell r="E165">
            <v>39124</v>
          </cell>
          <cell r="F165">
            <v>39098</v>
          </cell>
          <cell r="G165">
            <v>2</v>
          </cell>
          <cell r="H165">
            <v>95.66</v>
          </cell>
          <cell r="I165" t="str">
            <v>Destination DWJIO</v>
          </cell>
          <cell r="J165" t="str">
            <v>9012 rue Alsace-Lorraine</v>
          </cell>
          <cell r="K165" t="str">
            <v>Toulouse</v>
          </cell>
          <cell r="M165">
            <v>10217</v>
          </cell>
          <cell r="N165" t="str">
            <v>France</v>
          </cell>
        </row>
        <row r="166">
          <cell r="A166">
            <v>10414</v>
          </cell>
          <cell r="B166">
            <v>21</v>
          </cell>
          <cell r="C166">
            <v>2</v>
          </cell>
          <cell r="D166">
            <v>39096</v>
          </cell>
          <cell r="E166">
            <v>39124</v>
          </cell>
          <cell r="F166">
            <v>39099</v>
          </cell>
          <cell r="G166">
            <v>3</v>
          </cell>
          <cell r="H166">
            <v>21.48</v>
          </cell>
          <cell r="I166" t="str">
            <v>Destination SSYXZ</v>
          </cell>
          <cell r="J166" t="str">
            <v>Rua Orós, 3456</v>
          </cell>
          <cell r="K166" t="str">
            <v>Sao Paulo</v>
          </cell>
          <cell r="L166" t="str">
            <v>SP</v>
          </cell>
          <cell r="M166">
            <v>10161</v>
          </cell>
          <cell r="N166" t="str">
            <v>Brazil</v>
          </cell>
        </row>
        <row r="167">
          <cell r="A167">
            <v>10415</v>
          </cell>
          <cell r="B167">
            <v>36</v>
          </cell>
          <cell r="C167">
            <v>3</v>
          </cell>
          <cell r="D167">
            <v>39097</v>
          </cell>
          <cell r="E167">
            <v>39125</v>
          </cell>
          <cell r="F167">
            <v>39106</v>
          </cell>
          <cell r="G167">
            <v>1</v>
          </cell>
          <cell r="H167">
            <v>0.2</v>
          </cell>
          <cell r="I167" t="str">
            <v>Destination AWPJG</v>
          </cell>
          <cell r="J167" t="str">
            <v>City Center Plaza 2345 Main St.</v>
          </cell>
          <cell r="K167" t="str">
            <v>Elgin</v>
          </cell>
          <cell r="L167" t="str">
            <v>OR</v>
          </cell>
          <cell r="M167">
            <v>10200</v>
          </cell>
          <cell r="N167" t="str">
            <v>USA</v>
          </cell>
        </row>
        <row r="168">
          <cell r="A168">
            <v>10416</v>
          </cell>
          <cell r="B168">
            <v>87</v>
          </cell>
          <cell r="C168">
            <v>8</v>
          </cell>
          <cell r="D168">
            <v>39098</v>
          </cell>
          <cell r="E168">
            <v>39126</v>
          </cell>
          <cell r="F168">
            <v>39109</v>
          </cell>
          <cell r="G168">
            <v>3</v>
          </cell>
          <cell r="H168">
            <v>22.72</v>
          </cell>
          <cell r="I168" t="str">
            <v>Ship to 87-A</v>
          </cell>
          <cell r="J168" t="str">
            <v>Torikatu 1234</v>
          </cell>
          <cell r="K168" t="str">
            <v>Oulu</v>
          </cell>
          <cell r="M168">
            <v>10350</v>
          </cell>
          <cell r="N168" t="str">
            <v>Finland</v>
          </cell>
        </row>
        <row r="169">
          <cell r="A169">
            <v>10417</v>
          </cell>
          <cell r="B169">
            <v>73</v>
          </cell>
          <cell r="C169">
            <v>4</v>
          </cell>
          <cell r="D169">
            <v>39098</v>
          </cell>
          <cell r="E169">
            <v>39126</v>
          </cell>
          <cell r="F169">
            <v>39110</v>
          </cell>
          <cell r="G169">
            <v>3</v>
          </cell>
          <cell r="H169">
            <v>70.290000000000006</v>
          </cell>
          <cell r="I169" t="str">
            <v>Ship to 73-C</v>
          </cell>
          <cell r="J169" t="str">
            <v>Vinbæltet 2345</v>
          </cell>
          <cell r="K169" t="str">
            <v>Kobenhavn</v>
          </cell>
          <cell r="M169">
            <v>10311</v>
          </cell>
          <cell r="N169" t="str">
            <v>Denmark</v>
          </cell>
        </row>
        <row r="170">
          <cell r="A170">
            <v>10418</v>
          </cell>
          <cell r="B170">
            <v>63</v>
          </cell>
          <cell r="C170">
            <v>4</v>
          </cell>
          <cell r="D170">
            <v>39099</v>
          </cell>
          <cell r="E170">
            <v>39127</v>
          </cell>
          <cell r="F170">
            <v>39106</v>
          </cell>
          <cell r="G170">
            <v>1</v>
          </cell>
          <cell r="H170">
            <v>17.55</v>
          </cell>
          <cell r="I170" t="str">
            <v>Ship to 63-B</v>
          </cell>
          <cell r="J170" t="str">
            <v>Taucherstraße 2345</v>
          </cell>
          <cell r="K170" t="str">
            <v>Cunewalde</v>
          </cell>
          <cell r="M170">
            <v>10280</v>
          </cell>
          <cell r="N170" t="str">
            <v>Germany</v>
          </cell>
        </row>
        <row r="171">
          <cell r="A171">
            <v>10419</v>
          </cell>
          <cell r="B171">
            <v>68</v>
          </cell>
          <cell r="C171">
            <v>4</v>
          </cell>
          <cell r="D171">
            <v>39102</v>
          </cell>
          <cell r="E171">
            <v>39130</v>
          </cell>
          <cell r="F171">
            <v>39112</v>
          </cell>
          <cell r="G171">
            <v>2</v>
          </cell>
          <cell r="H171">
            <v>137.35</v>
          </cell>
          <cell r="I171" t="str">
            <v>Ship to 68-A</v>
          </cell>
          <cell r="J171" t="str">
            <v>Starenweg 6789</v>
          </cell>
          <cell r="K171" t="str">
            <v>Genève</v>
          </cell>
          <cell r="M171">
            <v>10294</v>
          </cell>
          <cell r="N171" t="str">
            <v>Switzerland</v>
          </cell>
        </row>
        <row r="172">
          <cell r="A172">
            <v>10420</v>
          </cell>
          <cell r="B172">
            <v>88</v>
          </cell>
          <cell r="C172">
            <v>3</v>
          </cell>
          <cell r="D172">
            <v>39103</v>
          </cell>
          <cell r="E172">
            <v>39131</v>
          </cell>
          <cell r="F172">
            <v>39109</v>
          </cell>
          <cell r="G172">
            <v>1</v>
          </cell>
          <cell r="H172">
            <v>44.12</v>
          </cell>
          <cell r="I172" t="str">
            <v>Ship to 88-C</v>
          </cell>
          <cell r="J172" t="str">
            <v>Rua do Mercado, 6789</v>
          </cell>
          <cell r="K172" t="str">
            <v>Resende</v>
          </cell>
          <cell r="L172" t="str">
            <v>SP</v>
          </cell>
          <cell r="M172">
            <v>10355</v>
          </cell>
          <cell r="N172" t="str">
            <v>Brazil</v>
          </cell>
        </row>
        <row r="173">
          <cell r="A173">
            <v>10421</v>
          </cell>
          <cell r="B173">
            <v>61</v>
          </cell>
          <cell r="C173">
            <v>8</v>
          </cell>
          <cell r="D173">
            <v>39103</v>
          </cell>
          <cell r="E173">
            <v>39145</v>
          </cell>
          <cell r="F173">
            <v>39109</v>
          </cell>
          <cell r="G173">
            <v>1</v>
          </cell>
          <cell r="H173">
            <v>99.23</v>
          </cell>
          <cell r="I173" t="str">
            <v>Ship to 61-C</v>
          </cell>
          <cell r="J173" t="str">
            <v>Rua da Panificadora, 7890</v>
          </cell>
          <cell r="K173" t="str">
            <v>Rio de Janeiro</v>
          </cell>
          <cell r="L173" t="str">
            <v>RJ</v>
          </cell>
          <cell r="M173">
            <v>10275</v>
          </cell>
          <cell r="N173" t="str">
            <v>Brazil</v>
          </cell>
        </row>
        <row r="174">
          <cell r="A174">
            <v>10422</v>
          </cell>
          <cell r="B174">
            <v>27</v>
          </cell>
          <cell r="C174">
            <v>2</v>
          </cell>
          <cell r="D174">
            <v>39104</v>
          </cell>
          <cell r="E174">
            <v>39132</v>
          </cell>
          <cell r="F174">
            <v>39113</v>
          </cell>
          <cell r="G174">
            <v>1</v>
          </cell>
          <cell r="H174">
            <v>3.02</v>
          </cell>
          <cell r="I174" t="str">
            <v>Destination FFLQT</v>
          </cell>
          <cell r="J174" t="str">
            <v>Via Monte Bianco 6789</v>
          </cell>
          <cell r="K174" t="str">
            <v>Torino</v>
          </cell>
          <cell r="M174">
            <v>10174</v>
          </cell>
          <cell r="N174" t="str">
            <v>Italy</v>
          </cell>
        </row>
        <row r="175">
          <cell r="A175">
            <v>10423</v>
          </cell>
          <cell r="B175">
            <v>31</v>
          </cell>
          <cell r="C175">
            <v>6</v>
          </cell>
          <cell r="D175">
            <v>39105</v>
          </cell>
          <cell r="E175">
            <v>39119</v>
          </cell>
          <cell r="F175">
            <v>39137</v>
          </cell>
          <cell r="G175">
            <v>3</v>
          </cell>
          <cell r="H175">
            <v>24.5</v>
          </cell>
          <cell r="I175" t="str">
            <v>Destination VNIAG</v>
          </cell>
          <cell r="J175" t="str">
            <v>Av. Brasil, 9012</v>
          </cell>
          <cell r="K175" t="str">
            <v>Campinas</v>
          </cell>
          <cell r="L175" t="str">
            <v>SP</v>
          </cell>
          <cell r="M175">
            <v>10187</v>
          </cell>
          <cell r="N175" t="str">
            <v>Brazil</v>
          </cell>
        </row>
        <row r="176">
          <cell r="A176">
            <v>10424</v>
          </cell>
          <cell r="B176">
            <v>51</v>
          </cell>
          <cell r="C176">
            <v>7</v>
          </cell>
          <cell r="D176">
            <v>39105</v>
          </cell>
          <cell r="E176">
            <v>39133</v>
          </cell>
          <cell r="F176">
            <v>39109</v>
          </cell>
          <cell r="G176">
            <v>2</v>
          </cell>
          <cell r="H176">
            <v>370.61</v>
          </cell>
          <cell r="I176" t="str">
            <v>Ship to 51-C</v>
          </cell>
          <cell r="J176" t="str">
            <v>8901 rue St. Laurent</v>
          </cell>
          <cell r="K176" t="str">
            <v>Montréal</v>
          </cell>
          <cell r="L176" t="str">
            <v>Québec</v>
          </cell>
          <cell r="M176">
            <v>10246</v>
          </cell>
          <cell r="N176" t="str">
            <v>Canada</v>
          </cell>
        </row>
        <row r="177">
          <cell r="A177">
            <v>10425</v>
          </cell>
          <cell r="B177">
            <v>41</v>
          </cell>
          <cell r="C177">
            <v>6</v>
          </cell>
          <cell r="D177">
            <v>39106</v>
          </cell>
          <cell r="E177">
            <v>39134</v>
          </cell>
          <cell r="F177">
            <v>39127</v>
          </cell>
          <cell r="G177">
            <v>2</v>
          </cell>
          <cell r="H177">
            <v>7.93</v>
          </cell>
          <cell r="I177" t="str">
            <v>Destination DWJIO</v>
          </cell>
          <cell r="J177" t="str">
            <v>9012 rue Alsace-Lorraine</v>
          </cell>
          <cell r="K177" t="str">
            <v>Toulouse</v>
          </cell>
          <cell r="M177">
            <v>10217</v>
          </cell>
          <cell r="N177" t="str">
            <v>France</v>
          </cell>
        </row>
        <row r="178">
          <cell r="A178">
            <v>10426</v>
          </cell>
          <cell r="B178">
            <v>29</v>
          </cell>
          <cell r="C178">
            <v>4</v>
          </cell>
          <cell r="D178">
            <v>39109</v>
          </cell>
          <cell r="E178">
            <v>39137</v>
          </cell>
          <cell r="F178">
            <v>39119</v>
          </cell>
          <cell r="G178">
            <v>1</v>
          </cell>
          <cell r="H178">
            <v>18.690000000000001</v>
          </cell>
          <cell r="I178" t="str">
            <v>Destination WOFLH</v>
          </cell>
          <cell r="J178" t="str">
            <v>Rambla de Cataluña, 1234</v>
          </cell>
          <cell r="K178" t="str">
            <v>Barcelona</v>
          </cell>
          <cell r="M178">
            <v>10179</v>
          </cell>
          <cell r="N178" t="str">
            <v>Spain</v>
          </cell>
        </row>
        <row r="179">
          <cell r="A179">
            <v>10427</v>
          </cell>
          <cell r="B179">
            <v>59</v>
          </cell>
          <cell r="C179">
            <v>4</v>
          </cell>
          <cell r="D179">
            <v>39109</v>
          </cell>
          <cell r="E179">
            <v>39137</v>
          </cell>
          <cell r="F179">
            <v>39144</v>
          </cell>
          <cell r="G179">
            <v>2</v>
          </cell>
          <cell r="H179">
            <v>31.29</v>
          </cell>
          <cell r="I179" t="str">
            <v>Ship to 59-C</v>
          </cell>
          <cell r="J179" t="str">
            <v>Geislweg 8901</v>
          </cell>
          <cell r="K179" t="str">
            <v>Salzburg</v>
          </cell>
          <cell r="M179">
            <v>10266</v>
          </cell>
          <cell r="N179" t="str">
            <v>Austria</v>
          </cell>
        </row>
        <row r="180">
          <cell r="A180">
            <v>10428</v>
          </cell>
          <cell r="B180">
            <v>66</v>
          </cell>
          <cell r="C180">
            <v>7</v>
          </cell>
          <cell r="D180">
            <v>39110</v>
          </cell>
          <cell r="E180">
            <v>39138</v>
          </cell>
          <cell r="F180">
            <v>39117</v>
          </cell>
          <cell r="G180">
            <v>1</v>
          </cell>
          <cell r="H180">
            <v>11.09</v>
          </cell>
          <cell r="I180" t="str">
            <v>Ship to 66-C</v>
          </cell>
          <cell r="J180" t="str">
            <v>Strada Provinciale 2345</v>
          </cell>
          <cell r="K180" t="str">
            <v>Reggio Emilia</v>
          </cell>
          <cell r="M180">
            <v>10290</v>
          </cell>
          <cell r="N180" t="str">
            <v>Italy</v>
          </cell>
        </row>
        <row r="181">
          <cell r="A181">
            <v>10429</v>
          </cell>
          <cell r="B181">
            <v>37</v>
          </cell>
          <cell r="C181">
            <v>3</v>
          </cell>
          <cell r="D181">
            <v>39111</v>
          </cell>
          <cell r="E181">
            <v>39153</v>
          </cell>
          <cell r="F181">
            <v>39120</v>
          </cell>
          <cell r="G181">
            <v>2</v>
          </cell>
          <cell r="H181">
            <v>56.63</v>
          </cell>
          <cell r="I181" t="str">
            <v>Destination DGKOU</v>
          </cell>
          <cell r="J181" t="str">
            <v>6789 Johnstown Road</v>
          </cell>
          <cell r="K181" t="str">
            <v>Cork</v>
          </cell>
          <cell r="L181" t="str">
            <v>Co. Cork</v>
          </cell>
          <cell r="M181">
            <v>10204</v>
          </cell>
          <cell r="N181" t="str">
            <v>Ireland</v>
          </cell>
        </row>
        <row r="182">
          <cell r="A182">
            <v>10430</v>
          </cell>
          <cell r="B182">
            <v>20</v>
          </cell>
          <cell r="C182">
            <v>4</v>
          </cell>
          <cell r="D182">
            <v>39112</v>
          </cell>
          <cell r="E182">
            <v>39126</v>
          </cell>
          <cell r="F182">
            <v>39116</v>
          </cell>
          <cell r="G182">
            <v>1</v>
          </cell>
          <cell r="H182">
            <v>458.78</v>
          </cell>
          <cell r="I182" t="str">
            <v>Destination CUVPF</v>
          </cell>
          <cell r="J182" t="str">
            <v>Kirchgasse 1234</v>
          </cell>
          <cell r="K182" t="str">
            <v>Graz</v>
          </cell>
          <cell r="M182">
            <v>10159</v>
          </cell>
          <cell r="N182" t="str">
            <v>Austria</v>
          </cell>
        </row>
        <row r="183">
          <cell r="A183">
            <v>10431</v>
          </cell>
          <cell r="B183">
            <v>10</v>
          </cell>
          <cell r="C183">
            <v>4</v>
          </cell>
          <cell r="D183">
            <v>39112</v>
          </cell>
          <cell r="E183">
            <v>39126</v>
          </cell>
          <cell r="F183">
            <v>39120</v>
          </cell>
          <cell r="G183">
            <v>2</v>
          </cell>
          <cell r="H183">
            <v>44.17</v>
          </cell>
          <cell r="I183" t="str">
            <v>Destination OLSSJ</v>
          </cell>
          <cell r="J183" t="str">
            <v>2345 Tsawassen Blvd.</v>
          </cell>
          <cell r="K183" t="str">
            <v>Tsawassen</v>
          </cell>
          <cell r="L183" t="str">
            <v>BC</v>
          </cell>
          <cell r="M183">
            <v>10130</v>
          </cell>
          <cell r="N183" t="str">
            <v>Canada</v>
          </cell>
        </row>
        <row r="184">
          <cell r="A184">
            <v>10432</v>
          </cell>
          <cell r="B184">
            <v>75</v>
          </cell>
          <cell r="C184">
            <v>3</v>
          </cell>
          <cell r="D184">
            <v>39113</v>
          </cell>
          <cell r="E184">
            <v>39127</v>
          </cell>
          <cell r="F184">
            <v>39120</v>
          </cell>
          <cell r="G184">
            <v>2</v>
          </cell>
          <cell r="H184">
            <v>4.34</v>
          </cell>
          <cell r="I184" t="str">
            <v>Ship to 75-A</v>
          </cell>
          <cell r="J184" t="str">
            <v>P.O. Box 5678</v>
          </cell>
          <cell r="K184" t="str">
            <v>Lander</v>
          </cell>
          <cell r="L184" t="str">
            <v>WY</v>
          </cell>
          <cell r="M184">
            <v>10314</v>
          </cell>
          <cell r="N184" t="str">
            <v>USA</v>
          </cell>
        </row>
        <row r="185">
          <cell r="A185">
            <v>10433</v>
          </cell>
          <cell r="B185">
            <v>60</v>
          </cell>
          <cell r="C185">
            <v>3</v>
          </cell>
          <cell r="D185">
            <v>39116</v>
          </cell>
          <cell r="E185">
            <v>39144</v>
          </cell>
          <cell r="F185">
            <v>39145</v>
          </cell>
          <cell r="G185">
            <v>3</v>
          </cell>
          <cell r="H185">
            <v>73.83</v>
          </cell>
          <cell r="I185" t="str">
            <v>Ship to 60-A</v>
          </cell>
          <cell r="J185" t="str">
            <v>Estrada da saúde n. 2345</v>
          </cell>
          <cell r="K185" t="str">
            <v>Lisboa</v>
          </cell>
          <cell r="M185">
            <v>10270</v>
          </cell>
          <cell r="N185" t="str">
            <v>Portugal</v>
          </cell>
        </row>
        <row r="186">
          <cell r="A186">
            <v>10434</v>
          </cell>
          <cell r="B186">
            <v>24</v>
          </cell>
          <cell r="C186">
            <v>3</v>
          </cell>
          <cell r="D186">
            <v>39116</v>
          </cell>
          <cell r="E186">
            <v>39144</v>
          </cell>
          <cell r="F186">
            <v>39126</v>
          </cell>
          <cell r="G186">
            <v>2</v>
          </cell>
          <cell r="H186">
            <v>17.920000000000002</v>
          </cell>
          <cell r="I186" t="str">
            <v>Destination NCKKO</v>
          </cell>
          <cell r="J186" t="str">
            <v>Åkergatan 7890</v>
          </cell>
          <cell r="K186" t="str">
            <v>Bräcke</v>
          </cell>
          <cell r="M186">
            <v>10165</v>
          </cell>
          <cell r="N186" t="str">
            <v>Sweden</v>
          </cell>
        </row>
        <row r="187">
          <cell r="A187">
            <v>10435</v>
          </cell>
          <cell r="B187">
            <v>16</v>
          </cell>
          <cell r="C187">
            <v>8</v>
          </cell>
          <cell r="D187">
            <v>39117</v>
          </cell>
          <cell r="E187">
            <v>39159</v>
          </cell>
          <cell r="F187">
            <v>39120</v>
          </cell>
          <cell r="G187">
            <v>2</v>
          </cell>
          <cell r="H187">
            <v>9.2100000000000009</v>
          </cell>
          <cell r="I187" t="str">
            <v>Destination QKQNB</v>
          </cell>
          <cell r="J187" t="str">
            <v>Berkeley Gardens 5678 Brewery</v>
          </cell>
          <cell r="K187" t="str">
            <v>London</v>
          </cell>
          <cell r="M187">
            <v>10143</v>
          </cell>
          <cell r="N187" t="str">
            <v>UK</v>
          </cell>
        </row>
        <row r="188">
          <cell r="A188">
            <v>10436</v>
          </cell>
          <cell r="B188">
            <v>7</v>
          </cell>
          <cell r="C188">
            <v>3</v>
          </cell>
          <cell r="D188">
            <v>39118</v>
          </cell>
          <cell r="E188">
            <v>39146</v>
          </cell>
          <cell r="F188">
            <v>39124</v>
          </cell>
          <cell r="G188">
            <v>2</v>
          </cell>
          <cell r="H188">
            <v>156.66</v>
          </cell>
          <cell r="I188" t="str">
            <v>Ship to 7-C</v>
          </cell>
          <cell r="J188" t="str">
            <v>2345, place Kléber</v>
          </cell>
          <cell r="K188" t="str">
            <v>Strasbourg</v>
          </cell>
          <cell r="M188">
            <v>10331</v>
          </cell>
          <cell r="N188" t="str">
            <v>France</v>
          </cell>
        </row>
        <row r="189">
          <cell r="A189">
            <v>10437</v>
          </cell>
          <cell r="B189">
            <v>87</v>
          </cell>
          <cell r="C189">
            <v>8</v>
          </cell>
          <cell r="D189">
            <v>39118</v>
          </cell>
          <cell r="E189">
            <v>39146</v>
          </cell>
          <cell r="F189">
            <v>39125</v>
          </cell>
          <cell r="G189">
            <v>1</v>
          </cell>
          <cell r="H189">
            <v>19.97</v>
          </cell>
          <cell r="I189" t="str">
            <v>Ship to 87-A</v>
          </cell>
          <cell r="J189" t="str">
            <v>Torikatu 1234</v>
          </cell>
          <cell r="K189" t="str">
            <v>Oulu</v>
          </cell>
          <cell r="M189">
            <v>10350</v>
          </cell>
          <cell r="N189" t="str">
            <v>Finland</v>
          </cell>
        </row>
        <row r="190">
          <cell r="A190">
            <v>10438</v>
          </cell>
          <cell r="B190">
            <v>79</v>
          </cell>
          <cell r="C190">
            <v>3</v>
          </cell>
          <cell r="D190">
            <v>39119</v>
          </cell>
          <cell r="E190">
            <v>39147</v>
          </cell>
          <cell r="F190">
            <v>39127</v>
          </cell>
          <cell r="G190">
            <v>2</v>
          </cell>
          <cell r="H190">
            <v>8.24</v>
          </cell>
          <cell r="I190" t="str">
            <v>Ship to 79-A</v>
          </cell>
          <cell r="J190" t="str">
            <v>Luisenstr. 7890</v>
          </cell>
          <cell r="K190" t="str">
            <v>Münster</v>
          </cell>
          <cell r="M190">
            <v>10326</v>
          </cell>
          <cell r="N190" t="str">
            <v>Germany</v>
          </cell>
        </row>
        <row r="191">
          <cell r="A191">
            <v>10439</v>
          </cell>
          <cell r="B191">
            <v>51</v>
          </cell>
          <cell r="C191">
            <v>6</v>
          </cell>
          <cell r="D191">
            <v>39120</v>
          </cell>
          <cell r="E191">
            <v>39148</v>
          </cell>
          <cell r="F191">
            <v>39123</v>
          </cell>
          <cell r="G191">
            <v>3</v>
          </cell>
          <cell r="H191">
            <v>4.07</v>
          </cell>
          <cell r="I191" t="str">
            <v>Ship to 51-C</v>
          </cell>
          <cell r="J191" t="str">
            <v>8901 rue St. Laurent</v>
          </cell>
          <cell r="K191" t="str">
            <v>Montréal</v>
          </cell>
          <cell r="L191" t="str">
            <v>Québec</v>
          </cell>
          <cell r="M191">
            <v>10246</v>
          </cell>
          <cell r="N191" t="str">
            <v>Canada</v>
          </cell>
        </row>
        <row r="192">
          <cell r="A192">
            <v>10440</v>
          </cell>
          <cell r="B192">
            <v>71</v>
          </cell>
          <cell r="C192">
            <v>4</v>
          </cell>
          <cell r="D192">
            <v>39123</v>
          </cell>
          <cell r="E192">
            <v>39151</v>
          </cell>
          <cell r="F192">
            <v>39141</v>
          </cell>
          <cell r="G192">
            <v>2</v>
          </cell>
          <cell r="H192">
            <v>86.53</v>
          </cell>
          <cell r="I192" t="str">
            <v>Ship to 71-B</v>
          </cell>
          <cell r="J192" t="str">
            <v>8901 Suffolk Ln.</v>
          </cell>
          <cell r="K192" t="str">
            <v>Boise</v>
          </cell>
          <cell r="L192" t="str">
            <v>ID</v>
          </cell>
          <cell r="M192">
            <v>10306</v>
          </cell>
          <cell r="N192" t="str">
            <v>USA</v>
          </cell>
        </row>
        <row r="193">
          <cell r="A193">
            <v>10441</v>
          </cell>
          <cell r="B193">
            <v>55</v>
          </cell>
          <cell r="C193">
            <v>3</v>
          </cell>
          <cell r="D193">
            <v>39123</v>
          </cell>
          <cell r="E193">
            <v>39165</v>
          </cell>
          <cell r="F193">
            <v>39155</v>
          </cell>
          <cell r="G193">
            <v>2</v>
          </cell>
          <cell r="H193">
            <v>73.02</v>
          </cell>
          <cell r="I193" t="str">
            <v>Ship to 55-C</v>
          </cell>
          <cell r="J193" t="str">
            <v>9012 Bering St.</v>
          </cell>
          <cell r="K193" t="str">
            <v>Anchorage</v>
          </cell>
          <cell r="L193" t="str">
            <v>AK</v>
          </cell>
          <cell r="M193">
            <v>10257</v>
          </cell>
          <cell r="N193" t="str">
            <v>USA</v>
          </cell>
        </row>
        <row r="194">
          <cell r="A194">
            <v>10442</v>
          </cell>
          <cell r="B194">
            <v>20</v>
          </cell>
          <cell r="C194">
            <v>3</v>
          </cell>
          <cell r="D194">
            <v>39124</v>
          </cell>
          <cell r="E194">
            <v>39152</v>
          </cell>
          <cell r="F194">
            <v>39131</v>
          </cell>
          <cell r="G194">
            <v>2</v>
          </cell>
          <cell r="H194">
            <v>47.94</v>
          </cell>
          <cell r="I194" t="str">
            <v>Destination RVDMF</v>
          </cell>
          <cell r="J194" t="str">
            <v>Kirchgasse 9012</v>
          </cell>
          <cell r="K194" t="str">
            <v>Graz</v>
          </cell>
          <cell r="M194">
            <v>10157</v>
          </cell>
          <cell r="N194" t="str">
            <v>Austria</v>
          </cell>
        </row>
        <row r="195">
          <cell r="A195">
            <v>10443</v>
          </cell>
          <cell r="B195">
            <v>66</v>
          </cell>
          <cell r="C195">
            <v>8</v>
          </cell>
          <cell r="D195">
            <v>39125</v>
          </cell>
          <cell r="E195">
            <v>39153</v>
          </cell>
          <cell r="F195">
            <v>39127</v>
          </cell>
          <cell r="G195">
            <v>1</v>
          </cell>
          <cell r="H195">
            <v>13.95</v>
          </cell>
          <cell r="I195" t="str">
            <v>Ship to 66-C</v>
          </cell>
          <cell r="J195" t="str">
            <v>Strada Provinciale 2345</v>
          </cell>
          <cell r="K195" t="str">
            <v>Reggio Emilia</v>
          </cell>
          <cell r="M195">
            <v>10290</v>
          </cell>
          <cell r="N195" t="str">
            <v>Italy</v>
          </cell>
        </row>
        <row r="196">
          <cell r="A196">
            <v>10444</v>
          </cell>
          <cell r="B196">
            <v>5</v>
          </cell>
          <cell r="C196">
            <v>3</v>
          </cell>
          <cell r="D196">
            <v>39125</v>
          </cell>
          <cell r="E196">
            <v>39153</v>
          </cell>
          <cell r="F196">
            <v>39134</v>
          </cell>
          <cell r="G196">
            <v>3</v>
          </cell>
          <cell r="H196">
            <v>3.5</v>
          </cell>
          <cell r="I196" t="str">
            <v>Ship to 5-B</v>
          </cell>
          <cell r="J196" t="str">
            <v>Berguvsvägen 0123</v>
          </cell>
          <cell r="K196" t="str">
            <v>Luleå</v>
          </cell>
          <cell r="M196">
            <v>10268</v>
          </cell>
          <cell r="N196" t="str">
            <v>Sweden</v>
          </cell>
        </row>
        <row r="197">
          <cell r="A197">
            <v>10445</v>
          </cell>
          <cell r="B197">
            <v>5</v>
          </cell>
          <cell r="C197">
            <v>3</v>
          </cell>
          <cell r="D197">
            <v>39126</v>
          </cell>
          <cell r="E197">
            <v>39154</v>
          </cell>
          <cell r="F197">
            <v>39133</v>
          </cell>
          <cell r="G197">
            <v>1</v>
          </cell>
          <cell r="H197">
            <v>9.3000000000000007</v>
          </cell>
          <cell r="I197" t="str">
            <v>Ship to 5-A</v>
          </cell>
          <cell r="J197" t="str">
            <v>Berguvsvägen 9012</v>
          </cell>
          <cell r="K197" t="str">
            <v>Luleå</v>
          </cell>
          <cell r="M197">
            <v>10267</v>
          </cell>
          <cell r="N197" t="str">
            <v>Sweden</v>
          </cell>
        </row>
        <row r="198">
          <cell r="A198">
            <v>10446</v>
          </cell>
          <cell r="B198">
            <v>79</v>
          </cell>
          <cell r="C198">
            <v>6</v>
          </cell>
          <cell r="D198">
            <v>39127</v>
          </cell>
          <cell r="E198">
            <v>39155</v>
          </cell>
          <cell r="F198">
            <v>39132</v>
          </cell>
          <cell r="G198">
            <v>1</v>
          </cell>
          <cell r="H198">
            <v>14.68</v>
          </cell>
          <cell r="I198" t="str">
            <v>Ship to 79-C</v>
          </cell>
          <cell r="J198" t="str">
            <v>Luisenstr. 9012</v>
          </cell>
          <cell r="K198" t="str">
            <v>Münster</v>
          </cell>
          <cell r="M198">
            <v>10328</v>
          </cell>
          <cell r="N198" t="str">
            <v>Germany</v>
          </cell>
        </row>
        <row r="199">
          <cell r="A199">
            <v>10447</v>
          </cell>
          <cell r="B199">
            <v>67</v>
          </cell>
          <cell r="C199">
            <v>4</v>
          </cell>
          <cell r="D199">
            <v>39127</v>
          </cell>
          <cell r="E199">
            <v>39155</v>
          </cell>
          <cell r="F199">
            <v>39148</v>
          </cell>
          <cell r="G199">
            <v>2</v>
          </cell>
          <cell r="H199">
            <v>68.66</v>
          </cell>
          <cell r="I199" t="str">
            <v>Ship to 67-C</v>
          </cell>
          <cell r="J199" t="str">
            <v>Av. Copacabana, 5678</v>
          </cell>
          <cell r="K199" t="str">
            <v>Rio de Janeiro</v>
          </cell>
          <cell r="L199" t="str">
            <v>RJ</v>
          </cell>
          <cell r="M199">
            <v>10293</v>
          </cell>
          <cell r="N199" t="str">
            <v>Brazil</v>
          </cell>
        </row>
        <row r="200">
          <cell r="A200">
            <v>10448</v>
          </cell>
          <cell r="B200">
            <v>64</v>
          </cell>
          <cell r="C200">
            <v>4</v>
          </cell>
          <cell r="D200">
            <v>39130</v>
          </cell>
          <cell r="E200">
            <v>39158</v>
          </cell>
          <cell r="F200">
            <v>39137</v>
          </cell>
          <cell r="G200">
            <v>2</v>
          </cell>
          <cell r="H200">
            <v>38.82</v>
          </cell>
          <cell r="I200" t="str">
            <v>Ship to 64-A</v>
          </cell>
          <cell r="J200" t="str">
            <v>Av. del Libertador 4567</v>
          </cell>
          <cell r="K200" t="str">
            <v>Buenos Aires</v>
          </cell>
          <cell r="M200">
            <v>10282</v>
          </cell>
          <cell r="N200" t="str">
            <v>Argentina</v>
          </cell>
        </row>
        <row r="201">
          <cell r="A201">
            <v>10449</v>
          </cell>
          <cell r="B201">
            <v>7</v>
          </cell>
          <cell r="C201">
            <v>3</v>
          </cell>
          <cell r="D201">
            <v>39131</v>
          </cell>
          <cell r="E201">
            <v>39159</v>
          </cell>
          <cell r="F201">
            <v>39140</v>
          </cell>
          <cell r="G201">
            <v>2</v>
          </cell>
          <cell r="H201">
            <v>53.3</v>
          </cell>
          <cell r="I201" t="str">
            <v>Ship to 7-C</v>
          </cell>
          <cell r="J201" t="str">
            <v>2345, place Kléber</v>
          </cell>
          <cell r="K201" t="str">
            <v>Strasbourg</v>
          </cell>
          <cell r="M201">
            <v>10331</v>
          </cell>
          <cell r="N201" t="str">
            <v>France</v>
          </cell>
        </row>
        <row r="202">
          <cell r="A202">
            <v>10450</v>
          </cell>
          <cell r="B202">
            <v>84</v>
          </cell>
          <cell r="C202">
            <v>8</v>
          </cell>
          <cell r="D202">
            <v>39132</v>
          </cell>
          <cell r="E202">
            <v>39160</v>
          </cell>
          <cell r="F202">
            <v>39152</v>
          </cell>
          <cell r="G202">
            <v>2</v>
          </cell>
          <cell r="H202">
            <v>7.23</v>
          </cell>
          <cell r="I202" t="str">
            <v>Ship to 84-C</v>
          </cell>
          <cell r="J202" t="str">
            <v>5678, rue du Commerce</v>
          </cell>
          <cell r="K202" t="str">
            <v>Lyon</v>
          </cell>
          <cell r="M202">
            <v>10344</v>
          </cell>
          <cell r="N202" t="str">
            <v>France</v>
          </cell>
        </row>
        <row r="203">
          <cell r="A203">
            <v>10451</v>
          </cell>
          <cell r="B203">
            <v>63</v>
          </cell>
          <cell r="C203">
            <v>4</v>
          </cell>
          <cell r="D203">
            <v>39132</v>
          </cell>
          <cell r="E203">
            <v>39146</v>
          </cell>
          <cell r="F203">
            <v>39153</v>
          </cell>
          <cell r="G203">
            <v>3</v>
          </cell>
          <cell r="H203">
            <v>189.09</v>
          </cell>
          <cell r="I203" t="str">
            <v>Ship to 63-C</v>
          </cell>
          <cell r="J203" t="str">
            <v>Taucherstraße 3456</v>
          </cell>
          <cell r="K203" t="str">
            <v>Cunewalde</v>
          </cell>
          <cell r="M203">
            <v>10281</v>
          </cell>
          <cell r="N203" t="str">
            <v>Germany</v>
          </cell>
        </row>
        <row r="204">
          <cell r="A204">
            <v>10452</v>
          </cell>
          <cell r="B204">
            <v>71</v>
          </cell>
          <cell r="C204">
            <v>8</v>
          </cell>
          <cell r="D204">
            <v>39133</v>
          </cell>
          <cell r="E204">
            <v>39161</v>
          </cell>
          <cell r="F204">
            <v>39139</v>
          </cell>
          <cell r="G204">
            <v>1</v>
          </cell>
          <cell r="H204">
            <v>140.26</v>
          </cell>
          <cell r="I204" t="str">
            <v>Ship to 71-B</v>
          </cell>
          <cell r="J204" t="str">
            <v>8901 Suffolk Ln.</v>
          </cell>
          <cell r="K204" t="str">
            <v>Boise</v>
          </cell>
          <cell r="L204" t="str">
            <v>ID</v>
          </cell>
          <cell r="M204">
            <v>10306</v>
          </cell>
          <cell r="N204" t="str">
            <v>USA</v>
          </cell>
        </row>
        <row r="205">
          <cell r="A205">
            <v>10453</v>
          </cell>
          <cell r="B205">
            <v>4</v>
          </cell>
          <cell r="C205">
            <v>1</v>
          </cell>
          <cell r="D205">
            <v>39134</v>
          </cell>
          <cell r="E205">
            <v>39162</v>
          </cell>
          <cell r="F205">
            <v>39139</v>
          </cell>
          <cell r="G205">
            <v>2</v>
          </cell>
          <cell r="H205">
            <v>25.36</v>
          </cell>
          <cell r="I205" t="str">
            <v>Ship to 4-C</v>
          </cell>
          <cell r="J205" t="str">
            <v>Brook Farm Stratford St. Mary 2345</v>
          </cell>
          <cell r="K205" t="str">
            <v>Colchester</v>
          </cell>
          <cell r="L205" t="str">
            <v>Essex</v>
          </cell>
          <cell r="M205">
            <v>10240</v>
          </cell>
          <cell r="N205" t="str">
            <v>UK</v>
          </cell>
        </row>
        <row r="206">
          <cell r="A206">
            <v>10454</v>
          </cell>
          <cell r="B206">
            <v>41</v>
          </cell>
          <cell r="C206">
            <v>4</v>
          </cell>
          <cell r="D206">
            <v>39134</v>
          </cell>
          <cell r="E206">
            <v>39162</v>
          </cell>
          <cell r="F206">
            <v>39138</v>
          </cell>
          <cell r="G206">
            <v>3</v>
          </cell>
          <cell r="H206">
            <v>2.74</v>
          </cell>
          <cell r="I206" t="str">
            <v>Ship to 41-C</v>
          </cell>
          <cell r="J206" t="str">
            <v>0123 rue Alsace-Lorraine</v>
          </cell>
          <cell r="K206" t="str">
            <v>Toulouse</v>
          </cell>
          <cell r="M206">
            <v>10218</v>
          </cell>
          <cell r="N206" t="str">
            <v>France</v>
          </cell>
        </row>
        <row r="207">
          <cell r="A207">
            <v>10455</v>
          </cell>
          <cell r="B207">
            <v>87</v>
          </cell>
          <cell r="C207">
            <v>8</v>
          </cell>
          <cell r="D207">
            <v>39137</v>
          </cell>
          <cell r="E207">
            <v>39179</v>
          </cell>
          <cell r="F207">
            <v>39144</v>
          </cell>
          <cell r="G207">
            <v>2</v>
          </cell>
          <cell r="H207">
            <v>180.45</v>
          </cell>
          <cell r="I207" t="str">
            <v>Ship to 87-B</v>
          </cell>
          <cell r="J207" t="str">
            <v>Torikatu 2345</v>
          </cell>
          <cell r="K207" t="str">
            <v>Oulu</v>
          </cell>
          <cell r="M207">
            <v>10351</v>
          </cell>
          <cell r="N207" t="str">
            <v>Finland</v>
          </cell>
        </row>
        <row r="208">
          <cell r="A208">
            <v>10456</v>
          </cell>
          <cell r="B208">
            <v>39</v>
          </cell>
          <cell r="C208">
            <v>8</v>
          </cell>
          <cell r="D208">
            <v>39138</v>
          </cell>
          <cell r="E208">
            <v>39180</v>
          </cell>
          <cell r="F208">
            <v>39141</v>
          </cell>
          <cell r="G208">
            <v>2</v>
          </cell>
          <cell r="H208">
            <v>8.1199999999999992</v>
          </cell>
          <cell r="I208" t="str">
            <v>Destination DKMQA</v>
          </cell>
          <cell r="J208" t="str">
            <v>Maubelstr. 0123</v>
          </cell>
          <cell r="K208" t="str">
            <v>Brandenburg</v>
          </cell>
          <cell r="M208">
            <v>10208</v>
          </cell>
          <cell r="N208" t="str">
            <v>Germany</v>
          </cell>
        </row>
        <row r="209">
          <cell r="A209">
            <v>10457</v>
          </cell>
          <cell r="B209">
            <v>39</v>
          </cell>
          <cell r="C209">
            <v>2</v>
          </cell>
          <cell r="D209">
            <v>39138</v>
          </cell>
          <cell r="E209">
            <v>39166</v>
          </cell>
          <cell r="F209">
            <v>39144</v>
          </cell>
          <cell r="G209">
            <v>1</v>
          </cell>
          <cell r="H209">
            <v>11.57</v>
          </cell>
          <cell r="I209" t="str">
            <v>Destination RMBHM</v>
          </cell>
          <cell r="J209" t="str">
            <v>Maubelstr. 1234</v>
          </cell>
          <cell r="K209" t="str">
            <v>Brandenburg</v>
          </cell>
          <cell r="M209">
            <v>10209</v>
          </cell>
          <cell r="N209" t="str">
            <v>Germany</v>
          </cell>
        </row>
        <row r="210">
          <cell r="A210">
            <v>10458</v>
          </cell>
          <cell r="B210">
            <v>76</v>
          </cell>
          <cell r="C210">
            <v>7</v>
          </cell>
          <cell r="D210">
            <v>39139</v>
          </cell>
          <cell r="E210">
            <v>39167</v>
          </cell>
          <cell r="F210">
            <v>39145</v>
          </cell>
          <cell r="G210">
            <v>3</v>
          </cell>
          <cell r="H210">
            <v>147.06</v>
          </cell>
          <cell r="I210" t="str">
            <v>Ship to 76-A</v>
          </cell>
          <cell r="J210" t="str">
            <v>Boulevard Tirou, 8901</v>
          </cell>
          <cell r="K210" t="str">
            <v>Charleroi</v>
          </cell>
          <cell r="M210">
            <v>10317</v>
          </cell>
          <cell r="N210" t="str">
            <v>Belgium</v>
          </cell>
        </row>
        <row r="211">
          <cell r="A211">
            <v>10459</v>
          </cell>
          <cell r="B211">
            <v>84</v>
          </cell>
          <cell r="C211">
            <v>4</v>
          </cell>
          <cell r="D211">
            <v>39140</v>
          </cell>
          <cell r="E211">
            <v>39168</v>
          </cell>
          <cell r="F211">
            <v>39141</v>
          </cell>
          <cell r="G211">
            <v>2</v>
          </cell>
          <cell r="H211">
            <v>25.09</v>
          </cell>
          <cell r="I211" t="str">
            <v>Ship to 84-B</v>
          </cell>
          <cell r="J211" t="str">
            <v>4567, rue du Commerce</v>
          </cell>
          <cell r="K211" t="str">
            <v>Lyon</v>
          </cell>
          <cell r="M211">
            <v>10343</v>
          </cell>
          <cell r="N211" t="str">
            <v>France</v>
          </cell>
        </row>
        <row r="212">
          <cell r="A212">
            <v>10460</v>
          </cell>
          <cell r="B212">
            <v>24</v>
          </cell>
          <cell r="C212">
            <v>8</v>
          </cell>
          <cell r="D212">
            <v>39141</v>
          </cell>
          <cell r="E212">
            <v>39169</v>
          </cell>
          <cell r="F212">
            <v>39144</v>
          </cell>
          <cell r="G212">
            <v>1</v>
          </cell>
          <cell r="H212">
            <v>16.27</v>
          </cell>
          <cell r="I212" t="str">
            <v>Destination YCMPK</v>
          </cell>
          <cell r="J212" t="str">
            <v>Åkergatan 8901</v>
          </cell>
          <cell r="K212" t="str">
            <v>Bräcke</v>
          </cell>
          <cell r="M212">
            <v>10166</v>
          </cell>
          <cell r="N212" t="str">
            <v>Sweden</v>
          </cell>
        </row>
        <row r="213">
          <cell r="A213">
            <v>10461</v>
          </cell>
          <cell r="B213">
            <v>46</v>
          </cell>
          <cell r="C213">
            <v>1</v>
          </cell>
          <cell r="D213">
            <v>39141</v>
          </cell>
          <cell r="E213">
            <v>39169</v>
          </cell>
          <cell r="F213">
            <v>39146</v>
          </cell>
          <cell r="G213">
            <v>3</v>
          </cell>
          <cell r="H213">
            <v>148.61000000000001</v>
          </cell>
          <cell r="I213" t="str">
            <v>Ship to 46-A</v>
          </cell>
          <cell r="J213" t="str">
            <v>Carrera 0123 con Ave. Bolívar #65-98 Llano Largo</v>
          </cell>
          <cell r="K213" t="str">
            <v>Barquisimeto</v>
          </cell>
          <cell r="L213" t="str">
            <v>Lara</v>
          </cell>
          <cell r="M213">
            <v>10227</v>
          </cell>
          <cell r="N213" t="str">
            <v>Venezuela</v>
          </cell>
        </row>
        <row r="214">
          <cell r="A214">
            <v>10462</v>
          </cell>
          <cell r="B214">
            <v>16</v>
          </cell>
          <cell r="C214">
            <v>2</v>
          </cell>
          <cell r="D214">
            <v>39144</v>
          </cell>
          <cell r="E214">
            <v>39172</v>
          </cell>
          <cell r="F214">
            <v>39159</v>
          </cell>
          <cell r="G214">
            <v>1</v>
          </cell>
          <cell r="H214">
            <v>6.17</v>
          </cell>
          <cell r="I214" t="str">
            <v>Destination ARRMM</v>
          </cell>
          <cell r="J214" t="str">
            <v>Berkeley Gardens 6789 Brewery</v>
          </cell>
          <cell r="K214" t="str">
            <v>London</v>
          </cell>
          <cell r="M214">
            <v>10144</v>
          </cell>
          <cell r="N214" t="str">
            <v>UK</v>
          </cell>
        </row>
        <row r="215">
          <cell r="A215">
            <v>10463</v>
          </cell>
          <cell r="B215">
            <v>76</v>
          </cell>
          <cell r="C215">
            <v>5</v>
          </cell>
          <cell r="D215">
            <v>39145</v>
          </cell>
          <cell r="E215">
            <v>39173</v>
          </cell>
          <cell r="F215">
            <v>39147</v>
          </cell>
          <cell r="G215">
            <v>3</v>
          </cell>
          <cell r="H215">
            <v>14.78</v>
          </cell>
          <cell r="I215" t="str">
            <v>Ship to 76-B</v>
          </cell>
          <cell r="J215" t="str">
            <v>Boulevard Tirou, 9012</v>
          </cell>
          <cell r="K215" t="str">
            <v>Charleroi</v>
          </cell>
          <cell r="M215">
            <v>10318</v>
          </cell>
          <cell r="N215" t="str">
            <v>Belgium</v>
          </cell>
        </row>
        <row r="216">
          <cell r="A216">
            <v>10464</v>
          </cell>
          <cell r="B216">
            <v>28</v>
          </cell>
          <cell r="C216">
            <v>4</v>
          </cell>
          <cell r="D216">
            <v>39145</v>
          </cell>
          <cell r="E216">
            <v>39173</v>
          </cell>
          <cell r="F216">
            <v>39155</v>
          </cell>
          <cell r="G216">
            <v>2</v>
          </cell>
          <cell r="H216">
            <v>89</v>
          </cell>
          <cell r="I216" t="str">
            <v>Destination OTSWR</v>
          </cell>
          <cell r="J216" t="str">
            <v>Jardim das rosas n. 9012</v>
          </cell>
          <cell r="K216" t="str">
            <v>Lisboa</v>
          </cell>
          <cell r="M216">
            <v>10177</v>
          </cell>
          <cell r="N216" t="str">
            <v>Portugal</v>
          </cell>
        </row>
        <row r="217">
          <cell r="A217">
            <v>10465</v>
          </cell>
          <cell r="B217">
            <v>83</v>
          </cell>
          <cell r="C217">
            <v>1</v>
          </cell>
          <cell r="D217">
            <v>39146</v>
          </cell>
          <cell r="E217">
            <v>39174</v>
          </cell>
          <cell r="F217">
            <v>39155</v>
          </cell>
          <cell r="G217">
            <v>3</v>
          </cell>
          <cell r="H217">
            <v>145.04</v>
          </cell>
          <cell r="I217" t="str">
            <v>Ship to 83-A</v>
          </cell>
          <cell r="J217" t="str">
            <v>Smagsloget 0123</v>
          </cell>
          <cell r="K217" t="str">
            <v>Århus</v>
          </cell>
          <cell r="M217">
            <v>10339</v>
          </cell>
          <cell r="N217" t="str">
            <v>Denmark</v>
          </cell>
        </row>
        <row r="218">
          <cell r="A218">
            <v>10466</v>
          </cell>
          <cell r="B218">
            <v>15</v>
          </cell>
          <cell r="C218">
            <v>4</v>
          </cell>
          <cell r="D218">
            <v>39147</v>
          </cell>
          <cell r="E218">
            <v>39175</v>
          </cell>
          <cell r="F218">
            <v>39154</v>
          </cell>
          <cell r="G218">
            <v>1</v>
          </cell>
          <cell r="H218">
            <v>11.93</v>
          </cell>
          <cell r="I218" t="str">
            <v>Destination GGSQD</v>
          </cell>
          <cell r="J218" t="str">
            <v>Av. dos Lusíadas, 2345</v>
          </cell>
          <cell r="K218" t="str">
            <v>Sao Paulo</v>
          </cell>
          <cell r="L218" t="str">
            <v>SP</v>
          </cell>
          <cell r="M218">
            <v>10140</v>
          </cell>
          <cell r="N218" t="str">
            <v>Brazil</v>
          </cell>
        </row>
        <row r="219">
          <cell r="A219">
            <v>10467</v>
          </cell>
          <cell r="B219">
            <v>49</v>
          </cell>
          <cell r="C219">
            <v>8</v>
          </cell>
          <cell r="D219">
            <v>39147</v>
          </cell>
          <cell r="E219">
            <v>39175</v>
          </cell>
          <cell r="F219">
            <v>39152</v>
          </cell>
          <cell r="G219">
            <v>2</v>
          </cell>
          <cell r="H219">
            <v>4.93</v>
          </cell>
          <cell r="I219" t="str">
            <v>Ship to 49-C</v>
          </cell>
          <cell r="J219" t="str">
            <v>Via Ludovico il Moro 0123</v>
          </cell>
          <cell r="K219" t="str">
            <v>Bergamo</v>
          </cell>
          <cell r="M219">
            <v>10237</v>
          </cell>
          <cell r="N219" t="str">
            <v>Italy</v>
          </cell>
        </row>
        <row r="220">
          <cell r="A220">
            <v>10468</v>
          </cell>
          <cell r="B220">
            <v>39</v>
          </cell>
          <cell r="C220">
            <v>3</v>
          </cell>
          <cell r="D220">
            <v>39148</v>
          </cell>
          <cell r="E220">
            <v>39176</v>
          </cell>
          <cell r="F220">
            <v>39153</v>
          </cell>
          <cell r="G220">
            <v>3</v>
          </cell>
          <cell r="H220">
            <v>44.12</v>
          </cell>
          <cell r="I220" t="str">
            <v>Destination RMBHM</v>
          </cell>
          <cell r="J220" t="str">
            <v>Maubelstr. 1234</v>
          </cell>
          <cell r="K220" t="str">
            <v>Brandenburg</v>
          </cell>
          <cell r="M220">
            <v>10209</v>
          </cell>
          <cell r="N220" t="str">
            <v>Germany</v>
          </cell>
        </row>
        <row r="221">
          <cell r="A221">
            <v>10469</v>
          </cell>
          <cell r="B221">
            <v>89</v>
          </cell>
          <cell r="C221">
            <v>1</v>
          </cell>
          <cell r="D221">
            <v>39151</v>
          </cell>
          <cell r="E221">
            <v>39179</v>
          </cell>
          <cell r="F221">
            <v>39155</v>
          </cell>
          <cell r="G221">
            <v>1</v>
          </cell>
          <cell r="H221">
            <v>60.18</v>
          </cell>
          <cell r="I221" t="str">
            <v>Ship to 89-C</v>
          </cell>
          <cell r="J221" t="str">
            <v>9012 - 12th Ave. S.</v>
          </cell>
          <cell r="K221" t="str">
            <v>Seattle</v>
          </cell>
          <cell r="L221" t="str">
            <v>WA</v>
          </cell>
          <cell r="M221">
            <v>10358</v>
          </cell>
          <cell r="N221" t="str">
            <v>USA</v>
          </cell>
        </row>
        <row r="222">
          <cell r="A222">
            <v>10470</v>
          </cell>
          <cell r="B222">
            <v>9</v>
          </cell>
          <cell r="C222">
            <v>4</v>
          </cell>
          <cell r="D222">
            <v>39152</v>
          </cell>
          <cell r="E222">
            <v>39180</v>
          </cell>
          <cell r="F222">
            <v>39155</v>
          </cell>
          <cell r="G222">
            <v>2</v>
          </cell>
          <cell r="H222">
            <v>64.56</v>
          </cell>
          <cell r="I222" t="str">
            <v>Ship to 9-C</v>
          </cell>
          <cell r="J222" t="str">
            <v>0123, rue des Bouchers</v>
          </cell>
          <cell r="K222" t="str">
            <v>Marseille</v>
          </cell>
          <cell r="M222">
            <v>10369</v>
          </cell>
          <cell r="N222" t="str">
            <v>France</v>
          </cell>
        </row>
        <row r="223">
          <cell r="A223">
            <v>10471</v>
          </cell>
          <cell r="B223">
            <v>11</v>
          </cell>
          <cell r="C223">
            <v>2</v>
          </cell>
          <cell r="D223">
            <v>39152</v>
          </cell>
          <cell r="E223">
            <v>39180</v>
          </cell>
          <cell r="F223">
            <v>39159</v>
          </cell>
          <cell r="G223">
            <v>3</v>
          </cell>
          <cell r="H223">
            <v>45.59</v>
          </cell>
          <cell r="I223" t="str">
            <v>Destination NZASL</v>
          </cell>
          <cell r="J223" t="str">
            <v>Fauntleroy Circus 5678</v>
          </cell>
          <cell r="K223" t="str">
            <v>London</v>
          </cell>
          <cell r="M223">
            <v>10133</v>
          </cell>
          <cell r="N223" t="str">
            <v>UK</v>
          </cell>
        </row>
        <row r="224">
          <cell r="A224">
            <v>10472</v>
          </cell>
          <cell r="B224">
            <v>72</v>
          </cell>
          <cell r="C224">
            <v>8</v>
          </cell>
          <cell r="D224">
            <v>39153</v>
          </cell>
          <cell r="E224">
            <v>39181</v>
          </cell>
          <cell r="F224">
            <v>39160</v>
          </cell>
          <cell r="G224">
            <v>1</v>
          </cell>
          <cell r="H224">
            <v>4.2</v>
          </cell>
          <cell r="I224" t="str">
            <v>Ship to 72-A</v>
          </cell>
          <cell r="J224" t="str">
            <v>0123 Wadhurst Rd.</v>
          </cell>
          <cell r="K224" t="str">
            <v>London</v>
          </cell>
          <cell r="M224">
            <v>10308</v>
          </cell>
          <cell r="N224" t="str">
            <v>UK</v>
          </cell>
        </row>
        <row r="225">
          <cell r="A225">
            <v>10473</v>
          </cell>
          <cell r="B225">
            <v>38</v>
          </cell>
          <cell r="C225">
            <v>1</v>
          </cell>
          <cell r="D225">
            <v>39154</v>
          </cell>
          <cell r="E225">
            <v>39168</v>
          </cell>
          <cell r="F225">
            <v>39162</v>
          </cell>
          <cell r="G225">
            <v>3</v>
          </cell>
          <cell r="H225">
            <v>16.37</v>
          </cell>
          <cell r="I225" t="str">
            <v>Destination AXVHD</v>
          </cell>
          <cell r="J225" t="str">
            <v>Garden House Crowther Way 9012</v>
          </cell>
          <cell r="K225" t="str">
            <v>Cowes</v>
          </cell>
          <cell r="L225" t="str">
            <v>Isle of Wight</v>
          </cell>
          <cell r="M225">
            <v>10207</v>
          </cell>
          <cell r="N225" t="str">
            <v>UK</v>
          </cell>
        </row>
        <row r="226">
          <cell r="A226">
            <v>10474</v>
          </cell>
          <cell r="B226">
            <v>58</v>
          </cell>
          <cell r="C226">
            <v>5</v>
          </cell>
          <cell r="D226">
            <v>39154</v>
          </cell>
          <cell r="E226">
            <v>39182</v>
          </cell>
          <cell r="F226">
            <v>39162</v>
          </cell>
          <cell r="G226">
            <v>2</v>
          </cell>
          <cell r="H226">
            <v>83.49</v>
          </cell>
          <cell r="I226" t="str">
            <v>Ship to 58-C</v>
          </cell>
          <cell r="J226" t="str">
            <v>Calle Dr. Jorge Cash 5678</v>
          </cell>
          <cell r="K226" t="str">
            <v>México D.F.</v>
          </cell>
          <cell r="M226">
            <v>10263</v>
          </cell>
          <cell r="N226" t="str">
            <v>Mexico</v>
          </cell>
        </row>
        <row r="227">
          <cell r="A227">
            <v>10475</v>
          </cell>
          <cell r="B227">
            <v>76</v>
          </cell>
          <cell r="C227">
            <v>9</v>
          </cell>
          <cell r="D227">
            <v>39155</v>
          </cell>
          <cell r="E227">
            <v>39183</v>
          </cell>
          <cell r="F227">
            <v>39176</v>
          </cell>
          <cell r="G227">
            <v>1</v>
          </cell>
          <cell r="H227">
            <v>68.52</v>
          </cell>
          <cell r="I227" t="str">
            <v>Ship to 76-C</v>
          </cell>
          <cell r="J227" t="str">
            <v>Boulevard Tirou, 0123</v>
          </cell>
          <cell r="K227" t="str">
            <v>Charleroi</v>
          </cell>
          <cell r="M227">
            <v>10319</v>
          </cell>
          <cell r="N227" t="str">
            <v>Belgium</v>
          </cell>
        </row>
        <row r="228">
          <cell r="A228">
            <v>10476</v>
          </cell>
          <cell r="B228">
            <v>35</v>
          </cell>
          <cell r="C228">
            <v>8</v>
          </cell>
          <cell r="D228">
            <v>39158</v>
          </cell>
          <cell r="E228">
            <v>39186</v>
          </cell>
          <cell r="F228">
            <v>39165</v>
          </cell>
          <cell r="G228">
            <v>3</v>
          </cell>
          <cell r="H228">
            <v>4.41</v>
          </cell>
          <cell r="I228" t="str">
            <v>Destination SXYQX</v>
          </cell>
          <cell r="J228" t="str">
            <v>Carrera 0123 con Ave. Carlos Soublette #8-35</v>
          </cell>
          <cell r="K228" t="str">
            <v>San Cristóbal</v>
          </cell>
          <cell r="L228" t="str">
            <v>Táchira</v>
          </cell>
          <cell r="M228">
            <v>10198</v>
          </cell>
          <cell r="N228" t="str">
            <v>Venezuela</v>
          </cell>
        </row>
        <row r="229">
          <cell r="A229">
            <v>10477</v>
          </cell>
          <cell r="B229">
            <v>60</v>
          </cell>
          <cell r="C229">
            <v>5</v>
          </cell>
          <cell r="D229">
            <v>39158</v>
          </cell>
          <cell r="E229">
            <v>39186</v>
          </cell>
          <cell r="F229">
            <v>39166</v>
          </cell>
          <cell r="G229">
            <v>2</v>
          </cell>
          <cell r="H229">
            <v>13.02</v>
          </cell>
          <cell r="I229" t="str">
            <v>Ship to 60-A</v>
          </cell>
          <cell r="J229" t="str">
            <v>Estrada da saúde n. 2345</v>
          </cell>
          <cell r="K229" t="str">
            <v>Lisboa</v>
          </cell>
          <cell r="M229">
            <v>10270</v>
          </cell>
          <cell r="N229" t="str">
            <v>Portugal</v>
          </cell>
        </row>
        <row r="230">
          <cell r="A230">
            <v>10478</v>
          </cell>
          <cell r="B230">
            <v>84</v>
          </cell>
          <cell r="C230">
            <v>2</v>
          </cell>
          <cell r="D230">
            <v>39159</v>
          </cell>
          <cell r="E230">
            <v>39173</v>
          </cell>
          <cell r="F230">
            <v>39167</v>
          </cell>
          <cell r="G230">
            <v>3</v>
          </cell>
          <cell r="H230">
            <v>4.8099999999999996</v>
          </cell>
          <cell r="I230" t="str">
            <v>Ship to 84-C</v>
          </cell>
          <cell r="J230" t="str">
            <v>5678, rue du Commerce</v>
          </cell>
          <cell r="K230" t="str">
            <v>Lyon</v>
          </cell>
          <cell r="M230">
            <v>10344</v>
          </cell>
          <cell r="N230" t="str">
            <v>France</v>
          </cell>
        </row>
        <row r="231">
          <cell r="A231">
            <v>10479</v>
          </cell>
          <cell r="B231">
            <v>65</v>
          </cell>
          <cell r="C231">
            <v>3</v>
          </cell>
          <cell r="D231">
            <v>39160</v>
          </cell>
          <cell r="E231">
            <v>39188</v>
          </cell>
          <cell r="F231">
            <v>39162</v>
          </cell>
          <cell r="G231">
            <v>3</v>
          </cell>
          <cell r="H231">
            <v>708.95</v>
          </cell>
          <cell r="I231" t="str">
            <v>Ship to 65-C</v>
          </cell>
          <cell r="J231" t="str">
            <v>9012 Milton Dr.</v>
          </cell>
          <cell r="K231" t="str">
            <v>Albuquerque</v>
          </cell>
          <cell r="L231" t="str">
            <v>NM</v>
          </cell>
          <cell r="M231">
            <v>10287</v>
          </cell>
          <cell r="N231" t="str">
            <v>USA</v>
          </cell>
        </row>
        <row r="232">
          <cell r="A232">
            <v>10480</v>
          </cell>
          <cell r="B232">
            <v>23</v>
          </cell>
          <cell r="C232">
            <v>6</v>
          </cell>
          <cell r="D232">
            <v>39161</v>
          </cell>
          <cell r="E232">
            <v>39189</v>
          </cell>
          <cell r="F232">
            <v>39165</v>
          </cell>
          <cell r="G232">
            <v>2</v>
          </cell>
          <cell r="H232">
            <v>1.35</v>
          </cell>
          <cell r="I232" t="str">
            <v>Destination AGPCO</v>
          </cell>
          <cell r="J232" t="str">
            <v>6789, chaussée de Tournai</v>
          </cell>
          <cell r="K232" t="str">
            <v>Lille</v>
          </cell>
          <cell r="M232">
            <v>10164</v>
          </cell>
          <cell r="N232" t="str">
            <v>France</v>
          </cell>
        </row>
        <row r="233">
          <cell r="A233">
            <v>10481</v>
          </cell>
          <cell r="B233">
            <v>67</v>
          </cell>
          <cell r="C233">
            <v>8</v>
          </cell>
          <cell r="D233">
            <v>39161</v>
          </cell>
          <cell r="E233">
            <v>39189</v>
          </cell>
          <cell r="F233">
            <v>39166</v>
          </cell>
          <cell r="G233">
            <v>2</v>
          </cell>
          <cell r="H233">
            <v>64.33</v>
          </cell>
          <cell r="I233" t="str">
            <v>Ship to 67-A</v>
          </cell>
          <cell r="J233" t="str">
            <v>Av. Copacabana, 3456</v>
          </cell>
          <cell r="K233" t="str">
            <v>Rio de Janeiro</v>
          </cell>
          <cell r="L233" t="str">
            <v>RJ</v>
          </cell>
          <cell r="M233">
            <v>10291</v>
          </cell>
          <cell r="N233" t="str">
            <v>Brazil</v>
          </cell>
        </row>
        <row r="234">
          <cell r="A234">
            <v>10482</v>
          </cell>
          <cell r="B234">
            <v>43</v>
          </cell>
          <cell r="C234">
            <v>1</v>
          </cell>
          <cell r="D234">
            <v>39162</v>
          </cell>
          <cell r="E234">
            <v>39190</v>
          </cell>
          <cell r="F234">
            <v>39182</v>
          </cell>
          <cell r="G234">
            <v>3</v>
          </cell>
          <cell r="H234">
            <v>7.48</v>
          </cell>
          <cell r="I234" t="str">
            <v>Ship to 43-B</v>
          </cell>
          <cell r="J234" t="str">
            <v>3456 Orchestra Terrace</v>
          </cell>
          <cell r="K234" t="str">
            <v>Walla Walla</v>
          </cell>
          <cell r="L234" t="str">
            <v>WA</v>
          </cell>
          <cell r="M234">
            <v>10221</v>
          </cell>
          <cell r="N234" t="str">
            <v>USA</v>
          </cell>
        </row>
        <row r="235">
          <cell r="A235">
            <v>10483</v>
          </cell>
          <cell r="B235">
            <v>89</v>
          </cell>
          <cell r="C235">
            <v>7</v>
          </cell>
          <cell r="D235">
            <v>39165</v>
          </cell>
          <cell r="E235">
            <v>39193</v>
          </cell>
          <cell r="F235">
            <v>39197</v>
          </cell>
          <cell r="G235">
            <v>2</v>
          </cell>
          <cell r="H235">
            <v>15.28</v>
          </cell>
          <cell r="I235" t="str">
            <v>Ship to 89-A</v>
          </cell>
          <cell r="J235" t="str">
            <v>7890 - 12th Ave. S.</v>
          </cell>
          <cell r="K235" t="str">
            <v>Seattle</v>
          </cell>
          <cell r="L235" t="str">
            <v>WA</v>
          </cell>
          <cell r="M235">
            <v>10356</v>
          </cell>
          <cell r="N235" t="str">
            <v>USA</v>
          </cell>
        </row>
        <row r="236">
          <cell r="A236">
            <v>10484</v>
          </cell>
          <cell r="B236">
            <v>11</v>
          </cell>
          <cell r="C236">
            <v>3</v>
          </cell>
          <cell r="D236">
            <v>39165</v>
          </cell>
          <cell r="E236">
            <v>39193</v>
          </cell>
          <cell r="F236">
            <v>39173</v>
          </cell>
          <cell r="G236">
            <v>3</v>
          </cell>
          <cell r="H236">
            <v>6.88</v>
          </cell>
          <cell r="I236" t="str">
            <v>Destination DLEUN</v>
          </cell>
          <cell r="J236" t="str">
            <v>Fauntleroy Circus 4567</v>
          </cell>
          <cell r="K236" t="str">
            <v>London</v>
          </cell>
          <cell r="M236">
            <v>10132</v>
          </cell>
          <cell r="N236" t="str">
            <v>UK</v>
          </cell>
        </row>
        <row r="237">
          <cell r="A237">
            <v>10485</v>
          </cell>
          <cell r="B237">
            <v>47</v>
          </cell>
          <cell r="C237">
            <v>4</v>
          </cell>
          <cell r="D237">
            <v>39166</v>
          </cell>
          <cell r="E237">
            <v>39180</v>
          </cell>
          <cell r="F237">
            <v>39172</v>
          </cell>
          <cell r="G237">
            <v>2</v>
          </cell>
          <cell r="H237">
            <v>64.45</v>
          </cell>
          <cell r="I237" t="str">
            <v>Ship to 47-B</v>
          </cell>
          <cell r="J237" t="str">
            <v>Ave. 5 de Mayo Porlamar 4567</v>
          </cell>
          <cell r="K237" t="str">
            <v>I. de Margarita</v>
          </cell>
          <cell r="L237" t="str">
            <v>Nueva Esparta</v>
          </cell>
          <cell r="M237">
            <v>10231</v>
          </cell>
          <cell r="N237" t="str">
            <v>Venezuela</v>
          </cell>
        </row>
        <row r="238">
          <cell r="A238">
            <v>10486</v>
          </cell>
          <cell r="B238">
            <v>35</v>
          </cell>
          <cell r="C238">
            <v>1</v>
          </cell>
          <cell r="D238">
            <v>39167</v>
          </cell>
          <cell r="E238">
            <v>39195</v>
          </cell>
          <cell r="F238">
            <v>39174</v>
          </cell>
          <cell r="G238">
            <v>2</v>
          </cell>
          <cell r="H238">
            <v>30.53</v>
          </cell>
          <cell r="I238" t="str">
            <v>Destination UOUWK</v>
          </cell>
          <cell r="J238" t="str">
            <v>Carrera 9012 con Ave. Carlos Soublette #8-35</v>
          </cell>
          <cell r="K238" t="str">
            <v>San Cristóbal</v>
          </cell>
          <cell r="L238" t="str">
            <v>Táchira</v>
          </cell>
          <cell r="M238">
            <v>10197</v>
          </cell>
          <cell r="N238" t="str">
            <v>Venezuela</v>
          </cell>
        </row>
        <row r="239">
          <cell r="A239">
            <v>10487</v>
          </cell>
          <cell r="B239">
            <v>62</v>
          </cell>
          <cell r="C239">
            <v>2</v>
          </cell>
          <cell r="D239">
            <v>39167</v>
          </cell>
          <cell r="E239">
            <v>39195</v>
          </cell>
          <cell r="F239">
            <v>39169</v>
          </cell>
          <cell r="G239">
            <v>2</v>
          </cell>
          <cell r="H239">
            <v>71.069999999999993</v>
          </cell>
          <cell r="I239" t="str">
            <v>Ship to 62-B</v>
          </cell>
          <cell r="J239" t="str">
            <v>Alameda dos Canàrios, 9012</v>
          </cell>
          <cell r="K239" t="str">
            <v>Sao Paulo</v>
          </cell>
          <cell r="L239" t="str">
            <v>SP</v>
          </cell>
          <cell r="M239">
            <v>10277</v>
          </cell>
          <cell r="N239" t="str">
            <v>Brazil</v>
          </cell>
        </row>
        <row r="240">
          <cell r="A240">
            <v>10488</v>
          </cell>
          <cell r="B240">
            <v>25</v>
          </cell>
          <cell r="C240">
            <v>8</v>
          </cell>
          <cell r="D240">
            <v>39168</v>
          </cell>
          <cell r="E240">
            <v>39196</v>
          </cell>
          <cell r="F240">
            <v>39174</v>
          </cell>
          <cell r="G240">
            <v>2</v>
          </cell>
          <cell r="H240">
            <v>4.93</v>
          </cell>
          <cell r="I240" t="str">
            <v>Destination VAPXU</v>
          </cell>
          <cell r="J240" t="str">
            <v>Berliner Platz 0123</v>
          </cell>
          <cell r="K240" t="str">
            <v>München</v>
          </cell>
          <cell r="M240">
            <v>10168</v>
          </cell>
          <cell r="N240" t="str">
            <v>Germany</v>
          </cell>
        </row>
        <row r="241">
          <cell r="A241">
            <v>10489</v>
          </cell>
          <cell r="B241">
            <v>59</v>
          </cell>
          <cell r="C241">
            <v>6</v>
          </cell>
          <cell r="D241">
            <v>39169</v>
          </cell>
          <cell r="E241">
            <v>39197</v>
          </cell>
          <cell r="F241">
            <v>39181</v>
          </cell>
          <cell r="G241">
            <v>2</v>
          </cell>
          <cell r="H241">
            <v>5.29</v>
          </cell>
          <cell r="I241" t="str">
            <v>Ship to 59-C</v>
          </cell>
          <cell r="J241" t="str">
            <v>Geislweg 8901</v>
          </cell>
          <cell r="K241" t="str">
            <v>Salzburg</v>
          </cell>
          <cell r="M241">
            <v>10266</v>
          </cell>
          <cell r="N241" t="str">
            <v>Austria</v>
          </cell>
        </row>
        <row r="242">
          <cell r="A242">
            <v>10490</v>
          </cell>
          <cell r="B242">
            <v>35</v>
          </cell>
          <cell r="C242">
            <v>7</v>
          </cell>
          <cell r="D242">
            <v>39172</v>
          </cell>
          <cell r="E242">
            <v>39200</v>
          </cell>
          <cell r="F242">
            <v>39175</v>
          </cell>
          <cell r="G242">
            <v>2</v>
          </cell>
          <cell r="H242">
            <v>210.19</v>
          </cell>
          <cell r="I242" t="str">
            <v>Destination JYDLM</v>
          </cell>
          <cell r="J242" t="str">
            <v>Carrera1234 con Ave. Carlos Soublette #8-35</v>
          </cell>
          <cell r="K242" t="str">
            <v>San Cristóbal</v>
          </cell>
          <cell r="L242" t="str">
            <v>Táchira</v>
          </cell>
          <cell r="M242">
            <v>10199</v>
          </cell>
          <cell r="N242" t="str">
            <v>Venezuela</v>
          </cell>
        </row>
        <row r="243">
          <cell r="A243">
            <v>10491</v>
          </cell>
          <cell r="B243">
            <v>28</v>
          </cell>
          <cell r="C243">
            <v>8</v>
          </cell>
          <cell r="D243">
            <v>39172</v>
          </cell>
          <cell r="E243">
            <v>39200</v>
          </cell>
          <cell r="F243">
            <v>39180</v>
          </cell>
          <cell r="G243">
            <v>3</v>
          </cell>
          <cell r="H243">
            <v>16.96</v>
          </cell>
          <cell r="I243" t="str">
            <v>Destination OTSWR</v>
          </cell>
          <cell r="J243" t="str">
            <v>Jardim das rosas n. 9012</v>
          </cell>
          <cell r="K243" t="str">
            <v>Lisboa</v>
          </cell>
          <cell r="M243">
            <v>10177</v>
          </cell>
          <cell r="N243" t="str">
            <v>Portugal</v>
          </cell>
        </row>
        <row r="244">
          <cell r="A244">
            <v>10492</v>
          </cell>
          <cell r="B244">
            <v>10</v>
          </cell>
          <cell r="C244">
            <v>3</v>
          </cell>
          <cell r="D244">
            <v>39173</v>
          </cell>
          <cell r="E244">
            <v>39201</v>
          </cell>
          <cell r="F244">
            <v>39183</v>
          </cell>
          <cell r="G244">
            <v>1</v>
          </cell>
          <cell r="H244">
            <v>62.89</v>
          </cell>
          <cell r="I244" t="str">
            <v>Destination XJIBQ</v>
          </cell>
          <cell r="J244" t="str">
            <v>1234 Tsawassen Blvd.</v>
          </cell>
          <cell r="K244" t="str">
            <v>Tsawassen</v>
          </cell>
          <cell r="L244" t="str">
            <v>BC</v>
          </cell>
          <cell r="M244">
            <v>10129</v>
          </cell>
          <cell r="N244" t="str">
            <v>Canada</v>
          </cell>
        </row>
        <row r="245">
          <cell r="A245">
            <v>10493</v>
          </cell>
          <cell r="B245">
            <v>41</v>
          </cell>
          <cell r="C245">
            <v>4</v>
          </cell>
          <cell r="D245">
            <v>39174</v>
          </cell>
          <cell r="E245">
            <v>39202</v>
          </cell>
          <cell r="F245">
            <v>39182</v>
          </cell>
          <cell r="G245">
            <v>3</v>
          </cell>
          <cell r="H245">
            <v>10.64</v>
          </cell>
          <cell r="I245" t="str">
            <v>Destination OLJND</v>
          </cell>
          <cell r="J245" t="str">
            <v>8901 rue Alsace-Lorraine</v>
          </cell>
          <cell r="K245" t="str">
            <v>Toulouse</v>
          </cell>
          <cell r="M245">
            <v>10216</v>
          </cell>
          <cell r="N245" t="str">
            <v>France</v>
          </cell>
        </row>
        <row r="246">
          <cell r="A246">
            <v>10494</v>
          </cell>
          <cell r="B246">
            <v>15</v>
          </cell>
          <cell r="C246">
            <v>4</v>
          </cell>
          <cell r="D246">
            <v>39174</v>
          </cell>
          <cell r="E246">
            <v>39202</v>
          </cell>
          <cell r="F246">
            <v>39181</v>
          </cell>
          <cell r="G246">
            <v>2</v>
          </cell>
          <cell r="H246">
            <v>65.989999999999995</v>
          </cell>
          <cell r="I246" t="str">
            <v>Destination EVHYA</v>
          </cell>
          <cell r="J246" t="str">
            <v>Av. dos Lusíadas, 3456</v>
          </cell>
          <cell r="K246" t="str">
            <v>Sao Paulo</v>
          </cell>
          <cell r="L246" t="str">
            <v>SP</v>
          </cell>
          <cell r="M246">
            <v>10141</v>
          </cell>
          <cell r="N246" t="str">
            <v>Brazil</v>
          </cell>
        </row>
        <row r="247">
          <cell r="A247">
            <v>10495</v>
          </cell>
          <cell r="B247">
            <v>42</v>
          </cell>
          <cell r="C247">
            <v>3</v>
          </cell>
          <cell r="D247">
            <v>39175</v>
          </cell>
          <cell r="E247">
            <v>39203</v>
          </cell>
          <cell r="F247">
            <v>39183</v>
          </cell>
          <cell r="G247">
            <v>3</v>
          </cell>
          <cell r="H247">
            <v>4.6500000000000004</v>
          </cell>
          <cell r="I247" t="str">
            <v>Ship to 42-C</v>
          </cell>
          <cell r="J247" t="str">
            <v>2345 Elm St.</v>
          </cell>
          <cell r="K247" t="str">
            <v>Vancouver</v>
          </cell>
          <cell r="L247" t="str">
            <v>BC</v>
          </cell>
          <cell r="M247">
            <v>10220</v>
          </cell>
          <cell r="N247" t="str">
            <v>Canada</v>
          </cell>
        </row>
        <row r="248">
          <cell r="A248">
            <v>10496</v>
          </cell>
          <cell r="B248">
            <v>81</v>
          </cell>
          <cell r="C248">
            <v>7</v>
          </cell>
          <cell r="D248">
            <v>39176</v>
          </cell>
          <cell r="E248">
            <v>39204</v>
          </cell>
          <cell r="F248">
            <v>39179</v>
          </cell>
          <cell r="G248">
            <v>2</v>
          </cell>
          <cell r="H248">
            <v>46.77</v>
          </cell>
          <cell r="I248" t="str">
            <v>Ship to 81-C</v>
          </cell>
          <cell r="J248" t="str">
            <v>Av. Inês de Castro, 7890</v>
          </cell>
          <cell r="K248" t="str">
            <v>Sao Paulo</v>
          </cell>
          <cell r="L248" t="str">
            <v>SP</v>
          </cell>
          <cell r="M248">
            <v>10336</v>
          </cell>
          <cell r="N248" t="str">
            <v>Brazil</v>
          </cell>
        </row>
        <row r="249">
          <cell r="A249">
            <v>10497</v>
          </cell>
          <cell r="B249">
            <v>44</v>
          </cell>
          <cell r="C249">
            <v>7</v>
          </cell>
          <cell r="D249">
            <v>39176</v>
          </cell>
          <cell r="E249">
            <v>39204</v>
          </cell>
          <cell r="F249">
            <v>39179</v>
          </cell>
          <cell r="G249">
            <v>1</v>
          </cell>
          <cell r="H249">
            <v>36.21</v>
          </cell>
          <cell r="I249" t="str">
            <v>Ship to 44-A</v>
          </cell>
          <cell r="J249" t="str">
            <v>Magazinweg 4567</v>
          </cell>
          <cell r="K249" t="str">
            <v>Frankfurt a.M.</v>
          </cell>
          <cell r="M249">
            <v>10222</v>
          </cell>
          <cell r="N249" t="str">
            <v>Germany</v>
          </cell>
        </row>
        <row r="250">
          <cell r="A250">
            <v>10498</v>
          </cell>
          <cell r="B250">
            <v>35</v>
          </cell>
          <cell r="C250">
            <v>8</v>
          </cell>
          <cell r="D250">
            <v>39179</v>
          </cell>
          <cell r="E250">
            <v>39207</v>
          </cell>
          <cell r="F250">
            <v>39183</v>
          </cell>
          <cell r="G250">
            <v>2</v>
          </cell>
          <cell r="H250">
            <v>29.75</v>
          </cell>
          <cell r="I250" t="str">
            <v>Destination SXYQX</v>
          </cell>
          <cell r="J250" t="str">
            <v>Carrera 0123 con Ave. Carlos Soublette #8-35</v>
          </cell>
          <cell r="K250" t="str">
            <v>San Cristóbal</v>
          </cell>
          <cell r="L250" t="str">
            <v>Táchira</v>
          </cell>
          <cell r="M250">
            <v>10198</v>
          </cell>
          <cell r="N250" t="str">
            <v>Venezuela</v>
          </cell>
        </row>
        <row r="251">
          <cell r="A251">
            <v>10499</v>
          </cell>
          <cell r="B251">
            <v>46</v>
          </cell>
          <cell r="C251">
            <v>4</v>
          </cell>
          <cell r="D251">
            <v>39180</v>
          </cell>
          <cell r="E251">
            <v>39208</v>
          </cell>
          <cell r="F251">
            <v>39188</v>
          </cell>
          <cell r="G251">
            <v>2</v>
          </cell>
          <cell r="H251">
            <v>102.02</v>
          </cell>
          <cell r="I251" t="str">
            <v>Ship to 46-C</v>
          </cell>
          <cell r="J251" t="str">
            <v>Carrera 2345 con Ave. Bolívar #65-98 Llano Largo</v>
          </cell>
          <cell r="K251" t="str">
            <v>Barquisimeto</v>
          </cell>
          <cell r="L251" t="str">
            <v>Lara</v>
          </cell>
          <cell r="M251">
            <v>10229</v>
          </cell>
          <cell r="N251" t="str">
            <v>Venezuela</v>
          </cell>
        </row>
        <row r="252">
          <cell r="A252">
            <v>10500</v>
          </cell>
          <cell r="B252">
            <v>41</v>
          </cell>
          <cell r="C252">
            <v>6</v>
          </cell>
          <cell r="D252">
            <v>39181</v>
          </cell>
          <cell r="E252">
            <v>39209</v>
          </cell>
          <cell r="F252">
            <v>39189</v>
          </cell>
          <cell r="G252">
            <v>1</v>
          </cell>
          <cell r="H252">
            <v>42.68</v>
          </cell>
          <cell r="I252" t="str">
            <v>Destination OLJND</v>
          </cell>
          <cell r="J252" t="str">
            <v>8901 rue Alsace-Lorraine</v>
          </cell>
          <cell r="K252" t="str">
            <v>Toulouse</v>
          </cell>
          <cell r="M252">
            <v>10216</v>
          </cell>
          <cell r="N252" t="str">
            <v>France</v>
          </cell>
        </row>
        <row r="253">
          <cell r="A253">
            <v>10501</v>
          </cell>
          <cell r="B253">
            <v>6</v>
          </cell>
          <cell r="C253">
            <v>9</v>
          </cell>
          <cell r="D253">
            <v>39181</v>
          </cell>
          <cell r="E253">
            <v>39209</v>
          </cell>
          <cell r="F253">
            <v>39188</v>
          </cell>
          <cell r="G253">
            <v>3</v>
          </cell>
          <cell r="H253">
            <v>8.85</v>
          </cell>
          <cell r="I253" t="str">
            <v>Ship to 6-C</v>
          </cell>
          <cell r="J253" t="str">
            <v>Forsterstr. 4567</v>
          </cell>
          <cell r="K253" t="str">
            <v>Mannheim</v>
          </cell>
          <cell r="M253">
            <v>10302</v>
          </cell>
          <cell r="N253" t="str">
            <v>Germany</v>
          </cell>
        </row>
        <row r="254">
          <cell r="A254">
            <v>10502</v>
          </cell>
          <cell r="B254">
            <v>58</v>
          </cell>
          <cell r="C254">
            <v>2</v>
          </cell>
          <cell r="D254">
            <v>39182</v>
          </cell>
          <cell r="E254">
            <v>39210</v>
          </cell>
          <cell r="F254">
            <v>39201</v>
          </cell>
          <cell r="G254">
            <v>1</v>
          </cell>
          <cell r="H254">
            <v>69.319999999999993</v>
          </cell>
          <cell r="I254" t="str">
            <v>Ship to 58-B</v>
          </cell>
          <cell r="J254" t="str">
            <v>Calle Dr. Jorge Cash 4567</v>
          </cell>
          <cell r="K254" t="str">
            <v>México D.F.</v>
          </cell>
          <cell r="M254">
            <v>10262</v>
          </cell>
          <cell r="N254" t="str">
            <v>Mexico</v>
          </cell>
        </row>
        <row r="255">
          <cell r="A255">
            <v>10503</v>
          </cell>
          <cell r="B255">
            <v>37</v>
          </cell>
          <cell r="C255">
            <v>6</v>
          </cell>
          <cell r="D255">
            <v>39183</v>
          </cell>
          <cell r="E255">
            <v>39211</v>
          </cell>
          <cell r="F255">
            <v>39188</v>
          </cell>
          <cell r="G255">
            <v>2</v>
          </cell>
          <cell r="H255">
            <v>16.739999999999998</v>
          </cell>
          <cell r="I255" t="str">
            <v>Destination ATSOA</v>
          </cell>
          <cell r="J255" t="str">
            <v>4567 Johnstown Road</v>
          </cell>
          <cell r="K255" t="str">
            <v>Cork</v>
          </cell>
          <cell r="L255" t="str">
            <v>Co. Cork</v>
          </cell>
          <cell r="M255">
            <v>10202</v>
          </cell>
          <cell r="N255" t="str">
            <v>Ireland</v>
          </cell>
        </row>
        <row r="256">
          <cell r="A256">
            <v>10504</v>
          </cell>
          <cell r="B256">
            <v>89</v>
          </cell>
          <cell r="C256">
            <v>4</v>
          </cell>
          <cell r="D256">
            <v>39183</v>
          </cell>
          <cell r="E256">
            <v>39211</v>
          </cell>
          <cell r="F256">
            <v>39190</v>
          </cell>
          <cell r="G256">
            <v>3</v>
          </cell>
          <cell r="H256">
            <v>59.13</v>
          </cell>
          <cell r="I256" t="str">
            <v>Ship to 89-B</v>
          </cell>
          <cell r="J256" t="str">
            <v>8901 - 12th Ave. S.</v>
          </cell>
          <cell r="K256" t="str">
            <v>Seattle</v>
          </cell>
          <cell r="L256" t="str">
            <v>WA</v>
          </cell>
          <cell r="M256">
            <v>10357</v>
          </cell>
          <cell r="N256" t="str">
            <v>USA</v>
          </cell>
        </row>
        <row r="257">
          <cell r="A257">
            <v>10505</v>
          </cell>
          <cell r="B257">
            <v>51</v>
          </cell>
          <cell r="C257">
            <v>3</v>
          </cell>
          <cell r="D257">
            <v>39186</v>
          </cell>
          <cell r="E257">
            <v>39214</v>
          </cell>
          <cell r="F257">
            <v>39193</v>
          </cell>
          <cell r="G257">
            <v>3</v>
          </cell>
          <cell r="H257">
            <v>7.13</v>
          </cell>
          <cell r="I257" t="str">
            <v>Ship to 51-B</v>
          </cell>
          <cell r="J257" t="str">
            <v>7890 rue St. Laurent</v>
          </cell>
          <cell r="K257" t="str">
            <v>Montréal</v>
          </cell>
          <cell r="L257" t="str">
            <v>Québec</v>
          </cell>
          <cell r="M257">
            <v>10245</v>
          </cell>
          <cell r="N257" t="str">
            <v>Canada</v>
          </cell>
        </row>
        <row r="258">
          <cell r="A258">
            <v>10506</v>
          </cell>
          <cell r="B258">
            <v>39</v>
          </cell>
          <cell r="C258">
            <v>9</v>
          </cell>
          <cell r="D258">
            <v>39187</v>
          </cell>
          <cell r="E258">
            <v>39215</v>
          </cell>
          <cell r="F258">
            <v>39204</v>
          </cell>
          <cell r="G258">
            <v>2</v>
          </cell>
          <cell r="H258">
            <v>21.19</v>
          </cell>
          <cell r="I258" t="str">
            <v>Destination DKMQA</v>
          </cell>
          <cell r="J258" t="str">
            <v>Maubelstr. 0123</v>
          </cell>
          <cell r="K258" t="str">
            <v>Brandenburg</v>
          </cell>
          <cell r="M258">
            <v>10208</v>
          </cell>
          <cell r="N258" t="str">
            <v>Germany</v>
          </cell>
        </row>
        <row r="259">
          <cell r="A259">
            <v>10507</v>
          </cell>
          <cell r="B259">
            <v>3</v>
          </cell>
          <cell r="C259">
            <v>7</v>
          </cell>
          <cell r="D259">
            <v>39187</v>
          </cell>
          <cell r="E259">
            <v>39215</v>
          </cell>
          <cell r="F259">
            <v>39194</v>
          </cell>
          <cell r="G259">
            <v>1</v>
          </cell>
          <cell r="H259">
            <v>47.45</v>
          </cell>
          <cell r="I259" t="str">
            <v>Destination FQFLS</v>
          </cell>
          <cell r="J259" t="str">
            <v>Mataderos 3456</v>
          </cell>
          <cell r="K259" t="str">
            <v>México D.F.</v>
          </cell>
          <cell r="M259">
            <v>10211</v>
          </cell>
          <cell r="N259" t="str">
            <v>Mexico</v>
          </cell>
        </row>
        <row r="260">
          <cell r="A260">
            <v>10508</v>
          </cell>
          <cell r="B260">
            <v>56</v>
          </cell>
          <cell r="C260">
            <v>1</v>
          </cell>
          <cell r="D260">
            <v>39188</v>
          </cell>
          <cell r="E260">
            <v>39216</v>
          </cell>
          <cell r="F260">
            <v>39215</v>
          </cell>
          <cell r="G260">
            <v>2</v>
          </cell>
          <cell r="H260">
            <v>4.99</v>
          </cell>
          <cell r="I260" t="str">
            <v>Ship to 56-C</v>
          </cell>
          <cell r="J260" t="str">
            <v>Mehrheimerstr. 2345</v>
          </cell>
          <cell r="K260" t="str">
            <v>Köln</v>
          </cell>
          <cell r="M260">
            <v>10260</v>
          </cell>
          <cell r="N260" t="str">
            <v>Germany</v>
          </cell>
        </row>
        <row r="261">
          <cell r="A261">
            <v>10509</v>
          </cell>
          <cell r="B261">
            <v>6</v>
          </cell>
          <cell r="C261">
            <v>4</v>
          </cell>
          <cell r="D261">
            <v>39189</v>
          </cell>
          <cell r="E261">
            <v>39217</v>
          </cell>
          <cell r="F261">
            <v>39201</v>
          </cell>
          <cell r="G261">
            <v>1</v>
          </cell>
          <cell r="H261">
            <v>0.15</v>
          </cell>
          <cell r="I261" t="str">
            <v>Ship to 6-A</v>
          </cell>
          <cell r="J261" t="str">
            <v>Forsterstr. 2345</v>
          </cell>
          <cell r="K261" t="str">
            <v>Mannheim</v>
          </cell>
          <cell r="M261">
            <v>10300</v>
          </cell>
          <cell r="N261" t="str">
            <v>Germany</v>
          </cell>
        </row>
        <row r="262">
          <cell r="A262">
            <v>10510</v>
          </cell>
          <cell r="B262">
            <v>71</v>
          </cell>
          <cell r="C262">
            <v>6</v>
          </cell>
          <cell r="D262">
            <v>39190</v>
          </cell>
          <cell r="E262">
            <v>39218</v>
          </cell>
          <cell r="F262">
            <v>39200</v>
          </cell>
          <cell r="G262">
            <v>3</v>
          </cell>
          <cell r="H262">
            <v>367.63</v>
          </cell>
          <cell r="I262" t="str">
            <v>Ship to 71-A</v>
          </cell>
          <cell r="J262" t="str">
            <v>7890 Suffolk Ln.</v>
          </cell>
          <cell r="K262" t="str">
            <v>Boise</v>
          </cell>
          <cell r="L262" t="str">
            <v>ID</v>
          </cell>
          <cell r="M262">
            <v>10305</v>
          </cell>
          <cell r="N262" t="str">
            <v>USA</v>
          </cell>
        </row>
        <row r="263">
          <cell r="A263">
            <v>10511</v>
          </cell>
          <cell r="B263">
            <v>9</v>
          </cell>
          <cell r="C263">
            <v>4</v>
          </cell>
          <cell r="D263">
            <v>39190</v>
          </cell>
          <cell r="E263">
            <v>39218</v>
          </cell>
          <cell r="F263">
            <v>39193</v>
          </cell>
          <cell r="G263">
            <v>3</v>
          </cell>
          <cell r="H263">
            <v>350.64</v>
          </cell>
          <cell r="I263" t="str">
            <v>Ship to 9-B</v>
          </cell>
          <cell r="J263" t="str">
            <v>9012, rue des Bouchers</v>
          </cell>
          <cell r="K263" t="str">
            <v>Marseille</v>
          </cell>
          <cell r="M263">
            <v>10368</v>
          </cell>
          <cell r="N263" t="str">
            <v>France</v>
          </cell>
        </row>
        <row r="264">
          <cell r="A264">
            <v>10512</v>
          </cell>
          <cell r="B264">
            <v>21</v>
          </cell>
          <cell r="C264">
            <v>7</v>
          </cell>
          <cell r="D264">
            <v>39193</v>
          </cell>
          <cell r="E264">
            <v>39221</v>
          </cell>
          <cell r="F264">
            <v>39196</v>
          </cell>
          <cell r="G264">
            <v>2</v>
          </cell>
          <cell r="H264">
            <v>3.53</v>
          </cell>
          <cell r="I264" t="str">
            <v>Destination RNSMS</v>
          </cell>
          <cell r="J264" t="str">
            <v>Rua Orós, 2345</v>
          </cell>
          <cell r="K264" t="str">
            <v>Sao Paulo</v>
          </cell>
          <cell r="L264" t="str">
            <v>SP</v>
          </cell>
          <cell r="M264">
            <v>10160</v>
          </cell>
          <cell r="N264" t="str">
            <v>Brazil</v>
          </cell>
        </row>
        <row r="265">
          <cell r="A265">
            <v>10513</v>
          </cell>
          <cell r="B265">
            <v>86</v>
          </cell>
          <cell r="C265">
            <v>7</v>
          </cell>
          <cell r="D265">
            <v>39194</v>
          </cell>
          <cell r="E265">
            <v>39236</v>
          </cell>
          <cell r="F265">
            <v>39200</v>
          </cell>
          <cell r="G265">
            <v>1</v>
          </cell>
          <cell r="H265">
            <v>105.65</v>
          </cell>
          <cell r="I265" t="str">
            <v>Ship to 86-A</v>
          </cell>
          <cell r="J265" t="str">
            <v>Adenauerallee 8901</v>
          </cell>
          <cell r="K265" t="str">
            <v>Stuttgart</v>
          </cell>
          <cell r="M265">
            <v>10347</v>
          </cell>
          <cell r="N265" t="str">
            <v>Germany</v>
          </cell>
        </row>
        <row r="266">
          <cell r="A266">
            <v>10514</v>
          </cell>
          <cell r="B266">
            <v>20</v>
          </cell>
          <cell r="C266">
            <v>3</v>
          </cell>
          <cell r="D266">
            <v>39194</v>
          </cell>
          <cell r="E266">
            <v>39222</v>
          </cell>
          <cell r="F266">
            <v>39218</v>
          </cell>
          <cell r="G266">
            <v>2</v>
          </cell>
          <cell r="H266">
            <v>789.95</v>
          </cell>
          <cell r="I266" t="str">
            <v>Destination CUVPF</v>
          </cell>
          <cell r="J266" t="str">
            <v>Kirchgasse 1234</v>
          </cell>
          <cell r="K266" t="str">
            <v>Graz</v>
          </cell>
          <cell r="M266">
            <v>10159</v>
          </cell>
          <cell r="N266" t="str">
            <v>Austria</v>
          </cell>
        </row>
        <row r="267">
          <cell r="A267">
            <v>10515</v>
          </cell>
          <cell r="B267">
            <v>63</v>
          </cell>
          <cell r="C267">
            <v>2</v>
          </cell>
          <cell r="D267">
            <v>39195</v>
          </cell>
          <cell r="E267">
            <v>39209</v>
          </cell>
          <cell r="F267">
            <v>39225</v>
          </cell>
          <cell r="G267">
            <v>1</v>
          </cell>
          <cell r="H267">
            <v>204.47</v>
          </cell>
          <cell r="I267" t="str">
            <v>Ship to 63-B</v>
          </cell>
          <cell r="J267" t="str">
            <v>Taucherstraße 2345</v>
          </cell>
          <cell r="K267" t="str">
            <v>Cunewalde</v>
          </cell>
          <cell r="M267">
            <v>10280</v>
          </cell>
          <cell r="N267" t="str">
            <v>Germany</v>
          </cell>
        </row>
        <row r="268">
          <cell r="A268">
            <v>10516</v>
          </cell>
          <cell r="B268">
            <v>37</v>
          </cell>
          <cell r="C268">
            <v>2</v>
          </cell>
          <cell r="D268">
            <v>39196</v>
          </cell>
          <cell r="E268">
            <v>39224</v>
          </cell>
          <cell r="F268">
            <v>39203</v>
          </cell>
          <cell r="G268">
            <v>3</v>
          </cell>
          <cell r="H268">
            <v>62.78</v>
          </cell>
          <cell r="I268" t="str">
            <v>Destination DGKOU</v>
          </cell>
          <cell r="J268" t="str">
            <v>6789 Johnstown Road</v>
          </cell>
          <cell r="K268" t="str">
            <v>Cork</v>
          </cell>
          <cell r="L268" t="str">
            <v>Co. Cork</v>
          </cell>
          <cell r="M268">
            <v>10204</v>
          </cell>
          <cell r="N268" t="str">
            <v>Ireland</v>
          </cell>
        </row>
        <row r="269">
          <cell r="A269">
            <v>10517</v>
          </cell>
          <cell r="B269">
            <v>53</v>
          </cell>
          <cell r="C269">
            <v>3</v>
          </cell>
          <cell r="D269">
            <v>39196</v>
          </cell>
          <cell r="E269">
            <v>39224</v>
          </cell>
          <cell r="F269">
            <v>39201</v>
          </cell>
          <cell r="G269">
            <v>3</v>
          </cell>
          <cell r="H269">
            <v>32.07</v>
          </cell>
          <cell r="I269" t="str">
            <v>Ship to 53-A</v>
          </cell>
          <cell r="J269" t="str">
            <v>South House 2345 Queensbridge</v>
          </cell>
          <cell r="K269" t="str">
            <v>London</v>
          </cell>
          <cell r="M269">
            <v>10250</v>
          </cell>
          <cell r="N269" t="str">
            <v>UK</v>
          </cell>
        </row>
        <row r="270">
          <cell r="A270">
            <v>10518</v>
          </cell>
          <cell r="B270">
            <v>80</v>
          </cell>
          <cell r="C270">
            <v>4</v>
          </cell>
          <cell r="D270">
            <v>39197</v>
          </cell>
          <cell r="E270">
            <v>39211</v>
          </cell>
          <cell r="F270">
            <v>39207</v>
          </cell>
          <cell r="G270">
            <v>2</v>
          </cell>
          <cell r="H270">
            <v>218.15</v>
          </cell>
          <cell r="I270" t="str">
            <v>Ship to 80-B</v>
          </cell>
          <cell r="J270" t="str">
            <v>Avda. Azteca 4567</v>
          </cell>
          <cell r="K270" t="str">
            <v>México D.F.</v>
          </cell>
          <cell r="M270">
            <v>10333</v>
          </cell>
          <cell r="N270" t="str">
            <v>Mexico</v>
          </cell>
        </row>
        <row r="271">
          <cell r="A271">
            <v>10519</v>
          </cell>
          <cell r="B271">
            <v>14</v>
          </cell>
          <cell r="C271">
            <v>6</v>
          </cell>
          <cell r="D271">
            <v>39200</v>
          </cell>
          <cell r="E271">
            <v>39228</v>
          </cell>
          <cell r="F271">
            <v>39203</v>
          </cell>
          <cell r="G271">
            <v>3</v>
          </cell>
          <cell r="H271">
            <v>91.76</v>
          </cell>
          <cell r="I271" t="str">
            <v>Destination NRTZZ</v>
          </cell>
          <cell r="J271" t="str">
            <v>Hauptstr. 0123</v>
          </cell>
          <cell r="K271" t="str">
            <v>Bern</v>
          </cell>
          <cell r="M271">
            <v>10138</v>
          </cell>
          <cell r="N271" t="str">
            <v>Switzerland</v>
          </cell>
        </row>
        <row r="272">
          <cell r="A272">
            <v>10520</v>
          </cell>
          <cell r="B272">
            <v>70</v>
          </cell>
          <cell r="C272">
            <v>7</v>
          </cell>
          <cell r="D272">
            <v>39201</v>
          </cell>
          <cell r="E272">
            <v>39229</v>
          </cell>
          <cell r="F272">
            <v>39203</v>
          </cell>
          <cell r="G272">
            <v>1</v>
          </cell>
          <cell r="H272">
            <v>13.37</v>
          </cell>
          <cell r="I272" t="str">
            <v>Ship to 70-B</v>
          </cell>
          <cell r="J272" t="str">
            <v>Erling Skakkes gate 5678</v>
          </cell>
          <cell r="K272" t="str">
            <v>Stavern</v>
          </cell>
          <cell r="M272">
            <v>10303</v>
          </cell>
          <cell r="N272" t="str">
            <v>Norway</v>
          </cell>
        </row>
        <row r="273">
          <cell r="A273">
            <v>10521</v>
          </cell>
          <cell r="B273">
            <v>12</v>
          </cell>
          <cell r="C273">
            <v>8</v>
          </cell>
          <cell r="D273">
            <v>39201</v>
          </cell>
          <cell r="E273">
            <v>39229</v>
          </cell>
          <cell r="F273">
            <v>39204</v>
          </cell>
          <cell r="G273">
            <v>2</v>
          </cell>
          <cell r="H273">
            <v>17.22</v>
          </cell>
          <cell r="I273" t="str">
            <v>Destination QTHBC</v>
          </cell>
          <cell r="J273" t="str">
            <v>Cerrito 6789</v>
          </cell>
          <cell r="K273" t="str">
            <v>Buenos Aires</v>
          </cell>
          <cell r="M273">
            <v>10134</v>
          </cell>
          <cell r="N273" t="str">
            <v>Argentina</v>
          </cell>
        </row>
        <row r="274">
          <cell r="A274">
            <v>10522</v>
          </cell>
          <cell r="B274">
            <v>44</v>
          </cell>
          <cell r="C274">
            <v>4</v>
          </cell>
          <cell r="D274">
            <v>39202</v>
          </cell>
          <cell r="E274">
            <v>39230</v>
          </cell>
          <cell r="F274">
            <v>39208</v>
          </cell>
          <cell r="G274">
            <v>1</v>
          </cell>
          <cell r="H274">
            <v>45.33</v>
          </cell>
          <cell r="I274" t="str">
            <v>Ship to 44-A</v>
          </cell>
          <cell r="J274" t="str">
            <v>Magazinweg 4567</v>
          </cell>
          <cell r="K274" t="str">
            <v>Frankfurt a.M.</v>
          </cell>
          <cell r="M274">
            <v>10222</v>
          </cell>
          <cell r="N274" t="str">
            <v>Germany</v>
          </cell>
        </row>
        <row r="275">
          <cell r="A275">
            <v>10523</v>
          </cell>
          <cell r="B275">
            <v>72</v>
          </cell>
          <cell r="C275">
            <v>7</v>
          </cell>
          <cell r="D275">
            <v>39203</v>
          </cell>
          <cell r="E275">
            <v>39231</v>
          </cell>
          <cell r="F275">
            <v>39232</v>
          </cell>
          <cell r="G275">
            <v>2</v>
          </cell>
          <cell r="H275">
            <v>77.63</v>
          </cell>
          <cell r="I275" t="str">
            <v>Ship to 72-C</v>
          </cell>
          <cell r="J275" t="str">
            <v>1234 Wadhurst Rd.</v>
          </cell>
          <cell r="K275" t="str">
            <v>London</v>
          </cell>
          <cell r="M275">
            <v>10309</v>
          </cell>
          <cell r="N275" t="str">
            <v>UK</v>
          </cell>
        </row>
        <row r="276">
          <cell r="A276">
            <v>10524</v>
          </cell>
          <cell r="B276">
            <v>5</v>
          </cell>
          <cell r="C276">
            <v>1</v>
          </cell>
          <cell r="D276">
            <v>39203</v>
          </cell>
          <cell r="E276">
            <v>39231</v>
          </cell>
          <cell r="F276">
            <v>39209</v>
          </cell>
          <cell r="G276">
            <v>2</v>
          </cell>
          <cell r="H276">
            <v>244.79</v>
          </cell>
          <cell r="I276" t="str">
            <v>Ship to 5-A</v>
          </cell>
          <cell r="J276" t="str">
            <v>Berguvsvägen 9012</v>
          </cell>
          <cell r="K276" t="str">
            <v>Luleå</v>
          </cell>
          <cell r="M276">
            <v>10267</v>
          </cell>
          <cell r="N276" t="str">
            <v>Sweden</v>
          </cell>
        </row>
        <row r="277">
          <cell r="A277">
            <v>10525</v>
          </cell>
          <cell r="B277">
            <v>9</v>
          </cell>
          <cell r="C277">
            <v>1</v>
          </cell>
          <cell r="D277">
            <v>39204</v>
          </cell>
          <cell r="E277">
            <v>39232</v>
          </cell>
          <cell r="F277">
            <v>39225</v>
          </cell>
          <cell r="G277">
            <v>2</v>
          </cell>
          <cell r="H277">
            <v>11.06</v>
          </cell>
          <cell r="I277" t="str">
            <v>Ship to 9-B</v>
          </cell>
          <cell r="J277" t="str">
            <v>9012, rue des Bouchers</v>
          </cell>
          <cell r="K277" t="str">
            <v>Marseille</v>
          </cell>
          <cell r="M277">
            <v>10368</v>
          </cell>
          <cell r="N277" t="str">
            <v>France</v>
          </cell>
        </row>
        <row r="278">
          <cell r="A278">
            <v>10526</v>
          </cell>
          <cell r="B278">
            <v>87</v>
          </cell>
          <cell r="C278">
            <v>4</v>
          </cell>
          <cell r="D278">
            <v>39207</v>
          </cell>
          <cell r="E278">
            <v>39235</v>
          </cell>
          <cell r="F278">
            <v>39217</v>
          </cell>
          <cell r="G278">
            <v>2</v>
          </cell>
          <cell r="H278">
            <v>58.59</v>
          </cell>
          <cell r="I278" t="str">
            <v>Ship to 87-C</v>
          </cell>
          <cell r="J278" t="str">
            <v>Torikatu 3456</v>
          </cell>
          <cell r="K278" t="str">
            <v>Oulu</v>
          </cell>
          <cell r="M278">
            <v>10352</v>
          </cell>
          <cell r="N278" t="str">
            <v>Finland</v>
          </cell>
        </row>
        <row r="279">
          <cell r="A279">
            <v>10527</v>
          </cell>
          <cell r="B279">
            <v>63</v>
          </cell>
          <cell r="C279">
            <v>7</v>
          </cell>
          <cell r="D279">
            <v>39207</v>
          </cell>
          <cell r="E279">
            <v>39235</v>
          </cell>
          <cell r="F279">
            <v>39209</v>
          </cell>
          <cell r="G279">
            <v>1</v>
          </cell>
          <cell r="H279">
            <v>41.9</v>
          </cell>
          <cell r="I279" t="str">
            <v>Ship to 63-B</v>
          </cell>
          <cell r="J279" t="str">
            <v>Taucherstraße 2345</v>
          </cell>
          <cell r="K279" t="str">
            <v>Cunewalde</v>
          </cell>
          <cell r="M279">
            <v>10280</v>
          </cell>
          <cell r="N279" t="str">
            <v>Germany</v>
          </cell>
        </row>
        <row r="280">
          <cell r="A280">
            <v>10528</v>
          </cell>
          <cell r="B280">
            <v>32</v>
          </cell>
          <cell r="C280">
            <v>6</v>
          </cell>
          <cell r="D280">
            <v>39208</v>
          </cell>
          <cell r="E280">
            <v>39222</v>
          </cell>
          <cell r="F280">
            <v>39211</v>
          </cell>
          <cell r="G280">
            <v>2</v>
          </cell>
          <cell r="H280">
            <v>3.35</v>
          </cell>
          <cell r="I280" t="str">
            <v>Destination LLUXZ</v>
          </cell>
          <cell r="J280" t="str">
            <v>1234 Baker Blvd.</v>
          </cell>
          <cell r="K280" t="str">
            <v>Eugene</v>
          </cell>
          <cell r="L280" t="str">
            <v>OR</v>
          </cell>
          <cell r="M280">
            <v>10189</v>
          </cell>
          <cell r="N280" t="str">
            <v>USA</v>
          </cell>
        </row>
        <row r="281">
          <cell r="A281">
            <v>10529</v>
          </cell>
          <cell r="B281">
            <v>50</v>
          </cell>
          <cell r="C281">
            <v>5</v>
          </cell>
          <cell r="D281">
            <v>39209</v>
          </cell>
          <cell r="E281">
            <v>39237</v>
          </cell>
          <cell r="F281">
            <v>39211</v>
          </cell>
          <cell r="G281">
            <v>2</v>
          </cell>
          <cell r="H281">
            <v>66.69</v>
          </cell>
          <cell r="I281" t="str">
            <v>Ship to 50-B</v>
          </cell>
          <cell r="J281" t="str">
            <v>Rue Joseph-Bens 4567</v>
          </cell>
          <cell r="K281" t="str">
            <v>Bruxelles</v>
          </cell>
          <cell r="M281">
            <v>10242</v>
          </cell>
          <cell r="N281" t="str">
            <v>Belgium</v>
          </cell>
        </row>
        <row r="282">
          <cell r="A282">
            <v>10530</v>
          </cell>
          <cell r="B282">
            <v>59</v>
          </cell>
          <cell r="C282">
            <v>3</v>
          </cell>
          <cell r="D282">
            <v>39210</v>
          </cell>
          <cell r="E282">
            <v>39238</v>
          </cell>
          <cell r="F282">
            <v>39214</v>
          </cell>
          <cell r="G282">
            <v>2</v>
          </cell>
          <cell r="H282">
            <v>339.22</v>
          </cell>
          <cell r="I282" t="str">
            <v>Ship to 59-C</v>
          </cell>
          <cell r="J282" t="str">
            <v>Geislweg 8901</v>
          </cell>
          <cell r="K282" t="str">
            <v>Salzburg</v>
          </cell>
          <cell r="M282">
            <v>10266</v>
          </cell>
          <cell r="N282" t="str">
            <v>Austria</v>
          </cell>
        </row>
        <row r="283">
          <cell r="A283">
            <v>10531</v>
          </cell>
          <cell r="B283">
            <v>54</v>
          </cell>
          <cell r="C283">
            <v>7</v>
          </cell>
          <cell r="D283">
            <v>39210</v>
          </cell>
          <cell r="E283">
            <v>39238</v>
          </cell>
          <cell r="F283">
            <v>39221</v>
          </cell>
          <cell r="G283">
            <v>1</v>
          </cell>
          <cell r="H283">
            <v>8.1199999999999992</v>
          </cell>
          <cell r="I283" t="str">
            <v>Ship to 54-A</v>
          </cell>
          <cell r="J283" t="str">
            <v>Ing. Gustavo Moncada 4567 Piso 20-A</v>
          </cell>
          <cell r="K283" t="str">
            <v>Buenos Aires</v>
          </cell>
          <cell r="M283">
            <v>10252</v>
          </cell>
          <cell r="N283" t="str">
            <v>Argentina</v>
          </cell>
        </row>
        <row r="284">
          <cell r="A284">
            <v>10532</v>
          </cell>
          <cell r="B284">
            <v>19</v>
          </cell>
          <cell r="C284">
            <v>7</v>
          </cell>
          <cell r="D284">
            <v>39211</v>
          </cell>
          <cell r="E284">
            <v>39239</v>
          </cell>
          <cell r="F284">
            <v>39214</v>
          </cell>
          <cell r="G284">
            <v>3</v>
          </cell>
          <cell r="H284">
            <v>74.459999999999994</v>
          </cell>
          <cell r="I284" t="str">
            <v>Destination QTKCU</v>
          </cell>
          <cell r="J284" t="str">
            <v>3456 King George</v>
          </cell>
          <cell r="K284" t="str">
            <v>London</v>
          </cell>
          <cell r="M284">
            <v>10151</v>
          </cell>
          <cell r="N284" t="str">
            <v>UK</v>
          </cell>
        </row>
        <row r="285">
          <cell r="A285">
            <v>10533</v>
          </cell>
          <cell r="B285">
            <v>24</v>
          </cell>
          <cell r="C285">
            <v>8</v>
          </cell>
          <cell r="D285">
            <v>39214</v>
          </cell>
          <cell r="E285">
            <v>39242</v>
          </cell>
          <cell r="F285">
            <v>39224</v>
          </cell>
          <cell r="G285">
            <v>1</v>
          </cell>
          <cell r="H285">
            <v>188.04</v>
          </cell>
          <cell r="I285" t="str">
            <v>Destination KBSBN</v>
          </cell>
          <cell r="J285" t="str">
            <v>Åkergatan 9012</v>
          </cell>
          <cell r="K285" t="str">
            <v>Bräcke</v>
          </cell>
          <cell r="M285">
            <v>10167</v>
          </cell>
          <cell r="N285" t="str">
            <v>Sweden</v>
          </cell>
        </row>
        <row r="286">
          <cell r="A286">
            <v>10534</v>
          </cell>
          <cell r="B286">
            <v>44</v>
          </cell>
          <cell r="C286">
            <v>8</v>
          </cell>
          <cell r="D286">
            <v>39214</v>
          </cell>
          <cell r="E286">
            <v>39242</v>
          </cell>
          <cell r="F286">
            <v>39216</v>
          </cell>
          <cell r="G286">
            <v>2</v>
          </cell>
          <cell r="H286">
            <v>27.94</v>
          </cell>
          <cell r="I286" t="str">
            <v>Ship to 44-A</v>
          </cell>
          <cell r="J286" t="str">
            <v>Magazinweg 4567</v>
          </cell>
          <cell r="K286" t="str">
            <v>Frankfurt a.M.</v>
          </cell>
          <cell r="M286">
            <v>10222</v>
          </cell>
          <cell r="N286" t="str">
            <v>Germany</v>
          </cell>
        </row>
        <row r="287">
          <cell r="A287">
            <v>10535</v>
          </cell>
          <cell r="B287">
            <v>3</v>
          </cell>
          <cell r="C287">
            <v>4</v>
          </cell>
          <cell r="D287">
            <v>39215</v>
          </cell>
          <cell r="E287">
            <v>39243</v>
          </cell>
          <cell r="F287">
            <v>39223</v>
          </cell>
          <cell r="G287">
            <v>1</v>
          </cell>
          <cell r="H287">
            <v>15.64</v>
          </cell>
          <cell r="I287" t="str">
            <v>Destination FQFLS</v>
          </cell>
          <cell r="J287" t="str">
            <v>Mataderos 3456</v>
          </cell>
          <cell r="K287" t="str">
            <v>México D.F.</v>
          </cell>
          <cell r="M287">
            <v>10211</v>
          </cell>
          <cell r="N287" t="str">
            <v>Mexico</v>
          </cell>
        </row>
        <row r="288">
          <cell r="A288">
            <v>10536</v>
          </cell>
          <cell r="B288">
            <v>44</v>
          </cell>
          <cell r="C288">
            <v>3</v>
          </cell>
          <cell r="D288">
            <v>39216</v>
          </cell>
          <cell r="E288">
            <v>39244</v>
          </cell>
          <cell r="F288">
            <v>39239</v>
          </cell>
          <cell r="G288">
            <v>2</v>
          </cell>
          <cell r="H288">
            <v>58.88</v>
          </cell>
          <cell r="I288" t="str">
            <v>Ship to 44-B</v>
          </cell>
          <cell r="J288" t="str">
            <v>Magazinweg 5678</v>
          </cell>
          <cell r="K288" t="str">
            <v>Frankfurt a.M.</v>
          </cell>
          <cell r="M288">
            <v>10223</v>
          </cell>
          <cell r="N288" t="str">
            <v>Germany</v>
          </cell>
        </row>
        <row r="289">
          <cell r="A289">
            <v>10537</v>
          </cell>
          <cell r="B289">
            <v>68</v>
          </cell>
          <cell r="C289">
            <v>1</v>
          </cell>
          <cell r="D289">
            <v>39216</v>
          </cell>
          <cell r="E289">
            <v>39230</v>
          </cell>
          <cell r="F289">
            <v>39221</v>
          </cell>
          <cell r="G289">
            <v>1</v>
          </cell>
          <cell r="H289">
            <v>78.849999999999994</v>
          </cell>
          <cell r="I289" t="str">
            <v>Ship to 68-B</v>
          </cell>
          <cell r="J289" t="str">
            <v>Starenweg 7890</v>
          </cell>
          <cell r="K289" t="str">
            <v>Genève</v>
          </cell>
          <cell r="M289">
            <v>10295</v>
          </cell>
          <cell r="N289" t="str">
            <v>Switzerland</v>
          </cell>
        </row>
        <row r="290">
          <cell r="A290">
            <v>10538</v>
          </cell>
          <cell r="B290">
            <v>11</v>
          </cell>
          <cell r="C290">
            <v>9</v>
          </cell>
          <cell r="D290">
            <v>39217</v>
          </cell>
          <cell r="E290">
            <v>39245</v>
          </cell>
          <cell r="F290">
            <v>39218</v>
          </cell>
          <cell r="G290">
            <v>3</v>
          </cell>
          <cell r="H290">
            <v>4.87</v>
          </cell>
          <cell r="I290" t="str">
            <v>Destination DLEUN</v>
          </cell>
          <cell r="J290" t="str">
            <v>Fauntleroy Circus 4567</v>
          </cell>
          <cell r="K290" t="str">
            <v>London</v>
          </cell>
          <cell r="M290">
            <v>10132</v>
          </cell>
          <cell r="N290" t="str">
            <v>UK</v>
          </cell>
        </row>
        <row r="291">
          <cell r="A291">
            <v>10539</v>
          </cell>
          <cell r="B291">
            <v>11</v>
          </cell>
          <cell r="C291">
            <v>6</v>
          </cell>
          <cell r="D291">
            <v>39218</v>
          </cell>
          <cell r="E291">
            <v>39246</v>
          </cell>
          <cell r="F291">
            <v>39225</v>
          </cell>
          <cell r="G291">
            <v>3</v>
          </cell>
          <cell r="H291">
            <v>12.36</v>
          </cell>
          <cell r="I291" t="str">
            <v>Destination DLEUN</v>
          </cell>
          <cell r="J291" t="str">
            <v>Fauntleroy Circus 4567</v>
          </cell>
          <cell r="K291" t="str">
            <v>London</v>
          </cell>
          <cell r="M291">
            <v>10132</v>
          </cell>
          <cell r="N291" t="str">
            <v>UK</v>
          </cell>
        </row>
        <row r="292">
          <cell r="A292">
            <v>10540</v>
          </cell>
          <cell r="B292">
            <v>63</v>
          </cell>
          <cell r="C292">
            <v>3</v>
          </cell>
          <cell r="D292">
            <v>39221</v>
          </cell>
          <cell r="E292">
            <v>39249</v>
          </cell>
          <cell r="F292">
            <v>39246</v>
          </cell>
          <cell r="G292">
            <v>3</v>
          </cell>
          <cell r="H292">
            <v>1007.64</v>
          </cell>
          <cell r="I292" t="str">
            <v>Ship to 63-C</v>
          </cell>
          <cell r="J292" t="str">
            <v>Taucherstraße 3456</v>
          </cell>
          <cell r="K292" t="str">
            <v>Cunewalde</v>
          </cell>
          <cell r="M292">
            <v>10281</v>
          </cell>
          <cell r="N292" t="str">
            <v>Germany</v>
          </cell>
        </row>
        <row r="293">
          <cell r="A293">
            <v>10541</v>
          </cell>
          <cell r="B293">
            <v>34</v>
          </cell>
          <cell r="C293">
            <v>2</v>
          </cell>
          <cell r="D293">
            <v>39221</v>
          </cell>
          <cell r="E293">
            <v>39249</v>
          </cell>
          <cell r="F293">
            <v>39231</v>
          </cell>
          <cell r="G293">
            <v>1</v>
          </cell>
          <cell r="H293">
            <v>68.650000000000006</v>
          </cell>
          <cell r="I293" t="str">
            <v>Destination SCQXA</v>
          </cell>
          <cell r="J293" t="str">
            <v>Rua do Paço, 7890</v>
          </cell>
          <cell r="K293" t="str">
            <v>Rio de Janeiro</v>
          </cell>
          <cell r="L293" t="str">
            <v>RJ</v>
          </cell>
          <cell r="M293">
            <v>10195</v>
          </cell>
          <cell r="N293" t="str">
            <v>Brazil</v>
          </cell>
        </row>
        <row r="294">
          <cell r="A294">
            <v>10542</v>
          </cell>
          <cell r="B294">
            <v>39</v>
          </cell>
          <cell r="C294">
            <v>1</v>
          </cell>
          <cell r="D294">
            <v>39222</v>
          </cell>
          <cell r="E294">
            <v>39250</v>
          </cell>
          <cell r="F294">
            <v>39228</v>
          </cell>
          <cell r="G294">
            <v>3</v>
          </cell>
          <cell r="H294">
            <v>10.95</v>
          </cell>
          <cell r="I294" t="str">
            <v>Destination DKMQA</v>
          </cell>
          <cell r="J294" t="str">
            <v>Maubelstr. 0123</v>
          </cell>
          <cell r="K294" t="str">
            <v>Brandenburg</v>
          </cell>
          <cell r="M294">
            <v>10208</v>
          </cell>
          <cell r="N294" t="str">
            <v>Germany</v>
          </cell>
        </row>
        <row r="295">
          <cell r="A295">
            <v>10543</v>
          </cell>
          <cell r="B295">
            <v>46</v>
          </cell>
          <cell r="C295">
            <v>8</v>
          </cell>
          <cell r="D295">
            <v>39223</v>
          </cell>
          <cell r="E295">
            <v>39251</v>
          </cell>
          <cell r="F295">
            <v>39225</v>
          </cell>
          <cell r="G295">
            <v>2</v>
          </cell>
          <cell r="H295">
            <v>48.17</v>
          </cell>
          <cell r="I295" t="str">
            <v>Ship to 46-B</v>
          </cell>
          <cell r="J295" t="str">
            <v>Carrera 1234 con Ave. Bolívar #65-98 Llano Largo</v>
          </cell>
          <cell r="K295" t="str">
            <v>Barquisimeto</v>
          </cell>
          <cell r="L295" t="str">
            <v>Lara</v>
          </cell>
          <cell r="M295">
            <v>10228</v>
          </cell>
          <cell r="N295" t="str">
            <v>Venezuela</v>
          </cell>
        </row>
        <row r="296">
          <cell r="A296">
            <v>10544</v>
          </cell>
          <cell r="B296">
            <v>48</v>
          </cell>
          <cell r="C296">
            <v>4</v>
          </cell>
          <cell r="D296">
            <v>39223</v>
          </cell>
          <cell r="E296">
            <v>39251</v>
          </cell>
          <cell r="F296">
            <v>39232</v>
          </cell>
          <cell r="G296">
            <v>1</v>
          </cell>
          <cell r="H296">
            <v>24.91</v>
          </cell>
          <cell r="I296" t="str">
            <v>Ship to 48-C</v>
          </cell>
          <cell r="J296" t="str">
            <v>7890 Chiaroscuro Rd.</v>
          </cell>
          <cell r="K296" t="str">
            <v>Portland</v>
          </cell>
          <cell r="L296" t="str">
            <v>OR</v>
          </cell>
          <cell r="M296">
            <v>10234</v>
          </cell>
          <cell r="N296" t="str">
            <v>USA</v>
          </cell>
        </row>
        <row r="297">
          <cell r="A297">
            <v>10545</v>
          </cell>
          <cell r="B297">
            <v>43</v>
          </cell>
          <cell r="C297">
            <v>8</v>
          </cell>
          <cell r="D297">
            <v>39224</v>
          </cell>
          <cell r="E297">
            <v>39252</v>
          </cell>
          <cell r="F297">
            <v>39259</v>
          </cell>
          <cell r="G297">
            <v>2</v>
          </cell>
          <cell r="H297">
            <v>11.92</v>
          </cell>
          <cell r="I297" t="str">
            <v>Ship to 43-B</v>
          </cell>
          <cell r="J297" t="str">
            <v>3456 Orchestra Terrace</v>
          </cell>
          <cell r="K297" t="str">
            <v>Walla Walla</v>
          </cell>
          <cell r="L297" t="str">
            <v>WA</v>
          </cell>
          <cell r="M297">
            <v>10221</v>
          </cell>
          <cell r="N297" t="str">
            <v>USA</v>
          </cell>
        </row>
        <row r="298">
          <cell r="A298">
            <v>10546</v>
          </cell>
          <cell r="B298">
            <v>84</v>
          </cell>
          <cell r="C298">
            <v>1</v>
          </cell>
          <cell r="D298">
            <v>39225</v>
          </cell>
          <cell r="E298">
            <v>39253</v>
          </cell>
          <cell r="F298">
            <v>39229</v>
          </cell>
          <cell r="G298">
            <v>3</v>
          </cell>
          <cell r="H298">
            <v>194.72</v>
          </cell>
          <cell r="I298" t="str">
            <v>Ship to 84-C</v>
          </cell>
          <cell r="J298" t="str">
            <v>5678, rue du Commerce</v>
          </cell>
          <cell r="K298" t="str">
            <v>Lyon</v>
          </cell>
          <cell r="M298">
            <v>10344</v>
          </cell>
          <cell r="N298" t="str">
            <v>France</v>
          </cell>
        </row>
        <row r="299">
          <cell r="A299">
            <v>10547</v>
          </cell>
          <cell r="B299">
            <v>72</v>
          </cell>
          <cell r="C299">
            <v>3</v>
          </cell>
          <cell r="D299">
            <v>39225</v>
          </cell>
          <cell r="E299">
            <v>39253</v>
          </cell>
          <cell r="F299">
            <v>39235</v>
          </cell>
          <cell r="G299">
            <v>2</v>
          </cell>
          <cell r="H299">
            <v>178.43</v>
          </cell>
          <cell r="I299" t="str">
            <v>Ship to 72-C</v>
          </cell>
          <cell r="J299" t="str">
            <v>1234 Wadhurst Rd.</v>
          </cell>
          <cell r="K299" t="str">
            <v>London</v>
          </cell>
          <cell r="M299">
            <v>10309</v>
          </cell>
          <cell r="N299" t="str">
            <v>UK</v>
          </cell>
        </row>
        <row r="300">
          <cell r="A300">
            <v>10548</v>
          </cell>
          <cell r="B300">
            <v>79</v>
          </cell>
          <cell r="C300">
            <v>3</v>
          </cell>
          <cell r="D300">
            <v>39228</v>
          </cell>
          <cell r="E300">
            <v>39256</v>
          </cell>
          <cell r="F300">
            <v>39235</v>
          </cell>
          <cell r="G300">
            <v>2</v>
          </cell>
          <cell r="H300">
            <v>1.43</v>
          </cell>
          <cell r="I300" t="str">
            <v>Ship to 79-A</v>
          </cell>
          <cell r="J300" t="str">
            <v>Luisenstr. 7890</v>
          </cell>
          <cell r="K300" t="str">
            <v>Münster</v>
          </cell>
          <cell r="M300">
            <v>10326</v>
          </cell>
          <cell r="N300" t="str">
            <v>Germany</v>
          </cell>
        </row>
        <row r="301">
          <cell r="A301">
            <v>10549</v>
          </cell>
          <cell r="B301">
            <v>63</v>
          </cell>
          <cell r="C301">
            <v>5</v>
          </cell>
          <cell r="D301">
            <v>39229</v>
          </cell>
          <cell r="E301">
            <v>39243</v>
          </cell>
          <cell r="F301">
            <v>39232</v>
          </cell>
          <cell r="G301">
            <v>1</v>
          </cell>
          <cell r="H301">
            <v>171.24</v>
          </cell>
          <cell r="I301" t="str">
            <v>Ship to 63-C</v>
          </cell>
          <cell r="J301" t="str">
            <v>Taucherstraße 3456</v>
          </cell>
          <cell r="K301" t="str">
            <v>Cunewalde</v>
          </cell>
          <cell r="M301">
            <v>10281</v>
          </cell>
          <cell r="N301" t="str">
            <v>Germany</v>
          </cell>
        </row>
        <row r="302">
          <cell r="A302">
            <v>10550</v>
          </cell>
          <cell r="B302">
            <v>30</v>
          </cell>
          <cell r="C302">
            <v>7</v>
          </cell>
          <cell r="D302">
            <v>39230</v>
          </cell>
          <cell r="E302">
            <v>39258</v>
          </cell>
          <cell r="F302">
            <v>39239</v>
          </cell>
          <cell r="G302">
            <v>3</v>
          </cell>
          <cell r="H302">
            <v>4.32</v>
          </cell>
          <cell r="I302" t="str">
            <v>Destination GGQIR</v>
          </cell>
          <cell r="J302" t="str">
            <v>C/ Romero, 6789</v>
          </cell>
          <cell r="K302" t="str">
            <v>Sevilla</v>
          </cell>
          <cell r="M302">
            <v>10184</v>
          </cell>
          <cell r="N302" t="str">
            <v>Spain</v>
          </cell>
        </row>
        <row r="303">
          <cell r="A303">
            <v>10551</v>
          </cell>
          <cell r="B303">
            <v>28</v>
          </cell>
          <cell r="C303">
            <v>4</v>
          </cell>
          <cell r="D303">
            <v>39230</v>
          </cell>
          <cell r="E303">
            <v>39272</v>
          </cell>
          <cell r="F303">
            <v>39239</v>
          </cell>
          <cell r="G303">
            <v>3</v>
          </cell>
          <cell r="H303">
            <v>72.95</v>
          </cell>
          <cell r="I303" t="str">
            <v>Destination OTSWR</v>
          </cell>
          <cell r="J303" t="str">
            <v>Jardim das rosas n. 9012</v>
          </cell>
          <cell r="K303" t="str">
            <v>Lisboa</v>
          </cell>
          <cell r="M303">
            <v>10177</v>
          </cell>
          <cell r="N303" t="str">
            <v>Portugal</v>
          </cell>
        </row>
        <row r="304">
          <cell r="A304">
            <v>10552</v>
          </cell>
          <cell r="B304">
            <v>35</v>
          </cell>
          <cell r="C304">
            <v>2</v>
          </cell>
          <cell r="D304">
            <v>39231</v>
          </cell>
          <cell r="E304">
            <v>39259</v>
          </cell>
          <cell r="F304">
            <v>39238</v>
          </cell>
          <cell r="G304">
            <v>1</v>
          </cell>
          <cell r="H304">
            <v>83.22</v>
          </cell>
          <cell r="I304" t="str">
            <v>Destination UOUWK</v>
          </cell>
          <cell r="J304" t="str">
            <v>Carrera 9012 con Ave. Carlos Soublette #8-35</v>
          </cell>
          <cell r="K304" t="str">
            <v>San Cristóbal</v>
          </cell>
          <cell r="L304" t="str">
            <v>Táchira</v>
          </cell>
          <cell r="M304">
            <v>10197</v>
          </cell>
          <cell r="N304" t="str">
            <v>Venezuela</v>
          </cell>
        </row>
        <row r="305">
          <cell r="A305">
            <v>10553</v>
          </cell>
          <cell r="B305">
            <v>87</v>
          </cell>
          <cell r="C305">
            <v>2</v>
          </cell>
          <cell r="D305">
            <v>39232</v>
          </cell>
          <cell r="E305">
            <v>39260</v>
          </cell>
          <cell r="F305">
            <v>39236</v>
          </cell>
          <cell r="G305">
            <v>2</v>
          </cell>
          <cell r="H305">
            <v>149.49</v>
          </cell>
          <cell r="I305" t="str">
            <v>Ship to 87-B</v>
          </cell>
          <cell r="J305" t="str">
            <v>Torikatu 2345</v>
          </cell>
          <cell r="K305" t="str">
            <v>Oulu</v>
          </cell>
          <cell r="M305">
            <v>10351</v>
          </cell>
          <cell r="N305" t="str">
            <v>Finland</v>
          </cell>
        </row>
        <row r="306">
          <cell r="A306">
            <v>10554</v>
          </cell>
          <cell r="B306">
            <v>56</v>
          </cell>
          <cell r="C306">
            <v>4</v>
          </cell>
          <cell r="D306">
            <v>39232</v>
          </cell>
          <cell r="E306">
            <v>39260</v>
          </cell>
          <cell r="F306">
            <v>39238</v>
          </cell>
          <cell r="G306">
            <v>3</v>
          </cell>
          <cell r="H306">
            <v>120.97</v>
          </cell>
          <cell r="I306" t="str">
            <v>Ship to 56-C</v>
          </cell>
          <cell r="J306" t="str">
            <v>Mehrheimerstr. 2345</v>
          </cell>
          <cell r="K306" t="str">
            <v>Köln</v>
          </cell>
          <cell r="M306">
            <v>10260</v>
          </cell>
          <cell r="N306" t="str">
            <v>Germany</v>
          </cell>
        </row>
        <row r="307">
          <cell r="A307">
            <v>10555</v>
          </cell>
          <cell r="B307">
            <v>71</v>
          </cell>
          <cell r="C307">
            <v>6</v>
          </cell>
          <cell r="D307">
            <v>39235</v>
          </cell>
          <cell r="E307">
            <v>39263</v>
          </cell>
          <cell r="F307">
            <v>39237</v>
          </cell>
          <cell r="G307">
            <v>3</v>
          </cell>
          <cell r="H307">
            <v>252.49</v>
          </cell>
          <cell r="I307" t="str">
            <v>Ship to 71-B</v>
          </cell>
          <cell r="J307" t="str">
            <v>8901 Suffolk Ln.</v>
          </cell>
          <cell r="K307" t="str">
            <v>Boise</v>
          </cell>
          <cell r="L307" t="str">
            <v>ID</v>
          </cell>
          <cell r="M307">
            <v>10306</v>
          </cell>
          <cell r="N307" t="str">
            <v>USA</v>
          </cell>
        </row>
        <row r="308">
          <cell r="A308">
            <v>10556</v>
          </cell>
          <cell r="B308">
            <v>73</v>
          </cell>
          <cell r="C308">
            <v>2</v>
          </cell>
          <cell r="D308">
            <v>39236</v>
          </cell>
          <cell r="E308">
            <v>39278</v>
          </cell>
          <cell r="F308">
            <v>39246</v>
          </cell>
          <cell r="G308">
            <v>1</v>
          </cell>
          <cell r="H308">
            <v>9.8000000000000007</v>
          </cell>
          <cell r="I308" t="str">
            <v>Ship to 73-A</v>
          </cell>
          <cell r="J308" t="str">
            <v>Vinbæltet 1234</v>
          </cell>
          <cell r="K308" t="str">
            <v>Kobenhavn</v>
          </cell>
          <cell r="M308">
            <v>10310</v>
          </cell>
          <cell r="N308" t="str">
            <v>Denmark</v>
          </cell>
        </row>
        <row r="309">
          <cell r="A309">
            <v>10557</v>
          </cell>
          <cell r="B309">
            <v>44</v>
          </cell>
          <cell r="C309">
            <v>9</v>
          </cell>
          <cell r="D309">
            <v>39236</v>
          </cell>
          <cell r="E309">
            <v>39250</v>
          </cell>
          <cell r="F309">
            <v>39239</v>
          </cell>
          <cell r="G309">
            <v>2</v>
          </cell>
          <cell r="H309">
            <v>96.72</v>
          </cell>
          <cell r="I309" t="str">
            <v>Ship to 44-C</v>
          </cell>
          <cell r="J309" t="str">
            <v>Magazinweg 6789</v>
          </cell>
          <cell r="K309" t="str">
            <v>Frankfurt a.M.</v>
          </cell>
          <cell r="M309">
            <v>10224</v>
          </cell>
          <cell r="N309" t="str">
            <v>Germany</v>
          </cell>
        </row>
        <row r="310">
          <cell r="A310">
            <v>10558</v>
          </cell>
          <cell r="B310">
            <v>4</v>
          </cell>
          <cell r="C310">
            <v>1</v>
          </cell>
          <cell r="D310">
            <v>39237</v>
          </cell>
          <cell r="E310">
            <v>39265</v>
          </cell>
          <cell r="F310">
            <v>39243</v>
          </cell>
          <cell r="G310">
            <v>2</v>
          </cell>
          <cell r="H310">
            <v>72.97</v>
          </cell>
          <cell r="I310" t="str">
            <v>Ship to 4-B</v>
          </cell>
          <cell r="J310" t="str">
            <v>Brook Farm Stratford St. Mary 1234</v>
          </cell>
          <cell r="K310" t="str">
            <v>Colchester</v>
          </cell>
          <cell r="L310" t="str">
            <v>Essex</v>
          </cell>
          <cell r="M310">
            <v>10239</v>
          </cell>
          <cell r="N310" t="str">
            <v>UK</v>
          </cell>
        </row>
        <row r="311">
          <cell r="A311">
            <v>10559</v>
          </cell>
          <cell r="B311">
            <v>7</v>
          </cell>
          <cell r="C311">
            <v>6</v>
          </cell>
          <cell r="D311">
            <v>39238</v>
          </cell>
          <cell r="E311">
            <v>39266</v>
          </cell>
          <cell r="F311">
            <v>39246</v>
          </cell>
          <cell r="G311">
            <v>1</v>
          </cell>
          <cell r="H311">
            <v>8.0500000000000007</v>
          </cell>
          <cell r="I311" t="str">
            <v>Ship to 7-B</v>
          </cell>
          <cell r="J311" t="str">
            <v>1234, place Kléber</v>
          </cell>
          <cell r="K311" t="str">
            <v>Strasbourg</v>
          </cell>
          <cell r="M311">
            <v>10330</v>
          </cell>
          <cell r="N311" t="str">
            <v>France</v>
          </cell>
        </row>
        <row r="312">
          <cell r="A312">
            <v>10560</v>
          </cell>
          <cell r="B312">
            <v>25</v>
          </cell>
          <cell r="C312">
            <v>8</v>
          </cell>
          <cell r="D312">
            <v>39239</v>
          </cell>
          <cell r="E312">
            <v>39267</v>
          </cell>
          <cell r="F312">
            <v>39242</v>
          </cell>
          <cell r="G312">
            <v>1</v>
          </cell>
          <cell r="H312">
            <v>36.65</v>
          </cell>
          <cell r="I312" t="str">
            <v>Destination QOCBL</v>
          </cell>
          <cell r="J312" t="str">
            <v>Berliner Platz 1234</v>
          </cell>
          <cell r="K312" t="str">
            <v>München</v>
          </cell>
          <cell r="M312">
            <v>10169</v>
          </cell>
          <cell r="N312" t="str">
            <v>Germany</v>
          </cell>
        </row>
        <row r="313">
          <cell r="A313">
            <v>10561</v>
          </cell>
          <cell r="B313">
            <v>24</v>
          </cell>
          <cell r="C313">
            <v>2</v>
          </cell>
          <cell r="D313">
            <v>39239</v>
          </cell>
          <cell r="E313">
            <v>39267</v>
          </cell>
          <cell r="F313">
            <v>39242</v>
          </cell>
          <cell r="G313">
            <v>2</v>
          </cell>
          <cell r="H313">
            <v>242.21</v>
          </cell>
          <cell r="I313" t="str">
            <v>Destination YCMPK</v>
          </cell>
          <cell r="J313" t="str">
            <v>Åkergatan 8901</v>
          </cell>
          <cell r="K313" t="str">
            <v>Bräcke</v>
          </cell>
          <cell r="M313">
            <v>10166</v>
          </cell>
          <cell r="N313" t="str">
            <v>Sweden</v>
          </cell>
        </row>
        <row r="314">
          <cell r="A314">
            <v>10562</v>
          </cell>
          <cell r="B314">
            <v>66</v>
          </cell>
          <cell r="C314">
            <v>1</v>
          </cell>
          <cell r="D314">
            <v>39242</v>
          </cell>
          <cell r="E314">
            <v>39270</v>
          </cell>
          <cell r="F314">
            <v>39245</v>
          </cell>
          <cell r="G314">
            <v>1</v>
          </cell>
          <cell r="H314">
            <v>22.95</v>
          </cell>
          <cell r="I314" t="str">
            <v>Ship to 66-B</v>
          </cell>
          <cell r="J314" t="str">
            <v>Strada Provinciale 1234</v>
          </cell>
          <cell r="K314" t="str">
            <v>Reggio Emilia</v>
          </cell>
          <cell r="M314">
            <v>10289</v>
          </cell>
          <cell r="N314" t="str">
            <v>Italy</v>
          </cell>
        </row>
        <row r="315">
          <cell r="A315">
            <v>10563</v>
          </cell>
          <cell r="B315">
            <v>67</v>
          </cell>
          <cell r="C315">
            <v>2</v>
          </cell>
          <cell r="D315">
            <v>39243</v>
          </cell>
          <cell r="E315">
            <v>39285</v>
          </cell>
          <cell r="F315">
            <v>39257</v>
          </cell>
          <cell r="G315">
            <v>2</v>
          </cell>
          <cell r="H315">
            <v>60.43</v>
          </cell>
          <cell r="I315" t="str">
            <v>Ship to 67-B</v>
          </cell>
          <cell r="J315" t="str">
            <v>Av. Copacabana, 4567</v>
          </cell>
          <cell r="K315" t="str">
            <v>Rio de Janeiro</v>
          </cell>
          <cell r="L315" t="str">
            <v>RJ</v>
          </cell>
          <cell r="M315">
            <v>10292</v>
          </cell>
          <cell r="N315" t="str">
            <v>Brazil</v>
          </cell>
        </row>
        <row r="316">
          <cell r="A316">
            <v>10564</v>
          </cell>
          <cell r="B316">
            <v>65</v>
          </cell>
          <cell r="C316">
            <v>4</v>
          </cell>
          <cell r="D316">
            <v>39243</v>
          </cell>
          <cell r="E316">
            <v>39271</v>
          </cell>
          <cell r="F316">
            <v>39249</v>
          </cell>
          <cell r="G316">
            <v>3</v>
          </cell>
          <cell r="H316">
            <v>13.75</v>
          </cell>
          <cell r="I316" t="str">
            <v>Ship to 65-B</v>
          </cell>
          <cell r="J316" t="str">
            <v>8901 Milton Dr.</v>
          </cell>
          <cell r="K316" t="str">
            <v>Albuquerque</v>
          </cell>
          <cell r="L316" t="str">
            <v>NM</v>
          </cell>
          <cell r="M316">
            <v>10286</v>
          </cell>
          <cell r="N316" t="str">
            <v>USA</v>
          </cell>
        </row>
        <row r="317">
          <cell r="A317">
            <v>10565</v>
          </cell>
          <cell r="B317">
            <v>51</v>
          </cell>
          <cell r="C317">
            <v>8</v>
          </cell>
          <cell r="D317">
            <v>39244</v>
          </cell>
          <cell r="E317">
            <v>39272</v>
          </cell>
          <cell r="F317">
            <v>39251</v>
          </cell>
          <cell r="G317">
            <v>2</v>
          </cell>
          <cell r="H317">
            <v>7.15</v>
          </cell>
          <cell r="I317" t="str">
            <v>Ship to 51-C</v>
          </cell>
          <cell r="J317" t="str">
            <v>8901 rue St. Laurent</v>
          </cell>
          <cell r="K317" t="str">
            <v>Montréal</v>
          </cell>
          <cell r="L317" t="str">
            <v>Québec</v>
          </cell>
          <cell r="M317">
            <v>10246</v>
          </cell>
          <cell r="N317" t="str">
            <v>Canada</v>
          </cell>
        </row>
        <row r="318">
          <cell r="A318">
            <v>10566</v>
          </cell>
          <cell r="B318">
            <v>7</v>
          </cell>
          <cell r="C318">
            <v>9</v>
          </cell>
          <cell r="D318">
            <v>39245</v>
          </cell>
          <cell r="E318">
            <v>39273</v>
          </cell>
          <cell r="F318">
            <v>39251</v>
          </cell>
          <cell r="G318">
            <v>1</v>
          </cell>
          <cell r="H318">
            <v>88.4</v>
          </cell>
          <cell r="I318" t="str">
            <v>Ship to 7-C</v>
          </cell>
          <cell r="J318" t="str">
            <v>2345, place Kléber</v>
          </cell>
          <cell r="K318" t="str">
            <v>Strasbourg</v>
          </cell>
          <cell r="M318">
            <v>10331</v>
          </cell>
          <cell r="N318" t="str">
            <v>France</v>
          </cell>
        </row>
        <row r="319">
          <cell r="A319">
            <v>10567</v>
          </cell>
          <cell r="B319">
            <v>37</v>
          </cell>
          <cell r="C319">
            <v>1</v>
          </cell>
          <cell r="D319">
            <v>39245</v>
          </cell>
          <cell r="E319">
            <v>39273</v>
          </cell>
          <cell r="F319">
            <v>39250</v>
          </cell>
          <cell r="G319">
            <v>1</v>
          </cell>
          <cell r="H319">
            <v>33.97</v>
          </cell>
          <cell r="I319" t="str">
            <v>Destination DGKOU</v>
          </cell>
          <cell r="J319" t="str">
            <v>6789 Johnstown Road</v>
          </cell>
          <cell r="K319" t="str">
            <v>Cork</v>
          </cell>
          <cell r="L319" t="str">
            <v>Co. Cork</v>
          </cell>
          <cell r="M319">
            <v>10204</v>
          </cell>
          <cell r="N319" t="str">
            <v>Ireland</v>
          </cell>
        </row>
        <row r="320">
          <cell r="A320">
            <v>10568</v>
          </cell>
          <cell r="B320">
            <v>29</v>
          </cell>
          <cell r="C320">
            <v>3</v>
          </cell>
          <cell r="D320">
            <v>39246</v>
          </cell>
          <cell r="E320">
            <v>39274</v>
          </cell>
          <cell r="F320">
            <v>39272</v>
          </cell>
          <cell r="G320">
            <v>3</v>
          </cell>
          <cell r="H320">
            <v>6.54</v>
          </cell>
          <cell r="I320" t="str">
            <v>Destination VPNNG</v>
          </cell>
          <cell r="J320" t="str">
            <v>Rambla de Cataluña, 0123</v>
          </cell>
          <cell r="K320" t="str">
            <v>Barcelona</v>
          </cell>
          <cell r="M320">
            <v>10178</v>
          </cell>
          <cell r="N320" t="str">
            <v>Spain</v>
          </cell>
        </row>
        <row r="321">
          <cell r="A321">
            <v>10569</v>
          </cell>
          <cell r="B321">
            <v>65</v>
          </cell>
          <cell r="C321">
            <v>5</v>
          </cell>
          <cell r="D321">
            <v>39249</v>
          </cell>
          <cell r="E321">
            <v>39277</v>
          </cell>
          <cell r="F321">
            <v>39274</v>
          </cell>
          <cell r="G321">
            <v>1</v>
          </cell>
          <cell r="H321">
            <v>58.98</v>
          </cell>
          <cell r="I321" t="str">
            <v>Ship to 65-B</v>
          </cell>
          <cell r="J321" t="str">
            <v>8901 Milton Dr.</v>
          </cell>
          <cell r="K321" t="str">
            <v>Albuquerque</v>
          </cell>
          <cell r="L321" t="str">
            <v>NM</v>
          </cell>
          <cell r="M321">
            <v>10286</v>
          </cell>
          <cell r="N321" t="str">
            <v>USA</v>
          </cell>
        </row>
        <row r="322">
          <cell r="A322">
            <v>10570</v>
          </cell>
          <cell r="B322">
            <v>51</v>
          </cell>
          <cell r="C322">
            <v>3</v>
          </cell>
          <cell r="D322">
            <v>39250</v>
          </cell>
          <cell r="E322">
            <v>39278</v>
          </cell>
          <cell r="F322">
            <v>39252</v>
          </cell>
          <cell r="G322">
            <v>3</v>
          </cell>
          <cell r="H322">
            <v>188.99</v>
          </cell>
          <cell r="I322" t="str">
            <v>Ship to 51-C</v>
          </cell>
          <cell r="J322" t="str">
            <v>8901 rue St. Laurent</v>
          </cell>
          <cell r="K322" t="str">
            <v>Montréal</v>
          </cell>
          <cell r="L322" t="str">
            <v>Québec</v>
          </cell>
          <cell r="M322">
            <v>10246</v>
          </cell>
          <cell r="N322" t="str">
            <v>Canada</v>
          </cell>
        </row>
        <row r="323">
          <cell r="A323">
            <v>10571</v>
          </cell>
          <cell r="B323">
            <v>20</v>
          </cell>
          <cell r="C323">
            <v>8</v>
          </cell>
          <cell r="D323">
            <v>39250</v>
          </cell>
          <cell r="E323">
            <v>39292</v>
          </cell>
          <cell r="F323">
            <v>39267</v>
          </cell>
          <cell r="G323">
            <v>3</v>
          </cell>
          <cell r="H323">
            <v>26.06</v>
          </cell>
          <cell r="I323" t="str">
            <v>Destination RVDMF</v>
          </cell>
          <cell r="J323" t="str">
            <v>Kirchgasse 9012</v>
          </cell>
          <cell r="K323" t="str">
            <v>Graz</v>
          </cell>
          <cell r="M323">
            <v>10157</v>
          </cell>
          <cell r="N323" t="str">
            <v>Austria</v>
          </cell>
        </row>
        <row r="324">
          <cell r="A324">
            <v>10572</v>
          </cell>
          <cell r="B324">
            <v>5</v>
          </cell>
          <cell r="C324">
            <v>3</v>
          </cell>
          <cell r="D324">
            <v>39251</v>
          </cell>
          <cell r="E324">
            <v>39279</v>
          </cell>
          <cell r="F324">
            <v>39258</v>
          </cell>
          <cell r="G324">
            <v>2</v>
          </cell>
          <cell r="H324">
            <v>116.43</v>
          </cell>
          <cell r="I324" t="str">
            <v>Ship to 5-B</v>
          </cell>
          <cell r="J324" t="str">
            <v>Berguvsvägen 0123</v>
          </cell>
          <cell r="K324" t="str">
            <v>Luleå</v>
          </cell>
          <cell r="M324">
            <v>10268</v>
          </cell>
          <cell r="N324" t="str">
            <v>Sweden</v>
          </cell>
        </row>
        <row r="325">
          <cell r="A325">
            <v>10573</v>
          </cell>
          <cell r="B325">
            <v>3</v>
          </cell>
          <cell r="C325">
            <v>7</v>
          </cell>
          <cell r="D325">
            <v>39252</v>
          </cell>
          <cell r="E325">
            <v>39280</v>
          </cell>
          <cell r="F325">
            <v>39253</v>
          </cell>
          <cell r="G325">
            <v>3</v>
          </cell>
          <cell r="H325">
            <v>84.84</v>
          </cell>
          <cell r="I325" t="str">
            <v>Destination LANNN</v>
          </cell>
          <cell r="J325" t="str">
            <v>Mataderos 4567</v>
          </cell>
          <cell r="K325" t="str">
            <v>México D.F.</v>
          </cell>
          <cell r="M325">
            <v>10212</v>
          </cell>
          <cell r="N325" t="str">
            <v>Mexico</v>
          </cell>
        </row>
        <row r="326">
          <cell r="A326">
            <v>10574</v>
          </cell>
          <cell r="B326">
            <v>82</v>
          </cell>
          <cell r="C326">
            <v>4</v>
          </cell>
          <cell r="D326">
            <v>39252</v>
          </cell>
          <cell r="E326">
            <v>39280</v>
          </cell>
          <cell r="F326">
            <v>39263</v>
          </cell>
          <cell r="G326">
            <v>2</v>
          </cell>
          <cell r="H326">
            <v>37.6</v>
          </cell>
          <cell r="I326" t="str">
            <v>Ship to 82-A</v>
          </cell>
          <cell r="J326" t="str">
            <v>8901 DaVinci Blvd.</v>
          </cell>
          <cell r="K326" t="str">
            <v>Kirkland</v>
          </cell>
          <cell r="L326" t="str">
            <v>WA</v>
          </cell>
          <cell r="M326">
            <v>10337</v>
          </cell>
          <cell r="N326" t="str">
            <v>USA</v>
          </cell>
        </row>
        <row r="327">
          <cell r="A327">
            <v>10575</v>
          </cell>
          <cell r="B327">
            <v>52</v>
          </cell>
          <cell r="C327">
            <v>5</v>
          </cell>
          <cell r="D327">
            <v>39253</v>
          </cell>
          <cell r="E327">
            <v>39267</v>
          </cell>
          <cell r="F327">
            <v>39263</v>
          </cell>
          <cell r="G327">
            <v>1</v>
          </cell>
          <cell r="H327">
            <v>127.34</v>
          </cell>
          <cell r="I327" t="str">
            <v>Ship to 52-C</v>
          </cell>
          <cell r="J327" t="str">
            <v>Heerstr. 1234</v>
          </cell>
          <cell r="K327" t="str">
            <v>Leipzig</v>
          </cell>
          <cell r="M327">
            <v>10249</v>
          </cell>
          <cell r="N327" t="str">
            <v>Germany</v>
          </cell>
        </row>
        <row r="328">
          <cell r="A328">
            <v>10576</v>
          </cell>
          <cell r="B328">
            <v>80</v>
          </cell>
          <cell r="C328">
            <v>3</v>
          </cell>
          <cell r="D328">
            <v>39256</v>
          </cell>
          <cell r="E328">
            <v>39270</v>
          </cell>
          <cell r="F328">
            <v>39263</v>
          </cell>
          <cell r="G328">
            <v>3</v>
          </cell>
          <cell r="H328">
            <v>18.559999999999999</v>
          </cell>
          <cell r="I328" t="str">
            <v>Ship to 80-C</v>
          </cell>
          <cell r="J328" t="str">
            <v>Avda. Azteca 5678</v>
          </cell>
          <cell r="K328" t="str">
            <v>México D.F.</v>
          </cell>
          <cell r="M328">
            <v>10334</v>
          </cell>
          <cell r="N328" t="str">
            <v>Mexico</v>
          </cell>
        </row>
        <row r="329">
          <cell r="A329">
            <v>10577</v>
          </cell>
          <cell r="B329">
            <v>82</v>
          </cell>
          <cell r="C329">
            <v>9</v>
          </cell>
          <cell r="D329">
            <v>39256</v>
          </cell>
          <cell r="E329">
            <v>39298</v>
          </cell>
          <cell r="F329">
            <v>39263</v>
          </cell>
          <cell r="G329">
            <v>2</v>
          </cell>
          <cell r="H329">
            <v>25.41</v>
          </cell>
          <cell r="I329" t="str">
            <v>Ship to 82-B</v>
          </cell>
          <cell r="J329" t="str">
            <v>9012 DaVinci Blvd.</v>
          </cell>
          <cell r="K329" t="str">
            <v>Kirkland</v>
          </cell>
          <cell r="L329" t="str">
            <v>WA</v>
          </cell>
          <cell r="M329">
            <v>10338</v>
          </cell>
          <cell r="N329" t="str">
            <v>USA</v>
          </cell>
        </row>
        <row r="330">
          <cell r="A330">
            <v>10578</v>
          </cell>
          <cell r="B330">
            <v>11</v>
          </cell>
          <cell r="C330">
            <v>4</v>
          </cell>
          <cell r="D330">
            <v>39257</v>
          </cell>
          <cell r="E330">
            <v>39285</v>
          </cell>
          <cell r="F330">
            <v>39288</v>
          </cell>
          <cell r="G330">
            <v>3</v>
          </cell>
          <cell r="H330">
            <v>29.6</v>
          </cell>
          <cell r="I330" t="str">
            <v>Destination NZASL</v>
          </cell>
          <cell r="J330" t="str">
            <v>Fauntleroy Circus 5678</v>
          </cell>
          <cell r="K330" t="str">
            <v>London</v>
          </cell>
          <cell r="M330">
            <v>10133</v>
          </cell>
          <cell r="N330" t="str">
            <v>UK</v>
          </cell>
        </row>
        <row r="331">
          <cell r="A331">
            <v>10579</v>
          </cell>
          <cell r="B331">
            <v>45</v>
          </cell>
          <cell r="C331">
            <v>1</v>
          </cell>
          <cell r="D331">
            <v>39258</v>
          </cell>
          <cell r="E331">
            <v>39286</v>
          </cell>
          <cell r="F331">
            <v>39267</v>
          </cell>
          <cell r="G331">
            <v>2</v>
          </cell>
          <cell r="H331">
            <v>13.73</v>
          </cell>
          <cell r="I331" t="str">
            <v>Ship to 45-C</v>
          </cell>
          <cell r="J331" t="str">
            <v>9012 Polk St. Suite 5</v>
          </cell>
          <cell r="K331" t="str">
            <v>San Francisco</v>
          </cell>
          <cell r="L331" t="str">
            <v>CA</v>
          </cell>
          <cell r="M331">
            <v>10226</v>
          </cell>
          <cell r="N331" t="str">
            <v>USA</v>
          </cell>
        </row>
        <row r="332">
          <cell r="A332">
            <v>10580</v>
          </cell>
          <cell r="B332">
            <v>56</v>
          </cell>
          <cell r="C332">
            <v>4</v>
          </cell>
          <cell r="D332">
            <v>39259</v>
          </cell>
          <cell r="E332">
            <v>39287</v>
          </cell>
          <cell r="F332">
            <v>39264</v>
          </cell>
          <cell r="G332">
            <v>3</v>
          </cell>
          <cell r="H332">
            <v>75.89</v>
          </cell>
          <cell r="I332" t="str">
            <v>Ship to 56-C</v>
          </cell>
          <cell r="J332" t="str">
            <v>Mehrheimerstr. 2345</v>
          </cell>
          <cell r="K332" t="str">
            <v>Köln</v>
          </cell>
          <cell r="M332">
            <v>10260</v>
          </cell>
          <cell r="N332" t="str">
            <v>Germany</v>
          </cell>
        </row>
        <row r="333">
          <cell r="A333">
            <v>10581</v>
          </cell>
          <cell r="B333">
            <v>21</v>
          </cell>
          <cell r="C333">
            <v>3</v>
          </cell>
          <cell r="D333">
            <v>39259</v>
          </cell>
          <cell r="E333">
            <v>39287</v>
          </cell>
          <cell r="F333">
            <v>39265</v>
          </cell>
          <cell r="G333">
            <v>1</v>
          </cell>
          <cell r="H333">
            <v>3.01</v>
          </cell>
          <cell r="I333" t="str">
            <v>Destination SSYXZ</v>
          </cell>
          <cell r="J333" t="str">
            <v>Rua Orós, 3456</v>
          </cell>
          <cell r="K333" t="str">
            <v>Sao Paulo</v>
          </cell>
          <cell r="L333" t="str">
            <v>SP</v>
          </cell>
          <cell r="M333">
            <v>10161</v>
          </cell>
          <cell r="N333" t="str">
            <v>Brazil</v>
          </cell>
        </row>
        <row r="334">
          <cell r="A334">
            <v>10582</v>
          </cell>
          <cell r="B334">
            <v>6</v>
          </cell>
          <cell r="C334">
            <v>3</v>
          </cell>
          <cell r="D334">
            <v>39260</v>
          </cell>
          <cell r="E334">
            <v>39288</v>
          </cell>
          <cell r="F334">
            <v>39277</v>
          </cell>
          <cell r="G334">
            <v>2</v>
          </cell>
          <cell r="H334">
            <v>27.71</v>
          </cell>
          <cell r="I334" t="str">
            <v>Ship to 6-A</v>
          </cell>
          <cell r="J334" t="str">
            <v>Forsterstr. 2345</v>
          </cell>
          <cell r="K334" t="str">
            <v>Mannheim</v>
          </cell>
          <cell r="M334">
            <v>10300</v>
          </cell>
          <cell r="N334" t="str">
            <v>Germany</v>
          </cell>
        </row>
        <row r="335">
          <cell r="A335">
            <v>10583</v>
          </cell>
          <cell r="B335">
            <v>87</v>
          </cell>
          <cell r="C335">
            <v>2</v>
          </cell>
          <cell r="D335">
            <v>39263</v>
          </cell>
          <cell r="E335">
            <v>39291</v>
          </cell>
          <cell r="F335">
            <v>39267</v>
          </cell>
          <cell r="G335">
            <v>2</v>
          </cell>
          <cell r="H335">
            <v>7.28</v>
          </cell>
          <cell r="I335" t="str">
            <v>Ship to 87-C</v>
          </cell>
          <cell r="J335" t="str">
            <v>Torikatu 3456</v>
          </cell>
          <cell r="K335" t="str">
            <v>Oulu</v>
          </cell>
          <cell r="M335">
            <v>10352</v>
          </cell>
          <cell r="N335" t="str">
            <v>Finland</v>
          </cell>
        </row>
        <row r="336">
          <cell r="A336">
            <v>10584</v>
          </cell>
          <cell r="B336">
            <v>7</v>
          </cell>
          <cell r="C336">
            <v>4</v>
          </cell>
          <cell r="D336">
            <v>39263</v>
          </cell>
          <cell r="E336">
            <v>39291</v>
          </cell>
          <cell r="F336">
            <v>39267</v>
          </cell>
          <cell r="G336">
            <v>1</v>
          </cell>
          <cell r="H336">
            <v>59.14</v>
          </cell>
          <cell r="I336" t="str">
            <v>Ship to 7-B</v>
          </cell>
          <cell r="J336" t="str">
            <v>1234, place Kléber</v>
          </cell>
          <cell r="K336" t="str">
            <v>Strasbourg</v>
          </cell>
          <cell r="M336">
            <v>10330</v>
          </cell>
          <cell r="N336" t="str">
            <v>France</v>
          </cell>
        </row>
        <row r="337">
          <cell r="A337">
            <v>10585</v>
          </cell>
          <cell r="B337">
            <v>88</v>
          </cell>
          <cell r="C337">
            <v>7</v>
          </cell>
          <cell r="D337">
            <v>39264</v>
          </cell>
          <cell r="E337">
            <v>39292</v>
          </cell>
          <cell r="F337">
            <v>39273</v>
          </cell>
          <cell r="G337">
            <v>1</v>
          </cell>
          <cell r="H337">
            <v>13.41</v>
          </cell>
          <cell r="I337" t="str">
            <v>Ship to 88-A</v>
          </cell>
          <cell r="J337" t="str">
            <v>Rua do Mercado, 4567</v>
          </cell>
          <cell r="K337" t="str">
            <v>Resende</v>
          </cell>
          <cell r="L337" t="str">
            <v>SP</v>
          </cell>
          <cell r="M337">
            <v>10353</v>
          </cell>
          <cell r="N337" t="str">
            <v>Brazil</v>
          </cell>
        </row>
        <row r="338">
          <cell r="A338">
            <v>10586</v>
          </cell>
          <cell r="B338">
            <v>66</v>
          </cell>
          <cell r="C338">
            <v>9</v>
          </cell>
          <cell r="D338">
            <v>39265</v>
          </cell>
          <cell r="E338">
            <v>39293</v>
          </cell>
          <cell r="F338">
            <v>39272</v>
          </cell>
          <cell r="G338">
            <v>1</v>
          </cell>
          <cell r="H338">
            <v>0.48</v>
          </cell>
          <cell r="I338" t="str">
            <v>Ship to 66-B</v>
          </cell>
          <cell r="J338" t="str">
            <v>Strada Provinciale 1234</v>
          </cell>
          <cell r="K338" t="str">
            <v>Reggio Emilia</v>
          </cell>
          <cell r="M338">
            <v>10289</v>
          </cell>
          <cell r="N338" t="str">
            <v>Italy</v>
          </cell>
        </row>
        <row r="339">
          <cell r="A339">
            <v>10587</v>
          </cell>
          <cell r="B339">
            <v>61</v>
          </cell>
          <cell r="C339">
            <v>1</v>
          </cell>
          <cell r="D339">
            <v>39265</v>
          </cell>
          <cell r="E339">
            <v>39293</v>
          </cell>
          <cell r="F339">
            <v>39272</v>
          </cell>
          <cell r="G339">
            <v>1</v>
          </cell>
          <cell r="H339">
            <v>62.52</v>
          </cell>
          <cell r="I339" t="str">
            <v>Ship to 61-C</v>
          </cell>
          <cell r="J339" t="str">
            <v>Rua da Panificadora, 7890</v>
          </cell>
          <cell r="K339" t="str">
            <v>Rio de Janeiro</v>
          </cell>
          <cell r="L339" t="str">
            <v>RJ</v>
          </cell>
          <cell r="M339">
            <v>10275</v>
          </cell>
          <cell r="N339" t="str">
            <v>Brazil</v>
          </cell>
        </row>
        <row r="340">
          <cell r="A340">
            <v>10588</v>
          </cell>
          <cell r="B340">
            <v>63</v>
          </cell>
          <cell r="C340">
            <v>2</v>
          </cell>
          <cell r="D340">
            <v>39266</v>
          </cell>
          <cell r="E340">
            <v>39294</v>
          </cell>
          <cell r="F340">
            <v>39273</v>
          </cell>
          <cell r="G340">
            <v>3</v>
          </cell>
          <cell r="H340">
            <v>194.67</v>
          </cell>
          <cell r="I340" t="str">
            <v>Ship to 63-A</v>
          </cell>
          <cell r="J340" t="str">
            <v>Taucherstraße 1234</v>
          </cell>
          <cell r="K340" t="str">
            <v>Cunewalde</v>
          </cell>
          <cell r="M340">
            <v>10279</v>
          </cell>
          <cell r="N340" t="str">
            <v>Germany</v>
          </cell>
        </row>
        <row r="341">
          <cell r="A341">
            <v>10589</v>
          </cell>
          <cell r="B341">
            <v>32</v>
          </cell>
          <cell r="C341">
            <v>8</v>
          </cell>
          <cell r="D341">
            <v>39267</v>
          </cell>
          <cell r="E341">
            <v>39295</v>
          </cell>
          <cell r="F341">
            <v>39277</v>
          </cell>
          <cell r="G341">
            <v>2</v>
          </cell>
          <cell r="H341">
            <v>4.42</v>
          </cell>
          <cell r="I341" t="str">
            <v>Destination AVQUS</v>
          </cell>
          <cell r="J341" t="str">
            <v>2345 Baker Blvd.</v>
          </cell>
          <cell r="K341" t="str">
            <v>Eugene</v>
          </cell>
          <cell r="L341" t="str">
            <v>OR</v>
          </cell>
          <cell r="M341">
            <v>10190</v>
          </cell>
          <cell r="N341" t="str">
            <v>USA</v>
          </cell>
        </row>
        <row r="342">
          <cell r="A342">
            <v>10590</v>
          </cell>
          <cell r="B342">
            <v>51</v>
          </cell>
          <cell r="C342">
            <v>4</v>
          </cell>
          <cell r="D342">
            <v>39270</v>
          </cell>
          <cell r="E342">
            <v>39298</v>
          </cell>
          <cell r="F342">
            <v>39277</v>
          </cell>
          <cell r="G342">
            <v>3</v>
          </cell>
          <cell r="H342">
            <v>44.77</v>
          </cell>
          <cell r="I342" t="str">
            <v>Ship to 51-B</v>
          </cell>
          <cell r="J342" t="str">
            <v>7890 rue St. Laurent</v>
          </cell>
          <cell r="K342" t="str">
            <v>Montréal</v>
          </cell>
          <cell r="L342" t="str">
            <v>Québec</v>
          </cell>
          <cell r="M342">
            <v>10245</v>
          </cell>
          <cell r="N342" t="str">
            <v>Canada</v>
          </cell>
        </row>
        <row r="343">
          <cell r="A343">
            <v>10591</v>
          </cell>
          <cell r="B343">
            <v>83</v>
          </cell>
          <cell r="C343">
            <v>1</v>
          </cell>
          <cell r="D343">
            <v>39270</v>
          </cell>
          <cell r="E343">
            <v>39284</v>
          </cell>
          <cell r="F343">
            <v>39279</v>
          </cell>
          <cell r="G343">
            <v>1</v>
          </cell>
          <cell r="H343">
            <v>55.92</v>
          </cell>
          <cell r="I343" t="str">
            <v>Ship to 83-A</v>
          </cell>
          <cell r="J343" t="str">
            <v>Smagsloget 0123</v>
          </cell>
          <cell r="K343" t="str">
            <v>Århus</v>
          </cell>
          <cell r="M343">
            <v>10339</v>
          </cell>
          <cell r="N343" t="str">
            <v>Denmark</v>
          </cell>
        </row>
        <row r="344">
          <cell r="A344">
            <v>10592</v>
          </cell>
          <cell r="B344">
            <v>44</v>
          </cell>
          <cell r="C344">
            <v>3</v>
          </cell>
          <cell r="D344">
            <v>39271</v>
          </cell>
          <cell r="E344">
            <v>39299</v>
          </cell>
          <cell r="F344">
            <v>39279</v>
          </cell>
          <cell r="G344">
            <v>1</v>
          </cell>
          <cell r="H344">
            <v>32.1</v>
          </cell>
          <cell r="I344" t="str">
            <v>Ship to 44-B</v>
          </cell>
          <cell r="J344" t="str">
            <v>Magazinweg 5678</v>
          </cell>
          <cell r="K344" t="str">
            <v>Frankfurt a.M.</v>
          </cell>
          <cell r="M344">
            <v>10223</v>
          </cell>
          <cell r="N344" t="str">
            <v>Germany</v>
          </cell>
        </row>
        <row r="345">
          <cell r="A345">
            <v>10593</v>
          </cell>
          <cell r="B345">
            <v>44</v>
          </cell>
          <cell r="C345">
            <v>7</v>
          </cell>
          <cell r="D345">
            <v>39272</v>
          </cell>
          <cell r="E345">
            <v>39300</v>
          </cell>
          <cell r="F345">
            <v>39307</v>
          </cell>
          <cell r="G345">
            <v>2</v>
          </cell>
          <cell r="H345">
            <v>174.2</v>
          </cell>
          <cell r="I345" t="str">
            <v>Ship to 44-C</v>
          </cell>
          <cell r="J345" t="str">
            <v>Magazinweg 6789</v>
          </cell>
          <cell r="K345" t="str">
            <v>Frankfurt a.M.</v>
          </cell>
          <cell r="M345">
            <v>10224</v>
          </cell>
          <cell r="N345" t="str">
            <v>Germany</v>
          </cell>
        </row>
        <row r="346">
          <cell r="A346">
            <v>10594</v>
          </cell>
          <cell r="B346">
            <v>55</v>
          </cell>
          <cell r="C346">
            <v>3</v>
          </cell>
          <cell r="D346">
            <v>39272</v>
          </cell>
          <cell r="E346">
            <v>39300</v>
          </cell>
          <cell r="F346">
            <v>39279</v>
          </cell>
          <cell r="G346">
            <v>2</v>
          </cell>
          <cell r="H346">
            <v>5.24</v>
          </cell>
          <cell r="I346" t="str">
            <v>Ship to 55-B</v>
          </cell>
          <cell r="J346" t="str">
            <v>8901 Bering St.</v>
          </cell>
          <cell r="K346" t="str">
            <v>Anchorage</v>
          </cell>
          <cell r="L346" t="str">
            <v>AK</v>
          </cell>
          <cell r="M346">
            <v>10256</v>
          </cell>
          <cell r="N346" t="str">
            <v>USA</v>
          </cell>
        </row>
        <row r="347">
          <cell r="A347">
            <v>10595</v>
          </cell>
          <cell r="B347">
            <v>20</v>
          </cell>
          <cell r="C347">
            <v>2</v>
          </cell>
          <cell r="D347">
            <v>39273</v>
          </cell>
          <cell r="E347">
            <v>39301</v>
          </cell>
          <cell r="F347">
            <v>39277</v>
          </cell>
          <cell r="G347">
            <v>1</v>
          </cell>
          <cell r="H347">
            <v>96.78</v>
          </cell>
          <cell r="I347" t="str">
            <v>Destination CUVPF</v>
          </cell>
          <cell r="J347" t="str">
            <v>Kirchgasse 1234</v>
          </cell>
          <cell r="K347" t="str">
            <v>Graz</v>
          </cell>
          <cell r="M347">
            <v>10159</v>
          </cell>
          <cell r="N347" t="str">
            <v>Austria</v>
          </cell>
        </row>
        <row r="348">
          <cell r="A348">
            <v>10596</v>
          </cell>
          <cell r="B348">
            <v>89</v>
          </cell>
          <cell r="C348">
            <v>8</v>
          </cell>
          <cell r="D348">
            <v>39274</v>
          </cell>
          <cell r="E348">
            <v>39302</v>
          </cell>
          <cell r="F348">
            <v>39306</v>
          </cell>
          <cell r="G348">
            <v>1</v>
          </cell>
          <cell r="H348">
            <v>16.34</v>
          </cell>
          <cell r="I348" t="str">
            <v>Ship to 89-C</v>
          </cell>
          <cell r="J348" t="str">
            <v>9012 - 12th Ave. S.</v>
          </cell>
          <cell r="K348" t="str">
            <v>Seattle</v>
          </cell>
          <cell r="L348" t="str">
            <v>WA</v>
          </cell>
          <cell r="M348">
            <v>10358</v>
          </cell>
          <cell r="N348" t="str">
            <v>USA</v>
          </cell>
        </row>
        <row r="349">
          <cell r="A349">
            <v>10597</v>
          </cell>
          <cell r="B349">
            <v>59</v>
          </cell>
          <cell r="C349">
            <v>7</v>
          </cell>
          <cell r="D349">
            <v>39274</v>
          </cell>
          <cell r="E349">
            <v>39302</v>
          </cell>
          <cell r="F349">
            <v>39281</v>
          </cell>
          <cell r="G349">
            <v>3</v>
          </cell>
          <cell r="H349">
            <v>35.119999999999997</v>
          </cell>
          <cell r="I349" t="str">
            <v>Ship to 59-B</v>
          </cell>
          <cell r="J349" t="str">
            <v>Geislweg 7890</v>
          </cell>
          <cell r="K349" t="str">
            <v>Salzburg</v>
          </cell>
          <cell r="M349">
            <v>10265</v>
          </cell>
          <cell r="N349" t="str">
            <v>Austria</v>
          </cell>
        </row>
        <row r="350">
          <cell r="A350">
            <v>10598</v>
          </cell>
          <cell r="B350">
            <v>65</v>
          </cell>
          <cell r="C350">
            <v>1</v>
          </cell>
          <cell r="D350">
            <v>39277</v>
          </cell>
          <cell r="E350">
            <v>39305</v>
          </cell>
          <cell r="F350">
            <v>39281</v>
          </cell>
          <cell r="G350">
            <v>3</v>
          </cell>
          <cell r="H350">
            <v>44.42</v>
          </cell>
          <cell r="I350" t="str">
            <v>Ship to 65-C</v>
          </cell>
          <cell r="J350" t="str">
            <v>9012 Milton Dr.</v>
          </cell>
          <cell r="K350" t="str">
            <v>Albuquerque</v>
          </cell>
          <cell r="L350" t="str">
            <v>NM</v>
          </cell>
          <cell r="M350">
            <v>10287</v>
          </cell>
          <cell r="N350" t="str">
            <v>USA</v>
          </cell>
        </row>
        <row r="351">
          <cell r="A351">
            <v>10599</v>
          </cell>
          <cell r="B351">
            <v>11</v>
          </cell>
          <cell r="C351">
            <v>6</v>
          </cell>
          <cell r="D351">
            <v>39278</v>
          </cell>
          <cell r="E351">
            <v>39320</v>
          </cell>
          <cell r="F351">
            <v>39284</v>
          </cell>
          <cell r="G351">
            <v>3</v>
          </cell>
          <cell r="H351">
            <v>29.98</v>
          </cell>
          <cell r="I351" t="str">
            <v>Destination DLEUN</v>
          </cell>
          <cell r="J351" t="str">
            <v>Fauntleroy Circus 4567</v>
          </cell>
          <cell r="K351" t="str">
            <v>London</v>
          </cell>
          <cell r="M351">
            <v>10132</v>
          </cell>
          <cell r="N351" t="str">
            <v>UK</v>
          </cell>
        </row>
        <row r="352">
          <cell r="A352">
            <v>10600</v>
          </cell>
          <cell r="B352">
            <v>36</v>
          </cell>
          <cell r="C352">
            <v>4</v>
          </cell>
          <cell r="D352">
            <v>39279</v>
          </cell>
          <cell r="E352">
            <v>39307</v>
          </cell>
          <cell r="F352">
            <v>39284</v>
          </cell>
          <cell r="G352">
            <v>1</v>
          </cell>
          <cell r="H352">
            <v>45.13</v>
          </cell>
          <cell r="I352" t="str">
            <v>Destination HOHCR</v>
          </cell>
          <cell r="J352" t="str">
            <v>City Center Plaza 3456 Main St.</v>
          </cell>
          <cell r="K352" t="str">
            <v>Elgin</v>
          </cell>
          <cell r="L352" t="str">
            <v>OR</v>
          </cell>
          <cell r="M352">
            <v>10201</v>
          </cell>
          <cell r="N352" t="str">
            <v>USA</v>
          </cell>
        </row>
        <row r="353">
          <cell r="A353">
            <v>10601</v>
          </cell>
          <cell r="B353">
            <v>35</v>
          </cell>
          <cell r="C353">
            <v>7</v>
          </cell>
          <cell r="D353">
            <v>39279</v>
          </cell>
          <cell r="E353">
            <v>39321</v>
          </cell>
          <cell r="F353">
            <v>39285</v>
          </cell>
          <cell r="G353">
            <v>1</v>
          </cell>
          <cell r="H353">
            <v>58.3</v>
          </cell>
          <cell r="I353" t="str">
            <v>Destination UOUWK</v>
          </cell>
          <cell r="J353" t="str">
            <v>Carrera 9012 con Ave. Carlos Soublette #8-35</v>
          </cell>
          <cell r="K353" t="str">
            <v>San Cristóbal</v>
          </cell>
          <cell r="L353" t="str">
            <v>Táchira</v>
          </cell>
          <cell r="M353">
            <v>10197</v>
          </cell>
          <cell r="N353" t="str">
            <v>Venezuela</v>
          </cell>
        </row>
        <row r="354">
          <cell r="A354">
            <v>10602</v>
          </cell>
          <cell r="B354">
            <v>83</v>
          </cell>
          <cell r="C354">
            <v>8</v>
          </cell>
          <cell r="D354">
            <v>39280</v>
          </cell>
          <cell r="E354">
            <v>39308</v>
          </cell>
          <cell r="F354">
            <v>39285</v>
          </cell>
          <cell r="G354">
            <v>2</v>
          </cell>
          <cell r="H354">
            <v>2.92</v>
          </cell>
          <cell r="I354" t="str">
            <v>Ship to 83-A</v>
          </cell>
          <cell r="J354" t="str">
            <v>Smagsloget 0123</v>
          </cell>
          <cell r="K354" t="str">
            <v>Århus</v>
          </cell>
          <cell r="M354">
            <v>10339</v>
          </cell>
          <cell r="N354" t="str">
            <v>Denmark</v>
          </cell>
        </row>
        <row r="355">
          <cell r="A355">
            <v>10603</v>
          </cell>
          <cell r="B355">
            <v>71</v>
          </cell>
          <cell r="C355">
            <v>8</v>
          </cell>
          <cell r="D355">
            <v>39281</v>
          </cell>
          <cell r="E355">
            <v>39309</v>
          </cell>
          <cell r="F355">
            <v>39302</v>
          </cell>
          <cell r="G355">
            <v>2</v>
          </cell>
          <cell r="H355">
            <v>48.77</v>
          </cell>
          <cell r="I355" t="str">
            <v>Ship to 71-C</v>
          </cell>
          <cell r="J355" t="str">
            <v>9012 Suffolk Ln.</v>
          </cell>
          <cell r="K355" t="str">
            <v>Boise</v>
          </cell>
          <cell r="L355" t="str">
            <v>ID</v>
          </cell>
          <cell r="M355">
            <v>10307</v>
          </cell>
          <cell r="N355" t="str">
            <v>USA</v>
          </cell>
        </row>
        <row r="356">
          <cell r="A356">
            <v>10604</v>
          </cell>
          <cell r="B356">
            <v>28</v>
          </cell>
          <cell r="C356">
            <v>1</v>
          </cell>
          <cell r="D356">
            <v>39281</v>
          </cell>
          <cell r="E356">
            <v>39309</v>
          </cell>
          <cell r="F356">
            <v>39292</v>
          </cell>
          <cell r="G356">
            <v>1</v>
          </cell>
          <cell r="H356">
            <v>7.46</v>
          </cell>
          <cell r="I356" t="str">
            <v>Destination CIRQO</v>
          </cell>
          <cell r="J356" t="str">
            <v>Jardim das rosas n. 8901</v>
          </cell>
          <cell r="K356" t="str">
            <v>Lisboa</v>
          </cell>
          <cell r="M356">
            <v>10176</v>
          </cell>
          <cell r="N356" t="str">
            <v>Portugal</v>
          </cell>
        </row>
        <row r="357">
          <cell r="A357">
            <v>10605</v>
          </cell>
          <cell r="B357">
            <v>51</v>
          </cell>
          <cell r="C357">
            <v>1</v>
          </cell>
          <cell r="D357">
            <v>39284</v>
          </cell>
          <cell r="E357">
            <v>39312</v>
          </cell>
          <cell r="F357">
            <v>39292</v>
          </cell>
          <cell r="G357">
            <v>2</v>
          </cell>
          <cell r="H357">
            <v>379.13</v>
          </cell>
          <cell r="I357" t="str">
            <v>Ship to 51-B</v>
          </cell>
          <cell r="J357" t="str">
            <v>7890 rue St. Laurent</v>
          </cell>
          <cell r="K357" t="str">
            <v>Montréal</v>
          </cell>
          <cell r="L357" t="str">
            <v>Québec</v>
          </cell>
          <cell r="M357">
            <v>10245</v>
          </cell>
          <cell r="N357" t="str">
            <v>Canada</v>
          </cell>
        </row>
        <row r="358">
          <cell r="A358">
            <v>10606</v>
          </cell>
          <cell r="B358">
            <v>81</v>
          </cell>
          <cell r="C358">
            <v>4</v>
          </cell>
          <cell r="D358">
            <v>39285</v>
          </cell>
          <cell r="E358">
            <v>39313</v>
          </cell>
          <cell r="F358">
            <v>39294</v>
          </cell>
          <cell r="G358">
            <v>3</v>
          </cell>
          <cell r="H358">
            <v>79.400000000000006</v>
          </cell>
          <cell r="I358" t="str">
            <v>Ship to 81-C</v>
          </cell>
          <cell r="J358" t="str">
            <v>Av. Inês de Castro, 7890</v>
          </cell>
          <cell r="K358" t="str">
            <v>Sao Paulo</v>
          </cell>
          <cell r="L358" t="str">
            <v>SP</v>
          </cell>
          <cell r="M358">
            <v>10336</v>
          </cell>
          <cell r="N358" t="str">
            <v>Brazil</v>
          </cell>
        </row>
        <row r="359">
          <cell r="A359">
            <v>10607</v>
          </cell>
          <cell r="B359">
            <v>71</v>
          </cell>
          <cell r="C359">
            <v>5</v>
          </cell>
          <cell r="D359">
            <v>39285</v>
          </cell>
          <cell r="E359">
            <v>39313</v>
          </cell>
          <cell r="F359">
            <v>39288</v>
          </cell>
          <cell r="G359">
            <v>1</v>
          </cell>
          <cell r="H359">
            <v>200.24</v>
          </cell>
          <cell r="I359" t="str">
            <v>Ship to 71-C</v>
          </cell>
          <cell r="J359" t="str">
            <v>9012 Suffolk Ln.</v>
          </cell>
          <cell r="K359" t="str">
            <v>Boise</v>
          </cell>
          <cell r="L359" t="str">
            <v>ID</v>
          </cell>
          <cell r="M359">
            <v>10307</v>
          </cell>
          <cell r="N359" t="str">
            <v>USA</v>
          </cell>
        </row>
        <row r="360">
          <cell r="A360">
            <v>10608</v>
          </cell>
          <cell r="B360">
            <v>79</v>
          </cell>
          <cell r="C360">
            <v>4</v>
          </cell>
          <cell r="D360">
            <v>39286</v>
          </cell>
          <cell r="E360">
            <v>39314</v>
          </cell>
          <cell r="F360">
            <v>39295</v>
          </cell>
          <cell r="G360">
            <v>2</v>
          </cell>
          <cell r="H360">
            <v>27.79</v>
          </cell>
          <cell r="I360" t="str">
            <v>Ship to 79-C</v>
          </cell>
          <cell r="J360" t="str">
            <v>Luisenstr. 9012</v>
          </cell>
          <cell r="K360" t="str">
            <v>Münster</v>
          </cell>
          <cell r="M360">
            <v>10328</v>
          </cell>
          <cell r="N360" t="str">
            <v>Germany</v>
          </cell>
        </row>
        <row r="361">
          <cell r="A361">
            <v>10609</v>
          </cell>
          <cell r="B361">
            <v>18</v>
          </cell>
          <cell r="C361">
            <v>7</v>
          </cell>
          <cell r="D361">
            <v>39287</v>
          </cell>
          <cell r="E361">
            <v>39315</v>
          </cell>
          <cell r="F361">
            <v>39293</v>
          </cell>
          <cell r="G361">
            <v>2</v>
          </cell>
          <cell r="H361">
            <v>1.85</v>
          </cell>
          <cell r="I361" t="str">
            <v>Destination SNPXM</v>
          </cell>
          <cell r="J361" t="str">
            <v>0123, rue des Cinquante Otages</v>
          </cell>
          <cell r="K361" t="str">
            <v>Nantes</v>
          </cell>
          <cell r="M361">
            <v>10148</v>
          </cell>
          <cell r="N361" t="str">
            <v>France</v>
          </cell>
        </row>
        <row r="362">
          <cell r="A362">
            <v>10610</v>
          </cell>
          <cell r="B362">
            <v>41</v>
          </cell>
          <cell r="C362">
            <v>8</v>
          </cell>
          <cell r="D362">
            <v>39288</v>
          </cell>
          <cell r="E362">
            <v>39316</v>
          </cell>
          <cell r="F362">
            <v>39300</v>
          </cell>
          <cell r="G362">
            <v>1</v>
          </cell>
          <cell r="H362">
            <v>26.78</v>
          </cell>
          <cell r="I362" t="str">
            <v>Ship to 41-C</v>
          </cell>
          <cell r="J362" t="str">
            <v>0123 rue Alsace-Lorraine</v>
          </cell>
          <cell r="K362" t="str">
            <v>Toulouse</v>
          </cell>
          <cell r="M362">
            <v>10218</v>
          </cell>
          <cell r="N362" t="str">
            <v>France</v>
          </cell>
        </row>
        <row r="363">
          <cell r="A363">
            <v>10611</v>
          </cell>
          <cell r="B363">
            <v>91</v>
          </cell>
          <cell r="C363">
            <v>6</v>
          </cell>
          <cell r="D363">
            <v>39288</v>
          </cell>
          <cell r="E363">
            <v>39316</v>
          </cell>
          <cell r="F363">
            <v>39295</v>
          </cell>
          <cell r="G363">
            <v>2</v>
          </cell>
          <cell r="H363">
            <v>80.650000000000006</v>
          </cell>
          <cell r="I363" t="str">
            <v>Ship to 91-B</v>
          </cell>
          <cell r="J363" t="str">
            <v>ul. Filtrowa 6789</v>
          </cell>
          <cell r="K363" t="str">
            <v>Warszawa</v>
          </cell>
          <cell r="M363">
            <v>10365</v>
          </cell>
          <cell r="N363" t="str">
            <v>Poland</v>
          </cell>
        </row>
        <row r="364">
          <cell r="A364">
            <v>10612</v>
          </cell>
          <cell r="B364">
            <v>71</v>
          </cell>
          <cell r="C364">
            <v>1</v>
          </cell>
          <cell r="D364">
            <v>39291</v>
          </cell>
          <cell r="E364">
            <v>39319</v>
          </cell>
          <cell r="F364">
            <v>39295</v>
          </cell>
          <cell r="G364">
            <v>2</v>
          </cell>
          <cell r="H364">
            <v>544.08000000000004</v>
          </cell>
          <cell r="I364" t="str">
            <v>Ship to 71-A</v>
          </cell>
          <cell r="J364" t="str">
            <v>7890 Suffolk Ln.</v>
          </cell>
          <cell r="K364" t="str">
            <v>Boise</v>
          </cell>
          <cell r="L364" t="str">
            <v>ID</v>
          </cell>
          <cell r="M364">
            <v>10305</v>
          </cell>
          <cell r="N364" t="str">
            <v>USA</v>
          </cell>
        </row>
        <row r="365">
          <cell r="A365">
            <v>10613</v>
          </cell>
          <cell r="B365">
            <v>35</v>
          </cell>
          <cell r="C365">
            <v>4</v>
          </cell>
          <cell r="D365">
            <v>39292</v>
          </cell>
          <cell r="E365">
            <v>39320</v>
          </cell>
          <cell r="F365">
            <v>39295</v>
          </cell>
          <cell r="G365">
            <v>2</v>
          </cell>
          <cell r="H365">
            <v>8.11</v>
          </cell>
          <cell r="I365" t="str">
            <v>Destination JYDLM</v>
          </cell>
          <cell r="J365" t="str">
            <v>Carrera1234 con Ave. Carlos Soublette #8-35</v>
          </cell>
          <cell r="K365" t="str">
            <v>San Cristóbal</v>
          </cell>
          <cell r="L365" t="str">
            <v>Táchira</v>
          </cell>
          <cell r="M365">
            <v>10199</v>
          </cell>
          <cell r="N365" t="str">
            <v>Venezuela</v>
          </cell>
        </row>
        <row r="366">
          <cell r="A366">
            <v>10614</v>
          </cell>
          <cell r="B366">
            <v>6</v>
          </cell>
          <cell r="C366">
            <v>8</v>
          </cell>
          <cell r="D366">
            <v>39292</v>
          </cell>
          <cell r="E366">
            <v>39320</v>
          </cell>
          <cell r="F366">
            <v>39295</v>
          </cell>
          <cell r="G366">
            <v>3</v>
          </cell>
          <cell r="H366">
            <v>1.93</v>
          </cell>
          <cell r="I366" t="str">
            <v>Ship to 6-A</v>
          </cell>
          <cell r="J366" t="str">
            <v>Forsterstr. 2345</v>
          </cell>
          <cell r="K366" t="str">
            <v>Mannheim</v>
          </cell>
          <cell r="M366">
            <v>10300</v>
          </cell>
          <cell r="N366" t="str">
            <v>Germany</v>
          </cell>
        </row>
        <row r="367">
          <cell r="A367">
            <v>10615</v>
          </cell>
          <cell r="B367">
            <v>90</v>
          </cell>
          <cell r="C367">
            <v>2</v>
          </cell>
          <cell r="D367">
            <v>39293</v>
          </cell>
          <cell r="E367">
            <v>39321</v>
          </cell>
          <cell r="F367">
            <v>39300</v>
          </cell>
          <cell r="G367">
            <v>3</v>
          </cell>
          <cell r="H367">
            <v>0.75</v>
          </cell>
          <cell r="I367" t="str">
            <v>Ship to 90-B</v>
          </cell>
          <cell r="J367" t="str">
            <v>Keskuskatu 3456</v>
          </cell>
          <cell r="K367" t="str">
            <v>Helsinki</v>
          </cell>
          <cell r="M367">
            <v>10362</v>
          </cell>
          <cell r="N367" t="str">
            <v>Finland</v>
          </cell>
        </row>
        <row r="368">
          <cell r="A368">
            <v>10616</v>
          </cell>
          <cell r="B368">
            <v>32</v>
          </cell>
          <cell r="C368">
            <v>1</v>
          </cell>
          <cell r="D368">
            <v>39294</v>
          </cell>
          <cell r="E368">
            <v>39322</v>
          </cell>
          <cell r="F368">
            <v>39299</v>
          </cell>
          <cell r="G368">
            <v>2</v>
          </cell>
          <cell r="H368">
            <v>116.53</v>
          </cell>
          <cell r="I368" t="str">
            <v>Destination LLUXZ</v>
          </cell>
          <cell r="J368" t="str">
            <v>1234 Baker Blvd.</v>
          </cell>
          <cell r="K368" t="str">
            <v>Eugene</v>
          </cell>
          <cell r="L368" t="str">
            <v>OR</v>
          </cell>
          <cell r="M368">
            <v>10189</v>
          </cell>
          <cell r="N368" t="str">
            <v>USA</v>
          </cell>
        </row>
        <row r="369">
          <cell r="A369">
            <v>10617</v>
          </cell>
          <cell r="B369">
            <v>32</v>
          </cell>
          <cell r="C369">
            <v>4</v>
          </cell>
          <cell r="D369">
            <v>39294</v>
          </cell>
          <cell r="E369">
            <v>39322</v>
          </cell>
          <cell r="F369">
            <v>39298</v>
          </cell>
          <cell r="G369">
            <v>2</v>
          </cell>
          <cell r="H369">
            <v>18.53</v>
          </cell>
          <cell r="I369" t="str">
            <v>Destination AVQUS</v>
          </cell>
          <cell r="J369" t="str">
            <v>2345 Baker Blvd.</v>
          </cell>
          <cell r="K369" t="str">
            <v>Eugene</v>
          </cell>
          <cell r="L369" t="str">
            <v>OR</v>
          </cell>
          <cell r="M369">
            <v>10190</v>
          </cell>
          <cell r="N369" t="str">
            <v>USA</v>
          </cell>
        </row>
        <row r="370">
          <cell r="A370">
            <v>10618</v>
          </cell>
          <cell r="B370">
            <v>51</v>
          </cell>
          <cell r="C370">
            <v>1</v>
          </cell>
          <cell r="D370">
            <v>39295</v>
          </cell>
          <cell r="E370">
            <v>39337</v>
          </cell>
          <cell r="F370">
            <v>39302</v>
          </cell>
          <cell r="G370">
            <v>1</v>
          </cell>
          <cell r="H370">
            <v>154.68</v>
          </cell>
          <cell r="I370" t="str">
            <v>Ship to 51-C</v>
          </cell>
          <cell r="J370" t="str">
            <v>8901 rue St. Laurent</v>
          </cell>
          <cell r="K370" t="str">
            <v>Montréal</v>
          </cell>
          <cell r="L370" t="str">
            <v>Québec</v>
          </cell>
          <cell r="M370">
            <v>10246</v>
          </cell>
          <cell r="N370" t="str">
            <v>Canada</v>
          </cell>
        </row>
        <row r="371">
          <cell r="A371">
            <v>10619</v>
          </cell>
          <cell r="B371">
            <v>51</v>
          </cell>
          <cell r="C371">
            <v>3</v>
          </cell>
          <cell r="D371">
            <v>39298</v>
          </cell>
          <cell r="E371">
            <v>39326</v>
          </cell>
          <cell r="F371">
            <v>39301</v>
          </cell>
          <cell r="G371">
            <v>3</v>
          </cell>
          <cell r="H371">
            <v>91.05</v>
          </cell>
          <cell r="I371" t="str">
            <v>Ship to 51-B</v>
          </cell>
          <cell r="J371" t="str">
            <v>7890 rue St. Laurent</v>
          </cell>
          <cell r="K371" t="str">
            <v>Montréal</v>
          </cell>
          <cell r="L371" t="str">
            <v>Québec</v>
          </cell>
          <cell r="M371">
            <v>10245</v>
          </cell>
          <cell r="N371" t="str">
            <v>Canada</v>
          </cell>
        </row>
        <row r="372">
          <cell r="A372">
            <v>10620</v>
          </cell>
          <cell r="B372">
            <v>42</v>
          </cell>
          <cell r="C372">
            <v>2</v>
          </cell>
          <cell r="D372">
            <v>39299</v>
          </cell>
          <cell r="E372">
            <v>39327</v>
          </cell>
          <cell r="F372">
            <v>39308</v>
          </cell>
          <cell r="G372">
            <v>3</v>
          </cell>
          <cell r="H372">
            <v>0.94</v>
          </cell>
          <cell r="I372" t="str">
            <v>Ship to 42-A</v>
          </cell>
          <cell r="J372" t="str">
            <v>1234 Elm St.</v>
          </cell>
          <cell r="K372" t="str">
            <v>Vancouver</v>
          </cell>
          <cell r="L372" t="str">
            <v>BC</v>
          </cell>
          <cell r="M372">
            <v>10219</v>
          </cell>
          <cell r="N372" t="str">
            <v>Canada</v>
          </cell>
        </row>
        <row r="373">
          <cell r="A373">
            <v>10621</v>
          </cell>
          <cell r="B373">
            <v>38</v>
          </cell>
          <cell r="C373">
            <v>4</v>
          </cell>
          <cell r="D373">
            <v>39299</v>
          </cell>
          <cell r="E373">
            <v>39327</v>
          </cell>
          <cell r="F373">
            <v>39305</v>
          </cell>
          <cell r="G373">
            <v>2</v>
          </cell>
          <cell r="H373">
            <v>23.73</v>
          </cell>
          <cell r="I373" t="str">
            <v>Destination LMVGS</v>
          </cell>
          <cell r="J373" t="str">
            <v>Garden House Crowther Way 8901</v>
          </cell>
          <cell r="K373" t="str">
            <v>Cowes</v>
          </cell>
          <cell r="L373" t="str">
            <v>Isle of Wight</v>
          </cell>
          <cell r="M373">
            <v>10206</v>
          </cell>
          <cell r="N373" t="str">
            <v>UK</v>
          </cell>
        </row>
        <row r="374">
          <cell r="A374">
            <v>10622</v>
          </cell>
          <cell r="B374">
            <v>67</v>
          </cell>
          <cell r="C374">
            <v>4</v>
          </cell>
          <cell r="D374">
            <v>39300</v>
          </cell>
          <cell r="E374">
            <v>39328</v>
          </cell>
          <cell r="F374">
            <v>39305</v>
          </cell>
          <cell r="G374">
            <v>3</v>
          </cell>
          <cell r="H374">
            <v>50.97</v>
          </cell>
          <cell r="I374" t="str">
            <v>Ship to 67-A</v>
          </cell>
          <cell r="J374" t="str">
            <v>Av. Copacabana, 3456</v>
          </cell>
          <cell r="K374" t="str">
            <v>Rio de Janeiro</v>
          </cell>
          <cell r="L374" t="str">
            <v>RJ</v>
          </cell>
          <cell r="M374">
            <v>10291</v>
          </cell>
          <cell r="N374" t="str">
            <v>Brazil</v>
          </cell>
        </row>
        <row r="375">
          <cell r="A375">
            <v>10623</v>
          </cell>
          <cell r="B375">
            <v>25</v>
          </cell>
          <cell r="C375">
            <v>8</v>
          </cell>
          <cell r="D375">
            <v>39301</v>
          </cell>
          <cell r="E375">
            <v>39329</v>
          </cell>
          <cell r="F375">
            <v>39306</v>
          </cell>
          <cell r="G375">
            <v>2</v>
          </cell>
          <cell r="H375">
            <v>97.18</v>
          </cell>
          <cell r="I375" t="str">
            <v>Destination VAPXU</v>
          </cell>
          <cell r="J375" t="str">
            <v>Berliner Platz 0123</v>
          </cell>
          <cell r="K375" t="str">
            <v>München</v>
          </cell>
          <cell r="M375">
            <v>10168</v>
          </cell>
          <cell r="N375" t="str">
            <v>Germany</v>
          </cell>
        </row>
        <row r="376">
          <cell r="A376">
            <v>10624</v>
          </cell>
          <cell r="B376">
            <v>78</v>
          </cell>
          <cell r="C376">
            <v>4</v>
          </cell>
          <cell r="D376">
            <v>39301</v>
          </cell>
          <cell r="E376">
            <v>39329</v>
          </cell>
          <cell r="F376">
            <v>39313</v>
          </cell>
          <cell r="G376">
            <v>2</v>
          </cell>
          <cell r="H376">
            <v>94.8</v>
          </cell>
          <cell r="I376" t="str">
            <v>Ship to 78-C</v>
          </cell>
          <cell r="J376" t="str">
            <v>6789 Grizzly Peak Rd.</v>
          </cell>
          <cell r="K376" t="str">
            <v>Butte</v>
          </cell>
          <cell r="L376" t="str">
            <v>MT</v>
          </cell>
          <cell r="M376">
            <v>10325</v>
          </cell>
          <cell r="N376" t="str">
            <v>USA</v>
          </cell>
        </row>
        <row r="377">
          <cell r="A377">
            <v>10625</v>
          </cell>
          <cell r="B377">
            <v>2</v>
          </cell>
          <cell r="C377">
            <v>3</v>
          </cell>
          <cell r="D377">
            <v>39302</v>
          </cell>
          <cell r="E377">
            <v>39330</v>
          </cell>
          <cell r="F377">
            <v>39308</v>
          </cell>
          <cell r="G377">
            <v>1</v>
          </cell>
          <cell r="H377">
            <v>43.9</v>
          </cell>
          <cell r="I377" t="str">
            <v>Destination QOTQA</v>
          </cell>
          <cell r="J377" t="str">
            <v>Avda. de la Constitución 3456</v>
          </cell>
          <cell r="K377" t="str">
            <v>México D.F.</v>
          </cell>
          <cell r="M377">
            <v>10181</v>
          </cell>
          <cell r="N377" t="str">
            <v>Mexico</v>
          </cell>
        </row>
        <row r="378">
          <cell r="A378">
            <v>10626</v>
          </cell>
          <cell r="B378">
            <v>5</v>
          </cell>
          <cell r="C378">
            <v>1</v>
          </cell>
          <cell r="D378">
            <v>39305</v>
          </cell>
          <cell r="E378">
            <v>39333</v>
          </cell>
          <cell r="F378">
            <v>39314</v>
          </cell>
          <cell r="G378">
            <v>2</v>
          </cell>
          <cell r="H378">
            <v>138.69</v>
          </cell>
          <cell r="I378" t="str">
            <v>Ship to 5-A</v>
          </cell>
          <cell r="J378" t="str">
            <v>Berguvsvägen 9012</v>
          </cell>
          <cell r="K378" t="str">
            <v>Luleå</v>
          </cell>
          <cell r="M378">
            <v>10267</v>
          </cell>
          <cell r="N378" t="str">
            <v>Sweden</v>
          </cell>
        </row>
        <row r="379">
          <cell r="A379">
            <v>10627</v>
          </cell>
          <cell r="B379">
            <v>71</v>
          </cell>
          <cell r="C379">
            <v>8</v>
          </cell>
          <cell r="D379">
            <v>39305</v>
          </cell>
          <cell r="E379">
            <v>39347</v>
          </cell>
          <cell r="F379">
            <v>39315</v>
          </cell>
          <cell r="G379">
            <v>3</v>
          </cell>
          <cell r="H379">
            <v>107.46</v>
          </cell>
          <cell r="I379" t="str">
            <v>Ship to 71-B</v>
          </cell>
          <cell r="J379" t="str">
            <v>8901 Suffolk Ln.</v>
          </cell>
          <cell r="K379" t="str">
            <v>Boise</v>
          </cell>
          <cell r="L379" t="str">
            <v>ID</v>
          </cell>
          <cell r="M379">
            <v>10306</v>
          </cell>
          <cell r="N379" t="str">
            <v>USA</v>
          </cell>
        </row>
        <row r="380">
          <cell r="A380">
            <v>10628</v>
          </cell>
          <cell r="B380">
            <v>7</v>
          </cell>
          <cell r="C380">
            <v>4</v>
          </cell>
          <cell r="D380">
            <v>39306</v>
          </cell>
          <cell r="E380">
            <v>39334</v>
          </cell>
          <cell r="F380">
            <v>39314</v>
          </cell>
          <cell r="G380">
            <v>3</v>
          </cell>
          <cell r="H380">
            <v>30.36</v>
          </cell>
          <cell r="I380" t="str">
            <v>Ship to 7-B</v>
          </cell>
          <cell r="J380" t="str">
            <v>1234, place Kléber</v>
          </cell>
          <cell r="K380" t="str">
            <v>Strasbourg</v>
          </cell>
          <cell r="M380">
            <v>10330</v>
          </cell>
          <cell r="N380" t="str">
            <v>France</v>
          </cell>
        </row>
        <row r="381">
          <cell r="A381">
            <v>10629</v>
          </cell>
          <cell r="B381">
            <v>30</v>
          </cell>
          <cell r="C381">
            <v>4</v>
          </cell>
          <cell r="D381">
            <v>39306</v>
          </cell>
          <cell r="E381">
            <v>39334</v>
          </cell>
          <cell r="F381">
            <v>39314</v>
          </cell>
          <cell r="G381">
            <v>3</v>
          </cell>
          <cell r="H381">
            <v>85.46</v>
          </cell>
          <cell r="I381" t="str">
            <v>Destination IIYDD</v>
          </cell>
          <cell r="J381" t="str">
            <v>C/ Romero, 5678</v>
          </cell>
          <cell r="K381" t="str">
            <v>Sevilla</v>
          </cell>
          <cell r="M381">
            <v>10183</v>
          </cell>
          <cell r="N381" t="str">
            <v>Spain</v>
          </cell>
        </row>
        <row r="382">
          <cell r="A382">
            <v>10630</v>
          </cell>
          <cell r="B382">
            <v>39</v>
          </cell>
          <cell r="C382">
            <v>1</v>
          </cell>
          <cell r="D382">
            <v>39307</v>
          </cell>
          <cell r="E382">
            <v>39335</v>
          </cell>
          <cell r="F382">
            <v>39313</v>
          </cell>
          <cell r="G382">
            <v>2</v>
          </cell>
          <cell r="H382">
            <v>32.35</v>
          </cell>
          <cell r="I382" t="str">
            <v>Destination RMBHM</v>
          </cell>
          <cell r="J382" t="str">
            <v>Maubelstr. 1234</v>
          </cell>
          <cell r="K382" t="str">
            <v>Brandenburg</v>
          </cell>
          <cell r="M382">
            <v>10209</v>
          </cell>
          <cell r="N382" t="str">
            <v>Germany</v>
          </cell>
        </row>
        <row r="383">
          <cell r="A383">
            <v>10631</v>
          </cell>
          <cell r="B383">
            <v>41</v>
          </cell>
          <cell r="C383">
            <v>8</v>
          </cell>
          <cell r="D383">
            <v>39308</v>
          </cell>
          <cell r="E383">
            <v>39336</v>
          </cell>
          <cell r="F383">
            <v>39309</v>
          </cell>
          <cell r="G383">
            <v>1</v>
          </cell>
          <cell r="H383">
            <v>0.87</v>
          </cell>
          <cell r="I383" t="str">
            <v>Destination OLJND</v>
          </cell>
          <cell r="J383" t="str">
            <v>8901 rue Alsace-Lorraine</v>
          </cell>
          <cell r="K383" t="str">
            <v>Toulouse</v>
          </cell>
          <cell r="M383">
            <v>10216</v>
          </cell>
          <cell r="N383" t="str">
            <v>France</v>
          </cell>
        </row>
        <row r="384">
          <cell r="A384">
            <v>10632</v>
          </cell>
          <cell r="B384">
            <v>86</v>
          </cell>
          <cell r="C384">
            <v>8</v>
          </cell>
          <cell r="D384">
            <v>39308</v>
          </cell>
          <cell r="E384">
            <v>39336</v>
          </cell>
          <cell r="F384">
            <v>39313</v>
          </cell>
          <cell r="G384">
            <v>1</v>
          </cell>
          <cell r="H384">
            <v>41.38</v>
          </cell>
          <cell r="I384" t="str">
            <v>Ship to 86-C</v>
          </cell>
          <cell r="J384" t="str">
            <v>Adenauerallee 0123</v>
          </cell>
          <cell r="K384" t="str">
            <v>Stuttgart</v>
          </cell>
          <cell r="M384">
            <v>10349</v>
          </cell>
          <cell r="N384" t="str">
            <v>Germany</v>
          </cell>
        </row>
        <row r="385">
          <cell r="A385">
            <v>10633</v>
          </cell>
          <cell r="B385">
            <v>20</v>
          </cell>
          <cell r="C385">
            <v>7</v>
          </cell>
          <cell r="D385">
            <v>39309</v>
          </cell>
          <cell r="E385">
            <v>39337</v>
          </cell>
          <cell r="F385">
            <v>39312</v>
          </cell>
          <cell r="G385">
            <v>3</v>
          </cell>
          <cell r="H385">
            <v>477.9</v>
          </cell>
          <cell r="I385" t="str">
            <v>Destination FFXKT</v>
          </cell>
          <cell r="J385" t="str">
            <v>Kirchgasse 0123</v>
          </cell>
          <cell r="K385" t="str">
            <v>Graz</v>
          </cell>
          <cell r="M385">
            <v>10158</v>
          </cell>
          <cell r="N385" t="str">
            <v>Austria</v>
          </cell>
        </row>
        <row r="386">
          <cell r="A386">
            <v>10634</v>
          </cell>
          <cell r="B386">
            <v>23</v>
          </cell>
          <cell r="C386">
            <v>4</v>
          </cell>
          <cell r="D386">
            <v>39309</v>
          </cell>
          <cell r="E386">
            <v>39337</v>
          </cell>
          <cell r="F386">
            <v>39315</v>
          </cell>
          <cell r="G386">
            <v>3</v>
          </cell>
          <cell r="H386">
            <v>487.38</v>
          </cell>
          <cell r="I386" t="str">
            <v>Destination AGPCO</v>
          </cell>
          <cell r="J386" t="str">
            <v>6789, chaussée de Tournai</v>
          </cell>
          <cell r="K386" t="str">
            <v>Lille</v>
          </cell>
          <cell r="M386">
            <v>10164</v>
          </cell>
          <cell r="N386" t="str">
            <v>France</v>
          </cell>
        </row>
        <row r="387">
          <cell r="A387">
            <v>10635</v>
          </cell>
          <cell r="B387">
            <v>49</v>
          </cell>
          <cell r="C387">
            <v>8</v>
          </cell>
          <cell r="D387">
            <v>39312</v>
          </cell>
          <cell r="E387">
            <v>39340</v>
          </cell>
          <cell r="F387">
            <v>39315</v>
          </cell>
          <cell r="G387">
            <v>3</v>
          </cell>
          <cell r="H387">
            <v>47.46</v>
          </cell>
          <cell r="I387" t="str">
            <v>Ship to 49-A</v>
          </cell>
          <cell r="J387" t="str">
            <v>Via Ludovico il Moro 8901</v>
          </cell>
          <cell r="K387" t="str">
            <v>Bergamo</v>
          </cell>
          <cell r="M387">
            <v>10235</v>
          </cell>
          <cell r="N387" t="str">
            <v>Italy</v>
          </cell>
        </row>
        <row r="388">
          <cell r="A388">
            <v>10636</v>
          </cell>
          <cell r="B388">
            <v>87</v>
          </cell>
          <cell r="C388">
            <v>4</v>
          </cell>
          <cell r="D388">
            <v>39313</v>
          </cell>
          <cell r="E388">
            <v>39341</v>
          </cell>
          <cell r="F388">
            <v>39320</v>
          </cell>
          <cell r="G388">
            <v>1</v>
          </cell>
          <cell r="H388">
            <v>1.1499999999999999</v>
          </cell>
          <cell r="I388" t="str">
            <v>Ship to 87-A</v>
          </cell>
          <cell r="J388" t="str">
            <v>Torikatu 1234</v>
          </cell>
          <cell r="K388" t="str">
            <v>Oulu</v>
          </cell>
          <cell r="M388">
            <v>10350</v>
          </cell>
          <cell r="N388" t="str">
            <v>Finland</v>
          </cell>
        </row>
        <row r="389">
          <cell r="A389">
            <v>10637</v>
          </cell>
          <cell r="B389">
            <v>62</v>
          </cell>
          <cell r="C389">
            <v>6</v>
          </cell>
          <cell r="D389">
            <v>39313</v>
          </cell>
          <cell r="E389">
            <v>39341</v>
          </cell>
          <cell r="F389">
            <v>39320</v>
          </cell>
          <cell r="G389">
            <v>1</v>
          </cell>
          <cell r="H389">
            <v>201.29</v>
          </cell>
          <cell r="I389" t="str">
            <v>Ship to 62-C</v>
          </cell>
          <cell r="J389" t="str">
            <v>Alameda dos Canàrios, 0123</v>
          </cell>
          <cell r="K389" t="str">
            <v>Sao Paulo</v>
          </cell>
          <cell r="L389" t="str">
            <v>SP</v>
          </cell>
          <cell r="M389">
            <v>10278</v>
          </cell>
          <cell r="N389" t="str">
            <v>Brazil</v>
          </cell>
        </row>
        <row r="390">
          <cell r="A390">
            <v>10638</v>
          </cell>
          <cell r="B390">
            <v>47</v>
          </cell>
          <cell r="C390">
            <v>3</v>
          </cell>
          <cell r="D390">
            <v>39314</v>
          </cell>
          <cell r="E390">
            <v>39342</v>
          </cell>
          <cell r="F390">
            <v>39326</v>
          </cell>
          <cell r="G390">
            <v>1</v>
          </cell>
          <cell r="H390">
            <v>158.44</v>
          </cell>
          <cell r="I390" t="str">
            <v>Ship to 47-B</v>
          </cell>
          <cell r="J390" t="str">
            <v>Ave. 5 de Mayo Porlamar 4567</v>
          </cell>
          <cell r="K390" t="str">
            <v>I. de Margarita</v>
          </cell>
          <cell r="L390" t="str">
            <v>Nueva Esparta</v>
          </cell>
          <cell r="M390">
            <v>10231</v>
          </cell>
          <cell r="N390" t="str">
            <v>Venezuela</v>
          </cell>
        </row>
        <row r="391">
          <cell r="A391">
            <v>10639</v>
          </cell>
          <cell r="B391">
            <v>70</v>
          </cell>
          <cell r="C391">
            <v>7</v>
          </cell>
          <cell r="D391">
            <v>39314</v>
          </cell>
          <cell r="E391">
            <v>39342</v>
          </cell>
          <cell r="F391">
            <v>39321</v>
          </cell>
          <cell r="G391">
            <v>3</v>
          </cell>
          <cell r="H391">
            <v>38.64</v>
          </cell>
          <cell r="I391" t="str">
            <v>Ship to 70-B</v>
          </cell>
          <cell r="J391" t="str">
            <v>Erling Skakkes gate 5678</v>
          </cell>
          <cell r="K391" t="str">
            <v>Stavern</v>
          </cell>
          <cell r="M391">
            <v>10303</v>
          </cell>
          <cell r="N391" t="str">
            <v>Norway</v>
          </cell>
        </row>
        <row r="392">
          <cell r="A392">
            <v>10640</v>
          </cell>
          <cell r="B392">
            <v>86</v>
          </cell>
          <cell r="C392">
            <v>4</v>
          </cell>
          <cell r="D392">
            <v>39315</v>
          </cell>
          <cell r="E392">
            <v>39343</v>
          </cell>
          <cell r="F392">
            <v>39322</v>
          </cell>
          <cell r="G392">
            <v>1</v>
          </cell>
          <cell r="H392">
            <v>23.55</v>
          </cell>
          <cell r="I392" t="str">
            <v>Ship to 86-A</v>
          </cell>
          <cell r="J392" t="str">
            <v>Adenauerallee 8901</v>
          </cell>
          <cell r="K392" t="str">
            <v>Stuttgart</v>
          </cell>
          <cell r="M392">
            <v>10347</v>
          </cell>
          <cell r="N392" t="str">
            <v>Germany</v>
          </cell>
        </row>
        <row r="393">
          <cell r="A393">
            <v>10641</v>
          </cell>
          <cell r="B393">
            <v>35</v>
          </cell>
          <cell r="C393">
            <v>4</v>
          </cell>
          <cell r="D393">
            <v>39316</v>
          </cell>
          <cell r="E393">
            <v>39344</v>
          </cell>
          <cell r="F393">
            <v>39320</v>
          </cell>
          <cell r="G393">
            <v>2</v>
          </cell>
          <cell r="H393">
            <v>179.61</v>
          </cell>
          <cell r="I393" t="str">
            <v>Destination JYDLM</v>
          </cell>
          <cell r="J393" t="str">
            <v>Carrera1234 con Ave. Carlos Soublette #8-35</v>
          </cell>
          <cell r="K393" t="str">
            <v>San Cristóbal</v>
          </cell>
          <cell r="L393" t="str">
            <v>Táchira</v>
          </cell>
          <cell r="M393">
            <v>10199</v>
          </cell>
          <cell r="N393" t="str">
            <v>Venezuela</v>
          </cell>
        </row>
        <row r="394">
          <cell r="A394">
            <v>10642</v>
          </cell>
          <cell r="B394">
            <v>73</v>
          </cell>
          <cell r="C394">
            <v>7</v>
          </cell>
          <cell r="D394">
            <v>39316</v>
          </cell>
          <cell r="E394">
            <v>39344</v>
          </cell>
          <cell r="F394">
            <v>39330</v>
          </cell>
          <cell r="G394">
            <v>3</v>
          </cell>
          <cell r="H394">
            <v>41.89</v>
          </cell>
          <cell r="I394" t="str">
            <v>Ship to 73-C</v>
          </cell>
          <cell r="J394" t="str">
            <v>Vinbæltet 2345</v>
          </cell>
          <cell r="K394" t="str">
            <v>Kobenhavn</v>
          </cell>
          <cell r="M394">
            <v>10311</v>
          </cell>
          <cell r="N394" t="str">
            <v>Denmark</v>
          </cell>
        </row>
        <row r="395">
          <cell r="A395">
            <v>10643</v>
          </cell>
          <cell r="B395">
            <v>1</v>
          </cell>
          <cell r="C395">
            <v>6</v>
          </cell>
          <cell r="D395">
            <v>39319</v>
          </cell>
          <cell r="E395">
            <v>39347</v>
          </cell>
          <cell r="F395">
            <v>39327</v>
          </cell>
          <cell r="G395">
            <v>1</v>
          </cell>
          <cell r="H395">
            <v>29.46</v>
          </cell>
          <cell r="I395" t="str">
            <v>Destination LOUIE</v>
          </cell>
          <cell r="J395" t="str">
            <v>Obere Str. 6789</v>
          </cell>
          <cell r="K395" t="str">
            <v>Berlin</v>
          </cell>
          <cell r="M395">
            <v>10154</v>
          </cell>
          <cell r="N395" t="str">
            <v>Germany</v>
          </cell>
        </row>
        <row r="396">
          <cell r="A396">
            <v>10644</v>
          </cell>
          <cell r="B396">
            <v>88</v>
          </cell>
          <cell r="C396">
            <v>3</v>
          </cell>
          <cell r="D396">
            <v>39319</v>
          </cell>
          <cell r="E396">
            <v>39347</v>
          </cell>
          <cell r="F396">
            <v>39326</v>
          </cell>
          <cell r="G396">
            <v>2</v>
          </cell>
          <cell r="H396">
            <v>0.14000000000000001</v>
          </cell>
          <cell r="I396" t="str">
            <v>Ship to 88-A</v>
          </cell>
          <cell r="J396" t="str">
            <v>Rua do Mercado, 4567</v>
          </cell>
          <cell r="K396" t="str">
            <v>Resende</v>
          </cell>
          <cell r="L396" t="str">
            <v>SP</v>
          </cell>
          <cell r="M396">
            <v>10353</v>
          </cell>
          <cell r="N396" t="str">
            <v>Brazil</v>
          </cell>
        </row>
        <row r="397">
          <cell r="A397">
            <v>10645</v>
          </cell>
          <cell r="B397">
            <v>34</v>
          </cell>
          <cell r="C397">
            <v>4</v>
          </cell>
          <cell r="D397">
            <v>39320</v>
          </cell>
          <cell r="E397">
            <v>39348</v>
          </cell>
          <cell r="F397">
            <v>39327</v>
          </cell>
          <cell r="G397">
            <v>1</v>
          </cell>
          <cell r="H397">
            <v>12.41</v>
          </cell>
          <cell r="I397" t="str">
            <v>Destination DPCVR</v>
          </cell>
          <cell r="J397" t="str">
            <v>Rua do Paço, 6789</v>
          </cell>
          <cell r="K397" t="str">
            <v>Rio de Janeiro</v>
          </cell>
          <cell r="L397" t="str">
            <v>RJ</v>
          </cell>
          <cell r="M397">
            <v>10194</v>
          </cell>
          <cell r="N397" t="str">
            <v>Brazil</v>
          </cell>
        </row>
        <row r="398">
          <cell r="A398">
            <v>10646</v>
          </cell>
          <cell r="B398">
            <v>37</v>
          </cell>
          <cell r="C398">
            <v>9</v>
          </cell>
          <cell r="D398">
            <v>39321</v>
          </cell>
          <cell r="E398">
            <v>39363</v>
          </cell>
          <cell r="F398">
            <v>39328</v>
          </cell>
          <cell r="G398">
            <v>3</v>
          </cell>
          <cell r="H398">
            <v>142.33000000000001</v>
          </cell>
          <cell r="I398" t="str">
            <v>Destination ATSOA</v>
          </cell>
          <cell r="J398" t="str">
            <v>4567 Johnstown Road</v>
          </cell>
          <cell r="K398" t="str">
            <v>Cork</v>
          </cell>
          <cell r="L398" t="str">
            <v>Co. Cork</v>
          </cell>
          <cell r="M398">
            <v>10202</v>
          </cell>
          <cell r="N398" t="str">
            <v>Ireland</v>
          </cell>
        </row>
        <row r="399">
          <cell r="A399">
            <v>10647</v>
          </cell>
          <cell r="B399">
            <v>61</v>
          </cell>
          <cell r="C399">
            <v>4</v>
          </cell>
          <cell r="D399">
            <v>39321</v>
          </cell>
          <cell r="E399">
            <v>39335</v>
          </cell>
          <cell r="F399">
            <v>39328</v>
          </cell>
          <cell r="G399">
            <v>2</v>
          </cell>
          <cell r="H399">
            <v>45.54</v>
          </cell>
          <cell r="I399" t="str">
            <v>Ship to 61-B</v>
          </cell>
          <cell r="J399" t="str">
            <v>Rua da Panificadora, 6789</v>
          </cell>
          <cell r="K399" t="str">
            <v>Rio de Janeiro</v>
          </cell>
          <cell r="L399" t="str">
            <v>RJ</v>
          </cell>
          <cell r="M399">
            <v>10274</v>
          </cell>
          <cell r="N399" t="str">
            <v>Brazil</v>
          </cell>
        </row>
        <row r="400">
          <cell r="A400">
            <v>10648</v>
          </cell>
          <cell r="B400">
            <v>67</v>
          </cell>
          <cell r="C400">
            <v>5</v>
          </cell>
          <cell r="D400">
            <v>39322</v>
          </cell>
          <cell r="E400">
            <v>39364</v>
          </cell>
          <cell r="F400">
            <v>39334</v>
          </cell>
          <cell r="G400">
            <v>2</v>
          </cell>
          <cell r="H400">
            <v>14.25</v>
          </cell>
          <cell r="I400" t="str">
            <v>Ship to 67-C</v>
          </cell>
          <cell r="J400" t="str">
            <v>Av. Copacabana, 5678</v>
          </cell>
          <cell r="K400" t="str">
            <v>Rio de Janeiro</v>
          </cell>
          <cell r="L400" t="str">
            <v>RJ</v>
          </cell>
          <cell r="M400">
            <v>10293</v>
          </cell>
          <cell r="N400" t="str">
            <v>Brazil</v>
          </cell>
        </row>
        <row r="401">
          <cell r="A401">
            <v>10649</v>
          </cell>
          <cell r="B401">
            <v>50</v>
          </cell>
          <cell r="C401">
            <v>5</v>
          </cell>
          <cell r="D401">
            <v>39322</v>
          </cell>
          <cell r="E401">
            <v>39350</v>
          </cell>
          <cell r="F401">
            <v>39323</v>
          </cell>
          <cell r="G401">
            <v>3</v>
          </cell>
          <cell r="H401">
            <v>6.2</v>
          </cell>
          <cell r="I401" t="str">
            <v>Ship to 50-B</v>
          </cell>
          <cell r="J401" t="str">
            <v>Rue Joseph-Bens 4567</v>
          </cell>
          <cell r="K401" t="str">
            <v>Bruxelles</v>
          </cell>
          <cell r="M401">
            <v>10242</v>
          </cell>
          <cell r="N401" t="str">
            <v>Belgium</v>
          </cell>
        </row>
        <row r="402">
          <cell r="A402">
            <v>10650</v>
          </cell>
          <cell r="B402">
            <v>21</v>
          </cell>
          <cell r="C402">
            <v>5</v>
          </cell>
          <cell r="D402">
            <v>39323</v>
          </cell>
          <cell r="E402">
            <v>39351</v>
          </cell>
          <cell r="F402">
            <v>39328</v>
          </cell>
          <cell r="G402">
            <v>3</v>
          </cell>
          <cell r="H402">
            <v>176.81</v>
          </cell>
          <cell r="I402" t="str">
            <v>Destination SSYXZ</v>
          </cell>
          <cell r="J402" t="str">
            <v>Rua Orós, 3456</v>
          </cell>
          <cell r="K402" t="str">
            <v>Sao Paulo</v>
          </cell>
          <cell r="L402" t="str">
            <v>SP</v>
          </cell>
          <cell r="M402">
            <v>10161</v>
          </cell>
          <cell r="N402" t="str">
            <v>Brazil</v>
          </cell>
        </row>
        <row r="403">
          <cell r="A403">
            <v>10651</v>
          </cell>
          <cell r="B403">
            <v>86</v>
          </cell>
          <cell r="C403">
            <v>8</v>
          </cell>
          <cell r="D403">
            <v>39326</v>
          </cell>
          <cell r="E403">
            <v>39354</v>
          </cell>
          <cell r="F403">
            <v>39336</v>
          </cell>
          <cell r="G403">
            <v>2</v>
          </cell>
          <cell r="H403">
            <v>20.6</v>
          </cell>
          <cell r="I403" t="str">
            <v>Ship to 86-A</v>
          </cell>
          <cell r="J403" t="str">
            <v>Adenauerallee 8901</v>
          </cell>
          <cell r="K403" t="str">
            <v>Stuttgart</v>
          </cell>
          <cell r="M403">
            <v>10347</v>
          </cell>
          <cell r="N403" t="str">
            <v>Germany</v>
          </cell>
        </row>
        <row r="404">
          <cell r="A404">
            <v>10652</v>
          </cell>
          <cell r="B404">
            <v>31</v>
          </cell>
          <cell r="C404">
            <v>4</v>
          </cell>
          <cell r="D404">
            <v>39326</v>
          </cell>
          <cell r="E404">
            <v>39354</v>
          </cell>
          <cell r="F404">
            <v>39333</v>
          </cell>
          <cell r="G404">
            <v>2</v>
          </cell>
          <cell r="H404">
            <v>7.14</v>
          </cell>
          <cell r="I404" t="str">
            <v>Destination VNIAG</v>
          </cell>
          <cell r="J404" t="str">
            <v>Av. Brasil, 9012</v>
          </cell>
          <cell r="K404" t="str">
            <v>Campinas</v>
          </cell>
          <cell r="L404" t="str">
            <v>SP</v>
          </cell>
          <cell r="M404">
            <v>10187</v>
          </cell>
          <cell r="N404" t="str">
            <v>Brazil</v>
          </cell>
        </row>
        <row r="405">
          <cell r="A405">
            <v>10653</v>
          </cell>
          <cell r="B405">
            <v>25</v>
          </cell>
          <cell r="C405">
            <v>1</v>
          </cell>
          <cell r="D405">
            <v>39327</v>
          </cell>
          <cell r="E405">
            <v>39355</v>
          </cell>
          <cell r="F405">
            <v>39344</v>
          </cell>
          <cell r="G405">
            <v>1</v>
          </cell>
          <cell r="H405">
            <v>93.25</v>
          </cell>
          <cell r="I405" t="str">
            <v>Destination QOCBL</v>
          </cell>
          <cell r="J405" t="str">
            <v>Berliner Platz 1234</v>
          </cell>
          <cell r="K405" t="str">
            <v>München</v>
          </cell>
          <cell r="M405">
            <v>10169</v>
          </cell>
          <cell r="N405" t="str">
            <v>Germany</v>
          </cell>
        </row>
        <row r="406">
          <cell r="A406">
            <v>10654</v>
          </cell>
          <cell r="B406">
            <v>5</v>
          </cell>
          <cell r="C406">
            <v>5</v>
          </cell>
          <cell r="D406">
            <v>39327</v>
          </cell>
          <cell r="E406">
            <v>39355</v>
          </cell>
          <cell r="F406">
            <v>39336</v>
          </cell>
          <cell r="G406">
            <v>1</v>
          </cell>
          <cell r="H406">
            <v>55.26</v>
          </cell>
          <cell r="I406" t="str">
            <v>Ship to 5-C</v>
          </cell>
          <cell r="J406" t="str">
            <v>Berguvsvägen 1234</v>
          </cell>
          <cell r="K406" t="str">
            <v>Luleå</v>
          </cell>
          <cell r="M406">
            <v>10269</v>
          </cell>
          <cell r="N406" t="str">
            <v>Sweden</v>
          </cell>
        </row>
        <row r="407">
          <cell r="A407">
            <v>10655</v>
          </cell>
          <cell r="B407">
            <v>66</v>
          </cell>
          <cell r="C407">
            <v>1</v>
          </cell>
          <cell r="D407">
            <v>39328</v>
          </cell>
          <cell r="E407">
            <v>39356</v>
          </cell>
          <cell r="F407">
            <v>39336</v>
          </cell>
          <cell r="G407">
            <v>2</v>
          </cell>
          <cell r="H407">
            <v>4.41</v>
          </cell>
          <cell r="I407" t="str">
            <v>Ship to 66-B</v>
          </cell>
          <cell r="J407" t="str">
            <v>Strada Provinciale 1234</v>
          </cell>
          <cell r="K407" t="str">
            <v>Reggio Emilia</v>
          </cell>
          <cell r="M407">
            <v>10289</v>
          </cell>
          <cell r="N407" t="str">
            <v>Italy</v>
          </cell>
        </row>
        <row r="408">
          <cell r="A408">
            <v>10656</v>
          </cell>
          <cell r="B408">
            <v>32</v>
          </cell>
          <cell r="C408">
            <v>6</v>
          </cell>
          <cell r="D408">
            <v>39329</v>
          </cell>
          <cell r="E408">
            <v>39357</v>
          </cell>
          <cell r="F408">
            <v>39335</v>
          </cell>
          <cell r="G408">
            <v>1</v>
          </cell>
          <cell r="H408">
            <v>57.15</v>
          </cell>
          <cell r="I408" t="str">
            <v>Destination AVQUS</v>
          </cell>
          <cell r="J408" t="str">
            <v>2345 Baker Blvd.</v>
          </cell>
          <cell r="K408" t="str">
            <v>Eugene</v>
          </cell>
          <cell r="L408" t="str">
            <v>OR</v>
          </cell>
          <cell r="M408">
            <v>10190</v>
          </cell>
          <cell r="N408" t="str">
            <v>USA</v>
          </cell>
        </row>
        <row r="409">
          <cell r="A409">
            <v>10657</v>
          </cell>
          <cell r="B409">
            <v>71</v>
          </cell>
          <cell r="C409">
            <v>2</v>
          </cell>
          <cell r="D409">
            <v>39329</v>
          </cell>
          <cell r="E409">
            <v>39357</v>
          </cell>
          <cell r="F409">
            <v>39340</v>
          </cell>
          <cell r="G409">
            <v>2</v>
          </cell>
          <cell r="H409">
            <v>352.69</v>
          </cell>
          <cell r="I409" t="str">
            <v>Ship to 71-A</v>
          </cell>
          <cell r="J409" t="str">
            <v>7890 Suffolk Ln.</v>
          </cell>
          <cell r="K409" t="str">
            <v>Boise</v>
          </cell>
          <cell r="L409" t="str">
            <v>ID</v>
          </cell>
          <cell r="M409">
            <v>10305</v>
          </cell>
          <cell r="N409" t="str">
            <v>USA</v>
          </cell>
        </row>
        <row r="410">
          <cell r="A410">
            <v>10658</v>
          </cell>
          <cell r="B410">
            <v>63</v>
          </cell>
          <cell r="C410">
            <v>4</v>
          </cell>
          <cell r="D410">
            <v>39330</v>
          </cell>
          <cell r="E410">
            <v>39358</v>
          </cell>
          <cell r="F410">
            <v>39333</v>
          </cell>
          <cell r="G410">
            <v>1</v>
          </cell>
          <cell r="H410">
            <v>364.15</v>
          </cell>
          <cell r="I410" t="str">
            <v>Ship to 63-C</v>
          </cell>
          <cell r="J410" t="str">
            <v>Taucherstraße 3456</v>
          </cell>
          <cell r="K410" t="str">
            <v>Cunewalde</v>
          </cell>
          <cell r="M410">
            <v>10281</v>
          </cell>
          <cell r="N410" t="str">
            <v>Germany</v>
          </cell>
        </row>
        <row r="411">
          <cell r="A411">
            <v>10659</v>
          </cell>
          <cell r="B411">
            <v>62</v>
          </cell>
          <cell r="C411">
            <v>7</v>
          </cell>
          <cell r="D411">
            <v>39330</v>
          </cell>
          <cell r="E411">
            <v>39358</v>
          </cell>
          <cell r="F411">
            <v>39335</v>
          </cell>
          <cell r="G411">
            <v>2</v>
          </cell>
          <cell r="H411">
            <v>105.81</v>
          </cell>
          <cell r="I411" t="str">
            <v>Ship to 62-B</v>
          </cell>
          <cell r="J411" t="str">
            <v>Alameda dos Canàrios, 9012</v>
          </cell>
          <cell r="K411" t="str">
            <v>Sao Paulo</v>
          </cell>
          <cell r="L411" t="str">
            <v>SP</v>
          </cell>
          <cell r="M411">
            <v>10277</v>
          </cell>
          <cell r="N411" t="str">
            <v>Brazil</v>
          </cell>
        </row>
        <row r="412">
          <cell r="A412">
            <v>10660</v>
          </cell>
          <cell r="B412">
            <v>36</v>
          </cell>
          <cell r="C412">
            <v>8</v>
          </cell>
          <cell r="D412">
            <v>39333</v>
          </cell>
          <cell r="E412">
            <v>39361</v>
          </cell>
          <cell r="F412">
            <v>39370</v>
          </cell>
          <cell r="G412">
            <v>1</v>
          </cell>
          <cell r="H412">
            <v>111.29</v>
          </cell>
          <cell r="I412" t="str">
            <v>Destination HOHCR</v>
          </cell>
          <cell r="J412" t="str">
            <v>City Center Plaza 3456 Main St.</v>
          </cell>
          <cell r="K412" t="str">
            <v>Elgin</v>
          </cell>
          <cell r="L412" t="str">
            <v>OR</v>
          </cell>
          <cell r="M412">
            <v>10201</v>
          </cell>
          <cell r="N412" t="str">
            <v>USA</v>
          </cell>
        </row>
        <row r="413">
          <cell r="A413">
            <v>10661</v>
          </cell>
          <cell r="B413">
            <v>37</v>
          </cell>
          <cell r="C413">
            <v>7</v>
          </cell>
          <cell r="D413">
            <v>39334</v>
          </cell>
          <cell r="E413">
            <v>39362</v>
          </cell>
          <cell r="F413">
            <v>39340</v>
          </cell>
          <cell r="G413">
            <v>3</v>
          </cell>
          <cell r="H413">
            <v>17.55</v>
          </cell>
          <cell r="I413" t="str">
            <v>Destination ATSOA</v>
          </cell>
          <cell r="J413" t="str">
            <v>4567 Johnstown Road</v>
          </cell>
          <cell r="K413" t="str">
            <v>Cork</v>
          </cell>
          <cell r="L413" t="str">
            <v>Co. Cork</v>
          </cell>
          <cell r="M413">
            <v>10202</v>
          </cell>
          <cell r="N413" t="str">
            <v>Ireland</v>
          </cell>
        </row>
        <row r="414">
          <cell r="A414">
            <v>10662</v>
          </cell>
          <cell r="B414">
            <v>48</v>
          </cell>
          <cell r="C414">
            <v>3</v>
          </cell>
          <cell r="D414">
            <v>39334</v>
          </cell>
          <cell r="E414">
            <v>39362</v>
          </cell>
          <cell r="F414">
            <v>39343</v>
          </cell>
          <cell r="G414">
            <v>2</v>
          </cell>
          <cell r="H414">
            <v>1.28</v>
          </cell>
          <cell r="I414" t="str">
            <v>Ship to 48-C</v>
          </cell>
          <cell r="J414" t="str">
            <v>7890 Chiaroscuro Rd.</v>
          </cell>
          <cell r="K414" t="str">
            <v>Portland</v>
          </cell>
          <cell r="L414" t="str">
            <v>OR</v>
          </cell>
          <cell r="M414">
            <v>10234</v>
          </cell>
          <cell r="N414" t="str">
            <v>USA</v>
          </cell>
        </row>
        <row r="415">
          <cell r="A415">
            <v>10663</v>
          </cell>
          <cell r="B415">
            <v>9</v>
          </cell>
          <cell r="C415">
            <v>2</v>
          </cell>
          <cell r="D415">
            <v>39335</v>
          </cell>
          <cell r="E415">
            <v>39349</v>
          </cell>
          <cell r="F415">
            <v>39358</v>
          </cell>
          <cell r="G415">
            <v>2</v>
          </cell>
          <cell r="H415">
            <v>113.15</v>
          </cell>
          <cell r="I415" t="str">
            <v>Ship to 9-B</v>
          </cell>
          <cell r="J415" t="str">
            <v>9012, rue des Bouchers</v>
          </cell>
          <cell r="K415" t="str">
            <v>Marseille</v>
          </cell>
          <cell r="M415">
            <v>10368</v>
          </cell>
          <cell r="N415" t="str">
            <v>France</v>
          </cell>
        </row>
        <row r="416">
          <cell r="A416">
            <v>10664</v>
          </cell>
          <cell r="B416">
            <v>28</v>
          </cell>
          <cell r="C416">
            <v>1</v>
          </cell>
          <cell r="D416">
            <v>39335</v>
          </cell>
          <cell r="E416">
            <v>39363</v>
          </cell>
          <cell r="F416">
            <v>39344</v>
          </cell>
          <cell r="G416">
            <v>3</v>
          </cell>
          <cell r="H416">
            <v>1.27</v>
          </cell>
          <cell r="I416" t="str">
            <v>Destination OTSWR</v>
          </cell>
          <cell r="J416" t="str">
            <v>Jardim das rosas n. 9012</v>
          </cell>
          <cell r="K416" t="str">
            <v>Lisboa</v>
          </cell>
          <cell r="M416">
            <v>10177</v>
          </cell>
          <cell r="N416" t="str">
            <v>Portugal</v>
          </cell>
        </row>
        <row r="417">
          <cell r="A417">
            <v>10665</v>
          </cell>
          <cell r="B417">
            <v>48</v>
          </cell>
          <cell r="C417">
            <v>1</v>
          </cell>
          <cell r="D417">
            <v>39336</v>
          </cell>
          <cell r="E417">
            <v>39364</v>
          </cell>
          <cell r="F417">
            <v>39342</v>
          </cell>
          <cell r="G417">
            <v>2</v>
          </cell>
          <cell r="H417">
            <v>26.31</v>
          </cell>
          <cell r="I417" t="str">
            <v>Ship to 48-B</v>
          </cell>
          <cell r="J417" t="str">
            <v>6789 Chiaroscuro Rd.</v>
          </cell>
          <cell r="K417" t="str">
            <v>Portland</v>
          </cell>
          <cell r="L417" t="str">
            <v>OR</v>
          </cell>
          <cell r="M417">
            <v>10233</v>
          </cell>
          <cell r="N417" t="str">
            <v>USA</v>
          </cell>
        </row>
        <row r="418">
          <cell r="A418">
            <v>10666</v>
          </cell>
          <cell r="B418">
            <v>68</v>
          </cell>
          <cell r="C418">
            <v>7</v>
          </cell>
          <cell r="D418">
            <v>39337</v>
          </cell>
          <cell r="E418">
            <v>39365</v>
          </cell>
          <cell r="F418">
            <v>39347</v>
          </cell>
          <cell r="G418">
            <v>2</v>
          </cell>
          <cell r="H418">
            <v>232.42</v>
          </cell>
          <cell r="I418" t="str">
            <v>Ship to 68-A</v>
          </cell>
          <cell r="J418" t="str">
            <v>Starenweg 6789</v>
          </cell>
          <cell r="K418" t="str">
            <v>Genève</v>
          </cell>
          <cell r="M418">
            <v>10294</v>
          </cell>
          <cell r="N418" t="str">
            <v>Switzerland</v>
          </cell>
        </row>
        <row r="419">
          <cell r="A419">
            <v>10667</v>
          </cell>
          <cell r="B419">
            <v>20</v>
          </cell>
          <cell r="C419">
            <v>7</v>
          </cell>
          <cell r="D419">
            <v>39337</v>
          </cell>
          <cell r="E419">
            <v>39365</v>
          </cell>
          <cell r="F419">
            <v>39344</v>
          </cell>
          <cell r="G419">
            <v>1</v>
          </cell>
          <cell r="H419">
            <v>78.09</v>
          </cell>
          <cell r="I419" t="str">
            <v>Destination CUVPF</v>
          </cell>
          <cell r="J419" t="str">
            <v>Kirchgasse 1234</v>
          </cell>
          <cell r="K419" t="str">
            <v>Graz</v>
          </cell>
          <cell r="M419">
            <v>10159</v>
          </cell>
          <cell r="N419" t="str">
            <v>Austria</v>
          </cell>
        </row>
        <row r="420">
          <cell r="A420">
            <v>10668</v>
          </cell>
          <cell r="B420">
            <v>86</v>
          </cell>
          <cell r="C420">
            <v>1</v>
          </cell>
          <cell r="D420">
            <v>39340</v>
          </cell>
          <cell r="E420">
            <v>39368</v>
          </cell>
          <cell r="F420">
            <v>39348</v>
          </cell>
          <cell r="G420">
            <v>2</v>
          </cell>
          <cell r="H420">
            <v>47.22</v>
          </cell>
          <cell r="I420" t="str">
            <v>Ship to 86-C</v>
          </cell>
          <cell r="J420" t="str">
            <v>Adenauerallee 0123</v>
          </cell>
          <cell r="K420" t="str">
            <v>Stuttgart</v>
          </cell>
          <cell r="M420">
            <v>10349</v>
          </cell>
          <cell r="N420" t="str">
            <v>Germany</v>
          </cell>
        </row>
        <row r="421">
          <cell r="A421">
            <v>10669</v>
          </cell>
          <cell r="B421">
            <v>73</v>
          </cell>
          <cell r="C421">
            <v>2</v>
          </cell>
          <cell r="D421">
            <v>39340</v>
          </cell>
          <cell r="E421">
            <v>39368</v>
          </cell>
          <cell r="F421">
            <v>39347</v>
          </cell>
          <cell r="G421">
            <v>1</v>
          </cell>
          <cell r="H421">
            <v>24.39</v>
          </cell>
          <cell r="I421" t="str">
            <v>Ship to 73-A</v>
          </cell>
          <cell r="J421" t="str">
            <v>Vinbæltet 1234</v>
          </cell>
          <cell r="K421" t="str">
            <v>Kobenhavn</v>
          </cell>
          <cell r="M421">
            <v>10310</v>
          </cell>
          <cell r="N421" t="str">
            <v>Denmark</v>
          </cell>
        </row>
        <row r="422">
          <cell r="A422">
            <v>10670</v>
          </cell>
          <cell r="B422">
            <v>25</v>
          </cell>
          <cell r="C422">
            <v>4</v>
          </cell>
          <cell r="D422">
            <v>39341</v>
          </cell>
          <cell r="E422">
            <v>39369</v>
          </cell>
          <cell r="F422">
            <v>39343</v>
          </cell>
          <cell r="G422">
            <v>1</v>
          </cell>
          <cell r="H422">
            <v>203.48</v>
          </cell>
          <cell r="I422" t="str">
            <v>Destination QOCBL</v>
          </cell>
          <cell r="J422" t="str">
            <v>Berliner Platz 1234</v>
          </cell>
          <cell r="K422" t="str">
            <v>München</v>
          </cell>
          <cell r="M422">
            <v>10169</v>
          </cell>
          <cell r="N422" t="str">
            <v>Germany</v>
          </cell>
        </row>
        <row r="423">
          <cell r="A423">
            <v>10671</v>
          </cell>
          <cell r="B423">
            <v>26</v>
          </cell>
          <cell r="C423">
            <v>1</v>
          </cell>
          <cell r="D423">
            <v>39342</v>
          </cell>
          <cell r="E423">
            <v>39370</v>
          </cell>
          <cell r="F423">
            <v>39349</v>
          </cell>
          <cell r="G423">
            <v>1</v>
          </cell>
          <cell r="H423">
            <v>30.34</v>
          </cell>
          <cell r="I423" t="str">
            <v>Destination OPXJT</v>
          </cell>
          <cell r="J423" t="str">
            <v>4567, rue Royale</v>
          </cell>
          <cell r="K423" t="str">
            <v>Nantes</v>
          </cell>
          <cell r="M423">
            <v>10172</v>
          </cell>
          <cell r="N423" t="str">
            <v>France</v>
          </cell>
        </row>
        <row r="424">
          <cell r="A424">
            <v>10672</v>
          </cell>
          <cell r="B424">
            <v>5</v>
          </cell>
          <cell r="C424">
            <v>9</v>
          </cell>
          <cell r="D424">
            <v>39342</v>
          </cell>
          <cell r="E424">
            <v>39356</v>
          </cell>
          <cell r="F424">
            <v>39351</v>
          </cell>
          <cell r="G424">
            <v>2</v>
          </cell>
          <cell r="H424">
            <v>95.75</v>
          </cell>
          <cell r="I424" t="str">
            <v>Ship to 5-C</v>
          </cell>
          <cell r="J424" t="str">
            <v>Berguvsvägen 1234</v>
          </cell>
          <cell r="K424" t="str">
            <v>Luleå</v>
          </cell>
          <cell r="M424">
            <v>10269</v>
          </cell>
          <cell r="N424" t="str">
            <v>Sweden</v>
          </cell>
        </row>
        <row r="425">
          <cell r="A425">
            <v>10673</v>
          </cell>
          <cell r="B425">
            <v>90</v>
          </cell>
          <cell r="C425">
            <v>2</v>
          </cell>
          <cell r="D425">
            <v>39343</v>
          </cell>
          <cell r="E425">
            <v>39371</v>
          </cell>
          <cell r="F425">
            <v>39344</v>
          </cell>
          <cell r="G425">
            <v>1</v>
          </cell>
          <cell r="H425">
            <v>22.76</v>
          </cell>
          <cell r="I425" t="str">
            <v>Ship to 90-B</v>
          </cell>
          <cell r="J425" t="str">
            <v>Keskuskatu 3456</v>
          </cell>
          <cell r="K425" t="str">
            <v>Helsinki</v>
          </cell>
          <cell r="M425">
            <v>10362</v>
          </cell>
          <cell r="N425" t="str">
            <v>Finland</v>
          </cell>
        </row>
        <row r="426">
          <cell r="A426">
            <v>10674</v>
          </cell>
          <cell r="B426">
            <v>38</v>
          </cell>
          <cell r="C426">
            <v>4</v>
          </cell>
          <cell r="D426">
            <v>39343</v>
          </cell>
          <cell r="E426">
            <v>39371</v>
          </cell>
          <cell r="F426">
            <v>39355</v>
          </cell>
          <cell r="G426">
            <v>2</v>
          </cell>
          <cell r="H426">
            <v>0.9</v>
          </cell>
          <cell r="I426" t="str">
            <v>Destination QVTLW</v>
          </cell>
          <cell r="J426" t="str">
            <v>Garden House Crowther Way 7890</v>
          </cell>
          <cell r="K426" t="str">
            <v>Cowes</v>
          </cell>
          <cell r="L426" t="str">
            <v>Isle of Wight</v>
          </cell>
          <cell r="M426">
            <v>10205</v>
          </cell>
          <cell r="N426" t="str">
            <v>UK</v>
          </cell>
        </row>
        <row r="427">
          <cell r="A427">
            <v>10675</v>
          </cell>
          <cell r="B427">
            <v>25</v>
          </cell>
          <cell r="C427">
            <v>5</v>
          </cell>
          <cell r="D427">
            <v>39344</v>
          </cell>
          <cell r="E427">
            <v>39372</v>
          </cell>
          <cell r="F427">
            <v>39348</v>
          </cell>
          <cell r="G427">
            <v>2</v>
          </cell>
          <cell r="H427">
            <v>31.85</v>
          </cell>
          <cell r="I427" t="str">
            <v>Destination WEGWI</v>
          </cell>
          <cell r="J427" t="str">
            <v>Berliner Platz 2345</v>
          </cell>
          <cell r="K427" t="str">
            <v>München</v>
          </cell>
          <cell r="M427">
            <v>10170</v>
          </cell>
          <cell r="N427" t="str">
            <v>Germany</v>
          </cell>
        </row>
        <row r="428">
          <cell r="A428">
            <v>10676</v>
          </cell>
          <cell r="B428">
            <v>80</v>
          </cell>
          <cell r="C428">
            <v>2</v>
          </cell>
          <cell r="D428">
            <v>39347</v>
          </cell>
          <cell r="E428">
            <v>39375</v>
          </cell>
          <cell r="F428">
            <v>39354</v>
          </cell>
          <cell r="G428">
            <v>2</v>
          </cell>
          <cell r="H428">
            <v>2.0099999999999998</v>
          </cell>
          <cell r="I428" t="str">
            <v>Ship to 80-C</v>
          </cell>
          <cell r="J428" t="str">
            <v>Avda. Azteca 5678</v>
          </cell>
          <cell r="K428" t="str">
            <v>México D.F.</v>
          </cell>
          <cell r="M428">
            <v>10334</v>
          </cell>
          <cell r="N428" t="str">
            <v>Mexico</v>
          </cell>
        </row>
        <row r="429">
          <cell r="A429">
            <v>10677</v>
          </cell>
          <cell r="B429">
            <v>3</v>
          </cell>
          <cell r="C429">
            <v>1</v>
          </cell>
          <cell r="D429">
            <v>39347</v>
          </cell>
          <cell r="E429">
            <v>39375</v>
          </cell>
          <cell r="F429">
            <v>39351</v>
          </cell>
          <cell r="G429">
            <v>3</v>
          </cell>
          <cell r="H429">
            <v>4.03</v>
          </cell>
          <cell r="I429" t="str">
            <v>Destination LANNN</v>
          </cell>
          <cell r="J429" t="str">
            <v>Mataderos 4567</v>
          </cell>
          <cell r="K429" t="str">
            <v>México D.F.</v>
          </cell>
          <cell r="M429">
            <v>10212</v>
          </cell>
          <cell r="N429" t="str">
            <v>Mexico</v>
          </cell>
        </row>
        <row r="430">
          <cell r="A430">
            <v>10678</v>
          </cell>
          <cell r="B430">
            <v>71</v>
          </cell>
          <cell r="C430">
            <v>7</v>
          </cell>
          <cell r="D430">
            <v>39348</v>
          </cell>
          <cell r="E430">
            <v>39376</v>
          </cell>
          <cell r="F430">
            <v>39371</v>
          </cell>
          <cell r="G430">
            <v>3</v>
          </cell>
          <cell r="H430">
            <v>388.98</v>
          </cell>
          <cell r="I430" t="str">
            <v>Ship to 71-A</v>
          </cell>
          <cell r="J430" t="str">
            <v>7890 Suffolk Ln.</v>
          </cell>
          <cell r="K430" t="str">
            <v>Boise</v>
          </cell>
          <cell r="L430" t="str">
            <v>ID</v>
          </cell>
          <cell r="M430">
            <v>10305</v>
          </cell>
          <cell r="N430" t="str">
            <v>USA</v>
          </cell>
        </row>
        <row r="431">
          <cell r="A431">
            <v>10679</v>
          </cell>
          <cell r="B431">
            <v>7</v>
          </cell>
          <cell r="C431">
            <v>8</v>
          </cell>
          <cell r="D431">
            <v>39348</v>
          </cell>
          <cell r="E431">
            <v>39376</v>
          </cell>
          <cell r="F431">
            <v>39355</v>
          </cell>
          <cell r="G431">
            <v>3</v>
          </cell>
          <cell r="H431">
            <v>27.94</v>
          </cell>
          <cell r="I431" t="str">
            <v>Ship to 7-A</v>
          </cell>
          <cell r="J431" t="str">
            <v>0123, place Kléber</v>
          </cell>
          <cell r="K431" t="str">
            <v>Strasbourg</v>
          </cell>
          <cell r="M431">
            <v>10329</v>
          </cell>
          <cell r="N431" t="str">
            <v>France</v>
          </cell>
        </row>
        <row r="432">
          <cell r="A432">
            <v>10680</v>
          </cell>
          <cell r="B432">
            <v>55</v>
          </cell>
          <cell r="C432">
            <v>1</v>
          </cell>
          <cell r="D432">
            <v>39349</v>
          </cell>
          <cell r="E432">
            <v>39377</v>
          </cell>
          <cell r="F432">
            <v>39351</v>
          </cell>
          <cell r="G432">
            <v>1</v>
          </cell>
          <cell r="H432">
            <v>26.61</v>
          </cell>
          <cell r="I432" t="str">
            <v>Ship to 55-B</v>
          </cell>
          <cell r="J432" t="str">
            <v>8901 Bering St.</v>
          </cell>
          <cell r="K432" t="str">
            <v>Anchorage</v>
          </cell>
          <cell r="L432" t="str">
            <v>AK</v>
          </cell>
          <cell r="M432">
            <v>10256</v>
          </cell>
          <cell r="N432" t="str">
            <v>USA</v>
          </cell>
        </row>
        <row r="433">
          <cell r="A433">
            <v>10681</v>
          </cell>
          <cell r="B433">
            <v>32</v>
          </cell>
          <cell r="C433">
            <v>3</v>
          </cell>
          <cell r="D433">
            <v>39350</v>
          </cell>
          <cell r="E433">
            <v>39378</v>
          </cell>
          <cell r="F433">
            <v>39355</v>
          </cell>
          <cell r="G433">
            <v>3</v>
          </cell>
          <cell r="H433">
            <v>76.13</v>
          </cell>
          <cell r="I433" t="str">
            <v>Destination AVQUS</v>
          </cell>
          <cell r="J433" t="str">
            <v>2345 Baker Blvd.</v>
          </cell>
          <cell r="K433" t="str">
            <v>Eugene</v>
          </cell>
          <cell r="L433" t="str">
            <v>OR</v>
          </cell>
          <cell r="M433">
            <v>10190</v>
          </cell>
          <cell r="N433" t="str">
            <v>USA</v>
          </cell>
        </row>
        <row r="434">
          <cell r="A434">
            <v>10682</v>
          </cell>
          <cell r="B434">
            <v>3</v>
          </cell>
          <cell r="C434">
            <v>3</v>
          </cell>
          <cell r="D434">
            <v>39350</v>
          </cell>
          <cell r="E434">
            <v>39378</v>
          </cell>
          <cell r="F434">
            <v>39356</v>
          </cell>
          <cell r="G434">
            <v>2</v>
          </cell>
          <cell r="H434">
            <v>36.130000000000003</v>
          </cell>
          <cell r="I434" t="str">
            <v>Destination RTGIS</v>
          </cell>
          <cell r="J434" t="str">
            <v>Mataderos 2345</v>
          </cell>
          <cell r="K434" t="str">
            <v>México D.F.</v>
          </cell>
          <cell r="M434">
            <v>10210</v>
          </cell>
          <cell r="N434" t="str">
            <v>Mexico</v>
          </cell>
        </row>
        <row r="435">
          <cell r="A435">
            <v>10683</v>
          </cell>
          <cell r="B435">
            <v>18</v>
          </cell>
          <cell r="C435">
            <v>2</v>
          </cell>
          <cell r="D435">
            <v>39351</v>
          </cell>
          <cell r="E435">
            <v>39379</v>
          </cell>
          <cell r="F435">
            <v>39356</v>
          </cell>
          <cell r="G435">
            <v>1</v>
          </cell>
          <cell r="H435">
            <v>4.4000000000000004</v>
          </cell>
          <cell r="I435" t="str">
            <v>Destination FVRGC</v>
          </cell>
          <cell r="J435" t="str">
            <v>2345, rue des Cinquante Otages</v>
          </cell>
          <cell r="K435" t="str">
            <v>Nantes</v>
          </cell>
          <cell r="M435">
            <v>10150</v>
          </cell>
          <cell r="N435" t="str">
            <v>France</v>
          </cell>
        </row>
        <row r="436">
          <cell r="A436">
            <v>10684</v>
          </cell>
          <cell r="B436">
            <v>56</v>
          </cell>
          <cell r="C436">
            <v>3</v>
          </cell>
          <cell r="D436">
            <v>39351</v>
          </cell>
          <cell r="E436">
            <v>39379</v>
          </cell>
          <cell r="F436">
            <v>39355</v>
          </cell>
          <cell r="G436">
            <v>1</v>
          </cell>
          <cell r="H436">
            <v>145.63</v>
          </cell>
          <cell r="I436" t="str">
            <v>Ship to 56-B</v>
          </cell>
          <cell r="J436" t="str">
            <v>Mehrheimerstr. 1234</v>
          </cell>
          <cell r="K436" t="str">
            <v>Köln</v>
          </cell>
          <cell r="M436">
            <v>10259</v>
          </cell>
          <cell r="N436" t="str">
            <v>Germany</v>
          </cell>
        </row>
        <row r="437">
          <cell r="A437">
            <v>10685</v>
          </cell>
          <cell r="B437">
            <v>31</v>
          </cell>
          <cell r="C437">
            <v>4</v>
          </cell>
          <cell r="D437">
            <v>39354</v>
          </cell>
          <cell r="E437">
            <v>39368</v>
          </cell>
          <cell r="F437">
            <v>39358</v>
          </cell>
          <cell r="G437">
            <v>2</v>
          </cell>
          <cell r="H437">
            <v>33.75</v>
          </cell>
          <cell r="I437" t="str">
            <v>Destination VNIAG</v>
          </cell>
          <cell r="J437" t="str">
            <v>Av. Brasil, 9012</v>
          </cell>
          <cell r="K437" t="str">
            <v>Campinas</v>
          </cell>
          <cell r="L437" t="str">
            <v>SP</v>
          </cell>
          <cell r="M437">
            <v>10187</v>
          </cell>
          <cell r="N437" t="str">
            <v>Brazil</v>
          </cell>
        </row>
        <row r="438">
          <cell r="A438">
            <v>10686</v>
          </cell>
          <cell r="B438">
            <v>59</v>
          </cell>
          <cell r="C438">
            <v>2</v>
          </cell>
          <cell r="D438">
            <v>39355</v>
          </cell>
          <cell r="E438">
            <v>39383</v>
          </cell>
          <cell r="F438">
            <v>39363</v>
          </cell>
          <cell r="G438">
            <v>1</v>
          </cell>
          <cell r="H438">
            <v>96.5</v>
          </cell>
          <cell r="I438" t="str">
            <v>Ship to 59-B</v>
          </cell>
          <cell r="J438" t="str">
            <v>Geislweg 7890</v>
          </cell>
          <cell r="K438" t="str">
            <v>Salzburg</v>
          </cell>
          <cell r="M438">
            <v>10265</v>
          </cell>
          <cell r="N438" t="str">
            <v>Austria</v>
          </cell>
        </row>
        <row r="439">
          <cell r="A439">
            <v>10687</v>
          </cell>
          <cell r="B439">
            <v>37</v>
          </cell>
          <cell r="C439">
            <v>9</v>
          </cell>
          <cell r="D439">
            <v>39355</v>
          </cell>
          <cell r="E439">
            <v>39383</v>
          </cell>
          <cell r="F439">
            <v>39385</v>
          </cell>
          <cell r="G439">
            <v>2</v>
          </cell>
          <cell r="H439">
            <v>296.43</v>
          </cell>
          <cell r="I439" t="str">
            <v>Destination KPVYJ</v>
          </cell>
          <cell r="J439" t="str">
            <v>5678 Johnstown Road</v>
          </cell>
          <cell r="K439" t="str">
            <v>Cork</v>
          </cell>
          <cell r="L439" t="str">
            <v>Co. Cork</v>
          </cell>
          <cell r="M439">
            <v>10203</v>
          </cell>
          <cell r="N439" t="str">
            <v>Ireland</v>
          </cell>
        </row>
        <row r="440">
          <cell r="A440">
            <v>10688</v>
          </cell>
          <cell r="B440">
            <v>83</v>
          </cell>
          <cell r="C440">
            <v>4</v>
          </cell>
          <cell r="D440">
            <v>39356</v>
          </cell>
          <cell r="E440">
            <v>39370</v>
          </cell>
          <cell r="F440">
            <v>39362</v>
          </cell>
          <cell r="G440">
            <v>2</v>
          </cell>
          <cell r="H440">
            <v>299.08999999999997</v>
          </cell>
          <cell r="I440" t="str">
            <v>Ship to 83-A</v>
          </cell>
          <cell r="J440" t="str">
            <v>Smagsloget 0123</v>
          </cell>
          <cell r="K440" t="str">
            <v>Århus</v>
          </cell>
          <cell r="M440">
            <v>10339</v>
          </cell>
          <cell r="N440" t="str">
            <v>Denmark</v>
          </cell>
        </row>
        <row r="441">
          <cell r="A441">
            <v>10689</v>
          </cell>
          <cell r="B441">
            <v>5</v>
          </cell>
          <cell r="C441">
            <v>1</v>
          </cell>
          <cell r="D441">
            <v>39356</v>
          </cell>
          <cell r="E441">
            <v>39384</v>
          </cell>
          <cell r="F441">
            <v>39362</v>
          </cell>
          <cell r="G441">
            <v>2</v>
          </cell>
          <cell r="H441">
            <v>13.42</v>
          </cell>
          <cell r="I441" t="str">
            <v>Ship to 5-B</v>
          </cell>
          <cell r="J441" t="str">
            <v>Berguvsvägen 0123</v>
          </cell>
          <cell r="K441" t="str">
            <v>Luleå</v>
          </cell>
          <cell r="M441">
            <v>10268</v>
          </cell>
          <cell r="N441" t="str">
            <v>Sweden</v>
          </cell>
        </row>
        <row r="442">
          <cell r="A442">
            <v>10690</v>
          </cell>
          <cell r="B442">
            <v>34</v>
          </cell>
          <cell r="C442">
            <v>1</v>
          </cell>
          <cell r="D442">
            <v>39357</v>
          </cell>
          <cell r="E442">
            <v>39385</v>
          </cell>
          <cell r="F442">
            <v>39358</v>
          </cell>
          <cell r="G442">
            <v>1</v>
          </cell>
          <cell r="H442">
            <v>15.8</v>
          </cell>
          <cell r="I442" t="str">
            <v>Destination JPAIY</v>
          </cell>
          <cell r="J442" t="str">
            <v>Rua do Paço, 8901</v>
          </cell>
          <cell r="K442" t="str">
            <v>Rio de Janeiro</v>
          </cell>
          <cell r="L442" t="str">
            <v>RJ</v>
          </cell>
          <cell r="M442">
            <v>10196</v>
          </cell>
          <cell r="N442" t="str">
            <v>Brazil</v>
          </cell>
        </row>
        <row r="443">
          <cell r="A443">
            <v>10691</v>
          </cell>
          <cell r="B443">
            <v>63</v>
          </cell>
          <cell r="C443">
            <v>2</v>
          </cell>
          <cell r="D443">
            <v>39358</v>
          </cell>
          <cell r="E443">
            <v>39400</v>
          </cell>
          <cell r="F443">
            <v>39377</v>
          </cell>
          <cell r="G443">
            <v>2</v>
          </cell>
          <cell r="H443">
            <v>810.05</v>
          </cell>
          <cell r="I443" t="str">
            <v>Ship to 63-B</v>
          </cell>
          <cell r="J443" t="str">
            <v>Taucherstraße 2345</v>
          </cell>
          <cell r="K443" t="str">
            <v>Cunewalde</v>
          </cell>
          <cell r="M443">
            <v>10280</v>
          </cell>
          <cell r="N443" t="str">
            <v>Germany</v>
          </cell>
        </row>
        <row r="444">
          <cell r="A444">
            <v>10692</v>
          </cell>
          <cell r="B444">
            <v>1</v>
          </cell>
          <cell r="C444">
            <v>4</v>
          </cell>
          <cell r="D444">
            <v>39358</v>
          </cell>
          <cell r="E444">
            <v>39386</v>
          </cell>
          <cell r="F444">
            <v>39368</v>
          </cell>
          <cell r="G444">
            <v>2</v>
          </cell>
          <cell r="H444">
            <v>61.02</v>
          </cell>
          <cell r="I444" t="str">
            <v>Destination RSVRP</v>
          </cell>
          <cell r="J444" t="str">
            <v>Obere Str. 8901</v>
          </cell>
          <cell r="K444" t="str">
            <v>Berlin</v>
          </cell>
          <cell r="M444">
            <v>10156</v>
          </cell>
          <cell r="N444" t="str">
            <v>Germany</v>
          </cell>
        </row>
        <row r="445">
          <cell r="A445">
            <v>10693</v>
          </cell>
          <cell r="B445">
            <v>89</v>
          </cell>
          <cell r="C445">
            <v>3</v>
          </cell>
          <cell r="D445">
            <v>39361</v>
          </cell>
          <cell r="E445">
            <v>39375</v>
          </cell>
          <cell r="F445">
            <v>39365</v>
          </cell>
          <cell r="G445">
            <v>3</v>
          </cell>
          <cell r="H445">
            <v>139.34</v>
          </cell>
          <cell r="I445" t="str">
            <v>Ship to 89-C</v>
          </cell>
          <cell r="J445" t="str">
            <v>9012 - 12th Ave. S.</v>
          </cell>
          <cell r="K445" t="str">
            <v>Seattle</v>
          </cell>
          <cell r="L445" t="str">
            <v>WA</v>
          </cell>
          <cell r="M445">
            <v>10358</v>
          </cell>
          <cell r="N445" t="str">
            <v>USA</v>
          </cell>
        </row>
        <row r="446">
          <cell r="A446">
            <v>10694</v>
          </cell>
          <cell r="B446">
            <v>63</v>
          </cell>
          <cell r="C446">
            <v>8</v>
          </cell>
          <cell r="D446">
            <v>39361</v>
          </cell>
          <cell r="E446">
            <v>39389</v>
          </cell>
          <cell r="F446">
            <v>39364</v>
          </cell>
          <cell r="G446">
            <v>3</v>
          </cell>
          <cell r="H446">
            <v>398.36</v>
          </cell>
          <cell r="I446" t="str">
            <v>Ship to 63-A</v>
          </cell>
          <cell r="J446" t="str">
            <v>Taucherstraße 1234</v>
          </cell>
          <cell r="K446" t="str">
            <v>Cunewalde</v>
          </cell>
          <cell r="M446">
            <v>10279</v>
          </cell>
          <cell r="N446" t="str">
            <v>Germany</v>
          </cell>
        </row>
        <row r="447">
          <cell r="A447">
            <v>10695</v>
          </cell>
          <cell r="B447">
            <v>90</v>
          </cell>
          <cell r="C447">
            <v>7</v>
          </cell>
          <cell r="D447">
            <v>39362</v>
          </cell>
          <cell r="E447">
            <v>39404</v>
          </cell>
          <cell r="F447">
            <v>39369</v>
          </cell>
          <cell r="G447">
            <v>1</v>
          </cell>
          <cell r="H447">
            <v>16.72</v>
          </cell>
          <cell r="I447" t="str">
            <v>Ship to 90-C</v>
          </cell>
          <cell r="J447" t="str">
            <v>Keskuskatu 4567</v>
          </cell>
          <cell r="K447" t="str">
            <v>Helsinki</v>
          </cell>
          <cell r="M447">
            <v>10363</v>
          </cell>
          <cell r="N447" t="str">
            <v>Finland</v>
          </cell>
        </row>
        <row r="448">
          <cell r="A448">
            <v>10696</v>
          </cell>
          <cell r="B448">
            <v>89</v>
          </cell>
          <cell r="C448">
            <v>8</v>
          </cell>
          <cell r="D448">
            <v>39363</v>
          </cell>
          <cell r="E448">
            <v>39405</v>
          </cell>
          <cell r="F448">
            <v>39369</v>
          </cell>
          <cell r="G448">
            <v>3</v>
          </cell>
          <cell r="H448">
            <v>102.55</v>
          </cell>
          <cell r="I448" t="str">
            <v>Ship to 89-A</v>
          </cell>
          <cell r="J448" t="str">
            <v>7890 - 12th Ave. S.</v>
          </cell>
          <cell r="K448" t="str">
            <v>Seattle</v>
          </cell>
          <cell r="L448" t="str">
            <v>WA</v>
          </cell>
          <cell r="M448">
            <v>10356</v>
          </cell>
          <cell r="N448" t="str">
            <v>USA</v>
          </cell>
        </row>
        <row r="449">
          <cell r="A449">
            <v>10697</v>
          </cell>
          <cell r="B449">
            <v>47</v>
          </cell>
          <cell r="C449">
            <v>3</v>
          </cell>
          <cell r="D449">
            <v>39363</v>
          </cell>
          <cell r="E449">
            <v>39391</v>
          </cell>
          <cell r="F449">
            <v>39369</v>
          </cell>
          <cell r="G449">
            <v>1</v>
          </cell>
          <cell r="H449">
            <v>45.52</v>
          </cell>
          <cell r="I449" t="str">
            <v>Ship to 47-B</v>
          </cell>
          <cell r="J449" t="str">
            <v>Ave. 5 de Mayo Porlamar 4567</v>
          </cell>
          <cell r="K449" t="str">
            <v>I. de Margarita</v>
          </cell>
          <cell r="L449" t="str">
            <v>Nueva Esparta</v>
          </cell>
          <cell r="M449">
            <v>10231</v>
          </cell>
          <cell r="N449" t="str">
            <v>Venezuela</v>
          </cell>
        </row>
        <row r="450">
          <cell r="A450">
            <v>10698</v>
          </cell>
          <cell r="B450">
            <v>20</v>
          </cell>
          <cell r="C450">
            <v>4</v>
          </cell>
          <cell r="D450">
            <v>39364</v>
          </cell>
          <cell r="E450">
            <v>39392</v>
          </cell>
          <cell r="F450">
            <v>39372</v>
          </cell>
          <cell r="G450">
            <v>1</v>
          </cell>
          <cell r="H450">
            <v>272.47000000000003</v>
          </cell>
          <cell r="I450" t="str">
            <v>Destination RVDMF</v>
          </cell>
          <cell r="J450" t="str">
            <v>Kirchgasse 9012</v>
          </cell>
          <cell r="K450" t="str">
            <v>Graz</v>
          </cell>
          <cell r="M450">
            <v>10157</v>
          </cell>
          <cell r="N450" t="str">
            <v>Austria</v>
          </cell>
        </row>
        <row r="451">
          <cell r="A451">
            <v>10699</v>
          </cell>
          <cell r="B451">
            <v>52</v>
          </cell>
          <cell r="C451">
            <v>3</v>
          </cell>
          <cell r="D451">
            <v>39364</v>
          </cell>
          <cell r="E451">
            <v>39392</v>
          </cell>
          <cell r="F451">
            <v>39368</v>
          </cell>
          <cell r="G451">
            <v>3</v>
          </cell>
          <cell r="H451">
            <v>0.57999999999999996</v>
          </cell>
          <cell r="I451" t="str">
            <v>Ship to 52-B</v>
          </cell>
          <cell r="J451" t="str">
            <v>Heerstr. 0123</v>
          </cell>
          <cell r="K451" t="str">
            <v>Leipzig</v>
          </cell>
          <cell r="M451">
            <v>10248</v>
          </cell>
          <cell r="N451" t="str">
            <v>Germany</v>
          </cell>
        </row>
        <row r="452">
          <cell r="A452">
            <v>10700</v>
          </cell>
          <cell r="B452">
            <v>71</v>
          </cell>
          <cell r="C452">
            <v>3</v>
          </cell>
          <cell r="D452">
            <v>39365</v>
          </cell>
          <cell r="E452">
            <v>39393</v>
          </cell>
          <cell r="F452">
            <v>39371</v>
          </cell>
          <cell r="G452">
            <v>1</v>
          </cell>
          <cell r="H452">
            <v>65.099999999999994</v>
          </cell>
          <cell r="I452" t="str">
            <v>Ship to 71-C</v>
          </cell>
          <cell r="J452" t="str">
            <v>9012 Suffolk Ln.</v>
          </cell>
          <cell r="K452" t="str">
            <v>Boise</v>
          </cell>
          <cell r="L452" t="str">
            <v>ID</v>
          </cell>
          <cell r="M452">
            <v>10307</v>
          </cell>
          <cell r="N452" t="str">
            <v>USA</v>
          </cell>
        </row>
        <row r="453">
          <cell r="A453">
            <v>10701</v>
          </cell>
          <cell r="B453">
            <v>37</v>
          </cell>
          <cell r="C453">
            <v>6</v>
          </cell>
          <cell r="D453">
            <v>39368</v>
          </cell>
          <cell r="E453">
            <v>39382</v>
          </cell>
          <cell r="F453">
            <v>39370</v>
          </cell>
          <cell r="G453">
            <v>3</v>
          </cell>
          <cell r="H453">
            <v>220.31</v>
          </cell>
          <cell r="I453" t="str">
            <v>Destination KPVYJ</v>
          </cell>
          <cell r="J453" t="str">
            <v>5678 Johnstown Road</v>
          </cell>
          <cell r="K453" t="str">
            <v>Cork</v>
          </cell>
          <cell r="L453" t="str">
            <v>Co. Cork</v>
          </cell>
          <cell r="M453">
            <v>10203</v>
          </cell>
          <cell r="N453" t="str">
            <v>Ireland</v>
          </cell>
        </row>
        <row r="454">
          <cell r="A454">
            <v>10702</v>
          </cell>
          <cell r="B454">
            <v>1</v>
          </cell>
          <cell r="C454">
            <v>4</v>
          </cell>
          <cell r="D454">
            <v>39368</v>
          </cell>
          <cell r="E454">
            <v>39410</v>
          </cell>
          <cell r="F454">
            <v>39376</v>
          </cell>
          <cell r="G454">
            <v>1</v>
          </cell>
          <cell r="H454">
            <v>23.94</v>
          </cell>
          <cell r="I454" t="str">
            <v>Destination ZELZJ</v>
          </cell>
          <cell r="J454" t="str">
            <v>Obere Str. 7890</v>
          </cell>
          <cell r="K454" t="str">
            <v>Berlin</v>
          </cell>
          <cell r="M454">
            <v>10155</v>
          </cell>
          <cell r="N454" t="str">
            <v>Germany</v>
          </cell>
        </row>
        <row r="455">
          <cell r="A455">
            <v>10703</v>
          </cell>
          <cell r="B455">
            <v>24</v>
          </cell>
          <cell r="C455">
            <v>6</v>
          </cell>
          <cell r="D455">
            <v>39369</v>
          </cell>
          <cell r="E455">
            <v>39397</v>
          </cell>
          <cell r="F455">
            <v>39375</v>
          </cell>
          <cell r="G455">
            <v>2</v>
          </cell>
          <cell r="H455">
            <v>152.30000000000001</v>
          </cell>
          <cell r="I455" t="str">
            <v>Destination KBSBN</v>
          </cell>
          <cell r="J455" t="str">
            <v>Åkergatan 9012</v>
          </cell>
          <cell r="K455" t="str">
            <v>Bräcke</v>
          </cell>
          <cell r="M455">
            <v>10167</v>
          </cell>
          <cell r="N455" t="str">
            <v>Sweden</v>
          </cell>
        </row>
        <row r="456">
          <cell r="A456">
            <v>10704</v>
          </cell>
          <cell r="B456">
            <v>62</v>
          </cell>
          <cell r="C456">
            <v>6</v>
          </cell>
          <cell r="D456">
            <v>39369</v>
          </cell>
          <cell r="E456">
            <v>39397</v>
          </cell>
          <cell r="F456">
            <v>39393</v>
          </cell>
          <cell r="G456">
            <v>1</v>
          </cell>
          <cell r="H456">
            <v>4.78</v>
          </cell>
          <cell r="I456" t="str">
            <v>Ship to 62-C</v>
          </cell>
          <cell r="J456" t="str">
            <v>Alameda dos Canàrios, 0123</v>
          </cell>
          <cell r="K456" t="str">
            <v>Sao Paulo</v>
          </cell>
          <cell r="L456" t="str">
            <v>SP</v>
          </cell>
          <cell r="M456">
            <v>10278</v>
          </cell>
          <cell r="N456" t="str">
            <v>Brazil</v>
          </cell>
        </row>
        <row r="457">
          <cell r="A457">
            <v>10705</v>
          </cell>
          <cell r="B457">
            <v>35</v>
          </cell>
          <cell r="C457">
            <v>9</v>
          </cell>
          <cell r="D457">
            <v>39370</v>
          </cell>
          <cell r="E457">
            <v>39398</v>
          </cell>
          <cell r="F457">
            <v>39404</v>
          </cell>
          <cell r="G457">
            <v>2</v>
          </cell>
          <cell r="H457">
            <v>3.52</v>
          </cell>
          <cell r="I457" t="str">
            <v>Destination JYDLM</v>
          </cell>
          <cell r="J457" t="str">
            <v>Carrera1234 con Ave. Carlos Soublette #8-35</v>
          </cell>
          <cell r="K457" t="str">
            <v>San Cristóbal</v>
          </cell>
          <cell r="L457" t="str">
            <v>Táchira</v>
          </cell>
          <cell r="M457">
            <v>10199</v>
          </cell>
          <cell r="N457" t="str">
            <v>Venezuela</v>
          </cell>
        </row>
        <row r="458">
          <cell r="A458">
            <v>10706</v>
          </cell>
          <cell r="B458">
            <v>55</v>
          </cell>
          <cell r="C458">
            <v>8</v>
          </cell>
          <cell r="D458">
            <v>39371</v>
          </cell>
          <cell r="E458">
            <v>39399</v>
          </cell>
          <cell r="F458">
            <v>39376</v>
          </cell>
          <cell r="G458">
            <v>3</v>
          </cell>
          <cell r="H458">
            <v>135.63</v>
          </cell>
          <cell r="I458" t="str">
            <v>Ship to 55-C</v>
          </cell>
          <cell r="J458" t="str">
            <v>9012 Bering St.</v>
          </cell>
          <cell r="K458" t="str">
            <v>Anchorage</v>
          </cell>
          <cell r="L458" t="str">
            <v>AK</v>
          </cell>
          <cell r="M458">
            <v>10257</v>
          </cell>
          <cell r="N458" t="str">
            <v>USA</v>
          </cell>
        </row>
        <row r="459">
          <cell r="A459">
            <v>10707</v>
          </cell>
          <cell r="B459">
            <v>4</v>
          </cell>
          <cell r="C459">
            <v>4</v>
          </cell>
          <cell r="D459">
            <v>39371</v>
          </cell>
          <cell r="E459">
            <v>39385</v>
          </cell>
          <cell r="F459">
            <v>39378</v>
          </cell>
          <cell r="G459">
            <v>3</v>
          </cell>
          <cell r="H459">
            <v>21.74</v>
          </cell>
          <cell r="I459" t="str">
            <v>Ship to 4-A</v>
          </cell>
          <cell r="J459" t="str">
            <v>Brook Farm Stratford St. Mary 0123</v>
          </cell>
          <cell r="K459" t="str">
            <v>Colchester</v>
          </cell>
          <cell r="L459" t="str">
            <v>Essex</v>
          </cell>
          <cell r="M459">
            <v>10238</v>
          </cell>
          <cell r="N459" t="str">
            <v>UK</v>
          </cell>
        </row>
        <row r="460">
          <cell r="A460">
            <v>10708</v>
          </cell>
          <cell r="B460">
            <v>77</v>
          </cell>
          <cell r="C460">
            <v>6</v>
          </cell>
          <cell r="D460">
            <v>39372</v>
          </cell>
          <cell r="E460">
            <v>39414</v>
          </cell>
          <cell r="F460">
            <v>39391</v>
          </cell>
          <cell r="G460">
            <v>2</v>
          </cell>
          <cell r="H460">
            <v>2.96</v>
          </cell>
          <cell r="I460" t="str">
            <v>Ship to 77-C</v>
          </cell>
          <cell r="J460" t="str">
            <v>3456 Jefferson Way Suite 2</v>
          </cell>
          <cell r="K460" t="str">
            <v>Portland</v>
          </cell>
          <cell r="L460" t="str">
            <v>OR</v>
          </cell>
          <cell r="M460">
            <v>10322</v>
          </cell>
          <cell r="N460" t="str">
            <v>USA</v>
          </cell>
        </row>
        <row r="461">
          <cell r="A461">
            <v>10709</v>
          </cell>
          <cell r="B461">
            <v>31</v>
          </cell>
          <cell r="C461">
            <v>1</v>
          </cell>
          <cell r="D461">
            <v>39372</v>
          </cell>
          <cell r="E461">
            <v>39400</v>
          </cell>
          <cell r="F461">
            <v>39406</v>
          </cell>
          <cell r="G461">
            <v>3</v>
          </cell>
          <cell r="H461">
            <v>210.8</v>
          </cell>
          <cell r="I461" t="str">
            <v>Destination GWPFK</v>
          </cell>
          <cell r="J461" t="str">
            <v>Av. Brasil, 0123</v>
          </cell>
          <cell r="K461" t="str">
            <v>Campinas</v>
          </cell>
          <cell r="L461" t="str">
            <v>SP</v>
          </cell>
          <cell r="M461">
            <v>10188</v>
          </cell>
          <cell r="N461" t="str">
            <v>Brazil</v>
          </cell>
        </row>
        <row r="462">
          <cell r="A462">
            <v>10710</v>
          </cell>
          <cell r="B462">
            <v>27</v>
          </cell>
          <cell r="C462">
            <v>1</v>
          </cell>
          <cell r="D462">
            <v>39375</v>
          </cell>
          <cell r="E462">
            <v>39403</v>
          </cell>
          <cell r="F462">
            <v>39378</v>
          </cell>
          <cell r="G462">
            <v>1</v>
          </cell>
          <cell r="H462">
            <v>4.9800000000000004</v>
          </cell>
          <cell r="I462" t="str">
            <v>Destination FFLQT</v>
          </cell>
          <cell r="J462" t="str">
            <v>Via Monte Bianco 6789</v>
          </cell>
          <cell r="K462" t="str">
            <v>Torino</v>
          </cell>
          <cell r="M462">
            <v>10174</v>
          </cell>
          <cell r="N462" t="str">
            <v>Italy</v>
          </cell>
        </row>
        <row r="463">
          <cell r="A463">
            <v>10711</v>
          </cell>
          <cell r="B463">
            <v>71</v>
          </cell>
          <cell r="C463">
            <v>5</v>
          </cell>
          <cell r="D463">
            <v>39376</v>
          </cell>
          <cell r="E463">
            <v>39418</v>
          </cell>
          <cell r="F463">
            <v>39384</v>
          </cell>
          <cell r="G463">
            <v>2</v>
          </cell>
          <cell r="H463">
            <v>52.41</v>
          </cell>
          <cell r="I463" t="str">
            <v>Ship to 71-A</v>
          </cell>
          <cell r="J463" t="str">
            <v>7890 Suffolk Ln.</v>
          </cell>
          <cell r="K463" t="str">
            <v>Boise</v>
          </cell>
          <cell r="L463" t="str">
            <v>ID</v>
          </cell>
          <cell r="M463">
            <v>10305</v>
          </cell>
          <cell r="N463" t="str">
            <v>USA</v>
          </cell>
        </row>
        <row r="464">
          <cell r="A464">
            <v>10712</v>
          </cell>
          <cell r="B464">
            <v>37</v>
          </cell>
          <cell r="C464">
            <v>3</v>
          </cell>
          <cell r="D464">
            <v>39376</v>
          </cell>
          <cell r="E464">
            <v>39404</v>
          </cell>
          <cell r="F464">
            <v>39386</v>
          </cell>
          <cell r="G464">
            <v>1</v>
          </cell>
          <cell r="H464">
            <v>89.93</v>
          </cell>
          <cell r="I464" t="str">
            <v>Destination KPVYJ</v>
          </cell>
          <cell r="J464" t="str">
            <v>5678 Johnstown Road</v>
          </cell>
          <cell r="K464" t="str">
            <v>Cork</v>
          </cell>
          <cell r="L464" t="str">
            <v>Co. Cork</v>
          </cell>
          <cell r="M464">
            <v>10203</v>
          </cell>
          <cell r="N464" t="str">
            <v>Ireland</v>
          </cell>
        </row>
        <row r="465">
          <cell r="A465">
            <v>10713</v>
          </cell>
          <cell r="B465">
            <v>71</v>
          </cell>
          <cell r="C465">
            <v>1</v>
          </cell>
          <cell r="D465">
            <v>39377</v>
          </cell>
          <cell r="E465">
            <v>39405</v>
          </cell>
          <cell r="F465">
            <v>39379</v>
          </cell>
          <cell r="G465">
            <v>1</v>
          </cell>
          <cell r="H465">
            <v>167.05</v>
          </cell>
          <cell r="I465" t="str">
            <v>Ship to 71-C</v>
          </cell>
          <cell r="J465" t="str">
            <v>9012 Suffolk Ln.</v>
          </cell>
          <cell r="K465" t="str">
            <v>Boise</v>
          </cell>
          <cell r="L465" t="str">
            <v>ID</v>
          </cell>
          <cell r="M465">
            <v>10307</v>
          </cell>
          <cell r="N465" t="str">
            <v>USA</v>
          </cell>
        </row>
        <row r="466">
          <cell r="A466">
            <v>10714</v>
          </cell>
          <cell r="B466">
            <v>71</v>
          </cell>
          <cell r="C466">
            <v>5</v>
          </cell>
          <cell r="D466">
            <v>39377</v>
          </cell>
          <cell r="E466">
            <v>39405</v>
          </cell>
          <cell r="F466">
            <v>39382</v>
          </cell>
          <cell r="G466">
            <v>3</v>
          </cell>
          <cell r="H466">
            <v>24.49</v>
          </cell>
          <cell r="I466" t="str">
            <v>Ship to 71-A</v>
          </cell>
          <cell r="J466" t="str">
            <v>7890 Suffolk Ln.</v>
          </cell>
          <cell r="K466" t="str">
            <v>Boise</v>
          </cell>
          <cell r="L466" t="str">
            <v>ID</v>
          </cell>
          <cell r="M466">
            <v>10305</v>
          </cell>
          <cell r="N466" t="str">
            <v>USA</v>
          </cell>
        </row>
        <row r="467">
          <cell r="A467">
            <v>10715</v>
          </cell>
          <cell r="B467">
            <v>9</v>
          </cell>
          <cell r="C467">
            <v>3</v>
          </cell>
          <cell r="D467">
            <v>39378</v>
          </cell>
          <cell r="E467">
            <v>39392</v>
          </cell>
          <cell r="F467">
            <v>39384</v>
          </cell>
          <cell r="G467">
            <v>1</v>
          </cell>
          <cell r="H467">
            <v>63.2</v>
          </cell>
          <cell r="I467" t="str">
            <v>Ship to 9-B</v>
          </cell>
          <cell r="J467" t="str">
            <v>9012, rue des Bouchers</v>
          </cell>
          <cell r="K467" t="str">
            <v>Marseille</v>
          </cell>
          <cell r="M467">
            <v>10368</v>
          </cell>
          <cell r="N467" t="str">
            <v>France</v>
          </cell>
        </row>
        <row r="468">
          <cell r="A468">
            <v>10716</v>
          </cell>
          <cell r="B468">
            <v>64</v>
          </cell>
          <cell r="C468">
            <v>4</v>
          </cell>
          <cell r="D468">
            <v>39379</v>
          </cell>
          <cell r="E468">
            <v>39407</v>
          </cell>
          <cell r="F468">
            <v>39382</v>
          </cell>
          <cell r="G468">
            <v>2</v>
          </cell>
          <cell r="H468">
            <v>22.57</v>
          </cell>
          <cell r="I468" t="str">
            <v>Ship to 64-B</v>
          </cell>
          <cell r="J468" t="str">
            <v>Av. del Libertador 5678</v>
          </cell>
          <cell r="K468" t="str">
            <v>Buenos Aires</v>
          </cell>
          <cell r="M468">
            <v>10283</v>
          </cell>
          <cell r="N468" t="str">
            <v>Argentina</v>
          </cell>
        </row>
        <row r="469">
          <cell r="A469">
            <v>10717</v>
          </cell>
          <cell r="B469">
            <v>25</v>
          </cell>
          <cell r="C469">
            <v>1</v>
          </cell>
          <cell r="D469">
            <v>39379</v>
          </cell>
          <cell r="E469">
            <v>39407</v>
          </cell>
          <cell r="F469">
            <v>39384</v>
          </cell>
          <cell r="G469">
            <v>2</v>
          </cell>
          <cell r="H469">
            <v>59.25</v>
          </cell>
          <cell r="I469" t="str">
            <v>Destination QOCBL</v>
          </cell>
          <cell r="J469" t="str">
            <v>Berliner Platz 1234</v>
          </cell>
          <cell r="K469" t="str">
            <v>München</v>
          </cell>
          <cell r="M469">
            <v>10169</v>
          </cell>
          <cell r="N469" t="str">
            <v>Germany</v>
          </cell>
        </row>
        <row r="470">
          <cell r="A470">
            <v>10718</v>
          </cell>
          <cell r="B470">
            <v>39</v>
          </cell>
          <cell r="C470">
            <v>1</v>
          </cell>
          <cell r="D470">
            <v>39382</v>
          </cell>
          <cell r="E470">
            <v>39410</v>
          </cell>
          <cell r="F470">
            <v>39384</v>
          </cell>
          <cell r="G470">
            <v>3</v>
          </cell>
          <cell r="H470">
            <v>170.88</v>
          </cell>
          <cell r="I470" t="str">
            <v>Destination DKMQA</v>
          </cell>
          <cell r="J470" t="str">
            <v>Maubelstr. 0123</v>
          </cell>
          <cell r="K470" t="str">
            <v>Brandenburg</v>
          </cell>
          <cell r="M470">
            <v>10208</v>
          </cell>
          <cell r="N470" t="str">
            <v>Germany</v>
          </cell>
        </row>
        <row r="471">
          <cell r="A471">
            <v>10719</v>
          </cell>
          <cell r="B471">
            <v>45</v>
          </cell>
          <cell r="C471">
            <v>8</v>
          </cell>
          <cell r="D471">
            <v>39382</v>
          </cell>
          <cell r="E471">
            <v>39410</v>
          </cell>
          <cell r="F471">
            <v>39391</v>
          </cell>
          <cell r="G471">
            <v>2</v>
          </cell>
          <cell r="H471">
            <v>51.44</v>
          </cell>
          <cell r="I471" t="str">
            <v>Ship to 45-A</v>
          </cell>
          <cell r="J471" t="str">
            <v>8901 Polk St. Suite 5</v>
          </cell>
          <cell r="K471" t="str">
            <v>San Francisco</v>
          </cell>
          <cell r="L471" t="str">
            <v>CA</v>
          </cell>
          <cell r="M471">
            <v>10225</v>
          </cell>
          <cell r="N471" t="str">
            <v>USA</v>
          </cell>
        </row>
        <row r="472">
          <cell r="A472">
            <v>10720</v>
          </cell>
          <cell r="B472">
            <v>61</v>
          </cell>
          <cell r="C472">
            <v>8</v>
          </cell>
          <cell r="D472">
            <v>39383</v>
          </cell>
          <cell r="E472">
            <v>39397</v>
          </cell>
          <cell r="F472">
            <v>39391</v>
          </cell>
          <cell r="G472">
            <v>2</v>
          </cell>
          <cell r="H472">
            <v>9.5299999999999994</v>
          </cell>
          <cell r="I472" t="str">
            <v>Ship to 61-C</v>
          </cell>
          <cell r="J472" t="str">
            <v>Rua da Panificadora, 7890</v>
          </cell>
          <cell r="K472" t="str">
            <v>Rio de Janeiro</v>
          </cell>
          <cell r="L472" t="str">
            <v>RJ</v>
          </cell>
          <cell r="M472">
            <v>10275</v>
          </cell>
          <cell r="N472" t="str">
            <v>Brazil</v>
          </cell>
        </row>
        <row r="473">
          <cell r="A473">
            <v>10721</v>
          </cell>
          <cell r="B473">
            <v>63</v>
          </cell>
          <cell r="C473">
            <v>5</v>
          </cell>
          <cell r="D473">
            <v>39384</v>
          </cell>
          <cell r="E473">
            <v>39412</v>
          </cell>
          <cell r="F473">
            <v>39386</v>
          </cell>
          <cell r="G473">
            <v>3</v>
          </cell>
          <cell r="H473">
            <v>48.92</v>
          </cell>
          <cell r="I473" t="str">
            <v>Ship to 63-A</v>
          </cell>
          <cell r="J473" t="str">
            <v>Taucherstraße 1234</v>
          </cell>
          <cell r="K473" t="str">
            <v>Cunewalde</v>
          </cell>
          <cell r="M473">
            <v>10279</v>
          </cell>
          <cell r="N473" t="str">
            <v>Germany</v>
          </cell>
        </row>
        <row r="474">
          <cell r="A474">
            <v>10722</v>
          </cell>
          <cell r="B474">
            <v>71</v>
          </cell>
          <cell r="C474">
            <v>8</v>
          </cell>
          <cell r="D474">
            <v>39384</v>
          </cell>
          <cell r="E474">
            <v>39426</v>
          </cell>
          <cell r="F474">
            <v>39390</v>
          </cell>
          <cell r="G474">
            <v>1</v>
          </cell>
          <cell r="H474">
            <v>74.58</v>
          </cell>
          <cell r="I474" t="str">
            <v>Ship to 71-A</v>
          </cell>
          <cell r="J474" t="str">
            <v>7890 Suffolk Ln.</v>
          </cell>
          <cell r="K474" t="str">
            <v>Boise</v>
          </cell>
          <cell r="L474" t="str">
            <v>ID</v>
          </cell>
          <cell r="M474">
            <v>10305</v>
          </cell>
          <cell r="N474" t="str">
            <v>USA</v>
          </cell>
        </row>
        <row r="475">
          <cell r="A475">
            <v>10723</v>
          </cell>
          <cell r="B475">
            <v>89</v>
          </cell>
          <cell r="C475">
            <v>3</v>
          </cell>
          <cell r="D475">
            <v>39385</v>
          </cell>
          <cell r="E475">
            <v>39413</v>
          </cell>
          <cell r="F475">
            <v>39411</v>
          </cell>
          <cell r="G475">
            <v>1</v>
          </cell>
          <cell r="H475">
            <v>21.72</v>
          </cell>
          <cell r="I475" t="str">
            <v>Ship to 89-C</v>
          </cell>
          <cell r="J475" t="str">
            <v>9012 - 12th Ave. S.</v>
          </cell>
          <cell r="K475" t="str">
            <v>Seattle</v>
          </cell>
          <cell r="L475" t="str">
            <v>WA</v>
          </cell>
          <cell r="M475">
            <v>10358</v>
          </cell>
          <cell r="N475" t="str">
            <v>USA</v>
          </cell>
        </row>
        <row r="476">
          <cell r="A476">
            <v>10724</v>
          </cell>
          <cell r="B476">
            <v>51</v>
          </cell>
          <cell r="C476">
            <v>8</v>
          </cell>
          <cell r="D476">
            <v>39385</v>
          </cell>
          <cell r="E476">
            <v>39427</v>
          </cell>
          <cell r="F476">
            <v>39391</v>
          </cell>
          <cell r="G476">
            <v>2</v>
          </cell>
          <cell r="H476">
            <v>57.75</v>
          </cell>
          <cell r="I476" t="str">
            <v>Ship to 51-A</v>
          </cell>
          <cell r="J476" t="str">
            <v>6789 rue St. Laurent</v>
          </cell>
          <cell r="K476" t="str">
            <v>Montréal</v>
          </cell>
          <cell r="L476" t="str">
            <v>Québec</v>
          </cell>
          <cell r="M476">
            <v>10244</v>
          </cell>
          <cell r="N476" t="str">
            <v>Canada</v>
          </cell>
        </row>
        <row r="477">
          <cell r="A477">
            <v>10725</v>
          </cell>
          <cell r="B477">
            <v>21</v>
          </cell>
          <cell r="C477">
            <v>4</v>
          </cell>
          <cell r="D477">
            <v>39386</v>
          </cell>
          <cell r="E477">
            <v>39414</v>
          </cell>
          <cell r="F477">
            <v>39391</v>
          </cell>
          <cell r="G477">
            <v>3</v>
          </cell>
          <cell r="H477">
            <v>10.83</v>
          </cell>
          <cell r="I477" t="str">
            <v>Destination KKELL</v>
          </cell>
          <cell r="J477" t="str">
            <v>Rua Orós, 4567</v>
          </cell>
          <cell r="K477" t="str">
            <v>Sao Paulo</v>
          </cell>
          <cell r="L477" t="str">
            <v>SP</v>
          </cell>
          <cell r="M477">
            <v>10162</v>
          </cell>
          <cell r="N477" t="str">
            <v>Brazil</v>
          </cell>
        </row>
        <row r="478">
          <cell r="A478">
            <v>10726</v>
          </cell>
          <cell r="B478">
            <v>19</v>
          </cell>
          <cell r="C478">
            <v>4</v>
          </cell>
          <cell r="D478">
            <v>39389</v>
          </cell>
          <cell r="E478">
            <v>39403</v>
          </cell>
          <cell r="F478">
            <v>39421</v>
          </cell>
          <cell r="G478">
            <v>1</v>
          </cell>
          <cell r="H478">
            <v>16.559999999999999</v>
          </cell>
          <cell r="I478" t="str">
            <v>Destination FRCGJ</v>
          </cell>
          <cell r="J478" t="str">
            <v>5678 King George</v>
          </cell>
          <cell r="K478" t="str">
            <v>London</v>
          </cell>
          <cell r="M478">
            <v>10153</v>
          </cell>
          <cell r="N478" t="str">
            <v>UK</v>
          </cell>
        </row>
        <row r="479">
          <cell r="A479">
            <v>10727</v>
          </cell>
          <cell r="B479">
            <v>66</v>
          </cell>
          <cell r="C479">
            <v>2</v>
          </cell>
          <cell r="D479">
            <v>39389</v>
          </cell>
          <cell r="E479">
            <v>39417</v>
          </cell>
          <cell r="F479">
            <v>39421</v>
          </cell>
          <cell r="G479">
            <v>1</v>
          </cell>
          <cell r="H479">
            <v>89.9</v>
          </cell>
          <cell r="I479" t="str">
            <v>Ship to 66-A</v>
          </cell>
          <cell r="J479" t="str">
            <v>Strada Provinciale 0123</v>
          </cell>
          <cell r="K479" t="str">
            <v>Reggio Emilia</v>
          </cell>
          <cell r="M479">
            <v>10288</v>
          </cell>
          <cell r="N479" t="str">
            <v>Italy</v>
          </cell>
        </row>
        <row r="480">
          <cell r="A480">
            <v>10728</v>
          </cell>
          <cell r="B480">
            <v>62</v>
          </cell>
          <cell r="C480">
            <v>4</v>
          </cell>
          <cell r="D480">
            <v>39390</v>
          </cell>
          <cell r="E480">
            <v>39418</v>
          </cell>
          <cell r="F480">
            <v>39397</v>
          </cell>
          <cell r="G480">
            <v>2</v>
          </cell>
          <cell r="H480">
            <v>58.33</v>
          </cell>
          <cell r="I480" t="str">
            <v>Ship to 62-A</v>
          </cell>
          <cell r="J480" t="str">
            <v>Alameda dos Canàrios, 8901</v>
          </cell>
          <cell r="K480" t="str">
            <v>Sao Paulo</v>
          </cell>
          <cell r="L480" t="str">
            <v>SP</v>
          </cell>
          <cell r="M480">
            <v>10276</v>
          </cell>
          <cell r="N480" t="str">
            <v>Brazil</v>
          </cell>
        </row>
        <row r="481">
          <cell r="A481">
            <v>10729</v>
          </cell>
          <cell r="B481">
            <v>47</v>
          </cell>
          <cell r="C481">
            <v>8</v>
          </cell>
          <cell r="D481">
            <v>39390</v>
          </cell>
          <cell r="E481">
            <v>39432</v>
          </cell>
          <cell r="F481">
            <v>39400</v>
          </cell>
          <cell r="G481">
            <v>3</v>
          </cell>
          <cell r="H481">
            <v>141.06</v>
          </cell>
          <cell r="I481" t="str">
            <v>Ship to 47-A</v>
          </cell>
          <cell r="J481" t="str">
            <v>Ave. 5 de Mayo Porlamar 3456</v>
          </cell>
          <cell r="K481" t="str">
            <v>I. de Margarita</v>
          </cell>
          <cell r="L481" t="str">
            <v>Nueva Esparta</v>
          </cell>
          <cell r="M481">
            <v>10230</v>
          </cell>
          <cell r="N481" t="str">
            <v>Venezuela</v>
          </cell>
        </row>
        <row r="482">
          <cell r="A482">
            <v>10730</v>
          </cell>
          <cell r="B482">
            <v>9</v>
          </cell>
          <cell r="C482">
            <v>5</v>
          </cell>
          <cell r="D482">
            <v>39391</v>
          </cell>
          <cell r="E482">
            <v>39419</v>
          </cell>
          <cell r="F482">
            <v>39400</v>
          </cell>
          <cell r="G482">
            <v>1</v>
          </cell>
          <cell r="H482">
            <v>20.12</v>
          </cell>
          <cell r="I482" t="str">
            <v>Ship to 9-A</v>
          </cell>
          <cell r="J482" t="str">
            <v>8901, rue des Bouchers</v>
          </cell>
          <cell r="K482" t="str">
            <v>Marseille</v>
          </cell>
          <cell r="M482">
            <v>10367</v>
          </cell>
          <cell r="N482" t="str">
            <v>France</v>
          </cell>
        </row>
        <row r="483">
          <cell r="A483">
            <v>10731</v>
          </cell>
          <cell r="B483">
            <v>14</v>
          </cell>
          <cell r="C483">
            <v>7</v>
          </cell>
          <cell r="D483">
            <v>39392</v>
          </cell>
          <cell r="E483">
            <v>39420</v>
          </cell>
          <cell r="F483">
            <v>39400</v>
          </cell>
          <cell r="G483">
            <v>1</v>
          </cell>
          <cell r="H483">
            <v>96.65</v>
          </cell>
          <cell r="I483" t="str">
            <v>Destination YUJRD</v>
          </cell>
          <cell r="J483" t="str">
            <v>Hauptstr. 1234</v>
          </cell>
          <cell r="K483" t="str">
            <v>Bern</v>
          </cell>
          <cell r="M483">
            <v>10139</v>
          </cell>
          <cell r="N483" t="str">
            <v>Switzerland</v>
          </cell>
        </row>
        <row r="484">
          <cell r="A484">
            <v>10732</v>
          </cell>
          <cell r="B484">
            <v>9</v>
          </cell>
          <cell r="C484">
            <v>3</v>
          </cell>
          <cell r="D484">
            <v>39392</v>
          </cell>
          <cell r="E484">
            <v>39420</v>
          </cell>
          <cell r="F484">
            <v>39393</v>
          </cell>
          <cell r="G484">
            <v>1</v>
          </cell>
          <cell r="H484">
            <v>16.97</v>
          </cell>
          <cell r="I484" t="str">
            <v>Ship to 9-A</v>
          </cell>
          <cell r="J484" t="str">
            <v>8901, rue des Bouchers</v>
          </cell>
          <cell r="K484" t="str">
            <v>Marseille</v>
          </cell>
          <cell r="M484">
            <v>10367</v>
          </cell>
          <cell r="N484" t="str">
            <v>France</v>
          </cell>
        </row>
        <row r="485">
          <cell r="A485">
            <v>10733</v>
          </cell>
          <cell r="B485">
            <v>5</v>
          </cell>
          <cell r="C485">
            <v>1</v>
          </cell>
          <cell r="D485">
            <v>39393</v>
          </cell>
          <cell r="E485">
            <v>39421</v>
          </cell>
          <cell r="F485">
            <v>39396</v>
          </cell>
          <cell r="G485">
            <v>3</v>
          </cell>
          <cell r="H485">
            <v>110.11</v>
          </cell>
          <cell r="I485" t="str">
            <v>Ship to 5-A</v>
          </cell>
          <cell r="J485" t="str">
            <v>Berguvsvägen 9012</v>
          </cell>
          <cell r="K485" t="str">
            <v>Luleå</v>
          </cell>
          <cell r="M485">
            <v>10267</v>
          </cell>
          <cell r="N485" t="str">
            <v>Sweden</v>
          </cell>
        </row>
        <row r="486">
          <cell r="A486">
            <v>10734</v>
          </cell>
          <cell r="B486">
            <v>31</v>
          </cell>
          <cell r="C486">
            <v>2</v>
          </cell>
          <cell r="D486">
            <v>39393</v>
          </cell>
          <cell r="E486">
            <v>39421</v>
          </cell>
          <cell r="F486">
            <v>39398</v>
          </cell>
          <cell r="G486">
            <v>3</v>
          </cell>
          <cell r="H486">
            <v>1.63</v>
          </cell>
          <cell r="I486" t="str">
            <v>Destination VNIAG</v>
          </cell>
          <cell r="J486" t="str">
            <v>Av. Brasil, 9012</v>
          </cell>
          <cell r="K486" t="str">
            <v>Campinas</v>
          </cell>
          <cell r="L486" t="str">
            <v>SP</v>
          </cell>
          <cell r="M486">
            <v>10187</v>
          </cell>
          <cell r="N486" t="str">
            <v>Brazil</v>
          </cell>
        </row>
        <row r="487">
          <cell r="A487">
            <v>10735</v>
          </cell>
          <cell r="B487">
            <v>45</v>
          </cell>
          <cell r="C487">
            <v>6</v>
          </cell>
          <cell r="D487">
            <v>39396</v>
          </cell>
          <cell r="E487">
            <v>39424</v>
          </cell>
          <cell r="F487">
            <v>39407</v>
          </cell>
          <cell r="G487">
            <v>2</v>
          </cell>
          <cell r="H487">
            <v>45.97</v>
          </cell>
          <cell r="I487" t="str">
            <v>Ship to 45-A</v>
          </cell>
          <cell r="J487" t="str">
            <v>8901 Polk St. Suite 5</v>
          </cell>
          <cell r="K487" t="str">
            <v>San Francisco</v>
          </cell>
          <cell r="L487" t="str">
            <v>CA</v>
          </cell>
          <cell r="M487">
            <v>10225</v>
          </cell>
          <cell r="N487" t="str">
            <v>USA</v>
          </cell>
        </row>
        <row r="488">
          <cell r="A488">
            <v>10736</v>
          </cell>
          <cell r="B488">
            <v>37</v>
          </cell>
          <cell r="C488">
            <v>9</v>
          </cell>
          <cell r="D488">
            <v>39397</v>
          </cell>
          <cell r="E488">
            <v>39425</v>
          </cell>
          <cell r="F488">
            <v>39407</v>
          </cell>
          <cell r="G488">
            <v>2</v>
          </cell>
          <cell r="H488">
            <v>44.1</v>
          </cell>
          <cell r="I488" t="str">
            <v>Destination DGKOU</v>
          </cell>
          <cell r="J488" t="str">
            <v>6789 Johnstown Road</v>
          </cell>
          <cell r="K488" t="str">
            <v>Cork</v>
          </cell>
          <cell r="L488" t="str">
            <v>Co. Cork</v>
          </cell>
          <cell r="M488">
            <v>10204</v>
          </cell>
          <cell r="N488" t="str">
            <v>Ireland</v>
          </cell>
        </row>
        <row r="489">
          <cell r="A489">
            <v>10737</v>
          </cell>
          <cell r="B489">
            <v>85</v>
          </cell>
          <cell r="C489">
            <v>2</v>
          </cell>
          <cell r="D489">
            <v>39397</v>
          </cell>
          <cell r="E489">
            <v>39425</v>
          </cell>
          <cell r="F489">
            <v>39404</v>
          </cell>
          <cell r="G489">
            <v>2</v>
          </cell>
          <cell r="H489">
            <v>7.79</v>
          </cell>
          <cell r="I489" t="str">
            <v>Ship to 85-C</v>
          </cell>
          <cell r="J489" t="str">
            <v>7890 rue de l'Abbaye</v>
          </cell>
          <cell r="K489" t="str">
            <v>Reims</v>
          </cell>
          <cell r="M489">
            <v>10346</v>
          </cell>
          <cell r="N489" t="str">
            <v>France</v>
          </cell>
        </row>
        <row r="490">
          <cell r="A490">
            <v>10738</v>
          </cell>
          <cell r="B490">
            <v>74</v>
          </cell>
          <cell r="C490">
            <v>2</v>
          </cell>
          <cell r="D490">
            <v>39398</v>
          </cell>
          <cell r="E490">
            <v>39426</v>
          </cell>
          <cell r="F490">
            <v>39404</v>
          </cell>
          <cell r="G490">
            <v>1</v>
          </cell>
          <cell r="H490">
            <v>2.91</v>
          </cell>
          <cell r="I490" t="str">
            <v>Ship to 74-A</v>
          </cell>
          <cell r="J490" t="str">
            <v>3456, rue Lauriston</v>
          </cell>
          <cell r="K490" t="str">
            <v>Paris</v>
          </cell>
          <cell r="M490">
            <v>10312</v>
          </cell>
          <cell r="N490" t="str">
            <v>France</v>
          </cell>
        </row>
        <row r="491">
          <cell r="A491">
            <v>10739</v>
          </cell>
          <cell r="B491">
            <v>85</v>
          </cell>
          <cell r="C491">
            <v>3</v>
          </cell>
          <cell r="D491">
            <v>39398</v>
          </cell>
          <cell r="E491">
            <v>39426</v>
          </cell>
          <cell r="F491">
            <v>39403</v>
          </cell>
          <cell r="G491">
            <v>3</v>
          </cell>
          <cell r="H491">
            <v>11.08</v>
          </cell>
          <cell r="I491" t="str">
            <v>Ship to 85-C</v>
          </cell>
          <cell r="J491" t="str">
            <v>7890 rue de l'Abbaye</v>
          </cell>
          <cell r="K491" t="str">
            <v>Reims</v>
          </cell>
          <cell r="M491">
            <v>10346</v>
          </cell>
          <cell r="N491" t="str">
            <v>France</v>
          </cell>
        </row>
        <row r="492">
          <cell r="A492">
            <v>10740</v>
          </cell>
          <cell r="B492">
            <v>89</v>
          </cell>
          <cell r="C492">
            <v>4</v>
          </cell>
          <cell r="D492">
            <v>39399</v>
          </cell>
          <cell r="E492">
            <v>39427</v>
          </cell>
          <cell r="F492">
            <v>39411</v>
          </cell>
          <cell r="G492">
            <v>2</v>
          </cell>
          <cell r="H492">
            <v>81.88</v>
          </cell>
          <cell r="I492" t="str">
            <v>Ship to 89-B</v>
          </cell>
          <cell r="J492" t="str">
            <v>8901 - 12th Ave. S.</v>
          </cell>
          <cell r="K492" t="str">
            <v>Seattle</v>
          </cell>
          <cell r="L492" t="str">
            <v>WA</v>
          </cell>
          <cell r="M492">
            <v>10357</v>
          </cell>
          <cell r="N492" t="str">
            <v>USA</v>
          </cell>
        </row>
        <row r="493">
          <cell r="A493">
            <v>10741</v>
          </cell>
          <cell r="B493">
            <v>4</v>
          </cell>
          <cell r="C493">
            <v>4</v>
          </cell>
          <cell r="D493">
            <v>39400</v>
          </cell>
          <cell r="E493">
            <v>39414</v>
          </cell>
          <cell r="F493">
            <v>39404</v>
          </cell>
          <cell r="G493">
            <v>3</v>
          </cell>
          <cell r="H493">
            <v>10.96</v>
          </cell>
          <cell r="I493" t="str">
            <v>Ship to 4-C</v>
          </cell>
          <cell r="J493" t="str">
            <v>Brook Farm Stratford St. Mary 2345</v>
          </cell>
          <cell r="K493" t="str">
            <v>Colchester</v>
          </cell>
          <cell r="L493" t="str">
            <v>Essex</v>
          </cell>
          <cell r="M493">
            <v>10240</v>
          </cell>
          <cell r="N493" t="str">
            <v>UK</v>
          </cell>
        </row>
        <row r="494">
          <cell r="A494">
            <v>10742</v>
          </cell>
          <cell r="B494">
            <v>10</v>
          </cell>
          <cell r="C494">
            <v>3</v>
          </cell>
          <cell r="D494">
            <v>39400</v>
          </cell>
          <cell r="E494">
            <v>39428</v>
          </cell>
          <cell r="F494">
            <v>39404</v>
          </cell>
          <cell r="G494">
            <v>3</v>
          </cell>
          <cell r="H494">
            <v>243.73</v>
          </cell>
          <cell r="I494" t="str">
            <v>Destination LPHSI</v>
          </cell>
          <cell r="J494" t="str">
            <v>3456 Tsawassen Blvd.</v>
          </cell>
          <cell r="K494" t="str">
            <v>Tsawassen</v>
          </cell>
          <cell r="L494" t="str">
            <v>BC</v>
          </cell>
          <cell r="M494">
            <v>10131</v>
          </cell>
          <cell r="N494" t="str">
            <v>Canada</v>
          </cell>
        </row>
        <row r="495">
          <cell r="A495">
            <v>11072</v>
          </cell>
          <cell r="B495">
            <v>20</v>
          </cell>
          <cell r="C495">
            <v>4</v>
          </cell>
          <cell r="D495">
            <v>39573</v>
          </cell>
          <cell r="E495">
            <v>39601</v>
          </cell>
          <cell r="G495">
            <v>2</v>
          </cell>
          <cell r="H495">
            <v>258.64</v>
          </cell>
          <cell r="I495" t="str">
            <v>Destination RVDMF</v>
          </cell>
          <cell r="J495" t="str">
            <v>Kirchgasse 9012</v>
          </cell>
          <cell r="K495" t="str">
            <v>Graz</v>
          </cell>
          <cell r="M495">
            <v>10157</v>
          </cell>
          <cell r="N495" t="str">
            <v>Austria</v>
          </cell>
        </row>
        <row r="496">
          <cell r="A496">
            <v>10743</v>
          </cell>
          <cell r="B496">
            <v>4</v>
          </cell>
          <cell r="C496">
            <v>1</v>
          </cell>
          <cell r="D496">
            <v>39403</v>
          </cell>
          <cell r="E496">
            <v>39431</v>
          </cell>
          <cell r="F496">
            <v>39407</v>
          </cell>
          <cell r="G496">
            <v>2</v>
          </cell>
          <cell r="H496">
            <v>23.72</v>
          </cell>
          <cell r="I496" t="str">
            <v>Ship to 4-C</v>
          </cell>
          <cell r="J496" t="str">
            <v>Brook Farm Stratford St. Mary 2345</v>
          </cell>
          <cell r="K496" t="str">
            <v>Colchester</v>
          </cell>
          <cell r="L496" t="str">
            <v>Essex</v>
          </cell>
          <cell r="M496">
            <v>10240</v>
          </cell>
          <cell r="N496" t="str">
            <v>UK</v>
          </cell>
        </row>
        <row r="497">
          <cell r="A497">
            <v>10744</v>
          </cell>
          <cell r="B497">
            <v>83</v>
          </cell>
          <cell r="C497">
            <v>6</v>
          </cell>
          <cell r="D497">
            <v>39403</v>
          </cell>
          <cell r="E497">
            <v>39431</v>
          </cell>
          <cell r="F497">
            <v>39410</v>
          </cell>
          <cell r="G497">
            <v>1</v>
          </cell>
          <cell r="H497">
            <v>69.19</v>
          </cell>
          <cell r="I497" t="str">
            <v>Ship to 83-A</v>
          </cell>
          <cell r="J497" t="str">
            <v>Smagsloget 0123</v>
          </cell>
          <cell r="K497" t="str">
            <v>Århus</v>
          </cell>
          <cell r="M497">
            <v>10339</v>
          </cell>
          <cell r="N497" t="str">
            <v>Denmark</v>
          </cell>
        </row>
        <row r="498">
          <cell r="A498">
            <v>10745</v>
          </cell>
          <cell r="B498">
            <v>63</v>
          </cell>
          <cell r="C498">
            <v>9</v>
          </cell>
          <cell r="D498">
            <v>39404</v>
          </cell>
          <cell r="E498">
            <v>39432</v>
          </cell>
          <cell r="F498">
            <v>39413</v>
          </cell>
          <cell r="G498">
            <v>1</v>
          </cell>
          <cell r="H498">
            <v>3.52</v>
          </cell>
          <cell r="I498" t="str">
            <v>Ship to 63-C</v>
          </cell>
          <cell r="J498" t="str">
            <v>Taucherstraße 3456</v>
          </cell>
          <cell r="K498" t="str">
            <v>Cunewalde</v>
          </cell>
          <cell r="M498">
            <v>10281</v>
          </cell>
          <cell r="N498" t="str">
            <v>Germany</v>
          </cell>
        </row>
        <row r="499">
          <cell r="A499">
            <v>10746</v>
          </cell>
          <cell r="B499">
            <v>14</v>
          </cell>
          <cell r="C499">
            <v>1</v>
          </cell>
          <cell r="D499">
            <v>39405</v>
          </cell>
          <cell r="E499">
            <v>39433</v>
          </cell>
          <cell r="F499">
            <v>39407</v>
          </cell>
          <cell r="G499">
            <v>3</v>
          </cell>
          <cell r="H499">
            <v>31.43</v>
          </cell>
          <cell r="I499" t="str">
            <v>Destination NRTZZ</v>
          </cell>
          <cell r="J499" t="str">
            <v>Hauptstr. 0123</v>
          </cell>
          <cell r="K499" t="str">
            <v>Bern</v>
          </cell>
          <cell r="M499">
            <v>10138</v>
          </cell>
          <cell r="N499" t="str">
            <v>Switzerland</v>
          </cell>
        </row>
        <row r="500">
          <cell r="A500">
            <v>10747</v>
          </cell>
          <cell r="B500">
            <v>59</v>
          </cell>
          <cell r="C500">
            <v>6</v>
          </cell>
          <cell r="D500">
            <v>39405</v>
          </cell>
          <cell r="E500">
            <v>39433</v>
          </cell>
          <cell r="F500">
            <v>39412</v>
          </cell>
          <cell r="G500">
            <v>1</v>
          </cell>
          <cell r="H500">
            <v>117.33</v>
          </cell>
          <cell r="I500" t="str">
            <v>Ship to 59-B</v>
          </cell>
          <cell r="J500" t="str">
            <v>Geislweg 7890</v>
          </cell>
          <cell r="K500" t="str">
            <v>Salzburg</v>
          </cell>
          <cell r="M500">
            <v>10265</v>
          </cell>
          <cell r="N500" t="str">
            <v>Austria</v>
          </cell>
        </row>
        <row r="501">
          <cell r="A501">
            <v>10748</v>
          </cell>
          <cell r="B501">
            <v>71</v>
          </cell>
          <cell r="C501">
            <v>3</v>
          </cell>
          <cell r="D501">
            <v>39406</v>
          </cell>
          <cell r="E501">
            <v>39434</v>
          </cell>
          <cell r="F501">
            <v>39414</v>
          </cell>
          <cell r="G501">
            <v>1</v>
          </cell>
          <cell r="H501">
            <v>232.55</v>
          </cell>
          <cell r="I501" t="str">
            <v>Ship to 71-B</v>
          </cell>
          <cell r="J501" t="str">
            <v>8901 Suffolk Ln.</v>
          </cell>
          <cell r="K501" t="str">
            <v>Boise</v>
          </cell>
          <cell r="L501" t="str">
            <v>ID</v>
          </cell>
          <cell r="M501">
            <v>10306</v>
          </cell>
          <cell r="N501" t="str">
            <v>USA</v>
          </cell>
        </row>
        <row r="502">
          <cell r="A502">
            <v>10749</v>
          </cell>
          <cell r="B502">
            <v>38</v>
          </cell>
          <cell r="C502">
            <v>4</v>
          </cell>
          <cell r="D502">
            <v>39406</v>
          </cell>
          <cell r="E502">
            <v>39434</v>
          </cell>
          <cell r="F502">
            <v>39435</v>
          </cell>
          <cell r="G502">
            <v>2</v>
          </cell>
          <cell r="H502">
            <v>61.53</v>
          </cell>
          <cell r="I502" t="str">
            <v>Destination QVTLW</v>
          </cell>
          <cell r="J502" t="str">
            <v>Garden House Crowther Way 7890</v>
          </cell>
          <cell r="K502" t="str">
            <v>Cowes</v>
          </cell>
          <cell r="L502" t="str">
            <v>Isle of Wight</v>
          </cell>
          <cell r="M502">
            <v>10205</v>
          </cell>
          <cell r="N502" t="str">
            <v>UK</v>
          </cell>
        </row>
        <row r="503">
          <cell r="A503">
            <v>10750</v>
          </cell>
          <cell r="B503">
            <v>87</v>
          </cell>
          <cell r="C503">
            <v>9</v>
          </cell>
          <cell r="D503">
            <v>39407</v>
          </cell>
          <cell r="E503">
            <v>39435</v>
          </cell>
          <cell r="F503">
            <v>39410</v>
          </cell>
          <cell r="G503">
            <v>1</v>
          </cell>
          <cell r="H503">
            <v>79.3</v>
          </cell>
          <cell r="I503" t="str">
            <v>Ship to 87-C</v>
          </cell>
          <cell r="J503" t="str">
            <v>Torikatu 3456</v>
          </cell>
          <cell r="K503" t="str">
            <v>Oulu</v>
          </cell>
          <cell r="M503">
            <v>10352</v>
          </cell>
          <cell r="N503" t="str">
            <v>Finland</v>
          </cell>
        </row>
        <row r="504">
          <cell r="A504">
            <v>10751</v>
          </cell>
          <cell r="B504">
            <v>68</v>
          </cell>
          <cell r="C504">
            <v>3</v>
          </cell>
          <cell r="D504">
            <v>39410</v>
          </cell>
          <cell r="E504">
            <v>39438</v>
          </cell>
          <cell r="F504">
            <v>39419</v>
          </cell>
          <cell r="G504">
            <v>3</v>
          </cell>
          <cell r="H504">
            <v>130.79</v>
          </cell>
          <cell r="I504" t="str">
            <v>Ship to 68-A</v>
          </cell>
          <cell r="J504" t="str">
            <v>Starenweg 6789</v>
          </cell>
          <cell r="K504" t="str">
            <v>Genève</v>
          </cell>
          <cell r="M504">
            <v>10294</v>
          </cell>
          <cell r="N504" t="str">
            <v>Switzerland</v>
          </cell>
        </row>
        <row r="505">
          <cell r="A505">
            <v>10752</v>
          </cell>
          <cell r="B505">
            <v>53</v>
          </cell>
          <cell r="C505">
            <v>2</v>
          </cell>
          <cell r="D505">
            <v>39410</v>
          </cell>
          <cell r="E505">
            <v>39438</v>
          </cell>
          <cell r="F505">
            <v>39414</v>
          </cell>
          <cell r="G505">
            <v>3</v>
          </cell>
          <cell r="H505">
            <v>1.39</v>
          </cell>
          <cell r="I505" t="str">
            <v>Ship to 53-C</v>
          </cell>
          <cell r="J505" t="str">
            <v>South House 3456 Queensbridge</v>
          </cell>
          <cell r="K505" t="str">
            <v>London</v>
          </cell>
          <cell r="M505">
            <v>10251</v>
          </cell>
          <cell r="N505" t="str">
            <v>UK</v>
          </cell>
        </row>
        <row r="506">
          <cell r="A506">
            <v>10753</v>
          </cell>
          <cell r="B506">
            <v>27</v>
          </cell>
          <cell r="C506">
            <v>3</v>
          </cell>
          <cell r="D506">
            <v>39411</v>
          </cell>
          <cell r="E506">
            <v>39439</v>
          </cell>
          <cell r="F506">
            <v>39413</v>
          </cell>
          <cell r="G506">
            <v>1</v>
          </cell>
          <cell r="H506">
            <v>7.7</v>
          </cell>
          <cell r="I506" t="str">
            <v>Destination DICGM</v>
          </cell>
          <cell r="J506" t="str">
            <v>Via Monte Bianco 7890</v>
          </cell>
          <cell r="K506" t="str">
            <v>Torino</v>
          </cell>
          <cell r="M506">
            <v>10175</v>
          </cell>
          <cell r="N506" t="str">
            <v>Italy</v>
          </cell>
        </row>
        <row r="507">
          <cell r="A507">
            <v>10754</v>
          </cell>
          <cell r="B507">
            <v>49</v>
          </cell>
          <cell r="C507">
            <v>6</v>
          </cell>
          <cell r="D507">
            <v>39411</v>
          </cell>
          <cell r="E507">
            <v>39439</v>
          </cell>
          <cell r="F507">
            <v>39413</v>
          </cell>
          <cell r="G507">
            <v>3</v>
          </cell>
          <cell r="H507">
            <v>2.38</v>
          </cell>
          <cell r="I507" t="str">
            <v>Ship to 49-B</v>
          </cell>
          <cell r="J507" t="str">
            <v>Via Ludovico il Moro 9012</v>
          </cell>
          <cell r="K507" t="str">
            <v>Bergamo</v>
          </cell>
          <cell r="M507">
            <v>10236</v>
          </cell>
          <cell r="N507" t="str">
            <v>Italy</v>
          </cell>
        </row>
        <row r="508">
          <cell r="A508">
            <v>10755</v>
          </cell>
          <cell r="B508">
            <v>9</v>
          </cell>
          <cell r="C508">
            <v>4</v>
          </cell>
          <cell r="D508">
            <v>39412</v>
          </cell>
          <cell r="E508">
            <v>39440</v>
          </cell>
          <cell r="F508">
            <v>39414</v>
          </cell>
          <cell r="G508">
            <v>2</v>
          </cell>
          <cell r="H508">
            <v>16.71</v>
          </cell>
          <cell r="I508" t="str">
            <v>Ship to 9-C</v>
          </cell>
          <cell r="J508" t="str">
            <v>0123, rue des Bouchers</v>
          </cell>
          <cell r="K508" t="str">
            <v>Marseille</v>
          </cell>
          <cell r="M508">
            <v>10369</v>
          </cell>
          <cell r="N508" t="str">
            <v>France</v>
          </cell>
        </row>
        <row r="509">
          <cell r="A509">
            <v>10756</v>
          </cell>
          <cell r="B509">
            <v>75</v>
          </cell>
          <cell r="C509">
            <v>8</v>
          </cell>
          <cell r="D509">
            <v>39413</v>
          </cell>
          <cell r="E509">
            <v>39441</v>
          </cell>
          <cell r="F509">
            <v>39418</v>
          </cell>
          <cell r="G509">
            <v>2</v>
          </cell>
          <cell r="H509">
            <v>73.209999999999994</v>
          </cell>
          <cell r="I509" t="str">
            <v>Ship to 75-C</v>
          </cell>
          <cell r="J509" t="str">
            <v>P.O. Box 7890</v>
          </cell>
          <cell r="K509" t="str">
            <v>Lander</v>
          </cell>
          <cell r="L509" t="str">
            <v>WY</v>
          </cell>
          <cell r="M509">
            <v>10316</v>
          </cell>
          <cell r="N509" t="str">
            <v>USA</v>
          </cell>
        </row>
        <row r="510">
          <cell r="A510">
            <v>10757</v>
          </cell>
          <cell r="B510">
            <v>71</v>
          </cell>
          <cell r="C510">
            <v>6</v>
          </cell>
          <cell r="D510">
            <v>39413</v>
          </cell>
          <cell r="E510">
            <v>39441</v>
          </cell>
          <cell r="F510">
            <v>39431</v>
          </cell>
          <cell r="G510">
            <v>1</v>
          </cell>
          <cell r="H510">
            <v>8.19</v>
          </cell>
          <cell r="I510" t="str">
            <v>Ship to 71-B</v>
          </cell>
          <cell r="J510" t="str">
            <v>8901 Suffolk Ln.</v>
          </cell>
          <cell r="K510" t="str">
            <v>Boise</v>
          </cell>
          <cell r="L510" t="str">
            <v>ID</v>
          </cell>
          <cell r="M510">
            <v>10306</v>
          </cell>
          <cell r="N510" t="str">
            <v>USA</v>
          </cell>
        </row>
        <row r="511">
          <cell r="A511">
            <v>10758</v>
          </cell>
          <cell r="B511">
            <v>68</v>
          </cell>
          <cell r="C511">
            <v>3</v>
          </cell>
          <cell r="D511">
            <v>39414</v>
          </cell>
          <cell r="E511">
            <v>39442</v>
          </cell>
          <cell r="F511">
            <v>39420</v>
          </cell>
          <cell r="G511">
            <v>3</v>
          </cell>
          <cell r="H511">
            <v>138.16999999999999</v>
          </cell>
          <cell r="I511" t="str">
            <v>Ship to 68-C</v>
          </cell>
          <cell r="J511" t="str">
            <v>Starenweg 8901</v>
          </cell>
          <cell r="K511" t="str">
            <v>Genève</v>
          </cell>
          <cell r="M511">
            <v>10296</v>
          </cell>
          <cell r="N511" t="str">
            <v>Switzerland</v>
          </cell>
        </row>
        <row r="512">
          <cell r="A512">
            <v>10759</v>
          </cell>
          <cell r="B512">
            <v>2</v>
          </cell>
          <cell r="C512">
            <v>3</v>
          </cell>
          <cell r="D512">
            <v>39414</v>
          </cell>
          <cell r="E512">
            <v>39442</v>
          </cell>
          <cell r="F512">
            <v>39428</v>
          </cell>
          <cell r="G512">
            <v>3</v>
          </cell>
          <cell r="H512">
            <v>11.99</v>
          </cell>
          <cell r="I512" t="str">
            <v>Destination QOTQA</v>
          </cell>
          <cell r="J512" t="str">
            <v>Avda. de la Constitución 3456</v>
          </cell>
          <cell r="K512" t="str">
            <v>México D.F.</v>
          </cell>
          <cell r="M512">
            <v>10181</v>
          </cell>
          <cell r="N512" t="str">
            <v>Mexico</v>
          </cell>
        </row>
        <row r="513">
          <cell r="A513">
            <v>10760</v>
          </cell>
          <cell r="B513">
            <v>50</v>
          </cell>
          <cell r="C513">
            <v>4</v>
          </cell>
          <cell r="D513">
            <v>39417</v>
          </cell>
          <cell r="E513">
            <v>39445</v>
          </cell>
          <cell r="F513">
            <v>39426</v>
          </cell>
          <cell r="G513">
            <v>1</v>
          </cell>
          <cell r="H513">
            <v>155.63999999999999</v>
          </cell>
          <cell r="I513" t="str">
            <v>Ship to 50-B</v>
          </cell>
          <cell r="J513" t="str">
            <v>Rue Joseph-Bens 4567</v>
          </cell>
          <cell r="K513" t="str">
            <v>Bruxelles</v>
          </cell>
          <cell r="M513">
            <v>10242</v>
          </cell>
          <cell r="N513" t="str">
            <v>Belgium</v>
          </cell>
        </row>
        <row r="514">
          <cell r="A514">
            <v>10761</v>
          </cell>
          <cell r="B514">
            <v>65</v>
          </cell>
          <cell r="C514">
            <v>5</v>
          </cell>
          <cell r="D514">
            <v>39418</v>
          </cell>
          <cell r="E514">
            <v>39446</v>
          </cell>
          <cell r="F514">
            <v>39424</v>
          </cell>
          <cell r="G514">
            <v>2</v>
          </cell>
          <cell r="H514">
            <v>18.66</v>
          </cell>
          <cell r="I514" t="str">
            <v>Ship to 65-B</v>
          </cell>
          <cell r="J514" t="str">
            <v>8901 Milton Dr.</v>
          </cell>
          <cell r="K514" t="str">
            <v>Albuquerque</v>
          </cell>
          <cell r="L514" t="str">
            <v>NM</v>
          </cell>
          <cell r="M514">
            <v>10286</v>
          </cell>
          <cell r="N514" t="str">
            <v>USA</v>
          </cell>
        </row>
        <row r="515">
          <cell r="A515">
            <v>10762</v>
          </cell>
          <cell r="B515">
            <v>24</v>
          </cell>
          <cell r="C515">
            <v>3</v>
          </cell>
          <cell r="D515">
            <v>39418</v>
          </cell>
          <cell r="E515">
            <v>39446</v>
          </cell>
          <cell r="F515">
            <v>39425</v>
          </cell>
          <cell r="G515">
            <v>1</v>
          </cell>
          <cell r="H515">
            <v>328.74</v>
          </cell>
          <cell r="I515" t="str">
            <v>Destination YCMPK</v>
          </cell>
          <cell r="J515" t="str">
            <v>Åkergatan 8901</v>
          </cell>
          <cell r="K515" t="str">
            <v>Bräcke</v>
          </cell>
          <cell r="M515">
            <v>10166</v>
          </cell>
          <cell r="N515" t="str">
            <v>Sweden</v>
          </cell>
        </row>
        <row r="516">
          <cell r="A516">
            <v>10763</v>
          </cell>
          <cell r="B516">
            <v>23</v>
          </cell>
          <cell r="C516">
            <v>3</v>
          </cell>
          <cell r="D516">
            <v>39419</v>
          </cell>
          <cell r="E516">
            <v>39447</v>
          </cell>
          <cell r="F516">
            <v>39424</v>
          </cell>
          <cell r="G516">
            <v>3</v>
          </cell>
          <cell r="H516">
            <v>37.35</v>
          </cell>
          <cell r="I516" t="str">
            <v>Destination PXQRR</v>
          </cell>
          <cell r="J516" t="str">
            <v>5678, chaussée de Tournai</v>
          </cell>
          <cell r="K516" t="str">
            <v>Lille</v>
          </cell>
          <cell r="M516">
            <v>10163</v>
          </cell>
          <cell r="N516" t="str">
            <v>France</v>
          </cell>
        </row>
        <row r="517">
          <cell r="A517">
            <v>10764</v>
          </cell>
          <cell r="B517">
            <v>20</v>
          </cell>
          <cell r="C517">
            <v>6</v>
          </cell>
          <cell r="D517">
            <v>39419</v>
          </cell>
          <cell r="E517">
            <v>39447</v>
          </cell>
          <cell r="F517">
            <v>39424</v>
          </cell>
          <cell r="G517">
            <v>3</v>
          </cell>
          <cell r="H517">
            <v>145.44999999999999</v>
          </cell>
          <cell r="I517" t="str">
            <v>Destination CUVPF</v>
          </cell>
          <cell r="J517" t="str">
            <v>Kirchgasse 1234</v>
          </cell>
          <cell r="K517" t="str">
            <v>Graz</v>
          </cell>
          <cell r="M517">
            <v>10159</v>
          </cell>
          <cell r="N517" t="str">
            <v>Austria</v>
          </cell>
        </row>
        <row r="518">
          <cell r="A518">
            <v>10765</v>
          </cell>
          <cell r="B518">
            <v>63</v>
          </cell>
          <cell r="C518">
            <v>3</v>
          </cell>
          <cell r="D518">
            <v>39420</v>
          </cell>
          <cell r="E518">
            <v>39448</v>
          </cell>
          <cell r="F518">
            <v>39425</v>
          </cell>
          <cell r="G518">
            <v>3</v>
          </cell>
          <cell r="H518">
            <v>42.74</v>
          </cell>
          <cell r="I518" t="str">
            <v>Ship to 63-A</v>
          </cell>
          <cell r="J518" t="str">
            <v>Taucherstraße 1234</v>
          </cell>
          <cell r="K518" t="str">
            <v>Cunewalde</v>
          </cell>
          <cell r="M518">
            <v>10279</v>
          </cell>
          <cell r="N518" t="str">
            <v>Germany</v>
          </cell>
        </row>
        <row r="519">
          <cell r="A519">
            <v>10766</v>
          </cell>
          <cell r="B519">
            <v>56</v>
          </cell>
          <cell r="C519">
            <v>4</v>
          </cell>
          <cell r="D519">
            <v>39421</v>
          </cell>
          <cell r="E519">
            <v>39449</v>
          </cell>
          <cell r="F519">
            <v>39425</v>
          </cell>
          <cell r="G519">
            <v>1</v>
          </cell>
          <cell r="H519">
            <v>157.55000000000001</v>
          </cell>
          <cell r="I519" t="str">
            <v>Ship to 56-C</v>
          </cell>
          <cell r="J519" t="str">
            <v>Mehrheimerstr. 2345</v>
          </cell>
          <cell r="K519" t="str">
            <v>Köln</v>
          </cell>
          <cell r="M519">
            <v>10260</v>
          </cell>
          <cell r="N519" t="str">
            <v>Germany</v>
          </cell>
        </row>
        <row r="520">
          <cell r="A520">
            <v>10767</v>
          </cell>
          <cell r="B520">
            <v>76</v>
          </cell>
          <cell r="C520">
            <v>4</v>
          </cell>
          <cell r="D520">
            <v>39421</v>
          </cell>
          <cell r="E520">
            <v>39449</v>
          </cell>
          <cell r="F520">
            <v>39431</v>
          </cell>
          <cell r="G520">
            <v>3</v>
          </cell>
          <cell r="H520">
            <v>1.59</v>
          </cell>
          <cell r="I520" t="str">
            <v>Ship to 76-B</v>
          </cell>
          <cell r="J520" t="str">
            <v>Boulevard Tirou, 9012</v>
          </cell>
          <cell r="K520" t="str">
            <v>Charleroi</v>
          </cell>
          <cell r="M520">
            <v>10318</v>
          </cell>
          <cell r="N520" t="str">
            <v>Belgium</v>
          </cell>
        </row>
        <row r="521">
          <cell r="A521">
            <v>10768</v>
          </cell>
          <cell r="B521">
            <v>4</v>
          </cell>
          <cell r="C521">
            <v>3</v>
          </cell>
          <cell r="D521">
            <v>39424</v>
          </cell>
          <cell r="E521">
            <v>39452</v>
          </cell>
          <cell r="F521">
            <v>39431</v>
          </cell>
          <cell r="G521">
            <v>2</v>
          </cell>
          <cell r="H521">
            <v>146.32</v>
          </cell>
          <cell r="I521" t="str">
            <v>Ship to 4-B</v>
          </cell>
          <cell r="J521" t="str">
            <v>Brook Farm Stratford St. Mary 1234</v>
          </cell>
          <cell r="K521" t="str">
            <v>Colchester</v>
          </cell>
          <cell r="L521" t="str">
            <v>Essex</v>
          </cell>
          <cell r="M521">
            <v>10239</v>
          </cell>
          <cell r="N521" t="str">
            <v>UK</v>
          </cell>
        </row>
        <row r="522">
          <cell r="A522">
            <v>10769</v>
          </cell>
          <cell r="B522">
            <v>83</v>
          </cell>
          <cell r="C522">
            <v>3</v>
          </cell>
          <cell r="D522">
            <v>39424</v>
          </cell>
          <cell r="E522">
            <v>39452</v>
          </cell>
          <cell r="F522">
            <v>39428</v>
          </cell>
          <cell r="G522">
            <v>1</v>
          </cell>
          <cell r="H522">
            <v>65.06</v>
          </cell>
          <cell r="I522" t="str">
            <v>Ship to 83-C</v>
          </cell>
          <cell r="J522" t="str">
            <v>Smagsloget 2345</v>
          </cell>
          <cell r="K522" t="str">
            <v>Århus</v>
          </cell>
          <cell r="M522">
            <v>10341</v>
          </cell>
          <cell r="N522" t="str">
            <v>Denmark</v>
          </cell>
        </row>
        <row r="523">
          <cell r="A523">
            <v>10770</v>
          </cell>
          <cell r="B523">
            <v>34</v>
          </cell>
          <cell r="C523">
            <v>8</v>
          </cell>
          <cell r="D523">
            <v>39425</v>
          </cell>
          <cell r="E523">
            <v>39453</v>
          </cell>
          <cell r="F523">
            <v>39433</v>
          </cell>
          <cell r="G523">
            <v>3</v>
          </cell>
          <cell r="H523">
            <v>5.32</v>
          </cell>
          <cell r="I523" t="str">
            <v>Destination JPAIY</v>
          </cell>
          <cell r="J523" t="str">
            <v>Rua do Paço, 8901</v>
          </cell>
          <cell r="K523" t="str">
            <v>Rio de Janeiro</v>
          </cell>
          <cell r="L523" t="str">
            <v>RJ</v>
          </cell>
          <cell r="M523">
            <v>10196</v>
          </cell>
          <cell r="N523" t="str">
            <v>Brazil</v>
          </cell>
        </row>
        <row r="524">
          <cell r="A524">
            <v>10771</v>
          </cell>
          <cell r="B524">
            <v>20</v>
          </cell>
          <cell r="C524">
            <v>9</v>
          </cell>
          <cell r="D524">
            <v>39426</v>
          </cell>
          <cell r="E524">
            <v>39454</v>
          </cell>
          <cell r="F524">
            <v>39449</v>
          </cell>
          <cell r="G524">
            <v>2</v>
          </cell>
          <cell r="H524">
            <v>11.19</v>
          </cell>
          <cell r="I524" t="str">
            <v>Destination CUVPF</v>
          </cell>
          <cell r="J524" t="str">
            <v>Kirchgasse 1234</v>
          </cell>
          <cell r="K524" t="str">
            <v>Graz</v>
          </cell>
          <cell r="M524">
            <v>10159</v>
          </cell>
          <cell r="N524" t="str">
            <v>Austria</v>
          </cell>
        </row>
        <row r="525">
          <cell r="A525">
            <v>10772</v>
          </cell>
          <cell r="B525">
            <v>44</v>
          </cell>
          <cell r="C525">
            <v>3</v>
          </cell>
          <cell r="D525">
            <v>39426</v>
          </cell>
          <cell r="E525">
            <v>39454</v>
          </cell>
          <cell r="F525">
            <v>39435</v>
          </cell>
          <cell r="G525">
            <v>2</v>
          </cell>
          <cell r="H525">
            <v>91.28</v>
          </cell>
          <cell r="I525" t="str">
            <v>Ship to 44-B</v>
          </cell>
          <cell r="J525" t="str">
            <v>Magazinweg 5678</v>
          </cell>
          <cell r="K525" t="str">
            <v>Frankfurt a.M.</v>
          </cell>
          <cell r="M525">
            <v>10223</v>
          </cell>
          <cell r="N525" t="str">
            <v>Germany</v>
          </cell>
        </row>
        <row r="526">
          <cell r="A526">
            <v>10773</v>
          </cell>
          <cell r="B526">
            <v>20</v>
          </cell>
          <cell r="C526">
            <v>1</v>
          </cell>
          <cell r="D526">
            <v>39427</v>
          </cell>
          <cell r="E526">
            <v>39455</v>
          </cell>
          <cell r="F526">
            <v>39432</v>
          </cell>
          <cell r="G526">
            <v>3</v>
          </cell>
          <cell r="H526">
            <v>96.43</v>
          </cell>
          <cell r="I526" t="str">
            <v>Destination FFXKT</v>
          </cell>
          <cell r="J526" t="str">
            <v>Kirchgasse 0123</v>
          </cell>
          <cell r="K526" t="str">
            <v>Graz</v>
          </cell>
          <cell r="M526">
            <v>10158</v>
          </cell>
          <cell r="N526" t="str">
            <v>Austria</v>
          </cell>
        </row>
        <row r="527">
          <cell r="A527">
            <v>10774</v>
          </cell>
          <cell r="B527">
            <v>24</v>
          </cell>
          <cell r="C527">
            <v>4</v>
          </cell>
          <cell r="D527">
            <v>39427</v>
          </cell>
          <cell r="E527">
            <v>39441</v>
          </cell>
          <cell r="F527">
            <v>39428</v>
          </cell>
          <cell r="G527">
            <v>1</v>
          </cell>
          <cell r="H527">
            <v>48.2</v>
          </cell>
          <cell r="I527" t="str">
            <v>Destination KBSBN</v>
          </cell>
          <cell r="J527" t="str">
            <v>Åkergatan 9012</v>
          </cell>
          <cell r="K527" t="str">
            <v>Bräcke</v>
          </cell>
          <cell r="M527">
            <v>10167</v>
          </cell>
          <cell r="N527" t="str">
            <v>Sweden</v>
          </cell>
        </row>
        <row r="528">
          <cell r="A528">
            <v>10775</v>
          </cell>
          <cell r="B528">
            <v>78</v>
          </cell>
          <cell r="C528">
            <v>7</v>
          </cell>
          <cell r="D528">
            <v>39428</v>
          </cell>
          <cell r="E528">
            <v>39456</v>
          </cell>
          <cell r="F528">
            <v>39442</v>
          </cell>
          <cell r="G528">
            <v>1</v>
          </cell>
          <cell r="H528">
            <v>20.25</v>
          </cell>
          <cell r="I528" t="str">
            <v>Ship to 78-A</v>
          </cell>
          <cell r="J528" t="str">
            <v>4567 Grizzly Peak Rd.</v>
          </cell>
          <cell r="K528" t="str">
            <v>Butte</v>
          </cell>
          <cell r="L528" t="str">
            <v>MT</v>
          </cell>
          <cell r="M528">
            <v>10323</v>
          </cell>
          <cell r="N528" t="str">
            <v>USA</v>
          </cell>
        </row>
        <row r="529">
          <cell r="A529">
            <v>10776</v>
          </cell>
          <cell r="B529">
            <v>20</v>
          </cell>
          <cell r="C529">
            <v>1</v>
          </cell>
          <cell r="D529">
            <v>39431</v>
          </cell>
          <cell r="E529">
            <v>39459</v>
          </cell>
          <cell r="F529">
            <v>39434</v>
          </cell>
          <cell r="G529">
            <v>3</v>
          </cell>
          <cell r="H529">
            <v>351.53</v>
          </cell>
          <cell r="I529" t="str">
            <v>Destination RVDMF</v>
          </cell>
          <cell r="J529" t="str">
            <v>Kirchgasse 9012</v>
          </cell>
          <cell r="K529" t="str">
            <v>Graz</v>
          </cell>
          <cell r="M529">
            <v>10157</v>
          </cell>
          <cell r="N529" t="str">
            <v>Austria</v>
          </cell>
        </row>
        <row r="530">
          <cell r="A530">
            <v>10777</v>
          </cell>
          <cell r="B530">
            <v>31</v>
          </cell>
          <cell r="C530">
            <v>7</v>
          </cell>
          <cell r="D530">
            <v>39431</v>
          </cell>
          <cell r="E530">
            <v>39445</v>
          </cell>
          <cell r="F530">
            <v>39468</v>
          </cell>
          <cell r="G530">
            <v>2</v>
          </cell>
          <cell r="H530">
            <v>3.01</v>
          </cell>
          <cell r="I530" t="str">
            <v>Destination GWPFK</v>
          </cell>
          <cell r="J530" t="str">
            <v>Av. Brasil, 0123</v>
          </cell>
          <cell r="K530" t="str">
            <v>Campinas</v>
          </cell>
          <cell r="L530" t="str">
            <v>SP</v>
          </cell>
          <cell r="M530">
            <v>10188</v>
          </cell>
          <cell r="N530" t="str">
            <v>Brazil</v>
          </cell>
        </row>
        <row r="531">
          <cell r="A531">
            <v>10778</v>
          </cell>
          <cell r="B531">
            <v>5</v>
          </cell>
          <cell r="C531">
            <v>3</v>
          </cell>
          <cell r="D531">
            <v>39432</v>
          </cell>
          <cell r="E531">
            <v>39460</v>
          </cell>
          <cell r="F531">
            <v>39440</v>
          </cell>
          <cell r="G531">
            <v>1</v>
          </cell>
          <cell r="H531">
            <v>6.79</v>
          </cell>
          <cell r="I531" t="str">
            <v>Ship to 5-A</v>
          </cell>
          <cell r="J531" t="str">
            <v>Berguvsvägen 9012</v>
          </cell>
          <cell r="K531" t="str">
            <v>Luleå</v>
          </cell>
          <cell r="M531">
            <v>10267</v>
          </cell>
          <cell r="N531" t="str">
            <v>Sweden</v>
          </cell>
        </row>
        <row r="532">
          <cell r="A532">
            <v>10779</v>
          </cell>
          <cell r="B532">
            <v>52</v>
          </cell>
          <cell r="C532">
            <v>3</v>
          </cell>
          <cell r="D532">
            <v>39432</v>
          </cell>
          <cell r="E532">
            <v>39460</v>
          </cell>
          <cell r="F532">
            <v>39461</v>
          </cell>
          <cell r="G532">
            <v>2</v>
          </cell>
          <cell r="H532">
            <v>58.13</v>
          </cell>
          <cell r="I532" t="str">
            <v>Ship to 52-A</v>
          </cell>
          <cell r="J532" t="str">
            <v>Heerstr. 9012</v>
          </cell>
          <cell r="K532" t="str">
            <v>Leipzig</v>
          </cell>
          <cell r="M532">
            <v>10247</v>
          </cell>
          <cell r="N532" t="str">
            <v>Germany</v>
          </cell>
        </row>
        <row r="533">
          <cell r="A533">
            <v>10780</v>
          </cell>
          <cell r="B533">
            <v>46</v>
          </cell>
          <cell r="C533">
            <v>2</v>
          </cell>
          <cell r="D533">
            <v>39432</v>
          </cell>
          <cell r="E533">
            <v>39446</v>
          </cell>
          <cell r="F533">
            <v>39441</v>
          </cell>
          <cell r="G533">
            <v>1</v>
          </cell>
          <cell r="H533">
            <v>42.13</v>
          </cell>
          <cell r="I533" t="str">
            <v>Ship to 46-C</v>
          </cell>
          <cell r="J533" t="str">
            <v>Carrera 2345 con Ave. Bolívar #65-98 Llano Largo</v>
          </cell>
          <cell r="K533" t="str">
            <v>Barquisimeto</v>
          </cell>
          <cell r="L533" t="str">
            <v>Lara</v>
          </cell>
          <cell r="M533">
            <v>10229</v>
          </cell>
          <cell r="N533" t="str">
            <v>Venezuela</v>
          </cell>
        </row>
        <row r="534">
          <cell r="A534">
            <v>10781</v>
          </cell>
          <cell r="B534">
            <v>87</v>
          </cell>
          <cell r="C534">
            <v>2</v>
          </cell>
          <cell r="D534">
            <v>39433</v>
          </cell>
          <cell r="E534">
            <v>39461</v>
          </cell>
          <cell r="F534">
            <v>39435</v>
          </cell>
          <cell r="G534">
            <v>3</v>
          </cell>
          <cell r="H534">
            <v>73.16</v>
          </cell>
          <cell r="I534" t="str">
            <v>Ship to 87-A</v>
          </cell>
          <cell r="J534" t="str">
            <v>Torikatu 1234</v>
          </cell>
          <cell r="K534" t="str">
            <v>Oulu</v>
          </cell>
          <cell r="M534">
            <v>10350</v>
          </cell>
          <cell r="N534" t="str">
            <v>Finland</v>
          </cell>
        </row>
        <row r="535">
          <cell r="A535">
            <v>10782</v>
          </cell>
          <cell r="B535">
            <v>12</v>
          </cell>
          <cell r="C535">
            <v>9</v>
          </cell>
          <cell r="D535">
            <v>39433</v>
          </cell>
          <cell r="E535">
            <v>39461</v>
          </cell>
          <cell r="F535">
            <v>39438</v>
          </cell>
          <cell r="G535">
            <v>3</v>
          </cell>
          <cell r="H535">
            <v>1.1000000000000001</v>
          </cell>
          <cell r="I535" t="str">
            <v>Destination CJDJB</v>
          </cell>
          <cell r="J535" t="str">
            <v>Cerrito 8901</v>
          </cell>
          <cell r="K535" t="str">
            <v>Buenos Aires</v>
          </cell>
          <cell r="M535">
            <v>10136</v>
          </cell>
          <cell r="N535" t="str">
            <v>Argentina</v>
          </cell>
        </row>
        <row r="536">
          <cell r="A536">
            <v>10783</v>
          </cell>
          <cell r="B536">
            <v>34</v>
          </cell>
          <cell r="C536">
            <v>4</v>
          </cell>
          <cell r="D536">
            <v>39434</v>
          </cell>
          <cell r="E536">
            <v>39462</v>
          </cell>
          <cell r="F536">
            <v>39435</v>
          </cell>
          <cell r="G536">
            <v>2</v>
          </cell>
          <cell r="H536">
            <v>124.98</v>
          </cell>
          <cell r="I536" t="str">
            <v>Destination DPCVR</v>
          </cell>
          <cell r="J536" t="str">
            <v>Rua do Paço, 6789</v>
          </cell>
          <cell r="K536" t="str">
            <v>Rio de Janeiro</v>
          </cell>
          <cell r="L536" t="str">
            <v>RJ</v>
          </cell>
          <cell r="M536">
            <v>10194</v>
          </cell>
          <cell r="N536" t="str">
            <v>Brazil</v>
          </cell>
        </row>
        <row r="537">
          <cell r="A537">
            <v>10784</v>
          </cell>
          <cell r="B537">
            <v>49</v>
          </cell>
          <cell r="C537">
            <v>4</v>
          </cell>
          <cell r="D537">
            <v>39434</v>
          </cell>
          <cell r="E537">
            <v>39462</v>
          </cell>
          <cell r="F537">
            <v>39438</v>
          </cell>
          <cell r="G537">
            <v>3</v>
          </cell>
          <cell r="H537">
            <v>70.09</v>
          </cell>
          <cell r="I537" t="str">
            <v>Ship to 49-A</v>
          </cell>
          <cell r="J537" t="str">
            <v>Via Ludovico il Moro 8901</v>
          </cell>
          <cell r="K537" t="str">
            <v>Bergamo</v>
          </cell>
          <cell r="M537">
            <v>10235</v>
          </cell>
          <cell r="N537" t="str">
            <v>Italy</v>
          </cell>
        </row>
        <row r="538">
          <cell r="A538">
            <v>10785</v>
          </cell>
          <cell r="B538">
            <v>33</v>
          </cell>
          <cell r="C538">
            <v>1</v>
          </cell>
          <cell r="D538">
            <v>39434</v>
          </cell>
          <cell r="E538">
            <v>39462</v>
          </cell>
          <cell r="F538">
            <v>39440</v>
          </cell>
          <cell r="G538">
            <v>3</v>
          </cell>
          <cell r="H538">
            <v>1.51</v>
          </cell>
          <cell r="I538" t="str">
            <v>Destination FQJFJ</v>
          </cell>
          <cell r="J538" t="str">
            <v>5ª Ave. Los Palos Grandes 4567</v>
          </cell>
          <cell r="K538" t="str">
            <v>Caracas</v>
          </cell>
          <cell r="L538" t="str">
            <v>DF</v>
          </cell>
          <cell r="M538">
            <v>10192</v>
          </cell>
          <cell r="N538" t="str">
            <v>Venezuela</v>
          </cell>
        </row>
        <row r="539">
          <cell r="A539">
            <v>10786</v>
          </cell>
          <cell r="B539">
            <v>62</v>
          </cell>
          <cell r="C539">
            <v>8</v>
          </cell>
          <cell r="D539">
            <v>39435</v>
          </cell>
          <cell r="E539">
            <v>39463</v>
          </cell>
          <cell r="F539">
            <v>39439</v>
          </cell>
          <cell r="G539">
            <v>1</v>
          </cell>
          <cell r="H539">
            <v>110.87</v>
          </cell>
          <cell r="I539" t="str">
            <v>Ship to 62-B</v>
          </cell>
          <cell r="J539" t="str">
            <v>Alameda dos Canàrios, 9012</v>
          </cell>
          <cell r="K539" t="str">
            <v>Sao Paulo</v>
          </cell>
          <cell r="L539" t="str">
            <v>SP</v>
          </cell>
          <cell r="M539">
            <v>10277</v>
          </cell>
          <cell r="N539" t="str">
            <v>Brazil</v>
          </cell>
        </row>
        <row r="540">
          <cell r="A540">
            <v>10787</v>
          </cell>
          <cell r="B540">
            <v>41</v>
          </cell>
          <cell r="C540">
            <v>2</v>
          </cell>
          <cell r="D540">
            <v>39435</v>
          </cell>
          <cell r="E540">
            <v>39449</v>
          </cell>
          <cell r="F540">
            <v>39442</v>
          </cell>
          <cell r="G540">
            <v>1</v>
          </cell>
          <cell r="H540">
            <v>249.93</v>
          </cell>
          <cell r="I540" t="str">
            <v>Destination DWJIO</v>
          </cell>
          <cell r="J540" t="str">
            <v>9012 rue Alsace-Lorraine</v>
          </cell>
          <cell r="K540" t="str">
            <v>Toulouse</v>
          </cell>
          <cell r="M540">
            <v>10217</v>
          </cell>
          <cell r="N540" t="str">
            <v>France</v>
          </cell>
        </row>
        <row r="541">
          <cell r="A541">
            <v>10788</v>
          </cell>
          <cell r="B541">
            <v>63</v>
          </cell>
          <cell r="C541">
            <v>1</v>
          </cell>
          <cell r="D541">
            <v>39438</v>
          </cell>
          <cell r="E541">
            <v>39466</v>
          </cell>
          <cell r="F541">
            <v>39466</v>
          </cell>
          <cell r="G541">
            <v>2</v>
          </cell>
          <cell r="H541">
            <v>42.7</v>
          </cell>
          <cell r="I541" t="str">
            <v>Ship to 63-C</v>
          </cell>
          <cell r="J541" t="str">
            <v>Taucherstraße 3456</v>
          </cell>
          <cell r="K541" t="str">
            <v>Cunewalde</v>
          </cell>
          <cell r="M541">
            <v>10281</v>
          </cell>
          <cell r="N541" t="str">
            <v>Germany</v>
          </cell>
        </row>
        <row r="542">
          <cell r="A542">
            <v>10789</v>
          </cell>
          <cell r="B542">
            <v>23</v>
          </cell>
          <cell r="C542">
            <v>1</v>
          </cell>
          <cell r="D542">
            <v>39438</v>
          </cell>
          <cell r="E542">
            <v>39466</v>
          </cell>
          <cell r="F542">
            <v>39447</v>
          </cell>
          <cell r="G542">
            <v>2</v>
          </cell>
          <cell r="H542">
            <v>100.6</v>
          </cell>
          <cell r="I542" t="str">
            <v>Destination PXQRR</v>
          </cell>
          <cell r="J542" t="str">
            <v>5678, chaussée de Tournai</v>
          </cell>
          <cell r="K542" t="str">
            <v>Lille</v>
          </cell>
          <cell r="M542">
            <v>10163</v>
          </cell>
          <cell r="N542" t="str">
            <v>France</v>
          </cell>
        </row>
        <row r="543">
          <cell r="A543">
            <v>10790</v>
          </cell>
          <cell r="B543">
            <v>31</v>
          </cell>
          <cell r="C543">
            <v>6</v>
          </cell>
          <cell r="D543">
            <v>39438</v>
          </cell>
          <cell r="E543">
            <v>39466</v>
          </cell>
          <cell r="F543">
            <v>39442</v>
          </cell>
          <cell r="G543">
            <v>1</v>
          </cell>
          <cell r="H543">
            <v>28.23</v>
          </cell>
          <cell r="I543" t="str">
            <v>Destination XOIGC</v>
          </cell>
          <cell r="J543" t="str">
            <v>Av. Brasil, 8901</v>
          </cell>
          <cell r="K543" t="str">
            <v>Campinas</v>
          </cell>
          <cell r="L543" t="str">
            <v>SP</v>
          </cell>
          <cell r="M543">
            <v>10186</v>
          </cell>
          <cell r="N543" t="str">
            <v>Brazil</v>
          </cell>
        </row>
        <row r="544">
          <cell r="A544">
            <v>10791</v>
          </cell>
          <cell r="B544">
            <v>25</v>
          </cell>
          <cell r="C544">
            <v>6</v>
          </cell>
          <cell r="D544">
            <v>39439</v>
          </cell>
          <cell r="E544">
            <v>39467</v>
          </cell>
          <cell r="F544">
            <v>39448</v>
          </cell>
          <cell r="G544">
            <v>2</v>
          </cell>
          <cell r="H544">
            <v>16.850000000000001</v>
          </cell>
          <cell r="I544" t="str">
            <v>Destination QOCBL</v>
          </cell>
          <cell r="J544" t="str">
            <v>Berliner Platz 1234</v>
          </cell>
          <cell r="K544" t="str">
            <v>München</v>
          </cell>
          <cell r="M544">
            <v>10169</v>
          </cell>
          <cell r="N544" t="str">
            <v>Germany</v>
          </cell>
        </row>
        <row r="545">
          <cell r="A545">
            <v>10792</v>
          </cell>
          <cell r="B545">
            <v>91</v>
          </cell>
          <cell r="C545">
            <v>1</v>
          </cell>
          <cell r="D545">
            <v>39439</v>
          </cell>
          <cell r="E545">
            <v>39467</v>
          </cell>
          <cell r="F545">
            <v>39447</v>
          </cell>
          <cell r="G545">
            <v>3</v>
          </cell>
          <cell r="H545">
            <v>23.79</v>
          </cell>
          <cell r="I545" t="str">
            <v>Ship to 91-C</v>
          </cell>
          <cell r="J545" t="str">
            <v>ul. Filtrowa 7890</v>
          </cell>
          <cell r="K545" t="str">
            <v>Warszawa</v>
          </cell>
          <cell r="M545">
            <v>10366</v>
          </cell>
          <cell r="N545" t="str">
            <v>Poland</v>
          </cell>
        </row>
        <row r="546">
          <cell r="A546">
            <v>10793</v>
          </cell>
          <cell r="B546">
            <v>4</v>
          </cell>
          <cell r="C546">
            <v>3</v>
          </cell>
          <cell r="D546">
            <v>39440</v>
          </cell>
          <cell r="E546">
            <v>39468</v>
          </cell>
          <cell r="F546">
            <v>39455</v>
          </cell>
          <cell r="G546">
            <v>3</v>
          </cell>
          <cell r="H546">
            <v>4.5199999999999996</v>
          </cell>
          <cell r="I546" t="str">
            <v>Ship to 4-B</v>
          </cell>
          <cell r="J546" t="str">
            <v>Brook Farm Stratford St. Mary 1234</v>
          </cell>
          <cell r="K546" t="str">
            <v>Colchester</v>
          </cell>
          <cell r="L546" t="str">
            <v>Essex</v>
          </cell>
          <cell r="M546">
            <v>10239</v>
          </cell>
          <cell r="N546" t="str">
            <v>UK</v>
          </cell>
        </row>
        <row r="547">
          <cell r="A547">
            <v>10794</v>
          </cell>
          <cell r="B547">
            <v>61</v>
          </cell>
          <cell r="C547">
            <v>6</v>
          </cell>
          <cell r="D547">
            <v>39440</v>
          </cell>
          <cell r="E547">
            <v>39468</v>
          </cell>
          <cell r="F547">
            <v>39449</v>
          </cell>
          <cell r="G547">
            <v>1</v>
          </cell>
          <cell r="H547">
            <v>21.49</v>
          </cell>
          <cell r="I547" t="str">
            <v>Ship to 61-C</v>
          </cell>
          <cell r="J547" t="str">
            <v>Rua da Panificadora, 7890</v>
          </cell>
          <cell r="K547" t="str">
            <v>Rio de Janeiro</v>
          </cell>
          <cell r="L547" t="str">
            <v>RJ</v>
          </cell>
          <cell r="M547">
            <v>10275</v>
          </cell>
          <cell r="N547" t="str">
            <v>Brazil</v>
          </cell>
        </row>
        <row r="548">
          <cell r="A548">
            <v>10795</v>
          </cell>
          <cell r="B548">
            <v>20</v>
          </cell>
          <cell r="C548">
            <v>8</v>
          </cell>
          <cell r="D548">
            <v>39440</v>
          </cell>
          <cell r="E548">
            <v>39468</v>
          </cell>
          <cell r="F548">
            <v>39467</v>
          </cell>
          <cell r="G548">
            <v>2</v>
          </cell>
          <cell r="H548">
            <v>126.66</v>
          </cell>
          <cell r="I548" t="str">
            <v>Destination FFXKT</v>
          </cell>
          <cell r="J548" t="str">
            <v>Kirchgasse 0123</v>
          </cell>
          <cell r="K548" t="str">
            <v>Graz</v>
          </cell>
          <cell r="M548">
            <v>10158</v>
          </cell>
          <cell r="N548" t="str">
            <v>Austria</v>
          </cell>
        </row>
        <row r="549">
          <cell r="A549">
            <v>10796</v>
          </cell>
          <cell r="B549">
            <v>35</v>
          </cell>
          <cell r="C549">
            <v>3</v>
          </cell>
          <cell r="D549">
            <v>39441</v>
          </cell>
          <cell r="E549">
            <v>39469</v>
          </cell>
          <cell r="F549">
            <v>39461</v>
          </cell>
          <cell r="G549">
            <v>1</v>
          </cell>
          <cell r="H549">
            <v>26.52</v>
          </cell>
          <cell r="I549" t="str">
            <v>Destination UOUWK</v>
          </cell>
          <cell r="J549" t="str">
            <v>Carrera 9012 con Ave. Carlos Soublette #8-35</v>
          </cell>
          <cell r="K549" t="str">
            <v>San Cristóbal</v>
          </cell>
          <cell r="L549" t="str">
            <v>Táchira</v>
          </cell>
          <cell r="M549">
            <v>10197</v>
          </cell>
          <cell r="N549" t="str">
            <v>Venezuela</v>
          </cell>
        </row>
        <row r="550">
          <cell r="A550">
            <v>10797</v>
          </cell>
          <cell r="B550">
            <v>17</v>
          </cell>
          <cell r="C550">
            <v>7</v>
          </cell>
          <cell r="D550">
            <v>39441</v>
          </cell>
          <cell r="E550">
            <v>39469</v>
          </cell>
          <cell r="F550">
            <v>39452</v>
          </cell>
          <cell r="G550">
            <v>2</v>
          </cell>
          <cell r="H550">
            <v>33.35</v>
          </cell>
          <cell r="I550" t="str">
            <v>Destination AJTHX</v>
          </cell>
          <cell r="J550" t="str">
            <v>Walserweg 9012</v>
          </cell>
          <cell r="K550" t="str">
            <v>Aachen</v>
          </cell>
          <cell r="M550">
            <v>10147</v>
          </cell>
          <cell r="N550" t="str">
            <v>Germany</v>
          </cell>
        </row>
        <row r="551">
          <cell r="A551">
            <v>10798</v>
          </cell>
          <cell r="B551">
            <v>38</v>
          </cell>
          <cell r="C551">
            <v>2</v>
          </cell>
          <cell r="D551">
            <v>39442</v>
          </cell>
          <cell r="E551">
            <v>39470</v>
          </cell>
          <cell r="F551">
            <v>39452</v>
          </cell>
          <cell r="G551">
            <v>1</v>
          </cell>
          <cell r="H551">
            <v>2.33</v>
          </cell>
          <cell r="I551" t="str">
            <v>Destination AXVHD</v>
          </cell>
          <cell r="J551" t="str">
            <v>Garden House Crowther Way 9012</v>
          </cell>
          <cell r="K551" t="str">
            <v>Cowes</v>
          </cell>
          <cell r="L551" t="str">
            <v>Isle of Wight</v>
          </cell>
          <cell r="M551">
            <v>10207</v>
          </cell>
          <cell r="N551" t="str">
            <v>UK</v>
          </cell>
        </row>
        <row r="552">
          <cell r="A552">
            <v>10799</v>
          </cell>
          <cell r="B552">
            <v>39</v>
          </cell>
          <cell r="C552">
            <v>9</v>
          </cell>
          <cell r="D552">
            <v>39442</v>
          </cell>
          <cell r="E552">
            <v>39484</v>
          </cell>
          <cell r="F552">
            <v>39452</v>
          </cell>
          <cell r="G552">
            <v>3</v>
          </cell>
          <cell r="H552">
            <v>30.76</v>
          </cell>
          <cell r="I552" t="str">
            <v>Destination DKMQA</v>
          </cell>
          <cell r="J552" t="str">
            <v>Maubelstr. 0123</v>
          </cell>
          <cell r="K552" t="str">
            <v>Brandenburg</v>
          </cell>
          <cell r="M552">
            <v>10208</v>
          </cell>
          <cell r="N552" t="str">
            <v>Germany</v>
          </cell>
        </row>
        <row r="553">
          <cell r="A553">
            <v>10800</v>
          </cell>
          <cell r="B553">
            <v>72</v>
          </cell>
          <cell r="C553">
            <v>1</v>
          </cell>
          <cell r="D553">
            <v>39442</v>
          </cell>
          <cell r="E553">
            <v>39470</v>
          </cell>
          <cell r="F553">
            <v>39452</v>
          </cell>
          <cell r="G553">
            <v>3</v>
          </cell>
          <cell r="H553">
            <v>137.44</v>
          </cell>
          <cell r="I553" t="str">
            <v>Ship to 72-C</v>
          </cell>
          <cell r="J553" t="str">
            <v>1234 Wadhurst Rd.</v>
          </cell>
          <cell r="K553" t="str">
            <v>London</v>
          </cell>
          <cell r="M553">
            <v>10309</v>
          </cell>
          <cell r="N553" t="str">
            <v>UK</v>
          </cell>
        </row>
        <row r="554">
          <cell r="A554">
            <v>10801</v>
          </cell>
          <cell r="B554">
            <v>8</v>
          </cell>
          <cell r="C554">
            <v>4</v>
          </cell>
          <cell r="D554">
            <v>39445</v>
          </cell>
          <cell r="E554">
            <v>39473</v>
          </cell>
          <cell r="F554">
            <v>39447</v>
          </cell>
          <cell r="G554">
            <v>2</v>
          </cell>
          <cell r="H554">
            <v>97.09</v>
          </cell>
          <cell r="I554" t="str">
            <v>Ship to 8-C</v>
          </cell>
          <cell r="J554" t="str">
            <v>C/ Araquil, 1234</v>
          </cell>
          <cell r="K554" t="str">
            <v>Madrid</v>
          </cell>
          <cell r="M554">
            <v>10360</v>
          </cell>
          <cell r="N554" t="str">
            <v>Spain</v>
          </cell>
        </row>
        <row r="555">
          <cell r="A555">
            <v>10802</v>
          </cell>
          <cell r="B555">
            <v>73</v>
          </cell>
          <cell r="C555">
            <v>4</v>
          </cell>
          <cell r="D555">
            <v>39445</v>
          </cell>
          <cell r="E555">
            <v>39473</v>
          </cell>
          <cell r="F555">
            <v>39449</v>
          </cell>
          <cell r="G555">
            <v>2</v>
          </cell>
          <cell r="H555">
            <v>257.26</v>
          </cell>
          <cell r="I555" t="str">
            <v>Ship to 73-A</v>
          </cell>
          <cell r="J555" t="str">
            <v>Vinbæltet 1234</v>
          </cell>
          <cell r="K555" t="str">
            <v>Kobenhavn</v>
          </cell>
          <cell r="M555">
            <v>10310</v>
          </cell>
          <cell r="N555" t="str">
            <v>Denmark</v>
          </cell>
        </row>
        <row r="556">
          <cell r="A556">
            <v>10803</v>
          </cell>
          <cell r="B556">
            <v>88</v>
          </cell>
          <cell r="C556">
            <v>4</v>
          </cell>
          <cell r="D556">
            <v>39446</v>
          </cell>
          <cell r="E556">
            <v>39474</v>
          </cell>
          <cell r="F556">
            <v>39453</v>
          </cell>
          <cell r="G556">
            <v>1</v>
          </cell>
          <cell r="H556">
            <v>55.23</v>
          </cell>
          <cell r="I556" t="str">
            <v>Ship to 88-B</v>
          </cell>
          <cell r="J556" t="str">
            <v>Rua do Mercado, 5678</v>
          </cell>
          <cell r="K556" t="str">
            <v>Resende</v>
          </cell>
          <cell r="L556" t="str">
            <v>SP</v>
          </cell>
          <cell r="M556">
            <v>10354</v>
          </cell>
          <cell r="N556" t="str">
            <v>Brazil</v>
          </cell>
        </row>
        <row r="557">
          <cell r="A557">
            <v>10804</v>
          </cell>
          <cell r="B557">
            <v>72</v>
          </cell>
          <cell r="C557">
            <v>6</v>
          </cell>
          <cell r="D557">
            <v>39446</v>
          </cell>
          <cell r="E557">
            <v>39474</v>
          </cell>
          <cell r="F557">
            <v>39454</v>
          </cell>
          <cell r="G557">
            <v>2</v>
          </cell>
          <cell r="H557">
            <v>27.33</v>
          </cell>
          <cell r="I557" t="str">
            <v>Ship to 72-C</v>
          </cell>
          <cell r="J557" t="str">
            <v>1234 Wadhurst Rd.</v>
          </cell>
          <cell r="K557" t="str">
            <v>London</v>
          </cell>
          <cell r="M557">
            <v>10309</v>
          </cell>
          <cell r="N557" t="str">
            <v>UK</v>
          </cell>
        </row>
        <row r="558">
          <cell r="A558">
            <v>10805</v>
          </cell>
          <cell r="B558">
            <v>77</v>
          </cell>
          <cell r="C558">
            <v>2</v>
          </cell>
          <cell r="D558">
            <v>39446</v>
          </cell>
          <cell r="E558">
            <v>39474</v>
          </cell>
          <cell r="F558">
            <v>39456</v>
          </cell>
          <cell r="G558">
            <v>3</v>
          </cell>
          <cell r="H558">
            <v>237.34</v>
          </cell>
          <cell r="I558" t="str">
            <v>Ship to 77-A</v>
          </cell>
          <cell r="J558" t="str">
            <v>1234 Jefferson Way Suite 2</v>
          </cell>
          <cell r="K558" t="str">
            <v>Portland</v>
          </cell>
          <cell r="L558" t="str">
            <v>OR</v>
          </cell>
          <cell r="M558">
            <v>10320</v>
          </cell>
          <cell r="N558" t="str">
            <v>USA</v>
          </cell>
        </row>
        <row r="559">
          <cell r="A559">
            <v>10806</v>
          </cell>
          <cell r="B559">
            <v>84</v>
          </cell>
          <cell r="C559">
            <v>3</v>
          </cell>
          <cell r="D559">
            <v>39447</v>
          </cell>
          <cell r="E559">
            <v>39475</v>
          </cell>
          <cell r="F559">
            <v>39452</v>
          </cell>
          <cell r="G559">
            <v>2</v>
          </cell>
          <cell r="H559">
            <v>22.11</v>
          </cell>
          <cell r="I559" t="str">
            <v>Ship to 84-C</v>
          </cell>
          <cell r="J559" t="str">
            <v>5678, rue du Commerce</v>
          </cell>
          <cell r="K559" t="str">
            <v>Lyon</v>
          </cell>
          <cell r="M559">
            <v>10344</v>
          </cell>
          <cell r="N559" t="str">
            <v>France</v>
          </cell>
        </row>
        <row r="560">
          <cell r="A560">
            <v>10807</v>
          </cell>
          <cell r="B560">
            <v>27</v>
          </cell>
          <cell r="C560">
            <v>4</v>
          </cell>
          <cell r="D560">
            <v>39447</v>
          </cell>
          <cell r="E560">
            <v>39475</v>
          </cell>
          <cell r="F560">
            <v>39477</v>
          </cell>
          <cell r="G560">
            <v>1</v>
          </cell>
          <cell r="H560">
            <v>1.36</v>
          </cell>
          <cell r="I560" t="str">
            <v>Destination XNLFB</v>
          </cell>
          <cell r="J560" t="str">
            <v>Via Monte Bianco 5678</v>
          </cell>
          <cell r="K560" t="str">
            <v>Torino</v>
          </cell>
          <cell r="M560">
            <v>10173</v>
          </cell>
          <cell r="N560" t="str">
            <v>Italy</v>
          </cell>
        </row>
        <row r="561">
          <cell r="A561">
            <v>10808</v>
          </cell>
          <cell r="B561">
            <v>55</v>
          </cell>
          <cell r="C561">
            <v>2</v>
          </cell>
          <cell r="D561">
            <v>39448</v>
          </cell>
          <cell r="E561">
            <v>39476</v>
          </cell>
          <cell r="F561">
            <v>39456</v>
          </cell>
          <cell r="G561">
            <v>3</v>
          </cell>
          <cell r="H561">
            <v>45.53</v>
          </cell>
          <cell r="I561" t="str">
            <v>Ship to 55-B</v>
          </cell>
          <cell r="J561" t="str">
            <v>8901 Bering St.</v>
          </cell>
          <cell r="K561" t="str">
            <v>Anchorage</v>
          </cell>
          <cell r="L561" t="str">
            <v>AK</v>
          </cell>
          <cell r="M561">
            <v>10256</v>
          </cell>
          <cell r="N561" t="str">
            <v>USA</v>
          </cell>
        </row>
        <row r="562">
          <cell r="A562">
            <v>10809</v>
          </cell>
          <cell r="B562">
            <v>88</v>
          </cell>
          <cell r="C562">
            <v>7</v>
          </cell>
          <cell r="D562">
            <v>39448</v>
          </cell>
          <cell r="E562">
            <v>39476</v>
          </cell>
          <cell r="F562">
            <v>39454</v>
          </cell>
          <cell r="G562">
            <v>1</v>
          </cell>
          <cell r="H562">
            <v>4.87</v>
          </cell>
          <cell r="I562" t="str">
            <v>Ship to 88-C</v>
          </cell>
          <cell r="J562" t="str">
            <v>Rua do Mercado, 6789</v>
          </cell>
          <cell r="K562" t="str">
            <v>Resende</v>
          </cell>
          <cell r="L562" t="str">
            <v>SP</v>
          </cell>
          <cell r="M562">
            <v>10355</v>
          </cell>
          <cell r="N562" t="str">
            <v>Brazil</v>
          </cell>
        </row>
        <row r="563">
          <cell r="A563">
            <v>10810</v>
          </cell>
          <cell r="B563">
            <v>42</v>
          </cell>
          <cell r="C563">
            <v>2</v>
          </cell>
          <cell r="D563">
            <v>39448</v>
          </cell>
          <cell r="E563">
            <v>39476</v>
          </cell>
          <cell r="F563">
            <v>39454</v>
          </cell>
          <cell r="G563">
            <v>3</v>
          </cell>
          <cell r="H563">
            <v>4.33</v>
          </cell>
          <cell r="I563" t="str">
            <v>Ship to 42-A</v>
          </cell>
          <cell r="J563" t="str">
            <v>1234 Elm St.</v>
          </cell>
          <cell r="K563" t="str">
            <v>Vancouver</v>
          </cell>
          <cell r="L563" t="str">
            <v>BC</v>
          </cell>
          <cell r="M563">
            <v>10219</v>
          </cell>
          <cell r="N563" t="str">
            <v>Canada</v>
          </cell>
        </row>
        <row r="564">
          <cell r="A564">
            <v>10811</v>
          </cell>
          <cell r="B564">
            <v>47</v>
          </cell>
          <cell r="C564">
            <v>8</v>
          </cell>
          <cell r="D564">
            <v>39449</v>
          </cell>
          <cell r="E564">
            <v>39477</v>
          </cell>
          <cell r="F564">
            <v>39455</v>
          </cell>
          <cell r="G564">
            <v>1</v>
          </cell>
          <cell r="H564">
            <v>31.22</v>
          </cell>
          <cell r="I564" t="str">
            <v>Ship to 47-B</v>
          </cell>
          <cell r="J564" t="str">
            <v>Ave. 5 de Mayo Porlamar 4567</v>
          </cell>
          <cell r="K564" t="str">
            <v>I. de Margarita</v>
          </cell>
          <cell r="L564" t="str">
            <v>Nueva Esparta</v>
          </cell>
          <cell r="M564">
            <v>10231</v>
          </cell>
          <cell r="N564" t="str">
            <v>Venezuela</v>
          </cell>
        </row>
        <row r="565">
          <cell r="A565">
            <v>10812</v>
          </cell>
          <cell r="B565">
            <v>66</v>
          </cell>
          <cell r="C565">
            <v>5</v>
          </cell>
          <cell r="D565">
            <v>39449</v>
          </cell>
          <cell r="E565">
            <v>39477</v>
          </cell>
          <cell r="F565">
            <v>39459</v>
          </cell>
          <cell r="G565">
            <v>1</v>
          </cell>
          <cell r="H565">
            <v>59.78</v>
          </cell>
          <cell r="I565" t="str">
            <v>Ship to 66-B</v>
          </cell>
          <cell r="J565" t="str">
            <v>Strada Provinciale 1234</v>
          </cell>
          <cell r="K565" t="str">
            <v>Reggio Emilia</v>
          </cell>
          <cell r="M565">
            <v>10289</v>
          </cell>
          <cell r="N565" t="str">
            <v>Italy</v>
          </cell>
        </row>
        <row r="566">
          <cell r="A566">
            <v>10813</v>
          </cell>
          <cell r="B566">
            <v>67</v>
          </cell>
          <cell r="C566">
            <v>1</v>
          </cell>
          <cell r="D566">
            <v>39452</v>
          </cell>
          <cell r="E566">
            <v>39480</v>
          </cell>
          <cell r="F566">
            <v>39456</v>
          </cell>
          <cell r="G566">
            <v>1</v>
          </cell>
          <cell r="H566">
            <v>47.38</v>
          </cell>
          <cell r="I566" t="str">
            <v>Ship to 67-C</v>
          </cell>
          <cell r="J566" t="str">
            <v>Av. Copacabana, 5678</v>
          </cell>
          <cell r="K566" t="str">
            <v>Rio de Janeiro</v>
          </cell>
          <cell r="L566" t="str">
            <v>RJ</v>
          </cell>
          <cell r="M566">
            <v>10293</v>
          </cell>
          <cell r="N566" t="str">
            <v>Brazil</v>
          </cell>
        </row>
        <row r="567">
          <cell r="A567">
            <v>10814</v>
          </cell>
          <cell r="B567">
            <v>84</v>
          </cell>
          <cell r="C567">
            <v>3</v>
          </cell>
          <cell r="D567">
            <v>39452</v>
          </cell>
          <cell r="E567">
            <v>39480</v>
          </cell>
          <cell r="F567">
            <v>39461</v>
          </cell>
          <cell r="G567">
            <v>3</v>
          </cell>
          <cell r="H567">
            <v>130.94</v>
          </cell>
          <cell r="I567" t="str">
            <v>Ship to 84-B</v>
          </cell>
          <cell r="J567" t="str">
            <v>4567, rue du Commerce</v>
          </cell>
          <cell r="K567" t="str">
            <v>Lyon</v>
          </cell>
          <cell r="M567">
            <v>10343</v>
          </cell>
          <cell r="N567" t="str">
            <v>France</v>
          </cell>
        </row>
        <row r="568">
          <cell r="A568">
            <v>10815</v>
          </cell>
          <cell r="B568">
            <v>71</v>
          </cell>
          <cell r="C568">
            <v>2</v>
          </cell>
          <cell r="D568">
            <v>39452</v>
          </cell>
          <cell r="E568">
            <v>39480</v>
          </cell>
          <cell r="F568">
            <v>39461</v>
          </cell>
          <cell r="G568">
            <v>3</v>
          </cell>
          <cell r="H568">
            <v>14.62</v>
          </cell>
          <cell r="I568" t="str">
            <v>Ship to 71-A</v>
          </cell>
          <cell r="J568" t="str">
            <v>7890 Suffolk Ln.</v>
          </cell>
          <cell r="K568" t="str">
            <v>Boise</v>
          </cell>
          <cell r="L568" t="str">
            <v>ID</v>
          </cell>
          <cell r="M568">
            <v>10305</v>
          </cell>
          <cell r="N568" t="str">
            <v>USA</v>
          </cell>
        </row>
        <row r="569">
          <cell r="A569">
            <v>10816</v>
          </cell>
          <cell r="B569">
            <v>32</v>
          </cell>
          <cell r="C569">
            <v>4</v>
          </cell>
          <cell r="D569">
            <v>39453</v>
          </cell>
          <cell r="E569">
            <v>39481</v>
          </cell>
          <cell r="F569">
            <v>39482</v>
          </cell>
          <cell r="G569">
            <v>2</v>
          </cell>
          <cell r="H569">
            <v>719.78</v>
          </cell>
          <cell r="I569" t="str">
            <v>Destination AVQUS</v>
          </cell>
          <cell r="J569" t="str">
            <v>2345 Baker Blvd.</v>
          </cell>
          <cell r="K569" t="str">
            <v>Eugene</v>
          </cell>
          <cell r="L569" t="str">
            <v>OR</v>
          </cell>
          <cell r="M569">
            <v>10190</v>
          </cell>
          <cell r="N569" t="str">
            <v>USA</v>
          </cell>
        </row>
        <row r="570">
          <cell r="A570">
            <v>10817</v>
          </cell>
          <cell r="B570">
            <v>39</v>
          </cell>
          <cell r="C570">
            <v>3</v>
          </cell>
          <cell r="D570">
            <v>39453</v>
          </cell>
          <cell r="E570">
            <v>39467</v>
          </cell>
          <cell r="F570">
            <v>39460</v>
          </cell>
          <cell r="G570">
            <v>2</v>
          </cell>
          <cell r="H570">
            <v>306.07</v>
          </cell>
          <cell r="I570" t="str">
            <v>Destination RMBHM</v>
          </cell>
          <cell r="J570" t="str">
            <v>Maubelstr. 1234</v>
          </cell>
          <cell r="K570" t="str">
            <v>Brandenburg</v>
          </cell>
          <cell r="M570">
            <v>10209</v>
          </cell>
          <cell r="N570" t="str">
            <v>Germany</v>
          </cell>
        </row>
        <row r="571">
          <cell r="A571">
            <v>10818</v>
          </cell>
          <cell r="B571">
            <v>49</v>
          </cell>
          <cell r="C571">
            <v>7</v>
          </cell>
          <cell r="D571">
            <v>39454</v>
          </cell>
          <cell r="E571">
            <v>39482</v>
          </cell>
          <cell r="F571">
            <v>39459</v>
          </cell>
          <cell r="G571">
            <v>3</v>
          </cell>
          <cell r="H571">
            <v>65.48</v>
          </cell>
          <cell r="I571" t="str">
            <v>Ship to 49-B</v>
          </cell>
          <cell r="J571" t="str">
            <v>Via Ludovico il Moro 9012</v>
          </cell>
          <cell r="K571" t="str">
            <v>Bergamo</v>
          </cell>
          <cell r="M571">
            <v>10236</v>
          </cell>
          <cell r="N571" t="str">
            <v>Italy</v>
          </cell>
        </row>
        <row r="572">
          <cell r="A572">
            <v>10819</v>
          </cell>
          <cell r="B572">
            <v>12</v>
          </cell>
          <cell r="C572">
            <v>2</v>
          </cell>
          <cell r="D572">
            <v>39454</v>
          </cell>
          <cell r="E572">
            <v>39482</v>
          </cell>
          <cell r="F572">
            <v>39463</v>
          </cell>
          <cell r="G572">
            <v>3</v>
          </cell>
          <cell r="H572">
            <v>19.760000000000002</v>
          </cell>
          <cell r="I572" t="str">
            <v>Destination QTHBC</v>
          </cell>
          <cell r="J572" t="str">
            <v>Cerrito 6789</v>
          </cell>
          <cell r="K572" t="str">
            <v>Buenos Aires</v>
          </cell>
          <cell r="M572">
            <v>10134</v>
          </cell>
          <cell r="N572" t="str">
            <v>Argentina</v>
          </cell>
        </row>
        <row r="573">
          <cell r="A573">
            <v>10820</v>
          </cell>
          <cell r="B573">
            <v>65</v>
          </cell>
          <cell r="C573">
            <v>3</v>
          </cell>
          <cell r="D573">
            <v>39454</v>
          </cell>
          <cell r="E573">
            <v>39482</v>
          </cell>
          <cell r="F573">
            <v>39460</v>
          </cell>
          <cell r="G573">
            <v>2</v>
          </cell>
          <cell r="H573">
            <v>37.520000000000003</v>
          </cell>
          <cell r="I573" t="str">
            <v>Ship to 65-B</v>
          </cell>
          <cell r="J573" t="str">
            <v>8901 Milton Dr.</v>
          </cell>
          <cell r="K573" t="str">
            <v>Albuquerque</v>
          </cell>
          <cell r="L573" t="str">
            <v>NM</v>
          </cell>
          <cell r="M573">
            <v>10286</v>
          </cell>
          <cell r="N573" t="str">
            <v>USA</v>
          </cell>
        </row>
        <row r="574">
          <cell r="A574">
            <v>10821</v>
          </cell>
          <cell r="B574">
            <v>75</v>
          </cell>
          <cell r="C574">
            <v>1</v>
          </cell>
          <cell r="D574">
            <v>39455</v>
          </cell>
          <cell r="E574">
            <v>39483</v>
          </cell>
          <cell r="F574">
            <v>39462</v>
          </cell>
          <cell r="G574">
            <v>1</v>
          </cell>
          <cell r="H574">
            <v>36.68</v>
          </cell>
          <cell r="I574" t="str">
            <v>Ship to 75-A</v>
          </cell>
          <cell r="J574" t="str">
            <v>P.O. Box 5678</v>
          </cell>
          <cell r="K574" t="str">
            <v>Lander</v>
          </cell>
          <cell r="L574" t="str">
            <v>WY</v>
          </cell>
          <cell r="M574">
            <v>10314</v>
          </cell>
          <cell r="N574" t="str">
            <v>USA</v>
          </cell>
        </row>
        <row r="575">
          <cell r="A575">
            <v>10822</v>
          </cell>
          <cell r="B575">
            <v>82</v>
          </cell>
          <cell r="C575">
            <v>6</v>
          </cell>
          <cell r="D575">
            <v>39455</v>
          </cell>
          <cell r="E575">
            <v>39483</v>
          </cell>
          <cell r="F575">
            <v>39463</v>
          </cell>
          <cell r="G575">
            <v>3</v>
          </cell>
          <cell r="H575">
            <v>7</v>
          </cell>
          <cell r="I575" t="str">
            <v>Ship to 82-B</v>
          </cell>
          <cell r="J575" t="str">
            <v>9012 DaVinci Blvd.</v>
          </cell>
          <cell r="K575" t="str">
            <v>Kirkland</v>
          </cell>
          <cell r="L575" t="str">
            <v>WA</v>
          </cell>
          <cell r="M575">
            <v>10338</v>
          </cell>
          <cell r="N575" t="str">
            <v>USA</v>
          </cell>
        </row>
        <row r="576">
          <cell r="A576">
            <v>10823</v>
          </cell>
          <cell r="B576">
            <v>46</v>
          </cell>
          <cell r="C576">
            <v>5</v>
          </cell>
          <cell r="D576">
            <v>39456</v>
          </cell>
          <cell r="E576">
            <v>39484</v>
          </cell>
          <cell r="F576">
            <v>39460</v>
          </cell>
          <cell r="G576">
            <v>2</v>
          </cell>
          <cell r="H576">
            <v>163.97</v>
          </cell>
          <cell r="I576" t="str">
            <v>Ship to 46-A</v>
          </cell>
          <cell r="J576" t="str">
            <v>Carrera 0123 con Ave. Bolívar #65-98 Llano Largo</v>
          </cell>
          <cell r="K576" t="str">
            <v>Barquisimeto</v>
          </cell>
          <cell r="L576" t="str">
            <v>Lara</v>
          </cell>
          <cell r="M576">
            <v>10227</v>
          </cell>
          <cell r="N576" t="str">
            <v>Venezuela</v>
          </cell>
        </row>
        <row r="577">
          <cell r="A577">
            <v>10824</v>
          </cell>
          <cell r="B577">
            <v>24</v>
          </cell>
          <cell r="C577">
            <v>8</v>
          </cell>
          <cell r="D577">
            <v>39456</v>
          </cell>
          <cell r="E577">
            <v>39484</v>
          </cell>
          <cell r="F577">
            <v>39477</v>
          </cell>
          <cell r="G577">
            <v>1</v>
          </cell>
          <cell r="H577">
            <v>1.23</v>
          </cell>
          <cell r="I577" t="str">
            <v>Destination NCKKO</v>
          </cell>
          <cell r="J577" t="str">
            <v>Åkergatan 7890</v>
          </cell>
          <cell r="K577" t="str">
            <v>Bräcke</v>
          </cell>
          <cell r="M577">
            <v>10165</v>
          </cell>
          <cell r="N577" t="str">
            <v>Sweden</v>
          </cell>
        </row>
        <row r="578">
          <cell r="A578">
            <v>10825</v>
          </cell>
          <cell r="B578">
            <v>17</v>
          </cell>
          <cell r="C578">
            <v>1</v>
          </cell>
          <cell r="D578">
            <v>39456</v>
          </cell>
          <cell r="E578">
            <v>39484</v>
          </cell>
          <cell r="F578">
            <v>39461</v>
          </cell>
          <cell r="G578">
            <v>1</v>
          </cell>
          <cell r="H578">
            <v>79.25</v>
          </cell>
          <cell r="I578" t="str">
            <v>Destination BJCXA</v>
          </cell>
          <cell r="J578" t="str">
            <v>Walserweg 7890</v>
          </cell>
          <cell r="K578" t="str">
            <v>Aachen</v>
          </cell>
          <cell r="M578">
            <v>10145</v>
          </cell>
          <cell r="N578" t="str">
            <v>Germany</v>
          </cell>
        </row>
        <row r="579">
          <cell r="A579">
            <v>10826</v>
          </cell>
          <cell r="B579">
            <v>7</v>
          </cell>
          <cell r="C579">
            <v>6</v>
          </cell>
          <cell r="D579">
            <v>39459</v>
          </cell>
          <cell r="E579">
            <v>39487</v>
          </cell>
          <cell r="F579">
            <v>39484</v>
          </cell>
          <cell r="G579">
            <v>1</v>
          </cell>
          <cell r="H579">
            <v>7.09</v>
          </cell>
          <cell r="I579" t="str">
            <v>Ship to 7-C</v>
          </cell>
          <cell r="J579" t="str">
            <v>2345, place Kléber</v>
          </cell>
          <cell r="K579" t="str">
            <v>Strasbourg</v>
          </cell>
          <cell r="M579">
            <v>10331</v>
          </cell>
          <cell r="N579" t="str">
            <v>France</v>
          </cell>
        </row>
        <row r="580">
          <cell r="A580">
            <v>10827</v>
          </cell>
          <cell r="B580">
            <v>9</v>
          </cell>
          <cell r="C580">
            <v>1</v>
          </cell>
          <cell r="D580">
            <v>39459</v>
          </cell>
          <cell r="E580">
            <v>39473</v>
          </cell>
          <cell r="F580">
            <v>39484</v>
          </cell>
          <cell r="G580">
            <v>2</v>
          </cell>
          <cell r="H580">
            <v>63.54</v>
          </cell>
          <cell r="I580" t="str">
            <v>Ship to 9-B</v>
          </cell>
          <cell r="J580" t="str">
            <v>9012, rue des Bouchers</v>
          </cell>
          <cell r="K580" t="str">
            <v>Marseille</v>
          </cell>
          <cell r="M580">
            <v>10368</v>
          </cell>
          <cell r="N580" t="str">
            <v>France</v>
          </cell>
        </row>
        <row r="581">
          <cell r="A581">
            <v>10828</v>
          </cell>
          <cell r="B581">
            <v>64</v>
          </cell>
          <cell r="C581">
            <v>9</v>
          </cell>
          <cell r="D581">
            <v>39460</v>
          </cell>
          <cell r="E581">
            <v>39474</v>
          </cell>
          <cell r="F581">
            <v>39482</v>
          </cell>
          <cell r="G581">
            <v>1</v>
          </cell>
          <cell r="H581">
            <v>90.85</v>
          </cell>
          <cell r="I581" t="str">
            <v>Ship to 64-B</v>
          </cell>
          <cell r="J581" t="str">
            <v>Av. del Libertador 5678</v>
          </cell>
          <cell r="K581" t="str">
            <v>Buenos Aires</v>
          </cell>
          <cell r="M581">
            <v>10283</v>
          </cell>
          <cell r="N581" t="str">
            <v>Argentina</v>
          </cell>
        </row>
        <row r="582">
          <cell r="A582">
            <v>10829</v>
          </cell>
          <cell r="B582">
            <v>38</v>
          </cell>
          <cell r="C582">
            <v>9</v>
          </cell>
          <cell r="D582">
            <v>39460</v>
          </cell>
          <cell r="E582">
            <v>39488</v>
          </cell>
          <cell r="F582">
            <v>39470</v>
          </cell>
          <cell r="G582">
            <v>1</v>
          </cell>
          <cell r="H582">
            <v>154.72</v>
          </cell>
          <cell r="I582" t="str">
            <v>Destination QVTLW</v>
          </cell>
          <cell r="J582" t="str">
            <v>Garden House Crowther Way 7890</v>
          </cell>
          <cell r="K582" t="str">
            <v>Cowes</v>
          </cell>
          <cell r="L582" t="str">
            <v>Isle of Wight</v>
          </cell>
          <cell r="M582">
            <v>10205</v>
          </cell>
          <cell r="N582" t="str">
            <v>UK</v>
          </cell>
        </row>
        <row r="583">
          <cell r="A583">
            <v>10830</v>
          </cell>
          <cell r="B583">
            <v>81</v>
          </cell>
          <cell r="C583">
            <v>4</v>
          </cell>
          <cell r="D583">
            <v>39460</v>
          </cell>
          <cell r="E583">
            <v>39502</v>
          </cell>
          <cell r="F583">
            <v>39468</v>
          </cell>
          <cell r="G583">
            <v>2</v>
          </cell>
          <cell r="H583">
            <v>81.83</v>
          </cell>
          <cell r="I583" t="str">
            <v>Ship to 81-C</v>
          </cell>
          <cell r="J583" t="str">
            <v>Av. Inês de Castro, 7890</v>
          </cell>
          <cell r="K583" t="str">
            <v>Sao Paulo</v>
          </cell>
          <cell r="L583" t="str">
            <v>SP</v>
          </cell>
          <cell r="M583">
            <v>10336</v>
          </cell>
          <cell r="N583" t="str">
            <v>Brazil</v>
          </cell>
        </row>
        <row r="584">
          <cell r="A584">
            <v>10831</v>
          </cell>
          <cell r="B584">
            <v>70</v>
          </cell>
          <cell r="C584">
            <v>3</v>
          </cell>
          <cell r="D584">
            <v>39461</v>
          </cell>
          <cell r="E584">
            <v>39489</v>
          </cell>
          <cell r="F584">
            <v>39470</v>
          </cell>
          <cell r="G584">
            <v>2</v>
          </cell>
          <cell r="H584">
            <v>72.19</v>
          </cell>
          <cell r="I584" t="str">
            <v>Ship to 70-B</v>
          </cell>
          <cell r="J584" t="str">
            <v>Erling Skakkes gate 5678</v>
          </cell>
          <cell r="K584" t="str">
            <v>Stavern</v>
          </cell>
          <cell r="M584">
            <v>10303</v>
          </cell>
          <cell r="N584" t="str">
            <v>Norway</v>
          </cell>
        </row>
        <row r="585">
          <cell r="A585">
            <v>10832</v>
          </cell>
          <cell r="B585">
            <v>41</v>
          </cell>
          <cell r="C585">
            <v>2</v>
          </cell>
          <cell r="D585">
            <v>39461</v>
          </cell>
          <cell r="E585">
            <v>39489</v>
          </cell>
          <cell r="F585">
            <v>39466</v>
          </cell>
          <cell r="G585">
            <v>2</v>
          </cell>
          <cell r="H585">
            <v>43.26</v>
          </cell>
          <cell r="I585" t="str">
            <v>Ship to 41-C</v>
          </cell>
          <cell r="J585" t="str">
            <v>0123 rue Alsace-Lorraine</v>
          </cell>
          <cell r="K585" t="str">
            <v>Toulouse</v>
          </cell>
          <cell r="M585">
            <v>10218</v>
          </cell>
          <cell r="N585" t="str">
            <v>France</v>
          </cell>
        </row>
        <row r="586">
          <cell r="A586">
            <v>10833</v>
          </cell>
          <cell r="B586">
            <v>56</v>
          </cell>
          <cell r="C586">
            <v>6</v>
          </cell>
          <cell r="D586">
            <v>39462</v>
          </cell>
          <cell r="E586">
            <v>39490</v>
          </cell>
          <cell r="F586">
            <v>39470</v>
          </cell>
          <cell r="G586">
            <v>2</v>
          </cell>
          <cell r="H586">
            <v>71.489999999999995</v>
          </cell>
          <cell r="I586" t="str">
            <v>Ship to 56-B</v>
          </cell>
          <cell r="J586" t="str">
            <v>Mehrheimerstr. 1234</v>
          </cell>
          <cell r="K586" t="str">
            <v>Köln</v>
          </cell>
          <cell r="M586">
            <v>10259</v>
          </cell>
          <cell r="N586" t="str">
            <v>Germany</v>
          </cell>
        </row>
        <row r="587">
          <cell r="A587">
            <v>10834</v>
          </cell>
          <cell r="B587">
            <v>81</v>
          </cell>
          <cell r="C587">
            <v>1</v>
          </cell>
          <cell r="D587">
            <v>39462</v>
          </cell>
          <cell r="E587">
            <v>39490</v>
          </cell>
          <cell r="F587">
            <v>39466</v>
          </cell>
          <cell r="G587">
            <v>3</v>
          </cell>
          <cell r="H587">
            <v>29.78</v>
          </cell>
          <cell r="I587" t="str">
            <v>Ship to 81-A</v>
          </cell>
          <cell r="J587" t="str">
            <v>Av. Inês de Castro, 6789</v>
          </cell>
          <cell r="K587" t="str">
            <v>Sao Paulo</v>
          </cell>
          <cell r="L587" t="str">
            <v>SP</v>
          </cell>
          <cell r="M587">
            <v>10335</v>
          </cell>
          <cell r="N587" t="str">
            <v>Brazil</v>
          </cell>
        </row>
        <row r="588">
          <cell r="A588">
            <v>10835</v>
          </cell>
          <cell r="B588">
            <v>1</v>
          </cell>
          <cell r="C588">
            <v>1</v>
          </cell>
          <cell r="D588">
            <v>39462</v>
          </cell>
          <cell r="E588">
            <v>39490</v>
          </cell>
          <cell r="F588">
            <v>39468</v>
          </cell>
          <cell r="G588">
            <v>3</v>
          </cell>
          <cell r="H588">
            <v>69.53</v>
          </cell>
          <cell r="I588" t="str">
            <v>Destination LOUIE</v>
          </cell>
          <cell r="J588" t="str">
            <v>Obere Str. 6789</v>
          </cell>
          <cell r="K588" t="str">
            <v>Berlin</v>
          </cell>
          <cell r="M588">
            <v>10154</v>
          </cell>
          <cell r="N588" t="str">
            <v>Germany</v>
          </cell>
        </row>
        <row r="589">
          <cell r="A589">
            <v>10836</v>
          </cell>
          <cell r="B589">
            <v>20</v>
          </cell>
          <cell r="C589">
            <v>7</v>
          </cell>
          <cell r="D589">
            <v>39463</v>
          </cell>
          <cell r="E589">
            <v>39491</v>
          </cell>
          <cell r="F589">
            <v>39468</v>
          </cell>
          <cell r="G589">
            <v>1</v>
          </cell>
          <cell r="H589">
            <v>411.88</v>
          </cell>
          <cell r="I589" t="str">
            <v>Destination CUVPF</v>
          </cell>
          <cell r="J589" t="str">
            <v>Kirchgasse 1234</v>
          </cell>
          <cell r="K589" t="str">
            <v>Graz</v>
          </cell>
          <cell r="M589">
            <v>10159</v>
          </cell>
          <cell r="N589" t="str">
            <v>Austria</v>
          </cell>
        </row>
        <row r="590">
          <cell r="A590">
            <v>10837</v>
          </cell>
          <cell r="B590">
            <v>5</v>
          </cell>
          <cell r="C590">
            <v>9</v>
          </cell>
          <cell r="D590">
            <v>39463</v>
          </cell>
          <cell r="E590">
            <v>39491</v>
          </cell>
          <cell r="F590">
            <v>39470</v>
          </cell>
          <cell r="G590">
            <v>3</v>
          </cell>
          <cell r="H590">
            <v>13.32</v>
          </cell>
          <cell r="I590" t="str">
            <v>Ship to 5-A</v>
          </cell>
          <cell r="J590" t="str">
            <v>Berguvsvägen 9012</v>
          </cell>
          <cell r="K590" t="str">
            <v>Luleå</v>
          </cell>
          <cell r="M590">
            <v>10267</v>
          </cell>
          <cell r="N590" t="str">
            <v>Sweden</v>
          </cell>
        </row>
        <row r="591">
          <cell r="A591">
            <v>10838</v>
          </cell>
          <cell r="B591">
            <v>47</v>
          </cell>
          <cell r="C591">
            <v>3</v>
          </cell>
          <cell r="D591">
            <v>39466</v>
          </cell>
          <cell r="E591">
            <v>39494</v>
          </cell>
          <cell r="F591">
            <v>39470</v>
          </cell>
          <cell r="G591">
            <v>3</v>
          </cell>
          <cell r="H591">
            <v>59.28</v>
          </cell>
          <cell r="I591" t="str">
            <v>Ship to 47-A</v>
          </cell>
          <cell r="J591" t="str">
            <v>Ave. 5 de Mayo Porlamar 3456</v>
          </cell>
          <cell r="K591" t="str">
            <v>I. de Margarita</v>
          </cell>
          <cell r="L591" t="str">
            <v>Nueva Esparta</v>
          </cell>
          <cell r="M591">
            <v>10230</v>
          </cell>
          <cell r="N591" t="str">
            <v>Venezuela</v>
          </cell>
        </row>
        <row r="592">
          <cell r="A592">
            <v>10839</v>
          </cell>
          <cell r="B592">
            <v>81</v>
          </cell>
          <cell r="C592">
            <v>3</v>
          </cell>
          <cell r="D592">
            <v>39466</v>
          </cell>
          <cell r="E592">
            <v>39494</v>
          </cell>
          <cell r="F592">
            <v>39469</v>
          </cell>
          <cell r="G592">
            <v>3</v>
          </cell>
          <cell r="H592">
            <v>35.43</v>
          </cell>
          <cell r="I592" t="str">
            <v>Ship to 81-C</v>
          </cell>
          <cell r="J592" t="str">
            <v>Av. Inês de Castro, 7890</v>
          </cell>
          <cell r="K592" t="str">
            <v>Sao Paulo</v>
          </cell>
          <cell r="L592" t="str">
            <v>SP</v>
          </cell>
          <cell r="M592">
            <v>10336</v>
          </cell>
          <cell r="N592" t="str">
            <v>Brazil</v>
          </cell>
        </row>
        <row r="593">
          <cell r="A593">
            <v>10840</v>
          </cell>
          <cell r="B593">
            <v>47</v>
          </cell>
          <cell r="C593">
            <v>4</v>
          </cell>
          <cell r="D593">
            <v>39466</v>
          </cell>
          <cell r="E593">
            <v>39509</v>
          </cell>
          <cell r="F593">
            <v>39494</v>
          </cell>
          <cell r="G593">
            <v>2</v>
          </cell>
          <cell r="H593">
            <v>2.71</v>
          </cell>
          <cell r="I593" t="str">
            <v>Ship to 47-A</v>
          </cell>
          <cell r="J593" t="str">
            <v>Ave. 5 de Mayo Porlamar 3456</v>
          </cell>
          <cell r="K593" t="str">
            <v>I. de Margarita</v>
          </cell>
          <cell r="L593" t="str">
            <v>Nueva Esparta</v>
          </cell>
          <cell r="M593">
            <v>10230</v>
          </cell>
          <cell r="N593" t="str">
            <v>Venezuela</v>
          </cell>
        </row>
        <row r="594">
          <cell r="A594">
            <v>10841</v>
          </cell>
          <cell r="B594">
            <v>76</v>
          </cell>
          <cell r="C594">
            <v>5</v>
          </cell>
          <cell r="D594">
            <v>39467</v>
          </cell>
          <cell r="E594">
            <v>39495</v>
          </cell>
          <cell r="F594">
            <v>39476</v>
          </cell>
          <cell r="G594">
            <v>2</v>
          </cell>
          <cell r="H594">
            <v>424.3</v>
          </cell>
          <cell r="I594" t="str">
            <v>Ship to 76-B</v>
          </cell>
          <cell r="J594" t="str">
            <v>Boulevard Tirou, 9012</v>
          </cell>
          <cell r="K594" t="str">
            <v>Charleroi</v>
          </cell>
          <cell r="M594">
            <v>10318</v>
          </cell>
          <cell r="N594" t="str">
            <v>Belgium</v>
          </cell>
        </row>
        <row r="595">
          <cell r="A595">
            <v>10842</v>
          </cell>
          <cell r="B595">
            <v>80</v>
          </cell>
          <cell r="C595">
            <v>1</v>
          </cell>
          <cell r="D595">
            <v>39467</v>
          </cell>
          <cell r="E595">
            <v>39495</v>
          </cell>
          <cell r="F595">
            <v>39476</v>
          </cell>
          <cell r="G595">
            <v>3</v>
          </cell>
          <cell r="H595">
            <v>54.42</v>
          </cell>
          <cell r="I595" t="str">
            <v>Ship to 80-A</v>
          </cell>
          <cell r="J595" t="str">
            <v>Avda. Azteca 3456</v>
          </cell>
          <cell r="K595" t="str">
            <v>México D.F.</v>
          </cell>
          <cell r="M595">
            <v>10332</v>
          </cell>
          <cell r="N595" t="str">
            <v>Mexico</v>
          </cell>
        </row>
        <row r="596">
          <cell r="A596">
            <v>10843</v>
          </cell>
          <cell r="B596">
            <v>84</v>
          </cell>
          <cell r="C596">
            <v>4</v>
          </cell>
          <cell r="D596">
            <v>39468</v>
          </cell>
          <cell r="E596">
            <v>39496</v>
          </cell>
          <cell r="F596">
            <v>39473</v>
          </cell>
          <cell r="G596">
            <v>2</v>
          </cell>
          <cell r="H596">
            <v>9.26</v>
          </cell>
          <cell r="I596" t="str">
            <v>Ship to 84-C</v>
          </cell>
          <cell r="J596" t="str">
            <v>5678, rue du Commerce</v>
          </cell>
          <cell r="K596" t="str">
            <v>Lyon</v>
          </cell>
          <cell r="M596">
            <v>10344</v>
          </cell>
          <cell r="N596" t="str">
            <v>France</v>
          </cell>
        </row>
        <row r="597">
          <cell r="A597">
            <v>10844</v>
          </cell>
          <cell r="B597">
            <v>59</v>
          </cell>
          <cell r="C597">
            <v>8</v>
          </cell>
          <cell r="D597">
            <v>39468</v>
          </cell>
          <cell r="E597">
            <v>39496</v>
          </cell>
          <cell r="F597">
            <v>39473</v>
          </cell>
          <cell r="G597">
            <v>2</v>
          </cell>
          <cell r="H597">
            <v>25.22</v>
          </cell>
          <cell r="I597" t="str">
            <v>Ship to 59-A</v>
          </cell>
          <cell r="J597" t="str">
            <v>Geislweg 6789</v>
          </cell>
          <cell r="K597" t="str">
            <v>Salzburg</v>
          </cell>
          <cell r="M597">
            <v>10264</v>
          </cell>
          <cell r="N597" t="str">
            <v>Austria</v>
          </cell>
        </row>
        <row r="598">
          <cell r="A598">
            <v>10845</v>
          </cell>
          <cell r="B598">
            <v>63</v>
          </cell>
          <cell r="C598">
            <v>8</v>
          </cell>
          <cell r="D598">
            <v>39468</v>
          </cell>
          <cell r="E598">
            <v>39482</v>
          </cell>
          <cell r="F598">
            <v>39477</v>
          </cell>
          <cell r="G598">
            <v>1</v>
          </cell>
          <cell r="H598">
            <v>212.98</v>
          </cell>
          <cell r="I598" t="str">
            <v>Ship to 63-A</v>
          </cell>
          <cell r="J598" t="str">
            <v>Taucherstraße 1234</v>
          </cell>
          <cell r="K598" t="str">
            <v>Cunewalde</v>
          </cell>
          <cell r="M598">
            <v>10279</v>
          </cell>
          <cell r="N598" t="str">
            <v>Germany</v>
          </cell>
        </row>
        <row r="599">
          <cell r="A599">
            <v>10846</v>
          </cell>
          <cell r="B599">
            <v>76</v>
          </cell>
          <cell r="C599">
            <v>2</v>
          </cell>
          <cell r="D599">
            <v>39469</v>
          </cell>
          <cell r="E599">
            <v>39512</v>
          </cell>
          <cell r="F599">
            <v>39470</v>
          </cell>
          <cell r="G599">
            <v>3</v>
          </cell>
          <cell r="H599">
            <v>56.46</v>
          </cell>
          <cell r="I599" t="str">
            <v>Ship to 76-C</v>
          </cell>
          <cell r="J599" t="str">
            <v>Boulevard Tirou, 0123</v>
          </cell>
          <cell r="K599" t="str">
            <v>Charleroi</v>
          </cell>
          <cell r="M599">
            <v>10319</v>
          </cell>
          <cell r="N599" t="str">
            <v>Belgium</v>
          </cell>
        </row>
        <row r="600">
          <cell r="A600">
            <v>10847</v>
          </cell>
          <cell r="B600">
            <v>71</v>
          </cell>
          <cell r="C600">
            <v>4</v>
          </cell>
          <cell r="D600">
            <v>39469</v>
          </cell>
          <cell r="E600">
            <v>39483</v>
          </cell>
          <cell r="F600">
            <v>39488</v>
          </cell>
          <cell r="G600">
            <v>3</v>
          </cell>
          <cell r="H600">
            <v>487.57</v>
          </cell>
          <cell r="I600" t="str">
            <v>Ship to 71-A</v>
          </cell>
          <cell r="J600" t="str">
            <v>7890 Suffolk Ln.</v>
          </cell>
          <cell r="K600" t="str">
            <v>Boise</v>
          </cell>
          <cell r="L600" t="str">
            <v>ID</v>
          </cell>
          <cell r="M600">
            <v>10305</v>
          </cell>
          <cell r="N600" t="str">
            <v>USA</v>
          </cell>
        </row>
        <row r="601">
          <cell r="A601">
            <v>10848</v>
          </cell>
          <cell r="B601">
            <v>16</v>
          </cell>
          <cell r="C601">
            <v>7</v>
          </cell>
          <cell r="D601">
            <v>39470</v>
          </cell>
          <cell r="E601">
            <v>39498</v>
          </cell>
          <cell r="F601">
            <v>39476</v>
          </cell>
          <cell r="G601">
            <v>2</v>
          </cell>
          <cell r="H601">
            <v>38.24</v>
          </cell>
          <cell r="I601" t="str">
            <v>Destination QKQNB</v>
          </cell>
          <cell r="J601" t="str">
            <v>Berkeley Gardens 5678 Brewery</v>
          </cell>
          <cell r="K601" t="str">
            <v>London</v>
          </cell>
          <cell r="M601">
            <v>10143</v>
          </cell>
          <cell r="N601" t="str">
            <v>UK</v>
          </cell>
        </row>
        <row r="602">
          <cell r="A602">
            <v>10849</v>
          </cell>
          <cell r="B602">
            <v>39</v>
          </cell>
          <cell r="C602">
            <v>9</v>
          </cell>
          <cell r="D602">
            <v>39470</v>
          </cell>
          <cell r="E602">
            <v>39498</v>
          </cell>
          <cell r="F602">
            <v>39477</v>
          </cell>
          <cell r="G602">
            <v>2</v>
          </cell>
          <cell r="H602">
            <v>0.56000000000000005</v>
          </cell>
          <cell r="I602" t="str">
            <v>Destination DKMQA</v>
          </cell>
          <cell r="J602" t="str">
            <v>Maubelstr. 0123</v>
          </cell>
          <cell r="K602" t="str">
            <v>Brandenburg</v>
          </cell>
          <cell r="M602">
            <v>10208</v>
          </cell>
          <cell r="N602" t="str">
            <v>Germany</v>
          </cell>
        </row>
        <row r="603">
          <cell r="A603">
            <v>10850</v>
          </cell>
          <cell r="B603">
            <v>84</v>
          </cell>
          <cell r="C603">
            <v>1</v>
          </cell>
          <cell r="D603">
            <v>39470</v>
          </cell>
          <cell r="E603">
            <v>39513</v>
          </cell>
          <cell r="F603">
            <v>39477</v>
          </cell>
          <cell r="G603">
            <v>1</v>
          </cell>
          <cell r="H603">
            <v>49.19</v>
          </cell>
          <cell r="I603" t="str">
            <v>Ship to 84-C</v>
          </cell>
          <cell r="J603" t="str">
            <v>5678, rue du Commerce</v>
          </cell>
          <cell r="K603" t="str">
            <v>Lyon</v>
          </cell>
          <cell r="M603">
            <v>10344</v>
          </cell>
          <cell r="N603" t="str">
            <v>France</v>
          </cell>
        </row>
        <row r="604">
          <cell r="A604">
            <v>10851</v>
          </cell>
          <cell r="B604">
            <v>67</v>
          </cell>
          <cell r="C604">
            <v>5</v>
          </cell>
          <cell r="D604">
            <v>39473</v>
          </cell>
          <cell r="E604">
            <v>39501</v>
          </cell>
          <cell r="F604">
            <v>39480</v>
          </cell>
          <cell r="G604">
            <v>1</v>
          </cell>
          <cell r="H604">
            <v>160.55000000000001</v>
          </cell>
          <cell r="I604" t="str">
            <v>Ship to 67-C</v>
          </cell>
          <cell r="J604" t="str">
            <v>Av. Copacabana, 5678</v>
          </cell>
          <cell r="K604" t="str">
            <v>Rio de Janeiro</v>
          </cell>
          <cell r="L604" t="str">
            <v>RJ</v>
          </cell>
          <cell r="M604">
            <v>10293</v>
          </cell>
          <cell r="N604" t="str">
            <v>Brazil</v>
          </cell>
        </row>
        <row r="605">
          <cell r="A605">
            <v>10852</v>
          </cell>
          <cell r="B605">
            <v>65</v>
          </cell>
          <cell r="C605">
            <v>8</v>
          </cell>
          <cell r="D605">
            <v>39473</v>
          </cell>
          <cell r="E605">
            <v>39487</v>
          </cell>
          <cell r="F605">
            <v>39477</v>
          </cell>
          <cell r="G605">
            <v>1</v>
          </cell>
          <cell r="H605">
            <v>174.05</v>
          </cell>
          <cell r="I605" t="str">
            <v>Ship to 65-A</v>
          </cell>
          <cell r="J605" t="str">
            <v>7890 Milton Dr.</v>
          </cell>
          <cell r="K605" t="str">
            <v>Albuquerque</v>
          </cell>
          <cell r="L605" t="str">
            <v>NM</v>
          </cell>
          <cell r="M605">
            <v>10285</v>
          </cell>
          <cell r="N605" t="str">
            <v>USA</v>
          </cell>
        </row>
        <row r="606">
          <cell r="A606">
            <v>10853</v>
          </cell>
          <cell r="B606">
            <v>6</v>
          </cell>
          <cell r="C606">
            <v>9</v>
          </cell>
          <cell r="D606">
            <v>39474</v>
          </cell>
          <cell r="E606">
            <v>39502</v>
          </cell>
          <cell r="F606">
            <v>39481</v>
          </cell>
          <cell r="G606">
            <v>2</v>
          </cell>
          <cell r="H606">
            <v>53.83</v>
          </cell>
          <cell r="I606" t="str">
            <v>Ship to 6-B</v>
          </cell>
          <cell r="J606" t="str">
            <v>Forsterstr. 3456</v>
          </cell>
          <cell r="K606" t="str">
            <v>Mannheim</v>
          </cell>
          <cell r="M606">
            <v>10301</v>
          </cell>
          <cell r="N606" t="str">
            <v>Germany</v>
          </cell>
        </row>
        <row r="607">
          <cell r="A607">
            <v>10854</v>
          </cell>
          <cell r="B607">
            <v>20</v>
          </cell>
          <cell r="C607">
            <v>3</v>
          </cell>
          <cell r="D607">
            <v>39474</v>
          </cell>
          <cell r="E607">
            <v>39502</v>
          </cell>
          <cell r="F607">
            <v>39483</v>
          </cell>
          <cell r="G607">
            <v>2</v>
          </cell>
          <cell r="H607">
            <v>100.22</v>
          </cell>
          <cell r="I607" t="str">
            <v>Destination CUVPF</v>
          </cell>
          <cell r="J607" t="str">
            <v>Kirchgasse 1234</v>
          </cell>
          <cell r="K607" t="str">
            <v>Graz</v>
          </cell>
          <cell r="M607">
            <v>10159</v>
          </cell>
          <cell r="N607" t="str">
            <v>Austria</v>
          </cell>
        </row>
        <row r="608">
          <cell r="A608">
            <v>10855</v>
          </cell>
          <cell r="B608">
            <v>55</v>
          </cell>
          <cell r="C608">
            <v>3</v>
          </cell>
          <cell r="D608">
            <v>39474</v>
          </cell>
          <cell r="E608">
            <v>39502</v>
          </cell>
          <cell r="F608">
            <v>39482</v>
          </cell>
          <cell r="G608">
            <v>1</v>
          </cell>
          <cell r="H608">
            <v>170.97</v>
          </cell>
          <cell r="I608" t="str">
            <v>Ship to 55-A</v>
          </cell>
          <cell r="J608" t="str">
            <v>7890 Bering St.</v>
          </cell>
          <cell r="K608" t="str">
            <v>Anchorage</v>
          </cell>
          <cell r="L608" t="str">
            <v>AK</v>
          </cell>
          <cell r="M608">
            <v>10255</v>
          </cell>
          <cell r="N608" t="str">
            <v>USA</v>
          </cell>
        </row>
        <row r="609">
          <cell r="A609">
            <v>10856</v>
          </cell>
          <cell r="B609">
            <v>3</v>
          </cell>
          <cell r="C609">
            <v>3</v>
          </cell>
          <cell r="D609">
            <v>39475</v>
          </cell>
          <cell r="E609">
            <v>39503</v>
          </cell>
          <cell r="F609">
            <v>39488</v>
          </cell>
          <cell r="G609">
            <v>2</v>
          </cell>
          <cell r="H609">
            <v>58.43</v>
          </cell>
          <cell r="I609" t="str">
            <v>Destination FQFLS</v>
          </cell>
          <cell r="J609" t="str">
            <v>Mataderos 3456</v>
          </cell>
          <cell r="K609" t="str">
            <v>México D.F.</v>
          </cell>
          <cell r="M609">
            <v>10211</v>
          </cell>
          <cell r="N609" t="str">
            <v>Mexico</v>
          </cell>
        </row>
        <row r="610">
          <cell r="A610">
            <v>10857</v>
          </cell>
          <cell r="B610">
            <v>5</v>
          </cell>
          <cell r="C610">
            <v>8</v>
          </cell>
          <cell r="D610">
            <v>39475</v>
          </cell>
          <cell r="E610">
            <v>39503</v>
          </cell>
          <cell r="F610">
            <v>39484</v>
          </cell>
          <cell r="G610">
            <v>2</v>
          </cell>
          <cell r="H610">
            <v>188.85</v>
          </cell>
          <cell r="I610" t="str">
            <v>Ship to 5-B</v>
          </cell>
          <cell r="J610" t="str">
            <v>Berguvsvägen 0123</v>
          </cell>
          <cell r="K610" t="str">
            <v>Luleå</v>
          </cell>
          <cell r="M610">
            <v>10268</v>
          </cell>
          <cell r="N610" t="str">
            <v>Sweden</v>
          </cell>
        </row>
        <row r="611">
          <cell r="A611">
            <v>10858</v>
          </cell>
          <cell r="B611">
            <v>40</v>
          </cell>
          <cell r="C611">
            <v>2</v>
          </cell>
          <cell r="D611">
            <v>39476</v>
          </cell>
          <cell r="E611">
            <v>39504</v>
          </cell>
          <cell r="F611">
            <v>39481</v>
          </cell>
          <cell r="G611">
            <v>1</v>
          </cell>
          <cell r="H611">
            <v>52.51</v>
          </cell>
          <cell r="I611" t="str">
            <v>Destination POAEW</v>
          </cell>
          <cell r="J611" t="str">
            <v>7890, avenue de l'Europe</v>
          </cell>
          <cell r="K611" t="str">
            <v>Versailles</v>
          </cell>
          <cell r="M611">
            <v>10215</v>
          </cell>
          <cell r="N611" t="str">
            <v>France</v>
          </cell>
        </row>
        <row r="612">
          <cell r="A612">
            <v>10859</v>
          </cell>
          <cell r="B612">
            <v>25</v>
          </cell>
          <cell r="C612">
            <v>1</v>
          </cell>
          <cell r="D612">
            <v>39476</v>
          </cell>
          <cell r="E612">
            <v>39504</v>
          </cell>
          <cell r="F612">
            <v>39480</v>
          </cell>
          <cell r="G612">
            <v>2</v>
          </cell>
          <cell r="H612">
            <v>76.099999999999994</v>
          </cell>
          <cell r="I612" t="str">
            <v>Destination QOCBL</v>
          </cell>
          <cell r="J612" t="str">
            <v>Berliner Platz 1234</v>
          </cell>
          <cell r="K612" t="str">
            <v>München</v>
          </cell>
          <cell r="M612">
            <v>10169</v>
          </cell>
          <cell r="N612" t="str">
            <v>Germany</v>
          </cell>
        </row>
        <row r="613">
          <cell r="A613">
            <v>10860</v>
          </cell>
          <cell r="B613">
            <v>26</v>
          </cell>
          <cell r="C613">
            <v>3</v>
          </cell>
          <cell r="D613">
            <v>39476</v>
          </cell>
          <cell r="E613">
            <v>39504</v>
          </cell>
          <cell r="F613">
            <v>39482</v>
          </cell>
          <cell r="G613">
            <v>3</v>
          </cell>
          <cell r="H613">
            <v>19.260000000000002</v>
          </cell>
          <cell r="I613" t="str">
            <v>Destination XBVKN</v>
          </cell>
          <cell r="J613" t="str">
            <v>3456, rue Royale</v>
          </cell>
          <cell r="K613" t="str">
            <v>Nantes</v>
          </cell>
          <cell r="M613">
            <v>10171</v>
          </cell>
          <cell r="N613" t="str">
            <v>France</v>
          </cell>
        </row>
        <row r="614">
          <cell r="A614">
            <v>10861</v>
          </cell>
          <cell r="B614">
            <v>89</v>
          </cell>
          <cell r="C614">
            <v>4</v>
          </cell>
          <cell r="D614">
            <v>39477</v>
          </cell>
          <cell r="E614">
            <v>39505</v>
          </cell>
          <cell r="F614">
            <v>39495</v>
          </cell>
          <cell r="G614">
            <v>2</v>
          </cell>
          <cell r="H614">
            <v>14.93</v>
          </cell>
          <cell r="I614" t="str">
            <v>Ship to 89-C</v>
          </cell>
          <cell r="J614" t="str">
            <v>9012 - 12th Ave. S.</v>
          </cell>
          <cell r="K614" t="str">
            <v>Seattle</v>
          </cell>
          <cell r="L614" t="str">
            <v>WA</v>
          </cell>
          <cell r="M614">
            <v>10358</v>
          </cell>
          <cell r="N614" t="str">
            <v>USA</v>
          </cell>
        </row>
        <row r="615">
          <cell r="A615">
            <v>10862</v>
          </cell>
          <cell r="B615">
            <v>44</v>
          </cell>
          <cell r="C615">
            <v>8</v>
          </cell>
          <cell r="D615">
            <v>39477</v>
          </cell>
          <cell r="E615">
            <v>39520</v>
          </cell>
          <cell r="F615">
            <v>39480</v>
          </cell>
          <cell r="G615">
            <v>2</v>
          </cell>
          <cell r="H615">
            <v>53.23</v>
          </cell>
          <cell r="I615" t="str">
            <v>Ship to 44-C</v>
          </cell>
          <cell r="J615" t="str">
            <v>Magazinweg 6789</v>
          </cell>
          <cell r="K615" t="str">
            <v>Frankfurt a.M.</v>
          </cell>
          <cell r="M615">
            <v>10224</v>
          </cell>
          <cell r="N615" t="str">
            <v>Germany</v>
          </cell>
        </row>
        <row r="616">
          <cell r="A616">
            <v>10863</v>
          </cell>
          <cell r="B616">
            <v>35</v>
          </cell>
          <cell r="C616">
            <v>4</v>
          </cell>
          <cell r="D616">
            <v>39480</v>
          </cell>
          <cell r="E616">
            <v>39509</v>
          </cell>
          <cell r="F616">
            <v>39495</v>
          </cell>
          <cell r="G616">
            <v>2</v>
          </cell>
          <cell r="H616">
            <v>30.26</v>
          </cell>
          <cell r="I616" t="str">
            <v>Destination UOUWK</v>
          </cell>
          <cell r="J616" t="str">
            <v>Carrera 9012 con Ave. Carlos Soublette #8-35</v>
          </cell>
          <cell r="K616" t="str">
            <v>San Cristóbal</v>
          </cell>
          <cell r="L616" t="str">
            <v>Táchira</v>
          </cell>
          <cell r="M616">
            <v>10197</v>
          </cell>
          <cell r="N616" t="str">
            <v>Venezuela</v>
          </cell>
        </row>
        <row r="617">
          <cell r="A617">
            <v>10864</v>
          </cell>
          <cell r="B617">
            <v>4</v>
          </cell>
          <cell r="C617">
            <v>4</v>
          </cell>
          <cell r="D617">
            <v>39480</v>
          </cell>
          <cell r="E617">
            <v>39509</v>
          </cell>
          <cell r="F617">
            <v>39487</v>
          </cell>
          <cell r="G617">
            <v>2</v>
          </cell>
          <cell r="H617">
            <v>3.04</v>
          </cell>
          <cell r="I617" t="str">
            <v>Ship to 4-C</v>
          </cell>
          <cell r="J617" t="str">
            <v>Brook Farm Stratford St. Mary 2345</v>
          </cell>
          <cell r="K617" t="str">
            <v>Colchester</v>
          </cell>
          <cell r="L617" t="str">
            <v>Essex</v>
          </cell>
          <cell r="M617">
            <v>10240</v>
          </cell>
          <cell r="N617" t="str">
            <v>UK</v>
          </cell>
        </row>
        <row r="618">
          <cell r="A618">
            <v>10865</v>
          </cell>
          <cell r="B618">
            <v>63</v>
          </cell>
          <cell r="C618">
            <v>2</v>
          </cell>
          <cell r="D618">
            <v>39480</v>
          </cell>
          <cell r="E618">
            <v>39494</v>
          </cell>
          <cell r="F618">
            <v>39490</v>
          </cell>
          <cell r="G618">
            <v>1</v>
          </cell>
          <cell r="H618">
            <v>348.14</v>
          </cell>
          <cell r="I618" t="str">
            <v>Ship to 63-A</v>
          </cell>
          <cell r="J618" t="str">
            <v>Taucherstraße 1234</v>
          </cell>
          <cell r="K618" t="str">
            <v>Cunewalde</v>
          </cell>
          <cell r="M618">
            <v>10279</v>
          </cell>
          <cell r="N618" t="str">
            <v>Germany</v>
          </cell>
        </row>
        <row r="619">
          <cell r="A619">
            <v>10866</v>
          </cell>
          <cell r="B619">
            <v>5</v>
          </cell>
          <cell r="C619">
            <v>5</v>
          </cell>
          <cell r="D619">
            <v>39481</v>
          </cell>
          <cell r="E619">
            <v>39510</v>
          </cell>
          <cell r="F619">
            <v>39490</v>
          </cell>
          <cell r="G619">
            <v>1</v>
          </cell>
          <cell r="H619">
            <v>109.11</v>
          </cell>
          <cell r="I619" t="str">
            <v>Ship to 5-B</v>
          </cell>
          <cell r="J619" t="str">
            <v>Berguvsvägen 0123</v>
          </cell>
          <cell r="K619" t="str">
            <v>Luleå</v>
          </cell>
          <cell r="M619">
            <v>10268</v>
          </cell>
          <cell r="N619" t="str">
            <v>Sweden</v>
          </cell>
        </row>
        <row r="620">
          <cell r="A620">
            <v>10867</v>
          </cell>
          <cell r="B620">
            <v>48</v>
          </cell>
          <cell r="C620">
            <v>6</v>
          </cell>
          <cell r="D620">
            <v>39481</v>
          </cell>
          <cell r="E620">
            <v>39524</v>
          </cell>
          <cell r="F620">
            <v>39489</v>
          </cell>
          <cell r="G620">
            <v>1</v>
          </cell>
          <cell r="H620">
            <v>1.93</v>
          </cell>
          <cell r="I620" t="str">
            <v>Ship to 48-B</v>
          </cell>
          <cell r="J620" t="str">
            <v>6789 Chiaroscuro Rd.</v>
          </cell>
          <cell r="K620" t="str">
            <v>Portland</v>
          </cell>
          <cell r="L620" t="str">
            <v>OR</v>
          </cell>
          <cell r="M620">
            <v>10233</v>
          </cell>
          <cell r="N620" t="str">
            <v>USA</v>
          </cell>
        </row>
        <row r="621">
          <cell r="A621">
            <v>10868</v>
          </cell>
          <cell r="B621">
            <v>62</v>
          </cell>
          <cell r="C621">
            <v>7</v>
          </cell>
          <cell r="D621">
            <v>39482</v>
          </cell>
          <cell r="E621">
            <v>39511</v>
          </cell>
          <cell r="F621">
            <v>39501</v>
          </cell>
          <cell r="G621">
            <v>2</v>
          </cell>
          <cell r="H621">
            <v>191.27</v>
          </cell>
          <cell r="I621" t="str">
            <v>Ship to 62-C</v>
          </cell>
          <cell r="J621" t="str">
            <v>Alameda dos Canàrios, 0123</v>
          </cell>
          <cell r="K621" t="str">
            <v>Sao Paulo</v>
          </cell>
          <cell r="L621" t="str">
            <v>SP</v>
          </cell>
          <cell r="M621">
            <v>10278</v>
          </cell>
          <cell r="N621" t="str">
            <v>Brazil</v>
          </cell>
        </row>
        <row r="622">
          <cell r="A622">
            <v>10869</v>
          </cell>
          <cell r="B622">
            <v>72</v>
          </cell>
          <cell r="C622">
            <v>5</v>
          </cell>
          <cell r="D622">
            <v>39482</v>
          </cell>
          <cell r="E622">
            <v>39511</v>
          </cell>
          <cell r="F622">
            <v>39487</v>
          </cell>
          <cell r="G622">
            <v>1</v>
          </cell>
          <cell r="H622">
            <v>143.28</v>
          </cell>
          <cell r="I622" t="str">
            <v>Ship to 72-A</v>
          </cell>
          <cell r="J622" t="str">
            <v>0123 Wadhurst Rd.</v>
          </cell>
          <cell r="K622" t="str">
            <v>London</v>
          </cell>
          <cell r="M622">
            <v>10308</v>
          </cell>
          <cell r="N622" t="str">
            <v>UK</v>
          </cell>
        </row>
        <row r="623">
          <cell r="A623">
            <v>10870</v>
          </cell>
          <cell r="B623">
            <v>91</v>
          </cell>
          <cell r="C623">
            <v>5</v>
          </cell>
          <cell r="D623">
            <v>39482</v>
          </cell>
          <cell r="E623">
            <v>39511</v>
          </cell>
          <cell r="F623">
            <v>39491</v>
          </cell>
          <cell r="G623">
            <v>3</v>
          </cell>
          <cell r="H623">
            <v>12.04</v>
          </cell>
          <cell r="I623" t="str">
            <v>Ship to 91-A</v>
          </cell>
          <cell r="J623" t="str">
            <v>ul. Filtrowa 5678</v>
          </cell>
          <cell r="K623" t="str">
            <v>Warszawa</v>
          </cell>
          <cell r="M623">
            <v>10364</v>
          </cell>
          <cell r="N623" t="str">
            <v>Poland</v>
          </cell>
        </row>
        <row r="624">
          <cell r="A624">
            <v>10871</v>
          </cell>
          <cell r="B624">
            <v>9</v>
          </cell>
          <cell r="C624">
            <v>9</v>
          </cell>
          <cell r="D624">
            <v>39483</v>
          </cell>
          <cell r="E624">
            <v>39512</v>
          </cell>
          <cell r="F624">
            <v>39488</v>
          </cell>
          <cell r="G624">
            <v>2</v>
          </cell>
          <cell r="H624">
            <v>112.27</v>
          </cell>
          <cell r="I624" t="str">
            <v>Ship to 9-B</v>
          </cell>
          <cell r="J624" t="str">
            <v>9012, rue des Bouchers</v>
          </cell>
          <cell r="K624" t="str">
            <v>Marseille</v>
          </cell>
          <cell r="M624">
            <v>10368</v>
          </cell>
          <cell r="N624" t="str">
            <v>France</v>
          </cell>
        </row>
        <row r="625">
          <cell r="A625">
            <v>10872</v>
          </cell>
          <cell r="B625">
            <v>30</v>
          </cell>
          <cell r="C625">
            <v>5</v>
          </cell>
          <cell r="D625">
            <v>39483</v>
          </cell>
          <cell r="E625">
            <v>39512</v>
          </cell>
          <cell r="F625">
            <v>39487</v>
          </cell>
          <cell r="G625">
            <v>2</v>
          </cell>
          <cell r="H625">
            <v>175.32</v>
          </cell>
          <cell r="I625" t="str">
            <v>Destination GGQIR</v>
          </cell>
          <cell r="J625" t="str">
            <v>C/ Romero, 6789</v>
          </cell>
          <cell r="K625" t="str">
            <v>Sevilla</v>
          </cell>
          <cell r="M625">
            <v>10184</v>
          </cell>
          <cell r="N625" t="str">
            <v>Spain</v>
          </cell>
        </row>
        <row r="626">
          <cell r="A626">
            <v>10873</v>
          </cell>
          <cell r="B626">
            <v>90</v>
          </cell>
          <cell r="C626">
            <v>4</v>
          </cell>
          <cell r="D626">
            <v>39484</v>
          </cell>
          <cell r="E626">
            <v>39513</v>
          </cell>
          <cell r="F626">
            <v>39487</v>
          </cell>
          <cell r="G626">
            <v>1</v>
          </cell>
          <cell r="H626">
            <v>0.82</v>
          </cell>
          <cell r="I626" t="str">
            <v>Ship to 90-B</v>
          </cell>
          <cell r="J626" t="str">
            <v>Keskuskatu 3456</v>
          </cell>
          <cell r="K626" t="str">
            <v>Helsinki</v>
          </cell>
          <cell r="M626">
            <v>10362</v>
          </cell>
          <cell r="N626" t="str">
            <v>Finland</v>
          </cell>
        </row>
        <row r="627">
          <cell r="A627">
            <v>10874</v>
          </cell>
          <cell r="B627">
            <v>30</v>
          </cell>
          <cell r="C627">
            <v>5</v>
          </cell>
          <cell r="D627">
            <v>39484</v>
          </cell>
          <cell r="E627">
            <v>39513</v>
          </cell>
          <cell r="F627">
            <v>39489</v>
          </cell>
          <cell r="G627">
            <v>2</v>
          </cell>
          <cell r="H627">
            <v>19.579999999999998</v>
          </cell>
          <cell r="I627" t="str">
            <v>Destination IIYDD</v>
          </cell>
          <cell r="J627" t="str">
            <v>C/ Romero, 5678</v>
          </cell>
          <cell r="K627" t="str">
            <v>Sevilla</v>
          </cell>
          <cell r="M627">
            <v>10183</v>
          </cell>
          <cell r="N627" t="str">
            <v>Spain</v>
          </cell>
        </row>
        <row r="628">
          <cell r="A628">
            <v>10875</v>
          </cell>
          <cell r="B628">
            <v>5</v>
          </cell>
          <cell r="C628">
            <v>4</v>
          </cell>
          <cell r="D628">
            <v>39484</v>
          </cell>
          <cell r="E628">
            <v>39513</v>
          </cell>
          <cell r="F628">
            <v>39510</v>
          </cell>
          <cell r="G628">
            <v>2</v>
          </cell>
          <cell r="H628">
            <v>32.369999999999997</v>
          </cell>
          <cell r="I628" t="str">
            <v>Ship to 5-A</v>
          </cell>
          <cell r="J628" t="str">
            <v>Berguvsvägen 9012</v>
          </cell>
          <cell r="K628" t="str">
            <v>Luleå</v>
          </cell>
          <cell r="M628">
            <v>10267</v>
          </cell>
          <cell r="N628" t="str">
            <v>Sweden</v>
          </cell>
        </row>
        <row r="629">
          <cell r="A629">
            <v>10876</v>
          </cell>
          <cell r="B629">
            <v>9</v>
          </cell>
          <cell r="C629">
            <v>7</v>
          </cell>
          <cell r="D629">
            <v>39487</v>
          </cell>
          <cell r="E629">
            <v>39516</v>
          </cell>
          <cell r="F629">
            <v>39490</v>
          </cell>
          <cell r="G629">
            <v>3</v>
          </cell>
          <cell r="H629">
            <v>60.42</v>
          </cell>
          <cell r="I629" t="str">
            <v>Ship to 9-A</v>
          </cell>
          <cell r="J629" t="str">
            <v>8901, rue des Bouchers</v>
          </cell>
          <cell r="K629" t="str">
            <v>Marseille</v>
          </cell>
          <cell r="M629">
            <v>10367</v>
          </cell>
          <cell r="N629" t="str">
            <v>France</v>
          </cell>
        </row>
        <row r="630">
          <cell r="A630">
            <v>10877</v>
          </cell>
          <cell r="B630">
            <v>67</v>
          </cell>
          <cell r="C630">
            <v>1</v>
          </cell>
          <cell r="D630">
            <v>39487</v>
          </cell>
          <cell r="E630">
            <v>39516</v>
          </cell>
          <cell r="F630">
            <v>39497</v>
          </cell>
          <cell r="G630">
            <v>1</v>
          </cell>
          <cell r="H630">
            <v>38.06</v>
          </cell>
          <cell r="I630" t="str">
            <v>Ship to 67-B</v>
          </cell>
          <cell r="J630" t="str">
            <v>Av. Copacabana, 4567</v>
          </cell>
          <cell r="K630" t="str">
            <v>Rio de Janeiro</v>
          </cell>
          <cell r="L630" t="str">
            <v>RJ</v>
          </cell>
          <cell r="M630">
            <v>10292</v>
          </cell>
          <cell r="N630" t="str">
            <v>Brazil</v>
          </cell>
        </row>
        <row r="631">
          <cell r="A631">
            <v>10878</v>
          </cell>
          <cell r="B631">
            <v>63</v>
          </cell>
          <cell r="C631">
            <v>4</v>
          </cell>
          <cell r="D631">
            <v>39488</v>
          </cell>
          <cell r="E631">
            <v>39517</v>
          </cell>
          <cell r="F631">
            <v>39490</v>
          </cell>
          <cell r="G631">
            <v>1</v>
          </cell>
          <cell r="H631">
            <v>46.69</v>
          </cell>
          <cell r="I631" t="str">
            <v>Ship to 63-B</v>
          </cell>
          <cell r="J631" t="str">
            <v>Taucherstraße 2345</v>
          </cell>
          <cell r="K631" t="str">
            <v>Cunewalde</v>
          </cell>
          <cell r="M631">
            <v>10280</v>
          </cell>
          <cell r="N631" t="str">
            <v>Germany</v>
          </cell>
        </row>
        <row r="632">
          <cell r="A632">
            <v>10879</v>
          </cell>
          <cell r="B632">
            <v>90</v>
          </cell>
          <cell r="C632">
            <v>3</v>
          </cell>
          <cell r="D632">
            <v>39488</v>
          </cell>
          <cell r="E632">
            <v>39517</v>
          </cell>
          <cell r="F632">
            <v>39490</v>
          </cell>
          <cell r="G632">
            <v>3</v>
          </cell>
          <cell r="H632">
            <v>8.5</v>
          </cell>
          <cell r="I632" t="str">
            <v>Ship to 90-A</v>
          </cell>
          <cell r="J632" t="str">
            <v>Keskuskatu 2345</v>
          </cell>
          <cell r="K632" t="str">
            <v>Helsinki</v>
          </cell>
          <cell r="M632">
            <v>10361</v>
          </cell>
          <cell r="N632" t="str">
            <v>Finland</v>
          </cell>
        </row>
        <row r="633">
          <cell r="A633">
            <v>10880</v>
          </cell>
          <cell r="B633">
            <v>24</v>
          </cell>
          <cell r="C633">
            <v>7</v>
          </cell>
          <cell r="D633">
            <v>39488</v>
          </cell>
          <cell r="E633">
            <v>39531</v>
          </cell>
          <cell r="F633">
            <v>39496</v>
          </cell>
          <cell r="G633">
            <v>1</v>
          </cell>
          <cell r="H633">
            <v>88.01</v>
          </cell>
          <cell r="I633" t="str">
            <v>Destination KBSBN</v>
          </cell>
          <cell r="J633" t="str">
            <v>Åkergatan 9012</v>
          </cell>
          <cell r="K633" t="str">
            <v>Bräcke</v>
          </cell>
          <cell r="M633">
            <v>10167</v>
          </cell>
          <cell r="N633" t="str">
            <v>Sweden</v>
          </cell>
        </row>
        <row r="634">
          <cell r="A634">
            <v>10881</v>
          </cell>
          <cell r="B634">
            <v>12</v>
          </cell>
          <cell r="C634">
            <v>4</v>
          </cell>
          <cell r="D634">
            <v>39489</v>
          </cell>
          <cell r="E634">
            <v>39518</v>
          </cell>
          <cell r="F634">
            <v>39496</v>
          </cell>
          <cell r="G634">
            <v>1</v>
          </cell>
          <cell r="H634">
            <v>2.84</v>
          </cell>
          <cell r="I634" t="str">
            <v>Destination IGLOB</v>
          </cell>
          <cell r="J634" t="str">
            <v>Cerrito 7890</v>
          </cell>
          <cell r="K634" t="str">
            <v>Buenos Aires</v>
          </cell>
          <cell r="M634">
            <v>10135</v>
          </cell>
          <cell r="N634" t="str">
            <v>Argentina</v>
          </cell>
        </row>
        <row r="635">
          <cell r="A635">
            <v>10882</v>
          </cell>
          <cell r="B635">
            <v>71</v>
          </cell>
          <cell r="C635">
            <v>4</v>
          </cell>
          <cell r="D635">
            <v>39489</v>
          </cell>
          <cell r="E635">
            <v>39518</v>
          </cell>
          <cell r="F635">
            <v>39498</v>
          </cell>
          <cell r="G635">
            <v>3</v>
          </cell>
          <cell r="H635">
            <v>23.1</v>
          </cell>
          <cell r="I635" t="str">
            <v>Ship to 71-B</v>
          </cell>
          <cell r="J635" t="str">
            <v>8901 Suffolk Ln.</v>
          </cell>
          <cell r="K635" t="str">
            <v>Boise</v>
          </cell>
          <cell r="L635" t="str">
            <v>ID</v>
          </cell>
          <cell r="M635">
            <v>10306</v>
          </cell>
          <cell r="N635" t="str">
            <v>USA</v>
          </cell>
        </row>
        <row r="636">
          <cell r="A636">
            <v>10883</v>
          </cell>
          <cell r="B636">
            <v>48</v>
          </cell>
          <cell r="C636">
            <v>8</v>
          </cell>
          <cell r="D636">
            <v>39490</v>
          </cell>
          <cell r="E636">
            <v>39519</v>
          </cell>
          <cell r="F636">
            <v>39498</v>
          </cell>
          <cell r="G636">
            <v>3</v>
          </cell>
          <cell r="H636">
            <v>0.53</v>
          </cell>
          <cell r="I636" t="str">
            <v>Ship to 48-C</v>
          </cell>
          <cell r="J636" t="str">
            <v>7890 Chiaroscuro Rd.</v>
          </cell>
          <cell r="K636" t="str">
            <v>Portland</v>
          </cell>
          <cell r="L636" t="str">
            <v>OR</v>
          </cell>
          <cell r="M636">
            <v>10234</v>
          </cell>
          <cell r="N636" t="str">
            <v>USA</v>
          </cell>
        </row>
        <row r="637">
          <cell r="A637">
            <v>10884</v>
          </cell>
          <cell r="B637">
            <v>45</v>
          </cell>
          <cell r="C637">
            <v>4</v>
          </cell>
          <cell r="D637">
            <v>39490</v>
          </cell>
          <cell r="E637">
            <v>39519</v>
          </cell>
          <cell r="F637">
            <v>39491</v>
          </cell>
          <cell r="G637">
            <v>2</v>
          </cell>
          <cell r="H637">
            <v>90.97</v>
          </cell>
          <cell r="I637" t="str">
            <v>Ship to 45-C</v>
          </cell>
          <cell r="J637" t="str">
            <v>9012 Polk St. Suite 5</v>
          </cell>
          <cell r="K637" t="str">
            <v>San Francisco</v>
          </cell>
          <cell r="L637" t="str">
            <v>CA</v>
          </cell>
          <cell r="M637">
            <v>10226</v>
          </cell>
          <cell r="N637" t="str">
            <v>USA</v>
          </cell>
        </row>
        <row r="638">
          <cell r="A638">
            <v>10885</v>
          </cell>
          <cell r="B638">
            <v>76</v>
          </cell>
          <cell r="C638">
            <v>6</v>
          </cell>
          <cell r="D638">
            <v>39490</v>
          </cell>
          <cell r="E638">
            <v>39519</v>
          </cell>
          <cell r="F638">
            <v>39496</v>
          </cell>
          <cell r="G638">
            <v>3</v>
          </cell>
          <cell r="H638">
            <v>5.64</v>
          </cell>
          <cell r="I638" t="str">
            <v>Ship to 76-B</v>
          </cell>
          <cell r="J638" t="str">
            <v>Boulevard Tirou, 9012</v>
          </cell>
          <cell r="K638" t="str">
            <v>Charleroi</v>
          </cell>
          <cell r="M638">
            <v>10318</v>
          </cell>
          <cell r="N638" t="str">
            <v>Belgium</v>
          </cell>
        </row>
        <row r="639">
          <cell r="A639">
            <v>10886</v>
          </cell>
          <cell r="B639">
            <v>34</v>
          </cell>
          <cell r="C639">
            <v>1</v>
          </cell>
          <cell r="D639">
            <v>39491</v>
          </cell>
          <cell r="E639">
            <v>39520</v>
          </cell>
          <cell r="F639">
            <v>39509</v>
          </cell>
          <cell r="G639">
            <v>1</v>
          </cell>
          <cell r="H639">
            <v>4.99</v>
          </cell>
          <cell r="I639" t="str">
            <v>Destination SCQXA</v>
          </cell>
          <cell r="J639" t="str">
            <v>Rua do Paço, 7890</v>
          </cell>
          <cell r="K639" t="str">
            <v>Rio de Janeiro</v>
          </cell>
          <cell r="L639" t="str">
            <v>RJ</v>
          </cell>
          <cell r="M639">
            <v>10195</v>
          </cell>
          <cell r="N639" t="str">
            <v>Brazil</v>
          </cell>
        </row>
        <row r="640">
          <cell r="A640">
            <v>10887</v>
          </cell>
          <cell r="B640">
            <v>29</v>
          </cell>
          <cell r="C640">
            <v>8</v>
          </cell>
          <cell r="D640">
            <v>39491</v>
          </cell>
          <cell r="E640">
            <v>39520</v>
          </cell>
          <cell r="F640">
            <v>39494</v>
          </cell>
          <cell r="G640">
            <v>3</v>
          </cell>
          <cell r="H640">
            <v>1.25</v>
          </cell>
          <cell r="I640" t="str">
            <v>Destination VPNNG</v>
          </cell>
          <cell r="J640" t="str">
            <v>Rambla de Cataluña, 0123</v>
          </cell>
          <cell r="K640" t="str">
            <v>Barcelona</v>
          </cell>
          <cell r="M640">
            <v>10178</v>
          </cell>
          <cell r="N640" t="str">
            <v>Spain</v>
          </cell>
        </row>
        <row r="641">
          <cell r="A641">
            <v>10888</v>
          </cell>
          <cell r="B641">
            <v>30</v>
          </cell>
          <cell r="C641">
            <v>1</v>
          </cell>
          <cell r="D641">
            <v>39494</v>
          </cell>
          <cell r="E641">
            <v>39523</v>
          </cell>
          <cell r="F641">
            <v>39501</v>
          </cell>
          <cell r="G641">
            <v>2</v>
          </cell>
          <cell r="H641">
            <v>51.87</v>
          </cell>
          <cell r="I641" t="str">
            <v>Destination IIYDD</v>
          </cell>
          <cell r="J641" t="str">
            <v>C/ Romero, 5678</v>
          </cell>
          <cell r="K641" t="str">
            <v>Sevilla</v>
          </cell>
          <cell r="M641">
            <v>10183</v>
          </cell>
          <cell r="N641" t="str">
            <v>Spain</v>
          </cell>
        </row>
        <row r="642">
          <cell r="A642">
            <v>10889</v>
          </cell>
          <cell r="B642">
            <v>65</v>
          </cell>
          <cell r="C642">
            <v>9</v>
          </cell>
          <cell r="D642">
            <v>39494</v>
          </cell>
          <cell r="E642">
            <v>39523</v>
          </cell>
          <cell r="F642">
            <v>39501</v>
          </cell>
          <cell r="G642">
            <v>3</v>
          </cell>
          <cell r="H642">
            <v>280.61</v>
          </cell>
          <cell r="I642" t="str">
            <v>Ship to 65-C</v>
          </cell>
          <cell r="J642" t="str">
            <v>9012 Milton Dr.</v>
          </cell>
          <cell r="K642" t="str">
            <v>Albuquerque</v>
          </cell>
          <cell r="L642" t="str">
            <v>NM</v>
          </cell>
          <cell r="M642">
            <v>10287</v>
          </cell>
          <cell r="N642" t="str">
            <v>USA</v>
          </cell>
        </row>
        <row r="643">
          <cell r="A643">
            <v>10890</v>
          </cell>
          <cell r="B643">
            <v>18</v>
          </cell>
          <cell r="C643">
            <v>7</v>
          </cell>
          <cell r="D643">
            <v>39494</v>
          </cell>
          <cell r="E643">
            <v>39523</v>
          </cell>
          <cell r="F643">
            <v>39496</v>
          </cell>
          <cell r="G643">
            <v>1</v>
          </cell>
          <cell r="H643">
            <v>32.76</v>
          </cell>
          <cell r="I643" t="str">
            <v>Destination JNSYI</v>
          </cell>
          <cell r="J643" t="str">
            <v>1234, rue des Cinquante Otages</v>
          </cell>
          <cell r="K643" t="str">
            <v>Nantes</v>
          </cell>
          <cell r="M643">
            <v>10149</v>
          </cell>
          <cell r="N643" t="str">
            <v>France</v>
          </cell>
        </row>
        <row r="644">
          <cell r="A644">
            <v>10891</v>
          </cell>
          <cell r="B644">
            <v>44</v>
          </cell>
          <cell r="C644">
            <v>7</v>
          </cell>
          <cell r="D644">
            <v>39495</v>
          </cell>
          <cell r="E644">
            <v>39524</v>
          </cell>
          <cell r="F644">
            <v>39497</v>
          </cell>
          <cell r="G644">
            <v>2</v>
          </cell>
          <cell r="H644">
            <v>20.37</v>
          </cell>
          <cell r="I644" t="str">
            <v>Ship to 44-A</v>
          </cell>
          <cell r="J644" t="str">
            <v>Magazinweg 4567</v>
          </cell>
          <cell r="K644" t="str">
            <v>Frankfurt a.M.</v>
          </cell>
          <cell r="M644">
            <v>10222</v>
          </cell>
          <cell r="N644" t="str">
            <v>Germany</v>
          </cell>
        </row>
        <row r="645">
          <cell r="A645">
            <v>10892</v>
          </cell>
          <cell r="B645">
            <v>50</v>
          </cell>
          <cell r="C645">
            <v>4</v>
          </cell>
          <cell r="D645">
            <v>39495</v>
          </cell>
          <cell r="E645">
            <v>39524</v>
          </cell>
          <cell r="F645">
            <v>39497</v>
          </cell>
          <cell r="G645">
            <v>2</v>
          </cell>
          <cell r="H645">
            <v>120.27</v>
          </cell>
          <cell r="I645" t="str">
            <v>Ship to 50-A</v>
          </cell>
          <cell r="J645" t="str">
            <v>Rue Joseph-Bens 3456</v>
          </cell>
          <cell r="K645" t="str">
            <v>Bruxelles</v>
          </cell>
          <cell r="M645">
            <v>10241</v>
          </cell>
          <cell r="N645" t="str">
            <v>Belgium</v>
          </cell>
        </row>
        <row r="646">
          <cell r="A646">
            <v>10893</v>
          </cell>
          <cell r="B646">
            <v>39</v>
          </cell>
          <cell r="C646">
            <v>9</v>
          </cell>
          <cell r="D646">
            <v>39496</v>
          </cell>
          <cell r="E646">
            <v>39525</v>
          </cell>
          <cell r="F646">
            <v>39498</v>
          </cell>
          <cell r="G646">
            <v>2</v>
          </cell>
          <cell r="H646">
            <v>77.78</v>
          </cell>
          <cell r="I646" t="str">
            <v>Destination RMBHM</v>
          </cell>
          <cell r="J646" t="str">
            <v>Maubelstr. 1234</v>
          </cell>
          <cell r="K646" t="str">
            <v>Brandenburg</v>
          </cell>
          <cell r="M646">
            <v>10209</v>
          </cell>
          <cell r="N646" t="str">
            <v>Germany</v>
          </cell>
        </row>
        <row r="647">
          <cell r="A647">
            <v>10894</v>
          </cell>
          <cell r="B647">
            <v>71</v>
          </cell>
          <cell r="C647">
            <v>1</v>
          </cell>
          <cell r="D647">
            <v>39496</v>
          </cell>
          <cell r="E647">
            <v>39525</v>
          </cell>
          <cell r="F647">
            <v>39498</v>
          </cell>
          <cell r="G647">
            <v>1</v>
          </cell>
          <cell r="H647">
            <v>116.13</v>
          </cell>
          <cell r="I647" t="str">
            <v>Ship to 71-A</v>
          </cell>
          <cell r="J647" t="str">
            <v>7890 Suffolk Ln.</v>
          </cell>
          <cell r="K647" t="str">
            <v>Boise</v>
          </cell>
          <cell r="L647" t="str">
            <v>ID</v>
          </cell>
          <cell r="M647">
            <v>10305</v>
          </cell>
          <cell r="N647" t="str">
            <v>USA</v>
          </cell>
        </row>
        <row r="648">
          <cell r="A648">
            <v>10895</v>
          </cell>
          <cell r="B648">
            <v>20</v>
          </cell>
          <cell r="C648">
            <v>3</v>
          </cell>
          <cell r="D648">
            <v>39496</v>
          </cell>
          <cell r="E648">
            <v>39525</v>
          </cell>
          <cell r="F648">
            <v>39501</v>
          </cell>
          <cell r="G648">
            <v>1</v>
          </cell>
          <cell r="H648">
            <v>162.75</v>
          </cell>
          <cell r="I648" t="str">
            <v>Destination CUVPF</v>
          </cell>
          <cell r="J648" t="str">
            <v>Kirchgasse 1234</v>
          </cell>
          <cell r="K648" t="str">
            <v>Graz</v>
          </cell>
          <cell r="M648">
            <v>10159</v>
          </cell>
          <cell r="N648" t="str">
            <v>Austria</v>
          </cell>
        </row>
        <row r="649">
          <cell r="A649">
            <v>10896</v>
          </cell>
          <cell r="B649">
            <v>50</v>
          </cell>
          <cell r="C649">
            <v>7</v>
          </cell>
          <cell r="D649">
            <v>39497</v>
          </cell>
          <cell r="E649">
            <v>39526</v>
          </cell>
          <cell r="F649">
            <v>39505</v>
          </cell>
          <cell r="G649">
            <v>3</v>
          </cell>
          <cell r="H649">
            <v>32.450000000000003</v>
          </cell>
          <cell r="I649" t="str">
            <v>Ship to 50-A</v>
          </cell>
          <cell r="J649" t="str">
            <v>Rue Joseph-Bens 3456</v>
          </cell>
          <cell r="K649" t="str">
            <v>Bruxelles</v>
          </cell>
          <cell r="M649">
            <v>10241</v>
          </cell>
          <cell r="N649" t="str">
            <v>Belgium</v>
          </cell>
        </row>
        <row r="650">
          <cell r="A650">
            <v>10897</v>
          </cell>
          <cell r="B650">
            <v>37</v>
          </cell>
          <cell r="C650">
            <v>3</v>
          </cell>
          <cell r="D650">
            <v>39497</v>
          </cell>
          <cell r="E650">
            <v>39526</v>
          </cell>
          <cell r="F650">
            <v>39503</v>
          </cell>
          <cell r="G650">
            <v>2</v>
          </cell>
          <cell r="H650">
            <v>603.54</v>
          </cell>
          <cell r="I650" t="str">
            <v>Destination DGKOU</v>
          </cell>
          <cell r="J650" t="str">
            <v>6789 Johnstown Road</v>
          </cell>
          <cell r="K650" t="str">
            <v>Cork</v>
          </cell>
          <cell r="L650" t="str">
            <v>Co. Cork</v>
          </cell>
          <cell r="M650">
            <v>10204</v>
          </cell>
          <cell r="N650" t="str">
            <v>Ireland</v>
          </cell>
        </row>
        <row r="651">
          <cell r="A651">
            <v>10898</v>
          </cell>
          <cell r="B651">
            <v>54</v>
          </cell>
          <cell r="C651">
            <v>4</v>
          </cell>
          <cell r="D651">
            <v>39498</v>
          </cell>
          <cell r="E651">
            <v>39527</v>
          </cell>
          <cell r="F651">
            <v>39513</v>
          </cell>
          <cell r="G651">
            <v>2</v>
          </cell>
          <cell r="H651">
            <v>1.27</v>
          </cell>
          <cell r="I651" t="str">
            <v>Ship to 54-B</v>
          </cell>
          <cell r="J651" t="str">
            <v>Ing. Gustavo Moncada 5678 Piso 20-A</v>
          </cell>
          <cell r="K651" t="str">
            <v>Buenos Aires</v>
          </cell>
          <cell r="M651">
            <v>10253</v>
          </cell>
          <cell r="N651" t="str">
            <v>Argentina</v>
          </cell>
        </row>
        <row r="652">
          <cell r="A652">
            <v>10899</v>
          </cell>
          <cell r="B652">
            <v>46</v>
          </cell>
          <cell r="C652">
            <v>5</v>
          </cell>
          <cell r="D652">
            <v>39498</v>
          </cell>
          <cell r="E652">
            <v>39527</v>
          </cell>
          <cell r="F652">
            <v>39504</v>
          </cell>
          <cell r="G652">
            <v>3</v>
          </cell>
          <cell r="H652">
            <v>1.21</v>
          </cell>
          <cell r="I652" t="str">
            <v>Ship to 46-C</v>
          </cell>
          <cell r="J652" t="str">
            <v>Carrera 2345 con Ave. Bolívar #65-98 Llano Largo</v>
          </cell>
          <cell r="K652" t="str">
            <v>Barquisimeto</v>
          </cell>
          <cell r="L652" t="str">
            <v>Lara</v>
          </cell>
          <cell r="M652">
            <v>10229</v>
          </cell>
          <cell r="N652" t="str">
            <v>Venezuela</v>
          </cell>
        </row>
        <row r="653">
          <cell r="A653">
            <v>10900</v>
          </cell>
          <cell r="B653">
            <v>88</v>
          </cell>
          <cell r="C653">
            <v>1</v>
          </cell>
          <cell r="D653">
            <v>39498</v>
          </cell>
          <cell r="E653">
            <v>39527</v>
          </cell>
          <cell r="F653">
            <v>39511</v>
          </cell>
          <cell r="G653">
            <v>2</v>
          </cell>
          <cell r="H653">
            <v>1.66</v>
          </cell>
          <cell r="I653" t="str">
            <v>Ship to 88-A</v>
          </cell>
          <cell r="J653" t="str">
            <v>Rua do Mercado, 4567</v>
          </cell>
          <cell r="K653" t="str">
            <v>Resende</v>
          </cell>
          <cell r="L653" t="str">
            <v>SP</v>
          </cell>
          <cell r="M653">
            <v>10353</v>
          </cell>
          <cell r="N653" t="str">
            <v>Brazil</v>
          </cell>
        </row>
        <row r="654">
          <cell r="A654">
            <v>10901</v>
          </cell>
          <cell r="B654">
            <v>35</v>
          </cell>
          <cell r="C654">
            <v>4</v>
          </cell>
          <cell r="D654">
            <v>39501</v>
          </cell>
          <cell r="E654">
            <v>39530</v>
          </cell>
          <cell r="F654">
            <v>39504</v>
          </cell>
          <cell r="G654">
            <v>1</v>
          </cell>
          <cell r="H654">
            <v>62.09</v>
          </cell>
          <cell r="I654" t="str">
            <v>Destination UOUWK</v>
          </cell>
          <cell r="J654" t="str">
            <v>Carrera 9012 con Ave. Carlos Soublette #8-35</v>
          </cell>
          <cell r="K654" t="str">
            <v>San Cristóbal</v>
          </cell>
          <cell r="L654" t="str">
            <v>Táchira</v>
          </cell>
          <cell r="M654">
            <v>10197</v>
          </cell>
          <cell r="N654" t="str">
            <v>Venezuela</v>
          </cell>
        </row>
        <row r="655">
          <cell r="A655">
            <v>10902</v>
          </cell>
          <cell r="B655">
            <v>24</v>
          </cell>
          <cell r="C655">
            <v>1</v>
          </cell>
          <cell r="D655">
            <v>39501</v>
          </cell>
          <cell r="E655">
            <v>39530</v>
          </cell>
          <cell r="F655">
            <v>39510</v>
          </cell>
          <cell r="G655">
            <v>1</v>
          </cell>
          <cell r="H655">
            <v>44.15</v>
          </cell>
          <cell r="I655" t="str">
            <v>Destination NCKKO</v>
          </cell>
          <cell r="J655" t="str">
            <v>Åkergatan 7890</v>
          </cell>
          <cell r="K655" t="str">
            <v>Bräcke</v>
          </cell>
          <cell r="M655">
            <v>10165</v>
          </cell>
          <cell r="N655" t="str">
            <v>Sweden</v>
          </cell>
        </row>
        <row r="656">
          <cell r="A656">
            <v>10903</v>
          </cell>
          <cell r="B656">
            <v>34</v>
          </cell>
          <cell r="C656">
            <v>3</v>
          </cell>
          <cell r="D656">
            <v>39502</v>
          </cell>
          <cell r="E656">
            <v>39531</v>
          </cell>
          <cell r="F656">
            <v>39511</v>
          </cell>
          <cell r="G656">
            <v>3</v>
          </cell>
          <cell r="H656">
            <v>36.71</v>
          </cell>
          <cell r="I656" t="str">
            <v>Destination DPCVR</v>
          </cell>
          <cell r="J656" t="str">
            <v>Rua do Paço, 6789</v>
          </cell>
          <cell r="K656" t="str">
            <v>Rio de Janeiro</v>
          </cell>
          <cell r="L656" t="str">
            <v>RJ</v>
          </cell>
          <cell r="M656">
            <v>10194</v>
          </cell>
          <cell r="N656" t="str">
            <v>Brazil</v>
          </cell>
        </row>
        <row r="657">
          <cell r="A657">
            <v>10904</v>
          </cell>
          <cell r="B657">
            <v>89</v>
          </cell>
          <cell r="C657">
            <v>3</v>
          </cell>
          <cell r="D657">
            <v>39502</v>
          </cell>
          <cell r="E657">
            <v>39531</v>
          </cell>
          <cell r="F657">
            <v>39505</v>
          </cell>
          <cell r="G657">
            <v>3</v>
          </cell>
          <cell r="H657">
            <v>162.94999999999999</v>
          </cell>
          <cell r="I657" t="str">
            <v>Ship to 89-A</v>
          </cell>
          <cell r="J657" t="str">
            <v>7890 - 12th Ave. S.</v>
          </cell>
          <cell r="K657" t="str">
            <v>Seattle</v>
          </cell>
          <cell r="L657" t="str">
            <v>WA</v>
          </cell>
          <cell r="M657">
            <v>10356</v>
          </cell>
          <cell r="N657" t="str">
            <v>USA</v>
          </cell>
        </row>
        <row r="658">
          <cell r="A658">
            <v>10905</v>
          </cell>
          <cell r="B658">
            <v>88</v>
          </cell>
          <cell r="C658">
            <v>9</v>
          </cell>
          <cell r="D658">
            <v>39502</v>
          </cell>
          <cell r="E658">
            <v>39531</v>
          </cell>
          <cell r="F658">
            <v>39513</v>
          </cell>
          <cell r="G658">
            <v>2</v>
          </cell>
          <cell r="H658">
            <v>13.72</v>
          </cell>
          <cell r="I658" t="str">
            <v>Ship to 88-A</v>
          </cell>
          <cell r="J658" t="str">
            <v>Rua do Mercado, 4567</v>
          </cell>
          <cell r="K658" t="str">
            <v>Resende</v>
          </cell>
          <cell r="L658" t="str">
            <v>SP</v>
          </cell>
          <cell r="M658">
            <v>10353</v>
          </cell>
          <cell r="N658" t="str">
            <v>Brazil</v>
          </cell>
        </row>
        <row r="659">
          <cell r="A659">
            <v>10906</v>
          </cell>
          <cell r="B659">
            <v>91</v>
          </cell>
          <cell r="C659">
            <v>4</v>
          </cell>
          <cell r="D659">
            <v>39503</v>
          </cell>
          <cell r="E659">
            <v>39518</v>
          </cell>
          <cell r="F659">
            <v>39510</v>
          </cell>
          <cell r="G659">
            <v>3</v>
          </cell>
          <cell r="H659">
            <v>26.29</v>
          </cell>
          <cell r="I659" t="str">
            <v>Ship to 91-B</v>
          </cell>
          <cell r="J659" t="str">
            <v>ul. Filtrowa 6789</v>
          </cell>
          <cell r="K659" t="str">
            <v>Warszawa</v>
          </cell>
          <cell r="M659">
            <v>10365</v>
          </cell>
          <cell r="N659" t="str">
            <v>Poland</v>
          </cell>
        </row>
        <row r="660">
          <cell r="A660">
            <v>10907</v>
          </cell>
          <cell r="B660">
            <v>74</v>
          </cell>
          <cell r="C660">
            <v>6</v>
          </cell>
          <cell r="D660">
            <v>39503</v>
          </cell>
          <cell r="E660">
            <v>39532</v>
          </cell>
          <cell r="F660">
            <v>39505</v>
          </cell>
          <cell r="G660">
            <v>3</v>
          </cell>
          <cell r="H660">
            <v>9.19</v>
          </cell>
          <cell r="I660" t="str">
            <v>Ship to 74-B</v>
          </cell>
          <cell r="J660" t="str">
            <v>4567, rue Lauriston</v>
          </cell>
          <cell r="K660" t="str">
            <v>Paris</v>
          </cell>
          <cell r="M660">
            <v>10313</v>
          </cell>
          <cell r="N660" t="str">
            <v>France</v>
          </cell>
        </row>
        <row r="661">
          <cell r="A661">
            <v>10908</v>
          </cell>
          <cell r="B661">
            <v>66</v>
          </cell>
          <cell r="C661">
            <v>4</v>
          </cell>
          <cell r="D661">
            <v>39504</v>
          </cell>
          <cell r="E661">
            <v>39533</v>
          </cell>
          <cell r="F661">
            <v>39513</v>
          </cell>
          <cell r="G661">
            <v>2</v>
          </cell>
          <cell r="H661">
            <v>32.96</v>
          </cell>
          <cell r="I661" t="str">
            <v>Ship to 66-B</v>
          </cell>
          <cell r="J661" t="str">
            <v>Strada Provinciale 1234</v>
          </cell>
          <cell r="K661" t="str">
            <v>Reggio Emilia</v>
          </cell>
          <cell r="M661">
            <v>10289</v>
          </cell>
          <cell r="N661" t="str">
            <v>Italy</v>
          </cell>
        </row>
        <row r="662">
          <cell r="A662">
            <v>10909</v>
          </cell>
          <cell r="B662">
            <v>70</v>
          </cell>
          <cell r="C662">
            <v>1</v>
          </cell>
          <cell r="D662">
            <v>39504</v>
          </cell>
          <cell r="E662">
            <v>39533</v>
          </cell>
          <cell r="F662">
            <v>39517</v>
          </cell>
          <cell r="G662">
            <v>2</v>
          </cell>
          <cell r="H662">
            <v>53.05</v>
          </cell>
          <cell r="I662" t="str">
            <v>Ship to 70-C</v>
          </cell>
          <cell r="J662" t="str">
            <v>Erling Skakkes gate 6789</v>
          </cell>
          <cell r="K662" t="str">
            <v>Stavern</v>
          </cell>
          <cell r="M662">
            <v>10304</v>
          </cell>
          <cell r="N662" t="str">
            <v>Norway</v>
          </cell>
        </row>
        <row r="663">
          <cell r="A663">
            <v>10910</v>
          </cell>
          <cell r="B663">
            <v>90</v>
          </cell>
          <cell r="C663">
            <v>1</v>
          </cell>
          <cell r="D663">
            <v>39504</v>
          </cell>
          <cell r="E663">
            <v>39533</v>
          </cell>
          <cell r="F663">
            <v>39511</v>
          </cell>
          <cell r="G663">
            <v>3</v>
          </cell>
          <cell r="H663">
            <v>38.11</v>
          </cell>
          <cell r="I663" t="str">
            <v>Ship to 90-A</v>
          </cell>
          <cell r="J663" t="str">
            <v>Keskuskatu 2345</v>
          </cell>
          <cell r="K663" t="str">
            <v>Helsinki</v>
          </cell>
          <cell r="M663">
            <v>10361</v>
          </cell>
          <cell r="N663" t="str">
            <v>Finland</v>
          </cell>
        </row>
        <row r="664">
          <cell r="A664">
            <v>10911</v>
          </cell>
          <cell r="B664">
            <v>30</v>
          </cell>
          <cell r="C664">
            <v>3</v>
          </cell>
          <cell r="D664">
            <v>39504</v>
          </cell>
          <cell r="E664">
            <v>39533</v>
          </cell>
          <cell r="F664">
            <v>39512</v>
          </cell>
          <cell r="G664">
            <v>1</v>
          </cell>
          <cell r="H664">
            <v>38.19</v>
          </cell>
          <cell r="I664" t="str">
            <v>Destination IIYDD</v>
          </cell>
          <cell r="J664" t="str">
            <v>C/ Romero, 5678</v>
          </cell>
          <cell r="K664" t="str">
            <v>Sevilla</v>
          </cell>
          <cell r="M664">
            <v>10183</v>
          </cell>
          <cell r="N664" t="str">
            <v>Spain</v>
          </cell>
        </row>
        <row r="665">
          <cell r="A665">
            <v>10912</v>
          </cell>
          <cell r="B665">
            <v>37</v>
          </cell>
          <cell r="C665">
            <v>2</v>
          </cell>
          <cell r="D665">
            <v>39504</v>
          </cell>
          <cell r="E665">
            <v>39533</v>
          </cell>
          <cell r="F665">
            <v>39525</v>
          </cell>
          <cell r="G665">
            <v>2</v>
          </cell>
          <cell r="H665">
            <v>580.91</v>
          </cell>
          <cell r="I665" t="str">
            <v>Destination DGKOU</v>
          </cell>
          <cell r="J665" t="str">
            <v>6789 Johnstown Road</v>
          </cell>
          <cell r="K665" t="str">
            <v>Cork</v>
          </cell>
          <cell r="L665" t="str">
            <v>Co. Cork</v>
          </cell>
          <cell r="M665">
            <v>10204</v>
          </cell>
          <cell r="N665" t="str">
            <v>Ireland</v>
          </cell>
        </row>
        <row r="666">
          <cell r="A666">
            <v>10913</v>
          </cell>
          <cell r="B666">
            <v>62</v>
          </cell>
          <cell r="C666">
            <v>4</v>
          </cell>
          <cell r="D666">
            <v>39504</v>
          </cell>
          <cell r="E666">
            <v>39533</v>
          </cell>
          <cell r="F666">
            <v>39511</v>
          </cell>
          <cell r="G666">
            <v>1</v>
          </cell>
          <cell r="H666">
            <v>33.049999999999997</v>
          </cell>
          <cell r="I666" t="str">
            <v>Ship to 62-A</v>
          </cell>
          <cell r="J666" t="str">
            <v>Alameda dos Canàrios, 8901</v>
          </cell>
          <cell r="K666" t="str">
            <v>Sao Paulo</v>
          </cell>
          <cell r="L666" t="str">
            <v>SP</v>
          </cell>
          <cell r="M666">
            <v>10276</v>
          </cell>
          <cell r="N666" t="str">
            <v>Brazil</v>
          </cell>
        </row>
        <row r="667">
          <cell r="A667">
            <v>10914</v>
          </cell>
          <cell r="B667">
            <v>62</v>
          </cell>
          <cell r="C667">
            <v>6</v>
          </cell>
          <cell r="D667">
            <v>39505</v>
          </cell>
          <cell r="E667">
            <v>39534</v>
          </cell>
          <cell r="F667">
            <v>39509</v>
          </cell>
          <cell r="G667">
            <v>1</v>
          </cell>
          <cell r="H667">
            <v>21.19</v>
          </cell>
          <cell r="I667" t="str">
            <v>Ship to 62-B</v>
          </cell>
          <cell r="J667" t="str">
            <v>Alameda dos Canàrios, 9012</v>
          </cell>
          <cell r="K667" t="str">
            <v>Sao Paulo</v>
          </cell>
          <cell r="L667" t="str">
            <v>SP</v>
          </cell>
          <cell r="M667">
            <v>10277</v>
          </cell>
          <cell r="N667" t="str">
            <v>Brazil</v>
          </cell>
        </row>
        <row r="668">
          <cell r="A668">
            <v>10915</v>
          </cell>
          <cell r="B668">
            <v>80</v>
          </cell>
          <cell r="C668">
            <v>2</v>
          </cell>
          <cell r="D668">
            <v>39505</v>
          </cell>
          <cell r="E668">
            <v>39534</v>
          </cell>
          <cell r="F668">
            <v>39509</v>
          </cell>
          <cell r="G668">
            <v>2</v>
          </cell>
          <cell r="H668">
            <v>3.51</v>
          </cell>
          <cell r="I668" t="str">
            <v>Ship to 80-C</v>
          </cell>
          <cell r="J668" t="str">
            <v>Avda. Azteca 5678</v>
          </cell>
          <cell r="K668" t="str">
            <v>México D.F.</v>
          </cell>
          <cell r="M668">
            <v>10334</v>
          </cell>
          <cell r="N668" t="str">
            <v>Mexico</v>
          </cell>
        </row>
        <row r="669">
          <cell r="A669">
            <v>10916</v>
          </cell>
          <cell r="B669">
            <v>64</v>
          </cell>
          <cell r="C669">
            <v>1</v>
          </cell>
          <cell r="D669">
            <v>39505</v>
          </cell>
          <cell r="E669">
            <v>39534</v>
          </cell>
          <cell r="F669">
            <v>39516</v>
          </cell>
          <cell r="G669">
            <v>2</v>
          </cell>
          <cell r="H669">
            <v>63.77</v>
          </cell>
          <cell r="I669" t="str">
            <v>Ship to 64-C</v>
          </cell>
          <cell r="J669" t="str">
            <v>Av. del Libertador 6789</v>
          </cell>
          <cell r="K669" t="str">
            <v>Buenos Aires</v>
          </cell>
          <cell r="M669">
            <v>10284</v>
          </cell>
          <cell r="N669" t="str">
            <v>Argentina</v>
          </cell>
        </row>
        <row r="670">
          <cell r="A670">
            <v>10917</v>
          </cell>
          <cell r="B670">
            <v>69</v>
          </cell>
          <cell r="C670">
            <v>4</v>
          </cell>
          <cell r="D670">
            <v>39509</v>
          </cell>
          <cell r="E670">
            <v>39537</v>
          </cell>
          <cell r="F670">
            <v>39518</v>
          </cell>
          <cell r="G670">
            <v>2</v>
          </cell>
          <cell r="H670">
            <v>8.2899999999999991</v>
          </cell>
          <cell r="I670" t="str">
            <v>Ship to 69-C</v>
          </cell>
          <cell r="J670" t="str">
            <v>Gran Vía, 1234</v>
          </cell>
          <cell r="K670" t="str">
            <v>Madrid</v>
          </cell>
          <cell r="M670">
            <v>10299</v>
          </cell>
          <cell r="N670" t="str">
            <v>Spain</v>
          </cell>
        </row>
        <row r="671">
          <cell r="A671">
            <v>10918</v>
          </cell>
          <cell r="B671">
            <v>10</v>
          </cell>
          <cell r="C671">
            <v>3</v>
          </cell>
          <cell r="D671">
            <v>39509</v>
          </cell>
          <cell r="E671">
            <v>39537</v>
          </cell>
          <cell r="F671">
            <v>39518</v>
          </cell>
          <cell r="G671">
            <v>3</v>
          </cell>
          <cell r="H671">
            <v>48.83</v>
          </cell>
          <cell r="I671" t="str">
            <v>Destination OLSSJ</v>
          </cell>
          <cell r="J671" t="str">
            <v>2345 Tsawassen Blvd.</v>
          </cell>
          <cell r="K671" t="str">
            <v>Tsawassen</v>
          </cell>
          <cell r="L671" t="str">
            <v>BC</v>
          </cell>
          <cell r="M671">
            <v>10130</v>
          </cell>
          <cell r="N671" t="str">
            <v>Canada</v>
          </cell>
        </row>
        <row r="672">
          <cell r="A672">
            <v>10919</v>
          </cell>
          <cell r="B672">
            <v>47</v>
          </cell>
          <cell r="C672">
            <v>2</v>
          </cell>
          <cell r="D672">
            <v>39509</v>
          </cell>
          <cell r="E672">
            <v>39537</v>
          </cell>
          <cell r="F672">
            <v>39511</v>
          </cell>
          <cell r="G672">
            <v>2</v>
          </cell>
          <cell r="H672">
            <v>19.8</v>
          </cell>
          <cell r="I672" t="str">
            <v>Ship to 47-B</v>
          </cell>
          <cell r="J672" t="str">
            <v>Ave. 5 de Mayo Porlamar 4567</v>
          </cell>
          <cell r="K672" t="str">
            <v>I. de Margarita</v>
          </cell>
          <cell r="L672" t="str">
            <v>Nueva Esparta</v>
          </cell>
          <cell r="M672">
            <v>10231</v>
          </cell>
          <cell r="N672" t="str">
            <v>Venezuela</v>
          </cell>
        </row>
        <row r="673">
          <cell r="A673">
            <v>10920</v>
          </cell>
          <cell r="B673">
            <v>4</v>
          </cell>
          <cell r="C673">
            <v>4</v>
          </cell>
          <cell r="D673">
            <v>39510</v>
          </cell>
          <cell r="E673">
            <v>39538</v>
          </cell>
          <cell r="F673">
            <v>39516</v>
          </cell>
          <cell r="G673">
            <v>2</v>
          </cell>
          <cell r="H673">
            <v>29.61</v>
          </cell>
          <cell r="I673" t="str">
            <v>Ship to 4-A</v>
          </cell>
          <cell r="J673" t="str">
            <v>Brook Farm Stratford St. Mary 0123</v>
          </cell>
          <cell r="K673" t="str">
            <v>Colchester</v>
          </cell>
          <cell r="L673" t="str">
            <v>Essex</v>
          </cell>
          <cell r="M673">
            <v>10238</v>
          </cell>
          <cell r="N673" t="str">
            <v>UK</v>
          </cell>
        </row>
        <row r="674">
          <cell r="A674">
            <v>10921</v>
          </cell>
          <cell r="B674">
            <v>83</v>
          </cell>
          <cell r="C674">
            <v>1</v>
          </cell>
          <cell r="D674">
            <v>39510</v>
          </cell>
          <cell r="E674">
            <v>39552</v>
          </cell>
          <cell r="F674">
            <v>39516</v>
          </cell>
          <cell r="G674">
            <v>1</v>
          </cell>
          <cell r="H674">
            <v>176.48</v>
          </cell>
          <cell r="I674" t="str">
            <v>Ship to 83-A</v>
          </cell>
          <cell r="J674" t="str">
            <v>Smagsloget 0123</v>
          </cell>
          <cell r="K674" t="str">
            <v>Århus</v>
          </cell>
          <cell r="M674">
            <v>10339</v>
          </cell>
          <cell r="N674" t="str">
            <v>Denmark</v>
          </cell>
        </row>
        <row r="675">
          <cell r="A675">
            <v>10922</v>
          </cell>
          <cell r="B675">
            <v>34</v>
          </cell>
          <cell r="C675">
            <v>5</v>
          </cell>
          <cell r="D675">
            <v>39510</v>
          </cell>
          <cell r="E675">
            <v>39538</v>
          </cell>
          <cell r="F675">
            <v>39512</v>
          </cell>
          <cell r="G675">
            <v>3</v>
          </cell>
          <cell r="H675">
            <v>62.74</v>
          </cell>
          <cell r="I675" t="str">
            <v>Destination DPCVR</v>
          </cell>
          <cell r="J675" t="str">
            <v>Rua do Paço, 6789</v>
          </cell>
          <cell r="K675" t="str">
            <v>Rio de Janeiro</v>
          </cell>
          <cell r="L675" t="str">
            <v>RJ</v>
          </cell>
          <cell r="M675">
            <v>10194</v>
          </cell>
          <cell r="N675" t="str">
            <v>Brazil</v>
          </cell>
        </row>
        <row r="676">
          <cell r="A676">
            <v>10923</v>
          </cell>
          <cell r="B676">
            <v>41</v>
          </cell>
          <cell r="C676">
            <v>7</v>
          </cell>
          <cell r="D676">
            <v>39510</v>
          </cell>
          <cell r="E676">
            <v>39552</v>
          </cell>
          <cell r="F676">
            <v>39520</v>
          </cell>
          <cell r="G676">
            <v>3</v>
          </cell>
          <cell r="H676">
            <v>68.260000000000005</v>
          </cell>
          <cell r="I676" t="str">
            <v>Destination OLJND</v>
          </cell>
          <cell r="J676" t="str">
            <v>8901 rue Alsace-Lorraine</v>
          </cell>
          <cell r="K676" t="str">
            <v>Toulouse</v>
          </cell>
          <cell r="M676">
            <v>10216</v>
          </cell>
          <cell r="N676" t="str">
            <v>France</v>
          </cell>
        </row>
        <row r="677">
          <cell r="A677">
            <v>10924</v>
          </cell>
          <cell r="B677">
            <v>5</v>
          </cell>
          <cell r="C677">
            <v>3</v>
          </cell>
          <cell r="D677">
            <v>39511</v>
          </cell>
          <cell r="E677">
            <v>39539</v>
          </cell>
          <cell r="F677">
            <v>39546</v>
          </cell>
          <cell r="G677">
            <v>2</v>
          </cell>
          <cell r="H677">
            <v>151.52000000000001</v>
          </cell>
          <cell r="I677" t="str">
            <v>Ship to 5-A</v>
          </cell>
          <cell r="J677" t="str">
            <v>Berguvsvägen 9012</v>
          </cell>
          <cell r="K677" t="str">
            <v>Luleå</v>
          </cell>
          <cell r="M677">
            <v>10267</v>
          </cell>
          <cell r="N677" t="str">
            <v>Sweden</v>
          </cell>
        </row>
        <row r="678">
          <cell r="A678">
            <v>10925</v>
          </cell>
          <cell r="B678">
            <v>34</v>
          </cell>
          <cell r="C678">
            <v>3</v>
          </cell>
          <cell r="D678">
            <v>39511</v>
          </cell>
          <cell r="E678">
            <v>39539</v>
          </cell>
          <cell r="F678">
            <v>39520</v>
          </cell>
          <cell r="G678">
            <v>1</v>
          </cell>
          <cell r="H678">
            <v>2.27</v>
          </cell>
          <cell r="I678" t="str">
            <v>Destination JPAIY</v>
          </cell>
          <cell r="J678" t="str">
            <v>Rua do Paço, 8901</v>
          </cell>
          <cell r="K678" t="str">
            <v>Rio de Janeiro</v>
          </cell>
          <cell r="L678" t="str">
            <v>RJ</v>
          </cell>
          <cell r="M678">
            <v>10196</v>
          </cell>
          <cell r="N678" t="str">
            <v>Brazil</v>
          </cell>
        </row>
        <row r="679">
          <cell r="A679">
            <v>10926</v>
          </cell>
          <cell r="B679">
            <v>2</v>
          </cell>
          <cell r="C679">
            <v>4</v>
          </cell>
          <cell r="D679">
            <v>39511</v>
          </cell>
          <cell r="E679">
            <v>39539</v>
          </cell>
          <cell r="F679">
            <v>39518</v>
          </cell>
          <cell r="G679">
            <v>3</v>
          </cell>
          <cell r="H679">
            <v>39.92</v>
          </cell>
          <cell r="I679" t="str">
            <v>Destination RAIGI</v>
          </cell>
          <cell r="J679" t="str">
            <v>Avda. de la Constitución 4567</v>
          </cell>
          <cell r="K679" t="str">
            <v>México D.F.</v>
          </cell>
          <cell r="M679">
            <v>10182</v>
          </cell>
          <cell r="N679" t="str">
            <v>Mexico</v>
          </cell>
        </row>
        <row r="680">
          <cell r="A680">
            <v>10927</v>
          </cell>
          <cell r="B680">
            <v>40</v>
          </cell>
          <cell r="C680">
            <v>4</v>
          </cell>
          <cell r="D680">
            <v>39512</v>
          </cell>
          <cell r="E680">
            <v>39540</v>
          </cell>
          <cell r="F680">
            <v>39546</v>
          </cell>
          <cell r="G680">
            <v>1</v>
          </cell>
          <cell r="H680">
            <v>19.79</v>
          </cell>
          <cell r="I680" t="str">
            <v>Destination WWJLO</v>
          </cell>
          <cell r="J680" t="str">
            <v>6789, avenue de l'Europe</v>
          </cell>
          <cell r="K680" t="str">
            <v>Versailles</v>
          </cell>
          <cell r="M680">
            <v>10214</v>
          </cell>
          <cell r="N680" t="str">
            <v>France</v>
          </cell>
        </row>
        <row r="681">
          <cell r="A681">
            <v>10928</v>
          </cell>
          <cell r="B681">
            <v>29</v>
          </cell>
          <cell r="C681">
            <v>1</v>
          </cell>
          <cell r="D681">
            <v>39512</v>
          </cell>
          <cell r="E681">
            <v>39540</v>
          </cell>
          <cell r="F681">
            <v>39525</v>
          </cell>
          <cell r="G681">
            <v>1</v>
          </cell>
          <cell r="H681">
            <v>1.36</v>
          </cell>
          <cell r="I681" t="str">
            <v>Destination WOFLH</v>
          </cell>
          <cell r="J681" t="str">
            <v>Rambla de Cataluña, 1234</v>
          </cell>
          <cell r="K681" t="str">
            <v>Barcelona</v>
          </cell>
          <cell r="M681">
            <v>10179</v>
          </cell>
          <cell r="N681" t="str">
            <v>Spain</v>
          </cell>
        </row>
        <row r="682">
          <cell r="A682">
            <v>10929</v>
          </cell>
          <cell r="B682">
            <v>25</v>
          </cell>
          <cell r="C682">
            <v>6</v>
          </cell>
          <cell r="D682">
            <v>39512</v>
          </cell>
          <cell r="E682">
            <v>39540</v>
          </cell>
          <cell r="F682">
            <v>39519</v>
          </cell>
          <cell r="G682">
            <v>1</v>
          </cell>
          <cell r="H682">
            <v>33.93</v>
          </cell>
          <cell r="I682" t="str">
            <v>Destination QOCBL</v>
          </cell>
          <cell r="J682" t="str">
            <v>Berliner Platz 1234</v>
          </cell>
          <cell r="K682" t="str">
            <v>München</v>
          </cell>
          <cell r="M682">
            <v>10169</v>
          </cell>
          <cell r="N682" t="str">
            <v>Germany</v>
          </cell>
        </row>
        <row r="683">
          <cell r="A683">
            <v>10930</v>
          </cell>
          <cell r="B683">
            <v>76</v>
          </cell>
          <cell r="C683">
            <v>4</v>
          </cell>
          <cell r="D683">
            <v>39513</v>
          </cell>
          <cell r="E683">
            <v>39555</v>
          </cell>
          <cell r="F683">
            <v>39525</v>
          </cell>
          <cell r="G683">
            <v>3</v>
          </cell>
          <cell r="H683">
            <v>15.55</v>
          </cell>
          <cell r="I683" t="str">
            <v>Ship to 76-A</v>
          </cell>
          <cell r="J683" t="str">
            <v>Boulevard Tirou, 8901</v>
          </cell>
          <cell r="K683" t="str">
            <v>Charleroi</v>
          </cell>
          <cell r="M683">
            <v>10317</v>
          </cell>
          <cell r="N683" t="str">
            <v>Belgium</v>
          </cell>
        </row>
        <row r="684">
          <cell r="A684">
            <v>10931</v>
          </cell>
          <cell r="B684">
            <v>68</v>
          </cell>
          <cell r="C684">
            <v>4</v>
          </cell>
          <cell r="D684">
            <v>39513</v>
          </cell>
          <cell r="E684">
            <v>39527</v>
          </cell>
          <cell r="F684">
            <v>39526</v>
          </cell>
          <cell r="G684">
            <v>2</v>
          </cell>
          <cell r="H684">
            <v>13.6</v>
          </cell>
          <cell r="I684" t="str">
            <v>Ship to 68-B</v>
          </cell>
          <cell r="J684" t="str">
            <v>Starenweg 7890</v>
          </cell>
          <cell r="K684" t="str">
            <v>Genève</v>
          </cell>
          <cell r="M684">
            <v>10295</v>
          </cell>
          <cell r="N684" t="str">
            <v>Switzerland</v>
          </cell>
        </row>
        <row r="685">
          <cell r="A685">
            <v>10932</v>
          </cell>
          <cell r="B685">
            <v>9</v>
          </cell>
          <cell r="C685">
            <v>8</v>
          </cell>
          <cell r="D685">
            <v>39513</v>
          </cell>
          <cell r="E685">
            <v>39541</v>
          </cell>
          <cell r="F685">
            <v>39531</v>
          </cell>
          <cell r="G685">
            <v>1</v>
          </cell>
          <cell r="H685">
            <v>134.63999999999999</v>
          </cell>
          <cell r="I685" t="str">
            <v>Ship to 9-B</v>
          </cell>
          <cell r="J685" t="str">
            <v>9012, rue des Bouchers</v>
          </cell>
          <cell r="K685" t="str">
            <v>Marseille</v>
          </cell>
          <cell r="M685">
            <v>10368</v>
          </cell>
          <cell r="N685" t="str">
            <v>France</v>
          </cell>
        </row>
        <row r="686">
          <cell r="A686">
            <v>10933</v>
          </cell>
          <cell r="B686">
            <v>38</v>
          </cell>
          <cell r="C686">
            <v>6</v>
          </cell>
          <cell r="D686">
            <v>39513</v>
          </cell>
          <cell r="E686">
            <v>39541</v>
          </cell>
          <cell r="F686">
            <v>39523</v>
          </cell>
          <cell r="G686">
            <v>3</v>
          </cell>
          <cell r="H686">
            <v>54.15</v>
          </cell>
          <cell r="I686" t="str">
            <v>Destination QVTLW</v>
          </cell>
          <cell r="J686" t="str">
            <v>Garden House Crowther Way 7890</v>
          </cell>
          <cell r="K686" t="str">
            <v>Cowes</v>
          </cell>
          <cell r="L686" t="str">
            <v>Isle of Wight</v>
          </cell>
          <cell r="M686">
            <v>10205</v>
          </cell>
          <cell r="N686" t="str">
            <v>UK</v>
          </cell>
        </row>
        <row r="687">
          <cell r="A687">
            <v>10934</v>
          </cell>
          <cell r="B687">
            <v>44</v>
          </cell>
          <cell r="C687">
            <v>3</v>
          </cell>
          <cell r="D687">
            <v>39516</v>
          </cell>
          <cell r="E687">
            <v>39544</v>
          </cell>
          <cell r="F687">
            <v>39519</v>
          </cell>
          <cell r="G687">
            <v>3</v>
          </cell>
          <cell r="H687">
            <v>32.01</v>
          </cell>
          <cell r="I687" t="str">
            <v>Ship to 44-C</v>
          </cell>
          <cell r="J687" t="str">
            <v>Magazinweg 6789</v>
          </cell>
          <cell r="K687" t="str">
            <v>Frankfurt a.M.</v>
          </cell>
          <cell r="M687">
            <v>10224</v>
          </cell>
          <cell r="N687" t="str">
            <v>Germany</v>
          </cell>
        </row>
        <row r="688">
          <cell r="A688">
            <v>10935</v>
          </cell>
          <cell r="B688">
            <v>88</v>
          </cell>
          <cell r="C688">
            <v>4</v>
          </cell>
          <cell r="D688">
            <v>39516</v>
          </cell>
          <cell r="E688">
            <v>39544</v>
          </cell>
          <cell r="F688">
            <v>39525</v>
          </cell>
          <cell r="G688">
            <v>3</v>
          </cell>
          <cell r="H688">
            <v>47.59</v>
          </cell>
          <cell r="I688" t="str">
            <v>Ship to 88-A</v>
          </cell>
          <cell r="J688" t="str">
            <v>Rua do Mercado, 4567</v>
          </cell>
          <cell r="K688" t="str">
            <v>Resende</v>
          </cell>
          <cell r="L688" t="str">
            <v>SP</v>
          </cell>
          <cell r="M688">
            <v>10353</v>
          </cell>
          <cell r="N688" t="str">
            <v>Brazil</v>
          </cell>
        </row>
        <row r="689">
          <cell r="A689">
            <v>10936</v>
          </cell>
          <cell r="B689">
            <v>32</v>
          </cell>
          <cell r="C689">
            <v>3</v>
          </cell>
          <cell r="D689">
            <v>39516</v>
          </cell>
          <cell r="E689">
            <v>39544</v>
          </cell>
          <cell r="F689">
            <v>39525</v>
          </cell>
          <cell r="G689">
            <v>2</v>
          </cell>
          <cell r="H689">
            <v>33.68</v>
          </cell>
          <cell r="I689" t="str">
            <v>Destination AVQUS</v>
          </cell>
          <cell r="J689" t="str">
            <v>2345 Baker Blvd.</v>
          </cell>
          <cell r="K689" t="str">
            <v>Eugene</v>
          </cell>
          <cell r="L689" t="str">
            <v>OR</v>
          </cell>
          <cell r="M689">
            <v>10190</v>
          </cell>
          <cell r="N689" t="str">
            <v>USA</v>
          </cell>
        </row>
        <row r="690">
          <cell r="A690">
            <v>10937</v>
          </cell>
          <cell r="B690">
            <v>12</v>
          </cell>
          <cell r="C690">
            <v>7</v>
          </cell>
          <cell r="D690">
            <v>39517</v>
          </cell>
          <cell r="E690">
            <v>39531</v>
          </cell>
          <cell r="F690">
            <v>39520</v>
          </cell>
          <cell r="G690">
            <v>3</v>
          </cell>
          <cell r="H690">
            <v>31.51</v>
          </cell>
          <cell r="I690" t="str">
            <v>Destination QTHBC</v>
          </cell>
          <cell r="J690" t="str">
            <v>Cerrito 6789</v>
          </cell>
          <cell r="K690" t="str">
            <v>Buenos Aires</v>
          </cell>
          <cell r="M690">
            <v>10134</v>
          </cell>
          <cell r="N690" t="str">
            <v>Argentina</v>
          </cell>
        </row>
        <row r="691">
          <cell r="A691">
            <v>10938</v>
          </cell>
          <cell r="B691">
            <v>63</v>
          </cell>
          <cell r="C691">
            <v>3</v>
          </cell>
          <cell r="D691">
            <v>39517</v>
          </cell>
          <cell r="E691">
            <v>39545</v>
          </cell>
          <cell r="F691">
            <v>39523</v>
          </cell>
          <cell r="G691">
            <v>2</v>
          </cell>
          <cell r="H691">
            <v>31.89</v>
          </cell>
          <cell r="I691" t="str">
            <v>Ship to 63-C</v>
          </cell>
          <cell r="J691" t="str">
            <v>Taucherstraße 3456</v>
          </cell>
          <cell r="K691" t="str">
            <v>Cunewalde</v>
          </cell>
          <cell r="M691">
            <v>10281</v>
          </cell>
          <cell r="N691" t="str">
            <v>Germany</v>
          </cell>
        </row>
        <row r="692">
          <cell r="A692">
            <v>10939</v>
          </cell>
          <cell r="B692">
            <v>49</v>
          </cell>
          <cell r="C692">
            <v>2</v>
          </cell>
          <cell r="D692">
            <v>39517</v>
          </cell>
          <cell r="E692">
            <v>39545</v>
          </cell>
          <cell r="F692">
            <v>39520</v>
          </cell>
          <cell r="G692">
            <v>2</v>
          </cell>
          <cell r="H692">
            <v>76.33</v>
          </cell>
          <cell r="I692" t="str">
            <v>Ship to 49-A</v>
          </cell>
          <cell r="J692" t="str">
            <v>Via Ludovico il Moro 8901</v>
          </cell>
          <cell r="K692" t="str">
            <v>Bergamo</v>
          </cell>
          <cell r="M692">
            <v>10235</v>
          </cell>
          <cell r="N692" t="str">
            <v>Italy</v>
          </cell>
        </row>
        <row r="693">
          <cell r="A693">
            <v>10940</v>
          </cell>
          <cell r="B693">
            <v>9</v>
          </cell>
          <cell r="C693">
            <v>8</v>
          </cell>
          <cell r="D693">
            <v>39518</v>
          </cell>
          <cell r="E693">
            <v>39546</v>
          </cell>
          <cell r="F693">
            <v>39530</v>
          </cell>
          <cell r="G693">
            <v>3</v>
          </cell>
          <cell r="H693">
            <v>19.77</v>
          </cell>
          <cell r="I693" t="str">
            <v>Ship to 9-C</v>
          </cell>
          <cell r="J693" t="str">
            <v>0123, rue des Bouchers</v>
          </cell>
          <cell r="K693" t="str">
            <v>Marseille</v>
          </cell>
          <cell r="M693">
            <v>10369</v>
          </cell>
          <cell r="N693" t="str">
            <v>France</v>
          </cell>
        </row>
        <row r="694">
          <cell r="A694">
            <v>10941</v>
          </cell>
          <cell r="B694">
            <v>71</v>
          </cell>
          <cell r="C694">
            <v>7</v>
          </cell>
          <cell r="D694">
            <v>39518</v>
          </cell>
          <cell r="E694">
            <v>39546</v>
          </cell>
          <cell r="F694">
            <v>39527</v>
          </cell>
          <cell r="G694">
            <v>2</v>
          </cell>
          <cell r="H694">
            <v>400.81</v>
          </cell>
          <cell r="I694" t="str">
            <v>Ship to 71-A</v>
          </cell>
          <cell r="J694" t="str">
            <v>7890 Suffolk Ln.</v>
          </cell>
          <cell r="K694" t="str">
            <v>Boise</v>
          </cell>
          <cell r="L694" t="str">
            <v>ID</v>
          </cell>
          <cell r="M694">
            <v>10305</v>
          </cell>
          <cell r="N694" t="str">
            <v>USA</v>
          </cell>
        </row>
        <row r="695">
          <cell r="A695">
            <v>10942</v>
          </cell>
          <cell r="B695">
            <v>66</v>
          </cell>
          <cell r="C695">
            <v>9</v>
          </cell>
          <cell r="D695">
            <v>39518</v>
          </cell>
          <cell r="E695">
            <v>39546</v>
          </cell>
          <cell r="F695">
            <v>39525</v>
          </cell>
          <cell r="G695">
            <v>3</v>
          </cell>
          <cell r="H695">
            <v>17.95</v>
          </cell>
          <cell r="I695" t="str">
            <v>Ship to 66-C</v>
          </cell>
          <cell r="J695" t="str">
            <v>Strada Provinciale 2345</v>
          </cell>
          <cell r="K695" t="str">
            <v>Reggio Emilia</v>
          </cell>
          <cell r="M695">
            <v>10290</v>
          </cell>
          <cell r="N695" t="str">
            <v>Italy</v>
          </cell>
        </row>
        <row r="696">
          <cell r="A696">
            <v>10943</v>
          </cell>
          <cell r="B696">
            <v>11</v>
          </cell>
          <cell r="C696">
            <v>4</v>
          </cell>
          <cell r="D696">
            <v>39518</v>
          </cell>
          <cell r="E696">
            <v>39546</v>
          </cell>
          <cell r="F696">
            <v>39526</v>
          </cell>
          <cell r="G696">
            <v>2</v>
          </cell>
          <cell r="H696">
            <v>2.17</v>
          </cell>
          <cell r="I696" t="str">
            <v>Destination NZASL</v>
          </cell>
          <cell r="J696" t="str">
            <v>Fauntleroy Circus 5678</v>
          </cell>
          <cell r="K696" t="str">
            <v>London</v>
          </cell>
          <cell r="M696">
            <v>10133</v>
          </cell>
          <cell r="N696" t="str">
            <v>UK</v>
          </cell>
        </row>
        <row r="697">
          <cell r="A697">
            <v>10944</v>
          </cell>
          <cell r="B697">
            <v>10</v>
          </cell>
          <cell r="C697">
            <v>6</v>
          </cell>
          <cell r="D697">
            <v>39519</v>
          </cell>
          <cell r="E697">
            <v>39533</v>
          </cell>
          <cell r="F697">
            <v>39520</v>
          </cell>
          <cell r="G697">
            <v>3</v>
          </cell>
          <cell r="H697">
            <v>52.92</v>
          </cell>
          <cell r="I697" t="str">
            <v>Destination XJIBQ</v>
          </cell>
          <cell r="J697" t="str">
            <v>1234 Tsawassen Blvd.</v>
          </cell>
          <cell r="K697" t="str">
            <v>Tsawassen</v>
          </cell>
          <cell r="L697" t="str">
            <v>BC</v>
          </cell>
          <cell r="M697">
            <v>10129</v>
          </cell>
          <cell r="N697" t="str">
            <v>Canada</v>
          </cell>
        </row>
        <row r="698">
          <cell r="A698">
            <v>10945</v>
          </cell>
          <cell r="B698">
            <v>52</v>
          </cell>
          <cell r="C698">
            <v>4</v>
          </cell>
          <cell r="D698">
            <v>39519</v>
          </cell>
          <cell r="E698">
            <v>39547</v>
          </cell>
          <cell r="F698">
            <v>39525</v>
          </cell>
          <cell r="G698">
            <v>1</v>
          </cell>
          <cell r="H698">
            <v>10.220000000000001</v>
          </cell>
          <cell r="I698" t="str">
            <v>Ship to 52-B</v>
          </cell>
          <cell r="J698" t="str">
            <v>Heerstr. 0123</v>
          </cell>
          <cell r="K698" t="str">
            <v>Leipzig</v>
          </cell>
          <cell r="M698">
            <v>10248</v>
          </cell>
          <cell r="N698" t="str">
            <v>Germany</v>
          </cell>
        </row>
        <row r="699">
          <cell r="A699">
            <v>10946</v>
          </cell>
          <cell r="B699">
            <v>83</v>
          </cell>
          <cell r="C699">
            <v>1</v>
          </cell>
          <cell r="D699">
            <v>39519</v>
          </cell>
          <cell r="E699">
            <v>39547</v>
          </cell>
          <cell r="F699">
            <v>39526</v>
          </cell>
          <cell r="G699">
            <v>2</v>
          </cell>
          <cell r="H699">
            <v>27.2</v>
          </cell>
          <cell r="I699" t="str">
            <v>Ship to 83-B</v>
          </cell>
          <cell r="J699" t="str">
            <v>Smagsloget 1234</v>
          </cell>
          <cell r="K699" t="str">
            <v>Århus</v>
          </cell>
          <cell r="M699">
            <v>10340</v>
          </cell>
          <cell r="N699" t="str">
            <v>Denmark</v>
          </cell>
        </row>
        <row r="700">
          <cell r="A700">
            <v>10947</v>
          </cell>
          <cell r="B700">
            <v>11</v>
          </cell>
          <cell r="C700">
            <v>3</v>
          </cell>
          <cell r="D700">
            <v>39520</v>
          </cell>
          <cell r="E700">
            <v>39548</v>
          </cell>
          <cell r="F700">
            <v>39523</v>
          </cell>
          <cell r="G700">
            <v>2</v>
          </cell>
          <cell r="H700">
            <v>3.26</v>
          </cell>
          <cell r="I700" t="str">
            <v>Destination NZASL</v>
          </cell>
          <cell r="J700" t="str">
            <v>Fauntleroy Circus 5678</v>
          </cell>
          <cell r="K700" t="str">
            <v>London</v>
          </cell>
          <cell r="M700">
            <v>10133</v>
          </cell>
          <cell r="N700" t="str">
            <v>UK</v>
          </cell>
        </row>
        <row r="701">
          <cell r="A701">
            <v>10948</v>
          </cell>
          <cell r="B701">
            <v>30</v>
          </cell>
          <cell r="C701">
            <v>3</v>
          </cell>
          <cell r="D701">
            <v>39520</v>
          </cell>
          <cell r="E701">
            <v>39548</v>
          </cell>
          <cell r="F701">
            <v>39526</v>
          </cell>
          <cell r="G701">
            <v>3</v>
          </cell>
          <cell r="H701">
            <v>23.39</v>
          </cell>
          <cell r="I701" t="str">
            <v>Destination GGQIR</v>
          </cell>
          <cell r="J701" t="str">
            <v>C/ Romero, 6789</v>
          </cell>
          <cell r="K701" t="str">
            <v>Sevilla</v>
          </cell>
          <cell r="M701">
            <v>10184</v>
          </cell>
          <cell r="N701" t="str">
            <v>Spain</v>
          </cell>
        </row>
        <row r="702">
          <cell r="A702">
            <v>10949</v>
          </cell>
          <cell r="B702">
            <v>10</v>
          </cell>
          <cell r="C702">
            <v>2</v>
          </cell>
          <cell r="D702">
            <v>39520</v>
          </cell>
          <cell r="E702">
            <v>39548</v>
          </cell>
          <cell r="F702">
            <v>39524</v>
          </cell>
          <cell r="G702">
            <v>3</v>
          </cell>
          <cell r="H702">
            <v>74.44</v>
          </cell>
          <cell r="I702" t="str">
            <v>Destination OLSSJ</v>
          </cell>
          <cell r="J702" t="str">
            <v>2345 Tsawassen Blvd.</v>
          </cell>
          <cell r="K702" t="str">
            <v>Tsawassen</v>
          </cell>
          <cell r="L702" t="str">
            <v>BC</v>
          </cell>
          <cell r="M702">
            <v>10130</v>
          </cell>
          <cell r="N702" t="str">
            <v>Canada</v>
          </cell>
        </row>
        <row r="703">
          <cell r="A703">
            <v>10950</v>
          </cell>
          <cell r="B703">
            <v>49</v>
          </cell>
          <cell r="C703">
            <v>1</v>
          </cell>
          <cell r="D703">
            <v>39523</v>
          </cell>
          <cell r="E703">
            <v>39551</v>
          </cell>
          <cell r="F703">
            <v>39530</v>
          </cell>
          <cell r="G703">
            <v>2</v>
          </cell>
          <cell r="H703">
            <v>2.5</v>
          </cell>
          <cell r="I703" t="str">
            <v>Ship to 49-B</v>
          </cell>
          <cell r="J703" t="str">
            <v>Via Ludovico il Moro 9012</v>
          </cell>
          <cell r="K703" t="str">
            <v>Bergamo</v>
          </cell>
          <cell r="M703">
            <v>10236</v>
          </cell>
          <cell r="N703" t="str">
            <v>Italy</v>
          </cell>
        </row>
        <row r="704">
          <cell r="A704">
            <v>10951</v>
          </cell>
          <cell r="B704">
            <v>68</v>
          </cell>
          <cell r="C704">
            <v>9</v>
          </cell>
          <cell r="D704">
            <v>39523</v>
          </cell>
          <cell r="E704">
            <v>39565</v>
          </cell>
          <cell r="F704">
            <v>39545</v>
          </cell>
          <cell r="G704">
            <v>2</v>
          </cell>
          <cell r="H704">
            <v>30.85</v>
          </cell>
          <cell r="I704" t="str">
            <v>Ship to 68-A</v>
          </cell>
          <cell r="J704" t="str">
            <v>Starenweg 6789</v>
          </cell>
          <cell r="K704" t="str">
            <v>Genève</v>
          </cell>
          <cell r="M704">
            <v>10294</v>
          </cell>
          <cell r="N704" t="str">
            <v>Switzerland</v>
          </cell>
        </row>
        <row r="705">
          <cell r="A705">
            <v>10952</v>
          </cell>
          <cell r="B705">
            <v>1</v>
          </cell>
          <cell r="C705">
            <v>1</v>
          </cell>
          <cell r="D705">
            <v>39523</v>
          </cell>
          <cell r="E705">
            <v>39565</v>
          </cell>
          <cell r="F705">
            <v>39531</v>
          </cell>
          <cell r="G705">
            <v>1</v>
          </cell>
          <cell r="H705">
            <v>40.42</v>
          </cell>
          <cell r="I705" t="str">
            <v>Destination LOUIE</v>
          </cell>
          <cell r="J705" t="str">
            <v>Obere Str. 6789</v>
          </cell>
          <cell r="K705" t="str">
            <v>Berlin</v>
          </cell>
          <cell r="M705">
            <v>10154</v>
          </cell>
          <cell r="N705" t="str">
            <v>Germany</v>
          </cell>
        </row>
        <row r="706">
          <cell r="A706">
            <v>10953</v>
          </cell>
          <cell r="B706">
            <v>4</v>
          </cell>
          <cell r="C706">
            <v>9</v>
          </cell>
          <cell r="D706">
            <v>39523</v>
          </cell>
          <cell r="E706">
            <v>39537</v>
          </cell>
          <cell r="F706">
            <v>39532</v>
          </cell>
          <cell r="G706">
            <v>2</v>
          </cell>
          <cell r="H706">
            <v>23.72</v>
          </cell>
          <cell r="I706" t="str">
            <v>Ship to 4-B</v>
          </cell>
          <cell r="J706" t="str">
            <v>Brook Farm Stratford St. Mary 1234</v>
          </cell>
          <cell r="K706" t="str">
            <v>Colchester</v>
          </cell>
          <cell r="L706" t="str">
            <v>Essex</v>
          </cell>
          <cell r="M706">
            <v>10239</v>
          </cell>
          <cell r="N706" t="str">
            <v>UK</v>
          </cell>
        </row>
        <row r="707">
          <cell r="A707">
            <v>10954</v>
          </cell>
          <cell r="B707">
            <v>47</v>
          </cell>
          <cell r="C707">
            <v>5</v>
          </cell>
          <cell r="D707">
            <v>39524</v>
          </cell>
          <cell r="E707">
            <v>39566</v>
          </cell>
          <cell r="F707">
            <v>39527</v>
          </cell>
          <cell r="G707">
            <v>1</v>
          </cell>
          <cell r="H707">
            <v>27.91</v>
          </cell>
          <cell r="I707" t="str">
            <v>Ship to 47-B</v>
          </cell>
          <cell r="J707" t="str">
            <v>Ave. 5 de Mayo Porlamar 4567</v>
          </cell>
          <cell r="K707" t="str">
            <v>I. de Margarita</v>
          </cell>
          <cell r="L707" t="str">
            <v>Nueva Esparta</v>
          </cell>
          <cell r="M707">
            <v>10231</v>
          </cell>
          <cell r="N707" t="str">
            <v>Venezuela</v>
          </cell>
        </row>
        <row r="708">
          <cell r="A708">
            <v>10955</v>
          </cell>
          <cell r="B708">
            <v>24</v>
          </cell>
          <cell r="C708">
            <v>8</v>
          </cell>
          <cell r="D708">
            <v>39524</v>
          </cell>
          <cell r="E708">
            <v>39552</v>
          </cell>
          <cell r="F708">
            <v>39527</v>
          </cell>
          <cell r="G708">
            <v>2</v>
          </cell>
          <cell r="H708">
            <v>3.26</v>
          </cell>
          <cell r="I708" t="str">
            <v>Destination YCMPK</v>
          </cell>
          <cell r="J708" t="str">
            <v>Åkergatan 8901</v>
          </cell>
          <cell r="K708" t="str">
            <v>Bräcke</v>
          </cell>
          <cell r="M708">
            <v>10166</v>
          </cell>
          <cell r="N708" t="str">
            <v>Sweden</v>
          </cell>
        </row>
        <row r="709">
          <cell r="A709">
            <v>10956</v>
          </cell>
          <cell r="B709">
            <v>6</v>
          </cell>
          <cell r="C709">
            <v>6</v>
          </cell>
          <cell r="D709">
            <v>39524</v>
          </cell>
          <cell r="E709">
            <v>39566</v>
          </cell>
          <cell r="F709">
            <v>39527</v>
          </cell>
          <cell r="G709">
            <v>2</v>
          </cell>
          <cell r="H709">
            <v>44.65</v>
          </cell>
          <cell r="I709" t="str">
            <v>Ship to 6-B</v>
          </cell>
          <cell r="J709" t="str">
            <v>Forsterstr. 3456</v>
          </cell>
          <cell r="K709" t="str">
            <v>Mannheim</v>
          </cell>
          <cell r="M709">
            <v>10301</v>
          </cell>
          <cell r="N709" t="str">
            <v>Germany</v>
          </cell>
        </row>
        <row r="710">
          <cell r="A710">
            <v>10957</v>
          </cell>
          <cell r="B710">
            <v>35</v>
          </cell>
          <cell r="C710">
            <v>8</v>
          </cell>
          <cell r="D710">
            <v>39525</v>
          </cell>
          <cell r="E710">
            <v>39553</v>
          </cell>
          <cell r="F710">
            <v>39534</v>
          </cell>
          <cell r="G710">
            <v>3</v>
          </cell>
          <cell r="H710">
            <v>105.36</v>
          </cell>
          <cell r="I710" t="str">
            <v>Destination UOUWK</v>
          </cell>
          <cell r="J710" t="str">
            <v>Carrera 9012 con Ave. Carlos Soublette #8-35</v>
          </cell>
          <cell r="K710" t="str">
            <v>San Cristóbal</v>
          </cell>
          <cell r="L710" t="str">
            <v>Táchira</v>
          </cell>
          <cell r="M710">
            <v>10197</v>
          </cell>
          <cell r="N710" t="str">
            <v>Venezuela</v>
          </cell>
        </row>
        <row r="711">
          <cell r="A711">
            <v>10958</v>
          </cell>
          <cell r="B711">
            <v>54</v>
          </cell>
          <cell r="C711">
            <v>7</v>
          </cell>
          <cell r="D711">
            <v>39525</v>
          </cell>
          <cell r="E711">
            <v>39553</v>
          </cell>
          <cell r="F711">
            <v>39534</v>
          </cell>
          <cell r="G711">
            <v>2</v>
          </cell>
          <cell r="H711">
            <v>49.56</v>
          </cell>
          <cell r="I711" t="str">
            <v>Ship to 54-C</v>
          </cell>
          <cell r="J711" t="str">
            <v>Ing. Gustavo Moncada 6789 Piso 20-A</v>
          </cell>
          <cell r="K711" t="str">
            <v>Buenos Aires</v>
          </cell>
          <cell r="M711">
            <v>10254</v>
          </cell>
          <cell r="N711" t="str">
            <v>Argentina</v>
          </cell>
        </row>
        <row r="712">
          <cell r="A712">
            <v>10959</v>
          </cell>
          <cell r="B712">
            <v>31</v>
          </cell>
          <cell r="C712">
            <v>6</v>
          </cell>
          <cell r="D712">
            <v>39525</v>
          </cell>
          <cell r="E712">
            <v>39567</v>
          </cell>
          <cell r="F712">
            <v>39530</v>
          </cell>
          <cell r="G712">
            <v>2</v>
          </cell>
          <cell r="H712">
            <v>4.9800000000000004</v>
          </cell>
          <cell r="I712" t="str">
            <v>Destination GWPFK</v>
          </cell>
          <cell r="J712" t="str">
            <v>Av. Brasil, 0123</v>
          </cell>
          <cell r="K712" t="str">
            <v>Campinas</v>
          </cell>
          <cell r="L712" t="str">
            <v>SP</v>
          </cell>
          <cell r="M712">
            <v>10188</v>
          </cell>
          <cell r="N712" t="str">
            <v>Brazil</v>
          </cell>
        </row>
        <row r="713">
          <cell r="A713">
            <v>10960</v>
          </cell>
          <cell r="B713">
            <v>35</v>
          </cell>
          <cell r="C713">
            <v>3</v>
          </cell>
          <cell r="D713">
            <v>39526</v>
          </cell>
          <cell r="E713">
            <v>39540</v>
          </cell>
          <cell r="F713">
            <v>39546</v>
          </cell>
          <cell r="G713">
            <v>1</v>
          </cell>
          <cell r="H713">
            <v>2.08</v>
          </cell>
          <cell r="I713" t="str">
            <v>Destination SXYQX</v>
          </cell>
          <cell r="J713" t="str">
            <v>Carrera 0123 con Ave. Carlos Soublette #8-35</v>
          </cell>
          <cell r="K713" t="str">
            <v>San Cristóbal</v>
          </cell>
          <cell r="L713" t="str">
            <v>Táchira</v>
          </cell>
          <cell r="M713">
            <v>10198</v>
          </cell>
          <cell r="N713" t="str">
            <v>Venezuela</v>
          </cell>
        </row>
        <row r="714">
          <cell r="A714">
            <v>10961</v>
          </cell>
          <cell r="B714">
            <v>62</v>
          </cell>
          <cell r="C714">
            <v>8</v>
          </cell>
          <cell r="D714">
            <v>39526</v>
          </cell>
          <cell r="E714">
            <v>39554</v>
          </cell>
          <cell r="F714">
            <v>39537</v>
          </cell>
          <cell r="G714">
            <v>1</v>
          </cell>
          <cell r="H714">
            <v>104.47</v>
          </cell>
          <cell r="I714" t="str">
            <v>Ship to 62-A</v>
          </cell>
          <cell r="J714" t="str">
            <v>Alameda dos Canàrios, 8901</v>
          </cell>
          <cell r="K714" t="str">
            <v>Sao Paulo</v>
          </cell>
          <cell r="L714" t="str">
            <v>SP</v>
          </cell>
          <cell r="M714">
            <v>10276</v>
          </cell>
          <cell r="N714" t="str">
            <v>Brazil</v>
          </cell>
        </row>
        <row r="715">
          <cell r="A715">
            <v>10962</v>
          </cell>
          <cell r="B715">
            <v>63</v>
          </cell>
          <cell r="C715">
            <v>8</v>
          </cell>
          <cell r="D715">
            <v>39526</v>
          </cell>
          <cell r="E715">
            <v>39554</v>
          </cell>
          <cell r="F715">
            <v>39530</v>
          </cell>
          <cell r="G715">
            <v>2</v>
          </cell>
          <cell r="H715">
            <v>275.79000000000002</v>
          </cell>
          <cell r="I715" t="str">
            <v>Ship to 63-B</v>
          </cell>
          <cell r="J715" t="str">
            <v>Taucherstraße 2345</v>
          </cell>
          <cell r="K715" t="str">
            <v>Cunewalde</v>
          </cell>
          <cell r="M715">
            <v>10280</v>
          </cell>
          <cell r="N715" t="str">
            <v>Germany</v>
          </cell>
        </row>
        <row r="716">
          <cell r="A716">
            <v>10963</v>
          </cell>
          <cell r="B716">
            <v>28</v>
          </cell>
          <cell r="C716">
            <v>9</v>
          </cell>
          <cell r="D716">
            <v>39526</v>
          </cell>
          <cell r="E716">
            <v>39554</v>
          </cell>
          <cell r="F716">
            <v>39533</v>
          </cell>
          <cell r="G716">
            <v>3</v>
          </cell>
          <cell r="H716">
            <v>2.7</v>
          </cell>
          <cell r="I716" t="str">
            <v>Destination CIRQO</v>
          </cell>
          <cell r="J716" t="str">
            <v>Jardim das rosas n. 8901</v>
          </cell>
          <cell r="K716" t="str">
            <v>Lisboa</v>
          </cell>
          <cell r="M716">
            <v>10176</v>
          </cell>
          <cell r="N716" t="str">
            <v>Portugal</v>
          </cell>
        </row>
        <row r="717">
          <cell r="A717">
            <v>10964</v>
          </cell>
          <cell r="B717">
            <v>74</v>
          </cell>
          <cell r="C717">
            <v>3</v>
          </cell>
          <cell r="D717">
            <v>39527</v>
          </cell>
          <cell r="E717">
            <v>39555</v>
          </cell>
          <cell r="F717">
            <v>39531</v>
          </cell>
          <cell r="G717">
            <v>2</v>
          </cell>
          <cell r="H717">
            <v>87.38</v>
          </cell>
          <cell r="I717" t="str">
            <v>Ship to 74-B</v>
          </cell>
          <cell r="J717" t="str">
            <v>4567, rue Lauriston</v>
          </cell>
          <cell r="K717" t="str">
            <v>Paris</v>
          </cell>
          <cell r="M717">
            <v>10313</v>
          </cell>
          <cell r="N717" t="str">
            <v>France</v>
          </cell>
        </row>
        <row r="718">
          <cell r="A718">
            <v>10965</v>
          </cell>
          <cell r="B718">
            <v>55</v>
          </cell>
          <cell r="C718">
            <v>6</v>
          </cell>
          <cell r="D718">
            <v>39527</v>
          </cell>
          <cell r="E718">
            <v>39555</v>
          </cell>
          <cell r="F718">
            <v>39537</v>
          </cell>
          <cell r="G718">
            <v>3</v>
          </cell>
          <cell r="H718">
            <v>144.38</v>
          </cell>
          <cell r="I718" t="str">
            <v>Ship to 55-B</v>
          </cell>
          <cell r="J718" t="str">
            <v>8901 Bering St.</v>
          </cell>
          <cell r="K718" t="str">
            <v>Anchorage</v>
          </cell>
          <cell r="L718" t="str">
            <v>AK</v>
          </cell>
          <cell r="M718">
            <v>10256</v>
          </cell>
          <cell r="N718" t="str">
            <v>USA</v>
          </cell>
        </row>
        <row r="719">
          <cell r="A719">
            <v>10966</v>
          </cell>
          <cell r="B719">
            <v>14</v>
          </cell>
          <cell r="C719">
            <v>4</v>
          </cell>
          <cell r="D719">
            <v>39527</v>
          </cell>
          <cell r="E719">
            <v>39555</v>
          </cell>
          <cell r="F719">
            <v>39546</v>
          </cell>
          <cell r="G719">
            <v>1</v>
          </cell>
          <cell r="H719">
            <v>27.19</v>
          </cell>
          <cell r="I719" t="str">
            <v>Destination NRTZZ</v>
          </cell>
          <cell r="J719" t="str">
            <v>Hauptstr. 0123</v>
          </cell>
          <cell r="K719" t="str">
            <v>Bern</v>
          </cell>
          <cell r="M719">
            <v>10138</v>
          </cell>
          <cell r="N719" t="str">
            <v>Switzerland</v>
          </cell>
        </row>
        <row r="720">
          <cell r="A720">
            <v>10967</v>
          </cell>
          <cell r="B720">
            <v>79</v>
          </cell>
          <cell r="C720">
            <v>2</v>
          </cell>
          <cell r="D720">
            <v>39530</v>
          </cell>
          <cell r="E720">
            <v>39558</v>
          </cell>
          <cell r="F720">
            <v>39540</v>
          </cell>
          <cell r="G720">
            <v>2</v>
          </cell>
          <cell r="H720">
            <v>62.22</v>
          </cell>
          <cell r="I720" t="str">
            <v>Ship to 79-B</v>
          </cell>
          <cell r="J720" t="str">
            <v>Luisenstr. 8901</v>
          </cell>
          <cell r="K720" t="str">
            <v>Münster</v>
          </cell>
          <cell r="M720">
            <v>10327</v>
          </cell>
          <cell r="N720" t="str">
            <v>Germany</v>
          </cell>
        </row>
        <row r="721">
          <cell r="A721">
            <v>10968</v>
          </cell>
          <cell r="B721">
            <v>20</v>
          </cell>
          <cell r="C721">
            <v>1</v>
          </cell>
          <cell r="D721">
            <v>39530</v>
          </cell>
          <cell r="E721">
            <v>39558</v>
          </cell>
          <cell r="F721">
            <v>39539</v>
          </cell>
          <cell r="G721">
            <v>3</v>
          </cell>
          <cell r="H721">
            <v>74.599999999999994</v>
          </cell>
          <cell r="I721" t="str">
            <v>Destination CUVPF</v>
          </cell>
          <cell r="J721" t="str">
            <v>Kirchgasse 1234</v>
          </cell>
          <cell r="K721" t="str">
            <v>Graz</v>
          </cell>
          <cell r="M721">
            <v>10159</v>
          </cell>
          <cell r="N721" t="str">
            <v>Austria</v>
          </cell>
        </row>
        <row r="722">
          <cell r="A722">
            <v>10969</v>
          </cell>
          <cell r="B722">
            <v>15</v>
          </cell>
          <cell r="C722">
            <v>1</v>
          </cell>
          <cell r="D722">
            <v>39530</v>
          </cell>
          <cell r="E722">
            <v>39558</v>
          </cell>
          <cell r="F722">
            <v>39537</v>
          </cell>
          <cell r="G722">
            <v>2</v>
          </cell>
          <cell r="H722">
            <v>0.21</v>
          </cell>
          <cell r="I722" t="str">
            <v>Destination EVHYA</v>
          </cell>
          <cell r="J722" t="str">
            <v>Av. dos Lusíadas, 3456</v>
          </cell>
          <cell r="K722" t="str">
            <v>Sao Paulo</v>
          </cell>
          <cell r="L722" t="str">
            <v>SP</v>
          </cell>
          <cell r="M722">
            <v>10141</v>
          </cell>
          <cell r="N722" t="str">
            <v>Brazil</v>
          </cell>
        </row>
        <row r="723">
          <cell r="A723">
            <v>10970</v>
          </cell>
          <cell r="B723">
            <v>8</v>
          </cell>
          <cell r="C723">
            <v>9</v>
          </cell>
          <cell r="D723">
            <v>39531</v>
          </cell>
          <cell r="E723">
            <v>39545</v>
          </cell>
          <cell r="F723">
            <v>39562</v>
          </cell>
          <cell r="G723">
            <v>1</v>
          </cell>
          <cell r="H723">
            <v>16.16</v>
          </cell>
          <cell r="I723" t="str">
            <v>Ship to 8-C</v>
          </cell>
          <cell r="J723" t="str">
            <v>C/ Araquil, 1234</v>
          </cell>
          <cell r="K723" t="str">
            <v>Madrid</v>
          </cell>
          <cell r="M723">
            <v>10360</v>
          </cell>
          <cell r="N723" t="str">
            <v>Spain</v>
          </cell>
        </row>
        <row r="724">
          <cell r="A724">
            <v>10971</v>
          </cell>
          <cell r="B724">
            <v>26</v>
          </cell>
          <cell r="C724">
            <v>2</v>
          </cell>
          <cell r="D724">
            <v>39531</v>
          </cell>
          <cell r="E724">
            <v>39559</v>
          </cell>
          <cell r="F724">
            <v>39540</v>
          </cell>
          <cell r="G724">
            <v>2</v>
          </cell>
          <cell r="H724">
            <v>121.82</v>
          </cell>
          <cell r="I724" t="str">
            <v>Destination XBVKN</v>
          </cell>
          <cell r="J724" t="str">
            <v>3456, rue Royale</v>
          </cell>
          <cell r="K724" t="str">
            <v>Nantes</v>
          </cell>
          <cell r="M724">
            <v>10171</v>
          </cell>
          <cell r="N724" t="str">
            <v>France</v>
          </cell>
        </row>
        <row r="725">
          <cell r="A725">
            <v>10972</v>
          </cell>
          <cell r="B725">
            <v>40</v>
          </cell>
          <cell r="C725">
            <v>4</v>
          </cell>
          <cell r="D725">
            <v>39531</v>
          </cell>
          <cell r="E725">
            <v>39559</v>
          </cell>
          <cell r="F725">
            <v>39533</v>
          </cell>
          <cell r="G725">
            <v>2</v>
          </cell>
          <cell r="H725">
            <v>0.02</v>
          </cell>
          <cell r="I725" t="str">
            <v>Destination MVTWX</v>
          </cell>
          <cell r="J725" t="str">
            <v>5678, avenue de l'Europe</v>
          </cell>
          <cell r="K725" t="str">
            <v>Versailles</v>
          </cell>
          <cell r="M725">
            <v>10213</v>
          </cell>
          <cell r="N725" t="str">
            <v>France</v>
          </cell>
        </row>
        <row r="726">
          <cell r="A726">
            <v>10973</v>
          </cell>
          <cell r="B726">
            <v>40</v>
          </cell>
          <cell r="C726">
            <v>6</v>
          </cell>
          <cell r="D726">
            <v>39531</v>
          </cell>
          <cell r="E726">
            <v>39559</v>
          </cell>
          <cell r="F726">
            <v>39534</v>
          </cell>
          <cell r="G726">
            <v>2</v>
          </cell>
          <cell r="H726">
            <v>15.17</v>
          </cell>
          <cell r="I726" t="str">
            <v>Destination WWJLO</v>
          </cell>
          <cell r="J726" t="str">
            <v>6789, avenue de l'Europe</v>
          </cell>
          <cell r="K726" t="str">
            <v>Versailles</v>
          </cell>
          <cell r="M726">
            <v>10214</v>
          </cell>
          <cell r="N726" t="str">
            <v>France</v>
          </cell>
        </row>
        <row r="727">
          <cell r="A727">
            <v>10974</v>
          </cell>
          <cell r="B727">
            <v>75</v>
          </cell>
          <cell r="C727">
            <v>3</v>
          </cell>
          <cell r="D727">
            <v>39532</v>
          </cell>
          <cell r="E727">
            <v>39546</v>
          </cell>
          <cell r="F727">
            <v>39541</v>
          </cell>
          <cell r="G727">
            <v>3</v>
          </cell>
          <cell r="H727">
            <v>12.96</v>
          </cell>
          <cell r="I727" t="str">
            <v>Ship to 75-B</v>
          </cell>
          <cell r="J727" t="str">
            <v>P.O. Box 6789</v>
          </cell>
          <cell r="K727" t="str">
            <v>Lander</v>
          </cell>
          <cell r="L727" t="str">
            <v>WY</v>
          </cell>
          <cell r="M727">
            <v>10315</v>
          </cell>
          <cell r="N727" t="str">
            <v>USA</v>
          </cell>
        </row>
        <row r="728">
          <cell r="A728">
            <v>10975</v>
          </cell>
          <cell r="B728">
            <v>10</v>
          </cell>
          <cell r="C728">
            <v>1</v>
          </cell>
          <cell r="D728">
            <v>39532</v>
          </cell>
          <cell r="E728">
            <v>39560</v>
          </cell>
          <cell r="F728">
            <v>39534</v>
          </cell>
          <cell r="G728">
            <v>3</v>
          </cell>
          <cell r="H728">
            <v>32.270000000000003</v>
          </cell>
          <cell r="I728" t="str">
            <v>Destination OLSSJ</v>
          </cell>
          <cell r="J728" t="str">
            <v>2345 Tsawassen Blvd.</v>
          </cell>
          <cell r="K728" t="str">
            <v>Tsawassen</v>
          </cell>
          <cell r="L728" t="str">
            <v>BC</v>
          </cell>
          <cell r="M728">
            <v>10130</v>
          </cell>
          <cell r="N728" t="str">
            <v>Canada</v>
          </cell>
        </row>
        <row r="729">
          <cell r="A729">
            <v>10976</v>
          </cell>
          <cell r="B729">
            <v>35</v>
          </cell>
          <cell r="C729">
            <v>1</v>
          </cell>
          <cell r="D729">
            <v>39532</v>
          </cell>
          <cell r="E729">
            <v>39574</v>
          </cell>
          <cell r="F729">
            <v>39541</v>
          </cell>
          <cell r="G729">
            <v>1</v>
          </cell>
          <cell r="H729">
            <v>37.97</v>
          </cell>
          <cell r="I729" t="str">
            <v>Destination SXYQX</v>
          </cell>
          <cell r="J729" t="str">
            <v>Carrera 0123 con Ave. Carlos Soublette #8-35</v>
          </cell>
          <cell r="K729" t="str">
            <v>San Cristóbal</v>
          </cell>
          <cell r="L729" t="str">
            <v>Táchira</v>
          </cell>
          <cell r="M729">
            <v>10198</v>
          </cell>
          <cell r="N729" t="str">
            <v>Venezuela</v>
          </cell>
        </row>
        <row r="730">
          <cell r="A730">
            <v>10977</v>
          </cell>
          <cell r="B730">
            <v>24</v>
          </cell>
          <cell r="C730">
            <v>8</v>
          </cell>
          <cell r="D730">
            <v>39533</v>
          </cell>
          <cell r="E730">
            <v>39561</v>
          </cell>
          <cell r="F730">
            <v>39548</v>
          </cell>
          <cell r="G730">
            <v>3</v>
          </cell>
          <cell r="H730">
            <v>208.5</v>
          </cell>
          <cell r="I730" t="str">
            <v>Destination NCKKO</v>
          </cell>
          <cell r="J730" t="str">
            <v>Åkergatan 7890</v>
          </cell>
          <cell r="K730" t="str">
            <v>Bräcke</v>
          </cell>
          <cell r="M730">
            <v>10165</v>
          </cell>
          <cell r="N730" t="str">
            <v>Sweden</v>
          </cell>
        </row>
        <row r="731">
          <cell r="A731">
            <v>10978</v>
          </cell>
          <cell r="B731">
            <v>50</v>
          </cell>
          <cell r="C731">
            <v>9</v>
          </cell>
          <cell r="D731">
            <v>39533</v>
          </cell>
          <cell r="E731">
            <v>39561</v>
          </cell>
          <cell r="F731">
            <v>39561</v>
          </cell>
          <cell r="G731">
            <v>2</v>
          </cell>
          <cell r="H731">
            <v>32.82</v>
          </cell>
          <cell r="I731" t="str">
            <v>Ship to 50-A</v>
          </cell>
          <cell r="J731" t="str">
            <v>Rue Joseph-Bens 3456</v>
          </cell>
          <cell r="K731" t="str">
            <v>Bruxelles</v>
          </cell>
          <cell r="M731">
            <v>10241</v>
          </cell>
          <cell r="N731" t="str">
            <v>Belgium</v>
          </cell>
        </row>
        <row r="732">
          <cell r="A732">
            <v>10979</v>
          </cell>
          <cell r="B732">
            <v>20</v>
          </cell>
          <cell r="C732">
            <v>8</v>
          </cell>
          <cell r="D732">
            <v>39533</v>
          </cell>
          <cell r="E732">
            <v>39561</v>
          </cell>
          <cell r="F732">
            <v>39538</v>
          </cell>
          <cell r="G732">
            <v>2</v>
          </cell>
          <cell r="H732">
            <v>353.07</v>
          </cell>
          <cell r="I732" t="str">
            <v>Destination CUVPF</v>
          </cell>
          <cell r="J732" t="str">
            <v>Kirchgasse 1234</v>
          </cell>
          <cell r="K732" t="str">
            <v>Graz</v>
          </cell>
          <cell r="M732">
            <v>10159</v>
          </cell>
          <cell r="N732" t="str">
            <v>Austria</v>
          </cell>
        </row>
        <row r="733">
          <cell r="A733">
            <v>10980</v>
          </cell>
          <cell r="B733">
            <v>24</v>
          </cell>
          <cell r="C733">
            <v>4</v>
          </cell>
          <cell r="D733">
            <v>39534</v>
          </cell>
          <cell r="E733">
            <v>39576</v>
          </cell>
          <cell r="F733">
            <v>39555</v>
          </cell>
          <cell r="G733">
            <v>1</v>
          </cell>
          <cell r="H733">
            <v>1.26</v>
          </cell>
          <cell r="I733" t="str">
            <v>Destination YCMPK</v>
          </cell>
          <cell r="J733" t="str">
            <v>Åkergatan 8901</v>
          </cell>
          <cell r="K733" t="str">
            <v>Bräcke</v>
          </cell>
          <cell r="M733">
            <v>10166</v>
          </cell>
          <cell r="N733" t="str">
            <v>Sweden</v>
          </cell>
        </row>
        <row r="734">
          <cell r="A734">
            <v>10981</v>
          </cell>
          <cell r="B734">
            <v>34</v>
          </cell>
          <cell r="C734">
            <v>1</v>
          </cell>
          <cell r="D734">
            <v>39534</v>
          </cell>
          <cell r="E734">
            <v>39562</v>
          </cell>
          <cell r="F734">
            <v>39540</v>
          </cell>
          <cell r="G734">
            <v>2</v>
          </cell>
          <cell r="H734">
            <v>193.37</v>
          </cell>
          <cell r="I734" t="str">
            <v>Destination JPAIY</v>
          </cell>
          <cell r="J734" t="str">
            <v>Rua do Paço, 8901</v>
          </cell>
          <cell r="K734" t="str">
            <v>Rio de Janeiro</v>
          </cell>
          <cell r="L734" t="str">
            <v>RJ</v>
          </cell>
          <cell r="M734">
            <v>10196</v>
          </cell>
          <cell r="N734" t="str">
            <v>Brazil</v>
          </cell>
        </row>
        <row r="735">
          <cell r="A735">
            <v>10982</v>
          </cell>
          <cell r="B735">
            <v>10</v>
          </cell>
          <cell r="C735">
            <v>2</v>
          </cell>
          <cell r="D735">
            <v>39534</v>
          </cell>
          <cell r="E735">
            <v>39562</v>
          </cell>
          <cell r="F735">
            <v>39546</v>
          </cell>
          <cell r="G735">
            <v>1</v>
          </cell>
          <cell r="H735">
            <v>14.01</v>
          </cell>
          <cell r="I735" t="str">
            <v>Destination XJIBQ</v>
          </cell>
          <cell r="J735" t="str">
            <v>1234 Tsawassen Blvd.</v>
          </cell>
          <cell r="K735" t="str">
            <v>Tsawassen</v>
          </cell>
          <cell r="L735" t="str">
            <v>BC</v>
          </cell>
          <cell r="M735">
            <v>10129</v>
          </cell>
          <cell r="N735" t="str">
            <v>Canada</v>
          </cell>
        </row>
        <row r="736">
          <cell r="A736">
            <v>10983</v>
          </cell>
          <cell r="B736">
            <v>71</v>
          </cell>
          <cell r="C736">
            <v>2</v>
          </cell>
          <cell r="D736">
            <v>39534</v>
          </cell>
          <cell r="E736">
            <v>39562</v>
          </cell>
          <cell r="F736">
            <v>39544</v>
          </cell>
          <cell r="G736">
            <v>2</v>
          </cell>
          <cell r="H736">
            <v>657.54</v>
          </cell>
          <cell r="I736" t="str">
            <v>Ship to 71-B</v>
          </cell>
          <cell r="J736" t="str">
            <v>8901 Suffolk Ln.</v>
          </cell>
          <cell r="K736" t="str">
            <v>Boise</v>
          </cell>
          <cell r="L736" t="str">
            <v>ID</v>
          </cell>
          <cell r="M736">
            <v>10306</v>
          </cell>
          <cell r="N736" t="str">
            <v>USA</v>
          </cell>
        </row>
        <row r="737">
          <cell r="A737">
            <v>10984</v>
          </cell>
          <cell r="B737">
            <v>71</v>
          </cell>
          <cell r="C737">
            <v>1</v>
          </cell>
          <cell r="D737">
            <v>39537</v>
          </cell>
          <cell r="E737">
            <v>39565</v>
          </cell>
          <cell r="F737">
            <v>39541</v>
          </cell>
          <cell r="G737">
            <v>3</v>
          </cell>
          <cell r="H737">
            <v>211.22</v>
          </cell>
          <cell r="I737" t="str">
            <v>Ship to 71-B</v>
          </cell>
          <cell r="J737" t="str">
            <v>8901 Suffolk Ln.</v>
          </cell>
          <cell r="K737" t="str">
            <v>Boise</v>
          </cell>
          <cell r="L737" t="str">
            <v>ID</v>
          </cell>
          <cell r="M737">
            <v>10306</v>
          </cell>
          <cell r="N737" t="str">
            <v>USA</v>
          </cell>
        </row>
        <row r="738">
          <cell r="A738">
            <v>10985</v>
          </cell>
          <cell r="B738">
            <v>37</v>
          </cell>
          <cell r="C738">
            <v>2</v>
          </cell>
          <cell r="D738">
            <v>39537</v>
          </cell>
          <cell r="E738">
            <v>39565</v>
          </cell>
          <cell r="F738">
            <v>39540</v>
          </cell>
          <cell r="G738">
            <v>1</v>
          </cell>
          <cell r="H738">
            <v>91.51</v>
          </cell>
          <cell r="I738" t="str">
            <v>Destination ATSOA</v>
          </cell>
          <cell r="J738" t="str">
            <v>4567 Johnstown Road</v>
          </cell>
          <cell r="K738" t="str">
            <v>Cork</v>
          </cell>
          <cell r="L738" t="str">
            <v>Co. Cork</v>
          </cell>
          <cell r="M738">
            <v>10202</v>
          </cell>
          <cell r="N738" t="str">
            <v>Ireland</v>
          </cell>
        </row>
        <row r="739">
          <cell r="A739">
            <v>10986</v>
          </cell>
          <cell r="B739">
            <v>54</v>
          </cell>
          <cell r="C739">
            <v>8</v>
          </cell>
          <cell r="D739">
            <v>39537</v>
          </cell>
          <cell r="E739">
            <v>39565</v>
          </cell>
          <cell r="F739">
            <v>39559</v>
          </cell>
          <cell r="G739">
            <v>2</v>
          </cell>
          <cell r="H739">
            <v>217.86</v>
          </cell>
          <cell r="I739" t="str">
            <v>Ship to 54-A</v>
          </cell>
          <cell r="J739" t="str">
            <v>Ing. Gustavo Moncada 4567 Piso 20-A</v>
          </cell>
          <cell r="K739" t="str">
            <v>Buenos Aires</v>
          </cell>
          <cell r="M739">
            <v>10252</v>
          </cell>
          <cell r="N739" t="str">
            <v>Argentina</v>
          </cell>
        </row>
        <row r="740">
          <cell r="A740">
            <v>10987</v>
          </cell>
          <cell r="B740">
            <v>19</v>
          </cell>
          <cell r="C740">
            <v>8</v>
          </cell>
          <cell r="D740">
            <v>39538</v>
          </cell>
          <cell r="E740">
            <v>39566</v>
          </cell>
          <cell r="F740">
            <v>39544</v>
          </cell>
          <cell r="G740">
            <v>1</v>
          </cell>
          <cell r="H740">
            <v>185.48</v>
          </cell>
          <cell r="I740" t="str">
            <v>Destination FRCGJ</v>
          </cell>
          <cell r="J740" t="str">
            <v>5678 King George</v>
          </cell>
          <cell r="K740" t="str">
            <v>London</v>
          </cell>
          <cell r="M740">
            <v>10153</v>
          </cell>
          <cell r="N740" t="str">
            <v>UK</v>
          </cell>
        </row>
        <row r="741">
          <cell r="A741">
            <v>10988</v>
          </cell>
          <cell r="B741">
            <v>65</v>
          </cell>
          <cell r="C741">
            <v>3</v>
          </cell>
          <cell r="D741">
            <v>39538</v>
          </cell>
          <cell r="E741">
            <v>39566</v>
          </cell>
          <cell r="F741">
            <v>39548</v>
          </cell>
          <cell r="G741">
            <v>2</v>
          </cell>
          <cell r="H741">
            <v>61.14</v>
          </cell>
          <cell r="I741" t="str">
            <v>Ship to 65-A</v>
          </cell>
          <cell r="J741" t="str">
            <v>7890 Milton Dr.</v>
          </cell>
          <cell r="K741" t="str">
            <v>Albuquerque</v>
          </cell>
          <cell r="L741" t="str">
            <v>NM</v>
          </cell>
          <cell r="M741">
            <v>10285</v>
          </cell>
          <cell r="N741" t="str">
            <v>USA</v>
          </cell>
        </row>
        <row r="742">
          <cell r="A742">
            <v>10989</v>
          </cell>
          <cell r="B742">
            <v>61</v>
          </cell>
          <cell r="C742">
            <v>2</v>
          </cell>
          <cell r="D742">
            <v>39538</v>
          </cell>
          <cell r="E742">
            <v>39566</v>
          </cell>
          <cell r="F742">
            <v>39540</v>
          </cell>
          <cell r="G742">
            <v>1</v>
          </cell>
          <cell r="H742">
            <v>34.76</v>
          </cell>
          <cell r="I742" t="str">
            <v>Ship to 61-A</v>
          </cell>
          <cell r="J742" t="str">
            <v>Rua da Panificadora, 5678</v>
          </cell>
          <cell r="K742" t="str">
            <v>Rio de Janeiro</v>
          </cell>
          <cell r="L742" t="str">
            <v>RJ</v>
          </cell>
          <cell r="M742">
            <v>10273</v>
          </cell>
          <cell r="N742" t="str">
            <v>Brazil</v>
          </cell>
        </row>
        <row r="743">
          <cell r="A743">
            <v>10990</v>
          </cell>
          <cell r="B743">
            <v>20</v>
          </cell>
          <cell r="C743">
            <v>2</v>
          </cell>
          <cell r="D743">
            <v>39539</v>
          </cell>
          <cell r="E743">
            <v>39581</v>
          </cell>
          <cell r="F743">
            <v>39545</v>
          </cell>
          <cell r="G743">
            <v>3</v>
          </cell>
          <cell r="H743">
            <v>117.61</v>
          </cell>
          <cell r="I743" t="str">
            <v>Destination RVDMF</v>
          </cell>
          <cell r="J743" t="str">
            <v>Kirchgasse 9012</v>
          </cell>
          <cell r="K743" t="str">
            <v>Graz</v>
          </cell>
          <cell r="M743">
            <v>10157</v>
          </cell>
          <cell r="N743" t="str">
            <v>Austria</v>
          </cell>
        </row>
        <row r="744">
          <cell r="A744">
            <v>10991</v>
          </cell>
          <cell r="B744">
            <v>63</v>
          </cell>
          <cell r="C744">
            <v>1</v>
          </cell>
          <cell r="D744">
            <v>39539</v>
          </cell>
          <cell r="E744">
            <v>39567</v>
          </cell>
          <cell r="F744">
            <v>39545</v>
          </cell>
          <cell r="G744">
            <v>1</v>
          </cell>
          <cell r="H744">
            <v>38.51</v>
          </cell>
          <cell r="I744" t="str">
            <v>Ship to 63-A</v>
          </cell>
          <cell r="J744" t="str">
            <v>Taucherstraße 1234</v>
          </cell>
          <cell r="K744" t="str">
            <v>Cunewalde</v>
          </cell>
          <cell r="M744">
            <v>10279</v>
          </cell>
          <cell r="N744" t="str">
            <v>Germany</v>
          </cell>
        </row>
        <row r="745">
          <cell r="A745">
            <v>10992</v>
          </cell>
          <cell r="B745">
            <v>77</v>
          </cell>
          <cell r="C745">
            <v>1</v>
          </cell>
          <cell r="D745">
            <v>39539</v>
          </cell>
          <cell r="E745">
            <v>39567</v>
          </cell>
          <cell r="F745">
            <v>39541</v>
          </cell>
          <cell r="G745">
            <v>3</v>
          </cell>
          <cell r="H745">
            <v>4.2699999999999996</v>
          </cell>
          <cell r="I745" t="str">
            <v>Ship to 77-C</v>
          </cell>
          <cell r="J745" t="str">
            <v>3456 Jefferson Way Suite 2</v>
          </cell>
          <cell r="K745" t="str">
            <v>Portland</v>
          </cell>
          <cell r="L745" t="str">
            <v>OR</v>
          </cell>
          <cell r="M745">
            <v>10322</v>
          </cell>
          <cell r="N745" t="str">
            <v>USA</v>
          </cell>
        </row>
        <row r="746">
          <cell r="A746">
            <v>10993</v>
          </cell>
          <cell r="B746">
            <v>24</v>
          </cell>
          <cell r="C746">
            <v>7</v>
          </cell>
          <cell r="D746">
            <v>39539</v>
          </cell>
          <cell r="E746">
            <v>39567</v>
          </cell>
          <cell r="F746">
            <v>39548</v>
          </cell>
          <cell r="G746">
            <v>3</v>
          </cell>
          <cell r="H746">
            <v>8.81</v>
          </cell>
          <cell r="I746" t="str">
            <v>Destination NCKKO</v>
          </cell>
          <cell r="J746" t="str">
            <v>Åkergatan 7890</v>
          </cell>
          <cell r="K746" t="str">
            <v>Bräcke</v>
          </cell>
          <cell r="M746">
            <v>10165</v>
          </cell>
          <cell r="N746" t="str">
            <v>Sweden</v>
          </cell>
        </row>
        <row r="747">
          <cell r="A747">
            <v>10994</v>
          </cell>
          <cell r="B747">
            <v>83</v>
          </cell>
          <cell r="C747">
            <v>2</v>
          </cell>
          <cell r="D747">
            <v>39540</v>
          </cell>
          <cell r="E747">
            <v>39554</v>
          </cell>
          <cell r="F747">
            <v>39547</v>
          </cell>
          <cell r="G747">
            <v>3</v>
          </cell>
          <cell r="H747">
            <v>65.53</v>
          </cell>
          <cell r="I747" t="str">
            <v>Ship to 83-C</v>
          </cell>
          <cell r="J747" t="str">
            <v>Smagsloget 2345</v>
          </cell>
          <cell r="K747" t="str">
            <v>Århus</v>
          </cell>
          <cell r="M747">
            <v>10341</v>
          </cell>
          <cell r="N747" t="str">
            <v>Denmark</v>
          </cell>
        </row>
        <row r="748">
          <cell r="A748">
            <v>10995</v>
          </cell>
          <cell r="B748">
            <v>58</v>
          </cell>
          <cell r="C748">
            <v>1</v>
          </cell>
          <cell r="D748">
            <v>39540</v>
          </cell>
          <cell r="E748">
            <v>39568</v>
          </cell>
          <cell r="F748">
            <v>39544</v>
          </cell>
          <cell r="G748">
            <v>3</v>
          </cell>
          <cell r="H748">
            <v>46</v>
          </cell>
          <cell r="I748" t="str">
            <v>Ship to 58-B</v>
          </cell>
          <cell r="J748" t="str">
            <v>Calle Dr. Jorge Cash 4567</v>
          </cell>
          <cell r="K748" t="str">
            <v>México D.F.</v>
          </cell>
          <cell r="M748">
            <v>10262</v>
          </cell>
          <cell r="N748" t="str">
            <v>Mexico</v>
          </cell>
        </row>
        <row r="749">
          <cell r="A749">
            <v>10996</v>
          </cell>
          <cell r="B749">
            <v>63</v>
          </cell>
          <cell r="C749">
            <v>4</v>
          </cell>
          <cell r="D749">
            <v>39540</v>
          </cell>
          <cell r="E749">
            <v>39568</v>
          </cell>
          <cell r="F749">
            <v>39548</v>
          </cell>
          <cell r="G749">
            <v>2</v>
          </cell>
          <cell r="H749">
            <v>1.1200000000000001</v>
          </cell>
          <cell r="I749" t="str">
            <v>Ship to 63-C</v>
          </cell>
          <cell r="J749" t="str">
            <v>Taucherstraße 3456</v>
          </cell>
          <cell r="K749" t="str">
            <v>Cunewalde</v>
          </cell>
          <cell r="M749">
            <v>10281</v>
          </cell>
          <cell r="N749" t="str">
            <v>Germany</v>
          </cell>
        </row>
        <row r="750">
          <cell r="A750">
            <v>10997</v>
          </cell>
          <cell r="B750">
            <v>46</v>
          </cell>
          <cell r="C750">
            <v>8</v>
          </cell>
          <cell r="D750">
            <v>39541</v>
          </cell>
          <cell r="E750">
            <v>39583</v>
          </cell>
          <cell r="F750">
            <v>39551</v>
          </cell>
          <cell r="G750">
            <v>2</v>
          </cell>
          <cell r="H750">
            <v>73.91</v>
          </cell>
          <cell r="I750" t="str">
            <v>Ship to 46-A</v>
          </cell>
          <cell r="J750" t="str">
            <v>Carrera 0123 con Ave. Bolívar #65-98 Llano Largo</v>
          </cell>
          <cell r="K750" t="str">
            <v>Barquisimeto</v>
          </cell>
          <cell r="L750" t="str">
            <v>Lara</v>
          </cell>
          <cell r="M750">
            <v>10227</v>
          </cell>
          <cell r="N750" t="str">
            <v>Venezuela</v>
          </cell>
        </row>
        <row r="751">
          <cell r="A751">
            <v>10998</v>
          </cell>
          <cell r="B751">
            <v>91</v>
          </cell>
          <cell r="C751">
            <v>8</v>
          </cell>
          <cell r="D751">
            <v>39541</v>
          </cell>
          <cell r="E751">
            <v>39555</v>
          </cell>
          <cell r="F751">
            <v>39555</v>
          </cell>
          <cell r="G751">
            <v>2</v>
          </cell>
          <cell r="H751">
            <v>20.309999999999999</v>
          </cell>
          <cell r="I751" t="str">
            <v>Ship to 91-A</v>
          </cell>
          <cell r="J751" t="str">
            <v>ul. Filtrowa 5678</v>
          </cell>
          <cell r="K751" t="str">
            <v>Warszawa</v>
          </cell>
          <cell r="M751">
            <v>10364</v>
          </cell>
          <cell r="N751" t="str">
            <v>Poland</v>
          </cell>
        </row>
        <row r="752">
          <cell r="A752">
            <v>10999</v>
          </cell>
          <cell r="B752">
            <v>56</v>
          </cell>
          <cell r="C752">
            <v>6</v>
          </cell>
          <cell r="D752">
            <v>39541</v>
          </cell>
          <cell r="E752">
            <v>39569</v>
          </cell>
          <cell r="F752">
            <v>39548</v>
          </cell>
          <cell r="G752">
            <v>2</v>
          </cell>
          <cell r="H752">
            <v>96.35</v>
          </cell>
          <cell r="I752" t="str">
            <v>Ship to 56-B</v>
          </cell>
          <cell r="J752" t="str">
            <v>Mehrheimerstr. 1234</v>
          </cell>
          <cell r="K752" t="str">
            <v>Köln</v>
          </cell>
          <cell r="M752">
            <v>10259</v>
          </cell>
          <cell r="N752" t="str">
            <v>Germany</v>
          </cell>
        </row>
        <row r="753">
          <cell r="A753">
            <v>11000</v>
          </cell>
          <cell r="B753">
            <v>65</v>
          </cell>
          <cell r="C753">
            <v>2</v>
          </cell>
          <cell r="D753">
            <v>39544</v>
          </cell>
          <cell r="E753">
            <v>39572</v>
          </cell>
          <cell r="F753">
            <v>39552</v>
          </cell>
          <cell r="G753">
            <v>3</v>
          </cell>
          <cell r="H753">
            <v>55.12</v>
          </cell>
          <cell r="I753" t="str">
            <v>Ship to 65-A</v>
          </cell>
          <cell r="J753" t="str">
            <v>7890 Milton Dr.</v>
          </cell>
          <cell r="K753" t="str">
            <v>Albuquerque</v>
          </cell>
          <cell r="L753" t="str">
            <v>NM</v>
          </cell>
          <cell r="M753">
            <v>10285</v>
          </cell>
          <cell r="N753" t="str">
            <v>USA</v>
          </cell>
        </row>
        <row r="754">
          <cell r="A754">
            <v>11001</v>
          </cell>
          <cell r="B754">
            <v>24</v>
          </cell>
          <cell r="C754">
            <v>2</v>
          </cell>
          <cell r="D754">
            <v>39544</v>
          </cell>
          <cell r="E754">
            <v>39572</v>
          </cell>
          <cell r="F754">
            <v>39552</v>
          </cell>
          <cell r="G754">
            <v>2</v>
          </cell>
          <cell r="H754">
            <v>197.3</v>
          </cell>
          <cell r="I754" t="str">
            <v>Destination YCMPK</v>
          </cell>
          <cell r="J754" t="str">
            <v>Åkergatan 8901</v>
          </cell>
          <cell r="K754" t="str">
            <v>Bräcke</v>
          </cell>
          <cell r="M754">
            <v>10166</v>
          </cell>
          <cell r="N754" t="str">
            <v>Sweden</v>
          </cell>
        </row>
        <row r="755">
          <cell r="A755">
            <v>11002</v>
          </cell>
          <cell r="B755">
            <v>71</v>
          </cell>
          <cell r="C755">
            <v>4</v>
          </cell>
          <cell r="D755">
            <v>39544</v>
          </cell>
          <cell r="E755">
            <v>39572</v>
          </cell>
          <cell r="F755">
            <v>39554</v>
          </cell>
          <cell r="G755">
            <v>1</v>
          </cell>
          <cell r="H755">
            <v>141.16</v>
          </cell>
          <cell r="I755" t="str">
            <v>Ship to 71-A</v>
          </cell>
          <cell r="J755" t="str">
            <v>7890 Suffolk Ln.</v>
          </cell>
          <cell r="K755" t="str">
            <v>Boise</v>
          </cell>
          <cell r="L755" t="str">
            <v>ID</v>
          </cell>
          <cell r="M755">
            <v>10305</v>
          </cell>
          <cell r="N755" t="str">
            <v>USA</v>
          </cell>
        </row>
        <row r="756">
          <cell r="A756">
            <v>11003</v>
          </cell>
          <cell r="B756">
            <v>78</v>
          </cell>
          <cell r="C756">
            <v>3</v>
          </cell>
          <cell r="D756">
            <v>39544</v>
          </cell>
          <cell r="E756">
            <v>39572</v>
          </cell>
          <cell r="F756">
            <v>39546</v>
          </cell>
          <cell r="G756">
            <v>3</v>
          </cell>
          <cell r="H756">
            <v>14.91</v>
          </cell>
          <cell r="I756" t="str">
            <v>Ship to 78-B</v>
          </cell>
          <cell r="J756" t="str">
            <v>5678 Grizzly Peak Rd.</v>
          </cell>
          <cell r="K756" t="str">
            <v>Butte</v>
          </cell>
          <cell r="L756" t="str">
            <v>MT</v>
          </cell>
          <cell r="M756">
            <v>10324</v>
          </cell>
          <cell r="N756" t="str">
            <v>USA</v>
          </cell>
        </row>
        <row r="757">
          <cell r="A757">
            <v>11004</v>
          </cell>
          <cell r="B757">
            <v>50</v>
          </cell>
          <cell r="C757">
            <v>3</v>
          </cell>
          <cell r="D757">
            <v>39545</v>
          </cell>
          <cell r="E757">
            <v>39573</v>
          </cell>
          <cell r="F757">
            <v>39558</v>
          </cell>
          <cell r="G757">
            <v>1</v>
          </cell>
          <cell r="H757">
            <v>44.84</v>
          </cell>
          <cell r="I757" t="str">
            <v>Ship to 50-C</v>
          </cell>
          <cell r="J757" t="str">
            <v>Rue Joseph-Bens 5678</v>
          </cell>
          <cell r="K757" t="str">
            <v>Bruxelles</v>
          </cell>
          <cell r="M757">
            <v>10243</v>
          </cell>
          <cell r="N757" t="str">
            <v>Belgium</v>
          </cell>
        </row>
        <row r="758">
          <cell r="A758">
            <v>11005</v>
          </cell>
          <cell r="B758">
            <v>90</v>
          </cell>
          <cell r="C758">
            <v>2</v>
          </cell>
          <cell r="D758">
            <v>39545</v>
          </cell>
          <cell r="E758">
            <v>39573</v>
          </cell>
          <cell r="F758">
            <v>39548</v>
          </cell>
          <cell r="G758">
            <v>1</v>
          </cell>
          <cell r="H758">
            <v>0.75</v>
          </cell>
          <cell r="I758" t="str">
            <v>Ship to 90-A</v>
          </cell>
          <cell r="J758" t="str">
            <v>Keskuskatu 2345</v>
          </cell>
          <cell r="K758" t="str">
            <v>Helsinki</v>
          </cell>
          <cell r="M758">
            <v>10361</v>
          </cell>
          <cell r="N758" t="str">
            <v>Finland</v>
          </cell>
        </row>
        <row r="759">
          <cell r="A759">
            <v>11006</v>
          </cell>
          <cell r="B759">
            <v>32</v>
          </cell>
          <cell r="C759">
            <v>3</v>
          </cell>
          <cell r="D759">
            <v>39545</v>
          </cell>
          <cell r="E759">
            <v>39573</v>
          </cell>
          <cell r="F759">
            <v>39553</v>
          </cell>
          <cell r="G759">
            <v>2</v>
          </cell>
          <cell r="H759">
            <v>25.19</v>
          </cell>
          <cell r="I759" t="str">
            <v>Destination LLUXZ</v>
          </cell>
          <cell r="J759" t="str">
            <v>1234 Baker Blvd.</v>
          </cell>
          <cell r="K759" t="str">
            <v>Eugene</v>
          </cell>
          <cell r="L759" t="str">
            <v>OR</v>
          </cell>
          <cell r="M759">
            <v>10189</v>
          </cell>
          <cell r="N759" t="str">
            <v>USA</v>
          </cell>
        </row>
        <row r="760">
          <cell r="A760">
            <v>11007</v>
          </cell>
          <cell r="B760">
            <v>60</v>
          </cell>
          <cell r="C760">
            <v>8</v>
          </cell>
          <cell r="D760">
            <v>39546</v>
          </cell>
          <cell r="E760">
            <v>39574</v>
          </cell>
          <cell r="F760">
            <v>39551</v>
          </cell>
          <cell r="G760">
            <v>2</v>
          </cell>
          <cell r="H760">
            <v>202.24</v>
          </cell>
          <cell r="I760" t="str">
            <v>Ship to 60-C</v>
          </cell>
          <cell r="J760" t="str">
            <v>Estrada da saúde n. 4567</v>
          </cell>
          <cell r="K760" t="str">
            <v>Lisboa</v>
          </cell>
          <cell r="M760">
            <v>10272</v>
          </cell>
          <cell r="N760" t="str">
            <v>Portugal</v>
          </cell>
        </row>
        <row r="761">
          <cell r="A761">
            <v>11008</v>
          </cell>
          <cell r="B761">
            <v>20</v>
          </cell>
          <cell r="C761">
            <v>7</v>
          </cell>
          <cell r="D761">
            <v>39546</v>
          </cell>
          <cell r="E761">
            <v>39574</v>
          </cell>
          <cell r="G761">
            <v>3</v>
          </cell>
          <cell r="H761">
            <v>79.459999999999994</v>
          </cell>
          <cell r="I761" t="str">
            <v>Destination CUVPF</v>
          </cell>
          <cell r="J761" t="str">
            <v>Kirchgasse 1234</v>
          </cell>
          <cell r="K761" t="str">
            <v>Graz</v>
          </cell>
          <cell r="M761">
            <v>10159</v>
          </cell>
          <cell r="N761" t="str">
            <v>Austria</v>
          </cell>
        </row>
        <row r="762">
          <cell r="A762">
            <v>11009</v>
          </cell>
          <cell r="B762">
            <v>30</v>
          </cell>
          <cell r="C762">
            <v>2</v>
          </cell>
          <cell r="D762">
            <v>39546</v>
          </cell>
          <cell r="E762">
            <v>39574</v>
          </cell>
          <cell r="F762">
            <v>39548</v>
          </cell>
          <cell r="G762">
            <v>1</v>
          </cell>
          <cell r="H762">
            <v>59.11</v>
          </cell>
          <cell r="I762" t="str">
            <v>Destination WVLDH</v>
          </cell>
          <cell r="J762" t="str">
            <v>C/ Romero, 7890</v>
          </cell>
          <cell r="K762" t="str">
            <v>Sevilla</v>
          </cell>
          <cell r="M762">
            <v>10185</v>
          </cell>
          <cell r="N762" t="str">
            <v>Spain</v>
          </cell>
        </row>
        <row r="763">
          <cell r="A763">
            <v>11010</v>
          </cell>
          <cell r="B763">
            <v>66</v>
          </cell>
          <cell r="C763">
            <v>2</v>
          </cell>
          <cell r="D763">
            <v>39547</v>
          </cell>
          <cell r="E763">
            <v>39575</v>
          </cell>
          <cell r="F763">
            <v>39559</v>
          </cell>
          <cell r="G763">
            <v>2</v>
          </cell>
          <cell r="H763">
            <v>28.71</v>
          </cell>
          <cell r="I763" t="str">
            <v>Ship to 66-A</v>
          </cell>
          <cell r="J763" t="str">
            <v>Strada Provinciale 0123</v>
          </cell>
          <cell r="K763" t="str">
            <v>Reggio Emilia</v>
          </cell>
          <cell r="M763">
            <v>10288</v>
          </cell>
          <cell r="N763" t="str">
            <v>Italy</v>
          </cell>
        </row>
        <row r="764">
          <cell r="A764">
            <v>11011</v>
          </cell>
          <cell r="B764">
            <v>1</v>
          </cell>
          <cell r="C764">
            <v>3</v>
          </cell>
          <cell r="D764">
            <v>39547</v>
          </cell>
          <cell r="E764">
            <v>39575</v>
          </cell>
          <cell r="F764">
            <v>39551</v>
          </cell>
          <cell r="G764">
            <v>1</v>
          </cell>
          <cell r="H764">
            <v>1.21</v>
          </cell>
          <cell r="I764" t="str">
            <v>Destination LOUIE</v>
          </cell>
          <cell r="J764" t="str">
            <v>Obere Str. 6789</v>
          </cell>
          <cell r="K764" t="str">
            <v>Berlin</v>
          </cell>
          <cell r="M764">
            <v>10154</v>
          </cell>
          <cell r="N764" t="str">
            <v>Germany</v>
          </cell>
        </row>
        <row r="765">
          <cell r="A765">
            <v>11012</v>
          </cell>
          <cell r="B765">
            <v>25</v>
          </cell>
          <cell r="C765">
            <v>1</v>
          </cell>
          <cell r="D765">
            <v>39547</v>
          </cell>
          <cell r="E765">
            <v>39561</v>
          </cell>
          <cell r="F765">
            <v>39555</v>
          </cell>
          <cell r="G765">
            <v>3</v>
          </cell>
          <cell r="H765">
            <v>242.95</v>
          </cell>
          <cell r="I765" t="str">
            <v>Destination WEGWI</v>
          </cell>
          <cell r="J765" t="str">
            <v>Berliner Platz 2345</v>
          </cell>
          <cell r="K765" t="str">
            <v>München</v>
          </cell>
          <cell r="M765">
            <v>10170</v>
          </cell>
          <cell r="N765" t="str">
            <v>Germany</v>
          </cell>
        </row>
        <row r="766">
          <cell r="A766">
            <v>11013</v>
          </cell>
          <cell r="B766">
            <v>69</v>
          </cell>
          <cell r="C766">
            <v>2</v>
          </cell>
          <cell r="D766">
            <v>39547</v>
          </cell>
          <cell r="E766">
            <v>39575</v>
          </cell>
          <cell r="F766">
            <v>39548</v>
          </cell>
          <cell r="G766">
            <v>1</v>
          </cell>
          <cell r="H766">
            <v>32.99</v>
          </cell>
          <cell r="I766" t="str">
            <v>Ship to 69-A</v>
          </cell>
          <cell r="J766" t="str">
            <v>Gran Vía, 9012</v>
          </cell>
          <cell r="K766" t="str">
            <v>Madrid</v>
          </cell>
          <cell r="M766">
            <v>10297</v>
          </cell>
          <cell r="N766" t="str">
            <v>Spain</v>
          </cell>
        </row>
        <row r="767">
          <cell r="A767">
            <v>11014</v>
          </cell>
          <cell r="B767">
            <v>47</v>
          </cell>
          <cell r="C767">
            <v>2</v>
          </cell>
          <cell r="D767">
            <v>39548</v>
          </cell>
          <cell r="E767">
            <v>39576</v>
          </cell>
          <cell r="F767">
            <v>39553</v>
          </cell>
          <cell r="G767">
            <v>3</v>
          </cell>
          <cell r="H767">
            <v>23.6</v>
          </cell>
          <cell r="I767" t="str">
            <v>Ship to 47-A</v>
          </cell>
          <cell r="J767" t="str">
            <v>Ave. 5 de Mayo Porlamar 3456</v>
          </cell>
          <cell r="K767" t="str">
            <v>I. de Margarita</v>
          </cell>
          <cell r="L767" t="str">
            <v>Nueva Esparta</v>
          </cell>
          <cell r="M767">
            <v>10230</v>
          </cell>
          <cell r="N767" t="str">
            <v>Venezuela</v>
          </cell>
        </row>
        <row r="768">
          <cell r="A768">
            <v>11015</v>
          </cell>
          <cell r="B768">
            <v>70</v>
          </cell>
          <cell r="C768">
            <v>2</v>
          </cell>
          <cell r="D768">
            <v>39548</v>
          </cell>
          <cell r="E768">
            <v>39562</v>
          </cell>
          <cell r="F768">
            <v>39558</v>
          </cell>
          <cell r="G768">
            <v>2</v>
          </cell>
          <cell r="H768">
            <v>4.62</v>
          </cell>
          <cell r="I768" t="str">
            <v>Ship to 70-C</v>
          </cell>
          <cell r="J768" t="str">
            <v>Erling Skakkes gate 6789</v>
          </cell>
          <cell r="K768" t="str">
            <v>Stavern</v>
          </cell>
          <cell r="M768">
            <v>10304</v>
          </cell>
          <cell r="N768" t="str">
            <v>Norway</v>
          </cell>
        </row>
        <row r="769">
          <cell r="A769">
            <v>11016</v>
          </cell>
          <cell r="B769">
            <v>4</v>
          </cell>
          <cell r="C769">
            <v>9</v>
          </cell>
          <cell r="D769">
            <v>39548</v>
          </cell>
          <cell r="E769">
            <v>39576</v>
          </cell>
          <cell r="F769">
            <v>39551</v>
          </cell>
          <cell r="G769">
            <v>2</v>
          </cell>
          <cell r="H769">
            <v>33.799999999999997</v>
          </cell>
          <cell r="I769" t="str">
            <v>Ship to 4-A</v>
          </cell>
          <cell r="J769" t="str">
            <v>Brook Farm Stratford St. Mary 0123</v>
          </cell>
          <cell r="K769" t="str">
            <v>Colchester</v>
          </cell>
          <cell r="L769" t="str">
            <v>Essex</v>
          </cell>
          <cell r="M769">
            <v>10238</v>
          </cell>
          <cell r="N769" t="str">
            <v>UK</v>
          </cell>
        </row>
        <row r="770">
          <cell r="A770">
            <v>11017</v>
          </cell>
          <cell r="B770">
            <v>20</v>
          </cell>
          <cell r="C770">
            <v>9</v>
          </cell>
          <cell r="D770">
            <v>39551</v>
          </cell>
          <cell r="E770">
            <v>39579</v>
          </cell>
          <cell r="F770">
            <v>39558</v>
          </cell>
          <cell r="G770">
            <v>2</v>
          </cell>
          <cell r="H770">
            <v>754.26</v>
          </cell>
          <cell r="I770" t="str">
            <v>Destination CUVPF</v>
          </cell>
          <cell r="J770" t="str">
            <v>Kirchgasse 1234</v>
          </cell>
          <cell r="K770" t="str">
            <v>Graz</v>
          </cell>
          <cell r="M770">
            <v>10159</v>
          </cell>
          <cell r="N770" t="str">
            <v>Austria</v>
          </cell>
        </row>
        <row r="771">
          <cell r="A771">
            <v>11018</v>
          </cell>
          <cell r="B771">
            <v>48</v>
          </cell>
          <cell r="C771">
            <v>4</v>
          </cell>
          <cell r="D771">
            <v>39551</v>
          </cell>
          <cell r="E771">
            <v>39579</v>
          </cell>
          <cell r="F771">
            <v>39554</v>
          </cell>
          <cell r="G771">
            <v>2</v>
          </cell>
          <cell r="H771">
            <v>11.65</v>
          </cell>
          <cell r="I771" t="str">
            <v>Ship to 48-B</v>
          </cell>
          <cell r="J771" t="str">
            <v>6789 Chiaroscuro Rd.</v>
          </cell>
          <cell r="K771" t="str">
            <v>Portland</v>
          </cell>
          <cell r="L771" t="str">
            <v>OR</v>
          </cell>
          <cell r="M771">
            <v>10233</v>
          </cell>
          <cell r="N771" t="str">
            <v>USA</v>
          </cell>
        </row>
        <row r="772">
          <cell r="A772">
            <v>11019</v>
          </cell>
          <cell r="B772">
            <v>64</v>
          </cell>
          <cell r="C772">
            <v>6</v>
          </cell>
          <cell r="D772">
            <v>39551</v>
          </cell>
          <cell r="E772">
            <v>39579</v>
          </cell>
          <cell r="G772">
            <v>3</v>
          </cell>
          <cell r="H772">
            <v>3.17</v>
          </cell>
          <cell r="I772" t="str">
            <v>Ship to 64-B</v>
          </cell>
          <cell r="J772" t="str">
            <v>Av. del Libertador 5678</v>
          </cell>
          <cell r="K772" t="str">
            <v>Buenos Aires</v>
          </cell>
          <cell r="M772">
            <v>10283</v>
          </cell>
          <cell r="N772" t="str">
            <v>Argentina</v>
          </cell>
        </row>
        <row r="773">
          <cell r="A773">
            <v>11020</v>
          </cell>
          <cell r="B773">
            <v>56</v>
          </cell>
          <cell r="C773">
            <v>2</v>
          </cell>
          <cell r="D773">
            <v>39552</v>
          </cell>
          <cell r="E773">
            <v>39580</v>
          </cell>
          <cell r="F773">
            <v>39554</v>
          </cell>
          <cell r="G773">
            <v>2</v>
          </cell>
          <cell r="H773">
            <v>43.3</v>
          </cell>
          <cell r="I773" t="str">
            <v>Ship to 56-B</v>
          </cell>
          <cell r="J773" t="str">
            <v>Mehrheimerstr. 1234</v>
          </cell>
          <cell r="K773" t="str">
            <v>Köln</v>
          </cell>
          <cell r="M773">
            <v>10259</v>
          </cell>
          <cell r="N773" t="str">
            <v>Germany</v>
          </cell>
        </row>
        <row r="774">
          <cell r="A774">
            <v>11021</v>
          </cell>
          <cell r="B774">
            <v>63</v>
          </cell>
          <cell r="C774">
            <v>3</v>
          </cell>
          <cell r="D774">
            <v>39552</v>
          </cell>
          <cell r="E774">
            <v>39580</v>
          </cell>
          <cell r="F774">
            <v>39559</v>
          </cell>
          <cell r="G774">
            <v>1</v>
          </cell>
          <cell r="H774">
            <v>297.18</v>
          </cell>
          <cell r="I774" t="str">
            <v>Ship to 63-B</v>
          </cell>
          <cell r="J774" t="str">
            <v>Taucherstraße 2345</v>
          </cell>
          <cell r="K774" t="str">
            <v>Cunewalde</v>
          </cell>
          <cell r="M774">
            <v>10280</v>
          </cell>
          <cell r="N774" t="str">
            <v>Germany</v>
          </cell>
        </row>
        <row r="775">
          <cell r="A775">
            <v>11022</v>
          </cell>
          <cell r="B775">
            <v>34</v>
          </cell>
          <cell r="C775">
            <v>9</v>
          </cell>
          <cell r="D775">
            <v>39552</v>
          </cell>
          <cell r="E775">
            <v>39580</v>
          </cell>
          <cell r="F775">
            <v>39572</v>
          </cell>
          <cell r="G775">
            <v>2</v>
          </cell>
          <cell r="H775">
            <v>6.27</v>
          </cell>
          <cell r="I775" t="str">
            <v>Destination SCQXA</v>
          </cell>
          <cell r="J775" t="str">
            <v>Rua do Paço, 7890</v>
          </cell>
          <cell r="K775" t="str">
            <v>Rio de Janeiro</v>
          </cell>
          <cell r="L775" t="str">
            <v>RJ</v>
          </cell>
          <cell r="M775">
            <v>10195</v>
          </cell>
          <cell r="N775" t="str">
            <v>Brazil</v>
          </cell>
        </row>
        <row r="776">
          <cell r="A776">
            <v>11023</v>
          </cell>
          <cell r="B776">
            <v>11</v>
          </cell>
          <cell r="C776">
            <v>1</v>
          </cell>
          <cell r="D776">
            <v>39552</v>
          </cell>
          <cell r="E776">
            <v>39566</v>
          </cell>
          <cell r="F776">
            <v>39562</v>
          </cell>
          <cell r="G776">
            <v>2</v>
          </cell>
          <cell r="H776">
            <v>123.83</v>
          </cell>
          <cell r="I776" t="str">
            <v>Destination NZASL</v>
          </cell>
          <cell r="J776" t="str">
            <v>Fauntleroy Circus 5678</v>
          </cell>
          <cell r="K776" t="str">
            <v>London</v>
          </cell>
          <cell r="M776">
            <v>10133</v>
          </cell>
          <cell r="N776" t="str">
            <v>UK</v>
          </cell>
        </row>
        <row r="777">
          <cell r="A777">
            <v>11024</v>
          </cell>
          <cell r="B777">
            <v>19</v>
          </cell>
          <cell r="C777">
            <v>4</v>
          </cell>
          <cell r="D777">
            <v>39553</v>
          </cell>
          <cell r="E777">
            <v>39581</v>
          </cell>
          <cell r="F777">
            <v>39558</v>
          </cell>
          <cell r="G777">
            <v>1</v>
          </cell>
          <cell r="H777">
            <v>74.36</v>
          </cell>
          <cell r="I777" t="str">
            <v>Destination BBMRT</v>
          </cell>
          <cell r="J777" t="str">
            <v>4567 King George</v>
          </cell>
          <cell r="K777" t="str">
            <v>London</v>
          </cell>
          <cell r="M777">
            <v>10152</v>
          </cell>
          <cell r="N777" t="str">
            <v>UK</v>
          </cell>
        </row>
        <row r="778">
          <cell r="A778">
            <v>11025</v>
          </cell>
          <cell r="B778">
            <v>87</v>
          </cell>
          <cell r="C778">
            <v>6</v>
          </cell>
          <cell r="D778">
            <v>39553</v>
          </cell>
          <cell r="E778">
            <v>39581</v>
          </cell>
          <cell r="F778">
            <v>39562</v>
          </cell>
          <cell r="G778">
            <v>3</v>
          </cell>
          <cell r="H778">
            <v>29.17</v>
          </cell>
          <cell r="I778" t="str">
            <v>Ship to 87-C</v>
          </cell>
          <cell r="J778" t="str">
            <v>Torikatu 3456</v>
          </cell>
          <cell r="K778" t="str">
            <v>Oulu</v>
          </cell>
          <cell r="M778">
            <v>10352</v>
          </cell>
          <cell r="N778" t="str">
            <v>Finland</v>
          </cell>
        </row>
        <row r="779">
          <cell r="A779">
            <v>11026</v>
          </cell>
          <cell r="B779">
            <v>27</v>
          </cell>
          <cell r="C779">
            <v>4</v>
          </cell>
          <cell r="D779">
            <v>39553</v>
          </cell>
          <cell r="E779">
            <v>39581</v>
          </cell>
          <cell r="F779">
            <v>39566</v>
          </cell>
          <cell r="G779">
            <v>1</v>
          </cell>
          <cell r="H779">
            <v>47.09</v>
          </cell>
          <cell r="I779" t="str">
            <v>Destination DICGM</v>
          </cell>
          <cell r="J779" t="str">
            <v>Via Monte Bianco 7890</v>
          </cell>
          <cell r="K779" t="str">
            <v>Torino</v>
          </cell>
          <cell r="M779">
            <v>10175</v>
          </cell>
          <cell r="N779" t="str">
            <v>Italy</v>
          </cell>
        </row>
        <row r="780">
          <cell r="A780">
            <v>11027</v>
          </cell>
          <cell r="B780">
            <v>10</v>
          </cell>
          <cell r="C780">
            <v>1</v>
          </cell>
          <cell r="D780">
            <v>39554</v>
          </cell>
          <cell r="E780">
            <v>39582</v>
          </cell>
          <cell r="F780">
            <v>39558</v>
          </cell>
          <cell r="G780">
            <v>1</v>
          </cell>
          <cell r="H780">
            <v>52.52</v>
          </cell>
          <cell r="I780" t="str">
            <v>Destination XJIBQ</v>
          </cell>
          <cell r="J780" t="str">
            <v>1234 Tsawassen Blvd.</v>
          </cell>
          <cell r="K780" t="str">
            <v>Tsawassen</v>
          </cell>
          <cell r="L780" t="str">
            <v>BC</v>
          </cell>
          <cell r="M780">
            <v>10129</v>
          </cell>
          <cell r="N780" t="str">
            <v>Canada</v>
          </cell>
        </row>
        <row r="781">
          <cell r="A781">
            <v>11028</v>
          </cell>
          <cell r="B781">
            <v>39</v>
          </cell>
          <cell r="C781">
            <v>2</v>
          </cell>
          <cell r="D781">
            <v>39554</v>
          </cell>
          <cell r="E781">
            <v>39582</v>
          </cell>
          <cell r="F781">
            <v>39560</v>
          </cell>
          <cell r="G781">
            <v>1</v>
          </cell>
          <cell r="H781">
            <v>29.59</v>
          </cell>
          <cell r="I781" t="str">
            <v>Destination DKMQA</v>
          </cell>
          <cell r="J781" t="str">
            <v>Maubelstr. 0123</v>
          </cell>
          <cell r="K781" t="str">
            <v>Brandenburg</v>
          </cell>
          <cell r="M781">
            <v>10208</v>
          </cell>
          <cell r="N781" t="str">
            <v>Germany</v>
          </cell>
        </row>
        <row r="782">
          <cell r="A782">
            <v>11029</v>
          </cell>
          <cell r="B782">
            <v>14</v>
          </cell>
          <cell r="C782">
            <v>4</v>
          </cell>
          <cell r="D782">
            <v>39554</v>
          </cell>
          <cell r="E782">
            <v>39582</v>
          </cell>
          <cell r="F782">
            <v>39565</v>
          </cell>
          <cell r="G782">
            <v>1</v>
          </cell>
          <cell r="H782">
            <v>47.84</v>
          </cell>
          <cell r="I782" t="str">
            <v>Destination YUJRD</v>
          </cell>
          <cell r="J782" t="str">
            <v>Hauptstr. 1234</v>
          </cell>
          <cell r="K782" t="str">
            <v>Bern</v>
          </cell>
          <cell r="M782">
            <v>10139</v>
          </cell>
          <cell r="N782" t="str">
            <v>Switzerland</v>
          </cell>
        </row>
        <row r="783">
          <cell r="A783">
            <v>11030</v>
          </cell>
          <cell r="B783">
            <v>71</v>
          </cell>
          <cell r="C783">
            <v>7</v>
          </cell>
          <cell r="D783">
            <v>39555</v>
          </cell>
          <cell r="E783">
            <v>39583</v>
          </cell>
          <cell r="F783">
            <v>39565</v>
          </cell>
          <cell r="G783">
            <v>2</v>
          </cell>
          <cell r="H783">
            <v>830.75</v>
          </cell>
          <cell r="I783" t="str">
            <v>Ship to 71-C</v>
          </cell>
          <cell r="J783" t="str">
            <v>9012 Suffolk Ln.</v>
          </cell>
          <cell r="K783" t="str">
            <v>Boise</v>
          </cell>
          <cell r="L783" t="str">
            <v>ID</v>
          </cell>
          <cell r="M783">
            <v>10307</v>
          </cell>
          <cell r="N783" t="str">
            <v>USA</v>
          </cell>
        </row>
        <row r="784">
          <cell r="A784">
            <v>11031</v>
          </cell>
          <cell r="B784">
            <v>71</v>
          </cell>
          <cell r="C784">
            <v>6</v>
          </cell>
          <cell r="D784">
            <v>39555</v>
          </cell>
          <cell r="E784">
            <v>39583</v>
          </cell>
          <cell r="F784">
            <v>39562</v>
          </cell>
          <cell r="G784">
            <v>2</v>
          </cell>
          <cell r="H784">
            <v>227.22</v>
          </cell>
          <cell r="I784" t="str">
            <v>Ship to 71-C</v>
          </cell>
          <cell r="J784" t="str">
            <v>9012 Suffolk Ln.</v>
          </cell>
          <cell r="K784" t="str">
            <v>Boise</v>
          </cell>
          <cell r="L784" t="str">
            <v>ID</v>
          </cell>
          <cell r="M784">
            <v>10307</v>
          </cell>
          <cell r="N784" t="str">
            <v>USA</v>
          </cell>
        </row>
        <row r="785">
          <cell r="A785">
            <v>11032</v>
          </cell>
          <cell r="B785">
            <v>89</v>
          </cell>
          <cell r="C785">
            <v>2</v>
          </cell>
          <cell r="D785">
            <v>39555</v>
          </cell>
          <cell r="E785">
            <v>39583</v>
          </cell>
          <cell r="F785">
            <v>39561</v>
          </cell>
          <cell r="G785">
            <v>3</v>
          </cell>
          <cell r="H785">
            <v>606.19000000000005</v>
          </cell>
          <cell r="I785" t="str">
            <v>Ship to 89-B</v>
          </cell>
          <cell r="J785" t="str">
            <v>8901 - 12th Ave. S.</v>
          </cell>
          <cell r="K785" t="str">
            <v>Seattle</v>
          </cell>
          <cell r="L785" t="str">
            <v>WA</v>
          </cell>
          <cell r="M785">
            <v>10357</v>
          </cell>
          <cell r="N785" t="str">
            <v>USA</v>
          </cell>
        </row>
        <row r="786">
          <cell r="A786">
            <v>11033</v>
          </cell>
          <cell r="B786">
            <v>68</v>
          </cell>
          <cell r="C786">
            <v>7</v>
          </cell>
          <cell r="D786">
            <v>39555</v>
          </cell>
          <cell r="E786">
            <v>39583</v>
          </cell>
          <cell r="F786">
            <v>39561</v>
          </cell>
          <cell r="G786">
            <v>3</v>
          </cell>
          <cell r="H786">
            <v>84.74</v>
          </cell>
          <cell r="I786" t="str">
            <v>Ship to 68-A</v>
          </cell>
          <cell r="J786" t="str">
            <v>Starenweg 6789</v>
          </cell>
          <cell r="K786" t="str">
            <v>Genève</v>
          </cell>
          <cell r="M786">
            <v>10294</v>
          </cell>
          <cell r="N786" t="str">
            <v>Switzerland</v>
          </cell>
        </row>
        <row r="787">
          <cell r="A787">
            <v>11034</v>
          </cell>
          <cell r="B787">
            <v>55</v>
          </cell>
          <cell r="C787">
            <v>8</v>
          </cell>
          <cell r="D787">
            <v>39558</v>
          </cell>
          <cell r="E787">
            <v>39600</v>
          </cell>
          <cell r="F787">
            <v>39565</v>
          </cell>
          <cell r="G787">
            <v>1</v>
          </cell>
          <cell r="H787">
            <v>40.32</v>
          </cell>
          <cell r="I787" t="str">
            <v>Ship to 55-B</v>
          </cell>
          <cell r="J787" t="str">
            <v>8901 Bering St.</v>
          </cell>
          <cell r="K787" t="str">
            <v>Anchorage</v>
          </cell>
          <cell r="L787" t="str">
            <v>AK</v>
          </cell>
          <cell r="M787">
            <v>10256</v>
          </cell>
          <cell r="N787" t="str">
            <v>USA</v>
          </cell>
        </row>
        <row r="788">
          <cell r="A788">
            <v>11035</v>
          </cell>
          <cell r="B788">
            <v>76</v>
          </cell>
          <cell r="C788">
            <v>2</v>
          </cell>
          <cell r="D788">
            <v>39558</v>
          </cell>
          <cell r="E788">
            <v>39586</v>
          </cell>
          <cell r="F788">
            <v>39562</v>
          </cell>
          <cell r="G788">
            <v>2</v>
          </cell>
          <cell r="H788">
            <v>0.17</v>
          </cell>
          <cell r="I788" t="str">
            <v>Ship to 76-B</v>
          </cell>
          <cell r="J788" t="str">
            <v>Boulevard Tirou, 9012</v>
          </cell>
          <cell r="K788" t="str">
            <v>Charleroi</v>
          </cell>
          <cell r="M788">
            <v>10318</v>
          </cell>
          <cell r="N788" t="str">
            <v>Belgium</v>
          </cell>
        </row>
        <row r="789">
          <cell r="A789">
            <v>11036</v>
          </cell>
          <cell r="B789">
            <v>17</v>
          </cell>
          <cell r="C789">
            <v>8</v>
          </cell>
          <cell r="D789">
            <v>39558</v>
          </cell>
          <cell r="E789">
            <v>39586</v>
          </cell>
          <cell r="F789">
            <v>39560</v>
          </cell>
          <cell r="G789">
            <v>3</v>
          </cell>
          <cell r="H789">
            <v>149.47</v>
          </cell>
          <cell r="I789" t="str">
            <v>Destination YPUYI</v>
          </cell>
          <cell r="J789" t="str">
            <v>Walserweg 8901</v>
          </cell>
          <cell r="K789" t="str">
            <v>Aachen</v>
          </cell>
          <cell r="M789">
            <v>10146</v>
          </cell>
          <cell r="N789" t="str">
            <v>Germany</v>
          </cell>
        </row>
        <row r="790">
          <cell r="A790">
            <v>11037</v>
          </cell>
          <cell r="B790">
            <v>30</v>
          </cell>
          <cell r="C790">
            <v>7</v>
          </cell>
          <cell r="D790">
            <v>39559</v>
          </cell>
          <cell r="E790">
            <v>39587</v>
          </cell>
          <cell r="F790">
            <v>39565</v>
          </cell>
          <cell r="G790">
            <v>1</v>
          </cell>
          <cell r="H790">
            <v>3.2</v>
          </cell>
          <cell r="I790" t="str">
            <v>Destination GGQIR</v>
          </cell>
          <cell r="J790" t="str">
            <v>C/ Romero, 6789</v>
          </cell>
          <cell r="K790" t="str">
            <v>Sevilla</v>
          </cell>
          <cell r="M790">
            <v>10184</v>
          </cell>
          <cell r="N790" t="str">
            <v>Spain</v>
          </cell>
        </row>
        <row r="791">
          <cell r="A791">
            <v>11038</v>
          </cell>
          <cell r="B791">
            <v>76</v>
          </cell>
          <cell r="C791">
            <v>1</v>
          </cell>
          <cell r="D791">
            <v>39559</v>
          </cell>
          <cell r="E791">
            <v>39587</v>
          </cell>
          <cell r="F791">
            <v>39568</v>
          </cell>
          <cell r="G791">
            <v>2</v>
          </cell>
          <cell r="H791">
            <v>29.59</v>
          </cell>
          <cell r="I791" t="str">
            <v>Ship to 76-A</v>
          </cell>
          <cell r="J791" t="str">
            <v>Boulevard Tirou, 8901</v>
          </cell>
          <cell r="K791" t="str">
            <v>Charleroi</v>
          </cell>
          <cell r="M791">
            <v>10317</v>
          </cell>
          <cell r="N791" t="str">
            <v>Belgium</v>
          </cell>
        </row>
        <row r="792">
          <cell r="A792">
            <v>11039</v>
          </cell>
          <cell r="B792">
            <v>47</v>
          </cell>
          <cell r="C792">
            <v>1</v>
          </cell>
          <cell r="D792">
            <v>39559</v>
          </cell>
          <cell r="E792">
            <v>39587</v>
          </cell>
          <cell r="G792">
            <v>2</v>
          </cell>
          <cell r="H792">
            <v>65</v>
          </cell>
          <cell r="I792" t="str">
            <v>Ship to 47-C</v>
          </cell>
          <cell r="J792" t="str">
            <v>Ave. 5 de Mayo Porlamar 5678</v>
          </cell>
          <cell r="K792" t="str">
            <v>I. de Margarita</v>
          </cell>
          <cell r="L792" t="str">
            <v>Nueva Esparta</v>
          </cell>
          <cell r="M792">
            <v>10232</v>
          </cell>
          <cell r="N792" t="str">
            <v>Venezuela</v>
          </cell>
        </row>
        <row r="793">
          <cell r="A793">
            <v>11040</v>
          </cell>
          <cell r="B793">
            <v>32</v>
          </cell>
          <cell r="C793">
            <v>4</v>
          </cell>
          <cell r="D793">
            <v>39560</v>
          </cell>
          <cell r="E793">
            <v>39588</v>
          </cell>
          <cell r="G793">
            <v>3</v>
          </cell>
          <cell r="H793">
            <v>18.84</v>
          </cell>
          <cell r="I793" t="str">
            <v>Destination VYOBK</v>
          </cell>
          <cell r="J793" t="str">
            <v>3456 Baker Blvd.</v>
          </cell>
          <cell r="K793" t="str">
            <v>Eugene</v>
          </cell>
          <cell r="L793" t="str">
            <v>OR</v>
          </cell>
          <cell r="M793">
            <v>10191</v>
          </cell>
          <cell r="N793" t="str">
            <v>USA</v>
          </cell>
        </row>
        <row r="794">
          <cell r="A794">
            <v>11041</v>
          </cell>
          <cell r="B794">
            <v>14</v>
          </cell>
          <cell r="C794">
            <v>3</v>
          </cell>
          <cell r="D794">
            <v>39560</v>
          </cell>
          <cell r="E794">
            <v>39588</v>
          </cell>
          <cell r="F794">
            <v>39566</v>
          </cell>
          <cell r="G794">
            <v>2</v>
          </cell>
          <cell r="H794">
            <v>48.22</v>
          </cell>
          <cell r="I794" t="str">
            <v>Destination YUJRD</v>
          </cell>
          <cell r="J794" t="str">
            <v>Hauptstr. 1234</v>
          </cell>
          <cell r="K794" t="str">
            <v>Bern</v>
          </cell>
          <cell r="M794">
            <v>10139</v>
          </cell>
          <cell r="N794" t="str">
            <v>Switzerland</v>
          </cell>
        </row>
        <row r="795">
          <cell r="A795">
            <v>11042</v>
          </cell>
          <cell r="B795">
            <v>15</v>
          </cell>
          <cell r="C795">
            <v>2</v>
          </cell>
          <cell r="D795">
            <v>39560</v>
          </cell>
          <cell r="E795">
            <v>39574</v>
          </cell>
          <cell r="F795">
            <v>39569</v>
          </cell>
          <cell r="G795">
            <v>1</v>
          </cell>
          <cell r="H795">
            <v>29.99</v>
          </cell>
          <cell r="I795" t="str">
            <v>Destination EVHYA</v>
          </cell>
          <cell r="J795" t="str">
            <v>Av. dos Lusíadas, 3456</v>
          </cell>
          <cell r="K795" t="str">
            <v>Sao Paulo</v>
          </cell>
          <cell r="L795" t="str">
            <v>SP</v>
          </cell>
          <cell r="M795">
            <v>10141</v>
          </cell>
          <cell r="N795" t="str">
            <v>Brazil</v>
          </cell>
        </row>
        <row r="796">
          <cell r="A796">
            <v>11043</v>
          </cell>
          <cell r="B796">
            <v>74</v>
          </cell>
          <cell r="C796">
            <v>5</v>
          </cell>
          <cell r="D796">
            <v>39560</v>
          </cell>
          <cell r="E796">
            <v>39588</v>
          </cell>
          <cell r="F796">
            <v>39567</v>
          </cell>
          <cell r="G796">
            <v>2</v>
          </cell>
          <cell r="H796">
            <v>8.8000000000000007</v>
          </cell>
          <cell r="I796" t="str">
            <v>Ship to 74-B</v>
          </cell>
          <cell r="J796" t="str">
            <v>4567, rue Lauriston</v>
          </cell>
          <cell r="K796" t="str">
            <v>Paris</v>
          </cell>
          <cell r="M796">
            <v>10313</v>
          </cell>
          <cell r="N796" t="str">
            <v>France</v>
          </cell>
        </row>
        <row r="797">
          <cell r="A797">
            <v>11044</v>
          </cell>
          <cell r="B797">
            <v>91</v>
          </cell>
          <cell r="C797">
            <v>4</v>
          </cell>
          <cell r="D797">
            <v>39561</v>
          </cell>
          <cell r="E797">
            <v>39589</v>
          </cell>
          <cell r="F797">
            <v>39569</v>
          </cell>
          <cell r="G797">
            <v>1</v>
          </cell>
          <cell r="H797">
            <v>8.7200000000000006</v>
          </cell>
          <cell r="I797" t="str">
            <v>Ship to 91-B</v>
          </cell>
          <cell r="J797" t="str">
            <v>ul. Filtrowa 6789</v>
          </cell>
          <cell r="K797" t="str">
            <v>Warszawa</v>
          </cell>
          <cell r="M797">
            <v>10365</v>
          </cell>
          <cell r="N797" t="str">
            <v>Poland</v>
          </cell>
        </row>
        <row r="798">
          <cell r="A798">
            <v>11045</v>
          </cell>
          <cell r="B798">
            <v>10</v>
          </cell>
          <cell r="C798">
            <v>6</v>
          </cell>
          <cell r="D798">
            <v>39561</v>
          </cell>
          <cell r="E798">
            <v>39589</v>
          </cell>
          <cell r="G798">
            <v>2</v>
          </cell>
          <cell r="H798">
            <v>70.58</v>
          </cell>
          <cell r="I798" t="str">
            <v>Destination LPHSI</v>
          </cell>
          <cell r="J798" t="str">
            <v>3456 Tsawassen Blvd.</v>
          </cell>
          <cell r="K798" t="str">
            <v>Tsawassen</v>
          </cell>
          <cell r="L798" t="str">
            <v>BC</v>
          </cell>
          <cell r="M798">
            <v>10131</v>
          </cell>
          <cell r="N798" t="str">
            <v>Canada</v>
          </cell>
        </row>
        <row r="799">
          <cell r="A799">
            <v>11046</v>
          </cell>
          <cell r="B799">
            <v>86</v>
          </cell>
          <cell r="C799">
            <v>8</v>
          </cell>
          <cell r="D799">
            <v>39561</v>
          </cell>
          <cell r="E799">
            <v>39589</v>
          </cell>
          <cell r="F799">
            <v>39562</v>
          </cell>
          <cell r="G799">
            <v>2</v>
          </cell>
          <cell r="H799">
            <v>71.64</v>
          </cell>
          <cell r="I799" t="str">
            <v>Ship to 86-C</v>
          </cell>
          <cell r="J799" t="str">
            <v>Adenauerallee 0123</v>
          </cell>
          <cell r="K799" t="str">
            <v>Stuttgart</v>
          </cell>
          <cell r="M799">
            <v>10349</v>
          </cell>
          <cell r="N799" t="str">
            <v>Germany</v>
          </cell>
        </row>
        <row r="800">
          <cell r="A800">
            <v>11047</v>
          </cell>
          <cell r="B800">
            <v>19</v>
          </cell>
          <cell r="C800">
            <v>7</v>
          </cell>
          <cell r="D800">
            <v>39562</v>
          </cell>
          <cell r="E800">
            <v>39590</v>
          </cell>
          <cell r="F800">
            <v>39569</v>
          </cell>
          <cell r="G800">
            <v>3</v>
          </cell>
          <cell r="H800">
            <v>46.62</v>
          </cell>
          <cell r="I800" t="str">
            <v>Destination FRCGJ</v>
          </cell>
          <cell r="J800" t="str">
            <v>5678 King George</v>
          </cell>
          <cell r="K800" t="str">
            <v>London</v>
          </cell>
          <cell r="M800">
            <v>10153</v>
          </cell>
          <cell r="N800" t="str">
            <v>UK</v>
          </cell>
        </row>
        <row r="801">
          <cell r="A801">
            <v>11048</v>
          </cell>
          <cell r="B801">
            <v>10</v>
          </cell>
          <cell r="C801">
            <v>7</v>
          </cell>
          <cell r="D801">
            <v>39562</v>
          </cell>
          <cell r="E801">
            <v>39590</v>
          </cell>
          <cell r="F801">
            <v>39568</v>
          </cell>
          <cell r="G801">
            <v>3</v>
          </cell>
          <cell r="H801">
            <v>24.12</v>
          </cell>
          <cell r="I801" t="str">
            <v>Destination XJIBQ</v>
          </cell>
          <cell r="J801" t="str">
            <v>1234 Tsawassen Blvd.</v>
          </cell>
          <cell r="K801" t="str">
            <v>Tsawassen</v>
          </cell>
          <cell r="L801" t="str">
            <v>BC</v>
          </cell>
          <cell r="M801">
            <v>10129</v>
          </cell>
          <cell r="N801" t="str">
            <v>Canada</v>
          </cell>
        </row>
        <row r="802">
          <cell r="A802">
            <v>11049</v>
          </cell>
          <cell r="B802">
            <v>31</v>
          </cell>
          <cell r="C802">
            <v>3</v>
          </cell>
          <cell r="D802">
            <v>39562</v>
          </cell>
          <cell r="E802">
            <v>39590</v>
          </cell>
          <cell r="F802">
            <v>39572</v>
          </cell>
          <cell r="G802">
            <v>1</v>
          </cell>
          <cell r="H802">
            <v>8.34</v>
          </cell>
          <cell r="I802" t="str">
            <v>Destination XOIGC</v>
          </cell>
          <cell r="J802" t="str">
            <v>Av. Brasil, 8901</v>
          </cell>
          <cell r="K802" t="str">
            <v>Campinas</v>
          </cell>
          <cell r="L802" t="str">
            <v>SP</v>
          </cell>
          <cell r="M802">
            <v>10186</v>
          </cell>
          <cell r="N802" t="str">
            <v>Brazil</v>
          </cell>
        </row>
        <row r="803">
          <cell r="A803">
            <v>11050</v>
          </cell>
          <cell r="B803">
            <v>24</v>
          </cell>
          <cell r="C803">
            <v>8</v>
          </cell>
          <cell r="D803">
            <v>39565</v>
          </cell>
          <cell r="E803">
            <v>39593</v>
          </cell>
          <cell r="F803">
            <v>39573</v>
          </cell>
          <cell r="G803">
            <v>2</v>
          </cell>
          <cell r="H803">
            <v>59.41</v>
          </cell>
          <cell r="I803" t="str">
            <v>Destination YCMPK</v>
          </cell>
          <cell r="J803" t="str">
            <v>Åkergatan 8901</v>
          </cell>
          <cell r="K803" t="str">
            <v>Bräcke</v>
          </cell>
          <cell r="M803">
            <v>10166</v>
          </cell>
          <cell r="N803" t="str">
            <v>Sweden</v>
          </cell>
        </row>
        <row r="804">
          <cell r="A804">
            <v>11051</v>
          </cell>
          <cell r="B804">
            <v>41</v>
          </cell>
          <cell r="C804">
            <v>7</v>
          </cell>
          <cell r="D804">
            <v>39565</v>
          </cell>
          <cell r="E804">
            <v>39593</v>
          </cell>
          <cell r="G804">
            <v>3</v>
          </cell>
          <cell r="H804">
            <v>2.79</v>
          </cell>
          <cell r="I804" t="str">
            <v>Destination OLJND</v>
          </cell>
          <cell r="J804" t="str">
            <v>8901 rue Alsace-Lorraine</v>
          </cell>
          <cell r="K804" t="str">
            <v>Toulouse</v>
          </cell>
          <cell r="M804">
            <v>10216</v>
          </cell>
          <cell r="N804" t="str">
            <v>France</v>
          </cell>
        </row>
        <row r="805">
          <cell r="A805">
            <v>11052</v>
          </cell>
          <cell r="B805">
            <v>34</v>
          </cell>
          <cell r="C805">
            <v>3</v>
          </cell>
          <cell r="D805">
            <v>39565</v>
          </cell>
          <cell r="E805">
            <v>39593</v>
          </cell>
          <cell r="F805">
            <v>39569</v>
          </cell>
          <cell r="G805">
            <v>1</v>
          </cell>
          <cell r="H805">
            <v>67.260000000000005</v>
          </cell>
          <cell r="I805" t="str">
            <v>Destination DPCVR</v>
          </cell>
          <cell r="J805" t="str">
            <v>Rua do Paço, 6789</v>
          </cell>
          <cell r="K805" t="str">
            <v>Rio de Janeiro</v>
          </cell>
          <cell r="L805" t="str">
            <v>RJ</v>
          </cell>
          <cell r="M805">
            <v>10194</v>
          </cell>
          <cell r="N805" t="str">
            <v>Brazil</v>
          </cell>
        </row>
        <row r="806">
          <cell r="A806">
            <v>11053</v>
          </cell>
          <cell r="B806">
            <v>59</v>
          </cell>
          <cell r="C806">
            <v>2</v>
          </cell>
          <cell r="D806">
            <v>39565</v>
          </cell>
          <cell r="E806">
            <v>39593</v>
          </cell>
          <cell r="F806">
            <v>39567</v>
          </cell>
          <cell r="G806">
            <v>2</v>
          </cell>
          <cell r="H806">
            <v>53.05</v>
          </cell>
          <cell r="I806" t="str">
            <v>Ship to 59-A</v>
          </cell>
          <cell r="J806" t="str">
            <v>Geislweg 6789</v>
          </cell>
          <cell r="K806" t="str">
            <v>Salzburg</v>
          </cell>
          <cell r="M806">
            <v>10264</v>
          </cell>
          <cell r="N806" t="str">
            <v>Austria</v>
          </cell>
        </row>
        <row r="807">
          <cell r="A807">
            <v>11054</v>
          </cell>
          <cell r="B807">
            <v>12</v>
          </cell>
          <cell r="C807">
            <v>8</v>
          </cell>
          <cell r="D807">
            <v>39566</v>
          </cell>
          <cell r="E807">
            <v>39594</v>
          </cell>
          <cell r="G807">
            <v>1</v>
          </cell>
          <cell r="H807">
            <v>0.33</v>
          </cell>
          <cell r="I807" t="str">
            <v>Destination QTHBC</v>
          </cell>
          <cell r="J807" t="str">
            <v>Cerrito 6789</v>
          </cell>
          <cell r="K807" t="str">
            <v>Buenos Aires</v>
          </cell>
          <cell r="M807">
            <v>10134</v>
          </cell>
          <cell r="N807" t="str">
            <v>Argentina</v>
          </cell>
        </row>
        <row r="808">
          <cell r="A808">
            <v>11055</v>
          </cell>
          <cell r="B808">
            <v>35</v>
          </cell>
          <cell r="C808">
            <v>7</v>
          </cell>
          <cell r="D808">
            <v>39566</v>
          </cell>
          <cell r="E808">
            <v>39594</v>
          </cell>
          <cell r="F808">
            <v>39573</v>
          </cell>
          <cell r="G808">
            <v>2</v>
          </cell>
          <cell r="H808">
            <v>120.92</v>
          </cell>
          <cell r="I808" t="str">
            <v>Destination JYDLM</v>
          </cell>
          <cell r="J808" t="str">
            <v>Carrera1234 con Ave. Carlos Soublette #8-35</v>
          </cell>
          <cell r="K808" t="str">
            <v>San Cristóbal</v>
          </cell>
          <cell r="L808" t="str">
            <v>Táchira</v>
          </cell>
          <cell r="M808">
            <v>10199</v>
          </cell>
          <cell r="N808" t="str">
            <v>Venezuela</v>
          </cell>
        </row>
        <row r="809">
          <cell r="A809">
            <v>11056</v>
          </cell>
          <cell r="B809">
            <v>19</v>
          </cell>
          <cell r="C809">
            <v>8</v>
          </cell>
          <cell r="D809">
            <v>39566</v>
          </cell>
          <cell r="E809">
            <v>39580</v>
          </cell>
          <cell r="F809">
            <v>39569</v>
          </cell>
          <cell r="G809">
            <v>2</v>
          </cell>
          <cell r="H809">
            <v>278.95999999999998</v>
          </cell>
          <cell r="I809" t="str">
            <v>Destination QTKCU</v>
          </cell>
          <cell r="J809" t="str">
            <v>3456 King George</v>
          </cell>
          <cell r="K809" t="str">
            <v>London</v>
          </cell>
          <cell r="M809">
            <v>10151</v>
          </cell>
          <cell r="N809" t="str">
            <v>UK</v>
          </cell>
        </row>
        <row r="810">
          <cell r="A810">
            <v>11057</v>
          </cell>
          <cell r="B810">
            <v>53</v>
          </cell>
          <cell r="C810">
            <v>3</v>
          </cell>
          <cell r="D810">
            <v>39567</v>
          </cell>
          <cell r="E810">
            <v>39595</v>
          </cell>
          <cell r="F810">
            <v>39569</v>
          </cell>
          <cell r="G810">
            <v>3</v>
          </cell>
          <cell r="H810">
            <v>4.13</v>
          </cell>
          <cell r="I810" t="str">
            <v>Ship to 53-C</v>
          </cell>
          <cell r="J810" t="str">
            <v>South House 3456 Queensbridge</v>
          </cell>
          <cell r="K810" t="str">
            <v>London</v>
          </cell>
          <cell r="M810">
            <v>10251</v>
          </cell>
          <cell r="N810" t="str">
            <v>UK</v>
          </cell>
        </row>
        <row r="811">
          <cell r="A811">
            <v>11058</v>
          </cell>
          <cell r="B811">
            <v>6</v>
          </cell>
          <cell r="C811">
            <v>9</v>
          </cell>
          <cell r="D811">
            <v>39567</v>
          </cell>
          <cell r="E811">
            <v>39595</v>
          </cell>
          <cell r="G811">
            <v>3</v>
          </cell>
          <cell r="H811">
            <v>31.14</v>
          </cell>
          <cell r="I811" t="str">
            <v>Ship to 6-A</v>
          </cell>
          <cell r="J811" t="str">
            <v>Forsterstr. 2345</v>
          </cell>
          <cell r="K811" t="str">
            <v>Mannheim</v>
          </cell>
          <cell r="M811">
            <v>10300</v>
          </cell>
          <cell r="N811" t="str">
            <v>Germany</v>
          </cell>
        </row>
        <row r="812">
          <cell r="A812">
            <v>11059</v>
          </cell>
          <cell r="B812">
            <v>67</v>
          </cell>
          <cell r="C812">
            <v>2</v>
          </cell>
          <cell r="D812">
            <v>39567</v>
          </cell>
          <cell r="E812">
            <v>39609</v>
          </cell>
          <cell r="G812">
            <v>2</v>
          </cell>
          <cell r="H812">
            <v>85.8</v>
          </cell>
          <cell r="I812" t="str">
            <v>Ship to 67-A</v>
          </cell>
          <cell r="J812" t="str">
            <v>Av. Copacabana, 3456</v>
          </cell>
          <cell r="K812" t="str">
            <v>Rio de Janeiro</v>
          </cell>
          <cell r="L812" t="str">
            <v>RJ</v>
          </cell>
          <cell r="M812">
            <v>10291</v>
          </cell>
          <cell r="N812" t="str">
            <v>Brazil</v>
          </cell>
        </row>
        <row r="813">
          <cell r="A813">
            <v>11060</v>
          </cell>
          <cell r="B813">
            <v>27</v>
          </cell>
          <cell r="C813">
            <v>2</v>
          </cell>
          <cell r="D813">
            <v>39568</v>
          </cell>
          <cell r="E813">
            <v>39596</v>
          </cell>
          <cell r="F813">
            <v>39572</v>
          </cell>
          <cell r="G813">
            <v>2</v>
          </cell>
          <cell r="H813">
            <v>10.98</v>
          </cell>
          <cell r="I813" t="str">
            <v>Destination DICGM</v>
          </cell>
          <cell r="J813" t="str">
            <v>Via Monte Bianco 7890</v>
          </cell>
          <cell r="K813" t="str">
            <v>Torino</v>
          </cell>
          <cell r="M813">
            <v>10175</v>
          </cell>
          <cell r="N813" t="str">
            <v>Italy</v>
          </cell>
        </row>
        <row r="814">
          <cell r="A814">
            <v>11061</v>
          </cell>
          <cell r="B814">
            <v>32</v>
          </cell>
          <cell r="C814">
            <v>4</v>
          </cell>
          <cell r="D814">
            <v>39568</v>
          </cell>
          <cell r="E814">
            <v>39610</v>
          </cell>
          <cell r="G814">
            <v>3</v>
          </cell>
          <cell r="H814">
            <v>14.01</v>
          </cell>
          <cell r="I814" t="str">
            <v>Destination VYOBK</v>
          </cell>
          <cell r="J814" t="str">
            <v>3456 Baker Blvd.</v>
          </cell>
          <cell r="K814" t="str">
            <v>Eugene</v>
          </cell>
          <cell r="L814" t="str">
            <v>OR</v>
          </cell>
          <cell r="M814">
            <v>10191</v>
          </cell>
          <cell r="N814" t="str">
            <v>USA</v>
          </cell>
        </row>
        <row r="815">
          <cell r="A815">
            <v>11062</v>
          </cell>
          <cell r="B815">
            <v>66</v>
          </cell>
          <cell r="C815">
            <v>4</v>
          </cell>
          <cell r="D815">
            <v>39568</v>
          </cell>
          <cell r="E815">
            <v>39596</v>
          </cell>
          <cell r="G815">
            <v>2</v>
          </cell>
          <cell r="H815">
            <v>29.93</v>
          </cell>
          <cell r="I815" t="str">
            <v>Ship to 66-B</v>
          </cell>
          <cell r="J815" t="str">
            <v>Strada Provinciale 1234</v>
          </cell>
          <cell r="K815" t="str">
            <v>Reggio Emilia</v>
          </cell>
          <cell r="M815">
            <v>10289</v>
          </cell>
          <cell r="N815" t="str">
            <v>Italy</v>
          </cell>
        </row>
        <row r="816">
          <cell r="A816">
            <v>11063</v>
          </cell>
          <cell r="B816">
            <v>37</v>
          </cell>
          <cell r="C816">
            <v>3</v>
          </cell>
          <cell r="D816">
            <v>39568</v>
          </cell>
          <cell r="E816">
            <v>39596</v>
          </cell>
          <cell r="F816">
            <v>39574</v>
          </cell>
          <cell r="G816">
            <v>2</v>
          </cell>
          <cell r="H816">
            <v>81.73</v>
          </cell>
          <cell r="I816" t="str">
            <v>Destination KPVYJ</v>
          </cell>
          <cell r="J816" t="str">
            <v>5678 Johnstown Road</v>
          </cell>
          <cell r="K816" t="str">
            <v>Cork</v>
          </cell>
          <cell r="L816" t="str">
            <v>Co. Cork</v>
          </cell>
          <cell r="M816">
            <v>10203</v>
          </cell>
          <cell r="N816" t="str">
            <v>Ireland</v>
          </cell>
        </row>
        <row r="817">
          <cell r="A817">
            <v>11064</v>
          </cell>
          <cell r="B817">
            <v>71</v>
          </cell>
          <cell r="C817">
            <v>1</v>
          </cell>
          <cell r="D817">
            <v>39569</v>
          </cell>
          <cell r="E817">
            <v>39597</v>
          </cell>
          <cell r="F817">
            <v>39572</v>
          </cell>
          <cell r="G817">
            <v>1</v>
          </cell>
          <cell r="H817">
            <v>30.09</v>
          </cell>
          <cell r="I817" t="str">
            <v>Ship to 71-C</v>
          </cell>
          <cell r="J817" t="str">
            <v>9012 Suffolk Ln.</v>
          </cell>
          <cell r="K817" t="str">
            <v>Boise</v>
          </cell>
          <cell r="L817" t="str">
            <v>ID</v>
          </cell>
          <cell r="M817">
            <v>10307</v>
          </cell>
          <cell r="N817" t="str">
            <v>USA</v>
          </cell>
        </row>
        <row r="818">
          <cell r="A818">
            <v>11065</v>
          </cell>
          <cell r="B818">
            <v>46</v>
          </cell>
          <cell r="C818">
            <v>8</v>
          </cell>
          <cell r="D818">
            <v>39569</v>
          </cell>
          <cell r="E818">
            <v>39597</v>
          </cell>
          <cell r="G818">
            <v>1</v>
          </cell>
          <cell r="H818">
            <v>12.91</v>
          </cell>
          <cell r="I818" t="str">
            <v>Ship to 46-C</v>
          </cell>
          <cell r="J818" t="str">
            <v>Carrera 2345 con Ave. Bolívar #65-98 Llano Largo</v>
          </cell>
          <cell r="K818" t="str">
            <v>Barquisimeto</v>
          </cell>
          <cell r="L818" t="str">
            <v>Lara</v>
          </cell>
          <cell r="M818">
            <v>10229</v>
          </cell>
          <cell r="N818" t="str">
            <v>Venezuela</v>
          </cell>
        </row>
        <row r="819">
          <cell r="A819">
            <v>11066</v>
          </cell>
          <cell r="B819">
            <v>89</v>
          </cell>
          <cell r="C819">
            <v>7</v>
          </cell>
          <cell r="D819">
            <v>39569</v>
          </cell>
          <cell r="E819">
            <v>39597</v>
          </cell>
          <cell r="F819">
            <v>39572</v>
          </cell>
          <cell r="G819">
            <v>2</v>
          </cell>
          <cell r="H819">
            <v>44.72</v>
          </cell>
          <cell r="I819" t="str">
            <v>Ship to 89-A</v>
          </cell>
          <cell r="J819" t="str">
            <v>7890 - 12th Ave. S.</v>
          </cell>
          <cell r="K819" t="str">
            <v>Seattle</v>
          </cell>
          <cell r="L819" t="str">
            <v>WA</v>
          </cell>
          <cell r="M819">
            <v>10356</v>
          </cell>
          <cell r="N819" t="str">
            <v>USA</v>
          </cell>
        </row>
        <row r="820">
          <cell r="A820">
            <v>11067</v>
          </cell>
          <cell r="B820">
            <v>17</v>
          </cell>
          <cell r="C820">
            <v>1</v>
          </cell>
          <cell r="D820">
            <v>39572</v>
          </cell>
          <cell r="E820">
            <v>39586</v>
          </cell>
          <cell r="F820">
            <v>39574</v>
          </cell>
          <cell r="G820">
            <v>2</v>
          </cell>
          <cell r="H820">
            <v>7.98</v>
          </cell>
          <cell r="I820" t="str">
            <v>Destination BJCXA</v>
          </cell>
          <cell r="J820" t="str">
            <v>Walserweg 7890</v>
          </cell>
          <cell r="K820" t="str">
            <v>Aachen</v>
          </cell>
          <cell r="M820">
            <v>10145</v>
          </cell>
          <cell r="N820" t="str">
            <v>Germany</v>
          </cell>
        </row>
        <row r="821">
          <cell r="A821">
            <v>11068</v>
          </cell>
          <cell r="B821">
            <v>62</v>
          </cell>
          <cell r="C821">
            <v>8</v>
          </cell>
          <cell r="D821">
            <v>39572</v>
          </cell>
          <cell r="E821">
            <v>39600</v>
          </cell>
          <cell r="G821">
            <v>2</v>
          </cell>
          <cell r="H821">
            <v>81.75</v>
          </cell>
          <cell r="I821" t="str">
            <v>Ship to 62-A</v>
          </cell>
          <cell r="J821" t="str">
            <v>Alameda dos Canàrios, 8901</v>
          </cell>
          <cell r="K821" t="str">
            <v>Sao Paulo</v>
          </cell>
          <cell r="L821" t="str">
            <v>SP</v>
          </cell>
          <cell r="M821">
            <v>10276</v>
          </cell>
          <cell r="N821" t="str">
            <v>Brazil</v>
          </cell>
        </row>
        <row r="822">
          <cell r="A822">
            <v>11069</v>
          </cell>
          <cell r="B822">
            <v>80</v>
          </cell>
          <cell r="C822">
            <v>1</v>
          </cell>
          <cell r="D822">
            <v>39572</v>
          </cell>
          <cell r="E822">
            <v>39600</v>
          </cell>
          <cell r="F822">
            <v>39574</v>
          </cell>
          <cell r="G822">
            <v>2</v>
          </cell>
          <cell r="H822">
            <v>15.67</v>
          </cell>
          <cell r="I822" t="str">
            <v>Ship to 80-B</v>
          </cell>
          <cell r="J822" t="str">
            <v>Avda. Azteca 4567</v>
          </cell>
          <cell r="K822" t="str">
            <v>México D.F.</v>
          </cell>
          <cell r="M822">
            <v>10333</v>
          </cell>
          <cell r="N822" t="str">
            <v>Mexico</v>
          </cell>
        </row>
        <row r="823">
          <cell r="A823">
            <v>11070</v>
          </cell>
          <cell r="B823">
            <v>44</v>
          </cell>
          <cell r="C823">
            <v>2</v>
          </cell>
          <cell r="D823">
            <v>39573</v>
          </cell>
          <cell r="E823">
            <v>39601</v>
          </cell>
          <cell r="G823">
            <v>1</v>
          </cell>
          <cell r="H823">
            <v>136</v>
          </cell>
          <cell r="I823" t="str">
            <v>Ship to 44-A</v>
          </cell>
          <cell r="J823" t="str">
            <v>Magazinweg 4567</v>
          </cell>
          <cell r="K823" t="str">
            <v>Frankfurt a.M.</v>
          </cell>
          <cell r="M823">
            <v>10222</v>
          </cell>
          <cell r="N823" t="str">
            <v>Germany</v>
          </cell>
        </row>
        <row r="824">
          <cell r="A824">
            <v>11071</v>
          </cell>
          <cell r="B824">
            <v>46</v>
          </cell>
          <cell r="C824">
            <v>1</v>
          </cell>
          <cell r="D824">
            <v>39573</v>
          </cell>
          <cell r="E824">
            <v>39601</v>
          </cell>
          <cell r="G824">
            <v>1</v>
          </cell>
          <cell r="H824">
            <v>0.93</v>
          </cell>
          <cell r="I824" t="str">
            <v>Ship to 46-B</v>
          </cell>
          <cell r="J824" t="str">
            <v>Carrera 1234 con Ave. Bolívar #65-98 Llano Largo</v>
          </cell>
          <cell r="K824" t="str">
            <v>Barquisimeto</v>
          </cell>
          <cell r="L824" t="str">
            <v>Lara</v>
          </cell>
          <cell r="M824">
            <v>10228</v>
          </cell>
          <cell r="N824" t="str">
            <v>Venezuela</v>
          </cell>
        </row>
        <row r="825">
          <cell r="A825">
            <v>11073</v>
          </cell>
          <cell r="B825">
            <v>58</v>
          </cell>
          <cell r="C825">
            <v>2</v>
          </cell>
          <cell r="D825">
            <v>39573</v>
          </cell>
          <cell r="E825">
            <v>39601</v>
          </cell>
          <cell r="G825">
            <v>2</v>
          </cell>
          <cell r="H825">
            <v>24.95</v>
          </cell>
          <cell r="I825" t="str">
            <v>Ship to 58-B</v>
          </cell>
          <cell r="J825" t="str">
            <v>Calle Dr. Jorge Cash 4567</v>
          </cell>
          <cell r="K825" t="str">
            <v>México D.F.</v>
          </cell>
          <cell r="M825">
            <v>10262</v>
          </cell>
          <cell r="N825" t="str">
            <v>Mexico</v>
          </cell>
        </row>
        <row r="826">
          <cell r="A826">
            <v>11074</v>
          </cell>
          <cell r="B826">
            <v>73</v>
          </cell>
          <cell r="C826">
            <v>7</v>
          </cell>
          <cell r="D826">
            <v>39574</v>
          </cell>
          <cell r="E826">
            <v>39602</v>
          </cell>
          <cell r="G826">
            <v>2</v>
          </cell>
          <cell r="H826">
            <v>18.440000000000001</v>
          </cell>
          <cell r="I826" t="str">
            <v>Ship to 73-A</v>
          </cell>
          <cell r="J826" t="str">
            <v>Vinbæltet 1234</v>
          </cell>
          <cell r="K826" t="str">
            <v>Kobenhavn</v>
          </cell>
          <cell r="M826">
            <v>10310</v>
          </cell>
          <cell r="N826" t="str">
            <v>Denmark</v>
          </cell>
        </row>
        <row r="827">
          <cell r="A827">
            <v>11075</v>
          </cell>
          <cell r="B827">
            <v>68</v>
          </cell>
          <cell r="C827">
            <v>8</v>
          </cell>
          <cell r="D827">
            <v>39574</v>
          </cell>
          <cell r="E827">
            <v>39602</v>
          </cell>
          <cell r="G827">
            <v>2</v>
          </cell>
          <cell r="H827">
            <v>6.19</v>
          </cell>
          <cell r="I827" t="str">
            <v>Ship to 68-A</v>
          </cell>
          <cell r="J827" t="str">
            <v>Starenweg 6789</v>
          </cell>
          <cell r="K827" t="str">
            <v>Genève</v>
          </cell>
          <cell r="M827">
            <v>10294</v>
          </cell>
          <cell r="N827" t="str">
            <v>Switzerland</v>
          </cell>
        </row>
        <row r="828">
          <cell r="A828">
            <v>11076</v>
          </cell>
          <cell r="B828">
            <v>9</v>
          </cell>
          <cell r="C828">
            <v>4</v>
          </cell>
          <cell r="D828">
            <v>39574</v>
          </cell>
          <cell r="E828">
            <v>39602</v>
          </cell>
          <cell r="G828">
            <v>2</v>
          </cell>
          <cell r="H828">
            <v>38.28</v>
          </cell>
          <cell r="I828" t="str">
            <v>Ship to 9-A</v>
          </cell>
          <cell r="J828" t="str">
            <v>8901, rue des Bouchers</v>
          </cell>
          <cell r="K828" t="str">
            <v>Marseille</v>
          </cell>
          <cell r="M828">
            <v>10367</v>
          </cell>
          <cell r="N828" t="str">
            <v>France</v>
          </cell>
        </row>
        <row r="829">
          <cell r="A829">
            <v>11077</v>
          </cell>
          <cell r="B829">
            <v>65</v>
          </cell>
          <cell r="C829">
            <v>1</v>
          </cell>
          <cell r="D829">
            <v>39574</v>
          </cell>
          <cell r="E829">
            <v>39602</v>
          </cell>
          <cell r="G829">
            <v>2</v>
          </cell>
          <cell r="H829">
            <v>8.5299999999999994</v>
          </cell>
          <cell r="I829" t="str">
            <v>Ship to 65-A</v>
          </cell>
          <cell r="J829" t="str">
            <v>7890 Milton Dr.</v>
          </cell>
          <cell r="K829" t="str">
            <v>Albuquerque</v>
          </cell>
          <cell r="L829" t="str">
            <v>NM</v>
          </cell>
          <cell r="M829">
            <v>10285</v>
          </cell>
          <cell r="N829" t="str">
            <v>USA</v>
          </cell>
        </row>
      </sheetData>
      <sheetData sheetId="4">
        <row r="1">
          <cell r="A1" t="str">
            <v>categoryid</v>
          </cell>
          <cell r="B1" t="str">
            <v>categoryname</v>
          </cell>
        </row>
        <row r="2">
          <cell r="A2">
            <v>1</v>
          </cell>
          <cell r="B2" t="str">
            <v>Beverages</v>
          </cell>
        </row>
        <row r="3">
          <cell r="A3">
            <v>2</v>
          </cell>
          <cell r="B3" t="str">
            <v>Condiments</v>
          </cell>
        </row>
        <row r="4">
          <cell r="A4">
            <v>3</v>
          </cell>
          <cell r="B4" t="str">
            <v>Confections</v>
          </cell>
        </row>
        <row r="5">
          <cell r="A5">
            <v>4</v>
          </cell>
          <cell r="B5" t="str">
            <v>Dairy Product</v>
          </cell>
        </row>
        <row r="6">
          <cell r="A6">
            <v>5</v>
          </cell>
          <cell r="B6" t="str">
            <v>Grains/Cereals</v>
          </cell>
        </row>
        <row r="7">
          <cell r="A7">
            <v>6</v>
          </cell>
          <cell r="B7" t="str">
            <v>Meat/Poultry</v>
          </cell>
        </row>
        <row r="8">
          <cell r="A8">
            <v>7</v>
          </cell>
          <cell r="B8" t="str">
            <v>Produce</v>
          </cell>
        </row>
        <row r="9">
          <cell r="A9">
            <v>8</v>
          </cell>
          <cell r="B9" t="str">
            <v>Seafood</v>
          </cell>
        </row>
      </sheetData>
      <sheetData sheetId="5">
        <row r="1">
          <cell r="A1" t="str">
            <v>custid</v>
          </cell>
          <cell r="B1" t="str">
            <v>companyname</v>
          </cell>
          <cell r="C1" t="str">
            <v>contactname</v>
          </cell>
        </row>
        <row r="2">
          <cell r="A2">
            <v>1</v>
          </cell>
          <cell r="B2" t="str">
            <v>Customer NRZBB</v>
          </cell>
          <cell r="C2" t="str">
            <v>Allen, Michael</v>
          </cell>
        </row>
        <row r="3">
          <cell r="A3">
            <v>2</v>
          </cell>
          <cell r="B3" t="str">
            <v>Customer MLTDN</v>
          </cell>
          <cell r="C3" t="str">
            <v>Hassall, Mark</v>
          </cell>
        </row>
        <row r="4">
          <cell r="A4">
            <v>3</v>
          </cell>
          <cell r="B4" t="str">
            <v>Customer KBUDE</v>
          </cell>
          <cell r="C4" t="str">
            <v>Peoples, John</v>
          </cell>
        </row>
        <row r="5">
          <cell r="A5">
            <v>4</v>
          </cell>
          <cell r="B5" t="str">
            <v>Customer HFBZG</v>
          </cell>
          <cell r="C5" t="str">
            <v>Arndt, Torsten</v>
          </cell>
        </row>
        <row r="6">
          <cell r="A6">
            <v>5</v>
          </cell>
          <cell r="B6" t="str">
            <v>Customer HGVLZ</v>
          </cell>
          <cell r="C6" t="str">
            <v>Higginbotham, Tom</v>
          </cell>
        </row>
        <row r="7">
          <cell r="A7">
            <v>6</v>
          </cell>
          <cell r="B7" t="str">
            <v>Customer XHXJV</v>
          </cell>
          <cell r="C7" t="str">
            <v>Poland, Carole</v>
          </cell>
        </row>
        <row r="8">
          <cell r="A8">
            <v>7</v>
          </cell>
          <cell r="B8" t="str">
            <v>Customer QXVLA</v>
          </cell>
          <cell r="C8" t="str">
            <v>Bansal, Dushyant</v>
          </cell>
        </row>
        <row r="9">
          <cell r="A9">
            <v>8</v>
          </cell>
          <cell r="B9" t="str">
            <v>Customer QUHWH</v>
          </cell>
          <cell r="C9" t="str">
            <v>Ilyina, Julia</v>
          </cell>
        </row>
        <row r="10">
          <cell r="A10">
            <v>9</v>
          </cell>
          <cell r="B10" t="str">
            <v>Customer RTXGC</v>
          </cell>
          <cell r="C10" t="str">
            <v>Raghav, Amritansh</v>
          </cell>
        </row>
        <row r="11">
          <cell r="A11">
            <v>10</v>
          </cell>
          <cell r="B11" t="str">
            <v>Customer EEALV</v>
          </cell>
          <cell r="C11" t="str">
            <v>Bassols, Pilar Colome</v>
          </cell>
        </row>
        <row r="12">
          <cell r="A12">
            <v>11</v>
          </cell>
          <cell r="B12" t="str">
            <v>Customer UBHAU</v>
          </cell>
          <cell r="C12" t="str">
            <v>Jaffe, David</v>
          </cell>
        </row>
        <row r="13">
          <cell r="A13">
            <v>12</v>
          </cell>
          <cell r="B13" t="str">
            <v>Customer PSNMQ</v>
          </cell>
          <cell r="C13" t="str">
            <v>Ray, Mike</v>
          </cell>
        </row>
        <row r="14">
          <cell r="A14">
            <v>13</v>
          </cell>
          <cell r="B14" t="str">
            <v>Customer VMLOG</v>
          </cell>
          <cell r="C14" t="str">
            <v>Benito, Almudena</v>
          </cell>
        </row>
        <row r="15">
          <cell r="A15">
            <v>14</v>
          </cell>
          <cell r="B15" t="str">
            <v>Customer WNMAF</v>
          </cell>
          <cell r="C15" t="str">
            <v>Jelitto, Jacek</v>
          </cell>
        </row>
        <row r="16">
          <cell r="A16">
            <v>15</v>
          </cell>
          <cell r="B16" t="str">
            <v>Customer JUWXK</v>
          </cell>
          <cell r="C16" t="str">
            <v>Richardson, Shawn</v>
          </cell>
        </row>
        <row r="17">
          <cell r="A17">
            <v>16</v>
          </cell>
          <cell r="B17" t="str">
            <v>Customer GYBBY</v>
          </cell>
          <cell r="C17" t="str">
            <v>Birkby, Dana</v>
          </cell>
        </row>
        <row r="18">
          <cell r="A18">
            <v>17</v>
          </cell>
          <cell r="B18" t="str">
            <v>Customer FEVNN</v>
          </cell>
          <cell r="C18" t="str">
            <v>Jones, TiAnna</v>
          </cell>
        </row>
        <row r="19">
          <cell r="A19">
            <v>18</v>
          </cell>
          <cell r="B19" t="str">
            <v>Customer BSVAR</v>
          </cell>
          <cell r="C19" t="str">
            <v>Rizaldy, Arif</v>
          </cell>
        </row>
        <row r="20">
          <cell r="A20">
            <v>19</v>
          </cell>
          <cell r="B20" t="str">
            <v>Customer RFNQC</v>
          </cell>
          <cell r="C20" t="str">
            <v>Boseman, Randall</v>
          </cell>
        </row>
        <row r="21">
          <cell r="A21">
            <v>20</v>
          </cell>
          <cell r="B21" t="str">
            <v>Customer THHDP</v>
          </cell>
          <cell r="C21" t="str">
            <v>Kane, John</v>
          </cell>
        </row>
        <row r="22">
          <cell r="A22">
            <v>21</v>
          </cell>
          <cell r="B22" t="str">
            <v>Customer KIDPX</v>
          </cell>
          <cell r="C22" t="str">
            <v>Russo, Giuseppe</v>
          </cell>
        </row>
        <row r="23">
          <cell r="A23">
            <v>22</v>
          </cell>
          <cell r="B23" t="str">
            <v>Customer DTDMN</v>
          </cell>
          <cell r="C23" t="str">
            <v>Bueno, Janaina Burdan, Neville</v>
          </cell>
        </row>
        <row r="24">
          <cell r="A24">
            <v>23</v>
          </cell>
          <cell r="B24" t="str">
            <v>Customer WVFAF</v>
          </cell>
          <cell r="C24" t="str">
            <v>Khanna, Karan</v>
          </cell>
        </row>
        <row r="25">
          <cell r="A25">
            <v>24</v>
          </cell>
          <cell r="B25" t="str">
            <v>Customer CYZTN</v>
          </cell>
          <cell r="C25" t="str">
            <v>San Juan, Patricia</v>
          </cell>
        </row>
        <row r="26">
          <cell r="A26">
            <v>25</v>
          </cell>
          <cell r="B26" t="str">
            <v>Customer AZJED</v>
          </cell>
          <cell r="C26" t="str">
            <v>Carlson, Jason</v>
          </cell>
        </row>
        <row r="27">
          <cell r="A27">
            <v>26</v>
          </cell>
          <cell r="B27" t="str">
            <v>Customer USDBG</v>
          </cell>
          <cell r="C27" t="str">
            <v>Koch, Paul</v>
          </cell>
        </row>
        <row r="28">
          <cell r="A28">
            <v>27</v>
          </cell>
          <cell r="B28" t="str">
            <v>Customer WMFEA</v>
          </cell>
          <cell r="C28" t="str">
            <v>Schmöllerl, Martin</v>
          </cell>
        </row>
        <row r="29">
          <cell r="A29">
            <v>28</v>
          </cell>
          <cell r="B29" t="str">
            <v>Customer XYUFB</v>
          </cell>
          <cell r="C29" t="str">
            <v>Cavaglieri, Giorgio</v>
          </cell>
        </row>
        <row r="30">
          <cell r="A30">
            <v>29</v>
          </cell>
          <cell r="B30" t="str">
            <v>Customer MDLWA</v>
          </cell>
          <cell r="C30" t="str">
            <v>Kolesnikova, Katerina</v>
          </cell>
        </row>
        <row r="31">
          <cell r="A31">
            <v>30</v>
          </cell>
          <cell r="B31" t="str">
            <v>Customer KSLQF</v>
          </cell>
          <cell r="C31" t="str">
            <v>Shabalin, Rostislav</v>
          </cell>
        </row>
        <row r="32">
          <cell r="A32">
            <v>31</v>
          </cell>
          <cell r="B32" t="str">
            <v>Customer YJCBX</v>
          </cell>
          <cell r="C32" t="str">
            <v>Cheng, Yao-Qiang</v>
          </cell>
        </row>
        <row r="33">
          <cell r="A33">
            <v>32</v>
          </cell>
          <cell r="B33" t="str">
            <v>Customer YSIQX</v>
          </cell>
          <cell r="C33" t="str">
            <v>Krishnan, Venky</v>
          </cell>
        </row>
        <row r="34">
          <cell r="A34">
            <v>33</v>
          </cell>
          <cell r="B34" t="str">
            <v>Customer FVXPQ</v>
          </cell>
          <cell r="C34" t="str">
            <v>Sigurdarson, Hallur</v>
          </cell>
        </row>
        <row r="35">
          <cell r="A35">
            <v>34</v>
          </cell>
          <cell r="B35" t="str">
            <v>Customer IBVRG</v>
          </cell>
          <cell r="C35" t="str">
            <v>Cohen, Shy</v>
          </cell>
        </row>
        <row r="36">
          <cell r="A36">
            <v>35</v>
          </cell>
          <cell r="B36" t="str">
            <v>Customer UMTLM</v>
          </cell>
          <cell r="C36" t="str">
            <v>Langohr, Kris</v>
          </cell>
        </row>
        <row r="37">
          <cell r="A37">
            <v>36</v>
          </cell>
          <cell r="B37" t="str">
            <v>Customer LVJSO</v>
          </cell>
          <cell r="C37" t="str">
            <v>Smith, Denise</v>
          </cell>
        </row>
        <row r="38">
          <cell r="A38">
            <v>37</v>
          </cell>
          <cell r="B38" t="str">
            <v>Customer FRXZL</v>
          </cell>
          <cell r="C38" t="str">
            <v>Crăciun, Ovidiu V.</v>
          </cell>
        </row>
        <row r="39">
          <cell r="A39">
            <v>38</v>
          </cell>
          <cell r="B39" t="str">
            <v>Customer LJUCA</v>
          </cell>
          <cell r="C39" t="str">
            <v>Lee, Frank</v>
          </cell>
        </row>
        <row r="40">
          <cell r="A40">
            <v>39</v>
          </cell>
          <cell r="B40" t="str">
            <v>Customer GLLAG</v>
          </cell>
          <cell r="C40" t="str">
            <v>Song, Lolan</v>
          </cell>
        </row>
        <row r="41">
          <cell r="A41">
            <v>40</v>
          </cell>
          <cell r="B41" t="str">
            <v>Customer EFFTC</v>
          </cell>
          <cell r="C41" t="str">
            <v>De Oliveira, Jose</v>
          </cell>
        </row>
        <row r="42">
          <cell r="A42">
            <v>41</v>
          </cell>
          <cell r="B42" t="str">
            <v>Customer XIIWM</v>
          </cell>
          <cell r="C42" t="str">
            <v>Litton, Tim</v>
          </cell>
        </row>
        <row r="43">
          <cell r="A43">
            <v>42</v>
          </cell>
          <cell r="B43" t="str">
            <v>Customer IAIJK</v>
          </cell>
          <cell r="C43" t="str">
            <v>Steiner, Dominik</v>
          </cell>
        </row>
        <row r="44">
          <cell r="A44">
            <v>43</v>
          </cell>
          <cell r="B44" t="str">
            <v>Customer UISOJ</v>
          </cell>
          <cell r="C44" t="str">
            <v>Deshpande, Anu</v>
          </cell>
        </row>
        <row r="45">
          <cell r="A45">
            <v>44</v>
          </cell>
          <cell r="B45" t="str">
            <v>Customer OXFRU</v>
          </cell>
          <cell r="C45" t="str">
            <v>Louverdis, George</v>
          </cell>
        </row>
        <row r="46">
          <cell r="A46">
            <v>45</v>
          </cell>
          <cell r="B46" t="str">
            <v>Customer QXPPT</v>
          </cell>
          <cell r="C46" t="str">
            <v>Sunkammurali, Krishna</v>
          </cell>
        </row>
        <row r="47">
          <cell r="A47">
            <v>46</v>
          </cell>
          <cell r="B47" t="str">
            <v>Customer XPNIK</v>
          </cell>
          <cell r="C47" t="str">
            <v>Dressler, Marlies</v>
          </cell>
        </row>
        <row r="48">
          <cell r="A48">
            <v>47</v>
          </cell>
          <cell r="B48" t="str">
            <v>Customer PSQUZ</v>
          </cell>
          <cell r="C48" t="str">
            <v>Lupu, Cornel</v>
          </cell>
        </row>
        <row r="49">
          <cell r="A49">
            <v>48</v>
          </cell>
          <cell r="B49" t="str">
            <v>Customer DVFMB</v>
          </cell>
          <cell r="C49" t="str">
            <v>Szymczak, Radosław</v>
          </cell>
        </row>
        <row r="50">
          <cell r="A50">
            <v>49</v>
          </cell>
          <cell r="B50" t="str">
            <v>Customer CQRAA</v>
          </cell>
          <cell r="C50" t="str">
            <v>Duerr, Bernard</v>
          </cell>
        </row>
        <row r="51">
          <cell r="A51">
            <v>50</v>
          </cell>
          <cell r="B51" t="str">
            <v>Customer JYPSC</v>
          </cell>
          <cell r="C51" t="str">
            <v>Mace, Donald</v>
          </cell>
        </row>
        <row r="52">
          <cell r="A52">
            <v>51</v>
          </cell>
          <cell r="B52" t="str">
            <v>Customer PVDZC</v>
          </cell>
          <cell r="C52" t="str">
            <v>Taylor, Maurice</v>
          </cell>
        </row>
        <row r="53">
          <cell r="A53">
            <v>52</v>
          </cell>
          <cell r="B53" t="str">
            <v>Customer PZNLA</v>
          </cell>
          <cell r="C53" t="str">
            <v>Dupont-Roc, Patrice</v>
          </cell>
        </row>
        <row r="54">
          <cell r="A54">
            <v>53</v>
          </cell>
          <cell r="B54" t="str">
            <v>Customer GCJSG</v>
          </cell>
          <cell r="C54" t="str">
            <v>Mallit, Ken</v>
          </cell>
        </row>
        <row r="55">
          <cell r="A55">
            <v>54</v>
          </cell>
          <cell r="B55" t="str">
            <v>Customer TDKEG</v>
          </cell>
          <cell r="C55" t="str">
            <v>Tiano, Mike</v>
          </cell>
        </row>
        <row r="56">
          <cell r="A56">
            <v>55</v>
          </cell>
          <cell r="B56" t="str">
            <v>Customer KZQZT</v>
          </cell>
          <cell r="C56" t="str">
            <v>Egelund-Muller, Anja</v>
          </cell>
        </row>
        <row r="57">
          <cell r="A57">
            <v>56</v>
          </cell>
          <cell r="B57" t="str">
            <v>Customer QNIVZ</v>
          </cell>
          <cell r="C57" t="str">
            <v>Marinova, Nadejda</v>
          </cell>
        </row>
        <row r="58">
          <cell r="A58">
            <v>57</v>
          </cell>
          <cell r="B58" t="str">
            <v>Customer WVAXS</v>
          </cell>
          <cell r="C58" t="str">
            <v>Tollevsen, Bjørn</v>
          </cell>
        </row>
        <row r="59">
          <cell r="A59">
            <v>58</v>
          </cell>
          <cell r="B59" t="str">
            <v>Customer AHXHT</v>
          </cell>
          <cell r="C59" t="str">
            <v>Fakhouri, Fadi</v>
          </cell>
        </row>
        <row r="60">
          <cell r="A60">
            <v>59</v>
          </cell>
          <cell r="B60" t="str">
            <v>Customer LOLJO</v>
          </cell>
          <cell r="C60" t="str">
            <v>Meston, Tosh</v>
          </cell>
        </row>
        <row r="61">
          <cell r="A61">
            <v>60</v>
          </cell>
          <cell r="B61" t="str">
            <v>Customer QZURI</v>
          </cell>
          <cell r="C61" t="str">
            <v>Uppal, Sunil</v>
          </cell>
        </row>
        <row r="62">
          <cell r="A62">
            <v>61</v>
          </cell>
          <cell r="B62" t="str">
            <v>Customer WULWD</v>
          </cell>
          <cell r="C62" t="str">
            <v>Florczyk, Krzysztof</v>
          </cell>
        </row>
        <row r="63">
          <cell r="A63">
            <v>62</v>
          </cell>
          <cell r="B63" t="str">
            <v>Customer WFIZJ</v>
          </cell>
          <cell r="C63" t="str">
            <v>Misiec, Anna</v>
          </cell>
        </row>
        <row r="64">
          <cell r="A64">
            <v>63</v>
          </cell>
          <cell r="B64" t="str">
            <v>Customer IRRVL</v>
          </cell>
          <cell r="C64" t="str">
            <v>Veronesi, Giorgio</v>
          </cell>
        </row>
        <row r="65">
          <cell r="A65">
            <v>64</v>
          </cell>
          <cell r="B65" t="str">
            <v>Customer LWGMD</v>
          </cell>
          <cell r="C65" t="str">
            <v>Gaffney, Lawrie</v>
          </cell>
        </row>
        <row r="66">
          <cell r="A66">
            <v>65</v>
          </cell>
          <cell r="B66" t="str">
            <v>Customer NYUHS</v>
          </cell>
          <cell r="C66" t="str">
            <v>Moore, Michael</v>
          </cell>
        </row>
        <row r="67">
          <cell r="A67">
            <v>66</v>
          </cell>
          <cell r="B67" t="str">
            <v>Customer LHANT</v>
          </cell>
          <cell r="C67" t="str">
            <v>Voss, Florian</v>
          </cell>
        </row>
        <row r="68">
          <cell r="A68">
            <v>67</v>
          </cell>
          <cell r="B68" t="str">
            <v>Customer QVEPD</v>
          </cell>
          <cell r="C68" t="str">
            <v>Garden, Euan</v>
          </cell>
        </row>
        <row r="69">
          <cell r="A69">
            <v>68</v>
          </cell>
          <cell r="B69" t="str">
            <v>Customer CCKOT</v>
          </cell>
          <cell r="C69" t="str">
            <v>Myrcha, Jacek</v>
          </cell>
        </row>
        <row r="70">
          <cell r="A70">
            <v>69</v>
          </cell>
          <cell r="B70" t="str">
            <v>Customer SIUIH</v>
          </cell>
          <cell r="C70" t="str">
            <v>Watters, Jason M.</v>
          </cell>
        </row>
        <row r="71">
          <cell r="A71">
            <v>70</v>
          </cell>
          <cell r="B71" t="str">
            <v>Customer TMXGN</v>
          </cell>
          <cell r="C71" t="str">
            <v>Ginters, Kaspars</v>
          </cell>
        </row>
        <row r="72">
          <cell r="A72">
            <v>71</v>
          </cell>
          <cell r="B72" t="str">
            <v>Customer LCOUJ</v>
          </cell>
          <cell r="C72" t="str">
            <v>Navarro, Tomás</v>
          </cell>
        </row>
        <row r="73">
          <cell r="A73">
            <v>72</v>
          </cell>
          <cell r="B73" t="str">
            <v>Customer AHPOP</v>
          </cell>
          <cell r="C73" t="str">
            <v>Welcker, Brian</v>
          </cell>
        </row>
        <row r="74">
          <cell r="A74">
            <v>73</v>
          </cell>
          <cell r="B74" t="str">
            <v>Customer JMIKW</v>
          </cell>
          <cell r="C74" t="str">
            <v>Gonzalez, Nuria</v>
          </cell>
        </row>
        <row r="75">
          <cell r="A75">
            <v>74</v>
          </cell>
          <cell r="B75" t="str">
            <v>Customer YSHXL</v>
          </cell>
          <cell r="C75" t="str">
            <v>O’Brien, Dave</v>
          </cell>
        </row>
        <row r="76">
          <cell r="A76">
            <v>75</v>
          </cell>
          <cell r="B76" t="str">
            <v>Customer XOJYP</v>
          </cell>
          <cell r="C76" t="str">
            <v>Wojciechowska, Agnieszka</v>
          </cell>
        </row>
        <row r="77">
          <cell r="A77">
            <v>76</v>
          </cell>
          <cell r="B77" t="str">
            <v>Customer SFOGW</v>
          </cell>
          <cell r="C77" t="str">
            <v>Gulbis, Katrin</v>
          </cell>
        </row>
        <row r="78">
          <cell r="A78">
            <v>77</v>
          </cell>
          <cell r="B78" t="str">
            <v>Customer LCYBZ</v>
          </cell>
          <cell r="C78" t="str">
            <v>Osorio, Cristian</v>
          </cell>
        </row>
        <row r="79">
          <cell r="A79">
            <v>78</v>
          </cell>
          <cell r="B79" t="str">
            <v>Customer NLTYP</v>
          </cell>
          <cell r="C79" t="str">
            <v>Young, Robin</v>
          </cell>
        </row>
        <row r="80">
          <cell r="A80">
            <v>79</v>
          </cell>
          <cell r="B80" t="str">
            <v>Customer FAPSM</v>
          </cell>
          <cell r="C80" t="str">
            <v>Wickham, Jim</v>
          </cell>
        </row>
        <row r="81">
          <cell r="A81">
            <v>80</v>
          </cell>
          <cell r="B81" t="str">
            <v>Customer VONTK</v>
          </cell>
          <cell r="C81" t="str">
            <v>Geschwandtner, Jens</v>
          </cell>
        </row>
        <row r="82">
          <cell r="A82">
            <v>81</v>
          </cell>
          <cell r="B82" t="str">
            <v>Customer YQQWW</v>
          </cell>
          <cell r="C82" t="str">
            <v>Nagel, Jean-Philippe</v>
          </cell>
        </row>
        <row r="83">
          <cell r="A83">
            <v>82</v>
          </cell>
          <cell r="B83" t="str">
            <v>Customer EYHKM</v>
          </cell>
          <cell r="C83" t="str">
            <v>Veninga, Tjeerd</v>
          </cell>
        </row>
        <row r="84">
          <cell r="A84">
            <v>83</v>
          </cell>
          <cell r="B84" t="str">
            <v>Customer ZRNDE</v>
          </cell>
          <cell r="C84" t="str">
            <v>Fonteneau, Karl</v>
          </cell>
        </row>
        <row r="85">
          <cell r="A85">
            <v>84</v>
          </cell>
          <cell r="B85" t="str">
            <v>Customer NRCSK</v>
          </cell>
          <cell r="C85" t="str">
            <v>Tuntisangaroon, Sittichai</v>
          </cell>
        </row>
        <row r="86">
          <cell r="A86">
            <v>85</v>
          </cell>
          <cell r="B86" t="str">
            <v>Customer ENQZT</v>
          </cell>
          <cell r="C86" t="str">
            <v>McLin, Nkenge</v>
          </cell>
        </row>
        <row r="87">
          <cell r="A87">
            <v>86</v>
          </cell>
          <cell r="B87" t="str">
            <v>Customer SNXOJ</v>
          </cell>
          <cell r="C87" t="str">
            <v>Syamala, Manoj</v>
          </cell>
        </row>
        <row r="88">
          <cell r="A88">
            <v>87</v>
          </cell>
          <cell r="B88" t="str">
            <v>Customer ZHYOS</v>
          </cell>
          <cell r="C88" t="str">
            <v>Ludwig, Michael</v>
          </cell>
        </row>
        <row r="89">
          <cell r="A89">
            <v>88</v>
          </cell>
          <cell r="B89" t="str">
            <v>Customer SRQVM</v>
          </cell>
          <cell r="C89" t="str">
            <v>Li, Yan</v>
          </cell>
        </row>
        <row r="90">
          <cell r="A90">
            <v>89</v>
          </cell>
          <cell r="B90" t="str">
            <v>Customer YBQTI</v>
          </cell>
          <cell r="C90" t="str">
            <v>Smith Jr., Ronaldo</v>
          </cell>
        </row>
        <row r="91">
          <cell r="A91">
            <v>90</v>
          </cell>
          <cell r="B91" t="str">
            <v>Customer XBBVR</v>
          </cell>
          <cell r="C91" t="str">
            <v>Larsson, Katarina</v>
          </cell>
        </row>
        <row r="92">
          <cell r="A92">
            <v>91</v>
          </cell>
          <cell r="B92" t="str">
            <v>Customer CCFIZ</v>
          </cell>
          <cell r="C92" t="str">
            <v>Conn, Steve</v>
          </cell>
        </row>
        <row r="93">
          <cell r="A93">
            <v>91</v>
          </cell>
          <cell r="C93" t="str">
            <v>Owner</v>
          </cell>
        </row>
      </sheetData>
      <sheetData sheetId="6">
        <row r="1">
          <cell r="A1" t="str">
            <v>empid</v>
          </cell>
          <cell r="B1" t="str">
            <v>lastname</v>
          </cell>
          <cell r="C1" t="str">
            <v>firstname</v>
          </cell>
          <cell r="D1" t="str">
            <v>title</v>
          </cell>
          <cell r="E1" t="str">
            <v>titleofcourtesy</v>
          </cell>
          <cell r="F1" t="str">
            <v>birthdate</v>
          </cell>
          <cell r="G1" t="str">
            <v>hiredate</v>
          </cell>
          <cell r="H1" t="str">
            <v>address</v>
          </cell>
          <cell r="I1" t="str">
            <v>city</v>
          </cell>
          <cell r="J1" t="str">
            <v>region</v>
          </cell>
        </row>
        <row r="2">
          <cell r="A2">
            <v>1</v>
          </cell>
          <cell r="B2" t="str">
            <v>Davis</v>
          </cell>
          <cell r="C2" t="str">
            <v>Sara</v>
          </cell>
          <cell r="D2" t="str">
            <v>CEO</v>
          </cell>
          <cell r="E2" t="str">
            <v>Ms.</v>
          </cell>
          <cell r="F2">
            <v>21527</v>
          </cell>
          <cell r="G2">
            <v>37377</v>
          </cell>
          <cell r="H2" t="str">
            <v>7890 - 20th Ave. E., Apt. 2A</v>
          </cell>
          <cell r="I2" t="str">
            <v>Seattle</v>
          </cell>
          <cell r="J2" t="str">
            <v>WA</v>
          </cell>
        </row>
        <row r="3">
          <cell r="A3">
            <v>2</v>
          </cell>
          <cell r="B3" t="str">
            <v>Funk</v>
          </cell>
          <cell r="C3" t="str">
            <v>Don</v>
          </cell>
          <cell r="D3" t="str">
            <v>Vice President, Sales</v>
          </cell>
          <cell r="E3" t="str">
            <v>Dr.</v>
          </cell>
          <cell r="F3">
            <v>22696</v>
          </cell>
          <cell r="G3">
            <v>37482</v>
          </cell>
          <cell r="H3" t="str">
            <v>9012 W. Capital Way</v>
          </cell>
          <cell r="I3" t="str">
            <v>Tacoma</v>
          </cell>
          <cell r="J3" t="str">
            <v>WA</v>
          </cell>
        </row>
        <row r="4">
          <cell r="A4">
            <v>3</v>
          </cell>
          <cell r="B4" t="str">
            <v>Lew</v>
          </cell>
          <cell r="C4" t="str">
            <v>Judy</v>
          </cell>
          <cell r="D4" t="str">
            <v>Sales Manager</v>
          </cell>
          <cell r="E4" t="str">
            <v>Ms.</v>
          </cell>
          <cell r="F4">
            <v>26906</v>
          </cell>
          <cell r="G4">
            <v>37347</v>
          </cell>
          <cell r="H4" t="str">
            <v>2345 Moss Bay Blvd.</v>
          </cell>
          <cell r="I4" t="str">
            <v>Kirkland</v>
          </cell>
          <cell r="J4" t="str">
            <v>WA</v>
          </cell>
        </row>
        <row r="5">
          <cell r="A5">
            <v>4</v>
          </cell>
          <cell r="B5" t="str">
            <v>Peled</v>
          </cell>
          <cell r="C5" t="str">
            <v>Yael</v>
          </cell>
          <cell r="D5" t="str">
            <v>Sales Representative</v>
          </cell>
          <cell r="E5" t="str">
            <v>Mrs.</v>
          </cell>
          <cell r="F5">
            <v>17429</v>
          </cell>
          <cell r="G5">
            <v>37744</v>
          </cell>
          <cell r="H5" t="str">
            <v>5678 Old Redmond Rd.</v>
          </cell>
          <cell r="I5" t="str">
            <v>Redmond</v>
          </cell>
          <cell r="J5" t="str">
            <v>WA</v>
          </cell>
        </row>
        <row r="6">
          <cell r="A6">
            <v>5</v>
          </cell>
          <cell r="B6" t="str">
            <v>Buck</v>
          </cell>
          <cell r="C6" t="str">
            <v>Sven</v>
          </cell>
          <cell r="D6" t="str">
            <v>Sales Manager</v>
          </cell>
          <cell r="E6" t="str">
            <v>Mr.</v>
          </cell>
          <cell r="F6">
            <v>23805</v>
          </cell>
          <cell r="G6">
            <v>37911</v>
          </cell>
          <cell r="H6" t="str">
            <v>8901 Garrett Hill</v>
          </cell>
          <cell r="I6" t="str">
            <v>London</v>
          </cell>
        </row>
        <row r="7">
          <cell r="A7">
            <v>6</v>
          </cell>
          <cell r="B7" t="str">
            <v>Suurs</v>
          </cell>
          <cell r="C7" t="str">
            <v>Paul</v>
          </cell>
          <cell r="D7" t="str">
            <v>Sales Representative</v>
          </cell>
          <cell r="E7" t="str">
            <v>Mr.</v>
          </cell>
          <cell r="F7">
            <v>26847</v>
          </cell>
          <cell r="G7">
            <v>37911</v>
          </cell>
          <cell r="H7" t="str">
            <v>3456 Coventry House, Miner Rd.</v>
          </cell>
          <cell r="I7" t="str">
            <v>London</v>
          </cell>
        </row>
        <row r="8">
          <cell r="A8">
            <v>7</v>
          </cell>
          <cell r="B8" t="str">
            <v>King</v>
          </cell>
          <cell r="C8" t="str">
            <v>Russell</v>
          </cell>
          <cell r="D8" t="str">
            <v>Sales Representative</v>
          </cell>
          <cell r="E8" t="str">
            <v>Mr.</v>
          </cell>
          <cell r="F8">
            <v>25717</v>
          </cell>
          <cell r="G8">
            <v>37988</v>
          </cell>
          <cell r="H8" t="str">
            <v>6789 Edgeham Hollow, Winchester Way</v>
          </cell>
          <cell r="I8" t="str">
            <v>London</v>
          </cell>
        </row>
        <row r="9">
          <cell r="A9">
            <v>8</v>
          </cell>
          <cell r="B9" t="str">
            <v>Cameron</v>
          </cell>
          <cell r="C9" t="str">
            <v>Maria</v>
          </cell>
          <cell r="D9" t="str">
            <v>Sales Representative</v>
          </cell>
          <cell r="E9" t="str">
            <v>Ms.</v>
          </cell>
          <cell r="F9">
            <v>24846</v>
          </cell>
          <cell r="G9">
            <v>38051</v>
          </cell>
          <cell r="H9" t="str">
            <v>4567 - 11th Ave. N.E.</v>
          </cell>
          <cell r="I9" t="str">
            <v>Seattle</v>
          </cell>
          <cell r="J9" t="str">
            <v>WA</v>
          </cell>
        </row>
        <row r="10">
          <cell r="A10">
            <v>9</v>
          </cell>
          <cell r="B10" t="str">
            <v>Dolgopyatova</v>
          </cell>
          <cell r="C10" t="str">
            <v>Zoya</v>
          </cell>
          <cell r="D10" t="str">
            <v>Sales Representative</v>
          </cell>
          <cell r="E10" t="str">
            <v>Ms.</v>
          </cell>
          <cell r="F10">
            <v>27786</v>
          </cell>
          <cell r="G10">
            <v>38306</v>
          </cell>
          <cell r="H10" t="str">
            <v>1234 Houndstooth Rd.</v>
          </cell>
          <cell r="I10" t="str">
            <v>London</v>
          </cell>
        </row>
      </sheetData>
      <sheetData sheetId="7"/>
      <sheetData sheetId="8">
        <row r="1">
          <cell r="A1" t="str">
            <v>productid</v>
          </cell>
          <cell r="B1" t="str">
            <v>productname</v>
          </cell>
          <cell r="C1" t="str">
            <v>supplierid</v>
          </cell>
          <cell r="D1" t="str">
            <v>categoryid</v>
          </cell>
        </row>
        <row r="2">
          <cell r="A2">
            <v>1</v>
          </cell>
          <cell r="B2" t="str">
            <v>Product HHYDP</v>
          </cell>
          <cell r="C2">
            <v>1</v>
          </cell>
          <cell r="D2">
            <v>1</v>
          </cell>
        </row>
        <row r="3">
          <cell r="A3">
            <v>2</v>
          </cell>
          <cell r="B3" t="str">
            <v>Product RECZE</v>
          </cell>
          <cell r="C3">
            <v>1</v>
          </cell>
          <cell r="D3">
            <v>1</v>
          </cell>
        </row>
        <row r="4">
          <cell r="A4">
            <v>3</v>
          </cell>
          <cell r="B4" t="str">
            <v>Product IMEHJ</v>
          </cell>
          <cell r="C4">
            <v>1</v>
          </cell>
          <cell r="D4">
            <v>2</v>
          </cell>
        </row>
        <row r="5">
          <cell r="A5">
            <v>4</v>
          </cell>
          <cell r="B5" t="str">
            <v>Product KSBRM</v>
          </cell>
          <cell r="C5">
            <v>2</v>
          </cell>
          <cell r="D5">
            <v>2</v>
          </cell>
        </row>
        <row r="6">
          <cell r="A6">
            <v>5</v>
          </cell>
          <cell r="B6" t="str">
            <v>Product EPEIM</v>
          </cell>
          <cell r="C6">
            <v>2</v>
          </cell>
          <cell r="D6">
            <v>2</v>
          </cell>
        </row>
        <row r="7">
          <cell r="A7">
            <v>6</v>
          </cell>
          <cell r="B7" t="str">
            <v>Product VAIIV</v>
          </cell>
          <cell r="C7">
            <v>3</v>
          </cell>
          <cell r="D7">
            <v>2</v>
          </cell>
        </row>
        <row r="8">
          <cell r="A8">
            <v>7</v>
          </cell>
          <cell r="B8" t="str">
            <v>Product HMLNI</v>
          </cell>
          <cell r="C8">
            <v>3</v>
          </cell>
          <cell r="D8">
            <v>7</v>
          </cell>
        </row>
        <row r="9">
          <cell r="A9">
            <v>8</v>
          </cell>
          <cell r="B9" t="str">
            <v>Product WVJFP</v>
          </cell>
          <cell r="C9">
            <v>3</v>
          </cell>
          <cell r="D9">
            <v>2</v>
          </cell>
        </row>
        <row r="10">
          <cell r="A10">
            <v>9</v>
          </cell>
          <cell r="B10" t="str">
            <v>Product AOZBW</v>
          </cell>
          <cell r="C10">
            <v>4</v>
          </cell>
          <cell r="D10">
            <v>6</v>
          </cell>
        </row>
        <row r="11">
          <cell r="A11">
            <v>10</v>
          </cell>
          <cell r="B11" t="str">
            <v>Product YHXGE</v>
          </cell>
          <cell r="C11">
            <v>4</v>
          </cell>
          <cell r="D11">
            <v>8</v>
          </cell>
        </row>
        <row r="12">
          <cell r="A12">
            <v>11</v>
          </cell>
          <cell r="B12" t="str">
            <v>Product QMVUN</v>
          </cell>
          <cell r="C12">
            <v>5</v>
          </cell>
          <cell r="D12">
            <v>4</v>
          </cell>
        </row>
        <row r="13">
          <cell r="A13">
            <v>12</v>
          </cell>
          <cell r="B13" t="str">
            <v>Product OSFNS</v>
          </cell>
          <cell r="C13">
            <v>5</v>
          </cell>
          <cell r="D13">
            <v>4</v>
          </cell>
        </row>
        <row r="14">
          <cell r="A14">
            <v>13</v>
          </cell>
          <cell r="B14" t="str">
            <v>Product POXFU</v>
          </cell>
          <cell r="C14">
            <v>6</v>
          </cell>
          <cell r="D14">
            <v>8</v>
          </cell>
        </row>
        <row r="15">
          <cell r="A15">
            <v>14</v>
          </cell>
          <cell r="B15" t="str">
            <v>Product PWCJB</v>
          </cell>
          <cell r="C15">
            <v>6</v>
          </cell>
          <cell r="D15">
            <v>7</v>
          </cell>
        </row>
        <row r="16">
          <cell r="A16">
            <v>15</v>
          </cell>
          <cell r="B16" t="str">
            <v>Product KSZOI</v>
          </cell>
          <cell r="C16">
            <v>6</v>
          </cell>
          <cell r="D16">
            <v>2</v>
          </cell>
        </row>
        <row r="17">
          <cell r="A17">
            <v>16</v>
          </cell>
          <cell r="B17" t="str">
            <v>Product PAFRH</v>
          </cell>
          <cell r="C17">
            <v>7</v>
          </cell>
          <cell r="D17">
            <v>3</v>
          </cell>
        </row>
        <row r="18">
          <cell r="A18">
            <v>17</v>
          </cell>
          <cell r="B18" t="str">
            <v>Product BLCAX</v>
          </cell>
          <cell r="C18">
            <v>7</v>
          </cell>
          <cell r="D18">
            <v>6</v>
          </cell>
        </row>
        <row r="19">
          <cell r="A19">
            <v>18</v>
          </cell>
          <cell r="B19" t="str">
            <v>Product CKEDC</v>
          </cell>
          <cell r="C19">
            <v>7</v>
          </cell>
          <cell r="D19">
            <v>8</v>
          </cell>
        </row>
        <row r="20">
          <cell r="A20">
            <v>19</v>
          </cell>
          <cell r="B20" t="str">
            <v>Product XKXDO</v>
          </cell>
          <cell r="C20">
            <v>8</v>
          </cell>
          <cell r="D20">
            <v>3</v>
          </cell>
        </row>
        <row r="21">
          <cell r="A21">
            <v>20</v>
          </cell>
          <cell r="B21" t="str">
            <v>Product QHFFP</v>
          </cell>
          <cell r="C21">
            <v>8</v>
          </cell>
          <cell r="D21">
            <v>3</v>
          </cell>
        </row>
        <row r="22">
          <cell r="A22">
            <v>21</v>
          </cell>
          <cell r="B22" t="str">
            <v>Product VJZZH</v>
          </cell>
          <cell r="C22">
            <v>8</v>
          </cell>
          <cell r="D22">
            <v>3</v>
          </cell>
        </row>
        <row r="23">
          <cell r="A23">
            <v>22</v>
          </cell>
          <cell r="B23" t="str">
            <v>Product CPHFY</v>
          </cell>
          <cell r="C23">
            <v>9</v>
          </cell>
          <cell r="D23">
            <v>5</v>
          </cell>
        </row>
        <row r="24">
          <cell r="A24">
            <v>23</v>
          </cell>
          <cell r="B24" t="str">
            <v>Product JLUDZ</v>
          </cell>
          <cell r="C24">
            <v>9</v>
          </cell>
          <cell r="D24">
            <v>5</v>
          </cell>
        </row>
        <row r="25">
          <cell r="A25">
            <v>24</v>
          </cell>
          <cell r="B25" t="str">
            <v>Product QOGNU</v>
          </cell>
          <cell r="C25">
            <v>10</v>
          </cell>
          <cell r="D25">
            <v>1</v>
          </cell>
        </row>
        <row r="26">
          <cell r="A26">
            <v>25</v>
          </cell>
          <cell r="B26" t="str">
            <v>Product LYLNI</v>
          </cell>
          <cell r="C26">
            <v>11</v>
          </cell>
          <cell r="D26">
            <v>3</v>
          </cell>
        </row>
        <row r="27">
          <cell r="A27">
            <v>26</v>
          </cell>
          <cell r="B27" t="str">
            <v>Product HLGZA</v>
          </cell>
          <cell r="C27">
            <v>11</v>
          </cell>
          <cell r="D27">
            <v>3</v>
          </cell>
        </row>
        <row r="28">
          <cell r="A28">
            <v>27</v>
          </cell>
          <cell r="B28" t="str">
            <v>Product SMIOH</v>
          </cell>
          <cell r="C28">
            <v>11</v>
          </cell>
          <cell r="D28">
            <v>3</v>
          </cell>
        </row>
        <row r="29">
          <cell r="A29">
            <v>28</v>
          </cell>
          <cell r="B29" t="str">
            <v>Product OFBNT</v>
          </cell>
          <cell r="C29">
            <v>12</v>
          </cell>
          <cell r="D29">
            <v>7</v>
          </cell>
        </row>
        <row r="30">
          <cell r="A30">
            <v>29</v>
          </cell>
          <cell r="B30" t="str">
            <v>Product VJXYN</v>
          </cell>
          <cell r="C30">
            <v>12</v>
          </cell>
          <cell r="D30">
            <v>6</v>
          </cell>
        </row>
        <row r="31">
          <cell r="A31">
            <v>30</v>
          </cell>
          <cell r="B31" t="str">
            <v>Product LYERX</v>
          </cell>
          <cell r="C31">
            <v>13</v>
          </cell>
          <cell r="D31">
            <v>8</v>
          </cell>
        </row>
        <row r="32">
          <cell r="A32">
            <v>31</v>
          </cell>
          <cell r="B32" t="str">
            <v>Product XWOXC</v>
          </cell>
          <cell r="C32">
            <v>14</v>
          </cell>
          <cell r="D32">
            <v>4</v>
          </cell>
        </row>
        <row r="33">
          <cell r="A33">
            <v>32</v>
          </cell>
          <cell r="B33" t="str">
            <v>Product NUNAW</v>
          </cell>
          <cell r="C33">
            <v>14</v>
          </cell>
          <cell r="D33">
            <v>4</v>
          </cell>
        </row>
        <row r="34">
          <cell r="A34">
            <v>33</v>
          </cell>
          <cell r="B34" t="str">
            <v>Product ASTMN</v>
          </cell>
          <cell r="C34">
            <v>15</v>
          </cell>
          <cell r="D34">
            <v>4</v>
          </cell>
        </row>
        <row r="35">
          <cell r="A35">
            <v>34</v>
          </cell>
          <cell r="B35" t="str">
            <v>Product SWNJY</v>
          </cell>
          <cell r="C35">
            <v>16</v>
          </cell>
          <cell r="D35">
            <v>1</v>
          </cell>
        </row>
        <row r="36">
          <cell r="A36">
            <v>35</v>
          </cell>
          <cell r="B36" t="str">
            <v>Product NEVTJ</v>
          </cell>
          <cell r="C36">
            <v>16</v>
          </cell>
          <cell r="D36">
            <v>1</v>
          </cell>
        </row>
        <row r="37">
          <cell r="A37">
            <v>36</v>
          </cell>
          <cell r="B37" t="str">
            <v>Product GMKIJ</v>
          </cell>
          <cell r="C37">
            <v>17</v>
          </cell>
          <cell r="D37">
            <v>8</v>
          </cell>
        </row>
        <row r="38">
          <cell r="A38">
            <v>37</v>
          </cell>
          <cell r="B38" t="str">
            <v>Product EVFFA</v>
          </cell>
          <cell r="C38">
            <v>17</v>
          </cell>
          <cell r="D38">
            <v>8</v>
          </cell>
        </row>
        <row r="39">
          <cell r="A39">
            <v>38</v>
          </cell>
          <cell r="B39" t="str">
            <v>Product QDOMO</v>
          </cell>
          <cell r="C39">
            <v>18</v>
          </cell>
          <cell r="D39">
            <v>1</v>
          </cell>
        </row>
        <row r="40">
          <cell r="A40">
            <v>39</v>
          </cell>
          <cell r="B40" t="str">
            <v>Product LSOFL</v>
          </cell>
          <cell r="C40">
            <v>18</v>
          </cell>
          <cell r="D40">
            <v>1</v>
          </cell>
        </row>
        <row r="41">
          <cell r="A41">
            <v>40</v>
          </cell>
          <cell r="B41" t="str">
            <v>Product YZIXQ</v>
          </cell>
          <cell r="C41">
            <v>19</v>
          </cell>
          <cell r="D41">
            <v>8</v>
          </cell>
        </row>
        <row r="42">
          <cell r="A42">
            <v>41</v>
          </cell>
          <cell r="B42" t="str">
            <v>Product TTEEX</v>
          </cell>
          <cell r="C42">
            <v>19</v>
          </cell>
          <cell r="D42">
            <v>8</v>
          </cell>
        </row>
        <row r="43">
          <cell r="A43">
            <v>42</v>
          </cell>
          <cell r="B43" t="str">
            <v>Product RJVNM</v>
          </cell>
          <cell r="C43">
            <v>20</v>
          </cell>
          <cell r="D43">
            <v>5</v>
          </cell>
        </row>
        <row r="44">
          <cell r="A44">
            <v>43</v>
          </cell>
          <cell r="B44" t="str">
            <v>Product ZZZHR</v>
          </cell>
          <cell r="C44">
            <v>20</v>
          </cell>
          <cell r="D44">
            <v>1</v>
          </cell>
        </row>
        <row r="45">
          <cell r="A45">
            <v>44</v>
          </cell>
          <cell r="B45" t="str">
            <v>Product VJIEO</v>
          </cell>
          <cell r="C45">
            <v>20</v>
          </cell>
          <cell r="D45">
            <v>2</v>
          </cell>
        </row>
        <row r="46">
          <cell r="A46">
            <v>45</v>
          </cell>
          <cell r="B46" t="str">
            <v>Product AQOKR</v>
          </cell>
          <cell r="C46">
            <v>21</v>
          </cell>
          <cell r="D46">
            <v>8</v>
          </cell>
        </row>
        <row r="47">
          <cell r="A47">
            <v>46</v>
          </cell>
          <cell r="B47" t="str">
            <v>Product CBRRL</v>
          </cell>
          <cell r="C47">
            <v>21</v>
          </cell>
          <cell r="D47">
            <v>8</v>
          </cell>
        </row>
        <row r="48">
          <cell r="A48">
            <v>47</v>
          </cell>
          <cell r="B48" t="str">
            <v>Product EZZPR</v>
          </cell>
          <cell r="C48">
            <v>22</v>
          </cell>
          <cell r="D48">
            <v>3</v>
          </cell>
        </row>
        <row r="49">
          <cell r="A49">
            <v>48</v>
          </cell>
          <cell r="B49" t="str">
            <v>Product MYNXN</v>
          </cell>
          <cell r="C49">
            <v>22</v>
          </cell>
          <cell r="D49">
            <v>3</v>
          </cell>
        </row>
        <row r="50">
          <cell r="A50">
            <v>49</v>
          </cell>
          <cell r="B50" t="str">
            <v>Product FPYPN</v>
          </cell>
          <cell r="C50">
            <v>23</v>
          </cell>
          <cell r="D50">
            <v>3</v>
          </cell>
        </row>
        <row r="51">
          <cell r="A51">
            <v>50</v>
          </cell>
          <cell r="B51" t="str">
            <v>Product BIUDV</v>
          </cell>
          <cell r="C51">
            <v>23</v>
          </cell>
          <cell r="D51">
            <v>3</v>
          </cell>
        </row>
        <row r="52">
          <cell r="A52">
            <v>51</v>
          </cell>
          <cell r="B52" t="str">
            <v>Product APITJ</v>
          </cell>
          <cell r="C52">
            <v>24</v>
          </cell>
          <cell r="D52">
            <v>7</v>
          </cell>
        </row>
        <row r="53">
          <cell r="A53">
            <v>52</v>
          </cell>
          <cell r="B53" t="str">
            <v>Product QSRXF</v>
          </cell>
          <cell r="C53">
            <v>24</v>
          </cell>
          <cell r="D53">
            <v>5</v>
          </cell>
        </row>
        <row r="54">
          <cell r="A54">
            <v>53</v>
          </cell>
          <cell r="B54" t="str">
            <v>Product BKGEA</v>
          </cell>
          <cell r="C54">
            <v>24</v>
          </cell>
          <cell r="D54">
            <v>6</v>
          </cell>
        </row>
        <row r="55">
          <cell r="A55">
            <v>54</v>
          </cell>
          <cell r="B55" t="str">
            <v>Product QAQRL</v>
          </cell>
          <cell r="C55">
            <v>25</v>
          </cell>
          <cell r="D55">
            <v>6</v>
          </cell>
        </row>
        <row r="56">
          <cell r="A56">
            <v>55</v>
          </cell>
          <cell r="B56" t="str">
            <v>Product YYWRT</v>
          </cell>
          <cell r="C56">
            <v>25</v>
          </cell>
          <cell r="D56">
            <v>6</v>
          </cell>
        </row>
        <row r="57">
          <cell r="A57">
            <v>56</v>
          </cell>
          <cell r="B57" t="str">
            <v>Product VKCMF</v>
          </cell>
          <cell r="C57">
            <v>26</v>
          </cell>
          <cell r="D57">
            <v>5</v>
          </cell>
        </row>
        <row r="58">
          <cell r="A58">
            <v>57</v>
          </cell>
          <cell r="B58" t="str">
            <v>Product OVLQI</v>
          </cell>
          <cell r="C58">
            <v>26</v>
          </cell>
          <cell r="D58">
            <v>5</v>
          </cell>
        </row>
        <row r="59">
          <cell r="A59">
            <v>58</v>
          </cell>
          <cell r="B59" t="str">
            <v>Product ACRVI</v>
          </cell>
          <cell r="C59">
            <v>27</v>
          </cell>
          <cell r="D59">
            <v>8</v>
          </cell>
        </row>
        <row r="60">
          <cell r="A60">
            <v>59</v>
          </cell>
          <cell r="B60" t="str">
            <v>Product UKXRI</v>
          </cell>
          <cell r="C60">
            <v>28</v>
          </cell>
          <cell r="D60">
            <v>4</v>
          </cell>
        </row>
        <row r="61">
          <cell r="A61">
            <v>60</v>
          </cell>
          <cell r="B61" t="str">
            <v>Product WHBYK</v>
          </cell>
          <cell r="C61">
            <v>28</v>
          </cell>
          <cell r="D61">
            <v>4</v>
          </cell>
        </row>
        <row r="62">
          <cell r="A62">
            <v>61</v>
          </cell>
          <cell r="B62" t="str">
            <v>Product XYZPE</v>
          </cell>
          <cell r="C62">
            <v>29</v>
          </cell>
          <cell r="D62">
            <v>2</v>
          </cell>
        </row>
        <row r="63">
          <cell r="A63">
            <v>62</v>
          </cell>
          <cell r="B63" t="str">
            <v>Product WUXYK</v>
          </cell>
          <cell r="C63">
            <v>29</v>
          </cell>
          <cell r="D63">
            <v>3</v>
          </cell>
        </row>
        <row r="64">
          <cell r="A64">
            <v>63</v>
          </cell>
          <cell r="B64" t="str">
            <v>Product ICKNK</v>
          </cell>
          <cell r="C64">
            <v>7</v>
          </cell>
          <cell r="D64">
            <v>2</v>
          </cell>
        </row>
        <row r="65">
          <cell r="A65">
            <v>64</v>
          </cell>
          <cell r="B65" t="str">
            <v>Product HCQDE</v>
          </cell>
          <cell r="C65">
            <v>12</v>
          </cell>
          <cell r="D65">
            <v>5</v>
          </cell>
        </row>
        <row r="66">
          <cell r="A66">
            <v>65</v>
          </cell>
          <cell r="B66" t="str">
            <v>Product XYWBZ</v>
          </cell>
          <cell r="C66">
            <v>2</v>
          </cell>
          <cell r="D66">
            <v>2</v>
          </cell>
        </row>
        <row r="67">
          <cell r="A67">
            <v>66</v>
          </cell>
          <cell r="B67" t="str">
            <v>Product LQMGN</v>
          </cell>
          <cell r="C67">
            <v>2</v>
          </cell>
          <cell r="D67">
            <v>2</v>
          </cell>
        </row>
        <row r="68">
          <cell r="A68">
            <v>67</v>
          </cell>
          <cell r="B68" t="str">
            <v>Product XLXQF</v>
          </cell>
          <cell r="C68">
            <v>16</v>
          </cell>
          <cell r="D68">
            <v>1</v>
          </cell>
        </row>
        <row r="69">
          <cell r="A69">
            <v>68</v>
          </cell>
          <cell r="B69" t="str">
            <v>Product TBTBL</v>
          </cell>
          <cell r="C69">
            <v>8</v>
          </cell>
          <cell r="D69">
            <v>3</v>
          </cell>
        </row>
        <row r="70">
          <cell r="A70">
            <v>69</v>
          </cell>
          <cell r="B70" t="str">
            <v>Product COAXA</v>
          </cell>
          <cell r="C70">
            <v>15</v>
          </cell>
          <cell r="D70">
            <v>4</v>
          </cell>
        </row>
        <row r="71">
          <cell r="A71">
            <v>70</v>
          </cell>
          <cell r="B71" t="str">
            <v>Product TOONT</v>
          </cell>
          <cell r="C71">
            <v>7</v>
          </cell>
          <cell r="D71">
            <v>1</v>
          </cell>
        </row>
        <row r="72">
          <cell r="A72">
            <v>71</v>
          </cell>
          <cell r="B72" t="str">
            <v>Product MYMOI</v>
          </cell>
          <cell r="C72">
            <v>15</v>
          </cell>
          <cell r="D72">
            <v>4</v>
          </cell>
        </row>
        <row r="73">
          <cell r="A73">
            <v>72</v>
          </cell>
          <cell r="B73" t="str">
            <v>Product GEEOO</v>
          </cell>
          <cell r="C73">
            <v>14</v>
          </cell>
          <cell r="D73">
            <v>4</v>
          </cell>
        </row>
        <row r="74">
          <cell r="A74">
            <v>73</v>
          </cell>
          <cell r="B74" t="str">
            <v>Product WEUJZ</v>
          </cell>
          <cell r="C74">
            <v>17</v>
          </cell>
          <cell r="D74">
            <v>8</v>
          </cell>
        </row>
        <row r="75">
          <cell r="A75">
            <v>74</v>
          </cell>
          <cell r="B75" t="str">
            <v>Product BKAZJ</v>
          </cell>
          <cell r="C75">
            <v>4</v>
          </cell>
          <cell r="D75">
            <v>7</v>
          </cell>
        </row>
        <row r="76">
          <cell r="A76">
            <v>75</v>
          </cell>
          <cell r="B76" t="str">
            <v>Product BWRLG</v>
          </cell>
          <cell r="C76">
            <v>12</v>
          </cell>
          <cell r="D76">
            <v>1</v>
          </cell>
        </row>
        <row r="77">
          <cell r="A77">
            <v>76</v>
          </cell>
          <cell r="B77" t="str">
            <v>Product JYGFE</v>
          </cell>
          <cell r="C77">
            <v>23</v>
          </cell>
          <cell r="D77">
            <v>1</v>
          </cell>
        </row>
        <row r="78">
          <cell r="A78">
            <v>77</v>
          </cell>
          <cell r="B78" t="str">
            <v>Product LUNZZ</v>
          </cell>
          <cell r="C78">
            <v>12</v>
          </cell>
          <cell r="D78">
            <v>2</v>
          </cell>
        </row>
      </sheetData>
      <sheetData sheetId="9"/>
      <sheetData sheetId="10">
        <row r="1">
          <cell r="A1" t="str">
            <v>shipperid</v>
          </cell>
          <cell r="B1" t="str">
            <v>companyname</v>
          </cell>
        </row>
        <row r="2">
          <cell r="A2">
            <v>1</v>
          </cell>
          <cell r="B2" t="str">
            <v>Shipper GVSUA</v>
          </cell>
        </row>
        <row r="3">
          <cell r="A3">
            <v>2</v>
          </cell>
          <cell r="B3" t="str">
            <v>Shipper ETYNR</v>
          </cell>
        </row>
        <row r="4">
          <cell r="A4">
            <v>3</v>
          </cell>
          <cell r="B4" t="str">
            <v>Shipper ZHISN</v>
          </cell>
        </row>
      </sheetData>
      <sheetData sheetId="11">
        <row r="1">
          <cell r="A1" t="str">
            <v>supplierid</v>
          </cell>
          <cell r="B1" t="str">
            <v>companyname</v>
          </cell>
          <cell r="C1" t="str">
            <v>contactname</v>
          </cell>
          <cell r="D1" t="str">
            <v>contacttitle</v>
          </cell>
          <cell r="E1" t="str">
            <v>address</v>
          </cell>
          <cell r="F1" t="str">
            <v>city</v>
          </cell>
          <cell r="G1" t="str">
            <v>region</v>
          </cell>
          <cell r="H1" t="str">
            <v>postalcode</v>
          </cell>
          <cell r="I1" t="str">
            <v>country</v>
          </cell>
        </row>
        <row r="2">
          <cell r="A2">
            <v>1</v>
          </cell>
          <cell r="B2" t="str">
            <v>Supplier SWRXU</v>
          </cell>
          <cell r="C2" t="str">
            <v>Adolphi, Stephan</v>
          </cell>
          <cell r="D2" t="str">
            <v>Purchasing Manager</v>
          </cell>
          <cell r="E2" t="str">
            <v>2345 Gilbert St.</v>
          </cell>
          <cell r="F2" t="str">
            <v>London</v>
          </cell>
          <cell r="H2">
            <v>10023</v>
          </cell>
          <cell r="I2" t="str">
            <v>UK</v>
          </cell>
        </row>
        <row r="3">
          <cell r="A3">
            <v>2</v>
          </cell>
          <cell r="B3" t="str">
            <v>Supplier VHQZD</v>
          </cell>
          <cell r="C3" t="str">
            <v>Hance, Jim</v>
          </cell>
          <cell r="D3" t="str">
            <v>Order Administrator</v>
          </cell>
          <cell r="E3" t="str">
            <v>P.O. Box 5678</v>
          </cell>
          <cell r="F3" t="str">
            <v>New Orleans</v>
          </cell>
          <cell r="G3" t="str">
            <v>LA</v>
          </cell>
          <cell r="H3">
            <v>10013</v>
          </cell>
          <cell r="I3" t="str">
            <v>USA</v>
          </cell>
        </row>
        <row r="4">
          <cell r="A4">
            <v>3</v>
          </cell>
          <cell r="B4" t="str">
            <v>Supplier STUAZ</v>
          </cell>
          <cell r="C4" t="str">
            <v>Parovszky, Alfons</v>
          </cell>
          <cell r="D4" t="str">
            <v>Sales Representative</v>
          </cell>
          <cell r="E4" t="str">
            <v>1234 Oxford Rd.</v>
          </cell>
          <cell r="F4" t="str">
            <v>Ann Arbor</v>
          </cell>
          <cell r="G4" t="str">
            <v>MI</v>
          </cell>
          <cell r="H4">
            <v>10026</v>
          </cell>
          <cell r="I4" t="str">
            <v>USA</v>
          </cell>
        </row>
        <row r="5">
          <cell r="A5">
            <v>4</v>
          </cell>
          <cell r="B5" t="str">
            <v>Supplier QOVFD</v>
          </cell>
          <cell r="C5" t="str">
            <v>Balázs, Erzsébet</v>
          </cell>
          <cell r="D5" t="str">
            <v>Marketing Manager</v>
          </cell>
          <cell r="E5" t="str">
            <v>7890 Sekimai Musashino-shi</v>
          </cell>
          <cell r="F5" t="str">
            <v>Tokyo</v>
          </cell>
          <cell r="H5">
            <v>10011</v>
          </cell>
          <cell r="I5" t="str">
            <v>Japan</v>
          </cell>
        </row>
        <row r="6">
          <cell r="A6">
            <v>5</v>
          </cell>
          <cell r="B6" t="str">
            <v>Supplier EQPNC</v>
          </cell>
          <cell r="C6" t="str">
            <v>Holm, Michael</v>
          </cell>
          <cell r="D6" t="str">
            <v>Export Administrator</v>
          </cell>
          <cell r="E6" t="str">
            <v>Calle del Rosal 4567</v>
          </cell>
          <cell r="F6" t="str">
            <v>Oviedo</v>
          </cell>
          <cell r="G6" t="str">
            <v>Asturias</v>
          </cell>
          <cell r="H6">
            <v>10029</v>
          </cell>
          <cell r="I6" t="str">
            <v>Spain</v>
          </cell>
        </row>
        <row r="7">
          <cell r="A7">
            <v>6</v>
          </cell>
          <cell r="B7" t="str">
            <v>Supplier QWUSF</v>
          </cell>
          <cell r="C7" t="str">
            <v>Popkova, Darya</v>
          </cell>
          <cell r="D7" t="str">
            <v>Marketing Representative</v>
          </cell>
          <cell r="E7" t="str">
            <v>8901 Setsuko Chuo-ku</v>
          </cell>
          <cell r="F7" t="str">
            <v>Osaka</v>
          </cell>
          <cell r="H7">
            <v>10028</v>
          </cell>
          <cell r="I7" t="str">
            <v>Japan</v>
          </cell>
        </row>
        <row r="8">
          <cell r="A8">
            <v>7</v>
          </cell>
          <cell r="B8" t="str">
            <v>Supplier GQRCV</v>
          </cell>
          <cell r="C8" t="str">
            <v>Ræbild, Jesper</v>
          </cell>
          <cell r="D8" t="str">
            <v>Marketing Manager</v>
          </cell>
          <cell r="E8" t="str">
            <v>5678 Rose St. Moonie Ponds</v>
          </cell>
          <cell r="F8" t="str">
            <v>Melbourne</v>
          </cell>
          <cell r="G8" t="str">
            <v>Victoria</v>
          </cell>
          <cell r="H8">
            <v>10018</v>
          </cell>
          <cell r="I8" t="str">
            <v>Australia</v>
          </cell>
        </row>
        <row r="9">
          <cell r="A9">
            <v>8</v>
          </cell>
          <cell r="B9" t="str">
            <v>Supplier BWGYE</v>
          </cell>
          <cell r="C9" t="str">
            <v>Iallo, Lucio</v>
          </cell>
          <cell r="D9" t="str">
            <v>Sales Representative</v>
          </cell>
          <cell r="E9" t="str">
            <v>9012 King's Way</v>
          </cell>
          <cell r="F9" t="str">
            <v>Manchester</v>
          </cell>
          <cell r="H9">
            <v>10021</v>
          </cell>
          <cell r="I9" t="str">
            <v>UK</v>
          </cell>
        </row>
        <row r="10">
          <cell r="A10">
            <v>9</v>
          </cell>
          <cell r="B10" t="str">
            <v>Supplier QQYEU</v>
          </cell>
          <cell r="C10" t="str">
            <v>Basalik, Evan</v>
          </cell>
          <cell r="D10" t="str">
            <v>Sales Agent</v>
          </cell>
          <cell r="E10" t="str">
            <v>Kaloadagatan 4567</v>
          </cell>
          <cell r="F10" t="str">
            <v>Göteborg</v>
          </cell>
          <cell r="H10">
            <v>10022</v>
          </cell>
          <cell r="I10" t="str">
            <v>Sweden</v>
          </cell>
        </row>
        <row r="11">
          <cell r="A11">
            <v>10</v>
          </cell>
          <cell r="B11" t="str">
            <v>Supplier UNAHG</v>
          </cell>
          <cell r="C11" t="str">
            <v>Barnett, Dave</v>
          </cell>
          <cell r="D11" t="str">
            <v>Marketing Manager</v>
          </cell>
          <cell r="E11" t="str">
            <v>Av. das Americanas 2345</v>
          </cell>
          <cell r="F11" t="str">
            <v>Sao Paulo</v>
          </cell>
          <cell r="H11">
            <v>10034</v>
          </cell>
          <cell r="I11" t="str">
            <v>Brazil</v>
          </cell>
        </row>
        <row r="12">
          <cell r="A12">
            <v>11</v>
          </cell>
          <cell r="B12" t="str">
            <v>Supplier ZPYVS</v>
          </cell>
          <cell r="C12" t="str">
            <v>Jain, Mukesh</v>
          </cell>
          <cell r="D12" t="str">
            <v>Sales Manager</v>
          </cell>
          <cell r="E12" t="str">
            <v>Tiergartenstraße 3456</v>
          </cell>
          <cell r="F12" t="str">
            <v>Berlin</v>
          </cell>
          <cell r="H12">
            <v>10016</v>
          </cell>
          <cell r="I12" t="str">
            <v>Germany</v>
          </cell>
        </row>
        <row r="13">
          <cell r="A13">
            <v>12</v>
          </cell>
          <cell r="B13" t="str">
            <v>Supplier SVIYA</v>
          </cell>
          <cell r="C13" t="str">
            <v>Regev, Barak</v>
          </cell>
          <cell r="D13" t="str">
            <v>International Marketing Mgr.</v>
          </cell>
          <cell r="E13" t="str">
            <v>Bogenallee 9012</v>
          </cell>
          <cell r="F13" t="str">
            <v>Frankfurt</v>
          </cell>
          <cell r="H13">
            <v>10024</v>
          </cell>
          <cell r="I13" t="str">
            <v>Germany</v>
          </cell>
        </row>
        <row r="14">
          <cell r="A14">
            <v>13</v>
          </cell>
          <cell r="B14" t="str">
            <v>Supplier TEGSC</v>
          </cell>
          <cell r="C14" t="str">
            <v>Brehm, Peter</v>
          </cell>
          <cell r="D14" t="str">
            <v>Coordinator Foreign Markets</v>
          </cell>
          <cell r="E14" t="str">
            <v>Frahmredder 3456</v>
          </cell>
          <cell r="F14" t="str">
            <v>Cuxhaven</v>
          </cell>
          <cell r="H14">
            <v>10019</v>
          </cell>
          <cell r="I14" t="str">
            <v>Germany</v>
          </cell>
        </row>
        <row r="15">
          <cell r="A15">
            <v>14</v>
          </cell>
          <cell r="B15" t="str">
            <v>Supplier KEREV</v>
          </cell>
          <cell r="C15" t="str">
            <v>Keil, Kendall</v>
          </cell>
          <cell r="D15" t="str">
            <v>Sales Representative</v>
          </cell>
          <cell r="E15" t="str">
            <v>Viale Dante, 6789</v>
          </cell>
          <cell r="F15" t="str">
            <v>Ravenna</v>
          </cell>
          <cell r="H15">
            <v>10015</v>
          </cell>
          <cell r="I15" t="str">
            <v>Italy</v>
          </cell>
        </row>
        <row r="16">
          <cell r="A16">
            <v>15</v>
          </cell>
          <cell r="B16" t="str">
            <v>Supplier NZLIF</v>
          </cell>
          <cell r="C16" t="str">
            <v>Sałas-Szlejter, Karolina</v>
          </cell>
          <cell r="D16" t="str">
            <v>Marketing Manager</v>
          </cell>
          <cell r="E16" t="str">
            <v>Hatlevegen 1234</v>
          </cell>
          <cell r="F16" t="str">
            <v>Sandvika</v>
          </cell>
          <cell r="H16">
            <v>10025</v>
          </cell>
          <cell r="I16" t="str">
            <v>Norway</v>
          </cell>
        </row>
        <row r="17">
          <cell r="A17">
            <v>16</v>
          </cell>
          <cell r="B17" t="str">
            <v>Supplier UHZRG</v>
          </cell>
          <cell r="C17" t="str">
            <v>Scholl, Thorsten</v>
          </cell>
          <cell r="D17" t="str">
            <v>Regional Account Rep.</v>
          </cell>
          <cell r="E17" t="str">
            <v>8901 - 8th Avenue Suite 210</v>
          </cell>
          <cell r="F17" t="str">
            <v>Bend</v>
          </cell>
          <cell r="G17" t="str">
            <v>OR</v>
          </cell>
          <cell r="H17">
            <v>10035</v>
          </cell>
          <cell r="I17" t="str">
            <v>USA</v>
          </cell>
        </row>
        <row r="18">
          <cell r="A18">
            <v>17</v>
          </cell>
          <cell r="B18" t="str">
            <v>Supplier QZGUF</v>
          </cell>
          <cell r="C18" t="str">
            <v>Kleinerman, Christian</v>
          </cell>
          <cell r="D18" t="str">
            <v>Sales Representative</v>
          </cell>
          <cell r="E18" t="str">
            <v>Brovallavägen 0123</v>
          </cell>
          <cell r="F18" t="str">
            <v>Stockholm</v>
          </cell>
          <cell r="H18">
            <v>10033</v>
          </cell>
          <cell r="I18" t="str">
            <v>Sweden</v>
          </cell>
        </row>
        <row r="19">
          <cell r="A19">
            <v>18</v>
          </cell>
          <cell r="B19" t="str">
            <v>Supplier LVJUA</v>
          </cell>
          <cell r="C19" t="str">
            <v>Canel, Fabrice</v>
          </cell>
          <cell r="D19" t="str">
            <v>Sales Manager</v>
          </cell>
          <cell r="E19" t="str">
            <v>3456, Rue des Francs-Bourgeois</v>
          </cell>
          <cell r="F19" t="str">
            <v>Paris</v>
          </cell>
          <cell r="H19">
            <v>10031</v>
          </cell>
          <cell r="I19" t="str">
            <v>France</v>
          </cell>
        </row>
        <row r="20">
          <cell r="A20">
            <v>19</v>
          </cell>
          <cell r="B20" t="str">
            <v>Supplier JDNUG</v>
          </cell>
          <cell r="C20" t="str">
            <v>Chapman, Greg</v>
          </cell>
          <cell r="D20" t="str">
            <v>Wholesale Account Agent</v>
          </cell>
          <cell r="E20" t="str">
            <v>Order Processing Dept. 7890 Paul Revere Blvd.</v>
          </cell>
          <cell r="F20" t="str">
            <v>Boston</v>
          </cell>
          <cell r="G20" t="str">
            <v>MA</v>
          </cell>
          <cell r="H20">
            <v>10027</v>
          </cell>
          <cell r="I20" t="str">
            <v>USA</v>
          </cell>
        </row>
        <row r="21">
          <cell r="A21">
            <v>20</v>
          </cell>
          <cell r="B21" t="str">
            <v>Supplier CIYNM</v>
          </cell>
          <cell r="C21" t="str">
            <v>Köszegi, Emília</v>
          </cell>
          <cell r="D21" t="str">
            <v>Owner</v>
          </cell>
          <cell r="E21" t="str">
            <v>6789 Serangoon Loop, Suite #402</v>
          </cell>
          <cell r="F21" t="str">
            <v>Singapore</v>
          </cell>
          <cell r="H21">
            <v>10037</v>
          </cell>
          <cell r="I21" t="str">
            <v>Singapore</v>
          </cell>
        </row>
        <row r="22">
          <cell r="A22">
            <v>21</v>
          </cell>
          <cell r="B22" t="str">
            <v>Supplier XOXZA</v>
          </cell>
          <cell r="C22" t="str">
            <v>Shakespear, Paul</v>
          </cell>
          <cell r="D22" t="str">
            <v>Sales Manager</v>
          </cell>
          <cell r="E22" t="str">
            <v>Lyngbysild Fiskebakken 9012</v>
          </cell>
          <cell r="F22" t="str">
            <v>Lyngby</v>
          </cell>
          <cell r="H22">
            <v>10012</v>
          </cell>
          <cell r="I22" t="str">
            <v>Denmark</v>
          </cell>
        </row>
        <row r="23">
          <cell r="A23">
            <v>22</v>
          </cell>
          <cell r="B23" t="str">
            <v>Supplier FNUXM</v>
          </cell>
          <cell r="C23" t="str">
            <v>Skelly, Bonnie L.</v>
          </cell>
          <cell r="D23" t="str">
            <v>Accounting Manager</v>
          </cell>
          <cell r="E23" t="str">
            <v>Verkoop Rijnweg 8901</v>
          </cell>
          <cell r="F23" t="str">
            <v>Zaandam</v>
          </cell>
          <cell r="H23">
            <v>10014</v>
          </cell>
          <cell r="I23" t="str">
            <v>Netherlands</v>
          </cell>
        </row>
        <row r="24">
          <cell r="A24">
            <v>23</v>
          </cell>
          <cell r="B24" t="str">
            <v>Supplier ELCRN</v>
          </cell>
          <cell r="C24" t="str">
            <v>LaMee, Brian</v>
          </cell>
          <cell r="D24" t="str">
            <v>Product Manager</v>
          </cell>
          <cell r="E24" t="str">
            <v>Valtakatu 1234</v>
          </cell>
          <cell r="F24" t="str">
            <v>Lappeenranta</v>
          </cell>
          <cell r="H24">
            <v>10032</v>
          </cell>
          <cell r="I24" t="str">
            <v>Finland</v>
          </cell>
        </row>
        <row r="25">
          <cell r="A25">
            <v>24</v>
          </cell>
          <cell r="B25" t="str">
            <v>Supplier JNNES</v>
          </cell>
          <cell r="C25" t="str">
            <v>Clark, Molly</v>
          </cell>
          <cell r="D25" t="str">
            <v>Sales Representative</v>
          </cell>
          <cell r="E25" t="str">
            <v>6789 Prince Edward Parade Hunter's Hill</v>
          </cell>
          <cell r="F25" t="str">
            <v>Sydney</v>
          </cell>
          <cell r="G25" t="str">
            <v>NSW</v>
          </cell>
          <cell r="H25">
            <v>10030</v>
          </cell>
          <cell r="I25" t="str">
            <v>Australia</v>
          </cell>
        </row>
        <row r="26">
          <cell r="A26">
            <v>25</v>
          </cell>
          <cell r="B26" t="str">
            <v>Supplier ERVYZ</v>
          </cell>
          <cell r="C26" t="str">
            <v>Sprenger, Christof</v>
          </cell>
          <cell r="D26" t="str">
            <v>Marketing Manager</v>
          </cell>
          <cell r="E26" t="str">
            <v>7890 Rue St. Laurent</v>
          </cell>
          <cell r="F26" t="str">
            <v>Montréal</v>
          </cell>
          <cell r="G26" t="str">
            <v>Québec</v>
          </cell>
          <cell r="H26">
            <v>10017</v>
          </cell>
          <cell r="I26" t="str">
            <v>Canada</v>
          </cell>
        </row>
        <row r="27">
          <cell r="A27">
            <v>26</v>
          </cell>
          <cell r="B27" t="str">
            <v>Supplier ZWZDM</v>
          </cell>
          <cell r="C27" t="str">
            <v>Cunha, Gonçalo</v>
          </cell>
          <cell r="D27" t="str">
            <v>Order Administrator</v>
          </cell>
          <cell r="E27" t="str">
            <v>Via dei Gelsomini, 5678</v>
          </cell>
          <cell r="F27" t="str">
            <v>Salerno</v>
          </cell>
          <cell r="H27">
            <v>10020</v>
          </cell>
          <cell r="I27" t="str">
            <v>Italy</v>
          </cell>
        </row>
        <row r="28">
          <cell r="A28">
            <v>27</v>
          </cell>
          <cell r="B28" t="str">
            <v>Supplier ZRYDZ</v>
          </cell>
          <cell r="C28" t="str">
            <v>Leoni, Alessandro</v>
          </cell>
          <cell r="D28" t="str">
            <v>Sales Manager</v>
          </cell>
          <cell r="E28" t="str">
            <v>4567, rue H. Voiron</v>
          </cell>
          <cell r="F28" t="str">
            <v>Montceau</v>
          </cell>
          <cell r="H28">
            <v>10036</v>
          </cell>
          <cell r="I28" t="str">
            <v>France</v>
          </cell>
        </row>
        <row r="29">
          <cell r="A29">
            <v>28</v>
          </cell>
          <cell r="B29" t="str">
            <v>Supplier OAVQT</v>
          </cell>
          <cell r="C29" t="str">
            <v>Teper, Jeff</v>
          </cell>
          <cell r="D29" t="str">
            <v>Sales Representative</v>
          </cell>
          <cell r="E29" t="str">
            <v>Bat. B 2345, rue des Alpes</v>
          </cell>
          <cell r="F29" t="str">
            <v>Annecy</v>
          </cell>
          <cell r="H29">
            <v>10010</v>
          </cell>
          <cell r="I29" t="str">
            <v>France</v>
          </cell>
        </row>
        <row r="30">
          <cell r="A30">
            <v>29</v>
          </cell>
          <cell r="B30" t="str">
            <v>Supplier OGLRK</v>
          </cell>
          <cell r="C30" t="str">
            <v>Walters, Rob</v>
          </cell>
          <cell r="D30" t="str">
            <v>Accounting Manager</v>
          </cell>
          <cell r="E30" t="str">
            <v>0123 rue Chasseur</v>
          </cell>
          <cell r="F30" t="str">
            <v>Ste-Hyacinthe</v>
          </cell>
          <cell r="G30" t="str">
            <v>Québec</v>
          </cell>
          <cell r="H30">
            <v>10009</v>
          </cell>
          <cell r="I30" t="str">
            <v>Canada</v>
          </cell>
        </row>
      </sheetData>
      <sheetData sheetId="12"/>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Northwind%20Data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4.564476388892" createdVersion="7" refreshedVersion="7" minRefreshableVersion="3" recordCount="2155" xr:uid="{0962AA9C-3FB2-43C5-9ED9-7BAA6291583E}">
  <cacheSource type="worksheet">
    <worksheetSource ref="A1:T2156" sheet="Order Detail" r:id="rId2"/>
  </cacheSource>
  <cacheFields count="21">
    <cacheField name="orderid" numFmtId="0">
      <sharedItems containsSemiMixedTypes="0" containsString="0" containsNumber="1" containsInteger="1" minValue="10248" maxValue="11077"/>
    </cacheField>
    <cacheField name="productid" numFmtId="0">
      <sharedItems containsSemiMixedTypes="0" containsString="0" containsNumber="1" containsInteger="1" minValue="1" maxValue="77"/>
    </cacheField>
    <cacheField name="unitprice" numFmtId="0">
      <sharedItems containsSemiMixedTypes="0" containsString="0" containsNumber="1" minValue="2" maxValue="263.5"/>
    </cacheField>
    <cacheField name="qty" numFmtId="0">
      <sharedItems containsSemiMixedTypes="0" containsString="0" containsNumber="1" containsInteger="1" minValue="1" maxValue="130"/>
    </cacheField>
    <cacheField name="discount" numFmtId="9">
      <sharedItems containsSemiMixedTypes="0" containsString="0" containsNumber="1" minValue="0" maxValue="0.25"/>
    </cacheField>
    <cacheField name="Customer Name" numFmtId="0">
      <sharedItems/>
    </cacheField>
    <cacheField name="Column Name2" numFmtId="0">
      <sharedItems/>
    </cacheField>
    <cacheField name="Employee Name" numFmtId="0">
      <sharedItems count="12">
        <s v="Not Specified"/>
        <s v="Mrs. Yael Peled"/>
        <s v="Ms. Judy Lew"/>
        <s v="Mr. Sven Buck"/>
        <s v="Ms. Zoya Dolgopyatova"/>
        <s v="Ms. Sara Davis"/>
        <s v="Ms. Maria Cameron"/>
        <s v="Mr. Paul Suurs"/>
        <s v="Dr. Don Funk"/>
        <s v="Mr. Russell King"/>
        <s v="" u="1"/>
        <e v="#N/A" u="1"/>
      </sharedItems>
    </cacheField>
    <cacheField name="Employee Region" numFmtId="0">
      <sharedItems containsMixedTypes="1" containsNumber="1" containsInteger="1" minValue="0" maxValue="0"/>
    </cacheField>
    <cacheField name="Product Name" numFmtId="0">
      <sharedItems/>
    </cacheField>
    <cacheField name="Product Category" numFmtId="0">
      <sharedItems count="8">
        <s v="Dairy Product"/>
        <s v="Grains/Cereals"/>
        <s v="Produce"/>
        <s v="Seafood"/>
        <s v="Condiments"/>
        <s v="Confections"/>
        <s v="Beverages"/>
        <s v="Meat/Poultry"/>
      </sharedItems>
    </cacheField>
    <cacheField name="orderdate" numFmtId="14">
      <sharedItems containsNonDate="0" containsDate="1" containsString="0" containsBlank="1" minDate="2006-07-08T00:00:00" maxDate="2008-05-07T00:00:00" count="479">
        <m/>
        <d v="2006-07-08T00:00:00"/>
        <d v="2006-07-09T00:00:00"/>
        <d v="2006-07-10T00:00:00"/>
        <d v="2006-07-11T00:00:00"/>
        <d v="2006-07-12T00:00:00"/>
        <d v="2006-07-15T00:00:00"/>
        <d v="2006-07-16T00:00:00"/>
        <d v="2006-07-17T00:00:00"/>
        <d v="2006-07-18T00:00:00"/>
        <d v="2006-07-19T00:00:00"/>
        <d v="2006-07-22T00:00:00"/>
        <d v="2006-07-23T00:00:00"/>
        <d v="2006-07-24T00:00:00"/>
        <d v="2006-07-25T00:00:00"/>
        <d v="2006-07-26T00:00:00"/>
        <d v="2006-07-29T00:00:00"/>
        <d v="2006-07-30T00:00:00"/>
        <d v="2006-07-31T00:00:00"/>
        <d v="2006-08-01T00:00:00"/>
        <d v="2006-08-02T00:00:00"/>
        <d v="2006-08-05T00:00:00"/>
        <d v="2006-08-06T00:00:00"/>
        <d v="2006-08-07T00:00:00"/>
        <d v="2006-08-08T00:00:00"/>
        <d v="2006-08-09T00:00:00"/>
        <d v="2006-08-12T00:00:00"/>
        <d v="2006-08-13T00:00:00"/>
        <d v="2006-08-14T00:00:00"/>
        <d v="2006-08-15T00:00:00"/>
        <d v="2006-08-16T00:00:00"/>
        <d v="2006-08-19T00:00:00"/>
        <d v="2006-08-20T00:00:00"/>
        <d v="2006-08-21T00:00:00"/>
        <d v="2006-08-22T00:00:00"/>
        <d v="2006-08-23T00:00:00"/>
        <d v="2006-08-26T00:00:00"/>
        <d v="2006-08-27T00:00:00"/>
        <d v="2006-08-28T00:00:00"/>
        <d v="2006-08-29T00:00:00"/>
        <d v="2006-08-30T00:00:00"/>
        <d v="2006-09-02T00:00:00"/>
        <d v="2006-09-03T00:00:00"/>
        <d v="2006-09-04T00:00:00"/>
        <d v="2006-09-05T00:00:00"/>
        <d v="2006-09-06T00:00:00"/>
        <d v="2006-09-09T00:00:00"/>
        <d v="2006-09-10T00:00:00"/>
        <d v="2006-09-11T00:00:00"/>
        <d v="2006-09-12T00:00:00"/>
        <d v="2006-09-13T00:00:00"/>
        <d v="2006-09-16T00:00:00"/>
        <d v="2006-09-17T00:00:00"/>
        <d v="2006-09-18T00:00:00"/>
        <d v="2006-09-19T00:00:00"/>
        <d v="2006-09-20T00:00:00"/>
        <d v="2006-09-23T00:00:00"/>
        <d v="2006-09-24T00:00:00"/>
        <d v="2006-09-25T00:00:00"/>
        <d v="2006-09-26T00:00:00"/>
        <d v="2006-09-27T00:00:00"/>
        <d v="2006-09-30T00:00:00"/>
        <d v="2006-10-01T00:00:00"/>
        <d v="2006-10-02T00:00:00"/>
        <d v="2006-10-03T00:00:00"/>
        <d v="2006-10-04T00:00:00"/>
        <d v="2006-10-07T00:00:00"/>
        <d v="2006-10-08T00:00:00"/>
        <d v="2006-10-09T00:00:00"/>
        <d v="2006-10-10T00:00:00"/>
        <d v="2006-10-11T00:00:00"/>
        <d v="2006-10-14T00:00:00"/>
        <d v="2006-10-15T00:00:00"/>
        <d v="2006-10-16T00:00:00"/>
        <d v="2006-10-17T00:00:00"/>
        <d v="2006-10-18T00:00:00"/>
        <d v="2006-10-21T00:00:00"/>
        <d v="2006-10-22T00:00:00"/>
        <d v="2006-10-23T00:00:00"/>
        <d v="2006-10-24T00:00:00"/>
        <d v="2006-10-25T00:00:00"/>
        <d v="2006-10-28T00:00:00"/>
        <d v="2006-10-29T00:00:00"/>
        <d v="2006-10-30T00:00:00"/>
        <d v="2006-10-31T00:00:00"/>
        <d v="2006-11-01T00:00:00"/>
        <d v="2006-11-04T00:00:00"/>
        <d v="2006-11-05T00:00:00"/>
        <d v="2006-11-06T00:00:00"/>
        <d v="2006-11-07T00:00:00"/>
        <d v="2006-11-08T00:00:00"/>
        <d v="2006-11-11T00:00:00"/>
        <d v="2006-11-12T00:00:00"/>
        <d v="2006-11-13T00:00:00"/>
        <d v="2006-11-14T00:00:00"/>
        <d v="2006-11-15T00:00:00"/>
        <d v="2006-11-18T00:00:00"/>
        <d v="2006-11-19T00:00:00"/>
        <d v="2006-11-20T00:00:00"/>
        <d v="2006-11-21T00:00:00"/>
        <d v="2006-11-22T00:00:00"/>
        <d v="2006-11-25T00:00:00"/>
        <d v="2006-11-26T00:00:00"/>
        <d v="2006-11-27T00:00:00"/>
        <d v="2006-11-28T00:00:00"/>
        <d v="2006-11-29T00:00:00"/>
        <d v="2006-12-02T00:00:00"/>
        <d v="2006-12-03T00:00:00"/>
        <d v="2006-12-04T00:00:00"/>
        <d v="2006-12-05T00:00:00"/>
        <d v="2006-12-06T00:00:00"/>
        <d v="2006-12-09T00:00:00"/>
        <d v="2006-12-10T00:00:00"/>
        <d v="2006-12-11T00:00:00"/>
        <d v="2006-12-12T00:00:00"/>
        <d v="2006-12-13T00:00:00"/>
        <d v="2006-12-16T00:00:00"/>
        <d v="2006-12-17T00:00:00"/>
        <d v="2006-12-18T00:00:00"/>
        <d v="2006-12-19T00:00:00"/>
        <d v="2006-12-20T00:00:00"/>
        <d v="2006-12-23T00:00:00"/>
        <d v="2006-12-24T00:00:00"/>
        <d v="2006-12-25T00:00:00"/>
        <d v="2006-12-26T00:00:00"/>
        <d v="2006-12-27T00:00:00"/>
        <d v="2006-12-30T00:00:00"/>
        <d v="2006-12-31T00:00:00"/>
        <d v="2007-01-01T00:00:00"/>
        <d v="2007-01-02T00:00:00"/>
        <d v="2007-01-03T00:00:00"/>
        <d v="2007-01-06T00:00:00"/>
        <d v="2007-01-07T00:00:00"/>
        <d v="2007-01-08T00:00:00"/>
        <d v="2007-01-09T00:00:00"/>
        <d v="2007-01-10T00:00:00"/>
        <d v="2007-01-13T00:00:00"/>
        <d v="2007-01-14T00:00:00"/>
        <d v="2007-01-15T00:00:00"/>
        <d v="2007-01-16T00:00:00"/>
        <d v="2007-01-17T00:00:00"/>
        <d v="2007-01-20T00:00:00"/>
        <d v="2007-01-21T00:00:00"/>
        <d v="2007-01-22T00:00:00"/>
        <d v="2007-01-23T00:00:00"/>
        <d v="2007-01-24T00:00:00"/>
        <d v="2007-01-27T00:00:00"/>
        <d v="2007-01-28T00:00:00"/>
        <d v="2007-01-29T00:00:00"/>
        <d v="2007-01-30T00:00:00"/>
        <d v="2007-01-31T00:00:00"/>
        <d v="2007-02-03T00:00:00"/>
        <d v="2007-02-04T00:00:00"/>
        <d v="2007-02-05T00:00:00"/>
        <d v="2007-02-06T00:00:00"/>
        <d v="2007-02-07T00:00:00"/>
        <d v="2007-02-10T00:00:00"/>
        <d v="2007-02-11T00:00:00"/>
        <d v="2007-02-12T00:00:00"/>
        <d v="2007-02-13T00:00:00"/>
        <d v="2007-02-14T00:00:00"/>
        <d v="2007-02-17T00:00:00"/>
        <d v="2007-02-18T00:00:00"/>
        <d v="2007-02-19T00:00:00"/>
        <d v="2007-02-20T00:00:00"/>
        <d v="2007-02-21T00:00:00"/>
        <d v="2007-02-24T00:00:00"/>
        <d v="2007-02-25T00:00:00"/>
        <d v="2007-02-26T00:00:00"/>
        <d v="2007-02-27T00:00:00"/>
        <d v="2007-02-28T00:00:00"/>
        <d v="2007-03-03T00:00:00"/>
        <d v="2007-03-04T00:00:00"/>
        <d v="2007-03-05T00:00:00"/>
        <d v="2007-03-06T00:00:00"/>
        <d v="2007-03-07T00:00:00"/>
        <d v="2007-03-10T00:00:00"/>
        <d v="2007-03-11T00:00:00"/>
        <d v="2007-03-12T00:00:00"/>
        <d v="2007-03-13T00:00:00"/>
        <d v="2007-03-14T00:00:00"/>
        <d v="2007-03-17T00:00:00"/>
        <d v="2007-03-18T00:00:00"/>
        <d v="2007-03-19T00:00:00"/>
        <d v="2007-03-20T00:00:00"/>
        <d v="2007-03-21T00:00:00"/>
        <d v="2007-03-24T00:00:00"/>
        <d v="2007-03-25T00:00:00"/>
        <d v="2007-03-26T00:00:00"/>
        <d v="2007-03-27T00:00:00"/>
        <d v="2007-03-28T00:00:00"/>
        <d v="2007-03-31T00:00:00"/>
        <d v="2007-04-01T00:00:00"/>
        <d v="2007-04-02T00:00:00"/>
        <d v="2007-04-03T00:00:00"/>
        <d v="2007-04-04T00:00:00"/>
        <d v="2007-04-07T00:00:00"/>
        <d v="2007-04-08T00:00:00"/>
        <d v="2007-04-09T00:00:00"/>
        <d v="2007-04-10T00:00:00"/>
        <d v="2007-04-11T00:00:00"/>
        <d v="2007-04-14T00:00:00"/>
        <d v="2007-04-15T00:00:00"/>
        <d v="2007-04-16T00:00:00"/>
        <d v="2007-04-17T00:00:00"/>
        <d v="2007-04-18T00:00:00"/>
        <d v="2007-04-21T00:00:00"/>
        <d v="2007-04-22T00:00:00"/>
        <d v="2007-04-23T00:00:00"/>
        <d v="2007-04-24T00:00:00"/>
        <d v="2007-04-25T00:00:00"/>
        <d v="2007-04-28T00:00:00"/>
        <d v="2007-04-29T00:00:00"/>
        <d v="2007-04-30T00:00:00"/>
        <d v="2007-05-01T00:00:00"/>
        <d v="2007-05-02T00:00:00"/>
        <d v="2007-05-05T00:00:00"/>
        <d v="2007-05-06T00:00:00"/>
        <d v="2007-05-07T00:00:00"/>
        <d v="2007-05-08T00:00:00"/>
        <d v="2007-05-09T00:00:00"/>
        <d v="2007-05-12T00:00:00"/>
        <d v="2007-05-13T00:00:00"/>
        <d v="2007-05-14T00:00:00"/>
        <d v="2007-05-15T00:00:00"/>
        <d v="2007-05-16T00:00:00"/>
        <d v="2007-05-19T00:00:00"/>
        <d v="2007-05-20T00:00:00"/>
        <d v="2007-05-21T00:00:00"/>
        <d v="2007-05-22T00:00:00"/>
        <d v="2007-05-23T00:00:00"/>
        <d v="2007-05-26T00:00:00"/>
        <d v="2007-05-27T00:00:00"/>
        <d v="2007-05-28T00:00:00"/>
        <d v="2007-05-29T00:00:00"/>
        <d v="2007-05-30T00:00:00"/>
        <d v="2007-06-02T00:00:00"/>
        <d v="2007-06-03T00:00:00"/>
        <d v="2007-06-04T00:00:00"/>
        <d v="2007-06-05T00:00:00"/>
        <d v="2007-06-06T00:00:00"/>
        <d v="2007-06-09T00:00:00"/>
        <d v="2007-06-10T00:00:00"/>
        <d v="2007-06-11T00:00:00"/>
        <d v="2007-06-12T00:00:00"/>
        <d v="2007-06-13T00:00:00"/>
        <d v="2007-06-16T00:00:00"/>
        <d v="2007-06-17T00:00:00"/>
        <d v="2007-06-18T00:00:00"/>
        <d v="2007-06-19T00:00:00"/>
        <d v="2007-06-20T00:00:00"/>
        <d v="2007-06-23T00:00:00"/>
        <d v="2007-06-24T00:00:00"/>
        <d v="2007-06-25T00:00:00"/>
        <d v="2007-06-26T00:00:00"/>
        <d v="2007-06-27T00:00:00"/>
        <d v="2007-06-30T00:00:00"/>
        <d v="2007-07-01T00:00:00"/>
        <d v="2007-07-02T00:00:00"/>
        <d v="2007-07-03T00:00:00"/>
        <d v="2007-07-04T00:00:00"/>
        <d v="2007-07-07T00:00:00"/>
        <d v="2007-07-08T00:00:00"/>
        <d v="2007-07-09T00:00:00"/>
        <d v="2007-07-10T00:00:00"/>
        <d v="2007-07-11T00:00:00"/>
        <d v="2007-07-14T00:00:00"/>
        <d v="2007-07-15T00:00:00"/>
        <d v="2007-07-16T00:00:00"/>
        <d v="2007-07-17T00:00:00"/>
        <d v="2007-07-18T00:00:00"/>
        <d v="2007-07-21T00:00:00"/>
        <d v="2007-07-22T00:00:00"/>
        <d v="2007-07-23T00:00:00"/>
        <d v="2007-07-24T00:00:00"/>
        <d v="2007-07-25T00:00:00"/>
        <d v="2007-07-28T00:00:00"/>
        <d v="2007-07-29T00:00:00"/>
        <d v="2007-07-30T00:00:00"/>
        <d v="2007-07-31T00:00:00"/>
        <d v="2007-08-01T00:00:00"/>
        <d v="2007-08-04T00:00:00"/>
        <d v="2007-08-05T00:00:00"/>
        <d v="2007-08-06T00:00:00"/>
        <d v="2007-08-07T00:00:00"/>
        <d v="2007-08-08T00:00:00"/>
        <d v="2007-08-11T00:00:00"/>
        <d v="2007-08-12T00:00:00"/>
        <d v="2007-08-13T00:00:00"/>
        <d v="2007-08-14T00:00:00"/>
        <d v="2007-08-15T00:00:00"/>
        <d v="2007-08-18T00:00:00"/>
        <d v="2007-08-19T00:00:00"/>
        <d v="2007-08-20T00:00:00"/>
        <d v="2007-08-21T00:00:00"/>
        <d v="2007-08-22T00:00:00"/>
        <d v="2007-08-25T00:00:00"/>
        <d v="2007-08-26T00:00:00"/>
        <d v="2007-08-27T00:00:00"/>
        <d v="2007-08-28T00:00:00"/>
        <d v="2007-08-29T00:00:00"/>
        <d v="2007-09-01T00:00:00"/>
        <d v="2007-09-02T00:00:00"/>
        <d v="2007-09-03T00:00:00"/>
        <d v="2007-09-04T00:00:00"/>
        <d v="2007-09-05T00:00:00"/>
        <d v="2007-09-08T00:00:00"/>
        <d v="2007-09-09T00:00:00"/>
        <d v="2007-09-10T00:00:00"/>
        <d v="2007-09-11T00:00:00"/>
        <d v="2007-09-12T00:00:00"/>
        <d v="2007-09-15T00:00:00"/>
        <d v="2007-09-16T00:00:00"/>
        <d v="2007-09-17T00:00:00"/>
        <d v="2007-09-18T00:00:00"/>
        <d v="2007-09-19T00:00:00"/>
        <d v="2007-09-22T00:00:00"/>
        <d v="2007-09-23T00:00:00"/>
        <d v="2007-09-24T00:00:00"/>
        <d v="2007-09-25T00:00:00"/>
        <d v="2007-09-26T00:00:00"/>
        <d v="2007-09-29T00:00:00"/>
        <d v="2007-09-30T00:00:00"/>
        <d v="2007-10-01T00:00:00"/>
        <d v="2007-10-02T00:00:00"/>
        <d v="2007-10-03T00:00:00"/>
        <d v="2007-10-06T00:00:00"/>
        <d v="2007-10-07T00:00:00"/>
        <d v="2007-10-08T00:00:00"/>
        <d v="2007-10-09T00:00:00"/>
        <d v="2007-10-10T00:00:00"/>
        <d v="2007-10-13T00:00:00"/>
        <d v="2007-10-14T00:00:00"/>
        <d v="2007-10-15T00:00:00"/>
        <d v="2007-10-16T00:00:00"/>
        <d v="2007-10-17T00:00:00"/>
        <d v="2007-10-20T00:00:00"/>
        <d v="2007-10-21T00:00:00"/>
        <d v="2007-10-22T00:00:00"/>
        <d v="2007-10-23T00:00:00"/>
        <d v="2007-10-24T00:00:00"/>
        <d v="2007-10-27T00:00:00"/>
        <d v="2007-10-28T00:00:00"/>
        <d v="2007-10-29T00:00:00"/>
        <d v="2007-10-30T00:00:00"/>
        <d v="2007-10-31T00:00:00"/>
        <d v="2007-11-03T00:00:00"/>
        <d v="2007-11-04T00:00:00"/>
        <d v="2007-11-05T00:00:00"/>
        <d v="2007-11-06T00:00:00"/>
        <d v="2007-11-07T00:00:00"/>
        <d v="2007-11-10T00:00:00"/>
        <d v="2007-11-11T00:00:00"/>
        <d v="2007-11-12T00:00:00"/>
        <d v="2007-11-13T00:00:00"/>
        <d v="2007-11-14T00:00:00"/>
        <d v="2007-11-17T00:00:00"/>
        <d v="2007-11-18T00:00:00"/>
        <d v="2007-11-19T00:00:00"/>
        <d v="2007-11-20T00:00:00"/>
        <d v="2007-11-21T00:00:00"/>
        <d v="2007-11-24T00:00:00"/>
        <d v="2007-11-25T00:00:00"/>
        <d v="2007-11-26T00:00:00"/>
        <d v="2007-11-27T00:00:00"/>
        <d v="2007-11-28T00:00:00"/>
        <d v="2007-12-01T00:00:00"/>
        <d v="2007-12-02T00:00:00"/>
        <d v="2007-12-03T00:00:00"/>
        <d v="2007-12-04T00:00:00"/>
        <d v="2007-12-05T00:00:00"/>
        <d v="2007-12-08T00:00:00"/>
        <d v="2007-12-09T00:00:00"/>
        <d v="2007-12-10T00:00:00"/>
        <d v="2007-12-11T00:00:00"/>
        <d v="2007-12-12T00:00:00"/>
        <d v="2007-12-15T00:00:00"/>
        <d v="2007-12-16T00:00:00"/>
        <d v="2007-12-17T00:00:00"/>
        <d v="2007-12-18T00:00:00"/>
        <d v="2007-12-19T00:00:00"/>
        <d v="2007-12-22T00:00:00"/>
        <d v="2007-12-23T00:00:00"/>
        <d v="2007-12-24T00:00:00"/>
        <d v="2007-12-25T00:00:00"/>
        <d v="2007-12-26T00:00:00"/>
        <d v="2007-12-29T00:00:00"/>
        <d v="2007-12-30T00:00:00"/>
        <d v="2007-12-31T00:00:00"/>
        <d v="2008-01-01T00:00:00"/>
        <d v="2008-01-02T00:00:00"/>
        <d v="2008-01-05T00:00:00"/>
        <d v="2008-01-06T00:00:00"/>
        <d v="2008-01-07T00:00:00"/>
        <d v="2008-01-08T00:00:00"/>
        <d v="2008-01-09T00:00:00"/>
        <d v="2008-01-12T00:00:00"/>
        <d v="2008-01-13T00:00:00"/>
        <d v="2008-01-14T00:00:00"/>
        <d v="2008-01-15T00:00:00"/>
        <d v="2008-01-16T00:00:00"/>
        <d v="2008-01-19T00:00:00"/>
        <d v="2008-01-20T00:00:00"/>
        <d v="2008-01-21T00:00:00"/>
        <d v="2008-01-22T00:00:00"/>
        <d v="2008-01-23T00:00:00"/>
        <d v="2008-01-26T00:00:00"/>
        <d v="2008-01-27T00:00:00"/>
        <d v="2008-01-28T00:00:00"/>
        <d v="2008-01-29T00:00:00"/>
        <d v="2008-01-30T00:00:00"/>
        <d v="2008-02-02T00:00:00"/>
        <d v="2008-02-03T00:00:00"/>
        <d v="2008-02-04T00:00:00"/>
        <d v="2008-02-05T00:00:00"/>
        <d v="2008-02-06T00:00:00"/>
        <d v="2008-02-09T00:00:00"/>
        <d v="2008-02-10T00:00:00"/>
        <d v="2008-02-11T00:00:00"/>
        <d v="2008-02-12T00:00:00"/>
        <d v="2008-02-13T00:00:00"/>
        <d v="2008-02-16T00:00:00"/>
        <d v="2008-02-17T00:00:00"/>
        <d v="2008-02-18T00:00:00"/>
        <d v="2008-02-19T00:00:00"/>
        <d v="2008-02-20T00:00:00"/>
        <d v="2008-02-23T00:00:00"/>
        <d v="2008-02-24T00:00:00"/>
        <d v="2008-02-25T00:00:00"/>
        <d v="2008-02-26T00:00:00"/>
        <d v="2008-02-27T00:00:00"/>
        <d v="2008-03-02T00:00:00"/>
        <d v="2008-03-03T00:00:00"/>
        <d v="2008-03-04T00:00:00"/>
        <d v="2008-03-05T00:00:00"/>
        <d v="2008-03-06T00:00:00"/>
        <d v="2008-03-09T00:00:00"/>
        <d v="2008-03-10T00:00:00"/>
        <d v="2008-03-11T00:00:00"/>
        <d v="2008-03-12T00:00:00"/>
        <d v="2008-03-13T00:00:00"/>
        <d v="2008-03-16T00:00:00"/>
        <d v="2008-03-17T00:00:00"/>
        <d v="2008-03-18T00:00:00"/>
        <d v="2008-03-19T00:00:00"/>
        <d v="2008-03-20T00:00:00"/>
        <d v="2008-03-23T00:00:00"/>
        <d v="2008-03-24T00:00:00"/>
        <d v="2008-03-25T00:00:00"/>
        <d v="2008-03-26T00:00:00"/>
        <d v="2008-03-27T00:00:00"/>
        <d v="2008-03-30T00:00:00"/>
        <d v="2008-03-31T00:00:00"/>
        <d v="2008-04-01T00:00:00"/>
        <d v="2008-04-02T00:00:00"/>
        <d v="2008-04-03T00:00:00"/>
        <d v="2008-04-06T00:00:00"/>
        <d v="2008-04-07T00:00:00"/>
        <d v="2008-04-08T00:00:00"/>
        <d v="2008-04-09T00:00:00"/>
        <d v="2008-04-10T00:00:00"/>
        <d v="2008-04-13T00:00:00"/>
        <d v="2008-04-14T00:00:00"/>
        <d v="2008-04-15T00:00:00"/>
        <d v="2008-04-16T00:00:00"/>
        <d v="2008-04-17T00:00:00"/>
        <d v="2008-04-20T00:00:00"/>
        <d v="2008-04-21T00:00:00"/>
        <d v="2008-04-22T00:00:00"/>
        <d v="2008-04-23T00:00:00"/>
        <d v="2008-04-24T00:00:00"/>
        <d v="2008-04-27T00:00:00"/>
        <d v="2008-04-28T00:00:00"/>
        <d v="2008-04-29T00:00:00"/>
        <d v="2008-04-30T00:00:00"/>
        <d v="2008-05-01T00:00:00"/>
        <d v="2008-05-04T00:00:00"/>
        <d v="2008-05-05T00:00:00"/>
        <d v="2008-05-06T00:00:00"/>
      </sharedItems>
      <fieldGroup par="20" base="11">
        <rangePr groupBy="months" startDate="2006-07-08T00:00:00" endDate="2008-05-07T00:00:00"/>
        <groupItems count="14">
          <s v="(blank)"/>
          <s v="Jan"/>
          <s v="Feb"/>
          <s v="Mar"/>
          <s v="Apr"/>
          <s v="May"/>
          <s v="Jun"/>
          <s v="Jul"/>
          <s v="Aug"/>
          <s v="Sep"/>
          <s v="Oct"/>
          <s v="Nov"/>
          <s v="Dec"/>
          <s v="&gt;5/7/2008"/>
        </groupItems>
      </fieldGroup>
    </cacheField>
    <cacheField name="shippeddate" numFmtId="14">
      <sharedItems containsDate="1" containsMixedTypes="1" minDate="1899-12-30T00:00:00" maxDate="2008-05-07T00:00:00"/>
    </cacheField>
    <cacheField name="Shipping Company" numFmtId="0">
      <sharedItems count="6">
        <s v="Not Specified"/>
        <s v="Shipper ETYNR"/>
        <s v="Shipper GVSUA"/>
        <s v="Shipper ZHISN"/>
        <s v="" u="1"/>
        <e v="#N/A" u="1"/>
      </sharedItems>
    </cacheField>
    <cacheField name="shipname" numFmtId="0">
      <sharedItems/>
    </cacheField>
    <cacheField name="shipcountry" numFmtId="0">
      <sharedItems count="24">
        <s v="Not Specified"/>
        <s v="Brazil"/>
        <s v="France"/>
        <s v="Belgium"/>
        <s v="Switzerland"/>
        <s v="Venezuela"/>
        <s v="Austria"/>
        <s v="Mexico"/>
        <s v="Germany"/>
        <s v="USA"/>
        <s v="Sweden"/>
        <s v="Finland"/>
        <s v="Italy"/>
        <s v="Spain"/>
        <s v="UK"/>
        <s v="Ireland"/>
        <s v="Portugal"/>
        <s v="Canada"/>
        <s v="Denmark"/>
        <s v="Poland"/>
        <s v="Norway"/>
        <s v="Argentina"/>
        <s v="" u="1"/>
        <e v="#N/A" u="1"/>
      </sharedItems>
    </cacheField>
    <cacheField name="Supplying Company" numFmtId="0">
      <sharedItems/>
    </cacheField>
    <cacheField name="Supplier Country" numFmtId="0">
      <sharedItems/>
    </cacheField>
    <cacheField name="Freight Category" numFmtId="0">
      <sharedItems count="5">
        <s v="Not Specified"/>
        <s v="Low Freight"/>
        <s v="High Freight"/>
        <s v="" u="1"/>
        <e v="#N/A" u="1"/>
      </sharedItems>
    </cacheField>
    <cacheField name="Revenue " numFmtId="0">
      <sharedItems containsSemiMixedTypes="0" containsString="0" containsNumber="1" minValue="4.8" maxValue="15810"/>
    </cacheField>
    <cacheField name="Years" numFmtId="0" databaseField="0">
      <fieldGroup base="11">
        <rangePr groupBy="years" startDate="2006-07-08T00:00:00" endDate="2008-05-07T00:00:00"/>
        <groupItems count="5">
          <s v="&lt;7/8/2006"/>
          <s v="2006"/>
          <s v="2007"/>
          <s v="2008"/>
          <s v="&gt;5/7/2008"/>
        </groupItems>
      </fieldGroup>
    </cacheField>
  </cacheFields>
  <extLst>
    <ext xmlns:x14="http://schemas.microsoft.com/office/spreadsheetml/2009/9/main" uri="{725AE2AE-9491-48be-B2B4-4EB974FC3084}">
      <x14:pivotCacheDefinition pivotCacheId="20526469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5">
  <r>
    <n v="10248"/>
    <n v="11"/>
    <n v="14"/>
    <n v="12"/>
    <n v="0"/>
    <s v="Not Specified"/>
    <s v="Not Specified"/>
    <x v="0"/>
    <s v="Not Specified"/>
    <s v="Product QMVUN"/>
    <x v="0"/>
    <x v="0"/>
    <s v=""/>
    <x v="0"/>
    <s v="Not Specified"/>
    <x v="0"/>
    <s v="Supplier EQPNC"/>
    <s v="Spain"/>
    <x v="0"/>
    <n v="168"/>
  </r>
  <r>
    <n v="10248"/>
    <n v="42"/>
    <n v="9.8000000000000007"/>
    <n v="10"/>
    <n v="0"/>
    <s v="Not Specified"/>
    <s v="Not Specified"/>
    <x v="0"/>
    <s v="Not Specified"/>
    <s v="Product RJVNM"/>
    <x v="1"/>
    <x v="0"/>
    <s v=""/>
    <x v="0"/>
    <s v="Not Specified"/>
    <x v="0"/>
    <s v="Supplier CIYNM"/>
    <s v="Singapore"/>
    <x v="0"/>
    <n v="98"/>
  </r>
  <r>
    <n v="10248"/>
    <n v="72"/>
    <n v="34.799999999999997"/>
    <n v="5"/>
    <n v="0"/>
    <s v="Not Specified"/>
    <s v="Not Specified"/>
    <x v="0"/>
    <s v="Not Specified"/>
    <s v="Product GEEOO"/>
    <x v="0"/>
    <x v="0"/>
    <s v=""/>
    <x v="0"/>
    <s v="Not Specified"/>
    <x v="0"/>
    <s v="Supplier KEREV"/>
    <s v="Italy"/>
    <x v="0"/>
    <n v="174"/>
  </r>
  <r>
    <n v="10249"/>
    <n v="14"/>
    <n v="18.600000000000001"/>
    <n v="9"/>
    <n v="0"/>
    <s v="Not Specified"/>
    <s v="Not Specified"/>
    <x v="0"/>
    <s v="Not Specified"/>
    <s v="Product PWCJB"/>
    <x v="2"/>
    <x v="0"/>
    <s v=""/>
    <x v="0"/>
    <s v="Not Specified"/>
    <x v="0"/>
    <s v="Supplier QWUSF"/>
    <s v="Japan"/>
    <x v="0"/>
    <n v="167.4"/>
  </r>
  <r>
    <n v="10249"/>
    <n v="51"/>
    <n v="42.4"/>
    <n v="40"/>
    <n v="0"/>
    <s v="Not Specified"/>
    <s v="Not Specified"/>
    <x v="0"/>
    <s v="Not Specified"/>
    <s v="Product APITJ"/>
    <x v="2"/>
    <x v="0"/>
    <s v=""/>
    <x v="0"/>
    <s v="Not Specified"/>
    <x v="0"/>
    <s v="Supplier JNNES"/>
    <s v="Australia"/>
    <x v="0"/>
    <n v="1696"/>
  </r>
  <r>
    <n v="10250"/>
    <n v="41"/>
    <n v="7.7"/>
    <n v="10"/>
    <n v="0"/>
    <s v="Cohen, Shy"/>
    <s v="Cohen Shy"/>
    <x v="1"/>
    <s v="WA"/>
    <s v="Product TTEEX"/>
    <x v="3"/>
    <x v="1"/>
    <d v="2006-07-12T00:00:00"/>
    <x v="1"/>
    <s v="Destination SCQXA"/>
    <x v="1"/>
    <s v="Supplier JDNUG"/>
    <s v="USA"/>
    <x v="1"/>
    <n v="77"/>
  </r>
  <r>
    <n v="10250"/>
    <n v="51"/>
    <n v="42.4"/>
    <n v="35"/>
    <n v="0.15"/>
    <s v="Cohen, Shy"/>
    <s v="Cohen Shy"/>
    <x v="1"/>
    <s v="WA"/>
    <s v="Product APITJ"/>
    <x v="2"/>
    <x v="1"/>
    <d v="2006-07-12T00:00:00"/>
    <x v="1"/>
    <s v="Destination SCQXA"/>
    <x v="1"/>
    <s v="Supplier JNNES"/>
    <s v="Australia"/>
    <x v="1"/>
    <n v="1261.3999999999999"/>
  </r>
  <r>
    <n v="10250"/>
    <n v="65"/>
    <n v="16.8"/>
    <n v="15"/>
    <n v="0.15"/>
    <s v="Cohen, Shy"/>
    <s v="Cohen Shy"/>
    <x v="1"/>
    <s v="WA"/>
    <s v="Product XYWBZ"/>
    <x v="4"/>
    <x v="1"/>
    <d v="2006-07-12T00:00:00"/>
    <x v="1"/>
    <s v="Destination SCQXA"/>
    <x v="1"/>
    <s v="Supplier VHQZD"/>
    <s v="USA"/>
    <x v="1"/>
    <n v="214.2"/>
  </r>
  <r>
    <n v="10251"/>
    <n v="22"/>
    <n v="16.8"/>
    <n v="6"/>
    <n v="0.05"/>
    <s v="Tuntisangaroon, Sittichai"/>
    <s v="Tuntisangaroon Sittichai"/>
    <x v="2"/>
    <s v="WA"/>
    <s v="Product CPHFY"/>
    <x v="1"/>
    <x v="1"/>
    <d v="2006-07-15T00:00:00"/>
    <x v="2"/>
    <s v="Ship to 84-A"/>
    <x v="2"/>
    <s v="Supplier QQYEU"/>
    <s v="Sweden"/>
    <x v="1"/>
    <n v="95.76"/>
  </r>
  <r>
    <n v="10251"/>
    <n v="57"/>
    <n v="15.6"/>
    <n v="15"/>
    <n v="0.05"/>
    <s v="Tuntisangaroon, Sittichai"/>
    <s v="Tuntisangaroon Sittichai"/>
    <x v="2"/>
    <s v="WA"/>
    <s v="Product OVLQI"/>
    <x v="1"/>
    <x v="1"/>
    <d v="2006-07-15T00:00:00"/>
    <x v="2"/>
    <s v="Ship to 84-A"/>
    <x v="2"/>
    <s v="Supplier ZWZDM"/>
    <s v="Italy"/>
    <x v="1"/>
    <n v="222.29999999999998"/>
  </r>
  <r>
    <n v="10251"/>
    <n v="65"/>
    <n v="16.8"/>
    <n v="20"/>
    <n v="0"/>
    <s v="Tuntisangaroon, Sittichai"/>
    <s v="Tuntisangaroon Sittichai"/>
    <x v="2"/>
    <s v="WA"/>
    <s v="Product XYWBZ"/>
    <x v="4"/>
    <x v="1"/>
    <d v="2006-07-15T00:00:00"/>
    <x v="2"/>
    <s v="Ship to 84-A"/>
    <x v="2"/>
    <s v="Supplier VHQZD"/>
    <s v="USA"/>
    <x v="1"/>
    <n v="336"/>
  </r>
  <r>
    <n v="10252"/>
    <n v="20"/>
    <n v="64.8"/>
    <n v="40"/>
    <n v="0.05"/>
    <s v="Gulbis, Katrin"/>
    <s v="Gulbis Katrin"/>
    <x v="1"/>
    <s v="WA"/>
    <s v="Product QHFFP"/>
    <x v="5"/>
    <x v="2"/>
    <d v="2006-07-11T00:00:00"/>
    <x v="1"/>
    <s v="Ship to 76-B"/>
    <x v="3"/>
    <s v="Supplier BWGYE"/>
    <s v="UK"/>
    <x v="1"/>
    <n v="2462.4"/>
  </r>
  <r>
    <n v="10252"/>
    <n v="33"/>
    <n v="2"/>
    <n v="25"/>
    <n v="0.05"/>
    <s v="Gulbis, Katrin"/>
    <s v="Gulbis Katrin"/>
    <x v="1"/>
    <s v="WA"/>
    <s v="Product ASTMN"/>
    <x v="0"/>
    <x v="2"/>
    <d v="2006-07-11T00:00:00"/>
    <x v="1"/>
    <s v="Ship to 76-B"/>
    <x v="3"/>
    <s v="Supplier NZLIF"/>
    <s v="Norway"/>
    <x v="1"/>
    <n v="47.5"/>
  </r>
  <r>
    <n v="10252"/>
    <n v="60"/>
    <n v="27.2"/>
    <n v="40"/>
    <n v="0"/>
    <s v="Gulbis, Katrin"/>
    <s v="Gulbis Katrin"/>
    <x v="1"/>
    <s v="WA"/>
    <s v="Product WHBYK"/>
    <x v="0"/>
    <x v="2"/>
    <d v="2006-07-11T00:00:00"/>
    <x v="1"/>
    <s v="Ship to 76-B"/>
    <x v="3"/>
    <s v="Supplier OAVQT"/>
    <s v="France"/>
    <x v="1"/>
    <n v="1088"/>
  </r>
  <r>
    <n v="10253"/>
    <n v="31"/>
    <n v="10"/>
    <n v="20"/>
    <n v="0"/>
    <s v="Cohen, Shy"/>
    <s v="Cohen Shy"/>
    <x v="2"/>
    <s v="WA"/>
    <s v="Product XWOXC"/>
    <x v="0"/>
    <x v="3"/>
    <d v="2006-07-16T00:00:00"/>
    <x v="1"/>
    <s v="Destination JPAIY"/>
    <x v="1"/>
    <s v="Supplier KEREV"/>
    <s v="Italy"/>
    <x v="1"/>
    <n v="200"/>
  </r>
  <r>
    <n v="10253"/>
    <n v="39"/>
    <n v="14.4"/>
    <n v="42"/>
    <n v="0"/>
    <s v="Cohen, Shy"/>
    <s v="Cohen Shy"/>
    <x v="2"/>
    <s v="WA"/>
    <s v="Product LSOFL"/>
    <x v="6"/>
    <x v="3"/>
    <d v="2006-07-16T00:00:00"/>
    <x v="1"/>
    <s v="Destination JPAIY"/>
    <x v="1"/>
    <s v="Supplier LVJUA"/>
    <s v="France"/>
    <x v="1"/>
    <n v="604.80000000000007"/>
  </r>
  <r>
    <n v="10253"/>
    <n v="49"/>
    <n v="16"/>
    <n v="40"/>
    <n v="0"/>
    <s v="Cohen, Shy"/>
    <s v="Cohen Shy"/>
    <x v="2"/>
    <s v="WA"/>
    <s v="Product FPYPN"/>
    <x v="5"/>
    <x v="3"/>
    <d v="2006-07-16T00:00:00"/>
    <x v="1"/>
    <s v="Destination JPAIY"/>
    <x v="1"/>
    <s v="Supplier ELCRN"/>
    <s v="Finland"/>
    <x v="1"/>
    <n v="640"/>
  </r>
  <r>
    <n v="10254"/>
    <n v="24"/>
    <n v="3.6"/>
    <n v="15"/>
    <n v="0.15"/>
    <s v="Jelitto, Jacek"/>
    <s v="Jelitto Jacek"/>
    <x v="3"/>
    <n v="0"/>
    <s v="Product QOGNU"/>
    <x v="6"/>
    <x v="4"/>
    <d v="2006-07-23T00:00:00"/>
    <x v="1"/>
    <s v="Destination YUJRD"/>
    <x v="4"/>
    <s v="Supplier UNAHG"/>
    <s v="Brazil"/>
    <x v="1"/>
    <n v="45.9"/>
  </r>
  <r>
    <n v="10254"/>
    <n v="55"/>
    <n v="19.2"/>
    <n v="21"/>
    <n v="0.15"/>
    <s v="Jelitto, Jacek"/>
    <s v="Jelitto Jacek"/>
    <x v="3"/>
    <n v="0"/>
    <s v="Product YYWRT"/>
    <x v="7"/>
    <x v="4"/>
    <d v="2006-07-23T00:00:00"/>
    <x v="1"/>
    <s v="Destination YUJRD"/>
    <x v="4"/>
    <s v="Supplier ERVYZ"/>
    <s v="Canada"/>
    <x v="1"/>
    <n v="342.71999999999997"/>
  </r>
  <r>
    <n v="10254"/>
    <n v="74"/>
    <n v="8"/>
    <n v="21"/>
    <n v="0"/>
    <s v="Jelitto, Jacek"/>
    <s v="Jelitto Jacek"/>
    <x v="3"/>
    <n v="0"/>
    <s v="Product BKAZJ"/>
    <x v="2"/>
    <x v="4"/>
    <d v="2006-07-23T00:00:00"/>
    <x v="1"/>
    <s v="Destination YUJRD"/>
    <x v="4"/>
    <s v="Supplier QOVFD"/>
    <s v="Japan"/>
    <x v="1"/>
    <n v="168"/>
  </r>
  <r>
    <n v="10255"/>
    <n v="2"/>
    <n v="15.2"/>
    <n v="20"/>
    <n v="0"/>
    <s v="Myrcha, Jacek"/>
    <s v="Myrcha Jacek"/>
    <x v="4"/>
    <n v="0"/>
    <s v="Product RECZE"/>
    <x v="6"/>
    <x v="5"/>
    <d v="2006-07-15T00:00:00"/>
    <x v="3"/>
    <s v="Ship to 68-A"/>
    <x v="4"/>
    <s v="Supplier SWRXU"/>
    <s v="UK"/>
    <x v="2"/>
    <n v="304"/>
  </r>
  <r>
    <n v="10255"/>
    <n v="16"/>
    <n v="13.9"/>
    <n v="35"/>
    <n v="0"/>
    <s v="Myrcha, Jacek"/>
    <s v="Myrcha Jacek"/>
    <x v="4"/>
    <n v="0"/>
    <s v="Product PAFRH"/>
    <x v="5"/>
    <x v="5"/>
    <d v="2006-07-15T00:00:00"/>
    <x v="3"/>
    <s v="Ship to 68-A"/>
    <x v="4"/>
    <s v="Supplier GQRCV"/>
    <s v="Australia"/>
    <x v="2"/>
    <n v="486.5"/>
  </r>
  <r>
    <n v="10255"/>
    <n v="36"/>
    <n v="15.2"/>
    <n v="25"/>
    <n v="0"/>
    <s v="Myrcha, Jacek"/>
    <s v="Myrcha Jacek"/>
    <x v="4"/>
    <n v="0"/>
    <s v="Product GMKIJ"/>
    <x v="3"/>
    <x v="5"/>
    <d v="2006-07-15T00:00:00"/>
    <x v="3"/>
    <s v="Ship to 68-A"/>
    <x v="4"/>
    <s v="Supplier QZGUF"/>
    <s v="Sweden"/>
    <x v="2"/>
    <n v="380"/>
  </r>
  <r>
    <n v="10255"/>
    <n v="59"/>
    <n v="44"/>
    <n v="30"/>
    <n v="0"/>
    <s v="Myrcha, Jacek"/>
    <s v="Myrcha Jacek"/>
    <x v="4"/>
    <n v="0"/>
    <s v="Product UKXRI"/>
    <x v="0"/>
    <x v="5"/>
    <d v="2006-07-15T00:00:00"/>
    <x v="3"/>
    <s v="Ship to 68-A"/>
    <x v="4"/>
    <s v="Supplier OAVQT"/>
    <s v="France"/>
    <x v="2"/>
    <n v="1320"/>
  </r>
  <r>
    <n v="10256"/>
    <n v="53"/>
    <n v="26.2"/>
    <n v="15"/>
    <n v="0"/>
    <s v="Li, Yan"/>
    <s v="Li Yan"/>
    <x v="2"/>
    <s v="WA"/>
    <s v="Product BKGEA"/>
    <x v="7"/>
    <x v="6"/>
    <d v="2006-07-17T00:00:00"/>
    <x v="1"/>
    <s v="Ship to 88-B"/>
    <x v="1"/>
    <s v="Supplier JNNES"/>
    <s v="Australia"/>
    <x v="1"/>
    <n v="393"/>
  </r>
  <r>
    <n v="10256"/>
    <n v="77"/>
    <n v="10.4"/>
    <n v="12"/>
    <n v="0"/>
    <s v="Li, Yan"/>
    <s v="Li Yan"/>
    <x v="2"/>
    <s v="WA"/>
    <s v="Product LUNZZ"/>
    <x v="4"/>
    <x v="6"/>
    <d v="2006-07-17T00:00:00"/>
    <x v="1"/>
    <s v="Ship to 88-B"/>
    <x v="1"/>
    <s v="Supplier SVIYA"/>
    <s v="Germany"/>
    <x v="1"/>
    <n v="124.80000000000001"/>
  </r>
  <r>
    <n v="10257"/>
    <n v="27"/>
    <n v="35.1"/>
    <n v="25"/>
    <n v="0"/>
    <s v="Langohr, Kris"/>
    <s v="Langohr Kris"/>
    <x v="1"/>
    <s v="WA"/>
    <s v="Product SMIOH"/>
    <x v="5"/>
    <x v="7"/>
    <d v="2006-07-22T00:00:00"/>
    <x v="3"/>
    <s v="Destination JYDLM"/>
    <x v="5"/>
    <s v="Supplier ZPYVS"/>
    <s v="Germany"/>
    <x v="1"/>
    <n v="877.5"/>
  </r>
  <r>
    <n v="10257"/>
    <n v="39"/>
    <n v="14.4"/>
    <n v="6"/>
    <n v="0"/>
    <s v="Langohr, Kris"/>
    <s v="Langohr Kris"/>
    <x v="1"/>
    <s v="WA"/>
    <s v="Product LSOFL"/>
    <x v="6"/>
    <x v="7"/>
    <d v="2006-07-22T00:00:00"/>
    <x v="3"/>
    <s v="Destination JYDLM"/>
    <x v="5"/>
    <s v="Supplier LVJUA"/>
    <s v="France"/>
    <x v="1"/>
    <n v="86.4"/>
  </r>
  <r>
    <n v="10257"/>
    <n v="77"/>
    <n v="10.4"/>
    <n v="15"/>
    <n v="0"/>
    <s v="Langohr, Kris"/>
    <s v="Langohr Kris"/>
    <x v="1"/>
    <s v="WA"/>
    <s v="Product LUNZZ"/>
    <x v="4"/>
    <x v="7"/>
    <d v="2006-07-22T00:00:00"/>
    <x v="3"/>
    <s v="Destination JYDLM"/>
    <x v="5"/>
    <s v="Supplier SVIYA"/>
    <s v="Germany"/>
    <x v="1"/>
    <n v="156"/>
  </r>
  <r>
    <n v="10258"/>
    <n v="2"/>
    <n v="15.2"/>
    <n v="50"/>
    <n v="0.2"/>
    <s v="Kane, John"/>
    <s v="Kane John"/>
    <x v="5"/>
    <s v="WA"/>
    <s v="Product RECZE"/>
    <x v="6"/>
    <x v="8"/>
    <d v="2006-07-23T00:00:00"/>
    <x v="2"/>
    <s v="Destination RVDMF"/>
    <x v="6"/>
    <s v="Supplier SWRXU"/>
    <s v="UK"/>
    <x v="2"/>
    <n v="608"/>
  </r>
  <r>
    <n v="10258"/>
    <n v="5"/>
    <n v="17"/>
    <n v="65"/>
    <n v="0.2"/>
    <s v="Kane, John"/>
    <s v="Kane John"/>
    <x v="5"/>
    <s v="WA"/>
    <s v="Product EPEIM"/>
    <x v="4"/>
    <x v="8"/>
    <d v="2006-07-23T00:00:00"/>
    <x v="2"/>
    <s v="Destination RVDMF"/>
    <x v="6"/>
    <s v="Supplier VHQZD"/>
    <s v="USA"/>
    <x v="2"/>
    <n v="884"/>
  </r>
  <r>
    <n v="10258"/>
    <n v="32"/>
    <n v="25.6"/>
    <n v="6"/>
    <n v="0.2"/>
    <s v="Kane, John"/>
    <s v="Kane John"/>
    <x v="5"/>
    <s v="WA"/>
    <s v="Product NUNAW"/>
    <x v="0"/>
    <x v="8"/>
    <d v="2006-07-23T00:00:00"/>
    <x v="2"/>
    <s v="Destination RVDMF"/>
    <x v="6"/>
    <s v="Supplier KEREV"/>
    <s v="Italy"/>
    <x v="2"/>
    <n v="122.88000000000002"/>
  </r>
  <r>
    <n v="10259"/>
    <n v="21"/>
    <n v="8"/>
    <n v="10"/>
    <n v="0"/>
    <s v="Benito, Almudena"/>
    <s v="Benito Almudena"/>
    <x v="1"/>
    <s v="WA"/>
    <s v="Product VJZZH"/>
    <x v="5"/>
    <x v="9"/>
    <d v="2006-07-25T00:00:00"/>
    <x v="3"/>
    <s v="Destination LGGCH"/>
    <x v="7"/>
    <s v="Supplier BWGYE"/>
    <s v="UK"/>
    <x v="1"/>
    <n v="80"/>
  </r>
  <r>
    <n v="10259"/>
    <n v="37"/>
    <n v="20.8"/>
    <n v="1"/>
    <n v="0"/>
    <s v="Benito, Almudena"/>
    <s v="Benito Almudena"/>
    <x v="1"/>
    <s v="WA"/>
    <s v="Product EVFFA"/>
    <x v="3"/>
    <x v="9"/>
    <d v="2006-07-25T00:00:00"/>
    <x v="3"/>
    <s v="Destination LGGCH"/>
    <x v="7"/>
    <s v="Supplier QZGUF"/>
    <s v="Sweden"/>
    <x v="1"/>
    <n v="20.8"/>
  </r>
  <r>
    <n v="10260"/>
    <n v="41"/>
    <n v="7.7"/>
    <n v="16"/>
    <n v="0.25"/>
    <s v="Marinova, Nadejda"/>
    <s v="Marinova Nadejda"/>
    <x v="1"/>
    <s v="WA"/>
    <s v="Product TTEEX"/>
    <x v="3"/>
    <x v="10"/>
    <d v="2006-07-29T00:00:00"/>
    <x v="2"/>
    <s v="Ship to 56-A"/>
    <x v="8"/>
    <s v="Supplier JDNUG"/>
    <s v="USA"/>
    <x v="1"/>
    <n v="92.4"/>
  </r>
  <r>
    <n v="10260"/>
    <n v="57"/>
    <n v="15.6"/>
    <n v="50"/>
    <n v="0"/>
    <s v="Marinova, Nadejda"/>
    <s v="Marinova Nadejda"/>
    <x v="1"/>
    <s v="WA"/>
    <s v="Product OVLQI"/>
    <x v="1"/>
    <x v="10"/>
    <d v="2006-07-29T00:00:00"/>
    <x v="2"/>
    <s v="Ship to 56-A"/>
    <x v="8"/>
    <s v="Supplier ZWZDM"/>
    <s v="Italy"/>
    <x v="1"/>
    <n v="780"/>
  </r>
  <r>
    <n v="10260"/>
    <n v="62"/>
    <n v="39.4"/>
    <n v="15"/>
    <n v="0.25"/>
    <s v="Marinova, Nadejda"/>
    <s v="Marinova Nadejda"/>
    <x v="1"/>
    <s v="WA"/>
    <s v="Product WUXYK"/>
    <x v="5"/>
    <x v="10"/>
    <d v="2006-07-29T00:00:00"/>
    <x v="2"/>
    <s v="Ship to 56-A"/>
    <x v="8"/>
    <s v="Supplier OGLRK"/>
    <s v="Canada"/>
    <x v="1"/>
    <n v="443.25"/>
  </r>
  <r>
    <n v="10260"/>
    <n v="70"/>
    <n v="12"/>
    <n v="21"/>
    <n v="0.25"/>
    <s v="Marinova, Nadejda"/>
    <s v="Marinova Nadejda"/>
    <x v="1"/>
    <s v="WA"/>
    <s v="Product TOONT"/>
    <x v="6"/>
    <x v="10"/>
    <d v="2006-07-29T00:00:00"/>
    <x v="2"/>
    <s v="Ship to 56-A"/>
    <x v="8"/>
    <s v="Supplier GQRCV"/>
    <s v="Australia"/>
    <x v="1"/>
    <n v="189"/>
  </r>
  <r>
    <n v="10261"/>
    <n v="21"/>
    <n v="8"/>
    <n v="20"/>
    <n v="0"/>
    <s v="Florczyk, Krzysztof"/>
    <s v="Florczyk Krzysztof"/>
    <x v="1"/>
    <s v="WA"/>
    <s v="Product VJZZH"/>
    <x v="5"/>
    <x v="10"/>
    <d v="2006-07-30T00:00:00"/>
    <x v="1"/>
    <s v="Ship to 61-B"/>
    <x v="1"/>
    <s v="Supplier BWGYE"/>
    <s v="UK"/>
    <x v="1"/>
    <n v="160"/>
  </r>
  <r>
    <n v="10261"/>
    <n v="35"/>
    <n v="14.4"/>
    <n v="20"/>
    <n v="0"/>
    <s v="Florczyk, Krzysztof"/>
    <s v="Florczyk Krzysztof"/>
    <x v="1"/>
    <s v="WA"/>
    <s v="Product NEVTJ"/>
    <x v="6"/>
    <x v="10"/>
    <d v="2006-07-30T00:00:00"/>
    <x v="1"/>
    <s v="Ship to 61-B"/>
    <x v="1"/>
    <s v="Supplier UHZRG"/>
    <s v="USA"/>
    <x v="1"/>
    <n v="288"/>
  </r>
  <r>
    <n v="10262"/>
    <n v="5"/>
    <n v="17"/>
    <n v="12"/>
    <n v="0.2"/>
    <s v="Moore, Michael"/>
    <s v="Moore Michael"/>
    <x v="6"/>
    <s v="WA"/>
    <s v="Product EPEIM"/>
    <x v="4"/>
    <x v="11"/>
    <d v="2006-07-25T00:00:00"/>
    <x v="3"/>
    <s v="Ship to 65-B"/>
    <x v="9"/>
    <s v="Supplier VHQZD"/>
    <s v="USA"/>
    <x v="1"/>
    <n v="163.20000000000002"/>
  </r>
  <r>
    <n v="10262"/>
    <n v="7"/>
    <n v="24"/>
    <n v="15"/>
    <n v="0"/>
    <s v="Moore, Michael"/>
    <s v="Moore Michael"/>
    <x v="6"/>
    <s v="WA"/>
    <s v="Product HMLNI"/>
    <x v="2"/>
    <x v="11"/>
    <d v="2006-07-25T00:00:00"/>
    <x v="3"/>
    <s v="Ship to 65-B"/>
    <x v="9"/>
    <s v="Supplier STUAZ"/>
    <s v="USA"/>
    <x v="1"/>
    <n v="360"/>
  </r>
  <r>
    <n v="10262"/>
    <n v="56"/>
    <n v="30.4"/>
    <n v="2"/>
    <n v="0"/>
    <s v="Moore, Michael"/>
    <s v="Moore Michael"/>
    <x v="6"/>
    <s v="WA"/>
    <s v="Product VKCMF"/>
    <x v="1"/>
    <x v="11"/>
    <d v="2006-07-25T00:00:00"/>
    <x v="3"/>
    <s v="Ship to 65-B"/>
    <x v="9"/>
    <s v="Supplier ZWZDM"/>
    <s v="Italy"/>
    <x v="1"/>
    <n v="60.8"/>
  </r>
  <r>
    <n v="10263"/>
    <n v="16"/>
    <n v="13.9"/>
    <n v="60"/>
    <n v="0.25"/>
    <s v="Kane, John"/>
    <s v="Kane John"/>
    <x v="4"/>
    <n v="0"/>
    <s v="Product PAFRH"/>
    <x v="5"/>
    <x v="12"/>
    <d v="2006-07-31T00:00:00"/>
    <x v="3"/>
    <s v="Destination FFXKT"/>
    <x v="6"/>
    <s v="Supplier GQRCV"/>
    <s v="Australia"/>
    <x v="2"/>
    <n v="625.5"/>
  </r>
  <r>
    <n v="10263"/>
    <n v="24"/>
    <n v="3.6"/>
    <n v="28"/>
    <n v="0"/>
    <s v="Kane, John"/>
    <s v="Kane John"/>
    <x v="4"/>
    <n v="0"/>
    <s v="Product QOGNU"/>
    <x v="6"/>
    <x v="12"/>
    <d v="2006-07-31T00:00:00"/>
    <x v="3"/>
    <s v="Destination FFXKT"/>
    <x v="6"/>
    <s v="Supplier UNAHG"/>
    <s v="Brazil"/>
    <x v="2"/>
    <n v="100.8"/>
  </r>
  <r>
    <n v="10263"/>
    <n v="30"/>
    <n v="20.7"/>
    <n v="60"/>
    <n v="0.25"/>
    <s v="Kane, John"/>
    <s v="Kane John"/>
    <x v="4"/>
    <n v="0"/>
    <s v="Product LYERX"/>
    <x v="3"/>
    <x v="12"/>
    <d v="2006-07-31T00:00:00"/>
    <x v="3"/>
    <s v="Destination FFXKT"/>
    <x v="6"/>
    <s v="Supplier TEGSC"/>
    <s v="Germany"/>
    <x v="2"/>
    <n v="931.5"/>
  </r>
  <r>
    <n v="10263"/>
    <n v="74"/>
    <n v="8"/>
    <n v="36"/>
    <n v="0.25"/>
    <s v="Kane, John"/>
    <s v="Kane John"/>
    <x v="4"/>
    <n v="0"/>
    <s v="Product BKAZJ"/>
    <x v="2"/>
    <x v="12"/>
    <d v="2006-07-31T00:00:00"/>
    <x v="3"/>
    <s v="Destination FFXKT"/>
    <x v="6"/>
    <s v="Supplier QOVFD"/>
    <s v="Japan"/>
    <x v="2"/>
    <n v="216"/>
  </r>
  <r>
    <n v="10264"/>
    <n v="2"/>
    <n v="15.2"/>
    <n v="35"/>
    <n v="0"/>
    <s v="San Juan, Patricia"/>
    <s v="San Juan Patricia"/>
    <x v="7"/>
    <n v="0"/>
    <s v="Product RECZE"/>
    <x v="6"/>
    <x v="13"/>
    <d v="2006-08-23T00:00:00"/>
    <x v="3"/>
    <s v="Destination KBSBN"/>
    <x v="10"/>
    <s v="Supplier SWRXU"/>
    <s v="UK"/>
    <x v="1"/>
    <n v="532"/>
  </r>
  <r>
    <n v="10264"/>
    <n v="41"/>
    <n v="7.7"/>
    <n v="25"/>
    <n v="0.15"/>
    <s v="San Juan, Patricia"/>
    <s v="San Juan Patricia"/>
    <x v="7"/>
    <n v="0"/>
    <s v="Product TTEEX"/>
    <x v="3"/>
    <x v="13"/>
    <d v="2006-08-23T00:00:00"/>
    <x v="3"/>
    <s v="Destination KBSBN"/>
    <x v="10"/>
    <s v="Supplier JDNUG"/>
    <s v="USA"/>
    <x v="1"/>
    <n v="163.625"/>
  </r>
  <r>
    <n v="10265"/>
    <n v="17"/>
    <n v="31.2"/>
    <n v="30"/>
    <n v="0"/>
    <s v="Bansal, Dushyant"/>
    <s v="Bansal Dushyant"/>
    <x v="8"/>
    <s v="WA"/>
    <s v="Product BLCAX"/>
    <x v="7"/>
    <x v="14"/>
    <d v="2006-08-12T00:00:00"/>
    <x v="2"/>
    <s v="Ship to 7-A"/>
    <x v="2"/>
    <s v="Supplier GQRCV"/>
    <s v="Australia"/>
    <x v="1"/>
    <n v="936"/>
  </r>
  <r>
    <n v="10265"/>
    <n v="70"/>
    <n v="12"/>
    <n v="20"/>
    <n v="0"/>
    <s v="Bansal, Dushyant"/>
    <s v="Bansal Dushyant"/>
    <x v="8"/>
    <s v="WA"/>
    <s v="Product TOONT"/>
    <x v="6"/>
    <x v="14"/>
    <d v="2006-08-12T00:00:00"/>
    <x v="2"/>
    <s v="Ship to 7-A"/>
    <x v="2"/>
    <s v="Supplier GQRCV"/>
    <s v="Australia"/>
    <x v="1"/>
    <n v="240"/>
  </r>
  <r>
    <n v="10266"/>
    <n v="12"/>
    <n v="30.4"/>
    <n v="12"/>
    <n v="0.05"/>
    <s v="Ludwig, Michael"/>
    <s v="Ludwig Michael"/>
    <x v="2"/>
    <s v="WA"/>
    <s v="Product OSFNS"/>
    <x v="0"/>
    <x v="15"/>
    <d v="2006-07-31T00:00:00"/>
    <x v="3"/>
    <s v="Ship to 87-B"/>
    <x v="11"/>
    <s v="Supplier EQPNC"/>
    <s v="Spain"/>
    <x v="1"/>
    <n v="346.55999999999995"/>
  </r>
  <r>
    <n v="10267"/>
    <n v="40"/>
    <n v="14.7"/>
    <n v="50"/>
    <n v="0"/>
    <s v="Carlson, Jason"/>
    <s v="Carlson Jason"/>
    <x v="1"/>
    <s v="WA"/>
    <s v="Product YZIXQ"/>
    <x v="3"/>
    <x v="16"/>
    <d v="2006-08-06T00:00:00"/>
    <x v="2"/>
    <s v="Destination VAPXU"/>
    <x v="8"/>
    <s v="Supplier JDNUG"/>
    <s v="USA"/>
    <x v="2"/>
    <n v="735"/>
  </r>
  <r>
    <n v="10267"/>
    <n v="59"/>
    <n v="44"/>
    <n v="70"/>
    <n v="0.15"/>
    <s v="Carlson, Jason"/>
    <s v="Carlson Jason"/>
    <x v="1"/>
    <s v="WA"/>
    <s v="Product UKXRI"/>
    <x v="0"/>
    <x v="16"/>
    <d v="2006-08-06T00:00:00"/>
    <x v="2"/>
    <s v="Destination VAPXU"/>
    <x v="8"/>
    <s v="Supplier OAVQT"/>
    <s v="France"/>
    <x v="2"/>
    <n v="2618"/>
  </r>
  <r>
    <n v="10267"/>
    <n v="76"/>
    <n v="14.4"/>
    <n v="15"/>
    <n v="0.15"/>
    <s v="Carlson, Jason"/>
    <s v="Carlson Jason"/>
    <x v="1"/>
    <s v="WA"/>
    <s v="Product JYGFE"/>
    <x v="6"/>
    <x v="16"/>
    <d v="2006-08-06T00:00:00"/>
    <x v="2"/>
    <s v="Destination VAPXU"/>
    <x v="8"/>
    <s v="Supplier ELCRN"/>
    <s v="Finland"/>
    <x v="2"/>
    <n v="183.6"/>
  </r>
  <r>
    <n v="10268"/>
    <n v="29"/>
    <n v="99"/>
    <n v="10"/>
    <n v="0"/>
    <s v="Sigurdarson, Hallur"/>
    <s v="Sigurdarson Hallur"/>
    <x v="6"/>
    <s v="WA"/>
    <s v="Product VJXYN"/>
    <x v="7"/>
    <x v="17"/>
    <d v="2006-08-02T00:00:00"/>
    <x v="3"/>
    <s v="Destination QJVQH"/>
    <x v="5"/>
    <s v="Supplier SVIYA"/>
    <s v="Germany"/>
    <x v="1"/>
    <n v="990"/>
  </r>
  <r>
    <n v="10268"/>
    <n v="72"/>
    <n v="27.8"/>
    <n v="4"/>
    <n v="0"/>
    <s v="Sigurdarson, Hallur"/>
    <s v="Sigurdarson Hallur"/>
    <x v="6"/>
    <s v="WA"/>
    <s v="Product GEEOO"/>
    <x v="0"/>
    <x v="17"/>
    <d v="2006-08-02T00:00:00"/>
    <x v="3"/>
    <s v="Destination QJVQH"/>
    <x v="5"/>
    <s v="Supplier KEREV"/>
    <s v="Italy"/>
    <x v="1"/>
    <n v="111.2"/>
  </r>
  <r>
    <n v="10269"/>
    <n v="33"/>
    <n v="2"/>
    <n v="60"/>
    <n v="0.05"/>
    <s v="Smith Jr., Ronaldo"/>
    <s v="Smith Jr. Ronaldo"/>
    <x v="3"/>
    <n v="0"/>
    <s v="Product ASTMN"/>
    <x v="0"/>
    <x v="18"/>
    <d v="2006-08-09T00:00:00"/>
    <x v="2"/>
    <s v="Ship to 89-B"/>
    <x v="9"/>
    <s v="Supplier NZLIF"/>
    <s v="Norway"/>
    <x v="1"/>
    <n v="114"/>
  </r>
  <r>
    <n v="10269"/>
    <n v="72"/>
    <n v="27.8"/>
    <n v="20"/>
    <n v="0.05"/>
    <s v="Smith Jr., Ronaldo"/>
    <s v="Smith Jr. Ronaldo"/>
    <x v="3"/>
    <n v="0"/>
    <s v="Product GEEOO"/>
    <x v="0"/>
    <x v="18"/>
    <d v="2006-08-09T00:00:00"/>
    <x v="2"/>
    <s v="Ship to 89-B"/>
    <x v="9"/>
    <s v="Supplier KEREV"/>
    <s v="Italy"/>
    <x v="1"/>
    <n v="528.19999999999993"/>
  </r>
  <r>
    <n v="10270"/>
    <n v="36"/>
    <n v="15.2"/>
    <n v="30"/>
    <n v="0"/>
    <s v="Ludwig, Michael"/>
    <s v="Ludwig Michael"/>
    <x v="5"/>
    <s v="WA"/>
    <s v="Product GMKIJ"/>
    <x v="3"/>
    <x v="19"/>
    <d v="2006-08-02T00:00:00"/>
    <x v="2"/>
    <s v="Ship to 87-B"/>
    <x v="11"/>
    <s v="Supplier QZGUF"/>
    <s v="Sweden"/>
    <x v="2"/>
    <n v="456"/>
  </r>
  <r>
    <n v="10270"/>
    <n v="43"/>
    <n v="36.799999999999997"/>
    <n v="25"/>
    <n v="0"/>
    <s v="Ludwig, Michael"/>
    <s v="Ludwig Michael"/>
    <x v="5"/>
    <s v="WA"/>
    <s v="Product ZZZHR"/>
    <x v="6"/>
    <x v="19"/>
    <d v="2006-08-02T00:00:00"/>
    <x v="2"/>
    <s v="Ship to 87-B"/>
    <x v="11"/>
    <s v="Supplier CIYNM"/>
    <s v="Singapore"/>
    <x v="2"/>
    <n v="919.99999999999989"/>
  </r>
  <r>
    <n v="10271"/>
    <n v="33"/>
    <n v="2"/>
    <n v="24"/>
    <n v="0"/>
    <s v="Wojciechowska, Agnieszka"/>
    <s v="Wojciechowska Agnieszka"/>
    <x v="7"/>
    <n v="0"/>
    <s v="Product ASTMN"/>
    <x v="0"/>
    <x v="19"/>
    <d v="2006-08-30T00:00:00"/>
    <x v="1"/>
    <s v="Ship to 75-C"/>
    <x v="9"/>
    <s v="Supplier NZLIF"/>
    <s v="Norway"/>
    <x v="1"/>
    <n v="48"/>
  </r>
  <r>
    <n v="10272"/>
    <n v="20"/>
    <n v="64.8"/>
    <n v="6"/>
    <n v="0"/>
    <s v="Moore, Michael"/>
    <s v="Moore Michael"/>
    <x v="7"/>
    <n v="0"/>
    <s v="Product QHFFP"/>
    <x v="5"/>
    <x v="20"/>
    <d v="2006-08-06T00:00:00"/>
    <x v="1"/>
    <s v="Ship to 65-A"/>
    <x v="9"/>
    <s v="Supplier BWGYE"/>
    <s v="UK"/>
    <x v="1"/>
    <n v="388.79999999999995"/>
  </r>
  <r>
    <n v="10272"/>
    <n v="31"/>
    <n v="10"/>
    <n v="40"/>
    <n v="0"/>
    <s v="Moore, Michael"/>
    <s v="Moore Michael"/>
    <x v="7"/>
    <n v="0"/>
    <s v="Product XWOXC"/>
    <x v="0"/>
    <x v="20"/>
    <d v="2006-08-06T00:00:00"/>
    <x v="1"/>
    <s v="Ship to 65-A"/>
    <x v="9"/>
    <s v="Supplier KEREV"/>
    <s v="Italy"/>
    <x v="1"/>
    <n v="400"/>
  </r>
  <r>
    <n v="10272"/>
    <n v="72"/>
    <n v="27.8"/>
    <n v="24"/>
    <n v="0"/>
    <s v="Moore, Michael"/>
    <s v="Moore Michael"/>
    <x v="7"/>
    <n v="0"/>
    <s v="Product GEEOO"/>
    <x v="0"/>
    <x v="20"/>
    <d v="2006-08-06T00:00:00"/>
    <x v="1"/>
    <s v="Ship to 65-A"/>
    <x v="9"/>
    <s v="Supplier KEREV"/>
    <s v="Italy"/>
    <x v="1"/>
    <n v="667.2"/>
  </r>
  <r>
    <n v="10273"/>
    <n v="10"/>
    <n v="24.8"/>
    <n v="24"/>
    <n v="0.05"/>
    <s v="Veronesi, Giorgio"/>
    <s v="Veronesi Giorgio"/>
    <x v="2"/>
    <s v="WA"/>
    <s v="Product YHXGE"/>
    <x v="3"/>
    <x v="21"/>
    <d v="2006-08-12T00:00:00"/>
    <x v="3"/>
    <s v="Ship to 63-A"/>
    <x v="8"/>
    <s v="Supplier QOVFD"/>
    <s v="Japan"/>
    <x v="1"/>
    <n v="565.44000000000005"/>
  </r>
  <r>
    <n v="10273"/>
    <n v="31"/>
    <n v="10"/>
    <n v="15"/>
    <n v="0.05"/>
    <s v="Veronesi, Giorgio"/>
    <s v="Veronesi Giorgio"/>
    <x v="2"/>
    <s v="WA"/>
    <s v="Product XWOXC"/>
    <x v="0"/>
    <x v="21"/>
    <d v="2006-08-12T00:00:00"/>
    <x v="3"/>
    <s v="Ship to 63-A"/>
    <x v="8"/>
    <s v="Supplier KEREV"/>
    <s v="Italy"/>
    <x v="1"/>
    <n v="142.5"/>
  </r>
  <r>
    <n v="10273"/>
    <n v="33"/>
    <n v="2"/>
    <n v="20"/>
    <n v="0"/>
    <s v="Veronesi, Giorgio"/>
    <s v="Veronesi Giorgio"/>
    <x v="2"/>
    <s v="WA"/>
    <s v="Product ASTMN"/>
    <x v="0"/>
    <x v="21"/>
    <d v="2006-08-12T00:00:00"/>
    <x v="3"/>
    <s v="Ship to 63-A"/>
    <x v="8"/>
    <s v="Supplier NZLIF"/>
    <s v="Norway"/>
    <x v="1"/>
    <n v="40"/>
  </r>
  <r>
    <n v="10273"/>
    <n v="40"/>
    <n v="14.7"/>
    <n v="60"/>
    <n v="0.05"/>
    <s v="Veronesi, Giorgio"/>
    <s v="Veronesi Giorgio"/>
    <x v="2"/>
    <s v="WA"/>
    <s v="Product YZIXQ"/>
    <x v="3"/>
    <x v="21"/>
    <d v="2006-08-12T00:00:00"/>
    <x v="3"/>
    <s v="Ship to 63-A"/>
    <x v="8"/>
    <s v="Supplier JDNUG"/>
    <s v="USA"/>
    <x v="1"/>
    <n v="837.9"/>
  </r>
  <r>
    <n v="10273"/>
    <n v="76"/>
    <n v="14.4"/>
    <n v="33"/>
    <n v="0.05"/>
    <s v="Veronesi, Giorgio"/>
    <s v="Veronesi Giorgio"/>
    <x v="2"/>
    <s v="WA"/>
    <s v="Product JYGFE"/>
    <x v="6"/>
    <x v="21"/>
    <d v="2006-08-12T00:00:00"/>
    <x v="3"/>
    <s v="Ship to 63-A"/>
    <x v="8"/>
    <s v="Supplier ELCRN"/>
    <s v="Finland"/>
    <x v="1"/>
    <n v="451.43999999999994"/>
  </r>
  <r>
    <n v="10274"/>
    <n v="71"/>
    <n v="17.2"/>
    <n v="20"/>
    <n v="0"/>
    <s v="McLin, Nkenge"/>
    <s v="McLin Nkenge"/>
    <x v="7"/>
    <n v="0"/>
    <s v="Product MYMOI"/>
    <x v="0"/>
    <x v="22"/>
    <d v="2006-08-16T00:00:00"/>
    <x v="2"/>
    <s v="Ship to 85-B"/>
    <x v="2"/>
    <s v="Supplier NZLIF"/>
    <s v="Norway"/>
    <x v="1"/>
    <n v="344"/>
  </r>
  <r>
    <n v="10274"/>
    <n v="72"/>
    <n v="27.8"/>
    <n v="7"/>
    <n v="0"/>
    <s v="McLin, Nkenge"/>
    <s v="McLin Nkenge"/>
    <x v="7"/>
    <n v="0"/>
    <s v="Product GEEOO"/>
    <x v="0"/>
    <x v="22"/>
    <d v="2006-08-16T00:00:00"/>
    <x v="2"/>
    <s v="Ship to 85-B"/>
    <x v="2"/>
    <s v="Supplier KEREV"/>
    <s v="Italy"/>
    <x v="1"/>
    <n v="194.6"/>
  </r>
  <r>
    <n v="10275"/>
    <n v="24"/>
    <n v="3.6"/>
    <n v="12"/>
    <n v="0.05"/>
    <s v="Duerr, Bernard"/>
    <s v="Duerr Bernard"/>
    <x v="5"/>
    <s v="WA"/>
    <s v="Product QOGNU"/>
    <x v="6"/>
    <x v="23"/>
    <d v="2006-08-09T00:00:00"/>
    <x v="2"/>
    <s v="Ship to 49-A"/>
    <x v="12"/>
    <s v="Supplier UNAHG"/>
    <s v="Brazil"/>
    <x v="1"/>
    <n v="41.04"/>
  </r>
  <r>
    <n v="10275"/>
    <n v="59"/>
    <n v="44"/>
    <n v="6"/>
    <n v="0.05"/>
    <s v="Duerr, Bernard"/>
    <s v="Duerr Bernard"/>
    <x v="5"/>
    <s v="WA"/>
    <s v="Product UKXRI"/>
    <x v="0"/>
    <x v="23"/>
    <d v="2006-08-09T00:00:00"/>
    <x v="2"/>
    <s v="Ship to 49-A"/>
    <x v="12"/>
    <s v="Supplier OAVQT"/>
    <s v="France"/>
    <x v="1"/>
    <n v="250.79999999999998"/>
  </r>
  <r>
    <n v="10276"/>
    <n v="10"/>
    <n v="24.8"/>
    <n v="15"/>
    <n v="0"/>
    <s v="Geschwandtner, Jens"/>
    <s v="Geschwandtner Jens"/>
    <x v="6"/>
    <s v="WA"/>
    <s v="Product YHXGE"/>
    <x v="3"/>
    <x v="24"/>
    <d v="2006-08-14T00:00:00"/>
    <x v="3"/>
    <s v="Ship to 80-C"/>
    <x v="7"/>
    <s v="Supplier QOVFD"/>
    <s v="Japan"/>
    <x v="1"/>
    <n v="372"/>
  </r>
  <r>
    <n v="10276"/>
    <n v="13"/>
    <n v="4.8"/>
    <n v="10"/>
    <n v="0"/>
    <s v="Geschwandtner, Jens"/>
    <s v="Geschwandtner Jens"/>
    <x v="6"/>
    <s v="WA"/>
    <s v="Product POXFU"/>
    <x v="3"/>
    <x v="24"/>
    <d v="2006-08-14T00:00:00"/>
    <x v="3"/>
    <s v="Ship to 80-C"/>
    <x v="7"/>
    <s v="Supplier QWUSF"/>
    <s v="Japan"/>
    <x v="1"/>
    <n v="48"/>
  </r>
  <r>
    <n v="10277"/>
    <n v="28"/>
    <n v="36.4"/>
    <n v="20"/>
    <n v="0"/>
    <s v="Dupont-Roc, Patrice"/>
    <s v="Dupont-Roc Patrice"/>
    <x v="8"/>
    <s v="WA"/>
    <s v="Product OFBNT"/>
    <x v="2"/>
    <x v="25"/>
    <d v="2006-08-13T00:00:00"/>
    <x v="3"/>
    <s v="Ship to 52-A"/>
    <x v="8"/>
    <s v="Supplier SVIYA"/>
    <s v="Germany"/>
    <x v="2"/>
    <n v="728"/>
  </r>
  <r>
    <n v="10277"/>
    <n v="62"/>
    <n v="39.4"/>
    <n v="12"/>
    <n v="0"/>
    <s v="Dupont-Roc, Patrice"/>
    <s v="Dupont-Roc Patrice"/>
    <x v="8"/>
    <s v="WA"/>
    <s v="Product WUXYK"/>
    <x v="5"/>
    <x v="25"/>
    <d v="2006-08-13T00:00:00"/>
    <x v="3"/>
    <s v="Ship to 52-A"/>
    <x v="8"/>
    <s v="Supplier OGLRK"/>
    <s v="Canada"/>
    <x v="2"/>
    <n v="472.79999999999995"/>
  </r>
  <r>
    <n v="10278"/>
    <n v="44"/>
    <n v="15.5"/>
    <n v="16"/>
    <n v="0"/>
    <s v="Higginbotham, Tom"/>
    <s v="Higginbotham Tom"/>
    <x v="6"/>
    <s v="WA"/>
    <s v="Product VJIEO"/>
    <x v="4"/>
    <x v="26"/>
    <d v="2006-08-16T00:00:00"/>
    <x v="1"/>
    <s v="Ship to 5-C"/>
    <x v="10"/>
    <s v="Supplier CIYNM"/>
    <s v="Singapore"/>
    <x v="1"/>
    <n v="248"/>
  </r>
  <r>
    <n v="10278"/>
    <n v="59"/>
    <n v="44"/>
    <n v="15"/>
    <n v="0"/>
    <s v="Higginbotham, Tom"/>
    <s v="Higginbotham Tom"/>
    <x v="6"/>
    <s v="WA"/>
    <s v="Product UKXRI"/>
    <x v="0"/>
    <x v="26"/>
    <d v="2006-08-16T00:00:00"/>
    <x v="1"/>
    <s v="Ship to 5-C"/>
    <x v="10"/>
    <s v="Supplier OAVQT"/>
    <s v="France"/>
    <x v="1"/>
    <n v="660"/>
  </r>
  <r>
    <n v="10278"/>
    <n v="63"/>
    <n v="35.1"/>
    <n v="8"/>
    <n v="0"/>
    <s v="Higginbotham, Tom"/>
    <s v="Higginbotham Tom"/>
    <x v="6"/>
    <s v="WA"/>
    <s v="Product ICKNK"/>
    <x v="4"/>
    <x v="26"/>
    <d v="2006-08-16T00:00:00"/>
    <x v="1"/>
    <s v="Ship to 5-C"/>
    <x v="10"/>
    <s v="Supplier GQRCV"/>
    <s v="Australia"/>
    <x v="1"/>
    <n v="280.8"/>
  </r>
  <r>
    <n v="10278"/>
    <n v="73"/>
    <n v="12"/>
    <n v="25"/>
    <n v="0"/>
    <s v="Higginbotham, Tom"/>
    <s v="Higginbotham Tom"/>
    <x v="6"/>
    <s v="WA"/>
    <s v="Product WEUJZ"/>
    <x v="3"/>
    <x v="26"/>
    <d v="2006-08-16T00:00:00"/>
    <x v="1"/>
    <s v="Ship to 5-C"/>
    <x v="10"/>
    <s v="Supplier QZGUF"/>
    <s v="Sweden"/>
    <x v="1"/>
    <n v="300"/>
  </r>
  <r>
    <n v="10279"/>
    <n v="17"/>
    <n v="31.2"/>
    <n v="15"/>
    <n v="0.25"/>
    <s v="Louverdis, George"/>
    <s v="Louverdis George"/>
    <x v="6"/>
    <s v="WA"/>
    <s v="Product BLCAX"/>
    <x v="7"/>
    <x v="27"/>
    <d v="2006-08-16T00:00:00"/>
    <x v="1"/>
    <s v="Ship to 44-A"/>
    <x v="8"/>
    <s v="Supplier GQRCV"/>
    <s v="Australia"/>
    <x v="1"/>
    <n v="351"/>
  </r>
  <r>
    <n v="10280"/>
    <n v="24"/>
    <n v="3.6"/>
    <n v="12"/>
    <n v="0"/>
    <s v="Higginbotham, Tom"/>
    <s v="Higginbotham Tom"/>
    <x v="8"/>
    <s v="WA"/>
    <s v="Product QOGNU"/>
    <x v="6"/>
    <x v="28"/>
    <d v="2006-09-12T00:00:00"/>
    <x v="2"/>
    <s v="Ship to 5-B"/>
    <x v="10"/>
    <s v="Supplier UNAHG"/>
    <s v="Brazil"/>
    <x v="1"/>
    <n v="43.2"/>
  </r>
  <r>
    <n v="10280"/>
    <n v="55"/>
    <n v="19.2"/>
    <n v="20"/>
    <n v="0"/>
    <s v="Higginbotham, Tom"/>
    <s v="Higginbotham Tom"/>
    <x v="8"/>
    <s v="WA"/>
    <s v="Product YYWRT"/>
    <x v="7"/>
    <x v="28"/>
    <d v="2006-09-12T00:00:00"/>
    <x v="2"/>
    <s v="Ship to 5-B"/>
    <x v="10"/>
    <s v="Supplier ERVYZ"/>
    <s v="Canada"/>
    <x v="1"/>
    <n v="384"/>
  </r>
  <r>
    <n v="10280"/>
    <n v="75"/>
    <n v="6.2"/>
    <n v="30"/>
    <n v="0"/>
    <s v="Higginbotham, Tom"/>
    <s v="Higginbotham Tom"/>
    <x v="8"/>
    <s v="WA"/>
    <s v="Product BWRLG"/>
    <x v="6"/>
    <x v="28"/>
    <d v="2006-09-12T00:00:00"/>
    <x v="2"/>
    <s v="Ship to 5-B"/>
    <x v="10"/>
    <s v="Supplier SVIYA"/>
    <s v="Germany"/>
    <x v="1"/>
    <n v="186"/>
  </r>
  <r>
    <n v="10281"/>
    <n v="19"/>
    <n v="7.3"/>
    <n v="1"/>
    <n v="0"/>
    <s v="Watters, Jason M."/>
    <s v="Watters Jason M."/>
    <x v="1"/>
    <s v="WA"/>
    <s v="Product XKXDO"/>
    <x v="5"/>
    <x v="28"/>
    <d v="2006-08-21T00:00:00"/>
    <x v="2"/>
    <s v="Ship to 69-A"/>
    <x v="13"/>
    <s v="Supplier BWGYE"/>
    <s v="UK"/>
    <x v="1"/>
    <n v="7.3"/>
  </r>
  <r>
    <n v="10281"/>
    <n v="24"/>
    <n v="3.6"/>
    <n v="6"/>
    <n v="0"/>
    <s v="Watters, Jason M."/>
    <s v="Watters Jason M."/>
    <x v="1"/>
    <s v="WA"/>
    <s v="Product QOGNU"/>
    <x v="6"/>
    <x v="28"/>
    <d v="2006-08-21T00:00:00"/>
    <x v="2"/>
    <s v="Ship to 69-A"/>
    <x v="13"/>
    <s v="Supplier UNAHG"/>
    <s v="Brazil"/>
    <x v="1"/>
    <n v="21.6"/>
  </r>
  <r>
    <n v="10281"/>
    <n v="35"/>
    <n v="14.4"/>
    <n v="4"/>
    <n v="0"/>
    <s v="Watters, Jason M."/>
    <s v="Watters Jason M."/>
    <x v="1"/>
    <s v="WA"/>
    <s v="Product NEVTJ"/>
    <x v="6"/>
    <x v="28"/>
    <d v="2006-08-21T00:00:00"/>
    <x v="2"/>
    <s v="Ship to 69-A"/>
    <x v="13"/>
    <s v="Supplier UHZRG"/>
    <s v="USA"/>
    <x v="1"/>
    <n v="57.6"/>
  </r>
  <r>
    <n v="10282"/>
    <n v="30"/>
    <n v="20.7"/>
    <n v="6"/>
    <n v="0"/>
    <s v="Watters, Jason M."/>
    <s v="Watters Jason M."/>
    <x v="1"/>
    <s v="WA"/>
    <s v="Product LYERX"/>
    <x v="3"/>
    <x v="29"/>
    <d v="2006-08-21T00:00:00"/>
    <x v="2"/>
    <s v="Ship to 69-B"/>
    <x v="13"/>
    <s v="Supplier TEGSC"/>
    <s v="Germany"/>
    <x v="1"/>
    <n v="124.19999999999999"/>
  </r>
  <r>
    <n v="10282"/>
    <n v="57"/>
    <n v="15.6"/>
    <n v="2"/>
    <n v="0"/>
    <s v="Watters, Jason M."/>
    <s v="Watters Jason M."/>
    <x v="1"/>
    <s v="WA"/>
    <s v="Product OVLQI"/>
    <x v="1"/>
    <x v="29"/>
    <d v="2006-08-21T00:00:00"/>
    <x v="2"/>
    <s v="Ship to 69-B"/>
    <x v="13"/>
    <s v="Supplier ZWZDM"/>
    <s v="Italy"/>
    <x v="1"/>
    <n v="31.2"/>
  </r>
  <r>
    <n v="10283"/>
    <n v="15"/>
    <n v="12.4"/>
    <n v="20"/>
    <n v="0"/>
    <s v="Dressler, Marlies"/>
    <s v="Dressler Marlies"/>
    <x v="2"/>
    <s v="WA"/>
    <s v="Product KSZOI"/>
    <x v="4"/>
    <x v="30"/>
    <d v="2006-08-23T00:00:00"/>
    <x v="3"/>
    <s v="Ship to 46-A"/>
    <x v="5"/>
    <s v="Supplier QWUSF"/>
    <s v="Japan"/>
    <x v="1"/>
    <n v="248"/>
  </r>
  <r>
    <n v="10283"/>
    <n v="19"/>
    <n v="7.3"/>
    <n v="18"/>
    <n v="0"/>
    <s v="Dressler, Marlies"/>
    <s v="Dressler Marlies"/>
    <x v="2"/>
    <s v="WA"/>
    <s v="Product XKXDO"/>
    <x v="5"/>
    <x v="30"/>
    <d v="2006-08-23T00:00:00"/>
    <x v="3"/>
    <s v="Ship to 46-A"/>
    <x v="5"/>
    <s v="Supplier BWGYE"/>
    <s v="UK"/>
    <x v="1"/>
    <n v="131.4"/>
  </r>
  <r>
    <n v="10283"/>
    <n v="60"/>
    <n v="27.2"/>
    <n v="35"/>
    <n v="0"/>
    <s v="Dressler, Marlies"/>
    <s v="Dressler Marlies"/>
    <x v="2"/>
    <s v="WA"/>
    <s v="Product WHBYK"/>
    <x v="0"/>
    <x v="30"/>
    <d v="2006-08-23T00:00:00"/>
    <x v="3"/>
    <s v="Ship to 46-A"/>
    <x v="5"/>
    <s v="Supplier OAVQT"/>
    <s v="France"/>
    <x v="1"/>
    <n v="952"/>
  </r>
  <r>
    <n v="10283"/>
    <n v="72"/>
    <n v="27.8"/>
    <n v="3"/>
    <n v="0"/>
    <s v="Dressler, Marlies"/>
    <s v="Dressler Marlies"/>
    <x v="2"/>
    <s v="WA"/>
    <s v="Product GEEOO"/>
    <x v="0"/>
    <x v="30"/>
    <d v="2006-08-23T00:00:00"/>
    <x v="3"/>
    <s v="Ship to 46-A"/>
    <x v="5"/>
    <s v="Supplier KEREV"/>
    <s v="Italy"/>
    <x v="1"/>
    <n v="83.4"/>
  </r>
  <r>
    <n v="10284"/>
    <n v="27"/>
    <n v="35.1"/>
    <n v="15"/>
    <n v="0.25"/>
    <s v="Louverdis, George"/>
    <s v="Louverdis George"/>
    <x v="1"/>
    <s v="WA"/>
    <s v="Product SMIOH"/>
    <x v="5"/>
    <x v="31"/>
    <d v="2006-08-27T00:00:00"/>
    <x v="2"/>
    <s v="Ship to 44-A"/>
    <x v="8"/>
    <s v="Supplier ZPYVS"/>
    <s v="Germany"/>
    <x v="1"/>
    <n v="394.875"/>
  </r>
  <r>
    <n v="10284"/>
    <n v="44"/>
    <n v="15.5"/>
    <n v="21"/>
    <n v="0"/>
    <s v="Louverdis, George"/>
    <s v="Louverdis George"/>
    <x v="1"/>
    <s v="WA"/>
    <s v="Product VJIEO"/>
    <x v="4"/>
    <x v="31"/>
    <d v="2006-08-27T00:00:00"/>
    <x v="2"/>
    <s v="Ship to 44-A"/>
    <x v="8"/>
    <s v="Supplier CIYNM"/>
    <s v="Singapore"/>
    <x v="1"/>
    <n v="325.5"/>
  </r>
  <r>
    <n v="10284"/>
    <n v="60"/>
    <n v="27.2"/>
    <n v="20"/>
    <n v="0.25"/>
    <s v="Louverdis, George"/>
    <s v="Louverdis George"/>
    <x v="1"/>
    <s v="WA"/>
    <s v="Product WHBYK"/>
    <x v="0"/>
    <x v="31"/>
    <d v="2006-08-27T00:00:00"/>
    <x v="2"/>
    <s v="Ship to 44-A"/>
    <x v="8"/>
    <s v="Supplier OAVQT"/>
    <s v="France"/>
    <x v="1"/>
    <n v="408"/>
  </r>
  <r>
    <n v="10284"/>
    <n v="67"/>
    <n v="11.2"/>
    <n v="5"/>
    <n v="0.25"/>
    <s v="Louverdis, George"/>
    <s v="Louverdis George"/>
    <x v="1"/>
    <s v="WA"/>
    <s v="Product XLXQF"/>
    <x v="6"/>
    <x v="31"/>
    <d v="2006-08-27T00:00:00"/>
    <x v="2"/>
    <s v="Ship to 44-A"/>
    <x v="8"/>
    <s v="Supplier UHZRG"/>
    <s v="USA"/>
    <x v="1"/>
    <n v="42"/>
  </r>
  <r>
    <n v="10285"/>
    <n v="1"/>
    <n v="14.4"/>
    <n v="45"/>
    <n v="0.2"/>
    <s v="Veronesi, Giorgio"/>
    <s v="Veronesi Giorgio"/>
    <x v="5"/>
    <s v="WA"/>
    <s v="Product HHYDP"/>
    <x v="6"/>
    <x v="32"/>
    <d v="2006-08-26T00:00:00"/>
    <x v="1"/>
    <s v="Ship to 63-B"/>
    <x v="8"/>
    <s v="Supplier SWRXU"/>
    <s v="UK"/>
    <x v="1"/>
    <n v="518.4"/>
  </r>
  <r>
    <n v="10285"/>
    <n v="40"/>
    <n v="14.7"/>
    <n v="40"/>
    <n v="0.2"/>
    <s v="Veronesi, Giorgio"/>
    <s v="Veronesi Giorgio"/>
    <x v="5"/>
    <s v="WA"/>
    <s v="Product YZIXQ"/>
    <x v="3"/>
    <x v="32"/>
    <d v="2006-08-26T00:00:00"/>
    <x v="1"/>
    <s v="Ship to 63-B"/>
    <x v="8"/>
    <s v="Supplier JDNUG"/>
    <s v="USA"/>
    <x v="1"/>
    <n v="470.40000000000003"/>
  </r>
  <r>
    <n v="10285"/>
    <n v="53"/>
    <n v="26.2"/>
    <n v="36"/>
    <n v="0.2"/>
    <s v="Veronesi, Giorgio"/>
    <s v="Veronesi Giorgio"/>
    <x v="5"/>
    <s v="WA"/>
    <s v="Product BKGEA"/>
    <x v="7"/>
    <x v="32"/>
    <d v="2006-08-26T00:00:00"/>
    <x v="1"/>
    <s v="Ship to 63-B"/>
    <x v="8"/>
    <s v="Supplier JNNES"/>
    <s v="Australia"/>
    <x v="1"/>
    <n v="754.56"/>
  </r>
  <r>
    <n v="10286"/>
    <n v="35"/>
    <n v="14.4"/>
    <n v="100"/>
    <n v="0"/>
    <s v="Veronesi, Giorgio"/>
    <s v="Veronesi Giorgio"/>
    <x v="6"/>
    <s v="WA"/>
    <s v="Product NEVTJ"/>
    <x v="6"/>
    <x v="33"/>
    <d v="2006-08-30T00:00:00"/>
    <x v="3"/>
    <s v="Ship to 63-B"/>
    <x v="8"/>
    <s v="Supplier UHZRG"/>
    <s v="USA"/>
    <x v="2"/>
    <n v="1440"/>
  </r>
  <r>
    <n v="10286"/>
    <n v="62"/>
    <n v="39.4"/>
    <n v="40"/>
    <n v="0"/>
    <s v="Veronesi, Giorgio"/>
    <s v="Veronesi Giorgio"/>
    <x v="6"/>
    <s v="WA"/>
    <s v="Product WUXYK"/>
    <x v="5"/>
    <x v="33"/>
    <d v="2006-08-30T00:00:00"/>
    <x v="3"/>
    <s v="Ship to 63-B"/>
    <x v="8"/>
    <s v="Supplier OGLRK"/>
    <s v="Canada"/>
    <x v="2"/>
    <n v="1576"/>
  </r>
  <r>
    <n v="10287"/>
    <n v="16"/>
    <n v="13.9"/>
    <n v="40"/>
    <n v="0.15"/>
    <s v="Garden, Euan"/>
    <s v="Garden Euan"/>
    <x v="6"/>
    <s v="WA"/>
    <s v="Product PAFRH"/>
    <x v="5"/>
    <x v="34"/>
    <d v="2006-08-28T00:00:00"/>
    <x v="3"/>
    <s v="Ship to 67-A"/>
    <x v="1"/>
    <s v="Supplier GQRCV"/>
    <s v="Australia"/>
    <x v="1"/>
    <n v="472.59999999999997"/>
  </r>
  <r>
    <n v="10287"/>
    <n v="34"/>
    <n v="11.2"/>
    <n v="20"/>
    <n v="0"/>
    <s v="Garden, Euan"/>
    <s v="Garden Euan"/>
    <x v="6"/>
    <s v="WA"/>
    <s v="Product SWNJY"/>
    <x v="6"/>
    <x v="34"/>
    <d v="2006-08-28T00:00:00"/>
    <x v="3"/>
    <s v="Ship to 67-A"/>
    <x v="1"/>
    <s v="Supplier UHZRG"/>
    <s v="USA"/>
    <x v="1"/>
    <n v="224"/>
  </r>
  <r>
    <n v="10287"/>
    <n v="46"/>
    <n v="9.6"/>
    <n v="15"/>
    <n v="0.15"/>
    <s v="Garden, Euan"/>
    <s v="Garden Euan"/>
    <x v="6"/>
    <s v="WA"/>
    <s v="Product CBRRL"/>
    <x v="3"/>
    <x v="34"/>
    <d v="2006-08-28T00:00:00"/>
    <x v="3"/>
    <s v="Ship to 67-A"/>
    <x v="1"/>
    <s v="Supplier XOXZA"/>
    <s v="Denmark"/>
    <x v="1"/>
    <n v="122.39999999999999"/>
  </r>
  <r>
    <n v="10288"/>
    <n v="54"/>
    <n v="5.9"/>
    <n v="10"/>
    <n v="0.1"/>
    <s v="Voss, Florian"/>
    <s v="Voss Florian"/>
    <x v="1"/>
    <s v="WA"/>
    <s v="Product QAQRL"/>
    <x v="7"/>
    <x v="35"/>
    <d v="2006-09-03T00:00:00"/>
    <x v="2"/>
    <s v="Ship to 66-C"/>
    <x v="12"/>
    <s v="Supplier ERVYZ"/>
    <s v="Canada"/>
    <x v="1"/>
    <n v="53.1"/>
  </r>
  <r>
    <n v="10288"/>
    <n v="68"/>
    <n v="10"/>
    <n v="3"/>
    <n v="0.1"/>
    <s v="Voss, Florian"/>
    <s v="Voss Florian"/>
    <x v="1"/>
    <s v="WA"/>
    <s v="Product TBTBL"/>
    <x v="5"/>
    <x v="35"/>
    <d v="2006-09-03T00:00:00"/>
    <x v="2"/>
    <s v="Ship to 66-C"/>
    <x v="12"/>
    <s v="Supplier BWGYE"/>
    <s v="UK"/>
    <x v="1"/>
    <n v="27"/>
  </r>
  <r>
    <n v="10289"/>
    <n v="3"/>
    <n v="8"/>
    <n v="30"/>
    <n v="0"/>
    <s v="Jaffe, David"/>
    <s v="Jaffe David"/>
    <x v="9"/>
    <n v="0"/>
    <s v="Product IMEHJ"/>
    <x v="4"/>
    <x v="36"/>
    <d v="2006-08-28T00:00:00"/>
    <x v="3"/>
    <s v="Destination DLEUN"/>
    <x v="14"/>
    <s v="Supplier SWRXU"/>
    <s v="UK"/>
    <x v="1"/>
    <n v="240"/>
  </r>
  <r>
    <n v="10289"/>
    <n v="64"/>
    <n v="26.6"/>
    <n v="9"/>
    <n v="0"/>
    <s v="Jaffe, David"/>
    <s v="Jaffe David"/>
    <x v="9"/>
    <n v="0"/>
    <s v="Product HCQDE"/>
    <x v="1"/>
    <x v="36"/>
    <d v="2006-08-28T00:00:00"/>
    <x v="3"/>
    <s v="Destination DLEUN"/>
    <x v="14"/>
    <s v="Supplier SVIYA"/>
    <s v="Germany"/>
    <x v="1"/>
    <n v="239.4"/>
  </r>
  <r>
    <n v="10290"/>
    <n v="5"/>
    <n v="17"/>
    <n v="20"/>
    <n v="0"/>
    <s v="Richardson, Shawn"/>
    <s v="Richardson Shawn"/>
    <x v="6"/>
    <s v="WA"/>
    <s v="Product EPEIM"/>
    <x v="4"/>
    <x v="37"/>
    <d v="2006-09-03T00:00:00"/>
    <x v="2"/>
    <s v="Destination HQZHO"/>
    <x v="1"/>
    <s v="Supplier VHQZD"/>
    <s v="USA"/>
    <x v="1"/>
    <n v="340"/>
  </r>
  <r>
    <n v="10290"/>
    <n v="29"/>
    <n v="99"/>
    <n v="15"/>
    <n v="0"/>
    <s v="Richardson, Shawn"/>
    <s v="Richardson Shawn"/>
    <x v="6"/>
    <s v="WA"/>
    <s v="Product VJXYN"/>
    <x v="7"/>
    <x v="37"/>
    <d v="2006-09-03T00:00:00"/>
    <x v="2"/>
    <s v="Destination HQZHO"/>
    <x v="1"/>
    <s v="Supplier SVIYA"/>
    <s v="Germany"/>
    <x v="1"/>
    <n v="1485"/>
  </r>
  <r>
    <n v="10290"/>
    <n v="49"/>
    <n v="16"/>
    <n v="15"/>
    <n v="0"/>
    <s v="Richardson, Shawn"/>
    <s v="Richardson Shawn"/>
    <x v="6"/>
    <s v="WA"/>
    <s v="Product FPYPN"/>
    <x v="5"/>
    <x v="37"/>
    <d v="2006-09-03T00:00:00"/>
    <x v="2"/>
    <s v="Destination HQZHO"/>
    <x v="1"/>
    <s v="Supplier ELCRN"/>
    <s v="Finland"/>
    <x v="1"/>
    <n v="240"/>
  </r>
  <r>
    <n v="10290"/>
    <n v="77"/>
    <n v="10.4"/>
    <n v="10"/>
    <n v="0"/>
    <s v="Richardson, Shawn"/>
    <s v="Richardson Shawn"/>
    <x v="6"/>
    <s v="WA"/>
    <s v="Product LUNZZ"/>
    <x v="4"/>
    <x v="37"/>
    <d v="2006-09-03T00:00:00"/>
    <x v="2"/>
    <s v="Destination HQZHO"/>
    <x v="1"/>
    <s v="Supplier SVIYA"/>
    <s v="Germany"/>
    <x v="1"/>
    <n v="104"/>
  </r>
  <r>
    <n v="10291"/>
    <n v="13"/>
    <n v="4.8"/>
    <n v="20"/>
    <n v="0.1"/>
    <s v="Florczyk, Krzysztof"/>
    <s v="Florczyk Krzysztof"/>
    <x v="7"/>
    <n v="0"/>
    <s v="Product POXFU"/>
    <x v="3"/>
    <x v="37"/>
    <d v="2006-09-04T00:00:00"/>
    <x v="1"/>
    <s v="Ship to 61-A"/>
    <x v="1"/>
    <s v="Supplier QWUSF"/>
    <s v="Japan"/>
    <x v="1"/>
    <n v="86.4"/>
  </r>
  <r>
    <n v="10291"/>
    <n v="44"/>
    <n v="15.5"/>
    <n v="24"/>
    <n v="0.1"/>
    <s v="Florczyk, Krzysztof"/>
    <s v="Florczyk Krzysztof"/>
    <x v="7"/>
    <n v="0"/>
    <s v="Product VJIEO"/>
    <x v="4"/>
    <x v="37"/>
    <d v="2006-09-04T00:00:00"/>
    <x v="1"/>
    <s v="Ship to 61-A"/>
    <x v="1"/>
    <s v="Supplier CIYNM"/>
    <s v="Singapore"/>
    <x v="1"/>
    <n v="334.8"/>
  </r>
  <r>
    <n v="10291"/>
    <n v="51"/>
    <n v="42.4"/>
    <n v="2"/>
    <n v="0.1"/>
    <s v="Florczyk, Krzysztof"/>
    <s v="Florczyk Krzysztof"/>
    <x v="7"/>
    <n v="0"/>
    <s v="Product APITJ"/>
    <x v="2"/>
    <x v="37"/>
    <d v="2006-09-04T00:00:00"/>
    <x v="1"/>
    <s v="Ship to 61-A"/>
    <x v="1"/>
    <s v="Supplier JNNES"/>
    <s v="Australia"/>
    <x v="1"/>
    <n v="76.319999999999993"/>
  </r>
  <r>
    <n v="10292"/>
    <n v="20"/>
    <n v="64.8"/>
    <n v="20"/>
    <n v="0"/>
    <s v="Nagel, Jean-Philippe"/>
    <s v="Nagel Jean-Philippe"/>
    <x v="5"/>
    <s v="WA"/>
    <s v="Product QHFFP"/>
    <x v="5"/>
    <x v="38"/>
    <d v="2006-09-02T00:00:00"/>
    <x v="1"/>
    <s v="Ship to 81-A"/>
    <x v="1"/>
    <s v="Supplier BWGYE"/>
    <s v="UK"/>
    <x v="1"/>
    <n v="1296"/>
  </r>
  <r>
    <n v="10293"/>
    <n v="18"/>
    <n v="50"/>
    <n v="12"/>
    <n v="0"/>
    <s v="Geschwandtner, Jens"/>
    <s v="Geschwandtner Jens"/>
    <x v="5"/>
    <s v="WA"/>
    <s v="Product CKEDC"/>
    <x v="3"/>
    <x v="39"/>
    <d v="2006-09-11T00:00:00"/>
    <x v="3"/>
    <s v="Ship to 80-B"/>
    <x v="7"/>
    <s v="Supplier GQRCV"/>
    <s v="Australia"/>
    <x v="1"/>
    <n v="600"/>
  </r>
  <r>
    <n v="10293"/>
    <n v="24"/>
    <n v="3.6"/>
    <n v="10"/>
    <n v="0"/>
    <s v="Geschwandtner, Jens"/>
    <s v="Geschwandtner Jens"/>
    <x v="5"/>
    <s v="WA"/>
    <s v="Product QOGNU"/>
    <x v="6"/>
    <x v="39"/>
    <d v="2006-09-11T00:00:00"/>
    <x v="3"/>
    <s v="Ship to 80-B"/>
    <x v="7"/>
    <s v="Supplier UNAHG"/>
    <s v="Brazil"/>
    <x v="1"/>
    <n v="36"/>
  </r>
  <r>
    <n v="10293"/>
    <n v="63"/>
    <n v="35.1"/>
    <n v="5"/>
    <n v="0"/>
    <s v="Geschwandtner, Jens"/>
    <s v="Geschwandtner Jens"/>
    <x v="5"/>
    <s v="WA"/>
    <s v="Product ICKNK"/>
    <x v="4"/>
    <x v="39"/>
    <d v="2006-09-11T00:00:00"/>
    <x v="3"/>
    <s v="Ship to 80-B"/>
    <x v="7"/>
    <s v="Supplier GQRCV"/>
    <s v="Australia"/>
    <x v="1"/>
    <n v="175.5"/>
  </r>
  <r>
    <n v="10293"/>
    <n v="75"/>
    <n v="6.2"/>
    <n v="6"/>
    <n v="0"/>
    <s v="Geschwandtner, Jens"/>
    <s v="Geschwandtner Jens"/>
    <x v="5"/>
    <s v="WA"/>
    <s v="Product BWRLG"/>
    <x v="6"/>
    <x v="39"/>
    <d v="2006-09-11T00:00:00"/>
    <x v="3"/>
    <s v="Ship to 80-B"/>
    <x v="7"/>
    <s v="Supplier SVIYA"/>
    <s v="Germany"/>
    <x v="1"/>
    <n v="37.200000000000003"/>
  </r>
  <r>
    <n v="10294"/>
    <n v="1"/>
    <n v="14.4"/>
    <n v="18"/>
    <n v="0"/>
    <s v="Moore, Michael"/>
    <s v="Moore Michael"/>
    <x v="1"/>
    <s v="WA"/>
    <s v="Product HHYDP"/>
    <x v="6"/>
    <x v="40"/>
    <d v="2006-09-05T00:00:00"/>
    <x v="1"/>
    <s v="Ship to 65-A"/>
    <x v="9"/>
    <s v="Supplier SWRXU"/>
    <s v="UK"/>
    <x v="2"/>
    <n v="259.2"/>
  </r>
  <r>
    <n v="10294"/>
    <n v="17"/>
    <n v="31.2"/>
    <n v="15"/>
    <n v="0"/>
    <s v="Moore, Michael"/>
    <s v="Moore Michael"/>
    <x v="1"/>
    <s v="WA"/>
    <s v="Product BLCAX"/>
    <x v="7"/>
    <x v="40"/>
    <d v="2006-09-05T00:00:00"/>
    <x v="1"/>
    <s v="Ship to 65-A"/>
    <x v="9"/>
    <s v="Supplier GQRCV"/>
    <s v="Australia"/>
    <x v="2"/>
    <n v="468"/>
  </r>
  <r>
    <n v="10294"/>
    <n v="43"/>
    <n v="36.799999999999997"/>
    <n v="15"/>
    <n v="0"/>
    <s v="Moore, Michael"/>
    <s v="Moore Michael"/>
    <x v="1"/>
    <s v="WA"/>
    <s v="Product ZZZHR"/>
    <x v="6"/>
    <x v="40"/>
    <d v="2006-09-05T00:00:00"/>
    <x v="1"/>
    <s v="Ship to 65-A"/>
    <x v="9"/>
    <s v="Supplier CIYNM"/>
    <s v="Singapore"/>
    <x v="2"/>
    <n v="552"/>
  </r>
  <r>
    <n v="10294"/>
    <n v="60"/>
    <n v="27.2"/>
    <n v="21"/>
    <n v="0"/>
    <s v="Moore, Michael"/>
    <s v="Moore Michael"/>
    <x v="1"/>
    <s v="WA"/>
    <s v="Product WHBYK"/>
    <x v="0"/>
    <x v="40"/>
    <d v="2006-09-05T00:00:00"/>
    <x v="1"/>
    <s v="Ship to 65-A"/>
    <x v="9"/>
    <s v="Supplier OAVQT"/>
    <s v="France"/>
    <x v="2"/>
    <n v="571.19999999999993"/>
  </r>
  <r>
    <n v="10294"/>
    <n v="75"/>
    <n v="6.2"/>
    <n v="6"/>
    <n v="0"/>
    <s v="Moore, Michael"/>
    <s v="Moore Michael"/>
    <x v="1"/>
    <s v="WA"/>
    <s v="Product BWRLG"/>
    <x v="6"/>
    <x v="40"/>
    <d v="2006-09-05T00:00:00"/>
    <x v="1"/>
    <s v="Ship to 65-A"/>
    <x v="9"/>
    <s v="Supplier SVIYA"/>
    <s v="Germany"/>
    <x v="2"/>
    <n v="37.200000000000003"/>
  </r>
  <r>
    <n v="10295"/>
    <n v="56"/>
    <n v="30.4"/>
    <n v="4"/>
    <n v="0"/>
    <s v="McLin, Nkenge"/>
    <s v="McLin Nkenge"/>
    <x v="8"/>
    <s v="WA"/>
    <s v="Product VKCMF"/>
    <x v="1"/>
    <x v="41"/>
    <d v="2006-09-10T00:00:00"/>
    <x v="1"/>
    <s v="Ship to 85-C"/>
    <x v="2"/>
    <s v="Supplier ZWZDM"/>
    <s v="Italy"/>
    <x v="1"/>
    <n v="121.6"/>
  </r>
  <r>
    <n v="10296"/>
    <n v="11"/>
    <n v="16.8"/>
    <n v="12"/>
    <n v="0"/>
    <s v="Dressler, Marlies"/>
    <s v="Dressler Marlies"/>
    <x v="7"/>
    <n v="0"/>
    <s v="Product QMVUN"/>
    <x v="0"/>
    <x v="42"/>
    <d v="2006-09-11T00:00:00"/>
    <x v="2"/>
    <s v="Ship to 46-C"/>
    <x v="5"/>
    <s v="Supplier EQPNC"/>
    <s v="Spain"/>
    <x v="1"/>
    <n v="201.60000000000002"/>
  </r>
  <r>
    <n v="10296"/>
    <n v="16"/>
    <n v="13.9"/>
    <n v="30"/>
    <n v="0"/>
    <s v="Dressler, Marlies"/>
    <s v="Dressler Marlies"/>
    <x v="7"/>
    <n v="0"/>
    <s v="Product PAFRH"/>
    <x v="5"/>
    <x v="42"/>
    <d v="2006-09-11T00:00:00"/>
    <x v="2"/>
    <s v="Ship to 46-C"/>
    <x v="5"/>
    <s v="Supplier GQRCV"/>
    <s v="Australia"/>
    <x v="1"/>
    <n v="417"/>
  </r>
  <r>
    <n v="10296"/>
    <n v="69"/>
    <n v="28.8"/>
    <n v="15"/>
    <n v="0"/>
    <s v="Dressler, Marlies"/>
    <s v="Dressler Marlies"/>
    <x v="7"/>
    <n v="0"/>
    <s v="Product COAXA"/>
    <x v="0"/>
    <x v="42"/>
    <d v="2006-09-11T00:00:00"/>
    <x v="2"/>
    <s v="Ship to 46-C"/>
    <x v="5"/>
    <s v="Supplier NZLIF"/>
    <s v="Norway"/>
    <x v="1"/>
    <n v="432"/>
  </r>
  <r>
    <n v="10297"/>
    <n v="39"/>
    <n v="14.4"/>
    <n v="60"/>
    <n v="0"/>
    <s v="Bansal, Dushyant"/>
    <s v="Bansal Dushyant"/>
    <x v="3"/>
    <n v="0"/>
    <s v="Product LSOFL"/>
    <x v="6"/>
    <x v="43"/>
    <d v="2006-09-10T00:00:00"/>
    <x v="1"/>
    <s v="Ship to 7-C"/>
    <x v="2"/>
    <s v="Supplier LVJUA"/>
    <s v="France"/>
    <x v="1"/>
    <n v="864"/>
  </r>
  <r>
    <n v="10297"/>
    <n v="72"/>
    <n v="27.8"/>
    <n v="20"/>
    <n v="0"/>
    <s v="Bansal, Dushyant"/>
    <s v="Bansal Dushyant"/>
    <x v="3"/>
    <n v="0"/>
    <s v="Product GEEOO"/>
    <x v="0"/>
    <x v="43"/>
    <d v="2006-09-10T00:00:00"/>
    <x v="1"/>
    <s v="Ship to 7-C"/>
    <x v="2"/>
    <s v="Supplier KEREV"/>
    <s v="Italy"/>
    <x v="1"/>
    <n v="556"/>
  </r>
  <r>
    <n v="10298"/>
    <n v="2"/>
    <n v="15.2"/>
    <n v="40"/>
    <n v="0"/>
    <s v="Crăciun, Ovidiu V."/>
    <s v="Crăciun Ovidiu V."/>
    <x v="7"/>
    <n v="0"/>
    <s v="Product RECZE"/>
    <x v="6"/>
    <x v="44"/>
    <d v="2006-09-11T00:00:00"/>
    <x v="1"/>
    <s v="Destination ATSOA"/>
    <x v="15"/>
    <s v="Supplier SWRXU"/>
    <s v="UK"/>
    <x v="2"/>
    <n v="608"/>
  </r>
  <r>
    <n v="10298"/>
    <n v="36"/>
    <n v="15.2"/>
    <n v="40"/>
    <n v="0.25"/>
    <s v="Crăciun, Ovidiu V."/>
    <s v="Crăciun Ovidiu V."/>
    <x v="7"/>
    <n v="0"/>
    <s v="Product GMKIJ"/>
    <x v="3"/>
    <x v="44"/>
    <d v="2006-09-11T00:00:00"/>
    <x v="1"/>
    <s v="Destination ATSOA"/>
    <x v="15"/>
    <s v="Supplier QZGUF"/>
    <s v="Sweden"/>
    <x v="2"/>
    <n v="456"/>
  </r>
  <r>
    <n v="10298"/>
    <n v="59"/>
    <n v="44"/>
    <n v="30"/>
    <n v="0.25"/>
    <s v="Crăciun, Ovidiu V."/>
    <s v="Crăciun Ovidiu V."/>
    <x v="7"/>
    <n v="0"/>
    <s v="Product UKXRI"/>
    <x v="0"/>
    <x v="44"/>
    <d v="2006-09-11T00:00:00"/>
    <x v="1"/>
    <s v="Destination ATSOA"/>
    <x v="15"/>
    <s v="Supplier OAVQT"/>
    <s v="France"/>
    <x v="2"/>
    <n v="990"/>
  </r>
  <r>
    <n v="10298"/>
    <n v="62"/>
    <n v="39.4"/>
    <n v="15"/>
    <n v="0"/>
    <s v="Crăciun, Ovidiu V."/>
    <s v="Crăciun Ovidiu V."/>
    <x v="7"/>
    <n v="0"/>
    <s v="Product WUXYK"/>
    <x v="5"/>
    <x v="44"/>
    <d v="2006-09-11T00:00:00"/>
    <x v="1"/>
    <s v="Destination ATSOA"/>
    <x v="15"/>
    <s v="Supplier OGLRK"/>
    <s v="Canada"/>
    <x v="2"/>
    <n v="591"/>
  </r>
  <r>
    <n v="10299"/>
    <n v="19"/>
    <n v="7.3"/>
    <n v="15"/>
    <n v="0"/>
    <s v="Garden, Euan"/>
    <s v="Garden Euan"/>
    <x v="1"/>
    <s v="WA"/>
    <s v="Product XKXDO"/>
    <x v="5"/>
    <x v="45"/>
    <d v="2006-09-13T00:00:00"/>
    <x v="1"/>
    <s v="Ship to 67-A"/>
    <x v="1"/>
    <s v="Supplier BWGYE"/>
    <s v="UK"/>
    <x v="1"/>
    <n v="109.5"/>
  </r>
  <r>
    <n v="10299"/>
    <n v="70"/>
    <n v="12"/>
    <n v="20"/>
    <n v="0"/>
    <s v="Garden, Euan"/>
    <s v="Garden Euan"/>
    <x v="1"/>
    <s v="WA"/>
    <s v="Product TOONT"/>
    <x v="6"/>
    <x v="45"/>
    <d v="2006-09-13T00:00:00"/>
    <x v="1"/>
    <s v="Ship to 67-A"/>
    <x v="1"/>
    <s v="Supplier GQRCV"/>
    <s v="Australia"/>
    <x v="1"/>
    <n v="240"/>
  </r>
  <r>
    <n v="10300"/>
    <n v="66"/>
    <n v="13.6"/>
    <n v="30"/>
    <n v="0"/>
    <s v="Duerr, Bernard"/>
    <s v="Duerr Bernard"/>
    <x v="8"/>
    <s v="WA"/>
    <s v="Product LQMGN"/>
    <x v="4"/>
    <x v="46"/>
    <d v="2006-09-18T00:00:00"/>
    <x v="1"/>
    <s v="Ship to 49-A"/>
    <x v="12"/>
    <s v="Supplier VHQZD"/>
    <s v="USA"/>
    <x v="1"/>
    <n v="408"/>
  </r>
  <r>
    <n v="10300"/>
    <n v="68"/>
    <n v="10"/>
    <n v="20"/>
    <n v="0"/>
    <s v="Duerr, Bernard"/>
    <s v="Duerr Bernard"/>
    <x v="8"/>
    <s v="WA"/>
    <s v="Product TBTBL"/>
    <x v="5"/>
    <x v="46"/>
    <d v="2006-09-18T00:00:00"/>
    <x v="1"/>
    <s v="Ship to 49-A"/>
    <x v="12"/>
    <s v="Supplier BWGYE"/>
    <s v="UK"/>
    <x v="1"/>
    <n v="200"/>
  </r>
  <r>
    <n v="10301"/>
    <n v="40"/>
    <n v="14.7"/>
    <n v="10"/>
    <n v="0"/>
    <s v="Syamala, Manoj"/>
    <s v="Syamala Manoj"/>
    <x v="6"/>
    <s v="WA"/>
    <s v="Product YZIXQ"/>
    <x v="3"/>
    <x v="46"/>
    <d v="2006-09-17T00:00:00"/>
    <x v="1"/>
    <s v="Ship to 86-A"/>
    <x v="8"/>
    <s v="Supplier JDNUG"/>
    <s v="USA"/>
    <x v="1"/>
    <n v="147"/>
  </r>
  <r>
    <n v="10301"/>
    <n v="56"/>
    <n v="30.4"/>
    <n v="20"/>
    <n v="0"/>
    <s v="Syamala, Manoj"/>
    <s v="Syamala Manoj"/>
    <x v="6"/>
    <s v="WA"/>
    <s v="Product VKCMF"/>
    <x v="1"/>
    <x v="46"/>
    <d v="2006-09-17T00:00:00"/>
    <x v="1"/>
    <s v="Ship to 86-A"/>
    <x v="8"/>
    <s v="Supplier ZWZDM"/>
    <s v="Italy"/>
    <x v="1"/>
    <n v="608"/>
  </r>
  <r>
    <n v="10302"/>
    <n v="17"/>
    <n v="31.2"/>
    <n v="40"/>
    <n v="0"/>
    <s v="Gulbis, Katrin"/>
    <s v="Gulbis Katrin"/>
    <x v="1"/>
    <s v="WA"/>
    <s v="Product BLCAX"/>
    <x v="7"/>
    <x v="47"/>
    <d v="2006-10-09T00:00:00"/>
    <x v="1"/>
    <s v="Ship to 76-B"/>
    <x v="3"/>
    <s v="Supplier GQRCV"/>
    <s v="Australia"/>
    <x v="1"/>
    <n v="1248"/>
  </r>
  <r>
    <n v="10302"/>
    <n v="28"/>
    <n v="36.4"/>
    <n v="28"/>
    <n v="0"/>
    <s v="Gulbis, Katrin"/>
    <s v="Gulbis Katrin"/>
    <x v="1"/>
    <s v="WA"/>
    <s v="Product OFBNT"/>
    <x v="2"/>
    <x v="47"/>
    <d v="2006-10-09T00:00:00"/>
    <x v="1"/>
    <s v="Ship to 76-B"/>
    <x v="3"/>
    <s v="Supplier SVIYA"/>
    <s v="Germany"/>
    <x v="1"/>
    <n v="1019.1999999999999"/>
  </r>
  <r>
    <n v="10302"/>
    <n v="43"/>
    <n v="36.799999999999997"/>
    <n v="12"/>
    <n v="0"/>
    <s v="Gulbis, Katrin"/>
    <s v="Gulbis Katrin"/>
    <x v="1"/>
    <s v="WA"/>
    <s v="Product ZZZHR"/>
    <x v="6"/>
    <x v="47"/>
    <d v="2006-10-09T00:00:00"/>
    <x v="1"/>
    <s v="Ship to 76-B"/>
    <x v="3"/>
    <s v="Supplier CIYNM"/>
    <s v="Singapore"/>
    <x v="1"/>
    <n v="441.59999999999997"/>
  </r>
  <r>
    <n v="10303"/>
    <n v="40"/>
    <n v="14.7"/>
    <n v="40"/>
    <n v="0.1"/>
    <s v="Shabalin, Rostislav"/>
    <s v="Shabalin Rostislav"/>
    <x v="9"/>
    <n v="0"/>
    <s v="Product YZIXQ"/>
    <x v="3"/>
    <x v="48"/>
    <d v="2006-09-18T00:00:00"/>
    <x v="1"/>
    <s v="Destination IIYDD"/>
    <x v="13"/>
    <s v="Supplier JDNUG"/>
    <s v="USA"/>
    <x v="2"/>
    <n v="529.20000000000005"/>
  </r>
  <r>
    <n v="10303"/>
    <n v="65"/>
    <n v="16.8"/>
    <n v="30"/>
    <n v="0.1"/>
    <s v="Shabalin, Rostislav"/>
    <s v="Shabalin Rostislav"/>
    <x v="9"/>
    <n v="0"/>
    <s v="Product XYWBZ"/>
    <x v="4"/>
    <x v="48"/>
    <d v="2006-09-18T00:00:00"/>
    <x v="1"/>
    <s v="Destination IIYDD"/>
    <x v="13"/>
    <s v="Supplier VHQZD"/>
    <s v="USA"/>
    <x v="2"/>
    <n v="453.6"/>
  </r>
  <r>
    <n v="10303"/>
    <n v="68"/>
    <n v="10"/>
    <n v="15"/>
    <n v="0.1"/>
    <s v="Shabalin, Rostislav"/>
    <s v="Shabalin Rostislav"/>
    <x v="9"/>
    <n v="0"/>
    <s v="Product TBTBL"/>
    <x v="5"/>
    <x v="48"/>
    <d v="2006-09-18T00:00:00"/>
    <x v="1"/>
    <s v="Destination IIYDD"/>
    <x v="13"/>
    <s v="Supplier BWGYE"/>
    <s v="UK"/>
    <x v="2"/>
    <n v="135"/>
  </r>
  <r>
    <n v="10304"/>
    <n v="49"/>
    <n v="16"/>
    <n v="30"/>
    <n v="0"/>
    <s v="Geschwandtner, Jens"/>
    <s v="Geschwandtner Jens"/>
    <x v="5"/>
    <s v="WA"/>
    <s v="Product FPYPN"/>
    <x v="5"/>
    <x v="49"/>
    <d v="2006-09-17T00:00:00"/>
    <x v="1"/>
    <s v="Ship to 80-C"/>
    <x v="7"/>
    <s v="Supplier ELCRN"/>
    <s v="Finland"/>
    <x v="1"/>
    <n v="480"/>
  </r>
  <r>
    <n v="10304"/>
    <n v="59"/>
    <n v="44"/>
    <n v="10"/>
    <n v="0"/>
    <s v="Geschwandtner, Jens"/>
    <s v="Geschwandtner Jens"/>
    <x v="5"/>
    <s v="WA"/>
    <s v="Product UKXRI"/>
    <x v="0"/>
    <x v="49"/>
    <d v="2006-09-17T00:00:00"/>
    <x v="1"/>
    <s v="Ship to 80-C"/>
    <x v="7"/>
    <s v="Supplier OAVQT"/>
    <s v="France"/>
    <x v="1"/>
    <n v="440"/>
  </r>
  <r>
    <n v="10304"/>
    <n v="71"/>
    <n v="17.2"/>
    <n v="2"/>
    <n v="0"/>
    <s v="Geschwandtner, Jens"/>
    <s v="Geschwandtner Jens"/>
    <x v="5"/>
    <s v="WA"/>
    <s v="Product MYMOI"/>
    <x v="0"/>
    <x v="49"/>
    <d v="2006-09-17T00:00:00"/>
    <x v="1"/>
    <s v="Ship to 80-C"/>
    <x v="7"/>
    <s v="Supplier NZLIF"/>
    <s v="Norway"/>
    <x v="1"/>
    <n v="34.4"/>
  </r>
  <r>
    <n v="10305"/>
    <n v="18"/>
    <n v="50"/>
    <n v="25"/>
    <n v="0.1"/>
    <s v="Egelund-Muller, Anja"/>
    <s v="Egelund-Muller Anja"/>
    <x v="6"/>
    <s v="WA"/>
    <s v="Product CKEDC"/>
    <x v="3"/>
    <x v="50"/>
    <d v="2006-10-09T00:00:00"/>
    <x v="3"/>
    <s v="Ship to 55-B"/>
    <x v="9"/>
    <s v="Supplier GQRCV"/>
    <s v="Australia"/>
    <x v="2"/>
    <n v="1125"/>
  </r>
  <r>
    <n v="10305"/>
    <n v="29"/>
    <n v="99"/>
    <n v="25"/>
    <n v="0.1"/>
    <s v="Egelund-Muller, Anja"/>
    <s v="Egelund-Muller Anja"/>
    <x v="6"/>
    <s v="WA"/>
    <s v="Product VJXYN"/>
    <x v="7"/>
    <x v="50"/>
    <d v="2006-10-09T00:00:00"/>
    <x v="3"/>
    <s v="Ship to 55-B"/>
    <x v="9"/>
    <s v="Supplier SVIYA"/>
    <s v="Germany"/>
    <x v="2"/>
    <n v="2227.5"/>
  </r>
  <r>
    <n v="10305"/>
    <n v="39"/>
    <n v="14.4"/>
    <n v="30"/>
    <n v="0.1"/>
    <s v="Egelund-Muller, Anja"/>
    <s v="Egelund-Muller Anja"/>
    <x v="6"/>
    <s v="WA"/>
    <s v="Product LSOFL"/>
    <x v="6"/>
    <x v="50"/>
    <d v="2006-10-09T00:00:00"/>
    <x v="3"/>
    <s v="Ship to 55-B"/>
    <x v="9"/>
    <s v="Supplier LVJUA"/>
    <s v="France"/>
    <x v="2"/>
    <n v="388.8"/>
  </r>
  <r>
    <n v="10306"/>
    <n v="30"/>
    <n v="20.7"/>
    <n v="10"/>
    <n v="0"/>
    <s v="Watters, Jason M."/>
    <s v="Watters Jason M."/>
    <x v="5"/>
    <s v="WA"/>
    <s v="Product LYERX"/>
    <x v="3"/>
    <x v="51"/>
    <d v="2006-09-23T00:00:00"/>
    <x v="3"/>
    <s v="Ship to 69-B"/>
    <x v="13"/>
    <s v="Supplier TEGSC"/>
    <s v="Germany"/>
    <x v="1"/>
    <n v="207"/>
  </r>
  <r>
    <n v="10306"/>
    <n v="53"/>
    <n v="26.2"/>
    <n v="10"/>
    <n v="0"/>
    <s v="Watters, Jason M."/>
    <s v="Watters Jason M."/>
    <x v="5"/>
    <s v="WA"/>
    <s v="Product BKGEA"/>
    <x v="7"/>
    <x v="51"/>
    <d v="2006-09-23T00:00:00"/>
    <x v="3"/>
    <s v="Ship to 69-B"/>
    <x v="13"/>
    <s v="Supplier JNNES"/>
    <s v="Australia"/>
    <x v="1"/>
    <n v="262"/>
  </r>
  <r>
    <n v="10306"/>
    <n v="54"/>
    <n v="5.9"/>
    <n v="5"/>
    <n v="0"/>
    <s v="Watters, Jason M."/>
    <s v="Watters Jason M."/>
    <x v="5"/>
    <s v="WA"/>
    <s v="Product QAQRL"/>
    <x v="7"/>
    <x v="51"/>
    <d v="2006-09-23T00:00:00"/>
    <x v="3"/>
    <s v="Ship to 69-B"/>
    <x v="13"/>
    <s v="Supplier ERVYZ"/>
    <s v="Canada"/>
    <x v="1"/>
    <n v="29.5"/>
  </r>
  <r>
    <n v="10307"/>
    <n v="62"/>
    <n v="39.4"/>
    <n v="10"/>
    <n v="0"/>
    <s v="Szymczak, Radosław"/>
    <s v="Szymczak Radosław"/>
    <x v="8"/>
    <s v="WA"/>
    <s v="Product WUXYK"/>
    <x v="5"/>
    <x v="52"/>
    <d v="2006-09-25T00:00:00"/>
    <x v="1"/>
    <s v="Ship to 48-B"/>
    <x v="9"/>
    <s v="Supplier OGLRK"/>
    <s v="Canada"/>
    <x v="1"/>
    <n v="394"/>
  </r>
  <r>
    <n v="10307"/>
    <n v="68"/>
    <n v="10"/>
    <n v="3"/>
    <n v="0"/>
    <s v="Szymczak, Radosław"/>
    <s v="Szymczak Radosław"/>
    <x v="8"/>
    <s v="WA"/>
    <s v="Product TBTBL"/>
    <x v="5"/>
    <x v="52"/>
    <d v="2006-09-25T00:00:00"/>
    <x v="1"/>
    <s v="Ship to 48-B"/>
    <x v="9"/>
    <s v="Supplier BWGYE"/>
    <s v="UK"/>
    <x v="1"/>
    <n v="30"/>
  </r>
  <r>
    <n v="10308"/>
    <n v="69"/>
    <n v="28.8"/>
    <n v="1"/>
    <n v="0"/>
    <s v="Hassall, Mark"/>
    <s v="Hassall Mark"/>
    <x v="9"/>
    <n v="0"/>
    <s v="Product COAXA"/>
    <x v="0"/>
    <x v="53"/>
    <d v="2006-09-24T00:00:00"/>
    <x v="3"/>
    <s v="Destination QMVCI"/>
    <x v="7"/>
    <s v="Supplier NZLIF"/>
    <s v="Norway"/>
    <x v="1"/>
    <n v="28.8"/>
  </r>
  <r>
    <n v="10308"/>
    <n v="70"/>
    <n v="12"/>
    <n v="5"/>
    <n v="0"/>
    <s v="Hassall, Mark"/>
    <s v="Hassall Mark"/>
    <x v="9"/>
    <n v="0"/>
    <s v="Product TOONT"/>
    <x v="6"/>
    <x v="53"/>
    <d v="2006-09-24T00:00:00"/>
    <x v="3"/>
    <s v="Destination QMVCI"/>
    <x v="7"/>
    <s v="Supplier GQRCV"/>
    <s v="Australia"/>
    <x v="1"/>
    <n v="60"/>
  </r>
  <r>
    <n v="10309"/>
    <n v="4"/>
    <n v="17.600000000000001"/>
    <n v="20"/>
    <n v="0"/>
    <s v="Crăciun, Ovidiu V."/>
    <s v="Crăciun Ovidiu V."/>
    <x v="2"/>
    <s v="WA"/>
    <s v="Product KSBRM"/>
    <x v="4"/>
    <x v="54"/>
    <d v="2006-10-23T00:00:00"/>
    <x v="2"/>
    <s v="Destination ATSOA"/>
    <x v="15"/>
    <s v="Supplier VHQZD"/>
    <s v="USA"/>
    <x v="1"/>
    <n v="352"/>
  </r>
  <r>
    <n v="10309"/>
    <n v="6"/>
    <n v="20"/>
    <n v="30"/>
    <n v="0"/>
    <s v="Crăciun, Ovidiu V."/>
    <s v="Crăciun Ovidiu V."/>
    <x v="2"/>
    <s v="WA"/>
    <s v="Product VAIIV"/>
    <x v="4"/>
    <x v="54"/>
    <d v="2006-10-23T00:00:00"/>
    <x v="2"/>
    <s v="Destination ATSOA"/>
    <x v="15"/>
    <s v="Supplier STUAZ"/>
    <s v="USA"/>
    <x v="1"/>
    <n v="600"/>
  </r>
  <r>
    <n v="10309"/>
    <n v="42"/>
    <n v="11.2"/>
    <n v="2"/>
    <n v="0"/>
    <s v="Crăciun, Ovidiu V."/>
    <s v="Crăciun Ovidiu V."/>
    <x v="2"/>
    <s v="WA"/>
    <s v="Product RJVNM"/>
    <x v="1"/>
    <x v="54"/>
    <d v="2006-10-23T00:00:00"/>
    <x v="2"/>
    <s v="Destination ATSOA"/>
    <x v="15"/>
    <s v="Supplier CIYNM"/>
    <s v="Singapore"/>
    <x v="1"/>
    <n v="22.4"/>
  </r>
  <r>
    <n v="10309"/>
    <n v="43"/>
    <n v="36.799999999999997"/>
    <n v="20"/>
    <n v="0"/>
    <s v="Crăciun, Ovidiu V."/>
    <s v="Crăciun Ovidiu V."/>
    <x v="2"/>
    <s v="WA"/>
    <s v="Product ZZZHR"/>
    <x v="6"/>
    <x v="54"/>
    <d v="2006-10-23T00:00:00"/>
    <x v="2"/>
    <s v="Destination ATSOA"/>
    <x v="15"/>
    <s v="Supplier CIYNM"/>
    <s v="Singapore"/>
    <x v="1"/>
    <n v="736"/>
  </r>
  <r>
    <n v="10309"/>
    <n v="71"/>
    <n v="17.2"/>
    <n v="3"/>
    <n v="0"/>
    <s v="Crăciun, Ovidiu V."/>
    <s v="Crăciun Ovidiu V."/>
    <x v="2"/>
    <s v="WA"/>
    <s v="Product MYMOI"/>
    <x v="0"/>
    <x v="54"/>
    <d v="2006-10-23T00:00:00"/>
    <x v="2"/>
    <s v="Destination ATSOA"/>
    <x v="15"/>
    <s v="Supplier NZLIF"/>
    <s v="Norway"/>
    <x v="1"/>
    <n v="51.599999999999994"/>
  </r>
  <r>
    <n v="10310"/>
    <n v="16"/>
    <n v="13.9"/>
    <n v="10"/>
    <n v="0"/>
    <s v="Osorio, Cristian"/>
    <s v="Osorio Cristian"/>
    <x v="6"/>
    <s v="WA"/>
    <s v="Product PAFRH"/>
    <x v="5"/>
    <x v="55"/>
    <d v="2006-09-27T00:00:00"/>
    <x v="1"/>
    <s v="Ship to 77-B"/>
    <x v="9"/>
    <s v="Supplier GQRCV"/>
    <s v="Australia"/>
    <x v="1"/>
    <n v="139"/>
  </r>
  <r>
    <n v="10310"/>
    <n v="62"/>
    <n v="39.4"/>
    <n v="5"/>
    <n v="0"/>
    <s v="Osorio, Cristian"/>
    <s v="Osorio Cristian"/>
    <x v="6"/>
    <s v="WA"/>
    <s v="Product WUXYK"/>
    <x v="5"/>
    <x v="55"/>
    <d v="2006-09-27T00:00:00"/>
    <x v="1"/>
    <s v="Ship to 77-B"/>
    <x v="9"/>
    <s v="Supplier OGLRK"/>
    <s v="Canada"/>
    <x v="1"/>
    <n v="197"/>
  </r>
  <r>
    <n v="10311"/>
    <n v="42"/>
    <n v="11.2"/>
    <n v="6"/>
    <n v="0"/>
    <s v="Rizaldy, Arif"/>
    <s v="Rizaldy Arif"/>
    <x v="5"/>
    <s v="WA"/>
    <s v="Product RJVNM"/>
    <x v="1"/>
    <x v="55"/>
    <d v="2006-09-26T00:00:00"/>
    <x v="3"/>
    <s v="Destination SNPXM"/>
    <x v="2"/>
    <s v="Supplier CIYNM"/>
    <s v="Singapore"/>
    <x v="1"/>
    <n v="67.199999999999989"/>
  </r>
  <r>
    <n v="10311"/>
    <n v="69"/>
    <n v="28.8"/>
    <n v="7"/>
    <n v="0"/>
    <s v="Rizaldy, Arif"/>
    <s v="Rizaldy Arif"/>
    <x v="5"/>
    <s v="WA"/>
    <s v="Product COAXA"/>
    <x v="0"/>
    <x v="55"/>
    <d v="2006-09-26T00:00:00"/>
    <x v="3"/>
    <s v="Destination SNPXM"/>
    <x v="2"/>
    <s v="Supplier NZLIF"/>
    <s v="Norway"/>
    <x v="1"/>
    <n v="201.6"/>
  </r>
  <r>
    <n v="10312"/>
    <n v="28"/>
    <n v="36.4"/>
    <n v="4"/>
    <n v="0"/>
    <s v="Syamala, Manoj"/>
    <s v="Syamala Manoj"/>
    <x v="8"/>
    <s v="WA"/>
    <s v="Product OFBNT"/>
    <x v="2"/>
    <x v="56"/>
    <d v="2006-10-03T00:00:00"/>
    <x v="1"/>
    <s v="Ship to 86-B"/>
    <x v="8"/>
    <s v="Supplier SVIYA"/>
    <s v="Germany"/>
    <x v="1"/>
    <n v="145.6"/>
  </r>
  <r>
    <n v="10312"/>
    <n v="43"/>
    <n v="36.799999999999997"/>
    <n v="24"/>
    <n v="0"/>
    <s v="Syamala, Manoj"/>
    <s v="Syamala Manoj"/>
    <x v="8"/>
    <s v="WA"/>
    <s v="Product ZZZHR"/>
    <x v="6"/>
    <x v="56"/>
    <d v="2006-10-03T00:00:00"/>
    <x v="1"/>
    <s v="Ship to 86-B"/>
    <x v="8"/>
    <s v="Supplier CIYNM"/>
    <s v="Singapore"/>
    <x v="1"/>
    <n v="883.19999999999993"/>
  </r>
  <r>
    <n v="10312"/>
    <n v="53"/>
    <n v="26.2"/>
    <n v="20"/>
    <n v="0"/>
    <s v="Syamala, Manoj"/>
    <s v="Syamala Manoj"/>
    <x v="8"/>
    <s v="WA"/>
    <s v="Product BKGEA"/>
    <x v="7"/>
    <x v="56"/>
    <d v="2006-10-03T00:00:00"/>
    <x v="1"/>
    <s v="Ship to 86-B"/>
    <x v="8"/>
    <s v="Supplier JNNES"/>
    <s v="Australia"/>
    <x v="1"/>
    <n v="524"/>
  </r>
  <r>
    <n v="10312"/>
    <n v="75"/>
    <n v="6.2"/>
    <n v="10"/>
    <n v="0"/>
    <s v="Syamala, Manoj"/>
    <s v="Syamala Manoj"/>
    <x v="8"/>
    <s v="WA"/>
    <s v="Product BWRLG"/>
    <x v="6"/>
    <x v="56"/>
    <d v="2006-10-03T00:00:00"/>
    <x v="1"/>
    <s v="Ship to 86-B"/>
    <x v="8"/>
    <s v="Supplier SVIYA"/>
    <s v="Germany"/>
    <x v="1"/>
    <n v="62"/>
  </r>
  <r>
    <n v="10313"/>
    <n v="36"/>
    <n v="15.2"/>
    <n v="12"/>
    <n v="0"/>
    <s v="Veronesi, Giorgio"/>
    <s v="Veronesi Giorgio"/>
    <x v="8"/>
    <s v="WA"/>
    <s v="Product GMKIJ"/>
    <x v="3"/>
    <x v="57"/>
    <d v="2006-10-04T00:00:00"/>
    <x v="1"/>
    <s v="Ship to 63-A"/>
    <x v="8"/>
    <s v="Supplier QZGUF"/>
    <s v="Sweden"/>
    <x v="1"/>
    <n v="182.39999999999998"/>
  </r>
  <r>
    <n v="10314"/>
    <n v="32"/>
    <n v="25.6"/>
    <n v="40"/>
    <n v="0.1"/>
    <s v="Moore, Michael"/>
    <s v="Moore Michael"/>
    <x v="5"/>
    <s v="WA"/>
    <s v="Product NUNAW"/>
    <x v="0"/>
    <x v="58"/>
    <d v="2006-10-04T00:00:00"/>
    <x v="1"/>
    <s v="Ship to 65-A"/>
    <x v="9"/>
    <s v="Supplier KEREV"/>
    <s v="Italy"/>
    <x v="1"/>
    <n v="921.6"/>
  </r>
  <r>
    <n v="10314"/>
    <n v="58"/>
    <n v="10.6"/>
    <n v="30"/>
    <n v="0.1"/>
    <s v="Moore, Michael"/>
    <s v="Moore Michael"/>
    <x v="5"/>
    <s v="WA"/>
    <s v="Product ACRVI"/>
    <x v="3"/>
    <x v="58"/>
    <d v="2006-10-04T00:00:00"/>
    <x v="1"/>
    <s v="Ship to 65-A"/>
    <x v="9"/>
    <s v="Supplier ZRYDZ"/>
    <s v="France"/>
    <x v="1"/>
    <n v="286.2"/>
  </r>
  <r>
    <n v="10314"/>
    <n v="62"/>
    <n v="39.4"/>
    <n v="25"/>
    <n v="0.1"/>
    <s v="Moore, Michael"/>
    <s v="Moore Michael"/>
    <x v="5"/>
    <s v="WA"/>
    <s v="Product WUXYK"/>
    <x v="5"/>
    <x v="58"/>
    <d v="2006-10-04T00:00:00"/>
    <x v="1"/>
    <s v="Ship to 65-A"/>
    <x v="9"/>
    <s v="Supplier OGLRK"/>
    <s v="Canada"/>
    <x v="1"/>
    <n v="886.5"/>
  </r>
  <r>
    <n v="10315"/>
    <n v="34"/>
    <n v="11.2"/>
    <n v="14"/>
    <n v="0"/>
    <s v="Lee, Frank"/>
    <s v="Lee Frank"/>
    <x v="1"/>
    <s v="WA"/>
    <s v="Product SWNJY"/>
    <x v="6"/>
    <x v="59"/>
    <d v="2006-10-03T00:00:00"/>
    <x v="1"/>
    <s v="Destination AXVHD"/>
    <x v="14"/>
    <s v="Supplier UHZRG"/>
    <s v="USA"/>
    <x v="1"/>
    <n v="156.79999999999998"/>
  </r>
  <r>
    <n v="10315"/>
    <n v="70"/>
    <n v="12"/>
    <n v="30"/>
    <n v="0"/>
    <s v="Lee, Frank"/>
    <s v="Lee Frank"/>
    <x v="1"/>
    <s v="WA"/>
    <s v="Product TOONT"/>
    <x v="6"/>
    <x v="59"/>
    <d v="2006-10-03T00:00:00"/>
    <x v="1"/>
    <s v="Destination AXVHD"/>
    <x v="14"/>
    <s v="Supplier GQRCV"/>
    <s v="Australia"/>
    <x v="1"/>
    <n v="360"/>
  </r>
  <r>
    <n v="10316"/>
    <n v="41"/>
    <n v="7.7"/>
    <n v="10"/>
    <n v="0"/>
    <s v="Moore, Michael"/>
    <s v="Moore Michael"/>
    <x v="5"/>
    <s v="WA"/>
    <s v="Product TTEEX"/>
    <x v="3"/>
    <x v="60"/>
    <d v="2006-10-08T00:00:00"/>
    <x v="3"/>
    <s v="Ship to 65-B"/>
    <x v="9"/>
    <s v="Supplier JDNUG"/>
    <s v="USA"/>
    <x v="2"/>
    <n v="77"/>
  </r>
  <r>
    <n v="10316"/>
    <n v="62"/>
    <n v="39.4"/>
    <n v="70"/>
    <n v="0"/>
    <s v="Moore, Michael"/>
    <s v="Moore Michael"/>
    <x v="5"/>
    <s v="WA"/>
    <s v="Product WUXYK"/>
    <x v="5"/>
    <x v="60"/>
    <d v="2006-10-08T00:00:00"/>
    <x v="3"/>
    <s v="Ship to 65-B"/>
    <x v="9"/>
    <s v="Supplier OGLRK"/>
    <s v="Canada"/>
    <x v="2"/>
    <n v="2758"/>
  </r>
  <r>
    <n v="10317"/>
    <n v="1"/>
    <n v="14.4"/>
    <n v="20"/>
    <n v="0"/>
    <s v="Szymczak, Radosław"/>
    <s v="Szymczak Radosław"/>
    <x v="7"/>
    <n v="0"/>
    <s v="Product HHYDP"/>
    <x v="6"/>
    <x v="61"/>
    <d v="2006-10-10T00:00:00"/>
    <x v="2"/>
    <s v="Ship to 48-B"/>
    <x v="9"/>
    <s v="Supplier SWRXU"/>
    <s v="UK"/>
    <x v="1"/>
    <n v="288"/>
  </r>
  <r>
    <n v="10318"/>
    <n v="41"/>
    <n v="7.7"/>
    <n v="20"/>
    <n v="0"/>
    <s v="Lee, Frank"/>
    <s v="Lee Frank"/>
    <x v="6"/>
    <s v="WA"/>
    <s v="Product TTEEX"/>
    <x v="3"/>
    <x v="62"/>
    <d v="2006-10-04T00:00:00"/>
    <x v="1"/>
    <s v="Destination AXVHD"/>
    <x v="14"/>
    <s v="Supplier JDNUG"/>
    <s v="USA"/>
    <x v="1"/>
    <n v="154"/>
  </r>
  <r>
    <n v="10318"/>
    <n v="76"/>
    <n v="14.4"/>
    <n v="6"/>
    <n v="0"/>
    <s v="Lee, Frank"/>
    <s v="Lee Frank"/>
    <x v="6"/>
    <s v="WA"/>
    <s v="Product JYGFE"/>
    <x v="6"/>
    <x v="62"/>
    <d v="2006-10-04T00:00:00"/>
    <x v="1"/>
    <s v="Destination AXVHD"/>
    <x v="14"/>
    <s v="Supplier ELCRN"/>
    <s v="Finland"/>
    <x v="1"/>
    <n v="86.4"/>
  </r>
  <r>
    <n v="10319"/>
    <n v="17"/>
    <n v="31.2"/>
    <n v="8"/>
    <n v="0"/>
    <s v="Geschwandtner, Jens"/>
    <s v="Geschwandtner Jens"/>
    <x v="9"/>
    <n v="0"/>
    <s v="Product BLCAX"/>
    <x v="7"/>
    <x v="63"/>
    <d v="2006-10-11T00:00:00"/>
    <x v="3"/>
    <s v="Ship to 80-B"/>
    <x v="7"/>
    <s v="Supplier GQRCV"/>
    <s v="Australia"/>
    <x v="1"/>
    <n v="249.6"/>
  </r>
  <r>
    <n v="10319"/>
    <n v="28"/>
    <n v="36.4"/>
    <n v="14"/>
    <n v="0"/>
    <s v="Geschwandtner, Jens"/>
    <s v="Geschwandtner Jens"/>
    <x v="9"/>
    <n v="0"/>
    <s v="Product OFBNT"/>
    <x v="2"/>
    <x v="63"/>
    <d v="2006-10-11T00:00:00"/>
    <x v="3"/>
    <s v="Ship to 80-B"/>
    <x v="7"/>
    <s v="Supplier SVIYA"/>
    <s v="Germany"/>
    <x v="1"/>
    <n v="509.59999999999997"/>
  </r>
  <r>
    <n v="10319"/>
    <n v="76"/>
    <n v="14.4"/>
    <n v="30"/>
    <n v="0"/>
    <s v="Geschwandtner, Jens"/>
    <s v="Geschwandtner Jens"/>
    <x v="9"/>
    <n v="0"/>
    <s v="Product JYGFE"/>
    <x v="6"/>
    <x v="63"/>
    <d v="2006-10-11T00:00:00"/>
    <x v="3"/>
    <s v="Ship to 80-B"/>
    <x v="7"/>
    <s v="Supplier ELCRN"/>
    <s v="Finland"/>
    <x v="1"/>
    <n v="432"/>
  </r>
  <r>
    <n v="10320"/>
    <n v="71"/>
    <n v="17.2"/>
    <n v="30"/>
    <n v="0"/>
    <s v="Ludwig, Michael"/>
    <s v="Ludwig Michael"/>
    <x v="3"/>
    <n v="0"/>
    <s v="Product MYMOI"/>
    <x v="0"/>
    <x v="64"/>
    <d v="2006-10-18T00:00:00"/>
    <x v="3"/>
    <s v="Ship to 87-A"/>
    <x v="11"/>
    <s v="Supplier NZLIF"/>
    <s v="Norway"/>
    <x v="1"/>
    <n v="516"/>
  </r>
  <r>
    <n v="10321"/>
    <n v="35"/>
    <n v="14.4"/>
    <n v="10"/>
    <n v="0"/>
    <s v="Lee, Frank"/>
    <s v="Lee Frank"/>
    <x v="2"/>
    <s v="WA"/>
    <s v="Product NEVTJ"/>
    <x v="6"/>
    <x v="64"/>
    <d v="2006-10-11T00:00:00"/>
    <x v="1"/>
    <s v="Destination LMVGS"/>
    <x v="14"/>
    <s v="Supplier UHZRG"/>
    <s v="USA"/>
    <x v="1"/>
    <n v="144"/>
  </r>
  <r>
    <n v="10322"/>
    <n v="52"/>
    <n v="5.6"/>
    <n v="20"/>
    <n v="0"/>
    <s v="Fakhouri, Fadi"/>
    <s v="Fakhouri Fadi"/>
    <x v="9"/>
    <n v="0"/>
    <s v="Product QSRXF"/>
    <x v="1"/>
    <x v="65"/>
    <d v="2006-10-23T00:00:00"/>
    <x v="3"/>
    <s v="Ship to 58-A"/>
    <x v="7"/>
    <s v="Supplier JNNES"/>
    <s v="Australia"/>
    <x v="1"/>
    <n v="112"/>
  </r>
  <r>
    <n v="10323"/>
    <n v="15"/>
    <n v="12.4"/>
    <n v="5"/>
    <n v="0"/>
    <s v="Song, Lolan"/>
    <s v="Song Lolan"/>
    <x v="1"/>
    <s v="WA"/>
    <s v="Product KSZOI"/>
    <x v="4"/>
    <x v="66"/>
    <d v="2006-10-14T00:00:00"/>
    <x v="2"/>
    <s v="Destination RMBHM"/>
    <x v="8"/>
    <s v="Supplier QWUSF"/>
    <s v="Japan"/>
    <x v="1"/>
    <n v="62"/>
  </r>
  <r>
    <n v="10323"/>
    <n v="25"/>
    <n v="11.2"/>
    <n v="4"/>
    <n v="0"/>
    <s v="Song, Lolan"/>
    <s v="Song Lolan"/>
    <x v="1"/>
    <s v="WA"/>
    <s v="Product LYLNI"/>
    <x v="5"/>
    <x v="66"/>
    <d v="2006-10-14T00:00:00"/>
    <x v="2"/>
    <s v="Destination RMBHM"/>
    <x v="8"/>
    <s v="Supplier ZPYVS"/>
    <s v="Germany"/>
    <x v="1"/>
    <n v="44.8"/>
  </r>
  <r>
    <n v="10323"/>
    <n v="39"/>
    <n v="14.4"/>
    <n v="4"/>
    <n v="0"/>
    <s v="Song, Lolan"/>
    <s v="Song Lolan"/>
    <x v="1"/>
    <s v="WA"/>
    <s v="Product LSOFL"/>
    <x v="6"/>
    <x v="66"/>
    <d v="2006-10-14T00:00:00"/>
    <x v="2"/>
    <s v="Destination RMBHM"/>
    <x v="8"/>
    <s v="Supplier LVJUA"/>
    <s v="France"/>
    <x v="1"/>
    <n v="57.6"/>
  </r>
  <r>
    <n v="10324"/>
    <n v="16"/>
    <n v="13.9"/>
    <n v="21"/>
    <n v="0.15"/>
    <s v="Navarro, Tomás"/>
    <s v="Navarro Tomás"/>
    <x v="4"/>
    <n v="0"/>
    <s v="Product PAFRH"/>
    <x v="5"/>
    <x v="67"/>
    <d v="2006-10-10T00:00:00"/>
    <x v="2"/>
    <s v="Ship to 71-C"/>
    <x v="9"/>
    <s v="Supplier GQRCV"/>
    <s v="Australia"/>
    <x v="2"/>
    <n v="248.11500000000001"/>
  </r>
  <r>
    <n v="10324"/>
    <n v="35"/>
    <n v="14.4"/>
    <n v="70"/>
    <n v="0.15"/>
    <s v="Navarro, Tomás"/>
    <s v="Navarro Tomás"/>
    <x v="4"/>
    <n v="0"/>
    <s v="Product NEVTJ"/>
    <x v="6"/>
    <x v="67"/>
    <d v="2006-10-10T00:00:00"/>
    <x v="2"/>
    <s v="Ship to 71-C"/>
    <x v="9"/>
    <s v="Supplier UHZRG"/>
    <s v="USA"/>
    <x v="2"/>
    <n v="856.8"/>
  </r>
  <r>
    <n v="10324"/>
    <n v="46"/>
    <n v="9.6"/>
    <n v="30"/>
    <n v="0"/>
    <s v="Navarro, Tomás"/>
    <s v="Navarro Tomás"/>
    <x v="4"/>
    <n v="0"/>
    <s v="Product CBRRL"/>
    <x v="3"/>
    <x v="67"/>
    <d v="2006-10-10T00:00:00"/>
    <x v="2"/>
    <s v="Ship to 71-C"/>
    <x v="9"/>
    <s v="Supplier XOXZA"/>
    <s v="Denmark"/>
    <x v="2"/>
    <n v="288"/>
  </r>
  <r>
    <n v="10324"/>
    <n v="59"/>
    <n v="44"/>
    <n v="40"/>
    <n v="0.15"/>
    <s v="Navarro, Tomás"/>
    <s v="Navarro Tomás"/>
    <x v="4"/>
    <n v="0"/>
    <s v="Product UKXRI"/>
    <x v="0"/>
    <x v="67"/>
    <d v="2006-10-10T00:00:00"/>
    <x v="2"/>
    <s v="Ship to 71-C"/>
    <x v="9"/>
    <s v="Supplier OAVQT"/>
    <s v="France"/>
    <x v="2"/>
    <n v="1496"/>
  </r>
  <r>
    <n v="10324"/>
    <n v="63"/>
    <n v="35.1"/>
    <n v="80"/>
    <n v="0.15"/>
    <s v="Navarro, Tomás"/>
    <s v="Navarro Tomás"/>
    <x v="4"/>
    <n v="0"/>
    <s v="Product ICKNK"/>
    <x v="4"/>
    <x v="67"/>
    <d v="2006-10-10T00:00:00"/>
    <x v="2"/>
    <s v="Ship to 71-C"/>
    <x v="9"/>
    <s v="Supplier GQRCV"/>
    <s v="Australia"/>
    <x v="2"/>
    <n v="2386.7999999999997"/>
  </r>
  <r>
    <n v="10325"/>
    <n v="6"/>
    <n v="20"/>
    <n v="6"/>
    <n v="0"/>
    <s v="Song, Lolan"/>
    <s v="Song Lolan"/>
    <x v="5"/>
    <s v="WA"/>
    <s v="Product VAIIV"/>
    <x v="4"/>
    <x v="68"/>
    <d v="2006-10-14T00:00:00"/>
    <x v="3"/>
    <s v="Destination RMBHM"/>
    <x v="8"/>
    <s v="Supplier STUAZ"/>
    <s v="USA"/>
    <x v="1"/>
    <n v="120"/>
  </r>
  <r>
    <n v="10325"/>
    <n v="13"/>
    <n v="4.8"/>
    <n v="12"/>
    <n v="0"/>
    <s v="Song, Lolan"/>
    <s v="Song Lolan"/>
    <x v="5"/>
    <s v="WA"/>
    <s v="Product POXFU"/>
    <x v="3"/>
    <x v="68"/>
    <d v="2006-10-14T00:00:00"/>
    <x v="3"/>
    <s v="Destination RMBHM"/>
    <x v="8"/>
    <s v="Supplier QWUSF"/>
    <s v="Japan"/>
    <x v="1"/>
    <n v="57.599999999999994"/>
  </r>
  <r>
    <n v="10325"/>
    <n v="14"/>
    <n v="18.600000000000001"/>
    <n v="9"/>
    <n v="0"/>
    <s v="Song, Lolan"/>
    <s v="Song Lolan"/>
    <x v="5"/>
    <s v="WA"/>
    <s v="Product PWCJB"/>
    <x v="2"/>
    <x v="68"/>
    <d v="2006-10-14T00:00:00"/>
    <x v="3"/>
    <s v="Destination RMBHM"/>
    <x v="8"/>
    <s v="Supplier QWUSF"/>
    <s v="Japan"/>
    <x v="1"/>
    <n v="167.4"/>
  </r>
  <r>
    <n v="10325"/>
    <n v="31"/>
    <n v="10"/>
    <n v="4"/>
    <n v="0"/>
    <s v="Song, Lolan"/>
    <s v="Song Lolan"/>
    <x v="5"/>
    <s v="WA"/>
    <s v="Product XWOXC"/>
    <x v="0"/>
    <x v="68"/>
    <d v="2006-10-14T00:00:00"/>
    <x v="3"/>
    <s v="Destination RMBHM"/>
    <x v="8"/>
    <s v="Supplier KEREV"/>
    <s v="Italy"/>
    <x v="1"/>
    <n v="40"/>
  </r>
  <r>
    <n v="10325"/>
    <n v="72"/>
    <n v="27.8"/>
    <n v="40"/>
    <n v="0"/>
    <s v="Song, Lolan"/>
    <s v="Song Lolan"/>
    <x v="5"/>
    <s v="WA"/>
    <s v="Product GEEOO"/>
    <x v="0"/>
    <x v="68"/>
    <d v="2006-10-14T00:00:00"/>
    <x v="3"/>
    <s v="Destination RMBHM"/>
    <x v="8"/>
    <s v="Supplier KEREV"/>
    <s v="Italy"/>
    <x v="1"/>
    <n v="1112"/>
  </r>
  <r>
    <n v="10326"/>
    <n v="4"/>
    <n v="17.600000000000001"/>
    <n v="24"/>
    <n v="0"/>
    <s v="Ilyina, Julia"/>
    <s v="Ilyina Julia"/>
    <x v="1"/>
    <s v="WA"/>
    <s v="Product KSBRM"/>
    <x v="4"/>
    <x v="69"/>
    <d v="2006-10-14T00:00:00"/>
    <x v="1"/>
    <s v="Ship to 8-A"/>
    <x v="13"/>
    <s v="Supplier VHQZD"/>
    <s v="USA"/>
    <x v="1"/>
    <n v="422.40000000000003"/>
  </r>
  <r>
    <n v="10326"/>
    <n v="57"/>
    <n v="15.6"/>
    <n v="16"/>
    <n v="0"/>
    <s v="Ilyina, Julia"/>
    <s v="Ilyina Julia"/>
    <x v="1"/>
    <s v="WA"/>
    <s v="Product OVLQI"/>
    <x v="1"/>
    <x v="69"/>
    <d v="2006-10-14T00:00:00"/>
    <x v="1"/>
    <s v="Ship to 8-A"/>
    <x v="13"/>
    <s v="Supplier ZWZDM"/>
    <s v="Italy"/>
    <x v="1"/>
    <n v="249.6"/>
  </r>
  <r>
    <n v="10326"/>
    <n v="75"/>
    <n v="6.2"/>
    <n v="50"/>
    <n v="0"/>
    <s v="Ilyina, Julia"/>
    <s v="Ilyina Julia"/>
    <x v="1"/>
    <s v="WA"/>
    <s v="Product BWRLG"/>
    <x v="6"/>
    <x v="69"/>
    <d v="2006-10-14T00:00:00"/>
    <x v="1"/>
    <s v="Ship to 8-A"/>
    <x v="13"/>
    <s v="Supplier SVIYA"/>
    <s v="Germany"/>
    <x v="1"/>
    <n v="310"/>
  </r>
  <r>
    <n v="10327"/>
    <n v="2"/>
    <n v="15.2"/>
    <n v="25"/>
    <n v="0.2"/>
    <s v="San Juan, Patricia"/>
    <s v="San Juan Patricia"/>
    <x v="8"/>
    <s v="WA"/>
    <s v="Product RECZE"/>
    <x v="6"/>
    <x v="70"/>
    <d v="2006-10-14T00:00:00"/>
    <x v="2"/>
    <s v="Destination NCKKO"/>
    <x v="10"/>
    <s v="Supplier SWRXU"/>
    <s v="UK"/>
    <x v="1"/>
    <n v="304"/>
  </r>
  <r>
    <n v="10327"/>
    <n v="11"/>
    <n v="16.8"/>
    <n v="50"/>
    <n v="0.2"/>
    <s v="San Juan, Patricia"/>
    <s v="San Juan Patricia"/>
    <x v="8"/>
    <s v="WA"/>
    <s v="Product QMVUN"/>
    <x v="0"/>
    <x v="70"/>
    <d v="2006-10-14T00:00:00"/>
    <x v="2"/>
    <s v="Destination NCKKO"/>
    <x v="10"/>
    <s v="Supplier EQPNC"/>
    <s v="Spain"/>
    <x v="1"/>
    <n v="672"/>
  </r>
  <r>
    <n v="10327"/>
    <n v="30"/>
    <n v="20.7"/>
    <n v="35"/>
    <n v="0.2"/>
    <s v="San Juan, Patricia"/>
    <s v="San Juan Patricia"/>
    <x v="8"/>
    <s v="WA"/>
    <s v="Product LYERX"/>
    <x v="3"/>
    <x v="70"/>
    <d v="2006-10-14T00:00:00"/>
    <x v="2"/>
    <s v="Destination NCKKO"/>
    <x v="10"/>
    <s v="Supplier TEGSC"/>
    <s v="Germany"/>
    <x v="1"/>
    <n v="579.6"/>
  </r>
  <r>
    <n v="10327"/>
    <n v="58"/>
    <n v="10.6"/>
    <n v="30"/>
    <n v="0.2"/>
    <s v="San Juan, Patricia"/>
    <s v="San Juan Patricia"/>
    <x v="8"/>
    <s v="WA"/>
    <s v="Product ACRVI"/>
    <x v="3"/>
    <x v="70"/>
    <d v="2006-10-14T00:00:00"/>
    <x v="2"/>
    <s v="Destination NCKKO"/>
    <x v="10"/>
    <s v="Supplier ZRYDZ"/>
    <s v="France"/>
    <x v="1"/>
    <n v="254.4"/>
  </r>
  <r>
    <n v="10328"/>
    <n v="59"/>
    <n v="44"/>
    <n v="9"/>
    <n v="0"/>
    <s v="Cavaglieri, Giorgio"/>
    <s v="Cavaglieri Giorgio"/>
    <x v="1"/>
    <s v="WA"/>
    <s v="Product UKXRI"/>
    <x v="0"/>
    <x v="71"/>
    <d v="2006-10-17T00:00:00"/>
    <x v="3"/>
    <s v="Destination CIRQO"/>
    <x v="16"/>
    <s v="Supplier OAVQT"/>
    <s v="France"/>
    <x v="1"/>
    <n v="396"/>
  </r>
  <r>
    <n v="10328"/>
    <n v="65"/>
    <n v="16.8"/>
    <n v="40"/>
    <n v="0"/>
    <s v="Cavaglieri, Giorgio"/>
    <s v="Cavaglieri Giorgio"/>
    <x v="1"/>
    <s v="WA"/>
    <s v="Product XYWBZ"/>
    <x v="4"/>
    <x v="71"/>
    <d v="2006-10-17T00:00:00"/>
    <x v="3"/>
    <s v="Destination CIRQO"/>
    <x v="16"/>
    <s v="Supplier VHQZD"/>
    <s v="USA"/>
    <x v="1"/>
    <n v="672"/>
  </r>
  <r>
    <n v="10328"/>
    <n v="68"/>
    <n v="10"/>
    <n v="10"/>
    <n v="0"/>
    <s v="Cavaglieri, Giorgio"/>
    <s v="Cavaglieri Giorgio"/>
    <x v="1"/>
    <s v="WA"/>
    <s v="Product TBTBL"/>
    <x v="5"/>
    <x v="71"/>
    <d v="2006-10-17T00:00:00"/>
    <x v="3"/>
    <s v="Destination CIRQO"/>
    <x v="16"/>
    <s v="Supplier BWGYE"/>
    <s v="UK"/>
    <x v="1"/>
    <n v="100"/>
  </r>
  <r>
    <n v="10329"/>
    <n v="19"/>
    <n v="7.3"/>
    <n v="10"/>
    <n v="0.05"/>
    <s v="Wojciechowska, Agnieszka"/>
    <s v="Wojciechowska Agnieszka"/>
    <x v="1"/>
    <s v="WA"/>
    <s v="Product XKXDO"/>
    <x v="5"/>
    <x v="72"/>
    <d v="2006-10-23T00:00:00"/>
    <x v="1"/>
    <s v="Ship to 75-C"/>
    <x v="9"/>
    <s v="Supplier BWGYE"/>
    <s v="UK"/>
    <x v="2"/>
    <n v="69.349999999999994"/>
  </r>
  <r>
    <n v="10329"/>
    <n v="30"/>
    <n v="20.7"/>
    <n v="8"/>
    <n v="0.05"/>
    <s v="Wojciechowska, Agnieszka"/>
    <s v="Wojciechowska Agnieszka"/>
    <x v="1"/>
    <s v="WA"/>
    <s v="Product LYERX"/>
    <x v="3"/>
    <x v="72"/>
    <d v="2006-10-23T00:00:00"/>
    <x v="1"/>
    <s v="Ship to 75-C"/>
    <x v="9"/>
    <s v="Supplier TEGSC"/>
    <s v="Germany"/>
    <x v="2"/>
    <n v="157.32"/>
  </r>
  <r>
    <n v="10329"/>
    <n v="38"/>
    <n v="210.8"/>
    <n v="20"/>
    <n v="0.05"/>
    <s v="Wojciechowska, Agnieszka"/>
    <s v="Wojciechowska Agnieszka"/>
    <x v="1"/>
    <s v="WA"/>
    <s v="Product QDOMO"/>
    <x v="6"/>
    <x v="72"/>
    <d v="2006-10-23T00:00:00"/>
    <x v="1"/>
    <s v="Ship to 75-C"/>
    <x v="9"/>
    <s v="Supplier LVJUA"/>
    <s v="France"/>
    <x v="2"/>
    <n v="4005.2"/>
  </r>
  <r>
    <n v="10329"/>
    <n v="56"/>
    <n v="30.4"/>
    <n v="12"/>
    <n v="0.05"/>
    <s v="Wojciechowska, Agnieszka"/>
    <s v="Wojciechowska Agnieszka"/>
    <x v="1"/>
    <s v="WA"/>
    <s v="Product VKCMF"/>
    <x v="1"/>
    <x v="72"/>
    <d v="2006-10-23T00:00:00"/>
    <x v="1"/>
    <s v="Ship to 75-C"/>
    <x v="9"/>
    <s v="Supplier ZWZDM"/>
    <s v="Italy"/>
    <x v="2"/>
    <n v="346.55999999999995"/>
  </r>
  <r>
    <n v="10330"/>
    <n v="26"/>
    <n v="24.9"/>
    <n v="50"/>
    <n v="0.15"/>
    <s v="Dressler, Marlies"/>
    <s v="Dressler Marlies"/>
    <x v="2"/>
    <s v="WA"/>
    <s v="Product HLGZA"/>
    <x v="5"/>
    <x v="73"/>
    <d v="2006-10-28T00:00:00"/>
    <x v="2"/>
    <s v="Ship to 46-A"/>
    <x v="5"/>
    <s v="Supplier ZPYVS"/>
    <s v="Germany"/>
    <x v="1"/>
    <n v="1058.25"/>
  </r>
  <r>
    <n v="10330"/>
    <n v="72"/>
    <n v="27.8"/>
    <n v="25"/>
    <n v="0.15"/>
    <s v="Dressler, Marlies"/>
    <s v="Dressler Marlies"/>
    <x v="2"/>
    <s v="WA"/>
    <s v="Product GEEOO"/>
    <x v="0"/>
    <x v="73"/>
    <d v="2006-10-28T00:00:00"/>
    <x v="2"/>
    <s v="Ship to 46-A"/>
    <x v="5"/>
    <s v="Supplier KEREV"/>
    <s v="Italy"/>
    <x v="1"/>
    <n v="590.75"/>
  </r>
  <r>
    <n v="10331"/>
    <n v="54"/>
    <n v="5.9"/>
    <n v="15"/>
    <n v="0"/>
    <s v="Raghav, Amritansh"/>
    <s v="Raghav Amritansh"/>
    <x v="4"/>
    <n v="0"/>
    <s v="Product QAQRL"/>
    <x v="7"/>
    <x v="73"/>
    <d v="2006-10-21T00:00:00"/>
    <x v="2"/>
    <s v="Ship to 9-C"/>
    <x v="2"/>
    <s v="Supplier ERVYZ"/>
    <s v="Canada"/>
    <x v="1"/>
    <n v="88.5"/>
  </r>
  <r>
    <n v="10332"/>
    <n v="18"/>
    <n v="50"/>
    <n v="40"/>
    <n v="0.2"/>
    <s v="Taylor, Maurice"/>
    <s v="Taylor Maurice"/>
    <x v="2"/>
    <s v="WA"/>
    <s v="Product CKEDC"/>
    <x v="3"/>
    <x v="74"/>
    <d v="2006-10-21T00:00:00"/>
    <x v="1"/>
    <s v="Ship to 51-B"/>
    <x v="17"/>
    <s v="Supplier GQRCV"/>
    <s v="Australia"/>
    <x v="1"/>
    <n v="1600"/>
  </r>
  <r>
    <n v="10332"/>
    <n v="42"/>
    <n v="11.2"/>
    <n v="10"/>
    <n v="0.2"/>
    <s v="Taylor, Maurice"/>
    <s v="Taylor Maurice"/>
    <x v="2"/>
    <s v="WA"/>
    <s v="Product RJVNM"/>
    <x v="1"/>
    <x v="74"/>
    <d v="2006-10-21T00:00:00"/>
    <x v="1"/>
    <s v="Ship to 51-B"/>
    <x v="17"/>
    <s v="Supplier CIYNM"/>
    <s v="Singapore"/>
    <x v="1"/>
    <n v="89.600000000000009"/>
  </r>
  <r>
    <n v="10332"/>
    <n v="47"/>
    <n v="7.6"/>
    <n v="16"/>
    <n v="0.2"/>
    <s v="Taylor, Maurice"/>
    <s v="Taylor Maurice"/>
    <x v="2"/>
    <s v="WA"/>
    <s v="Product EZZPR"/>
    <x v="5"/>
    <x v="74"/>
    <d v="2006-10-21T00:00:00"/>
    <x v="1"/>
    <s v="Ship to 51-B"/>
    <x v="17"/>
    <s v="Supplier FNUXM"/>
    <s v="Netherlands"/>
    <x v="1"/>
    <n v="97.28"/>
  </r>
  <r>
    <n v="10333"/>
    <n v="14"/>
    <n v="18.600000000000001"/>
    <n v="10"/>
    <n v="0"/>
    <s v="Ludwig, Michael"/>
    <s v="Ludwig Michael"/>
    <x v="3"/>
    <n v="0"/>
    <s v="Product PWCJB"/>
    <x v="2"/>
    <x v="75"/>
    <d v="2006-10-25T00:00:00"/>
    <x v="3"/>
    <s v="Ship to 87-C"/>
    <x v="11"/>
    <s v="Supplier QWUSF"/>
    <s v="Japan"/>
    <x v="1"/>
    <n v="186"/>
  </r>
  <r>
    <n v="10333"/>
    <n v="21"/>
    <n v="8"/>
    <n v="10"/>
    <n v="0.1"/>
    <s v="Ludwig, Michael"/>
    <s v="Ludwig Michael"/>
    <x v="3"/>
    <n v="0"/>
    <s v="Product VJZZH"/>
    <x v="5"/>
    <x v="75"/>
    <d v="2006-10-25T00:00:00"/>
    <x v="3"/>
    <s v="Ship to 87-C"/>
    <x v="11"/>
    <s v="Supplier BWGYE"/>
    <s v="UK"/>
    <x v="1"/>
    <n v="72"/>
  </r>
  <r>
    <n v="10333"/>
    <n v="71"/>
    <n v="17.2"/>
    <n v="40"/>
    <n v="0.1"/>
    <s v="Ludwig, Michael"/>
    <s v="Ludwig Michael"/>
    <x v="3"/>
    <n v="0"/>
    <s v="Product MYMOI"/>
    <x v="0"/>
    <x v="75"/>
    <d v="2006-10-25T00:00:00"/>
    <x v="3"/>
    <s v="Ship to 87-C"/>
    <x v="11"/>
    <s v="Supplier NZLIF"/>
    <s v="Norway"/>
    <x v="1"/>
    <n v="619.20000000000005"/>
  </r>
  <r>
    <n v="10334"/>
    <n v="52"/>
    <n v="5.6"/>
    <n v="8"/>
    <n v="0"/>
    <s v="Tuntisangaroon, Sittichai"/>
    <s v="Tuntisangaroon Sittichai"/>
    <x v="6"/>
    <s v="WA"/>
    <s v="Product QSRXF"/>
    <x v="1"/>
    <x v="76"/>
    <d v="2006-10-28T00:00:00"/>
    <x v="1"/>
    <s v="Ship to 84-B"/>
    <x v="2"/>
    <s v="Supplier JNNES"/>
    <s v="Australia"/>
    <x v="1"/>
    <n v="44.8"/>
  </r>
  <r>
    <n v="10334"/>
    <n v="68"/>
    <n v="10"/>
    <n v="10"/>
    <n v="0"/>
    <s v="Tuntisangaroon, Sittichai"/>
    <s v="Tuntisangaroon Sittichai"/>
    <x v="6"/>
    <s v="WA"/>
    <s v="Product TBTBL"/>
    <x v="5"/>
    <x v="76"/>
    <d v="2006-10-28T00:00:00"/>
    <x v="1"/>
    <s v="Ship to 84-B"/>
    <x v="2"/>
    <s v="Supplier BWGYE"/>
    <s v="UK"/>
    <x v="1"/>
    <n v="100"/>
  </r>
  <r>
    <n v="10335"/>
    <n v="2"/>
    <n v="15.2"/>
    <n v="7"/>
    <n v="0.2"/>
    <s v="Crăciun, Ovidiu V."/>
    <s v="Crăciun Ovidiu V."/>
    <x v="9"/>
    <n v="0"/>
    <s v="Product RECZE"/>
    <x v="6"/>
    <x v="77"/>
    <d v="2006-10-24T00:00:00"/>
    <x v="1"/>
    <s v="Destination ATSOA"/>
    <x v="15"/>
    <s v="Supplier SWRXU"/>
    <s v="UK"/>
    <x v="1"/>
    <n v="85.12"/>
  </r>
  <r>
    <n v="10335"/>
    <n v="31"/>
    <n v="10"/>
    <n v="25"/>
    <n v="0.2"/>
    <s v="Crăciun, Ovidiu V."/>
    <s v="Crăciun Ovidiu V."/>
    <x v="9"/>
    <n v="0"/>
    <s v="Product XWOXC"/>
    <x v="0"/>
    <x v="77"/>
    <d v="2006-10-24T00:00:00"/>
    <x v="1"/>
    <s v="Destination ATSOA"/>
    <x v="15"/>
    <s v="Supplier KEREV"/>
    <s v="Italy"/>
    <x v="1"/>
    <n v="200"/>
  </r>
  <r>
    <n v="10335"/>
    <n v="32"/>
    <n v="25.6"/>
    <n v="6"/>
    <n v="0.2"/>
    <s v="Crăciun, Ovidiu V."/>
    <s v="Crăciun Ovidiu V."/>
    <x v="9"/>
    <n v="0"/>
    <s v="Product NUNAW"/>
    <x v="0"/>
    <x v="77"/>
    <d v="2006-10-24T00:00:00"/>
    <x v="1"/>
    <s v="Destination ATSOA"/>
    <x v="15"/>
    <s v="Supplier KEREV"/>
    <s v="Italy"/>
    <x v="1"/>
    <n v="122.88000000000002"/>
  </r>
  <r>
    <n v="10335"/>
    <n v="51"/>
    <n v="42.4"/>
    <n v="48"/>
    <n v="0.2"/>
    <s v="Crăciun, Ovidiu V."/>
    <s v="Crăciun Ovidiu V."/>
    <x v="9"/>
    <n v="0"/>
    <s v="Product APITJ"/>
    <x v="2"/>
    <x v="77"/>
    <d v="2006-10-24T00:00:00"/>
    <x v="1"/>
    <s v="Destination ATSOA"/>
    <x v="15"/>
    <s v="Supplier JNNES"/>
    <s v="Australia"/>
    <x v="1"/>
    <n v="1628.1599999999999"/>
  </r>
  <r>
    <n v="10336"/>
    <n v="4"/>
    <n v="17.600000000000001"/>
    <n v="18"/>
    <n v="0.1"/>
    <s v="Uppal, Sunil"/>
    <s v="Uppal Sunil"/>
    <x v="9"/>
    <n v="0"/>
    <s v="Product KSBRM"/>
    <x v="4"/>
    <x v="78"/>
    <d v="2006-10-25T00:00:00"/>
    <x v="1"/>
    <s v="Ship to 60-B"/>
    <x v="16"/>
    <s v="Supplier VHQZD"/>
    <s v="USA"/>
    <x v="1"/>
    <n v="285.12"/>
  </r>
  <r>
    <n v="10337"/>
    <n v="23"/>
    <n v="7.2"/>
    <n v="40"/>
    <n v="0"/>
    <s v="Carlson, Jason"/>
    <s v="Carlson Jason"/>
    <x v="1"/>
    <s v="WA"/>
    <s v="Product JLUDZ"/>
    <x v="1"/>
    <x v="79"/>
    <d v="2006-10-29T00:00:00"/>
    <x v="3"/>
    <s v="Destination QOCBL"/>
    <x v="8"/>
    <s v="Supplier QQYEU"/>
    <s v="Sweden"/>
    <x v="2"/>
    <n v="288"/>
  </r>
  <r>
    <n v="10337"/>
    <n v="26"/>
    <n v="24.9"/>
    <n v="24"/>
    <n v="0"/>
    <s v="Carlson, Jason"/>
    <s v="Carlson Jason"/>
    <x v="1"/>
    <s v="WA"/>
    <s v="Product HLGZA"/>
    <x v="5"/>
    <x v="79"/>
    <d v="2006-10-29T00:00:00"/>
    <x v="3"/>
    <s v="Destination QOCBL"/>
    <x v="8"/>
    <s v="Supplier ZPYVS"/>
    <s v="Germany"/>
    <x v="2"/>
    <n v="597.59999999999991"/>
  </r>
  <r>
    <n v="10337"/>
    <n v="36"/>
    <n v="15.2"/>
    <n v="20"/>
    <n v="0"/>
    <s v="Carlson, Jason"/>
    <s v="Carlson Jason"/>
    <x v="1"/>
    <s v="WA"/>
    <s v="Product GMKIJ"/>
    <x v="3"/>
    <x v="79"/>
    <d v="2006-10-29T00:00:00"/>
    <x v="3"/>
    <s v="Destination QOCBL"/>
    <x v="8"/>
    <s v="Supplier QZGUF"/>
    <s v="Sweden"/>
    <x v="2"/>
    <n v="304"/>
  </r>
  <r>
    <n v="10337"/>
    <n v="37"/>
    <n v="20.8"/>
    <n v="28"/>
    <n v="0"/>
    <s v="Carlson, Jason"/>
    <s v="Carlson Jason"/>
    <x v="1"/>
    <s v="WA"/>
    <s v="Product EVFFA"/>
    <x v="3"/>
    <x v="79"/>
    <d v="2006-10-29T00:00:00"/>
    <x v="3"/>
    <s v="Destination QOCBL"/>
    <x v="8"/>
    <s v="Supplier QZGUF"/>
    <s v="Sweden"/>
    <x v="2"/>
    <n v="582.4"/>
  </r>
  <r>
    <n v="10337"/>
    <n v="72"/>
    <n v="27.8"/>
    <n v="25"/>
    <n v="0"/>
    <s v="Carlson, Jason"/>
    <s v="Carlson Jason"/>
    <x v="1"/>
    <s v="WA"/>
    <s v="Product GEEOO"/>
    <x v="0"/>
    <x v="79"/>
    <d v="2006-10-29T00:00:00"/>
    <x v="3"/>
    <s v="Destination QOCBL"/>
    <x v="8"/>
    <s v="Supplier KEREV"/>
    <s v="Italy"/>
    <x v="2"/>
    <n v="695"/>
  </r>
  <r>
    <n v="10338"/>
    <n v="17"/>
    <n v="31.2"/>
    <n v="20"/>
    <n v="0"/>
    <s v="Egelund-Muller, Anja"/>
    <s v="Egelund-Muller Anja"/>
    <x v="1"/>
    <s v="WA"/>
    <s v="Product BLCAX"/>
    <x v="7"/>
    <x v="80"/>
    <d v="2006-10-29T00:00:00"/>
    <x v="3"/>
    <s v="Ship to 55-C"/>
    <x v="9"/>
    <s v="Supplier GQRCV"/>
    <s v="Australia"/>
    <x v="1"/>
    <n v="624"/>
  </r>
  <r>
    <n v="10338"/>
    <n v="30"/>
    <n v="20.7"/>
    <n v="15"/>
    <n v="0"/>
    <s v="Egelund-Muller, Anja"/>
    <s v="Egelund-Muller Anja"/>
    <x v="1"/>
    <s v="WA"/>
    <s v="Product LYERX"/>
    <x v="3"/>
    <x v="80"/>
    <d v="2006-10-29T00:00:00"/>
    <x v="3"/>
    <s v="Ship to 55-C"/>
    <x v="9"/>
    <s v="Supplier TEGSC"/>
    <s v="Germany"/>
    <x v="1"/>
    <n v="310.5"/>
  </r>
  <r>
    <n v="10339"/>
    <n v="4"/>
    <n v="17.600000000000001"/>
    <n v="10"/>
    <n v="0"/>
    <s v="Taylor, Maurice"/>
    <s v="Taylor Maurice"/>
    <x v="8"/>
    <s v="WA"/>
    <s v="Product KSBRM"/>
    <x v="4"/>
    <x v="81"/>
    <d v="2006-11-04T00:00:00"/>
    <x v="1"/>
    <s v="Ship to 51-C"/>
    <x v="17"/>
    <s v="Supplier VHQZD"/>
    <s v="USA"/>
    <x v="1"/>
    <n v="176"/>
  </r>
  <r>
    <n v="10339"/>
    <n v="17"/>
    <n v="31.2"/>
    <n v="70"/>
    <n v="0.05"/>
    <s v="Taylor, Maurice"/>
    <s v="Taylor Maurice"/>
    <x v="8"/>
    <s v="WA"/>
    <s v="Product BLCAX"/>
    <x v="7"/>
    <x v="81"/>
    <d v="2006-11-04T00:00:00"/>
    <x v="1"/>
    <s v="Ship to 51-C"/>
    <x v="17"/>
    <s v="Supplier GQRCV"/>
    <s v="Australia"/>
    <x v="1"/>
    <n v="2074.7999999999997"/>
  </r>
  <r>
    <n v="10339"/>
    <n v="62"/>
    <n v="39.4"/>
    <n v="28"/>
    <n v="0"/>
    <s v="Taylor, Maurice"/>
    <s v="Taylor Maurice"/>
    <x v="8"/>
    <s v="WA"/>
    <s v="Product WUXYK"/>
    <x v="5"/>
    <x v="81"/>
    <d v="2006-11-04T00:00:00"/>
    <x v="1"/>
    <s v="Ship to 51-C"/>
    <x v="17"/>
    <s v="Supplier OGLRK"/>
    <s v="Canada"/>
    <x v="1"/>
    <n v="1103.2"/>
  </r>
  <r>
    <n v="10340"/>
    <n v="18"/>
    <n v="50"/>
    <n v="20"/>
    <n v="0.05"/>
    <s v="Raghav, Amritansh"/>
    <s v="Raghav Amritansh"/>
    <x v="5"/>
    <s v="WA"/>
    <s v="Product CKEDC"/>
    <x v="3"/>
    <x v="82"/>
    <d v="2006-11-08T00:00:00"/>
    <x v="3"/>
    <s v="Ship to 9-A"/>
    <x v="2"/>
    <s v="Supplier GQRCV"/>
    <s v="Australia"/>
    <x v="2"/>
    <n v="950"/>
  </r>
  <r>
    <n v="10340"/>
    <n v="41"/>
    <n v="7.7"/>
    <n v="12"/>
    <n v="0.05"/>
    <s v="Raghav, Amritansh"/>
    <s v="Raghav Amritansh"/>
    <x v="5"/>
    <s v="WA"/>
    <s v="Product TTEEX"/>
    <x v="3"/>
    <x v="82"/>
    <d v="2006-11-08T00:00:00"/>
    <x v="3"/>
    <s v="Ship to 9-A"/>
    <x v="2"/>
    <s v="Supplier JDNUG"/>
    <s v="USA"/>
    <x v="2"/>
    <n v="87.78"/>
  </r>
  <r>
    <n v="10340"/>
    <n v="43"/>
    <n v="36.799999999999997"/>
    <n v="40"/>
    <n v="0.05"/>
    <s v="Raghav, Amritansh"/>
    <s v="Raghav Amritansh"/>
    <x v="5"/>
    <s v="WA"/>
    <s v="Product ZZZHR"/>
    <x v="6"/>
    <x v="82"/>
    <d v="2006-11-08T00:00:00"/>
    <x v="3"/>
    <s v="Ship to 9-A"/>
    <x v="2"/>
    <s v="Supplier CIYNM"/>
    <s v="Singapore"/>
    <x v="2"/>
    <n v="1398.3999999999999"/>
  </r>
  <r>
    <n v="10341"/>
    <n v="33"/>
    <n v="2"/>
    <n v="8"/>
    <n v="0"/>
    <s v="Gonzalez, Nuria"/>
    <s v="Gonzalez Nuria"/>
    <x v="9"/>
    <n v="0"/>
    <s v="Product ASTMN"/>
    <x v="0"/>
    <x v="82"/>
    <d v="2006-11-05T00:00:00"/>
    <x v="3"/>
    <s v="Ship to 73-A"/>
    <x v="18"/>
    <s v="Supplier NZLIF"/>
    <s v="Norway"/>
    <x v="1"/>
    <n v="16"/>
  </r>
  <r>
    <n v="10341"/>
    <n v="59"/>
    <n v="44"/>
    <n v="9"/>
    <n v="0.15"/>
    <s v="Gonzalez, Nuria"/>
    <s v="Gonzalez Nuria"/>
    <x v="9"/>
    <n v="0"/>
    <s v="Product UKXRI"/>
    <x v="0"/>
    <x v="82"/>
    <d v="2006-11-05T00:00:00"/>
    <x v="3"/>
    <s v="Ship to 73-A"/>
    <x v="18"/>
    <s v="Supplier OAVQT"/>
    <s v="France"/>
    <x v="1"/>
    <n v="336.59999999999997"/>
  </r>
  <r>
    <n v="10342"/>
    <n v="2"/>
    <n v="15.2"/>
    <n v="24"/>
    <n v="0.2"/>
    <s v="Carlson, Jason"/>
    <s v="Carlson Jason"/>
    <x v="1"/>
    <s v="WA"/>
    <s v="Product RECZE"/>
    <x v="6"/>
    <x v="83"/>
    <d v="2006-11-04T00:00:00"/>
    <x v="1"/>
    <s v="Destination VAPXU"/>
    <x v="8"/>
    <s v="Supplier SWRXU"/>
    <s v="UK"/>
    <x v="1"/>
    <n v="291.83999999999997"/>
  </r>
  <r>
    <n v="10342"/>
    <n v="31"/>
    <n v="10"/>
    <n v="56"/>
    <n v="0.2"/>
    <s v="Carlson, Jason"/>
    <s v="Carlson Jason"/>
    <x v="1"/>
    <s v="WA"/>
    <s v="Product XWOXC"/>
    <x v="0"/>
    <x v="83"/>
    <d v="2006-11-04T00:00:00"/>
    <x v="1"/>
    <s v="Destination VAPXU"/>
    <x v="8"/>
    <s v="Supplier KEREV"/>
    <s v="Italy"/>
    <x v="1"/>
    <n v="448"/>
  </r>
  <r>
    <n v="10342"/>
    <n v="36"/>
    <n v="15.2"/>
    <n v="40"/>
    <n v="0.2"/>
    <s v="Carlson, Jason"/>
    <s v="Carlson Jason"/>
    <x v="1"/>
    <s v="WA"/>
    <s v="Product GMKIJ"/>
    <x v="3"/>
    <x v="83"/>
    <d v="2006-11-04T00:00:00"/>
    <x v="1"/>
    <s v="Destination VAPXU"/>
    <x v="8"/>
    <s v="Supplier QZGUF"/>
    <s v="Sweden"/>
    <x v="1"/>
    <n v="486.40000000000003"/>
  </r>
  <r>
    <n v="10342"/>
    <n v="55"/>
    <n v="19.2"/>
    <n v="40"/>
    <n v="0.2"/>
    <s v="Carlson, Jason"/>
    <s v="Carlson Jason"/>
    <x v="1"/>
    <s v="WA"/>
    <s v="Product YYWRT"/>
    <x v="7"/>
    <x v="83"/>
    <d v="2006-11-04T00:00:00"/>
    <x v="1"/>
    <s v="Destination VAPXU"/>
    <x v="8"/>
    <s v="Supplier ERVYZ"/>
    <s v="Canada"/>
    <x v="1"/>
    <n v="614.40000000000009"/>
  </r>
  <r>
    <n v="10343"/>
    <n v="64"/>
    <n v="26.6"/>
    <n v="50"/>
    <n v="0"/>
    <s v="Louverdis, George"/>
    <s v="Louverdis George"/>
    <x v="1"/>
    <s v="WA"/>
    <s v="Product HCQDE"/>
    <x v="1"/>
    <x v="84"/>
    <d v="2006-11-06T00:00:00"/>
    <x v="2"/>
    <s v="Ship to 44-A"/>
    <x v="8"/>
    <s v="Supplier SVIYA"/>
    <s v="Germany"/>
    <x v="2"/>
    <n v="1330"/>
  </r>
  <r>
    <n v="10343"/>
    <n v="68"/>
    <n v="10"/>
    <n v="4"/>
    <n v="0.05"/>
    <s v="Louverdis, George"/>
    <s v="Louverdis George"/>
    <x v="1"/>
    <s v="WA"/>
    <s v="Product TBTBL"/>
    <x v="5"/>
    <x v="84"/>
    <d v="2006-11-06T00:00:00"/>
    <x v="2"/>
    <s v="Ship to 44-A"/>
    <x v="8"/>
    <s v="Supplier BWGYE"/>
    <s v="UK"/>
    <x v="2"/>
    <n v="38"/>
  </r>
  <r>
    <n v="10343"/>
    <n v="76"/>
    <n v="14.4"/>
    <n v="15"/>
    <n v="0"/>
    <s v="Louverdis, George"/>
    <s v="Louverdis George"/>
    <x v="1"/>
    <s v="WA"/>
    <s v="Product JYGFE"/>
    <x v="6"/>
    <x v="84"/>
    <d v="2006-11-06T00:00:00"/>
    <x v="2"/>
    <s v="Ship to 44-A"/>
    <x v="8"/>
    <s v="Supplier ELCRN"/>
    <s v="Finland"/>
    <x v="2"/>
    <n v="216"/>
  </r>
  <r>
    <n v="10344"/>
    <n v="4"/>
    <n v="17.600000000000001"/>
    <n v="35"/>
    <n v="0"/>
    <s v="Smith Jr., Ronaldo"/>
    <s v="Smith Jr. Ronaldo"/>
    <x v="1"/>
    <s v="WA"/>
    <s v="Product KSBRM"/>
    <x v="4"/>
    <x v="85"/>
    <d v="2006-11-05T00:00:00"/>
    <x v="1"/>
    <s v="Ship to 89-A"/>
    <x v="9"/>
    <s v="Supplier VHQZD"/>
    <s v="USA"/>
    <x v="1"/>
    <n v="616"/>
  </r>
  <r>
    <n v="10344"/>
    <n v="8"/>
    <n v="32"/>
    <n v="70"/>
    <n v="0.25"/>
    <s v="Smith Jr., Ronaldo"/>
    <s v="Smith Jr. Ronaldo"/>
    <x v="1"/>
    <s v="WA"/>
    <s v="Product WVJFP"/>
    <x v="4"/>
    <x v="85"/>
    <d v="2006-11-05T00:00:00"/>
    <x v="1"/>
    <s v="Ship to 89-A"/>
    <x v="9"/>
    <s v="Supplier STUAZ"/>
    <s v="USA"/>
    <x v="1"/>
    <n v="1680"/>
  </r>
  <r>
    <n v="10345"/>
    <n v="8"/>
    <n v="32"/>
    <n v="70"/>
    <n v="0"/>
    <s v="Veronesi, Giorgio"/>
    <s v="Veronesi Giorgio"/>
    <x v="8"/>
    <s v="WA"/>
    <s v="Product WVJFP"/>
    <x v="4"/>
    <x v="86"/>
    <d v="2006-11-11T00:00:00"/>
    <x v="1"/>
    <s v="Ship to 63-B"/>
    <x v="8"/>
    <s v="Supplier STUAZ"/>
    <s v="USA"/>
    <x v="2"/>
    <n v="2240"/>
  </r>
  <r>
    <n v="10345"/>
    <n v="19"/>
    <n v="7.3"/>
    <n v="80"/>
    <n v="0"/>
    <s v="Veronesi, Giorgio"/>
    <s v="Veronesi Giorgio"/>
    <x v="8"/>
    <s v="WA"/>
    <s v="Product XKXDO"/>
    <x v="5"/>
    <x v="86"/>
    <d v="2006-11-11T00:00:00"/>
    <x v="1"/>
    <s v="Ship to 63-B"/>
    <x v="8"/>
    <s v="Supplier BWGYE"/>
    <s v="UK"/>
    <x v="2"/>
    <n v="584"/>
  </r>
  <r>
    <n v="10345"/>
    <n v="42"/>
    <n v="11.2"/>
    <n v="9"/>
    <n v="0"/>
    <s v="Veronesi, Giorgio"/>
    <s v="Veronesi Giorgio"/>
    <x v="8"/>
    <s v="WA"/>
    <s v="Product RJVNM"/>
    <x v="1"/>
    <x v="86"/>
    <d v="2006-11-11T00:00:00"/>
    <x v="1"/>
    <s v="Ship to 63-B"/>
    <x v="8"/>
    <s v="Supplier CIYNM"/>
    <s v="Singapore"/>
    <x v="2"/>
    <n v="100.8"/>
  </r>
  <r>
    <n v="10346"/>
    <n v="17"/>
    <n v="31.2"/>
    <n v="36"/>
    <n v="0.1"/>
    <s v="Moore, Michael"/>
    <s v="Moore Michael"/>
    <x v="2"/>
    <s v="WA"/>
    <s v="Product BLCAX"/>
    <x v="7"/>
    <x v="87"/>
    <d v="2006-11-08T00:00:00"/>
    <x v="3"/>
    <s v="Ship to 65-A"/>
    <x v="9"/>
    <s v="Supplier GQRCV"/>
    <s v="Australia"/>
    <x v="2"/>
    <n v="1010.8800000000001"/>
  </r>
  <r>
    <n v="10346"/>
    <n v="56"/>
    <n v="30.4"/>
    <n v="20"/>
    <n v="0"/>
    <s v="Moore, Michael"/>
    <s v="Moore Michael"/>
    <x v="2"/>
    <s v="WA"/>
    <s v="Product VKCMF"/>
    <x v="1"/>
    <x v="87"/>
    <d v="2006-11-08T00:00:00"/>
    <x v="3"/>
    <s v="Ship to 65-A"/>
    <x v="9"/>
    <s v="Supplier ZWZDM"/>
    <s v="Italy"/>
    <x v="2"/>
    <n v="608"/>
  </r>
  <r>
    <n v="10347"/>
    <n v="25"/>
    <n v="11.2"/>
    <n v="10"/>
    <n v="0"/>
    <s v="Russo, Giuseppe"/>
    <s v="Russo Giuseppe"/>
    <x v="1"/>
    <s v="WA"/>
    <s v="Product LYLNI"/>
    <x v="5"/>
    <x v="88"/>
    <d v="2006-11-08T00:00:00"/>
    <x v="3"/>
    <s v="Destination KKELL"/>
    <x v="1"/>
    <s v="Supplier ZPYVS"/>
    <s v="Germany"/>
    <x v="1"/>
    <n v="112"/>
  </r>
  <r>
    <n v="10347"/>
    <n v="39"/>
    <n v="14.4"/>
    <n v="50"/>
    <n v="0.15"/>
    <s v="Russo, Giuseppe"/>
    <s v="Russo Giuseppe"/>
    <x v="1"/>
    <s v="WA"/>
    <s v="Product LSOFL"/>
    <x v="6"/>
    <x v="88"/>
    <d v="2006-11-08T00:00:00"/>
    <x v="3"/>
    <s v="Destination KKELL"/>
    <x v="1"/>
    <s v="Supplier LVJUA"/>
    <s v="France"/>
    <x v="1"/>
    <n v="612"/>
  </r>
  <r>
    <n v="10347"/>
    <n v="40"/>
    <n v="14.7"/>
    <n v="4"/>
    <n v="0"/>
    <s v="Russo, Giuseppe"/>
    <s v="Russo Giuseppe"/>
    <x v="1"/>
    <s v="WA"/>
    <s v="Product YZIXQ"/>
    <x v="3"/>
    <x v="88"/>
    <d v="2006-11-08T00:00:00"/>
    <x v="3"/>
    <s v="Destination KKELL"/>
    <x v="1"/>
    <s v="Supplier JDNUG"/>
    <s v="USA"/>
    <x v="1"/>
    <n v="58.8"/>
  </r>
  <r>
    <n v="10347"/>
    <n v="75"/>
    <n v="6.2"/>
    <n v="6"/>
    <n v="0.15"/>
    <s v="Russo, Giuseppe"/>
    <s v="Russo Giuseppe"/>
    <x v="1"/>
    <s v="WA"/>
    <s v="Product BWRLG"/>
    <x v="6"/>
    <x v="88"/>
    <d v="2006-11-08T00:00:00"/>
    <x v="3"/>
    <s v="Destination KKELL"/>
    <x v="1"/>
    <s v="Supplier SVIYA"/>
    <s v="Germany"/>
    <x v="1"/>
    <n v="31.62"/>
  </r>
  <r>
    <n v="10348"/>
    <n v="1"/>
    <n v="14.4"/>
    <n v="15"/>
    <n v="0.15"/>
    <s v="Syamala, Manoj"/>
    <s v="Syamala Manoj"/>
    <x v="1"/>
    <s v="WA"/>
    <s v="Product HHYDP"/>
    <x v="6"/>
    <x v="89"/>
    <d v="2006-11-15T00:00:00"/>
    <x v="1"/>
    <s v="Ship to 86-B"/>
    <x v="8"/>
    <s v="Supplier SWRXU"/>
    <s v="UK"/>
    <x v="1"/>
    <n v="183.6"/>
  </r>
  <r>
    <n v="10348"/>
    <n v="23"/>
    <n v="7.2"/>
    <n v="25"/>
    <n v="0"/>
    <s v="Syamala, Manoj"/>
    <s v="Syamala Manoj"/>
    <x v="1"/>
    <s v="WA"/>
    <s v="Product JLUDZ"/>
    <x v="1"/>
    <x v="89"/>
    <d v="2006-11-15T00:00:00"/>
    <x v="1"/>
    <s v="Ship to 86-B"/>
    <x v="8"/>
    <s v="Supplier QQYEU"/>
    <s v="Sweden"/>
    <x v="1"/>
    <n v="180"/>
  </r>
  <r>
    <n v="10349"/>
    <n v="54"/>
    <n v="5.9"/>
    <n v="24"/>
    <n v="0"/>
    <s v="Wojciechowska, Agnieszka"/>
    <s v="Wojciechowska Agnieszka"/>
    <x v="9"/>
    <n v="0"/>
    <s v="Product QAQRL"/>
    <x v="7"/>
    <x v="90"/>
    <d v="2006-11-15T00:00:00"/>
    <x v="2"/>
    <s v="Ship to 75-C"/>
    <x v="9"/>
    <s v="Supplier ERVYZ"/>
    <s v="Canada"/>
    <x v="1"/>
    <n v="141.60000000000002"/>
  </r>
  <r>
    <n v="10350"/>
    <n v="50"/>
    <n v="13"/>
    <n v="15"/>
    <n v="0.1"/>
    <s v="Litton, Tim"/>
    <s v="Litton Tim"/>
    <x v="7"/>
    <n v="0"/>
    <s v="Product BIUDV"/>
    <x v="5"/>
    <x v="91"/>
    <d v="2006-12-03T00:00:00"/>
    <x v="1"/>
    <s v="Destination DWJIO"/>
    <x v="2"/>
    <s v="Supplier ELCRN"/>
    <s v="Finland"/>
    <x v="1"/>
    <n v="175.5"/>
  </r>
  <r>
    <n v="10350"/>
    <n v="69"/>
    <n v="28.8"/>
    <n v="18"/>
    <n v="0.1"/>
    <s v="Litton, Tim"/>
    <s v="Litton Tim"/>
    <x v="7"/>
    <n v="0"/>
    <s v="Product COAXA"/>
    <x v="0"/>
    <x v="91"/>
    <d v="2006-12-03T00:00:00"/>
    <x v="1"/>
    <s v="Destination DWJIO"/>
    <x v="2"/>
    <s v="Supplier NZLIF"/>
    <s v="Norway"/>
    <x v="1"/>
    <n v="466.56"/>
  </r>
  <r>
    <n v="10351"/>
    <n v="38"/>
    <n v="210.8"/>
    <n v="20"/>
    <n v="0.05"/>
    <s v="Kane, John"/>
    <s v="Kane John"/>
    <x v="5"/>
    <s v="WA"/>
    <s v="Product QDOMO"/>
    <x v="6"/>
    <x v="91"/>
    <d v="2006-11-20T00:00:00"/>
    <x v="2"/>
    <s v="Destination RVDMF"/>
    <x v="6"/>
    <s v="Supplier LVJUA"/>
    <s v="France"/>
    <x v="2"/>
    <n v="4005.2"/>
  </r>
  <r>
    <n v="10351"/>
    <n v="41"/>
    <n v="7.7"/>
    <n v="13"/>
    <n v="0"/>
    <s v="Kane, John"/>
    <s v="Kane John"/>
    <x v="5"/>
    <s v="WA"/>
    <s v="Product TTEEX"/>
    <x v="3"/>
    <x v="91"/>
    <d v="2006-11-20T00:00:00"/>
    <x v="2"/>
    <s v="Destination RVDMF"/>
    <x v="6"/>
    <s v="Supplier JDNUG"/>
    <s v="USA"/>
    <x v="2"/>
    <n v="100.10000000000001"/>
  </r>
  <r>
    <n v="10351"/>
    <n v="44"/>
    <n v="15.5"/>
    <n v="77"/>
    <n v="0.05"/>
    <s v="Kane, John"/>
    <s v="Kane John"/>
    <x v="5"/>
    <s v="WA"/>
    <s v="Product VJIEO"/>
    <x v="4"/>
    <x v="91"/>
    <d v="2006-11-20T00:00:00"/>
    <x v="2"/>
    <s v="Destination RVDMF"/>
    <x v="6"/>
    <s v="Supplier CIYNM"/>
    <s v="Singapore"/>
    <x v="2"/>
    <n v="1133.825"/>
  </r>
  <r>
    <n v="10351"/>
    <n v="65"/>
    <n v="16.8"/>
    <n v="10"/>
    <n v="0.05"/>
    <s v="Kane, John"/>
    <s v="Kane John"/>
    <x v="5"/>
    <s v="WA"/>
    <s v="Product XYWBZ"/>
    <x v="4"/>
    <x v="91"/>
    <d v="2006-11-20T00:00:00"/>
    <x v="2"/>
    <s v="Destination RVDMF"/>
    <x v="6"/>
    <s v="Supplier VHQZD"/>
    <s v="USA"/>
    <x v="2"/>
    <n v="159.6"/>
  </r>
  <r>
    <n v="10352"/>
    <n v="24"/>
    <n v="3.6"/>
    <n v="10"/>
    <n v="0"/>
    <s v="Cavaglieri, Giorgio"/>
    <s v="Cavaglieri Giorgio"/>
    <x v="2"/>
    <s v="WA"/>
    <s v="Product QOGNU"/>
    <x v="6"/>
    <x v="92"/>
    <d v="2006-11-18T00:00:00"/>
    <x v="3"/>
    <s v="Destination OTSWR"/>
    <x v="16"/>
    <s v="Supplier UNAHG"/>
    <s v="Brazil"/>
    <x v="1"/>
    <n v="36"/>
  </r>
  <r>
    <n v="10352"/>
    <n v="54"/>
    <n v="5.9"/>
    <n v="20"/>
    <n v="0.15"/>
    <s v="Cavaglieri, Giorgio"/>
    <s v="Cavaglieri Giorgio"/>
    <x v="2"/>
    <s v="WA"/>
    <s v="Product QAQRL"/>
    <x v="7"/>
    <x v="92"/>
    <d v="2006-11-18T00:00:00"/>
    <x v="3"/>
    <s v="Destination OTSWR"/>
    <x v="16"/>
    <s v="Supplier ERVYZ"/>
    <s v="Canada"/>
    <x v="1"/>
    <n v="100.3"/>
  </r>
  <r>
    <n v="10353"/>
    <n v="11"/>
    <n v="16.8"/>
    <n v="12"/>
    <n v="0.2"/>
    <s v="Meston, Tosh"/>
    <s v="Meston Tosh"/>
    <x v="9"/>
    <n v="0"/>
    <s v="Product QMVUN"/>
    <x v="0"/>
    <x v="93"/>
    <d v="2006-11-25T00:00:00"/>
    <x v="3"/>
    <s v="Ship to 59-B"/>
    <x v="6"/>
    <s v="Supplier EQPNC"/>
    <s v="Spain"/>
    <x v="2"/>
    <n v="161.28000000000003"/>
  </r>
  <r>
    <n v="10353"/>
    <n v="38"/>
    <n v="210.8"/>
    <n v="50"/>
    <n v="0.2"/>
    <s v="Meston, Tosh"/>
    <s v="Meston Tosh"/>
    <x v="9"/>
    <n v="0"/>
    <s v="Product QDOMO"/>
    <x v="6"/>
    <x v="93"/>
    <d v="2006-11-25T00:00:00"/>
    <x v="3"/>
    <s v="Ship to 59-B"/>
    <x v="6"/>
    <s v="Supplier LVJUA"/>
    <s v="France"/>
    <x v="2"/>
    <n v="8432"/>
  </r>
  <r>
    <n v="10354"/>
    <n v="1"/>
    <n v="14.4"/>
    <n v="12"/>
    <n v="0"/>
    <s v="Fakhouri, Fadi"/>
    <s v="Fakhouri Fadi"/>
    <x v="6"/>
    <s v="WA"/>
    <s v="Product HHYDP"/>
    <x v="6"/>
    <x v="94"/>
    <d v="2006-11-20T00:00:00"/>
    <x v="3"/>
    <s v="Ship to 58-C"/>
    <x v="7"/>
    <s v="Supplier SWRXU"/>
    <s v="UK"/>
    <x v="1"/>
    <n v="172.8"/>
  </r>
  <r>
    <n v="10354"/>
    <n v="29"/>
    <n v="99"/>
    <n v="4"/>
    <n v="0"/>
    <s v="Fakhouri, Fadi"/>
    <s v="Fakhouri Fadi"/>
    <x v="6"/>
    <s v="WA"/>
    <s v="Product VJXYN"/>
    <x v="7"/>
    <x v="94"/>
    <d v="2006-11-20T00:00:00"/>
    <x v="3"/>
    <s v="Ship to 58-C"/>
    <x v="7"/>
    <s v="Supplier SVIYA"/>
    <s v="Germany"/>
    <x v="1"/>
    <n v="396"/>
  </r>
  <r>
    <n v="10355"/>
    <n v="24"/>
    <n v="3.6"/>
    <n v="25"/>
    <n v="0"/>
    <s v="Arndt, Torsten"/>
    <s v="Arndt Torsten"/>
    <x v="7"/>
    <n v="0"/>
    <s v="Product QOGNU"/>
    <x v="6"/>
    <x v="95"/>
    <d v="2006-11-20T00:00:00"/>
    <x v="2"/>
    <s v="Ship to 4-A"/>
    <x v="14"/>
    <s v="Supplier UNAHG"/>
    <s v="Brazil"/>
    <x v="1"/>
    <n v="90"/>
  </r>
  <r>
    <n v="10355"/>
    <n v="57"/>
    <n v="15.6"/>
    <n v="25"/>
    <n v="0"/>
    <s v="Arndt, Torsten"/>
    <s v="Arndt Torsten"/>
    <x v="7"/>
    <n v="0"/>
    <s v="Product OVLQI"/>
    <x v="1"/>
    <x v="95"/>
    <d v="2006-11-20T00:00:00"/>
    <x v="2"/>
    <s v="Ship to 4-A"/>
    <x v="14"/>
    <s v="Supplier ZWZDM"/>
    <s v="Italy"/>
    <x v="1"/>
    <n v="390"/>
  </r>
  <r>
    <n v="10356"/>
    <n v="31"/>
    <n v="10"/>
    <n v="30"/>
    <n v="0"/>
    <s v="Syamala, Manoj"/>
    <s v="Syamala Manoj"/>
    <x v="7"/>
    <n v="0"/>
    <s v="Product XWOXC"/>
    <x v="0"/>
    <x v="96"/>
    <d v="2006-11-27T00:00:00"/>
    <x v="1"/>
    <s v="Ship to 86-A"/>
    <x v="8"/>
    <s v="Supplier KEREV"/>
    <s v="Italy"/>
    <x v="1"/>
    <n v="300"/>
  </r>
  <r>
    <n v="10356"/>
    <n v="55"/>
    <n v="19.2"/>
    <n v="12"/>
    <n v="0"/>
    <s v="Syamala, Manoj"/>
    <s v="Syamala Manoj"/>
    <x v="7"/>
    <n v="0"/>
    <s v="Product YYWRT"/>
    <x v="7"/>
    <x v="96"/>
    <d v="2006-11-27T00:00:00"/>
    <x v="1"/>
    <s v="Ship to 86-A"/>
    <x v="8"/>
    <s v="Supplier ERVYZ"/>
    <s v="Canada"/>
    <x v="1"/>
    <n v="230.39999999999998"/>
  </r>
  <r>
    <n v="10356"/>
    <n v="69"/>
    <n v="28.8"/>
    <n v="20"/>
    <n v="0"/>
    <s v="Syamala, Manoj"/>
    <s v="Syamala Manoj"/>
    <x v="7"/>
    <n v="0"/>
    <s v="Product COAXA"/>
    <x v="0"/>
    <x v="96"/>
    <d v="2006-11-27T00:00:00"/>
    <x v="1"/>
    <s v="Ship to 86-A"/>
    <x v="8"/>
    <s v="Supplier NZLIF"/>
    <s v="Norway"/>
    <x v="1"/>
    <n v="576"/>
  </r>
  <r>
    <n v="10357"/>
    <n v="10"/>
    <n v="24.8"/>
    <n v="30"/>
    <n v="0.2"/>
    <s v="Dressler, Marlies"/>
    <s v="Dressler Marlies"/>
    <x v="5"/>
    <s v="WA"/>
    <s v="Product YHXGE"/>
    <x v="3"/>
    <x v="97"/>
    <d v="2006-12-02T00:00:00"/>
    <x v="3"/>
    <s v="Ship to 46-B"/>
    <x v="5"/>
    <s v="Supplier QOVFD"/>
    <s v="Japan"/>
    <x v="1"/>
    <n v="595.20000000000005"/>
  </r>
  <r>
    <n v="10357"/>
    <n v="26"/>
    <n v="24.9"/>
    <n v="16"/>
    <n v="0"/>
    <s v="Dressler, Marlies"/>
    <s v="Dressler Marlies"/>
    <x v="5"/>
    <s v="WA"/>
    <s v="Product HLGZA"/>
    <x v="5"/>
    <x v="97"/>
    <d v="2006-12-02T00:00:00"/>
    <x v="3"/>
    <s v="Ship to 46-B"/>
    <x v="5"/>
    <s v="Supplier ZPYVS"/>
    <s v="Germany"/>
    <x v="1"/>
    <n v="398.4"/>
  </r>
  <r>
    <n v="10357"/>
    <n v="60"/>
    <n v="27.2"/>
    <n v="8"/>
    <n v="0.2"/>
    <s v="Dressler, Marlies"/>
    <s v="Dressler Marlies"/>
    <x v="5"/>
    <s v="WA"/>
    <s v="Product WHBYK"/>
    <x v="0"/>
    <x v="97"/>
    <d v="2006-12-02T00:00:00"/>
    <x v="3"/>
    <s v="Ship to 46-B"/>
    <x v="5"/>
    <s v="Supplier OAVQT"/>
    <s v="France"/>
    <x v="1"/>
    <n v="174.08"/>
  </r>
  <r>
    <n v="10358"/>
    <n v="24"/>
    <n v="3.6"/>
    <n v="10"/>
    <n v="0.05"/>
    <s v="Litton, Tim"/>
    <s v="Litton Tim"/>
    <x v="3"/>
    <n v="0"/>
    <s v="Product QOGNU"/>
    <x v="6"/>
    <x v="98"/>
    <d v="2006-11-27T00:00:00"/>
    <x v="2"/>
    <s v="Ship to 41-C"/>
    <x v="2"/>
    <s v="Supplier UNAHG"/>
    <s v="Brazil"/>
    <x v="1"/>
    <n v="34.199999999999996"/>
  </r>
  <r>
    <n v="10358"/>
    <n v="34"/>
    <n v="11.2"/>
    <n v="10"/>
    <n v="0.05"/>
    <s v="Litton, Tim"/>
    <s v="Litton Tim"/>
    <x v="3"/>
    <n v="0"/>
    <s v="Product SWNJY"/>
    <x v="6"/>
    <x v="98"/>
    <d v="2006-11-27T00:00:00"/>
    <x v="2"/>
    <s v="Ship to 41-C"/>
    <x v="2"/>
    <s v="Supplier UHZRG"/>
    <s v="USA"/>
    <x v="1"/>
    <n v="106.39999999999999"/>
  </r>
  <r>
    <n v="10358"/>
    <n v="36"/>
    <n v="15.2"/>
    <n v="20"/>
    <n v="0.05"/>
    <s v="Litton, Tim"/>
    <s v="Litton Tim"/>
    <x v="3"/>
    <n v="0"/>
    <s v="Product GMKIJ"/>
    <x v="3"/>
    <x v="98"/>
    <d v="2006-11-27T00:00:00"/>
    <x v="2"/>
    <s v="Ship to 41-C"/>
    <x v="2"/>
    <s v="Supplier QZGUF"/>
    <s v="Sweden"/>
    <x v="1"/>
    <n v="288.8"/>
  </r>
  <r>
    <n v="10359"/>
    <n v="16"/>
    <n v="13.9"/>
    <n v="56"/>
    <n v="0.05"/>
    <s v="Welcker, Brian"/>
    <s v="Welcker Brian"/>
    <x v="3"/>
    <n v="0"/>
    <s v="Product PAFRH"/>
    <x v="5"/>
    <x v="99"/>
    <d v="2006-11-26T00:00:00"/>
    <x v="3"/>
    <s v="Ship to 72-C"/>
    <x v="14"/>
    <s v="Supplier GQRCV"/>
    <s v="Australia"/>
    <x v="2"/>
    <n v="739.4799999999999"/>
  </r>
  <r>
    <n v="10359"/>
    <n v="31"/>
    <n v="10"/>
    <n v="70"/>
    <n v="0.05"/>
    <s v="Welcker, Brian"/>
    <s v="Welcker Brian"/>
    <x v="3"/>
    <n v="0"/>
    <s v="Product XWOXC"/>
    <x v="0"/>
    <x v="99"/>
    <d v="2006-11-26T00:00:00"/>
    <x v="3"/>
    <s v="Ship to 72-C"/>
    <x v="14"/>
    <s v="Supplier KEREV"/>
    <s v="Italy"/>
    <x v="2"/>
    <n v="665"/>
  </r>
  <r>
    <n v="10359"/>
    <n v="60"/>
    <n v="27.2"/>
    <n v="80"/>
    <n v="0.05"/>
    <s v="Welcker, Brian"/>
    <s v="Welcker Brian"/>
    <x v="3"/>
    <n v="0"/>
    <s v="Product WHBYK"/>
    <x v="0"/>
    <x v="99"/>
    <d v="2006-11-26T00:00:00"/>
    <x v="3"/>
    <s v="Ship to 72-C"/>
    <x v="14"/>
    <s v="Supplier OAVQT"/>
    <s v="France"/>
    <x v="2"/>
    <n v="2067.1999999999998"/>
  </r>
  <r>
    <n v="10360"/>
    <n v="28"/>
    <n v="36.4"/>
    <n v="30"/>
    <n v="0"/>
    <s v="Bansal, Dushyant"/>
    <s v="Bansal Dushyant"/>
    <x v="1"/>
    <s v="WA"/>
    <s v="Product OFBNT"/>
    <x v="2"/>
    <x v="100"/>
    <d v="2006-12-02T00:00:00"/>
    <x v="3"/>
    <s v="Ship to 7-C"/>
    <x v="2"/>
    <s v="Supplier SVIYA"/>
    <s v="Germany"/>
    <x v="2"/>
    <n v="1092"/>
  </r>
  <r>
    <n v="10360"/>
    <n v="29"/>
    <n v="99"/>
    <n v="35"/>
    <n v="0"/>
    <s v="Bansal, Dushyant"/>
    <s v="Bansal Dushyant"/>
    <x v="1"/>
    <s v="WA"/>
    <s v="Product VJXYN"/>
    <x v="7"/>
    <x v="100"/>
    <d v="2006-12-02T00:00:00"/>
    <x v="3"/>
    <s v="Ship to 7-C"/>
    <x v="2"/>
    <s v="Supplier SVIYA"/>
    <s v="Germany"/>
    <x v="2"/>
    <n v="3465"/>
  </r>
  <r>
    <n v="10360"/>
    <n v="38"/>
    <n v="210.8"/>
    <n v="10"/>
    <n v="0"/>
    <s v="Bansal, Dushyant"/>
    <s v="Bansal Dushyant"/>
    <x v="1"/>
    <s v="WA"/>
    <s v="Product QDOMO"/>
    <x v="6"/>
    <x v="100"/>
    <d v="2006-12-02T00:00:00"/>
    <x v="3"/>
    <s v="Ship to 7-C"/>
    <x v="2"/>
    <s v="Supplier LVJUA"/>
    <s v="France"/>
    <x v="2"/>
    <n v="2108"/>
  </r>
  <r>
    <n v="10360"/>
    <n v="49"/>
    <n v="16"/>
    <n v="35"/>
    <n v="0"/>
    <s v="Bansal, Dushyant"/>
    <s v="Bansal Dushyant"/>
    <x v="1"/>
    <s v="WA"/>
    <s v="Product FPYPN"/>
    <x v="5"/>
    <x v="100"/>
    <d v="2006-12-02T00:00:00"/>
    <x v="3"/>
    <s v="Ship to 7-C"/>
    <x v="2"/>
    <s v="Supplier ELCRN"/>
    <s v="Finland"/>
    <x v="2"/>
    <n v="560"/>
  </r>
  <r>
    <n v="10360"/>
    <n v="54"/>
    <n v="5.9"/>
    <n v="28"/>
    <n v="0"/>
    <s v="Bansal, Dushyant"/>
    <s v="Bansal Dushyant"/>
    <x v="1"/>
    <s v="WA"/>
    <s v="Product QAQRL"/>
    <x v="7"/>
    <x v="100"/>
    <d v="2006-12-02T00:00:00"/>
    <x v="3"/>
    <s v="Ship to 7-C"/>
    <x v="2"/>
    <s v="Supplier ERVYZ"/>
    <s v="Canada"/>
    <x v="2"/>
    <n v="165.20000000000002"/>
  </r>
  <r>
    <n v="10361"/>
    <n v="39"/>
    <n v="14.4"/>
    <n v="54"/>
    <n v="0.1"/>
    <s v="Veronesi, Giorgio"/>
    <s v="Veronesi Giorgio"/>
    <x v="5"/>
    <s v="WA"/>
    <s v="Product LSOFL"/>
    <x v="6"/>
    <x v="100"/>
    <d v="2006-12-03T00:00:00"/>
    <x v="1"/>
    <s v="Ship to 63-C"/>
    <x v="8"/>
    <s v="Supplier LVJUA"/>
    <s v="France"/>
    <x v="2"/>
    <n v="699.84"/>
  </r>
  <r>
    <n v="10361"/>
    <n v="60"/>
    <n v="27.2"/>
    <n v="55"/>
    <n v="0.1"/>
    <s v="Veronesi, Giorgio"/>
    <s v="Veronesi Giorgio"/>
    <x v="5"/>
    <s v="WA"/>
    <s v="Product WHBYK"/>
    <x v="0"/>
    <x v="100"/>
    <d v="2006-12-03T00:00:00"/>
    <x v="1"/>
    <s v="Ship to 63-C"/>
    <x v="8"/>
    <s v="Supplier OAVQT"/>
    <s v="France"/>
    <x v="2"/>
    <n v="1346.4"/>
  </r>
  <r>
    <n v="10362"/>
    <n v="25"/>
    <n v="11.2"/>
    <n v="50"/>
    <n v="0"/>
    <s v="Raghav, Amritansh"/>
    <s v="Raghav Amritansh"/>
    <x v="2"/>
    <s v="WA"/>
    <s v="Product LYLNI"/>
    <x v="5"/>
    <x v="101"/>
    <d v="2006-11-28T00:00:00"/>
    <x v="2"/>
    <s v="Ship to 9-B"/>
    <x v="2"/>
    <s v="Supplier ZPYVS"/>
    <s v="Germany"/>
    <x v="1"/>
    <n v="560"/>
  </r>
  <r>
    <n v="10362"/>
    <n v="51"/>
    <n v="42.4"/>
    <n v="20"/>
    <n v="0"/>
    <s v="Raghav, Amritansh"/>
    <s v="Raghav Amritansh"/>
    <x v="2"/>
    <s v="WA"/>
    <s v="Product APITJ"/>
    <x v="2"/>
    <x v="101"/>
    <d v="2006-11-28T00:00:00"/>
    <x v="2"/>
    <s v="Ship to 9-B"/>
    <x v="2"/>
    <s v="Supplier JNNES"/>
    <s v="Australia"/>
    <x v="1"/>
    <n v="848"/>
  </r>
  <r>
    <n v="10362"/>
    <n v="54"/>
    <n v="5.9"/>
    <n v="24"/>
    <n v="0"/>
    <s v="Raghav, Amritansh"/>
    <s v="Raghav Amritansh"/>
    <x v="2"/>
    <s v="WA"/>
    <s v="Product QAQRL"/>
    <x v="7"/>
    <x v="101"/>
    <d v="2006-11-28T00:00:00"/>
    <x v="2"/>
    <s v="Ship to 9-B"/>
    <x v="2"/>
    <s v="Supplier ERVYZ"/>
    <s v="Canada"/>
    <x v="1"/>
    <n v="141.60000000000002"/>
  </r>
  <r>
    <n v="10363"/>
    <n v="31"/>
    <n v="10"/>
    <n v="20"/>
    <n v="0"/>
    <s v="Jones, TiAnna"/>
    <s v="Jones TiAnna"/>
    <x v="1"/>
    <s v="WA"/>
    <s v="Product XWOXC"/>
    <x v="0"/>
    <x v="102"/>
    <d v="2006-12-04T00:00:00"/>
    <x v="3"/>
    <s v="Destination BJCXA"/>
    <x v="8"/>
    <s v="Supplier KEREV"/>
    <s v="Italy"/>
    <x v="1"/>
    <n v="200"/>
  </r>
  <r>
    <n v="10363"/>
    <n v="75"/>
    <n v="6.2"/>
    <n v="12"/>
    <n v="0"/>
    <s v="Jones, TiAnna"/>
    <s v="Jones TiAnna"/>
    <x v="1"/>
    <s v="WA"/>
    <s v="Product BWRLG"/>
    <x v="6"/>
    <x v="102"/>
    <d v="2006-12-04T00:00:00"/>
    <x v="3"/>
    <s v="Destination BJCXA"/>
    <x v="8"/>
    <s v="Supplier SVIYA"/>
    <s v="Germany"/>
    <x v="1"/>
    <n v="74.400000000000006"/>
  </r>
  <r>
    <n v="10363"/>
    <n v="76"/>
    <n v="14.4"/>
    <n v="12"/>
    <n v="0"/>
    <s v="Jones, TiAnna"/>
    <s v="Jones TiAnna"/>
    <x v="1"/>
    <s v="WA"/>
    <s v="Product JYGFE"/>
    <x v="6"/>
    <x v="102"/>
    <d v="2006-12-04T00:00:00"/>
    <x v="3"/>
    <s v="Destination BJCXA"/>
    <x v="8"/>
    <s v="Supplier ELCRN"/>
    <s v="Finland"/>
    <x v="1"/>
    <n v="172.8"/>
  </r>
  <r>
    <n v="10364"/>
    <n v="69"/>
    <n v="28.8"/>
    <n v="30"/>
    <n v="0"/>
    <s v="Boseman, Randall"/>
    <s v="Boseman Randall"/>
    <x v="5"/>
    <s v="WA"/>
    <s v="Product COAXA"/>
    <x v="0"/>
    <x v="102"/>
    <d v="2006-12-04T00:00:00"/>
    <x v="2"/>
    <s v="Destination QTKCU"/>
    <x v="14"/>
    <s v="Supplier NZLIF"/>
    <s v="Norway"/>
    <x v="1"/>
    <n v="864"/>
  </r>
  <r>
    <n v="10364"/>
    <n v="71"/>
    <n v="17.2"/>
    <n v="5"/>
    <n v="0"/>
    <s v="Boseman, Randall"/>
    <s v="Boseman Randall"/>
    <x v="5"/>
    <s v="WA"/>
    <s v="Product MYMOI"/>
    <x v="0"/>
    <x v="102"/>
    <d v="2006-12-04T00:00:00"/>
    <x v="2"/>
    <s v="Destination QTKCU"/>
    <x v="14"/>
    <s v="Supplier NZLIF"/>
    <s v="Norway"/>
    <x v="1"/>
    <n v="86"/>
  </r>
  <r>
    <n v="10365"/>
    <n v="11"/>
    <n v="16.8"/>
    <n v="24"/>
    <n v="0"/>
    <s v="Peoples, John"/>
    <s v="Peoples John"/>
    <x v="2"/>
    <s v="WA"/>
    <s v="Product QMVUN"/>
    <x v="0"/>
    <x v="103"/>
    <d v="2006-12-02T00:00:00"/>
    <x v="1"/>
    <s v="Destination FQFLS"/>
    <x v="7"/>
    <s v="Supplier EQPNC"/>
    <s v="Spain"/>
    <x v="1"/>
    <n v="403.20000000000005"/>
  </r>
  <r>
    <n v="10366"/>
    <n v="65"/>
    <n v="16.8"/>
    <n v="5"/>
    <n v="0"/>
    <s v="Kolesnikova, Katerina"/>
    <s v="Kolesnikova Katerina"/>
    <x v="6"/>
    <s v="WA"/>
    <s v="Product XYWBZ"/>
    <x v="4"/>
    <x v="104"/>
    <d v="2006-12-30T00:00:00"/>
    <x v="1"/>
    <s v="Destination VPNNG"/>
    <x v="13"/>
    <s v="Supplier VHQZD"/>
    <s v="USA"/>
    <x v="1"/>
    <n v="84"/>
  </r>
  <r>
    <n v="10366"/>
    <n v="77"/>
    <n v="10.4"/>
    <n v="5"/>
    <n v="0"/>
    <s v="Kolesnikova, Katerina"/>
    <s v="Kolesnikova Katerina"/>
    <x v="6"/>
    <s v="WA"/>
    <s v="Product LUNZZ"/>
    <x v="4"/>
    <x v="104"/>
    <d v="2006-12-30T00:00:00"/>
    <x v="1"/>
    <s v="Destination VPNNG"/>
    <x v="13"/>
    <s v="Supplier SVIYA"/>
    <s v="Germany"/>
    <x v="1"/>
    <n v="52"/>
  </r>
  <r>
    <n v="10367"/>
    <n v="34"/>
    <n v="11.2"/>
    <n v="36"/>
    <n v="0"/>
    <s v="Fonteneau, Karl"/>
    <s v="Fonteneau Karl"/>
    <x v="9"/>
    <n v="0"/>
    <s v="Product SWNJY"/>
    <x v="6"/>
    <x v="104"/>
    <d v="2006-12-02T00:00:00"/>
    <x v="3"/>
    <s v="Ship to 83-B"/>
    <x v="18"/>
    <s v="Supplier UHZRG"/>
    <s v="USA"/>
    <x v="1"/>
    <n v="403.2"/>
  </r>
  <r>
    <n v="10367"/>
    <n v="54"/>
    <n v="5.9"/>
    <n v="18"/>
    <n v="0"/>
    <s v="Fonteneau, Karl"/>
    <s v="Fonteneau Karl"/>
    <x v="9"/>
    <n v="0"/>
    <s v="Product QAQRL"/>
    <x v="7"/>
    <x v="104"/>
    <d v="2006-12-02T00:00:00"/>
    <x v="3"/>
    <s v="Ship to 83-B"/>
    <x v="18"/>
    <s v="Supplier ERVYZ"/>
    <s v="Canada"/>
    <x v="1"/>
    <n v="106.2"/>
  </r>
  <r>
    <n v="10367"/>
    <n v="65"/>
    <n v="16.8"/>
    <n v="15"/>
    <n v="0"/>
    <s v="Fonteneau, Karl"/>
    <s v="Fonteneau Karl"/>
    <x v="9"/>
    <n v="0"/>
    <s v="Product XYWBZ"/>
    <x v="4"/>
    <x v="104"/>
    <d v="2006-12-02T00:00:00"/>
    <x v="3"/>
    <s v="Ship to 83-B"/>
    <x v="18"/>
    <s v="Supplier VHQZD"/>
    <s v="USA"/>
    <x v="1"/>
    <n v="252"/>
  </r>
  <r>
    <n v="10367"/>
    <n v="77"/>
    <n v="10.4"/>
    <n v="7"/>
    <n v="0"/>
    <s v="Fonteneau, Karl"/>
    <s v="Fonteneau Karl"/>
    <x v="9"/>
    <n v="0"/>
    <s v="Product LUNZZ"/>
    <x v="4"/>
    <x v="104"/>
    <d v="2006-12-02T00:00:00"/>
    <x v="3"/>
    <s v="Ship to 83-B"/>
    <x v="18"/>
    <s v="Supplier SVIYA"/>
    <s v="Germany"/>
    <x v="1"/>
    <n v="72.8"/>
  </r>
  <r>
    <n v="10368"/>
    <n v="21"/>
    <n v="8"/>
    <n v="5"/>
    <n v="0.1"/>
    <s v="Kane, John"/>
    <s v="Kane John"/>
    <x v="8"/>
    <s v="WA"/>
    <s v="Product VJZZH"/>
    <x v="5"/>
    <x v="105"/>
    <d v="2006-12-02T00:00:00"/>
    <x v="1"/>
    <s v="Destination RVDMF"/>
    <x v="6"/>
    <s v="Supplier BWGYE"/>
    <s v="UK"/>
    <x v="2"/>
    <n v="36"/>
  </r>
  <r>
    <n v="10368"/>
    <n v="28"/>
    <n v="36.4"/>
    <n v="13"/>
    <n v="0.1"/>
    <s v="Kane, John"/>
    <s v="Kane John"/>
    <x v="8"/>
    <s v="WA"/>
    <s v="Product OFBNT"/>
    <x v="2"/>
    <x v="105"/>
    <d v="2006-12-02T00:00:00"/>
    <x v="1"/>
    <s v="Destination RVDMF"/>
    <x v="6"/>
    <s v="Supplier SVIYA"/>
    <s v="Germany"/>
    <x v="2"/>
    <n v="425.88"/>
  </r>
  <r>
    <n v="10368"/>
    <n v="57"/>
    <n v="15.6"/>
    <n v="25"/>
    <n v="0"/>
    <s v="Kane, John"/>
    <s v="Kane John"/>
    <x v="8"/>
    <s v="WA"/>
    <s v="Product OVLQI"/>
    <x v="1"/>
    <x v="105"/>
    <d v="2006-12-02T00:00:00"/>
    <x v="1"/>
    <s v="Destination RVDMF"/>
    <x v="6"/>
    <s v="Supplier ZWZDM"/>
    <s v="Italy"/>
    <x v="2"/>
    <n v="390"/>
  </r>
  <r>
    <n v="10368"/>
    <n v="64"/>
    <n v="26.6"/>
    <n v="35"/>
    <n v="0.1"/>
    <s v="Kane, John"/>
    <s v="Kane John"/>
    <x v="8"/>
    <s v="WA"/>
    <s v="Product HCQDE"/>
    <x v="1"/>
    <x v="105"/>
    <d v="2006-12-02T00:00:00"/>
    <x v="1"/>
    <s v="Destination RVDMF"/>
    <x v="6"/>
    <s v="Supplier SVIYA"/>
    <s v="Germany"/>
    <x v="2"/>
    <n v="837.9"/>
  </r>
  <r>
    <n v="10369"/>
    <n v="29"/>
    <n v="99"/>
    <n v="20"/>
    <n v="0"/>
    <s v="Wojciechowska, Agnieszka"/>
    <s v="Wojciechowska Agnieszka"/>
    <x v="6"/>
    <s v="WA"/>
    <s v="Product VJXYN"/>
    <x v="7"/>
    <x v="106"/>
    <d v="2006-12-09T00:00:00"/>
    <x v="1"/>
    <s v="Ship to 75-C"/>
    <x v="9"/>
    <s v="Supplier SVIYA"/>
    <s v="Germany"/>
    <x v="2"/>
    <n v="1980"/>
  </r>
  <r>
    <n v="10369"/>
    <n v="56"/>
    <n v="30.4"/>
    <n v="18"/>
    <n v="0.25"/>
    <s v="Wojciechowska, Agnieszka"/>
    <s v="Wojciechowska Agnieszka"/>
    <x v="6"/>
    <s v="WA"/>
    <s v="Product VKCMF"/>
    <x v="1"/>
    <x v="106"/>
    <d v="2006-12-09T00:00:00"/>
    <x v="1"/>
    <s v="Ship to 75-C"/>
    <x v="9"/>
    <s v="Supplier ZWZDM"/>
    <s v="Italy"/>
    <x v="2"/>
    <n v="410.4"/>
  </r>
  <r>
    <n v="10370"/>
    <n v="1"/>
    <n v="14.4"/>
    <n v="15"/>
    <n v="0.15"/>
    <s v="Jelitto, Jacek"/>
    <s v="Jelitto Jacek"/>
    <x v="7"/>
    <n v="0"/>
    <s v="Product HHYDP"/>
    <x v="6"/>
    <x v="107"/>
    <d v="2006-12-27T00:00:00"/>
    <x v="1"/>
    <s v="Destination YUJRD"/>
    <x v="4"/>
    <s v="Supplier SWRXU"/>
    <s v="UK"/>
    <x v="1"/>
    <n v="183.6"/>
  </r>
  <r>
    <n v="10370"/>
    <n v="64"/>
    <n v="26.6"/>
    <n v="30"/>
    <n v="0"/>
    <s v="Jelitto, Jacek"/>
    <s v="Jelitto Jacek"/>
    <x v="7"/>
    <n v="0"/>
    <s v="Product HCQDE"/>
    <x v="1"/>
    <x v="107"/>
    <d v="2006-12-27T00:00:00"/>
    <x v="1"/>
    <s v="Destination YUJRD"/>
    <x v="4"/>
    <s v="Supplier SVIYA"/>
    <s v="Germany"/>
    <x v="1"/>
    <n v="798"/>
  </r>
  <r>
    <n v="10370"/>
    <n v="74"/>
    <n v="8"/>
    <n v="20"/>
    <n v="0.15"/>
    <s v="Jelitto, Jacek"/>
    <s v="Jelitto Jacek"/>
    <x v="7"/>
    <n v="0"/>
    <s v="Product BKAZJ"/>
    <x v="2"/>
    <x v="107"/>
    <d v="2006-12-27T00:00:00"/>
    <x v="1"/>
    <s v="Destination YUJRD"/>
    <x v="4"/>
    <s v="Supplier QOVFD"/>
    <s v="Japan"/>
    <x v="1"/>
    <n v="136"/>
  </r>
  <r>
    <n v="10371"/>
    <n v="36"/>
    <n v="15.2"/>
    <n v="6"/>
    <n v="0.2"/>
    <s v="Litton, Tim"/>
    <s v="Litton Tim"/>
    <x v="5"/>
    <s v="WA"/>
    <s v="Product GMKIJ"/>
    <x v="3"/>
    <x v="107"/>
    <d v="2006-12-24T00:00:00"/>
    <x v="2"/>
    <s v="Ship to 41-C"/>
    <x v="2"/>
    <s v="Supplier QZGUF"/>
    <s v="Sweden"/>
    <x v="1"/>
    <n v="72.959999999999994"/>
  </r>
  <r>
    <n v="10372"/>
    <n v="20"/>
    <n v="64.8"/>
    <n v="12"/>
    <n v="0.25"/>
    <s v="Misiec, Anna"/>
    <s v="Misiec Anna"/>
    <x v="3"/>
    <n v="0"/>
    <s v="Product QHFFP"/>
    <x v="5"/>
    <x v="108"/>
    <d v="2006-12-09T00:00:00"/>
    <x v="1"/>
    <s v="Ship to 62-A"/>
    <x v="1"/>
    <s v="Supplier BWGYE"/>
    <s v="UK"/>
    <x v="2"/>
    <n v="583.19999999999993"/>
  </r>
  <r>
    <n v="10372"/>
    <n v="38"/>
    <n v="210.8"/>
    <n v="40"/>
    <n v="0.25"/>
    <s v="Misiec, Anna"/>
    <s v="Misiec Anna"/>
    <x v="3"/>
    <n v="0"/>
    <s v="Product QDOMO"/>
    <x v="6"/>
    <x v="108"/>
    <d v="2006-12-09T00:00:00"/>
    <x v="1"/>
    <s v="Ship to 62-A"/>
    <x v="1"/>
    <s v="Supplier LVJUA"/>
    <s v="France"/>
    <x v="2"/>
    <n v="6324"/>
  </r>
  <r>
    <n v="10372"/>
    <n v="60"/>
    <n v="27.2"/>
    <n v="70"/>
    <n v="0.25"/>
    <s v="Misiec, Anna"/>
    <s v="Misiec Anna"/>
    <x v="3"/>
    <n v="0"/>
    <s v="Product WHBYK"/>
    <x v="0"/>
    <x v="108"/>
    <d v="2006-12-09T00:00:00"/>
    <x v="1"/>
    <s v="Ship to 62-A"/>
    <x v="1"/>
    <s v="Supplier OAVQT"/>
    <s v="France"/>
    <x v="2"/>
    <n v="1428"/>
  </r>
  <r>
    <n v="10372"/>
    <n v="72"/>
    <n v="27.8"/>
    <n v="42"/>
    <n v="0.25"/>
    <s v="Misiec, Anna"/>
    <s v="Misiec Anna"/>
    <x v="3"/>
    <n v="0"/>
    <s v="Product GEEOO"/>
    <x v="0"/>
    <x v="108"/>
    <d v="2006-12-09T00:00:00"/>
    <x v="1"/>
    <s v="Ship to 62-A"/>
    <x v="1"/>
    <s v="Supplier KEREV"/>
    <s v="Italy"/>
    <x v="2"/>
    <n v="875.7"/>
  </r>
  <r>
    <n v="10373"/>
    <n v="58"/>
    <n v="10.6"/>
    <n v="80"/>
    <n v="0.2"/>
    <s v="Crăciun, Ovidiu V."/>
    <s v="Crăciun Ovidiu V."/>
    <x v="1"/>
    <s v="WA"/>
    <s v="Product ACRVI"/>
    <x v="3"/>
    <x v="109"/>
    <d v="2006-12-11T00:00:00"/>
    <x v="3"/>
    <s v="Destination KPVYJ"/>
    <x v="15"/>
    <s v="Supplier ZRYDZ"/>
    <s v="France"/>
    <x v="2"/>
    <n v="678.40000000000009"/>
  </r>
  <r>
    <n v="10373"/>
    <n v="71"/>
    <n v="17.2"/>
    <n v="50"/>
    <n v="0.2"/>
    <s v="Crăciun, Ovidiu V."/>
    <s v="Crăciun Ovidiu V."/>
    <x v="1"/>
    <s v="WA"/>
    <s v="Product MYMOI"/>
    <x v="0"/>
    <x v="109"/>
    <d v="2006-12-11T00:00:00"/>
    <x v="3"/>
    <s v="Destination KPVYJ"/>
    <x v="15"/>
    <s v="Supplier NZLIF"/>
    <s v="Norway"/>
    <x v="2"/>
    <n v="688"/>
  </r>
  <r>
    <n v="10374"/>
    <n v="31"/>
    <n v="10"/>
    <n v="30"/>
    <n v="0"/>
    <s v="Conn, Steve"/>
    <s v="Conn Steve"/>
    <x v="5"/>
    <s v="WA"/>
    <s v="Product XWOXC"/>
    <x v="0"/>
    <x v="109"/>
    <d v="2006-12-09T00:00:00"/>
    <x v="3"/>
    <s v="Ship to 91-A"/>
    <x v="19"/>
    <s v="Supplier KEREV"/>
    <s v="Italy"/>
    <x v="1"/>
    <n v="300"/>
  </r>
  <r>
    <n v="10374"/>
    <n v="58"/>
    <n v="10.6"/>
    <n v="15"/>
    <n v="0"/>
    <s v="Conn, Steve"/>
    <s v="Conn Steve"/>
    <x v="5"/>
    <s v="WA"/>
    <s v="Product ACRVI"/>
    <x v="3"/>
    <x v="109"/>
    <d v="2006-12-09T00:00:00"/>
    <x v="3"/>
    <s v="Ship to 91-A"/>
    <x v="19"/>
    <s v="Supplier ZRYDZ"/>
    <s v="France"/>
    <x v="1"/>
    <n v="159"/>
  </r>
  <r>
    <n v="10375"/>
    <n v="14"/>
    <n v="18.600000000000001"/>
    <n v="15"/>
    <n v="0"/>
    <s v="Smith, Denise"/>
    <s v="Smith Denise"/>
    <x v="2"/>
    <s v="WA"/>
    <s v="Product PWCJB"/>
    <x v="2"/>
    <x v="110"/>
    <d v="2006-12-09T00:00:00"/>
    <x v="1"/>
    <s v="Destination HOHCR"/>
    <x v="9"/>
    <s v="Supplier QWUSF"/>
    <s v="Japan"/>
    <x v="1"/>
    <n v="279"/>
  </r>
  <r>
    <n v="10375"/>
    <n v="54"/>
    <n v="5.9"/>
    <n v="10"/>
    <n v="0"/>
    <s v="Smith, Denise"/>
    <s v="Smith Denise"/>
    <x v="2"/>
    <s v="WA"/>
    <s v="Product QAQRL"/>
    <x v="7"/>
    <x v="110"/>
    <d v="2006-12-09T00:00:00"/>
    <x v="1"/>
    <s v="Destination HOHCR"/>
    <x v="9"/>
    <s v="Supplier ERVYZ"/>
    <s v="Canada"/>
    <x v="1"/>
    <n v="59"/>
  </r>
  <r>
    <n v="10376"/>
    <n v="31"/>
    <n v="10"/>
    <n v="42"/>
    <n v="0.05"/>
    <s v="Taylor, Maurice"/>
    <s v="Taylor Maurice"/>
    <x v="5"/>
    <s v="WA"/>
    <s v="Product XWOXC"/>
    <x v="0"/>
    <x v="111"/>
    <d v="2006-12-13T00:00:00"/>
    <x v="1"/>
    <s v="Ship to 51-B"/>
    <x v="17"/>
    <s v="Supplier KEREV"/>
    <s v="Italy"/>
    <x v="1"/>
    <n v="399"/>
  </r>
  <r>
    <n v="10377"/>
    <n v="28"/>
    <n v="36.4"/>
    <n v="20"/>
    <n v="0.15"/>
    <s v="Welcker, Brian"/>
    <s v="Welcker Brian"/>
    <x v="5"/>
    <s v="WA"/>
    <s v="Product OFBNT"/>
    <x v="2"/>
    <x v="111"/>
    <d v="2006-12-13T00:00:00"/>
    <x v="3"/>
    <s v="Ship to 72-C"/>
    <x v="14"/>
    <s v="Supplier SVIYA"/>
    <s v="Germany"/>
    <x v="1"/>
    <n v="618.79999999999995"/>
  </r>
  <r>
    <n v="10377"/>
    <n v="39"/>
    <n v="14.4"/>
    <n v="20"/>
    <n v="0.15"/>
    <s v="Welcker, Brian"/>
    <s v="Welcker Brian"/>
    <x v="5"/>
    <s v="WA"/>
    <s v="Product LSOFL"/>
    <x v="6"/>
    <x v="111"/>
    <d v="2006-12-13T00:00:00"/>
    <x v="3"/>
    <s v="Ship to 72-C"/>
    <x v="14"/>
    <s v="Supplier LVJUA"/>
    <s v="France"/>
    <x v="1"/>
    <n v="244.79999999999998"/>
  </r>
  <r>
    <n v="10378"/>
    <n v="71"/>
    <n v="17.2"/>
    <n v="6"/>
    <n v="0"/>
    <s v="San Juan, Patricia"/>
    <s v="San Juan Patricia"/>
    <x v="3"/>
    <n v="0"/>
    <s v="Product MYMOI"/>
    <x v="0"/>
    <x v="112"/>
    <d v="2006-12-19T00:00:00"/>
    <x v="3"/>
    <s v="Destination KBSBN"/>
    <x v="10"/>
    <s v="Supplier NZLIF"/>
    <s v="Norway"/>
    <x v="1"/>
    <n v="103.19999999999999"/>
  </r>
  <r>
    <n v="10379"/>
    <n v="41"/>
    <n v="7.7"/>
    <n v="8"/>
    <n v="0.1"/>
    <s v="Florczyk, Krzysztof"/>
    <s v="Florczyk Krzysztof"/>
    <x v="8"/>
    <s v="WA"/>
    <s v="Product TTEEX"/>
    <x v="3"/>
    <x v="113"/>
    <d v="2006-12-13T00:00:00"/>
    <x v="2"/>
    <s v="Ship to 61-B"/>
    <x v="1"/>
    <s v="Supplier JDNUG"/>
    <s v="USA"/>
    <x v="1"/>
    <n v="55.440000000000005"/>
  </r>
  <r>
    <n v="10379"/>
    <n v="63"/>
    <n v="35.1"/>
    <n v="16"/>
    <n v="0.1"/>
    <s v="Florczyk, Krzysztof"/>
    <s v="Florczyk Krzysztof"/>
    <x v="8"/>
    <s v="WA"/>
    <s v="Product ICKNK"/>
    <x v="4"/>
    <x v="113"/>
    <d v="2006-12-13T00:00:00"/>
    <x v="2"/>
    <s v="Ship to 61-B"/>
    <x v="1"/>
    <s v="Supplier GQRCV"/>
    <s v="Australia"/>
    <x v="1"/>
    <n v="505.44000000000005"/>
  </r>
  <r>
    <n v="10379"/>
    <n v="65"/>
    <n v="16.8"/>
    <n v="20"/>
    <n v="0.1"/>
    <s v="Florczyk, Krzysztof"/>
    <s v="Florczyk Krzysztof"/>
    <x v="8"/>
    <s v="WA"/>
    <s v="Product XYWBZ"/>
    <x v="4"/>
    <x v="113"/>
    <d v="2006-12-13T00:00:00"/>
    <x v="2"/>
    <s v="Ship to 61-B"/>
    <x v="1"/>
    <s v="Supplier VHQZD"/>
    <s v="USA"/>
    <x v="1"/>
    <n v="302.40000000000003"/>
  </r>
  <r>
    <n v="10380"/>
    <n v="30"/>
    <n v="20.7"/>
    <n v="18"/>
    <n v="0.1"/>
    <s v="Crăciun, Ovidiu V."/>
    <s v="Crăciun Ovidiu V."/>
    <x v="6"/>
    <s v="WA"/>
    <s v="Product LYERX"/>
    <x v="3"/>
    <x v="114"/>
    <d v="2007-01-16T00:00:00"/>
    <x v="3"/>
    <s v="Destination KPVYJ"/>
    <x v="15"/>
    <s v="Supplier TEGSC"/>
    <s v="Germany"/>
    <x v="1"/>
    <n v="335.34"/>
  </r>
  <r>
    <n v="10380"/>
    <n v="53"/>
    <n v="26.2"/>
    <n v="20"/>
    <n v="0.1"/>
    <s v="Crăciun, Ovidiu V."/>
    <s v="Crăciun Ovidiu V."/>
    <x v="6"/>
    <s v="WA"/>
    <s v="Product BKGEA"/>
    <x v="7"/>
    <x v="114"/>
    <d v="2007-01-16T00:00:00"/>
    <x v="3"/>
    <s v="Destination KPVYJ"/>
    <x v="15"/>
    <s v="Supplier JNNES"/>
    <s v="Australia"/>
    <x v="1"/>
    <n v="471.6"/>
  </r>
  <r>
    <n v="10380"/>
    <n v="60"/>
    <n v="27.2"/>
    <n v="6"/>
    <n v="0.1"/>
    <s v="Crăciun, Ovidiu V."/>
    <s v="Crăciun Ovidiu V."/>
    <x v="6"/>
    <s v="WA"/>
    <s v="Product WHBYK"/>
    <x v="0"/>
    <x v="114"/>
    <d v="2007-01-16T00:00:00"/>
    <x v="3"/>
    <s v="Destination KPVYJ"/>
    <x v="15"/>
    <s v="Supplier OAVQT"/>
    <s v="France"/>
    <x v="1"/>
    <n v="146.88"/>
  </r>
  <r>
    <n v="10380"/>
    <n v="70"/>
    <n v="12"/>
    <n v="30"/>
    <n v="0"/>
    <s v="Crăciun, Ovidiu V."/>
    <s v="Crăciun Ovidiu V."/>
    <x v="6"/>
    <s v="WA"/>
    <s v="Product TOONT"/>
    <x v="6"/>
    <x v="114"/>
    <d v="2007-01-16T00:00:00"/>
    <x v="3"/>
    <s v="Destination KPVYJ"/>
    <x v="15"/>
    <s v="Supplier GQRCV"/>
    <s v="Australia"/>
    <x v="1"/>
    <n v="360"/>
  </r>
  <r>
    <n v="10381"/>
    <n v="74"/>
    <n v="8"/>
    <n v="14"/>
    <n v="0"/>
    <s v="Dressler, Marlies"/>
    <s v="Dressler Marlies"/>
    <x v="2"/>
    <s v="WA"/>
    <s v="Product BKAZJ"/>
    <x v="2"/>
    <x v="114"/>
    <d v="2006-12-13T00:00:00"/>
    <x v="3"/>
    <s v="Ship to 46-C"/>
    <x v="5"/>
    <s v="Supplier QOVFD"/>
    <s v="Japan"/>
    <x v="1"/>
    <n v="112"/>
  </r>
  <r>
    <n v="10382"/>
    <n v="5"/>
    <n v="17"/>
    <n v="32"/>
    <n v="0"/>
    <s v="Kane, John"/>
    <s v="Kane John"/>
    <x v="1"/>
    <s v="WA"/>
    <s v="Product EPEIM"/>
    <x v="4"/>
    <x v="115"/>
    <d v="2006-12-16T00:00:00"/>
    <x v="2"/>
    <s v="Destination FFXKT"/>
    <x v="6"/>
    <s v="Supplier VHQZD"/>
    <s v="USA"/>
    <x v="1"/>
    <n v="544"/>
  </r>
  <r>
    <n v="10382"/>
    <n v="18"/>
    <n v="50"/>
    <n v="9"/>
    <n v="0"/>
    <s v="Kane, John"/>
    <s v="Kane John"/>
    <x v="1"/>
    <s v="WA"/>
    <s v="Product CKEDC"/>
    <x v="3"/>
    <x v="115"/>
    <d v="2006-12-16T00:00:00"/>
    <x v="2"/>
    <s v="Destination FFXKT"/>
    <x v="6"/>
    <s v="Supplier GQRCV"/>
    <s v="Australia"/>
    <x v="1"/>
    <n v="450"/>
  </r>
  <r>
    <n v="10382"/>
    <n v="29"/>
    <n v="99"/>
    <n v="14"/>
    <n v="0"/>
    <s v="Kane, John"/>
    <s v="Kane John"/>
    <x v="1"/>
    <s v="WA"/>
    <s v="Product VJXYN"/>
    <x v="7"/>
    <x v="115"/>
    <d v="2006-12-16T00:00:00"/>
    <x v="2"/>
    <s v="Destination FFXKT"/>
    <x v="6"/>
    <s v="Supplier SVIYA"/>
    <s v="Germany"/>
    <x v="1"/>
    <n v="1386"/>
  </r>
  <r>
    <n v="10382"/>
    <n v="33"/>
    <n v="2"/>
    <n v="60"/>
    <n v="0"/>
    <s v="Kane, John"/>
    <s v="Kane John"/>
    <x v="1"/>
    <s v="WA"/>
    <s v="Product ASTMN"/>
    <x v="0"/>
    <x v="115"/>
    <d v="2006-12-16T00:00:00"/>
    <x v="2"/>
    <s v="Destination FFXKT"/>
    <x v="6"/>
    <s v="Supplier NZLIF"/>
    <s v="Norway"/>
    <x v="1"/>
    <n v="120"/>
  </r>
  <r>
    <n v="10382"/>
    <n v="74"/>
    <n v="8"/>
    <n v="50"/>
    <n v="0"/>
    <s v="Kane, John"/>
    <s v="Kane John"/>
    <x v="1"/>
    <s v="WA"/>
    <s v="Product BKAZJ"/>
    <x v="2"/>
    <x v="115"/>
    <d v="2006-12-16T00:00:00"/>
    <x v="2"/>
    <s v="Destination FFXKT"/>
    <x v="6"/>
    <s v="Supplier QOVFD"/>
    <s v="Japan"/>
    <x v="1"/>
    <n v="400"/>
  </r>
  <r>
    <n v="10383"/>
    <n v="13"/>
    <n v="4.8"/>
    <n v="20"/>
    <n v="0"/>
    <s v="Arndt, Torsten"/>
    <s v="Arndt Torsten"/>
    <x v="6"/>
    <s v="WA"/>
    <s v="Product POXFU"/>
    <x v="3"/>
    <x v="116"/>
    <d v="2006-12-18T00:00:00"/>
    <x v="3"/>
    <s v="Ship to 4-B"/>
    <x v="14"/>
    <s v="Supplier QWUSF"/>
    <s v="Japan"/>
    <x v="1"/>
    <n v="96"/>
  </r>
  <r>
    <n v="10383"/>
    <n v="50"/>
    <n v="13"/>
    <n v="15"/>
    <n v="0"/>
    <s v="Arndt, Torsten"/>
    <s v="Arndt Torsten"/>
    <x v="6"/>
    <s v="WA"/>
    <s v="Product BIUDV"/>
    <x v="5"/>
    <x v="116"/>
    <d v="2006-12-18T00:00:00"/>
    <x v="3"/>
    <s v="Ship to 4-B"/>
    <x v="14"/>
    <s v="Supplier ELCRN"/>
    <s v="Finland"/>
    <x v="1"/>
    <n v="195"/>
  </r>
  <r>
    <n v="10383"/>
    <n v="56"/>
    <n v="30.4"/>
    <n v="20"/>
    <n v="0"/>
    <s v="Arndt, Torsten"/>
    <s v="Arndt Torsten"/>
    <x v="6"/>
    <s v="WA"/>
    <s v="Product VKCMF"/>
    <x v="1"/>
    <x v="116"/>
    <d v="2006-12-18T00:00:00"/>
    <x v="3"/>
    <s v="Ship to 4-B"/>
    <x v="14"/>
    <s v="Supplier ZWZDM"/>
    <s v="Italy"/>
    <x v="1"/>
    <n v="608"/>
  </r>
  <r>
    <n v="10384"/>
    <n v="20"/>
    <n v="64.8"/>
    <n v="28"/>
    <n v="0"/>
    <s v="Higginbotham, Tom"/>
    <s v="Higginbotham Tom"/>
    <x v="2"/>
    <s v="WA"/>
    <s v="Product QHFFP"/>
    <x v="5"/>
    <x v="116"/>
    <d v="2006-12-20T00:00:00"/>
    <x v="3"/>
    <s v="Ship to 5-C"/>
    <x v="10"/>
    <s v="Supplier BWGYE"/>
    <s v="UK"/>
    <x v="2"/>
    <n v="1814.3999999999999"/>
  </r>
  <r>
    <n v="10384"/>
    <n v="60"/>
    <n v="27.2"/>
    <n v="15"/>
    <n v="0"/>
    <s v="Higginbotham, Tom"/>
    <s v="Higginbotham Tom"/>
    <x v="2"/>
    <s v="WA"/>
    <s v="Product WHBYK"/>
    <x v="0"/>
    <x v="116"/>
    <d v="2006-12-20T00:00:00"/>
    <x v="3"/>
    <s v="Ship to 5-C"/>
    <x v="10"/>
    <s v="Supplier OAVQT"/>
    <s v="France"/>
    <x v="2"/>
    <n v="408"/>
  </r>
  <r>
    <n v="10385"/>
    <n v="7"/>
    <n v="24"/>
    <n v="10"/>
    <n v="0.2"/>
    <s v="Wojciechowska, Agnieszka"/>
    <s v="Wojciechowska Agnieszka"/>
    <x v="5"/>
    <s v="WA"/>
    <s v="Product HMLNI"/>
    <x v="2"/>
    <x v="117"/>
    <d v="2006-12-23T00:00:00"/>
    <x v="1"/>
    <s v="Ship to 75-B"/>
    <x v="9"/>
    <s v="Supplier STUAZ"/>
    <s v="USA"/>
    <x v="1"/>
    <n v="192"/>
  </r>
  <r>
    <n v="10385"/>
    <n v="60"/>
    <n v="27.2"/>
    <n v="20"/>
    <n v="0.2"/>
    <s v="Wojciechowska, Agnieszka"/>
    <s v="Wojciechowska Agnieszka"/>
    <x v="5"/>
    <s v="WA"/>
    <s v="Product WHBYK"/>
    <x v="0"/>
    <x v="117"/>
    <d v="2006-12-23T00:00:00"/>
    <x v="1"/>
    <s v="Ship to 75-B"/>
    <x v="9"/>
    <s v="Supplier OAVQT"/>
    <s v="France"/>
    <x v="1"/>
    <n v="435.20000000000005"/>
  </r>
  <r>
    <n v="10385"/>
    <n v="68"/>
    <n v="10"/>
    <n v="8"/>
    <n v="0.2"/>
    <s v="Wojciechowska, Agnieszka"/>
    <s v="Wojciechowska Agnieszka"/>
    <x v="5"/>
    <s v="WA"/>
    <s v="Product TBTBL"/>
    <x v="5"/>
    <x v="117"/>
    <d v="2006-12-23T00:00:00"/>
    <x v="1"/>
    <s v="Ship to 75-B"/>
    <x v="9"/>
    <s v="Supplier BWGYE"/>
    <s v="UK"/>
    <x v="1"/>
    <n v="64"/>
  </r>
  <r>
    <n v="10386"/>
    <n v="24"/>
    <n v="3.6"/>
    <n v="15"/>
    <n v="0"/>
    <s v="Russo, Giuseppe"/>
    <s v="Russo Giuseppe"/>
    <x v="4"/>
    <n v="0"/>
    <s v="Product QOGNU"/>
    <x v="6"/>
    <x v="118"/>
    <d v="2006-12-25T00:00:00"/>
    <x v="3"/>
    <s v="Destination RNSMS"/>
    <x v="1"/>
    <s v="Supplier UNAHG"/>
    <s v="Brazil"/>
    <x v="1"/>
    <n v="54"/>
  </r>
  <r>
    <n v="10386"/>
    <n v="34"/>
    <n v="11.2"/>
    <n v="10"/>
    <n v="0"/>
    <s v="Russo, Giuseppe"/>
    <s v="Russo Giuseppe"/>
    <x v="4"/>
    <n v="0"/>
    <s v="Product SWNJY"/>
    <x v="6"/>
    <x v="118"/>
    <d v="2006-12-25T00:00:00"/>
    <x v="3"/>
    <s v="Destination RNSMS"/>
    <x v="1"/>
    <s v="Supplier UHZRG"/>
    <s v="USA"/>
    <x v="1"/>
    <n v="112"/>
  </r>
  <r>
    <n v="10387"/>
    <n v="24"/>
    <n v="3.6"/>
    <n v="15"/>
    <n v="0"/>
    <s v="Ginters, Kaspars"/>
    <s v="Ginters Kaspars"/>
    <x v="5"/>
    <s v="WA"/>
    <s v="Product QOGNU"/>
    <x v="6"/>
    <x v="118"/>
    <d v="2006-12-20T00:00:00"/>
    <x v="1"/>
    <s v="Ship to 70-B"/>
    <x v="20"/>
    <s v="Supplier UNAHG"/>
    <s v="Brazil"/>
    <x v="1"/>
    <n v="54"/>
  </r>
  <r>
    <n v="10387"/>
    <n v="28"/>
    <n v="36.4"/>
    <n v="6"/>
    <n v="0"/>
    <s v="Ginters, Kaspars"/>
    <s v="Ginters Kaspars"/>
    <x v="5"/>
    <s v="WA"/>
    <s v="Product OFBNT"/>
    <x v="2"/>
    <x v="118"/>
    <d v="2006-12-20T00:00:00"/>
    <x v="1"/>
    <s v="Ship to 70-B"/>
    <x v="20"/>
    <s v="Supplier SVIYA"/>
    <s v="Germany"/>
    <x v="1"/>
    <n v="218.39999999999998"/>
  </r>
  <r>
    <n v="10387"/>
    <n v="59"/>
    <n v="44"/>
    <n v="12"/>
    <n v="0"/>
    <s v="Ginters, Kaspars"/>
    <s v="Ginters Kaspars"/>
    <x v="5"/>
    <s v="WA"/>
    <s v="Product UKXRI"/>
    <x v="0"/>
    <x v="118"/>
    <d v="2006-12-20T00:00:00"/>
    <x v="1"/>
    <s v="Ship to 70-B"/>
    <x v="20"/>
    <s v="Supplier OAVQT"/>
    <s v="France"/>
    <x v="1"/>
    <n v="528"/>
  </r>
  <r>
    <n v="10387"/>
    <n v="71"/>
    <n v="17.2"/>
    <n v="15"/>
    <n v="0"/>
    <s v="Ginters, Kaspars"/>
    <s v="Ginters Kaspars"/>
    <x v="5"/>
    <s v="WA"/>
    <s v="Product MYMOI"/>
    <x v="0"/>
    <x v="118"/>
    <d v="2006-12-20T00:00:00"/>
    <x v="1"/>
    <s v="Ship to 70-B"/>
    <x v="20"/>
    <s v="Supplier NZLIF"/>
    <s v="Norway"/>
    <x v="1"/>
    <n v="258"/>
  </r>
  <r>
    <n v="10388"/>
    <n v="45"/>
    <n v="7.6"/>
    <n v="15"/>
    <n v="0.2"/>
    <s v="Welcker, Brian"/>
    <s v="Welcker Brian"/>
    <x v="8"/>
    <s v="WA"/>
    <s v="Product AQOKR"/>
    <x v="3"/>
    <x v="119"/>
    <d v="2006-12-20T00:00:00"/>
    <x v="2"/>
    <s v="Ship to 72-C"/>
    <x v="14"/>
    <s v="Supplier XOXZA"/>
    <s v="Denmark"/>
    <x v="1"/>
    <n v="91.2"/>
  </r>
  <r>
    <n v="10388"/>
    <n v="52"/>
    <n v="5.6"/>
    <n v="20"/>
    <n v="0.2"/>
    <s v="Welcker, Brian"/>
    <s v="Welcker Brian"/>
    <x v="8"/>
    <s v="WA"/>
    <s v="Product QSRXF"/>
    <x v="1"/>
    <x v="119"/>
    <d v="2006-12-20T00:00:00"/>
    <x v="2"/>
    <s v="Ship to 72-C"/>
    <x v="14"/>
    <s v="Supplier JNNES"/>
    <s v="Australia"/>
    <x v="1"/>
    <n v="89.600000000000009"/>
  </r>
  <r>
    <n v="10388"/>
    <n v="53"/>
    <n v="26.2"/>
    <n v="40"/>
    <n v="0"/>
    <s v="Welcker, Brian"/>
    <s v="Welcker Brian"/>
    <x v="8"/>
    <s v="WA"/>
    <s v="Product BKGEA"/>
    <x v="7"/>
    <x v="119"/>
    <d v="2006-12-20T00:00:00"/>
    <x v="2"/>
    <s v="Ship to 72-C"/>
    <x v="14"/>
    <s v="Supplier JNNES"/>
    <s v="Australia"/>
    <x v="1"/>
    <n v="1048"/>
  </r>
  <r>
    <n v="10389"/>
    <n v="10"/>
    <n v="24.8"/>
    <n v="16"/>
    <n v="0"/>
    <s v="Bassols, Pilar Colome"/>
    <s v="Bassols Pilar Colome"/>
    <x v="1"/>
    <s v="WA"/>
    <s v="Product YHXGE"/>
    <x v="3"/>
    <x v="120"/>
    <d v="2006-12-24T00:00:00"/>
    <x v="1"/>
    <s v="Destination OLSSJ"/>
    <x v="17"/>
    <s v="Supplier QOVFD"/>
    <s v="Japan"/>
    <x v="1"/>
    <n v="396.8"/>
  </r>
  <r>
    <n v="10389"/>
    <n v="55"/>
    <n v="19.2"/>
    <n v="15"/>
    <n v="0"/>
    <s v="Bassols, Pilar Colome"/>
    <s v="Bassols Pilar Colome"/>
    <x v="1"/>
    <s v="WA"/>
    <s v="Product YYWRT"/>
    <x v="7"/>
    <x v="120"/>
    <d v="2006-12-24T00:00:00"/>
    <x v="1"/>
    <s v="Destination OLSSJ"/>
    <x v="17"/>
    <s v="Supplier ERVYZ"/>
    <s v="Canada"/>
    <x v="1"/>
    <n v="288"/>
  </r>
  <r>
    <n v="10389"/>
    <n v="62"/>
    <n v="39.4"/>
    <n v="20"/>
    <n v="0"/>
    <s v="Bassols, Pilar Colome"/>
    <s v="Bassols Pilar Colome"/>
    <x v="1"/>
    <s v="WA"/>
    <s v="Product WUXYK"/>
    <x v="5"/>
    <x v="120"/>
    <d v="2006-12-24T00:00:00"/>
    <x v="1"/>
    <s v="Destination OLSSJ"/>
    <x v="17"/>
    <s v="Supplier OGLRK"/>
    <s v="Canada"/>
    <x v="1"/>
    <n v="788"/>
  </r>
  <r>
    <n v="10389"/>
    <n v="70"/>
    <n v="12"/>
    <n v="30"/>
    <n v="0"/>
    <s v="Bassols, Pilar Colome"/>
    <s v="Bassols Pilar Colome"/>
    <x v="1"/>
    <s v="WA"/>
    <s v="Product TOONT"/>
    <x v="6"/>
    <x v="120"/>
    <d v="2006-12-24T00:00:00"/>
    <x v="1"/>
    <s v="Destination OLSSJ"/>
    <x v="17"/>
    <s v="Supplier GQRCV"/>
    <s v="Australia"/>
    <x v="1"/>
    <n v="360"/>
  </r>
  <r>
    <n v="10390"/>
    <n v="31"/>
    <n v="10"/>
    <n v="60"/>
    <n v="0.1"/>
    <s v="Kane, John"/>
    <s v="Kane John"/>
    <x v="7"/>
    <n v="0"/>
    <s v="Product XWOXC"/>
    <x v="0"/>
    <x v="121"/>
    <d v="2006-12-26T00:00:00"/>
    <x v="2"/>
    <s v="Destination RVDMF"/>
    <x v="6"/>
    <s v="Supplier KEREV"/>
    <s v="Italy"/>
    <x v="2"/>
    <n v="540"/>
  </r>
  <r>
    <n v="10390"/>
    <n v="35"/>
    <n v="14.4"/>
    <n v="40"/>
    <n v="0.1"/>
    <s v="Kane, John"/>
    <s v="Kane John"/>
    <x v="7"/>
    <n v="0"/>
    <s v="Product NEVTJ"/>
    <x v="6"/>
    <x v="121"/>
    <d v="2006-12-26T00:00:00"/>
    <x v="2"/>
    <s v="Destination RVDMF"/>
    <x v="6"/>
    <s v="Supplier UHZRG"/>
    <s v="USA"/>
    <x v="2"/>
    <n v="518.4"/>
  </r>
  <r>
    <n v="10390"/>
    <n v="46"/>
    <n v="9.6"/>
    <n v="45"/>
    <n v="0"/>
    <s v="Kane, John"/>
    <s v="Kane John"/>
    <x v="7"/>
    <n v="0"/>
    <s v="Product CBRRL"/>
    <x v="3"/>
    <x v="121"/>
    <d v="2006-12-26T00:00:00"/>
    <x v="2"/>
    <s v="Destination RVDMF"/>
    <x v="6"/>
    <s v="Supplier XOXZA"/>
    <s v="Denmark"/>
    <x v="2"/>
    <n v="432"/>
  </r>
  <r>
    <n v="10390"/>
    <n v="72"/>
    <n v="27.8"/>
    <n v="24"/>
    <n v="0.1"/>
    <s v="Kane, John"/>
    <s v="Kane John"/>
    <x v="7"/>
    <n v="0"/>
    <s v="Product GEEOO"/>
    <x v="0"/>
    <x v="121"/>
    <d v="2006-12-26T00:00:00"/>
    <x v="2"/>
    <s v="Destination RVDMF"/>
    <x v="6"/>
    <s v="Supplier KEREV"/>
    <s v="Italy"/>
    <x v="2"/>
    <n v="600.48"/>
  </r>
  <r>
    <n v="10391"/>
    <n v="13"/>
    <n v="4.8"/>
    <n v="18"/>
    <n v="0"/>
    <s v="Jones, TiAnna"/>
    <s v="Jones TiAnna"/>
    <x v="2"/>
    <s v="WA"/>
    <s v="Product POXFU"/>
    <x v="3"/>
    <x v="121"/>
    <d v="2006-12-31T00:00:00"/>
    <x v="3"/>
    <s v="Destination AJTHX"/>
    <x v="8"/>
    <s v="Supplier QWUSF"/>
    <s v="Japan"/>
    <x v="1"/>
    <n v="86.399999999999991"/>
  </r>
  <r>
    <n v="10392"/>
    <n v="69"/>
    <n v="28.8"/>
    <n v="50"/>
    <n v="0"/>
    <s v="Meston, Tosh"/>
    <s v="Meston Tosh"/>
    <x v="8"/>
    <s v="WA"/>
    <s v="Product COAXA"/>
    <x v="0"/>
    <x v="122"/>
    <d v="2007-01-01T00:00:00"/>
    <x v="3"/>
    <s v="Ship to 59-A"/>
    <x v="6"/>
    <s v="Supplier NZLIF"/>
    <s v="Norway"/>
    <x v="2"/>
    <n v="1440"/>
  </r>
  <r>
    <n v="10393"/>
    <n v="2"/>
    <n v="15.2"/>
    <n v="25"/>
    <n v="0.25"/>
    <s v="Navarro, Tomás"/>
    <s v="Navarro Tomás"/>
    <x v="5"/>
    <s v="WA"/>
    <s v="Product RECZE"/>
    <x v="6"/>
    <x v="123"/>
    <d v="2007-01-03T00:00:00"/>
    <x v="3"/>
    <s v="Ship to 71-B"/>
    <x v="9"/>
    <s v="Supplier SWRXU"/>
    <s v="UK"/>
    <x v="2"/>
    <n v="285"/>
  </r>
  <r>
    <n v="10393"/>
    <n v="14"/>
    <n v="18.600000000000001"/>
    <n v="42"/>
    <n v="0.25"/>
    <s v="Navarro, Tomás"/>
    <s v="Navarro Tomás"/>
    <x v="5"/>
    <s v="WA"/>
    <s v="Product PWCJB"/>
    <x v="2"/>
    <x v="123"/>
    <d v="2007-01-03T00:00:00"/>
    <x v="3"/>
    <s v="Ship to 71-B"/>
    <x v="9"/>
    <s v="Supplier QWUSF"/>
    <s v="Japan"/>
    <x v="2"/>
    <n v="585.90000000000009"/>
  </r>
  <r>
    <n v="10393"/>
    <n v="25"/>
    <n v="11.2"/>
    <n v="7"/>
    <n v="0.25"/>
    <s v="Navarro, Tomás"/>
    <s v="Navarro Tomás"/>
    <x v="5"/>
    <s v="WA"/>
    <s v="Product LYLNI"/>
    <x v="5"/>
    <x v="123"/>
    <d v="2007-01-03T00:00:00"/>
    <x v="3"/>
    <s v="Ship to 71-B"/>
    <x v="9"/>
    <s v="Supplier ZPYVS"/>
    <s v="Germany"/>
    <x v="2"/>
    <n v="58.8"/>
  </r>
  <r>
    <n v="10393"/>
    <n v="26"/>
    <n v="24.9"/>
    <n v="70"/>
    <n v="0.25"/>
    <s v="Navarro, Tomás"/>
    <s v="Navarro Tomás"/>
    <x v="5"/>
    <s v="WA"/>
    <s v="Product HLGZA"/>
    <x v="5"/>
    <x v="123"/>
    <d v="2007-01-03T00:00:00"/>
    <x v="3"/>
    <s v="Ship to 71-B"/>
    <x v="9"/>
    <s v="Supplier ZPYVS"/>
    <s v="Germany"/>
    <x v="2"/>
    <n v="1307.25"/>
  </r>
  <r>
    <n v="10393"/>
    <n v="31"/>
    <n v="10"/>
    <n v="32"/>
    <n v="0"/>
    <s v="Navarro, Tomás"/>
    <s v="Navarro Tomás"/>
    <x v="5"/>
    <s v="WA"/>
    <s v="Product XWOXC"/>
    <x v="0"/>
    <x v="123"/>
    <d v="2007-01-03T00:00:00"/>
    <x v="3"/>
    <s v="Ship to 71-B"/>
    <x v="9"/>
    <s v="Supplier KEREV"/>
    <s v="Italy"/>
    <x v="2"/>
    <n v="320"/>
  </r>
  <r>
    <n v="10394"/>
    <n v="13"/>
    <n v="4.8"/>
    <n v="10"/>
    <n v="0"/>
    <s v="Smith, Denise"/>
    <s v="Smith Denise"/>
    <x v="5"/>
    <s v="WA"/>
    <s v="Product POXFU"/>
    <x v="3"/>
    <x v="123"/>
    <d v="2007-01-03T00:00:00"/>
    <x v="3"/>
    <s v="Destination AWPJG"/>
    <x v="9"/>
    <s v="Supplier QWUSF"/>
    <s v="Japan"/>
    <x v="1"/>
    <n v="48"/>
  </r>
  <r>
    <n v="10394"/>
    <n v="62"/>
    <n v="39.4"/>
    <n v="10"/>
    <n v="0"/>
    <s v="Smith, Denise"/>
    <s v="Smith Denise"/>
    <x v="5"/>
    <s v="WA"/>
    <s v="Product WUXYK"/>
    <x v="5"/>
    <x v="123"/>
    <d v="2007-01-03T00:00:00"/>
    <x v="3"/>
    <s v="Destination AWPJG"/>
    <x v="9"/>
    <s v="Supplier OGLRK"/>
    <s v="Canada"/>
    <x v="1"/>
    <n v="394"/>
  </r>
  <r>
    <n v="10395"/>
    <n v="46"/>
    <n v="9.6"/>
    <n v="28"/>
    <n v="0.1"/>
    <s v="Langohr, Kris"/>
    <s v="Langohr Kris"/>
    <x v="7"/>
    <n v="0"/>
    <s v="Product CBRRL"/>
    <x v="3"/>
    <x v="124"/>
    <d v="2007-01-03T00:00:00"/>
    <x v="2"/>
    <s v="Destination JYDLM"/>
    <x v="5"/>
    <s v="Supplier XOXZA"/>
    <s v="Denmark"/>
    <x v="2"/>
    <n v="241.92000000000002"/>
  </r>
  <r>
    <n v="10395"/>
    <n v="53"/>
    <n v="26.2"/>
    <n v="70"/>
    <n v="0.1"/>
    <s v="Langohr, Kris"/>
    <s v="Langohr Kris"/>
    <x v="7"/>
    <n v="0"/>
    <s v="Product BKGEA"/>
    <x v="7"/>
    <x v="124"/>
    <d v="2007-01-03T00:00:00"/>
    <x v="2"/>
    <s v="Destination JYDLM"/>
    <x v="5"/>
    <s v="Supplier JNNES"/>
    <s v="Australia"/>
    <x v="2"/>
    <n v="1650.6000000000001"/>
  </r>
  <r>
    <n v="10395"/>
    <n v="69"/>
    <n v="28.8"/>
    <n v="8"/>
    <n v="0"/>
    <s v="Langohr, Kris"/>
    <s v="Langohr Kris"/>
    <x v="7"/>
    <n v="0"/>
    <s v="Product COAXA"/>
    <x v="0"/>
    <x v="124"/>
    <d v="2007-01-03T00:00:00"/>
    <x v="2"/>
    <s v="Destination JYDLM"/>
    <x v="5"/>
    <s v="Supplier NZLIF"/>
    <s v="Norway"/>
    <x v="2"/>
    <n v="230.4"/>
  </r>
  <r>
    <n v="10396"/>
    <n v="23"/>
    <n v="7.2"/>
    <n v="40"/>
    <n v="0"/>
    <s v="Carlson, Jason"/>
    <s v="Carlson Jason"/>
    <x v="5"/>
    <s v="WA"/>
    <s v="Product JLUDZ"/>
    <x v="1"/>
    <x v="125"/>
    <d v="2007-01-06T00:00:00"/>
    <x v="3"/>
    <s v="Destination VAPXU"/>
    <x v="8"/>
    <s v="Supplier QQYEU"/>
    <s v="Sweden"/>
    <x v="2"/>
    <n v="288"/>
  </r>
  <r>
    <n v="10396"/>
    <n v="71"/>
    <n v="17.2"/>
    <n v="60"/>
    <n v="0"/>
    <s v="Carlson, Jason"/>
    <s v="Carlson Jason"/>
    <x v="5"/>
    <s v="WA"/>
    <s v="Product MYMOI"/>
    <x v="0"/>
    <x v="125"/>
    <d v="2007-01-06T00:00:00"/>
    <x v="3"/>
    <s v="Destination VAPXU"/>
    <x v="8"/>
    <s v="Supplier NZLIF"/>
    <s v="Norway"/>
    <x v="2"/>
    <n v="1032"/>
  </r>
  <r>
    <n v="10396"/>
    <n v="72"/>
    <n v="27.8"/>
    <n v="21"/>
    <n v="0"/>
    <s v="Carlson, Jason"/>
    <s v="Carlson Jason"/>
    <x v="5"/>
    <s v="WA"/>
    <s v="Product GEEOO"/>
    <x v="0"/>
    <x v="125"/>
    <d v="2007-01-06T00:00:00"/>
    <x v="3"/>
    <s v="Destination VAPXU"/>
    <x v="8"/>
    <s v="Supplier KEREV"/>
    <s v="Italy"/>
    <x v="2"/>
    <n v="583.80000000000007"/>
  </r>
  <r>
    <n v="10397"/>
    <n v="21"/>
    <n v="8"/>
    <n v="10"/>
    <n v="0.15"/>
    <s v="Uppal, Sunil"/>
    <s v="Uppal Sunil"/>
    <x v="3"/>
    <n v="0"/>
    <s v="Product VJZZH"/>
    <x v="5"/>
    <x v="125"/>
    <d v="2007-01-02T00:00:00"/>
    <x v="2"/>
    <s v="Ship to 60-A"/>
    <x v="16"/>
    <s v="Supplier BWGYE"/>
    <s v="UK"/>
    <x v="1"/>
    <n v="68"/>
  </r>
  <r>
    <n v="10397"/>
    <n v="51"/>
    <n v="42.4"/>
    <n v="18"/>
    <n v="0.15"/>
    <s v="Uppal, Sunil"/>
    <s v="Uppal Sunil"/>
    <x v="3"/>
    <n v="0"/>
    <s v="Product APITJ"/>
    <x v="2"/>
    <x v="125"/>
    <d v="2007-01-02T00:00:00"/>
    <x v="2"/>
    <s v="Ship to 60-A"/>
    <x v="16"/>
    <s v="Supplier JNNES"/>
    <s v="Australia"/>
    <x v="1"/>
    <n v="648.71999999999991"/>
  </r>
  <r>
    <n v="10398"/>
    <n v="35"/>
    <n v="14.4"/>
    <n v="30"/>
    <n v="0"/>
    <s v="Navarro, Tomás"/>
    <s v="Navarro Tomás"/>
    <x v="8"/>
    <s v="WA"/>
    <s v="Product NEVTJ"/>
    <x v="6"/>
    <x v="126"/>
    <d v="2007-01-09T00:00:00"/>
    <x v="3"/>
    <s v="Ship to 71-C"/>
    <x v="9"/>
    <s v="Supplier UHZRG"/>
    <s v="USA"/>
    <x v="1"/>
    <n v="432"/>
  </r>
  <r>
    <n v="10398"/>
    <n v="55"/>
    <n v="19.2"/>
    <n v="120"/>
    <n v="0.1"/>
    <s v="Navarro, Tomás"/>
    <s v="Navarro Tomás"/>
    <x v="8"/>
    <s v="WA"/>
    <s v="Product YYWRT"/>
    <x v="7"/>
    <x v="126"/>
    <d v="2007-01-09T00:00:00"/>
    <x v="3"/>
    <s v="Ship to 71-C"/>
    <x v="9"/>
    <s v="Supplier ERVYZ"/>
    <s v="Canada"/>
    <x v="1"/>
    <n v="2073.6"/>
  </r>
  <r>
    <n v="10399"/>
    <n v="68"/>
    <n v="10"/>
    <n v="60"/>
    <n v="0"/>
    <s v="Fonteneau, Karl"/>
    <s v="Fonteneau Karl"/>
    <x v="6"/>
    <s v="WA"/>
    <s v="Product TBTBL"/>
    <x v="5"/>
    <x v="127"/>
    <d v="2007-01-08T00:00:00"/>
    <x v="3"/>
    <s v="Ship to 83-C"/>
    <x v="18"/>
    <s v="Supplier BWGYE"/>
    <s v="UK"/>
    <x v="1"/>
    <n v="600"/>
  </r>
  <r>
    <n v="10399"/>
    <n v="71"/>
    <n v="17.2"/>
    <n v="30"/>
    <n v="0"/>
    <s v="Fonteneau, Karl"/>
    <s v="Fonteneau Karl"/>
    <x v="6"/>
    <s v="WA"/>
    <s v="Product MYMOI"/>
    <x v="0"/>
    <x v="127"/>
    <d v="2007-01-08T00:00:00"/>
    <x v="3"/>
    <s v="Ship to 83-C"/>
    <x v="18"/>
    <s v="Supplier NZLIF"/>
    <s v="Norway"/>
    <x v="1"/>
    <n v="516"/>
  </r>
  <r>
    <n v="10399"/>
    <n v="76"/>
    <n v="14.4"/>
    <n v="35"/>
    <n v="0"/>
    <s v="Fonteneau, Karl"/>
    <s v="Fonteneau Karl"/>
    <x v="6"/>
    <s v="WA"/>
    <s v="Product JYGFE"/>
    <x v="6"/>
    <x v="127"/>
    <d v="2007-01-08T00:00:00"/>
    <x v="3"/>
    <s v="Ship to 83-C"/>
    <x v="18"/>
    <s v="Supplier ELCRN"/>
    <s v="Finland"/>
    <x v="1"/>
    <n v="504"/>
  </r>
  <r>
    <n v="10399"/>
    <n v="77"/>
    <n v="10.4"/>
    <n v="14"/>
    <n v="0"/>
    <s v="Fonteneau, Karl"/>
    <s v="Fonteneau Karl"/>
    <x v="6"/>
    <s v="WA"/>
    <s v="Product LUNZZ"/>
    <x v="4"/>
    <x v="127"/>
    <d v="2007-01-08T00:00:00"/>
    <x v="3"/>
    <s v="Ship to 83-C"/>
    <x v="18"/>
    <s v="Supplier SVIYA"/>
    <s v="Germany"/>
    <x v="1"/>
    <n v="145.6"/>
  </r>
  <r>
    <n v="10400"/>
    <n v="29"/>
    <n v="99"/>
    <n v="21"/>
    <n v="0"/>
    <s v="Boseman, Randall"/>
    <s v="Boseman Randall"/>
    <x v="5"/>
    <s v="WA"/>
    <s v="Product VJXYN"/>
    <x v="7"/>
    <x v="128"/>
    <d v="2007-01-16T00:00:00"/>
    <x v="3"/>
    <s v="Destination BBMRT"/>
    <x v="14"/>
    <s v="Supplier SVIYA"/>
    <s v="Germany"/>
    <x v="1"/>
    <n v="2079"/>
  </r>
  <r>
    <n v="10400"/>
    <n v="35"/>
    <n v="14.4"/>
    <n v="35"/>
    <n v="0"/>
    <s v="Boseman, Randall"/>
    <s v="Boseman Randall"/>
    <x v="5"/>
    <s v="WA"/>
    <s v="Product NEVTJ"/>
    <x v="6"/>
    <x v="128"/>
    <d v="2007-01-16T00:00:00"/>
    <x v="3"/>
    <s v="Destination BBMRT"/>
    <x v="14"/>
    <s v="Supplier UHZRG"/>
    <s v="USA"/>
    <x v="1"/>
    <n v="504"/>
  </r>
  <r>
    <n v="10400"/>
    <n v="49"/>
    <n v="16"/>
    <n v="30"/>
    <n v="0"/>
    <s v="Boseman, Randall"/>
    <s v="Boseman Randall"/>
    <x v="5"/>
    <s v="WA"/>
    <s v="Product FPYPN"/>
    <x v="5"/>
    <x v="128"/>
    <d v="2007-01-16T00:00:00"/>
    <x v="3"/>
    <s v="Destination BBMRT"/>
    <x v="14"/>
    <s v="Supplier ELCRN"/>
    <s v="Finland"/>
    <x v="1"/>
    <n v="480"/>
  </r>
  <r>
    <n v="10401"/>
    <n v="30"/>
    <n v="20.7"/>
    <n v="18"/>
    <n v="0"/>
    <s v="Moore, Michael"/>
    <s v="Moore Michael"/>
    <x v="5"/>
    <s v="WA"/>
    <s v="Product LYERX"/>
    <x v="3"/>
    <x v="128"/>
    <d v="2007-01-10T00:00:00"/>
    <x v="2"/>
    <s v="Ship to 65-A"/>
    <x v="9"/>
    <s v="Supplier TEGSC"/>
    <s v="Germany"/>
    <x v="1"/>
    <n v="372.59999999999997"/>
  </r>
  <r>
    <n v="10401"/>
    <n v="56"/>
    <n v="30.4"/>
    <n v="70"/>
    <n v="0"/>
    <s v="Moore, Michael"/>
    <s v="Moore Michael"/>
    <x v="5"/>
    <s v="WA"/>
    <s v="Product VKCMF"/>
    <x v="1"/>
    <x v="128"/>
    <d v="2007-01-10T00:00:00"/>
    <x v="2"/>
    <s v="Ship to 65-A"/>
    <x v="9"/>
    <s v="Supplier ZWZDM"/>
    <s v="Italy"/>
    <x v="1"/>
    <n v="2128"/>
  </r>
  <r>
    <n v="10401"/>
    <n v="65"/>
    <n v="16.8"/>
    <n v="20"/>
    <n v="0"/>
    <s v="Moore, Michael"/>
    <s v="Moore Michael"/>
    <x v="5"/>
    <s v="WA"/>
    <s v="Product XYWBZ"/>
    <x v="4"/>
    <x v="128"/>
    <d v="2007-01-10T00:00:00"/>
    <x v="2"/>
    <s v="Ship to 65-A"/>
    <x v="9"/>
    <s v="Supplier VHQZD"/>
    <s v="USA"/>
    <x v="1"/>
    <n v="336"/>
  </r>
  <r>
    <n v="10401"/>
    <n v="71"/>
    <n v="17.2"/>
    <n v="60"/>
    <n v="0"/>
    <s v="Moore, Michael"/>
    <s v="Moore Michael"/>
    <x v="5"/>
    <s v="WA"/>
    <s v="Product MYMOI"/>
    <x v="0"/>
    <x v="128"/>
    <d v="2007-01-10T00:00:00"/>
    <x v="2"/>
    <s v="Ship to 65-A"/>
    <x v="9"/>
    <s v="Supplier NZLIF"/>
    <s v="Norway"/>
    <x v="1"/>
    <n v="1032"/>
  </r>
  <r>
    <n v="10402"/>
    <n v="23"/>
    <n v="7.2"/>
    <n v="60"/>
    <n v="0"/>
    <s v="Kane, John"/>
    <s v="Kane John"/>
    <x v="6"/>
    <s v="WA"/>
    <s v="Product JLUDZ"/>
    <x v="1"/>
    <x v="129"/>
    <d v="2007-01-10T00:00:00"/>
    <x v="1"/>
    <s v="Destination FFXKT"/>
    <x v="6"/>
    <s v="Supplier QQYEU"/>
    <s v="Sweden"/>
    <x v="1"/>
    <n v="432"/>
  </r>
  <r>
    <n v="10402"/>
    <n v="63"/>
    <n v="35.1"/>
    <n v="65"/>
    <n v="0"/>
    <s v="Kane, John"/>
    <s v="Kane John"/>
    <x v="6"/>
    <s v="WA"/>
    <s v="Product ICKNK"/>
    <x v="4"/>
    <x v="129"/>
    <d v="2007-01-10T00:00:00"/>
    <x v="1"/>
    <s v="Destination FFXKT"/>
    <x v="6"/>
    <s v="Supplier GQRCV"/>
    <s v="Australia"/>
    <x v="1"/>
    <n v="2281.5"/>
  </r>
  <r>
    <n v="10403"/>
    <n v="16"/>
    <n v="13.9"/>
    <n v="21"/>
    <n v="0.15"/>
    <s v="Kane, John"/>
    <s v="Kane John"/>
    <x v="1"/>
    <s v="WA"/>
    <s v="Product PAFRH"/>
    <x v="5"/>
    <x v="130"/>
    <d v="2007-01-09T00:00:00"/>
    <x v="3"/>
    <s v="Destination RVDMF"/>
    <x v="6"/>
    <s v="Supplier GQRCV"/>
    <s v="Australia"/>
    <x v="1"/>
    <n v="248.11500000000001"/>
  </r>
  <r>
    <n v="10403"/>
    <n v="48"/>
    <n v="10.199999999999999"/>
    <n v="70"/>
    <n v="0.15"/>
    <s v="Kane, John"/>
    <s v="Kane John"/>
    <x v="1"/>
    <s v="WA"/>
    <s v="Product MYNXN"/>
    <x v="5"/>
    <x v="130"/>
    <d v="2007-01-09T00:00:00"/>
    <x v="3"/>
    <s v="Destination RVDMF"/>
    <x v="6"/>
    <s v="Supplier FNUXM"/>
    <s v="Netherlands"/>
    <x v="1"/>
    <n v="606.9"/>
  </r>
  <r>
    <n v="10404"/>
    <n v="26"/>
    <n v="24.9"/>
    <n v="30"/>
    <n v="0.05"/>
    <s v="Duerr, Bernard"/>
    <s v="Duerr Bernard"/>
    <x v="8"/>
    <s v="WA"/>
    <s v="Product HLGZA"/>
    <x v="5"/>
    <x v="130"/>
    <d v="2007-01-08T00:00:00"/>
    <x v="2"/>
    <s v="Ship to 49-B"/>
    <x v="12"/>
    <s v="Supplier ZPYVS"/>
    <s v="Germany"/>
    <x v="2"/>
    <n v="709.65"/>
  </r>
  <r>
    <n v="10404"/>
    <n v="42"/>
    <n v="11.2"/>
    <n v="40"/>
    <n v="0.05"/>
    <s v="Duerr, Bernard"/>
    <s v="Duerr Bernard"/>
    <x v="8"/>
    <s v="WA"/>
    <s v="Product RJVNM"/>
    <x v="1"/>
    <x v="130"/>
    <d v="2007-01-08T00:00:00"/>
    <x v="2"/>
    <s v="Ship to 49-B"/>
    <x v="12"/>
    <s v="Supplier CIYNM"/>
    <s v="Singapore"/>
    <x v="2"/>
    <n v="425.59999999999997"/>
  </r>
  <r>
    <n v="10404"/>
    <n v="49"/>
    <n v="16"/>
    <n v="30"/>
    <n v="0.05"/>
    <s v="Duerr, Bernard"/>
    <s v="Duerr Bernard"/>
    <x v="8"/>
    <s v="WA"/>
    <s v="Product FPYPN"/>
    <x v="5"/>
    <x v="130"/>
    <d v="2007-01-08T00:00:00"/>
    <x v="2"/>
    <s v="Ship to 49-B"/>
    <x v="12"/>
    <s v="Supplier ELCRN"/>
    <s v="Finland"/>
    <x v="2"/>
    <n v="456"/>
  </r>
  <r>
    <n v="10405"/>
    <n v="3"/>
    <n v="8"/>
    <n v="50"/>
    <n v="0"/>
    <s v="Lupu, Cornel"/>
    <s v="Lupu Cornel"/>
    <x v="5"/>
    <s v="WA"/>
    <s v="Product IMEHJ"/>
    <x v="4"/>
    <x v="131"/>
    <d v="2007-01-22T00:00:00"/>
    <x v="2"/>
    <s v="Ship to 47-B"/>
    <x v="5"/>
    <s v="Supplier SWRXU"/>
    <s v="UK"/>
    <x v="1"/>
    <n v="400"/>
  </r>
  <r>
    <n v="10406"/>
    <n v="1"/>
    <n v="14.4"/>
    <n v="10"/>
    <n v="0"/>
    <s v="Misiec, Anna"/>
    <s v="Misiec Anna"/>
    <x v="9"/>
    <n v="0"/>
    <s v="Product HHYDP"/>
    <x v="6"/>
    <x v="132"/>
    <d v="2007-01-13T00:00:00"/>
    <x v="2"/>
    <s v="Ship to 62-A"/>
    <x v="1"/>
    <s v="Supplier SWRXU"/>
    <s v="UK"/>
    <x v="2"/>
    <n v="144"/>
  </r>
  <r>
    <n v="10406"/>
    <n v="21"/>
    <n v="8"/>
    <n v="30"/>
    <n v="0.1"/>
    <s v="Misiec, Anna"/>
    <s v="Misiec Anna"/>
    <x v="9"/>
    <n v="0"/>
    <s v="Product VJZZH"/>
    <x v="5"/>
    <x v="132"/>
    <d v="2007-01-13T00:00:00"/>
    <x v="2"/>
    <s v="Ship to 62-A"/>
    <x v="1"/>
    <s v="Supplier BWGYE"/>
    <s v="UK"/>
    <x v="2"/>
    <n v="216"/>
  </r>
  <r>
    <n v="10406"/>
    <n v="28"/>
    <n v="36.4"/>
    <n v="42"/>
    <n v="0.1"/>
    <s v="Misiec, Anna"/>
    <s v="Misiec Anna"/>
    <x v="9"/>
    <n v="0"/>
    <s v="Product OFBNT"/>
    <x v="2"/>
    <x v="132"/>
    <d v="2007-01-13T00:00:00"/>
    <x v="2"/>
    <s v="Ship to 62-A"/>
    <x v="1"/>
    <s v="Supplier SVIYA"/>
    <s v="Germany"/>
    <x v="2"/>
    <n v="1375.92"/>
  </r>
  <r>
    <n v="10406"/>
    <n v="36"/>
    <n v="15.2"/>
    <n v="5"/>
    <n v="0.1"/>
    <s v="Misiec, Anna"/>
    <s v="Misiec Anna"/>
    <x v="9"/>
    <n v="0"/>
    <s v="Product GMKIJ"/>
    <x v="3"/>
    <x v="132"/>
    <d v="2007-01-13T00:00:00"/>
    <x v="2"/>
    <s v="Ship to 62-A"/>
    <x v="1"/>
    <s v="Supplier QZGUF"/>
    <s v="Sweden"/>
    <x v="2"/>
    <n v="68.400000000000006"/>
  </r>
  <r>
    <n v="10406"/>
    <n v="40"/>
    <n v="14.7"/>
    <n v="2"/>
    <n v="0.1"/>
    <s v="Misiec, Anna"/>
    <s v="Misiec Anna"/>
    <x v="9"/>
    <n v="0"/>
    <s v="Product YZIXQ"/>
    <x v="3"/>
    <x v="132"/>
    <d v="2007-01-13T00:00:00"/>
    <x v="2"/>
    <s v="Ship to 62-A"/>
    <x v="1"/>
    <s v="Supplier JDNUG"/>
    <s v="USA"/>
    <x v="2"/>
    <n v="26.46"/>
  </r>
  <r>
    <n v="10407"/>
    <n v="11"/>
    <n v="16.8"/>
    <n v="30"/>
    <n v="0"/>
    <s v="Marinova, Nadejda"/>
    <s v="Marinova Nadejda"/>
    <x v="8"/>
    <s v="WA"/>
    <s v="Product QMVUN"/>
    <x v="0"/>
    <x v="132"/>
    <d v="2007-01-30T00:00:00"/>
    <x v="1"/>
    <s v="Ship to 56-B"/>
    <x v="8"/>
    <s v="Supplier EQPNC"/>
    <s v="Spain"/>
    <x v="1"/>
    <n v="504"/>
  </r>
  <r>
    <n v="10407"/>
    <n v="69"/>
    <n v="28.8"/>
    <n v="15"/>
    <n v="0"/>
    <s v="Marinova, Nadejda"/>
    <s v="Marinova Nadejda"/>
    <x v="8"/>
    <s v="WA"/>
    <s v="Product COAXA"/>
    <x v="0"/>
    <x v="132"/>
    <d v="2007-01-30T00:00:00"/>
    <x v="1"/>
    <s v="Ship to 56-B"/>
    <x v="8"/>
    <s v="Supplier NZLIF"/>
    <s v="Norway"/>
    <x v="1"/>
    <n v="432"/>
  </r>
  <r>
    <n v="10407"/>
    <n v="71"/>
    <n v="17.2"/>
    <n v="15"/>
    <n v="0"/>
    <s v="Marinova, Nadejda"/>
    <s v="Marinova Nadejda"/>
    <x v="8"/>
    <s v="WA"/>
    <s v="Product MYMOI"/>
    <x v="0"/>
    <x v="132"/>
    <d v="2007-01-30T00:00:00"/>
    <x v="1"/>
    <s v="Ship to 56-B"/>
    <x v="8"/>
    <s v="Supplier NZLIF"/>
    <s v="Norway"/>
    <x v="1"/>
    <n v="258"/>
  </r>
  <r>
    <n v="10408"/>
    <n v="37"/>
    <n v="20.8"/>
    <n v="10"/>
    <n v="0"/>
    <s v="Khanna, Karan"/>
    <s v="Khanna Karan"/>
    <x v="6"/>
    <s v="WA"/>
    <s v="Product EVFFA"/>
    <x v="3"/>
    <x v="133"/>
    <d v="2007-01-14T00:00:00"/>
    <x v="2"/>
    <s v="Destination PXQRR"/>
    <x v="2"/>
    <s v="Supplier QZGUF"/>
    <s v="Sweden"/>
    <x v="1"/>
    <n v="208"/>
  </r>
  <r>
    <n v="10408"/>
    <n v="54"/>
    <n v="5.9"/>
    <n v="6"/>
    <n v="0"/>
    <s v="Khanna, Karan"/>
    <s v="Khanna Karan"/>
    <x v="6"/>
    <s v="WA"/>
    <s v="Product QAQRL"/>
    <x v="7"/>
    <x v="133"/>
    <d v="2007-01-14T00:00:00"/>
    <x v="2"/>
    <s v="Destination PXQRR"/>
    <x v="2"/>
    <s v="Supplier ERVYZ"/>
    <s v="Canada"/>
    <x v="1"/>
    <n v="35.400000000000006"/>
  </r>
  <r>
    <n v="10408"/>
    <n v="62"/>
    <n v="39.4"/>
    <n v="35"/>
    <n v="0"/>
    <s v="Khanna, Karan"/>
    <s v="Khanna Karan"/>
    <x v="6"/>
    <s v="WA"/>
    <s v="Product WUXYK"/>
    <x v="5"/>
    <x v="133"/>
    <d v="2007-01-14T00:00:00"/>
    <x v="2"/>
    <s v="Destination PXQRR"/>
    <x v="2"/>
    <s v="Supplier OGLRK"/>
    <s v="Canada"/>
    <x v="1"/>
    <n v="1379"/>
  </r>
  <r>
    <n v="10409"/>
    <n v="14"/>
    <n v="18.600000000000001"/>
    <n v="12"/>
    <n v="0"/>
    <s v="Tiano, Mike"/>
    <s v="Tiano Mike"/>
    <x v="2"/>
    <s v="WA"/>
    <s v="Product PWCJB"/>
    <x v="2"/>
    <x v="134"/>
    <d v="2007-01-14T00:00:00"/>
    <x v="2"/>
    <s v="Ship to 54-C"/>
    <x v="21"/>
    <s v="Supplier QWUSF"/>
    <s v="Japan"/>
    <x v="1"/>
    <n v="223.20000000000002"/>
  </r>
  <r>
    <n v="10409"/>
    <n v="21"/>
    <n v="8"/>
    <n v="12"/>
    <n v="0"/>
    <s v="Tiano, Mike"/>
    <s v="Tiano Mike"/>
    <x v="2"/>
    <s v="WA"/>
    <s v="Product VJZZH"/>
    <x v="5"/>
    <x v="134"/>
    <d v="2007-01-14T00:00:00"/>
    <x v="2"/>
    <s v="Ship to 54-C"/>
    <x v="21"/>
    <s v="Supplier BWGYE"/>
    <s v="UK"/>
    <x v="1"/>
    <n v="96"/>
  </r>
  <r>
    <n v="10410"/>
    <n v="33"/>
    <n v="2"/>
    <n v="49"/>
    <n v="0"/>
    <s v="Bassols, Pilar Colome"/>
    <s v="Bassols Pilar Colome"/>
    <x v="2"/>
    <s v="WA"/>
    <s v="Product ASTMN"/>
    <x v="0"/>
    <x v="135"/>
    <d v="2007-01-15T00:00:00"/>
    <x v="3"/>
    <s v="Destination OLSSJ"/>
    <x v="17"/>
    <s v="Supplier NZLIF"/>
    <s v="Norway"/>
    <x v="1"/>
    <n v="98"/>
  </r>
  <r>
    <n v="10410"/>
    <n v="59"/>
    <n v="44"/>
    <n v="16"/>
    <n v="0"/>
    <s v="Bassols, Pilar Colome"/>
    <s v="Bassols Pilar Colome"/>
    <x v="2"/>
    <s v="WA"/>
    <s v="Product UKXRI"/>
    <x v="0"/>
    <x v="135"/>
    <d v="2007-01-15T00:00:00"/>
    <x v="3"/>
    <s v="Destination OLSSJ"/>
    <x v="17"/>
    <s v="Supplier OAVQT"/>
    <s v="France"/>
    <x v="1"/>
    <n v="704"/>
  </r>
  <r>
    <n v="10411"/>
    <n v="41"/>
    <n v="7.7"/>
    <n v="25"/>
    <n v="0.2"/>
    <s v="Bassols, Pilar Colome"/>
    <s v="Bassols Pilar Colome"/>
    <x v="4"/>
    <n v="0"/>
    <s v="Product TTEEX"/>
    <x v="3"/>
    <x v="135"/>
    <d v="2007-01-21T00:00:00"/>
    <x v="3"/>
    <s v="Destination XJIBQ"/>
    <x v="17"/>
    <s v="Supplier JDNUG"/>
    <s v="USA"/>
    <x v="1"/>
    <n v="154"/>
  </r>
  <r>
    <n v="10411"/>
    <n v="44"/>
    <n v="15.5"/>
    <n v="40"/>
    <n v="0.2"/>
    <s v="Bassols, Pilar Colome"/>
    <s v="Bassols Pilar Colome"/>
    <x v="4"/>
    <n v="0"/>
    <s v="Product VJIEO"/>
    <x v="4"/>
    <x v="135"/>
    <d v="2007-01-21T00:00:00"/>
    <x v="3"/>
    <s v="Destination XJIBQ"/>
    <x v="17"/>
    <s v="Supplier CIYNM"/>
    <s v="Singapore"/>
    <x v="1"/>
    <n v="496"/>
  </r>
  <r>
    <n v="10411"/>
    <n v="59"/>
    <n v="44"/>
    <n v="9"/>
    <n v="0.2"/>
    <s v="Bassols, Pilar Colome"/>
    <s v="Bassols Pilar Colome"/>
    <x v="4"/>
    <n v="0"/>
    <s v="Product UKXRI"/>
    <x v="0"/>
    <x v="135"/>
    <d v="2007-01-21T00:00:00"/>
    <x v="3"/>
    <s v="Destination XJIBQ"/>
    <x v="17"/>
    <s v="Supplier OAVQT"/>
    <s v="France"/>
    <x v="1"/>
    <n v="316.8"/>
  </r>
  <r>
    <n v="10412"/>
    <n v="14"/>
    <n v="18.600000000000001"/>
    <n v="20"/>
    <n v="0.1"/>
    <s v="Ludwig, Michael"/>
    <s v="Ludwig Michael"/>
    <x v="6"/>
    <s v="WA"/>
    <s v="Product PWCJB"/>
    <x v="2"/>
    <x v="136"/>
    <d v="2007-01-15T00:00:00"/>
    <x v="1"/>
    <s v="Ship to 87-C"/>
    <x v="11"/>
    <s v="Supplier QWUSF"/>
    <s v="Japan"/>
    <x v="1"/>
    <n v="334.8"/>
  </r>
  <r>
    <n v="10413"/>
    <n v="1"/>
    <n v="14.4"/>
    <n v="24"/>
    <n v="0"/>
    <s v="Litton, Tim"/>
    <s v="Litton Tim"/>
    <x v="2"/>
    <s v="WA"/>
    <s v="Product HHYDP"/>
    <x v="6"/>
    <x v="137"/>
    <d v="2007-01-16T00:00:00"/>
    <x v="1"/>
    <s v="Destination DWJIO"/>
    <x v="2"/>
    <s v="Supplier SWRXU"/>
    <s v="UK"/>
    <x v="1"/>
    <n v="345.6"/>
  </r>
  <r>
    <n v="10413"/>
    <n v="62"/>
    <n v="39.4"/>
    <n v="40"/>
    <n v="0"/>
    <s v="Litton, Tim"/>
    <s v="Litton Tim"/>
    <x v="2"/>
    <s v="WA"/>
    <s v="Product WUXYK"/>
    <x v="5"/>
    <x v="137"/>
    <d v="2007-01-16T00:00:00"/>
    <x v="1"/>
    <s v="Destination DWJIO"/>
    <x v="2"/>
    <s v="Supplier OGLRK"/>
    <s v="Canada"/>
    <x v="1"/>
    <n v="1576"/>
  </r>
  <r>
    <n v="10413"/>
    <n v="76"/>
    <n v="14.4"/>
    <n v="14"/>
    <n v="0"/>
    <s v="Litton, Tim"/>
    <s v="Litton Tim"/>
    <x v="2"/>
    <s v="WA"/>
    <s v="Product JYGFE"/>
    <x v="6"/>
    <x v="137"/>
    <d v="2007-01-16T00:00:00"/>
    <x v="1"/>
    <s v="Destination DWJIO"/>
    <x v="2"/>
    <s v="Supplier ELCRN"/>
    <s v="Finland"/>
    <x v="1"/>
    <n v="201.6"/>
  </r>
  <r>
    <n v="10414"/>
    <n v="19"/>
    <n v="7.3"/>
    <n v="18"/>
    <n v="0.05"/>
    <s v="Russo, Giuseppe"/>
    <s v="Russo Giuseppe"/>
    <x v="8"/>
    <s v="WA"/>
    <s v="Product XKXDO"/>
    <x v="5"/>
    <x v="137"/>
    <d v="2007-01-17T00:00:00"/>
    <x v="3"/>
    <s v="Destination SSYXZ"/>
    <x v="1"/>
    <s v="Supplier BWGYE"/>
    <s v="UK"/>
    <x v="1"/>
    <n v="124.83"/>
  </r>
  <r>
    <n v="10414"/>
    <n v="33"/>
    <n v="2"/>
    <n v="50"/>
    <n v="0"/>
    <s v="Russo, Giuseppe"/>
    <s v="Russo Giuseppe"/>
    <x v="8"/>
    <s v="WA"/>
    <s v="Product ASTMN"/>
    <x v="0"/>
    <x v="137"/>
    <d v="2007-01-17T00:00:00"/>
    <x v="3"/>
    <s v="Destination SSYXZ"/>
    <x v="1"/>
    <s v="Supplier NZLIF"/>
    <s v="Norway"/>
    <x v="1"/>
    <n v="100"/>
  </r>
  <r>
    <n v="10415"/>
    <n v="17"/>
    <n v="31.2"/>
    <n v="2"/>
    <n v="0"/>
    <s v="Smith, Denise"/>
    <s v="Smith Denise"/>
    <x v="2"/>
    <s v="WA"/>
    <s v="Product BLCAX"/>
    <x v="7"/>
    <x v="138"/>
    <d v="2007-01-24T00:00:00"/>
    <x v="2"/>
    <s v="Destination AWPJG"/>
    <x v="9"/>
    <s v="Supplier GQRCV"/>
    <s v="Australia"/>
    <x v="1"/>
    <n v="62.4"/>
  </r>
  <r>
    <n v="10415"/>
    <n v="33"/>
    <n v="2"/>
    <n v="20"/>
    <n v="0"/>
    <s v="Smith, Denise"/>
    <s v="Smith Denise"/>
    <x v="2"/>
    <s v="WA"/>
    <s v="Product ASTMN"/>
    <x v="0"/>
    <x v="138"/>
    <d v="2007-01-24T00:00:00"/>
    <x v="2"/>
    <s v="Destination AWPJG"/>
    <x v="9"/>
    <s v="Supplier NZLIF"/>
    <s v="Norway"/>
    <x v="1"/>
    <n v="40"/>
  </r>
  <r>
    <n v="10416"/>
    <n v="19"/>
    <n v="7.3"/>
    <n v="20"/>
    <n v="0"/>
    <s v="Ludwig, Michael"/>
    <s v="Ludwig Michael"/>
    <x v="6"/>
    <s v="WA"/>
    <s v="Product XKXDO"/>
    <x v="5"/>
    <x v="139"/>
    <d v="2007-01-27T00:00:00"/>
    <x v="3"/>
    <s v="Ship to 87-A"/>
    <x v="11"/>
    <s v="Supplier BWGYE"/>
    <s v="UK"/>
    <x v="1"/>
    <n v="146"/>
  </r>
  <r>
    <n v="10416"/>
    <n v="53"/>
    <n v="26.2"/>
    <n v="10"/>
    <n v="0"/>
    <s v="Ludwig, Michael"/>
    <s v="Ludwig Michael"/>
    <x v="6"/>
    <s v="WA"/>
    <s v="Product BKGEA"/>
    <x v="7"/>
    <x v="139"/>
    <d v="2007-01-27T00:00:00"/>
    <x v="3"/>
    <s v="Ship to 87-A"/>
    <x v="11"/>
    <s v="Supplier JNNES"/>
    <s v="Australia"/>
    <x v="1"/>
    <n v="262"/>
  </r>
  <r>
    <n v="10416"/>
    <n v="57"/>
    <n v="15.6"/>
    <n v="20"/>
    <n v="0"/>
    <s v="Ludwig, Michael"/>
    <s v="Ludwig Michael"/>
    <x v="6"/>
    <s v="WA"/>
    <s v="Product OVLQI"/>
    <x v="1"/>
    <x v="139"/>
    <d v="2007-01-27T00:00:00"/>
    <x v="3"/>
    <s v="Ship to 87-A"/>
    <x v="11"/>
    <s v="Supplier ZWZDM"/>
    <s v="Italy"/>
    <x v="1"/>
    <n v="312"/>
  </r>
  <r>
    <n v="10417"/>
    <n v="38"/>
    <n v="210.8"/>
    <n v="50"/>
    <n v="0"/>
    <s v="Gonzalez, Nuria"/>
    <s v="Gonzalez Nuria"/>
    <x v="1"/>
    <s v="WA"/>
    <s v="Product QDOMO"/>
    <x v="6"/>
    <x v="139"/>
    <d v="2007-01-28T00:00:00"/>
    <x v="3"/>
    <s v="Ship to 73-C"/>
    <x v="18"/>
    <s v="Supplier LVJUA"/>
    <s v="France"/>
    <x v="1"/>
    <n v="10540"/>
  </r>
  <r>
    <n v="10417"/>
    <n v="46"/>
    <n v="9.6"/>
    <n v="2"/>
    <n v="0.25"/>
    <s v="Gonzalez, Nuria"/>
    <s v="Gonzalez Nuria"/>
    <x v="1"/>
    <s v="WA"/>
    <s v="Product CBRRL"/>
    <x v="3"/>
    <x v="139"/>
    <d v="2007-01-28T00:00:00"/>
    <x v="3"/>
    <s v="Ship to 73-C"/>
    <x v="18"/>
    <s v="Supplier XOXZA"/>
    <s v="Denmark"/>
    <x v="1"/>
    <n v="14.399999999999999"/>
  </r>
  <r>
    <n v="10417"/>
    <n v="68"/>
    <n v="10"/>
    <n v="36"/>
    <n v="0.25"/>
    <s v="Gonzalez, Nuria"/>
    <s v="Gonzalez Nuria"/>
    <x v="1"/>
    <s v="WA"/>
    <s v="Product TBTBL"/>
    <x v="5"/>
    <x v="139"/>
    <d v="2007-01-28T00:00:00"/>
    <x v="3"/>
    <s v="Ship to 73-C"/>
    <x v="18"/>
    <s v="Supplier BWGYE"/>
    <s v="UK"/>
    <x v="1"/>
    <n v="270"/>
  </r>
  <r>
    <n v="10417"/>
    <n v="77"/>
    <n v="10.4"/>
    <n v="35"/>
    <n v="0"/>
    <s v="Gonzalez, Nuria"/>
    <s v="Gonzalez Nuria"/>
    <x v="1"/>
    <s v="WA"/>
    <s v="Product LUNZZ"/>
    <x v="4"/>
    <x v="139"/>
    <d v="2007-01-28T00:00:00"/>
    <x v="3"/>
    <s v="Ship to 73-C"/>
    <x v="18"/>
    <s v="Supplier SVIYA"/>
    <s v="Germany"/>
    <x v="1"/>
    <n v="364"/>
  </r>
  <r>
    <n v="10418"/>
    <n v="2"/>
    <n v="15.2"/>
    <n v="60"/>
    <n v="0"/>
    <s v="Veronesi, Giorgio"/>
    <s v="Veronesi Giorgio"/>
    <x v="1"/>
    <s v="WA"/>
    <s v="Product RECZE"/>
    <x v="6"/>
    <x v="140"/>
    <d v="2007-01-24T00:00:00"/>
    <x v="2"/>
    <s v="Ship to 63-B"/>
    <x v="8"/>
    <s v="Supplier SWRXU"/>
    <s v="UK"/>
    <x v="1"/>
    <n v="912"/>
  </r>
  <r>
    <n v="10418"/>
    <n v="47"/>
    <n v="7.6"/>
    <n v="55"/>
    <n v="0"/>
    <s v="Veronesi, Giorgio"/>
    <s v="Veronesi Giorgio"/>
    <x v="1"/>
    <s v="WA"/>
    <s v="Product EZZPR"/>
    <x v="5"/>
    <x v="140"/>
    <d v="2007-01-24T00:00:00"/>
    <x v="2"/>
    <s v="Ship to 63-B"/>
    <x v="8"/>
    <s v="Supplier FNUXM"/>
    <s v="Netherlands"/>
    <x v="1"/>
    <n v="418"/>
  </r>
  <r>
    <n v="10418"/>
    <n v="61"/>
    <n v="22.8"/>
    <n v="16"/>
    <n v="0"/>
    <s v="Veronesi, Giorgio"/>
    <s v="Veronesi Giorgio"/>
    <x v="1"/>
    <s v="WA"/>
    <s v="Product XYZPE"/>
    <x v="4"/>
    <x v="140"/>
    <d v="2007-01-24T00:00:00"/>
    <x v="2"/>
    <s v="Ship to 63-B"/>
    <x v="8"/>
    <s v="Supplier OGLRK"/>
    <s v="Canada"/>
    <x v="1"/>
    <n v="364.8"/>
  </r>
  <r>
    <n v="10418"/>
    <n v="74"/>
    <n v="8"/>
    <n v="15"/>
    <n v="0"/>
    <s v="Veronesi, Giorgio"/>
    <s v="Veronesi Giorgio"/>
    <x v="1"/>
    <s v="WA"/>
    <s v="Product BKAZJ"/>
    <x v="2"/>
    <x v="140"/>
    <d v="2007-01-24T00:00:00"/>
    <x v="2"/>
    <s v="Ship to 63-B"/>
    <x v="8"/>
    <s v="Supplier QOVFD"/>
    <s v="Japan"/>
    <x v="1"/>
    <n v="120"/>
  </r>
  <r>
    <n v="10419"/>
    <n v="60"/>
    <n v="27.2"/>
    <n v="60"/>
    <n v="0.05"/>
    <s v="Myrcha, Jacek"/>
    <s v="Myrcha Jacek"/>
    <x v="1"/>
    <s v="WA"/>
    <s v="Product WHBYK"/>
    <x v="0"/>
    <x v="141"/>
    <d v="2007-01-30T00:00:00"/>
    <x v="1"/>
    <s v="Ship to 68-A"/>
    <x v="4"/>
    <s v="Supplier OAVQT"/>
    <s v="France"/>
    <x v="2"/>
    <n v="1550.3999999999999"/>
  </r>
  <r>
    <n v="10419"/>
    <n v="69"/>
    <n v="28.8"/>
    <n v="20"/>
    <n v="0.05"/>
    <s v="Myrcha, Jacek"/>
    <s v="Myrcha Jacek"/>
    <x v="1"/>
    <s v="WA"/>
    <s v="Product COAXA"/>
    <x v="0"/>
    <x v="141"/>
    <d v="2007-01-30T00:00:00"/>
    <x v="1"/>
    <s v="Ship to 68-A"/>
    <x v="4"/>
    <s v="Supplier NZLIF"/>
    <s v="Norway"/>
    <x v="2"/>
    <n v="547.19999999999993"/>
  </r>
  <r>
    <n v="10420"/>
    <n v="9"/>
    <n v="77.599999999999994"/>
    <n v="20"/>
    <n v="0.1"/>
    <s v="Li, Yan"/>
    <s v="Li Yan"/>
    <x v="2"/>
    <s v="WA"/>
    <s v="Product AOZBW"/>
    <x v="7"/>
    <x v="142"/>
    <d v="2007-01-27T00:00:00"/>
    <x v="2"/>
    <s v="Ship to 88-C"/>
    <x v="1"/>
    <s v="Supplier QOVFD"/>
    <s v="Japan"/>
    <x v="1"/>
    <n v="1396.8"/>
  </r>
  <r>
    <n v="10420"/>
    <n v="13"/>
    <n v="4.8"/>
    <n v="2"/>
    <n v="0.1"/>
    <s v="Li, Yan"/>
    <s v="Li Yan"/>
    <x v="2"/>
    <s v="WA"/>
    <s v="Product POXFU"/>
    <x v="3"/>
    <x v="142"/>
    <d v="2007-01-27T00:00:00"/>
    <x v="2"/>
    <s v="Ship to 88-C"/>
    <x v="1"/>
    <s v="Supplier QWUSF"/>
    <s v="Japan"/>
    <x v="1"/>
    <n v="8.64"/>
  </r>
  <r>
    <n v="10420"/>
    <n v="70"/>
    <n v="12"/>
    <n v="8"/>
    <n v="0.1"/>
    <s v="Li, Yan"/>
    <s v="Li Yan"/>
    <x v="2"/>
    <s v="WA"/>
    <s v="Product TOONT"/>
    <x v="6"/>
    <x v="142"/>
    <d v="2007-01-27T00:00:00"/>
    <x v="2"/>
    <s v="Ship to 88-C"/>
    <x v="1"/>
    <s v="Supplier GQRCV"/>
    <s v="Australia"/>
    <x v="1"/>
    <n v="86.4"/>
  </r>
  <r>
    <n v="10420"/>
    <n v="73"/>
    <n v="12"/>
    <n v="20"/>
    <n v="0.1"/>
    <s v="Li, Yan"/>
    <s v="Li Yan"/>
    <x v="2"/>
    <s v="WA"/>
    <s v="Product WEUJZ"/>
    <x v="3"/>
    <x v="142"/>
    <d v="2007-01-27T00:00:00"/>
    <x v="2"/>
    <s v="Ship to 88-C"/>
    <x v="1"/>
    <s v="Supplier QZGUF"/>
    <s v="Sweden"/>
    <x v="1"/>
    <n v="216"/>
  </r>
  <r>
    <n v="10421"/>
    <n v="19"/>
    <n v="7.3"/>
    <n v="4"/>
    <n v="0.15"/>
    <s v="Florczyk, Krzysztof"/>
    <s v="Florczyk Krzysztof"/>
    <x v="6"/>
    <s v="WA"/>
    <s v="Product XKXDO"/>
    <x v="5"/>
    <x v="142"/>
    <d v="2007-01-27T00:00:00"/>
    <x v="2"/>
    <s v="Ship to 61-C"/>
    <x v="1"/>
    <s v="Supplier BWGYE"/>
    <s v="UK"/>
    <x v="1"/>
    <n v="24.82"/>
  </r>
  <r>
    <n v="10421"/>
    <n v="26"/>
    <n v="24.9"/>
    <n v="30"/>
    <n v="0"/>
    <s v="Florczyk, Krzysztof"/>
    <s v="Florczyk Krzysztof"/>
    <x v="6"/>
    <s v="WA"/>
    <s v="Product HLGZA"/>
    <x v="5"/>
    <x v="142"/>
    <d v="2007-01-27T00:00:00"/>
    <x v="2"/>
    <s v="Ship to 61-C"/>
    <x v="1"/>
    <s v="Supplier ZPYVS"/>
    <s v="Germany"/>
    <x v="1"/>
    <n v="747"/>
  </r>
  <r>
    <n v="10421"/>
    <n v="53"/>
    <n v="26.2"/>
    <n v="15"/>
    <n v="0.15"/>
    <s v="Florczyk, Krzysztof"/>
    <s v="Florczyk Krzysztof"/>
    <x v="6"/>
    <s v="WA"/>
    <s v="Product BKGEA"/>
    <x v="7"/>
    <x v="142"/>
    <d v="2007-01-27T00:00:00"/>
    <x v="2"/>
    <s v="Ship to 61-C"/>
    <x v="1"/>
    <s v="Supplier JNNES"/>
    <s v="Australia"/>
    <x v="1"/>
    <n v="334.05"/>
  </r>
  <r>
    <n v="10421"/>
    <n v="77"/>
    <n v="10.4"/>
    <n v="10"/>
    <n v="0.15"/>
    <s v="Florczyk, Krzysztof"/>
    <s v="Florczyk Krzysztof"/>
    <x v="6"/>
    <s v="WA"/>
    <s v="Product LUNZZ"/>
    <x v="4"/>
    <x v="142"/>
    <d v="2007-01-27T00:00:00"/>
    <x v="2"/>
    <s v="Ship to 61-C"/>
    <x v="1"/>
    <s v="Supplier SVIYA"/>
    <s v="Germany"/>
    <x v="1"/>
    <n v="88.399999999999991"/>
  </r>
  <r>
    <n v="10422"/>
    <n v="26"/>
    <n v="24.9"/>
    <n v="2"/>
    <n v="0"/>
    <s v="Schmöllerl, Martin"/>
    <s v="Schmöllerl Martin"/>
    <x v="8"/>
    <s v="WA"/>
    <s v="Product HLGZA"/>
    <x v="5"/>
    <x v="143"/>
    <d v="2007-01-31T00:00:00"/>
    <x v="2"/>
    <s v="Destination FFLQT"/>
    <x v="12"/>
    <s v="Supplier ZPYVS"/>
    <s v="Germany"/>
    <x v="1"/>
    <n v="49.8"/>
  </r>
  <r>
    <n v="10423"/>
    <n v="31"/>
    <n v="10"/>
    <n v="14"/>
    <n v="0"/>
    <s v="Cheng, Yao-Qiang"/>
    <s v="Cheng Yao-Qiang"/>
    <x v="7"/>
    <n v="0"/>
    <s v="Product XWOXC"/>
    <x v="0"/>
    <x v="144"/>
    <d v="2007-02-24T00:00:00"/>
    <x v="3"/>
    <s v="Destination VNIAG"/>
    <x v="1"/>
    <s v="Supplier KEREV"/>
    <s v="Italy"/>
    <x v="1"/>
    <n v="140"/>
  </r>
  <r>
    <n v="10423"/>
    <n v="59"/>
    <n v="44"/>
    <n v="20"/>
    <n v="0"/>
    <s v="Cheng, Yao-Qiang"/>
    <s v="Cheng Yao-Qiang"/>
    <x v="7"/>
    <n v="0"/>
    <s v="Product UKXRI"/>
    <x v="0"/>
    <x v="144"/>
    <d v="2007-02-24T00:00:00"/>
    <x v="3"/>
    <s v="Destination VNIAG"/>
    <x v="1"/>
    <s v="Supplier OAVQT"/>
    <s v="France"/>
    <x v="1"/>
    <n v="880"/>
  </r>
  <r>
    <n v="10424"/>
    <n v="35"/>
    <n v="14.4"/>
    <n v="60"/>
    <n v="0.2"/>
    <s v="Taylor, Maurice"/>
    <s v="Taylor Maurice"/>
    <x v="9"/>
    <n v="0"/>
    <s v="Product NEVTJ"/>
    <x v="6"/>
    <x v="144"/>
    <d v="2007-01-27T00:00:00"/>
    <x v="1"/>
    <s v="Ship to 51-C"/>
    <x v="17"/>
    <s v="Supplier UHZRG"/>
    <s v="USA"/>
    <x v="2"/>
    <n v="691.2"/>
  </r>
  <r>
    <n v="10424"/>
    <n v="38"/>
    <n v="210.8"/>
    <n v="49"/>
    <n v="0.2"/>
    <s v="Taylor, Maurice"/>
    <s v="Taylor Maurice"/>
    <x v="9"/>
    <n v="0"/>
    <s v="Product QDOMO"/>
    <x v="6"/>
    <x v="144"/>
    <d v="2007-01-27T00:00:00"/>
    <x v="1"/>
    <s v="Ship to 51-C"/>
    <x v="17"/>
    <s v="Supplier LVJUA"/>
    <s v="France"/>
    <x v="2"/>
    <n v="8263.36"/>
  </r>
  <r>
    <n v="10424"/>
    <n v="68"/>
    <n v="10"/>
    <n v="30"/>
    <n v="0.2"/>
    <s v="Taylor, Maurice"/>
    <s v="Taylor Maurice"/>
    <x v="9"/>
    <n v="0"/>
    <s v="Product TBTBL"/>
    <x v="5"/>
    <x v="144"/>
    <d v="2007-01-27T00:00:00"/>
    <x v="1"/>
    <s v="Ship to 51-C"/>
    <x v="17"/>
    <s v="Supplier BWGYE"/>
    <s v="UK"/>
    <x v="2"/>
    <n v="240"/>
  </r>
  <r>
    <n v="10425"/>
    <n v="55"/>
    <n v="19.2"/>
    <n v="10"/>
    <n v="0.25"/>
    <s v="Litton, Tim"/>
    <s v="Litton Tim"/>
    <x v="7"/>
    <n v="0"/>
    <s v="Product YYWRT"/>
    <x v="7"/>
    <x v="145"/>
    <d v="2007-02-14T00:00:00"/>
    <x v="1"/>
    <s v="Destination DWJIO"/>
    <x v="2"/>
    <s v="Supplier ERVYZ"/>
    <s v="Canada"/>
    <x v="1"/>
    <n v="144"/>
  </r>
  <r>
    <n v="10425"/>
    <n v="76"/>
    <n v="14.4"/>
    <n v="20"/>
    <n v="0.25"/>
    <s v="Litton, Tim"/>
    <s v="Litton Tim"/>
    <x v="7"/>
    <n v="0"/>
    <s v="Product JYGFE"/>
    <x v="6"/>
    <x v="145"/>
    <d v="2007-02-14T00:00:00"/>
    <x v="1"/>
    <s v="Destination DWJIO"/>
    <x v="2"/>
    <s v="Supplier ELCRN"/>
    <s v="Finland"/>
    <x v="1"/>
    <n v="216"/>
  </r>
  <r>
    <n v="10426"/>
    <n v="56"/>
    <n v="30.4"/>
    <n v="5"/>
    <n v="0"/>
    <s v="Kolesnikova, Katerina"/>
    <s v="Kolesnikova Katerina"/>
    <x v="1"/>
    <s v="WA"/>
    <s v="Product VKCMF"/>
    <x v="1"/>
    <x v="146"/>
    <d v="2007-02-06T00:00:00"/>
    <x v="2"/>
    <s v="Destination WOFLH"/>
    <x v="13"/>
    <s v="Supplier ZWZDM"/>
    <s v="Italy"/>
    <x v="1"/>
    <n v="152"/>
  </r>
  <r>
    <n v="10426"/>
    <n v="64"/>
    <n v="26.6"/>
    <n v="7"/>
    <n v="0"/>
    <s v="Kolesnikova, Katerina"/>
    <s v="Kolesnikova Katerina"/>
    <x v="1"/>
    <s v="WA"/>
    <s v="Product HCQDE"/>
    <x v="1"/>
    <x v="146"/>
    <d v="2007-02-06T00:00:00"/>
    <x v="2"/>
    <s v="Destination WOFLH"/>
    <x v="13"/>
    <s v="Supplier SVIYA"/>
    <s v="Germany"/>
    <x v="1"/>
    <n v="186.20000000000002"/>
  </r>
  <r>
    <n v="10427"/>
    <n v="14"/>
    <n v="18.600000000000001"/>
    <n v="35"/>
    <n v="0"/>
    <s v="Meston, Tosh"/>
    <s v="Meston Tosh"/>
    <x v="1"/>
    <s v="WA"/>
    <s v="Product PWCJB"/>
    <x v="2"/>
    <x v="146"/>
    <d v="2007-03-03T00:00:00"/>
    <x v="1"/>
    <s v="Ship to 59-C"/>
    <x v="6"/>
    <s v="Supplier QWUSF"/>
    <s v="Japan"/>
    <x v="1"/>
    <n v="651"/>
  </r>
  <r>
    <n v="10428"/>
    <n v="46"/>
    <n v="9.6"/>
    <n v="20"/>
    <n v="0"/>
    <s v="Voss, Florian"/>
    <s v="Voss Florian"/>
    <x v="9"/>
    <n v="0"/>
    <s v="Product CBRRL"/>
    <x v="3"/>
    <x v="147"/>
    <d v="2007-02-04T00:00:00"/>
    <x v="2"/>
    <s v="Ship to 66-C"/>
    <x v="12"/>
    <s v="Supplier XOXZA"/>
    <s v="Denmark"/>
    <x v="1"/>
    <n v="192"/>
  </r>
  <r>
    <n v="10429"/>
    <n v="50"/>
    <n v="13"/>
    <n v="40"/>
    <n v="0"/>
    <s v="Crăciun, Ovidiu V."/>
    <s v="Crăciun Ovidiu V."/>
    <x v="2"/>
    <s v="WA"/>
    <s v="Product BIUDV"/>
    <x v="5"/>
    <x v="148"/>
    <d v="2007-02-07T00:00:00"/>
    <x v="1"/>
    <s v="Destination DGKOU"/>
    <x v="15"/>
    <s v="Supplier ELCRN"/>
    <s v="Finland"/>
    <x v="1"/>
    <n v="520"/>
  </r>
  <r>
    <n v="10429"/>
    <n v="63"/>
    <n v="35.1"/>
    <n v="35"/>
    <n v="0.25"/>
    <s v="Crăciun, Ovidiu V."/>
    <s v="Crăciun Ovidiu V."/>
    <x v="2"/>
    <s v="WA"/>
    <s v="Product ICKNK"/>
    <x v="4"/>
    <x v="148"/>
    <d v="2007-02-07T00:00:00"/>
    <x v="1"/>
    <s v="Destination DGKOU"/>
    <x v="15"/>
    <s v="Supplier GQRCV"/>
    <s v="Australia"/>
    <x v="1"/>
    <n v="921.375"/>
  </r>
  <r>
    <n v="10430"/>
    <n v="17"/>
    <n v="31.2"/>
    <n v="45"/>
    <n v="0.2"/>
    <s v="Kane, John"/>
    <s v="Kane John"/>
    <x v="1"/>
    <s v="WA"/>
    <s v="Product BLCAX"/>
    <x v="7"/>
    <x v="149"/>
    <d v="2007-02-03T00:00:00"/>
    <x v="2"/>
    <s v="Destination CUVPF"/>
    <x v="6"/>
    <s v="Supplier GQRCV"/>
    <s v="Australia"/>
    <x v="2"/>
    <n v="1123.2"/>
  </r>
  <r>
    <n v="10430"/>
    <n v="21"/>
    <n v="8"/>
    <n v="50"/>
    <n v="0"/>
    <s v="Kane, John"/>
    <s v="Kane John"/>
    <x v="1"/>
    <s v="WA"/>
    <s v="Product VJZZH"/>
    <x v="5"/>
    <x v="149"/>
    <d v="2007-02-03T00:00:00"/>
    <x v="2"/>
    <s v="Destination CUVPF"/>
    <x v="6"/>
    <s v="Supplier BWGYE"/>
    <s v="UK"/>
    <x v="2"/>
    <n v="400"/>
  </r>
  <r>
    <n v="10430"/>
    <n v="56"/>
    <n v="30.4"/>
    <n v="30"/>
    <n v="0"/>
    <s v="Kane, John"/>
    <s v="Kane John"/>
    <x v="1"/>
    <s v="WA"/>
    <s v="Product VKCMF"/>
    <x v="1"/>
    <x v="149"/>
    <d v="2007-02-03T00:00:00"/>
    <x v="2"/>
    <s v="Destination CUVPF"/>
    <x v="6"/>
    <s v="Supplier ZWZDM"/>
    <s v="Italy"/>
    <x v="2"/>
    <n v="912"/>
  </r>
  <r>
    <n v="10430"/>
    <n v="59"/>
    <n v="44"/>
    <n v="70"/>
    <n v="0.2"/>
    <s v="Kane, John"/>
    <s v="Kane John"/>
    <x v="1"/>
    <s v="WA"/>
    <s v="Product UKXRI"/>
    <x v="0"/>
    <x v="149"/>
    <d v="2007-02-03T00:00:00"/>
    <x v="2"/>
    <s v="Destination CUVPF"/>
    <x v="6"/>
    <s v="Supplier OAVQT"/>
    <s v="France"/>
    <x v="2"/>
    <n v="2464"/>
  </r>
  <r>
    <n v="10431"/>
    <n v="17"/>
    <n v="31.2"/>
    <n v="50"/>
    <n v="0.25"/>
    <s v="Bassols, Pilar Colome"/>
    <s v="Bassols Pilar Colome"/>
    <x v="1"/>
    <s v="WA"/>
    <s v="Product BLCAX"/>
    <x v="7"/>
    <x v="149"/>
    <d v="2007-02-07T00:00:00"/>
    <x v="1"/>
    <s v="Destination OLSSJ"/>
    <x v="17"/>
    <s v="Supplier GQRCV"/>
    <s v="Australia"/>
    <x v="1"/>
    <n v="1170"/>
  </r>
  <r>
    <n v="10431"/>
    <n v="40"/>
    <n v="14.7"/>
    <n v="50"/>
    <n v="0.25"/>
    <s v="Bassols, Pilar Colome"/>
    <s v="Bassols Pilar Colome"/>
    <x v="1"/>
    <s v="WA"/>
    <s v="Product YZIXQ"/>
    <x v="3"/>
    <x v="149"/>
    <d v="2007-02-07T00:00:00"/>
    <x v="1"/>
    <s v="Destination OLSSJ"/>
    <x v="17"/>
    <s v="Supplier JDNUG"/>
    <s v="USA"/>
    <x v="1"/>
    <n v="551.25"/>
  </r>
  <r>
    <n v="10431"/>
    <n v="47"/>
    <n v="7.6"/>
    <n v="30"/>
    <n v="0.25"/>
    <s v="Bassols, Pilar Colome"/>
    <s v="Bassols Pilar Colome"/>
    <x v="1"/>
    <s v="WA"/>
    <s v="Product EZZPR"/>
    <x v="5"/>
    <x v="149"/>
    <d v="2007-02-07T00:00:00"/>
    <x v="1"/>
    <s v="Destination OLSSJ"/>
    <x v="17"/>
    <s v="Supplier FNUXM"/>
    <s v="Netherlands"/>
    <x v="1"/>
    <n v="171"/>
  </r>
  <r>
    <n v="10432"/>
    <n v="26"/>
    <n v="24.9"/>
    <n v="10"/>
    <n v="0"/>
    <s v="Wojciechowska, Agnieszka"/>
    <s v="Wojciechowska Agnieszka"/>
    <x v="2"/>
    <s v="WA"/>
    <s v="Product HLGZA"/>
    <x v="5"/>
    <x v="150"/>
    <d v="2007-02-07T00:00:00"/>
    <x v="1"/>
    <s v="Ship to 75-A"/>
    <x v="9"/>
    <s v="Supplier ZPYVS"/>
    <s v="Germany"/>
    <x v="1"/>
    <n v="249"/>
  </r>
  <r>
    <n v="10432"/>
    <n v="54"/>
    <n v="5.9"/>
    <n v="40"/>
    <n v="0"/>
    <s v="Wojciechowska, Agnieszka"/>
    <s v="Wojciechowska Agnieszka"/>
    <x v="2"/>
    <s v="WA"/>
    <s v="Product QAQRL"/>
    <x v="7"/>
    <x v="150"/>
    <d v="2007-02-07T00:00:00"/>
    <x v="1"/>
    <s v="Ship to 75-A"/>
    <x v="9"/>
    <s v="Supplier ERVYZ"/>
    <s v="Canada"/>
    <x v="1"/>
    <n v="236"/>
  </r>
  <r>
    <n v="10433"/>
    <n v="56"/>
    <n v="30.4"/>
    <n v="28"/>
    <n v="0"/>
    <s v="Uppal, Sunil"/>
    <s v="Uppal Sunil"/>
    <x v="2"/>
    <s v="WA"/>
    <s v="Product VKCMF"/>
    <x v="1"/>
    <x v="151"/>
    <d v="2007-03-04T00:00:00"/>
    <x v="3"/>
    <s v="Ship to 60-A"/>
    <x v="16"/>
    <s v="Supplier ZWZDM"/>
    <s v="Italy"/>
    <x v="1"/>
    <n v="851.19999999999993"/>
  </r>
  <r>
    <n v="10434"/>
    <n v="11"/>
    <n v="16.8"/>
    <n v="6"/>
    <n v="0"/>
    <s v="San Juan, Patricia"/>
    <s v="San Juan Patricia"/>
    <x v="2"/>
    <s v="WA"/>
    <s v="Product QMVUN"/>
    <x v="0"/>
    <x v="151"/>
    <d v="2007-02-13T00:00:00"/>
    <x v="1"/>
    <s v="Destination NCKKO"/>
    <x v="10"/>
    <s v="Supplier EQPNC"/>
    <s v="Spain"/>
    <x v="1"/>
    <n v="100.80000000000001"/>
  </r>
  <r>
    <n v="10434"/>
    <n v="76"/>
    <n v="14.4"/>
    <n v="18"/>
    <n v="0.15"/>
    <s v="San Juan, Patricia"/>
    <s v="San Juan Patricia"/>
    <x v="2"/>
    <s v="WA"/>
    <s v="Product JYGFE"/>
    <x v="6"/>
    <x v="151"/>
    <d v="2007-02-13T00:00:00"/>
    <x v="1"/>
    <s v="Destination NCKKO"/>
    <x v="10"/>
    <s v="Supplier ELCRN"/>
    <s v="Finland"/>
    <x v="1"/>
    <n v="220.32"/>
  </r>
  <r>
    <n v="10435"/>
    <n v="2"/>
    <n v="15.2"/>
    <n v="10"/>
    <n v="0"/>
    <s v="Birkby, Dana"/>
    <s v="Birkby Dana"/>
    <x v="6"/>
    <s v="WA"/>
    <s v="Product RECZE"/>
    <x v="6"/>
    <x v="152"/>
    <d v="2007-02-07T00:00:00"/>
    <x v="1"/>
    <s v="Destination QKQNB"/>
    <x v="14"/>
    <s v="Supplier SWRXU"/>
    <s v="UK"/>
    <x v="1"/>
    <n v="152"/>
  </r>
  <r>
    <n v="10435"/>
    <n v="22"/>
    <n v="16.8"/>
    <n v="12"/>
    <n v="0"/>
    <s v="Birkby, Dana"/>
    <s v="Birkby Dana"/>
    <x v="6"/>
    <s v="WA"/>
    <s v="Product CPHFY"/>
    <x v="1"/>
    <x v="152"/>
    <d v="2007-02-07T00:00:00"/>
    <x v="1"/>
    <s v="Destination QKQNB"/>
    <x v="14"/>
    <s v="Supplier QQYEU"/>
    <s v="Sweden"/>
    <x v="1"/>
    <n v="201.60000000000002"/>
  </r>
  <r>
    <n v="10435"/>
    <n v="72"/>
    <n v="27.8"/>
    <n v="10"/>
    <n v="0"/>
    <s v="Birkby, Dana"/>
    <s v="Birkby Dana"/>
    <x v="6"/>
    <s v="WA"/>
    <s v="Product GEEOO"/>
    <x v="0"/>
    <x v="152"/>
    <d v="2007-02-07T00:00:00"/>
    <x v="1"/>
    <s v="Destination QKQNB"/>
    <x v="14"/>
    <s v="Supplier KEREV"/>
    <s v="Italy"/>
    <x v="1"/>
    <n v="278"/>
  </r>
  <r>
    <n v="10436"/>
    <n v="46"/>
    <n v="9.6"/>
    <n v="5"/>
    <n v="0"/>
    <s v="Bansal, Dushyant"/>
    <s v="Bansal Dushyant"/>
    <x v="2"/>
    <s v="WA"/>
    <s v="Product CBRRL"/>
    <x v="3"/>
    <x v="153"/>
    <d v="2007-02-11T00:00:00"/>
    <x v="1"/>
    <s v="Ship to 7-C"/>
    <x v="2"/>
    <s v="Supplier XOXZA"/>
    <s v="Denmark"/>
    <x v="2"/>
    <n v="48"/>
  </r>
  <r>
    <n v="10436"/>
    <n v="56"/>
    <n v="30.4"/>
    <n v="40"/>
    <n v="0.1"/>
    <s v="Bansal, Dushyant"/>
    <s v="Bansal Dushyant"/>
    <x v="2"/>
    <s v="WA"/>
    <s v="Product VKCMF"/>
    <x v="1"/>
    <x v="153"/>
    <d v="2007-02-11T00:00:00"/>
    <x v="1"/>
    <s v="Ship to 7-C"/>
    <x v="2"/>
    <s v="Supplier ZWZDM"/>
    <s v="Italy"/>
    <x v="2"/>
    <n v="1094.4000000000001"/>
  </r>
  <r>
    <n v="10436"/>
    <n v="64"/>
    <n v="26.6"/>
    <n v="30"/>
    <n v="0.1"/>
    <s v="Bansal, Dushyant"/>
    <s v="Bansal Dushyant"/>
    <x v="2"/>
    <s v="WA"/>
    <s v="Product HCQDE"/>
    <x v="1"/>
    <x v="153"/>
    <d v="2007-02-11T00:00:00"/>
    <x v="1"/>
    <s v="Ship to 7-C"/>
    <x v="2"/>
    <s v="Supplier SVIYA"/>
    <s v="Germany"/>
    <x v="2"/>
    <n v="718.2"/>
  </r>
  <r>
    <n v="10436"/>
    <n v="75"/>
    <n v="6.2"/>
    <n v="24"/>
    <n v="0.1"/>
    <s v="Bansal, Dushyant"/>
    <s v="Bansal Dushyant"/>
    <x v="2"/>
    <s v="WA"/>
    <s v="Product BWRLG"/>
    <x v="6"/>
    <x v="153"/>
    <d v="2007-02-11T00:00:00"/>
    <x v="1"/>
    <s v="Ship to 7-C"/>
    <x v="2"/>
    <s v="Supplier SVIYA"/>
    <s v="Germany"/>
    <x v="2"/>
    <n v="133.92000000000002"/>
  </r>
  <r>
    <n v="10437"/>
    <n v="53"/>
    <n v="26.2"/>
    <n v="15"/>
    <n v="0"/>
    <s v="Ludwig, Michael"/>
    <s v="Ludwig Michael"/>
    <x v="6"/>
    <s v="WA"/>
    <s v="Product BKGEA"/>
    <x v="7"/>
    <x v="153"/>
    <d v="2007-02-12T00:00:00"/>
    <x v="2"/>
    <s v="Ship to 87-A"/>
    <x v="11"/>
    <s v="Supplier JNNES"/>
    <s v="Australia"/>
    <x v="1"/>
    <n v="393"/>
  </r>
  <r>
    <n v="10438"/>
    <n v="19"/>
    <n v="7.3"/>
    <n v="15"/>
    <n v="0.2"/>
    <s v="Wickham, Jim"/>
    <s v="Wickham Jim"/>
    <x v="2"/>
    <s v="WA"/>
    <s v="Product XKXDO"/>
    <x v="5"/>
    <x v="154"/>
    <d v="2007-02-14T00:00:00"/>
    <x v="1"/>
    <s v="Ship to 79-A"/>
    <x v="8"/>
    <s v="Supplier BWGYE"/>
    <s v="UK"/>
    <x v="1"/>
    <n v="87.600000000000009"/>
  </r>
  <r>
    <n v="10438"/>
    <n v="34"/>
    <n v="11.2"/>
    <n v="20"/>
    <n v="0.2"/>
    <s v="Wickham, Jim"/>
    <s v="Wickham Jim"/>
    <x v="2"/>
    <s v="WA"/>
    <s v="Product SWNJY"/>
    <x v="6"/>
    <x v="154"/>
    <d v="2007-02-14T00:00:00"/>
    <x v="1"/>
    <s v="Ship to 79-A"/>
    <x v="8"/>
    <s v="Supplier UHZRG"/>
    <s v="USA"/>
    <x v="1"/>
    <n v="179.20000000000002"/>
  </r>
  <r>
    <n v="10438"/>
    <n v="57"/>
    <n v="15.6"/>
    <n v="15"/>
    <n v="0.2"/>
    <s v="Wickham, Jim"/>
    <s v="Wickham Jim"/>
    <x v="2"/>
    <s v="WA"/>
    <s v="Product OVLQI"/>
    <x v="1"/>
    <x v="154"/>
    <d v="2007-02-14T00:00:00"/>
    <x v="1"/>
    <s v="Ship to 79-A"/>
    <x v="8"/>
    <s v="Supplier ZWZDM"/>
    <s v="Italy"/>
    <x v="1"/>
    <n v="187.20000000000002"/>
  </r>
  <r>
    <n v="10439"/>
    <n v="12"/>
    <n v="30.4"/>
    <n v="15"/>
    <n v="0"/>
    <s v="Taylor, Maurice"/>
    <s v="Taylor Maurice"/>
    <x v="7"/>
    <n v="0"/>
    <s v="Product OSFNS"/>
    <x v="0"/>
    <x v="155"/>
    <d v="2007-02-10T00:00:00"/>
    <x v="3"/>
    <s v="Ship to 51-C"/>
    <x v="17"/>
    <s v="Supplier EQPNC"/>
    <s v="Spain"/>
    <x v="1"/>
    <n v="456"/>
  </r>
  <r>
    <n v="10439"/>
    <n v="16"/>
    <n v="13.9"/>
    <n v="16"/>
    <n v="0"/>
    <s v="Taylor, Maurice"/>
    <s v="Taylor Maurice"/>
    <x v="7"/>
    <n v="0"/>
    <s v="Product PAFRH"/>
    <x v="5"/>
    <x v="155"/>
    <d v="2007-02-10T00:00:00"/>
    <x v="3"/>
    <s v="Ship to 51-C"/>
    <x v="17"/>
    <s v="Supplier GQRCV"/>
    <s v="Australia"/>
    <x v="1"/>
    <n v="222.4"/>
  </r>
  <r>
    <n v="10439"/>
    <n v="64"/>
    <n v="26.6"/>
    <n v="6"/>
    <n v="0"/>
    <s v="Taylor, Maurice"/>
    <s v="Taylor Maurice"/>
    <x v="7"/>
    <n v="0"/>
    <s v="Product HCQDE"/>
    <x v="1"/>
    <x v="155"/>
    <d v="2007-02-10T00:00:00"/>
    <x v="3"/>
    <s v="Ship to 51-C"/>
    <x v="17"/>
    <s v="Supplier SVIYA"/>
    <s v="Germany"/>
    <x v="1"/>
    <n v="159.60000000000002"/>
  </r>
  <r>
    <n v="10439"/>
    <n v="74"/>
    <n v="8"/>
    <n v="30"/>
    <n v="0"/>
    <s v="Taylor, Maurice"/>
    <s v="Taylor Maurice"/>
    <x v="7"/>
    <n v="0"/>
    <s v="Product BKAZJ"/>
    <x v="2"/>
    <x v="155"/>
    <d v="2007-02-10T00:00:00"/>
    <x v="3"/>
    <s v="Ship to 51-C"/>
    <x v="17"/>
    <s v="Supplier QOVFD"/>
    <s v="Japan"/>
    <x v="1"/>
    <n v="240"/>
  </r>
  <r>
    <n v="10440"/>
    <n v="2"/>
    <n v="15.2"/>
    <n v="45"/>
    <n v="0.15"/>
    <s v="Navarro, Tomás"/>
    <s v="Navarro Tomás"/>
    <x v="1"/>
    <s v="WA"/>
    <s v="Product RECZE"/>
    <x v="6"/>
    <x v="156"/>
    <d v="2007-02-28T00:00:00"/>
    <x v="1"/>
    <s v="Ship to 71-B"/>
    <x v="9"/>
    <s v="Supplier SWRXU"/>
    <s v="UK"/>
    <x v="1"/>
    <n v="581.4"/>
  </r>
  <r>
    <n v="10440"/>
    <n v="16"/>
    <n v="13.9"/>
    <n v="49"/>
    <n v="0.15"/>
    <s v="Navarro, Tomás"/>
    <s v="Navarro Tomás"/>
    <x v="1"/>
    <s v="WA"/>
    <s v="Product PAFRH"/>
    <x v="5"/>
    <x v="156"/>
    <d v="2007-02-28T00:00:00"/>
    <x v="1"/>
    <s v="Ship to 71-B"/>
    <x v="9"/>
    <s v="Supplier GQRCV"/>
    <s v="Australia"/>
    <x v="1"/>
    <n v="578.93500000000006"/>
  </r>
  <r>
    <n v="10440"/>
    <n v="29"/>
    <n v="99"/>
    <n v="24"/>
    <n v="0.15"/>
    <s v="Navarro, Tomás"/>
    <s v="Navarro Tomás"/>
    <x v="1"/>
    <s v="WA"/>
    <s v="Product VJXYN"/>
    <x v="7"/>
    <x v="156"/>
    <d v="2007-02-28T00:00:00"/>
    <x v="1"/>
    <s v="Ship to 71-B"/>
    <x v="9"/>
    <s v="Supplier SVIYA"/>
    <s v="Germany"/>
    <x v="1"/>
    <n v="2019.6"/>
  </r>
  <r>
    <n v="10440"/>
    <n v="61"/>
    <n v="22.8"/>
    <n v="90"/>
    <n v="0.15"/>
    <s v="Navarro, Tomás"/>
    <s v="Navarro Tomás"/>
    <x v="1"/>
    <s v="WA"/>
    <s v="Product XYZPE"/>
    <x v="4"/>
    <x v="156"/>
    <d v="2007-02-28T00:00:00"/>
    <x v="1"/>
    <s v="Ship to 71-B"/>
    <x v="9"/>
    <s v="Supplier OGLRK"/>
    <s v="Canada"/>
    <x v="1"/>
    <n v="1744.2"/>
  </r>
  <r>
    <n v="10441"/>
    <n v="27"/>
    <n v="35.1"/>
    <n v="50"/>
    <n v="0"/>
    <s v="Egelund-Muller, Anja"/>
    <s v="Egelund-Muller Anja"/>
    <x v="2"/>
    <s v="WA"/>
    <s v="Product SMIOH"/>
    <x v="5"/>
    <x v="156"/>
    <d v="2007-03-14T00:00:00"/>
    <x v="1"/>
    <s v="Ship to 55-C"/>
    <x v="9"/>
    <s v="Supplier ZPYVS"/>
    <s v="Germany"/>
    <x v="1"/>
    <n v="1755"/>
  </r>
  <r>
    <n v="10442"/>
    <n v="11"/>
    <n v="16.8"/>
    <n v="30"/>
    <n v="0"/>
    <s v="Kane, John"/>
    <s v="Kane John"/>
    <x v="2"/>
    <s v="WA"/>
    <s v="Product QMVUN"/>
    <x v="0"/>
    <x v="157"/>
    <d v="2007-02-18T00:00:00"/>
    <x v="1"/>
    <s v="Destination RVDMF"/>
    <x v="6"/>
    <s v="Supplier EQPNC"/>
    <s v="Spain"/>
    <x v="1"/>
    <n v="504"/>
  </r>
  <r>
    <n v="10442"/>
    <n v="54"/>
    <n v="5.9"/>
    <n v="80"/>
    <n v="0"/>
    <s v="Kane, John"/>
    <s v="Kane John"/>
    <x v="2"/>
    <s v="WA"/>
    <s v="Product QAQRL"/>
    <x v="7"/>
    <x v="157"/>
    <d v="2007-02-18T00:00:00"/>
    <x v="1"/>
    <s v="Destination RVDMF"/>
    <x v="6"/>
    <s v="Supplier ERVYZ"/>
    <s v="Canada"/>
    <x v="1"/>
    <n v="472"/>
  </r>
  <r>
    <n v="10442"/>
    <n v="66"/>
    <n v="13.6"/>
    <n v="60"/>
    <n v="0"/>
    <s v="Kane, John"/>
    <s v="Kane John"/>
    <x v="2"/>
    <s v="WA"/>
    <s v="Product LQMGN"/>
    <x v="4"/>
    <x v="157"/>
    <d v="2007-02-18T00:00:00"/>
    <x v="1"/>
    <s v="Destination RVDMF"/>
    <x v="6"/>
    <s v="Supplier VHQZD"/>
    <s v="USA"/>
    <x v="1"/>
    <n v="816"/>
  </r>
  <r>
    <n v="10443"/>
    <n v="11"/>
    <n v="16.8"/>
    <n v="6"/>
    <n v="0.2"/>
    <s v="Voss, Florian"/>
    <s v="Voss Florian"/>
    <x v="6"/>
    <s v="WA"/>
    <s v="Product QMVUN"/>
    <x v="0"/>
    <x v="158"/>
    <d v="2007-02-14T00:00:00"/>
    <x v="2"/>
    <s v="Ship to 66-C"/>
    <x v="12"/>
    <s v="Supplier EQPNC"/>
    <s v="Spain"/>
    <x v="1"/>
    <n v="80.640000000000015"/>
  </r>
  <r>
    <n v="10443"/>
    <n v="28"/>
    <n v="36.4"/>
    <n v="12"/>
    <n v="0"/>
    <s v="Voss, Florian"/>
    <s v="Voss Florian"/>
    <x v="6"/>
    <s v="WA"/>
    <s v="Product OFBNT"/>
    <x v="2"/>
    <x v="158"/>
    <d v="2007-02-14T00:00:00"/>
    <x v="2"/>
    <s v="Ship to 66-C"/>
    <x v="12"/>
    <s v="Supplier SVIYA"/>
    <s v="Germany"/>
    <x v="1"/>
    <n v="436.79999999999995"/>
  </r>
  <r>
    <n v="10444"/>
    <n v="17"/>
    <n v="31.2"/>
    <n v="10"/>
    <n v="0"/>
    <s v="Higginbotham, Tom"/>
    <s v="Higginbotham Tom"/>
    <x v="2"/>
    <s v="WA"/>
    <s v="Product BLCAX"/>
    <x v="7"/>
    <x v="158"/>
    <d v="2007-02-21T00:00:00"/>
    <x v="3"/>
    <s v="Ship to 5-B"/>
    <x v="10"/>
    <s v="Supplier GQRCV"/>
    <s v="Australia"/>
    <x v="1"/>
    <n v="312"/>
  </r>
  <r>
    <n v="10444"/>
    <n v="26"/>
    <n v="24.9"/>
    <n v="15"/>
    <n v="0"/>
    <s v="Higginbotham, Tom"/>
    <s v="Higginbotham Tom"/>
    <x v="2"/>
    <s v="WA"/>
    <s v="Product HLGZA"/>
    <x v="5"/>
    <x v="158"/>
    <d v="2007-02-21T00:00:00"/>
    <x v="3"/>
    <s v="Ship to 5-B"/>
    <x v="10"/>
    <s v="Supplier ZPYVS"/>
    <s v="Germany"/>
    <x v="1"/>
    <n v="373.5"/>
  </r>
  <r>
    <n v="10444"/>
    <n v="35"/>
    <n v="14.4"/>
    <n v="8"/>
    <n v="0"/>
    <s v="Higginbotham, Tom"/>
    <s v="Higginbotham Tom"/>
    <x v="2"/>
    <s v="WA"/>
    <s v="Product NEVTJ"/>
    <x v="6"/>
    <x v="158"/>
    <d v="2007-02-21T00:00:00"/>
    <x v="3"/>
    <s v="Ship to 5-B"/>
    <x v="10"/>
    <s v="Supplier UHZRG"/>
    <s v="USA"/>
    <x v="1"/>
    <n v="115.2"/>
  </r>
  <r>
    <n v="10444"/>
    <n v="41"/>
    <n v="7.7"/>
    <n v="30"/>
    <n v="0"/>
    <s v="Higginbotham, Tom"/>
    <s v="Higginbotham Tom"/>
    <x v="2"/>
    <s v="WA"/>
    <s v="Product TTEEX"/>
    <x v="3"/>
    <x v="158"/>
    <d v="2007-02-21T00:00:00"/>
    <x v="3"/>
    <s v="Ship to 5-B"/>
    <x v="10"/>
    <s v="Supplier JDNUG"/>
    <s v="USA"/>
    <x v="1"/>
    <n v="231"/>
  </r>
  <r>
    <n v="10445"/>
    <n v="39"/>
    <n v="14.4"/>
    <n v="6"/>
    <n v="0"/>
    <s v="Higginbotham, Tom"/>
    <s v="Higginbotham Tom"/>
    <x v="2"/>
    <s v="WA"/>
    <s v="Product LSOFL"/>
    <x v="6"/>
    <x v="159"/>
    <d v="2007-02-20T00:00:00"/>
    <x v="2"/>
    <s v="Ship to 5-A"/>
    <x v="10"/>
    <s v="Supplier LVJUA"/>
    <s v="France"/>
    <x v="1"/>
    <n v="86.4"/>
  </r>
  <r>
    <n v="10445"/>
    <n v="54"/>
    <n v="5.9"/>
    <n v="15"/>
    <n v="0"/>
    <s v="Higginbotham, Tom"/>
    <s v="Higginbotham Tom"/>
    <x v="2"/>
    <s v="WA"/>
    <s v="Product QAQRL"/>
    <x v="7"/>
    <x v="159"/>
    <d v="2007-02-20T00:00:00"/>
    <x v="2"/>
    <s v="Ship to 5-A"/>
    <x v="10"/>
    <s v="Supplier ERVYZ"/>
    <s v="Canada"/>
    <x v="1"/>
    <n v="88.5"/>
  </r>
  <r>
    <n v="10446"/>
    <n v="19"/>
    <n v="7.3"/>
    <n v="12"/>
    <n v="0.1"/>
    <s v="Wickham, Jim"/>
    <s v="Wickham Jim"/>
    <x v="7"/>
    <n v="0"/>
    <s v="Product XKXDO"/>
    <x v="5"/>
    <x v="160"/>
    <d v="2007-02-19T00:00:00"/>
    <x v="2"/>
    <s v="Ship to 79-C"/>
    <x v="8"/>
    <s v="Supplier BWGYE"/>
    <s v="UK"/>
    <x v="1"/>
    <n v="78.84"/>
  </r>
  <r>
    <n v="10446"/>
    <n v="24"/>
    <n v="3.6"/>
    <n v="20"/>
    <n v="0.1"/>
    <s v="Wickham, Jim"/>
    <s v="Wickham Jim"/>
    <x v="7"/>
    <n v="0"/>
    <s v="Product QOGNU"/>
    <x v="6"/>
    <x v="160"/>
    <d v="2007-02-19T00:00:00"/>
    <x v="2"/>
    <s v="Ship to 79-C"/>
    <x v="8"/>
    <s v="Supplier UNAHG"/>
    <s v="Brazil"/>
    <x v="1"/>
    <n v="64.8"/>
  </r>
  <r>
    <n v="10446"/>
    <n v="31"/>
    <n v="10"/>
    <n v="3"/>
    <n v="0.1"/>
    <s v="Wickham, Jim"/>
    <s v="Wickham Jim"/>
    <x v="7"/>
    <n v="0"/>
    <s v="Product XWOXC"/>
    <x v="0"/>
    <x v="160"/>
    <d v="2007-02-19T00:00:00"/>
    <x v="2"/>
    <s v="Ship to 79-C"/>
    <x v="8"/>
    <s v="Supplier KEREV"/>
    <s v="Italy"/>
    <x v="1"/>
    <n v="27"/>
  </r>
  <r>
    <n v="10446"/>
    <n v="52"/>
    <n v="5.6"/>
    <n v="15"/>
    <n v="0.1"/>
    <s v="Wickham, Jim"/>
    <s v="Wickham Jim"/>
    <x v="7"/>
    <n v="0"/>
    <s v="Product QSRXF"/>
    <x v="1"/>
    <x v="160"/>
    <d v="2007-02-19T00:00:00"/>
    <x v="2"/>
    <s v="Ship to 79-C"/>
    <x v="8"/>
    <s v="Supplier JNNES"/>
    <s v="Australia"/>
    <x v="1"/>
    <n v="75.600000000000009"/>
  </r>
  <r>
    <n v="10447"/>
    <n v="19"/>
    <n v="7.3"/>
    <n v="40"/>
    <n v="0"/>
    <s v="Garden, Euan"/>
    <s v="Garden Euan"/>
    <x v="1"/>
    <s v="WA"/>
    <s v="Product XKXDO"/>
    <x v="5"/>
    <x v="160"/>
    <d v="2007-03-07T00:00:00"/>
    <x v="1"/>
    <s v="Ship to 67-C"/>
    <x v="1"/>
    <s v="Supplier BWGYE"/>
    <s v="UK"/>
    <x v="1"/>
    <n v="292"/>
  </r>
  <r>
    <n v="10447"/>
    <n v="65"/>
    <n v="16.8"/>
    <n v="35"/>
    <n v="0"/>
    <s v="Garden, Euan"/>
    <s v="Garden Euan"/>
    <x v="1"/>
    <s v="WA"/>
    <s v="Product XYWBZ"/>
    <x v="4"/>
    <x v="160"/>
    <d v="2007-03-07T00:00:00"/>
    <x v="1"/>
    <s v="Ship to 67-C"/>
    <x v="1"/>
    <s v="Supplier VHQZD"/>
    <s v="USA"/>
    <x v="1"/>
    <n v="588"/>
  </r>
  <r>
    <n v="10447"/>
    <n v="71"/>
    <n v="17.2"/>
    <n v="2"/>
    <n v="0"/>
    <s v="Garden, Euan"/>
    <s v="Garden Euan"/>
    <x v="1"/>
    <s v="WA"/>
    <s v="Product MYMOI"/>
    <x v="0"/>
    <x v="160"/>
    <d v="2007-03-07T00:00:00"/>
    <x v="1"/>
    <s v="Ship to 67-C"/>
    <x v="1"/>
    <s v="Supplier NZLIF"/>
    <s v="Norway"/>
    <x v="1"/>
    <n v="34.4"/>
  </r>
  <r>
    <n v="10448"/>
    <n v="26"/>
    <n v="24.9"/>
    <n v="6"/>
    <n v="0"/>
    <s v="Gaffney, Lawrie"/>
    <s v="Gaffney Lawrie"/>
    <x v="1"/>
    <s v="WA"/>
    <s v="Product HLGZA"/>
    <x v="5"/>
    <x v="161"/>
    <d v="2007-02-24T00:00:00"/>
    <x v="1"/>
    <s v="Ship to 64-A"/>
    <x v="21"/>
    <s v="Supplier ZPYVS"/>
    <s v="Germany"/>
    <x v="1"/>
    <n v="149.39999999999998"/>
  </r>
  <r>
    <n v="10448"/>
    <n v="40"/>
    <n v="14.7"/>
    <n v="20"/>
    <n v="0"/>
    <s v="Gaffney, Lawrie"/>
    <s v="Gaffney Lawrie"/>
    <x v="1"/>
    <s v="WA"/>
    <s v="Product YZIXQ"/>
    <x v="3"/>
    <x v="161"/>
    <d v="2007-02-24T00:00:00"/>
    <x v="1"/>
    <s v="Ship to 64-A"/>
    <x v="21"/>
    <s v="Supplier JDNUG"/>
    <s v="USA"/>
    <x v="1"/>
    <n v="294"/>
  </r>
  <r>
    <n v="10449"/>
    <n v="10"/>
    <n v="24.8"/>
    <n v="14"/>
    <n v="0"/>
    <s v="Bansal, Dushyant"/>
    <s v="Bansal Dushyant"/>
    <x v="2"/>
    <s v="WA"/>
    <s v="Product YHXGE"/>
    <x v="3"/>
    <x v="162"/>
    <d v="2007-02-27T00:00:00"/>
    <x v="1"/>
    <s v="Ship to 7-C"/>
    <x v="2"/>
    <s v="Supplier QOVFD"/>
    <s v="Japan"/>
    <x v="1"/>
    <n v="347.2"/>
  </r>
  <r>
    <n v="10449"/>
    <n v="52"/>
    <n v="5.6"/>
    <n v="20"/>
    <n v="0"/>
    <s v="Bansal, Dushyant"/>
    <s v="Bansal Dushyant"/>
    <x v="2"/>
    <s v="WA"/>
    <s v="Product QSRXF"/>
    <x v="1"/>
    <x v="162"/>
    <d v="2007-02-27T00:00:00"/>
    <x v="1"/>
    <s v="Ship to 7-C"/>
    <x v="2"/>
    <s v="Supplier JNNES"/>
    <s v="Australia"/>
    <x v="1"/>
    <n v="112"/>
  </r>
  <r>
    <n v="10449"/>
    <n v="62"/>
    <n v="39.4"/>
    <n v="35"/>
    <n v="0"/>
    <s v="Bansal, Dushyant"/>
    <s v="Bansal Dushyant"/>
    <x v="2"/>
    <s v="WA"/>
    <s v="Product WUXYK"/>
    <x v="5"/>
    <x v="162"/>
    <d v="2007-02-27T00:00:00"/>
    <x v="1"/>
    <s v="Ship to 7-C"/>
    <x v="2"/>
    <s v="Supplier OGLRK"/>
    <s v="Canada"/>
    <x v="1"/>
    <n v="1379"/>
  </r>
  <r>
    <n v="10450"/>
    <n v="10"/>
    <n v="24.8"/>
    <n v="20"/>
    <n v="0.2"/>
    <s v="Tuntisangaroon, Sittichai"/>
    <s v="Tuntisangaroon Sittichai"/>
    <x v="6"/>
    <s v="WA"/>
    <s v="Product YHXGE"/>
    <x v="3"/>
    <x v="163"/>
    <d v="2007-03-11T00:00:00"/>
    <x v="1"/>
    <s v="Ship to 84-C"/>
    <x v="2"/>
    <s v="Supplier QOVFD"/>
    <s v="Japan"/>
    <x v="1"/>
    <n v="396.8"/>
  </r>
  <r>
    <n v="10450"/>
    <n v="54"/>
    <n v="5.9"/>
    <n v="6"/>
    <n v="0.2"/>
    <s v="Tuntisangaroon, Sittichai"/>
    <s v="Tuntisangaroon Sittichai"/>
    <x v="6"/>
    <s v="WA"/>
    <s v="Product QAQRL"/>
    <x v="7"/>
    <x v="163"/>
    <d v="2007-03-11T00:00:00"/>
    <x v="1"/>
    <s v="Ship to 84-C"/>
    <x v="2"/>
    <s v="Supplier ERVYZ"/>
    <s v="Canada"/>
    <x v="1"/>
    <n v="28.320000000000007"/>
  </r>
  <r>
    <n v="10451"/>
    <n v="55"/>
    <n v="19.2"/>
    <n v="120"/>
    <n v="0.1"/>
    <s v="Veronesi, Giorgio"/>
    <s v="Veronesi Giorgio"/>
    <x v="1"/>
    <s v="WA"/>
    <s v="Product YYWRT"/>
    <x v="7"/>
    <x v="163"/>
    <d v="2007-03-12T00:00:00"/>
    <x v="3"/>
    <s v="Ship to 63-C"/>
    <x v="8"/>
    <s v="Supplier ERVYZ"/>
    <s v="Canada"/>
    <x v="2"/>
    <n v="2073.6"/>
  </r>
  <r>
    <n v="10451"/>
    <n v="64"/>
    <n v="26.6"/>
    <n v="35"/>
    <n v="0.1"/>
    <s v="Veronesi, Giorgio"/>
    <s v="Veronesi Giorgio"/>
    <x v="1"/>
    <s v="WA"/>
    <s v="Product HCQDE"/>
    <x v="1"/>
    <x v="163"/>
    <d v="2007-03-12T00:00:00"/>
    <x v="3"/>
    <s v="Ship to 63-C"/>
    <x v="8"/>
    <s v="Supplier SVIYA"/>
    <s v="Germany"/>
    <x v="2"/>
    <n v="837.9"/>
  </r>
  <r>
    <n v="10451"/>
    <n v="65"/>
    <n v="16.8"/>
    <n v="28"/>
    <n v="0.1"/>
    <s v="Veronesi, Giorgio"/>
    <s v="Veronesi Giorgio"/>
    <x v="1"/>
    <s v="WA"/>
    <s v="Product XYWBZ"/>
    <x v="4"/>
    <x v="163"/>
    <d v="2007-03-12T00:00:00"/>
    <x v="3"/>
    <s v="Ship to 63-C"/>
    <x v="8"/>
    <s v="Supplier VHQZD"/>
    <s v="USA"/>
    <x v="2"/>
    <n v="423.36"/>
  </r>
  <r>
    <n v="10451"/>
    <n v="77"/>
    <n v="10.4"/>
    <n v="55"/>
    <n v="0.1"/>
    <s v="Veronesi, Giorgio"/>
    <s v="Veronesi Giorgio"/>
    <x v="1"/>
    <s v="WA"/>
    <s v="Product LUNZZ"/>
    <x v="4"/>
    <x v="163"/>
    <d v="2007-03-12T00:00:00"/>
    <x v="3"/>
    <s v="Ship to 63-C"/>
    <x v="8"/>
    <s v="Supplier SVIYA"/>
    <s v="Germany"/>
    <x v="2"/>
    <n v="514.80000000000007"/>
  </r>
  <r>
    <n v="10452"/>
    <n v="28"/>
    <n v="36.4"/>
    <n v="15"/>
    <n v="0"/>
    <s v="Navarro, Tomás"/>
    <s v="Navarro Tomás"/>
    <x v="6"/>
    <s v="WA"/>
    <s v="Product OFBNT"/>
    <x v="2"/>
    <x v="164"/>
    <d v="2007-02-26T00:00:00"/>
    <x v="2"/>
    <s v="Ship to 71-B"/>
    <x v="9"/>
    <s v="Supplier SVIYA"/>
    <s v="Germany"/>
    <x v="2"/>
    <n v="546"/>
  </r>
  <r>
    <n v="10452"/>
    <n v="44"/>
    <n v="15.5"/>
    <n v="100"/>
    <n v="0.05"/>
    <s v="Navarro, Tomás"/>
    <s v="Navarro Tomás"/>
    <x v="6"/>
    <s v="WA"/>
    <s v="Product VJIEO"/>
    <x v="4"/>
    <x v="164"/>
    <d v="2007-02-26T00:00:00"/>
    <x v="2"/>
    <s v="Ship to 71-B"/>
    <x v="9"/>
    <s v="Supplier CIYNM"/>
    <s v="Singapore"/>
    <x v="2"/>
    <n v="1472.5"/>
  </r>
  <r>
    <n v="10453"/>
    <n v="48"/>
    <n v="10.199999999999999"/>
    <n v="15"/>
    <n v="0.1"/>
    <s v="Arndt, Torsten"/>
    <s v="Arndt Torsten"/>
    <x v="5"/>
    <s v="WA"/>
    <s v="Product MYNXN"/>
    <x v="5"/>
    <x v="165"/>
    <d v="2007-02-26T00:00:00"/>
    <x v="1"/>
    <s v="Ship to 4-C"/>
    <x v="14"/>
    <s v="Supplier FNUXM"/>
    <s v="Netherlands"/>
    <x v="1"/>
    <n v="137.70000000000002"/>
  </r>
  <r>
    <n v="10453"/>
    <n v="70"/>
    <n v="12"/>
    <n v="25"/>
    <n v="0.1"/>
    <s v="Arndt, Torsten"/>
    <s v="Arndt Torsten"/>
    <x v="5"/>
    <s v="WA"/>
    <s v="Product TOONT"/>
    <x v="6"/>
    <x v="165"/>
    <d v="2007-02-26T00:00:00"/>
    <x v="1"/>
    <s v="Ship to 4-C"/>
    <x v="14"/>
    <s v="Supplier GQRCV"/>
    <s v="Australia"/>
    <x v="1"/>
    <n v="270"/>
  </r>
  <r>
    <n v="10454"/>
    <n v="16"/>
    <n v="13.9"/>
    <n v="20"/>
    <n v="0.2"/>
    <s v="Litton, Tim"/>
    <s v="Litton Tim"/>
    <x v="1"/>
    <s v="WA"/>
    <s v="Product PAFRH"/>
    <x v="5"/>
    <x v="165"/>
    <d v="2007-02-25T00:00:00"/>
    <x v="3"/>
    <s v="Ship to 41-C"/>
    <x v="2"/>
    <s v="Supplier GQRCV"/>
    <s v="Australia"/>
    <x v="1"/>
    <n v="222.4"/>
  </r>
  <r>
    <n v="10454"/>
    <n v="33"/>
    <n v="2"/>
    <n v="20"/>
    <n v="0.2"/>
    <s v="Litton, Tim"/>
    <s v="Litton Tim"/>
    <x v="1"/>
    <s v="WA"/>
    <s v="Product ASTMN"/>
    <x v="0"/>
    <x v="165"/>
    <d v="2007-02-25T00:00:00"/>
    <x v="3"/>
    <s v="Ship to 41-C"/>
    <x v="2"/>
    <s v="Supplier NZLIF"/>
    <s v="Norway"/>
    <x v="1"/>
    <n v="32"/>
  </r>
  <r>
    <n v="10454"/>
    <n v="46"/>
    <n v="9.6"/>
    <n v="10"/>
    <n v="0.2"/>
    <s v="Litton, Tim"/>
    <s v="Litton Tim"/>
    <x v="1"/>
    <s v="WA"/>
    <s v="Product CBRRL"/>
    <x v="3"/>
    <x v="165"/>
    <d v="2007-02-25T00:00:00"/>
    <x v="3"/>
    <s v="Ship to 41-C"/>
    <x v="2"/>
    <s v="Supplier XOXZA"/>
    <s v="Denmark"/>
    <x v="1"/>
    <n v="76.800000000000011"/>
  </r>
  <r>
    <n v="10455"/>
    <n v="39"/>
    <n v="14.4"/>
    <n v="20"/>
    <n v="0"/>
    <s v="Ludwig, Michael"/>
    <s v="Ludwig Michael"/>
    <x v="6"/>
    <s v="WA"/>
    <s v="Product LSOFL"/>
    <x v="6"/>
    <x v="166"/>
    <d v="2007-03-03T00:00:00"/>
    <x v="1"/>
    <s v="Ship to 87-B"/>
    <x v="11"/>
    <s v="Supplier LVJUA"/>
    <s v="France"/>
    <x v="2"/>
    <n v="288"/>
  </r>
  <r>
    <n v="10455"/>
    <n v="53"/>
    <n v="26.2"/>
    <n v="50"/>
    <n v="0"/>
    <s v="Ludwig, Michael"/>
    <s v="Ludwig Michael"/>
    <x v="6"/>
    <s v="WA"/>
    <s v="Product BKGEA"/>
    <x v="7"/>
    <x v="166"/>
    <d v="2007-03-03T00:00:00"/>
    <x v="1"/>
    <s v="Ship to 87-B"/>
    <x v="11"/>
    <s v="Supplier JNNES"/>
    <s v="Australia"/>
    <x v="2"/>
    <n v="1310"/>
  </r>
  <r>
    <n v="10455"/>
    <n v="61"/>
    <n v="22.8"/>
    <n v="25"/>
    <n v="0"/>
    <s v="Ludwig, Michael"/>
    <s v="Ludwig Michael"/>
    <x v="6"/>
    <s v="WA"/>
    <s v="Product XYZPE"/>
    <x v="4"/>
    <x v="166"/>
    <d v="2007-03-03T00:00:00"/>
    <x v="1"/>
    <s v="Ship to 87-B"/>
    <x v="11"/>
    <s v="Supplier OGLRK"/>
    <s v="Canada"/>
    <x v="2"/>
    <n v="570"/>
  </r>
  <r>
    <n v="10455"/>
    <n v="71"/>
    <n v="17.2"/>
    <n v="30"/>
    <n v="0"/>
    <s v="Ludwig, Michael"/>
    <s v="Ludwig Michael"/>
    <x v="6"/>
    <s v="WA"/>
    <s v="Product MYMOI"/>
    <x v="0"/>
    <x v="166"/>
    <d v="2007-03-03T00:00:00"/>
    <x v="1"/>
    <s v="Ship to 87-B"/>
    <x v="11"/>
    <s v="Supplier NZLIF"/>
    <s v="Norway"/>
    <x v="2"/>
    <n v="516"/>
  </r>
  <r>
    <n v="10456"/>
    <n v="21"/>
    <n v="8"/>
    <n v="40"/>
    <n v="0.15"/>
    <s v="Song, Lolan"/>
    <s v="Song Lolan"/>
    <x v="6"/>
    <s v="WA"/>
    <s v="Product VJZZH"/>
    <x v="5"/>
    <x v="167"/>
    <d v="2007-02-28T00:00:00"/>
    <x v="1"/>
    <s v="Destination DKMQA"/>
    <x v="8"/>
    <s v="Supplier BWGYE"/>
    <s v="UK"/>
    <x v="1"/>
    <n v="272"/>
  </r>
  <r>
    <n v="10456"/>
    <n v="49"/>
    <n v="16"/>
    <n v="21"/>
    <n v="0.15"/>
    <s v="Song, Lolan"/>
    <s v="Song Lolan"/>
    <x v="6"/>
    <s v="WA"/>
    <s v="Product FPYPN"/>
    <x v="5"/>
    <x v="167"/>
    <d v="2007-02-28T00:00:00"/>
    <x v="1"/>
    <s v="Destination DKMQA"/>
    <x v="8"/>
    <s v="Supplier ELCRN"/>
    <s v="Finland"/>
    <x v="1"/>
    <n v="285.59999999999997"/>
  </r>
  <r>
    <n v="10457"/>
    <n v="59"/>
    <n v="44"/>
    <n v="36"/>
    <n v="0"/>
    <s v="Song, Lolan"/>
    <s v="Song Lolan"/>
    <x v="8"/>
    <s v="WA"/>
    <s v="Product UKXRI"/>
    <x v="0"/>
    <x v="167"/>
    <d v="2007-03-03T00:00:00"/>
    <x v="2"/>
    <s v="Destination RMBHM"/>
    <x v="8"/>
    <s v="Supplier OAVQT"/>
    <s v="France"/>
    <x v="1"/>
    <n v="1584"/>
  </r>
  <r>
    <n v="10458"/>
    <n v="26"/>
    <n v="24.9"/>
    <n v="30"/>
    <n v="0"/>
    <s v="Gulbis, Katrin"/>
    <s v="Gulbis Katrin"/>
    <x v="9"/>
    <n v="0"/>
    <s v="Product HLGZA"/>
    <x v="5"/>
    <x v="168"/>
    <d v="2007-03-04T00:00:00"/>
    <x v="3"/>
    <s v="Ship to 76-A"/>
    <x v="3"/>
    <s v="Supplier ZPYVS"/>
    <s v="Germany"/>
    <x v="2"/>
    <n v="747"/>
  </r>
  <r>
    <n v="10458"/>
    <n v="28"/>
    <n v="36.4"/>
    <n v="30"/>
    <n v="0"/>
    <s v="Gulbis, Katrin"/>
    <s v="Gulbis Katrin"/>
    <x v="9"/>
    <n v="0"/>
    <s v="Product OFBNT"/>
    <x v="2"/>
    <x v="168"/>
    <d v="2007-03-04T00:00:00"/>
    <x v="3"/>
    <s v="Ship to 76-A"/>
    <x v="3"/>
    <s v="Supplier SVIYA"/>
    <s v="Germany"/>
    <x v="2"/>
    <n v="1092"/>
  </r>
  <r>
    <n v="10458"/>
    <n v="43"/>
    <n v="36.799999999999997"/>
    <n v="20"/>
    <n v="0"/>
    <s v="Gulbis, Katrin"/>
    <s v="Gulbis Katrin"/>
    <x v="9"/>
    <n v="0"/>
    <s v="Product ZZZHR"/>
    <x v="6"/>
    <x v="168"/>
    <d v="2007-03-04T00:00:00"/>
    <x v="3"/>
    <s v="Ship to 76-A"/>
    <x v="3"/>
    <s v="Supplier CIYNM"/>
    <s v="Singapore"/>
    <x v="2"/>
    <n v="736"/>
  </r>
  <r>
    <n v="10458"/>
    <n v="56"/>
    <n v="30.4"/>
    <n v="15"/>
    <n v="0"/>
    <s v="Gulbis, Katrin"/>
    <s v="Gulbis Katrin"/>
    <x v="9"/>
    <n v="0"/>
    <s v="Product VKCMF"/>
    <x v="1"/>
    <x v="168"/>
    <d v="2007-03-04T00:00:00"/>
    <x v="3"/>
    <s v="Ship to 76-A"/>
    <x v="3"/>
    <s v="Supplier ZWZDM"/>
    <s v="Italy"/>
    <x v="2"/>
    <n v="456"/>
  </r>
  <r>
    <n v="10458"/>
    <n v="71"/>
    <n v="17.2"/>
    <n v="50"/>
    <n v="0"/>
    <s v="Gulbis, Katrin"/>
    <s v="Gulbis Katrin"/>
    <x v="9"/>
    <n v="0"/>
    <s v="Product MYMOI"/>
    <x v="0"/>
    <x v="168"/>
    <d v="2007-03-04T00:00:00"/>
    <x v="3"/>
    <s v="Ship to 76-A"/>
    <x v="3"/>
    <s v="Supplier NZLIF"/>
    <s v="Norway"/>
    <x v="2"/>
    <n v="860"/>
  </r>
  <r>
    <n v="10459"/>
    <n v="7"/>
    <n v="24"/>
    <n v="16"/>
    <n v="0.05"/>
    <s v="Tuntisangaroon, Sittichai"/>
    <s v="Tuntisangaroon Sittichai"/>
    <x v="1"/>
    <s v="WA"/>
    <s v="Product HMLNI"/>
    <x v="2"/>
    <x v="169"/>
    <d v="2007-02-28T00:00:00"/>
    <x v="1"/>
    <s v="Ship to 84-B"/>
    <x v="2"/>
    <s v="Supplier STUAZ"/>
    <s v="USA"/>
    <x v="1"/>
    <n v="364.79999999999995"/>
  </r>
  <r>
    <n v="10459"/>
    <n v="46"/>
    <n v="9.6"/>
    <n v="20"/>
    <n v="0.05"/>
    <s v="Tuntisangaroon, Sittichai"/>
    <s v="Tuntisangaroon Sittichai"/>
    <x v="1"/>
    <s v="WA"/>
    <s v="Product CBRRL"/>
    <x v="3"/>
    <x v="169"/>
    <d v="2007-02-28T00:00:00"/>
    <x v="1"/>
    <s v="Ship to 84-B"/>
    <x v="2"/>
    <s v="Supplier XOXZA"/>
    <s v="Denmark"/>
    <x v="1"/>
    <n v="182.39999999999998"/>
  </r>
  <r>
    <n v="10459"/>
    <n v="72"/>
    <n v="27.8"/>
    <n v="40"/>
    <n v="0"/>
    <s v="Tuntisangaroon, Sittichai"/>
    <s v="Tuntisangaroon Sittichai"/>
    <x v="1"/>
    <s v="WA"/>
    <s v="Product GEEOO"/>
    <x v="0"/>
    <x v="169"/>
    <d v="2007-02-28T00:00:00"/>
    <x v="1"/>
    <s v="Ship to 84-B"/>
    <x v="2"/>
    <s v="Supplier KEREV"/>
    <s v="Italy"/>
    <x v="1"/>
    <n v="1112"/>
  </r>
  <r>
    <n v="10460"/>
    <n v="68"/>
    <n v="10"/>
    <n v="21"/>
    <n v="0.25"/>
    <s v="San Juan, Patricia"/>
    <s v="San Juan Patricia"/>
    <x v="6"/>
    <s v="WA"/>
    <s v="Product TBTBL"/>
    <x v="5"/>
    <x v="170"/>
    <d v="2007-03-03T00:00:00"/>
    <x v="2"/>
    <s v="Destination YCMPK"/>
    <x v="10"/>
    <s v="Supplier BWGYE"/>
    <s v="UK"/>
    <x v="1"/>
    <n v="157.5"/>
  </r>
  <r>
    <n v="10460"/>
    <n v="75"/>
    <n v="6.2"/>
    <n v="4"/>
    <n v="0.25"/>
    <s v="San Juan, Patricia"/>
    <s v="San Juan Patricia"/>
    <x v="6"/>
    <s v="WA"/>
    <s v="Product BWRLG"/>
    <x v="6"/>
    <x v="170"/>
    <d v="2007-03-03T00:00:00"/>
    <x v="2"/>
    <s v="Destination YCMPK"/>
    <x v="10"/>
    <s v="Supplier SVIYA"/>
    <s v="Germany"/>
    <x v="1"/>
    <n v="18.600000000000001"/>
  </r>
  <r>
    <n v="10461"/>
    <n v="21"/>
    <n v="8"/>
    <n v="40"/>
    <n v="0.25"/>
    <s v="Dressler, Marlies"/>
    <s v="Dressler Marlies"/>
    <x v="5"/>
    <s v="WA"/>
    <s v="Product VJZZH"/>
    <x v="5"/>
    <x v="170"/>
    <d v="2007-03-05T00:00:00"/>
    <x v="3"/>
    <s v="Ship to 46-A"/>
    <x v="5"/>
    <s v="Supplier BWGYE"/>
    <s v="UK"/>
    <x v="2"/>
    <n v="240"/>
  </r>
  <r>
    <n v="10461"/>
    <n v="30"/>
    <n v="20.7"/>
    <n v="28"/>
    <n v="0.25"/>
    <s v="Dressler, Marlies"/>
    <s v="Dressler Marlies"/>
    <x v="5"/>
    <s v="WA"/>
    <s v="Product LYERX"/>
    <x v="3"/>
    <x v="170"/>
    <d v="2007-03-05T00:00:00"/>
    <x v="3"/>
    <s v="Ship to 46-A"/>
    <x v="5"/>
    <s v="Supplier TEGSC"/>
    <s v="Germany"/>
    <x v="2"/>
    <n v="434.70000000000005"/>
  </r>
  <r>
    <n v="10461"/>
    <n v="55"/>
    <n v="19.2"/>
    <n v="60"/>
    <n v="0.25"/>
    <s v="Dressler, Marlies"/>
    <s v="Dressler Marlies"/>
    <x v="5"/>
    <s v="WA"/>
    <s v="Product YYWRT"/>
    <x v="7"/>
    <x v="170"/>
    <d v="2007-03-05T00:00:00"/>
    <x v="3"/>
    <s v="Ship to 46-A"/>
    <x v="5"/>
    <s v="Supplier ERVYZ"/>
    <s v="Canada"/>
    <x v="2"/>
    <n v="864"/>
  </r>
  <r>
    <n v="10462"/>
    <n v="13"/>
    <n v="4.8"/>
    <n v="1"/>
    <n v="0"/>
    <s v="Birkby, Dana"/>
    <s v="Birkby Dana"/>
    <x v="8"/>
    <s v="WA"/>
    <s v="Product POXFU"/>
    <x v="3"/>
    <x v="171"/>
    <d v="2007-03-18T00:00:00"/>
    <x v="2"/>
    <s v="Destination ARRMM"/>
    <x v="14"/>
    <s v="Supplier QWUSF"/>
    <s v="Japan"/>
    <x v="1"/>
    <n v="4.8"/>
  </r>
  <r>
    <n v="10462"/>
    <n v="23"/>
    <n v="7.2"/>
    <n v="21"/>
    <n v="0"/>
    <s v="Birkby, Dana"/>
    <s v="Birkby Dana"/>
    <x v="8"/>
    <s v="WA"/>
    <s v="Product JLUDZ"/>
    <x v="1"/>
    <x v="171"/>
    <d v="2007-03-18T00:00:00"/>
    <x v="2"/>
    <s v="Destination ARRMM"/>
    <x v="14"/>
    <s v="Supplier QQYEU"/>
    <s v="Sweden"/>
    <x v="1"/>
    <n v="151.20000000000002"/>
  </r>
  <r>
    <n v="10463"/>
    <n v="19"/>
    <n v="7.3"/>
    <n v="21"/>
    <n v="0"/>
    <s v="Gulbis, Katrin"/>
    <s v="Gulbis Katrin"/>
    <x v="3"/>
    <n v="0"/>
    <s v="Product XKXDO"/>
    <x v="5"/>
    <x v="172"/>
    <d v="2007-03-06T00:00:00"/>
    <x v="3"/>
    <s v="Ship to 76-B"/>
    <x v="3"/>
    <s v="Supplier BWGYE"/>
    <s v="UK"/>
    <x v="1"/>
    <n v="153.29999999999998"/>
  </r>
  <r>
    <n v="10463"/>
    <n v="42"/>
    <n v="11.2"/>
    <n v="50"/>
    <n v="0"/>
    <s v="Gulbis, Katrin"/>
    <s v="Gulbis Katrin"/>
    <x v="3"/>
    <n v="0"/>
    <s v="Product RJVNM"/>
    <x v="1"/>
    <x v="172"/>
    <d v="2007-03-06T00:00:00"/>
    <x v="3"/>
    <s v="Ship to 76-B"/>
    <x v="3"/>
    <s v="Supplier CIYNM"/>
    <s v="Singapore"/>
    <x v="1"/>
    <n v="560"/>
  </r>
  <r>
    <n v="10464"/>
    <n v="4"/>
    <n v="17.600000000000001"/>
    <n v="16"/>
    <n v="0.2"/>
    <s v="Cavaglieri, Giorgio"/>
    <s v="Cavaglieri Giorgio"/>
    <x v="1"/>
    <s v="WA"/>
    <s v="Product KSBRM"/>
    <x v="4"/>
    <x v="172"/>
    <d v="2007-03-14T00:00:00"/>
    <x v="1"/>
    <s v="Destination OTSWR"/>
    <x v="16"/>
    <s v="Supplier VHQZD"/>
    <s v="USA"/>
    <x v="1"/>
    <n v="225.28000000000003"/>
  </r>
  <r>
    <n v="10464"/>
    <n v="43"/>
    <n v="36.799999999999997"/>
    <n v="3"/>
    <n v="0"/>
    <s v="Cavaglieri, Giorgio"/>
    <s v="Cavaglieri Giorgio"/>
    <x v="1"/>
    <s v="WA"/>
    <s v="Product ZZZHR"/>
    <x v="6"/>
    <x v="172"/>
    <d v="2007-03-14T00:00:00"/>
    <x v="1"/>
    <s v="Destination OTSWR"/>
    <x v="16"/>
    <s v="Supplier CIYNM"/>
    <s v="Singapore"/>
    <x v="1"/>
    <n v="110.39999999999999"/>
  </r>
  <r>
    <n v="10464"/>
    <n v="56"/>
    <n v="30.4"/>
    <n v="30"/>
    <n v="0.2"/>
    <s v="Cavaglieri, Giorgio"/>
    <s v="Cavaglieri Giorgio"/>
    <x v="1"/>
    <s v="WA"/>
    <s v="Product VKCMF"/>
    <x v="1"/>
    <x v="172"/>
    <d v="2007-03-14T00:00:00"/>
    <x v="1"/>
    <s v="Destination OTSWR"/>
    <x v="16"/>
    <s v="Supplier ZWZDM"/>
    <s v="Italy"/>
    <x v="1"/>
    <n v="729.6"/>
  </r>
  <r>
    <n v="10464"/>
    <n v="60"/>
    <n v="27.2"/>
    <n v="20"/>
    <n v="0"/>
    <s v="Cavaglieri, Giorgio"/>
    <s v="Cavaglieri Giorgio"/>
    <x v="1"/>
    <s v="WA"/>
    <s v="Product WHBYK"/>
    <x v="0"/>
    <x v="172"/>
    <d v="2007-03-14T00:00:00"/>
    <x v="1"/>
    <s v="Destination OTSWR"/>
    <x v="16"/>
    <s v="Supplier OAVQT"/>
    <s v="France"/>
    <x v="1"/>
    <n v="544"/>
  </r>
  <r>
    <n v="10465"/>
    <n v="24"/>
    <n v="3.6"/>
    <n v="25"/>
    <n v="0"/>
    <s v="Fonteneau, Karl"/>
    <s v="Fonteneau Karl"/>
    <x v="5"/>
    <s v="WA"/>
    <s v="Product QOGNU"/>
    <x v="6"/>
    <x v="173"/>
    <d v="2007-03-14T00:00:00"/>
    <x v="3"/>
    <s v="Ship to 83-A"/>
    <x v="18"/>
    <s v="Supplier UNAHG"/>
    <s v="Brazil"/>
    <x v="2"/>
    <n v="90"/>
  </r>
  <r>
    <n v="10465"/>
    <n v="29"/>
    <n v="99"/>
    <n v="18"/>
    <n v="0.1"/>
    <s v="Fonteneau, Karl"/>
    <s v="Fonteneau Karl"/>
    <x v="5"/>
    <s v="WA"/>
    <s v="Product VJXYN"/>
    <x v="7"/>
    <x v="173"/>
    <d v="2007-03-14T00:00:00"/>
    <x v="3"/>
    <s v="Ship to 83-A"/>
    <x v="18"/>
    <s v="Supplier SVIYA"/>
    <s v="Germany"/>
    <x v="2"/>
    <n v="1603.8"/>
  </r>
  <r>
    <n v="10465"/>
    <n v="40"/>
    <n v="14.7"/>
    <n v="20"/>
    <n v="0"/>
    <s v="Fonteneau, Karl"/>
    <s v="Fonteneau Karl"/>
    <x v="5"/>
    <s v="WA"/>
    <s v="Product YZIXQ"/>
    <x v="3"/>
    <x v="173"/>
    <d v="2007-03-14T00:00:00"/>
    <x v="3"/>
    <s v="Ship to 83-A"/>
    <x v="18"/>
    <s v="Supplier JDNUG"/>
    <s v="USA"/>
    <x v="2"/>
    <n v="294"/>
  </r>
  <r>
    <n v="10465"/>
    <n v="45"/>
    <n v="7.6"/>
    <n v="30"/>
    <n v="0.1"/>
    <s v="Fonteneau, Karl"/>
    <s v="Fonteneau Karl"/>
    <x v="5"/>
    <s v="WA"/>
    <s v="Product AQOKR"/>
    <x v="3"/>
    <x v="173"/>
    <d v="2007-03-14T00:00:00"/>
    <x v="3"/>
    <s v="Ship to 83-A"/>
    <x v="18"/>
    <s v="Supplier XOXZA"/>
    <s v="Denmark"/>
    <x v="2"/>
    <n v="205.20000000000002"/>
  </r>
  <r>
    <n v="10465"/>
    <n v="50"/>
    <n v="13"/>
    <n v="25"/>
    <n v="0"/>
    <s v="Fonteneau, Karl"/>
    <s v="Fonteneau Karl"/>
    <x v="5"/>
    <s v="WA"/>
    <s v="Product BIUDV"/>
    <x v="5"/>
    <x v="173"/>
    <d v="2007-03-14T00:00:00"/>
    <x v="3"/>
    <s v="Ship to 83-A"/>
    <x v="18"/>
    <s v="Supplier ELCRN"/>
    <s v="Finland"/>
    <x v="2"/>
    <n v="325"/>
  </r>
  <r>
    <n v="10466"/>
    <n v="11"/>
    <n v="16.8"/>
    <n v="10"/>
    <n v="0"/>
    <s v="Richardson, Shawn"/>
    <s v="Richardson Shawn"/>
    <x v="1"/>
    <s v="WA"/>
    <s v="Product QMVUN"/>
    <x v="0"/>
    <x v="174"/>
    <d v="2007-03-13T00:00:00"/>
    <x v="2"/>
    <s v="Destination GGSQD"/>
    <x v="1"/>
    <s v="Supplier EQPNC"/>
    <s v="Spain"/>
    <x v="1"/>
    <n v="168"/>
  </r>
  <r>
    <n v="10466"/>
    <n v="46"/>
    <n v="9.6"/>
    <n v="5"/>
    <n v="0"/>
    <s v="Richardson, Shawn"/>
    <s v="Richardson Shawn"/>
    <x v="1"/>
    <s v="WA"/>
    <s v="Product CBRRL"/>
    <x v="3"/>
    <x v="174"/>
    <d v="2007-03-13T00:00:00"/>
    <x v="2"/>
    <s v="Destination GGSQD"/>
    <x v="1"/>
    <s v="Supplier XOXZA"/>
    <s v="Denmark"/>
    <x v="1"/>
    <n v="48"/>
  </r>
  <r>
    <n v="10467"/>
    <n v="24"/>
    <n v="3.6"/>
    <n v="28"/>
    <n v="0"/>
    <s v="Duerr, Bernard"/>
    <s v="Duerr Bernard"/>
    <x v="6"/>
    <s v="WA"/>
    <s v="Product QOGNU"/>
    <x v="6"/>
    <x v="174"/>
    <d v="2007-03-11T00:00:00"/>
    <x v="1"/>
    <s v="Ship to 49-C"/>
    <x v="12"/>
    <s v="Supplier UNAHG"/>
    <s v="Brazil"/>
    <x v="1"/>
    <n v="100.8"/>
  </r>
  <r>
    <n v="10467"/>
    <n v="25"/>
    <n v="11.2"/>
    <n v="12"/>
    <n v="0"/>
    <s v="Duerr, Bernard"/>
    <s v="Duerr Bernard"/>
    <x v="6"/>
    <s v="WA"/>
    <s v="Product LYLNI"/>
    <x v="5"/>
    <x v="174"/>
    <d v="2007-03-11T00:00:00"/>
    <x v="1"/>
    <s v="Ship to 49-C"/>
    <x v="12"/>
    <s v="Supplier ZPYVS"/>
    <s v="Germany"/>
    <x v="1"/>
    <n v="134.39999999999998"/>
  </r>
  <r>
    <n v="10468"/>
    <n v="30"/>
    <n v="20.7"/>
    <n v="8"/>
    <n v="0"/>
    <s v="Song, Lolan"/>
    <s v="Song Lolan"/>
    <x v="2"/>
    <s v="WA"/>
    <s v="Product LYERX"/>
    <x v="3"/>
    <x v="175"/>
    <d v="2007-03-12T00:00:00"/>
    <x v="3"/>
    <s v="Destination RMBHM"/>
    <x v="8"/>
    <s v="Supplier TEGSC"/>
    <s v="Germany"/>
    <x v="1"/>
    <n v="165.6"/>
  </r>
  <r>
    <n v="10468"/>
    <n v="43"/>
    <n v="36.799999999999997"/>
    <n v="15"/>
    <n v="0"/>
    <s v="Song, Lolan"/>
    <s v="Song Lolan"/>
    <x v="2"/>
    <s v="WA"/>
    <s v="Product ZZZHR"/>
    <x v="6"/>
    <x v="175"/>
    <d v="2007-03-12T00:00:00"/>
    <x v="3"/>
    <s v="Destination RMBHM"/>
    <x v="8"/>
    <s v="Supplier CIYNM"/>
    <s v="Singapore"/>
    <x v="1"/>
    <n v="552"/>
  </r>
  <r>
    <n v="10469"/>
    <n v="2"/>
    <n v="15.2"/>
    <n v="40"/>
    <n v="0.15"/>
    <s v="Smith Jr., Ronaldo"/>
    <s v="Smith Jr. Ronaldo"/>
    <x v="5"/>
    <s v="WA"/>
    <s v="Product RECZE"/>
    <x v="6"/>
    <x v="176"/>
    <d v="2007-03-14T00:00:00"/>
    <x v="2"/>
    <s v="Ship to 89-C"/>
    <x v="9"/>
    <s v="Supplier SWRXU"/>
    <s v="UK"/>
    <x v="1"/>
    <n v="516.79999999999995"/>
  </r>
  <r>
    <n v="10469"/>
    <n v="16"/>
    <n v="13.9"/>
    <n v="35"/>
    <n v="0.15"/>
    <s v="Smith Jr., Ronaldo"/>
    <s v="Smith Jr. Ronaldo"/>
    <x v="5"/>
    <s v="WA"/>
    <s v="Product PAFRH"/>
    <x v="5"/>
    <x v="176"/>
    <d v="2007-03-14T00:00:00"/>
    <x v="2"/>
    <s v="Ship to 89-C"/>
    <x v="9"/>
    <s v="Supplier GQRCV"/>
    <s v="Australia"/>
    <x v="1"/>
    <n v="413.52499999999998"/>
  </r>
  <r>
    <n v="10469"/>
    <n v="44"/>
    <n v="15.5"/>
    <n v="2"/>
    <n v="0.15"/>
    <s v="Smith Jr., Ronaldo"/>
    <s v="Smith Jr. Ronaldo"/>
    <x v="5"/>
    <s v="WA"/>
    <s v="Product VJIEO"/>
    <x v="4"/>
    <x v="176"/>
    <d v="2007-03-14T00:00:00"/>
    <x v="2"/>
    <s v="Ship to 89-C"/>
    <x v="9"/>
    <s v="Supplier CIYNM"/>
    <s v="Singapore"/>
    <x v="1"/>
    <n v="26.349999999999998"/>
  </r>
  <r>
    <n v="10470"/>
    <n v="18"/>
    <n v="50"/>
    <n v="30"/>
    <n v="0"/>
    <s v="Raghav, Amritansh"/>
    <s v="Raghav Amritansh"/>
    <x v="1"/>
    <s v="WA"/>
    <s v="Product CKEDC"/>
    <x v="3"/>
    <x v="177"/>
    <d v="2007-03-14T00:00:00"/>
    <x v="1"/>
    <s v="Ship to 9-C"/>
    <x v="2"/>
    <s v="Supplier GQRCV"/>
    <s v="Australia"/>
    <x v="1"/>
    <n v="1500"/>
  </r>
  <r>
    <n v="10470"/>
    <n v="23"/>
    <n v="7.2"/>
    <n v="15"/>
    <n v="0"/>
    <s v="Raghav, Amritansh"/>
    <s v="Raghav Amritansh"/>
    <x v="1"/>
    <s v="WA"/>
    <s v="Product JLUDZ"/>
    <x v="1"/>
    <x v="177"/>
    <d v="2007-03-14T00:00:00"/>
    <x v="1"/>
    <s v="Ship to 9-C"/>
    <x v="2"/>
    <s v="Supplier QQYEU"/>
    <s v="Sweden"/>
    <x v="1"/>
    <n v="108"/>
  </r>
  <r>
    <n v="10470"/>
    <n v="64"/>
    <n v="26.6"/>
    <n v="8"/>
    <n v="0"/>
    <s v="Raghav, Amritansh"/>
    <s v="Raghav Amritansh"/>
    <x v="1"/>
    <s v="WA"/>
    <s v="Product HCQDE"/>
    <x v="1"/>
    <x v="177"/>
    <d v="2007-03-14T00:00:00"/>
    <x v="1"/>
    <s v="Ship to 9-C"/>
    <x v="2"/>
    <s v="Supplier SVIYA"/>
    <s v="Germany"/>
    <x v="1"/>
    <n v="212.8"/>
  </r>
  <r>
    <n v="10471"/>
    <n v="7"/>
    <n v="24"/>
    <n v="30"/>
    <n v="0"/>
    <s v="Jaffe, David"/>
    <s v="Jaffe David"/>
    <x v="8"/>
    <s v="WA"/>
    <s v="Product HMLNI"/>
    <x v="2"/>
    <x v="177"/>
    <d v="2007-03-18T00:00:00"/>
    <x v="3"/>
    <s v="Destination NZASL"/>
    <x v="14"/>
    <s v="Supplier STUAZ"/>
    <s v="USA"/>
    <x v="1"/>
    <n v="720"/>
  </r>
  <r>
    <n v="10471"/>
    <n v="56"/>
    <n v="30.4"/>
    <n v="20"/>
    <n v="0"/>
    <s v="Jaffe, David"/>
    <s v="Jaffe David"/>
    <x v="8"/>
    <s v="WA"/>
    <s v="Product VKCMF"/>
    <x v="1"/>
    <x v="177"/>
    <d v="2007-03-18T00:00:00"/>
    <x v="3"/>
    <s v="Destination NZASL"/>
    <x v="14"/>
    <s v="Supplier ZWZDM"/>
    <s v="Italy"/>
    <x v="1"/>
    <n v="608"/>
  </r>
  <r>
    <n v="10472"/>
    <n v="24"/>
    <n v="3.6"/>
    <n v="80"/>
    <n v="0.05"/>
    <s v="Welcker, Brian"/>
    <s v="Welcker Brian"/>
    <x v="6"/>
    <s v="WA"/>
    <s v="Product QOGNU"/>
    <x v="6"/>
    <x v="178"/>
    <d v="2007-03-19T00:00:00"/>
    <x v="2"/>
    <s v="Ship to 72-A"/>
    <x v="14"/>
    <s v="Supplier UNAHG"/>
    <s v="Brazil"/>
    <x v="1"/>
    <n v="273.59999999999997"/>
  </r>
  <r>
    <n v="10472"/>
    <n v="51"/>
    <n v="42.4"/>
    <n v="18"/>
    <n v="0"/>
    <s v="Welcker, Brian"/>
    <s v="Welcker Brian"/>
    <x v="6"/>
    <s v="WA"/>
    <s v="Product APITJ"/>
    <x v="2"/>
    <x v="178"/>
    <d v="2007-03-19T00:00:00"/>
    <x v="2"/>
    <s v="Ship to 72-A"/>
    <x v="14"/>
    <s v="Supplier JNNES"/>
    <s v="Australia"/>
    <x v="1"/>
    <n v="763.19999999999993"/>
  </r>
  <r>
    <n v="10473"/>
    <n v="33"/>
    <n v="2"/>
    <n v="12"/>
    <n v="0"/>
    <s v="Lee, Frank"/>
    <s v="Lee Frank"/>
    <x v="5"/>
    <s v="WA"/>
    <s v="Product ASTMN"/>
    <x v="0"/>
    <x v="179"/>
    <d v="2007-03-21T00:00:00"/>
    <x v="3"/>
    <s v="Destination AXVHD"/>
    <x v="14"/>
    <s v="Supplier NZLIF"/>
    <s v="Norway"/>
    <x v="1"/>
    <n v="24"/>
  </r>
  <r>
    <n v="10473"/>
    <n v="71"/>
    <n v="17.2"/>
    <n v="12"/>
    <n v="0"/>
    <s v="Lee, Frank"/>
    <s v="Lee Frank"/>
    <x v="5"/>
    <s v="WA"/>
    <s v="Product MYMOI"/>
    <x v="0"/>
    <x v="179"/>
    <d v="2007-03-21T00:00:00"/>
    <x v="3"/>
    <s v="Destination AXVHD"/>
    <x v="14"/>
    <s v="Supplier NZLIF"/>
    <s v="Norway"/>
    <x v="1"/>
    <n v="206.39999999999998"/>
  </r>
  <r>
    <n v="10474"/>
    <n v="14"/>
    <n v="18.600000000000001"/>
    <n v="12"/>
    <n v="0"/>
    <s v="Fakhouri, Fadi"/>
    <s v="Fakhouri Fadi"/>
    <x v="3"/>
    <n v="0"/>
    <s v="Product PWCJB"/>
    <x v="2"/>
    <x v="179"/>
    <d v="2007-03-21T00:00:00"/>
    <x v="1"/>
    <s v="Ship to 58-C"/>
    <x v="7"/>
    <s v="Supplier QWUSF"/>
    <s v="Japan"/>
    <x v="1"/>
    <n v="223.20000000000002"/>
  </r>
  <r>
    <n v="10474"/>
    <n v="28"/>
    <n v="36.4"/>
    <n v="18"/>
    <n v="0"/>
    <s v="Fakhouri, Fadi"/>
    <s v="Fakhouri Fadi"/>
    <x v="3"/>
    <n v="0"/>
    <s v="Product OFBNT"/>
    <x v="2"/>
    <x v="179"/>
    <d v="2007-03-21T00:00:00"/>
    <x v="1"/>
    <s v="Ship to 58-C"/>
    <x v="7"/>
    <s v="Supplier SVIYA"/>
    <s v="Germany"/>
    <x v="1"/>
    <n v="655.19999999999993"/>
  </r>
  <r>
    <n v="10474"/>
    <n v="40"/>
    <n v="14.7"/>
    <n v="21"/>
    <n v="0"/>
    <s v="Fakhouri, Fadi"/>
    <s v="Fakhouri Fadi"/>
    <x v="3"/>
    <n v="0"/>
    <s v="Product YZIXQ"/>
    <x v="3"/>
    <x v="179"/>
    <d v="2007-03-21T00:00:00"/>
    <x v="1"/>
    <s v="Ship to 58-C"/>
    <x v="7"/>
    <s v="Supplier JDNUG"/>
    <s v="USA"/>
    <x v="1"/>
    <n v="308.7"/>
  </r>
  <r>
    <n v="10474"/>
    <n v="75"/>
    <n v="6.2"/>
    <n v="10"/>
    <n v="0"/>
    <s v="Fakhouri, Fadi"/>
    <s v="Fakhouri Fadi"/>
    <x v="3"/>
    <n v="0"/>
    <s v="Product BWRLG"/>
    <x v="6"/>
    <x v="179"/>
    <d v="2007-03-21T00:00:00"/>
    <x v="1"/>
    <s v="Ship to 58-C"/>
    <x v="7"/>
    <s v="Supplier SVIYA"/>
    <s v="Germany"/>
    <x v="1"/>
    <n v="62"/>
  </r>
  <r>
    <n v="10475"/>
    <n v="31"/>
    <n v="10"/>
    <n v="35"/>
    <n v="0.15"/>
    <s v="Gulbis, Katrin"/>
    <s v="Gulbis Katrin"/>
    <x v="4"/>
    <n v="0"/>
    <s v="Product XWOXC"/>
    <x v="0"/>
    <x v="180"/>
    <d v="2007-04-04T00:00:00"/>
    <x v="2"/>
    <s v="Ship to 76-C"/>
    <x v="3"/>
    <s v="Supplier KEREV"/>
    <s v="Italy"/>
    <x v="1"/>
    <n v="297.5"/>
  </r>
  <r>
    <n v="10475"/>
    <n v="66"/>
    <n v="13.6"/>
    <n v="60"/>
    <n v="0.15"/>
    <s v="Gulbis, Katrin"/>
    <s v="Gulbis Katrin"/>
    <x v="4"/>
    <n v="0"/>
    <s v="Product LQMGN"/>
    <x v="4"/>
    <x v="180"/>
    <d v="2007-04-04T00:00:00"/>
    <x v="2"/>
    <s v="Ship to 76-C"/>
    <x v="3"/>
    <s v="Supplier VHQZD"/>
    <s v="USA"/>
    <x v="1"/>
    <n v="693.6"/>
  </r>
  <r>
    <n v="10475"/>
    <n v="76"/>
    <n v="14.4"/>
    <n v="42"/>
    <n v="0.15"/>
    <s v="Gulbis, Katrin"/>
    <s v="Gulbis Katrin"/>
    <x v="4"/>
    <n v="0"/>
    <s v="Product JYGFE"/>
    <x v="6"/>
    <x v="180"/>
    <d v="2007-04-04T00:00:00"/>
    <x v="2"/>
    <s v="Ship to 76-C"/>
    <x v="3"/>
    <s v="Supplier ELCRN"/>
    <s v="Finland"/>
    <x v="1"/>
    <n v="514.08000000000004"/>
  </r>
  <r>
    <n v="10476"/>
    <n v="55"/>
    <n v="19.2"/>
    <n v="2"/>
    <n v="0.05"/>
    <s v="Langohr, Kris"/>
    <s v="Langohr Kris"/>
    <x v="6"/>
    <s v="WA"/>
    <s v="Product YYWRT"/>
    <x v="7"/>
    <x v="181"/>
    <d v="2007-03-24T00:00:00"/>
    <x v="3"/>
    <s v="Destination SXYQX"/>
    <x v="5"/>
    <s v="Supplier ERVYZ"/>
    <s v="Canada"/>
    <x v="1"/>
    <n v="36.479999999999997"/>
  </r>
  <r>
    <n v="10476"/>
    <n v="70"/>
    <n v="12"/>
    <n v="12"/>
    <n v="0"/>
    <s v="Langohr, Kris"/>
    <s v="Langohr Kris"/>
    <x v="6"/>
    <s v="WA"/>
    <s v="Product TOONT"/>
    <x v="6"/>
    <x v="181"/>
    <d v="2007-03-24T00:00:00"/>
    <x v="3"/>
    <s v="Destination SXYQX"/>
    <x v="5"/>
    <s v="Supplier GQRCV"/>
    <s v="Australia"/>
    <x v="1"/>
    <n v="144"/>
  </r>
  <r>
    <n v="10477"/>
    <n v="1"/>
    <n v="14.4"/>
    <n v="15"/>
    <n v="0"/>
    <s v="Uppal, Sunil"/>
    <s v="Uppal Sunil"/>
    <x v="3"/>
    <n v="0"/>
    <s v="Product HHYDP"/>
    <x v="6"/>
    <x v="181"/>
    <d v="2007-03-25T00:00:00"/>
    <x v="1"/>
    <s v="Ship to 60-A"/>
    <x v="16"/>
    <s v="Supplier SWRXU"/>
    <s v="UK"/>
    <x v="1"/>
    <n v="216"/>
  </r>
  <r>
    <n v="10477"/>
    <n v="21"/>
    <n v="8"/>
    <n v="21"/>
    <n v="0.25"/>
    <s v="Uppal, Sunil"/>
    <s v="Uppal Sunil"/>
    <x v="3"/>
    <n v="0"/>
    <s v="Product VJZZH"/>
    <x v="5"/>
    <x v="181"/>
    <d v="2007-03-25T00:00:00"/>
    <x v="1"/>
    <s v="Ship to 60-A"/>
    <x v="16"/>
    <s v="Supplier BWGYE"/>
    <s v="UK"/>
    <x v="1"/>
    <n v="126"/>
  </r>
  <r>
    <n v="10477"/>
    <n v="39"/>
    <n v="14.4"/>
    <n v="20"/>
    <n v="0.25"/>
    <s v="Uppal, Sunil"/>
    <s v="Uppal Sunil"/>
    <x v="3"/>
    <n v="0"/>
    <s v="Product LSOFL"/>
    <x v="6"/>
    <x v="181"/>
    <d v="2007-03-25T00:00:00"/>
    <x v="1"/>
    <s v="Ship to 60-A"/>
    <x v="16"/>
    <s v="Supplier LVJUA"/>
    <s v="France"/>
    <x v="1"/>
    <n v="216"/>
  </r>
  <r>
    <n v="10478"/>
    <n v="10"/>
    <n v="24.8"/>
    <n v="20"/>
    <n v="0.05"/>
    <s v="Tuntisangaroon, Sittichai"/>
    <s v="Tuntisangaroon Sittichai"/>
    <x v="8"/>
    <s v="WA"/>
    <s v="Product YHXGE"/>
    <x v="3"/>
    <x v="182"/>
    <d v="2007-03-26T00:00:00"/>
    <x v="3"/>
    <s v="Ship to 84-C"/>
    <x v="2"/>
    <s v="Supplier QOVFD"/>
    <s v="Japan"/>
    <x v="1"/>
    <n v="471.2"/>
  </r>
  <r>
    <n v="10479"/>
    <n v="38"/>
    <n v="210.8"/>
    <n v="30"/>
    <n v="0"/>
    <s v="Moore, Michael"/>
    <s v="Moore Michael"/>
    <x v="2"/>
    <s v="WA"/>
    <s v="Product QDOMO"/>
    <x v="6"/>
    <x v="183"/>
    <d v="2007-03-21T00:00:00"/>
    <x v="3"/>
    <s v="Ship to 65-C"/>
    <x v="9"/>
    <s v="Supplier LVJUA"/>
    <s v="France"/>
    <x v="2"/>
    <n v="6324"/>
  </r>
  <r>
    <n v="10479"/>
    <n v="53"/>
    <n v="26.2"/>
    <n v="28"/>
    <n v="0"/>
    <s v="Moore, Michael"/>
    <s v="Moore Michael"/>
    <x v="2"/>
    <s v="WA"/>
    <s v="Product BKGEA"/>
    <x v="7"/>
    <x v="183"/>
    <d v="2007-03-21T00:00:00"/>
    <x v="3"/>
    <s v="Ship to 65-C"/>
    <x v="9"/>
    <s v="Supplier JNNES"/>
    <s v="Australia"/>
    <x v="2"/>
    <n v="733.6"/>
  </r>
  <r>
    <n v="10479"/>
    <n v="59"/>
    <n v="44"/>
    <n v="60"/>
    <n v="0"/>
    <s v="Moore, Michael"/>
    <s v="Moore Michael"/>
    <x v="2"/>
    <s v="WA"/>
    <s v="Product UKXRI"/>
    <x v="0"/>
    <x v="183"/>
    <d v="2007-03-21T00:00:00"/>
    <x v="3"/>
    <s v="Ship to 65-C"/>
    <x v="9"/>
    <s v="Supplier OAVQT"/>
    <s v="France"/>
    <x v="2"/>
    <n v="2640"/>
  </r>
  <r>
    <n v="10479"/>
    <n v="64"/>
    <n v="26.6"/>
    <n v="30"/>
    <n v="0"/>
    <s v="Moore, Michael"/>
    <s v="Moore Michael"/>
    <x v="2"/>
    <s v="WA"/>
    <s v="Product HCQDE"/>
    <x v="1"/>
    <x v="183"/>
    <d v="2007-03-21T00:00:00"/>
    <x v="3"/>
    <s v="Ship to 65-C"/>
    <x v="9"/>
    <s v="Supplier SVIYA"/>
    <s v="Germany"/>
    <x v="2"/>
    <n v="798"/>
  </r>
  <r>
    <n v="10480"/>
    <n v="47"/>
    <n v="7.6"/>
    <n v="30"/>
    <n v="0"/>
    <s v="Khanna, Karan"/>
    <s v="Khanna Karan"/>
    <x v="7"/>
    <n v="0"/>
    <s v="Product EZZPR"/>
    <x v="5"/>
    <x v="184"/>
    <d v="2007-03-24T00:00:00"/>
    <x v="1"/>
    <s v="Destination AGPCO"/>
    <x v="2"/>
    <s v="Supplier FNUXM"/>
    <s v="Netherlands"/>
    <x v="1"/>
    <n v="228"/>
  </r>
  <r>
    <n v="10480"/>
    <n v="59"/>
    <n v="44"/>
    <n v="12"/>
    <n v="0"/>
    <s v="Khanna, Karan"/>
    <s v="Khanna Karan"/>
    <x v="7"/>
    <n v="0"/>
    <s v="Product UKXRI"/>
    <x v="0"/>
    <x v="184"/>
    <d v="2007-03-24T00:00:00"/>
    <x v="1"/>
    <s v="Destination AGPCO"/>
    <x v="2"/>
    <s v="Supplier OAVQT"/>
    <s v="France"/>
    <x v="1"/>
    <n v="528"/>
  </r>
  <r>
    <n v="10481"/>
    <n v="49"/>
    <n v="16"/>
    <n v="24"/>
    <n v="0"/>
    <s v="Garden, Euan"/>
    <s v="Garden Euan"/>
    <x v="6"/>
    <s v="WA"/>
    <s v="Product FPYPN"/>
    <x v="5"/>
    <x v="184"/>
    <d v="2007-03-25T00:00:00"/>
    <x v="1"/>
    <s v="Ship to 67-A"/>
    <x v="1"/>
    <s v="Supplier ELCRN"/>
    <s v="Finland"/>
    <x v="1"/>
    <n v="384"/>
  </r>
  <r>
    <n v="10481"/>
    <n v="60"/>
    <n v="27.2"/>
    <n v="40"/>
    <n v="0"/>
    <s v="Garden, Euan"/>
    <s v="Garden Euan"/>
    <x v="6"/>
    <s v="WA"/>
    <s v="Product WHBYK"/>
    <x v="0"/>
    <x v="184"/>
    <d v="2007-03-25T00:00:00"/>
    <x v="1"/>
    <s v="Ship to 67-A"/>
    <x v="1"/>
    <s v="Supplier OAVQT"/>
    <s v="France"/>
    <x v="1"/>
    <n v="1088"/>
  </r>
  <r>
    <n v="10482"/>
    <n v="40"/>
    <n v="14.7"/>
    <n v="10"/>
    <n v="0"/>
    <s v="Deshpande, Anu"/>
    <s v="Deshpande Anu"/>
    <x v="5"/>
    <s v="WA"/>
    <s v="Product YZIXQ"/>
    <x v="3"/>
    <x v="185"/>
    <d v="2007-04-10T00:00:00"/>
    <x v="3"/>
    <s v="Ship to 43-B"/>
    <x v="9"/>
    <s v="Supplier JDNUG"/>
    <s v="USA"/>
    <x v="1"/>
    <n v="147"/>
  </r>
  <r>
    <n v="10483"/>
    <n v="34"/>
    <n v="11.2"/>
    <n v="35"/>
    <n v="0.05"/>
    <s v="Smith Jr., Ronaldo"/>
    <s v="Smith Jr. Ronaldo"/>
    <x v="9"/>
    <n v="0"/>
    <s v="Product SWNJY"/>
    <x v="6"/>
    <x v="186"/>
    <d v="2007-04-25T00:00:00"/>
    <x v="1"/>
    <s v="Ship to 89-A"/>
    <x v="9"/>
    <s v="Supplier UHZRG"/>
    <s v="USA"/>
    <x v="1"/>
    <n v="372.4"/>
  </r>
  <r>
    <n v="10483"/>
    <n v="77"/>
    <n v="10.4"/>
    <n v="30"/>
    <n v="0.05"/>
    <s v="Smith Jr., Ronaldo"/>
    <s v="Smith Jr. Ronaldo"/>
    <x v="9"/>
    <n v="0"/>
    <s v="Product LUNZZ"/>
    <x v="4"/>
    <x v="186"/>
    <d v="2007-04-25T00:00:00"/>
    <x v="1"/>
    <s v="Ship to 89-A"/>
    <x v="9"/>
    <s v="Supplier SVIYA"/>
    <s v="Germany"/>
    <x v="1"/>
    <n v="296.39999999999998"/>
  </r>
  <r>
    <n v="10484"/>
    <n v="21"/>
    <n v="8"/>
    <n v="14"/>
    <n v="0"/>
    <s v="Jaffe, David"/>
    <s v="Jaffe David"/>
    <x v="2"/>
    <s v="WA"/>
    <s v="Product VJZZH"/>
    <x v="5"/>
    <x v="186"/>
    <d v="2007-04-01T00:00:00"/>
    <x v="3"/>
    <s v="Destination DLEUN"/>
    <x v="14"/>
    <s v="Supplier BWGYE"/>
    <s v="UK"/>
    <x v="1"/>
    <n v="112"/>
  </r>
  <r>
    <n v="10484"/>
    <n v="40"/>
    <n v="14.7"/>
    <n v="10"/>
    <n v="0"/>
    <s v="Jaffe, David"/>
    <s v="Jaffe David"/>
    <x v="2"/>
    <s v="WA"/>
    <s v="Product YZIXQ"/>
    <x v="3"/>
    <x v="186"/>
    <d v="2007-04-01T00:00:00"/>
    <x v="3"/>
    <s v="Destination DLEUN"/>
    <x v="14"/>
    <s v="Supplier JDNUG"/>
    <s v="USA"/>
    <x v="1"/>
    <n v="147"/>
  </r>
  <r>
    <n v="10484"/>
    <n v="51"/>
    <n v="42.4"/>
    <n v="3"/>
    <n v="0"/>
    <s v="Jaffe, David"/>
    <s v="Jaffe David"/>
    <x v="2"/>
    <s v="WA"/>
    <s v="Product APITJ"/>
    <x v="2"/>
    <x v="186"/>
    <d v="2007-04-01T00:00:00"/>
    <x v="3"/>
    <s v="Destination DLEUN"/>
    <x v="14"/>
    <s v="Supplier JNNES"/>
    <s v="Australia"/>
    <x v="1"/>
    <n v="127.19999999999999"/>
  </r>
  <r>
    <n v="10485"/>
    <n v="2"/>
    <n v="15.2"/>
    <n v="20"/>
    <n v="0.1"/>
    <s v="Lupu, Cornel"/>
    <s v="Lupu Cornel"/>
    <x v="1"/>
    <s v="WA"/>
    <s v="Product RECZE"/>
    <x v="6"/>
    <x v="187"/>
    <d v="2007-03-31T00:00:00"/>
    <x v="1"/>
    <s v="Ship to 47-B"/>
    <x v="5"/>
    <s v="Supplier SWRXU"/>
    <s v="UK"/>
    <x v="1"/>
    <n v="273.60000000000002"/>
  </r>
  <r>
    <n v="10485"/>
    <n v="3"/>
    <n v="8"/>
    <n v="20"/>
    <n v="0.1"/>
    <s v="Lupu, Cornel"/>
    <s v="Lupu Cornel"/>
    <x v="1"/>
    <s v="WA"/>
    <s v="Product IMEHJ"/>
    <x v="4"/>
    <x v="187"/>
    <d v="2007-03-31T00:00:00"/>
    <x v="1"/>
    <s v="Ship to 47-B"/>
    <x v="5"/>
    <s v="Supplier SWRXU"/>
    <s v="UK"/>
    <x v="1"/>
    <n v="144"/>
  </r>
  <r>
    <n v="10485"/>
    <n v="55"/>
    <n v="19.2"/>
    <n v="30"/>
    <n v="0.1"/>
    <s v="Lupu, Cornel"/>
    <s v="Lupu Cornel"/>
    <x v="1"/>
    <s v="WA"/>
    <s v="Product YYWRT"/>
    <x v="7"/>
    <x v="187"/>
    <d v="2007-03-31T00:00:00"/>
    <x v="1"/>
    <s v="Ship to 47-B"/>
    <x v="5"/>
    <s v="Supplier ERVYZ"/>
    <s v="Canada"/>
    <x v="1"/>
    <n v="518.4"/>
  </r>
  <r>
    <n v="10485"/>
    <n v="70"/>
    <n v="12"/>
    <n v="60"/>
    <n v="0.1"/>
    <s v="Lupu, Cornel"/>
    <s v="Lupu Cornel"/>
    <x v="1"/>
    <s v="WA"/>
    <s v="Product TOONT"/>
    <x v="6"/>
    <x v="187"/>
    <d v="2007-03-31T00:00:00"/>
    <x v="1"/>
    <s v="Ship to 47-B"/>
    <x v="5"/>
    <s v="Supplier GQRCV"/>
    <s v="Australia"/>
    <x v="1"/>
    <n v="648"/>
  </r>
  <r>
    <n v="10486"/>
    <n v="11"/>
    <n v="16.8"/>
    <n v="5"/>
    <n v="0"/>
    <s v="Langohr, Kris"/>
    <s v="Langohr Kris"/>
    <x v="5"/>
    <s v="WA"/>
    <s v="Product QMVUN"/>
    <x v="0"/>
    <x v="188"/>
    <d v="2007-04-02T00:00:00"/>
    <x v="1"/>
    <s v="Destination UOUWK"/>
    <x v="5"/>
    <s v="Supplier EQPNC"/>
    <s v="Spain"/>
    <x v="1"/>
    <n v="84"/>
  </r>
  <r>
    <n v="10486"/>
    <n v="51"/>
    <n v="42.4"/>
    <n v="25"/>
    <n v="0"/>
    <s v="Langohr, Kris"/>
    <s v="Langohr Kris"/>
    <x v="5"/>
    <s v="WA"/>
    <s v="Product APITJ"/>
    <x v="2"/>
    <x v="188"/>
    <d v="2007-04-02T00:00:00"/>
    <x v="1"/>
    <s v="Destination UOUWK"/>
    <x v="5"/>
    <s v="Supplier JNNES"/>
    <s v="Australia"/>
    <x v="1"/>
    <n v="1060"/>
  </r>
  <r>
    <n v="10486"/>
    <n v="74"/>
    <n v="8"/>
    <n v="16"/>
    <n v="0"/>
    <s v="Langohr, Kris"/>
    <s v="Langohr Kris"/>
    <x v="5"/>
    <s v="WA"/>
    <s v="Product BKAZJ"/>
    <x v="2"/>
    <x v="188"/>
    <d v="2007-04-02T00:00:00"/>
    <x v="1"/>
    <s v="Destination UOUWK"/>
    <x v="5"/>
    <s v="Supplier QOVFD"/>
    <s v="Japan"/>
    <x v="1"/>
    <n v="128"/>
  </r>
  <r>
    <n v="10487"/>
    <n v="19"/>
    <n v="7.3"/>
    <n v="5"/>
    <n v="0"/>
    <s v="Misiec, Anna"/>
    <s v="Misiec Anna"/>
    <x v="8"/>
    <s v="WA"/>
    <s v="Product XKXDO"/>
    <x v="5"/>
    <x v="188"/>
    <d v="2007-03-28T00:00:00"/>
    <x v="1"/>
    <s v="Ship to 62-B"/>
    <x v="1"/>
    <s v="Supplier BWGYE"/>
    <s v="UK"/>
    <x v="1"/>
    <n v="36.5"/>
  </r>
  <r>
    <n v="10487"/>
    <n v="26"/>
    <n v="24.9"/>
    <n v="30"/>
    <n v="0"/>
    <s v="Misiec, Anna"/>
    <s v="Misiec Anna"/>
    <x v="8"/>
    <s v="WA"/>
    <s v="Product HLGZA"/>
    <x v="5"/>
    <x v="188"/>
    <d v="2007-03-28T00:00:00"/>
    <x v="1"/>
    <s v="Ship to 62-B"/>
    <x v="1"/>
    <s v="Supplier ZPYVS"/>
    <s v="Germany"/>
    <x v="1"/>
    <n v="747"/>
  </r>
  <r>
    <n v="10487"/>
    <n v="54"/>
    <n v="5.9"/>
    <n v="24"/>
    <n v="0.25"/>
    <s v="Misiec, Anna"/>
    <s v="Misiec Anna"/>
    <x v="8"/>
    <s v="WA"/>
    <s v="Product QAQRL"/>
    <x v="7"/>
    <x v="188"/>
    <d v="2007-03-28T00:00:00"/>
    <x v="1"/>
    <s v="Ship to 62-B"/>
    <x v="1"/>
    <s v="Supplier ERVYZ"/>
    <s v="Canada"/>
    <x v="1"/>
    <n v="106.20000000000002"/>
  </r>
  <r>
    <n v="10488"/>
    <n v="59"/>
    <n v="44"/>
    <n v="30"/>
    <n v="0"/>
    <s v="Carlson, Jason"/>
    <s v="Carlson Jason"/>
    <x v="6"/>
    <s v="WA"/>
    <s v="Product UKXRI"/>
    <x v="0"/>
    <x v="189"/>
    <d v="2007-04-02T00:00:00"/>
    <x v="1"/>
    <s v="Destination VAPXU"/>
    <x v="8"/>
    <s v="Supplier OAVQT"/>
    <s v="France"/>
    <x v="1"/>
    <n v="1320"/>
  </r>
  <r>
    <n v="10488"/>
    <n v="73"/>
    <n v="12"/>
    <n v="20"/>
    <n v="0.2"/>
    <s v="Carlson, Jason"/>
    <s v="Carlson Jason"/>
    <x v="6"/>
    <s v="WA"/>
    <s v="Product WEUJZ"/>
    <x v="3"/>
    <x v="189"/>
    <d v="2007-04-02T00:00:00"/>
    <x v="1"/>
    <s v="Destination VAPXU"/>
    <x v="8"/>
    <s v="Supplier QZGUF"/>
    <s v="Sweden"/>
    <x v="1"/>
    <n v="192"/>
  </r>
  <r>
    <n v="10489"/>
    <n v="11"/>
    <n v="16.8"/>
    <n v="15"/>
    <n v="0.25"/>
    <s v="Meston, Tosh"/>
    <s v="Meston Tosh"/>
    <x v="7"/>
    <n v="0"/>
    <s v="Product QMVUN"/>
    <x v="0"/>
    <x v="190"/>
    <d v="2007-04-09T00:00:00"/>
    <x v="1"/>
    <s v="Ship to 59-C"/>
    <x v="6"/>
    <s v="Supplier EQPNC"/>
    <s v="Spain"/>
    <x v="1"/>
    <n v="189"/>
  </r>
  <r>
    <n v="10489"/>
    <n v="16"/>
    <n v="13.9"/>
    <n v="18"/>
    <n v="0"/>
    <s v="Meston, Tosh"/>
    <s v="Meston Tosh"/>
    <x v="7"/>
    <n v="0"/>
    <s v="Product PAFRH"/>
    <x v="5"/>
    <x v="190"/>
    <d v="2007-04-09T00:00:00"/>
    <x v="1"/>
    <s v="Ship to 59-C"/>
    <x v="6"/>
    <s v="Supplier GQRCV"/>
    <s v="Australia"/>
    <x v="1"/>
    <n v="250.20000000000002"/>
  </r>
  <r>
    <n v="10490"/>
    <n v="59"/>
    <n v="44"/>
    <n v="60"/>
    <n v="0"/>
    <s v="Langohr, Kris"/>
    <s v="Langohr Kris"/>
    <x v="9"/>
    <n v="0"/>
    <s v="Product UKXRI"/>
    <x v="0"/>
    <x v="191"/>
    <d v="2007-04-03T00:00:00"/>
    <x v="1"/>
    <s v="Destination JYDLM"/>
    <x v="5"/>
    <s v="Supplier OAVQT"/>
    <s v="France"/>
    <x v="2"/>
    <n v="2640"/>
  </r>
  <r>
    <n v="10490"/>
    <n v="68"/>
    <n v="10"/>
    <n v="30"/>
    <n v="0"/>
    <s v="Langohr, Kris"/>
    <s v="Langohr Kris"/>
    <x v="9"/>
    <n v="0"/>
    <s v="Product TBTBL"/>
    <x v="5"/>
    <x v="191"/>
    <d v="2007-04-03T00:00:00"/>
    <x v="1"/>
    <s v="Destination JYDLM"/>
    <x v="5"/>
    <s v="Supplier BWGYE"/>
    <s v="UK"/>
    <x v="2"/>
    <n v="300"/>
  </r>
  <r>
    <n v="10490"/>
    <n v="75"/>
    <n v="6.2"/>
    <n v="36"/>
    <n v="0"/>
    <s v="Langohr, Kris"/>
    <s v="Langohr Kris"/>
    <x v="9"/>
    <n v="0"/>
    <s v="Product BWRLG"/>
    <x v="6"/>
    <x v="191"/>
    <d v="2007-04-03T00:00:00"/>
    <x v="1"/>
    <s v="Destination JYDLM"/>
    <x v="5"/>
    <s v="Supplier SVIYA"/>
    <s v="Germany"/>
    <x v="2"/>
    <n v="223.20000000000002"/>
  </r>
  <r>
    <n v="10491"/>
    <n v="44"/>
    <n v="15.5"/>
    <n v="15"/>
    <n v="0.15"/>
    <s v="Cavaglieri, Giorgio"/>
    <s v="Cavaglieri Giorgio"/>
    <x v="6"/>
    <s v="WA"/>
    <s v="Product VJIEO"/>
    <x v="4"/>
    <x v="191"/>
    <d v="2007-04-08T00:00:00"/>
    <x v="3"/>
    <s v="Destination OTSWR"/>
    <x v="16"/>
    <s v="Supplier CIYNM"/>
    <s v="Singapore"/>
    <x v="1"/>
    <n v="197.625"/>
  </r>
  <r>
    <n v="10491"/>
    <n v="77"/>
    <n v="10.4"/>
    <n v="7"/>
    <n v="0.15"/>
    <s v="Cavaglieri, Giorgio"/>
    <s v="Cavaglieri Giorgio"/>
    <x v="6"/>
    <s v="WA"/>
    <s v="Product LUNZZ"/>
    <x v="4"/>
    <x v="191"/>
    <d v="2007-04-08T00:00:00"/>
    <x v="3"/>
    <s v="Destination OTSWR"/>
    <x v="16"/>
    <s v="Supplier SVIYA"/>
    <s v="Germany"/>
    <x v="1"/>
    <n v="61.879999999999995"/>
  </r>
  <r>
    <n v="10492"/>
    <n v="25"/>
    <n v="11.2"/>
    <n v="60"/>
    <n v="0.05"/>
    <s v="Bassols, Pilar Colome"/>
    <s v="Bassols Pilar Colome"/>
    <x v="2"/>
    <s v="WA"/>
    <s v="Product LYLNI"/>
    <x v="5"/>
    <x v="192"/>
    <d v="2007-04-11T00:00:00"/>
    <x v="2"/>
    <s v="Destination XJIBQ"/>
    <x v="17"/>
    <s v="Supplier ZPYVS"/>
    <s v="Germany"/>
    <x v="1"/>
    <n v="638.4"/>
  </r>
  <r>
    <n v="10492"/>
    <n v="42"/>
    <n v="11.2"/>
    <n v="20"/>
    <n v="0.05"/>
    <s v="Bassols, Pilar Colome"/>
    <s v="Bassols Pilar Colome"/>
    <x v="2"/>
    <s v="WA"/>
    <s v="Product RJVNM"/>
    <x v="1"/>
    <x v="192"/>
    <d v="2007-04-11T00:00:00"/>
    <x v="2"/>
    <s v="Destination XJIBQ"/>
    <x v="17"/>
    <s v="Supplier CIYNM"/>
    <s v="Singapore"/>
    <x v="1"/>
    <n v="212.79999999999998"/>
  </r>
  <r>
    <n v="10493"/>
    <n v="65"/>
    <n v="16.8"/>
    <n v="15"/>
    <n v="0.1"/>
    <s v="Litton, Tim"/>
    <s v="Litton Tim"/>
    <x v="1"/>
    <s v="WA"/>
    <s v="Product XYWBZ"/>
    <x v="4"/>
    <x v="193"/>
    <d v="2007-04-10T00:00:00"/>
    <x v="3"/>
    <s v="Destination OLJND"/>
    <x v="2"/>
    <s v="Supplier VHQZD"/>
    <s v="USA"/>
    <x v="1"/>
    <n v="226.8"/>
  </r>
  <r>
    <n v="10493"/>
    <n v="66"/>
    <n v="13.6"/>
    <n v="10"/>
    <n v="0.1"/>
    <s v="Litton, Tim"/>
    <s v="Litton Tim"/>
    <x v="1"/>
    <s v="WA"/>
    <s v="Product LQMGN"/>
    <x v="4"/>
    <x v="193"/>
    <d v="2007-04-10T00:00:00"/>
    <x v="3"/>
    <s v="Destination OLJND"/>
    <x v="2"/>
    <s v="Supplier VHQZD"/>
    <s v="USA"/>
    <x v="1"/>
    <n v="122.4"/>
  </r>
  <r>
    <n v="10493"/>
    <n v="69"/>
    <n v="28.8"/>
    <n v="10"/>
    <n v="0.1"/>
    <s v="Litton, Tim"/>
    <s v="Litton Tim"/>
    <x v="1"/>
    <s v="WA"/>
    <s v="Product COAXA"/>
    <x v="0"/>
    <x v="193"/>
    <d v="2007-04-10T00:00:00"/>
    <x v="3"/>
    <s v="Destination OLJND"/>
    <x v="2"/>
    <s v="Supplier NZLIF"/>
    <s v="Norway"/>
    <x v="1"/>
    <n v="259.2"/>
  </r>
  <r>
    <n v="10494"/>
    <n v="56"/>
    <n v="30.4"/>
    <n v="30"/>
    <n v="0"/>
    <s v="Richardson, Shawn"/>
    <s v="Richardson Shawn"/>
    <x v="1"/>
    <s v="WA"/>
    <s v="Product VKCMF"/>
    <x v="1"/>
    <x v="193"/>
    <d v="2007-04-09T00:00:00"/>
    <x v="1"/>
    <s v="Destination EVHYA"/>
    <x v="1"/>
    <s v="Supplier ZWZDM"/>
    <s v="Italy"/>
    <x v="1"/>
    <n v="912"/>
  </r>
  <r>
    <n v="10495"/>
    <n v="23"/>
    <n v="7.2"/>
    <n v="10"/>
    <n v="0"/>
    <s v="Steiner, Dominik"/>
    <s v="Steiner Dominik"/>
    <x v="2"/>
    <s v="WA"/>
    <s v="Product JLUDZ"/>
    <x v="1"/>
    <x v="194"/>
    <d v="2007-04-11T00:00:00"/>
    <x v="3"/>
    <s v="Ship to 42-C"/>
    <x v="17"/>
    <s v="Supplier QQYEU"/>
    <s v="Sweden"/>
    <x v="1"/>
    <n v="72"/>
  </r>
  <r>
    <n v="10495"/>
    <n v="41"/>
    <n v="7.7"/>
    <n v="20"/>
    <n v="0"/>
    <s v="Steiner, Dominik"/>
    <s v="Steiner Dominik"/>
    <x v="2"/>
    <s v="WA"/>
    <s v="Product TTEEX"/>
    <x v="3"/>
    <x v="194"/>
    <d v="2007-04-11T00:00:00"/>
    <x v="3"/>
    <s v="Ship to 42-C"/>
    <x v="17"/>
    <s v="Supplier JDNUG"/>
    <s v="USA"/>
    <x v="1"/>
    <n v="154"/>
  </r>
  <r>
    <n v="10495"/>
    <n v="77"/>
    <n v="10.4"/>
    <n v="5"/>
    <n v="0"/>
    <s v="Steiner, Dominik"/>
    <s v="Steiner Dominik"/>
    <x v="2"/>
    <s v="WA"/>
    <s v="Product LUNZZ"/>
    <x v="4"/>
    <x v="194"/>
    <d v="2007-04-11T00:00:00"/>
    <x v="3"/>
    <s v="Ship to 42-C"/>
    <x v="17"/>
    <s v="Supplier SVIYA"/>
    <s v="Germany"/>
    <x v="1"/>
    <n v="52"/>
  </r>
  <r>
    <n v="10496"/>
    <n v="31"/>
    <n v="10"/>
    <n v="20"/>
    <n v="0.05"/>
    <s v="Nagel, Jean-Philippe"/>
    <s v="Nagel Jean-Philippe"/>
    <x v="9"/>
    <n v="0"/>
    <s v="Product XWOXC"/>
    <x v="0"/>
    <x v="195"/>
    <d v="2007-04-07T00:00:00"/>
    <x v="1"/>
    <s v="Ship to 81-C"/>
    <x v="1"/>
    <s v="Supplier KEREV"/>
    <s v="Italy"/>
    <x v="1"/>
    <n v="190"/>
  </r>
  <r>
    <n v="10497"/>
    <n v="56"/>
    <n v="30.4"/>
    <n v="14"/>
    <n v="0"/>
    <s v="Louverdis, George"/>
    <s v="Louverdis George"/>
    <x v="9"/>
    <n v="0"/>
    <s v="Product VKCMF"/>
    <x v="1"/>
    <x v="195"/>
    <d v="2007-04-07T00:00:00"/>
    <x v="2"/>
    <s v="Ship to 44-A"/>
    <x v="8"/>
    <s v="Supplier ZWZDM"/>
    <s v="Italy"/>
    <x v="1"/>
    <n v="425.59999999999997"/>
  </r>
  <r>
    <n v="10497"/>
    <n v="72"/>
    <n v="27.8"/>
    <n v="25"/>
    <n v="0"/>
    <s v="Louverdis, George"/>
    <s v="Louverdis George"/>
    <x v="9"/>
    <n v="0"/>
    <s v="Product GEEOO"/>
    <x v="0"/>
    <x v="195"/>
    <d v="2007-04-07T00:00:00"/>
    <x v="2"/>
    <s v="Ship to 44-A"/>
    <x v="8"/>
    <s v="Supplier KEREV"/>
    <s v="Italy"/>
    <x v="1"/>
    <n v="695"/>
  </r>
  <r>
    <n v="10497"/>
    <n v="77"/>
    <n v="10.4"/>
    <n v="25"/>
    <n v="0"/>
    <s v="Louverdis, George"/>
    <s v="Louverdis George"/>
    <x v="9"/>
    <n v="0"/>
    <s v="Product LUNZZ"/>
    <x v="4"/>
    <x v="195"/>
    <d v="2007-04-07T00:00:00"/>
    <x v="2"/>
    <s v="Ship to 44-A"/>
    <x v="8"/>
    <s v="Supplier SVIYA"/>
    <s v="Germany"/>
    <x v="1"/>
    <n v="260"/>
  </r>
  <r>
    <n v="10498"/>
    <n v="24"/>
    <n v="4.5"/>
    <n v="14"/>
    <n v="0"/>
    <s v="Langohr, Kris"/>
    <s v="Langohr Kris"/>
    <x v="6"/>
    <s v="WA"/>
    <s v="Product QOGNU"/>
    <x v="6"/>
    <x v="196"/>
    <d v="2007-04-11T00:00:00"/>
    <x v="1"/>
    <s v="Destination SXYQX"/>
    <x v="5"/>
    <s v="Supplier UNAHG"/>
    <s v="Brazil"/>
    <x v="1"/>
    <n v="63"/>
  </r>
  <r>
    <n v="10498"/>
    <n v="40"/>
    <n v="18.399999999999999"/>
    <n v="5"/>
    <n v="0"/>
    <s v="Langohr, Kris"/>
    <s v="Langohr Kris"/>
    <x v="6"/>
    <s v="WA"/>
    <s v="Product YZIXQ"/>
    <x v="3"/>
    <x v="196"/>
    <d v="2007-04-11T00:00:00"/>
    <x v="1"/>
    <s v="Destination SXYQX"/>
    <x v="5"/>
    <s v="Supplier JDNUG"/>
    <s v="USA"/>
    <x v="1"/>
    <n v="92"/>
  </r>
  <r>
    <n v="10498"/>
    <n v="42"/>
    <n v="14"/>
    <n v="30"/>
    <n v="0"/>
    <s v="Langohr, Kris"/>
    <s v="Langohr Kris"/>
    <x v="6"/>
    <s v="WA"/>
    <s v="Product RJVNM"/>
    <x v="1"/>
    <x v="196"/>
    <d v="2007-04-11T00:00:00"/>
    <x v="1"/>
    <s v="Destination SXYQX"/>
    <x v="5"/>
    <s v="Supplier CIYNM"/>
    <s v="Singapore"/>
    <x v="1"/>
    <n v="420"/>
  </r>
  <r>
    <n v="10499"/>
    <n v="28"/>
    <n v="45.6"/>
    <n v="20"/>
    <n v="0"/>
    <s v="Dressler, Marlies"/>
    <s v="Dressler Marlies"/>
    <x v="1"/>
    <s v="WA"/>
    <s v="Product OFBNT"/>
    <x v="2"/>
    <x v="197"/>
    <d v="2007-04-16T00:00:00"/>
    <x v="1"/>
    <s v="Ship to 46-C"/>
    <x v="5"/>
    <s v="Supplier SVIYA"/>
    <s v="Germany"/>
    <x v="2"/>
    <n v="912"/>
  </r>
  <r>
    <n v="10499"/>
    <n v="49"/>
    <n v="20"/>
    <n v="25"/>
    <n v="0"/>
    <s v="Dressler, Marlies"/>
    <s v="Dressler Marlies"/>
    <x v="1"/>
    <s v="WA"/>
    <s v="Product FPYPN"/>
    <x v="5"/>
    <x v="197"/>
    <d v="2007-04-16T00:00:00"/>
    <x v="1"/>
    <s v="Ship to 46-C"/>
    <x v="5"/>
    <s v="Supplier ELCRN"/>
    <s v="Finland"/>
    <x v="2"/>
    <n v="500"/>
  </r>
  <r>
    <n v="10500"/>
    <n v="15"/>
    <n v="15.5"/>
    <n v="12"/>
    <n v="0.05"/>
    <s v="Litton, Tim"/>
    <s v="Litton Tim"/>
    <x v="7"/>
    <n v="0"/>
    <s v="Product KSZOI"/>
    <x v="4"/>
    <x v="198"/>
    <d v="2007-04-17T00:00:00"/>
    <x v="2"/>
    <s v="Destination OLJND"/>
    <x v="2"/>
    <s v="Supplier QWUSF"/>
    <s v="Japan"/>
    <x v="1"/>
    <n v="176.7"/>
  </r>
  <r>
    <n v="10500"/>
    <n v="28"/>
    <n v="45.6"/>
    <n v="8"/>
    <n v="0.05"/>
    <s v="Litton, Tim"/>
    <s v="Litton Tim"/>
    <x v="7"/>
    <n v="0"/>
    <s v="Product OFBNT"/>
    <x v="2"/>
    <x v="198"/>
    <d v="2007-04-17T00:00:00"/>
    <x v="2"/>
    <s v="Destination OLJND"/>
    <x v="2"/>
    <s v="Supplier SVIYA"/>
    <s v="Germany"/>
    <x v="1"/>
    <n v="346.56"/>
  </r>
  <r>
    <n v="10501"/>
    <n v="54"/>
    <n v="7.45"/>
    <n v="20"/>
    <n v="0"/>
    <s v="Poland, Carole"/>
    <s v="Poland Carole"/>
    <x v="4"/>
    <n v="0"/>
    <s v="Product QAQRL"/>
    <x v="7"/>
    <x v="198"/>
    <d v="2007-04-16T00:00:00"/>
    <x v="3"/>
    <s v="Ship to 6-C"/>
    <x v="8"/>
    <s v="Supplier ERVYZ"/>
    <s v="Canada"/>
    <x v="1"/>
    <n v="149"/>
  </r>
  <r>
    <n v="10502"/>
    <n v="45"/>
    <n v="9.5"/>
    <n v="21"/>
    <n v="0"/>
    <s v="Fakhouri, Fadi"/>
    <s v="Fakhouri Fadi"/>
    <x v="8"/>
    <s v="WA"/>
    <s v="Product AQOKR"/>
    <x v="3"/>
    <x v="199"/>
    <d v="2007-04-29T00:00:00"/>
    <x v="2"/>
    <s v="Ship to 58-B"/>
    <x v="7"/>
    <s v="Supplier XOXZA"/>
    <s v="Denmark"/>
    <x v="1"/>
    <n v="199.5"/>
  </r>
  <r>
    <n v="10502"/>
    <n v="53"/>
    <n v="32.799999999999997"/>
    <n v="6"/>
    <n v="0"/>
    <s v="Fakhouri, Fadi"/>
    <s v="Fakhouri Fadi"/>
    <x v="8"/>
    <s v="WA"/>
    <s v="Product BKGEA"/>
    <x v="7"/>
    <x v="199"/>
    <d v="2007-04-29T00:00:00"/>
    <x v="2"/>
    <s v="Ship to 58-B"/>
    <x v="7"/>
    <s v="Supplier JNNES"/>
    <s v="Australia"/>
    <x v="1"/>
    <n v="196.79999999999998"/>
  </r>
  <r>
    <n v="10502"/>
    <n v="67"/>
    <n v="14"/>
    <n v="30"/>
    <n v="0"/>
    <s v="Fakhouri, Fadi"/>
    <s v="Fakhouri Fadi"/>
    <x v="8"/>
    <s v="WA"/>
    <s v="Product XLXQF"/>
    <x v="6"/>
    <x v="199"/>
    <d v="2007-04-29T00:00:00"/>
    <x v="2"/>
    <s v="Ship to 58-B"/>
    <x v="7"/>
    <s v="Supplier UHZRG"/>
    <s v="USA"/>
    <x v="1"/>
    <n v="420"/>
  </r>
  <r>
    <n v="10503"/>
    <n v="14"/>
    <n v="23.25"/>
    <n v="70"/>
    <n v="0"/>
    <s v="Crăciun, Ovidiu V."/>
    <s v="Crăciun Ovidiu V."/>
    <x v="7"/>
    <n v="0"/>
    <s v="Product PWCJB"/>
    <x v="2"/>
    <x v="200"/>
    <d v="2007-04-16T00:00:00"/>
    <x v="1"/>
    <s v="Destination ATSOA"/>
    <x v="15"/>
    <s v="Supplier QWUSF"/>
    <s v="Japan"/>
    <x v="1"/>
    <n v="1627.5"/>
  </r>
  <r>
    <n v="10503"/>
    <n v="65"/>
    <n v="21.05"/>
    <n v="20"/>
    <n v="0"/>
    <s v="Crăciun, Ovidiu V."/>
    <s v="Crăciun Ovidiu V."/>
    <x v="7"/>
    <n v="0"/>
    <s v="Product XYWBZ"/>
    <x v="4"/>
    <x v="200"/>
    <d v="2007-04-16T00:00:00"/>
    <x v="1"/>
    <s v="Destination ATSOA"/>
    <x v="15"/>
    <s v="Supplier VHQZD"/>
    <s v="USA"/>
    <x v="1"/>
    <n v="421"/>
  </r>
  <r>
    <n v="10504"/>
    <n v="2"/>
    <n v="19"/>
    <n v="12"/>
    <n v="0"/>
    <s v="Smith Jr., Ronaldo"/>
    <s v="Smith Jr. Ronaldo"/>
    <x v="1"/>
    <s v="WA"/>
    <s v="Product RECZE"/>
    <x v="6"/>
    <x v="200"/>
    <d v="2007-04-18T00:00:00"/>
    <x v="3"/>
    <s v="Ship to 89-B"/>
    <x v="9"/>
    <s v="Supplier SWRXU"/>
    <s v="UK"/>
    <x v="1"/>
    <n v="228"/>
  </r>
  <r>
    <n v="10504"/>
    <n v="21"/>
    <n v="10"/>
    <n v="12"/>
    <n v="0"/>
    <s v="Smith Jr., Ronaldo"/>
    <s v="Smith Jr. Ronaldo"/>
    <x v="1"/>
    <s v="WA"/>
    <s v="Product VJZZH"/>
    <x v="5"/>
    <x v="200"/>
    <d v="2007-04-18T00:00:00"/>
    <x v="3"/>
    <s v="Ship to 89-B"/>
    <x v="9"/>
    <s v="Supplier BWGYE"/>
    <s v="UK"/>
    <x v="1"/>
    <n v="120"/>
  </r>
  <r>
    <n v="10504"/>
    <n v="53"/>
    <n v="32.799999999999997"/>
    <n v="10"/>
    <n v="0"/>
    <s v="Smith Jr., Ronaldo"/>
    <s v="Smith Jr. Ronaldo"/>
    <x v="1"/>
    <s v="WA"/>
    <s v="Product BKGEA"/>
    <x v="7"/>
    <x v="200"/>
    <d v="2007-04-18T00:00:00"/>
    <x v="3"/>
    <s v="Ship to 89-B"/>
    <x v="9"/>
    <s v="Supplier JNNES"/>
    <s v="Australia"/>
    <x v="1"/>
    <n v="328"/>
  </r>
  <r>
    <n v="10504"/>
    <n v="61"/>
    <n v="28.5"/>
    <n v="25"/>
    <n v="0"/>
    <s v="Smith Jr., Ronaldo"/>
    <s v="Smith Jr. Ronaldo"/>
    <x v="1"/>
    <s v="WA"/>
    <s v="Product XYZPE"/>
    <x v="4"/>
    <x v="200"/>
    <d v="2007-04-18T00:00:00"/>
    <x v="3"/>
    <s v="Ship to 89-B"/>
    <x v="9"/>
    <s v="Supplier OGLRK"/>
    <s v="Canada"/>
    <x v="1"/>
    <n v="712.5"/>
  </r>
  <r>
    <n v="10505"/>
    <n v="62"/>
    <n v="49.3"/>
    <n v="3"/>
    <n v="0"/>
    <s v="Taylor, Maurice"/>
    <s v="Taylor Maurice"/>
    <x v="2"/>
    <s v="WA"/>
    <s v="Product WUXYK"/>
    <x v="5"/>
    <x v="201"/>
    <d v="2007-04-21T00:00:00"/>
    <x v="3"/>
    <s v="Ship to 51-B"/>
    <x v="17"/>
    <s v="Supplier OGLRK"/>
    <s v="Canada"/>
    <x v="1"/>
    <n v="147.89999999999998"/>
  </r>
  <r>
    <n v="10506"/>
    <n v="25"/>
    <n v="14"/>
    <n v="18"/>
    <n v="0.1"/>
    <s v="Song, Lolan"/>
    <s v="Song Lolan"/>
    <x v="4"/>
    <n v="0"/>
    <s v="Product LYLNI"/>
    <x v="5"/>
    <x v="202"/>
    <d v="2007-05-02T00:00:00"/>
    <x v="1"/>
    <s v="Destination DKMQA"/>
    <x v="8"/>
    <s v="Supplier ZPYVS"/>
    <s v="Germany"/>
    <x v="1"/>
    <n v="226.8"/>
  </r>
  <r>
    <n v="10506"/>
    <n v="70"/>
    <n v="15"/>
    <n v="14"/>
    <n v="0.1"/>
    <s v="Song, Lolan"/>
    <s v="Song Lolan"/>
    <x v="4"/>
    <n v="0"/>
    <s v="Product TOONT"/>
    <x v="6"/>
    <x v="202"/>
    <d v="2007-05-02T00:00:00"/>
    <x v="1"/>
    <s v="Destination DKMQA"/>
    <x v="8"/>
    <s v="Supplier GQRCV"/>
    <s v="Australia"/>
    <x v="1"/>
    <n v="189"/>
  </r>
  <r>
    <n v="10507"/>
    <n v="43"/>
    <n v="46"/>
    <n v="15"/>
    <n v="0.15"/>
    <s v="Peoples, John"/>
    <s v="Peoples John"/>
    <x v="9"/>
    <n v="0"/>
    <s v="Product ZZZHR"/>
    <x v="6"/>
    <x v="202"/>
    <d v="2007-04-22T00:00:00"/>
    <x v="2"/>
    <s v="Destination FQFLS"/>
    <x v="7"/>
    <s v="Supplier CIYNM"/>
    <s v="Singapore"/>
    <x v="1"/>
    <n v="586.5"/>
  </r>
  <r>
    <n v="10507"/>
    <n v="48"/>
    <n v="12.75"/>
    <n v="15"/>
    <n v="0.15"/>
    <s v="Peoples, John"/>
    <s v="Peoples John"/>
    <x v="9"/>
    <n v="0"/>
    <s v="Product MYNXN"/>
    <x v="5"/>
    <x v="202"/>
    <d v="2007-04-22T00:00:00"/>
    <x v="2"/>
    <s v="Destination FQFLS"/>
    <x v="7"/>
    <s v="Supplier FNUXM"/>
    <s v="Netherlands"/>
    <x v="1"/>
    <n v="162.5625"/>
  </r>
  <r>
    <n v="10508"/>
    <n v="13"/>
    <n v="6"/>
    <n v="10"/>
    <n v="0"/>
    <s v="Marinova, Nadejda"/>
    <s v="Marinova Nadejda"/>
    <x v="5"/>
    <s v="WA"/>
    <s v="Product POXFU"/>
    <x v="3"/>
    <x v="203"/>
    <d v="2007-05-13T00:00:00"/>
    <x v="1"/>
    <s v="Ship to 56-C"/>
    <x v="8"/>
    <s v="Supplier QWUSF"/>
    <s v="Japan"/>
    <x v="1"/>
    <n v="60"/>
  </r>
  <r>
    <n v="10508"/>
    <n v="39"/>
    <n v="18"/>
    <n v="10"/>
    <n v="0"/>
    <s v="Marinova, Nadejda"/>
    <s v="Marinova Nadejda"/>
    <x v="5"/>
    <s v="WA"/>
    <s v="Product LSOFL"/>
    <x v="6"/>
    <x v="203"/>
    <d v="2007-05-13T00:00:00"/>
    <x v="1"/>
    <s v="Ship to 56-C"/>
    <x v="8"/>
    <s v="Supplier LVJUA"/>
    <s v="France"/>
    <x v="1"/>
    <n v="180"/>
  </r>
  <r>
    <n v="10509"/>
    <n v="28"/>
    <n v="45.6"/>
    <n v="3"/>
    <n v="0"/>
    <s v="Poland, Carole"/>
    <s v="Poland Carole"/>
    <x v="1"/>
    <s v="WA"/>
    <s v="Product OFBNT"/>
    <x v="2"/>
    <x v="204"/>
    <d v="2007-04-29T00:00:00"/>
    <x v="2"/>
    <s v="Ship to 6-A"/>
    <x v="8"/>
    <s v="Supplier SVIYA"/>
    <s v="Germany"/>
    <x v="1"/>
    <n v="136.80000000000001"/>
  </r>
  <r>
    <n v="10510"/>
    <n v="29"/>
    <n v="123.79"/>
    <n v="36"/>
    <n v="0"/>
    <s v="Navarro, Tomás"/>
    <s v="Navarro Tomás"/>
    <x v="7"/>
    <n v="0"/>
    <s v="Product VJXYN"/>
    <x v="7"/>
    <x v="205"/>
    <d v="2007-04-28T00:00:00"/>
    <x v="3"/>
    <s v="Ship to 71-A"/>
    <x v="9"/>
    <s v="Supplier SVIYA"/>
    <s v="Germany"/>
    <x v="2"/>
    <n v="4456.4400000000005"/>
  </r>
  <r>
    <n v="10510"/>
    <n v="75"/>
    <n v="7.75"/>
    <n v="36"/>
    <n v="0.1"/>
    <s v="Navarro, Tomás"/>
    <s v="Navarro Tomás"/>
    <x v="7"/>
    <n v="0"/>
    <s v="Product BWRLG"/>
    <x v="6"/>
    <x v="205"/>
    <d v="2007-04-28T00:00:00"/>
    <x v="3"/>
    <s v="Ship to 71-A"/>
    <x v="9"/>
    <s v="Supplier SVIYA"/>
    <s v="Germany"/>
    <x v="2"/>
    <n v="251.1"/>
  </r>
  <r>
    <n v="10511"/>
    <n v="4"/>
    <n v="22"/>
    <n v="50"/>
    <n v="0.15"/>
    <s v="Raghav, Amritansh"/>
    <s v="Raghav Amritansh"/>
    <x v="1"/>
    <s v="WA"/>
    <s v="Product KSBRM"/>
    <x v="4"/>
    <x v="205"/>
    <d v="2007-04-21T00:00:00"/>
    <x v="3"/>
    <s v="Ship to 9-B"/>
    <x v="2"/>
    <s v="Supplier VHQZD"/>
    <s v="USA"/>
    <x v="2"/>
    <n v="935"/>
  </r>
  <r>
    <n v="10511"/>
    <n v="7"/>
    <n v="30"/>
    <n v="50"/>
    <n v="0.15"/>
    <s v="Raghav, Amritansh"/>
    <s v="Raghav Amritansh"/>
    <x v="1"/>
    <s v="WA"/>
    <s v="Product HMLNI"/>
    <x v="2"/>
    <x v="205"/>
    <d v="2007-04-21T00:00:00"/>
    <x v="3"/>
    <s v="Ship to 9-B"/>
    <x v="2"/>
    <s v="Supplier STUAZ"/>
    <s v="USA"/>
    <x v="2"/>
    <n v="1275"/>
  </r>
  <r>
    <n v="10511"/>
    <n v="8"/>
    <n v="40"/>
    <n v="10"/>
    <n v="0.15"/>
    <s v="Raghav, Amritansh"/>
    <s v="Raghav Amritansh"/>
    <x v="1"/>
    <s v="WA"/>
    <s v="Product WVJFP"/>
    <x v="4"/>
    <x v="205"/>
    <d v="2007-04-21T00:00:00"/>
    <x v="3"/>
    <s v="Ship to 9-B"/>
    <x v="2"/>
    <s v="Supplier STUAZ"/>
    <s v="USA"/>
    <x v="2"/>
    <n v="340"/>
  </r>
  <r>
    <n v="10512"/>
    <n v="24"/>
    <n v="4.5"/>
    <n v="10"/>
    <n v="0.15"/>
    <s v="Russo, Giuseppe"/>
    <s v="Russo Giuseppe"/>
    <x v="9"/>
    <n v="0"/>
    <s v="Product QOGNU"/>
    <x v="6"/>
    <x v="206"/>
    <d v="2007-04-24T00:00:00"/>
    <x v="1"/>
    <s v="Destination RNSMS"/>
    <x v="1"/>
    <s v="Supplier UNAHG"/>
    <s v="Brazil"/>
    <x v="1"/>
    <n v="38.25"/>
  </r>
  <r>
    <n v="10512"/>
    <n v="46"/>
    <n v="12"/>
    <n v="9"/>
    <n v="0.15"/>
    <s v="Russo, Giuseppe"/>
    <s v="Russo Giuseppe"/>
    <x v="9"/>
    <n v="0"/>
    <s v="Product CBRRL"/>
    <x v="3"/>
    <x v="206"/>
    <d v="2007-04-24T00:00:00"/>
    <x v="1"/>
    <s v="Destination RNSMS"/>
    <x v="1"/>
    <s v="Supplier XOXZA"/>
    <s v="Denmark"/>
    <x v="1"/>
    <n v="91.8"/>
  </r>
  <r>
    <n v="10512"/>
    <n v="47"/>
    <n v="9.5"/>
    <n v="6"/>
    <n v="0.15"/>
    <s v="Russo, Giuseppe"/>
    <s v="Russo Giuseppe"/>
    <x v="9"/>
    <n v="0"/>
    <s v="Product EZZPR"/>
    <x v="5"/>
    <x v="206"/>
    <d v="2007-04-24T00:00:00"/>
    <x v="1"/>
    <s v="Destination RNSMS"/>
    <x v="1"/>
    <s v="Supplier FNUXM"/>
    <s v="Netherlands"/>
    <x v="1"/>
    <n v="48.449999999999996"/>
  </r>
  <r>
    <n v="10512"/>
    <n v="60"/>
    <n v="34"/>
    <n v="12"/>
    <n v="0.15"/>
    <s v="Russo, Giuseppe"/>
    <s v="Russo Giuseppe"/>
    <x v="9"/>
    <n v="0"/>
    <s v="Product WHBYK"/>
    <x v="0"/>
    <x v="206"/>
    <d v="2007-04-24T00:00:00"/>
    <x v="1"/>
    <s v="Destination RNSMS"/>
    <x v="1"/>
    <s v="Supplier OAVQT"/>
    <s v="France"/>
    <x v="1"/>
    <n v="346.8"/>
  </r>
  <r>
    <n v="10513"/>
    <n v="21"/>
    <n v="10"/>
    <n v="40"/>
    <n v="0.2"/>
    <s v="Syamala, Manoj"/>
    <s v="Syamala Manoj"/>
    <x v="9"/>
    <n v="0"/>
    <s v="Product VJZZH"/>
    <x v="5"/>
    <x v="207"/>
    <d v="2007-04-28T00:00:00"/>
    <x v="2"/>
    <s v="Ship to 86-A"/>
    <x v="8"/>
    <s v="Supplier BWGYE"/>
    <s v="UK"/>
    <x v="2"/>
    <n v="320"/>
  </r>
  <r>
    <n v="10513"/>
    <n v="32"/>
    <n v="32"/>
    <n v="50"/>
    <n v="0.2"/>
    <s v="Syamala, Manoj"/>
    <s v="Syamala Manoj"/>
    <x v="9"/>
    <n v="0"/>
    <s v="Product NUNAW"/>
    <x v="0"/>
    <x v="207"/>
    <d v="2007-04-28T00:00:00"/>
    <x v="2"/>
    <s v="Ship to 86-A"/>
    <x v="8"/>
    <s v="Supplier KEREV"/>
    <s v="Italy"/>
    <x v="2"/>
    <n v="1280"/>
  </r>
  <r>
    <n v="10513"/>
    <n v="61"/>
    <n v="28.5"/>
    <n v="15"/>
    <n v="0.2"/>
    <s v="Syamala, Manoj"/>
    <s v="Syamala Manoj"/>
    <x v="9"/>
    <n v="0"/>
    <s v="Product XYZPE"/>
    <x v="4"/>
    <x v="207"/>
    <d v="2007-04-28T00:00:00"/>
    <x v="2"/>
    <s v="Ship to 86-A"/>
    <x v="8"/>
    <s v="Supplier OGLRK"/>
    <s v="Canada"/>
    <x v="2"/>
    <n v="342"/>
  </r>
  <r>
    <n v="10514"/>
    <n v="20"/>
    <n v="81"/>
    <n v="39"/>
    <n v="0"/>
    <s v="Kane, John"/>
    <s v="Kane John"/>
    <x v="2"/>
    <s v="WA"/>
    <s v="Product QHFFP"/>
    <x v="5"/>
    <x v="207"/>
    <d v="2007-05-16T00:00:00"/>
    <x v="1"/>
    <s v="Destination CUVPF"/>
    <x v="6"/>
    <s v="Supplier BWGYE"/>
    <s v="UK"/>
    <x v="2"/>
    <n v="3159"/>
  </r>
  <r>
    <n v="10514"/>
    <n v="28"/>
    <n v="45.6"/>
    <n v="35"/>
    <n v="0"/>
    <s v="Kane, John"/>
    <s v="Kane John"/>
    <x v="2"/>
    <s v="WA"/>
    <s v="Product OFBNT"/>
    <x v="2"/>
    <x v="207"/>
    <d v="2007-05-16T00:00:00"/>
    <x v="1"/>
    <s v="Destination CUVPF"/>
    <x v="6"/>
    <s v="Supplier SVIYA"/>
    <s v="Germany"/>
    <x v="2"/>
    <n v="1596"/>
  </r>
  <r>
    <n v="10514"/>
    <n v="56"/>
    <n v="38"/>
    <n v="70"/>
    <n v="0"/>
    <s v="Kane, John"/>
    <s v="Kane John"/>
    <x v="2"/>
    <s v="WA"/>
    <s v="Product VKCMF"/>
    <x v="1"/>
    <x v="207"/>
    <d v="2007-05-16T00:00:00"/>
    <x v="1"/>
    <s v="Destination CUVPF"/>
    <x v="6"/>
    <s v="Supplier ZWZDM"/>
    <s v="Italy"/>
    <x v="2"/>
    <n v="2660"/>
  </r>
  <r>
    <n v="10514"/>
    <n v="65"/>
    <n v="21.05"/>
    <n v="39"/>
    <n v="0"/>
    <s v="Kane, John"/>
    <s v="Kane John"/>
    <x v="2"/>
    <s v="WA"/>
    <s v="Product XYWBZ"/>
    <x v="4"/>
    <x v="207"/>
    <d v="2007-05-16T00:00:00"/>
    <x v="1"/>
    <s v="Destination CUVPF"/>
    <x v="6"/>
    <s v="Supplier VHQZD"/>
    <s v="USA"/>
    <x v="2"/>
    <n v="820.95"/>
  </r>
  <r>
    <n v="10514"/>
    <n v="75"/>
    <n v="7.75"/>
    <n v="50"/>
    <n v="0"/>
    <s v="Kane, John"/>
    <s v="Kane John"/>
    <x v="2"/>
    <s v="WA"/>
    <s v="Product BWRLG"/>
    <x v="6"/>
    <x v="207"/>
    <d v="2007-05-16T00:00:00"/>
    <x v="1"/>
    <s v="Destination CUVPF"/>
    <x v="6"/>
    <s v="Supplier SVIYA"/>
    <s v="Germany"/>
    <x v="2"/>
    <n v="387.5"/>
  </r>
  <r>
    <n v="10515"/>
    <n v="9"/>
    <n v="97"/>
    <n v="16"/>
    <n v="0.15"/>
    <s v="Veronesi, Giorgio"/>
    <s v="Veronesi Giorgio"/>
    <x v="8"/>
    <s v="WA"/>
    <s v="Product AOZBW"/>
    <x v="7"/>
    <x v="208"/>
    <d v="2007-05-23T00:00:00"/>
    <x v="2"/>
    <s v="Ship to 63-B"/>
    <x v="8"/>
    <s v="Supplier QOVFD"/>
    <s v="Japan"/>
    <x v="2"/>
    <n v="1319.2"/>
  </r>
  <r>
    <n v="10515"/>
    <n v="16"/>
    <n v="17.45"/>
    <n v="50"/>
    <n v="0"/>
    <s v="Veronesi, Giorgio"/>
    <s v="Veronesi Giorgio"/>
    <x v="8"/>
    <s v="WA"/>
    <s v="Product PAFRH"/>
    <x v="5"/>
    <x v="208"/>
    <d v="2007-05-23T00:00:00"/>
    <x v="2"/>
    <s v="Ship to 63-B"/>
    <x v="8"/>
    <s v="Supplier GQRCV"/>
    <s v="Australia"/>
    <x v="2"/>
    <n v="872.5"/>
  </r>
  <r>
    <n v="10515"/>
    <n v="27"/>
    <n v="43.9"/>
    <n v="120"/>
    <n v="0"/>
    <s v="Veronesi, Giorgio"/>
    <s v="Veronesi Giorgio"/>
    <x v="8"/>
    <s v="WA"/>
    <s v="Product SMIOH"/>
    <x v="5"/>
    <x v="208"/>
    <d v="2007-05-23T00:00:00"/>
    <x v="2"/>
    <s v="Ship to 63-B"/>
    <x v="8"/>
    <s v="Supplier ZPYVS"/>
    <s v="Germany"/>
    <x v="2"/>
    <n v="5268"/>
  </r>
  <r>
    <n v="10515"/>
    <n v="33"/>
    <n v="2.5"/>
    <n v="16"/>
    <n v="0.15"/>
    <s v="Veronesi, Giorgio"/>
    <s v="Veronesi Giorgio"/>
    <x v="8"/>
    <s v="WA"/>
    <s v="Product ASTMN"/>
    <x v="0"/>
    <x v="208"/>
    <d v="2007-05-23T00:00:00"/>
    <x v="2"/>
    <s v="Ship to 63-B"/>
    <x v="8"/>
    <s v="Supplier NZLIF"/>
    <s v="Norway"/>
    <x v="2"/>
    <n v="34"/>
  </r>
  <r>
    <n v="10515"/>
    <n v="60"/>
    <n v="34"/>
    <n v="84"/>
    <n v="0.15"/>
    <s v="Veronesi, Giorgio"/>
    <s v="Veronesi Giorgio"/>
    <x v="8"/>
    <s v="WA"/>
    <s v="Product WHBYK"/>
    <x v="0"/>
    <x v="208"/>
    <d v="2007-05-23T00:00:00"/>
    <x v="2"/>
    <s v="Ship to 63-B"/>
    <x v="8"/>
    <s v="Supplier OAVQT"/>
    <s v="France"/>
    <x v="2"/>
    <n v="2427.6"/>
  </r>
  <r>
    <n v="10516"/>
    <n v="18"/>
    <n v="62.5"/>
    <n v="25"/>
    <n v="0.1"/>
    <s v="Crăciun, Ovidiu V."/>
    <s v="Crăciun Ovidiu V."/>
    <x v="8"/>
    <s v="WA"/>
    <s v="Product CKEDC"/>
    <x v="3"/>
    <x v="209"/>
    <d v="2007-05-01T00:00:00"/>
    <x v="3"/>
    <s v="Destination DGKOU"/>
    <x v="15"/>
    <s v="Supplier GQRCV"/>
    <s v="Australia"/>
    <x v="1"/>
    <n v="1406.25"/>
  </r>
  <r>
    <n v="10516"/>
    <n v="41"/>
    <n v="9.65"/>
    <n v="80"/>
    <n v="0.1"/>
    <s v="Crăciun, Ovidiu V."/>
    <s v="Crăciun Ovidiu V."/>
    <x v="8"/>
    <s v="WA"/>
    <s v="Product TTEEX"/>
    <x v="3"/>
    <x v="209"/>
    <d v="2007-05-01T00:00:00"/>
    <x v="3"/>
    <s v="Destination DGKOU"/>
    <x v="15"/>
    <s v="Supplier JDNUG"/>
    <s v="USA"/>
    <x v="1"/>
    <n v="694.80000000000007"/>
  </r>
  <r>
    <n v="10516"/>
    <n v="42"/>
    <n v="14"/>
    <n v="20"/>
    <n v="0"/>
    <s v="Crăciun, Ovidiu V."/>
    <s v="Crăciun Ovidiu V."/>
    <x v="8"/>
    <s v="WA"/>
    <s v="Product RJVNM"/>
    <x v="1"/>
    <x v="209"/>
    <d v="2007-05-01T00:00:00"/>
    <x v="3"/>
    <s v="Destination DGKOU"/>
    <x v="15"/>
    <s v="Supplier CIYNM"/>
    <s v="Singapore"/>
    <x v="1"/>
    <n v="280"/>
  </r>
  <r>
    <n v="10517"/>
    <n v="52"/>
    <n v="7"/>
    <n v="6"/>
    <n v="0"/>
    <s v="Mallit, Ken"/>
    <s v="Mallit Ken"/>
    <x v="2"/>
    <s v="WA"/>
    <s v="Product QSRXF"/>
    <x v="1"/>
    <x v="209"/>
    <d v="2007-04-29T00:00:00"/>
    <x v="3"/>
    <s v="Ship to 53-A"/>
    <x v="14"/>
    <s v="Supplier JNNES"/>
    <s v="Australia"/>
    <x v="1"/>
    <n v="42"/>
  </r>
  <r>
    <n v="10517"/>
    <n v="59"/>
    <n v="55"/>
    <n v="4"/>
    <n v="0"/>
    <s v="Mallit, Ken"/>
    <s v="Mallit Ken"/>
    <x v="2"/>
    <s v="WA"/>
    <s v="Product UKXRI"/>
    <x v="0"/>
    <x v="209"/>
    <d v="2007-04-29T00:00:00"/>
    <x v="3"/>
    <s v="Ship to 53-A"/>
    <x v="14"/>
    <s v="Supplier OAVQT"/>
    <s v="France"/>
    <x v="1"/>
    <n v="220"/>
  </r>
  <r>
    <n v="10517"/>
    <n v="70"/>
    <n v="15"/>
    <n v="6"/>
    <n v="0"/>
    <s v="Mallit, Ken"/>
    <s v="Mallit Ken"/>
    <x v="2"/>
    <s v="WA"/>
    <s v="Product TOONT"/>
    <x v="6"/>
    <x v="209"/>
    <d v="2007-04-29T00:00:00"/>
    <x v="3"/>
    <s v="Ship to 53-A"/>
    <x v="14"/>
    <s v="Supplier GQRCV"/>
    <s v="Australia"/>
    <x v="1"/>
    <n v="90"/>
  </r>
  <r>
    <n v="10518"/>
    <n v="24"/>
    <n v="4.5"/>
    <n v="5"/>
    <n v="0"/>
    <s v="Geschwandtner, Jens"/>
    <s v="Geschwandtner Jens"/>
    <x v="1"/>
    <s v="WA"/>
    <s v="Product QOGNU"/>
    <x v="6"/>
    <x v="210"/>
    <d v="2007-05-05T00:00:00"/>
    <x v="1"/>
    <s v="Ship to 80-B"/>
    <x v="7"/>
    <s v="Supplier UNAHG"/>
    <s v="Brazil"/>
    <x v="2"/>
    <n v="22.5"/>
  </r>
  <r>
    <n v="10518"/>
    <n v="38"/>
    <n v="263.5"/>
    <n v="15"/>
    <n v="0"/>
    <s v="Geschwandtner, Jens"/>
    <s v="Geschwandtner Jens"/>
    <x v="1"/>
    <s v="WA"/>
    <s v="Product QDOMO"/>
    <x v="6"/>
    <x v="210"/>
    <d v="2007-05-05T00:00:00"/>
    <x v="1"/>
    <s v="Ship to 80-B"/>
    <x v="7"/>
    <s v="Supplier LVJUA"/>
    <s v="France"/>
    <x v="2"/>
    <n v="3952.5"/>
  </r>
  <r>
    <n v="10518"/>
    <n v="44"/>
    <n v="19.45"/>
    <n v="9"/>
    <n v="0"/>
    <s v="Geschwandtner, Jens"/>
    <s v="Geschwandtner Jens"/>
    <x v="1"/>
    <s v="WA"/>
    <s v="Product VJIEO"/>
    <x v="4"/>
    <x v="210"/>
    <d v="2007-05-05T00:00:00"/>
    <x v="1"/>
    <s v="Ship to 80-B"/>
    <x v="7"/>
    <s v="Supplier CIYNM"/>
    <s v="Singapore"/>
    <x v="2"/>
    <n v="175.04999999999998"/>
  </r>
  <r>
    <n v="10519"/>
    <n v="10"/>
    <n v="31"/>
    <n v="16"/>
    <n v="0.05"/>
    <s v="Jelitto, Jacek"/>
    <s v="Jelitto Jacek"/>
    <x v="7"/>
    <n v="0"/>
    <s v="Product YHXGE"/>
    <x v="3"/>
    <x v="211"/>
    <d v="2007-05-01T00:00:00"/>
    <x v="3"/>
    <s v="Destination NRTZZ"/>
    <x v="4"/>
    <s v="Supplier QOVFD"/>
    <s v="Japan"/>
    <x v="1"/>
    <n v="471.2"/>
  </r>
  <r>
    <n v="10519"/>
    <n v="56"/>
    <n v="38"/>
    <n v="40"/>
    <n v="0"/>
    <s v="Jelitto, Jacek"/>
    <s v="Jelitto Jacek"/>
    <x v="7"/>
    <n v="0"/>
    <s v="Product VKCMF"/>
    <x v="1"/>
    <x v="211"/>
    <d v="2007-05-01T00:00:00"/>
    <x v="3"/>
    <s v="Destination NRTZZ"/>
    <x v="4"/>
    <s v="Supplier ZWZDM"/>
    <s v="Italy"/>
    <x v="1"/>
    <n v="1520"/>
  </r>
  <r>
    <n v="10519"/>
    <n v="60"/>
    <n v="34"/>
    <n v="10"/>
    <n v="0.05"/>
    <s v="Jelitto, Jacek"/>
    <s v="Jelitto Jacek"/>
    <x v="7"/>
    <n v="0"/>
    <s v="Product WHBYK"/>
    <x v="0"/>
    <x v="211"/>
    <d v="2007-05-01T00:00:00"/>
    <x v="3"/>
    <s v="Destination NRTZZ"/>
    <x v="4"/>
    <s v="Supplier OAVQT"/>
    <s v="France"/>
    <x v="1"/>
    <n v="323"/>
  </r>
  <r>
    <n v="10520"/>
    <n v="24"/>
    <n v="4.5"/>
    <n v="8"/>
    <n v="0"/>
    <s v="Ginters, Kaspars"/>
    <s v="Ginters Kaspars"/>
    <x v="9"/>
    <n v="0"/>
    <s v="Product QOGNU"/>
    <x v="6"/>
    <x v="212"/>
    <d v="2007-05-01T00:00:00"/>
    <x v="2"/>
    <s v="Ship to 70-B"/>
    <x v="20"/>
    <s v="Supplier UNAHG"/>
    <s v="Brazil"/>
    <x v="1"/>
    <n v="36"/>
  </r>
  <r>
    <n v="10520"/>
    <n v="53"/>
    <n v="32.799999999999997"/>
    <n v="5"/>
    <n v="0"/>
    <s v="Ginters, Kaspars"/>
    <s v="Ginters Kaspars"/>
    <x v="9"/>
    <n v="0"/>
    <s v="Product BKGEA"/>
    <x v="7"/>
    <x v="212"/>
    <d v="2007-05-01T00:00:00"/>
    <x v="2"/>
    <s v="Ship to 70-B"/>
    <x v="20"/>
    <s v="Supplier JNNES"/>
    <s v="Australia"/>
    <x v="1"/>
    <n v="164"/>
  </r>
  <r>
    <n v="10521"/>
    <n v="35"/>
    <n v="18"/>
    <n v="3"/>
    <n v="0"/>
    <s v="Ray, Mike"/>
    <s v="Ray Mike"/>
    <x v="6"/>
    <s v="WA"/>
    <s v="Product NEVTJ"/>
    <x v="6"/>
    <x v="212"/>
    <d v="2007-05-02T00:00:00"/>
    <x v="1"/>
    <s v="Destination QTHBC"/>
    <x v="21"/>
    <s v="Supplier UHZRG"/>
    <s v="USA"/>
    <x v="1"/>
    <n v="54"/>
  </r>
  <r>
    <n v="10521"/>
    <n v="41"/>
    <n v="9.65"/>
    <n v="10"/>
    <n v="0"/>
    <s v="Ray, Mike"/>
    <s v="Ray Mike"/>
    <x v="6"/>
    <s v="WA"/>
    <s v="Product TTEEX"/>
    <x v="3"/>
    <x v="212"/>
    <d v="2007-05-02T00:00:00"/>
    <x v="1"/>
    <s v="Destination QTHBC"/>
    <x v="21"/>
    <s v="Supplier JDNUG"/>
    <s v="USA"/>
    <x v="1"/>
    <n v="96.5"/>
  </r>
  <r>
    <n v="10521"/>
    <n v="68"/>
    <n v="12.5"/>
    <n v="6"/>
    <n v="0"/>
    <s v="Ray, Mike"/>
    <s v="Ray Mike"/>
    <x v="6"/>
    <s v="WA"/>
    <s v="Product TBTBL"/>
    <x v="5"/>
    <x v="212"/>
    <d v="2007-05-02T00:00:00"/>
    <x v="1"/>
    <s v="Destination QTHBC"/>
    <x v="21"/>
    <s v="Supplier BWGYE"/>
    <s v="UK"/>
    <x v="1"/>
    <n v="75"/>
  </r>
  <r>
    <n v="10522"/>
    <n v="1"/>
    <n v="18"/>
    <n v="40"/>
    <n v="0.2"/>
    <s v="Louverdis, George"/>
    <s v="Louverdis George"/>
    <x v="1"/>
    <s v="WA"/>
    <s v="Product HHYDP"/>
    <x v="6"/>
    <x v="213"/>
    <d v="2007-05-06T00:00:00"/>
    <x v="2"/>
    <s v="Ship to 44-A"/>
    <x v="8"/>
    <s v="Supplier SWRXU"/>
    <s v="UK"/>
    <x v="1"/>
    <n v="576"/>
  </r>
  <r>
    <n v="10522"/>
    <n v="8"/>
    <n v="40"/>
    <n v="24"/>
    <n v="0"/>
    <s v="Louverdis, George"/>
    <s v="Louverdis George"/>
    <x v="1"/>
    <s v="WA"/>
    <s v="Product WVJFP"/>
    <x v="4"/>
    <x v="213"/>
    <d v="2007-05-06T00:00:00"/>
    <x v="2"/>
    <s v="Ship to 44-A"/>
    <x v="8"/>
    <s v="Supplier STUAZ"/>
    <s v="USA"/>
    <x v="1"/>
    <n v="960"/>
  </r>
  <r>
    <n v="10522"/>
    <n v="30"/>
    <n v="25.89"/>
    <n v="20"/>
    <n v="0.2"/>
    <s v="Louverdis, George"/>
    <s v="Louverdis George"/>
    <x v="1"/>
    <s v="WA"/>
    <s v="Product LYERX"/>
    <x v="3"/>
    <x v="213"/>
    <d v="2007-05-06T00:00:00"/>
    <x v="2"/>
    <s v="Ship to 44-A"/>
    <x v="8"/>
    <s v="Supplier TEGSC"/>
    <s v="Germany"/>
    <x v="1"/>
    <n v="414.24"/>
  </r>
  <r>
    <n v="10522"/>
    <n v="40"/>
    <n v="18.399999999999999"/>
    <n v="25"/>
    <n v="0.2"/>
    <s v="Louverdis, George"/>
    <s v="Louverdis George"/>
    <x v="1"/>
    <s v="WA"/>
    <s v="Product YZIXQ"/>
    <x v="3"/>
    <x v="213"/>
    <d v="2007-05-06T00:00:00"/>
    <x v="2"/>
    <s v="Ship to 44-A"/>
    <x v="8"/>
    <s v="Supplier JDNUG"/>
    <s v="USA"/>
    <x v="1"/>
    <n v="368"/>
  </r>
  <r>
    <n v="10523"/>
    <n v="17"/>
    <n v="39"/>
    <n v="25"/>
    <n v="0.1"/>
    <s v="Welcker, Brian"/>
    <s v="Welcker Brian"/>
    <x v="9"/>
    <n v="0"/>
    <s v="Product BLCAX"/>
    <x v="7"/>
    <x v="214"/>
    <d v="2007-05-30T00:00:00"/>
    <x v="1"/>
    <s v="Ship to 72-C"/>
    <x v="14"/>
    <s v="Supplier GQRCV"/>
    <s v="Australia"/>
    <x v="1"/>
    <n v="877.5"/>
  </r>
  <r>
    <n v="10523"/>
    <n v="20"/>
    <n v="81"/>
    <n v="15"/>
    <n v="0.1"/>
    <s v="Welcker, Brian"/>
    <s v="Welcker Brian"/>
    <x v="9"/>
    <n v="0"/>
    <s v="Product QHFFP"/>
    <x v="5"/>
    <x v="214"/>
    <d v="2007-05-30T00:00:00"/>
    <x v="1"/>
    <s v="Ship to 72-C"/>
    <x v="14"/>
    <s v="Supplier BWGYE"/>
    <s v="UK"/>
    <x v="1"/>
    <n v="1093.5"/>
  </r>
  <r>
    <n v="10523"/>
    <n v="37"/>
    <n v="26"/>
    <n v="18"/>
    <n v="0.1"/>
    <s v="Welcker, Brian"/>
    <s v="Welcker Brian"/>
    <x v="9"/>
    <n v="0"/>
    <s v="Product EVFFA"/>
    <x v="3"/>
    <x v="214"/>
    <d v="2007-05-30T00:00:00"/>
    <x v="1"/>
    <s v="Ship to 72-C"/>
    <x v="14"/>
    <s v="Supplier QZGUF"/>
    <s v="Sweden"/>
    <x v="1"/>
    <n v="421.2"/>
  </r>
  <r>
    <n v="10523"/>
    <n v="41"/>
    <n v="9.65"/>
    <n v="6"/>
    <n v="0.1"/>
    <s v="Welcker, Brian"/>
    <s v="Welcker Brian"/>
    <x v="9"/>
    <n v="0"/>
    <s v="Product TTEEX"/>
    <x v="3"/>
    <x v="214"/>
    <d v="2007-05-30T00:00:00"/>
    <x v="1"/>
    <s v="Ship to 72-C"/>
    <x v="14"/>
    <s v="Supplier JDNUG"/>
    <s v="USA"/>
    <x v="1"/>
    <n v="52.110000000000007"/>
  </r>
  <r>
    <n v="10524"/>
    <n v="10"/>
    <n v="31"/>
    <n v="2"/>
    <n v="0"/>
    <s v="Higginbotham, Tom"/>
    <s v="Higginbotham Tom"/>
    <x v="5"/>
    <s v="WA"/>
    <s v="Product YHXGE"/>
    <x v="3"/>
    <x v="214"/>
    <d v="2007-05-07T00:00:00"/>
    <x v="1"/>
    <s v="Ship to 5-A"/>
    <x v="10"/>
    <s v="Supplier QOVFD"/>
    <s v="Japan"/>
    <x v="2"/>
    <n v="62"/>
  </r>
  <r>
    <n v="10524"/>
    <n v="30"/>
    <n v="25.89"/>
    <n v="10"/>
    <n v="0"/>
    <s v="Higginbotham, Tom"/>
    <s v="Higginbotham Tom"/>
    <x v="5"/>
    <s v="WA"/>
    <s v="Product LYERX"/>
    <x v="3"/>
    <x v="214"/>
    <d v="2007-05-07T00:00:00"/>
    <x v="1"/>
    <s v="Ship to 5-A"/>
    <x v="10"/>
    <s v="Supplier TEGSC"/>
    <s v="Germany"/>
    <x v="2"/>
    <n v="258.89999999999998"/>
  </r>
  <r>
    <n v="10524"/>
    <n v="43"/>
    <n v="46"/>
    <n v="60"/>
    <n v="0"/>
    <s v="Higginbotham, Tom"/>
    <s v="Higginbotham Tom"/>
    <x v="5"/>
    <s v="WA"/>
    <s v="Product ZZZHR"/>
    <x v="6"/>
    <x v="214"/>
    <d v="2007-05-07T00:00:00"/>
    <x v="1"/>
    <s v="Ship to 5-A"/>
    <x v="10"/>
    <s v="Supplier CIYNM"/>
    <s v="Singapore"/>
    <x v="2"/>
    <n v="2760"/>
  </r>
  <r>
    <n v="10524"/>
    <n v="54"/>
    <n v="7.45"/>
    <n v="15"/>
    <n v="0"/>
    <s v="Higginbotham, Tom"/>
    <s v="Higginbotham Tom"/>
    <x v="5"/>
    <s v="WA"/>
    <s v="Product QAQRL"/>
    <x v="7"/>
    <x v="214"/>
    <d v="2007-05-07T00:00:00"/>
    <x v="1"/>
    <s v="Ship to 5-A"/>
    <x v="10"/>
    <s v="Supplier ERVYZ"/>
    <s v="Canada"/>
    <x v="2"/>
    <n v="111.75"/>
  </r>
  <r>
    <n v="10525"/>
    <n v="36"/>
    <n v="19"/>
    <n v="30"/>
    <n v="0"/>
    <s v="Raghav, Amritansh"/>
    <s v="Raghav Amritansh"/>
    <x v="5"/>
    <s v="WA"/>
    <s v="Product GMKIJ"/>
    <x v="3"/>
    <x v="215"/>
    <d v="2007-05-23T00:00:00"/>
    <x v="1"/>
    <s v="Ship to 9-B"/>
    <x v="2"/>
    <s v="Supplier QZGUF"/>
    <s v="Sweden"/>
    <x v="1"/>
    <n v="570"/>
  </r>
  <r>
    <n v="10525"/>
    <n v="40"/>
    <n v="18.399999999999999"/>
    <n v="15"/>
    <n v="0.1"/>
    <s v="Raghav, Amritansh"/>
    <s v="Raghav Amritansh"/>
    <x v="5"/>
    <s v="WA"/>
    <s v="Product YZIXQ"/>
    <x v="3"/>
    <x v="215"/>
    <d v="2007-05-23T00:00:00"/>
    <x v="1"/>
    <s v="Ship to 9-B"/>
    <x v="2"/>
    <s v="Supplier JDNUG"/>
    <s v="USA"/>
    <x v="1"/>
    <n v="248.4"/>
  </r>
  <r>
    <n v="10526"/>
    <n v="1"/>
    <n v="18"/>
    <n v="8"/>
    <n v="0.15"/>
    <s v="Ludwig, Michael"/>
    <s v="Ludwig Michael"/>
    <x v="1"/>
    <s v="WA"/>
    <s v="Product HHYDP"/>
    <x v="6"/>
    <x v="216"/>
    <d v="2007-05-15T00:00:00"/>
    <x v="1"/>
    <s v="Ship to 87-C"/>
    <x v="11"/>
    <s v="Supplier SWRXU"/>
    <s v="UK"/>
    <x v="1"/>
    <n v="122.39999999999999"/>
  </r>
  <r>
    <n v="10526"/>
    <n v="13"/>
    <n v="6"/>
    <n v="10"/>
    <n v="0"/>
    <s v="Ludwig, Michael"/>
    <s v="Ludwig Michael"/>
    <x v="1"/>
    <s v="WA"/>
    <s v="Product POXFU"/>
    <x v="3"/>
    <x v="216"/>
    <d v="2007-05-15T00:00:00"/>
    <x v="1"/>
    <s v="Ship to 87-C"/>
    <x v="11"/>
    <s v="Supplier QWUSF"/>
    <s v="Japan"/>
    <x v="1"/>
    <n v="60"/>
  </r>
  <r>
    <n v="10526"/>
    <n v="56"/>
    <n v="38"/>
    <n v="30"/>
    <n v="0.15"/>
    <s v="Ludwig, Michael"/>
    <s v="Ludwig Michael"/>
    <x v="1"/>
    <s v="WA"/>
    <s v="Product VKCMF"/>
    <x v="1"/>
    <x v="216"/>
    <d v="2007-05-15T00:00:00"/>
    <x v="1"/>
    <s v="Ship to 87-C"/>
    <x v="11"/>
    <s v="Supplier ZWZDM"/>
    <s v="Italy"/>
    <x v="1"/>
    <n v="969"/>
  </r>
  <r>
    <n v="10527"/>
    <n v="4"/>
    <n v="22"/>
    <n v="50"/>
    <n v="0.1"/>
    <s v="Veronesi, Giorgio"/>
    <s v="Veronesi Giorgio"/>
    <x v="9"/>
    <n v="0"/>
    <s v="Product KSBRM"/>
    <x v="4"/>
    <x v="216"/>
    <d v="2007-05-07T00:00:00"/>
    <x v="2"/>
    <s v="Ship to 63-B"/>
    <x v="8"/>
    <s v="Supplier VHQZD"/>
    <s v="USA"/>
    <x v="1"/>
    <n v="990"/>
  </r>
  <r>
    <n v="10527"/>
    <n v="36"/>
    <n v="19"/>
    <n v="30"/>
    <n v="0.1"/>
    <s v="Veronesi, Giorgio"/>
    <s v="Veronesi Giorgio"/>
    <x v="9"/>
    <n v="0"/>
    <s v="Product GMKIJ"/>
    <x v="3"/>
    <x v="216"/>
    <d v="2007-05-07T00:00:00"/>
    <x v="2"/>
    <s v="Ship to 63-B"/>
    <x v="8"/>
    <s v="Supplier QZGUF"/>
    <s v="Sweden"/>
    <x v="1"/>
    <n v="513"/>
  </r>
  <r>
    <n v="10528"/>
    <n v="11"/>
    <n v="21"/>
    <n v="3"/>
    <n v="0"/>
    <s v="Krishnan, Venky"/>
    <s v="Krishnan Venky"/>
    <x v="7"/>
    <n v="0"/>
    <s v="Product QMVUN"/>
    <x v="0"/>
    <x v="217"/>
    <d v="2007-05-09T00:00:00"/>
    <x v="1"/>
    <s v="Destination LLUXZ"/>
    <x v="9"/>
    <s v="Supplier EQPNC"/>
    <s v="Spain"/>
    <x v="1"/>
    <n v="63"/>
  </r>
  <r>
    <n v="10528"/>
    <n v="33"/>
    <n v="2.5"/>
    <n v="8"/>
    <n v="0.2"/>
    <s v="Krishnan, Venky"/>
    <s v="Krishnan Venky"/>
    <x v="7"/>
    <n v="0"/>
    <s v="Product ASTMN"/>
    <x v="0"/>
    <x v="217"/>
    <d v="2007-05-09T00:00:00"/>
    <x v="1"/>
    <s v="Destination LLUXZ"/>
    <x v="9"/>
    <s v="Supplier NZLIF"/>
    <s v="Norway"/>
    <x v="1"/>
    <n v="16"/>
  </r>
  <r>
    <n v="10528"/>
    <n v="72"/>
    <n v="34.799999999999997"/>
    <n v="9"/>
    <n v="0"/>
    <s v="Krishnan, Venky"/>
    <s v="Krishnan Venky"/>
    <x v="7"/>
    <n v="0"/>
    <s v="Product GEEOO"/>
    <x v="0"/>
    <x v="217"/>
    <d v="2007-05-09T00:00:00"/>
    <x v="1"/>
    <s v="Destination LLUXZ"/>
    <x v="9"/>
    <s v="Supplier KEREV"/>
    <s v="Italy"/>
    <x v="1"/>
    <n v="313.2"/>
  </r>
  <r>
    <n v="10529"/>
    <n v="55"/>
    <n v="24"/>
    <n v="14"/>
    <n v="0"/>
    <s v="Mace, Donald"/>
    <s v="Mace Donald"/>
    <x v="3"/>
    <n v="0"/>
    <s v="Product YYWRT"/>
    <x v="7"/>
    <x v="218"/>
    <d v="2007-05-09T00:00:00"/>
    <x v="1"/>
    <s v="Ship to 50-B"/>
    <x v="3"/>
    <s v="Supplier ERVYZ"/>
    <s v="Canada"/>
    <x v="1"/>
    <n v="336"/>
  </r>
  <r>
    <n v="10529"/>
    <n v="68"/>
    <n v="12.5"/>
    <n v="20"/>
    <n v="0"/>
    <s v="Mace, Donald"/>
    <s v="Mace Donald"/>
    <x v="3"/>
    <n v="0"/>
    <s v="Product TBTBL"/>
    <x v="5"/>
    <x v="218"/>
    <d v="2007-05-09T00:00:00"/>
    <x v="1"/>
    <s v="Ship to 50-B"/>
    <x v="3"/>
    <s v="Supplier BWGYE"/>
    <s v="UK"/>
    <x v="1"/>
    <n v="250"/>
  </r>
  <r>
    <n v="10529"/>
    <n v="69"/>
    <n v="36"/>
    <n v="10"/>
    <n v="0"/>
    <s v="Mace, Donald"/>
    <s v="Mace Donald"/>
    <x v="3"/>
    <n v="0"/>
    <s v="Product COAXA"/>
    <x v="0"/>
    <x v="218"/>
    <d v="2007-05-09T00:00:00"/>
    <x v="1"/>
    <s v="Ship to 50-B"/>
    <x v="3"/>
    <s v="Supplier NZLIF"/>
    <s v="Norway"/>
    <x v="1"/>
    <n v="360"/>
  </r>
  <r>
    <n v="10530"/>
    <n v="17"/>
    <n v="39"/>
    <n v="40"/>
    <n v="0"/>
    <s v="Meston, Tosh"/>
    <s v="Meston Tosh"/>
    <x v="2"/>
    <s v="WA"/>
    <s v="Product BLCAX"/>
    <x v="7"/>
    <x v="219"/>
    <d v="2007-05-12T00:00:00"/>
    <x v="1"/>
    <s v="Ship to 59-C"/>
    <x v="6"/>
    <s v="Supplier GQRCV"/>
    <s v="Australia"/>
    <x v="2"/>
    <n v="1560"/>
  </r>
  <r>
    <n v="10530"/>
    <n v="43"/>
    <n v="46"/>
    <n v="25"/>
    <n v="0"/>
    <s v="Meston, Tosh"/>
    <s v="Meston Tosh"/>
    <x v="2"/>
    <s v="WA"/>
    <s v="Product ZZZHR"/>
    <x v="6"/>
    <x v="219"/>
    <d v="2007-05-12T00:00:00"/>
    <x v="1"/>
    <s v="Ship to 59-C"/>
    <x v="6"/>
    <s v="Supplier CIYNM"/>
    <s v="Singapore"/>
    <x v="2"/>
    <n v="1150"/>
  </r>
  <r>
    <n v="10530"/>
    <n v="61"/>
    <n v="28.5"/>
    <n v="20"/>
    <n v="0"/>
    <s v="Meston, Tosh"/>
    <s v="Meston Tosh"/>
    <x v="2"/>
    <s v="WA"/>
    <s v="Product XYZPE"/>
    <x v="4"/>
    <x v="219"/>
    <d v="2007-05-12T00:00:00"/>
    <x v="1"/>
    <s v="Ship to 59-C"/>
    <x v="6"/>
    <s v="Supplier OGLRK"/>
    <s v="Canada"/>
    <x v="2"/>
    <n v="570"/>
  </r>
  <r>
    <n v="10530"/>
    <n v="76"/>
    <n v="18"/>
    <n v="50"/>
    <n v="0"/>
    <s v="Meston, Tosh"/>
    <s v="Meston Tosh"/>
    <x v="2"/>
    <s v="WA"/>
    <s v="Product JYGFE"/>
    <x v="6"/>
    <x v="219"/>
    <d v="2007-05-12T00:00:00"/>
    <x v="1"/>
    <s v="Ship to 59-C"/>
    <x v="6"/>
    <s v="Supplier ELCRN"/>
    <s v="Finland"/>
    <x v="2"/>
    <n v="900"/>
  </r>
  <r>
    <n v="10531"/>
    <n v="59"/>
    <n v="55"/>
    <n v="2"/>
    <n v="0"/>
    <s v="Tiano, Mike"/>
    <s v="Tiano Mike"/>
    <x v="9"/>
    <n v="0"/>
    <s v="Product UKXRI"/>
    <x v="0"/>
    <x v="219"/>
    <d v="2007-05-19T00:00:00"/>
    <x v="2"/>
    <s v="Ship to 54-A"/>
    <x v="21"/>
    <s v="Supplier OAVQT"/>
    <s v="France"/>
    <x v="1"/>
    <n v="110"/>
  </r>
  <r>
    <n v="10532"/>
    <n v="30"/>
    <n v="25.89"/>
    <n v="15"/>
    <n v="0"/>
    <s v="Boseman, Randall"/>
    <s v="Boseman Randall"/>
    <x v="9"/>
    <n v="0"/>
    <s v="Product LYERX"/>
    <x v="3"/>
    <x v="220"/>
    <d v="2007-05-12T00:00:00"/>
    <x v="3"/>
    <s v="Destination QTKCU"/>
    <x v="14"/>
    <s v="Supplier TEGSC"/>
    <s v="Germany"/>
    <x v="1"/>
    <n v="388.35"/>
  </r>
  <r>
    <n v="10532"/>
    <n v="66"/>
    <n v="17"/>
    <n v="24"/>
    <n v="0"/>
    <s v="Boseman, Randall"/>
    <s v="Boseman Randall"/>
    <x v="9"/>
    <n v="0"/>
    <s v="Product LQMGN"/>
    <x v="4"/>
    <x v="220"/>
    <d v="2007-05-12T00:00:00"/>
    <x v="3"/>
    <s v="Destination QTKCU"/>
    <x v="14"/>
    <s v="Supplier VHQZD"/>
    <s v="USA"/>
    <x v="1"/>
    <n v="408"/>
  </r>
  <r>
    <n v="10533"/>
    <n v="4"/>
    <n v="22"/>
    <n v="50"/>
    <n v="0.05"/>
    <s v="San Juan, Patricia"/>
    <s v="San Juan Patricia"/>
    <x v="6"/>
    <s v="WA"/>
    <s v="Product KSBRM"/>
    <x v="4"/>
    <x v="221"/>
    <d v="2007-05-22T00:00:00"/>
    <x v="2"/>
    <s v="Destination KBSBN"/>
    <x v="10"/>
    <s v="Supplier VHQZD"/>
    <s v="USA"/>
    <x v="2"/>
    <n v="1045"/>
  </r>
  <r>
    <n v="10533"/>
    <n v="72"/>
    <n v="34.799999999999997"/>
    <n v="24"/>
    <n v="0"/>
    <s v="San Juan, Patricia"/>
    <s v="San Juan Patricia"/>
    <x v="6"/>
    <s v="WA"/>
    <s v="Product GEEOO"/>
    <x v="0"/>
    <x v="221"/>
    <d v="2007-05-22T00:00:00"/>
    <x v="2"/>
    <s v="Destination KBSBN"/>
    <x v="10"/>
    <s v="Supplier KEREV"/>
    <s v="Italy"/>
    <x v="2"/>
    <n v="835.19999999999993"/>
  </r>
  <r>
    <n v="10533"/>
    <n v="73"/>
    <n v="15"/>
    <n v="24"/>
    <n v="0.05"/>
    <s v="San Juan, Patricia"/>
    <s v="San Juan Patricia"/>
    <x v="6"/>
    <s v="WA"/>
    <s v="Product WEUJZ"/>
    <x v="3"/>
    <x v="221"/>
    <d v="2007-05-22T00:00:00"/>
    <x v="2"/>
    <s v="Destination KBSBN"/>
    <x v="10"/>
    <s v="Supplier QZGUF"/>
    <s v="Sweden"/>
    <x v="2"/>
    <n v="342"/>
  </r>
  <r>
    <n v="10534"/>
    <n v="30"/>
    <n v="25.89"/>
    <n v="10"/>
    <n v="0"/>
    <s v="Louverdis, George"/>
    <s v="Louverdis George"/>
    <x v="6"/>
    <s v="WA"/>
    <s v="Product LYERX"/>
    <x v="3"/>
    <x v="221"/>
    <d v="2007-05-14T00:00:00"/>
    <x v="1"/>
    <s v="Ship to 44-A"/>
    <x v="8"/>
    <s v="Supplier TEGSC"/>
    <s v="Germany"/>
    <x v="1"/>
    <n v="258.89999999999998"/>
  </r>
  <r>
    <n v="10534"/>
    <n v="40"/>
    <n v="18.399999999999999"/>
    <n v="10"/>
    <n v="0.2"/>
    <s v="Louverdis, George"/>
    <s v="Louverdis George"/>
    <x v="6"/>
    <s v="WA"/>
    <s v="Product YZIXQ"/>
    <x v="3"/>
    <x v="221"/>
    <d v="2007-05-14T00:00:00"/>
    <x v="1"/>
    <s v="Ship to 44-A"/>
    <x v="8"/>
    <s v="Supplier JDNUG"/>
    <s v="USA"/>
    <x v="1"/>
    <n v="147.20000000000002"/>
  </r>
  <r>
    <n v="10534"/>
    <n v="54"/>
    <n v="7.45"/>
    <n v="10"/>
    <n v="0.2"/>
    <s v="Louverdis, George"/>
    <s v="Louverdis George"/>
    <x v="6"/>
    <s v="WA"/>
    <s v="Product QAQRL"/>
    <x v="7"/>
    <x v="221"/>
    <d v="2007-05-14T00:00:00"/>
    <x v="1"/>
    <s v="Ship to 44-A"/>
    <x v="8"/>
    <s v="Supplier ERVYZ"/>
    <s v="Canada"/>
    <x v="1"/>
    <n v="59.6"/>
  </r>
  <r>
    <n v="10535"/>
    <n v="11"/>
    <n v="21"/>
    <n v="50"/>
    <n v="0.1"/>
    <s v="Peoples, John"/>
    <s v="Peoples John"/>
    <x v="1"/>
    <s v="WA"/>
    <s v="Product QMVUN"/>
    <x v="0"/>
    <x v="222"/>
    <d v="2007-05-21T00:00:00"/>
    <x v="2"/>
    <s v="Destination FQFLS"/>
    <x v="7"/>
    <s v="Supplier EQPNC"/>
    <s v="Spain"/>
    <x v="1"/>
    <n v="945"/>
  </r>
  <r>
    <n v="10535"/>
    <n v="40"/>
    <n v="18.399999999999999"/>
    <n v="10"/>
    <n v="0.1"/>
    <s v="Peoples, John"/>
    <s v="Peoples John"/>
    <x v="1"/>
    <s v="WA"/>
    <s v="Product YZIXQ"/>
    <x v="3"/>
    <x v="222"/>
    <d v="2007-05-21T00:00:00"/>
    <x v="2"/>
    <s v="Destination FQFLS"/>
    <x v="7"/>
    <s v="Supplier JDNUG"/>
    <s v="USA"/>
    <x v="1"/>
    <n v="165.6"/>
  </r>
  <r>
    <n v="10535"/>
    <n v="57"/>
    <n v="19.5"/>
    <n v="5"/>
    <n v="0.1"/>
    <s v="Peoples, John"/>
    <s v="Peoples John"/>
    <x v="1"/>
    <s v="WA"/>
    <s v="Product OVLQI"/>
    <x v="1"/>
    <x v="222"/>
    <d v="2007-05-21T00:00:00"/>
    <x v="2"/>
    <s v="Destination FQFLS"/>
    <x v="7"/>
    <s v="Supplier ZWZDM"/>
    <s v="Italy"/>
    <x v="1"/>
    <n v="87.75"/>
  </r>
  <r>
    <n v="10535"/>
    <n v="59"/>
    <n v="55"/>
    <n v="15"/>
    <n v="0.1"/>
    <s v="Peoples, John"/>
    <s v="Peoples John"/>
    <x v="1"/>
    <s v="WA"/>
    <s v="Product UKXRI"/>
    <x v="0"/>
    <x v="222"/>
    <d v="2007-05-21T00:00:00"/>
    <x v="2"/>
    <s v="Destination FQFLS"/>
    <x v="7"/>
    <s v="Supplier OAVQT"/>
    <s v="France"/>
    <x v="1"/>
    <n v="742.5"/>
  </r>
  <r>
    <n v="10536"/>
    <n v="12"/>
    <n v="38"/>
    <n v="15"/>
    <n v="0.25"/>
    <s v="Louverdis, George"/>
    <s v="Louverdis George"/>
    <x v="2"/>
    <s v="WA"/>
    <s v="Product OSFNS"/>
    <x v="0"/>
    <x v="223"/>
    <d v="2007-06-06T00:00:00"/>
    <x v="1"/>
    <s v="Ship to 44-B"/>
    <x v="8"/>
    <s v="Supplier EQPNC"/>
    <s v="Spain"/>
    <x v="1"/>
    <n v="427.5"/>
  </r>
  <r>
    <n v="10536"/>
    <n v="31"/>
    <n v="12.5"/>
    <n v="20"/>
    <n v="0"/>
    <s v="Louverdis, George"/>
    <s v="Louverdis George"/>
    <x v="2"/>
    <s v="WA"/>
    <s v="Product XWOXC"/>
    <x v="0"/>
    <x v="223"/>
    <d v="2007-06-06T00:00:00"/>
    <x v="1"/>
    <s v="Ship to 44-B"/>
    <x v="8"/>
    <s v="Supplier KEREV"/>
    <s v="Italy"/>
    <x v="1"/>
    <n v="250"/>
  </r>
  <r>
    <n v="10536"/>
    <n v="33"/>
    <n v="2.5"/>
    <n v="30"/>
    <n v="0"/>
    <s v="Louverdis, George"/>
    <s v="Louverdis George"/>
    <x v="2"/>
    <s v="WA"/>
    <s v="Product ASTMN"/>
    <x v="0"/>
    <x v="223"/>
    <d v="2007-06-06T00:00:00"/>
    <x v="1"/>
    <s v="Ship to 44-B"/>
    <x v="8"/>
    <s v="Supplier NZLIF"/>
    <s v="Norway"/>
    <x v="1"/>
    <n v="75"/>
  </r>
  <r>
    <n v="10536"/>
    <n v="60"/>
    <n v="34"/>
    <n v="35"/>
    <n v="0.25"/>
    <s v="Louverdis, George"/>
    <s v="Louverdis George"/>
    <x v="2"/>
    <s v="WA"/>
    <s v="Product WHBYK"/>
    <x v="0"/>
    <x v="223"/>
    <d v="2007-06-06T00:00:00"/>
    <x v="1"/>
    <s v="Ship to 44-B"/>
    <x v="8"/>
    <s v="Supplier OAVQT"/>
    <s v="France"/>
    <x v="1"/>
    <n v="892.5"/>
  </r>
  <r>
    <n v="10537"/>
    <n v="31"/>
    <n v="12.5"/>
    <n v="30"/>
    <n v="0"/>
    <s v="Myrcha, Jacek"/>
    <s v="Myrcha Jacek"/>
    <x v="5"/>
    <s v="WA"/>
    <s v="Product XWOXC"/>
    <x v="0"/>
    <x v="223"/>
    <d v="2007-05-19T00:00:00"/>
    <x v="2"/>
    <s v="Ship to 68-B"/>
    <x v="4"/>
    <s v="Supplier KEREV"/>
    <s v="Italy"/>
    <x v="1"/>
    <n v="375"/>
  </r>
  <r>
    <n v="10537"/>
    <n v="51"/>
    <n v="53"/>
    <n v="6"/>
    <n v="0"/>
    <s v="Myrcha, Jacek"/>
    <s v="Myrcha Jacek"/>
    <x v="5"/>
    <s v="WA"/>
    <s v="Product APITJ"/>
    <x v="2"/>
    <x v="223"/>
    <d v="2007-05-19T00:00:00"/>
    <x v="2"/>
    <s v="Ship to 68-B"/>
    <x v="4"/>
    <s v="Supplier JNNES"/>
    <s v="Australia"/>
    <x v="1"/>
    <n v="318"/>
  </r>
  <r>
    <n v="10537"/>
    <n v="58"/>
    <n v="13.25"/>
    <n v="20"/>
    <n v="0"/>
    <s v="Myrcha, Jacek"/>
    <s v="Myrcha Jacek"/>
    <x v="5"/>
    <s v="WA"/>
    <s v="Product ACRVI"/>
    <x v="3"/>
    <x v="223"/>
    <d v="2007-05-19T00:00:00"/>
    <x v="2"/>
    <s v="Ship to 68-B"/>
    <x v="4"/>
    <s v="Supplier ZRYDZ"/>
    <s v="France"/>
    <x v="1"/>
    <n v="265"/>
  </r>
  <r>
    <n v="10537"/>
    <n v="72"/>
    <n v="34.799999999999997"/>
    <n v="21"/>
    <n v="0"/>
    <s v="Myrcha, Jacek"/>
    <s v="Myrcha Jacek"/>
    <x v="5"/>
    <s v="WA"/>
    <s v="Product GEEOO"/>
    <x v="0"/>
    <x v="223"/>
    <d v="2007-05-19T00:00:00"/>
    <x v="2"/>
    <s v="Ship to 68-B"/>
    <x v="4"/>
    <s v="Supplier KEREV"/>
    <s v="Italy"/>
    <x v="1"/>
    <n v="730.8"/>
  </r>
  <r>
    <n v="10537"/>
    <n v="73"/>
    <n v="15"/>
    <n v="9"/>
    <n v="0"/>
    <s v="Myrcha, Jacek"/>
    <s v="Myrcha Jacek"/>
    <x v="5"/>
    <s v="WA"/>
    <s v="Product WEUJZ"/>
    <x v="3"/>
    <x v="223"/>
    <d v="2007-05-19T00:00:00"/>
    <x v="2"/>
    <s v="Ship to 68-B"/>
    <x v="4"/>
    <s v="Supplier QZGUF"/>
    <s v="Sweden"/>
    <x v="1"/>
    <n v="135"/>
  </r>
  <r>
    <n v="10538"/>
    <n v="70"/>
    <n v="15"/>
    <n v="7"/>
    <n v="0"/>
    <s v="Jaffe, David"/>
    <s v="Jaffe David"/>
    <x v="4"/>
    <n v="0"/>
    <s v="Product TOONT"/>
    <x v="6"/>
    <x v="224"/>
    <d v="2007-05-16T00:00:00"/>
    <x v="3"/>
    <s v="Destination DLEUN"/>
    <x v="14"/>
    <s v="Supplier GQRCV"/>
    <s v="Australia"/>
    <x v="1"/>
    <n v="105"/>
  </r>
  <r>
    <n v="10538"/>
    <n v="72"/>
    <n v="34.799999999999997"/>
    <n v="1"/>
    <n v="0"/>
    <s v="Jaffe, David"/>
    <s v="Jaffe David"/>
    <x v="4"/>
    <n v="0"/>
    <s v="Product GEEOO"/>
    <x v="0"/>
    <x v="224"/>
    <d v="2007-05-16T00:00:00"/>
    <x v="3"/>
    <s v="Destination DLEUN"/>
    <x v="14"/>
    <s v="Supplier KEREV"/>
    <s v="Italy"/>
    <x v="1"/>
    <n v="34.799999999999997"/>
  </r>
  <r>
    <n v="10539"/>
    <n v="13"/>
    <n v="6"/>
    <n v="8"/>
    <n v="0"/>
    <s v="Jaffe, David"/>
    <s v="Jaffe David"/>
    <x v="7"/>
    <n v="0"/>
    <s v="Product POXFU"/>
    <x v="3"/>
    <x v="225"/>
    <d v="2007-05-23T00:00:00"/>
    <x v="3"/>
    <s v="Destination DLEUN"/>
    <x v="14"/>
    <s v="Supplier QWUSF"/>
    <s v="Japan"/>
    <x v="1"/>
    <n v="48"/>
  </r>
  <r>
    <n v="10539"/>
    <n v="21"/>
    <n v="10"/>
    <n v="15"/>
    <n v="0"/>
    <s v="Jaffe, David"/>
    <s v="Jaffe David"/>
    <x v="7"/>
    <n v="0"/>
    <s v="Product VJZZH"/>
    <x v="5"/>
    <x v="225"/>
    <d v="2007-05-23T00:00:00"/>
    <x v="3"/>
    <s v="Destination DLEUN"/>
    <x v="14"/>
    <s v="Supplier BWGYE"/>
    <s v="UK"/>
    <x v="1"/>
    <n v="150"/>
  </r>
  <r>
    <n v="10539"/>
    <n v="33"/>
    <n v="2.5"/>
    <n v="15"/>
    <n v="0"/>
    <s v="Jaffe, David"/>
    <s v="Jaffe David"/>
    <x v="7"/>
    <n v="0"/>
    <s v="Product ASTMN"/>
    <x v="0"/>
    <x v="225"/>
    <d v="2007-05-23T00:00:00"/>
    <x v="3"/>
    <s v="Destination DLEUN"/>
    <x v="14"/>
    <s v="Supplier NZLIF"/>
    <s v="Norway"/>
    <x v="1"/>
    <n v="37.5"/>
  </r>
  <r>
    <n v="10539"/>
    <n v="49"/>
    <n v="20"/>
    <n v="6"/>
    <n v="0"/>
    <s v="Jaffe, David"/>
    <s v="Jaffe David"/>
    <x v="7"/>
    <n v="0"/>
    <s v="Product FPYPN"/>
    <x v="5"/>
    <x v="225"/>
    <d v="2007-05-23T00:00:00"/>
    <x v="3"/>
    <s v="Destination DLEUN"/>
    <x v="14"/>
    <s v="Supplier ELCRN"/>
    <s v="Finland"/>
    <x v="1"/>
    <n v="120"/>
  </r>
  <r>
    <n v="10540"/>
    <n v="3"/>
    <n v="10"/>
    <n v="60"/>
    <n v="0"/>
    <s v="Veronesi, Giorgio"/>
    <s v="Veronesi Giorgio"/>
    <x v="2"/>
    <s v="WA"/>
    <s v="Product IMEHJ"/>
    <x v="4"/>
    <x v="226"/>
    <d v="2007-06-13T00:00:00"/>
    <x v="3"/>
    <s v="Ship to 63-C"/>
    <x v="8"/>
    <s v="Supplier SWRXU"/>
    <s v="UK"/>
    <x v="2"/>
    <n v="600"/>
  </r>
  <r>
    <n v="10540"/>
    <n v="26"/>
    <n v="31.23"/>
    <n v="40"/>
    <n v="0"/>
    <s v="Veronesi, Giorgio"/>
    <s v="Veronesi Giorgio"/>
    <x v="2"/>
    <s v="WA"/>
    <s v="Product HLGZA"/>
    <x v="5"/>
    <x v="226"/>
    <d v="2007-06-13T00:00:00"/>
    <x v="3"/>
    <s v="Ship to 63-C"/>
    <x v="8"/>
    <s v="Supplier ZPYVS"/>
    <s v="Germany"/>
    <x v="2"/>
    <n v="1249.2"/>
  </r>
  <r>
    <n v="10540"/>
    <n v="38"/>
    <n v="263.5"/>
    <n v="30"/>
    <n v="0"/>
    <s v="Veronesi, Giorgio"/>
    <s v="Veronesi Giorgio"/>
    <x v="2"/>
    <s v="WA"/>
    <s v="Product QDOMO"/>
    <x v="6"/>
    <x v="226"/>
    <d v="2007-06-13T00:00:00"/>
    <x v="3"/>
    <s v="Ship to 63-C"/>
    <x v="8"/>
    <s v="Supplier LVJUA"/>
    <s v="France"/>
    <x v="2"/>
    <n v="7905"/>
  </r>
  <r>
    <n v="10540"/>
    <n v="68"/>
    <n v="12.5"/>
    <n v="35"/>
    <n v="0"/>
    <s v="Veronesi, Giorgio"/>
    <s v="Veronesi Giorgio"/>
    <x v="2"/>
    <s v="WA"/>
    <s v="Product TBTBL"/>
    <x v="5"/>
    <x v="226"/>
    <d v="2007-06-13T00:00:00"/>
    <x v="3"/>
    <s v="Ship to 63-C"/>
    <x v="8"/>
    <s v="Supplier BWGYE"/>
    <s v="UK"/>
    <x v="2"/>
    <n v="437.5"/>
  </r>
  <r>
    <n v="10541"/>
    <n v="24"/>
    <n v="4.5"/>
    <n v="35"/>
    <n v="0.1"/>
    <s v="Cohen, Shy"/>
    <s v="Cohen Shy"/>
    <x v="8"/>
    <s v="WA"/>
    <s v="Product QOGNU"/>
    <x v="6"/>
    <x v="226"/>
    <d v="2007-05-29T00:00:00"/>
    <x v="2"/>
    <s v="Destination SCQXA"/>
    <x v="1"/>
    <s v="Supplier UNAHG"/>
    <s v="Brazil"/>
    <x v="1"/>
    <n v="141.75"/>
  </r>
  <r>
    <n v="10541"/>
    <n v="38"/>
    <n v="263.5"/>
    <n v="4"/>
    <n v="0.1"/>
    <s v="Cohen, Shy"/>
    <s v="Cohen Shy"/>
    <x v="8"/>
    <s v="WA"/>
    <s v="Product QDOMO"/>
    <x v="6"/>
    <x v="226"/>
    <d v="2007-05-29T00:00:00"/>
    <x v="2"/>
    <s v="Destination SCQXA"/>
    <x v="1"/>
    <s v="Supplier LVJUA"/>
    <s v="France"/>
    <x v="1"/>
    <n v="948.6"/>
  </r>
  <r>
    <n v="10541"/>
    <n v="65"/>
    <n v="21.05"/>
    <n v="36"/>
    <n v="0.1"/>
    <s v="Cohen, Shy"/>
    <s v="Cohen Shy"/>
    <x v="8"/>
    <s v="WA"/>
    <s v="Product XYWBZ"/>
    <x v="4"/>
    <x v="226"/>
    <d v="2007-05-29T00:00:00"/>
    <x v="2"/>
    <s v="Destination SCQXA"/>
    <x v="1"/>
    <s v="Supplier VHQZD"/>
    <s v="USA"/>
    <x v="1"/>
    <n v="682.0200000000001"/>
  </r>
  <r>
    <n v="10541"/>
    <n v="71"/>
    <n v="21.5"/>
    <n v="9"/>
    <n v="0.1"/>
    <s v="Cohen, Shy"/>
    <s v="Cohen Shy"/>
    <x v="8"/>
    <s v="WA"/>
    <s v="Product MYMOI"/>
    <x v="0"/>
    <x v="226"/>
    <d v="2007-05-29T00:00:00"/>
    <x v="2"/>
    <s v="Destination SCQXA"/>
    <x v="1"/>
    <s v="Supplier NZLIF"/>
    <s v="Norway"/>
    <x v="1"/>
    <n v="174.15"/>
  </r>
  <r>
    <n v="10542"/>
    <n v="11"/>
    <n v="21"/>
    <n v="15"/>
    <n v="0.05"/>
    <s v="Song, Lolan"/>
    <s v="Song Lolan"/>
    <x v="5"/>
    <s v="WA"/>
    <s v="Product QMVUN"/>
    <x v="0"/>
    <x v="227"/>
    <d v="2007-05-26T00:00:00"/>
    <x v="3"/>
    <s v="Destination DKMQA"/>
    <x v="8"/>
    <s v="Supplier EQPNC"/>
    <s v="Spain"/>
    <x v="1"/>
    <n v="299.25"/>
  </r>
  <r>
    <n v="10542"/>
    <n v="54"/>
    <n v="7.45"/>
    <n v="24"/>
    <n v="0.05"/>
    <s v="Song, Lolan"/>
    <s v="Song Lolan"/>
    <x v="5"/>
    <s v="WA"/>
    <s v="Product QAQRL"/>
    <x v="7"/>
    <x v="227"/>
    <d v="2007-05-26T00:00:00"/>
    <x v="3"/>
    <s v="Destination DKMQA"/>
    <x v="8"/>
    <s v="Supplier ERVYZ"/>
    <s v="Canada"/>
    <x v="1"/>
    <n v="169.86"/>
  </r>
  <r>
    <n v="10543"/>
    <n v="12"/>
    <n v="38"/>
    <n v="30"/>
    <n v="0.15"/>
    <s v="Dressler, Marlies"/>
    <s v="Dressler Marlies"/>
    <x v="6"/>
    <s v="WA"/>
    <s v="Product OSFNS"/>
    <x v="0"/>
    <x v="228"/>
    <d v="2007-05-23T00:00:00"/>
    <x v="1"/>
    <s v="Ship to 46-B"/>
    <x v="5"/>
    <s v="Supplier EQPNC"/>
    <s v="Spain"/>
    <x v="1"/>
    <n v="969"/>
  </r>
  <r>
    <n v="10543"/>
    <n v="23"/>
    <n v="9"/>
    <n v="70"/>
    <n v="0.15"/>
    <s v="Dressler, Marlies"/>
    <s v="Dressler Marlies"/>
    <x v="6"/>
    <s v="WA"/>
    <s v="Product JLUDZ"/>
    <x v="1"/>
    <x v="228"/>
    <d v="2007-05-23T00:00:00"/>
    <x v="1"/>
    <s v="Ship to 46-B"/>
    <x v="5"/>
    <s v="Supplier QQYEU"/>
    <s v="Sweden"/>
    <x v="1"/>
    <n v="535.5"/>
  </r>
  <r>
    <n v="10544"/>
    <n v="28"/>
    <n v="45.6"/>
    <n v="7"/>
    <n v="0"/>
    <s v="Szymczak, Radosław"/>
    <s v="Szymczak Radosław"/>
    <x v="1"/>
    <s v="WA"/>
    <s v="Product OFBNT"/>
    <x v="2"/>
    <x v="228"/>
    <d v="2007-05-30T00:00:00"/>
    <x v="2"/>
    <s v="Ship to 48-C"/>
    <x v="9"/>
    <s v="Supplier SVIYA"/>
    <s v="Germany"/>
    <x v="1"/>
    <n v="319.2"/>
  </r>
  <r>
    <n v="10544"/>
    <n v="67"/>
    <n v="14"/>
    <n v="7"/>
    <n v="0"/>
    <s v="Szymczak, Radosław"/>
    <s v="Szymczak Radosław"/>
    <x v="1"/>
    <s v="WA"/>
    <s v="Product XLXQF"/>
    <x v="6"/>
    <x v="228"/>
    <d v="2007-05-30T00:00:00"/>
    <x v="2"/>
    <s v="Ship to 48-C"/>
    <x v="9"/>
    <s v="Supplier UHZRG"/>
    <s v="USA"/>
    <x v="1"/>
    <n v="98"/>
  </r>
  <r>
    <n v="10545"/>
    <n v="11"/>
    <n v="21"/>
    <n v="10"/>
    <n v="0"/>
    <s v="Deshpande, Anu"/>
    <s v="Deshpande Anu"/>
    <x v="6"/>
    <s v="WA"/>
    <s v="Product QMVUN"/>
    <x v="0"/>
    <x v="229"/>
    <d v="2007-06-26T00:00:00"/>
    <x v="1"/>
    <s v="Ship to 43-B"/>
    <x v="9"/>
    <s v="Supplier EQPNC"/>
    <s v="Spain"/>
    <x v="1"/>
    <n v="210"/>
  </r>
  <r>
    <n v="10546"/>
    <n v="7"/>
    <n v="30"/>
    <n v="10"/>
    <n v="0"/>
    <s v="Tuntisangaroon, Sittichai"/>
    <s v="Tuntisangaroon Sittichai"/>
    <x v="5"/>
    <s v="WA"/>
    <s v="Product HMLNI"/>
    <x v="2"/>
    <x v="230"/>
    <d v="2007-05-27T00:00:00"/>
    <x v="3"/>
    <s v="Ship to 84-C"/>
    <x v="2"/>
    <s v="Supplier STUAZ"/>
    <s v="USA"/>
    <x v="2"/>
    <n v="300"/>
  </r>
  <r>
    <n v="10546"/>
    <n v="35"/>
    <n v="18"/>
    <n v="30"/>
    <n v="0"/>
    <s v="Tuntisangaroon, Sittichai"/>
    <s v="Tuntisangaroon Sittichai"/>
    <x v="5"/>
    <s v="WA"/>
    <s v="Product NEVTJ"/>
    <x v="6"/>
    <x v="230"/>
    <d v="2007-05-27T00:00:00"/>
    <x v="3"/>
    <s v="Ship to 84-C"/>
    <x v="2"/>
    <s v="Supplier UHZRG"/>
    <s v="USA"/>
    <x v="2"/>
    <n v="540"/>
  </r>
  <r>
    <n v="10546"/>
    <n v="62"/>
    <n v="49.3"/>
    <n v="40"/>
    <n v="0"/>
    <s v="Tuntisangaroon, Sittichai"/>
    <s v="Tuntisangaroon Sittichai"/>
    <x v="5"/>
    <s v="WA"/>
    <s v="Product WUXYK"/>
    <x v="5"/>
    <x v="230"/>
    <d v="2007-05-27T00:00:00"/>
    <x v="3"/>
    <s v="Ship to 84-C"/>
    <x v="2"/>
    <s v="Supplier OGLRK"/>
    <s v="Canada"/>
    <x v="2"/>
    <n v="1972"/>
  </r>
  <r>
    <n v="10547"/>
    <n v="32"/>
    <n v="32"/>
    <n v="24"/>
    <n v="0.15"/>
    <s v="Welcker, Brian"/>
    <s v="Welcker Brian"/>
    <x v="2"/>
    <s v="WA"/>
    <s v="Product NUNAW"/>
    <x v="0"/>
    <x v="230"/>
    <d v="2007-06-02T00:00:00"/>
    <x v="1"/>
    <s v="Ship to 72-C"/>
    <x v="14"/>
    <s v="Supplier KEREV"/>
    <s v="Italy"/>
    <x v="2"/>
    <n v="652.79999999999995"/>
  </r>
  <r>
    <n v="10547"/>
    <n v="36"/>
    <n v="19"/>
    <n v="60"/>
    <n v="0"/>
    <s v="Welcker, Brian"/>
    <s v="Welcker Brian"/>
    <x v="2"/>
    <s v="WA"/>
    <s v="Product GMKIJ"/>
    <x v="3"/>
    <x v="230"/>
    <d v="2007-06-02T00:00:00"/>
    <x v="1"/>
    <s v="Ship to 72-C"/>
    <x v="14"/>
    <s v="Supplier QZGUF"/>
    <s v="Sweden"/>
    <x v="2"/>
    <n v="1140"/>
  </r>
  <r>
    <n v="10548"/>
    <n v="34"/>
    <n v="14"/>
    <n v="10"/>
    <n v="0.25"/>
    <s v="Wickham, Jim"/>
    <s v="Wickham Jim"/>
    <x v="2"/>
    <s v="WA"/>
    <s v="Product SWNJY"/>
    <x v="6"/>
    <x v="231"/>
    <d v="2007-06-02T00:00:00"/>
    <x v="1"/>
    <s v="Ship to 79-A"/>
    <x v="8"/>
    <s v="Supplier UHZRG"/>
    <s v="USA"/>
    <x v="1"/>
    <n v="105"/>
  </r>
  <r>
    <n v="10548"/>
    <n v="41"/>
    <n v="9.65"/>
    <n v="14"/>
    <n v="0"/>
    <s v="Wickham, Jim"/>
    <s v="Wickham Jim"/>
    <x v="2"/>
    <s v="WA"/>
    <s v="Product TTEEX"/>
    <x v="3"/>
    <x v="231"/>
    <d v="2007-06-02T00:00:00"/>
    <x v="1"/>
    <s v="Ship to 79-A"/>
    <x v="8"/>
    <s v="Supplier JDNUG"/>
    <s v="USA"/>
    <x v="1"/>
    <n v="135.1"/>
  </r>
  <r>
    <n v="10549"/>
    <n v="31"/>
    <n v="12.5"/>
    <n v="55"/>
    <n v="0.15"/>
    <s v="Veronesi, Giorgio"/>
    <s v="Veronesi Giorgio"/>
    <x v="3"/>
    <n v="0"/>
    <s v="Product XWOXC"/>
    <x v="0"/>
    <x v="232"/>
    <d v="2007-05-30T00:00:00"/>
    <x v="2"/>
    <s v="Ship to 63-C"/>
    <x v="8"/>
    <s v="Supplier KEREV"/>
    <s v="Italy"/>
    <x v="2"/>
    <n v="584.375"/>
  </r>
  <r>
    <n v="10549"/>
    <n v="45"/>
    <n v="9.5"/>
    <n v="100"/>
    <n v="0.15"/>
    <s v="Veronesi, Giorgio"/>
    <s v="Veronesi Giorgio"/>
    <x v="3"/>
    <n v="0"/>
    <s v="Product AQOKR"/>
    <x v="3"/>
    <x v="232"/>
    <d v="2007-05-30T00:00:00"/>
    <x v="2"/>
    <s v="Ship to 63-C"/>
    <x v="8"/>
    <s v="Supplier XOXZA"/>
    <s v="Denmark"/>
    <x v="2"/>
    <n v="807.5"/>
  </r>
  <r>
    <n v="10549"/>
    <n v="51"/>
    <n v="53"/>
    <n v="48"/>
    <n v="0.15"/>
    <s v="Veronesi, Giorgio"/>
    <s v="Veronesi Giorgio"/>
    <x v="3"/>
    <n v="0"/>
    <s v="Product APITJ"/>
    <x v="2"/>
    <x v="232"/>
    <d v="2007-05-30T00:00:00"/>
    <x v="2"/>
    <s v="Ship to 63-C"/>
    <x v="8"/>
    <s v="Supplier JNNES"/>
    <s v="Australia"/>
    <x v="2"/>
    <n v="2162.4"/>
  </r>
  <r>
    <n v="10550"/>
    <n v="17"/>
    <n v="39"/>
    <n v="8"/>
    <n v="0.1"/>
    <s v="Shabalin, Rostislav"/>
    <s v="Shabalin Rostislav"/>
    <x v="9"/>
    <n v="0"/>
    <s v="Product BLCAX"/>
    <x v="7"/>
    <x v="233"/>
    <d v="2007-06-06T00:00:00"/>
    <x v="3"/>
    <s v="Destination GGQIR"/>
    <x v="13"/>
    <s v="Supplier GQRCV"/>
    <s v="Australia"/>
    <x v="1"/>
    <n v="280.8"/>
  </r>
  <r>
    <n v="10550"/>
    <n v="19"/>
    <n v="9.1999999999999993"/>
    <n v="10"/>
    <n v="0"/>
    <s v="Shabalin, Rostislav"/>
    <s v="Shabalin Rostislav"/>
    <x v="9"/>
    <n v="0"/>
    <s v="Product XKXDO"/>
    <x v="5"/>
    <x v="233"/>
    <d v="2007-06-06T00:00:00"/>
    <x v="3"/>
    <s v="Destination GGQIR"/>
    <x v="13"/>
    <s v="Supplier BWGYE"/>
    <s v="UK"/>
    <x v="1"/>
    <n v="92"/>
  </r>
  <r>
    <n v="10550"/>
    <n v="21"/>
    <n v="10"/>
    <n v="6"/>
    <n v="0.1"/>
    <s v="Shabalin, Rostislav"/>
    <s v="Shabalin Rostislav"/>
    <x v="9"/>
    <n v="0"/>
    <s v="Product VJZZH"/>
    <x v="5"/>
    <x v="233"/>
    <d v="2007-06-06T00:00:00"/>
    <x v="3"/>
    <s v="Destination GGQIR"/>
    <x v="13"/>
    <s v="Supplier BWGYE"/>
    <s v="UK"/>
    <x v="1"/>
    <n v="54"/>
  </r>
  <r>
    <n v="10550"/>
    <n v="61"/>
    <n v="28.5"/>
    <n v="10"/>
    <n v="0.1"/>
    <s v="Shabalin, Rostislav"/>
    <s v="Shabalin Rostislav"/>
    <x v="9"/>
    <n v="0"/>
    <s v="Product XYZPE"/>
    <x v="4"/>
    <x v="233"/>
    <d v="2007-06-06T00:00:00"/>
    <x v="3"/>
    <s v="Destination GGQIR"/>
    <x v="13"/>
    <s v="Supplier OGLRK"/>
    <s v="Canada"/>
    <x v="1"/>
    <n v="256.5"/>
  </r>
  <r>
    <n v="10551"/>
    <n v="16"/>
    <n v="17.45"/>
    <n v="40"/>
    <n v="0.15"/>
    <s v="Cavaglieri, Giorgio"/>
    <s v="Cavaglieri Giorgio"/>
    <x v="1"/>
    <s v="WA"/>
    <s v="Product PAFRH"/>
    <x v="5"/>
    <x v="233"/>
    <d v="2007-06-06T00:00:00"/>
    <x v="3"/>
    <s v="Destination OTSWR"/>
    <x v="16"/>
    <s v="Supplier GQRCV"/>
    <s v="Australia"/>
    <x v="1"/>
    <n v="593.29999999999995"/>
  </r>
  <r>
    <n v="10551"/>
    <n v="35"/>
    <n v="18"/>
    <n v="20"/>
    <n v="0.15"/>
    <s v="Cavaglieri, Giorgio"/>
    <s v="Cavaglieri Giorgio"/>
    <x v="1"/>
    <s v="WA"/>
    <s v="Product NEVTJ"/>
    <x v="6"/>
    <x v="233"/>
    <d v="2007-06-06T00:00:00"/>
    <x v="3"/>
    <s v="Destination OTSWR"/>
    <x v="16"/>
    <s v="Supplier UHZRG"/>
    <s v="USA"/>
    <x v="1"/>
    <n v="306"/>
  </r>
  <r>
    <n v="10551"/>
    <n v="44"/>
    <n v="19.45"/>
    <n v="40"/>
    <n v="0"/>
    <s v="Cavaglieri, Giorgio"/>
    <s v="Cavaglieri Giorgio"/>
    <x v="1"/>
    <s v="WA"/>
    <s v="Product VJIEO"/>
    <x v="4"/>
    <x v="233"/>
    <d v="2007-06-06T00:00:00"/>
    <x v="3"/>
    <s v="Destination OTSWR"/>
    <x v="16"/>
    <s v="Supplier CIYNM"/>
    <s v="Singapore"/>
    <x v="1"/>
    <n v="778"/>
  </r>
  <r>
    <n v="10552"/>
    <n v="69"/>
    <n v="36"/>
    <n v="18"/>
    <n v="0"/>
    <s v="Langohr, Kris"/>
    <s v="Langohr Kris"/>
    <x v="8"/>
    <s v="WA"/>
    <s v="Product COAXA"/>
    <x v="0"/>
    <x v="234"/>
    <d v="2007-06-05T00:00:00"/>
    <x v="2"/>
    <s v="Destination UOUWK"/>
    <x v="5"/>
    <s v="Supplier NZLIF"/>
    <s v="Norway"/>
    <x v="1"/>
    <n v="648"/>
  </r>
  <r>
    <n v="10552"/>
    <n v="75"/>
    <n v="7.75"/>
    <n v="30"/>
    <n v="0"/>
    <s v="Langohr, Kris"/>
    <s v="Langohr Kris"/>
    <x v="8"/>
    <s v="WA"/>
    <s v="Product BWRLG"/>
    <x v="6"/>
    <x v="234"/>
    <d v="2007-06-05T00:00:00"/>
    <x v="2"/>
    <s v="Destination UOUWK"/>
    <x v="5"/>
    <s v="Supplier SVIYA"/>
    <s v="Germany"/>
    <x v="1"/>
    <n v="232.5"/>
  </r>
  <r>
    <n v="10553"/>
    <n v="11"/>
    <n v="21"/>
    <n v="15"/>
    <n v="0"/>
    <s v="Ludwig, Michael"/>
    <s v="Ludwig Michael"/>
    <x v="8"/>
    <s v="WA"/>
    <s v="Product QMVUN"/>
    <x v="0"/>
    <x v="235"/>
    <d v="2007-06-03T00:00:00"/>
    <x v="1"/>
    <s v="Ship to 87-B"/>
    <x v="11"/>
    <s v="Supplier EQPNC"/>
    <s v="Spain"/>
    <x v="2"/>
    <n v="315"/>
  </r>
  <r>
    <n v="10553"/>
    <n v="16"/>
    <n v="17.45"/>
    <n v="14"/>
    <n v="0"/>
    <s v="Ludwig, Michael"/>
    <s v="Ludwig Michael"/>
    <x v="8"/>
    <s v="WA"/>
    <s v="Product PAFRH"/>
    <x v="5"/>
    <x v="235"/>
    <d v="2007-06-03T00:00:00"/>
    <x v="1"/>
    <s v="Ship to 87-B"/>
    <x v="11"/>
    <s v="Supplier GQRCV"/>
    <s v="Australia"/>
    <x v="2"/>
    <n v="244.29999999999998"/>
  </r>
  <r>
    <n v="10553"/>
    <n v="22"/>
    <n v="21"/>
    <n v="24"/>
    <n v="0"/>
    <s v="Ludwig, Michael"/>
    <s v="Ludwig Michael"/>
    <x v="8"/>
    <s v="WA"/>
    <s v="Product CPHFY"/>
    <x v="1"/>
    <x v="235"/>
    <d v="2007-06-03T00:00:00"/>
    <x v="1"/>
    <s v="Ship to 87-B"/>
    <x v="11"/>
    <s v="Supplier QQYEU"/>
    <s v="Sweden"/>
    <x v="2"/>
    <n v="504"/>
  </r>
  <r>
    <n v="10553"/>
    <n v="31"/>
    <n v="12.5"/>
    <n v="30"/>
    <n v="0"/>
    <s v="Ludwig, Michael"/>
    <s v="Ludwig Michael"/>
    <x v="8"/>
    <s v="WA"/>
    <s v="Product XWOXC"/>
    <x v="0"/>
    <x v="235"/>
    <d v="2007-06-03T00:00:00"/>
    <x v="1"/>
    <s v="Ship to 87-B"/>
    <x v="11"/>
    <s v="Supplier KEREV"/>
    <s v="Italy"/>
    <x v="2"/>
    <n v="375"/>
  </r>
  <r>
    <n v="10553"/>
    <n v="35"/>
    <n v="18"/>
    <n v="6"/>
    <n v="0"/>
    <s v="Ludwig, Michael"/>
    <s v="Ludwig Michael"/>
    <x v="8"/>
    <s v="WA"/>
    <s v="Product NEVTJ"/>
    <x v="6"/>
    <x v="235"/>
    <d v="2007-06-03T00:00:00"/>
    <x v="1"/>
    <s v="Ship to 87-B"/>
    <x v="11"/>
    <s v="Supplier UHZRG"/>
    <s v="USA"/>
    <x v="2"/>
    <n v="108"/>
  </r>
  <r>
    <n v="10554"/>
    <n v="16"/>
    <n v="17.45"/>
    <n v="30"/>
    <n v="0.05"/>
    <s v="Marinova, Nadejda"/>
    <s v="Marinova Nadejda"/>
    <x v="1"/>
    <s v="WA"/>
    <s v="Product PAFRH"/>
    <x v="5"/>
    <x v="235"/>
    <d v="2007-06-05T00:00:00"/>
    <x v="3"/>
    <s v="Ship to 56-C"/>
    <x v="8"/>
    <s v="Supplier GQRCV"/>
    <s v="Australia"/>
    <x v="2"/>
    <n v="497.32499999999999"/>
  </r>
  <r>
    <n v="10554"/>
    <n v="23"/>
    <n v="9"/>
    <n v="20"/>
    <n v="0.05"/>
    <s v="Marinova, Nadejda"/>
    <s v="Marinova Nadejda"/>
    <x v="1"/>
    <s v="WA"/>
    <s v="Product JLUDZ"/>
    <x v="1"/>
    <x v="235"/>
    <d v="2007-06-05T00:00:00"/>
    <x v="3"/>
    <s v="Ship to 56-C"/>
    <x v="8"/>
    <s v="Supplier QQYEU"/>
    <s v="Sweden"/>
    <x v="2"/>
    <n v="171"/>
  </r>
  <r>
    <n v="10554"/>
    <n v="62"/>
    <n v="49.3"/>
    <n v="20"/>
    <n v="0.05"/>
    <s v="Marinova, Nadejda"/>
    <s v="Marinova Nadejda"/>
    <x v="1"/>
    <s v="WA"/>
    <s v="Product WUXYK"/>
    <x v="5"/>
    <x v="235"/>
    <d v="2007-06-05T00:00:00"/>
    <x v="3"/>
    <s v="Ship to 56-C"/>
    <x v="8"/>
    <s v="Supplier OGLRK"/>
    <s v="Canada"/>
    <x v="2"/>
    <n v="936.69999999999993"/>
  </r>
  <r>
    <n v="10554"/>
    <n v="77"/>
    <n v="13"/>
    <n v="10"/>
    <n v="0.05"/>
    <s v="Marinova, Nadejda"/>
    <s v="Marinova Nadejda"/>
    <x v="1"/>
    <s v="WA"/>
    <s v="Product LUNZZ"/>
    <x v="4"/>
    <x v="235"/>
    <d v="2007-06-05T00:00:00"/>
    <x v="3"/>
    <s v="Ship to 56-C"/>
    <x v="8"/>
    <s v="Supplier SVIYA"/>
    <s v="Germany"/>
    <x v="2"/>
    <n v="123.5"/>
  </r>
  <r>
    <n v="10555"/>
    <n v="14"/>
    <n v="23.25"/>
    <n v="30"/>
    <n v="0.2"/>
    <s v="Navarro, Tomás"/>
    <s v="Navarro Tomás"/>
    <x v="7"/>
    <n v="0"/>
    <s v="Product PWCJB"/>
    <x v="2"/>
    <x v="236"/>
    <d v="2007-06-04T00:00:00"/>
    <x v="3"/>
    <s v="Ship to 71-B"/>
    <x v="9"/>
    <s v="Supplier QWUSF"/>
    <s v="Japan"/>
    <x v="2"/>
    <n v="558"/>
  </r>
  <r>
    <n v="10555"/>
    <n v="19"/>
    <n v="9.1999999999999993"/>
    <n v="35"/>
    <n v="0.2"/>
    <s v="Navarro, Tomás"/>
    <s v="Navarro Tomás"/>
    <x v="7"/>
    <n v="0"/>
    <s v="Product XKXDO"/>
    <x v="5"/>
    <x v="236"/>
    <d v="2007-06-04T00:00:00"/>
    <x v="3"/>
    <s v="Ship to 71-B"/>
    <x v="9"/>
    <s v="Supplier BWGYE"/>
    <s v="UK"/>
    <x v="2"/>
    <n v="257.60000000000002"/>
  </r>
  <r>
    <n v="10555"/>
    <n v="24"/>
    <n v="4.5"/>
    <n v="18"/>
    <n v="0.2"/>
    <s v="Navarro, Tomás"/>
    <s v="Navarro Tomás"/>
    <x v="7"/>
    <n v="0"/>
    <s v="Product QOGNU"/>
    <x v="6"/>
    <x v="236"/>
    <d v="2007-06-04T00:00:00"/>
    <x v="3"/>
    <s v="Ship to 71-B"/>
    <x v="9"/>
    <s v="Supplier UNAHG"/>
    <s v="Brazil"/>
    <x v="2"/>
    <n v="64.8"/>
  </r>
  <r>
    <n v="10555"/>
    <n v="51"/>
    <n v="53"/>
    <n v="20"/>
    <n v="0.2"/>
    <s v="Navarro, Tomás"/>
    <s v="Navarro Tomás"/>
    <x v="7"/>
    <n v="0"/>
    <s v="Product APITJ"/>
    <x v="2"/>
    <x v="236"/>
    <d v="2007-06-04T00:00:00"/>
    <x v="3"/>
    <s v="Ship to 71-B"/>
    <x v="9"/>
    <s v="Supplier JNNES"/>
    <s v="Australia"/>
    <x v="2"/>
    <n v="848"/>
  </r>
  <r>
    <n v="10555"/>
    <n v="56"/>
    <n v="38"/>
    <n v="40"/>
    <n v="0.2"/>
    <s v="Navarro, Tomás"/>
    <s v="Navarro Tomás"/>
    <x v="7"/>
    <n v="0"/>
    <s v="Product VKCMF"/>
    <x v="1"/>
    <x v="236"/>
    <d v="2007-06-04T00:00:00"/>
    <x v="3"/>
    <s v="Ship to 71-B"/>
    <x v="9"/>
    <s v="Supplier ZWZDM"/>
    <s v="Italy"/>
    <x v="2"/>
    <n v="1216"/>
  </r>
  <r>
    <n v="10556"/>
    <n v="72"/>
    <n v="34.799999999999997"/>
    <n v="24"/>
    <n v="0"/>
    <s v="Gonzalez, Nuria"/>
    <s v="Gonzalez Nuria"/>
    <x v="8"/>
    <s v="WA"/>
    <s v="Product GEEOO"/>
    <x v="0"/>
    <x v="237"/>
    <d v="2007-06-13T00:00:00"/>
    <x v="2"/>
    <s v="Ship to 73-A"/>
    <x v="18"/>
    <s v="Supplier KEREV"/>
    <s v="Italy"/>
    <x v="1"/>
    <n v="835.19999999999993"/>
  </r>
  <r>
    <n v="10557"/>
    <n v="64"/>
    <n v="33.25"/>
    <n v="30"/>
    <n v="0"/>
    <s v="Louverdis, George"/>
    <s v="Louverdis George"/>
    <x v="4"/>
    <n v="0"/>
    <s v="Product HCQDE"/>
    <x v="1"/>
    <x v="237"/>
    <d v="2007-06-06T00:00:00"/>
    <x v="1"/>
    <s v="Ship to 44-C"/>
    <x v="8"/>
    <s v="Supplier SVIYA"/>
    <s v="Germany"/>
    <x v="1"/>
    <n v="997.5"/>
  </r>
  <r>
    <n v="10557"/>
    <n v="75"/>
    <n v="7.75"/>
    <n v="20"/>
    <n v="0"/>
    <s v="Louverdis, George"/>
    <s v="Louverdis George"/>
    <x v="4"/>
    <n v="0"/>
    <s v="Product BWRLG"/>
    <x v="6"/>
    <x v="237"/>
    <d v="2007-06-06T00:00:00"/>
    <x v="1"/>
    <s v="Ship to 44-C"/>
    <x v="8"/>
    <s v="Supplier SVIYA"/>
    <s v="Germany"/>
    <x v="1"/>
    <n v="155"/>
  </r>
  <r>
    <n v="10558"/>
    <n v="47"/>
    <n v="9.5"/>
    <n v="25"/>
    <n v="0"/>
    <s v="Arndt, Torsten"/>
    <s v="Arndt Torsten"/>
    <x v="5"/>
    <s v="WA"/>
    <s v="Product EZZPR"/>
    <x v="5"/>
    <x v="238"/>
    <d v="2007-06-10T00:00:00"/>
    <x v="1"/>
    <s v="Ship to 4-B"/>
    <x v="14"/>
    <s v="Supplier FNUXM"/>
    <s v="Netherlands"/>
    <x v="1"/>
    <n v="237.5"/>
  </r>
  <r>
    <n v="10558"/>
    <n v="51"/>
    <n v="53"/>
    <n v="20"/>
    <n v="0"/>
    <s v="Arndt, Torsten"/>
    <s v="Arndt Torsten"/>
    <x v="5"/>
    <s v="WA"/>
    <s v="Product APITJ"/>
    <x v="2"/>
    <x v="238"/>
    <d v="2007-06-10T00:00:00"/>
    <x v="1"/>
    <s v="Ship to 4-B"/>
    <x v="14"/>
    <s v="Supplier JNNES"/>
    <s v="Australia"/>
    <x v="1"/>
    <n v="1060"/>
  </r>
  <r>
    <n v="10558"/>
    <n v="52"/>
    <n v="7"/>
    <n v="30"/>
    <n v="0"/>
    <s v="Arndt, Torsten"/>
    <s v="Arndt Torsten"/>
    <x v="5"/>
    <s v="WA"/>
    <s v="Product QSRXF"/>
    <x v="1"/>
    <x v="238"/>
    <d v="2007-06-10T00:00:00"/>
    <x v="1"/>
    <s v="Ship to 4-B"/>
    <x v="14"/>
    <s v="Supplier JNNES"/>
    <s v="Australia"/>
    <x v="1"/>
    <n v="210"/>
  </r>
  <r>
    <n v="10558"/>
    <n v="53"/>
    <n v="32.799999999999997"/>
    <n v="18"/>
    <n v="0"/>
    <s v="Arndt, Torsten"/>
    <s v="Arndt Torsten"/>
    <x v="5"/>
    <s v="WA"/>
    <s v="Product BKGEA"/>
    <x v="7"/>
    <x v="238"/>
    <d v="2007-06-10T00:00:00"/>
    <x v="1"/>
    <s v="Ship to 4-B"/>
    <x v="14"/>
    <s v="Supplier JNNES"/>
    <s v="Australia"/>
    <x v="1"/>
    <n v="590.4"/>
  </r>
  <r>
    <n v="10558"/>
    <n v="73"/>
    <n v="15"/>
    <n v="3"/>
    <n v="0"/>
    <s v="Arndt, Torsten"/>
    <s v="Arndt Torsten"/>
    <x v="5"/>
    <s v="WA"/>
    <s v="Product WEUJZ"/>
    <x v="3"/>
    <x v="238"/>
    <d v="2007-06-10T00:00:00"/>
    <x v="1"/>
    <s v="Ship to 4-B"/>
    <x v="14"/>
    <s v="Supplier QZGUF"/>
    <s v="Sweden"/>
    <x v="1"/>
    <n v="45"/>
  </r>
  <r>
    <n v="10559"/>
    <n v="41"/>
    <n v="9.65"/>
    <n v="12"/>
    <n v="0.05"/>
    <s v="Bansal, Dushyant"/>
    <s v="Bansal Dushyant"/>
    <x v="7"/>
    <n v="0"/>
    <s v="Product TTEEX"/>
    <x v="3"/>
    <x v="239"/>
    <d v="2007-06-13T00:00:00"/>
    <x v="2"/>
    <s v="Ship to 7-B"/>
    <x v="2"/>
    <s v="Supplier JDNUG"/>
    <s v="USA"/>
    <x v="1"/>
    <n v="110.01"/>
  </r>
  <r>
    <n v="10559"/>
    <n v="55"/>
    <n v="24"/>
    <n v="18"/>
    <n v="0.05"/>
    <s v="Bansal, Dushyant"/>
    <s v="Bansal Dushyant"/>
    <x v="7"/>
    <n v="0"/>
    <s v="Product YYWRT"/>
    <x v="7"/>
    <x v="239"/>
    <d v="2007-06-13T00:00:00"/>
    <x v="2"/>
    <s v="Ship to 7-B"/>
    <x v="2"/>
    <s v="Supplier ERVYZ"/>
    <s v="Canada"/>
    <x v="1"/>
    <n v="410.4"/>
  </r>
  <r>
    <n v="10560"/>
    <n v="30"/>
    <n v="25.89"/>
    <n v="20"/>
    <n v="0"/>
    <s v="Carlson, Jason"/>
    <s v="Carlson Jason"/>
    <x v="6"/>
    <s v="WA"/>
    <s v="Product LYERX"/>
    <x v="3"/>
    <x v="240"/>
    <d v="2007-06-09T00:00:00"/>
    <x v="2"/>
    <s v="Destination QOCBL"/>
    <x v="8"/>
    <s v="Supplier TEGSC"/>
    <s v="Germany"/>
    <x v="1"/>
    <n v="517.79999999999995"/>
  </r>
  <r>
    <n v="10560"/>
    <n v="62"/>
    <n v="49.3"/>
    <n v="15"/>
    <n v="0.25"/>
    <s v="Carlson, Jason"/>
    <s v="Carlson Jason"/>
    <x v="6"/>
    <s v="WA"/>
    <s v="Product WUXYK"/>
    <x v="5"/>
    <x v="240"/>
    <d v="2007-06-09T00:00:00"/>
    <x v="2"/>
    <s v="Destination QOCBL"/>
    <x v="8"/>
    <s v="Supplier OGLRK"/>
    <s v="Canada"/>
    <x v="1"/>
    <n v="554.625"/>
  </r>
  <r>
    <n v="10561"/>
    <n v="44"/>
    <n v="19.45"/>
    <n v="10"/>
    <n v="0"/>
    <s v="San Juan, Patricia"/>
    <s v="San Juan Patricia"/>
    <x v="8"/>
    <s v="WA"/>
    <s v="Product VJIEO"/>
    <x v="4"/>
    <x v="240"/>
    <d v="2007-06-09T00:00:00"/>
    <x v="1"/>
    <s v="Destination YCMPK"/>
    <x v="10"/>
    <s v="Supplier CIYNM"/>
    <s v="Singapore"/>
    <x v="2"/>
    <n v="194.5"/>
  </r>
  <r>
    <n v="10561"/>
    <n v="51"/>
    <n v="53"/>
    <n v="50"/>
    <n v="0"/>
    <s v="San Juan, Patricia"/>
    <s v="San Juan Patricia"/>
    <x v="8"/>
    <s v="WA"/>
    <s v="Product APITJ"/>
    <x v="2"/>
    <x v="240"/>
    <d v="2007-06-09T00:00:00"/>
    <x v="1"/>
    <s v="Destination YCMPK"/>
    <x v="10"/>
    <s v="Supplier JNNES"/>
    <s v="Australia"/>
    <x v="2"/>
    <n v="2650"/>
  </r>
  <r>
    <n v="10562"/>
    <n v="33"/>
    <n v="2.5"/>
    <n v="20"/>
    <n v="0.1"/>
    <s v="Voss, Florian"/>
    <s v="Voss Florian"/>
    <x v="5"/>
    <s v="WA"/>
    <s v="Product ASTMN"/>
    <x v="0"/>
    <x v="241"/>
    <d v="2007-06-12T00:00:00"/>
    <x v="2"/>
    <s v="Ship to 66-B"/>
    <x v="12"/>
    <s v="Supplier NZLIF"/>
    <s v="Norway"/>
    <x v="1"/>
    <n v="45"/>
  </r>
  <r>
    <n v="10562"/>
    <n v="62"/>
    <n v="49.3"/>
    <n v="10"/>
    <n v="0.1"/>
    <s v="Voss, Florian"/>
    <s v="Voss Florian"/>
    <x v="5"/>
    <s v="WA"/>
    <s v="Product WUXYK"/>
    <x v="5"/>
    <x v="241"/>
    <d v="2007-06-12T00:00:00"/>
    <x v="2"/>
    <s v="Ship to 66-B"/>
    <x v="12"/>
    <s v="Supplier OGLRK"/>
    <s v="Canada"/>
    <x v="1"/>
    <n v="443.7"/>
  </r>
  <r>
    <n v="10563"/>
    <n v="36"/>
    <n v="19"/>
    <n v="25"/>
    <n v="0"/>
    <s v="Garden, Euan"/>
    <s v="Garden Euan"/>
    <x v="8"/>
    <s v="WA"/>
    <s v="Product GMKIJ"/>
    <x v="3"/>
    <x v="242"/>
    <d v="2007-06-24T00:00:00"/>
    <x v="1"/>
    <s v="Ship to 67-B"/>
    <x v="1"/>
    <s v="Supplier QZGUF"/>
    <s v="Sweden"/>
    <x v="1"/>
    <n v="475"/>
  </r>
  <r>
    <n v="10563"/>
    <n v="52"/>
    <n v="7"/>
    <n v="70"/>
    <n v="0"/>
    <s v="Garden, Euan"/>
    <s v="Garden Euan"/>
    <x v="8"/>
    <s v="WA"/>
    <s v="Product QSRXF"/>
    <x v="1"/>
    <x v="242"/>
    <d v="2007-06-24T00:00:00"/>
    <x v="1"/>
    <s v="Ship to 67-B"/>
    <x v="1"/>
    <s v="Supplier JNNES"/>
    <s v="Australia"/>
    <x v="1"/>
    <n v="490"/>
  </r>
  <r>
    <n v="10564"/>
    <n v="17"/>
    <n v="39"/>
    <n v="16"/>
    <n v="0.05"/>
    <s v="Moore, Michael"/>
    <s v="Moore Michael"/>
    <x v="1"/>
    <s v="WA"/>
    <s v="Product BLCAX"/>
    <x v="7"/>
    <x v="242"/>
    <d v="2007-06-16T00:00:00"/>
    <x v="3"/>
    <s v="Ship to 65-B"/>
    <x v="9"/>
    <s v="Supplier GQRCV"/>
    <s v="Australia"/>
    <x v="1"/>
    <n v="592.79999999999995"/>
  </r>
  <r>
    <n v="10564"/>
    <n v="31"/>
    <n v="12.5"/>
    <n v="6"/>
    <n v="0.05"/>
    <s v="Moore, Michael"/>
    <s v="Moore Michael"/>
    <x v="1"/>
    <s v="WA"/>
    <s v="Product XWOXC"/>
    <x v="0"/>
    <x v="242"/>
    <d v="2007-06-16T00:00:00"/>
    <x v="3"/>
    <s v="Ship to 65-B"/>
    <x v="9"/>
    <s v="Supplier KEREV"/>
    <s v="Italy"/>
    <x v="1"/>
    <n v="71.25"/>
  </r>
  <r>
    <n v="10564"/>
    <n v="55"/>
    <n v="24"/>
    <n v="25"/>
    <n v="0.05"/>
    <s v="Moore, Michael"/>
    <s v="Moore Michael"/>
    <x v="1"/>
    <s v="WA"/>
    <s v="Product YYWRT"/>
    <x v="7"/>
    <x v="242"/>
    <d v="2007-06-16T00:00:00"/>
    <x v="3"/>
    <s v="Ship to 65-B"/>
    <x v="9"/>
    <s v="Supplier ERVYZ"/>
    <s v="Canada"/>
    <x v="1"/>
    <n v="570"/>
  </r>
  <r>
    <n v="10565"/>
    <n v="24"/>
    <n v="4.5"/>
    <n v="25"/>
    <n v="0.1"/>
    <s v="Taylor, Maurice"/>
    <s v="Taylor Maurice"/>
    <x v="6"/>
    <s v="WA"/>
    <s v="Product QOGNU"/>
    <x v="6"/>
    <x v="243"/>
    <d v="2007-06-18T00:00:00"/>
    <x v="1"/>
    <s v="Ship to 51-C"/>
    <x v="17"/>
    <s v="Supplier UNAHG"/>
    <s v="Brazil"/>
    <x v="1"/>
    <n v="101.25"/>
  </r>
  <r>
    <n v="10565"/>
    <n v="64"/>
    <n v="33.25"/>
    <n v="18"/>
    <n v="0.1"/>
    <s v="Taylor, Maurice"/>
    <s v="Taylor Maurice"/>
    <x v="6"/>
    <s v="WA"/>
    <s v="Product HCQDE"/>
    <x v="1"/>
    <x v="243"/>
    <d v="2007-06-18T00:00:00"/>
    <x v="1"/>
    <s v="Ship to 51-C"/>
    <x v="17"/>
    <s v="Supplier SVIYA"/>
    <s v="Germany"/>
    <x v="1"/>
    <n v="538.65"/>
  </r>
  <r>
    <n v="10566"/>
    <n v="11"/>
    <n v="21"/>
    <n v="35"/>
    <n v="0.15"/>
    <s v="Bansal, Dushyant"/>
    <s v="Bansal Dushyant"/>
    <x v="4"/>
    <n v="0"/>
    <s v="Product QMVUN"/>
    <x v="0"/>
    <x v="244"/>
    <d v="2007-06-18T00:00:00"/>
    <x v="2"/>
    <s v="Ship to 7-C"/>
    <x v="2"/>
    <s v="Supplier EQPNC"/>
    <s v="Spain"/>
    <x v="1"/>
    <n v="624.75"/>
  </r>
  <r>
    <n v="10566"/>
    <n v="18"/>
    <n v="62.5"/>
    <n v="18"/>
    <n v="0.15"/>
    <s v="Bansal, Dushyant"/>
    <s v="Bansal Dushyant"/>
    <x v="4"/>
    <n v="0"/>
    <s v="Product CKEDC"/>
    <x v="3"/>
    <x v="244"/>
    <d v="2007-06-18T00:00:00"/>
    <x v="2"/>
    <s v="Ship to 7-C"/>
    <x v="2"/>
    <s v="Supplier GQRCV"/>
    <s v="Australia"/>
    <x v="1"/>
    <n v="956.25"/>
  </r>
  <r>
    <n v="10566"/>
    <n v="76"/>
    <n v="18"/>
    <n v="10"/>
    <n v="0"/>
    <s v="Bansal, Dushyant"/>
    <s v="Bansal Dushyant"/>
    <x v="4"/>
    <n v="0"/>
    <s v="Product JYGFE"/>
    <x v="6"/>
    <x v="244"/>
    <d v="2007-06-18T00:00:00"/>
    <x v="2"/>
    <s v="Ship to 7-C"/>
    <x v="2"/>
    <s v="Supplier ELCRN"/>
    <s v="Finland"/>
    <x v="1"/>
    <n v="180"/>
  </r>
  <r>
    <n v="10567"/>
    <n v="31"/>
    <n v="12.5"/>
    <n v="60"/>
    <n v="0.2"/>
    <s v="Crăciun, Ovidiu V."/>
    <s v="Crăciun Ovidiu V."/>
    <x v="5"/>
    <s v="WA"/>
    <s v="Product XWOXC"/>
    <x v="0"/>
    <x v="244"/>
    <d v="2007-06-17T00:00:00"/>
    <x v="2"/>
    <s v="Destination DGKOU"/>
    <x v="15"/>
    <s v="Supplier KEREV"/>
    <s v="Italy"/>
    <x v="1"/>
    <n v="600"/>
  </r>
  <r>
    <n v="10567"/>
    <n v="51"/>
    <n v="53"/>
    <n v="3"/>
    <n v="0"/>
    <s v="Crăciun, Ovidiu V."/>
    <s v="Crăciun Ovidiu V."/>
    <x v="5"/>
    <s v="WA"/>
    <s v="Product APITJ"/>
    <x v="2"/>
    <x v="244"/>
    <d v="2007-06-17T00:00:00"/>
    <x v="2"/>
    <s v="Destination DGKOU"/>
    <x v="15"/>
    <s v="Supplier JNNES"/>
    <s v="Australia"/>
    <x v="1"/>
    <n v="159"/>
  </r>
  <r>
    <n v="10567"/>
    <n v="59"/>
    <n v="55"/>
    <n v="40"/>
    <n v="0.2"/>
    <s v="Crăciun, Ovidiu V."/>
    <s v="Crăciun Ovidiu V."/>
    <x v="5"/>
    <s v="WA"/>
    <s v="Product UKXRI"/>
    <x v="0"/>
    <x v="244"/>
    <d v="2007-06-17T00:00:00"/>
    <x v="2"/>
    <s v="Destination DGKOU"/>
    <x v="15"/>
    <s v="Supplier OAVQT"/>
    <s v="France"/>
    <x v="1"/>
    <n v="1760"/>
  </r>
  <r>
    <n v="10568"/>
    <n v="10"/>
    <n v="31"/>
    <n v="5"/>
    <n v="0"/>
    <s v="Kolesnikova, Katerina"/>
    <s v="Kolesnikova Katerina"/>
    <x v="2"/>
    <s v="WA"/>
    <s v="Product YHXGE"/>
    <x v="3"/>
    <x v="245"/>
    <d v="2007-07-09T00:00:00"/>
    <x v="3"/>
    <s v="Destination VPNNG"/>
    <x v="13"/>
    <s v="Supplier QOVFD"/>
    <s v="Japan"/>
    <x v="1"/>
    <n v="155"/>
  </r>
  <r>
    <n v="10569"/>
    <n v="31"/>
    <n v="12.5"/>
    <n v="35"/>
    <n v="0.2"/>
    <s v="Moore, Michael"/>
    <s v="Moore Michael"/>
    <x v="3"/>
    <n v="0"/>
    <s v="Product XWOXC"/>
    <x v="0"/>
    <x v="246"/>
    <d v="2007-07-11T00:00:00"/>
    <x v="2"/>
    <s v="Ship to 65-B"/>
    <x v="9"/>
    <s v="Supplier KEREV"/>
    <s v="Italy"/>
    <x v="1"/>
    <n v="350"/>
  </r>
  <r>
    <n v="10569"/>
    <n v="76"/>
    <n v="18"/>
    <n v="30"/>
    <n v="0"/>
    <s v="Moore, Michael"/>
    <s v="Moore Michael"/>
    <x v="3"/>
    <n v="0"/>
    <s v="Product JYGFE"/>
    <x v="6"/>
    <x v="246"/>
    <d v="2007-07-11T00:00:00"/>
    <x v="2"/>
    <s v="Ship to 65-B"/>
    <x v="9"/>
    <s v="Supplier ELCRN"/>
    <s v="Finland"/>
    <x v="1"/>
    <n v="540"/>
  </r>
  <r>
    <n v="10570"/>
    <n v="11"/>
    <n v="21"/>
    <n v="15"/>
    <n v="0.05"/>
    <s v="Taylor, Maurice"/>
    <s v="Taylor Maurice"/>
    <x v="2"/>
    <s v="WA"/>
    <s v="Product QMVUN"/>
    <x v="0"/>
    <x v="247"/>
    <d v="2007-06-19T00:00:00"/>
    <x v="3"/>
    <s v="Ship to 51-C"/>
    <x v="17"/>
    <s v="Supplier EQPNC"/>
    <s v="Spain"/>
    <x v="2"/>
    <n v="299.25"/>
  </r>
  <r>
    <n v="10570"/>
    <n v="56"/>
    <n v="38"/>
    <n v="60"/>
    <n v="0.05"/>
    <s v="Taylor, Maurice"/>
    <s v="Taylor Maurice"/>
    <x v="2"/>
    <s v="WA"/>
    <s v="Product VKCMF"/>
    <x v="1"/>
    <x v="247"/>
    <d v="2007-06-19T00:00:00"/>
    <x v="3"/>
    <s v="Ship to 51-C"/>
    <x v="17"/>
    <s v="Supplier ZWZDM"/>
    <s v="Italy"/>
    <x v="2"/>
    <n v="2166"/>
  </r>
  <r>
    <n v="10571"/>
    <n v="14"/>
    <n v="23.25"/>
    <n v="11"/>
    <n v="0.15"/>
    <s v="Kane, John"/>
    <s v="Kane John"/>
    <x v="6"/>
    <s v="WA"/>
    <s v="Product PWCJB"/>
    <x v="2"/>
    <x v="247"/>
    <d v="2007-07-04T00:00:00"/>
    <x v="3"/>
    <s v="Destination RVDMF"/>
    <x v="6"/>
    <s v="Supplier QWUSF"/>
    <s v="Japan"/>
    <x v="1"/>
    <n v="217.38749999999999"/>
  </r>
  <r>
    <n v="10571"/>
    <n v="42"/>
    <n v="14"/>
    <n v="28"/>
    <n v="0.15"/>
    <s v="Kane, John"/>
    <s v="Kane John"/>
    <x v="6"/>
    <s v="WA"/>
    <s v="Product RJVNM"/>
    <x v="1"/>
    <x v="247"/>
    <d v="2007-07-04T00:00:00"/>
    <x v="3"/>
    <s v="Destination RVDMF"/>
    <x v="6"/>
    <s v="Supplier CIYNM"/>
    <s v="Singapore"/>
    <x v="1"/>
    <n v="333.2"/>
  </r>
  <r>
    <n v="10572"/>
    <n v="16"/>
    <n v="17.45"/>
    <n v="12"/>
    <n v="0.1"/>
    <s v="Higginbotham, Tom"/>
    <s v="Higginbotham Tom"/>
    <x v="2"/>
    <s v="WA"/>
    <s v="Product PAFRH"/>
    <x v="5"/>
    <x v="248"/>
    <d v="2007-06-25T00:00:00"/>
    <x v="1"/>
    <s v="Ship to 5-B"/>
    <x v="10"/>
    <s v="Supplier GQRCV"/>
    <s v="Australia"/>
    <x v="2"/>
    <n v="188.45999999999998"/>
  </r>
  <r>
    <n v="10572"/>
    <n v="32"/>
    <n v="32"/>
    <n v="10"/>
    <n v="0.1"/>
    <s v="Higginbotham, Tom"/>
    <s v="Higginbotham Tom"/>
    <x v="2"/>
    <s v="WA"/>
    <s v="Product NUNAW"/>
    <x v="0"/>
    <x v="248"/>
    <d v="2007-06-25T00:00:00"/>
    <x v="1"/>
    <s v="Ship to 5-B"/>
    <x v="10"/>
    <s v="Supplier KEREV"/>
    <s v="Italy"/>
    <x v="2"/>
    <n v="288"/>
  </r>
  <r>
    <n v="10572"/>
    <n v="40"/>
    <n v="18.399999999999999"/>
    <n v="50"/>
    <n v="0"/>
    <s v="Higginbotham, Tom"/>
    <s v="Higginbotham Tom"/>
    <x v="2"/>
    <s v="WA"/>
    <s v="Product YZIXQ"/>
    <x v="3"/>
    <x v="248"/>
    <d v="2007-06-25T00:00:00"/>
    <x v="1"/>
    <s v="Ship to 5-B"/>
    <x v="10"/>
    <s v="Supplier JDNUG"/>
    <s v="USA"/>
    <x v="2"/>
    <n v="919.99999999999989"/>
  </r>
  <r>
    <n v="10572"/>
    <n v="75"/>
    <n v="7.75"/>
    <n v="15"/>
    <n v="0.1"/>
    <s v="Higginbotham, Tom"/>
    <s v="Higginbotham Tom"/>
    <x v="2"/>
    <s v="WA"/>
    <s v="Product BWRLG"/>
    <x v="6"/>
    <x v="248"/>
    <d v="2007-06-25T00:00:00"/>
    <x v="1"/>
    <s v="Ship to 5-B"/>
    <x v="10"/>
    <s v="Supplier SVIYA"/>
    <s v="Germany"/>
    <x v="2"/>
    <n v="104.625"/>
  </r>
  <r>
    <n v="10573"/>
    <n v="17"/>
    <n v="39"/>
    <n v="18"/>
    <n v="0"/>
    <s v="Peoples, John"/>
    <s v="Peoples John"/>
    <x v="9"/>
    <n v="0"/>
    <s v="Product BLCAX"/>
    <x v="7"/>
    <x v="249"/>
    <d v="2007-06-20T00:00:00"/>
    <x v="3"/>
    <s v="Destination LANNN"/>
    <x v="7"/>
    <s v="Supplier GQRCV"/>
    <s v="Australia"/>
    <x v="1"/>
    <n v="702"/>
  </r>
  <r>
    <n v="10573"/>
    <n v="34"/>
    <n v="14"/>
    <n v="40"/>
    <n v="0"/>
    <s v="Peoples, John"/>
    <s v="Peoples John"/>
    <x v="9"/>
    <n v="0"/>
    <s v="Product SWNJY"/>
    <x v="6"/>
    <x v="249"/>
    <d v="2007-06-20T00:00:00"/>
    <x v="3"/>
    <s v="Destination LANNN"/>
    <x v="7"/>
    <s v="Supplier UHZRG"/>
    <s v="USA"/>
    <x v="1"/>
    <n v="560"/>
  </r>
  <r>
    <n v="10573"/>
    <n v="53"/>
    <n v="32.799999999999997"/>
    <n v="25"/>
    <n v="0"/>
    <s v="Peoples, John"/>
    <s v="Peoples John"/>
    <x v="9"/>
    <n v="0"/>
    <s v="Product BKGEA"/>
    <x v="7"/>
    <x v="249"/>
    <d v="2007-06-20T00:00:00"/>
    <x v="3"/>
    <s v="Destination LANNN"/>
    <x v="7"/>
    <s v="Supplier JNNES"/>
    <s v="Australia"/>
    <x v="1"/>
    <n v="819.99999999999989"/>
  </r>
  <r>
    <n v="10574"/>
    <n v="33"/>
    <n v="2.5"/>
    <n v="14"/>
    <n v="0"/>
    <s v="Veninga, Tjeerd"/>
    <s v="Veninga Tjeerd"/>
    <x v="1"/>
    <s v="WA"/>
    <s v="Product ASTMN"/>
    <x v="0"/>
    <x v="249"/>
    <d v="2007-06-30T00:00:00"/>
    <x v="1"/>
    <s v="Ship to 82-A"/>
    <x v="9"/>
    <s v="Supplier NZLIF"/>
    <s v="Norway"/>
    <x v="1"/>
    <n v="35"/>
  </r>
  <r>
    <n v="10574"/>
    <n v="40"/>
    <n v="18.399999999999999"/>
    <n v="2"/>
    <n v="0"/>
    <s v="Veninga, Tjeerd"/>
    <s v="Veninga Tjeerd"/>
    <x v="1"/>
    <s v="WA"/>
    <s v="Product YZIXQ"/>
    <x v="3"/>
    <x v="249"/>
    <d v="2007-06-30T00:00:00"/>
    <x v="1"/>
    <s v="Ship to 82-A"/>
    <x v="9"/>
    <s v="Supplier JDNUG"/>
    <s v="USA"/>
    <x v="1"/>
    <n v="36.799999999999997"/>
  </r>
  <r>
    <n v="10574"/>
    <n v="62"/>
    <n v="49.3"/>
    <n v="10"/>
    <n v="0"/>
    <s v="Veninga, Tjeerd"/>
    <s v="Veninga Tjeerd"/>
    <x v="1"/>
    <s v="WA"/>
    <s v="Product WUXYK"/>
    <x v="5"/>
    <x v="249"/>
    <d v="2007-06-30T00:00:00"/>
    <x v="1"/>
    <s v="Ship to 82-A"/>
    <x v="9"/>
    <s v="Supplier OGLRK"/>
    <s v="Canada"/>
    <x v="1"/>
    <n v="493"/>
  </r>
  <r>
    <n v="10574"/>
    <n v="64"/>
    <n v="33.25"/>
    <n v="6"/>
    <n v="0"/>
    <s v="Veninga, Tjeerd"/>
    <s v="Veninga Tjeerd"/>
    <x v="1"/>
    <s v="WA"/>
    <s v="Product HCQDE"/>
    <x v="1"/>
    <x v="249"/>
    <d v="2007-06-30T00:00:00"/>
    <x v="1"/>
    <s v="Ship to 82-A"/>
    <x v="9"/>
    <s v="Supplier SVIYA"/>
    <s v="Germany"/>
    <x v="1"/>
    <n v="199.5"/>
  </r>
  <r>
    <n v="10575"/>
    <n v="59"/>
    <n v="55"/>
    <n v="12"/>
    <n v="0"/>
    <s v="Dupont-Roc, Patrice"/>
    <s v="Dupont-Roc Patrice"/>
    <x v="3"/>
    <n v="0"/>
    <s v="Product UKXRI"/>
    <x v="0"/>
    <x v="250"/>
    <d v="2007-06-30T00:00:00"/>
    <x v="2"/>
    <s v="Ship to 52-C"/>
    <x v="8"/>
    <s v="Supplier OAVQT"/>
    <s v="France"/>
    <x v="2"/>
    <n v="660"/>
  </r>
  <r>
    <n v="10575"/>
    <n v="63"/>
    <n v="43.9"/>
    <n v="6"/>
    <n v="0"/>
    <s v="Dupont-Roc, Patrice"/>
    <s v="Dupont-Roc Patrice"/>
    <x v="3"/>
    <n v="0"/>
    <s v="Product ICKNK"/>
    <x v="4"/>
    <x v="250"/>
    <d v="2007-06-30T00:00:00"/>
    <x v="2"/>
    <s v="Ship to 52-C"/>
    <x v="8"/>
    <s v="Supplier GQRCV"/>
    <s v="Australia"/>
    <x v="2"/>
    <n v="263.39999999999998"/>
  </r>
  <r>
    <n v="10575"/>
    <n v="72"/>
    <n v="34.799999999999997"/>
    <n v="30"/>
    <n v="0"/>
    <s v="Dupont-Roc, Patrice"/>
    <s v="Dupont-Roc Patrice"/>
    <x v="3"/>
    <n v="0"/>
    <s v="Product GEEOO"/>
    <x v="0"/>
    <x v="250"/>
    <d v="2007-06-30T00:00:00"/>
    <x v="2"/>
    <s v="Ship to 52-C"/>
    <x v="8"/>
    <s v="Supplier KEREV"/>
    <s v="Italy"/>
    <x v="2"/>
    <n v="1044"/>
  </r>
  <r>
    <n v="10575"/>
    <n v="76"/>
    <n v="18"/>
    <n v="10"/>
    <n v="0"/>
    <s v="Dupont-Roc, Patrice"/>
    <s v="Dupont-Roc Patrice"/>
    <x v="3"/>
    <n v="0"/>
    <s v="Product JYGFE"/>
    <x v="6"/>
    <x v="250"/>
    <d v="2007-06-30T00:00:00"/>
    <x v="2"/>
    <s v="Ship to 52-C"/>
    <x v="8"/>
    <s v="Supplier ELCRN"/>
    <s v="Finland"/>
    <x v="2"/>
    <n v="180"/>
  </r>
  <r>
    <n v="10576"/>
    <n v="1"/>
    <n v="18"/>
    <n v="10"/>
    <n v="0"/>
    <s v="Geschwandtner, Jens"/>
    <s v="Geschwandtner Jens"/>
    <x v="2"/>
    <s v="WA"/>
    <s v="Product HHYDP"/>
    <x v="6"/>
    <x v="251"/>
    <d v="2007-06-30T00:00:00"/>
    <x v="3"/>
    <s v="Ship to 80-C"/>
    <x v="7"/>
    <s v="Supplier SWRXU"/>
    <s v="UK"/>
    <x v="1"/>
    <n v="180"/>
  </r>
  <r>
    <n v="10576"/>
    <n v="31"/>
    <n v="12.5"/>
    <n v="20"/>
    <n v="0"/>
    <s v="Geschwandtner, Jens"/>
    <s v="Geschwandtner Jens"/>
    <x v="2"/>
    <s v="WA"/>
    <s v="Product XWOXC"/>
    <x v="0"/>
    <x v="251"/>
    <d v="2007-06-30T00:00:00"/>
    <x v="3"/>
    <s v="Ship to 80-C"/>
    <x v="7"/>
    <s v="Supplier KEREV"/>
    <s v="Italy"/>
    <x v="1"/>
    <n v="250"/>
  </r>
  <r>
    <n v="10576"/>
    <n v="44"/>
    <n v="19.45"/>
    <n v="21"/>
    <n v="0"/>
    <s v="Geschwandtner, Jens"/>
    <s v="Geschwandtner Jens"/>
    <x v="2"/>
    <s v="WA"/>
    <s v="Product VJIEO"/>
    <x v="4"/>
    <x v="251"/>
    <d v="2007-06-30T00:00:00"/>
    <x v="3"/>
    <s v="Ship to 80-C"/>
    <x v="7"/>
    <s v="Supplier CIYNM"/>
    <s v="Singapore"/>
    <x v="1"/>
    <n v="408.45"/>
  </r>
  <r>
    <n v="10577"/>
    <n v="39"/>
    <n v="18"/>
    <n v="10"/>
    <n v="0"/>
    <s v="Veninga, Tjeerd"/>
    <s v="Veninga Tjeerd"/>
    <x v="4"/>
    <n v="0"/>
    <s v="Product LSOFL"/>
    <x v="6"/>
    <x v="251"/>
    <d v="2007-06-30T00:00:00"/>
    <x v="1"/>
    <s v="Ship to 82-B"/>
    <x v="9"/>
    <s v="Supplier LVJUA"/>
    <s v="France"/>
    <x v="1"/>
    <n v="180"/>
  </r>
  <r>
    <n v="10577"/>
    <n v="75"/>
    <n v="7.75"/>
    <n v="20"/>
    <n v="0"/>
    <s v="Veninga, Tjeerd"/>
    <s v="Veninga Tjeerd"/>
    <x v="4"/>
    <n v="0"/>
    <s v="Product BWRLG"/>
    <x v="6"/>
    <x v="251"/>
    <d v="2007-06-30T00:00:00"/>
    <x v="1"/>
    <s v="Ship to 82-B"/>
    <x v="9"/>
    <s v="Supplier SVIYA"/>
    <s v="Germany"/>
    <x v="1"/>
    <n v="155"/>
  </r>
  <r>
    <n v="10577"/>
    <n v="77"/>
    <n v="13"/>
    <n v="18"/>
    <n v="0"/>
    <s v="Veninga, Tjeerd"/>
    <s v="Veninga Tjeerd"/>
    <x v="4"/>
    <n v="0"/>
    <s v="Product LUNZZ"/>
    <x v="4"/>
    <x v="251"/>
    <d v="2007-06-30T00:00:00"/>
    <x v="1"/>
    <s v="Ship to 82-B"/>
    <x v="9"/>
    <s v="Supplier SVIYA"/>
    <s v="Germany"/>
    <x v="1"/>
    <n v="234"/>
  </r>
  <r>
    <n v="10578"/>
    <n v="35"/>
    <n v="18"/>
    <n v="20"/>
    <n v="0"/>
    <s v="Jaffe, David"/>
    <s v="Jaffe David"/>
    <x v="1"/>
    <s v="WA"/>
    <s v="Product NEVTJ"/>
    <x v="6"/>
    <x v="252"/>
    <d v="2007-07-25T00:00:00"/>
    <x v="3"/>
    <s v="Destination NZASL"/>
    <x v="14"/>
    <s v="Supplier UHZRG"/>
    <s v="USA"/>
    <x v="1"/>
    <n v="360"/>
  </r>
  <r>
    <n v="10578"/>
    <n v="57"/>
    <n v="19.5"/>
    <n v="6"/>
    <n v="0"/>
    <s v="Jaffe, David"/>
    <s v="Jaffe David"/>
    <x v="1"/>
    <s v="WA"/>
    <s v="Product OVLQI"/>
    <x v="1"/>
    <x v="252"/>
    <d v="2007-07-25T00:00:00"/>
    <x v="3"/>
    <s v="Destination NZASL"/>
    <x v="14"/>
    <s v="Supplier ZWZDM"/>
    <s v="Italy"/>
    <x v="1"/>
    <n v="117"/>
  </r>
  <r>
    <n v="10579"/>
    <n v="15"/>
    <n v="15.5"/>
    <n v="10"/>
    <n v="0"/>
    <s v="Sunkammurali, Krishna"/>
    <s v="Sunkammurali Krishna"/>
    <x v="5"/>
    <s v="WA"/>
    <s v="Product KSZOI"/>
    <x v="4"/>
    <x v="253"/>
    <d v="2007-07-04T00:00:00"/>
    <x v="1"/>
    <s v="Ship to 45-C"/>
    <x v="9"/>
    <s v="Supplier QWUSF"/>
    <s v="Japan"/>
    <x v="1"/>
    <n v="155"/>
  </r>
  <r>
    <n v="10579"/>
    <n v="75"/>
    <n v="7.75"/>
    <n v="21"/>
    <n v="0"/>
    <s v="Sunkammurali, Krishna"/>
    <s v="Sunkammurali Krishna"/>
    <x v="5"/>
    <s v="WA"/>
    <s v="Product BWRLG"/>
    <x v="6"/>
    <x v="253"/>
    <d v="2007-07-04T00:00:00"/>
    <x v="1"/>
    <s v="Ship to 45-C"/>
    <x v="9"/>
    <s v="Supplier SVIYA"/>
    <s v="Germany"/>
    <x v="1"/>
    <n v="162.75"/>
  </r>
  <r>
    <n v="10580"/>
    <n v="14"/>
    <n v="23.25"/>
    <n v="15"/>
    <n v="0.05"/>
    <s v="Marinova, Nadejda"/>
    <s v="Marinova Nadejda"/>
    <x v="1"/>
    <s v="WA"/>
    <s v="Product PWCJB"/>
    <x v="2"/>
    <x v="254"/>
    <d v="2007-07-01T00:00:00"/>
    <x v="3"/>
    <s v="Ship to 56-C"/>
    <x v="8"/>
    <s v="Supplier QWUSF"/>
    <s v="Japan"/>
    <x v="1"/>
    <n v="331.3125"/>
  </r>
  <r>
    <n v="10580"/>
    <n v="41"/>
    <n v="9.65"/>
    <n v="9"/>
    <n v="0.05"/>
    <s v="Marinova, Nadejda"/>
    <s v="Marinova Nadejda"/>
    <x v="1"/>
    <s v="WA"/>
    <s v="Product TTEEX"/>
    <x v="3"/>
    <x v="254"/>
    <d v="2007-07-01T00:00:00"/>
    <x v="3"/>
    <s v="Ship to 56-C"/>
    <x v="8"/>
    <s v="Supplier JDNUG"/>
    <s v="USA"/>
    <x v="1"/>
    <n v="82.507500000000007"/>
  </r>
  <r>
    <n v="10580"/>
    <n v="65"/>
    <n v="21.05"/>
    <n v="30"/>
    <n v="0.05"/>
    <s v="Marinova, Nadejda"/>
    <s v="Marinova Nadejda"/>
    <x v="1"/>
    <s v="WA"/>
    <s v="Product XYWBZ"/>
    <x v="4"/>
    <x v="254"/>
    <d v="2007-07-01T00:00:00"/>
    <x v="3"/>
    <s v="Ship to 56-C"/>
    <x v="8"/>
    <s v="Supplier VHQZD"/>
    <s v="USA"/>
    <x v="1"/>
    <n v="599.92499999999995"/>
  </r>
  <r>
    <n v="10581"/>
    <n v="75"/>
    <n v="7.75"/>
    <n v="50"/>
    <n v="0.2"/>
    <s v="Russo, Giuseppe"/>
    <s v="Russo Giuseppe"/>
    <x v="2"/>
    <s v="WA"/>
    <s v="Product BWRLG"/>
    <x v="6"/>
    <x v="254"/>
    <d v="2007-07-02T00:00:00"/>
    <x v="2"/>
    <s v="Destination SSYXZ"/>
    <x v="1"/>
    <s v="Supplier SVIYA"/>
    <s v="Germany"/>
    <x v="1"/>
    <n v="310"/>
  </r>
  <r>
    <n v="10582"/>
    <n v="57"/>
    <n v="19.5"/>
    <n v="4"/>
    <n v="0"/>
    <s v="Poland, Carole"/>
    <s v="Poland Carole"/>
    <x v="2"/>
    <s v="WA"/>
    <s v="Product OVLQI"/>
    <x v="1"/>
    <x v="255"/>
    <d v="2007-07-14T00:00:00"/>
    <x v="1"/>
    <s v="Ship to 6-A"/>
    <x v="8"/>
    <s v="Supplier ZWZDM"/>
    <s v="Italy"/>
    <x v="1"/>
    <n v="78"/>
  </r>
  <r>
    <n v="10582"/>
    <n v="76"/>
    <n v="18"/>
    <n v="14"/>
    <n v="0"/>
    <s v="Poland, Carole"/>
    <s v="Poland Carole"/>
    <x v="2"/>
    <s v="WA"/>
    <s v="Product JYGFE"/>
    <x v="6"/>
    <x v="255"/>
    <d v="2007-07-14T00:00:00"/>
    <x v="1"/>
    <s v="Ship to 6-A"/>
    <x v="8"/>
    <s v="Supplier ELCRN"/>
    <s v="Finland"/>
    <x v="1"/>
    <n v="252"/>
  </r>
  <r>
    <n v="10583"/>
    <n v="29"/>
    <n v="123.79"/>
    <n v="10"/>
    <n v="0"/>
    <s v="Ludwig, Michael"/>
    <s v="Ludwig Michael"/>
    <x v="8"/>
    <s v="WA"/>
    <s v="Product VJXYN"/>
    <x v="7"/>
    <x v="256"/>
    <d v="2007-07-04T00:00:00"/>
    <x v="1"/>
    <s v="Ship to 87-C"/>
    <x v="11"/>
    <s v="Supplier SVIYA"/>
    <s v="Germany"/>
    <x v="1"/>
    <n v="1237.9000000000001"/>
  </r>
  <r>
    <n v="10583"/>
    <n v="60"/>
    <n v="34"/>
    <n v="24"/>
    <n v="0.15"/>
    <s v="Ludwig, Michael"/>
    <s v="Ludwig Michael"/>
    <x v="8"/>
    <s v="WA"/>
    <s v="Product WHBYK"/>
    <x v="0"/>
    <x v="256"/>
    <d v="2007-07-04T00:00:00"/>
    <x v="1"/>
    <s v="Ship to 87-C"/>
    <x v="11"/>
    <s v="Supplier OAVQT"/>
    <s v="France"/>
    <x v="1"/>
    <n v="693.6"/>
  </r>
  <r>
    <n v="10583"/>
    <n v="69"/>
    <n v="36"/>
    <n v="10"/>
    <n v="0.15"/>
    <s v="Ludwig, Michael"/>
    <s v="Ludwig Michael"/>
    <x v="8"/>
    <s v="WA"/>
    <s v="Product COAXA"/>
    <x v="0"/>
    <x v="256"/>
    <d v="2007-07-04T00:00:00"/>
    <x v="1"/>
    <s v="Ship to 87-C"/>
    <x v="11"/>
    <s v="Supplier NZLIF"/>
    <s v="Norway"/>
    <x v="1"/>
    <n v="306"/>
  </r>
  <r>
    <n v="10584"/>
    <n v="31"/>
    <n v="12.5"/>
    <n v="50"/>
    <n v="0.05"/>
    <s v="Bansal, Dushyant"/>
    <s v="Bansal Dushyant"/>
    <x v="1"/>
    <s v="WA"/>
    <s v="Product XWOXC"/>
    <x v="0"/>
    <x v="256"/>
    <d v="2007-07-04T00:00:00"/>
    <x v="2"/>
    <s v="Ship to 7-B"/>
    <x v="2"/>
    <s v="Supplier KEREV"/>
    <s v="Italy"/>
    <x v="1"/>
    <n v="593.75"/>
  </r>
  <r>
    <n v="10585"/>
    <n v="47"/>
    <n v="9.5"/>
    <n v="15"/>
    <n v="0"/>
    <s v="Li, Yan"/>
    <s v="Li Yan"/>
    <x v="9"/>
    <n v="0"/>
    <s v="Product EZZPR"/>
    <x v="5"/>
    <x v="257"/>
    <d v="2007-07-10T00:00:00"/>
    <x v="2"/>
    <s v="Ship to 88-A"/>
    <x v="1"/>
    <s v="Supplier FNUXM"/>
    <s v="Netherlands"/>
    <x v="1"/>
    <n v="142.5"/>
  </r>
  <r>
    <n v="10586"/>
    <n v="52"/>
    <n v="7"/>
    <n v="4"/>
    <n v="0.15"/>
    <s v="Voss, Florian"/>
    <s v="Voss Florian"/>
    <x v="4"/>
    <n v="0"/>
    <s v="Product QSRXF"/>
    <x v="1"/>
    <x v="258"/>
    <d v="2007-07-09T00:00:00"/>
    <x v="2"/>
    <s v="Ship to 66-B"/>
    <x v="12"/>
    <s v="Supplier JNNES"/>
    <s v="Australia"/>
    <x v="1"/>
    <n v="23.8"/>
  </r>
  <r>
    <n v="10587"/>
    <n v="26"/>
    <n v="31.23"/>
    <n v="6"/>
    <n v="0"/>
    <s v="Florczyk, Krzysztof"/>
    <s v="Florczyk Krzysztof"/>
    <x v="5"/>
    <s v="WA"/>
    <s v="Product HLGZA"/>
    <x v="5"/>
    <x v="258"/>
    <d v="2007-07-09T00:00:00"/>
    <x v="2"/>
    <s v="Ship to 61-C"/>
    <x v="1"/>
    <s v="Supplier ZPYVS"/>
    <s v="Germany"/>
    <x v="1"/>
    <n v="187.38"/>
  </r>
  <r>
    <n v="10587"/>
    <n v="35"/>
    <n v="18"/>
    <n v="20"/>
    <n v="0"/>
    <s v="Florczyk, Krzysztof"/>
    <s v="Florczyk Krzysztof"/>
    <x v="5"/>
    <s v="WA"/>
    <s v="Product NEVTJ"/>
    <x v="6"/>
    <x v="258"/>
    <d v="2007-07-09T00:00:00"/>
    <x v="2"/>
    <s v="Ship to 61-C"/>
    <x v="1"/>
    <s v="Supplier UHZRG"/>
    <s v="USA"/>
    <x v="1"/>
    <n v="360"/>
  </r>
  <r>
    <n v="10587"/>
    <n v="77"/>
    <n v="13"/>
    <n v="20"/>
    <n v="0"/>
    <s v="Florczyk, Krzysztof"/>
    <s v="Florczyk Krzysztof"/>
    <x v="5"/>
    <s v="WA"/>
    <s v="Product LUNZZ"/>
    <x v="4"/>
    <x v="258"/>
    <d v="2007-07-09T00:00:00"/>
    <x v="2"/>
    <s v="Ship to 61-C"/>
    <x v="1"/>
    <s v="Supplier SVIYA"/>
    <s v="Germany"/>
    <x v="1"/>
    <n v="260"/>
  </r>
  <r>
    <n v="10588"/>
    <n v="18"/>
    <n v="62.5"/>
    <n v="40"/>
    <n v="0.2"/>
    <s v="Veronesi, Giorgio"/>
    <s v="Veronesi Giorgio"/>
    <x v="8"/>
    <s v="WA"/>
    <s v="Product CKEDC"/>
    <x v="3"/>
    <x v="259"/>
    <d v="2007-07-10T00:00:00"/>
    <x v="3"/>
    <s v="Ship to 63-A"/>
    <x v="8"/>
    <s v="Supplier GQRCV"/>
    <s v="Australia"/>
    <x v="2"/>
    <n v="2000"/>
  </r>
  <r>
    <n v="10588"/>
    <n v="42"/>
    <n v="14"/>
    <n v="100"/>
    <n v="0.2"/>
    <s v="Veronesi, Giorgio"/>
    <s v="Veronesi Giorgio"/>
    <x v="8"/>
    <s v="WA"/>
    <s v="Product RJVNM"/>
    <x v="1"/>
    <x v="259"/>
    <d v="2007-07-10T00:00:00"/>
    <x v="3"/>
    <s v="Ship to 63-A"/>
    <x v="8"/>
    <s v="Supplier CIYNM"/>
    <s v="Singapore"/>
    <x v="2"/>
    <n v="1120"/>
  </r>
  <r>
    <n v="10589"/>
    <n v="35"/>
    <n v="18"/>
    <n v="4"/>
    <n v="0"/>
    <s v="Krishnan, Venky"/>
    <s v="Krishnan Venky"/>
    <x v="6"/>
    <s v="WA"/>
    <s v="Product NEVTJ"/>
    <x v="6"/>
    <x v="260"/>
    <d v="2007-07-14T00:00:00"/>
    <x v="1"/>
    <s v="Destination AVQUS"/>
    <x v="9"/>
    <s v="Supplier UHZRG"/>
    <s v="USA"/>
    <x v="1"/>
    <n v="72"/>
  </r>
  <r>
    <n v="10590"/>
    <n v="1"/>
    <n v="18"/>
    <n v="20"/>
    <n v="0"/>
    <s v="Taylor, Maurice"/>
    <s v="Taylor Maurice"/>
    <x v="1"/>
    <s v="WA"/>
    <s v="Product HHYDP"/>
    <x v="6"/>
    <x v="261"/>
    <d v="2007-07-14T00:00:00"/>
    <x v="3"/>
    <s v="Ship to 51-B"/>
    <x v="17"/>
    <s v="Supplier SWRXU"/>
    <s v="UK"/>
    <x v="1"/>
    <n v="360"/>
  </r>
  <r>
    <n v="10590"/>
    <n v="77"/>
    <n v="13"/>
    <n v="60"/>
    <n v="0.05"/>
    <s v="Taylor, Maurice"/>
    <s v="Taylor Maurice"/>
    <x v="1"/>
    <s v="WA"/>
    <s v="Product LUNZZ"/>
    <x v="4"/>
    <x v="261"/>
    <d v="2007-07-14T00:00:00"/>
    <x v="3"/>
    <s v="Ship to 51-B"/>
    <x v="17"/>
    <s v="Supplier SVIYA"/>
    <s v="Germany"/>
    <x v="1"/>
    <n v="741"/>
  </r>
  <r>
    <n v="10591"/>
    <n v="3"/>
    <n v="10"/>
    <n v="14"/>
    <n v="0"/>
    <s v="Fonteneau, Karl"/>
    <s v="Fonteneau Karl"/>
    <x v="5"/>
    <s v="WA"/>
    <s v="Product IMEHJ"/>
    <x v="4"/>
    <x v="261"/>
    <d v="2007-07-16T00:00:00"/>
    <x v="2"/>
    <s v="Ship to 83-A"/>
    <x v="18"/>
    <s v="Supplier SWRXU"/>
    <s v="UK"/>
    <x v="1"/>
    <n v="140"/>
  </r>
  <r>
    <n v="10591"/>
    <n v="7"/>
    <n v="30"/>
    <n v="10"/>
    <n v="0"/>
    <s v="Fonteneau, Karl"/>
    <s v="Fonteneau Karl"/>
    <x v="5"/>
    <s v="WA"/>
    <s v="Product HMLNI"/>
    <x v="2"/>
    <x v="261"/>
    <d v="2007-07-16T00:00:00"/>
    <x v="2"/>
    <s v="Ship to 83-A"/>
    <x v="18"/>
    <s v="Supplier STUAZ"/>
    <s v="USA"/>
    <x v="1"/>
    <n v="300"/>
  </r>
  <r>
    <n v="10591"/>
    <n v="54"/>
    <n v="7.45"/>
    <n v="50"/>
    <n v="0"/>
    <s v="Fonteneau, Karl"/>
    <s v="Fonteneau Karl"/>
    <x v="5"/>
    <s v="WA"/>
    <s v="Product QAQRL"/>
    <x v="7"/>
    <x v="261"/>
    <d v="2007-07-16T00:00:00"/>
    <x v="2"/>
    <s v="Ship to 83-A"/>
    <x v="18"/>
    <s v="Supplier ERVYZ"/>
    <s v="Canada"/>
    <x v="1"/>
    <n v="372.5"/>
  </r>
  <r>
    <n v="10592"/>
    <n v="15"/>
    <n v="15.5"/>
    <n v="25"/>
    <n v="0.05"/>
    <s v="Louverdis, George"/>
    <s v="Louverdis George"/>
    <x v="2"/>
    <s v="WA"/>
    <s v="Product KSZOI"/>
    <x v="4"/>
    <x v="262"/>
    <d v="2007-07-16T00:00:00"/>
    <x v="2"/>
    <s v="Ship to 44-B"/>
    <x v="8"/>
    <s v="Supplier QWUSF"/>
    <s v="Japan"/>
    <x v="1"/>
    <n v="368.125"/>
  </r>
  <r>
    <n v="10592"/>
    <n v="26"/>
    <n v="31.23"/>
    <n v="5"/>
    <n v="0.05"/>
    <s v="Louverdis, George"/>
    <s v="Louverdis George"/>
    <x v="2"/>
    <s v="WA"/>
    <s v="Product HLGZA"/>
    <x v="5"/>
    <x v="262"/>
    <d v="2007-07-16T00:00:00"/>
    <x v="2"/>
    <s v="Ship to 44-B"/>
    <x v="8"/>
    <s v="Supplier ZPYVS"/>
    <s v="Germany"/>
    <x v="1"/>
    <n v="148.3425"/>
  </r>
  <r>
    <n v="10593"/>
    <n v="20"/>
    <n v="81"/>
    <n v="21"/>
    <n v="0.2"/>
    <s v="Louverdis, George"/>
    <s v="Louverdis George"/>
    <x v="9"/>
    <n v="0"/>
    <s v="Product QHFFP"/>
    <x v="5"/>
    <x v="263"/>
    <d v="2007-08-13T00:00:00"/>
    <x v="1"/>
    <s v="Ship to 44-C"/>
    <x v="8"/>
    <s v="Supplier BWGYE"/>
    <s v="UK"/>
    <x v="2"/>
    <n v="1360.8000000000002"/>
  </r>
  <r>
    <n v="10593"/>
    <n v="69"/>
    <n v="36"/>
    <n v="20"/>
    <n v="0.2"/>
    <s v="Louverdis, George"/>
    <s v="Louverdis George"/>
    <x v="9"/>
    <n v="0"/>
    <s v="Product COAXA"/>
    <x v="0"/>
    <x v="263"/>
    <d v="2007-08-13T00:00:00"/>
    <x v="1"/>
    <s v="Ship to 44-C"/>
    <x v="8"/>
    <s v="Supplier NZLIF"/>
    <s v="Norway"/>
    <x v="2"/>
    <n v="576"/>
  </r>
  <r>
    <n v="10593"/>
    <n v="76"/>
    <n v="18"/>
    <n v="4"/>
    <n v="0.2"/>
    <s v="Louverdis, George"/>
    <s v="Louverdis George"/>
    <x v="9"/>
    <n v="0"/>
    <s v="Product JYGFE"/>
    <x v="6"/>
    <x v="263"/>
    <d v="2007-08-13T00:00:00"/>
    <x v="1"/>
    <s v="Ship to 44-C"/>
    <x v="8"/>
    <s v="Supplier ELCRN"/>
    <s v="Finland"/>
    <x v="2"/>
    <n v="57.6"/>
  </r>
  <r>
    <n v="10594"/>
    <n v="52"/>
    <n v="7"/>
    <n v="24"/>
    <n v="0"/>
    <s v="Egelund-Muller, Anja"/>
    <s v="Egelund-Muller Anja"/>
    <x v="2"/>
    <s v="WA"/>
    <s v="Product QSRXF"/>
    <x v="1"/>
    <x v="263"/>
    <d v="2007-07-16T00:00:00"/>
    <x v="1"/>
    <s v="Ship to 55-B"/>
    <x v="9"/>
    <s v="Supplier JNNES"/>
    <s v="Australia"/>
    <x v="1"/>
    <n v="168"/>
  </r>
  <r>
    <n v="10594"/>
    <n v="58"/>
    <n v="13.25"/>
    <n v="30"/>
    <n v="0"/>
    <s v="Egelund-Muller, Anja"/>
    <s v="Egelund-Muller Anja"/>
    <x v="2"/>
    <s v="WA"/>
    <s v="Product ACRVI"/>
    <x v="3"/>
    <x v="263"/>
    <d v="2007-07-16T00:00:00"/>
    <x v="1"/>
    <s v="Ship to 55-B"/>
    <x v="9"/>
    <s v="Supplier ZRYDZ"/>
    <s v="France"/>
    <x v="1"/>
    <n v="397.5"/>
  </r>
  <r>
    <n v="10595"/>
    <n v="35"/>
    <n v="18"/>
    <n v="30"/>
    <n v="0.25"/>
    <s v="Kane, John"/>
    <s v="Kane John"/>
    <x v="8"/>
    <s v="WA"/>
    <s v="Product NEVTJ"/>
    <x v="6"/>
    <x v="264"/>
    <d v="2007-07-14T00:00:00"/>
    <x v="2"/>
    <s v="Destination CUVPF"/>
    <x v="6"/>
    <s v="Supplier UHZRG"/>
    <s v="USA"/>
    <x v="1"/>
    <n v="405"/>
  </r>
  <r>
    <n v="10595"/>
    <n v="61"/>
    <n v="28.5"/>
    <n v="120"/>
    <n v="0.25"/>
    <s v="Kane, John"/>
    <s v="Kane John"/>
    <x v="8"/>
    <s v="WA"/>
    <s v="Product XYZPE"/>
    <x v="4"/>
    <x v="264"/>
    <d v="2007-07-14T00:00:00"/>
    <x v="2"/>
    <s v="Destination CUVPF"/>
    <x v="6"/>
    <s v="Supplier OGLRK"/>
    <s v="Canada"/>
    <x v="1"/>
    <n v="2565"/>
  </r>
  <r>
    <n v="10595"/>
    <n v="69"/>
    <n v="36"/>
    <n v="65"/>
    <n v="0.25"/>
    <s v="Kane, John"/>
    <s v="Kane John"/>
    <x v="8"/>
    <s v="WA"/>
    <s v="Product COAXA"/>
    <x v="0"/>
    <x v="264"/>
    <d v="2007-07-14T00:00:00"/>
    <x v="2"/>
    <s v="Destination CUVPF"/>
    <x v="6"/>
    <s v="Supplier NZLIF"/>
    <s v="Norway"/>
    <x v="1"/>
    <n v="1755"/>
  </r>
  <r>
    <n v="10596"/>
    <n v="56"/>
    <n v="38"/>
    <n v="5"/>
    <n v="0.2"/>
    <s v="Smith Jr., Ronaldo"/>
    <s v="Smith Jr. Ronaldo"/>
    <x v="6"/>
    <s v="WA"/>
    <s v="Product VKCMF"/>
    <x v="1"/>
    <x v="265"/>
    <d v="2007-08-12T00:00:00"/>
    <x v="2"/>
    <s v="Ship to 89-C"/>
    <x v="9"/>
    <s v="Supplier ZWZDM"/>
    <s v="Italy"/>
    <x v="1"/>
    <n v="152"/>
  </r>
  <r>
    <n v="10596"/>
    <n v="63"/>
    <n v="43.9"/>
    <n v="24"/>
    <n v="0.2"/>
    <s v="Smith Jr., Ronaldo"/>
    <s v="Smith Jr. Ronaldo"/>
    <x v="6"/>
    <s v="WA"/>
    <s v="Product ICKNK"/>
    <x v="4"/>
    <x v="265"/>
    <d v="2007-08-12T00:00:00"/>
    <x v="2"/>
    <s v="Ship to 89-C"/>
    <x v="9"/>
    <s v="Supplier GQRCV"/>
    <s v="Australia"/>
    <x v="1"/>
    <n v="842.88"/>
  </r>
  <r>
    <n v="10596"/>
    <n v="75"/>
    <n v="7.75"/>
    <n v="30"/>
    <n v="0.2"/>
    <s v="Smith Jr., Ronaldo"/>
    <s v="Smith Jr. Ronaldo"/>
    <x v="6"/>
    <s v="WA"/>
    <s v="Product BWRLG"/>
    <x v="6"/>
    <x v="265"/>
    <d v="2007-08-12T00:00:00"/>
    <x v="2"/>
    <s v="Ship to 89-C"/>
    <x v="9"/>
    <s v="Supplier SVIYA"/>
    <s v="Germany"/>
    <x v="1"/>
    <n v="186"/>
  </r>
  <r>
    <n v="10597"/>
    <n v="24"/>
    <n v="4.5"/>
    <n v="35"/>
    <n v="0.2"/>
    <s v="Meston, Tosh"/>
    <s v="Meston Tosh"/>
    <x v="9"/>
    <n v="0"/>
    <s v="Product QOGNU"/>
    <x v="6"/>
    <x v="265"/>
    <d v="2007-07-18T00:00:00"/>
    <x v="3"/>
    <s v="Ship to 59-B"/>
    <x v="6"/>
    <s v="Supplier UNAHG"/>
    <s v="Brazil"/>
    <x v="1"/>
    <n v="126"/>
  </r>
  <r>
    <n v="10597"/>
    <n v="57"/>
    <n v="19.5"/>
    <n v="20"/>
    <n v="0"/>
    <s v="Meston, Tosh"/>
    <s v="Meston Tosh"/>
    <x v="9"/>
    <n v="0"/>
    <s v="Product OVLQI"/>
    <x v="1"/>
    <x v="265"/>
    <d v="2007-07-18T00:00:00"/>
    <x v="3"/>
    <s v="Ship to 59-B"/>
    <x v="6"/>
    <s v="Supplier ZWZDM"/>
    <s v="Italy"/>
    <x v="1"/>
    <n v="390"/>
  </r>
  <r>
    <n v="10597"/>
    <n v="65"/>
    <n v="21.05"/>
    <n v="12"/>
    <n v="0.2"/>
    <s v="Meston, Tosh"/>
    <s v="Meston Tosh"/>
    <x v="9"/>
    <n v="0"/>
    <s v="Product XYWBZ"/>
    <x v="4"/>
    <x v="265"/>
    <d v="2007-07-18T00:00:00"/>
    <x v="3"/>
    <s v="Ship to 59-B"/>
    <x v="6"/>
    <s v="Supplier VHQZD"/>
    <s v="USA"/>
    <x v="1"/>
    <n v="202.08000000000004"/>
  </r>
  <r>
    <n v="10598"/>
    <n v="27"/>
    <n v="43.9"/>
    <n v="50"/>
    <n v="0"/>
    <s v="Moore, Michael"/>
    <s v="Moore Michael"/>
    <x v="5"/>
    <s v="WA"/>
    <s v="Product SMIOH"/>
    <x v="5"/>
    <x v="266"/>
    <d v="2007-07-18T00:00:00"/>
    <x v="3"/>
    <s v="Ship to 65-C"/>
    <x v="9"/>
    <s v="Supplier ZPYVS"/>
    <s v="Germany"/>
    <x v="1"/>
    <n v="2195"/>
  </r>
  <r>
    <n v="10598"/>
    <n v="71"/>
    <n v="21.5"/>
    <n v="9"/>
    <n v="0"/>
    <s v="Moore, Michael"/>
    <s v="Moore Michael"/>
    <x v="5"/>
    <s v="WA"/>
    <s v="Product MYMOI"/>
    <x v="0"/>
    <x v="266"/>
    <d v="2007-07-18T00:00:00"/>
    <x v="3"/>
    <s v="Ship to 65-C"/>
    <x v="9"/>
    <s v="Supplier NZLIF"/>
    <s v="Norway"/>
    <x v="1"/>
    <n v="193.5"/>
  </r>
  <r>
    <n v="10599"/>
    <n v="62"/>
    <n v="49.3"/>
    <n v="10"/>
    <n v="0"/>
    <s v="Jaffe, David"/>
    <s v="Jaffe David"/>
    <x v="7"/>
    <n v="0"/>
    <s v="Product WUXYK"/>
    <x v="5"/>
    <x v="267"/>
    <d v="2007-07-21T00:00:00"/>
    <x v="3"/>
    <s v="Destination DLEUN"/>
    <x v="14"/>
    <s v="Supplier OGLRK"/>
    <s v="Canada"/>
    <x v="1"/>
    <n v="493"/>
  </r>
  <r>
    <n v="10600"/>
    <n v="54"/>
    <n v="7.45"/>
    <n v="4"/>
    <n v="0"/>
    <s v="Smith, Denise"/>
    <s v="Smith Denise"/>
    <x v="1"/>
    <s v="WA"/>
    <s v="Product QAQRL"/>
    <x v="7"/>
    <x v="268"/>
    <d v="2007-07-21T00:00:00"/>
    <x v="2"/>
    <s v="Destination HOHCR"/>
    <x v="9"/>
    <s v="Supplier ERVYZ"/>
    <s v="Canada"/>
    <x v="1"/>
    <n v="29.8"/>
  </r>
  <r>
    <n v="10600"/>
    <n v="73"/>
    <n v="15"/>
    <n v="30"/>
    <n v="0"/>
    <s v="Smith, Denise"/>
    <s v="Smith Denise"/>
    <x v="1"/>
    <s v="WA"/>
    <s v="Product WEUJZ"/>
    <x v="3"/>
    <x v="268"/>
    <d v="2007-07-21T00:00:00"/>
    <x v="2"/>
    <s v="Destination HOHCR"/>
    <x v="9"/>
    <s v="Supplier QZGUF"/>
    <s v="Sweden"/>
    <x v="1"/>
    <n v="450"/>
  </r>
  <r>
    <n v="10601"/>
    <n v="13"/>
    <n v="6"/>
    <n v="60"/>
    <n v="0"/>
    <s v="Langohr, Kris"/>
    <s v="Langohr Kris"/>
    <x v="9"/>
    <n v="0"/>
    <s v="Product POXFU"/>
    <x v="3"/>
    <x v="268"/>
    <d v="2007-07-22T00:00:00"/>
    <x v="2"/>
    <s v="Destination UOUWK"/>
    <x v="5"/>
    <s v="Supplier QWUSF"/>
    <s v="Japan"/>
    <x v="1"/>
    <n v="360"/>
  </r>
  <r>
    <n v="10601"/>
    <n v="59"/>
    <n v="55"/>
    <n v="35"/>
    <n v="0"/>
    <s v="Langohr, Kris"/>
    <s v="Langohr Kris"/>
    <x v="9"/>
    <n v="0"/>
    <s v="Product UKXRI"/>
    <x v="0"/>
    <x v="268"/>
    <d v="2007-07-22T00:00:00"/>
    <x v="2"/>
    <s v="Destination UOUWK"/>
    <x v="5"/>
    <s v="Supplier OAVQT"/>
    <s v="France"/>
    <x v="1"/>
    <n v="1925"/>
  </r>
  <r>
    <n v="10602"/>
    <n v="77"/>
    <n v="13"/>
    <n v="5"/>
    <n v="0.25"/>
    <s v="Fonteneau, Karl"/>
    <s v="Fonteneau Karl"/>
    <x v="6"/>
    <s v="WA"/>
    <s v="Product LUNZZ"/>
    <x v="4"/>
    <x v="269"/>
    <d v="2007-07-22T00:00:00"/>
    <x v="1"/>
    <s v="Ship to 83-A"/>
    <x v="18"/>
    <s v="Supplier SVIYA"/>
    <s v="Germany"/>
    <x v="1"/>
    <n v="48.75"/>
  </r>
  <r>
    <n v="10603"/>
    <n v="22"/>
    <n v="21"/>
    <n v="48"/>
    <n v="0"/>
    <s v="Navarro, Tomás"/>
    <s v="Navarro Tomás"/>
    <x v="6"/>
    <s v="WA"/>
    <s v="Product CPHFY"/>
    <x v="1"/>
    <x v="270"/>
    <d v="2007-08-08T00:00:00"/>
    <x v="1"/>
    <s v="Ship to 71-C"/>
    <x v="9"/>
    <s v="Supplier QQYEU"/>
    <s v="Sweden"/>
    <x v="1"/>
    <n v="1008"/>
  </r>
  <r>
    <n v="10603"/>
    <n v="49"/>
    <n v="20"/>
    <n v="25"/>
    <n v="0.05"/>
    <s v="Navarro, Tomás"/>
    <s v="Navarro Tomás"/>
    <x v="6"/>
    <s v="WA"/>
    <s v="Product FPYPN"/>
    <x v="5"/>
    <x v="270"/>
    <d v="2007-08-08T00:00:00"/>
    <x v="1"/>
    <s v="Ship to 71-C"/>
    <x v="9"/>
    <s v="Supplier ELCRN"/>
    <s v="Finland"/>
    <x v="1"/>
    <n v="475"/>
  </r>
  <r>
    <n v="10604"/>
    <n v="48"/>
    <n v="12.75"/>
    <n v="6"/>
    <n v="0.1"/>
    <s v="Cavaglieri, Giorgio"/>
    <s v="Cavaglieri Giorgio"/>
    <x v="5"/>
    <s v="WA"/>
    <s v="Product MYNXN"/>
    <x v="5"/>
    <x v="270"/>
    <d v="2007-07-29T00:00:00"/>
    <x v="2"/>
    <s v="Destination CIRQO"/>
    <x v="16"/>
    <s v="Supplier FNUXM"/>
    <s v="Netherlands"/>
    <x v="1"/>
    <n v="68.850000000000009"/>
  </r>
  <r>
    <n v="10604"/>
    <n v="76"/>
    <n v="18"/>
    <n v="10"/>
    <n v="0.1"/>
    <s v="Cavaglieri, Giorgio"/>
    <s v="Cavaglieri Giorgio"/>
    <x v="5"/>
    <s v="WA"/>
    <s v="Product JYGFE"/>
    <x v="6"/>
    <x v="270"/>
    <d v="2007-07-29T00:00:00"/>
    <x v="2"/>
    <s v="Destination CIRQO"/>
    <x v="16"/>
    <s v="Supplier ELCRN"/>
    <s v="Finland"/>
    <x v="1"/>
    <n v="162"/>
  </r>
  <r>
    <n v="10605"/>
    <n v="16"/>
    <n v="17.45"/>
    <n v="30"/>
    <n v="0.05"/>
    <s v="Taylor, Maurice"/>
    <s v="Taylor Maurice"/>
    <x v="5"/>
    <s v="WA"/>
    <s v="Product PAFRH"/>
    <x v="5"/>
    <x v="271"/>
    <d v="2007-07-29T00:00:00"/>
    <x v="1"/>
    <s v="Ship to 51-B"/>
    <x v="17"/>
    <s v="Supplier GQRCV"/>
    <s v="Australia"/>
    <x v="2"/>
    <n v="497.32499999999999"/>
  </r>
  <r>
    <n v="10605"/>
    <n v="59"/>
    <n v="55"/>
    <n v="20"/>
    <n v="0.05"/>
    <s v="Taylor, Maurice"/>
    <s v="Taylor Maurice"/>
    <x v="5"/>
    <s v="WA"/>
    <s v="Product UKXRI"/>
    <x v="0"/>
    <x v="271"/>
    <d v="2007-07-29T00:00:00"/>
    <x v="1"/>
    <s v="Ship to 51-B"/>
    <x v="17"/>
    <s v="Supplier OAVQT"/>
    <s v="France"/>
    <x v="2"/>
    <n v="1045"/>
  </r>
  <r>
    <n v="10605"/>
    <n v="60"/>
    <n v="34"/>
    <n v="70"/>
    <n v="0.05"/>
    <s v="Taylor, Maurice"/>
    <s v="Taylor Maurice"/>
    <x v="5"/>
    <s v="WA"/>
    <s v="Product WHBYK"/>
    <x v="0"/>
    <x v="271"/>
    <d v="2007-07-29T00:00:00"/>
    <x v="1"/>
    <s v="Ship to 51-B"/>
    <x v="17"/>
    <s v="Supplier OAVQT"/>
    <s v="France"/>
    <x v="2"/>
    <n v="2261"/>
  </r>
  <r>
    <n v="10605"/>
    <n v="71"/>
    <n v="21.5"/>
    <n v="15"/>
    <n v="0.05"/>
    <s v="Taylor, Maurice"/>
    <s v="Taylor Maurice"/>
    <x v="5"/>
    <s v="WA"/>
    <s v="Product MYMOI"/>
    <x v="0"/>
    <x v="271"/>
    <d v="2007-07-29T00:00:00"/>
    <x v="1"/>
    <s v="Ship to 51-B"/>
    <x v="17"/>
    <s v="Supplier NZLIF"/>
    <s v="Norway"/>
    <x v="2"/>
    <n v="306.375"/>
  </r>
  <r>
    <n v="10606"/>
    <n v="4"/>
    <n v="22"/>
    <n v="20"/>
    <n v="0.2"/>
    <s v="Nagel, Jean-Philippe"/>
    <s v="Nagel Jean-Philippe"/>
    <x v="1"/>
    <s v="WA"/>
    <s v="Product KSBRM"/>
    <x v="4"/>
    <x v="272"/>
    <d v="2007-07-31T00:00:00"/>
    <x v="3"/>
    <s v="Ship to 81-C"/>
    <x v="1"/>
    <s v="Supplier VHQZD"/>
    <s v="USA"/>
    <x v="1"/>
    <n v="352"/>
  </r>
  <r>
    <n v="10606"/>
    <n v="55"/>
    <n v="24"/>
    <n v="20"/>
    <n v="0.2"/>
    <s v="Nagel, Jean-Philippe"/>
    <s v="Nagel Jean-Philippe"/>
    <x v="1"/>
    <s v="WA"/>
    <s v="Product YYWRT"/>
    <x v="7"/>
    <x v="272"/>
    <d v="2007-07-31T00:00:00"/>
    <x v="3"/>
    <s v="Ship to 81-C"/>
    <x v="1"/>
    <s v="Supplier ERVYZ"/>
    <s v="Canada"/>
    <x v="1"/>
    <n v="384"/>
  </r>
  <r>
    <n v="10606"/>
    <n v="62"/>
    <n v="49.3"/>
    <n v="10"/>
    <n v="0.2"/>
    <s v="Nagel, Jean-Philippe"/>
    <s v="Nagel Jean-Philippe"/>
    <x v="1"/>
    <s v="WA"/>
    <s v="Product WUXYK"/>
    <x v="5"/>
    <x v="272"/>
    <d v="2007-07-31T00:00:00"/>
    <x v="3"/>
    <s v="Ship to 81-C"/>
    <x v="1"/>
    <s v="Supplier OGLRK"/>
    <s v="Canada"/>
    <x v="1"/>
    <n v="394.40000000000003"/>
  </r>
  <r>
    <n v="10607"/>
    <n v="7"/>
    <n v="30"/>
    <n v="45"/>
    <n v="0"/>
    <s v="Navarro, Tomás"/>
    <s v="Navarro Tomás"/>
    <x v="3"/>
    <n v="0"/>
    <s v="Product HMLNI"/>
    <x v="2"/>
    <x v="272"/>
    <d v="2007-07-25T00:00:00"/>
    <x v="2"/>
    <s v="Ship to 71-C"/>
    <x v="9"/>
    <s v="Supplier STUAZ"/>
    <s v="USA"/>
    <x v="2"/>
    <n v="1350"/>
  </r>
  <r>
    <n v="10607"/>
    <n v="17"/>
    <n v="39"/>
    <n v="100"/>
    <n v="0"/>
    <s v="Navarro, Tomás"/>
    <s v="Navarro Tomás"/>
    <x v="3"/>
    <n v="0"/>
    <s v="Product BLCAX"/>
    <x v="7"/>
    <x v="272"/>
    <d v="2007-07-25T00:00:00"/>
    <x v="2"/>
    <s v="Ship to 71-C"/>
    <x v="9"/>
    <s v="Supplier GQRCV"/>
    <s v="Australia"/>
    <x v="2"/>
    <n v="3900"/>
  </r>
  <r>
    <n v="10607"/>
    <n v="33"/>
    <n v="2.5"/>
    <n v="14"/>
    <n v="0"/>
    <s v="Navarro, Tomás"/>
    <s v="Navarro Tomás"/>
    <x v="3"/>
    <n v="0"/>
    <s v="Product ASTMN"/>
    <x v="0"/>
    <x v="272"/>
    <d v="2007-07-25T00:00:00"/>
    <x v="2"/>
    <s v="Ship to 71-C"/>
    <x v="9"/>
    <s v="Supplier NZLIF"/>
    <s v="Norway"/>
    <x v="2"/>
    <n v="35"/>
  </r>
  <r>
    <n v="10607"/>
    <n v="40"/>
    <n v="18.399999999999999"/>
    <n v="42"/>
    <n v="0"/>
    <s v="Navarro, Tomás"/>
    <s v="Navarro Tomás"/>
    <x v="3"/>
    <n v="0"/>
    <s v="Product YZIXQ"/>
    <x v="3"/>
    <x v="272"/>
    <d v="2007-07-25T00:00:00"/>
    <x v="2"/>
    <s v="Ship to 71-C"/>
    <x v="9"/>
    <s v="Supplier JDNUG"/>
    <s v="USA"/>
    <x v="2"/>
    <n v="772.8"/>
  </r>
  <r>
    <n v="10607"/>
    <n v="72"/>
    <n v="34.799999999999997"/>
    <n v="12"/>
    <n v="0"/>
    <s v="Navarro, Tomás"/>
    <s v="Navarro Tomás"/>
    <x v="3"/>
    <n v="0"/>
    <s v="Product GEEOO"/>
    <x v="0"/>
    <x v="272"/>
    <d v="2007-07-25T00:00:00"/>
    <x v="2"/>
    <s v="Ship to 71-C"/>
    <x v="9"/>
    <s v="Supplier KEREV"/>
    <s v="Italy"/>
    <x v="2"/>
    <n v="417.59999999999997"/>
  </r>
  <r>
    <n v="10608"/>
    <n v="56"/>
    <n v="38"/>
    <n v="28"/>
    <n v="0"/>
    <s v="Wickham, Jim"/>
    <s v="Wickham Jim"/>
    <x v="1"/>
    <s v="WA"/>
    <s v="Product VKCMF"/>
    <x v="1"/>
    <x v="273"/>
    <d v="2007-08-01T00:00:00"/>
    <x v="1"/>
    <s v="Ship to 79-C"/>
    <x v="8"/>
    <s v="Supplier ZWZDM"/>
    <s v="Italy"/>
    <x v="1"/>
    <n v="1064"/>
  </r>
  <r>
    <n v="10609"/>
    <n v="1"/>
    <n v="18"/>
    <n v="3"/>
    <n v="0"/>
    <s v="Rizaldy, Arif"/>
    <s v="Rizaldy Arif"/>
    <x v="9"/>
    <n v="0"/>
    <s v="Product HHYDP"/>
    <x v="6"/>
    <x v="274"/>
    <d v="2007-07-30T00:00:00"/>
    <x v="1"/>
    <s v="Destination SNPXM"/>
    <x v="2"/>
    <s v="Supplier SWRXU"/>
    <s v="UK"/>
    <x v="1"/>
    <n v="54"/>
  </r>
  <r>
    <n v="10609"/>
    <n v="10"/>
    <n v="31"/>
    <n v="10"/>
    <n v="0"/>
    <s v="Rizaldy, Arif"/>
    <s v="Rizaldy Arif"/>
    <x v="9"/>
    <n v="0"/>
    <s v="Product YHXGE"/>
    <x v="3"/>
    <x v="274"/>
    <d v="2007-07-30T00:00:00"/>
    <x v="1"/>
    <s v="Destination SNPXM"/>
    <x v="2"/>
    <s v="Supplier QOVFD"/>
    <s v="Japan"/>
    <x v="1"/>
    <n v="310"/>
  </r>
  <r>
    <n v="10609"/>
    <n v="21"/>
    <n v="10"/>
    <n v="6"/>
    <n v="0"/>
    <s v="Rizaldy, Arif"/>
    <s v="Rizaldy Arif"/>
    <x v="9"/>
    <n v="0"/>
    <s v="Product VJZZH"/>
    <x v="5"/>
    <x v="274"/>
    <d v="2007-07-30T00:00:00"/>
    <x v="1"/>
    <s v="Destination SNPXM"/>
    <x v="2"/>
    <s v="Supplier BWGYE"/>
    <s v="UK"/>
    <x v="1"/>
    <n v="60"/>
  </r>
  <r>
    <n v="10610"/>
    <n v="36"/>
    <n v="19"/>
    <n v="21"/>
    <n v="0.25"/>
    <s v="Litton, Tim"/>
    <s v="Litton Tim"/>
    <x v="6"/>
    <s v="WA"/>
    <s v="Product GMKIJ"/>
    <x v="3"/>
    <x v="275"/>
    <d v="2007-08-06T00:00:00"/>
    <x v="2"/>
    <s v="Ship to 41-C"/>
    <x v="2"/>
    <s v="Supplier QZGUF"/>
    <s v="Sweden"/>
    <x v="1"/>
    <n v="299.25"/>
  </r>
  <r>
    <n v="10611"/>
    <n v="1"/>
    <n v="18"/>
    <n v="6"/>
    <n v="0"/>
    <s v="Conn, Steve"/>
    <s v="Conn Steve"/>
    <x v="7"/>
    <n v="0"/>
    <s v="Product HHYDP"/>
    <x v="6"/>
    <x v="275"/>
    <d v="2007-08-01T00:00:00"/>
    <x v="1"/>
    <s v="Ship to 91-B"/>
    <x v="19"/>
    <s v="Supplier SWRXU"/>
    <s v="UK"/>
    <x v="1"/>
    <n v="108"/>
  </r>
  <r>
    <n v="10611"/>
    <n v="2"/>
    <n v="19"/>
    <n v="10"/>
    <n v="0"/>
    <s v="Conn, Steve"/>
    <s v="Conn Steve"/>
    <x v="7"/>
    <n v="0"/>
    <s v="Product RECZE"/>
    <x v="6"/>
    <x v="275"/>
    <d v="2007-08-01T00:00:00"/>
    <x v="1"/>
    <s v="Ship to 91-B"/>
    <x v="19"/>
    <s v="Supplier SWRXU"/>
    <s v="UK"/>
    <x v="1"/>
    <n v="190"/>
  </r>
  <r>
    <n v="10611"/>
    <n v="60"/>
    <n v="34"/>
    <n v="15"/>
    <n v="0"/>
    <s v="Conn, Steve"/>
    <s v="Conn Steve"/>
    <x v="7"/>
    <n v="0"/>
    <s v="Product WHBYK"/>
    <x v="0"/>
    <x v="275"/>
    <d v="2007-08-01T00:00:00"/>
    <x v="1"/>
    <s v="Ship to 91-B"/>
    <x v="19"/>
    <s v="Supplier OAVQT"/>
    <s v="France"/>
    <x v="1"/>
    <n v="510"/>
  </r>
  <r>
    <n v="10612"/>
    <n v="10"/>
    <n v="31"/>
    <n v="70"/>
    <n v="0"/>
    <s v="Navarro, Tomás"/>
    <s v="Navarro Tomás"/>
    <x v="5"/>
    <s v="WA"/>
    <s v="Product YHXGE"/>
    <x v="3"/>
    <x v="276"/>
    <d v="2007-08-01T00:00:00"/>
    <x v="1"/>
    <s v="Ship to 71-A"/>
    <x v="9"/>
    <s v="Supplier QOVFD"/>
    <s v="Japan"/>
    <x v="2"/>
    <n v="2170"/>
  </r>
  <r>
    <n v="10612"/>
    <n v="36"/>
    <n v="19"/>
    <n v="55"/>
    <n v="0"/>
    <s v="Navarro, Tomás"/>
    <s v="Navarro Tomás"/>
    <x v="5"/>
    <s v="WA"/>
    <s v="Product GMKIJ"/>
    <x v="3"/>
    <x v="276"/>
    <d v="2007-08-01T00:00:00"/>
    <x v="1"/>
    <s v="Ship to 71-A"/>
    <x v="9"/>
    <s v="Supplier QZGUF"/>
    <s v="Sweden"/>
    <x v="2"/>
    <n v="1045"/>
  </r>
  <r>
    <n v="10612"/>
    <n v="49"/>
    <n v="20"/>
    <n v="18"/>
    <n v="0"/>
    <s v="Navarro, Tomás"/>
    <s v="Navarro Tomás"/>
    <x v="5"/>
    <s v="WA"/>
    <s v="Product FPYPN"/>
    <x v="5"/>
    <x v="276"/>
    <d v="2007-08-01T00:00:00"/>
    <x v="1"/>
    <s v="Ship to 71-A"/>
    <x v="9"/>
    <s v="Supplier ELCRN"/>
    <s v="Finland"/>
    <x v="2"/>
    <n v="360"/>
  </r>
  <r>
    <n v="10612"/>
    <n v="60"/>
    <n v="34"/>
    <n v="40"/>
    <n v="0"/>
    <s v="Navarro, Tomás"/>
    <s v="Navarro Tomás"/>
    <x v="5"/>
    <s v="WA"/>
    <s v="Product WHBYK"/>
    <x v="0"/>
    <x v="276"/>
    <d v="2007-08-01T00:00:00"/>
    <x v="1"/>
    <s v="Ship to 71-A"/>
    <x v="9"/>
    <s v="Supplier OAVQT"/>
    <s v="France"/>
    <x v="2"/>
    <n v="1360"/>
  </r>
  <r>
    <n v="10612"/>
    <n v="76"/>
    <n v="18"/>
    <n v="80"/>
    <n v="0"/>
    <s v="Navarro, Tomás"/>
    <s v="Navarro Tomás"/>
    <x v="5"/>
    <s v="WA"/>
    <s v="Product JYGFE"/>
    <x v="6"/>
    <x v="276"/>
    <d v="2007-08-01T00:00:00"/>
    <x v="1"/>
    <s v="Ship to 71-A"/>
    <x v="9"/>
    <s v="Supplier ELCRN"/>
    <s v="Finland"/>
    <x v="2"/>
    <n v="1440"/>
  </r>
  <r>
    <n v="10613"/>
    <n v="13"/>
    <n v="6"/>
    <n v="8"/>
    <n v="0.1"/>
    <s v="Langohr, Kris"/>
    <s v="Langohr Kris"/>
    <x v="1"/>
    <s v="WA"/>
    <s v="Product POXFU"/>
    <x v="3"/>
    <x v="277"/>
    <d v="2007-08-01T00:00:00"/>
    <x v="1"/>
    <s v="Destination JYDLM"/>
    <x v="5"/>
    <s v="Supplier QWUSF"/>
    <s v="Japan"/>
    <x v="1"/>
    <n v="43.2"/>
  </r>
  <r>
    <n v="10613"/>
    <n v="75"/>
    <n v="7.75"/>
    <n v="40"/>
    <n v="0"/>
    <s v="Langohr, Kris"/>
    <s v="Langohr Kris"/>
    <x v="1"/>
    <s v="WA"/>
    <s v="Product BWRLG"/>
    <x v="6"/>
    <x v="277"/>
    <d v="2007-08-01T00:00:00"/>
    <x v="1"/>
    <s v="Destination JYDLM"/>
    <x v="5"/>
    <s v="Supplier SVIYA"/>
    <s v="Germany"/>
    <x v="1"/>
    <n v="310"/>
  </r>
  <r>
    <n v="10614"/>
    <n v="11"/>
    <n v="21"/>
    <n v="14"/>
    <n v="0"/>
    <s v="Poland, Carole"/>
    <s v="Poland Carole"/>
    <x v="6"/>
    <s v="WA"/>
    <s v="Product QMVUN"/>
    <x v="0"/>
    <x v="277"/>
    <d v="2007-08-01T00:00:00"/>
    <x v="3"/>
    <s v="Ship to 6-A"/>
    <x v="8"/>
    <s v="Supplier EQPNC"/>
    <s v="Spain"/>
    <x v="1"/>
    <n v="294"/>
  </r>
  <r>
    <n v="10614"/>
    <n v="21"/>
    <n v="10"/>
    <n v="8"/>
    <n v="0"/>
    <s v="Poland, Carole"/>
    <s v="Poland Carole"/>
    <x v="6"/>
    <s v="WA"/>
    <s v="Product VJZZH"/>
    <x v="5"/>
    <x v="277"/>
    <d v="2007-08-01T00:00:00"/>
    <x v="3"/>
    <s v="Ship to 6-A"/>
    <x v="8"/>
    <s v="Supplier BWGYE"/>
    <s v="UK"/>
    <x v="1"/>
    <n v="80"/>
  </r>
  <r>
    <n v="10614"/>
    <n v="39"/>
    <n v="18"/>
    <n v="5"/>
    <n v="0"/>
    <s v="Poland, Carole"/>
    <s v="Poland Carole"/>
    <x v="6"/>
    <s v="WA"/>
    <s v="Product LSOFL"/>
    <x v="6"/>
    <x v="277"/>
    <d v="2007-08-01T00:00:00"/>
    <x v="3"/>
    <s v="Ship to 6-A"/>
    <x v="8"/>
    <s v="Supplier LVJUA"/>
    <s v="France"/>
    <x v="1"/>
    <n v="90"/>
  </r>
  <r>
    <n v="10615"/>
    <n v="55"/>
    <n v="24"/>
    <n v="5"/>
    <n v="0"/>
    <s v="Larsson, Katarina"/>
    <s v="Larsson Katarina"/>
    <x v="8"/>
    <s v="WA"/>
    <s v="Product YYWRT"/>
    <x v="7"/>
    <x v="278"/>
    <d v="2007-08-06T00:00:00"/>
    <x v="3"/>
    <s v="Ship to 90-B"/>
    <x v="11"/>
    <s v="Supplier ERVYZ"/>
    <s v="Canada"/>
    <x v="1"/>
    <n v="120"/>
  </r>
  <r>
    <n v="10616"/>
    <n v="38"/>
    <n v="263.5"/>
    <n v="15"/>
    <n v="0.05"/>
    <s v="Krishnan, Venky"/>
    <s v="Krishnan Venky"/>
    <x v="5"/>
    <s v="WA"/>
    <s v="Product QDOMO"/>
    <x v="6"/>
    <x v="279"/>
    <d v="2007-08-05T00:00:00"/>
    <x v="1"/>
    <s v="Destination LLUXZ"/>
    <x v="9"/>
    <s v="Supplier LVJUA"/>
    <s v="France"/>
    <x v="2"/>
    <n v="3754.875"/>
  </r>
  <r>
    <n v="10616"/>
    <n v="56"/>
    <n v="38"/>
    <n v="14"/>
    <n v="0"/>
    <s v="Krishnan, Venky"/>
    <s v="Krishnan Venky"/>
    <x v="5"/>
    <s v="WA"/>
    <s v="Product VKCMF"/>
    <x v="1"/>
    <x v="279"/>
    <d v="2007-08-05T00:00:00"/>
    <x v="1"/>
    <s v="Destination LLUXZ"/>
    <x v="9"/>
    <s v="Supplier ZWZDM"/>
    <s v="Italy"/>
    <x v="2"/>
    <n v="532"/>
  </r>
  <r>
    <n v="10616"/>
    <n v="70"/>
    <n v="15"/>
    <n v="15"/>
    <n v="0.05"/>
    <s v="Krishnan, Venky"/>
    <s v="Krishnan Venky"/>
    <x v="5"/>
    <s v="WA"/>
    <s v="Product TOONT"/>
    <x v="6"/>
    <x v="279"/>
    <d v="2007-08-05T00:00:00"/>
    <x v="1"/>
    <s v="Destination LLUXZ"/>
    <x v="9"/>
    <s v="Supplier GQRCV"/>
    <s v="Australia"/>
    <x v="2"/>
    <n v="213.75"/>
  </r>
  <r>
    <n v="10616"/>
    <n v="71"/>
    <n v="21.5"/>
    <n v="15"/>
    <n v="0.05"/>
    <s v="Krishnan, Venky"/>
    <s v="Krishnan Venky"/>
    <x v="5"/>
    <s v="WA"/>
    <s v="Product MYMOI"/>
    <x v="0"/>
    <x v="279"/>
    <d v="2007-08-05T00:00:00"/>
    <x v="1"/>
    <s v="Destination LLUXZ"/>
    <x v="9"/>
    <s v="Supplier NZLIF"/>
    <s v="Norway"/>
    <x v="2"/>
    <n v="306.375"/>
  </r>
  <r>
    <n v="10617"/>
    <n v="59"/>
    <n v="55"/>
    <n v="30"/>
    <n v="0.15"/>
    <s v="Krishnan, Venky"/>
    <s v="Krishnan Venky"/>
    <x v="1"/>
    <s v="WA"/>
    <s v="Product UKXRI"/>
    <x v="0"/>
    <x v="279"/>
    <d v="2007-08-04T00:00:00"/>
    <x v="1"/>
    <s v="Destination AVQUS"/>
    <x v="9"/>
    <s v="Supplier OAVQT"/>
    <s v="France"/>
    <x v="1"/>
    <n v="1402.5"/>
  </r>
  <r>
    <n v="10618"/>
    <n v="6"/>
    <n v="25"/>
    <n v="70"/>
    <n v="0"/>
    <s v="Taylor, Maurice"/>
    <s v="Taylor Maurice"/>
    <x v="5"/>
    <s v="WA"/>
    <s v="Product VAIIV"/>
    <x v="4"/>
    <x v="280"/>
    <d v="2007-08-08T00:00:00"/>
    <x v="2"/>
    <s v="Ship to 51-C"/>
    <x v="17"/>
    <s v="Supplier STUAZ"/>
    <s v="USA"/>
    <x v="2"/>
    <n v="1750"/>
  </r>
  <r>
    <n v="10618"/>
    <n v="56"/>
    <n v="38"/>
    <n v="20"/>
    <n v="0"/>
    <s v="Taylor, Maurice"/>
    <s v="Taylor Maurice"/>
    <x v="5"/>
    <s v="WA"/>
    <s v="Product VKCMF"/>
    <x v="1"/>
    <x v="280"/>
    <d v="2007-08-08T00:00:00"/>
    <x v="2"/>
    <s v="Ship to 51-C"/>
    <x v="17"/>
    <s v="Supplier ZWZDM"/>
    <s v="Italy"/>
    <x v="2"/>
    <n v="760"/>
  </r>
  <r>
    <n v="10618"/>
    <n v="68"/>
    <n v="12.5"/>
    <n v="15"/>
    <n v="0"/>
    <s v="Taylor, Maurice"/>
    <s v="Taylor Maurice"/>
    <x v="5"/>
    <s v="WA"/>
    <s v="Product TBTBL"/>
    <x v="5"/>
    <x v="280"/>
    <d v="2007-08-08T00:00:00"/>
    <x v="2"/>
    <s v="Ship to 51-C"/>
    <x v="17"/>
    <s v="Supplier BWGYE"/>
    <s v="UK"/>
    <x v="2"/>
    <n v="187.5"/>
  </r>
  <r>
    <n v="10619"/>
    <n v="21"/>
    <n v="10"/>
    <n v="42"/>
    <n v="0"/>
    <s v="Taylor, Maurice"/>
    <s v="Taylor Maurice"/>
    <x v="2"/>
    <s v="WA"/>
    <s v="Product VJZZH"/>
    <x v="5"/>
    <x v="281"/>
    <d v="2007-08-07T00:00:00"/>
    <x v="3"/>
    <s v="Ship to 51-B"/>
    <x v="17"/>
    <s v="Supplier BWGYE"/>
    <s v="UK"/>
    <x v="1"/>
    <n v="420"/>
  </r>
  <r>
    <n v="10619"/>
    <n v="22"/>
    <n v="21"/>
    <n v="40"/>
    <n v="0"/>
    <s v="Taylor, Maurice"/>
    <s v="Taylor Maurice"/>
    <x v="2"/>
    <s v="WA"/>
    <s v="Product CPHFY"/>
    <x v="1"/>
    <x v="281"/>
    <d v="2007-08-07T00:00:00"/>
    <x v="3"/>
    <s v="Ship to 51-B"/>
    <x v="17"/>
    <s v="Supplier QQYEU"/>
    <s v="Sweden"/>
    <x v="1"/>
    <n v="840"/>
  </r>
  <r>
    <n v="10620"/>
    <n v="24"/>
    <n v="4.5"/>
    <n v="5"/>
    <n v="0"/>
    <s v="Steiner, Dominik"/>
    <s v="Steiner Dominik"/>
    <x v="8"/>
    <s v="WA"/>
    <s v="Product QOGNU"/>
    <x v="6"/>
    <x v="282"/>
    <d v="2007-08-14T00:00:00"/>
    <x v="3"/>
    <s v="Ship to 42-A"/>
    <x v="17"/>
    <s v="Supplier UNAHG"/>
    <s v="Brazil"/>
    <x v="1"/>
    <n v="22.5"/>
  </r>
  <r>
    <n v="10620"/>
    <n v="52"/>
    <n v="7"/>
    <n v="5"/>
    <n v="0"/>
    <s v="Steiner, Dominik"/>
    <s v="Steiner Dominik"/>
    <x v="8"/>
    <s v="WA"/>
    <s v="Product QSRXF"/>
    <x v="1"/>
    <x v="282"/>
    <d v="2007-08-14T00:00:00"/>
    <x v="3"/>
    <s v="Ship to 42-A"/>
    <x v="17"/>
    <s v="Supplier JNNES"/>
    <s v="Australia"/>
    <x v="1"/>
    <n v="35"/>
  </r>
  <r>
    <n v="10621"/>
    <n v="19"/>
    <n v="9.1999999999999993"/>
    <n v="5"/>
    <n v="0"/>
    <s v="Lee, Frank"/>
    <s v="Lee Frank"/>
    <x v="1"/>
    <s v="WA"/>
    <s v="Product XKXDO"/>
    <x v="5"/>
    <x v="282"/>
    <d v="2007-08-11T00:00:00"/>
    <x v="1"/>
    <s v="Destination LMVGS"/>
    <x v="14"/>
    <s v="Supplier BWGYE"/>
    <s v="UK"/>
    <x v="1"/>
    <n v="46"/>
  </r>
  <r>
    <n v="10621"/>
    <n v="23"/>
    <n v="9"/>
    <n v="10"/>
    <n v="0"/>
    <s v="Lee, Frank"/>
    <s v="Lee Frank"/>
    <x v="1"/>
    <s v="WA"/>
    <s v="Product JLUDZ"/>
    <x v="1"/>
    <x v="282"/>
    <d v="2007-08-11T00:00:00"/>
    <x v="1"/>
    <s v="Destination LMVGS"/>
    <x v="14"/>
    <s v="Supplier QQYEU"/>
    <s v="Sweden"/>
    <x v="1"/>
    <n v="90"/>
  </r>
  <r>
    <n v="10621"/>
    <n v="70"/>
    <n v="15"/>
    <n v="20"/>
    <n v="0"/>
    <s v="Lee, Frank"/>
    <s v="Lee Frank"/>
    <x v="1"/>
    <s v="WA"/>
    <s v="Product TOONT"/>
    <x v="6"/>
    <x v="282"/>
    <d v="2007-08-11T00:00:00"/>
    <x v="1"/>
    <s v="Destination LMVGS"/>
    <x v="14"/>
    <s v="Supplier GQRCV"/>
    <s v="Australia"/>
    <x v="1"/>
    <n v="300"/>
  </r>
  <r>
    <n v="10621"/>
    <n v="71"/>
    <n v="21.5"/>
    <n v="15"/>
    <n v="0"/>
    <s v="Lee, Frank"/>
    <s v="Lee Frank"/>
    <x v="1"/>
    <s v="WA"/>
    <s v="Product MYMOI"/>
    <x v="0"/>
    <x v="282"/>
    <d v="2007-08-11T00:00:00"/>
    <x v="1"/>
    <s v="Destination LMVGS"/>
    <x v="14"/>
    <s v="Supplier NZLIF"/>
    <s v="Norway"/>
    <x v="1"/>
    <n v="322.5"/>
  </r>
  <r>
    <n v="10622"/>
    <n v="2"/>
    <n v="19"/>
    <n v="20"/>
    <n v="0"/>
    <s v="Garden, Euan"/>
    <s v="Garden Euan"/>
    <x v="1"/>
    <s v="WA"/>
    <s v="Product RECZE"/>
    <x v="6"/>
    <x v="283"/>
    <d v="2007-08-11T00:00:00"/>
    <x v="3"/>
    <s v="Ship to 67-A"/>
    <x v="1"/>
    <s v="Supplier SWRXU"/>
    <s v="UK"/>
    <x v="1"/>
    <n v="380"/>
  </r>
  <r>
    <n v="10622"/>
    <n v="68"/>
    <n v="12.5"/>
    <n v="18"/>
    <n v="0.2"/>
    <s v="Garden, Euan"/>
    <s v="Garden Euan"/>
    <x v="1"/>
    <s v="WA"/>
    <s v="Product TBTBL"/>
    <x v="5"/>
    <x v="283"/>
    <d v="2007-08-11T00:00:00"/>
    <x v="3"/>
    <s v="Ship to 67-A"/>
    <x v="1"/>
    <s v="Supplier BWGYE"/>
    <s v="UK"/>
    <x v="1"/>
    <n v="180"/>
  </r>
  <r>
    <n v="10623"/>
    <n v="14"/>
    <n v="23.25"/>
    <n v="21"/>
    <n v="0"/>
    <s v="Carlson, Jason"/>
    <s v="Carlson Jason"/>
    <x v="6"/>
    <s v="WA"/>
    <s v="Product PWCJB"/>
    <x v="2"/>
    <x v="284"/>
    <d v="2007-08-12T00:00:00"/>
    <x v="1"/>
    <s v="Destination VAPXU"/>
    <x v="8"/>
    <s v="Supplier QWUSF"/>
    <s v="Japan"/>
    <x v="1"/>
    <n v="488.25"/>
  </r>
  <r>
    <n v="10623"/>
    <n v="19"/>
    <n v="9.1999999999999993"/>
    <n v="15"/>
    <n v="0.1"/>
    <s v="Carlson, Jason"/>
    <s v="Carlson Jason"/>
    <x v="6"/>
    <s v="WA"/>
    <s v="Product XKXDO"/>
    <x v="5"/>
    <x v="284"/>
    <d v="2007-08-12T00:00:00"/>
    <x v="1"/>
    <s v="Destination VAPXU"/>
    <x v="8"/>
    <s v="Supplier BWGYE"/>
    <s v="UK"/>
    <x v="1"/>
    <n v="124.2"/>
  </r>
  <r>
    <n v="10623"/>
    <n v="21"/>
    <n v="10"/>
    <n v="25"/>
    <n v="0.1"/>
    <s v="Carlson, Jason"/>
    <s v="Carlson Jason"/>
    <x v="6"/>
    <s v="WA"/>
    <s v="Product VJZZH"/>
    <x v="5"/>
    <x v="284"/>
    <d v="2007-08-12T00:00:00"/>
    <x v="1"/>
    <s v="Destination VAPXU"/>
    <x v="8"/>
    <s v="Supplier BWGYE"/>
    <s v="UK"/>
    <x v="1"/>
    <n v="225"/>
  </r>
  <r>
    <n v="10623"/>
    <n v="24"/>
    <n v="4.5"/>
    <n v="3"/>
    <n v="0"/>
    <s v="Carlson, Jason"/>
    <s v="Carlson Jason"/>
    <x v="6"/>
    <s v="WA"/>
    <s v="Product QOGNU"/>
    <x v="6"/>
    <x v="284"/>
    <d v="2007-08-12T00:00:00"/>
    <x v="1"/>
    <s v="Destination VAPXU"/>
    <x v="8"/>
    <s v="Supplier UNAHG"/>
    <s v="Brazil"/>
    <x v="1"/>
    <n v="13.5"/>
  </r>
  <r>
    <n v="10623"/>
    <n v="35"/>
    <n v="18"/>
    <n v="30"/>
    <n v="0.1"/>
    <s v="Carlson, Jason"/>
    <s v="Carlson Jason"/>
    <x v="6"/>
    <s v="WA"/>
    <s v="Product NEVTJ"/>
    <x v="6"/>
    <x v="284"/>
    <d v="2007-08-12T00:00:00"/>
    <x v="1"/>
    <s v="Destination VAPXU"/>
    <x v="8"/>
    <s v="Supplier UHZRG"/>
    <s v="USA"/>
    <x v="1"/>
    <n v="486"/>
  </r>
  <r>
    <n v="10624"/>
    <n v="28"/>
    <n v="45.6"/>
    <n v="10"/>
    <n v="0"/>
    <s v="Young, Robin"/>
    <s v="Young Robin"/>
    <x v="1"/>
    <s v="WA"/>
    <s v="Product OFBNT"/>
    <x v="2"/>
    <x v="284"/>
    <d v="2007-08-19T00:00:00"/>
    <x v="1"/>
    <s v="Ship to 78-C"/>
    <x v="9"/>
    <s v="Supplier SVIYA"/>
    <s v="Germany"/>
    <x v="1"/>
    <n v="456"/>
  </r>
  <r>
    <n v="10624"/>
    <n v="29"/>
    <n v="123.79"/>
    <n v="6"/>
    <n v="0"/>
    <s v="Young, Robin"/>
    <s v="Young Robin"/>
    <x v="1"/>
    <s v="WA"/>
    <s v="Product VJXYN"/>
    <x v="7"/>
    <x v="284"/>
    <d v="2007-08-19T00:00:00"/>
    <x v="1"/>
    <s v="Ship to 78-C"/>
    <x v="9"/>
    <s v="Supplier SVIYA"/>
    <s v="Germany"/>
    <x v="1"/>
    <n v="742.74"/>
  </r>
  <r>
    <n v="10624"/>
    <n v="44"/>
    <n v="19.45"/>
    <n v="10"/>
    <n v="0"/>
    <s v="Young, Robin"/>
    <s v="Young Robin"/>
    <x v="1"/>
    <s v="WA"/>
    <s v="Product VJIEO"/>
    <x v="4"/>
    <x v="284"/>
    <d v="2007-08-19T00:00:00"/>
    <x v="1"/>
    <s v="Ship to 78-C"/>
    <x v="9"/>
    <s v="Supplier CIYNM"/>
    <s v="Singapore"/>
    <x v="1"/>
    <n v="194.5"/>
  </r>
  <r>
    <n v="10625"/>
    <n v="14"/>
    <n v="23.25"/>
    <n v="3"/>
    <n v="0"/>
    <s v="Hassall, Mark"/>
    <s v="Hassall Mark"/>
    <x v="2"/>
    <s v="WA"/>
    <s v="Product PWCJB"/>
    <x v="2"/>
    <x v="285"/>
    <d v="2007-08-14T00:00:00"/>
    <x v="2"/>
    <s v="Destination QOTQA"/>
    <x v="7"/>
    <s v="Supplier QWUSF"/>
    <s v="Japan"/>
    <x v="1"/>
    <n v="69.75"/>
  </r>
  <r>
    <n v="10625"/>
    <n v="42"/>
    <n v="14"/>
    <n v="5"/>
    <n v="0"/>
    <s v="Hassall, Mark"/>
    <s v="Hassall Mark"/>
    <x v="2"/>
    <s v="WA"/>
    <s v="Product RJVNM"/>
    <x v="1"/>
    <x v="285"/>
    <d v="2007-08-14T00:00:00"/>
    <x v="2"/>
    <s v="Destination QOTQA"/>
    <x v="7"/>
    <s v="Supplier CIYNM"/>
    <s v="Singapore"/>
    <x v="1"/>
    <n v="70"/>
  </r>
  <r>
    <n v="10625"/>
    <n v="60"/>
    <n v="34"/>
    <n v="10"/>
    <n v="0"/>
    <s v="Hassall, Mark"/>
    <s v="Hassall Mark"/>
    <x v="2"/>
    <s v="WA"/>
    <s v="Product WHBYK"/>
    <x v="0"/>
    <x v="285"/>
    <d v="2007-08-14T00:00:00"/>
    <x v="2"/>
    <s v="Destination QOTQA"/>
    <x v="7"/>
    <s v="Supplier OAVQT"/>
    <s v="France"/>
    <x v="1"/>
    <n v="340"/>
  </r>
  <r>
    <n v="10626"/>
    <n v="53"/>
    <n v="32.799999999999997"/>
    <n v="12"/>
    <n v="0"/>
    <s v="Higginbotham, Tom"/>
    <s v="Higginbotham Tom"/>
    <x v="5"/>
    <s v="WA"/>
    <s v="Product BKGEA"/>
    <x v="7"/>
    <x v="286"/>
    <d v="2007-08-20T00:00:00"/>
    <x v="1"/>
    <s v="Ship to 5-A"/>
    <x v="10"/>
    <s v="Supplier JNNES"/>
    <s v="Australia"/>
    <x v="2"/>
    <n v="393.59999999999997"/>
  </r>
  <r>
    <n v="10626"/>
    <n v="60"/>
    <n v="34"/>
    <n v="20"/>
    <n v="0"/>
    <s v="Higginbotham, Tom"/>
    <s v="Higginbotham Tom"/>
    <x v="5"/>
    <s v="WA"/>
    <s v="Product WHBYK"/>
    <x v="0"/>
    <x v="286"/>
    <d v="2007-08-20T00:00:00"/>
    <x v="1"/>
    <s v="Ship to 5-A"/>
    <x v="10"/>
    <s v="Supplier OAVQT"/>
    <s v="France"/>
    <x v="2"/>
    <n v="680"/>
  </r>
  <r>
    <n v="10626"/>
    <n v="71"/>
    <n v="21.5"/>
    <n v="20"/>
    <n v="0"/>
    <s v="Higginbotham, Tom"/>
    <s v="Higginbotham Tom"/>
    <x v="5"/>
    <s v="WA"/>
    <s v="Product MYMOI"/>
    <x v="0"/>
    <x v="286"/>
    <d v="2007-08-20T00:00:00"/>
    <x v="1"/>
    <s v="Ship to 5-A"/>
    <x v="10"/>
    <s v="Supplier NZLIF"/>
    <s v="Norway"/>
    <x v="2"/>
    <n v="430"/>
  </r>
  <r>
    <n v="10627"/>
    <n v="62"/>
    <n v="49.3"/>
    <n v="15"/>
    <n v="0"/>
    <s v="Navarro, Tomás"/>
    <s v="Navarro Tomás"/>
    <x v="6"/>
    <s v="WA"/>
    <s v="Product WUXYK"/>
    <x v="5"/>
    <x v="286"/>
    <d v="2007-08-21T00:00:00"/>
    <x v="3"/>
    <s v="Ship to 71-B"/>
    <x v="9"/>
    <s v="Supplier OGLRK"/>
    <s v="Canada"/>
    <x v="2"/>
    <n v="739.5"/>
  </r>
  <r>
    <n v="10627"/>
    <n v="73"/>
    <n v="15"/>
    <n v="35"/>
    <n v="0.15"/>
    <s v="Navarro, Tomás"/>
    <s v="Navarro Tomás"/>
    <x v="6"/>
    <s v="WA"/>
    <s v="Product WEUJZ"/>
    <x v="3"/>
    <x v="286"/>
    <d v="2007-08-21T00:00:00"/>
    <x v="3"/>
    <s v="Ship to 71-B"/>
    <x v="9"/>
    <s v="Supplier QZGUF"/>
    <s v="Sweden"/>
    <x v="2"/>
    <n v="446.25"/>
  </r>
  <r>
    <n v="10628"/>
    <n v="1"/>
    <n v="18"/>
    <n v="25"/>
    <n v="0"/>
    <s v="Bansal, Dushyant"/>
    <s v="Bansal Dushyant"/>
    <x v="1"/>
    <s v="WA"/>
    <s v="Product HHYDP"/>
    <x v="6"/>
    <x v="287"/>
    <d v="2007-08-20T00:00:00"/>
    <x v="3"/>
    <s v="Ship to 7-B"/>
    <x v="2"/>
    <s v="Supplier SWRXU"/>
    <s v="UK"/>
    <x v="1"/>
    <n v="450"/>
  </r>
  <r>
    <n v="10629"/>
    <n v="29"/>
    <n v="123.79"/>
    <n v="20"/>
    <n v="0"/>
    <s v="Shabalin, Rostislav"/>
    <s v="Shabalin Rostislav"/>
    <x v="1"/>
    <s v="WA"/>
    <s v="Product VJXYN"/>
    <x v="7"/>
    <x v="287"/>
    <d v="2007-08-20T00:00:00"/>
    <x v="3"/>
    <s v="Destination IIYDD"/>
    <x v="13"/>
    <s v="Supplier SVIYA"/>
    <s v="Germany"/>
    <x v="1"/>
    <n v="2475.8000000000002"/>
  </r>
  <r>
    <n v="10629"/>
    <n v="64"/>
    <n v="33.25"/>
    <n v="9"/>
    <n v="0"/>
    <s v="Shabalin, Rostislav"/>
    <s v="Shabalin Rostislav"/>
    <x v="1"/>
    <s v="WA"/>
    <s v="Product HCQDE"/>
    <x v="1"/>
    <x v="287"/>
    <d v="2007-08-20T00:00:00"/>
    <x v="3"/>
    <s v="Destination IIYDD"/>
    <x v="13"/>
    <s v="Supplier SVIYA"/>
    <s v="Germany"/>
    <x v="1"/>
    <n v="299.25"/>
  </r>
  <r>
    <n v="10630"/>
    <n v="55"/>
    <n v="24"/>
    <n v="12"/>
    <n v="0.05"/>
    <s v="Song, Lolan"/>
    <s v="Song Lolan"/>
    <x v="5"/>
    <s v="WA"/>
    <s v="Product YYWRT"/>
    <x v="7"/>
    <x v="288"/>
    <d v="2007-08-19T00:00:00"/>
    <x v="1"/>
    <s v="Destination RMBHM"/>
    <x v="8"/>
    <s v="Supplier ERVYZ"/>
    <s v="Canada"/>
    <x v="1"/>
    <n v="273.59999999999997"/>
  </r>
  <r>
    <n v="10630"/>
    <n v="76"/>
    <n v="18"/>
    <n v="35"/>
    <n v="0"/>
    <s v="Song, Lolan"/>
    <s v="Song Lolan"/>
    <x v="5"/>
    <s v="WA"/>
    <s v="Product JYGFE"/>
    <x v="6"/>
    <x v="288"/>
    <d v="2007-08-19T00:00:00"/>
    <x v="1"/>
    <s v="Destination RMBHM"/>
    <x v="8"/>
    <s v="Supplier ELCRN"/>
    <s v="Finland"/>
    <x v="1"/>
    <n v="630"/>
  </r>
  <r>
    <n v="10631"/>
    <n v="75"/>
    <n v="7.75"/>
    <n v="8"/>
    <n v="0.1"/>
    <s v="Litton, Tim"/>
    <s v="Litton Tim"/>
    <x v="6"/>
    <s v="WA"/>
    <s v="Product BWRLG"/>
    <x v="6"/>
    <x v="289"/>
    <d v="2007-08-15T00:00:00"/>
    <x v="2"/>
    <s v="Destination OLJND"/>
    <x v="2"/>
    <s v="Supplier SVIYA"/>
    <s v="Germany"/>
    <x v="1"/>
    <n v="55.800000000000004"/>
  </r>
  <r>
    <n v="10632"/>
    <n v="2"/>
    <n v="19"/>
    <n v="30"/>
    <n v="0.05"/>
    <s v="Syamala, Manoj"/>
    <s v="Syamala Manoj"/>
    <x v="6"/>
    <s v="WA"/>
    <s v="Product RECZE"/>
    <x v="6"/>
    <x v="289"/>
    <d v="2007-08-19T00:00:00"/>
    <x v="2"/>
    <s v="Ship to 86-C"/>
    <x v="8"/>
    <s v="Supplier SWRXU"/>
    <s v="UK"/>
    <x v="1"/>
    <n v="541.5"/>
  </r>
  <r>
    <n v="10632"/>
    <n v="33"/>
    <n v="2.5"/>
    <n v="20"/>
    <n v="0.05"/>
    <s v="Syamala, Manoj"/>
    <s v="Syamala Manoj"/>
    <x v="6"/>
    <s v="WA"/>
    <s v="Product ASTMN"/>
    <x v="0"/>
    <x v="289"/>
    <d v="2007-08-19T00:00:00"/>
    <x v="2"/>
    <s v="Ship to 86-C"/>
    <x v="8"/>
    <s v="Supplier NZLIF"/>
    <s v="Norway"/>
    <x v="1"/>
    <n v="47.5"/>
  </r>
  <r>
    <n v="10633"/>
    <n v="12"/>
    <n v="38"/>
    <n v="36"/>
    <n v="0.15"/>
    <s v="Kane, John"/>
    <s v="Kane John"/>
    <x v="9"/>
    <n v="0"/>
    <s v="Product OSFNS"/>
    <x v="0"/>
    <x v="290"/>
    <d v="2007-08-18T00:00:00"/>
    <x v="3"/>
    <s v="Destination FFXKT"/>
    <x v="6"/>
    <s v="Supplier EQPNC"/>
    <s v="Spain"/>
    <x v="2"/>
    <n v="1162.8"/>
  </r>
  <r>
    <n v="10633"/>
    <n v="13"/>
    <n v="6"/>
    <n v="13"/>
    <n v="0.15"/>
    <s v="Kane, John"/>
    <s v="Kane John"/>
    <x v="9"/>
    <n v="0"/>
    <s v="Product POXFU"/>
    <x v="3"/>
    <x v="290"/>
    <d v="2007-08-18T00:00:00"/>
    <x v="3"/>
    <s v="Destination FFXKT"/>
    <x v="6"/>
    <s v="Supplier QWUSF"/>
    <s v="Japan"/>
    <x v="2"/>
    <n v="66.3"/>
  </r>
  <r>
    <n v="10633"/>
    <n v="26"/>
    <n v="31.23"/>
    <n v="35"/>
    <n v="0.15"/>
    <s v="Kane, John"/>
    <s v="Kane John"/>
    <x v="9"/>
    <n v="0"/>
    <s v="Product HLGZA"/>
    <x v="5"/>
    <x v="290"/>
    <d v="2007-08-18T00:00:00"/>
    <x v="3"/>
    <s v="Destination FFXKT"/>
    <x v="6"/>
    <s v="Supplier ZPYVS"/>
    <s v="Germany"/>
    <x v="2"/>
    <n v="929.09249999999997"/>
  </r>
  <r>
    <n v="10633"/>
    <n v="62"/>
    <n v="49.3"/>
    <n v="80"/>
    <n v="0.15"/>
    <s v="Kane, John"/>
    <s v="Kane John"/>
    <x v="9"/>
    <n v="0"/>
    <s v="Product WUXYK"/>
    <x v="5"/>
    <x v="290"/>
    <d v="2007-08-18T00:00:00"/>
    <x v="3"/>
    <s v="Destination FFXKT"/>
    <x v="6"/>
    <s v="Supplier OGLRK"/>
    <s v="Canada"/>
    <x v="2"/>
    <n v="3352.4"/>
  </r>
  <r>
    <n v="10634"/>
    <n v="7"/>
    <n v="30"/>
    <n v="35"/>
    <n v="0"/>
    <s v="Khanna, Karan"/>
    <s v="Khanna Karan"/>
    <x v="1"/>
    <s v="WA"/>
    <s v="Product HMLNI"/>
    <x v="2"/>
    <x v="290"/>
    <d v="2007-08-21T00:00:00"/>
    <x v="3"/>
    <s v="Destination AGPCO"/>
    <x v="2"/>
    <s v="Supplier STUAZ"/>
    <s v="USA"/>
    <x v="2"/>
    <n v="1050"/>
  </r>
  <r>
    <n v="10634"/>
    <n v="18"/>
    <n v="62.5"/>
    <n v="50"/>
    <n v="0"/>
    <s v="Khanna, Karan"/>
    <s v="Khanna Karan"/>
    <x v="1"/>
    <s v="WA"/>
    <s v="Product CKEDC"/>
    <x v="3"/>
    <x v="290"/>
    <d v="2007-08-21T00:00:00"/>
    <x v="3"/>
    <s v="Destination AGPCO"/>
    <x v="2"/>
    <s v="Supplier GQRCV"/>
    <s v="Australia"/>
    <x v="2"/>
    <n v="3125"/>
  </r>
  <r>
    <n v="10634"/>
    <n v="51"/>
    <n v="53"/>
    <n v="15"/>
    <n v="0"/>
    <s v="Khanna, Karan"/>
    <s v="Khanna Karan"/>
    <x v="1"/>
    <s v="WA"/>
    <s v="Product APITJ"/>
    <x v="2"/>
    <x v="290"/>
    <d v="2007-08-21T00:00:00"/>
    <x v="3"/>
    <s v="Destination AGPCO"/>
    <x v="2"/>
    <s v="Supplier JNNES"/>
    <s v="Australia"/>
    <x v="2"/>
    <n v="795"/>
  </r>
  <r>
    <n v="10634"/>
    <n v="75"/>
    <n v="7.75"/>
    <n v="2"/>
    <n v="0"/>
    <s v="Khanna, Karan"/>
    <s v="Khanna Karan"/>
    <x v="1"/>
    <s v="WA"/>
    <s v="Product BWRLG"/>
    <x v="6"/>
    <x v="290"/>
    <d v="2007-08-21T00:00:00"/>
    <x v="3"/>
    <s v="Destination AGPCO"/>
    <x v="2"/>
    <s v="Supplier SVIYA"/>
    <s v="Germany"/>
    <x v="2"/>
    <n v="15.5"/>
  </r>
  <r>
    <n v="10635"/>
    <n v="4"/>
    <n v="22"/>
    <n v="10"/>
    <n v="0.1"/>
    <s v="Duerr, Bernard"/>
    <s v="Duerr Bernard"/>
    <x v="6"/>
    <s v="WA"/>
    <s v="Product KSBRM"/>
    <x v="4"/>
    <x v="291"/>
    <d v="2007-08-21T00:00:00"/>
    <x v="3"/>
    <s v="Ship to 49-A"/>
    <x v="12"/>
    <s v="Supplier VHQZD"/>
    <s v="USA"/>
    <x v="1"/>
    <n v="198"/>
  </r>
  <r>
    <n v="10635"/>
    <n v="5"/>
    <n v="21.35"/>
    <n v="15"/>
    <n v="0.1"/>
    <s v="Duerr, Bernard"/>
    <s v="Duerr Bernard"/>
    <x v="6"/>
    <s v="WA"/>
    <s v="Product EPEIM"/>
    <x v="4"/>
    <x v="291"/>
    <d v="2007-08-21T00:00:00"/>
    <x v="3"/>
    <s v="Ship to 49-A"/>
    <x v="12"/>
    <s v="Supplier VHQZD"/>
    <s v="USA"/>
    <x v="1"/>
    <n v="288.22500000000002"/>
  </r>
  <r>
    <n v="10635"/>
    <n v="22"/>
    <n v="21"/>
    <n v="40"/>
    <n v="0"/>
    <s v="Duerr, Bernard"/>
    <s v="Duerr Bernard"/>
    <x v="6"/>
    <s v="WA"/>
    <s v="Product CPHFY"/>
    <x v="1"/>
    <x v="291"/>
    <d v="2007-08-21T00:00:00"/>
    <x v="3"/>
    <s v="Ship to 49-A"/>
    <x v="12"/>
    <s v="Supplier QQYEU"/>
    <s v="Sweden"/>
    <x v="1"/>
    <n v="840"/>
  </r>
  <r>
    <n v="10636"/>
    <n v="4"/>
    <n v="22"/>
    <n v="25"/>
    <n v="0"/>
    <s v="Ludwig, Michael"/>
    <s v="Ludwig Michael"/>
    <x v="1"/>
    <s v="WA"/>
    <s v="Product KSBRM"/>
    <x v="4"/>
    <x v="292"/>
    <d v="2007-08-26T00:00:00"/>
    <x v="2"/>
    <s v="Ship to 87-A"/>
    <x v="11"/>
    <s v="Supplier VHQZD"/>
    <s v="USA"/>
    <x v="1"/>
    <n v="550"/>
  </r>
  <r>
    <n v="10636"/>
    <n v="58"/>
    <n v="13.25"/>
    <n v="6"/>
    <n v="0"/>
    <s v="Ludwig, Michael"/>
    <s v="Ludwig Michael"/>
    <x v="1"/>
    <s v="WA"/>
    <s v="Product ACRVI"/>
    <x v="3"/>
    <x v="292"/>
    <d v="2007-08-26T00:00:00"/>
    <x v="2"/>
    <s v="Ship to 87-A"/>
    <x v="11"/>
    <s v="Supplier ZRYDZ"/>
    <s v="France"/>
    <x v="1"/>
    <n v="79.5"/>
  </r>
  <r>
    <n v="10637"/>
    <n v="11"/>
    <n v="21"/>
    <n v="10"/>
    <n v="0"/>
    <s v="Misiec, Anna"/>
    <s v="Misiec Anna"/>
    <x v="7"/>
    <n v="0"/>
    <s v="Product QMVUN"/>
    <x v="0"/>
    <x v="292"/>
    <d v="2007-08-26T00:00:00"/>
    <x v="2"/>
    <s v="Ship to 62-C"/>
    <x v="1"/>
    <s v="Supplier EQPNC"/>
    <s v="Spain"/>
    <x v="2"/>
    <n v="210"/>
  </r>
  <r>
    <n v="10637"/>
    <n v="50"/>
    <n v="16.25"/>
    <n v="25"/>
    <n v="0.05"/>
    <s v="Misiec, Anna"/>
    <s v="Misiec Anna"/>
    <x v="7"/>
    <n v="0"/>
    <s v="Product BIUDV"/>
    <x v="5"/>
    <x v="292"/>
    <d v="2007-08-26T00:00:00"/>
    <x v="2"/>
    <s v="Ship to 62-C"/>
    <x v="1"/>
    <s v="Supplier ELCRN"/>
    <s v="Finland"/>
    <x v="2"/>
    <n v="385.9375"/>
  </r>
  <r>
    <n v="10637"/>
    <n v="56"/>
    <n v="38"/>
    <n v="60"/>
    <n v="0.05"/>
    <s v="Misiec, Anna"/>
    <s v="Misiec Anna"/>
    <x v="7"/>
    <n v="0"/>
    <s v="Product VKCMF"/>
    <x v="1"/>
    <x v="292"/>
    <d v="2007-08-26T00:00:00"/>
    <x v="2"/>
    <s v="Ship to 62-C"/>
    <x v="1"/>
    <s v="Supplier ZWZDM"/>
    <s v="Italy"/>
    <x v="2"/>
    <n v="2166"/>
  </r>
  <r>
    <n v="10638"/>
    <n v="45"/>
    <n v="9.5"/>
    <n v="20"/>
    <n v="0"/>
    <s v="Lupu, Cornel"/>
    <s v="Lupu Cornel"/>
    <x v="2"/>
    <s v="WA"/>
    <s v="Product AQOKR"/>
    <x v="3"/>
    <x v="293"/>
    <d v="2007-09-01T00:00:00"/>
    <x v="2"/>
    <s v="Ship to 47-B"/>
    <x v="5"/>
    <s v="Supplier XOXZA"/>
    <s v="Denmark"/>
    <x v="2"/>
    <n v="190"/>
  </r>
  <r>
    <n v="10638"/>
    <n v="65"/>
    <n v="21.05"/>
    <n v="21"/>
    <n v="0"/>
    <s v="Lupu, Cornel"/>
    <s v="Lupu Cornel"/>
    <x v="2"/>
    <s v="WA"/>
    <s v="Product XYWBZ"/>
    <x v="4"/>
    <x v="293"/>
    <d v="2007-09-01T00:00:00"/>
    <x v="2"/>
    <s v="Ship to 47-B"/>
    <x v="5"/>
    <s v="Supplier VHQZD"/>
    <s v="USA"/>
    <x v="2"/>
    <n v="442.05"/>
  </r>
  <r>
    <n v="10638"/>
    <n v="72"/>
    <n v="34.799999999999997"/>
    <n v="60"/>
    <n v="0"/>
    <s v="Lupu, Cornel"/>
    <s v="Lupu Cornel"/>
    <x v="2"/>
    <s v="WA"/>
    <s v="Product GEEOO"/>
    <x v="0"/>
    <x v="293"/>
    <d v="2007-09-01T00:00:00"/>
    <x v="2"/>
    <s v="Ship to 47-B"/>
    <x v="5"/>
    <s v="Supplier KEREV"/>
    <s v="Italy"/>
    <x v="2"/>
    <n v="2088"/>
  </r>
  <r>
    <n v="10639"/>
    <n v="18"/>
    <n v="62.5"/>
    <n v="8"/>
    <n v="0"/>
    <s v="Ginters, Kaspars"/>
    <s v="Ginters Kaspars"/>
    <x v="9"/>
    <n v="0"/>
    <s v="Product CKEDC"/>
    <x v="3"/>
    <x v="293"/>
    <d v="2007-08-27T00:00:00"/>
    <x v="3"/>
    <s v="Ship to 70-B"/>
    <x v="20"/>
    <s v="Supplier GQRCV"/>
    <s v="Australia"/>
    <x v="1"/>
    <n v="500"/>
  </r>
  <r>
    <n v="10640"/>
    <n v="69"/>
    <n v="36"/>
    <n v="20"/>
    <n v="0.25"/>
    <s v="Syamala, Manoj"/>
    <s v="Syamala Manoj"/>
    <x v="1"/>
    <s v="WA"/>
    <s v="Product COAXA"/>
    <x v="0"/>
    <x v="294"/>
    <d v="2007-08-28T00:00:00"/>
    <x v="2"/>
    <s v="Ship to 86-A"/>
    <x v="8"/>
    <s v="Supplier NZLIF"/>
    <s v="Norway"/>
    <x v="1"/>
    <n v="540"/>
  </r>
  <r>
    <n v="10640"/>
    <n v="70"/>
    <n v="15"/>
    <n v="15"/>
    <n v="0.25"/>
    <s v="Syamala, Manoj"/>
    <s v="Syamala Manoj"/>
    <x v="1"/>
    <s v="WA"/>
    <s v="Product TOONT"/>
    <x v="6"/>
    <x v="294"/>
    <d v="2007-08-28T00:00:00"/>
    <x v="2"/>
    <s v="Ship to 86-A"/>
    <x v="8"/>
    <s v="Supplier GQRCV"/>
    <s v="Australia"/>
    <x v="1"/>
    <n v="168.75"/>
  </r>
  <r>
    <n v="10641"/>
    <n v="2"/>
    <n v="19"/>
    <n v="50"/>
    <n v="0"/>
    <s v="Langohr, Kris"/>
    <s v="Langohr Kris"/>
    <x v="1"/>
    <s v="WA"/>
    <s v="Product RECZE"/>
    <x v="6"/>
    <x v="295"/>
    <d v="2007-08-26T00:00:00"/>
    <x v="1"/>
    <s v="Destination JYDLM"/>
    <x v="5"/>
    <s v="Supplier SWRXU"/>
    <s v="UK"/>
    <x v="2"/>
    <n v="950"/>
  </r>
  <r>
    <n v="10641"/>
    <n v="40"/>
    <n v="18.399999999999999"/>
    <n v="60"/>
    <n v="0"/>
    <s v="Langohr, Kris"/>
    <s v="Langohr Kris"/>
    <x v="1"/>
    <s v="WA"/>
    <s v="Product YZIXQ"/>
    <x v="3"/>
    <x v="295"/>
    <d v="2007-08-26T00:00:00"/>
    <x v="1"/>
    <s v="Destination JYDLM"/>
    <x v="5"/>
    <s v="Supplier JDNUG"/>
    <s v="USA"/>
    <x v="2"/>
    <n v="1104"/>
  </r>
  <r>
    <n v="10642"/>
    <n v="21"/>
    <n v="10"/>
    <n v="30"/>
    <n v="0.2"/>
    <s v="Gonzalez, Nuria"/>
    <s v="Gonzalez Nuria"/>
    <x v="9"/>
    <n v="0"/>
    <s v="Product VJZZH"/>
    <x v="5"/>
    <x v="295"/>
    <d v="2007-09-05T00:00:00"/>
    <x v="3"/>
    <s v="Ship to 73-C"/>
    <x v="18"/>
    <s v="Supplier BWGYE"/>
    <s v="UK"/>
    <x v="1"/>
    <n v="240"/>
  </r>
  <r>
    <n v="10642"/>
    <n v="61"/>
    <n v="28.5"/>
    <n v="20"/>
    <n v="0.2"/>
    <s v="Gonzalez, Nuria"/>
    <s v="Gonzalez Nuria"/>
    <x v="9"/>
    <n v="0"/>
    <s v="Product XYZPE"/>
    <x v="4"/>
    <x v="295"/>
    <d v="2007-09-05T00:00:00"/>
    <x v="3"/>
    <s v="Ship to 73-C"/>
    <x v="18"/>
    <s v="Supplier OGLRK"/>
    <s v="Canada"/>
    <x v="1"/>
    <n v="456"/>
  </r>
  <r>
    <n v="10643"/>
    <n v="28"/>
    <n v="45.6"/>
    <n v="15"/>
    <n v="0.25"/>
    <s v="Allen, Michael"/>
    <s v="Allen Michael"/>
    <x v="7"/>
    <n v="0"/>
    <s v="Product OFBNT"/>
    <x v="2"/>
    <x v="296"/>
    <d v="2007-09-02T00:00:00"/>
    <x v="2"/>
    <s v="Destination LOUIE"/>
    <x v="8"/>
    <s v="Supplier SVIYA"/>
    <s v="Germany"/>
    <x v="1"/>
    <n v="513"/>
  </r>
  <r>
    <n v="10643"/>
    <n v="39"/>
    <n v="18"/>
    <n v="21"/>
    <n v="0.25"/>
    <s v="Allen, Michael"/>
    <s v="Allen Michael"/>
    <x v="7"/>
    <n v="0"/>
    <s v="Product LSOFL"/>
    <x v="6"/>
    <x v="296"/>
    <d v="2007-09-02T00:00:00"/>
    <x v="2"/>
    <s v="Destination LOUIE"/>
    <x v="8"/>
    <s v="Supplier LVJUA"/>
    <s v="France"/>
    <x v="1"/>
    <n v="283.5"/>
  </r>
  <r>
    <n v="10643"/>
    <n v="46"/>
    <n v="12"/>
    <n v="2"/>
    <n v="0.25"/>
    <s v="Allen, Michael"/>
    <s v="Allen Michael"/>
    <x v="7"/>
    <n v="0"/>
    <s v="Product CBRRL"/>
    <x v="3"/>
    <x v="296"/>
    <d v="2007-09-02T00:00:00"/>
    <x v="2"/>
    <s v="Destination LOUIE"/>
    <x v="8"/>
    <s v="Supplier XOXZA"/>
    <s v="Denmark"/>
    <x v="1"/>
    <n v="18"/>
  </r>
  <r>
    <n v="10644"/>
    <n v="18"/>
    <n v="62.5"/>
    <n v="4"/>
    <n v="0.1"/>
    <s v="Li, Yan"/>
    <s v="Li Yan"/>
    <x v="2"/>
    <s v="WA"/>
    <s v="Product CKEDC"/>
    <x v="3"/>
    <x v="296"/>
    <d v="2007-09-01T00:00:00"/>
    <x v="1"/>
    <s v="Ship to 88-A"/>
    <x v="1"/>
    <s v="Supplier GQRCV"/>
    <s v="Australia"/>
    <x v="1"/>
    <n v="225"/>
  </r>
  <r>
    <n v="10644"/>
    <n v="43"/>
    <n v="46"/>
    <n v="20"/>
    <n v="0"/>
    <s v="Li, Yan"/>
    <s v="Li Yan"/>
    <x v="2"/>
    <s v="WA"/>
    <s v="Product ZZZHR"/>
    <x v="6"/>
    <x v="296"/>
    <d v="2007-09-01T00:00:00"/>
    <x v="1"/>
    <s v="Ship to 88-A"/>
    <x v="1"/>
    <s v="Supplier CIYNM"/>
    <s v="Singapore"/>
    <x v="1"/>
    <n v="920"/>
  </r>
  <r>
    <n v="10644"/>
    <n v="46"/>
    <n v="12"/>
    <n v="21"/>
    <n v="0.1"/>
    <s v="Li, Yan"/>
    <s v="Li Yan"/>
    <x v="2"/>
    <s v="WA"/>
    <s v="Product CBRRL"/>
    <x v="3"/>
    <x v="296"/>
    <d v="2007-09-01T00:00:00"/>
    <x v="1"/>
    <s v="Ship to 88-A"/>
    <x v="1"/>
    <s v="Supplier XOXZA"/>
    <s v="Denmark"/>
    <x v="1"/>
    <n v="226.8"/>
  </r>
  <r>
    <n v="10645"/>
    <n v="18"/>
    <n v="62.5"/>
    <n v="20"/>
    <n v="0"/>
    <s v="Cohen, Shy"/>
    <s v="Cohen Shy"/>
    <x v="1"/>
    <s v="WA"/>
    <s v="Product CKEDC"/>
    <x v="3"/>
    <x v="297"/>
    <d v="2007-09-02T00:00:00"/>
    <x v="2"/>
    <s v="Destination DPCVR"/>
    <x v="1"/>
    <s v="Supplier GQRCV"/>
    <s v="Australia"/>
    <x v="1"/>
    <n v="1250"/>
  </r>
  <r>
    <n v="10645"/>
    <n v="36"/>
    <n v="19"/>
    <n v="15"/>
    <n v="0"/>
    <s v="Cohen, Shy"/>
    <s v="Cohen Shy"/>
    <x v="1"/>
    <s v="WA"/>
    <s v="Product GMKIJ"/>
    <x v="3"/>
    <x v="297"/>
    <d v="2007-09-02T00:00:00"/>
    <x v="2"/>
    <s v="Destination DPCVR"/>
    <x v="1"/>
    <s v="Supplier QZGUF"/>
    <s v="Sweden"/>
    <x v="1"/>
    <n v="285"/>
  </r>
  <r>
    <n v="10646"/>
    <n v="1"/>
    <n v="18"/>
    <n v="15"/>
    <n v="0.25"/>
    <s v="Crăciun, Ovidiu V."/>
    <s v="Crăciun Ovidiu V."/>
    <x v="4"/>
    <n v="0"/>
    <s v="Product HHYDP"/>
    <x v="6"/>
    <x v="298"/>
    <d v="2007-09-03T00:00:00"/>
    <x v="3"/>
    <s v="Destination ATSOA"/>
    <x v="15"/>
    <s v="Supplier SWRXU"/>
    <s v="UK"/>
    <x v="2"/>
    <n v="202.5"/>
  </r>
  <r>
    <n v="10646"/>
    <n v="10"/>
    <n v="31"/>
    <n v="18"/>
    <n v="0.25"/>
    <s v="Crăciun, Ovidiu V."/>
    <s v="Crăciun Ovidiu V."/>
    <x v="4"/>
    <n v="0"/>
    <s v="Product YHXGE"/>
    <x v="3"/>
    <x v="298"/>
    <d v="2007-09-03T00:00:00"/>
    <x v="3"/>
    <s v="Destination ATSOA"/>
    <x v="15"/>
    <s v="Supplier QOVFD"/>
    <s v="Japan"/>
    <x v="2"/>
    <n v="418.5"/>
  </r>
  <r>
    <n v="10646"/>
    <n v="71"/>
    <n v="21.5"/>
    <n v="30"/>
    <n v="0.25"/>
    <s v="Crăciun, Ovidiu V."/>
    <s v="Crăciun Ovidiu V."/>
    <x v="4"/>
    <n v="0"/>
    <s v="Product MYMOI"/>
    <x v="0"/>
    <x v="298"/>
    <d v="2007-09-03T00:00:00"/>
    <x v="3"/>
    <s v="Destination ATSOA"/>
    <x v="15"/>
    <s v="Supplier NZLIF"/>
    <s v="Norway"/>
    <x v="2"/>
    <n v="483.75"/>
  </r>
  <r>
    <n v="10646"/>
    <n v="77"/>
    <n v="13"/>
    <n v="35"/>
    <n v="0.25"/>
    <s v="Crăciun, Ovidiu V."/>
    <s v="Crăciun Ovidiu V."/>
    <x v="4"/>
    <n v="0"/>
    <s v="Product LUNZZ"/>
    <x v="4"/>
    <x v="298"/>
    <d v="2007-09-03T00:00:00"/>
    <x v="3"/>
    <s v="Destination ATSOA"/>
    <x v="15"/>
    <s v="Supplier SVIYA"/>
    <s v="Germany"/>
    <x v="2"/>
    <n v="341.25"/>
  </r>
  <r>
    <n v="10647"/>
    <n v="19"/>
    <n v="9.1999999999999993"/>
    <n v="30"/>
    <n v="0"/>
    <s v="Florczyk, Krzysztof"/>
    <s v="Florczyk Krzysztof"/>
    <x v="1"/>
    <s v="WA"/>
    <s v="Product XKXDO"/>
    <x v="5"/>
    <x v="298"/>
    <d v="2007-09-03T00:00:00"/>
    <x v="1"/>
    <s v="Ship to 61-B"/>
    <x v="1"/>
    <s v="Supplier BWGYE"/>
    <s v="UK"/>
    <x v="1"/>
    <n v="276"/>
  </r>
  <r>
    <n v="10647"/>
    <n v="39"/>
    <n v="18"/>
    <n v="20"/>
    <n v="0"/>
    <s v="Florczyk, Krzysztof"/>
    <s v="Florczyk Krzysztof"/>
    <x v="1"/>
    <s v="WA"/>
    <s v="Product LSOFL"/>
    <x v="6"/>
    <x v="298"/>
    <d v="2007-09-03T00:00:00"/>
    <x v="1"/>
    <s v="Ship to 61-B"/>
    <x v="1"/>
    <s v="Supplier LVJUA"/>
    <s v="France"/>
    <x v="1"/>
    <n v="360"/>
  </r>
  <r>
    <n v="10648"/>
    <n v="22"/>
    <n v="21"/>
    <n v="15"/>
    <n v="0"/>
    <s v="Garden, Euan"/>
    <s v="Garden Euan"/>
    <x v="3"/>
    <n v="0"/>
    <s v="Product CPHFY"/>
    <x v="1"/>
    <x v="299"/>
    <d v="2007-09-09T00:00:00"/>
    <x v="1"/>
    <s v="Ship to 67-C"/>
    <x v="1"/>
    <s v="Supplier QQYEU"/>
    <s v="Sweden"/>
    <x v="1"/>
    <n v="315"/>
  </r>
  <r>
    <n v="10648"/>
    <n v="24"/>
    <n v="4.5"/>
    <n v="15"/>
    <n v="0.15"/>
    <s v="Garden, Euan"/>
    <s v="Garden Euan"/>
    <x v="3"/>
    <n v="0"/>
    <s v="Product QOGNU"/>
    <x v="6"/>
    <x v="299"/>
    <d v="2007-09-09T00:00:00"/>
    <x v="1"/>
    <s v="Ship to 67-C"/>
    <x v="1"/>
    <s v="Supplier UNAHG"/>
    <s v="Brazil"/>
    <x v="1"/>
    <n v="57.375"/>
  </r>
  <r>
    <n v="10649"/>
    <n v="28"/>
    <n v="45.6"/>
    <n v="20"/>
    <n v="0"/>
    <s v="Mace, Donald"/>
    <s v="Mace Donald"/>
    <x v="3"/>
    <n v="0"/>
    <s v="Product OFBNT"/>
    <x v="2"/>
    <x v="299"/>
    <d v="2007-08-29T00:00:00"/>
    <x v="3"/>
    <s v="Ship to 50-B"/>
    <x v="3"/>
    <s v="Supplier SVIYA"/>
    <s v="Germany"/>
    <x v="1"/>
    <n v="912"/>
  </r>
  <r>
    <n v="10649"/>
    <n v="72"/>
    <n v="34.799999999999997"/>
    <n v="15"/>
    <n v="0"/>
    <s v="Mace, Donald"/>
    <s v="Mace Donald"/>
    <x v="3"/>
    <n v="0"/>
    <s v="Product GEEOO"/>
    <x v="0"/>
    <x v="299"/>
    <d v="2007-08-29T00:00:00"/>
    <x v="3"/>
    <s v="Ship to 50-B"/>
    <x v="3"/>
    <s v="Supplier KEREV"/>
    <s v="Italy"/>
    <x v="1"/>
    <n v="522"/>
  </r>
  <r>
    <n v="10650"/>
    <n v="30"/>
    <n v="25.89"/>
    <n v="30"/>
    <n v="0"/>
    <s v="Russo, Giuseppe"/>
    <s v="Russo Giuseppe"/>
    <x v="3"/>
    <n v="0"/>
    <s v="Product LYERX"/>
    <x v="3"/>
    <x v="300"/>
    <d v="2007-09-03T00:00:00"/>
    <x v="3"/>
    <s v="Destination SSYXZ"/>
    <x v="1"/>
    <s v="Supplier TEGSC"/>
    <s v="Germany"/>
    <x v="2"/>
    <n v="776.7"/>
  </r>
  <r>
    <n v="10650"/>
    <n v="53"/>
    <n v="32.799999999999997"/>
    <n v="25"/>
    <n v="0.05"/>
    <s v="Russo, Giuseppe"/>
    <s v="Russo Giuseppe"/>
    <x v="3"/>
    <n v="0"/>
    <s v="Product BKGEA"/>
    <x v="7"/>
    <x v="300"/>
    <d v="2007-09-03T00:00:00"/>
    <x v="3"/>
    <s v="Destination SSYXZ"/>
    <x v="1"/>
    <s v="Supplier JNNES"/>
    <s v="Australia"/>
    <x v="2"/>
    <n v="778.99999999999989"/>
  </r>
  <r>
    <n v="10650"/>
    <n v="54"/>
    <n v="7.45"/>
    <n v="30"/>
    <n v="0"/>
    <s v="Russo, Giuseppe"/>
    <s v="Russo Giuseppe"/>
    <x v="3"/>
    <n v="0"/>
    <s v="Product QAQRL"/>
    <x v="7"/>
    <x v="300"/>
    <d v="2007-09-03T00:00:00"/>
    <x v="3"/>
    <s v="Destination SSYXZ"/>
    <x v="1"/>
    <s v="Supplier ERVYZ"/>
    <s v="Canada"/>
    <x v="2"/>
    <n v="223.5"/>
  </r>
  <r>
    <n v="10651"/>
    <n v="19"/>
    <n v="9.1999999999999993"/>
    <n v="12"/>
    <n v="0.25"/>
    <s v="Syamala, Manoj"/>
    <s v="Syamala Manoj"/>
    <x v="6"/>
    <s v="WA"/>
    <s v="Product XKXDO"/>
    <x v="5"/>
    <x v="301"/>
    <d v="2007-09-11T00:00:00"/>
    <x v="1"/>
    <s v="Ship to 86-A"/>
    <x v="8"/>
    <s v="Supplier BWGYE"/>
    <s v="UK"/>
    <x v="1"/>
    <n v="82.8"/>
  </r>
  <r>
    <n v="10651"/>
    <n v="22"/>
    <n v="21"/>
    <n v="20"/>
    <n v="0.25"/>
    <s v="Syamala, Manoj"/>
    <s v="Syamala Manoj"/>
    <x v="6"/>
    <s v="WA"/>
    <s v="Product CPHFY"/>
    <x v="1"/>
    <x v="301"/>
    <d v="2007-09-11T00:00:00"/>
    <x v="1"/>
    <s v="Ship to 86-A"/>
    <x v="8"/>
    <s v="Supplier QQYEU"/>
    <s v="Sweden"/>
    <x v="1"/>
    <n v="315"/>
  </r>
  <r>
    <n v="10652"/>
    <n v="30"/>
    <n v="25.89"/>
    <n v="2"/>
    <n v="0.25"/>
    <s v="Cheng, Yao-Qiang"/>
    <s v="Cheng Yao-Qiang"/>
    <x v="1"/>
    <s v="WA"/>
    <s v="Product LYERX"/>
    <x v="3"/>
    <x v="301"/>
    <d v="2007-09-08T00:00:00"/>
    <x v="1"/>
    <s v="Destination VNIAG"/>
    <x v="1"/>
    <s v="Supplier TEGSC"/>
    <s v="Germany"/>
    <x v="1"/>
    <n v="38.835000000000001"/>
  </r>
  <r>
    <n v="10652"/>
    <n v="42"/>
    <n v="14"/>
    <n v="20"/>
    <n v="0"/>
    <s v="Cheng, Yao-Qiang"/>
    <s v="Cheng Yao-Qiang"/>
    <x v="1"/>
    <s v="WA"/>
    <s v="Product RJVNM"/>
    <x v="1"/>
    <x v="301"/>
    <d v="2007-09-08T00:00:00"/>
    <x v="1"/>
    <s v="Destination VNIAG"/>
    <x v="1"/>
    <s v="Supplier CIYNM"/>
    <s v="Singapore"/>
    <x v="1"/>
    <n v="280"/>
  </r>
  <r>
    <n v="10653"/>
    <n v="16"/>
    <n v="17.45"/>
    <n v="30"/>
    <n v="0.1"/>
    <s v="Carlson, Jason"/>
    <s v="Carlson Jason"/>
    <x v="5"/>
    <s v="WA"/>
    <s v="Product PAFRH"/>
    <x v="5"/>
    <x v="302"/>
    <d v="2007-09-19T00:00:00"/>
    <x v="2"/>
    <s v="Destination QOCBL"/>
    <x v="8"/>
    <s v="Supplier GQRCV"/>
    <s v="Australia"/>
    <x v="1"/>
    <n v="471.15000000000003"/>
  </r>
  <r>
    <n v="10653"/>
    <n v="60"/>
    <n v="34"/>
    <n v="20"/>
    <n v="0.1"/>
    <s v="Carlson, Jason"/>
    <s v="Carlson Jason"/>
    <x v="5"/>
    <s v="WA"/>
    <s v="Product WHBYK"/>
    <x v="0"/>
    <x v="302"/>
    <d v="2007-09-19T00:00:00"/>
    <x v="2"/>
    <s v="Destination QOCBL"/>
    <x v="8"/>
    <s v="Supplier OAVQT"/>
    <s v="France"/>
    <x v="1"/>
    <n v="612"/>
  </r>
  <r>
    <n v="10654"/>
    <n v="4"/>
    <n v="22"/>
    <n v="12"/>
    <n v="0.1"/>
    <s v="Higginbotham, Tom"/>
    <s v="Higginbotham Tom"/>
    <x v="3"/>
    <n v="0"/>
    <s v="Product KSBRM"/>
    <x v="4"/>
    <x v="302"/>
    <d v="2007-09-11T00:00:00"/>
    <x v="2"/>
    <s v="Ship to 5-C"/>
    <x v="10"/>
    <s v="Supplier VHQZD"/>
    <s v="USA"/>
    <x v="1"/>
    <n v="237.6"/>
  </r>
  <r>
    <n v="10654"/>
    <n v="39"/>
    <n v="18"/>
    <n v="20"/>
    <n v="0.1"/>
    <s v="Higginbotham, Tom"/>
    <s v="Higginbotham Tom"/>
    <x v="3"/>
    <n v="0"/>
    <s v="Product LSOFL"/>
    <x v="6"/>
    <x v="302"/>
    <d v="2007-09-11T00:00:00"/>
    <x v="2"/>
    <s v="Ship to 5-C"/>
    <x v="10"/>
    <s v="Supplier LVJUA"/>
    <s v="France"/>
    <x v="1"/>
    <n v="324"/>
  </r>
  <r>
    <n v="10654"/>
    <n v="54"/>
    <n v="7.45"/>
    <n v="6"/>
    <n v="0.1"/>
    <s v="Higginbotham, Tom"/>
    <s v="Higginbotham Tom"/>
    <x v="3"/>
    <n v="0"/>
    <s v="Product QAQRL"/>
    <x v="7"/>
    <x v="302"/>
    <d v="2007-09-11T00:00:00"/>
    <x v="2"/>
    <s v="Ship to 5-C"/>
    <x v="10"/>
    <s v="Supplier ERVYZ"/>
    <s v="Canada"/>
    <x v="1"/>
    <n v="40.230000000000004"/>
  </r>
  <r>
    <n v="10655"/>
    <n v="41"/>
    <n v="9.65"/>
    <n v="20"/>
    <n v="0.2"/>
    <s v="Voss, Florian"/>
    <s v="Voss Florian"/>
    <x v="5"/>
    <s v="WA"/>
    <s v="Product TTEEX"/>
    <x v="3"/>
    <x v="303"/>
    <d v="2007-09-11T00:00:00"/>
    <x v="1"/>
    <s v="Ship to 66-B"/>
    <x v="12"/>
    <s v="Supplier JDNUG"/>
    <s v="USA"/>
    <x v="1"/>
    <n v="154.4"/>
  </r>
  <r>
    <n v="10656"/>
    <n v="14"/>
    <n v="23.25"/>
    <n v="3"/>
    <n v="0.1"/>
    <s v="Krishnan, Venky"/>
    <s v="Krishnan Venky"/>
    <x v="7"/>
    <n v="0"/>
    <s v="Product PWCJB"/>
    <x v="2"/>
    <x v="304"/>
    <d v="2007-09-10T00:00:00"/>
    <x v="2"/>
    <s v="Destination AVQUS"/>
    <x v="9"/>
    <s v="Supplier QWUSF"/>
    <s v="Japan"/>
    <x v="1"/>
    <n v="62.774999999999999"/>
  </r>
  <r>
    <n v="10656"/>
    <n v="44"/>
    <n v="19.45"/>
    <n v="28"/>
    <n v="0.1"/>
    <s v="Krishnan, Venky"/>
    <s v="Krishnan Venky"/>
    <x v="7"/>
    <n v="0"/>
    <s v="Product VJIEO"/>
    <x v="4"/>
    <x v="304"/>
    <d v="2007-09-10T00:00:00"/>
    <x v="2"/>
    <s v="Destination AVQUS"/>
    <x v="9"/>
    <s v="Supplier CIYNM"/>
    <s v="Singapore"/>
    <x v="1"/>
    <n v="490.14000000000004"/>
  </r>
  <r>
    <n v="10656"/>
    <n v="47"/>
    <n v="9.5"/>
    <n v="6"/>
    <n v="0.1"/>
    <s v="Krishnan, Venky"/>
    <s v="Krishnan Venky"/>
    <x v="7"/>
    <n v="0"/>
    <s v="Product EZZPR"/>
    <x v="5"/>
    <x v="304"/>
    <d v="2007-09-10T00:00:00"/>
    <x v="2"/>
    <s v="Destination AVQUS"/>
    <x v="9"/>
    <s v="Supplier FNUXM"/>
    <s v="Netherlands"/>
    <x v="1"/>
    <n v="51.300000000000004"/>
  </r>
  <r>
    <n v="10657"/>
    <n v="15"/>
    <n v="15.5"/>
    <n v="50"/>
    <n v="0"/>
    <s v="Navarro, Tomás"/>
    <s v="Navarro Tomás"/>
    <x v="8"/>
    <s v="WA"/>
    <s v="Product KSZOI"/>
    <x v="4"/>
    <x v="304"/>
    <d v="2007-09-15T00:00:00"/>
    <x v="1"/>
    <s v="Ship to 71-A"/>
    <x v="9"/>
    <s v="Supplier QWUSF"/>
    <s v="Japan"/>
    <x v="2"/>
    <n v="775"/>
  </r>
  <r>
    <n v="10657"/>
    <n v="41"/>
    <n v="9.65"/>
    <n v="24"/>
    <n v="0"/>
    <s v="Navarro, Tomás"/>
    <s v="Navarro Tomás"/>
    <x v="8"/>
    <s v="WA"/>
    <s v="Product TTEEX"/>
    <x v="3"/>
    <x v="304"/>
    <d v="2007-09-15T00:00:00"/>
    <x v="1"/>
    <s v="Ship to 71-A"/>
    <x v="9"/>
    <s v="Supplier JDNUG"/>
    <s v="USA"/>
    <x v="2"/>
    <n v="231.60000000000002"/>
  </r>
  <r>
    <n v="10657"/>
    <n v="46"/>
    <n v="12"/>
    <n v="45"/>
    <n v="0"/>
    <s v="Navarro, Tomás"/>
    <s v="Navarro Tomás"/>
    <x v="8"/>
    <s v="WA"/>
    <s v="Product CBRRL"/>
    <x v="3"/>
    <x v="304"/>
    <d v="2007-09-15T00:00:00"/>
    <x v="1"/>
    <s v="Ship to 71-A"/>
    <x v="9"/>
    <s v="Supplier XOXZA"/>
    <s v="Denmark"/>
    <x v="2"/>
    <n v="540"/>
  </r>
  <r>
    <n v="10657"/>
    <n v="47"/>
    <n v="9.5"/>
    <n v="10"/>
    <n v="0"/>
    <s v="Navarro, Tomás"/>
    <s v="Navarro Tomás"/>
    <x v="8"/>
    <s v="WA"/>
    <s v="Product EZZPR"/>
    <x v="5"/>
    <x v="304"/>
    <d v="2007-09-15T00:00:00"/>
    <x v="1"/>
    <s v="Ship to 71-A"/>
    <x v="9"/>
    <s v="Supplier FNUXM"/>
    <s v="Netherlands"/>
    <x v="2"/>
    <n v="95"/>
  </r>
  <r>
    <n v="10657"/>
    <n v="56"/>
    <n v="38"/>
    <n v="45"/>
    <n v="0"/>
    <s v="Navarro, Tomás"/>
    <s v="Navarro Tomás"/>
    <x v="8"/>
    <s v="WA"/>
    <s v="Product VKCMF"/>
    <x v="1"/>
    <x v="304"/>
    <d v="2007-09-15T00:00:00"/>
    <x v="1"/>
    <s v="Ship to 71-A"/>
    <x v="9"/>
    <s v="Supplier ZWZDM"/>
    <s v="Italy"/>
    <x v="2"/>
    <n v="1710"/>
  </r>
  <r>
    <n v="10657"/>
    <n v="60"/>
    <n v="34"/>
    <n v="30"/>
    <n v="0"/>
    <s v="Navarro, Tomás"/>
    <s v="Navarro Tomás"/>
    <x v="8"/>
    <s v="WA"/>
    <s v="Product WHBYK"/>
    <x v="0"/>
    <x v="304"/>
    <d v="2007-09-15T00:00:00"/>
    <x v="1"/>
    <s v="Ship to 71-A"/>
    <x v="9"/>
    <s v="Supplier OAVQT"/>
    <s v="France"/>
    <x v="2"/>
    <n v="1020"/>
  </r>
  <r>
    <n v="10658"/>
    <n v="21"/>
    <n v="10"/>
    <n v="60"/>
    <n v="0"/>
    <s v="Veronesi, Giorgio"/>
    <s v="Veronesi Giorgio"/>
    <x v="1"/>
    <s v="WA"/>
    <s v="Product VJZZH"/>
    <x v="5"/>
    <x v="305"/>
    <d v="2007-09-08T00:00:00"/>
    <x v="2"/>
    <s v="Ship to 63-C"/>
    <x v="8"/>
    <s v="Supplier BWGYE"/>
    <s v="UK"/>
    <x v="2"/>
    <n v="600"/>
  </r>
  <r>
    <n v="10658"/>
    <n v="40"/>
    <n v="18.399999999999999"/>
    <n v="70"/>
    <n v="0.05"/>
    <s v="Veronesi, Giorgio"/>
    <s v="Veronesi Giorgio"/>
    <x v="1"/>
    <s v="WA"/>
    <s v="Product YZIXQ"/>
    <x v="3"/>
    <x v="305"/>
    <d v="2007-09-08T00:00:00"/>
    <x v="2"/>
    <s v="Ship to 63-C"/>
    <x v="8"/>
    <s v="Supplier JDNUG"/>
    <s v="USA"/>
    <x v="2"/>
    <n v="1223.5999999999999"/>
  </r>
  <r>
    <n v="10658"/>
    <n v="60"/>
    <n v="34"/>
    <n v="55"/>
    <n v="0.05"/>
    <s v="Veronesi, Giorgio"/>
    <s v="Veronesi Giorgio"/>
    <x v="1"/>
    <s v="WA"/>
    <s v="Product WHBYK"/>
    <x v="0"/>
    <x v="305"/>
    <d v="2007-09-08T00:00:00"/>
    <x v="2"/>
    <s v="Ship to 63-C"/>
    <x v="8"/>
    <s v="Supplier OAVQT"/>
    <s v="France"/>
    <x v="2"/>
    <n v="1776.5"/>
  </r>
  <r>
    <n v="10658"/>
    <n v="77"/>
    <n v="13"/>
    <n v="70"/>
    <n v="0.05"/>
    <s v="Veronesi, Giorgio"/>
    <s v="Veronesi Giorgio"/>
    <x v="1"/>
    <s v="WA"/>
    <s v="Product LUNZZ"/>
    <x v="4"/>
    <x v="305"/>
    <d v="2007-09-08T00:00:00"/>
    <x v="2"/>
    <s v="Ship to 63-C"/>
    <x v="8"/>
    <s v="Supplier SVIYA"/>
    <s v="Germany"/>
    <x v="2"/>
    <n v="864.5"/>
  </r>
  <r>
    <n v="10659"/>
    <n v="31"/>
    <n v="12.5"/>
    <n v="20"/>
    <n v="0.05"/>
    <s v="Misiec, Anna"/>
    <s v="Misiec Anna"/>
    <x v="9"/>
    <n v="0"/>
    <s v="Product XWOXC"/>
    <x v="0"/>
    <x v="305"/>
    <d v="2007-09-10T00:00:00"/>
    <x v="1"/>
    <s v="Ship to 62-B"/>
    <x v="1"/>
    <s v="Supplier KEREV"/>
    <s v="Italy"/>
    <x v="2"/>
    <n v="237.5"/>
  </r>
  <r>
    <n v="10659"/>
    <n v="40"/>
    <n v="18.399999999999999"/>
    <n v="24"/>
    <n v="0.05"/>
    <s v="Misiec, Anna"/>
    <s v="Misiec Anna"/>
    <x v="9"/>
    <n v="0"/>
    <s v="Product YZIXQ"/>
    <x v="3"/>
    <x v="305"/>
    <d v="2007-09-10T00:00:00"/>
    <x v="1"/>
    <s v="Ship to 62-B"/>
    <x v="1"/>
    <s v="Supplier JDNUG"/>
    <s v="USA"/>
    <x v="2"/>
    <n v="419.51999999999992"/>
  </r>
  <r>
    <n v="10659"/>
    <n v="70"/>
    <n v="15"/>
    <n v="40"/>
    <n v="0.05"/>
    <s v="Misiec, Anna"/>
    <s v="Misiec Anna"/>
    <x v="9"/>
    <n v="0"/>
    <s v="Product TOONT"/>
    <x v="6"/>
    <x v="305"/>
    <d v="2007-09-10T00:00:00"/>
    <x v="1"/>
    <s v="Ship to 62-B"/>
    <x v="1"/>
    <s v="Supplier GQRCV"/>
    <s v="Australia"/>
    <x v="2"/>
    <n v="570"/>
  </r>
  <r>
    <n v="10660"/>
    <n v="20"/>
    <n v="81"/>
    <n v="21"/>
    <n v="0"/>
    <s v="Smith, Denise"/>
    <s v="Smith Denise"/>
    <x v="6"/>
    <s v="WA"/>
    <s v="Product QHFFP"/>
    <x v="5"/>
    <x v="306"/>
    <d v="2007-10-15T00:00:00"/>
    <x v="2"/>
    <s v="Destination HOHCR"/>
    <x v="9"/>
    <s v="Supplier BWGYE"/>
    <s v="UK"/>
    <x v="2"/>
    <n v="1701"/>
  </r>
  <r>
    <n v="10661"/>
    <n v="39"/>
    <n v="18"/>
    <n v="3"/>
    <n v="0.2"/>
    <s v="Crăciun, Ovidiu V."/>
    <s v="Crăciun Ovidiu V."/>
    <x v="9"/>
    <n v="0"/>
    <s v="Product LSOFL"/>
    <x v="6"/>
    <x v="307"/>
    <d v="2007-09-15T00:00:00"/>
    <x v="3"/>
    <s v="Destination ATSOA"/>
    <x v="15"/>
    <s v="Supplier LVJUA"/>
    <s v="France"/>
    <x v="1"/>
    <n v="43.2"/>
  </r>
  <r>
    <n v="10661"/>
    <n v="58"/>
    <n v="13.25"/>
    <n v="49"/>
    <n v="0.2"/>
    <s v="Crăciun, Ovidiu V."/>
    <s v="Crăciun Ovidiu V."/>
    <x v="9"/>
    <n v="0"/>
    <s v="Product ACRVI"/>
    <x v="3"/>
    <x v="307"/>
    <d v="2007-09-15T00:00:00"/>
    <x v="3"/>
    <s v="Destination ATSOA"/>
    <x v="15"/>
    <s v="Supplier ZRYDZ"/>
    <s v="France"/>
    <x v="1"/>
    <n v="519.4"/>
  </r>
  <r>
    <n v="10662"/>
    <n v="68"/>
    <n v="12.5"/>
    <n v="10"/>
    <n v="0"/>
    <s v="Szymczak, Radosław"/>
    <s v="Szymczak Radosław"/>
    <x v="2"/>
    <s v="WA"/>
    <s v="Product TBTBL"/>
    <x v="5"/>
    <x v="307"/>
    <d v="2007-09-18T00:00:00"/>
    <x v="1"/>
    <s v="Ship to 48-C"/>
    <x v="9"/>
    <s v="Supplier BWGYE"/>
    <s v="UK"/>
    <x v="1"/>
    <n v="125"/>
  </r>
  <r>
    <n v="10663"/>
    <n v="40"/>
    <n v="18.399999999999999"/>
    <n v="30"/>
    <n v="0.05"/>
    <s v="Raghav, Amritansh"/>
    <s v="Raghav Amritansh"/>
    <x v="8"/>
    <s v="WA"/>
    <s v="Product YZIXQ"/>
    <x v="3"/>
    <x v="308"/>
    <d v="2007-10-03T00:00:00"/>
    <x v="1"/>
    <s v="Ship to 9-B"/>
    <x v="2"/>
    <s v="Supplier JDNUG"/>
    <s v="USA"/>
    <x v="2"/>
    <n v="524.4"/>
  </r>
  <r>
    <n v="10663"/>
    <n v="42"/>
    <n v="14"/>
    <n v="30"/>
    <n v="0.05"/>
    <s v="Raghav, Amritansh"/>
    <s v="Raghav Amritansh"/>
    <x v="8"/>
    <s v="WA"/>
    <s v="Product RJVNM"/>
    <x v="1"/>
    <x v="308"/>
    <d v="2007-10-03T00:00:00"/>
    <x v="1"/>
    <s v="Ship to 9-B"/>
    <x v="2"/>
    <s v="Supplier CIYNM"/>
    <s v="Singapore"/>
    <x v="2"/>
    <n v="399"/>
  </r>
  <r>
    <n v="10663"/>
    <n v="51"/>
    <n v="53"/>
    <n v="20"/>
    <n v="0.05"/>
    <s v="Raghav, Amritansh"/>
    <s v="Raghav Amritansh"/>
    <x v="8"/>
    <s v="WA"/>
    <s v="Product APITJ"/>
    <x v="2"/>
    <x v="308"/>
    <d v="2007-10-03T00:00:00"/>
    <x v="1"/>
    <s v="Ship to 9-B"/>
    <x v="2"/>
    <s v="Supplier JNNES"/>
    <s v="Australia"/>
    <x v="2"/>
    <n v="1007"/>
  </r>
  <r>
    <n v="10664"/>
    <n v="10"/>
    <n v="31"/>
    <n v="24"/>
    <n v="0.15"/>
    <s v="Cavaglieri, Giorgio"/>
    <s v="Cavaglieri Giorgio"/>
    <x v="5"/>
    <s v="WA"/>
    <s v="Product YHXGE"/>
    <x v="3"/>
    <x v="308"/>
    <d v="2007-09-19T00:00:00"/>
    <x v="3"/>
    <s v="Destination OTSWR"/>
    <x v="16"/>
    <s v="Supplier QOVFD"/>
    <s v="Japan"/>
    <x v="1"/>
    <n v="632.4"/>
  </r>
  <r>
    <n v="10664"/>
    <n v="56"/>
    <n v="38"/>
    <n v="12"/>
    <n v="0.15"/>
    <s v="Cavaglieri, Giorgio"/>
    <s v="Cavaglieri Giorgio"/>
    <x v="5"/>
    <s v="WA"/>
    <s v="Product VKCMF"/>
    <x v="1"/>
    <x v="308"/>
    <d v="2007-09-19T00:00:00"/>
    <x v="3"/>
    <s v="Destination OTSWR"/>
    <x v="16"/>
    <s v="Supplier ZWZDM"/>
    <s v="Italy"/>
    <x v="1"/>
    <n v="387.59999999999997"/>
  </r>
  <r>
    <n v="10664"/>
    <n v="65"/>
    <n v="21.05"/>
    <n v="15"/>
    <n v="0.15"/>
    <s v="Cavaglieri, Giorgio"/>
    <s v="Cavaglieri Giorgio"/>
    <x v="5"/>
    <s v="WA"/>
    <s v="Product XYWBZ"/>
    <x v="4"/>
    <x v="308"/>
    <d v="2007-09-19T00:00:00"/>
    <x v="3"/>
    <s v="Destination OTSWR"/>
    <x v="16"/>
    <s v="Supplier VHQZD"/>
    <s v="USA"/>
    <x v="1"/>
    <n v="268.38749999999999"/>
  </r>
  <r>
    <n v="10665"/>
    <n v="51"/>
    <n v="53"/>
    <n v="20"/>
    <n v="0"/>
    <s v="Szymczak, Radosław"/>
    <s v="Szymczak Radosław"/>
    <x v="5"/>
    <s v="WA"/>
    <s v="Product APITJ"/>
    <x v="2"/>
    <x v="309"/>
    <d v="2007-09-17T00:00:00"/>
    <x v="1"/>
    <s v="Ship to 48-B"/>
    <x v="9"/>
    <s v="Supplier JNNES"/>
    <s v="Australia"/>
    <x v="1"/>
    <n v="1060"/>
  </r>
  <r>
    <n v="10665"/>
    <n v="59"/>
    <n v="55"/>
    <n v="1"/>
    <n v="0"/>
    <s v="Szymczak, Radosław"/>
    <s v="Szymczak Radosław"/>
    <x v="5"/>
    <s v="WA"/>
    <s v="Product UKXRI"/>
    <x v="0"/>
    <x v="309"/>
    <d v="2007-09-17T00:00:00"/>
    <x v="1"/>
    <s v="Ship to 48-B"/>
    <x v="9"/>
    <s v="Supplier OAVQT"/>
    <s v="France"/>
    <x v="1"/>
    <n v="55"/>
  </r>
  <r>
    <n v="10665"/>
    <n v="76"/>
    <n v="18"/>
    <n v="10"/>
    <n v="0"/>
    <s v="Szymczak, Radosław"/>
    <s v="Szymczak Radosław"/>
    <x v="5"/>
    <s v="WA"/>
    <s v="Product JYGFE"/>
    <x v="6"/>
    <x v="309"/>
    <d v="2007-09-17T00:00:00"/>
    <x v="1"/>
    <s v="Ship to 48-B"/>
    <x v="9"/>
    <s v="Supplier ELCRN"/>
    <s v="Finland"/>
    <x v="1"/>
    <n v="180"/>
  </r>
  <r>
    <n v="10666"/>
    <n v="29"/>
    <n v="123.79"/>
    <n v="36"/>
    <n v="0"/>
    <s v="Myrcha, Jacek"/>
    <s v="Myrcha Jacek"/>
    <x v="9"/>
    <n v="0"/>
    <s v="Product VJXYN"/>
    <x v="7"/>
    <x v="310"/>
    <d v="2007-09-22T00:00:00"/>
    <x v="1"/>
    <s v="Ship to 68-A"/>
    <x v="4"/>
    <s v="Supplier SVIYA"/>
    <s v="Germany"/>
    <x v="2"/>
    <n v="4456.4400000000005"/>
  </r>
  <r>
    <n v="10666"/>
    <n v="65"/>
    <n v="21.05"/>
    <n v="10"/>
    <n v="0"/>
    <s v="Myrcha, Jacek"/>
    <s v="Myrcha Jacek"/>
    <x v="9"/>
    <n v="0"/>
    <s v="Product XYWBZ"/>
    <x v="4"/>
    <x v="310"/>
    <d v="2007-09-22T00:00:00"/>
    <x v="1"/>
    <s v="Ship to 68-A"/>
    <x v="4"/>
    <s v="Supplier VHQZD"/>
    <s v="USA"/>
    <x v="2"/>
    <n v="210.5"/>
  </r>
  <r>
    <n v="10667"/>
    <n v="69"/>
    <n v="36"/>
    <n v="45"/>
    <n v="0.2"/>
    <s v="Kane, John"/>
    <s v="Kane John"/>
    <x v="9"/>
    <n v="0"/>
    <s v="Product COAXA"/>
    <x v="0"/>
    <x v="310"/>
    <d v="2007-09-19T00:00:00"/>
    <x v="2"/>
    <s v="Destination CUVPF"/>
    <x v="6"/>
    <s v="Supplier NZLIF"/>
    <s v="Norway"/>
    <x v="1"/>
    <n v="1296"/>
  </r>
  <r>
    <n v="10667"/>
    <n v="71"/>
    <n v="21.5"/>
    <n v="14"/>
    <n v="0.2"/>
    <s v="Kane, John"/>
    <s v="Kane John"/>
    <x v="9"/>
    <n v="0"/>
    <s v="Product MYMOI"/>
    <x v="0"/>
    <x v="310"/>
    <d v="2007-09-19T00:00:00"/>
    <x v="2"/>
    <s v="Destination CUVPF"/>
    <x v="6"/>
    <s v="Supplier NZLIF"/>
    <s v="Norway"/>
    <x v="1"/>
    <n v="240.8"/>
  </r>
  <r>
    <n v="10668"/>
    <n v="31"/>
    <n v="12.5"/>
    <n v="8"/>
    <n v="0.1"/>
    <s v="Syamala, Manoj"/>
    <s v="Syamala Manoj"/>
    <x v="5"/>
    <s v="WA"/>
    <s v="Product XWOXC"/>
    <x v="0"/>
    <x v="311"/>
    <d v="2007-09-23T00:00:00"/>
    <x v="1"/>
    <s v="Ship to 86-C"/>
    <x v="8"/>
    <s v="Supplier KEREV"/>
    <s v="Italy"/>
    <x v="1"/>
    <n v="90"/>
  </r>
  <r>
    <n v="10668"/>
    <n v="55"/>
    <n v="24"/>
    <n v="4"/>
    <n v="0.1"/>
    <s v="Syamala, Manoj"/>
    <s v="Syamala Manoj"/>
    <x v="5"/>
    <s v="WA"/>
    <s v="Product YYWRT"/>
    <x v="7"/>
    <x v="311"/>
    <d v="2007-09-23T00:00:00"/>
    <x v="1"/>
    <s v="Ship to 86-C"/>
    <x v="8"/>
    <s v="Supplier ERVYZ"/>
    <s v="Canada"/>
    <x v="1"/>
    <n v="86.4"/>
  </r>
  <r>
    <n v="10668"/>
    <n v="64"/>
    <n v="33.25"/>
    <n v="15"/>
    <n v="0.1"/>
    <s v="Syamala, Manoj"/>
    <s v="Syamala Manoj"/>
    <x v="5"/>
    <s v="WA"/>
    <s v="Product HCQDE"/>
    <x v="1"/>
    <x v="311"/>
    <d v="2007-09-23T00:00:00"/>
    <x v="1"/>
    <s v="Ship to 86-C"/>
    <x v="8"/>
    <s v="Supplier SVIYA"/>
    <s v="Germany"/>
    <x v="1"/>
    <n v="448.875"/>
  </r>
  <r>
    <n v="10669"/>
    <n v="36"/>
    <n v="19"/>
    <n v="30"/>
    <n v="0"/>
    <s v="Gonzalez, Nuria"/>
    <s v="Gonzalez Nuria"/>
    <x v="8"/>
    <s v="WA"/>
    <s v="Product GMKIJ"/>
    <x v="3"/>
    <x v="311"/>
    <d v="2007-09-22T00:00:00"/>
    <x v="2"/>
    <s v="Ship to 73-A"/>
    <x v="18"/>
    <s v="Supplier QZGUF"/>
    <s v="Sweden"/>
    <x v="1"/>
    <n v="570"/>
  </r>
  <r>
    <n v="10670"/>
    <n v="23"/>
    <n v="9"/>
    <n v="32"/>
    <n v="0"/>
    <s v="Carlson, Jason"/>
    <s v="Carlson Jason"/>
    <x v="1"/>
    <s v="WA"/>
    <s v="Product JLUDZ"/>
    <x v="1"/>
    <x v="312"/>
    <d v="2007-09-18T00:00:00"/>
    <x v="2"/>
    <s v="Destination QOCBL"/>
    <x v="8"/>
    <s v="Supplier QQYEU"/>
    <s v="Sweden"/>
    <x v="2"/>
    <n v="288"/>
  </r>
  <r>
    <n v="10670"/>
    <n v="46"/>
    <n v="12"/>
    <n v="60"/>
    <n v="0"/>
    <s v="Carlson, Jason"/>
    <s v="Carlson Jason"/>
    <x v="1"/>
    <s v="WA"/>
    <s v="Product CBRRL"/>
    <x v="3"/>
    <x v="312"/>
    <d v="2007-09-18T00:00:00"/>
    <x v="2"/>
    <s v="Destination QOCBL"/>
    <x v="8"/>
    <s v="Supplier XOXZA"/>
    <s v="Denmark"/>
    <x v="2"/>
    <n v="720"/>
  </r>
  <r>
    <n v="10670"/>
    <n v="67"/>
    <n v="14"/>
    <n v="25"/>
    <n v="0"/>
    <s v="Carlson, Jason"/>
    <s v="Carlson Jason"/>
    <x v="1"/>
    <s v="WA"/>
    <s v="Product XLXQF"/>
    <x v="6"/>
    <x v="312"/>
    <d v="2007-09-18T00:00:00"/>
    <x v="2"/>
    <s v="Destination QOCBL"/>
    <x v="8"/>
    <s v="Supplier UHZRG"/>
    <s v="USA"/>
    <x v="2"/>
    <n v="350"/>
  </r>
  <r>
    <n v="10670"/>
    <n v="73"/>
    <n v="15"/>
    <n v="50"/>
    <n v="0"/>
    <s v="Carlson, Jason"/>
    <s v="Carlson Jason"/>
    <x v="1"/>
    <s v="WA"/>
    <s v="Product WEUJZ"/>
    <x v="3"/>
    <x v="312"/>
    <d v="2007-09-18T00:00:00"/>
    <x v="2"/>
    <s v="Destination QOCBL"/>
    <x v="8"/>
    <s v="Supplier QZGUF"/>
    <s v="Sweden"/>
    <x v="2"/>
    <n v="750"/>
  </r>
  <r>
    <n v="10670"/>
    <n v="75"/>
    <n v="7.75"/>
    <n v="25"/>
    <n v="0"/>
    <s v="Carlson, Jason"/>
    <s v="Carlson Jason"/>
    <x v="1"/>
    <s v="WA"/>
    <s v="Product BWRLG"/>
    <x v="6"/>
    <x v="312"/>
    <d v="2007-09-18T00:00:00"/>
    <x v="2"/>
    <s v="Destination QOCBL"/>
    <x v="8"/>
    <s v="Supplier SVIYA"/>
    <s v="Germany"/>
    <x v="2"/>
    <n v="193.75"/>
  </r>
  <r>
    <n v="10671"/>
    <n v="16"/>
    <n v="17.45"/>
    <n v="10"/>
    <n v="0"/>
    <s v="Koch, Paul"/>
    <s v="Koch Paul"/>
    <x v="5"/>
    <s v="WA"/>
    <s v="Product PAFRH"/>
    <x v="5"/>
    <x v="313"/>
    <d v="2007-09-24T00:00:00"/>
    <x v="2"/>
    <s v="Destination OPXJT"/>
    <x v="2"/>
    <s v="Supplier GQRCV"/>
    <s v="Australia"/>
    <x v="1"/>
    <n v="174.5"/>
  </r>
  <r>
    <n v="10671"/>
    <n v="62"/>
    <n v="49.3"/>
    <n v="10"/>
    <n v="0"/>
    <s v="Koch, Paul"/>
    <s v="Koch Paul"/>
    <x v="5"/>
    <s v="WA"/>
    <s v="Product WUXYK"/>
    <x v="5"/>
    <x v="313"/>
    <d v="2007-09-24T00:00:00"/>
    <x v="2"/>
    <s v="Destination OPXJT"/>
    <x v="2"/>
    <s v="Supplier OGLRK"/>
    <s v="Canada"/>
    <x v="1"/>
    <n v="493"/>
  </r>
  <r>
    <n v="10671"/>
    <n v="65"/>
    <n v="21.05"/>
    <n v="12"/>
    <n v="0"/>
    <s v="Koch, Paul"/>
    <s v="Koch Paul"/>
    <x v="5"/>
    <s v="WA"/>
    <s v="Product XYWBZ"/>
    <x v="4"/>
    <x v="313"/>
    <d v="2007-09-24T00:00:00"/>
    <x v="2"/>
    <s v="Destination OPXJT"/>
    <x v="2"/>
    <s v="Supplier VHQZD"/>
    <s v="USA"/>
    <x v="1"/>
    <n v="252.60000000000002"/>
  </r>
  <r>
    <n v="10672"/>
    <n v="38"/>
    <n v="263.5"/>
    <n v="15"/>
    <n v="0.1"/>
    <s v="Higginbotham, Tom"/>
    <s v="Higginbotham Tom"/>
    <x v="4"/>
    <n v="0"/>
    <s v="Product QDOMO"/>
    <x v="6"/>
    <x v="313"/>
    <d v="2007-09-26T00:00:00"/>
    <x v="1"/>
    <s v="Ship to 5-C"/>
    <x v="10"/>
    <s v="Supplier LVJUA"/>
    <s v="France"/>
    <x v="1"/>
    <n v="3557.25"/>
  </r>
  <r>
    <n v="10672"/>
    <n v="71"/>
    <n v="21.5"/>
    <n v="12"/>
    <n v="0"/>
    <s v="Higginbotham, Tom"/>
    <s v="Higginbotham Tom"/>
    <x v="4"/>
    <n v="0"/>
    <s v="Product MYMOI"/>
    <x v="0"/>
    <x v="313"/>
    <d v="2007-09-26T00:00:00"/>
    <x v="1"/>
    <s v="Ship to 5-C"/>
    <x v="10"/>
    <s v="Supplier NZLIF"/>
    <s v="Norway"/>
    <x v="1"/>
    <n v="258"/>
  </r>
  <r>
    <n v="10673"/>
    <n v="16"/>
    <n v="17.45"/>
    <n v="3"/>
    <n v="0"/>
    <s v="Larsson, Katarina"/>
    <s v="Larsson Katarina"/>
    <x v="8"/>
    <s v="WA"/>
    <s v="Product PAFRH"/>
    <x v="5"/>
    <x v="314"/>
    <d v="2007-09-19T00:00:00"/>
    <x v="2"/>
    <s v="Ship to 90-B"/>
    <x v="11"/>
    <s v="Supplier GQRCV"/>
    <s v="Australia"/>
    <x v="1"/>
    <n v="52.349999999999994"/>
  </r>
  <r>
    <n v="10673"/>
    <n v="42"/>
    <n v="14"/>
    <n v="6"/>
    <n v="0"/>
    <s v="Larsson, Katarina"/>
    <s v="Larsson Katarina"/>
    <x v="8"/>
    <s v="WA"/>
    <s v="Product RJVNM"/>
    <x v="1"/>
    <x v="314"/>
    <d v="2007-09-19T00:00:00"/>
    <x v="2"/>
    <s v="Ship to 90-B"/>
    <x v="11"/>
    <s v="Supplier CIYNM"/>
    <s v="Singapore"/>
    <x v="1"/>
    <n v="84"/>
  </r>
  <r>
    <n v="10673"/>
    <n v="43"/>
    <n v="46"/>
    <n v="6"/>
    <n v="0"/>
    <s v="Larsson, Katarina"/>
    <s v="Larsson Katarina"/>
    <x v="8"/>
    <s v="WA"/>
    <s v="Product ZZZHR"/>
    <x v="6"/>
    <x v="314"/>
    <d v="2007-09-19T00:00:00"/>
    <x v="2"/>
    <s v="Ship to 90-B"/>
    <x v="11"/>
    <s v="Supplier CIYNM"/>
    <s v="Singapore"/>
    <x v="1"/>
    <n v="276"/>
  </r>
  <r>
    <n v="10674"/>
    <n v="23"/>
    <n v="9"/>
    <n v="5"/>
    <n v="0"/>
    <s v="Lee, Frank"/>
    <s v="Lee Frank"/>
    <x v="1"/>
    <s v="WA"/>
    <s v="Product JLUDZ"/>
    <x v="1"/>
    <x v="314"/>
    <d v="2007-09-30T00:00:00"/>
    <x v="1"/>
    <s v="Destination QVTLW"/>
    <x v="14"/>
    <s v="Supplier QQYEU"/>
    <s v="Sweden"/>
    <x v="1"/>
    <n v="45"/>
  </r>
  <r>
    <n v="10675"/>
    <n v="14"/>
    <n v="23.25"/>
    <n v="30"/>
    <n v="0"/>
    <s v="Carlson, Jason"/>
    <s v="Carlson Jason"/>
    <x v="3"/>
    <n v="0"/>
    <s v="Product PWCJB"/>
    <x v="2"/>
    <x v="315"/>
    <d v="2007-09-23T00:00:00"/>
    <x v="1"/>
    <s v="Destination WEGWI"/>
    <x v="8"/>
    <s v="Supplier QWUSF"/>
    <s v="Japan"/>
    <x v="1"/>
    <n v="697.5"/>
  </r>
  <r>
    <n v="10675"/>
    <n v="53"/>
    <n v="32.799999999999997"/>
    <n v="10"/>
    <n v="0"/>
    <s v="Carlson, Jason"/>
    <s v="Carlson Jason"/>
    <x v="3"/>
    <n v="0"/>
    <s v="Product BKGEA"/>
    <x v="7"/>
    <x v="315"/>
    <d v="2007-09-23T00:00:00"/>
    <x v="1"/>
    <s v="Destination WEGWI"/>
    <x v="8"/>
    <s v="Supplier JNNES"/>
    <s v="Australia"/>
    <x v="1"/>
    <n v="328"/>
  </r>
  <r>
    <n v="10675"/>
    <n v="58"/>
    <n v="13.25"/>
    <n v="30"/>
    <n v="0"/>
    <s v="Carlson, Jason"/>
    <s v="Carlson Jason"/>
    <x v="3"/>
    <n v="0"/>
    <s v="Product ACRVI"/>
    <x v="3"/>
    <x v="315"/>
    <d v="2007-09-23T00:00:00"/>
    <x v="1"/>
    <s v="Destination WEGWI"/>
    <x v="8"/>
    <s v="Supplier ZRYDZ"/>
    <s v="France"/>
    <x v="1"/>
    <n v="397.5"/>
  </r>
  <r>
    <n v="10676"/>
    <n v="10"/>
    <n v="31"/>
    <n v="2"/>
    <n v="0"/>
    <s v="Geschwandtner, Jens"/>
    <s v="Geschwandtner Jens"/>
    <x v="8"/>
    <s v="WA"/>
    <s v="Product YHXGE"/>
    <x v="3"/>
    <x v="316"/>
    <d v="2007-09-29T00:00:00"/>
    <x v="1"/>
    <s v="Ship to 80-C"/>
    <x v="7"/>
    <s v="Supplier QOVFD"/>
    <s v="Japan"/>
    <x v="1"/>
    <n v="62"/>
  </r>
  <r>
    <n v="10676"/>
    <n v="19"/>
    <n v="9.1999999999999993"/>
    <n v="7"/>
    <n v="0"/>
    <s v="Geschwandtner, Jens"/>
    <s v="Geschwandtner Jens"/>
    <x v="8"/>
    <s v="WA"/>
    <s v="Product XKXDO"/>
    <x v="5"/>
    <x v="316"/>
    <d v="2007-09-29T00:00:00"/>
    <x v="1"/>
    <s v="Ship to 80-C"/>
    <x v="7"/>
    <s v="Supplier BWGYE"/>
    <s v="UK"/>
    <x v="1"/>
    <n v="64.399999999999991"/>
  </r>
  <r>
    <n v="10676"/>
    <n v="44"/>
    <n v="19.45"/>
    <n v="21"/>
    <n v="0"/>
    <s v="Geschwandtner, Jens"/>
    <s v="Geschwandtner Jens"/>
    <x v="8"/>
    <s v="WA"/>
    <s v="Product VJIEO"/>
    <x v="4"/>
    <x v="316"/>
    <d v="2007-09-29T00:00:00"/>
    <x v="1"/>
    <s v="Ship to 80-C"/>
    <x v="7"/>
    <s v="Supplier CIYNM"/>
    <s v="Singapore"/>
    <x v="1"/>
    <n v="408.45"/>
  </r>
  <r>
    <n v="10677"/>
    <n v="26"/>
    <n v="31.23"/>
    <n v="30"/>
    <n v="0.15"/>
    <s v="Peoples, John"/>
    <s v="Peoples John"/>
    <x v="5"/>
    <s v="WA"/>
    <s v="Product HLGZA"/>
    <x v="5"/>
    <x v="316"/>
    <d v="2007-09-26T00:00:00"/>
    <x v="3"/>
    <s v="Destination LANNN"/>
    <x v="7"/>
    <s v="Supplier ZPYVS"/>
    <s v="Germany"/>
    <x v="1"/>
    <n v="796.36500000000001"/>
  </r>
  <r>
    <n v="10677"/>
    <n v="33"/>
    <n v="2.5"/>
    <n v="8"/>
    <n v="0.15"/>
    <s v="Peoples, John"/>
    <s v="Peoples John"/>
    <x v="5"/>
    <s v="WA"/>
    <s v="Product ASTMN"/>
    <x v="0"/>
    <x v="316"/>
    <d v="2007-09-26T00:00:00"/>
    <x v="3"/>
    <s v="Destination LANNN"/>
    <x v="7"/>
    <s v="Supplier NZLIF"/>
    <s v="Norway"/>
    <x v="1"/>
    <n v="17"/>
  </r>
  <r>
    <n v="10678"/>
    <n v="12"/>
    <n v="38"/>
    <n v="100"/>
    <n v="0"/>
    <s v="Navarro, Tomás"/>
    <s v="Navarro Tomás"/>
    <x v="9"/>
    <n v="0"/>
    <s v="Product OSFNS"/>
    <x v="0"/>
    <x v="317"/>
    <d v="2007-10-16T00:00:00"/>
    <x v="3"/>
    <s v="Ship to 71-A"/>
    <x v="9"/>
    <s v="Supplier EQPNC"/>
    <s v="Spain"/>
    <x v="2"/>
    <n v="3800"/>
  </r>
  <r>
    <n v="10678"/>
    <n v="33"/>
    <n v="2.5"/>
    <n v="30"/>
    <n v="0"/>
    <s v="Navarro, Tomás"/>
    <s v="Navarro Tomás"/>
    <x v="9"/>
    <n v="0"/>
    <s v="Product ASTMN"/>
    <x v="0"/>
    <x v="317"/>
    <d v="2007-10-16T00:00:00"/>
    <x v="3"/>
    <s v="Ship to 71-A"/>
    <x v="9"/>
    <s v="Supplier NZLIF"/>
    <s v="Norway"/>
    <x v="2"/>
    <n v="75"/>
  </r>
  <r>
    <n v="10678"/>
    <n v="41"/>
    <n v="9.65"/>
    <n v="120"/>
    <n v="0"/>
    <s v="Navarro, Tomás"/>
    <s v="Navarro Tomás"/>
    <x v="9"/>
    <n v="0"/>
    <s v="Product TTEEX"/>
    <x v="3"/>
    <x v="317"/>
    <d v="2007-10-16T00:00:00"/>
    <x v="3"/>
    <s v="Ship to 71-A"/>
    <x v="9"/>
    <s v="Supplier JDNUG"/>
    <s v="USA"/>
    <x v="2"/>
    <n v="1158"/>
  </r>
  <r>
    <n v="10678"/>
    <n v="54"/>
    <n v="7.45"/>
    <n v="30"/>
    <n v="0"/>
    <s v="Navarro, Tomás"/>
    <s v="Navarro Tomás"/>
    <x v="9"/>
    <n v="0"/>
    <s v="Product QAQRL"/>
    <x v="7"/>
    <x v="317"/>
    <d v="2007-10-16T00:00:00"/>
    <x v="3"/>
    <s v="Ship to 71-A"/>
    <x v="9"/>
    <s v="Supplier ERVYZ"/>
    <s v="Canada"/>
    <x v="2"/>
    <n v="223.5"/>
  </r>
  <r>
    <n v="10679"/>
    <n v="59"/>
    <n v="55"/>
    <n v="12"/>
    <n v="0"/>
    <s v="Bansal, Dushyant"/>
    <s v="Bansal Dushyant"/>
    <x v="6"/>
    <s v="WA"/>
    <s v="Product UKXRI"/>
    <x v="0"/>
    <x v="317"/>
    <d v="2007-09-30T00:00:00"/>
    <x v="3"/>
    <s v="Ship to 7-A"/>
    <x v="2"/>
    <s v="Supplier OAVQT"/>
    <s v="France"/>
    <x v="1"/>
    <n v="660"/>
  </r>
  <r>
    <n v="10680"/>
    <n v="16"/>
    <n v="17.45"/>
    <n v="50"/>
    <n v="0.25"/>
    <s v="Egelund-Muller, Anja"/>
    <s v="Egelund-Muller Anja"/>
    <x v="5"/>
    <s v="WA"/>
    <s v="Product PAFRH"/>
    <x v="5"/>
    <x v="318"/>
    <d v="2007-09-26T00:00:00"/>
    <x v="2"/>
    <s v="Ship to 55-B"/>
    <x v="9"/>
    <s v="Supplier GQRCV"/>
    <s v="Australia"/>
    <x v="1"/>
    <n v="654.375"/>
  </r>
  <r>
    <n v="10680"/>
    <n v="31"/>
    <n v="12.5"/>
    <n v="20"/>
    <n v="0.25"/>
    <s v="Egelund-Muller, Anja"/>
    <s v="Egelund-Muller Anja"/>
    <x v="5"/>
    <s v="WA"/>
    <s v="Product XWOXC"/>
    <x v="0"/>
    <x v="318"/>
    <d v="2007-09-26T00:00:00"/>
    <x v="2"/>
    <s v="Ship to 55-B"/>
    <x v="9"/>
    <s v="Supplier KEREV"/>
    <s v="Italy"/>
    <x v="1"/>
    <n v="187.5"/>
  </r>
  <r>
    <n v="10680"/>
    <n v="42"/>
    <n v="14"/>
    <n v="40"/>
    <n v="0.25"/>
    <s v="Egelund-Muller, Anja"/>
    <s v="Egelund-Muller Anja"/>
    <x v="5"/>
    <s v="WA"/>
    <s v="Product RJVNM"/>
    <x v="1"/>
    <x v="318"/>
    <d v="2007-09-26T00:00:00"/>
    <x v="2"/>
    <s v="Ship to 55-B"/>
    <x v="9"/>
    <s v="Supplier CIYNM"/>
    <s v="Singapore"/>
    <x v="1"/>
    <n v="420"/>
  </r>
  <r>
    <n v="10681"/>
    <n v="19"/>
    <n v="9.1999999999999993"/>
    <n v="30"/>
    <n v="0.1"/>
    <s v="Krishnan, Venky"/>
    <s v="Krishnan Venky"/>
    <x v="2"/>
    <s v="WA"/>
    <s v="Product XKXDO"/>
    <x v="5"/>
    <x v="319"/>
    <d v="2007-09-30T00:00:00"/>
    <x v="3"/>
    <s v="Destination AVQUS"/>
    <x v="9"/>
    <s v="Supplier BWGYE"/>
    <s v="UK"/>
    <x v="1"/>
    <n v="248.4"/>
  </r>
  <r>
    <n v="10681"/>
    <n v="21"/>
    <n v="10"/>
    <n v="12"/>
    <n v="0.1"/>
    <s v="Krishnan, Venky"/>
    <s v="Krishnan Venky"/>
    <x v="2"/>
    <s v="WA"/>
    <s v="Product VJZZH"/>
    <x v="5"/>
    <x v="319"/>
    <d v="2007-09-30T00:00:00"/>
    <x v="3"/>
    <s v="Destination AVQUS"/>
    <x v="9"/>
    <s v="Supplier BWGYE"/>
    <s v="UK"/>
    <x v="1"/>
    <n v="108"/>
  </r>
  <r>
    <n v="10681"/>
    <n v="64"/>
    <n v="33.25"/>
    <n v="28"/>
    <n v="0"/>
    <s v="Krishnan, Venky"/>
    <s v="Krishnan Venky"/>
    <x v="2"/>
    <s v="WA"/>
    <s v="Product HCQDE"/>
    <x v="1"/>
    <x v="319"/>
    <d v="2007-09-30T00:00:00"/>
    <x v="3"/>
    <s v="Destination AVQUS"/>
    <x v="9"/>
    <s v="Supplier SVIYA"/>
    <s v="Germany"/>
    <x v="1"/>
    <n v="931"/>
  </r>
  <r>
    <n v="10682"/>
    <n v="33"/>
    <n v="2.5"/>
    <n v="30"/>
    <n v="0"/>
    <s v="Peoples, John"/>
    <s v="Peoples John"/>
    <x v="2"/>
    <s v="WA"/>
    <s v="Product ASTMN"/>
    <x v="0"/>
    <x v="319"/>
    <d v="2007-10-01T00:00:00"/>
    <x v="1"/>
    <s v="Destination RTGIS"/>
    <x v="7"/>
    <s v="Supplier NZLIF"/>
    <s v="Norway"/>
    <x v="1"/>
    <n v="75"/>
  </r>
  <r>
    <n v="10682"/>
    <n v="66"/>
    <n v="17"/>
    <n v="4"/>
    <n v="0"/>
    <s v="Peoples, John"/>
    <s v="Peoples John"/>
    <x v="2"/>
    <s v="WA"/>
    <s v="Product LQMGN"/>
    <x v="4"/>
    <x v="319"/>
    <d v="2007-10-01T00:00:00"/>
    <x v="1"/>
    <s v="Destination RTGIS"/>
    <x v="7"/>
    <s v="Supplier VHQZD"/>
    <s v="USA"/>
    <x v="1"/>
    <n v="68"/>
  </r>
  <r>
    <n v="10682"/>
    <n v="75"/>
    <n v="7.75"/>
    <n v="30"/>
    <n v="0"/>
    <s v="Peoples, John"/>
    <s v="Peoples John"/>
    <x v="2"/>
    <s v="WA"/>
    <s v="Product BWRLG"/>
    <x v="6"/>
    <x v="319"/>
    <d v="2007-10-01T00:00:00"/>
    <x v="1"/>
    <s v="Destination RTGIS"/>
    <x v="7"/>
    <s v="Supplier SVIYA"/>
    <s v="Germany"/>
    <x v="1"/>
    <n v="232.5"/>
  </r>
  <r>
    <n v="10683"/>
    <n v="52"/>
    <n v="7"/>
    <n v="9"/>
    <n v="0"/>
    <s v="Rizaldy, Arif"/>
    <s v="Rizaldy Arif"/>
    <x v="8"/>
    <s v="WA"/>
    <s v="Product QSRXF"/>
    <x v="1"/>
    <x v="320"/>
    <d v="2007-10-01T00:00:00"/>
    <x v="2"/>
    <s v="Destination FVRGC"/>
    <x v="2"/>
    <s v="Supplier JNNES"/>
    <s v="Australia"/>
    <x v="1"/>
    <n v="63"/>
  </r>
  <r>
    <n v="10684"/>
    <n v="40"/>
    <n v="18.399999999999999"/>
    <n v="20"/>
    <n v="0"/>
    <s v="Marinova, Nadejda"/>
    <s v="Marinova Nadejda"/>
    <x v="2"/>
    <s v="WA"/>
    <s v="Product YZIXQ"/>
    <x v="3"/>
    <x v="320"/>
    <d v="2007-09-30T00:00:00"/>
    <x v="2"/>
    <s v="Ship to 56-B"/>
    <x v="8"/>
    <s v="Supplier JDNUG"/>
    <s v="USA"/>
    <x v="2"/>
    <n v="368"/>
  </r>
  <r>
    <n v="10684"/>
    <n v="47"/>
    <n v="9.5"/>
    <n v="40"/>
    <n v="0"/>
    <s v="Marinova, Nadejda"/>
    <s v="Marinova Nadejda"/>
    <x v="2"/>
    <s v="WA"/>
    <s v="Product EZZPR"/>
    <x v="5"/>
    <x v="320"/>
    <d v="2007-09-30T00:00:00"/>
    <x v="2"/>
    <s v="Ship to 56-B"/>
    <x v="8"/>
    <s v="Supplier FNUXM"/>
    <s v="Netherlands"/>
    <x v="2"/>
    <n v="380"/>
  </r>
  <r>
    <n v="10684"/>
    <n v="60"/>
    <n v="34"/>
    <n v="30"/>
    <n v="0"/>
    <s v="Marinova, Nadejda"/>
    <s v="Marinova Nadejda"/>
    <x v="2"/>
    <s v="WA"/>
    <s v="Product WHBYK"/>
    <x v="0"/>
    <x v="320"/>
    <d v="2007-09-30T00:00:00"/>
    <x v="2"/>
    <s v="Ship to 56-B"/>
    <x v="8"/>
    <s v="Supplier OAVQT"/>
    <s v="France"/>
    <x v="2"/>
    <n v="1020"/>
  </r>
  <r>
    <n v="10685"/>
    <n v="10"/>
    <n v="31"/>
    <n v="20"/>
    <n v="0"/>
    <s v="Cheng, Yao-Qiang"/>
    <s v="Cheng Yao-Qiang"/>
    <x v="1"/>
    <s v="WA"/>
    <s v="Product YHXGE"/>
    <x v="3"/>
    <x v="321"/>
    <d v="2007-10-03T00:00:00"/>
    <x v="1"/>
    <s v="Destination VNIAG"/>
    <x v="1"/>
    <s v="Supplier QOVFD"/>
    <s v="Japan"/>
    <x v="1"/>
    <n v="620"/>
  </r>
  <r>
    <n v="10685"/>
    <n v="41"/>
    <n v="9.65"/>
    <n v="4"/>
    <n v="0"/>
    <s v="Cheng, Yao-Qiang"/>
    <s v="Cheng Yao-Qiang"/>
    <x v="1"/>
    <s v="WA"/>
    <s v="Product TTEEX"/>
    <x v="3"/>
    <x v="321"/>
    <d v="2007-10-03T00:00:00"/>
    <x v="1"/>
    <s v="Destination VNIAG"/>
    <x v="1"/>
    <s v="Supplier JDNUG"/>
    <s v="USA"/>
    <x v="1"/>
    <n v="38.6"/>
  </r>
  <r>
    <n v="10685"/>
    <n v="47"/>
    <n v="9.5"/>
    <n v="15"/>
    <n v="0"/>
    <s v="Cheng, Yao-Qiang"/>
    <s v="Cheng Yao-Qiang"/>
    <x v="1"/>
    <s v="WA"/>
    <s v="Product EZZPR"/>
    <x v="5"/>
    <x v="321"/>
    <d v="2007-10-03T00:00:00"/>
    <x v="1"/>
    <s v="Destination VNIAG"/>
    <x v="1"/>
    <s v="Supplier FNUXM"/>
    <s v="Netherlands"/>
    <x v="1"/>
    <n v="142.5"/>
  </r>
  <r>
    <n v="10686"/>
    <n v="17"/>
    <n v="39"/>
    <n v="30"/>
    <n v="0.2"/>
    <s v="Meston, Tosh"/>
    <s v="Meston Tosh"/>
    <x v="8"/>
    <s v="WA"/>
    <s v="Product BLCAX"/>
    <x v="7"/>
    <x v="322"/>
    <d v="2007-10-08T00:00:00"/>
    <x v="2"/>
    <s v="Ship to 59-B"/>
    <x v="6"/>
    <s v="Supplier GQRCV"/>
    <s v="Australia"/>
    <x v="1"/>
    <n v="936"/>
  </r>
  <r>
    <n v="10686"/>
    <n v="26"/>
    <n v="31.23"/>
    <n v="15"/>
    <n v="0"/>
    <s v="Meston, Tosh"/>
    <s v="Meston Tosh"/>
    <x v="8"/>
    <s v="WA"/>
    <s v="Product HLGZA"/>
    <x v="5"/>
    <x v="322"/>
    <d v="2007-10-08T00:00:00"/>
    <x v="2"/>
    <s v="Ship to 59-B"/>
    <x v="6"/>
    <s v="Supplier ZPYVS"/>
    <s v="Germany"/>
    <x v="1"/>
    <n v="468.45"/>
  </r>
  <r>
    <n v="10687"/>
    <n v="9"/>
    <n v="97"/>
    <n v="50"/>
    <n v="0.25"/>
    <s v="Crăciun, Ovidiu V."/>
    <s v="Crăciun Ovidiu V."/>
    <x v="4"/>
    <n v="0"/>
    <s v="Product AOZBW"/>
    <x v="7"/>
    <x v="322"/>
    <d v="2007-10-30T00:00:00"/>
    <x v="1"/>
    <s v="Destination KPVYJ"/>
    <x v="15"/>
    <s v="Supplier QOVFD"/>
    <s v="Japan"/>
    <x v="2"/>
    <n v="3637.5"/>
  </r>
  <r>
    <n v="10687"/>
    <n v="29"/>
    <n v="123.79"/>
    <n v="10"/>
    <n v="0"/>
    <s v="Crăciun, Ovidiu V."/>
    <s v="Crăciun Ovidiu V."/>
    <x v="4"/>
    <n v="0"/>
    <s v="Product VJXYN"/>
    <x v="7"/>
    <x v="322"/>
    <d v="2007-10-30T00:00:00"/>
    <x v="1"/>
    <s v="Destination KPVYJ"/>
    <x v="15"/>
    <s v="Supplier SVIYA"/>
    <s v="Germany"/>
    <x v="2"/>
    <n v="1237.9000000000001"/>
  </r>
  <r>
    <n v="10687"/>
    <n v="36"/>
    <n v="19"/>
    <n v="6"/>
    <n v="0.25"/>
    <s v="Crăciun, Ovidiu V."/>
    <s v="Crăciun Ovidiu V."/>
    <x v="4"/>
    <n v="0"/>
    <s v="Product GMKIJ"/>
    <x v="3"/>
    <x v="322"/>
    <d v="2007-10-30T00:00:00"/>
    <x v="1"/>
    <s v="Destination KPVYJ"/>
    <x v="15"/>
    <s v="Supplier QZGUF"/>
    <s v="Sweden"/>
    <x v="2"/>
    <n v="85.5"/>
  </r>
  <r>
    <n v="10688"/>
    <n v="10"/>
    <n v="31"/>
    <n v="18"/>
    <n v="0.1"/>
    <s v="Fonteneau, Karl"/>
    <s v="Fonteneau Karl"/>
    <x v="1"/>
    <s v="WA"/>
    <s v="Product YHXGE"/>
    <x v="3"/>
    <x v="323"/>
    <d v="2007-10-07T00:00:00"/>
    <x v="1"/>
    <s v="Ship to 83-A"/>
    <x v="18"/>
    <s v="Supplier QOVFD"/>
    <s v="Japan"/>
    <x v="2"/>
    <n v="502.2"/>
  </r>
  <r>
    <n v="10688"/>
    <n v="28"/>
    <n v="45.6"/>
    <n v="60"/>
    <n v="0.1"/>
    <s v="Fonteneau, Karl"/>
    <s v="Fonteneau Karl"/>
    <x v="1"/>
    <s v="WA"/>
    <s v="Product OFBNT"/>
    <x v="2"/>
    <x v="323"/>
    <d v="2007-10-07T00:00:00"/>
    <x v="1"/>
    <s v="Ship to 83-A"/>
    <x v="18"/>
    <s v="Supplier SVIYA"/>
    <s v="Germany"/>
    <x v="2"/>
    <n v="2462.4"/>
  </r>
  <r>
    <n v="10688"/>
    <n v="34"/>
    <n v="14"/>
    <n v="14"/>
    <n v="0"/>
    <s v="Fonteneau, Karl"/>
    <s v="Fonteneau Karl"/>
    <x v="1"/>
    <s v="WA"/>
    <s v="Product SWNJY"/>
    <x v="6"/>
    <x v="323"/>
    <d v="2007-10-07T00:00:00"/>
    <x v="1"/>
    <s v="Ship to 83-A"/>
    <x v="18"/>
    <s v="Supplier UHZRG"/>
    <s v="USA"/>
    <x v="2"/>
    <n v="196"/>
  </r>
  <r>
    <n v="10689"/>
    <n v="1"/>
    <n v="18"/>
    <n v="35"/>
    <n v="0.25"/>
    <s v="Higginbotham, Tom"/>
    <s v="Higginbotham Tom"/>
    <x v="5"/>
    <s v="WA"/>
    <s v="Product HHYDP"/>
    <x v="6"/>
    <x v="323"/>
    <d v="2007-10-07T00:00:00"/>
    <x v="1"/>
    <s v="Ship to 5-B"/>
    <x v="10"/>
    <s v="Supplier SWRXU"/>
    <s v="UK"/>
    <x v="1"/>
    <n v="472.5"/>
  </r>
  <r>
    <n v="10690"/>
    <n v="56"/>
    <n v="38"/>
    <n v="20"/>
    <n v="0.25"/>
    <s v="Cohen, Shy"/>
    <s v="Cohen Shy"/>
    <x v="5"/>
    <s v="WA"/>
    <s v="Product VKCMF"/>
    <x v="1"/>
    <x v="324"/>
    <d v="2007-10-03T00:00:00"/>
    <x v="2"/>
    <s v="Destination JPAIY"/>
    <x v="1"/>
    <s v="Supplier ZWZDM"/>
    <s v="Italy"/>
    <x v="1"/>
    <n v="570"/>
  </r>
  <r>
    <n v="10690"/>
    <n v="77"/>
    <n v="13"/>
    <n v="30"/>
    <n v="0.25"/>
    <s v="Cohen, Shy"/>
    <s v="Cohen Shy"/>
    <x v="5"/>
    <s v="WA"/>
    <s v="Product LUNZZ"/>
    <x v="4"/>
    <x v="324"/>
    <d v="2007-10-03T00:00:00"/>
    <x v="2"/>
    <s v="Destination JPAIY"/>
    <x v="1"/>
    <s v="Supplier SVIYA"/>
    <s v="Germany"/>
    <x v="1"/>
    <n v="292.5"/>
  </r>
  <r>
    <n v="10691"/>
    <n v="1"/>
    <n v="18"/>
    <n v="30"/>
    <n v="0"/>
    <s v="Veronesi, Giorgio"/>
    <s v="Veronesi Giorgio"/>
    <x v="8"/>
    <s v="WA"/>
    <s v="Product HHYDP"/>
    <x v="6"/>
    <x v="325"/>
    <d v="2007-10-22T00:00:00"/>
    <x v="1"/>
    <s v="Ship to 63-B"/>
    <x v="8"/>
    <s v="Supplier SWRXU"/>
    <s v="UK"/>
    <x v="2"/>
    <n v="540"/>
  </r>
  <r>
    <n v="10691"/>
    <n v="29"/>
    <n v="123.79"/>
    <n v="40"/>
    <n v="0"/>
    <s v="Veronesi, Giorgio"/>
    <s v="Veronesi Giorgio"/>
    <x v="8"/>
    <s v="WA"/>
    <s v="Product VJXYN"/>
    <x v="7"/>
    <x v="325"/>
    <d v="2007-10-22T00:00:00"/>
    <x v="1"/>
    <s v="Ship to 63-B"/>
    <x v="8"/>
    <s v="Supplier SVIYA"/>
    <s v="Germany"/>
    <x v="2"/>
    <n v="4951.6000000000004"/>
  </r>
  <r>
    <n v="10691"/>
    <n v="43"/>
    <n v="46"/>
    <n v="40"/>
    <n v="0"/>
    <s v="Veronesi, Giorgio"/>
    <s v="Veronesi Giorgio"/>
    <x v="8"/>
    <s v="WA"/>
    <s v="Product ZZZHR"/>
    <x v="6"/>
    <x v="325"/>
    <d v="2007-10-22T00:00:00"/>
    <x v="1"/>
    <s v="Ship to 63-B"/>
    <x v="8"/>
    <s v="Supplier CIYNM"/>
    <s v="Singapore"/>
    <x v="2"/>
    <n v="1840"/>
  </r>
  <r>
    <n v="10691"/>
    <n v="44"/>
    <n v="19.45"/>
    <n v="24"/>
    <n v="0"/>
    <s v="Veronesi, Giorgio"/>
    <s v="Veronesi Giorgio"/>
    <x v="8"/>
    <s v="WA"/>
    <s v="Product VJIEO"/>
    <x v="4"/>
    <x v="325"/>
    <d v="2007-10-22T00:00:00"/>
    <x v="1"/>
    <s v="Ship to 63-B"/>
    <x v="8"/>
    <s v="Supplier CIYNM"/>
    <s v="Singapore"/>
    <x v="2"/>
    <n v="466.79999999999995"/>
  </r>
  <r>
    <n v="10691"/>
    <n v="62"/>
    <n v="49.3"/>
    <n v="48"/>
    <n v="0"/>
    <s v="Veronesi, Giorgio"/>
    <s v="Veronesi Giorgio"/>
    <x v="8"/>
    <s v="WA"/>
    <s v="Product WUXYK"/>
    <x v="5"/>
    <x v="325"/>
    <d v="2007-10-22T00:00:00"/>
    <x v="1"/>
    <s v="Ship to 63-B"/>
    <x v="8"/>
    <s v="Supplier OGLRK"/>
    <s v="Canada"/>
    <x v="2"/>
    <n v="2366.3999999999996"/>
  </r>
  <r>
    <n v="10692"/>
    <n v="63"/>
    <n v="43.9"/>
    <n v="20"/>
    <n v="0"/>
    <s v="Allen, Michael"/>
    <s v="Allen Michael"/>
    <x v="1"/>
    <s v="WA"/>
    <s v="Product ICKNK"/>
    <x v="4"/>
    <x v="325"/>
    <d v="2007-10-13T00:00:00"/>
    <x v="1"/>
    <s v="Destination RSVRP"/>
    <x v="8"/>
    <s v="Supplier GQRCV"/>
    <s v="Australia"/>
    <x v="1"/>
    <n v="878"/>
  </r>
  <r>
    <n v="10693"/>
    <n v="9"/>
    <n v="97"/>
    <n v="6"/>
    <n v="0"/>
    <s v="Smith Jr., Ronaldo"/>
    <s v="Smith Jr. Ronaldo"/>
    <x v="2"/>
    <s v="WA"/>
    <s v="Product AOZBW"/>
    <x v="7"/>
    <x v="326"/>
    <d v="2007-10-10T00:00:00"/>
    <x v="3"/>
    <s v="Ship to 89-C"/>
    <x v="9"/>
    <s v="Supplier QOVFD"/>
    <s v="Japan"/>
    <x v="2"/>
    <n v="582"/>
  </r>
  <r>
    <n v="10693"/>
    <n v="54"/>
    <n v="7.45"/>
    <n v="60"/>
    <n v="0.15"/>
    <s v="Smith Jr., Ronaldo"/>
    <s v="Smith Jr. Ronaldo"/>
    <x v="2"/>
    <s v="WA"/>
    <s v="Product QAQRL"/>
    <x v="7"/>
    <x v="326"/>
    <d v="2007-10-10T00:00:00"/>
    <x v="3"/>
    <s v="Ship to 89-C"/>
    <x v="9"/>
    <s v="Supplier ERVYZ"/>
    <s v="Canada"/>
    <x v="2"/>
    <n v="379.95"/>
  </r>
  <r>
    <n v="10693"/>
    <n v="69"/>
    <n v="36"/>
    <n v="30"/>
    <n v="0.15"/>
    <s v="Smith Jr., Ronaldo"/>
    <s v="Smith Jr. Ronaldo"/>
    <x v="2"/>
    <s v="WA"/>
    <s v="Product COAXA"/>
    <x v="0"/>
    <x v="326"/>
    <d v="2007-10-10T00:00:00"/>
    <x v="3"/>
    <s v="Ship to 89-C"/>
    <x v="9"/>
    <s v="Supplier NZLIF"/>
    <s v="Norway"/>
    <x v="2"/>
    <n v="918"/>
  </r>
  <r>
    <n v="10693"/>
    <n v="73"/>
    <n v="15"/>
    <n v="15"/>
    <n v="0.15"/>
    <s v="Smith Jr., Ronaldo"/>
    <s v="Smith Jr. Ronaldo"/>
    <x v="2"/>
    <s v="WA"/>
    <s v="Product WEUJZ"/>
    <x v="3"/>
    <x v="326"/>
    <d v="2007-10-10T00:00:00"/>
    <x v="3"/>
    <s v="Ship to 89-C"/>
    <x v="9"/>
    <s v="Supplier QZGUF"/>
    <s v="Sweden"/>
    <x v="2"/>
    <n v="191.25"/>
  </r>
  <r>
    <n v="10694"/>
    <n v="7"/>
    <n v="30"/>
    <n v="90"/>
    <n v="0"/>
    <s v="Veronesi, Giorgio"/>
    <s v="Veronesi Giorgio"/>
    <x v="6"/>
    <s v="WA"/>
    <s v="Product HMLNI"/>
    <x v="2"/>
    <x v="326"/>
    <d v="2007-10-09T00:00:00"/>
    <x v="3"/>
    <s v="Ship to 63-A"/>
    <x v="8"/>
    <s v="Supplier STUAZ"/>
    <s v="USA"/>
    <x v="2"/>
    <n v="2700"/>
  </r>
  <r>
    <n v="10694"/>
    <n v="59"/>
    <n v="55"/>
    <n v="25"/>
    <n v="0"/>
    <s v="Veronesi, Giorgio"/>
    <s v="Veronesi Giorgio"/>
    <x v="6"/>
    <s v="WA"/>
    <s v="Product UKXRI"/>
    <x v="0"/>
    <x v="326"/>
    <d v="2007-10-09T00:00:00"/>
    <x v="3"/>
    <s v="Ship to 63-A"/>
    <x v="8"/>
    <s v="Supplier OAVQT"/>
    <s v="France"/>
    <x v="2"/>
    <n v="1375"/>
  </r>
  <r>
    <n v="10694"/>
    <n v="70"/>
    <n v="15"/>
    <n v="50"/>
    <n v="0"/>
    <s v="Veronesi, Giorgio"/>
    <s v="Veronesi Giorgio"/>
    <x v="6"/>
    <s v="WA"/>
    <s v="Product TOONT"/>
    <x v="6"/>
    <x v="326"/>
    <d v="2007-10-09T00:00:00"/>
    <x v="3"/>
    <s v="Ship to 63-A"/>
    <x v="8"/>
    <s v="Supplier GQRCV"/>
    <s v="Australia"/>
    <x v="2"/>
    <n v="750"/>
  </r>
  <r>
    <n v="10695"/>
    <n v="8"/>
    <n v="40"/>
    <n v="10"/>
    <n v="0"/>
    <s v="Larsson, Katarina"/>
    <s v="Larsson Katarina"/>
    <x v="9"/>
    <n v="0"/>
    <s v="Product WVJFP"/>
    <x v="4"/>
    <x v="327"/>
    <d v="2007-10-14T00:00:00"/>
    <x v="2"/>
    <s v="Ship to 90-C"/>
    <x v="11"/>
    <s v="Supplier STUAZ"/>
    <s v="USA"/>
    <x v="1"/>
    <n v="400"/>
  </r>
  <r>
    <n v="10695"/>
    <n v="12"/>
    <n v="38"/>
    <n v="4"/>
    <n v="0"/>
    <s v="Larsson, Katarina"/>
    <s v="Larsson Katarina"/>
    <x v="9"/>
    <n v="0"/>
    <s v="Product OSFNS"/>
    <x v="0"/>
    <x v="327"/>
    <d v="2007-10-14T00:00:00"/>
    <x v="2"/>
    <s v="Ship to 90-C"/>
    <x v="11"/>
    <s v="Supplier EQPNC"/>
    <s v="Spain"/>
    <x v="1"/>
    <n v="152"/>
  </r>
  <r>
    <n v="10695"/>
    <n v="24"/>
    <n v="4.5"/>
    <n v="20"/>
    <n v="0"/>
    <s v="Larsson, Katarina"/>
    <s v="Larsson Katarina"/>
    <x v="9"/>
    <n v="0"/>
    <s v="Product QOGNU"/>
    <x v="6"/>
    <x v="327"/>
    <d v="2007-10-14T00:00:00"/>
    <x v="2"/>
    <s v="Ship to 90-C"/>
    <x v="11"/>
    <s v="Supplier UNAHG"/>
    <s v="Brazil"/>
    <x v="1"/>
    <n v="90"/>
  </r>
  <r>
    <n v="10696"/>
    <n v="17"/>
    <n v="39"/>
    <n v="20"/>
    <n v="0"/>
    <s v="Smith Jr., Ronaldo"/>
    <s v="Smith Jr. Ronaldo"/>
    <x v="6"/>
    <s v="WA"/>
    <s v="Product BLCAX"/>
    <x v="7"/>
    <x v="328"/>
    <d v="2007-10-14T00:00:00"/>
    <x v="3"/>
    <s v="Ship to 89-A"/>
    <x v="9"/>
    <s v="Supplier GQRCV"/>
    <s v="Australia"/>
    <x v="2"/>
    <n v="780"/>
  </r>
  <r>
    <n v="10696"/>
    <n v="46"/>
    <n v="12"/>
    <n v="18"/>
    <n v="0"/>
    <s v="Smith Jr., Ronaldo"/>
    <s v="Smith Jr. Ronaldo"/>
    <x v="6"/>
    <s v="WA"/>
    <s v="Product CBRRL"/>
    <x v="3"/>
    <x v="328"/>
    <d v="2007-10-14T00:00:00"/>
    <x v="3"/>
    <s v="Ship to 89-A"/>
    <x v="9"/>
    <s v="Supplier XOXZA"/>
    <s v="Denmark"/>
    <x v="2"/>
    <n v="216"/>
  </r>
  <r>
    <n v="10697"/>
    <n v="19"/>
    <n v="9.1999999999999993"/>
    <n v="7"/>
    <n v="0.25"/>
    <s v="Lupu, Cornel"/>
    <s v="Lupu Cornel"/>
    <x v="2"/>
    <s v="WA"/>
    <s v="Product XKXDO"/>
    <x v="5"/>
    <x v="328"/>
    <d v="2007-10-14T00:00:00"/>
    <x v="2"/>
    <s v="Ship to 47-B"/>
    <x v="5"/>
    <s v="Supplier BWGYE"/>
    <s v="UK"/>
    <x v="1"/>
    <n v="48.3"/>
  </r>
  <r>
    <n v="10697"/>
    <n v="35"/>
    <n v="18"/>
    <n v="9"/>
    <n v="0.25"/>
    <s v="Lupu, Cornel"/>
    <s v="Lupu Cornel"/>
    <x v="2"/>
    <s v="WA"/>
    <s v="Product NEVTJ"/>
    <x v="6"/>
    <x v="328"/>
    <d v="2007-10-14T00:00:00"/>
    <x v="2"/>
    <s v="Ship to 47-B"/>
    <x v="5"/>
    <s v="Supplier UHZRG"/>
    <s v="USA"/>
    <x v="1"/>
    <n v="121.5"/>
  </r>
  <r>
    <n v="10697"/>
    <n v="58"/>
    <n v="13.25"/>
    <n v="30"/>
    <n v="0.25"/>
    <s v="Lupu, Cornel"/>
    <s v="Lupu Cornel"/>
    <x v="2"/>
    <s v="WA"/>
    <s v="Product ACRVI"/>
    <x v="3"/>
    <x v="328"/>
    <d v="2007-10-14T00:00:00"/>
    <x v="2"/>
    <s v="Ship to 47-B"/>
    <x v="5"/>
    <s v="Supplier ZRYDZ"/>
    <s v="France"/>
    <x v="1"/>
    <n v="298.125"/>
  </r>
  <r>
    <n v="10697"/>
    <n v="70"/>
    <n v="15"/>
    <n v="30"/>
    <n v="0.25"/>
    <s v="Lupu, Cornel"/>
    <s v="Lupu Cornel"/>
    <x v="2"/>
    <s v="WA"/>
    <s v="Product TOONT"/>
    <x v="6"/>
    <x v="328"/>
    <d v="2007-10-14T00:00:00"/>
    <x v="2"/>
    <s v="Ship to 47-B"/>
    <x v="5"/>
    <s v="Supplier GQRCV"/>
    <s v="Australia"/>
    <x v="1"/>
    <n v="337.5"/>
  </r>
  <r>
    <n v="10698"/>
    <n v="11"/>
    <n v="21"/>
    <n v="15"/>
    <n v="0"/>
    <s v="Kane, John"/>
    <s v="Kane John"/>
    <x v="1"/>
    <s v="WA"/>
    <s v="Product QMVUN"/>
    <x v="0"/>
    <x v="329"/>
    <d v="2007-10-17T00:00:00"/>
    <x v="2"/>
    <s v="Destination RVDMF"/>
    <x v="6"/>
    <s v="Supplier EQPNC"/>
    <s v="Spain"/>
    <x v="2"/>
    <n v="315"/>
  </r>
  <r>
    <n v="10698"/>
    <n v="17"/>
    <n v="39"/>
    <n v="8"/>
    <n v="0.05"/>
    <s v="Kane, John"/>
    <s v="Kane John"/>
    <x v="1"/>
    <s v="WA"/>
    <s v="Product BLCAX"/>
    <x v="7"/>
    <x v="329"/>
    <d v="2007-10-17T00:00:00"/>
    <x v="2"/>
    <s v="Destination RVDMF"/>
    <x v="6"/>
    <s v="Supplier GQRCV"/>
    <s v="Australia"/>
    <x v="2"/>
    <n v="296.39999999999998"/>
  </r>
  <r>
    <n v="10698"/>
    <n v="29"/>
    <n v="123.79"/>
    <n v="12"/>
    <n v="0.05"/>
    <s v="Kane, John"/>
    <s v="Kane John"/>
    <x v="1"/>
    <s v="WA"/>
    <s v="Product VJXYN"/>
    <x v="7"/>
    <x v="329"/>
    <d v="2007-10-17T00:00:00"/>
    <x v="2"/>
    <s v="Destination RVDMF"/>
    <x v="6"/>
    <s v="Supplier SVIYA"/>
    <s v="Germany"/>
    <x v="2"/>
    <n v="1411.2059999999999"/>
  </r>
  <r>
    <n v="10698"/>
    <n v="65"/>
    <n v="21.05"/>
    <n v="65"/>
    <n v="0.05"/>
    <s v="Kane, John"/>
    <s v="Kane John"/>
    <x v="1"/>
    <s v="WA"/>
    <s v="Product XYWBZ"/>
    <x v="4"/>
    <x v="329"/>
    <d v="2007-10-17T00:00:00"/>
    <x v="2"/>
    <s v="Destination RVDMF"/>
    <x v="6"/>
    <s v="Supplier VHQZD"/>
    <s v="USA"/>
    <x v="2"/>
    <n v="1299.8374999999999"/>
  </r>
  <r>
    <n v="10698"/>
    <n v="70"/>
    <n v="15"/>
    <n v="8"/>
    <n v="0.05"/>
    <s v="Kane, John"/>
    <s v="Kane John"/>
    <x v="1"/>
    <s v="WA"/>
    <s v="Product TOONT"/>
    <x v="6"/>
    <x v="329"/>
    <d v="2007-10-17T00:00:00"/>
    <x v="2"/>
    <s v="Destination RVDMF"/>
    <x v="6"/>
    <s v="Supplier GQRCV"/>
    <s v="Australia"/>
    <x v="2"/>
    <n v="114"/>
  </r>
  <r>
    <n v="10699"/>
    <n v="47"/>
    <n v="9.5"/>
    <n v="12"/>
    <n v="0"/>
    <s v="Dupont-Roc, Patrice"/>
    <s v="Dupont-Roc Patrice"/>
    <x v="2"/>
    <s v="WA"/>
    <s v="Product EZZPR"/>
    <x v="5"/>
    <x v="329"/>
    <d v="2007-10-13T00:00:00"/>
    <x v="3"/>
    <s v="Ship to 52-B"/>
    <x v="8"/>
    <s v="Supplier FNUXM"/>
    <s v="Netherlands"/>
    <x v="1"/>
    <n v="114"/>
  </r>
  <r>
    <n v="10700"/>
    <n v="1"/>
    <n v="18"/>
    <n v="5"/>
    <n v="0.2"/>
    <s v="Navarro, Tomás"/>
    <s v="Navarro Tomás"/>
    <x v="2"/>
    <s v="WA"/>
    <s v="Product HHYDP"/>
    <x v="6"/>
    <x v="330"/>
    <d v="2007-10-16T00:00:00"/>
    <x v="2"/>
    <s v="Ship to 71-C"/>
    <x v="9"/>
    <s v="Supplier SWRXU"/>
    <s v="UK"/>
    <x v="1"/>
    <n v="72"/>
  </r>
  <r>
    <n v="10700"/>
    <n v="34"/>
    <n v="14"/>
    <n v="12"/>
    <n v="0.2"/>
    <s v="Navarro, Tomás"/>
    <s v="Navarro Tomás"/>
    <x v="2"/>
    <s v="WA"/>
    <s v="Product SWNJY"/>
    <x v="6"/>
    <x v="330"/>
    <d v="2007-10-16T00:00:00"/>
    <x v="2"/>
    <s v="Ship to 71-C"/>
    <x v="9"/>
    <s v="Supplier UHZRG"/>
    <s v="USA"/>
    <x v="1"/>
    <n v="134.4"/>
  </r>
  <r>
    <n v="10700"/>
    <n v="68"/>
    <n v="12.5"/>
    <n v="40"/>
    <n v="0.2"/>
    <s v="Navarro, Tomás"/>
    <s v="Navarro Tomás"/>
    <x v="2"/>
    <s v="WA"/>
    <s v="Product TBTBL"/>
    <x v="5"/>
    <x v="330"/>
    <d v="2007-10-16T00:00:00"/>
    <x v="2"/>
    <s v="Ship to 71-C"/>
    <x v="9"/>
    <s v="Supplier BWGYE"/>
    <s v="UK"/>
    <x v="1"/>
    <n v="400"/>
  </r>
  <r>
    <n v="10700"/>
    <n v="71"/>
    <n v="21.5"/>
    <n v="60"/>
    <n v="0.2"/>
    <s v="Navarro, Tomás"/>
    <s v="Navarro Tomás"/>
    <x v="2"/>
    <s v="WA"/>
    <s v="Product MYMOI"/>
    <x v="0"/>
    <x v="330"/>
    <d v="2007-10-16T00:00:00"/>
    <x v="2"/>
    <s v="Ship to 71-C"/>
    <x v="9"/>
    <s v="Supplier NZLIF"/>
    <s v="Norway"/>
    <x v="1"/>
    <n v="1032"/>
  </r>
  <r>
    <n v="10701"/>
    <n v="59"/>
    <n v="55"/>
    <n v="42"/>
    <n v="0.15"/>
    <s v="Crăciun, Ovidiu V."/>
    <s v="Crăciun Ovidiu V."/>
    <x v="7"/>
    <n v="0"/>
    <s v="Product UKXRI"/>
    <x v="0"/>
    <x v="331"/>
    <d v="2007-10-15T00:00:00"/>
    <x v="3"/>
    <s v="Destination KPVYJ"/>
    <x v="15"/>
    <s v="Supplier OAVQT"/>
    <s v="France"/>
    <x v="2"/>
    <n v="1963.5"/>
  </r>
  <r>
    <n v="10701"/>
    <n v="71"/>
    <n v="21.5"/>
    <n v="20"/>
    <n v="0.15"/>
    <s v="Crăciun, Ovidiu V."/>
    <s v="Crăciun Ovidiu V."/>
    <x v="7"/>
    <n v="0"/>
    <s v="Product MYMOI"/>
    <x v="0"/>
    <x v="331"/>
    <d v="2007-10-15T00:00:00"/>
    <x v="3"/>
    <s v="Destination KPVYJ"/>
    <x v="15"/>
    <s v="Supplier NZLIF"/>
    <s v="Norway"/>
    <x v="2"/>
    <n v="365.5"/>
  </r>
  <r>
    <n v="10701"/>
    <n v="76"/>
    <n v="18"/>
    <n v="35"/>
    <n v="0.15"/>
    <s v="Crăciun, Ovidiu V."/>
    <s v="Crăciun Ovidiu V."/>
    <x v="7"/>
    <n v="0"/>
    <s v="Product JYGFE"/>
    <x v="6"/>
    <x v="331"/>
    <d v="2007-10-15T00:00:00"/>
    <x v="3"/>
    <s v="Destination KPVYJ"/>
    <x v="15"/>
    <s v="Supplier ELCRN"/>
    <s v="Finland"/>
    <x v="2"/>
    <n v="535.5"/>
  </r>
  <r>
    <n v="10702"/>
    <n v="3"/>
    <n v="10"/>
    <n v="6"/>
    <n v="0"/>
    <s v="Allen, Michael"/>
    <s v="Allen Michael"/>
    <x v="1"/>
    <s v="WA"/>
    <s v="Product IMEHJ"/>
    <x v="4"/>
    <x v="331"/>
    <d v="2007-10-21T00:00:00"/>
    <x v="2"/>
    <s v="Destination ZELZJ"/>
    <x v="8"/>
    <s v="Supplier SWRXU"/>
    <s v="UK"/>
    <x v="1"/>
    <n v="60"/>
  </r>
  <r>
    <n v="10702"/>
    <n v="76"/>
    <n v="18"/>
    <n v="15"/>
    <n v="0"/>
    <s v="Allen, Michael"/>
    <s v="Allen Michael"/>
    <x v="1"/>
    <s v="WA"/>
    <s v="Product JYGFE"/>
    <x v="6"/>
    <x v="331"/>
    <d v="2007-10-21T00:00:00"/>
    <x v="2"/>
    <s v="Destination ZELZJ"/>
    <x v="8"/>
    <s v="Supplier ELCRN"/>
    <s v="Finland"/>
    <x v="1"/>
    <n v="270"/>
  </r>
  <r>
    <n v="10703"/>
    <n v="2"/>
    <n v="19"/>
    <n v="5"/>
    <n v="0"/>
    <s v="San Juan, Patricia"/>
    <s v="San Juan Patricia"/>
    <x v="7"/>
    <n v="0"/>
    <s v="Product RECZE"/>
    <x v="6"/>
    <x v="332"/>
    <d v="2007-10-20T00:00:00"/>
    <x v="1"/>
    <s v="Destination KBSBN"/>
    <x v="10"/>
    <s v="Supplier SWRXU"/>
    <s v="UK"/>
    <x v="2"/>
    <n v="95"/>
  </r>
  <r>
    <n v="10703"/>
    <n v="59"/>
    <n v="55"/>
    <n v="35"/>
    <n v="0"/>
    <s v="San Juan, Patricia"/>
    <s v="San Juan Patricia"/>
    <x v="7"/>
    <n v="0"/>
    <s v="Product UKXRI"/>
    <x v="0"/>
    <x v="332"/>
    <d v="2007-10-20T00:00:00"/>
    <x v="1"/>
    <s v="Destination KBSBN"/>
    <x v="10"/>
    <s v="Supplier OAVQT"/>
    <s v="France"/>
    <x v="2"/>
    <n v="1925"/>
  </r>
  <r>
    <n v="10703"/>
    <n v="73"/>
    <n v="15"/>
    <n v="35"/>
    <n v="0"/>
    <s v="San Juan, Patricia"/>
    <s v="San Juan Patricia"/>
    <x v="7"/>
    <n v="0"/>
    <s v="Product WEUJZ"/>
    <x v="3"/>
    <x v="332"/>
    <d v="2007-10-20T00:00:00"/>
    <x v="1"/>
    <s v="Destination KBSBN"/>
    <x v="10"/>
    <s v="Supplier QZGUF"/>
    <s v="Sweden"/>
    <x v="2"/>
    <n v="525"/>
  </r>
  <r>
    <n v="10704"/>
    <n v="4"/>
    <n v="22"/>
    <n v="6"/>
    <n v="0"/>
    <s v="Misiec, Anna"/>
    <s v="Misiec Anna"/>
    <x v="7"/>
    <n v="0"/>
    <s v="Product KSBRM"/>
    <x v="4"/>
    <x v="332"/>
    <d v="2007-11-07T00:00:00"/>
    <x v="2"/>
    <s v="Ship to 62-C"/>
    <x v="1"/>
    <s v="Supplier VHQZD"/>
    <s v="USA"/>
    <x v="1"/>
    <n v="132"/>
  </r>
  <r>
    <n v="10704"/>
    <n v="24"/>
    <n v="4.5"/>
    <n v="35"/>
    <n v="0"/>
    <s v="Misiec, Anna"/>
    <s v="Misiec Anna"/>
    <x v="7"/>
    <n v="0"/>
    <s v="Product QOGNU"/>
    <x v="6"/>
    <x v="332"/>
    <d v="2007-11-07T00:00:00"/>
    <x v="2"/>
    <s v="Ship to 62-C"/>
    <x v="1"/>
    <s v="Supplier UNAHG"/>
    <s v="Brazil"/>
    <x v="1"/>
    <n v="157.5"/>
  </r>
  <r>
    <n v="10704"/>
    <n v="48"/>
    <n v="12.75"/>
    <n v="24"/>
    <n v="0"/>
    <s v="Misiec, Anna"/>
    <s v="Misiec Anna"/>
    <x v="7"/>
    <n v="0"/>
    <s v="Product MYNXN"/>
    <x v="5"/>
    <x v="332"/>
    <d v="2007-11-07T00:00:00"/>
    <x v="2"/>
    <s v="Ship to 62-C"/>
    <x v="1"/>
    <s v="Supplier FNUXM"/>
    <s v="Netherlands"/>
    <x v="1"/>
    <n v="306"/>
  </r>
  <r>
    <n v="10705"/>
    <n v="31"/>
    <n v="12.5"/>
    <n v="20"/>
    <n v="0"/>
    <s v="Langohr, Kris"/>
    <s v="Langohr Kris"/>
    <x v="4"/>
    <n v="0"/>
    <s v="Product XWOXC"/>
    <x v="0"/>
    <x v="333"/>
    <d v="2007-11-18T00:00:00"/>
    <x v="1"/>
    <s v="Destination JYDLM"/>
    <x v="5"/>
    <s v="Supplier KEREV"/>
    <s v="Italy"/>
    <x v="1"/>
    <n v="250"/>
  </r>
  <r>
    <n v="10705"/>
    <n v="32"/>
    <n v="32"/>
    <n v="4"/>
    <n v="0"/>
    <s v="Langohr, Kris"/>
    <s v="Langohr Kris"/>
    <x v="4"/>
    <n v="0"/>
    <s v="Product NUNAW"/>
    <x v="0"/>
    <x v="333"/>
    <d v="2007-11-18T00:00:00"/>
    <x v="1"/>
    <s v="Destination JYDLM"/>
    <x v="5"/>
    <s v="Supplier KEREV"/>
    <s v="Italy"/>
    <x v="1"/>
    <n v="128"/>
  </r>
  <r>
    <n v="10706"/>
    <n v="16"/>
    <n v="17.45"/>
    <n v="20"/>
    <n v="0"/>
    <s v="Egelund-Muller, Anja"/>
    <s v="Egelund-Muller Anja"/>
    <x v="6"/>
    <s v="WA"/>
    <s v="Product PAFRH"/>
    <x v="5"/>
    <x v="334"/>
    <d v="2007-10-21T00:00:00"/>
    <x v="3"/>
    <s v="Ship to 55-C"/>
    <x v="9"/>
    <s v="Supplier GQRCV"/>
    <s v="Australia"/>
    <x v="2"/>
    <n v="349"/>
  </r>
  <r>
    <n v="10706"/>
    <n v="43"/>
    <n v="46"/>
    <n v="24"/>
    <n v="0"/>
    <s v="Egelund-Muller, Anja"/>
    <s v="Egelund-Muller Anja"/>
    <x v="6"/>
    <s v="WA"/>
    <s v="Product ZZZHR"/>
    <x v="6"/>
    <x v="334"/>
    <d v="2007-10-21T00:00:00"/>
    <x v="3"/>
    <s v="Ship to 55-C"/>
    <x v="9"/>
    <s v="Supplier CIYNM"/>
    <s v="Singapore"/>
    <x v="2"/>
    <n v="1104"/>
  </r>
  <r>
    <n v="10706"/>
    <n v="59"/>
    <n v="55"/>
    <n v="8"/>
    <n v="0"/>
    <s v="Egelund-Muller, Anja"/>
    <s v="Egelund-Muller Anja"/>
    <x v="6"/>
    <s v="WA"/>
    <s v="Product UKXRI"/>
    <x v="0"/>
    <x v="334"/>
    <d v="2007-10-21T00:00:00"/>
    <x v="3"/>
    <s v="Ship to 55-C"/>
    <x v="9"/>
    <s v="Supplier OAVQT"/>
    <s v="France"/>
    <x v="2"/>
    <n v="440"/>
  </r>
  <r>
    <n v="10707"/>
    <n v="55"/>
    <n v="24"/>
    <n v="21"/>
    <n v="0"/>
    <s v="Arndt, Torsten"/>
    <s v="Arndt Torsten"/>
    <x v="1"/>
    <s v="WA"/>
    <s v="Product YYWRT"/>
    <x v="7"/>
    <x v="334"/>
    <d v="2007-10-23T00:00:00"/>
    <x v="3"/>
    <s v="Ship to 4-A"/>
    <x v="14"/>
    <s v="Supplier ERVYZ"/>
    <s v="Canada"/>
    <x v="1"/>
    <n v="504"/>
  </r>
  <r>
    <n v="10707"/>
    <n v="57"/>
    <n v="19.5"/>
    <n v="40"/>
    <n v="0"/>
    <s v="Arndt, Torsten"/>
    <s v="Arndt Torsten"/>
    <x v="1"/>
    <s v="WA"/>
    <s v="Product OVLQI"/>
    <x v="1"/>
    <x v="334"/>
    <d v="2007-10-23T00:00:00"/>
    <x v="3"/>
    <s v="Ship to 4-A"/>
    <x v="14"/>
    <s v="Supplier ZWZDM"/>
    <s v="Italy"/>
    <x v="1"/>
    <n v="780"/>
  </r>
  <r>
    <n v="10707"/>
    <n v="70"/>
    <n v="15"/>
    <n v="28"/>
    <n v="0.15"/>
    <s v="Arndt, Torsten"/>
    <s v="Arndt Torsten"/>
    <x v="1"/>
    <s v="WA"/>
    <s v="Product TOONT"/>
    <x v="6"/>
    <x v="334"/>
    <d v="2007-10-23T00:00:00"/>
    <x v="3"/>
    <s v="Ship to 4-A"/>
    <x v="14"/>
    <s v="Supplier GQRCV"/>
    <s v="Australia"/>
    <x v="1"/>
    <n v="357"/>
  </r>
  <r>
    <n v="10708"/>
    <n v="5"/>
    <n v="21.35"/>
    <n v="4"/>
    <n v="0"/>
    <s v="Osorio, Cristian"/>
    <s v="Osorio Cristian"/>
    <x v="7"/>
    <n v="0"/>
    <s v="Product EPEIM"/>
    <x v="4"/>
    <x v="335"/>
    <d v="2007-11-05T00:00:00"/>
    <x v="1"/>
    <s v="Ship to 77-C"/>
    <x v="9"/>
    <s v="Supplier VHQZD"/>
    <s v="USA"/>
    <x v="1"/>
    <n v="85.4"/>
  </r>
  <r>
    <n v="10708"/>
    <n v="36"/>
    <n v="19"/>
    <n v="5"/>
    <n v="0"/>
    <s v="Osorio, Cristian"/>
    <s v="Osorio Cristian"/>
    <x v="7"/>
    <n v="0"/>
    <s v="Product GMKIJ"/>
    <x v="3"/>
    <x v="335"/>
    <d v="2007-11-05T00:00:00"/>
    <x v="1"/>
    <s v="Ship to 77-C"/>
    <x v="9"/>
    <s v="Supplier QZGUF"/>
    <s v="Sweden"/>
    <x v="1"/>
    <n v="95"/>
  </r>
  <r>
    <n v="10709"/>
    <n v="8"/>
    <n v="40"/>
    <n v="40"/>
    <n v="0"/>
    <s v="Cheng, Yao-Qiang"/>
    <s v="Cheng Yao-Qiang"/>
    <x v="5"/>
    <s v="WA"/>
    <s v="Product WVJFP"/>
    <x v="4"/>
    <x v="335"/>
    <d v="2007-11-20T00:00:00"/>
    <x v="3"/>
    <s v="Destination GWPFK"/>
    <x v="1"/>
    <s v="Supplier STUAZ"/>
    <s v="USA"/>
    <x v="2"/>
    <n v="1600"/>
  </r>
  <r>
    <n v="10709"/>
    <n v="51"/>
    <n v="53"/>
    <n v="28"/>
    <n v="0"/>
    <s v="Cheng, Yao-Qiang"/>
    <s v="Cheng Yao-Qiang"/>
    <x v="5"/>
    <s v="WA"/>
    <s v="Product APITJ"/>
    <x v="2"/>
    <x v="335"/>
    <d v="2007-11-20T00:00:00"/>
    <x v="3"/>
    <s v="Destination GWPFK"/>
    <x v="1"/>
    <s v="Supplier JNNES"/>
    <s v="Australia"/>
    <x v="2"/>
    <n v="1484"/>
  </r>
  <r>
    <n v="10709"/>
    <n v="60"/>
    <n v="34"/>
    <n v="10"/>
    <n v="0"/>
    <s v="Cheng, Yao-Qiang"/>
    <s v="Cheng Yao-Qiang"/>
    <x v="5"/>
    <s v="WA"/>
    <s v="Product WHBYK"/>
    <x v="0"/>
    <x v="335"/>
    <d v="2007-11-20T00:00:00"/>
    <x v="3"/>
    <s v="Destination GWPFK"/>
    <x v="1"/>
    <s v="Supplier OAVQT"/>
    <s v="France"/>
    <x v="2"/>
    <n v="340"/>
  </r>
  <r>
    <n v="10710"/>
    <n v="19"/>
    <n v="9.1999999999999993"/>
    <n v="5"/>
    <n v="0"/>
    <s v="Schmöllerl, Martin"/>
    <s v="Schmöllerl Martin"/>
    <x v="5"/>
    <s v="WA"/>
    <s v="Product XKXDO"/>
    <x v="5"/>
    <x v="336"/>
    <d v="2007-10-23T00:00:00"/>
    <x v="2"/>
    <s v="Destination FFLQT"/>
    <x v="12"/>
    <s v="Supplier BWGYE"/>
    <s v="UK"/>
    <x v="1"/>
    <n v="46"/>
  </r>
  <r>
    <n v="10710"/>
    <n v="47"/>
    <n v="9.5"/>
    <n v="5"/>
    <n v="0"/>
    <s v="Schmöllerl, Martin"/>
    <s v="Schmöllerl Martin"/>
    <x v="5"/>
    <s v="WA"/>
    <s v="Product EZZPR"/>
    <x v="5"/>
    <x v="336"/>
    <d v="2007-10-23T00:00:00"/>
    <x v="2"/>
    <s v="Destination FFLQT"/>
    <x v="12"/>
    <s v="Supplier FNUXM"/>
    <s v="Netherlands"/>
    <x v="1"/>
    <n v="47.5"/>
  </r>
  <r>
    <n v="10711"/>
    <n v="19"/>
    <n v="9.1999999999999993"/>
    <n v="12"/>
    <n v="0"/>
    <s v="Navarro, Tomás"/>
    <s v="Navarro Tomás"/>
    <x v="3"/>
    <n v="0"/>
    <s v="Product XKXDO"/>
    <x v="5"/>
    <x v="337"/>
    <d v="2007-10-29T00:00:00"/>
    <x v="1"/>
    <s v="Ship to 71-A"/>
    <x v="9"/>
    <s v="Supplier BWGYE"/>
    <s v="UK"/>
    <x v="1"/>
    <n v="110.39999999999999"/>
  </r>
  <r>
    <n v="10711"/>
    <n v="41"/>
    <n v="9.65"/>
    <n v="42"/>
    <n v="0"/>
    <s v="Navarro, Tomás"/>
    <s v="Navarro Tomás"/>
    <x v="3"/>
    <n v="0"/>
    <s v="Product TTEEX"/>
    <x v="3"/>
    <x v="337"/>
    <d v="2007-10-29T00:00:00"/>
    <x v="1"/>
    <s v="Ship to 71-A"/>
    <x v="9"/>
    <s v="Supplier JDNUG"/>
    <s v="USA"/>
    <x v="1"/>
    <n v="405.3"/>
  </r>
  <r>
    <n v="10711"/>
    <n v="53"/>
    <n v="32.799999999999997"/>
    <n v="120"/>
    <n v="0"/>
    <s v="Navarro, Tomás"/>
    <s v="Navarro Tomás"/>
    <x v="3"/>
    <n v="0"/>
    <s v="Product BKGEA"/>
    <x v="7"/>
    <x v="337"/>
    <d v="2007-10-29T00:00:00"/>
    <x v="1"/>
    <s v="Ship to 71-A"/>
    <x v="9"/>
    <s v="Supplier JNNES"/>
    <s v="Australia"/>
    <x v="1"/>
    <n v="3935.9999999999995"/>
  </r>
  <r>
    <n v="10712"/>
    <n v="53"/>
    <n v="32.799999999999997"/>
    <n v="3"/>
    <n v="0.05"/>
    <s v="Crăciun, Ovidiu V."/>
    <s v="Crăciun Ovidiu V."/>
    <x v="2"/>
    <s v="WA"/>
    <s v="Product BKGEA"/>
    <x v="7"/>
    <x v="337"/>
    <d v="2007-10-31T00:00:00"/>
    <x v="2"/>
    <s v="Destination KPVYJ"/>
    <x v="15"/>
    <s v="Supplier JNNES"/>
    <s v="Australia"/>
    <x v="1"/>
    <n v="93.47999999999999"/>
  </r>
  <r>
    <n v="10712"/>
    <n v="56"/>
    <n v="38"/>
    <n v="30"/>
    <n v="0"/>
    <s v="Crăciun, Ovidiu V."/>
    <s v="Crăciun Ovidiu V."/>
    <x v="2"/>
    <s v="WA"/>
    <s v="Product VKCMF"/>
    <x v="1"/>
    <x v="337"/>
    <d v="2007-10-31T00:00:00"/>
    <x v="2"/>
    <s v="Destination KPVYJ"/>
    <x v="15"/>
    <s v="Supplier ZWZDM"/>
    <s v="Italy"/>
    <x v="1"/>
    <n v="1140"/>
  </r>
  <r>
    <n v="10713"/>
    <n v="10"/>
    <n v="31"/>
    <n v="18"/>
    <n v="0"/>
    <s v="Navarro, Tomás"/>
    <s v="Navarro Tomás"/>
    <x v="5"/>
    <s v="WA"/>
    <s v="Product YHXGE"/>
    <x v="3"/>
    <x v="338"/>
    <d v="2007-10-24T00:00:00"/>
    <x v="2"/>
    <s v="Ship to 71-C"/>
    <x v="9"/>
    <s v="Supplier QOVFD"/>
    <s v="Japan"/>
    <x v="2"/>
    <n v="558"/>
  </r>
  <r>
    <n v="10713"/>
    <n v="26"/>
    <n v="31.23"/>
    <n v="30"/>
    <n v="0"/>
    <s v="Navarro, Tomás"/>
    <s v="Navarro Tomás"/>
    <x v="5"/>
    <s v="WA"/>
    <s v="Product HLGZA"/>
    <x v="5"/>
    <x v="338"/>
    <d v="2007-10-24T00:00:00"/>
    <x v="2"/>
    <s v="Ship to 71-C"/>
    <x v="9"/>
    <s v="Supplier ZPYVS"/>
    <s v="Germany"/>
    <x v="2"/>
    <n v="936.9"/>
  </r>
  <r>
    <n v="10713"/>
    <n v="45"/>
    <n v="9.5"/>
    <n v="110"/>
    <n v="0"/>
    <s v="Navarro, Tomás"/>
    <s v="Navarro Tomás"/>
    <x v="5"/>
    <s v="WA"/>
    <s v="Product AQOKR"/>
    <x v="3"/>
    <x v="338"/>
    <d v="2007-10-24T00:00:00"/>
    <x v="2"/>
    <s v="Ship to 71-C"/>
    <x v="9"/>
    <s v="Supplier XOXZA"/>
    <s v="Denmark"/>
    <x v="2"/>
    <n v="1045"/>
  </r>
  <r>
    <n v="10713"/>
    <n v="46"/>
    <n v="12"/>
    <n v="24"/>
    <n v="0"/>
    <s v="Navarro, Tomás"/>
    <s v="Navarro Tomás"/>
    <x v="5"/>
    <s v="WA"/>
    <s v="Product CBRRL"/>
    <x v="3"/>
    <x v="338"/>
    <d v="2007-10-24T00:00:00"/>
    <x v="2"/>
    <s v="Ship to 71-C"/>
    <x v="9"/>
    <s v="Supplier XOXZA"/>
    <s v="Denmark"/>
    <x v="2"/>
    <n v="288"/>
  </r>
  <r>
    <n v="10714"/>
    <n v="2"/>
    <n v="19"/>
    <n v="30"/>
    <n v="0.25"/>
    <s v="Navarro, Tomás"/>
    <s v="Navarro Tomás"/>
    <x v="3"/>
    <n v="0"/>
    <s v="Product RECZE"/>
    <x v="6"/>
    <x v="338"/>
    <d v="2007-10-27T00:00:00"/>
    <x v="3"/>
    <s v="Ship to 71-A"/>
    <x v="9"/>
    <s v="Supplier SWRXU"/>
    <s v="UK"/>
    <x v="1"/>
    <n v="427.5"/>
  </r>
  <r>
    <n v="10714"/>
    <n v="17"/>
    <n v="39"/>
    <n v="27"/>
    <n v="0.25"/>
    <s v="Navarro, Tomás"/>
    <s v="Navarro Tomás"/>
    <x v="3"/>
    <n v="0"/>
    <s v="Product BLCAX"/>
    <x v="7"/>
    <x v="338"/>
    <d v="2007-10-27T00:00:00"/>
    <x v="3"/>
    <s v="Ship to 71-A"/>
    <x v="9"/>
    <s v="Supplier GQRCV"/>
    <s v="Australia"/>
    <x v="1"/>
    <n v="789.75"/>
  </r>
  <r>
    <n v="10714"/>
    <n v="47"/>
    <n v="9.5"/>
    <n v="50"/>
    <n v="0.25"/>
    <s v="Navarro, Tomás"/>
    <s v="Navarro Tomás"/>
    <x v="3"/>
    <n v="0"/>
    <s v="Product EZZPR"/>
    <x v="5"/>
    <x v="338"/>
    <d v="2007-10-27T00:00:00"/>
    <x v="3"/>
    <s v="Ship to 71-A"/>
    <x v="9"/>
    <s v="Supplier FNUXM"/>
    <s v="Netherlands"/>
    <x v="1"/>
    <n v="356.25"/>
  </r>
  <r>
    <n v="10714"/>
    <n v="56"/>
    <n v="38"/>
    <n v="18"/>
    <n v="0.25"/>
    <s v="Navarro, Tomás"/>
    <s v="Navarro Tomás"/>
    <x v="3"/>
    <n v="0"/>
    <s v="Product VKCMF"/>
    <x v="1"/>
    <x v="338"/>
    <d v="2007-10-27T00:00:00"/>
    <x v="3"/>
    <s v="Ship to 71-A"/>
    <x v="9"/>
    <s v="Supplier ZWZDM"/>
    <s v="Italy"/>
    <x v="1"/>
    <n v="513"/>
  </r>
  <r>
    <n v="10714"/>
    <n v="58"/>
    <n v="13.25"/>
    <n v="12"/>
    <n v="0.25"/>
    <s v="Navarro, Tomás"/>
    <s v="Navarro Tomás"/>
    <x v="3"/>
    <n v="0"/>
    <s v="Product ACRVI"/>
    <x v="3"/>
    <x v="338"/>
    <d v="2007-10-27T00:00:00"/>
    <x v="3"/>
    <s v="Ship to 71-A"/>
    <x v="9"/>
    <s v="Supplier ZRYDZ"/>
    <s v="France"/>
    <x v="1"/>
    <n v="119.25"/>
  </r>
  <r>
    <n v="10715"/>
    <n v="10"/>
    <n v="31"/>
    <n v="21"/>
    <n v="0"/>
    <s v="Raghav, Amritansh"/>
    <s v="Raghav Amritansh"/>
    <x v="2"/>
    <s v="WA"/>
    <s v="Product YHXGE"/>
    <x v="3"/>
    <x v="339"/>
    <d v="2007-10-29T00:00:00"/>
    <x v="2"/>
    <s v="Ship to 9-B"/>
    <x v="2"/>
    <s v="Supplier QOVFD"/>
    <s v="Japan"/>
    <x v="1"/>
    <n v="651"/>
  </r>
  <r>
    <n v="10715"/>
    <n v="71"/>
    <n v="21.5"/>
    <n v="30"/>
    <n v="0"/>
    <s v="Raghav, Amritansh"/>
    <s v="Raghav Amritansh"/>
    <x v="2"/>
    <s v="WA"/>
    <s v="Product MYMOI"/>
    <x v="0"/>
    <x v="339"/>
    <d v="2007-10-29T00:00:00"/>
    <x v="2"/>
    <s v="Ship to 9-B"/>
    <x v="2"/>
    <s v="Supplier NZLIF"/>
    <s v="Norway"/>
    <x v="1"/>
    <n v="645"/>
  </r>
  <r>
    <n v="10716"/>
    <n v="21"/>
    <n v="10"/>
    <n v="5"/>
    <n v="0"/>
    <s v="Gaffney, Lawrie"/>
    <s v="Gaffney Lawrie"/>
    <x v="1"/>
    <s v="WA"/>
    <s v="Product VJZZH"/>
    <x v="5"/>
    <x v="340"/>
    <d v="2007-10-27T00:00:00"/>
    <x v="1"/>
    <s v="Ship to 64-B"/>
    <x v="21"/>
    <s v="Supplier BWGYE"/>
    <s v="UK"/>
    <x v="1"/>
    <n v="50"/>
  </r>
  <r>
    <n v="10716"/>
    <n v="51"/>
    <n v="53"/>
    <n v="7"/>
    <n v="0"/>
    <s v="Gaffney, Lawrie"/>
    <s v="Gaffney Lawrie"/>
    <x v="1"/>
    <s v="WA"/>
    <s v="Product APITJ"/>
    <x v="2"/>
    <x v="340"/>
    <d v="2007-10-27T00:00:00"/>
    <x v="1"/>
    <s v="Ship to 64-B"/>
    <x v="21"/>
    <s v="Supplier JNNES"/>
    <s v="Australia"/>
    <x v="1"/>
    <n v="371"/>
  </r>
  <r>
    <n v="10716"/>
    <n v="61"/>
    <n v="28.5"/>
    <n v="10"/>
    <n v="0"/>
    <s v="Gaffney, Lawrie"/>
    <s v="Gaffney Lawrie"/>
    <x v="1"/>
    <s v="WA"/>
    <s v="Product XYZPE"/>
    <x v="4"/>
    <x v="340"/>
    <d v="2007-10-27T00:00:00"/>
    <x v="1"/>
    <s v="Ship to 64-B"/>
    <x v="21"/>
    <s v="Supplier OGLRK"/>
    <s v="Canada"/>
    <x v="1"/>
    <n v="285"/>
  </r>
  <r>
    <n v="10717"/>
    <n v="21"/>
    <n v="10"/>
    <n v="32"/>
    <n v="0.05"/>
    <s v="Carlson, Jason"/>
    <s v="Carlson Jason"/>
    <x v="5"/>
    <s v="WA"/>
    <s v="Product VJZZH"/>
    <x v="5"/>
    <x v="340"/>
    <d v="2007-10-29T00:00:00"/>
    <x v="1"/>
    <s v="Destination QOCBL"/>
    <x v="8"/>
    <s v="Supplier BWGYE"/>
    <s v="UK"/>
    <x v="1"/>
    <n v="304"/>
  </r>
  <r>
    <n v="10717"/>
    <n v="54"/>
    <n v="7.45"/>
    <n v="15"/>
    <n v="0"/>
    <s v="Carlson, Jason"/>
    <s v="Carlson Jason"/>
    <x v="5"/>
    <s v="WA"/>
    <s v="Product QAQRL"/>
    <x v="7"/>
    <x v="340"/>
    <d v="2007-10-29T00:00:00"/>
    <x v="1"/>
    <s v="Destination QOCBL"/>
    <x v="8"/>
    <s v="Supplier ERVYZ"/>
    <s v="Canada"/>
    <x v="1"/>
    <n v="111.75"/>
  </r>
  <r>
    <n v="10717"/>
    <n v="69"/>
    <n v="36"/>
    <n v="25"/>
    <n v="0.05"/>
    <s v="Carlson, Jason"/>
    <s v="Carlson Jason"/>
    <x v="5"/>
    <s v="WA"/>
    <s v="Product COAXA"/>
    <x v="0"/>
    <x v="340"/>
    <d v="2007-10-29T00:00:00"/>
    <x v="1"/>
    <s v="Destination QOCBL"/>
    <x v="8"/>
    <s v="Supplier NZLIF"/>
    <s v="Norway"/>
    <x v="1"/>
    <n v="855"/>
  </r>
  <r>
    <n v="10718"/>
    <n v="12"/>
    <n v="38"/>
    <n v="36"/>
    <n v="0"/>
    <s v="Song, Lolan"/>
    <s v="Song Lolan"/>
    <x v="5"/>
    <s v="WA"/>
    <s v="Product OSFNS"/>
    <x v="0"/>
    <x v="341"/>
    <d v="2007-10-29T00:00:00"/>
    <x v="3"/>
    <s v="Destination DKMQA"/>
    <x v="8"/>
    <s v="Supplier EQPNC"/>
    <s v="Spain"/>
    <x v="2"/>
    <n v="1368"/>
  </r>
  <r>
    <n v="10718"/>
    <n v="16"/>
    <n v="17.45"/>
    <n v="20"/>
    <n v="0"/>
    <s v="Song, Lolan"/>
    <s v="Song Lolan"/>
    <x v="5"/>
    <s v="WA"/>
    <s v="Product PAFRH"/>
    <x v="5"/>
    <x v="341"/>
    <d v="2007-10-29T00:00:00"/>
    <x v="3"/>
    <s v="Destination DKMQA"/>
    <x v="8"/>
    <s v="Supplier GQRCV"/>
    <s v="Australia"/>
    <x v="2"/>
    <n v="349"/>
  </r>
  <r>
    <n v="10718"/>
    <n v="36"/>
    <n v="19"/>
    <n v="40"/>
    <n v="0"/>
    <s v="Song, Lolan"/>
    <s v="Song Lolan"/>
    <x v="5"/>
    <s v="WA"/>
    <s v="Product GMKIJ"/>
    <x v="3"/>
    <x v="341"/>
    <d v="2007-10-29T00:00:00"/>
    <x v="3"/>
    <s v="Destination DKMQA"/>
    <x v="8"/>
    <s v="Supplier QZGUF"/>
    <s v="Sweden"/>
    <x v="2"/>
    <n v="760"/>
  </r>
  <r>
    <n v="10718"/>
    <n v="62"/>
    <n v="49.3"/>
    <n v="20"/>
    <n v="0"/>
    <s v="Song, Lolan"/>
    <s v="Song Lolan"/>
    <x v="5"/>
    <s v="WA"/>
    <s v="Product WUXYK"/>
    <x v="5"/>
    <x v="341"/>
    <d v="2007-10-29T00:00:00"/>
    <x v="3"/>
    <s v="Destination DKMQA"/>
    <x v="8"/>
    <s v="Supplier OGLRK"/>
    <s v="Canada"/>
    <x v="2"/>
    <n v="986"/>
  </r>
  <r>
    <n v="10719"/>
    <n v="18"/>
    <n v="62.5"/>
    <n v="12"/>
    <n v="0.25"/>
    <s v="Sunkammurali, Krishna"/>
    <s v="Sunkammurali Krishna"/>
    <x v="6"/>
    <s v="WA"/>
    <s v="Product CKEDC"/>
    <x v="3"/>
    <x v="341"/>
    <d v="2007-11-05T00:00:00"/>
    <x v="1"/>
    <s v="Ship to 45-A"/>
    <x v="9"/>
    <s v="Supplier GQRCV"/>
    <s v="Australia"/>
    <x v="1"/>
    <n v="562.5"/>
  </r>
  <r>
    <n v="10719"/>
    <n v="30"/>
    <n v="25.89"/>
    <n v="3"/>
    <n v="0.25"/>
    <s v="Sunkammurali, Krishna"/>
    <s v="Sunkammurali Krishna"/>
    <x v="6"/>
    <s v="WA"/>
    <s v="Product LYERX"/>
    <x v="3"/>
    <x v="341"/>
    <d v="2007-11-05T00:00:00"/>
    <x v="1"/>
    <s v="Ship to 45-A"/>
    <x v="9"/>
    <s v="Supplier TEGSC"/>
    <s v="Germany"/>
    <x v="1"/>
    <n v="58.252499999999998"/>
  </r>
  <r>
    <n v="10719"/>
    <n v="54"/>
    <n v="7.45"/>
    <n v="40"/>
    <n v="0.25"/>
    <s v="Sunkammurali, Krishna"/>
    <s v="Sunkammurali Krishna"/>
    <x v="6"/>
    <s v="WA"/>
    <s v="Product QAQRL"/>
    <x v="7"/>
    <x v="341"/>
    <d v="2007-11-05T00:00:00"/>
    <x v="1"/>
    <s v="Ship to 45-A"/>
    <x v="9"/>
    <s v="Supplier ERVYZ"/>
    <s v="Canada"/>
    <x v="1"/>
    <n v="223.5"/>
  </r>
  <r>
    <n v="10720"/>
    <n v="35"/>
    <n v="18"/>
    <n v="21"/>
    <n v="0"/>
    <s v="Florczyk, Krzysztof"/>
    <s v="Florczyk Krzysztof"/>
    <x v="6"/>
    <s v="WA"/>
    <s v="Product NEVTJ"/>
    <x v="6"/>
    <x v="342"/>
    <d v="2007-11-05T00:00:00"/>
    <x v="1"/>
    <s v="Ship to 61-C"/>
    <x v="1"/>
    <s v="Supplier UHZRG"/>
    <s v="USA"/>
    <x v="1"/>
    <n v="378"/>
  </r>
  <r>
    <n v="10720"/>
    <n v="71"/>
    <n v="21.5"/>
    <n v="8"/>
    <n v="0"/>
    <s v="Florczyk, Krzysztof"/>
    <s v="Florczyk Krzysztof"/>
    <x v="6"/>
    <s v="WA"/>
    <s v="Product MYMOI"/>
    <x v="0"/>
    <x v="342"/>
    <d v="2007-11-05T00:00:00"/>
    <x v="1"/>
    <s v="Ship to 61-C"/>
    <x v="1"/>
    <s v="Supplier NZLIF"/>
    <s v="Norway"/>
    <x v="1"/>
    <n v="172"/>
  </r>
  <r>
    <n v="10721"/>
    <n v="44"/>
    <n v="19.45"/>
    <n v="50"/>
    <n v="0.05"/>
    <s v="Veronesi, Giorgio"/>
    <s v="Veronesi Giorgio"/>
    <x v="3"/>
    <n v="0"/>
    <s v="Product VJIEO"/>
    <x v="4"/>
    <x v="343"/>
    <d v="2007-10-31T00:00:00"/>
    <x v="3"/>
    <s v="Ship to 63-A"/>
    <x v="8"/>
    <s v="Supplier CIYNM"/>
    <s v="Singapore"/>
    <x v="1"/>
    <n v="923.875"/>
  </r>
  <r>
    <n v="10722"/>
    <n v="2"/>
    <n v="19"/>
    <n v="3"/>
    <n v="0"/>
    <s v="Navarro, Tomás"/>
    <s v="Navarro Tomás"/>
    <x v="6"/>
    <s v="WA"/>
    <s v="Product RECZE"/>
    <x v="6"/>
    <x v="343"/>
    <d v="2007-11-04T00:00:00"/>
    <x v="2"/>
    <s v="Ship to 71-A"/>
    <x v="9"/>
    <s v="Supplier SWRXU"/>
    <s v="UK"/>
    <x v="1"/>
    <n v="57"/>
  </r>
  <r>
    <n v="10722"/>
    <n v="31"/>
    <n v="12.5"/>
    <n v="50"/>
    <n v="0"/>
    <s v="Navarro, Tomás"/>
    <s v="Navarro Tomás"/>
    <x v="6"/>
    <s v="WA"/>
    <s v="Product XWOXC"/>
    <x v="0"/>
    <x v="343"/>
    <d v="2007-11-04T00:00:00"/>
    <x v="2"/>
    <s v="Ship to 71-A"/>
    <x v="9"/>
    <s v="Supplier KEREV"/>
    <s v="Italy"/>
    <x v="1"/>
    <n v="625"/>
  </r>
  <r>
    <n v="10722"/>
    <n v="68"/>
    <n v="12.5"/>
    <n v="45"/>
    <n v="0"/>
    <s v="Navarro, Tomás"/>
    <s v="Navarro Tomás"/>
    <x v="6"/>
    <s v="WA"/>
    <s v="Product TBTBL"/>
    <x v="5"/>
    <x v="343"/>
    <d v="2007-11-04T00:00:00"/>
    <x v="2"/>
    <s v="Ship to 71-A"/>
    <x v="9"/>
    <s v="Supplier BWGYE"/>
    <s v="UK"/>
    <x v="1"/>
    <n v="562.5"/>
  </r>
  <r>
    <n v="10722"/>
    <n v="75"/>
    <n v="7.75"/>
    <n v="42"/>
    <n v="0"/>
    <s v="Navarro, Tomás"/>
    <s v="Navarro Tomás"/>
    <x v="6"/>
    <s v="WA"/>
    <s v="Product BWRLG"/>
    <x v="6"/>
    <x v="343"/>
    <d v="2007-11-04T00:00:00"/>
    <x v="2"/>
    <s v="Ship to 71-A"/>
    <x v="9"/>
    <s v="Supplier SVIYA"/>
    <s v="Germany"/>
    <x v="1"/>
    <n v="325.5"/>
  </r>
  <r>
    <n v="10723"/>
    <n v="26"/>
    <n v="31.23"/>
    <n v="15"/>
    <n v="0"/>
    <s v="Smith Jr., Ronaldo"/>
    <s v="Smith Jr. Ronaldo"/>
    <x v="2"/>
    <s v="WA"/>
    <s v="Product HLGZA"/>
    <x v="5"/>
    <x v="344"/>
    <d v="2007-11-25T00:00:00"/>
    <x v="2"/>
    <s v="Ship to 89-C"/>
    <x v="9"/>
    <s v="Supplier ZPYVS"/>
    <s v="Germany"/>
    <x v="1"/>
    <n v="468.45"/>
  </r>
  <r>
    <n v="10724"/>
    <n v="10"/>
    <n v="31"/>
    <n v="16"/>
    <n v="0"/>
    <s v="Taylor, Maurice"/>
    <s v="Taylor Maurice"/>
    <x v="6"/>
    <s v="WA"/>
    <s v="Product YHXGE"/>
    <x v="3"/>
    <x v="344"/>
    <d v="2007-11-05T00:00:00"/>
    <x v="1"/>
    <s v="Ship to 51-A"/>
    <x v="17"/>
    <s v="Supplier QOVFD"/>
    <s v="Japan"/>
    <x v="1"/>
    <n v="496"/>
  </r>
  <r>
    <n v="10724"/>
    <n v="61"/>
    <n v="28.5"/>
    <n v="5"/>
    <n v="0"/>
    <s v="Taylor, Maurice"/>
    <s v="Taylor Maurice"/>
    <x v="6"/>
    <s v="WA"/>
    <s v="Product XYZPE"/>
    <x v="4"/>
    <x v="344"/>
    <d v="2007-11-05T00:00:00"/>
    <x v="1"/>
    <s v="Ship to 51-A"/>
    <x v="17"/>
    <s v="Supplier OGLRK"/>
    <s v="Canada"/>
    <x v="1"/>
    <n v="142.5"/>
  </r>
  <r>
    <n v="10725"/>
    <n v="41"/>
    <n v="9.65"/>
    <n v="12"/>
    <n v="0"/>
    <s v="Russo, Giuseppe"/>
    <s v="Russo Giuseppe"/>
    <x v="1"/>
    <s v="WA"/>
    <s v="Product TTEEX"/>
    <x v="3"/>
    <x v="345"/>
    <d v="2007-11-05T00:00:00"/>
    <x v="3"/>
    <s v="Destination KKELL"/>
    <x v="1"/>
    <s v="Supplier JDNUG"/>
    <s v="USA"/>
    <x v="1"/>
    <n v="115.80000000000001"/>
  </r>
  <r>
    <n v="10725"/>
    <n v="52"/>
    <n v="7"/>
    <n v="4"/>
    <n v="0"/>
    <s v="Russo, Giuseppe"/>
    <s v="Russo Giuseppe"/>
    <x v="1"/>
    <s v="WA"/>
    <s v="Product QSRXF"/>
    <x v="1"/>
    <x v="345"/>
    <d v="2007-11-05T00:00:00"/>
    <x v="3"/>
    <s v="Destination KKELL"/>
    <x v="1"/>
    <s v="Supplier JNNES"/>
    <s v="Australia"/>
    <x v="1"/>
    <n v="28"/>
  </r>
  <r>
    <n v="10725"/>
    <n v="55"/>
    <n v="24"/>
    <n v="6"/>
    <n v="0"/>
    <s v="Russo, Giuseppe"/>
    <s v="Russo Giuseppe"/>
    <x v="1"/>
    <s v="WA"/>
    <s v="Product YYWRT"/>
    <x v="7"/>
    <x v="345"/>
    <d v="2007-11-05T00:00:00"/>
    <x v="3"/>
    <s v="Destination KKELL"/>
    <x v="1"/>
    <s v="Supplier ERVYZ"/>
    <s v="Canada"/>
    <x v="1"/>
    <n v="144"/>
  </r>
  <r>
    <n v="10726"/>
    <n v="4"/>
    <n v="22"/>
    <n v="25"/>
    <n v="0"/>
    <s v="Boseman, Randall"/>
    <s v="Boseman Randall"/>
    <x v="1"/>
    <s v="WA"/>
    <s v="Product KSBRM"/>
    <x v="4"/>
    <x v="346"/>
    <d v="2007-12-05T00:00:00"/>
    <x v="2"/>
    <s v="Destination FRCGJ"/>
    <x v="14"/>
    <s v="Supplier VHQZD"/>
    <s v="USA"/>
    <x v="1"/>
    <n v="550"/>
  </r>
  <r>
    <n v="10726"/>
    <n v="11"/>
    <n v="21"/>
    <n v="5"/>
    <n v="0"/>
    <s v="Boseman, Randall"/>
    <s v="Boseman Randall"/>
    <x v="1"/>
    <s v="WA"/>
    <s v="Product QMVUN"/>
    <x v="0"/>
    <x v="346"/>
    <d v="2007-12-05T00:00:00"/>
    <x v="2"/>
    <s v="Destination FRCGJ"/>
    <x v="14"/>
    <s v="Supplier EQPNC"/>
    <s v="Spain"/>
    <x v="1"/>
    <n v="105"/>
  </r>
  <r>
    <n v="10727"/>
    <n v="17"/>
    <n v="39"/>
    <n v="20"/>
    <n v="0.05"/>
    <s v="Voss, Florian"/>
    <s v="Voss Florian"/>
    <x v="8"/>
    <s v="WA"/>
    <s v="Product BLCAX"/>
    <x v="7"/>
    <x v="346"/>
    <d v="2007-12-05T00:00:00"/>
    <x v="2"/>
    <s v="Ship to 66-A"/>
    <x v="12"/>
    <s v="Supplier GQRCV"/>
    <s v="Australia"/>
    <x v="1"/>
    <n v="741"/>
  </r>
  <r>
    <n v="10727"/>
    <n v="56"/>
    <n v="38"/>
    <n v="10"/>
    <n v="0.05"/>
    <s v="Voss, Florian"/>
    <s v="Voss Florian"/>
    <x v="8"/>
    <s v="WA"/>
    <s v="Product VKCMF"/>
    <x v="1"/>
    <x v="346"/>
    <d v="2007-12-05T00:00:00"/>
    <x v="2"/>
    <s v="Ship to 66-A"/>
    <x v="12"/>
    <s v="Supplier ZWZDM"/>
    <s v="Italy"/>
    <x v="1"/>
    <n v="361"/>
  </r>
  <r>
    <n v="10727"/>
    <n v="59"/>
    <n v="55"/>
    <n v="10"/>
    <n v="0.05"/>
    <s v="Voss, Florian"/>
    <s v="Voss Florian"/>
    <x v="8"/>
    <s v="WA"/>
    <s v="Product UKXRI"/>
    <x v="0"/>
    <x v="346"/>
    <d v="2007-12-05T00:00:00"/>
    <x v="2"/>
    <s v="Ship to 66-A"/>
    <x v="12"/>
    <s v="Supplier OAVQT"/>
    <s v="France"/>
    <x v="1"/>
    <n v="522.5"/>
  </r>
  <r>
    <n v="10728"/>
    <n v="30"/>
    <n v="25.89"/>
    <n v="15"/>
    <n v="0"/>
    <s v="Misiec, Anna"/>
    <s v="Misiec Anna"/>
    <x v="1"/>
    <s v="WA"/>
    <s v="Product LYERX"/>
    <x v="3"/>
    <x v="347"/>
    <d v="2007-11-11T00:00:00"/>
    <x v="1"/>
    <s v="Ship to 62-A"/>
    <x v="1"/>
    <s v="Supplier TEGSC"/>
    <s v="Germany"/>
    <x v="1"/>
    <n v="388.35"/>
  </r>
  <r>
    <n v="10728"/>
    <n v="40"/>
    <n v="18.399999999999999"/>
    <n v="6"/>
    <n v="0"/>
    <s v="Misiec, Anna"/>
    <s v="Misiec Anna"/>
    <x v="1"/>
    <s v="WA"/>
    <s v="Product YZIXQ"/>
    <x v="3"/>
    <x v="347"/>
    <d v="2007-11-11T00:00:00"/>
    <x v="1"/>
    <s v="Ship to 62-A"/>
    <x v="1"/>
    <s v="Supplier JDNUG"/>
    <s v="USA"/>
    <x v="1"/>
    <n v="110.39999999999999"/>
  </r>
  <r>
    <n v="10728"/>
    <n v="55"/>
    <n v="24"/>
    <n v="12"/>
    <n v="0"/>
    <s v="Misiec, Anna"/>
    <s v="Misiec Anna"/>
    <x v="1"/>
    <s v="WA"/>
    <s v="Product YYWRT"/>
    <x v="7"/>
    <x v="347"/>
    <d v="2007-11-11T00:00:00"/>
    <x v="1"/>
    <s v="Ship to 62-A"/>
    <x v="1"/>
    <s v="Supplier ERVYZ"/>
    <s v="Canada"/>
    <x v="1"/>
    <n v="288"/>
  </r>
  <r>
    <n v="10728"/>
    <n v="60"/>
    <n v="34"/>
    <n v="15"/>
    <n v="0"/>
    <s v="Misiec, Anna"/>
    <s v="Misiec Anna"/>
    <x v="1"/>
    <s v="WA"/>
    <s v="Product WHBYK"/>
    <x v="0"/>
    <x v="347"/>
    <d v="2007-11-11T00:00:00"/>
    <x v="1"/>
    <s v="Ship to 62-A"/>
    <x v="1"/>
    <s v="Supplier OAVQT"/>
    <s v="France"/>
    <x v="1"/>
    <n v="510"/>
  </r>
  <r>
    <n v="10729"/>
    <n v="1"/>
    <n v="18"/>
    <n v="50"/>
    <n v="0"/>
    <s v="Lupu, Cornel"/>
    <s v="Lupu Cornel"/>
    <x v="6"/>
    <s v="WA"/>
    <s v="Product HHYDP"/>
    <x v="6"/>
    <x v="347"/>
    <d v="2007-11-14T00:00:00"/>
    <x v="3"/>
    <s v="Ship to 47-A"/>
    <x v="5"/>
    <s v="Supplier SWRXU"/>
    <s v="UK"/>
    <x v="2"/>
    <n v="900"/>
  </r>
  <r>
    <n v="10729"/>
    <n v="21"/>
    <n v="10"/>
    <n v="30"/>
    <n v="0"/>
    <s v="Lupu, Cornel"/>
    <s v="Lupu Cornel"/>
    <x v="6"/>
    <s v="WA"/>
    <s v="Product VJZZH"/>
    <x v="5"/>
    <x v="347"/>
    <d v="2007-11-14T00:00:00"/>
    <x v="3"/>
    <s v="Ship to 47-A"/>
    <x v="5"/>
    <s v="Supplier BWGYE"/>
    <s v="UK"/>
    <x v="2"/>
    <n v="300"/>
  </r>
  <r>
    <n v="10729"/>
    <n v="50"/>
    <n v="16.25"/>
    <n v="40"/>
    <n v="0"/>
    <s v="Lupu, Cornel"/>
    <s v="Lupu Cornel"/>
    <x v="6"/>
    <s v="WA"/>
    <s v="Product BIUDV"/>
    <x v="5"/>
    <x v="347"/>
    <d v="2007-11-14T00:00:00"/>
    <x v="3"/>
    <s v="Ship to 47-A"/>
    <x v="5"/>
    <s v="Supplier ELCRN"/>
    <s v="Finland"/>
    <x v="2"/>
    <n v="650"/>
  </r>
  <r>
    <n v="10730"/>
    <n v="16"/>
    <n v="17.45"/>
    <n v="15"/>
    <n v="0.05"/>
    <s v="Raghav, Amritansh"/>
    <s v="Raghav Amritansh"/>
    <x v="3"/>
    <n v="0"/>
    <s v="Product PAFRH"/>
    <x v="5"/>
    <x v="348"/>
    <d v="2007-11-14T00:00:00"/>
    <x v="2"/>
    <s v="Ship to 9-A"/>
    <x v="2"/>
    <s v="Supplier GQRCV"/>
    <s v="Australia"/>
    <x v="1"/>
    <n v="248.66249999999999"/>
  </r>
  <r>
    <n v="10730"/>
    <n v="31"/>
    <n v="12.5"/>
    <n v="3"/>
    <n v="0.05"/>
    <s v="Raghav, Amritansh"/>
    <s v="Raghav Amritansh"/>
    <x v="3"/>
    <n v="0"/>
    <s v="Product XWOXC"/>
    <x v="0"/>
    <x v="348"/>
    <d v="2007-11-14T00:00:00"/>
    <x v="2"/>
    <s v="Ship to 9-A"/>
    <x v="2"/>
    <s v="Supplier KEREV"/>
    <s v="Italy"/>
    <x v="1"/>
    <n v="35.625"/>
  </r>
  <r>
    <n v="10730"/>
    <n v="65"/>
    <n v="21.05"/>
    <n v="10"/>
    <n v="0.05"/>
    <s v="Raghav, Amritansh"/>
    <s v="Raghav Amritansh"/>
    <x v="3"/>
    <n v="0"/>
    <s v="Product XYWBZ"/>
    <x v="4"/>
    <x v="348"/>
    <d v="2007-11-14T00:00:00"/>
    <x v="2"/>
    <s v="Ship to 9-A"/>
    <x v="2"/>
    <s v="Supplier VHQZD"/>
    <s v="USA"/>
    <x v="1"/>
    <n v="199.97499999999999"/>
  </r>
  <r>
    <n v="10731"/>
    <n v="21"/>
    <n v="10"/>
    <n v="40"/>
    <n v="0.05"/>
    <s v="Jelitto, Jacek"/>
    <s v="Jelitto Jacek"/>
    <x v="9"/>
    <n v="0"/>
    <s v="Product VJZZH"/>
    <x v="5"/>
    <x v="349"/>
    <d v="2007-11-14T00:00:00"/>
    <x v="2"/>
    <s v="Destination YUJRD"/>
    <x v="4"/>
    <s v="Supplier BWGYE"/>
    <s v="UK"/>
    <x v="1"/>
    <n v="380"/>
  </r>
  <r>
    <n v="10731"/>
    <n v="51"/>
    <n v="53"/>
    <n v="30"/>
    <n v="0.05"/>
    <s v="Jelitto, Jacek"/>
    <s v="Jelitto Jacek"/>
    <x v="9"/>
    <n v="0"/>
    <s v="Product APITJ"/>
    <x v="2"/>
    <x v="349"/>
    <d v="2007-11-14T00:00:00"/>
    <x v="2"/>
    <s v="Destination YUJRD"/>
    <x v="4"/>
    <s v="Supplier JNNES"/>
    <s v="Australia"/>
    <x v="1"/>
    <n v="1510.5"/>
  </r>
  <r>
    <n v="10732"/>
    <n v="76"/>
    <n v="18"/>
    <n v="20"/>
    <n v="0"/>
    <s v="Raghav, Amritansh"/>
    <s v="Raghav Amritansh"/>
    <x v="2"/>
    <s v="WA"/>
    <s v="Product JYGFE"/>
    <x v="6"/>
    <x v="349"/>
    <d v="2007-11-07T00:00:00"/>
    <x v="2"/>
    <s v="Ship to 9-A"/>
    <x v="2"/>
    <s v="Supplier ELCRN"/>
    <s v="Finland"/>
    <x v="1"/>
    <n v="360"/>
  </r>
  <r>
    <n v="10733"/>
    <n v="14"/>
    <n v="23.25"/>
    <n v="16"/>
    <n v="0"/>
    <s v="Higginbotham, Tom"/>
    <s v="Higginbotham Tom"/>
    <x v="5"/>
    <s v="WA"/>
    <s v="Product PWCJB"/>
    <x v="2"/>
    <x v="350"/>
    <d v="2007-11-10T00:00:00"/>
    <x v="3"/>
    <s v="Ship to 5-A"/>
    <x v="10"/>
    <s v="Supplier QWUSF"/>
    <s v="Japan"/>
    <x v="2"/>
    <n v="372"/>
  </r>
  <r>
    <n v="10733"/>
    <n v="28"/>
    <n v="45.6"/>
    <n v="20"/>
    <n v="0"/>
    <s v="Higginbotham, Tom"/>
    <s v="Higginbotham Tom"/>
    <x v="5"/>
    <s v="WA"/>
    <s v="Product OFBNT"/>
    <x v="2"/>
    <x v="350"/>
    <d v="2007-11-10T00:00:00"/>
    <x v="3"/>
    <s v="Ship to 5-A"/>
    <x v="10"/>
    <s v="Supplier SVIYA"/>
    <s v="Germany"/>
    <x v="2"/>
    <n v="912"/>
  </r>
  <r>
    <n v="10733"/>
    <n v="52"/>
    <n v="7"/>
    <n v="25"/>
    <n v="0"/>
    <s v="Higginbotham, Tom"/>
    <s v="Higginbotham Tom"/>
    <x v="5"/>
    <s v="WA"/>
    <s v="Product QSRXF"/>
    <x v="1"/>
    <x v="350"/>
    <d v="2007-11-10T00:00:00"/>
    <x v="3"/>
    <s v="Ship to 5-A"/>
    <x v="10"/>
    <s v="Supplier JNNES"/>
    <s v="Australia"/>
    <x v="2"/>
    <n v="175"/>
  </r>
  <r>
    <n v="10734"/>
    <n v="6"/>
    <n v="25"/>
    <n v="30"/>
    <n v="0"/>
    <s v="Cheng, Yao-Qiang"/>
    <s v="Cheng Yao-Qiang"/>
    <x v="8"/>
    <s v="WA"/>
    <s v="Product VAIIV"/>
    <x v="4"/>
    <x v="350"/>
    <d v="2007-11-12T00:00:00"/>
    <x v="3"/>
    <s v="Destination VNIAG"/>
    <x v="1"/>
    <s v="Supplier STUAZ"/>
    <s v="USA"/>
    <x v="1"/>
    <n v="750"/>
  </r>
  <r>
    <n v="10734"/>
    <n v="30"/>
    <n v="25.89"/>
    <n v="15"/>
    <n v="0"/>
    <s v="Cheng, Yao-Qiang"/>
    <s v="Cheng Yao-Qiang"/>
    <x v="8"/>
    <s v="WA"/>
    <s v="Product LYERX"/>
    <x v="3"/>
    <x v="350"/>
    <d v="2007-11-12T00:00:00"/>
    <x v="3"/>
    <s v="Destination VNIAG"/>
    <x v="1"/>
    <s v="Supplier TEGSC"/>
    <s v="Germany"/>
    <x v="1"/>
    <n v="388.35"/>
  </r>
  <r>
    <n v="10734"/>
    <n v="76"/>
    <n v="18"/>
    <n v="20"/>
    <n v="0"/>
    <s v="Cheng, Yao-Qiang"/>
    <s v="Cheng Yao-Qiang"/>
    <x v="8"/>
    <s v="WA"/>
    <s v="Product JYGFE"/>
    <x v="6"/>
    <x v="350"/>
    <d v="2007-11-12T00:00:00"/>
    <x v="3"/>
    <s v="Destination VNIAG"/>
    <x v="1"/>
    <s v="Supplier ELCRN"/>
    <s v="Finland"/>
    <x v="1"/>
    <n v="360"/>
  </r>
  <r>
    <n v="10735"/>
    <n v="61"/>
    <n v="28.5"/>
    <n v="20"/>
    <n v="0.1"/>
    <s v="Sunkammurali, Krishna"/>
    <s v="Sunkammurali Krishna"/>
    <x v="7"/>
    <n v="0"/>
    <s v="Product XYZPE"/>
    <x v="4"/>
    <x v="351"/>
    <d v="2007-11-21T00:00:00"/>
    <x v="1"/>
    <s v="Ship to 45-A"/>
    <x v="9"/>
    <s v="Supplier OGLRK"/>
    <s v="Canada"/>
    <x v="1"/>
    <n v="513"/>
  </r>
  <r>
    <n v="10735"/>
    <n v="77"/>
    <n v="13"/>
    <n v="2"/>
    <n v="0.1"/>
    <s v="Sunkammurali, Krishna"/>
    <s v="Sunkammurali Krishna"/>
    <x v="7"/>
    <n v="0"/>
    <s v="Product LUNZZ"/>
    <x v="4"/>
    <x v="351"/>
    <d v="2007-11-21T00:00:00"/>
    <x v="1"/>
    <s v="Ship to 45-A"/>
    <x v="9"/>
    <s v="Supplier SVIYA"/>
    <s v="Germany"/>
    <x v="1"/>
    <n v="23.400000000000002"/>
  </r>
  <r>
    <n v="10736"/>
    <n v="65"/>
    <n v="21.05"/>
    <n v="40"/>
    <n v="0"/>
    <s v="Crăciun, Ovidiu V."/>
    <s v="Crăciun Ovidiu V."/>
    <x v="4"/>
    <n v="0"/>
    <s v="Product XYWBZ"/>
    <x v="4"/>
    <x v="352"/>
    <d v="2007-11-21T00:00:00"/>
    <x v="1"/>
    <s v="Destination DGKOU"/>
    <x v="15"/>
    <s v="Supplier VHQZD"/>
    <s v="USA"/>
    <x v="1"/>
    <n v="842"/>
  </r>
  <r>
    <n v="10736"/>
    <n v="75"/>
    <n v="7.75"/>
    <n v="20"/>
    <n v="0"/>
    <s v="Crăciun, Ovidiu V."/>
    <s v="Crăciun Ovidiu V."/>
    <x v="4"/>
    <n v="0"/>
    <s v="Product BWRLG"/>
    <x v="6"/>
    <x v="352"/>
    <d v="2007-11-21T00:00:00"/>
    <x v="1"/>
    <s v="Destination DGKOU"/>
    <x v="15"/>
    <s v="Supplier SVIYA"/>
    <s v="Germany"/>
    <x v="1"/>
    <n v="155"/>
  </r>
  <r>
    <n v="10737"/>
    <n v="13"/>
    <n v="6"/>
    <n v="4"/>
    <n v="0"/>
    <s v="McLin, Nkenge"/>
    <s v="McLin Nkenge"/>
    <x v="8"/>
    <s v="WA"/>
    <s v="Product POXFU"/>
    <x v="3"/>
    <x v="352"/>
    <d v="2007-11-18T00:00:00"/>
    <x v="1"/>
    <s v="Ship to 85-C"/>
    <x v="2"/>
    <s v="Supplier QWUSF"/>
    <s v="Japan"/>
    <x v="1"/>
    <n v="24"/>
  </r>
  <r>
    <n v="10737"/>
    <n v="41"/>
    <n v="9.65"/>
    <n v="12"/>
    <n v="0"/>
    <s v="McLin, Nkenge"/>
    <s v="McLin Nkenge"/>
    <x v="8"/>
    <s v="WA"/>
    <s v="Product TTEEX"/>
    <x v="3"/>
    <x v="352"/>
    <d v="2007-11-18T00:00:00"/>
    <x v="1"/>
    <s v="Ship to 85-C"/>
    <x v="2"/>
    <s v="Supplier JDNUG"/>
    <s v="USA"/>
    <x v="1"/>
    <n v="115.80000000000001"/>
  </r>
  <r>
    <n v="10738"/>
    <n v="16"/>
    <n v="17.45"/>
    <n v="3"/>
    <n v="0"/>
    <s v="O’Brien, Dave"/>
    <s v="O’Brien Dave"/>
    <x v="8"/>
    <s v="WA"/>
    <s v="Product PAFRH"/>
    <x v="5"/>
    <x v="353"/>
    <d v="2007-11-18T00:00:00"/>
    <x v="2"/>
    <s v="Ship to 74-A"/>
    <x v="2"/>
    <s v="Supplier GQRCV"/>
    <s v="Australia"/>
    <x v="1"/>
    <n v="52.349999999999994"/>
  </r>
  <r>
    <n v="10739"/>
    <n v="36"/>
    <n v="19"/>
    <n v="6"/>
    <n v="0"/>
    <s v="McLin, Nkenge"/>
    <s v="McLin Nkenge"/>
    <x v="2"/>
    <s v="WA"/>
    <s v="Product GMKIJ"/>
    <x v="3"/>
    <x v="353"/>
    <d v="2007-11-17T00:00:00"/>
    <x v="3"/>
    <s v="Ship to 85-C"/>
    <x v="2"/>
    <s v="Supplier QZGUF"/>
    <s v="Sweden"/>
    <x v="1"/>
    <n v="114"/>
  </r>
  <r>
    <n v="10739"/>
    <n v="52"/>
    <n v="7"/>
    <n v="18"/>
    <n v="0"/>
    <s v="McLin, Nkenge"/>
    <s v="McLin Nkenge"/>
    <x v="2"/>
    <s v="WA"/>
    <s v="Product QSRXF"/>
    <x v="1"/>
    <x v="353"/>
    <d v="2007-11-17T00:00:00"/>
    <x v="3"/>
    <s v="Ship to 85-C"/>
    <x v="2"/>
    <s v="Supplier JNNES"/>
    <s v="Australia"/>
    <x v="1"/>
    <n v="126"/>
  </r>
  <r>
    <n v="10740"/>
    <n v="28"/>
    <n v="45.6"/>
    <n v="5"/>
    <n v="0.2"/>
    <s v="Smith Jr., Ronaldo"/>
    <s v="Smith Jr. Ronaldo"/>
    <x v="1"/>
    <s v="WA"/>
    <s v="Product OFBNT"/>
    <x v="2"/>
    <x v="354"/>
    <d v="2007-11-25T00:00:00"/>
    <x v="1"/>
    <s v="Ship to 89-B"/>
    <x v="9"/>
    <s v="Supplier SVIYA"/>
    <s v="Germany"/>
    <x v="1"/>
    <n v="182.4"/>
  </r>
  <r>
    <n v="10740"/>
    <n v="35"/>
    <n v="18"/>
    <n v="35"/>
    <n v="0.2"/>
    <s v="Smith Jr., Ronaldo"/>
    <s v="Smith Jr. Ronaldo"/>
    <x v="1"/>
    <s v="WA"/>
    <s v="Product NEVTJ"/>
    <x v="6"/>
    <x v="354"/>
    <d v="2007-11-25T00:00:00"/>
    <x v="1"/>
    <s v="Ship to 89-B"/>
    <x v="9"/>
    <s v="Supplier UHZRG"/>
    <s v="USA"/>
    <x v="1"/>
    <n v="504"/>
  </r>
  <r>
    <n v="10740"/>
    <n v="45"/>
    <n v="9.5"/>
    <n v="40"/>
    <n v="0.2"/>
    <s v="Smith Jr., Ronaldo"/>
    <s v="Smith Jr. Ronaldo"/>
    <x v="1"/>
    <s v="WA"/>
    <s v="Product AQOKR"/>
    <x v="3"/>
    <x v="354"/>
    <d v="2007-11-25T00:00:00"/>
    <x v="1"/>
    <s v="Ship to 89-B"/>
    <x v="9"/>
    <s v="Supplier XOXZA"/>
    <s v="Denmark"/>
    <x v="1"/>
    <n v="304"/>
  </r>
  <r>
    <n v="10740"/>
    <n v="56"/>
    <n v="38"/>
    <n v="14"/>
    <n v="0.2"/>
    <s v="Smith Jr., Ronaldo"/>
    <s v="Smith Jr. Ronaldo"/>
    <x v="1"/>
    <s v="WA"/>
    <s v="Product VKCMF"/>
    <x v="1"/>
    <x v="354"/>
    <d v="2007-11-25T00:00:00"/>
    <x v="1"/>
    <s v="Ship to 89-B"/>
    <x v="9"/>
    <s v="Supplier ZWZDM"/>
    <s v="Italy"/>
    <x v="1"/>
    <n v="425.6"/>
  </r>
  <r>
    <n v="10741"/>
    <n v="2"/>
    <n v="19"/>
    <n v="15"/>
    <n v="0.2"/>
    <s v="Arndt, Torsten"/>
    <s v="Arndt Torsten"/>
    <x v="1"/>
    <s v="WA"/>
    <s v="Product RECZE"/>
    <x v="6"/>
    <x v="355"/>
    <d v="2007-11-18T00:00:00"/>
    <x v="3"/>
    <s v="Ship to 4-C"/>
    <x v="14"/>
    <s v="Supplier SWRXU"/>
    <s v="UK"/>
    <x v="1"/>
    <n v="228"/>
  </r>
  <r>
    <n v="10742"/>
    <n v="3"/>
    <n v="10"/>
    <n v="20"/>
    <n v="0"/>
    <s v="Bassols, Pilar Colome"/>
    <s v="Bassols Pilar Colome"/>
    <x v="2"/>
    <s v="WA"/>
    <s v="Product IMEHJ"/>
    <x v="4"/>
    <x v="355"/>
    <d v="2007-11-18T00:00:00"/>
    <x v="3"/>
    <s v="Destination LPHSI"/>
    <x v="17"/>
    <s v="Supplier SWRXU"/>
    <s v="UK"/>
    <x v="2"/>
    <n v="200"/>
  </r>
  <r>
    <n v="10742"/>
    <n v="60"/>
    <n v="34"/>
    <n v="50"/>
    <n v="0"/>
    <s v="Bassols, Pilar Colome"/>
    <s v="Bassols Pilar Colome"/>
    <x v="2"/>
    <s v="WA"/>
    <s v="Product WHBYK"/>
    <x v="0"/>
    <x v="355"/>
    <d v="2007-11-18T00:00:00"/>
    <x v="3"/>
    <s v="Destination LPHSI"/>
    <x v="17"/>
    <s v="Supplier OAVQT"/>
    <s v="France"/>
    <x v="2"/>
    <n v="1700"/>
  </r>
  <r>
    <n v="10742"/>
    <n v="72"/>
    <n v="34.799999999999997"/>
    <n v="35"/>
    <n v="0"/>
    <s v="Bassols, Pilar Colome"/>
    <s v="Bassols Pilar Colome"/>
    <x v="2"/>
    <s v="WA"/>
    <s v="Product GEEOO"/>
    <x v="0"/>
    <x v="355"/>
    <d v="2007-11-18T00:00:00"/>
    <x v="3"/>
    <s v="Destination LPHSI"/>
    <x v="17"/>
    <s v="Supplier KEREV"/>
    <s v="Italy"/>
    <x v="2"/>
    <n v="1218"/>
  </r>
  <r>
    <n v="10743"/>
    <n v="46"/>
    <n v="12"/>
    <n v="28"/>
    <n v="0.05"/>
    <s v="Arndt, Torsten"/>
    <s v="Arndt Torsten"/>
    <x v="5"/>
    <s v="WA"/>
    <s v="Product CBRRL"/>
    <x v="3"/>
    <x v="356"/>
    <d v="2007-11-21T00:00:00"/>
    <x v="1"/>
    <s v="Ship to 4-C"/>
    <x v="14"/>
    <s v="Supplier XOXZA"/>
    <s v="Denmark"/>
    <x v="1"/>
    <n v="319.2"/>
  </r>
  <r>
    <n v="10744"/>
    <n v="40"/>
    <n v="18.399999999999999"/>
    <n v="50"/>
    <n v="0.2"/>
    <s v="Fonteneau, Karl"/>
    <s v="Fonteneau Karl"/>
    <x v="7"/>
    <n v="0"/>
    <s v="Product YZIXQ"/>
    <x v="3"/>
    <x v="356"/>
    <d v="2007-11-24T00:00:00"/>
    <x v="2"/>
    <s v="Ship to 83-A"/>
    <x v="18"/>
    <s v="Supplier JDNUG"/>
    <s v="USA"/>
    <x v="1"/>
    <n v="736"/>
  </r>
  <r>
    <n v="10745"/>
    <n v="18"/>
    <n v="62.5"/>
    <n v="24"/>
    <n v="0"/>
    <s v="Veronesi, Giorgio"/>
    <s v="Veronesi Giorgio"/>
    <x v="4"/>
    <n v="0"/>
    <s v="Product CKEDC"/>
    <x v="3"/>
    <x v="357"/>
    <d v="2007-11-27T00:00:00"/>
    <x v="2"/>
    <s v="Ship to 63-C"/>
    <x v="8"/>
    <s v="Supplier GQRCV"/>
    <s v="Australia"/>
    <x v="1"/>
    <n v="1500"/>
  </r>
  <r>
    <n v="10745"/>
    <n v="44"/>
    <n v="19.45"/>
    <n v="16"/>
    <n v="0"/>
    <s v="Veronesi, Giorgio"/>
    <s v="Veronesi Giorgio"/>
    <x v="4"/>
    <n v="0"/>
    <s v="Product VJIEO"/>
    <x v="4"/>
    <x v="357"/>
    <d v="2007-11-27T00:00:00"/>
    <x v="2"/>
    <s v="Ship to 63-C"/>
    <x v="8"/>
    <s v="Supplier CIYNM"/>
    <s v="Singapore"/>
    <x v="1"/>
    <n v="311.2"/>
  </r>
  <r>
    <n v="10745"/>
    <n v="59"/>
    <n v="55"/>
    <n v="45"/>
    <n v="0"/>
    <s v="Veronesi, Giorgio"/>
    <s v="Veronesi Giorgio"/>
    <x v="4"/>
    <n v="0"/>
    <s v="Product UKXRI"/>
    <x v="0"/>
    <x v="357"/>
    <d v="2007-11-27T00:00:00"/>
    <x v="2"/>
    <s v="Ship to 63-C"/>
    <x v="8"/>
    <s v="Supplier OAVQT"/>
    <s v="France"/>
    <x v="1"/>
    <n v="2475"/>
  </r>
  <r>
    <n v="10745"/>
    <n v="72"/>
    <n v="34.799999999999997"/>
    <n v="7"/>
    <n v="0"/>
    <s v="Veronesi, Giorgio"/>
    <s v="Veronesi Giorgio"/>
    <x v="4"/>
    <n v="0"/>
    <s v="Product GEEOO"/>
    <x v="0"/>
    <x v="357"/>
    <d v="2007-11-27T00:00:00"/>
    <x v="2"/>
    <s v="Ship to 63-C"/>
    <x v="8"/>
    <s v="Supplier KEREV"/>
    <s v="Italy"/>
    <x v="1"/>
    <n v="243.59999999999997"/>
  </r>
  <r>
    <n v="10746"/>
    <n v="13"/>
    <n v="6"/>
    <n v="6"/>
    <n v="0"/>
    <s v="Jelitto, Jacek"/>
    <s v="Jelitto Jacek"/>
    <x v="5"/>
    <s v="WA"/>
    <s v="Product POXFU"/>
    <x v="3"/>
    <x v="358"/>
    <d v="2007-11-21T00:00:00"/>
    <x v="3"/>
    <s v="Destination NRTZZ"/>
    <x v="4"/>
    <s v="Supplier QWUSF"/>
    <s v="Japan"/>
    <x v="1"/>
    <n v="36"/>
  </r>
  <r>
    <n v="10746"/>
    <n v="42"/>
    <n v="14"/>
    <n v="28"/>
    <n v="0"/>
    <s v="Jelitto, Jacek"/>
    <s v="Jelitto Jacek"/>
    <x v="5"/>
    <s v="WA"/>
    <s v="Product RJVNM"/>
    <x v="1"/>
    <x v="358"/>
    <d v="2007-11-21T00:00:00"/>
    <x v="3"/>
    <s v="Destination NRTZZ"/>
    <x v="4"/>
    <s v="Supplier CIYNM"/>
    <s v="Singapore"/>
    <x v="1"/>
    <n v="392"/>
  </r>
  <r>
    <n v="10746"/>
    <n v="62"/>
    <n v="49.3"/>
    <n v="9"/>
    <n v="0"/>
    <s v="Jelitto, Jacek"/>
    <s v="Jelitto Jacek"/>
    <x v="5"/>
    <s v="WA"/>
    <s v="Product WUXYK"/>
    <x v="5"/>
    <x v="358"/>
    <d v="2007-11-21T00:00:00"/>
    <x v="3"/>
    <s v="Destination NRTZZ"/>
    <x v="4"/>
    <s v="Supplier OGLRK"/>
    <s v="Canada"/>
    <x v="1"/>
    <n v="443.7"/>
  </r>
  <r>
    <n v="10746"/>
    <n v="69"/>
    <n v="36"/>
    <n v="40"/>
    <n v="0"/>
    <s v="Jelitto, Jacek"/>
    <s v="Jelitto Jacek"/>
    <x v="5"/>
    <s v="WA"/>
    <s v="Product COAXA"/>
    <x v="0"/>
    <x v="358"/>
    <d v="2007-11-21T00:00:00"/>
    <x v="3"/>
    <s v="Destination NRTZZ"/>
    <x v="4"/>
    <s v="Supplier NZLIF"/>
    <s v="Norway"/>
    <x v="1"/>
    <n v="1440"/>
  </r>
  <r>
    <n v="10747"/>
    <n v="31"/>
    <n v="12.5"/>
    <n v="8"/>
    <n v="0"/>
    <s v="Meston, Tosh"/>
    <s v="Meston Tosh"/>
    <x v="7"/>
    <n v="0"/>
    <s v="Product XWOXC"/>
    <x v="0"/>
    <x v="358"/>
    <d v="2007-11-26T00:00:00"/>
    <x v="2"/>
    <s v="Ship to 59-B"/>
    <x v="6"/>
    <s v="Supplier KEREV"/>
    <s v="Italy"/>
    <x v="2"/>
    <n v="100"/>
  </r>
  <r>
    <n v="10747"/>
    <n v="41"/>
    <n v="9.65"/>
    <n v="35"/>
    <n v="0"/>
    <s v="Meston, Tosh"/>
    <s v="Meston Tosh"/>
    <x v="7"/>
    <n v="0"/>
    <s v="Product TTEEX"/>
    <x v="3"/>
    <x v="358"/>
    <d v="2007-11-26T00:00:00"/>
    <x v="2"/>
    <s v="Ship to 59-B"/>
    <x v="6"/>
    <s v="Supplier JDNUG"/>
    <s v="USA"/>
    <x v="2"/>
    <n v="337.75"/>
  </r>
  <r>
    <n v="10747"/>
    <n v="63"/>
    <n v="43.9"/>
    <n v="9"/>
    <n v="0"/>
    <s v="Meston, Tosh"/>
    <s v="Meston Tosh"/>
    <x v="7"/>
    <n v="0"/>
    <s v="Product ICKNK"/>
    <x v="4"/>
    <x v="358"/>
    <d v="2007-11-26T00:00:00"/>
    <x v="2"/>
    <s v="Ship to 59-B"/>
    <x v="6"/>
    <s v="Supplier GQRCV"/>
    <s v="Australia"/>
    <x v="2"/>
    <n v="395.09999999999997"/>
  </r>
  <r>
    <n v="10747"/>
    <n v="69"/>
    <n v="36"/>
    <n v="30"/>
    <n v="0"/>
    <s v="Meston, Tosh"/>
    <s v="Meston Tosh"/>
    <x v="7"/>
    <n v="0"/>
    <s v="Product COAXA"/>
    <x v="0"/>
    <x v="358"/>
    <d v="2007-11-26T00:00:00"/>
    <x v="2"/>
    <s v="Ship to 59-B"/>
    <x v="6"/>
    <s v="Supplier NZLIF"/>
    <s v="Norway"/>
    <x v="2"/>
    <n v="1080"/>
  </r>
  <r>
    <n v="10748"/>
    <n v="23"/>
    <n v="9"/>
    <n v="44"/>
    <n v="0"/>
    <s v="Navarro, Tomás"/>
    <s v="Navarro Tomás"/>
    <x v="2"/>
    <s v="WA"/>
    <s v="Product JLUDZ"/>
    <x v="1"/>
    <x v="359"/>
    <d v="2007-11-28T00:00:00"/>
    <x v="2"/>
    <s v="Ship to 71-B"/>
    <x v="9"/>
    <s v="Supplier QQYEU"/>
    <s v="Sweden"/>
    <x v="2"/>
    <n v="396"/>
  </r>
  <r>
    <n v="10748"/>
    <n v="40"/>
    <n v="18.399999999999999"/>
    <n v="40"/>
    <n v="0"/>
    <s v="Navarro, Tomás"/>
    <s v="Navarro Tomás"/>
    <x v="2"/>
    <s v="WA"/>
    <s v="Product YZIXQ"/>
    <x v="3"/>
    <x v="359"/>
    <d v="2007-11-28T00:00:00"/>
    <x v="2"/>
    <s v="Ship to 71-B"/>
    <x v="9"/>
    <s v="Supplier JDNUG"/>
    <s v="USA"/>
    <x v="2"/>
    <n v="736"/>
  </r>
  <r>
    <n v="10748"/>
    <n v="56"/>
    <n v="38"/>
    <n v="28"/>
    <n v="0"/>
    <s v="Navarro, Tomás"/>
    <s v="Navarro Tomás"/>
    <x v="2"/>
    <s v="WA"/>
    <s v="Product VKCMF"/>
    <x v="1"/>
    <x v="359"/>
    <d v="2007-11-28T00:00:00"/>
    <x v="2"/>
    <s v="Ship to 71-B"/>
    <x v="9"/>
    <s v="Supplier ZWZDM"/>
    <s v="Italy"/>
    <x v="2"/>
    <n v="1064"/>
  </r>
  <r>
    <n v="10749"/>
    <n v="56"/>
    <n v="38"/>
    <n v="15"/>
    <n v="0"/>
    <s v="Lee, Frank"/>
    <s v="Lee Frank"/>
    <x v="1"/>
    <s v="WA"/>
    <s v="Product VKCMF"/>
    <x v="1"/>
    <x v="359"/>
    <d v="2007-12-19T00:00:00"/>
    <x v="1"/>
    <s v="Destination QVTLW"/>
    <x v="14"/>
    <s v="Supplier ZWZDM"/>
    <s v="Italy"/>
    <x v="1"/>
    <n v="570"/>
  </r>
  <r>
    <n v="10749"/>
    <n v="59"/>
    <n v="55"/>
    <n v="6"/>
    <n v="0"/>
    <s v="Lee, Frank"/>
    <s v="Lee Frank"/>
    <x v="1"/>
    <s v="WA"/>
    <s v="Product UKXRI"/>
    <x v="0"/>
    <x v="359"/>
    <d v="2007-12-19T00:00:00"/>
    <x v="1"/>
    <s v="Destination QVTLW"/>
    <x v="14"/>
    <s v="Supplier OAVQT"/>
    <s v="France"/>
    <x v="1"/>
    <n v="330"/>
  </r>
  <r>
    <n v="10749"/>
    <n v="76"/>
    <n v="18"/>
    <n v="10"/>
    <n v="0"/>
    <s v="Lee, Frank"/>
    <s v="Lee Frank"/>
    <x v="1"/>
    <s v="WA"/>
    <s v="Product JYGFE"/>
    <x v="6"/>
    <x v="359"/>
    <d v="2007-12-19T00:00:00"/>
    <x v="1"/>
    <s v="Destination QVTLW"/>
    <x v="14"/>
    <s v="Supplier ELCRN"/>
    <s v="Finland"/>
    <x v="1"/>
    <n v="180"/>
  </r>
  <r>
    <n v="10750"/>
    <n v="14"/>
    <n v="23.25"/>
    <n v="5"/>
    <n v="0.15"/>
    <s v="Ludwig, Michael"/>
    <s v="Ludwig Michael"/>
    <x v="4"/>
    <n v="0"/>
    <s v="Product PWCJB"/>
    <x v="2"/>
    <x v="360"/>
    <d v="2007-11-24T00:00:00"/>
    <x v="2"/>
    <s v="Ship to 87-C"/>
    <x v="11"/>
    <s v="Supplier QWUSF"/>
    <s v="Japan"/>
    <x v="1"/>
    <n v="98.8125"/>
  </r>
  <r>
    <n v="10750"/>
    <n v="45"/>
    <n v="9.5"/>
    <n v="40"/>
    <n v="0.15"/>
    <s v="Ludwig, Michael"/>
    <s v="Ludwig Michael"/>
    <x v="4"/>
    <n v="0"/>
    <s v="Product AQOKR"/>
    <x v="3"/>
    <x v="360"/>
    <d v="2007-11-24T00:00:00"/>
    <x v="2"/>
    <s v="Ship to 87-C"/>
    <x v="11"/>
    <s v="Supplier XOXZA"/>
    <s v="Denmark"/>
    <x v="1"/>
    <n v="323"/>
  </r>
  <r>
    <n v="10750"/>
    <n v="59"/>
    <n v="55"/>
    <n v="25"/>
    <n v="0.15"/>
    <s v="Ludwig, Michael"/>
    <s v="Ludwig Michael"/>
    <x v="4"/>
    <n v="0"/>
    <s v="Product UKXRI"/>
    <x v="0"/>
    <x v="360"/>
    <d v="2007-11-24T00:00:00"/>
    <x v="2"/>
    <s v="Ship to 87-C"/>
    <x v="11"/>
    <s v="Supplier OAVQT"/>
    <s v="France"/>
    <x v="1"/>
    <n v="1168.75"/>
  </r>
  <r>
    <n v="10751"/>
    <n v="26"/>
    <n v="31.23"/>
    <n v="12"/>
    <n v="0.1"/>
    <s v="Myrcha, Jacek"/>
    <s v="Myrcha Jacek"/>
    <x v="2"/>
    <s v="WA"/>
    <s v="Product HLGZA"/>
    <x v="5"/>
    <x v="361"/>
    <d v="2007-12-03T00:00:00"/>
    <x v="3"/>
    <s v="Ship to 68-A"/>
    <x v="4"/>
    <s v="Supplier ZPYVS"/>
    <s v="Germany"/>
    <x v="2"/>
    <n v="337.28399999999999"/>
  </r>
  <r>
    <n v="10751"/>
    <n v="30"/>
    <n v="25.89"/>
    <n v="30"/>
    <n v="0"/>
    <s v="Myrcha, Jacek"/>
    <s v="Myrcha Jacek"/>
    <x v="2"/>
    <s v="WA"/>
    <s v="Product LYERX"/>
    <x v="3"/>
    <x v="361"/>
    <d v="2007-12-03T00:00:00"/>
    <x v="3"/>
    <s v="Ship to 68-A"/>
    <x v="4"/>
    <s v="Supplier TEGSC"/>
    <s v="Germany"/>
    <x v="2"/>
    <n v="776.7"/>
  </r>
  <r>
    <n v="10751"/>
    <n v="50"/>
    <n v="16.25"/>
    <n v="20"/>
    <n v="0.1"/>
    <s v="Myrcha, Jacek"/>
    <s v="Myrcha Jacek"/>
    <x v="2"/>
    <s v="WA"/>
    <s v="Product BIUDV"/>
    <x v="5"/>
    <x v="361"/>
    <d v="2007-12-03T00:00:00"/>
    <x v="3"/>
    <s v="Ship to 68-A"/>
    <x v="4"/>
    <s v="Supplier ELCRN"/>
    <s v="Finland"/>
    <x v="2"/>
    <n v="292.5"/>
  </r>
  <r>
    <n v="10751"/>
    <n v="73"/>
    <n v="15"/>
    <n v="15"/>
    <n v="0"/>
    <s v="Myrcha, Jacek"/>
    <s v="Myrcha Jacek"/>
    <x v="2"/>
    <s v="WA"/>
    <s v="Product WEUJZ"/>
    <x v="3"/>
    <x v="361"/>
    <d v="2007-12-03T00:00:00"/>
    <x v="3"/>
    <s v="Ship to 68-A"/>
    <x v="4"/>
    <s v="Supplier QZGUF"/>
    <s v="Sweden"/>
    <x v="2"/>
    <n v="225"/>
  </r>
  <r>
    <n v="10752"/>
    <n v="1"/>
    <n v="18"/>
    <n v="8"/>
    <n v="0"/>
    <s v="Mallit, Ken"/>
    <s v="Mallit Ken"/>
    <x v="8"/>
    <s v="WA"/>
    <s v="Product HHYDP"/>
    <x v="6"/>
    <x v="361"/>
    <d v="2007-11-28T00:00:00"/>
    <x v="3"/>
    <s v="Ship to 53-C"/>
    <x v="14"/>
    <s v="Supplier SWRXU"/>
    <s v="UK"/>
    <x v="1"/>
    <n v="144"/>
  </r>
  <r>
    <n v="10752"/>
    <n v="69"/>
    <n v="36"/>
    <n v="3"/>
    <n v="0"/>
    <s v="Mallit, Ken"/>
    <s v="Mallit Ken"/>
    <x v="8"/>
    <s v="WA"/>
    <s v="Product COAXA"/>
    <x v="0"/>
    <x v="361"/>
    <d v="2007-11-28T00:00:00"/>
    <x v="3"/>
    <s v="Ship to 53-C"/>
    <x v="14"/>
    <s v="Supplier NZLIF"/>
    <s v="Norway"/>
    <x v="1"/>
    <n v="108"/>
  </r>
  <r>
    <n v="10753"/>
    <n v="45"/>
    <n v="9.5"/>
    <n v="4"/>
    <n v="0"/>
    <s v="Schmöllerl, Martin"/>
    <s v="Schmöllerl Martin"/>
    <x v="2"/>
    <s v="WA"/>
    <s v="Product AQOKR"/>
    <x v="3"/>
    <x v="362"/>
    <d v="2007-11-27T00:00:00"/>
    <x v="2"/>
    <s v="Destination DICGM"/>
    <x v="12"/>
    <s v="Supplier XOXZA"/>
    <s v="Denmark"/>
    <x v="1"/>
    <n v="38"/>
  </r>
  <r>
    <n v="10753"/>
    <n v="74"/>
    <n v="10"/>
    <n v="5"/>
    <n v="0"/>
    <s v="Schmöllerl, Martin"/>
    <s v="Schmöllerl Martin"/>
    <x v="2"/>
    <s v="WA"/>
    <s v="Product BKAZJ"/>
    <x v="2"/>
    <x v="362"/>
    <d v="2007-11-27T00:00:00"/>
    <x v="2"/>
    <s v="Destination DICGM"/>
    <x v="12"/>
    <s v="Supplier QOVFD"/>
    <s v="Japan"/>
    <x v="1"/>
    <n v="50"/>
  </r>
  <r>
    <n v="10754"/>
    <n v="40"/>
    <n v="18.399999999999999"/>
    <n v="3"/>
    <n v="0"/>
    <s v="Duerr, Bernard"/>
    <s v="Duerr Bernard"/>
    <x v="7"/>
    <n v="0"/>
    <s v="Product YZIXQ"/>
    <x v="3"/>
    <x v="362"/>
    <d v="2007-11-27T00:00:00"/>
    <x v="3"/>
    <s v="Ship to 49-B"/>
    <x v="12"/>
    <s v="Supplier JDNUG"/>
    <s v="USA"/>
    <x v="1"/>
    <n v="55.199999999999996"/>
  </r>
  <r>
    <n v="10755"/>
    <n v="47"/>
    <n v="9.5"/>
    <n v="30"/>
    <n v="0.25"/>
    <s v="Raghav, Amritansh"/>
    <s v="Raghav Amritansh"/>
    <x v="1"/>
    <s v="WA"/>
    <s v="Product EZZPR"/>
    <x v="5"/>
    <x v="363"/>
    <d v="2007-11-28T00:00:00"/>
    <x v="1"/>
    <s v="Ship to 9-C"/>
    <x v="2"/>
    <s v="Supplier FNUXM"/>
    <s v="Netherlands"/>
    <x v="1"/>
    <n v="213.75"/>
  </r>
  <r>
    <n v="10755"/>
    <n v="56"/>
    <n v="38"/>
    <n v="30"/>
    <n v="0.25"/>
    <s v="Raghav, Amritansh"/>
    <s v="Raghav Amritansh"/>
    <x v="1"/>
    <s v="WA"/>
    <s v="Product VKCMF"/>
    <x v="1"/>
    <x v="363"/>
    <d v="2007-11-28T00:00:00"/>
    <x v="1"/>
    <s v="Ship to 9-C"/>
    <x v="2"/>
    <s v="Supplier ZWZDM"/>
    <s v="Italy"/>
    <x v="1"/>
    <n v="855"/>
  </r>
  <r>
    <n v="10755"/>
    <n v="57"/>
    <n v="19.5"/>
    <n v="14"/>
    <n v="0.25"/>
    <s v="Raghav, Amritansh"/>
    <s v="Raghav Amritansh"/>
    <x v="1"/>
    <s v="WA"/>
    <s v="Product OVLQI"/>
    <x v="1"/>
    <x v="363"/>
    <d v="2007-11-28T00:00:00"/>
    <x v="1"/>
    <s v="Ship to 9-C"/>
    <x v="2"/>
    <s v="Supplier ZWZDM"/>
    <s v="Italy"/>
    <x v="1"/>
    <n v="204.75"/>
  </r>
  <r>
    <n v="10755"/>
    <n v="69"/>
    <n v="36"/>
    <n v="25"/>
    <n v="0.25"/>
    <s v="Raghav, Amritansh"/>
    <s v="Raghav Amritansh"/>
    <x v="1"/>
    <s v="WA"/>
    <s v="Product COAXA"/>
    <x v="0"/>
    <x v="363"/>
    <d v="2007-11-28T00:00:00"/>
    <x v="1"/>
    <s v="Ship to 9-C"/>
    <x v="2"/>
    <s v="Supplier NZLIF"/>
    <s v="Norway"/>
    <x v="1"/>
    <n v="675"/>
  </r>
  <r>
    <n v="10756"/>
    <n v="18"/>
    <n v="62.5"/>
    <n v="21"/>
    <n v="0.2"/>
    <s v="Wojciechowska, Agnieszka"/>
    <s v="Wojciechowska Agnieszka"/>
    <x v="6"/>
    <s v="WA"/>
    <s v="Product CKEDC"/>
    <x v="3"/>
    <x v="364"/>
    <d v="2007-12-02T00:00:00"/>
    <x v="1"/>
    <s v="Ship to 75-C"/>
    <x v="9"/>
    <s v="Supplier GQRCV"/>
    <s v="Australia"/>
    <x v="1"/>
    <n v="1050"/>
  </r>
  <r>
    <n v="10756"/>
    <n v="36"/>
    <n v="19"/>
    <n v="20"/>
    <n v="0.2"/>
    <s v="Wojciechowska, Agnieszka"/>
    <s v="Wojciechowska Agnieszka"/>
    <x v="6"/>
    <s v="WA"/>
    <s v="Product GMKIJ"/>
    <x v="3"/>
    <x v="364"/>
    <d v="2007-12-02T00:00:00"/>
    <x v="1"/>
    <s v="Ship to 75-C"/>
    <x v="9"/>
    <s v="Supplier QZGUF"/>
    <s v="Sweden"/>
    <x v="1"/>
    <n v="304"/>
  </r>
  <r>
    <n v="10756"/>
    <n v="68"/>
    <n v="12.5"/>
    <n v="6"/>
    <n v="0.2"/>
    <s v="Wojciechowska, Agnieszka"/>
    <s v="Wojciechowska Agnieszka"/>
    <x v="6"/>
    <s v="WA"/>
    <s v="Product TBTBL"/>
    <x v="5"/>
    <x v="364"/>
    <d v="2007-12-02T00:00:00"/>
    <x v="1"/>
    <s v="Ship to 75-C"/>
    <x v="9"/>
    <s v="Supplier BWGYE"/>
    <s v="UK"/>
    <x v="1"/>
    <n v="60"/>
  </r>
  <r>
    <n v="10756"/>
    <n v="69"/>
    <n v="36"/>
    <n v="20"/>
    <n v="0.2"/>
    <s v="Wojciechowska, Agnieszka"/>
    <s v="Wojciechowska Agnieszka"/>
    <x v="6"/>
    <s v="WA"/>
    <s v="Product COAXA"/>
    <x v="0"/>
    <x v="364"/>
    <d v="2007-12-02T00:00:00"/>
    <x v="1"/>
    <s v="Ship to 75-C"/>
    <x v="9"/>
    <s v="Supplier NZLIF"/>
    <s v="Norway"/>
    <x v="1"/>
    <n v="576"/>
  </r>
  <r>
    <n v="10757"/>
    <n v="34"/>
    <n v="14"/>
    <n v="30"/>
    <n v="0"/>
    <s v="Navarro, Tomás"/>
    <s v="Navarro Tomás"/>
    <x v="7"/>
    <n v="0"/>
    <s v="Product SWNJY"/>
    <x v="6"/>
    <x v="364"/>
    <d v="2007-12-15T00:00:00"/>
    <x v="2"/>
    <s v="Ship to 71-B"/>
    <x v="9"/>
    <s v="Supplier UHZRG"/>
    <s v="USA"/>
    <x v="1"/>
    <n v="420"/>
  </r>
  <r>
    <n v="10757"/>
    <n v="59"/>
    <n v="55"/>
    <n v="7"/>
    <n v="0"/>
    <s v="Navarro, Tomás"/>
    <s v="Navarro Tomás"/>
    <x v="7"/>
    <n v="0"/>
    <s v="Product UKXRI"/>
    <x v="0"/>
    <x v="364"/>
    <d v="2007-12-15T00:00:00"/>
    <x v="2"/>
    <s v="Ship to 71-B"/>
    <x v="9"/>
    <s v="Supplier OAVQT"/>
    <s v="France"/>
    <x v="1"/>
    <n v="385"/>
  </r>
  <r>
    <n v="10757"/>
    <n v="62"/>
    <n v="49.3"/>
    <n v="30"/>
    <n v="0"/>
    <s v="Navarro, Tomás"/>
    <s v="Navarro Tomás"/>
    <x v="7"/>
    <n v="0"/>
    <s v="Product WUXYK"/>
    <x v="5"/>
    <x v="364"/>
    <d v="2007-12-15T00:00:00"/>
    <x v="2"/>
    <s v="Ship to 71-B"/>
    <x v="9"/>
    <s v="Supplier OGLRK"/>
    <s v="Canada"/>
    <x v="1"/>
    <n v="1479"/>
  </r>
  <r>
    <n v="10757"/>
    <n v="64"/>
    <n v="33.25"/>
    <n v="24"/>
    <n v="0"/>
    <s v="Navarro, Tomás"/>
    <s v="Navarro Tomás"/>
    <x v="7"/>
    <n v="0"/>
    <s v="Product HCQDE"/>
    <x v="1"/>
    <x v="364"/>
    <d v="2007-12-15T00:00:00"/>
    <x v="2"/>
    <s v="Ship to 71-B"/>
    <x v="9"/>
    <s v="Supplier SVIYA"/>
    <s v="Germany"/>
    <x v="1"/>
    <n v="798"/>
  </r>
  <r>
    <n v="10758"/>
    <n v="26"/>
    <n v="31.23"/>
    <n v="20"/>
    <n v="0"/>
    <s v="Myrcha, Jacek"/>
    <s v="Myrcha Jacek"/>
    <x v="2"/>
    <s v="WA"/>
    <s v="Product HLGZA"/>
    <x v="5"/>
    <x v="365"/>
    <d v="2007-12-04T00:00:00"/>
    <x v="3"/>
    <s v="Ship to 68-C"/>
    <x v="4"/>
    <s v="Supplier ZPYVS"/>
    <s v="Germany"/>
    <x v="2"/>
    <n v="624.6"/>
  </r>
  <r>
    <n v="10758"/>
    <n v="52"/>
    <n v="7"/>
    <n v="60"/>
    <n v="0"/>
    <s v="Myrcha, Jacek"/>
    <s v="Myrcha Jacek"/>
    <x v="2"/>
    <s v="WA"/>
    <s v="Product QSRXF"/>
    <x v="1"/>
    <x v="365"/>
    <d v="2007-12-04T00:00:00"/>
    <x v="3"/>
    <s v="Ship to 68-C"/>
    <x v="4"/>
    <s v="Supplier JNNES"/>
    <s v="Australia"/>
    <x v="2"/>
    <n v="420"/>
  </r>
  <r>
    <n v="10758"/>
    <n v="70"/>
    <n v="15"/>
    <n v="40"/>
    <n v="0"/>
    <s v="Myrcha, Jacek"/>
    <s v="Myrcha Jacek"/>
    <x v="2"/>
    <s v="WA"/>
    <s v="Product TOONT"/>
    <x v="6"/>
    <x v="365"/>
    <d v="2007-12-04T00:00:00"/>
    <x v="3"/>
    <s v="Ship to 68-C"/>
    <x v="4"/>
    <s v="Supplier GQRCV"/>
    <s v="Australia"/>
    <x v="2"/>
    <n v="600"/>
  </r>
  <r>
    <n v="10759"/>
    <n v="32"/>
    <n v="32"/>
    <n v="10"/>
    <n v="0"/>
    <s v="Hassall, Mark"/>
    <s v="Hassall Mark"/>
    <x v="2"/>
    <s v="WA"/>
    <s v="Product NUNAW"/>
    <x v="0"/>
    <x v="365"/>
    <d v="2007-12-12T00:00:00"/>
    <x v="3"/>
    <s v="Destination QOTQA"/>
    <x v="7"/>
    <s v="Supplier KEREV"/>
    <s v="Italy"/>
    <x v="1"/>
    <n v="320"/>
  </r>
  <r>
    <n v="10760"/>
    <n v="25"/>
    <n v="14"/>
    <n v="12"/>
    <n v="0.25"/>
    <s v="Mace, Donald"/>
    <s v="Mace Donald"/>
    <x v="1"/>
    <s v="WA"/>
    <s v="Product LYLNI"/>
    <x v="5"/>
    <x v="366"/>
    <d v="2007-12-10T00:00:00"/>
    <x v="2"/>
    <s v="Ship to 50-B"/>
    <x v="3"/>
    <s v="Supplier ZPYVS"/>
    <s v="Germany"/>
    <x v="2"/>
    <n v="126"/>
  </r>
  <r>
    <n v="10760"/>
    <n v="27"/>
    <n v="43.9"/>
    <n v="40"/>
    <n v="0"/>
    <s v="Mace, Donald"/>
    <s v="Mace Donald"/>
    <x v="1"/>
    <s v="WA"/>
    <s v="Product SMIOH"/>
    <x v="5"/>
    <x v="366"/>
    <d v="2007-12-10T00:00:00"/>
    <x v="2"/>
    <s v="Ship to 50-B"/>
    <x v="3"/>
    <s v="Supplier ZPYVS"/>
    <s v="Germany"/>
    <x v="2"/>
    <n v="1756"/>
  </r>
  <r>
    <n v="10760"/>
    <n v="43"/>
    <n v="46"/>
    <n v="30"/>
    <n v="0.25"/>
    <s v="Mace, Donald"/>
    <s v="Mace Donald"/>
    <x v="1"/>
    <s v="WA"/>
    <s v="Product ZZZHR"/>
    <x v="6"/>
    <x v="366"/>
    <d v="2007-12-10T00:00:00"/>
    <x v="2"/>
    <s v="Ship to 50-B"/>
    <x v="3"/>
    <s v="Supplier CIYNM"/>
    <s v="Singapore"/>
    <x v="2"/>
    <n v="1035"/>
  </r>
  <r>
    <n v="10761"/>
    <n v="25"/>
    <n v="14"/>
    <n v="35"/>
    <n v="0.25"/>
    <s v="Moore, Michael"/>
    <s v="Moore Michael"/>
    <x v="3"/>
    <n v="0"/>
    <s v="Product LYLNI"/>
    <x v="5"/>
    <x v="367"/>
    <d v="2007-12-08T00:00:00"/>
    <x v="1"/>
    <s v="Ship to 65-B"/>
    <x v="9"/>
    <s v="Supplier ZPYVS"/>
    <s v="Germany"/>
    <x v="1"/>
    <n v="367.5"/>
  </r>
  <r>
    <n v="10761"/>
    <n v="75"/>
    <n v="7.75"/>
    <n v="18"/>
    <n v="0"/>
    <s v="Moore, Michael"/>
    <s v="Moore Michael"/>
    <x v="3"/>
    <n v="0"/>
    <s v="Product BWRLG"/>
    <x v="6"/>
    <x v="367"/>
    <d v="2007-12-08T00:00:00"/>
    <x v="1"/>
    <s v="Ship to 65-B"/>
    <x v="9"/>
    <s v="Supplier SVIYA"/>
    <s v="Germany"/>
    <x v="1"/>
    <n v="139.5"/>
  </r>
  <r>
    <n v="10762"/>
    <n v="39"/>
    <n v="18"/>
    <n v="16"/>
    <n v="0"/>
    <s v="San Juan, Patricia"/>
    <s v="San Juan Patricia"/>
    <x v="2"/>
    <s v="WA"/>
    <s v="Product LSOFL"/>
    <x v="6"/>
    <x v="367"/>
    <d v="2007-12-09T00:00:00"/>
    <x v="2"/>
    <s v="Destination YCMPK"/>
    <x v="10"/>
    <s v="Supplier LVJUA"/>
    <s v="France"/>
    <x v="2"/>
    <n v="288"/>
  </r>
  <r>
    <n v="10762"/>
    <n v="47"/>
    <n v="9.5"/>
    <n v="30"/>
    <n v="0"/>
    <s v="San Juan, Patricia"/>
    <s v="San Juan Patricia"/>
    <x v="2"/>
    <s v="WA"/>
    <s v="Product EZZPR"/>
    <x v="5"/>
    <x v="367"/>
    <d v="2007-12-09T00:00:00"/>
    <x v="2"/>
    <s v="Destination YCMPK"/>
    <x v="10"/>
    <s v="Supplier FNUXM"/>
    <s v="Netherlands"/>
    <x v="2"/>
    <n v="285"/>
  </r>
  <r>
    <n v="10762"/>
    <n v="51"/>
    <n v="53"/>
    <n v="28"/>
    <n v="0"/>
    <s v="San Juan, Patricia"/>
    <s v="San Juan Patricia"/>
    <x v="2"/>
    <s v="WA"/>
    <s v="Product APITJ"/>
    <x v="2"/>
    <x v="367"/>
    <d v="2007-12-09T00:00:00"/>
    <x v="2"/>
    <s v="Destination YCMPK"/>
    <x v="10"/>
    <s v="Supplier JNNES"/>
    <s v="Australia"/>
    <x v="2"/>
    <n v="1484"/>
  </r>
  <r>
    <n v="10762"/>
    <n v="56"/>
    <n v="38"/>
    <n v="60"/>
    <n v="0"/>
    <s v="San Juan, Patricia"/>
    <s v="San Juan Patricia"/>
    <x v="2"/>
    <s v="WA"/>
    <s v="Product VKCMF"/>
    <x v="1"/>
    <x v="367"/>
    <d v="2007-12-09T00:00:00"/>
    <x v="2"/>
    <s v="Destination YCMPK"/>
    <x v="10"/>
    <s v="Supplier ZWZDM"/>
    <s v="Italy"/>
    <x v="2"/>
    <n v="2280"/>
  </r>
  <r>
    <n v="10763"/>
    <n v="21"/>
    <n v="10"/>
    <n v="40"/>
    <n v="0"/>
    <s v="Khanna, Karan"/>
    <s v="Khanna Karan"/>
    <x v="2"/>
    <s v="WA"/>
    <s v="Product VJZZH"/>
    <x v="5"/>
    <x v="368"/>
    <d v="2007-12-08T00:00:00"/>
    <x v="3"/>
    <s v="Destination PXQRR"/>
    <x v="2"/>
    <s v="Supplier BWGYE"/>
    <s v="UK"/>
    <x v="1"/>
    <n v="400"/>
  </r>
  <r>
    <n v="10763"/>
    <n v="22"/>
    <n v="21"/>
    <n v="6"/>
    <n v="0"/>
    <s v="Khanna, Karan"/>
    <s v="Khanna Karan"/>
    <x v="2"/>
    <s v="WA"/>
    <s v="Product CPHFY"/>
    <x v="1"/>
    <x v="368"/>
    <d v="2007-12-08T00:00:00"/>
    <x v="3"/>
    <s v="Destination PXQRR"/>
    <x v="2"/>
    <s v="Supplier QQYEU"/>
    <s v="Sweden"/>
    <x v="1"/>
    <n v="126"/>
  </r>
  <r>
    <n v="10763"/>
    <n v="24"/>
    <n v="4.5"/>
    <n v="20"/>
    <n v="0"/>
    <s v="Khanna, Karan"/>
    <s v="Khanna Karan"/>
    <x v="2"/>
    <s v="WA"/>
    <s v="Product QOGNU"/>
    <x v="6"/>
    <x v="368"/>
    <d v="2007-12-08T00:00:00"/>
    <x v="3"/>
    <s v="Destination PXQRR"/>
    <x v="2"/>
    <s v="Supplier UNAHG"/>
    <s v="Brazil"/>
    <x v="1"/>
    <n v="90"/>
  </r>
  <r>
    <n v="10764"/>
    <n v="3"/>
    <n v="10"/>
    <n v="20"/>
    <n v="0.1"/>
    <s v="Kane, John"/>
    <s v="Kane John"/>
    <x v="7"/>
    <n v="0"/>
    <s v="Product IMEHJ"/>
    <x v="4"/>
    <x v="368"/>
    <d v="2007-12-08T00:00:00"/>
    <x v="3"/>
    <s v="Destination CUVPF"/>
    <x v="6"/>
    <s v="Supplier SWRXU"/>
    <s v="UK"/>
    <x v="2"/>
    <n v="180"/>
  </r>
  <r>
    <n v="10764"/>
    <n v="39"/>
    <n v="18"/>
    <n v="130"/>
    <n v="0.1"/>
    <s v="Kane, John"/>
    <s v="Kane John"/>
    <x v="7"/>
    <n v="0"/>
    <s v="Product LSOFL"/>
    <x v="6"/>
    <x v="368"/>
    <d v="2007-12-08T00:00:00"/>
    <x v="3"/>
    <s v="Destination CUVPF"/>
    <x v="6"/>
    <s v="Supplier LVJUA"/>
    <s v="France"/>
    <x v="2"/>
    <n v="2106"/>
  </r>
  <r>
    <n v="10765"/>
    <n v="65"/>
    <n v="21.05"/>
    <n v="80"/>
    <n v="0.1"/>
    <s v="Veronesi, Giorgio"/>
    <s v="Veronesi Giorgio"/>
    <x v="2"/>
    <s v="WA"/>
    <s v="Product XYWBZ"/>
    <x v="4"/>
    <x v="369"/>
    <d v="2007-12-09T00:00:00"/>
    <x v="3"/>
    <s v="Ship to 63-A"/>
    <x v="8"/>
    <s v="Supplier VHQZD"/>
    <s v="USA"/>
    <x v="1"/>
    <n v="1515.6000000000001"/>
  </r>
  <r>
    <n v="10766"/>
    <n v="2"/>
    <n v="19"/>
    <n v="40"/>
    <n v="0"/>
    <s v="Marinova, Nadejda"/>
    <s v="Marinova Nadejda"/>
    <x v="1"/>
    <s v="WA"/>
    <s v="Product RECZE"/>
    <x v="6"/>
    <x v="370"/>
    <d v="2007-12-09T00:00:00"/>
    <x v="2"/>
    <s v="Ship to 56-C"/>
    <x v="8"/>
    <s v="Supplier SWRXU"/>
    <s v="UK"/>
    <x v="2"/>
    <n v="760"/>
  </r>
  <r>
    <n v="10766"/>
    <n v="7"/>
    <n v="30"/>
    <n v="35"/>
    <n v="0"/>
    <s v="Marinova, Nadejda"/>
    <s v="Marinova Nadejda"/>
    <x v="1"/>
    <s v="WA"/>
    <s v="Product HMLNI"/>
    <x v="2"/>
    <x v="370"/>
    <d v="2007-12-09T00:00:00"/>
    <x v="2"/>
    <s v="Ship to 56-C"/>
    <x v="8"/>
    <s v="Supplier STUAZ"/>
    <s v="USA"/>
    <x v="2"/>
    <n v="1050"/>
  </r>
  <r>
    <n v="10766"/>
    <n v="68"/>
    <n v="12.5"/>
    <n v="40"/>
    <n v="0"/>
    <s v="Marinova, Nadejda"/>
    <s v="Marinova Nadejda"/>
    <x v="1"/>
    <s v="WA"/>
    <s v="Product TBTBL"/>
    <x v="5"/>
    <x v="370"/>
    <d v="2007-12-09T00:00:00"/>
    <x v="2"/>
    <s v="Ship to 56-C"/>
    <x v="8"/>
    <s v="Supplier BWGYE"/>
    <s v="UK"/>
    <x v="2"/>
    <n v="500"/>
  </r>
  <r>
    <n v="10767"/>
    <n v="42"/>
    <n v="14"/>
    <n v="2"/>
    <n v="0"/>
    <s v="Gulbis, Katrin"/>
    <s v="Gulbis Katrin"/>
    <x v="1"/>
    <s v="WA"/>
    <s v="Product RJVNM"/>
    <x v="1"/>
    <x v="370"/>
    <d v="2007-12-15T00:00:00"/>
    <x v="3"/>
    <s v="Ship to 76-B"/>
    <x v="3"/>
    <s v="Supplier CIYNM"/>
    <s v="Singapore"/>
    <x v="1"/>
    <n v="28"/>
  </r>
  <r>
    <n v="10768"/>
    <n v="22"/>
    <n v="21"/>
    <n v="4"/>
    <n v="0"/>
    <s v="Arndt, Torsten"/>
    <s v="Arndt Torsten"/>
    <x v="2"/>
    <s v="WA"/>
    <s v="Product CPHFY"/>
    <x v="1"/>
    <x v="371"/>
    <d v="2007-12-15T00:00:00"/>
    <x v="1"/>
    <s v="Ship to 4-B"/>
    <x v="14"/>
    <s v="Supplier QQYEU"/>
    <s v="Sweden"/>
    <x v="2"/>
    <n v="84"/>
  </r>
  <r>
    <n v="10768"/>
    <n v="31"/>
    <n v="12.5"/>
    <n v="50"/>
    <n v="0"/>
    <s v="Arndt, Torsten"/>
    <s v="Arndt Torsten"/>
    <x v="2"/>
    <s v="WA"/>
    <s v="Product XWOXC"/>
    <x v="0"/>
    <x v="371"/>
    <d v="2007-12-15T00:00:00"/>
    <x v="1"/>
    <s v="Ship to 4-B"/>
    <x v="14"/>
    <s v="Supplier KEREV"/>
    <s v="Italy"/>
    <x v="2"/>
    <n v="625"/>
  </r>
  <r>
    <n v="10768"/>
    <n v="60"/>
    <n v="34"/>
    <n v="15"/>
    <n v="0"/>
    <s v="Arndt, Torsten"/>
    <s v="Arndt Torsten"/>
    <x v="2"/>
    <s v="WA"/>
    <s v="Product WHBYK"/>
    <x v="0"/>
    <x v="371"/>
    <d v="2007-12-15T00:00:00"/>
    <x v="1"/>
    <s v="Ship to 4-B"/>
    <x v="14"/>
    <s v="Supplier OAVQT"/>
    <s v="France"/>
    <x v="2"/>
    <n v="510"/>
  </r>
  <r>
    <n v="10768"/>
    <n v="71"/>
    <n v="21.5"/>
    <n v="12"/>
    <n v="0"/>
    <s v="Arndt, Torsten"/>
    <s v="Arndt Torsten"/>
    <x v="2"/>
    <s v="WA"/>
    <s v="Product MYMOI"/>
    <x v="0"/>
    <x v="371"/>
    <d v="2007-12-15T00:00:00"/>
    <x v="1"/>
    <s v="Ship to 4-B"/>
    <x v="14"/>
    <s v="Supplier NZLIF"/>
    <s v="Norway"/>
    <x v="2"/>
    <n v="258"/>
  </r>
  <r>
    <n v="10769"/>
    <n v="41"/>
    <n v="9.65"/>
    <n v="30"/>
    <n v="0.05"/>
    <s v="Fonteneau, Karl"/>
    <s v="Fonteneau Karl"/>
    <x v="2"/>
    <s v="WA"/>
    <s v="Product TTEEX"/>
    <x v="3"/>
    <x v="371"/>
    <d v="2007-12-12T00:00:00"/>
    <x v="2"/>
    <s v="Ship to 83-C"/>
    <x v="18"/>
    <s v="Supplier JDNUG"/>
    <s v="USA"/>
    <x v="1"/>
    <n v="275.02499999999998"/>
  </r>
  <r>
    <n v="10769"/>
    <n v="52"/>
    <n v="7"/>
    <n v="15"/>
    <n v="0.05"/>
    <s v="Fonteneau, Karl"/>
    <s v="Fonteneau Karl"/>
    <x v="2"/>
    <s v="WA"/>
    <s v="Product QSRXF"/>
    <x v="1"/>
    <x v="371"/>
    <d v="2007-12-12T00:00:00"/>
    <x v="2"/>
    <s v="Ship to 83-C"/>
    <x v="18"/>
    <s v="Supplier JNNES"/>
    <s v="Australia"/>
    <x v="1"/>
    <n v="99.75"/>
  </r>
  <r>
    <n v="10769"/>
    <n v="61"/>
    <n v="28.5"/>
    <n v="20"/>
    <n v="0"/>
    <s v="Fonteneau, Karl"/>
    <s v="Fonteneau Karl"/>
    <x v="2"/>
    <s v="WA"/>
    <s v="Product XYZPE"/>
    <x v="4"/>
    <x v="371"/>
    <d v="2007-12-12T00:00:00"/>
    <x v="2"/>
    <s v="Ship to 83-C"/>
    <x v="18"/>
    <s v="Supplier OGLRK"/>
    <s v="Canada"/>
    <x v="1"/>
    <n v="570"/>
  </r>
  <r>
    <n v="10769"/>
    <n v="62"/>
    <n v="49.3"/>
    <n v="15"/>
    <n v="0"/>
    <s v="Fonteneau, Karl"/>
    <s v="Fonteneau Karl"/>
    <x v="2"/>
    <s v="WA"/>
    <s v="Product WUXYK"/>
    <x v="5"/>
    <x v="371"/>
    <d v="2007-12-12T00:00:00"/>
    <x v="2"/>
    <s v="Ship to 83-C"/>
    <x v="18"/>
    <s v="Supplier OGLRK"/>
    <s v="Canada"/>
    <x v="1"/>
    <n v="739.5"/>
  </r>
  <r>
    <n v="10770"/>
    <n v="11"/>
    <n v="21"/>
    <n v="15"/>
    <n v="0.25"/>
    <s v="Cohen, Shy"/>
    <s v="Cohen Shy"/>
    <x v="6"/>
    <s v="WA"/>
    <s v="Product QMVUN"/>
    <x v="0"/>
    <x v="372"/>
    <d v="2007-12-17T00:00:00"/>
    <x v="3"/>
    <s v="Destination JPAIY"/>
    <x v="1"/>
    <s v="Supplier EQPNC"/>
    <s v="Spain"/>
    <x v="1"/>
    <n v="236.25"/>
  </r>
  <r>
    <n v="10771"/>
    <n v="71"/>
    <n v="21.5"/>
    <n v="16"/>
    <n v="0"/>
    <s v="Kane, John"/>
    <s v="Kane John"/>
    <x v="4"/>
    <n v="0"/>
    <s v="Product MYMOI"/>
    <x v="0"/>
    <x v="373"/>
    <d v="2008-01-02T00:00:00"/>
    <x v="1"/>
    <s v="Destination CUVPF"/>
    <x v="6"/>
    <s v="Supplier NZLIF"/>
    <s v="Norway"/>
    <x v="1"/>
    <n v="344"/>
  </r>
  <r>
    <n v="10772"/>
    <n v="29"/>
    <n v="123.79"/>
    <n v="18"/>
    <n v="0"/>
    <s v="Louverdis, George"/>
    <s v="Louverdis George"/>
    <x v="2"/>
    <s v="WA"/>
    <s v="Product VJXYN"/>
    <x v="7"/>
    <x v="373"/>
    <d v="2007-12-19T00:00:00"/>
    <x v="1"/>
    <s v="Ship to 44-B"/>
    <x v="8"/>
    <s v="Supplier SVIYA"/>
    <s v="Germany"/>
    <x v="1"/>
    <n v="2228.2200000000003"/>
  </r>
  <r>
    <n v="10772"/>
    <n v="59"/>
    <n v="55"/>
    <n v="25"/>
    <n v="0"/>
    <s v="Louverdis, George"/>
    <s v="Louverdis George"/>
    <x v="2"/>
    <s v="WA"/>
    <s v="Product UKXRI"/>
    <x v="0"/>
    <x v="373"/>
    <d v="2007-12-19T00:00:00"/>
    <x v="1"/>
    <s v="Ship to 44-B"/>
    <x v="8"/>
    <s v="Supplier OAVQT"/>
    <s v="France"/>
    <x v="1"/>
    <n v="1375"/>
  </r>
  <r>
    <n v="10773"/>
    <n v="17"/>
    <n v="39"/>
    <n v="33"/>
    <n v="0"/>
    <s v="Kane, John"/>
    <s v="Kane John"/>
    <x v="5"/>
    <s v="WA"/>
    <s v="Product BLCAX"/>
    <x v="7"/>
    <x v="374"/>
    <d v="2007-12-16T00:00:00"/>
    <x v="3"/>
    <s v="Destination FFXKT"/>
    <x v="6"/>
    <s v="Supplier GQRCV"/>
    <s v="Australia"/>
    <x v="1"/>
    <n v="1287"/>
  </r>
  <r>
    <n v="10773"/>
    <n v="31"/>
    <n v="12.5"/>
    <n v="70"/>
    <n v="0.2"/>
    <s v="Kane, John"/>
    <s v="Kane John"/>
    <x v="5"/>
    <s v="WA"/>
    <s v="Product XWOXC"/>
    <x v="0"/>
    <x v="374"/>
    <d v="2007-12-16T00:00:00"/>
    <x v="3"/>
    <s v="Destination FFXKT"/>
    <x v="6"/>
    <s v="Supplier KEREV"/>
    <s v="Italy"/>
    <x v="1"/>
    <n v="700"/>
  </r>
  <r>
    <n v="10773"/>
    <n v="75"/>
    <n v="7.75"/>
    <n v="7"/>
    <n v="0.2"/>
    <s v="Kane, John"/>
    <s v="Kane John"/>
    <x v="5"/>
    <s v="WA"/>
    <s v="Product BWRLG"/>
    <x v="6"/>
    <x v="374"/>
    <d v="2007-12-16T00:00:00"/>
    <x v="3"/>
    <s v="Destination FFXKT"/>
    <x v="6"/>
    <s v="Supplier SVIYA"/>
    <s v="Germany"/>
    <x v="1"/>
    <n v="43.400000000000006"/>
  </r>
  <r>
    <n v="10774"/>
    <n v="31"/>
    <n v="12.5"/>
    <n v="2"/>
    <n v="0.25"/>
    <s v="San Juan, Patricia"/>
    <s v="San Juan Patricia"/>
    <x v="1"/>
    <s v="WA"/>
    <s v="Product XWOXC"/>
    <x v="0"/>
    <x v="374"/>
    <d v="2007-12-12T00:00:00"/>
    <x v="2"/>
    <s v="Destination KBSBN"/>
    <x v="10"/>
    <s v="Supplier KEREV"/>
    <s v="Italy"/>
    <x v="1"/>
    <n v="18.75"/>
  </r>
  <r>
    <n v="10774"/>
    <n v="66"/>
    <n v="17"/>
    <n v="50"/>
    <n v="0"/>
    <s v="San Juan, Patricia"/>
    <s v="San Juan Patricia"/>
    <x v="1"/>
    <s v="WA"/>
    <s v="Product LQMGN"/>
    <x v="4"/>
    <x v="374"/>
    <d v="2007-12-12T00:00:00"/>
    <x v="2"/>
    <s v="Destination KBSBN"/>
    <x v="10"/>
    <s v="Supplier VHQZD"/>
    <s v="USA"/>
    <x v="1"/>
    <n v="850"/>
  </r>
  <r>
    <n v="10775"/>
    <n v="10"/>
    <n v="31"/>
    <n v="6"/>
    <n v="0"/>
    <s v="Young, Robin"/>
    <s v="Young Robin"/>
    <x v="9"/>
    <n v="0"/>
    <s v="Product YHXGE"/>
    <x v="3"/>
    <x v="375"/>
    <d v="2007-12-26T00:00:00"/>
    <x v="2"/>
    <s v="Ship to 78-A"/>
    <x v="9"/>
    <s v="Supplier QOVFD"/>
    <s v="Japan"/>
    <x v="1"/>
    <n v="186"/>
  </r>
  <r>
    <n v="10775"/>
    <n v="67"/>
    <n v="14"/>
    <n v="3"/>
    <n v="0"/>
    <s v="Young, Robin"/>
    <s v="Young Robin"/>
    <x v="9"/>
    <n v="0"/>
    <s v="Product XLXQF"/>
    <x v="6"/>
    <x v="375"/>
    <d v="2007-12-26T00:00:00"/>
    <x v="2"/>
    <s v="Ship to 78-A"/>
    <x v="9"/>
    <s v="Supplier UHZRG"/>
    <s v="USA"/>
    <x v="1"/>
    <n v="42"/>
  </r>
  <r>
    <n v="10776"/>
    <n v="31"/>
    <n v="12.5"/>
    <n v="16"/>
    <n v="0.05"/>
    <s v="Kane, John"/>
    <s v="Kane John"/>
    <x v="5"/>
    <s v="WA"/>
    <s v="Product XWOXC"/>
    <x v="0"/>
    <x v="376"/>
    <d v="2007-12-18T00:00:00"/>
    <x v="3"/>
    <s v="Destination RVDMF"/>
    <x v="6"/>
    <s v="Supplier KEREV"/>
    <s v="Italy"/>
    <x v="2"/>
    <n v="190"/>
  </r>
  <r>
    <n v="10776"/>
    <n v="42"/>
    <n v="14"/>
    <n v="12"/>
    <n v="0.05"/>
    <s v="Kane, John"/>
    <s v="Kane John"/>
    <x v="5"/>
    <s v="WA"/>
    <s v="Product RJVNM"/>
    <x v="1"/>
    <x v="376"/>
    <d v="2007-12-18T00:00:00"/>
    <x v="3"/>
    <s v="Destination RVDMF"/>
    <x v="6"/>
    <s v="Supplier CIYNM"/>
    <s v="Singapore"/>
    <x v="2"/>
    <n v="159.6"/>
  </r>
  <r>
    <n v="10776"/>
    <n v="45"/>
    <n v="9.5"/>
    <n v="27"/>
    <n v="0.05"/>
    <s v="Kane, John"/>
    <s v="Kane John"/>
    <x v="5"/>
    <s v="WA"/>
    <s v="Product AQOKR"/>
    <x v="3"/>
    <x v="376"/>
    <d v="2007-12-18T00:00:00"/>
    <x v="3"/>
    <s v="Destination RVDMF"/>
    <x v="6"/>
    <s v="Supplier XOXZA"/>
    <s v="Denmark"/>
    <x v="2"/>
    <n v="243.67499999999998"/>
  </r>
  <r>
    <n v="10776"/>
    <n v="51"/>
    <n v="53"/>
    <n v="120"/>
    <n v="0.05"/>
    <s v="Kane, John"/>
    <s v="Kane John"/>
    <x v="5"/>
    <s v="WA"/>
    <s v="Product APITJ"/>
    <x v="2"/>
    <x v="376"/>
    <d v="2007-12-18T00:00:00"/>
    <x v="3"/>
    <s v="Destination RVDMF"/>
    <x v="6"/>
    <s v="Supplier JNNES"/>
    <s v="Australia"/>
    <x v="2"/>
    <n v="6042"/>
  </r>
  <r>
    <n v="10777"/>
    <n v="42"/>
    <n v="14"/>
    <n v="20"/>
    <n v="0.2"/>
    <s v="Cheng, Yao-Qiang"/>
    <s v="Cheng Yao-Qiang"/>
    <x v="9"/>
    <n v="0"/>
    <s v="Product RJVNM"/>
    <x v="1"/>
    <x v="376"/>
    <d v="2008-01-21T00:00:00"/>
    <x v="1"/>
    <s v="Destination GWPFK"/>
    <x v="1"/>
    <s v="Supplier CIYNM"/>
    <s v="Singapore"/>
    <x v="1"/>
    <n v="224"/>
  </r>
  <r>
    <n v="10778"/>
    <n v="41"/>
    <n v="9.65"/>
    <n v="10"/>
    <n v="0"/>
    <s v="Higginbotham, Tom"/>
    <s v="Higginbotham Tom"/>
    <x v="2"/>
    <s v="WA"/>
    <s v="Product TTEEX"/>
    <x v="3"/>
    <x v="377"/>
    <d v="2007-12-24T00:00:00"/>
    <x v="2"/>
    <s v="Ship to 5-A"/>
    <x v="10"/>
    <s v="Supplier JDNUG"/>
    <s v="USA"/>
    <x v="1"/>
    <n v="96.5"/>
  </r>
  <r>
    <n v="10779"/>
    <n v="16"/>
    <n v="17.45"/>
    <n v="20"/>
    <n v="0"/>
    <s v="Dupont-Roc, Patrice"/>
    <s v="Dupont-Roc Patrice"/>
    <x v="2"/>
    <s v="WA"/>
    <s v="Product PAFRH"/>
    <x v="5"/>
    <x v="377"/>
    <d v="2008-01-14T00:00:00"/>
    <x v="1"/>
    <s v="Ship to 52-A"/>
    <x v="8"/>
    <s v="Supplier GQRCV"/>
    <s v="Australia"/>
    <x v="1"/>
    <n v="349"/>
  </r>
  <r>
    <n v="10779"/>
    <n v="62"/>
    <n v="49.3"/>
    <n v="20"/>
    <n v="0"/>
    <s v="Dupont-Roc, Patrice"/>
    <s v="Dupont-Roc Patrice"/>
    <x v="2"/>
    <s v="WA"/>
    <s v="Product WUXYK"/>
    <x v="5"/>
    <x v="377"/>
    <d v="2008-01-14T00:00:00"/>
    <x v="1"/>
    <s v="Ship to 52-A"/>
    <x v="8"/>
    <s v="Supplier OGLRK"/>
    <s v="Canada"/>
    <x v="1"/>
    <n v="986"/>
  </r>
  <r>
    <n v="10780"/>
    <n v="70"/>
    <n v="15"/>
    <n v="35"/>
    <n v="0"/>
    <s v="Dressler, Marlies"/>
    <s v="Dressler Marlies"/>
    <x v="8"/>
    <s v="WA"/>
    <s v="Product TOONT"/>
    <x v="6"/>
    <x v="377"/>
    <d v="2007-12-25T00:00:00"/>
    <x v="2"/>
    <s v="Ship to 46-C"/>
    <x v="5"/>
    <s v="Supplier GQRCV"/>
    <s v="Australia"/>
    <x v="1"/>
    <n v="525"/>
  </r>
  <r>
    <n v="10780"/>
    <n v="77"/>
    <n v="13"/>
    <n v="15"/>
    <n v="0"/>
    <s v="Dressler, Marlies"/>
    <s v="Dressler Marlies"/>
    <x v="8"/>
    <s v="WA"/>
    <s v="Product LUNZZ"/>
    <x v="4"/>
    <x v="377"/>
    <d v="2007-12-25T00:00:00"/>
    <x v="2"/>
    <s v="Ship to 46-C"/>
    <x v="5"/>
    <s v="Supplier SVIYA"/>
    <s v="Germany"/>
    <x v="1"/>
    <n v="195"/>
  </r>
  <r>
    <n v="10781"/>
    <n v="54"/>
    <n v="7.45"/>
    <n v="3"/>
    <n v="0.2"/>
    <s v="Ludwig, Michael"/>
    <s v="Ludwig Michael"/>
    <x v="8"/>
    <s v="WA"/>
    <s v="Product QAQRL"/>
    <x v="7"/>
    <x v="378"/>
    <d v="2007-12-19T00:00:00"/>
    <x v="3"/>
    <s v="Ship to 87-A"/>
    <x v="11"/>
    <s v="Supplier ERVYZ"/>
    <s v="Canada"/>
    <x v="1"/>
    <n v="17.880000000000003"/>
  </r>
  <r>
    <n v="10781"/>
    <n v="56"/>
    <n v="38"/>
    <n v="20"/>
    <n v="0.2"/>
    <s v="Ludwig, Michael"/>
    <s v="Ludwig Michael"/>
    <x v="8"/>
    <s v="WA"/>
    <s v="Product VKCMF"/>
    <x v="1"/>
    <x v="378"/>
    <d v="2007-12-19T00:00:00"/>
    <x v="3"/>
    <s v="Ship to 87-A"/>
    <x v="11"/>
    <s v="Supplier ZWZDM"/>
    <s v="Italy"/>
    <x v="1"/>
    <n v="608"/>
  </r>
  <r>
    <n v="10781"/>
    <n v="74"/>
    <n v="10"/>
    <n v="35"/>
    <n v="0"/>
    <s v="Ludwig, Michael"/>
    <s v="Ludwig Michael"/>
    <x v="8"/>
    <s v="WA"/>
    <s v="Product BKAZJ"/>
    <x v="2"/>
    <x v="378"/>
    <d v="2007-12-19T00:00:00"/>
    <x v="3"/>
    <s v="Ship to 87-A"/>
    <x v="11"/>
    <s v="Supplier QOVFD"/>
    <s v="Japan"/>
    <x v="1"/>
    <n v="350"/>
  </r>
  <r>
    <n v="10782"/>
    <n v="31"/>
    <n v="12.5"/>
    <n v="1"/>
    <n v="0"/>
    <s v="Ray, Mike"/>
    <s v="Ray Mike"/>
    <x v="4"/>
    <n v="0"/>
    <s v="Product XWOXC"/>
    <x v="0"/>
    <x v="378"/>
    <d v="2007-12-22T00:00:00"/>
    <x v="3"/>
    <s v="Destination CJDJB"/>
    <x v="21"/>
    <s v="Supplier KEREV"/>
    <s v="Italy"/>
    <x v="1"/>
    <n v="12.5"/>
  </r>
  <r>
    <n v="10783"/>
    <n v="31"/>
    <n v="12.5"/>
    <n v="10"/>
    <n v="0"/>
    <s v="Cohen, Shy"/>
    <s v="Cohen Shy"/>
    <x v="1"/>
    <s v="WA"/>
    <s v="Product XWOXC"/>
    <x v="0"/>
    <x v="379"/>
    <d v="2007-12-19T00:00:00"/>
    <x v="1"/>
    <s v="Destination DPCVR"/>
    <x v="1"/>
    <s v="Supplier KEREV"/>
    <s v="Italy"/>
    <x v="2"/>
    <n v="125"/>
  </r>
  <r>
    <n v="10783"/>
    <n v="38"/>
    <n v="263.5"/>
    <n v="5"/>
    <n v="0"/>
    <s v="Cohen, Shy"/>
    <s v="Cohen Shy"/>
    <x v="1"/>
    <s v="WA"/>
    <s v="Product QDOMO"/>
    <x v="6"/>
    <x v="379"/>
    <d v="2007-12-19T00:00:00"/>
    <x v="1"/>
    <s v="Destination DPCVR"/>
    <x v="1"/>
    <s v="Supplier LVJUA"/>
    <s v="France"/>
    <x v="2"/>
    <n v="1317.5"/>
  </r>
  <r>
    <n v="10784"/>
    <n v="36"/>
    <n v="19"/>
    <n v="30"/>
    <n v="0"/>
    <s v="Duerr, Bernard"/>
    <s v="Duerr Bernard"/>
    <x v="1"/>
    <s v="WA"/>
    <s v="Product GMKIJ"/>
    <x v="3"/>
    <x v="379"/>
    <d v="2007-12-22T00:00:00"/>
    <x v="3"/>
    <s v="Ship to 49-A"/>
    <x v="12"/>
    <s v="Supplier QZGUF"/>
    <s v="Sweden"/>
    <x v="1"/>
    <n v="570"/>
  </r>
  <r>
    <n v="10784"/>
    <n v="39"/>
    <n v="18"/>
    <n v="2"/>
    <n v="0.15"/>
    <s v="Duerr, Bernard"/>
    <s v="Duerr Bernard"/>
    <x v="1"/>
    <s v="WA"/>
    <s v="Product LSOFL"/>
    <x v="6"/>
    <x v="379"/>
    <d v="2007-12-22T00:00:00"/>
    <x v="3"/>
    <s v="Ship to 49-A"/>
    <x v="12"/>
    <s v="Supplier LVJUA"/>
    <s v="France"/>
    <x v="1"/>
    <n v="30.599999999999998"/>
  </r>
  <r>
    <n v="10784"/>
    <n v="72"/>
    <n v="34.799999999999997"/>
    <n v="30"/>
    <n v="0.15"/>
    <s v="Duerr, Bernard"/>
    <s v="Duerr Bernard"/>
    <x v="1"/>
    <s v="WA"/>
    <s v="Product GEEOO"/>
    <x v="0"/>
    <x v="379"/>
    <d v="2007-12-22T00:00:00"/>
    <x v="3"/>
    <s v="Ship to 49-A"/>
    <x v="12"/>
    <s v="Supplier KEREV"/>
    <s v="Italy"/>
    <x v="1"/>
    <n v="887.4"/>
  </r>
  <r>
    <n v="10785"/>
    <n v="10"/>
    <n v="31"/>
    <n v="10"/>
    <n v="0"/>
    <s v="Sigurdarson, Hallur"/>
    <s v="Sigurdarson Hallur"/>
    <x v="5"/>
    <s v="WA"/>
    <s v="Product YHXGE"/>
    <x v="3"/>
    <x v="379"/>
    <d v="2007-12-24T00:00:00"/>
    <x v="3"/>
    <s v="Destination FQJFJ"/>
    <x v="5"/>
    <s v="Supplier QOVFD"/>
    <s v="Japan"/>
    <x v="1"/>
    <n v="310"/>
  </r>
  <r>
    <n v="10785"/>
    <n v="75"/>
    <n v="7.75"/>
    <n v="10"/>
    <n v="0"/>
    <s v="Sigurdarson, Hallur"/>
    <s v="Sigurdarson Hallur"/>
    <x v="5"/>
    <s v="WA"/>
    <s v="Product BWRLG"/>
    <x v="6"/>
    <x v="379"/>
    <d v="2007-12-24T00:00:00"/>
    <x v="3"/>
    <s v="Destination FQJFJ"/>
    <x v="5"/>
    <s v="Supplier SVIYA"/>
    <s v="Germany"/>
    <x v="1"/>
    <n v="77.5"/>
  </r>
  <r>
    <n v="10786"/>
    <n v="8"/>
    <n v="40"/>
    <n v="30"/>
    <n v="0.2"/>
    <s v="Misiec, Anna"/>
    <s v="Misiec Anna"/>
    <x v="6"/>
    <s v="WA"/>
    <s v="Product WVJFP"/>
    <x v="4"/>
    <x v="380"/>
    <d v="2007-12-23T00:00:00"/>
    <x v="2"/>
    <s v="Ship to 62-B"/>
    <x v="1"/>
    <s v="Supplier STUAZ"/>
    <s v="USA"/>
    <x v="2"/>
    <n v="960"/>
  </r>
  <r>
    <n v="10786"/>
    <n v="30"/>
    <n v="25.89"/>
    <n v="15"/>
    <n v="0.2"/>
    <s v="Misiec, Anna"/>
    <s v="Misiec Anna"/>
    <x v="6"/>
    <s v="WA"/>
    <s v="Product LYERX"/>
    <x v="3"/>
    <x v="380"/>
    <d v="2007-12-23T00:00:00"/>
    <x v="2"/>
    <s v="Ship to 62-B"/>
    <x v="1"/>
    <s v="Supplier TEGSC"/>
    <s v="Germany"/>
    <x v="2"/>
    <n v="310.68000000000006"/>
  </r>
  <r>
    <n v="10786"/>
    <n v="75"/>
    <n v="7.75"/>
    <n v="42"/>
    <n v="0.2"/>
    <s v="Misiec, Anna"/>
    <s v="Misiec Anna"/>
    <x v="6"/>
    <s v="WA"/>
    <s v="Product BWRLG"/>
    <x v="6"/>
    <x v="380"/>
    <d v="2007-12-23T00:00:00"/>
    <x v="2"/>
    <s v="Ship to 62-B"/>
    <x v="1"/>
    <s v="Supplier SVIYA"/>
    <s v="Germany"/>
    <x v="2"/>
    <n v="260.40000000000003"/>
  </r>
  <r>
    <n v="10787"/>
    <n v="2"/>
    <n v="19"/>
    <n v="15"/>
    <n v="0.05"/>
    <s v="Litton, Tim"/>
    <s v="Litton Tim"/>
    <x v="8"/>
    <s v="WA"/>
    <s v="Product RECZE"/>
    <x v="6"/>
    <x v="380"/>
    <d v="2007-12-26T00:00:00"/>
    <x v="2"/>
    <s v="Destination DWJIO"/>
    <x v="2"/>
    <s v="Supplier SWRXU"/>
    <s v="UK"/>
    <x v="2"/>
    <n v="270.75"/>
  </r>
  <r>
    <n v="10787"/>
    <n v="29"/>
    <n v="123.79"/>
    <n v="20"/>
    <n v="0.05"/>
    <s v="Litton, Tim"/>
    <s v="Litton Tim"/>
    <x v="8"/>
    <s v="WA"/>
    <s v="Product VJXYN"/>
    <x v="7"/>
    <x v="380"/>
    <d v="2007-12-26T00:00:00"/>
    <x v="2"/>
    <s v="Destination DWJIO"/>
    <x v="2"/>
    <s v="Supplier SVIYA"/>
    <s v="Germany"/>
    <x v="2"/>
    <n v="2352.0100000000002"/>
  </r>
  <r>
    <n v="10788"/>
    <n v="19"/>
    <n v="9.1999999999999993"/>
    <n v="50"/>
    <n v="0.05"/>
    <s v="Veronesi, Giorgio"/>
    <s v="Veronesi Giorgio"/>
    <x v="5"/>
    <s v="WA"/>
    <s v="Product XKXDO"/>
    <x v="5"/>
    <x v="381"/>
    <d v="2008-01-19T00:00:00"/>
    <x v="1"/>
    <s v="Ship to 63-C"/>
    <x v="8"/>
    <s v="Supplier BWGYE"/>
    <s v="UK"/>
    <x v="1"/>
    <n v="436.99999999999994"/>
  </r>
  <r>
    <n v="10788"/>
    <n v="75"/>
    <n v="7.75"/>
    <n v="40"/>
    <n v="0.05"/>
    <s v="Veronesi, Giorgio"/>
    <s v="Veronesi Giorgio"/>
    <x v="5"/>
    <s v="WA"/>
    <s v="Product BWRLG"/>
    <x v="6"/>
    <x v="381"/>
    <d v="2008-01-19T00:00:00"/>
    <x v="1"/>
    <s v="Ship to 63-C"/>
    <x v="8"/>
    <s v="Supplier SVIYA"/>
    <s v="Germany"/>
    <x v="1"/>
    <n v="294.5"/>
  </r>
  <r>
    <n v="10789"/>
    <n v="18"/>
    <n v="62.5"/>
    <n v="30"/>
    <n v="0"/>
    <s v="Khanna, Karan"/>
    <s v="Khanna Karan"/>
    <x v="5"/>
    <s v="WA"/>
    <s v="Product CKEDC"/>
    <x v="3"/>
    <x v="381"/>
    <d v="2007-12-31T00:00:00"/>
    <x v="1"/>
    <s v="Destination PXQRR"/>
    <x v="2"/>
    <s v="Supplier GQRCV"/>
    <s v="Australia"/>
    <x v="2"/>
    <n v="1875"/>
  </r>
  <r>
    <n v="10789"/>
    <n v="35"/>
    <n v="18"/>
    <n v="15"/>
    <n v="0"/>
    <s v="Khanna, Karan"/>
    <s v="Khanna Karan"/>
    <x v="5"/>
    <s v="WA"/>
    <s v="Product NEVTJ"/>
    <x v="6"/>
    <x v="381"/>
    <d v="2007-12-31T00:00:00"/>
    <x v="1"/>
    <s v="Destination PXQRR"/>
    <x v="2"/>
    <s v="Supplier UHZRG"/>
    <s v="USA"/>
    <x v="2"/>
    <n v="270"/>
  </r>
  <r>
    <n v="10789"/>
    <n v="63"/>
    <n v="43.9"/>
    <n v="30"/>
    <n v="0"/>
    <s v="Khanna, Karan"/>
    <s v="Khanna Karan"/>
    <x v="5"/>
    <s v="WA"/>
    <s v="Product ICKNK"/>
    <x v="4"/>
    <x v="381"/>
    <d v="2007-12-31T00:00:00"/>
    <x v="1"/>
    <s v="Destination PXQRR"/>
    <x v="2"/>
    <s v="Supplier GQRCV"/>
    <s v="Australia"/>
    <x v="2"/>
    <n v="1317"/>
  </r>
  <r>
    <n v="10789"/>
    <n v="68"/>
    <n v="12.5"/>
    <n v="18"/>
    <n v="0"/>
    <s v="Khanna, Karan"/>
    <s v="Khanna Karan"/>
    <x v="5"/>
    <s v="WA"/>
    <s v="Product TBTBL"/>
    <x v="5"/>
    <x v="381"/>
    <d v="2007-12-31T00:00:00"/>
    <x v="1"/>
    <s v="Destination PXQRR"/>
    <x v="2"/>
    <s v="Supplier BWGYE"/>
    <s v="UK"/>
    <x v="2"/>
    <n v="225"/>
  </r>
  <r>
    <n v="10790"/>
    <n v="7"/>
    <n v="30"/>
    <n v="3"/>
    <n v="0.15"/>
    <s v="Cheng, Yao-Qiang"/>
    <s v="Cheng Yao-Qiang"/>
    <x v="7"/>
    <n v="0"/>
    <s v="Product HMLNI"/>
    <x v="2"/>
    <x v="381"/>
    <d v="2007-12-26T00:00:00"/>
    <x v="2"/>
    <s v="Destination XOIGC"/>
    <x v="1"/>
    <s v="Supplier STUAZ"/>
    <s v="USA"/>
    <x v="1"/>
    <n v="76.5"/>
  </r>
  <r>
    <n v="10790"/>
    <n v="56"/>
    <n v="38"/>
    <n v="20"/>
    <n v="0.15"/>
    <s v="Cheng, Yao-Qiang"/>
    <s v="Cheng Yao-Qiang"/>
    <x v="7"/>
    <n v="0"/>
    <s v="Product VKCMF"/>
    <x v="1"/>
    <x v="381"/>
    <d v="2007-12-26T00:00:00"/>
    <x v="2"/>
    <s v="Destination XOIGC"/>
    <x v="1"/>
    <s v="Supplier ZWZDM"/>
    <s v="Italy"/>
    <x v="1"/>
    <n v="646"/>
  </r>
  <r>
    <n v="10791"/>
    <n v="29"/>
    <n v="123.79"/>
    <n v="14"/>
    <n v="0.05"/>
    <s v="Carlson, Jason"/>
    <s v="Carlson Jason"/>
    <x v="7"/>
    <n v="0"/>
    <s v="Product VJXYN"/>
    <x v="7"/>
    <x v="382"/>
    <d v="2008-01-01T00:00:00"/>
    <x v="1"/>
    <s v="Destination QOCBL"/>
    <x v="8"/>
    <s v="Supplier SVIYA"/>
    <s v="Germany"/>
    <x v="1"/>
    <n v="1646.4070000000002"/>
  </r>
  <r>
    <n v="10791"/>
    <n v="41"/>
    <n v="9.65"/>
    <n v="20"/>
    <n v="0.05"/>
    <s v="Carlson, Jason"/>
    <s v="Carlson Jason"/>
    <x v="7"/>
    <n v="0"/>
    <s v="Product TTEEX"/>
    <x v="3"/>
    <x v="382"/>
    <d v="2008-01-01T00:00:00"/>
    <x v="1"/>
    <s v="Destination QOCBL"/>
    <x v="8"/>
    <s v="Supplier JDNUG"/>
    <s v="USA"/>
    <x v="1"/>
    <n v="183.35"/>
  </r>
  <r>
    <n v="10792"/>
    <n v="2"/>
    <n v="19"/>
    <n v="10"/>
    <n v="0"/>
    <s v="Conn, Steve"/>
    <s v="Conn Steve"/>
    <x v="5"/>
    <s v="WA"/>
    <s v="Product RECZE"/>
    <x v="6"/>
    <x v="382"/>
    <d v="2007-12-31T00:00:00"/>
    <x v="3"/>
    <s v="Ship to 91-C"/>
    <x v="19"/>
    <s v="Supplier SWRXU"/>
    <s v="UK"/>
    <x v="1"/>
    <n v="190"/>
  </r>
  <r>
    <n v="10792"/>
    <n v="54"/>
    <n v="7.45"/>
    <n v="3"/>
    <n v="0"/>
    <s v="Conn, Steve"/>
    <s v="Conn Steve"/>
    <x v="5"/>
    <s v="WA"/>
    <s v="Product QAQRL"/>
    <x v="7"/>
    <x v="382"/>
    <d v="2007-12-31T00:00:00"/>
    <x v="3"/>
    <s v="Ship to 91-C"/>
    <x v="19"/>
    <s v="Supplier ERVYZ"/>
    <s v="Canada"/>
    <x v="1"/>
    <n v="22.35"/>
  </r>
  <r>
    <n v="10792"/>
    <n v="68"/>
    <n v="12.5"/>
    <n v="15"/>
    <n v="0"/>
    <s v="Conn, Steve"/>
    <s v="Conn Steve"/>
    <x v="5"/>
    <s v="WA"/>
    <s v="Product TBTBL"/>
    <x v="5"/>
    <x v="382"/>
    <d v="2007-12-31T00:00:00"/>
    <x v="3"/>
    <s v="Ship to 91-C"/>
    <x v="19"/>
    <s v="Supplier BWGYE"/>
    <s v="UK"/>
    <x v="1"/>
    <n v="187.5"/>
  </r>
  <r>
    <n v="10793"/>
    <n v="41"/>
    <n v="9.65"/>
    <n v="14"/>
    <n v="0"/>
    <s v="Arndt, Torsten"/>
    <s v="Arndt Torsten"/>
    <x v="2"/>
    <s v="WA"/>
    <s v="Product TTEEX"/>
    <x v="3"/>
    <x v="383"/>
    <d v="2008-01-08T00:00:00"/>
    <x v="3"/>
    <s v="Ship to 4-B"/>
    <x v="14"/>
    <s v="Supplier JDNUG"/>
    <s v="USA"/>
    <x v="1"/>
    <n v="135.1"/>
  </r>
  <r>
    <n v="10793"/>
    <n v="52"/>
    <n v="7"/>
    <n v="8"/>
    <n v="0"/>
    <s v="Arndt, Torsten"/>
    <s v="Arndt Torsten"/>
    <x v="2"/>
    <s v="WA"/>
    <s v="Product QSRXF"/>
    <x v="1"/>
    <x v="383"/>
    <d v="2008-01-08T00:00:00"/>
    <x v="3"/>
    <s v="Ship to 4-B"/>
    <x v="14"/>
    <s v="Supplier JNNES"/>
    <s v="Australia"/>
    <x v="1"/>
    <n v="56"/>
  </r>
  <r>
    <n v="10794"/>
    <n v="14"/>
    <n v="23.25"/>
    <n v="15"/>
    <n v="0.2"/>
    <s v="Florczyk, Krzysztof"/>
    <s v="Florczyk Krzysztof"/>
    <x v="7"/>
    <n v="0"/>
    <s v="Product PWCJB"/>
    <x v="2"/>
    <x v="383"/>
    <d v="2008-01-02T00:00:00"/>
    <x v="2"/>
    <s v="Ship to 61-C"/>
    <x v="1"/>
    <s v="Supplier QWUSF"/>
    <s v="Japan"/>
    <x v="1"/>
    <n v="279"/>
  </r>
  <r>
    <n v="10794"/>
    <n v="54"/>
    <n v="7.45"/>
    <n v="6"/>
    <n v="0.2"/>
    <s v="Florczyk, Krzysztof"/>
    <s v="Florczyk Krzysztof"/>
    <x v="7"/>
    <n v="0"/>
    <s v="Product QAQRL"/>
    <x v="7"/>
    <x v="383"/>
    <d v="2008-01-02T00:00:00"/>
    <x v="2"/>
    <s v="Ship to 61-C"/>
    <x v="1"/>
    <s v="Supplier ERVYZ"/>
    <s v="Canada"/>
    <x v="1"/>
    <n v="35.760000000000005"/>
  </r>
  <r>
    <n v="10795"/>
    <n v="16"/>
    <n v="17.45"/>
    <n v="65"/>
    <n v="0"/>
    <s v="Kane, John"/>
    <s v="Kane John"/>
    <x v="6"/>
    <s v="WA"/>
    <s v="Product PAFRH"/>
    <x v="5"/>
    <x v="383"/>
    <d v="2008-01-20T00:00:00"/>
    <x v="1"/>
    <s v="Destination FFXKT"/>
    <x v="6"/>
    <s v="Supplier GQRCV"/>
    <s v="Australia"/>
    <x v="2"/>
    <n v="1134.25"/>
  </r>
  <r>
    <n v="10795"/>
    <n v="17"/>
    <n v="39"/>
    <n v="35"/>
    <n v="0.25"/>
    <s v="Kane, John"/>
    <s v="Kane John"/>
    <x v="6"/>
    <s v="WA"/>
    <s v="Product BLCAX"/>
    <x v="7"/>
    <x v="383"/>
    <d v="2008-01-20T00:00:00"/>
    <x v="1"/>
    <s v="Destination FFXKT"/>
    <x v="6"/>
    <s v="Supplier GQRCV"/>
    <s v="Australia"/>
    <x v="2"/>
    <n v="1023.75"/>
  </r>
  <r>
    <n v="10796"/>
    <n v="26"/>
    <n v="31.23"/>
    <n v="21"/>
    <n v="0.2"/>
    <s v="Langohr, Kris"/>
    <s v="Langohr Kris"/>
    <x v="2"/>
    <s v="WA"/>
    <s v="Product HLGZA"/>
    <x v="5"/>
    <x v="384"/>
    <d v="2008-01-14T00:00:00"/>
    <x v="2"/>
    <s v="Destination UOUWK"/>
    <x v="5"/>
    <s v="Supplier ZPYVS"/>
    <s v="Germany"/>
    <x v="1"/>
    <n v="524.6640000000001"/>
  </r>
  <r>
    <n v="10796"/>
    <n v="44"/>
    <n v="19.45"/>
    <n v="10"/>
    <n v="0"/>
    <s v="Langohr, Kris"/>
    <s v="Langohr Kris"/>
    <x v="2"/>
    <s v="WA"/>
    <s v="Product VJIEO"/>
    <x v="4"/>
    <x v="384"/>
    <d v="2008-01-14T00:00:00"/>
    <x v="2"/>
    <s v="Destination UOUWK"/>
    <x v="5"/>
    <s v="Supplier CIYNM"/>
    <s v="Singapore"/>
    <x v="1"/>
    <n v="194.5"/>
  </r>
  <r>
    <n v="10796"/>
    <n v="64"/>
    <n v="33.25"/>
    <n v="35"/>
    <n v="0.2"/>
    <s v="Langohr, Kris"/>
    <s v="Langohr Kris"/>
    <x v="2"/>
    <s v="WA"/>
    <s v="Product HCQDE"/>
    <x v="1"/>
    <x v="384"/>
    <d v="2008-01-14T00:00:00"/>
    <x v="2"/>
    <s v="Destination UOUWK"/>
    <x v="5"/>
    <s v="Supplier SVIYA"/>
    <s v="Germany"/>
    <x v="1"/>
    <n v="931"/>
  </r>
  <r>
    <n v="10796"/>
    <n v="69"/>
    <n v="36"/>
    <n v="24"/>
    <n v="0.2"/>
    <s v="Langohr, Kris"/>
    <s v="Langohr Kris"/>
    <x v="2"/>
    <s v="WA"/>
    <s v="Product COAXA"/>
    <x v="0"/>
    <x v="384"/>
    <d v="2008-01-14T00:00:00"/>
    <x v="2"/>
    <s v="Destination UOUWK"/>
    <x v="5"/>
    <s v="Supplier NZLIF"/>
    <s v="Norway"/>
    <x v="1"/>
    <n v="691.2"/>
  </r>
  <r>
    <n v="10797"/>
    <n v="11"/>
    <n v="21"/>
    <n v="20"/>
    <n v="0"/>
    <s v="Jones, TiAnna"/>
    <s v="Jones TiAnna"/>
    <x v="9"/>
    <n v="0"/>
    <s v="Product QMVUN"/>
    <x v="0"/>
    <x v="384"/>
    <d v="2008-01-05T00:00:00"/>
    <x v="1"/>
    <s v="Destination AJTHX"/>
    <x v="8"/>
    <s v="Supplier EQPNC"/>
    <s v="Spain"/>
    <x v="1"/>
    <n v="420"/>
  </r>
  <r>
    <n v="10798"/>
    <n v="62"/>
    <n v="49.3"/>
    <n v="2"/>
    <n v="0"/>
    <s v="Lee, Frank"/>
    <s v="Lee Frank"/>
    <x v="8"/>
    <s v="WA"/>
    <s v="Product WUXYK"/>
    <x v="5"/>
    <x v="385"/>
    <d v="2008-01-05T00:00:00"/>
    <x v="2"/>
    <s v="Destination AXVHD"/>
    <x v="14"/>
    <s v="Supplier OGLRK"/>
    <s v="Canada"/>
    <x v="1"/>
    <n v="98.6"/>
  </r>
  <r>
    <n v="10798"/>
    <n v="72"/>
    <n v="34.799999999999997"/>
    <n v="10"/>
    <n v="0"/>
    <s v="Lee, Frank"/>
    <s v="Lee Frank"/>
    <x v="8"/>
    <s v="WA"/>
    <s v="Product GEEOO"/>
    <x v="0"/>
    <x v="385"/>
    <d v="2008-01-05T00:00:00"/>
    <x v="2"/>
    <s v="Destination AXVHD"/>
    <x v="14"/>
    <s v="Supplier KEREV"/>
    <s v="Italy"/>
    <x v="1"/>
    <n v="348"/>
  </r>
  <r>
    <n v="10799"/>
    <n v="13"/>
    <n v="6"/>
    <n v="20"/>
    <n v="0.15"/>
    <s v="Song, Lolan"/>
    <s v="Song Lolan"/>
    <x v="4"/>
    <n v="0"/>
    <s v="Product POXFU"/>
    <x v="3"/>
    <x v="385"/>
    <d v="2008-01-05T00:00:00"/>
    <x v="3"/>
    <s v="Destination DKMQA"/>
    <x v="8"/>
    <s v="Supplier QWUSF"/>
    <s v="Japan"/>
    <x v="1"/>
    <n v="102"/>
  </r>
  <r>
    <n v="10799"/>
    <n v="24"/>
    <n v="4.5"/>
    <n v="20"/>
    <n v="0.15"/>
    <s v="Song, Lolan"/>
    <s v="Song Lolan"/>
    <x v="4"/>
    <n v="0"/>
    <s v="Product QOGNU"/>
    <x v="6"/>
    <x v="385"/>
    <d v="2008-01-05T00:00:00"/>
    <x v="3"/>
    <s v="Destination DKMQA"/>
    <x v="8"/>
    <s v="Supplier UNAHG"/>
    <s v="Brazil"/>
    <x v="1"/>
    <n v="76.5"/>
  </r>
  <r>
    <n v="10799"/>
    <n v="59"/>
    <n v="55"/>
    <n v="25"/>
    <n v="0"/>
    <s v="Song, Lolan"/>
    <s v="Song Lolan"/>
    <x v="4"/>
    <n v="0"/>
    <s v="Product UKXRI"/>
    <x v="0"/>
    <x v="385"/>
    <d v="2008-01-05T00:00:00"/>
    <x v="3"/>
    <s v="Destination DKMQA"/>
    <x v="8"/>
    <s v="Supplier OAVQT"/>
    <s v="France"/>
    <x v="1"/>
    <n v="1375"/>
  </r>
  <r>
    <n v="10800"/>
    <n v="11"/>
    <n v="21"/>
    <n v="50"/>
    <n v="0.1"/>
    <s v="Welcker, Brian"/>
    <s v="Welcker Brian"/>
    <x v="5"/>
    <s v="WA"/>
    <s v="Product QMVUN"/>
    <x v="0"/>
    <x v="385"/>
    <d v="2008-01-05T00:00:00"/>
    <x v="3"/>
    <s v="Ship to 72-C"/>
    <x v="14"/>
    <s v="Supplier EQPNC"/>
    <s v="Spain"/>
    <x v="2"/>
    <n v="945"/>
  </r>
  <r>
    <n v="10800"/>
    <n v="51"/>
    <n v="53"/>
    <n v="10"/>
    <n v="0.1"/>
    <s v="Welcker, Brian"/>
    <s v="Welcker Brian"/>
    <x v="5"/>
    <s v="WA"/>
    <s v="Product APITJ"/>
    <x v="2"/>
    <x v="385"/>
    <d v="2008-01-05T00:00:00"/>
    <x v="3"/>
    <s v="Ship to 72-C"/>
    <x v="14"/>
    <s v="Supplier JNNES"/>
    <s v="Australia"/>
    <x v="2"/>
    <n v="477"/>
  </r>
  <r>
    <n v="10800"/>
    <n v="54"/>
    <n v="7.45"/>
    <n v="7"/>
    <n v="0.1"/>
    <s v="Welcker, Brian"/>
    <s v="Welcker Brian"/>
    <x v="5"/>
    <s v="WA"/>
    <s v="Product QAQRL"/>
    <x v="7"/>
    <x v="385"/>
    <d v="2008-01-05T00:00:00"/>
    <x v="3"/>
    <s v="Ship to 72-C"/>
    <x v="14"/>
    <s v="Supplier ERVYZ"/>
    <s v="Canada"/>
    <x v="2"/>
    <n v="46.935000000000002"/>
  </r>
  <r>
    <n v="10801"/>
    <n v="17"/>
    <n v="39"/>
    <n v="40"/>
    <n v="0.25"/>
    <s v="Ilyina, Julia"/>
    <s v="Ilyina Julia"/>
    <x v="1"/>
    <s v="WA"/>
    <s v="Product BLCAX"/>
    <x v="7"/>
    <x v="386"/>
    <d v="2007-12-31T00:00:00"/>
    <x v="1"/>
    <s v="Ship to 8-C"/>
    <x v="13"/>
    <s v="Supplier GQRCV"/>
    <s v="Australia"/>
    <x v="1"/>
    <n v="1170"/>
  </r>
  <r>
    <n v="10801"/>
    <n v="29"/>
    <n v="123.79"/>
    <n v="20"/>
    <n v="0.25"/>
    <s v="Ilyina, Julia"/>
    <s v="Ilyina Julia"/>
    <x v="1"/>
    <s v="WA"/>
    <s v="Product VJXYN"/>
    <x v="7"/>
    <x v="386"/>
    <d v="2007-12-31T00:00:00"/>
    <x v="1"/>
    <s v="Ship to 8-C"/>
    <x v="13"/>
    <s v="Supplier SVIYA"/>
    <s v="Germany"/>
    <x v="1"/>
    <n v="1856.8500000000001"/>
  </r>
  <r>
    <n v="10802"/>
    <n v="30"/>
    <n v="25.89"/>
    <n v="25"/>
    <n v="0.25"/>
    <s v="Gonzalez, Nuria"/>
    <s v="Gonzalez Nuria"/>
    <x v="1"/>
    <s v="WA"/>
    <s v="Product LYERX"/>
    <x v="3"/>
    <x v="386"/>
    <d v="2008-01-02T00:00:00"/>
    <x v="1"/>
    <s v="Ship to 73-A"/>
    <x v="18"/>
    <s v="Supplier TEGSC"/>
    <s v="Germany"/>
    <x v="2"/>
    <n v="485.4375"/>
  </r>
  <r>
    <n v="10802"/>
    <n v="51"/>
    <n v="53"/>
    <n v="30"/>
    <n v="0.25"/>
    <s v="Gonzalez, Nuria"/>
    <s v="Gonzalez Nuria"/>
    <x v="1"/>
    <s v="WA"/>
    <s v="Product APITJ"/>
    <x v="2"/>
    <x v="386"/>
    <d v="2008-01-02T00:00:00"/>
    <x v="1"/>
    <s v="Ship to 73-A"/>
    <x v="18"/>
    <s v="Supplier JNNES"/>
    <s v="Australia"/>
    <x v="2"/>
    <n v="1192.5"/>
  </r>
  <r>
    <n v="10802"/>
    <n v="55"/>
    <n v="24"/>
    <n v="60"/>
    <n v="0.25"/>
    <s v="Gonzalez, Nuria"/>
    <s v="Gonzalez Nuria"/>
    <x v="1"/>
    <s v="WA"/>
    <s v="Product YYWRT"/>
    <x v="7"/>
    <x v="386"/>
    <d v="2008-01-02T00:00:00"/>
    <x v="1"/>
    <s v="Ship to 73-A"/>
    <x v="18"/>
    <s v="Supplier ERVYZ"/>
    <s v="Canada"/>
    <x v="2"/>
    <n v="1080"/>
  </r>
  <r>
    <n v="10802"/>
    <n v="62"/>
    <n v="49.3"/>
    <n v="5"/>
    <n v="0.25"/>
    <s v="Gonzalez, Nuria"/>
    <s v="Gonzalez Nuria"/>
    <x v="1"/>
    <s v="WA"/>
    <s v="Product WUXYK"/>
    <x v="5"/>
    <x v="386"/>
    <d v="2008-01-02T00:00:00"/>
    <x v="1"/>
    <s v="Ship to 73-A"/>
    <x v="18"/>
    <s v="Supplier OGLRK"/>
    <s v="Canada"/>
    <x v="2"/>
    <n v="184.875"/>
  </r>
  <r>
    <n v="10803"/>
    <n v="19"/>
    <n v="9.1999999999999993"/>
    <n v="24"/>
    <n v="0.05"/>
    <s v="Li, Yan"/>
    <s v="Li Yan"/>
    <x v="1"/>
    <s v="WA"/>
    <s v="Product XKXDO"/>
    <x v="5"/>
    <x v="387"/>
    <d v="2008-01-06T00:00:00"/>
    <x v="2"/>
    <s v="Ship to 88-B"/>
    <x v="1"/>
    <s v="Supplier BWGYE"/>
    <s v="UK"/>
    <x v="1"/>
    <n v="209.75999999999996"/>
  </r>
  <r>
    <n v="10803"/>
    <n v="25"/>
    <n v="14"/>
    <n v="15"/>
    <n v="0.05"/>
    <s v="Li, Yan"/>
    <s v="Li Yan"/>
    <x v="1"/>
    <s v="WA"/>
    <s v="Product LYLNI"/>
    <x v="5"/>
    <x v="387"/>
    <d v="2008-01-06T00:00:00"/>
    <x v="2"/>
    <s v="Ship to 88-B"/>
    <x v="1"/>
    <s v="Supplier ZPYVS"/>
    <s v="Germany"/>
    <x v="1"/>
    <n v="199.5"/>
  </r>
  <r>
    <n v="10803"/>
    <n v="59"/>
    <n v="55"/>
    <n v="15"/>
    <n v="0.05"/>
    <s v="Li, Yan"/>
    <s v="Li Yan"/>
    <x v="1"/>
    <s v="WA"/>
    <s v="Product UKXRI"/>
    <x v="0"/>
    <x v="387"/>
    <d v="2008-01-06T00:00:00"/>
    <x v="2"/>
    <s v="Ship to 88-B"/>
    <x v="1"/>
    <s v="Supplier OAVQT"/>
    <s v="France"/>
    <x v="1"/>
    <n v="783.75"/>
  </r>
  <r>
    <n v="10804"/>
    <n v="10"/>
    <n v="31"/>
    <n v="36"/>
    <n v="0"/>
    <s v="Welcker, Brian"/>
    <s v="Welcker Brian"/>
    <x v="7"/>
    <n v="0"/>
    <s v="Product YHXGE"/>
    <x v="3"/>
    <x v="387"/>
    <d v="2008-01-07T00:00:00"/>
    <x v="1"/>
    <s v="Ship to 72-C"/>
    <x v="14"/>
    <s v="Supplier QOVFD"/>
    <s v="Japan"/>
    <x v="1"/>
    <n v="1116"/>
  </r>
  <r>
    <n v="10804"/>
    <n v="28"/>
    <n v="45.6"/>
    <n v="24"/>
    <n v="0"/>
    <s v="Welcker, Brian"/>
    <s v="Welcker Brian"/>
    <x v="7"/>
    <n v="0"/>
    <s v="Product OFBNT"/>
    <x v="2"/>
    <x v="387"/>
    <d v="2008-01-07T00:00:00"/>
    <x v="1"/>
    <s v="Ship to 72-C"/>
    <x v="14"/>
    <s v="Supplier SVIYA"/>
    <s v="Germany"/>
    <x v="1"/>
    <n v="1094.4000000000001"/>
  </r>
  <r>
    <n v="10804"/>
    <n v="49"/>
    <n v="20"/>
    <n v="4"/>
    <n v="0.15"/>
    <s v="Welcker, Brian"/>
    <s v="Welcker Brian"/>
    <x v="7"/>
    <n v="0"/>
    <s v="Product FPYPN"/>
    <x v="5"/>
    <x v="387"/>
    <d v="2008-01-07T00:00:00"/>
    <x v="1"/>
    <s v="Ship to 72-C"/>
    <x v="14"/>
    <s v="Supplier ELCRN"/>
    <s v="Finland"/>
    <x v="1"/>
    <n v="68"/>
  </r>
  <r>
    <n v="10805"/>
    <n v="34"/>
    <n v="14"/>
    <n v="10"/>
    <n v="0"/>
    <s v="Osorio, Cristian"/>
    <s v="Osorio Cristian"/>
    <x v="8"/>
    <s v="WA"/>
    <s v="Product SWNJY"/>
    <x v="6"/>
    <x v="387"/>
    <d v="2008-01-09T00:00:00"/>
    <x v="3"/>
    <s v="Ship to 77-A"/>
    <x v="9"/>
    <s v="Supplier UHZRG"/>
    <s v="USA"/>
    <x v="2"/>
    <n v="140"/>
  </r>
  <r>
    <n v="10805"/>
    <n v="38"/>
    <n v="263.5"/>
    <n v="10"/>
    <n v="0"/>
    <s v="Osorio, Cristian"/>
    <s v="Osorio Cristian"/>
    <x v="8"/>
    <s v="WA"/>
    <s v="Product QDOMO"/>
    <x v="6"/>
    <x v="387"/>
    <d v="2008-01-09T00:00:00"/>
    <x v="3"/>
    <s v="Ship to 77-A"/>
    <x v="9"/>
    <s v="Supplier LVJUA"/>
    <s v="France"/>
    <x v="2"/>
    <n v="2635"/>
  </r>
  <r>
    <n v="10806"/>
    <n v="2"/>
    <n v="19"/>
    <n v="20"/>
    <n v="0.25"/>
    <s v="Tuntisangaroon, Sittichai"/>
    <s v="Tuntisangaroon Sittichai"/>
    <x v="2"/>
    <s v="WA"/>
    <s v="Product RECZE"/>
    <x v="6"/>
    <x v="388"/>
    <d v="2008-01-05T00:00:00"/>
    <x v="1"/>
    <s v="Ship to 84-C"/>
    <x v="2"/>
    <s v="Supplier SWRXU"/>
    <s v="UK"/>
    <x v="1"/>
    <n v="285"/>
  </r>
  <r>
    <n v="10806"/>
    <n v="65"/>
    <n v="21.05"/>
    <n v="2"/>
    <n v="0"/>
    <s v="Tuntisangaroon, Sittichai"/>
    <s v="Tuntisangaroon Sittichai"/>
    <x v="2"/>
    <s v="WA"/>
    <s v="Product XYWBZ"/>
    <x v="4"/>
    <x v="388"/>
    <d v="2008-01-05T00:00:00"/>
    <x v="1"/>
    <s v="Ship to 84-C"/>
    <x v="2"/>
    <s v="Supplier VHQZD"/>
    <s v="USA"/>
    <x v="1"/>
    <n v="42.1"/>
  </r>
  <r>
    <n v="10806"/>
    <n v="74"/>
    <n v="10"/>
    <n v="15"/>
    <n v="0.25"/>
    <s v="Tuntisangaroon, Sittichai"/>
    <s v="Tuntisangaroon Sittichai"/>
    <x v="2"/>
    <s v="WA"/>
    <s v="Product BKAZJ"/>
    <x v="2"/>
    <x v="388"/>
    <d v="2008-01-05T00:00:00"/>
    <x v="1"/>
    <s v="Ship to 84-C"/>
    <x v="2"/>
    <s v="Supplier QOVFD"/>
    <s v="Japan"/>
    <x v="1"/>
    <n v="112.5"/>
  </r>
  <r>
    <n v="10807"/>
    <n v="40"/>
    <n v="18.399999999999999"/>
    <n v="1"/>
    <n v="0"/>
    <s v="Schmöllerl, Martin"/>
    <s v="Schmöllerl Martin"/>
    <x v="1"/>
    <s v="WA"/>
    <s v="Product YZIXQ"/>
    <x v="3"/>
    <x v="388"/>
    <d v="2008-01-30T00:00:00"/>
    <x v="2"/>
    <s v="Destination XNLFB"/>
    <x v="12"/>
    <s v="Supplier JDNUG"/>
    <s v="USA"/>
    <x v="1"/>
    <n v="18.399999999999999"/>
  </r>
  <r>
    <n v="10808"/>
    <n v="56"/>
    <n v="38"/>
    <n v="20"/>
    <n v="0.15"/>
    <s v="Egelund-Muller, Anja"/>
    <s v="Egelund-Muller Anja"/>
    <x v="8"/>
    <s v="WA"/>
    <s v="Product VKCMF"/>
    <x v="1"/>
    <x v="389"/>
    <d v="2008-01-09T00:00:00"/>
    <x v="3"/>
    <s v="Ship to 55-B"/>
    <x v="9"/>
    <s v="Supplier ZWZDM"/>
    <s v="Italy"/>
    <x v="1"/>
    <n v="646"/>
  </r>
  <r>
    <n v="10808"/>
    <n v="76"/>
    <n v="18"/>
    <n v="50"/>
    <n v="0.15"/>
    <s v="Egelund-Muller, Anja"/>
    <s v="Egelund-Muller Anja"/>
    <x v="8"/>
    <s v="WA"/>
    <s v="Product JYGFE"/>
    <x v="6"/>
    <x v="389"/>
    <d v="2008-01-09T00:00:00"/>
    <x v="3"/>
    <s v="Ship to 55-B"/>
    <x v="9"/>
    <s v="Supplier ELCRN"/>
    <s v="Finland"/>
    <x v="1"/>
    <n v="765"/>
  </r>
  <r>
    <n v="10809"/>
    <n v="52"/>
    <n v="7"/>
    <n v="20"/>
    <n v="0"/>
    <s v="Li, Yan"/>
    <s v="Li Yan"/>
    <x v="9"/>
    <n v="0"/>
    <s v="Product QSRXF"/>
    <x v="1"/>
    <x v="389"/>
    <d v="2008-01-07T00:00:00"/>
    <x v="2"/>
    <s v="Ship to 88-C"/>
    <x v="1"/>
    <s v="Supplier JNNES"/>
    <s v="Australia"/>
    <x v="1"/>
    <n v="140"/>
  </r>
  <r>
    <n v="10810"/>
    <n v="13"/>
    <n v="6"/>
    <n v="7"/>
    <n v="0"/>
    <s v="Steiner, Dominik"/>
    <s v="Steiner Dominik"/>
    <x v="8"/>
    <s v="WA"/>
    <s v="Product POXFU"/>
    <x v="3"/>
    <x v="389"/>
    <d v="2008-01-07T00:00:00"/>
    <x v="3"/>
    <s v="Ship to 42-A"/>
    <x v="17"/>
    <s v="Supplier QWUSF"/>
    <s v="Japan"/>
    <x v="1"/>
    <n v="42"/>
  </r>
  <r>
    <n v="10810"/>
    <n v="25"/>
    <n v="14"/>
    <n v="5"/>
    <n v="0"/>
    <s v="Steiner, Dominik"/>
    <s v="Steiner Dominik"/>
    <x v="8"/>
    <s v="WA"/>
    <s v="Product LYLNI"/>
    <x v="5"/>
    <x v="389"/>
    <d v="2008-01-07T00:00:00"/>
    <x v="3"/>
    <s v="Ship to 42-A"/>
    <x v="17"/>
    <s v="Supplier ZPYVS"/>
    <s v="Germany"/>
    <x v="1"/>
    <n v="70"/>
  </r>
  <r>
    <n v="10810"/>
    <n v="70"/>
    <n v="15"/>
    <n v="5"/>
    <n v="0"/>
    <s v="Steiner, Dominik"/>
    <s v="Steiner Dominik"/>
    <x v="8"/>
    <s v="WA"/>
    <s v="Product TOONT"/>
    <x v="6"/>
    <x v="389"/>
    <d v="2008-01-07T00:00:00"/>
    <x v="3"/>
    <s v="Ship to 42-A"/>
    <x v="17"/>
    <s v="Supplier GQRCV"/>
    <s v="Australia"/>
    <x v="1"/>
    <n v="75"/>
  </r>
  <r>
    <n v="10811"/>
    <n v="19"/>
    <n v="9.1999999999999993"/>
    <n v="15"/>
    <n v="0"/>
    <s v="Lupu, Cornel"/>
    <s v="Lupu Cornel"/>
    <x v="6"/>
    <s v="WA"/>
    <s v="Product XKXDO"/>
    <x v="5"/>
    <x v="390"/>
    <d v="2008-01-08T00:00:00"/>
    <x v="2"/>
    <s v="Ship to 47-B"/>
    <x v="5"/>
    <s v="Supplier BWGYE"/>
    <s v="UK"/>
    <x v="1"/>
    <n v="138"/>
  </r>
  <r>
    <n v="10811"/>
    <n v="23"/>
    <n v="9"/>
    <n v="18"/>
    <n v="0"/>
    <s v="Lupu, Cornel"/>
    <s v="Lupu Cornel"/>
    <x v="6"/>
    <s v="WA"/>
    <s v="Product JLUDZ"/>
    <x v="1"/>
    <x v="390"/>
    <d v="2008-01-08T00:00:00"/>
    <x v="2"/>
    <s v="Ship to 47-B"/>
    <x v="5"/>
    <s v="Supplier QQYEU"/>
    <s v="Sweden"/>
    <x v="1"/>
    <n v="162"/>
  </r>
  <r>
    <n v="10811"/>
    <n v="40"/>
    <n v="18.399999999999999"/>
    <n v="30"/>
    <n v="0"/>
    <s v="Lupu, Cornel"/>
    <s v="Lupu Cornel"/>
    <x v="6"/>
    <s v="WA"/>
    <s v="Product YZIXQ"/>
    <x v="3"/>
    <x v="390"/>
    <d v="2008-01-08T00:00:00"/>
    <x v="2"/>
    <s v="Ship to 47-B"/>
    <x v="5"/>
    <s v="Supplier JDNUG"/>
    <s v="USA"/>
    <x v="1"/>
    <n v="552"/>
  </r>
  <r>
    <n v="10812"/>
    <n v="31"/>
    <n v="12.5"/>
    <n v="16"/>
    <n v="0.1"/>
    <s v="Voss, Florian"/>
    <s v="Voss Florian"/>
    <x v="3"/>
    <n v="0"/>
    <s v="Product XWOXC"/>
    <x v="0"/>
    <x v="390"/>
    <d v="2008-01-12T00:00:00"/>
    <x v="2"/>
    <s v="Ship to 66-B"/>
    <x v="12"/>
    <s v="Supplier KEREV"/>
    <s v="Italy"/>
    <x v="1"/>
    <n v="180"/>
  </r>
  <r>
    <n v="10812"/>
    <n v="72"/>
    <n v="34.799999999999997"/>
    <n v="40"/>
    <n v="0.1"/>
    <s v="Voss, Florian"/>
    <s v="Voss Florian"/>
    <x v="3"/>
    <n v="0"/>
    <s v="Product GEEOO"/>
    <x v="0"/>
    <x v="390"/>
    <d v="2008-01-12T00:00:00"/>
    <x v="2"/>
    <s v="Ship to 66-B"/>
    <x v="12"/>
    <s v="Supplier KEREV"/>
    <s v="Italy"/>
    <x v="1"/>
    <n v="1252.8"/>
  </r>
  <r>
    <n v="10812"/>
    <n v="77"/>
    <n v="13"/>
    <n v="20"/>
    <n v="0"/>
    <s v="Voss, Florian"/>
    <s v="Voss Florian"/>
    <x v="3"/>
    <n v="0"/>
    <s v="Product LUNZZ"/>
    <x v="4"/>
    <x v="390"/>
    <d v="2008-01-12T00:00:00"/>
    <x v="2"/>
    <s v="Ship to 66-B"/>
    <x v="12"/>
    <s v="Supplier SVIYA"/>
    <s v="Germany"/>
    <x v="1"/>
    <n v="260"/>
  </r>
  <r>
    <n v="10813"/>
    <n v="2"/>
    <n v="19"/>
    <n v="12"/>
    <n v="0.2"/>
    <s v="Garden, Euan"/>
    <s v="Garden Euan"/>
    <x v="5"/>
    <s v="WA"/>
    <s v="Product RECZE"/>
    <x v="6"/>
    <x v="391"/>
    <d v="2008-01-09T00:00:00"/>
    <x v="2"/>
    <s v="Ship to 67-C"/>
    <x v="1"/>
    <s v="Supplier SWRXU"/>
    <s v="UK"/>
    <x v="1"/>
    <n v="182.4"/>
  </r>
  <r>
    <n v="10813"/>
    <n v="46"/>
    <n v="12"/>
    <n v="35"/>
    <n v="0"/>
    <s v="Garden, Euan"/>
    <s v="Garden Euan"/>
    <x v="5"/>
    <s v="WA"/>
    <s v="Product CBRRL"/>
    <x v="3"/>
    <x v="391"/>
    <d v="2008-01-09T00:00:00"/>
    <x v="2"/>
    <s v="Ship to 67-C"/>
    <x v="1"/>
    <s v="Supplier XOXZA"/>
    <s v="Denmark"/>
    <x v="1"/>
    <n v="420"/>
  </r>
  <r>
    <n v="10814"/>
    <n v="41"/>
    <n v="9.65"/>
    <n v="20"/>
    <n v="0"/>
    <s v="Tuntisangaroon, Sittichai"/>
    <s v="Tuntisangaroon Sittichai"/>
    <x v="2"/>
    <s v="WA"/>
    <s v="Product TTEEX"/>
    <x v="3"/>
    <x v="391"/>
    <d v="2008-01-14T00:00:00"/>
    <x v="3"/>
    <s v="Ship to 84-B"/>
    <x v="2"/>
    <s v="Supplier JDNUG"/>
    <s v="USA"/>
    <x v="2"/>
    <n v="193"/>
  </r>
  <r>
    <n v="10814"/>
    <n v="43"/>
    <n v="46"/>
    <n v="20"/>
    <n v="0.15"/>
    <s v="Tuntisangaroon, Sittichai"/>
    <s v="Tuntisangaroon Sittichai"/>
    <x v="2"/>
    <s v="WA"/>
    <s v="Product ZZZHR"/>
    <x v="6"/>
    <x v="391"/>
    <d v="2008-01-14T00:00:00"/>
    <x v="3"/>
    <s v="Ship to 84-B"/>
    <x v="2"/>
    <s v="Supplier CIYNM"/>
    <s v="Singapore"/>
    <x v="2"/>
    <n v="782"/>
  </r>
  <r>
    <n v="10814"/>
    <n v="48"/>
    <n v="12.75"/>
    <n v="8"/>
    <n v="0.15"/>
    <s v="Tuntisangaroon, Sittichai"/>
    <s v="Tuntisangaroon Sittichai"/>
    <x v="2"/>
    <s v="WA"/>
    <s v="Product MYNXN"/>
    <x v="5"/>
    <x v="391"/>
    <d v="2008-01-14T00:00:00"/>
    <x v="3"/>
    <s v="Ship to 84-B"/>
    <x v="2"/>
    <s v="Supplier FNUXM"/>
    <s v="Netherlands"/>
    <x v="2"/>
    <n v="86.7"/>
  </r>
  <r>
    <n v="10814"/>
    <n v="61"/>
    <n v="28.5"/>
    <n v="30"/>
    <n v="0.15"/>
    <s v="Tuntisangaroon, Sittichai"/>
    <s v="Tuntisangaroon Sittichai"/>
    <x v="2"/>
    <s v="WA"/>
    <s v="Product XYZPE"/>
    <x v="4"/>
    <x v="391"/>
    <d v="2008-01-14T00:00:00"/>
    <x v="3"/>
    <s v="Ship to 84-B"/>
    <x v="2"/>
    <s v="Supplier OGLRK"/>
    <s v="Canada"/>
    <x v="2"/>
    <n v="726.75"/>
  </r>
  <r>
    <n v="10815"/>
    <n v="33"/>
    <n v="2.5"/>
    <n v="16"/>
    <n v="0"/>
    <s v="Navarro, Tomás"/>
    <s v="Navarro Tomás"/>
    <x v="8"/>
    <s v="WA"/>
    <s v="Product ASTMN"/>
    <x v="0"/>
    <x v="391"/>
    <d v="2008-01-14T00:00:00"/>
    <x v="3"/>
    <s v="Ship to 71-A"/>
    <x v="9"/>
    <s v="Supplier NZLIF"/>
    <s v="Norway"/>
    <x v="1"/>
    <n v="40"/>
  </r>
  <r>
    <n v="10816"/>
    <n v="38"/>
    <n v="263.5"/>
    <n v="30"/>
    <n v="0.05"/>
    <s v="Krishnan, Venky"/>
    <s v="Krishnan Venky"/>
    <x v="1"/>
    <s v="WA"/>
    <s v="Product QDOMO"/>
    <x v="6"/>
    <x v="392"/>
    <d v="2008-02-04T00:00:00"/>
    <x v="1"/>
    <s v="Destination AVQUS"/>
    <x v="9"/>
    <s v="Supplier LVJUA"/>
    <s v="France"/>
    <x v="2"/>
    <n v="7509.75"/>
  </r>
  <r>
    <n v="10816"/>
    <n v="62"/>
    <n v="49.3"/>
    <n v="20"/>
    <n v="0.05"/>
    <s v="Krishnan, Venky"/>
    <s v="Krishnan Venky"/>
    <x v="1"/>
    <s v="WA"/>
    <s v="Product WUXYK"/>
    <x v="5"/>
    <x v="392"/>
    <d v="2008-02-04T00:00:00"/>
    <x v="1"/>
    <s v="Destination AVQUS"/>
    <x v="9"/>
    <s v="Supplier OGLRK"/>
    <s v="Canada"/>
    <x v="2"/>
    <n v="936.69999999999993"/>
  </r>
  <r>
    <n v="10817"/>
    <n v="26"/>
    <n v="31.23"/>
    <n v="40"/>
    <n v="0.15"/>
    <s v="Song, Lolan"/>
    <s v="Song Lolan"/>
    <x v="2"/>
    <s v="WA"/>
    <s v="Product HLGZA"/>
    <x v="5"/>
    <x v="392"/>
    <d v="2008-01-13T00:00:00"/>
    <x v="1"/>
    <s v="Destination RMBHM"/>
    <x v="8"/>
    <s v="Supplier ZPYVS"/>
    <s v="Germany"/>
    <x v="2"/>
    <n v="1061.82"/>
  </r>
  <r>
    <n v="10817"/>
    <n v="38"/>
    <n v="263.5"/>
    <n v="30"/>
    <n v="0"/>
    <s v="Song, Lolan"/>
    <s v="Song Lolan"/>
    <x v="2"/>
    <s v="WA"/>
    <s v="Product QDOMO"/>
    <x v="6"/>
    <x v="392"/>
    <d v="2008-01-13T00:00:00"/>
    <x v="1"/>
    <s v="Destination RMBHM"/>
    <x v="8"/>
    <s v="Supplier LVJUA"/>
    <s v="France"/>
    <x v="2"/>
    <n v="7905"/>
  </r>
  <r>
    <n v="10817"/>
    <n v="40"/>
    <n v="18.399999999999999"/>
    <n v="60"/>
    <n v="0.15"/>
    <s v="Song, Lolan"/>
    <s v="Song Lolan"/>
    <x v="2"/>
    <s v="WA"/>
    <s v="Product YZIXQ"/>
    <x v="3"/>
    <x v="392"/>
    <d v="2008-01-13T00:00:00"/>
    <x v="1"/>
    <s v="Destination RMBHM"/>
    <x v="8"/>
    <s v="Supplier JDNUG"/>
    <s v="USA"/>
    <x v="2"/>
    <n v="938.4"/>
  </r>
  <r>
    <n v="10817"/>
    <n v="62"/>
    <n v="49.3"/>
    <n v="25"/>
    <n v="0.15"/>
    <s v="Song, Lolan"/>
    <s v="Song Lolan"/>
    <x v="2"/>
    <s v="WA"/>
    <s v="Product WUXYK"/>
    <x v="5"/>
    <x v="392"/>
    <d v="2008-01-13T00:00:00"/>
    <x v="1"/>
    <s v="Destination RMBHM"/>
    <x v="8"/>
    <s v="Supplier OGLRK"/>
    <s v="Canada"/>
    <x v="2"/>
    <n v="1047.625"/>
  </r>
  <r>
    <n v="10818"/>
    <n v="32"/>
    <n v="32"/>
    <n v="20"/>
    <n v="0"/>
    <s v="Duerr, Bernard"/>
    <s v="Duerr Bernard"/>
    <x v="9"/>
    <n v="0"/>
    <s v="Product NUNAW"/>
    <x v="0"/>
    <x v="393"/>
    <d v="2008-01-12T00:00:00"/>
    <x v="3"/>
    <s v="Ship to 49-B"/>
    <x v="12"/>
    <s v="Supplier KEREV"/>
    <s v="Italy"/>
    <x v="1"/>
    <n v="640"/>
  </r>
  <r>
    <n v="10818"/>
    <n v="41"/>
    <n v="9.65"/>
    <n v="20"/>
    <n v="0"/>
    <s v="Duerr, Bernard"/>
    <s v="Duerr Bernard"/>
    <x v="9"/>
    <n v="0"/>
    <s v="Product TTEEX"/>
    <x v="3"/>
    <x v="393"/>
    <d v="2008-01-12T00:00:00"/>
    <x v="3"/>
    <s v="Ship to 49-B"/>
    <x v="12"/>
    <s v="Supplier JDNUG"/>
    <s v="USA"/>
    <x v="1"/>
    <n v="193"/>
  </r>
  <r>
    <n v="10819"/>
    <n v="43"/>
    <n v="46"/>
    <n v="7"/>
    <n v="0"/>
    <s v="Ray, Mike"/>
    <s v="Ray Mike"/>
    <x v="8"/>
    <s v="WA"/>
    <s v="Product ZZZHR"/>
    <x v="6"/>
    <x v="393"/>
    <d v="2008-01-16T00:00:00"/>
    <x v="3"/>
    <s v="Destination QTHBC"/>
    <x v="21"/>
    <s v="Supplier CIYNM"/>
    <s v="Singapore"/>
    <x v="1"/>
    <n v="322"/>
  </r>
  <r>
    <n v="10819"/>
    <n v="75"/>
    <n v="7.75"/>
    <n v="20"/>
    <n v="0"/>
    <s v="Ray, Mike"/>
    <s v="Ray Mike"/>
    <x v="8"/>
    <s v="WA"/>
    <s v="Product BWRLG"/>
    <x v="6"/>
    <x v="393"/>
    <d v="2008-01-16T00:00:00"/>
    <x v="3"/>
    <s v="Destination QTHBC"/>
    <x v="21"/>
    <s v="Supplier SVIYA"/>
    <s v="Germany"/>
    <x v="1"/>
    <n v="155"/>
  </r>
  <r>
    <n v="10820"/>
    <n v="56"/>
    <n v="38"/>
    <n v="30"/>
    <n v="0"/>
    <s v="Moore, Michael"/>
    <s v="Moore Michael"/>
    <x v="2"/>
    <s v="WA"/>
    <s v="Product VKCMF"/>
    <x v="1"/>
    <x v="393"/>
    <d v="2008-01-13T00:00:00"/>
    <x v="1"/>
    <s v="Ship to 65-B"/>
    <x v="9"/>
    <s v="Supplier ZWZDM"/>
    <s v="Italy"/>
    <x v="1"/>
    <n v="1140"/>
  </r>
  <r>
    <n v="10821"/>
    <n v="35"/>
    <n v="18"/>
    <n v="20"/>
    <n v="0"/>
    <s v="Wojciechowska, Agnieszka"/>
    <s v="Wojciechowska Agnieszka"/>
    <x v="5"/>
    <s v="WA"/>
    <s v="Product NEVTJ"/>
    <x v="6"/>
    <x v="394"/>
    <d v="2008-01-15T00:00:00"/>
    <x v="2"/>
    <s v="Ship to 75-A"/>
    <x v="9"/>
    <s v="Supplier UHZRG"/>
    <s v="USA"/>
    <x v="1"/>
    <n v="360"/>
  </r>
  <r>
    <n v="10821"/>
    <n v="51"/>
    <n v="53"/>
    <n v="6"/>
    <n v="0"/>
    <s v="Wojciechowska, Agnieszka"/>
    <s v="Wojciechowska Agnieszka"/>
    <x v="5"/>
    <s v="WA"/>
    <s v="Product APITJ"/>
    <x v="2"/>
    <x v="394"/>
    <d v="2008-01-15T00:00:00"/>
    <x v="2"/>
    <s v="Ship to 75-A"/>
    <x v="9"/>
    <s v="Supplier JNNES"/>
    <s v="Australia"/>
    <x v="1"/>
    <n v="318"/>
  </r>
  <r>
    <n v="10822"/>
    <n v="62"/>
    <n v="49.3"/>
    <n v="3"/>
    <n v="0"/>
    <s v="Veninga, Tjeerd"/>
    <s v="Veninga Tjeerd"/>
    <x v="7"/>
    <n v="0"/>
    <s v="Product WUXYK"/>
    <x v="5"/>
    <x v="394"/>
    <d v="2008-01-16T00:00:00"/>
    <x v="3"/>
    <s v="Ship to 82-B"/>
    <x v="9"/>
    <s v="Supplier OGLRK"/>
    <s v="Canada"/>
    <x v="1"/>
    <n v="147.89999999999998"/>
  </r>
  <r>
    <n v="10822"/>
    <n v="70"/>
    <n v="15"/>
    <n v="6"/>
    <n v="0"/>
    <s v="Veninga, Tjeerd"/>
    <s v="Veninga Tjeerd"/>
    <x v="7"/>
    <n v="0"/>
    <s v="Product TOONT"/>
    <x v="6"/>
    <x v="394"/>
    <d v="2008-01-16T00:00:00"/>
    <x v="3"/>
    <s v="Ship to 82-B"/>
    <x v="9"/>
    <s v="Supplier GQRCV"/>
    <s v="Australia"/>
    <x v="1"/>
    <n v="90"/>
  </r>
  <r>
    <n v="10823"/>
    <n v="11"/>
    <n v="21"/>
    <n v="20"/>
    <n v="0.1"/>
    <s v="Dressler, Marlies"/>
    <s v="Dressler Marlies"/>
    <x v="3"/>
    <n v="0"/>
    <s v="Product QMVUN"/>
    <x v="0"/>
    <x v="395"/>
    <d v="2008-01-13T00:00:00"/>
    <x v="1"/>
    <s v="Ship to 46-A"/>
    <x v="5"/>
    <s v="Supplier EQPNC"/>
    <s v="Spain"/>
    <x v="2"/>
    <n v="378"/>
  </r>
  <r>
    <n v="10823"/>
    <n v="57"/>
    <n v="19.5"/>
    <n v="15"/>
    <n v="0"/>
    <s v="Dressler, Marlies"/>
    <s v="Dressler Marlies"/>
    <x v="3"/>
    <n v="0"/>
    <s v="Product OVLQI"/>
    <x v="1"/>
    <x v="395"/>
    <d v="2008-01-13T00:00:00"/>
    <x v="1"/>
    <s v="Ship to 46-A"/>
    <x v="5"/>
    <s v="Supplier ZWZDM"/>
    <s v="Italy"/>
    <x v="2"/>
    <n v="292.5"/>
  </r>
  <r>
    <n v="10823"/>
    <n v="59"/>
    <n v="55"/>
    <n v="40"/>
    <n v="0.1"/>
    <s v="Dressler, Marlies"/>
    <s v="Dressler Marlies"/>
    <x v="3"/>
    <n v="0"/>
    <s v="Product UKXRI"/>
    <x v="0"/>
    <x v="395"/>
    <d v="2008-01-13T00:00:00"/>
    <x v="1"/>
    <s v="Ship to 46-A"/>
    <x v="5"/>
    <s v="Supplier OAVQT"/>
    <s v="France"/>
    <x v="2"/>
    <n v="1980"/>
  </r>
  <r>
    <n v="10823"/>
    <n v="77"/>
    <n v="13"/>
    <n v="15"/>
    <n v="0.1"/>
    <s v="Dressler, Marlies"/>
    <s v="Dressler Marlies"/>
    <x v="3"/>
    <n v="0"/>
    <s v="Product LUNZZ"/>
    <x v="4"/>
    <x v="395"/>
    <d v="2008-01-13T00:00:00"/>
    <x v="1"/>
    <s v="Ship to 46-A"/>
    <x v="5"/>
    <s v="Supplier SVIYA"/>
    <s v="Germany"/>
    <x v="2"/>
    <n v="175.5"/>
  </r>
  <r>
    <n v="10824"/>
    <n v="41"/>
    <n v="9.65"/>
    <n v="12"/>
    <n v="0"/>
    <s v="San Juan, Patricia"/>
    <s v="San Juan Patricia"/>
    <x v="6"/>
    <s v="WA"/>
    <s v="Product TTEEX"/>
    <x v="3"/>
    <x v="395"/>
    <d v="2008-01-30T00:00:00"/>
    <x v="2"/>
    <s v="Destination NCKKO"/>
    <x v="10"/>
    <s v="Supplier JDNUG"/>
    <s v="USA"/>
    <x v="1"/>
    <n v="115.80000000000001"/>
  </r>
  <r>
    <n v="10824"/>
    <n v="70"/>
    <n v="15"/>
    <n v="9"/>
    <n v="0"/>
    <s v="San Juan, Patricia"/>
    <s v="San Juan Patricia"/>
    <x v="6"/>
    <s v="WA"/>
    <s v="Product TOONT"/>
    <x v="6"/>
    <x v="395"/>
    <d v="2008-01-30T00:00:00"/>
    <x v="2"/>
    <s v="Destination NCKKO"/>
    <x v="10"/>
    <s v="Supplier GQRCV"/>
    <s v="Australia"/>
    <x v="1"/>
    <n v="135"/>
  </r>
  <r>
    <n v="10825"/>
    <n v="26"/>
    <n v="31.23"/>
    <n v="12"/>
    <n v="0"/>
    <s v="Jones, TiAnna"/>
    <s v="Jones TiAnna"/>
    <x v="5"/>
    <s v="WA"/>
    <s v="Product HLGZA"/>
    <x v="5"/>
    <x v="395"/>
    <d v="2008-01-14T00:00:00"/>
    <x v="2"/>
    <s v="Destination BJCXA"/>
    <x v="8"/>
    <s v="Supplier ZPYVS"/>
    <s v="Germany"/>
    <x v="1"/>
    <n v="374.76"/>
  </r>
  <r>
    <n v="10825"/>
    <n v="53"/>
    <n v="32.799999999999997"/>
    <n v="20"/>
    <n v="0"/>
    <s v="Jones, TiAnna"/>
    <s v="Jones TiAnna"/>
    <x v="5"/>
    <s v="WA"/>
    <s v="Product BKGEA"/>
    <x v="7"/>
    <x v="395"/>
    <d v="2008-01-14T00:00:00"/>
    <x v="2"/>
    <s v="Destination BJCXA"/>
    <x v="8"/>
    <s v="Supplier JNNES"/>
    <s v="Australia"/>
    <x v="1"/>
    <n v="656"/>
  </r>
  <r>
    <n v="10826"/>
    <n v="31"/>
    <n v="12.5"/>
    <n v="35"/>
    <n v="0"/>
    <s v="Bansal, Dushyant"/>
    <s v="Bansal Dushyant"/>
    <x v="7"/>
    <n v="0"/>
    <s v="Product XWOXC"/>
    <x v="0"/>
    <x v="396"/>
    <d v="2008-02-06T00:00:00"/>
    <x v="2"/>
    <s v="Ship to 7-C"/>
    <x v="2"/>
    <s v="Supplier KEREV"/>
    <s v="Italy"/>
    <x v="1"/>
    <n v="437.5"/>
  </r>
  <r>
    <n v="10826"/>
    <n v="57"/>
    <n v="19.5"/>
    <n v="15"/>
    <n v="0"/>
    <s v="Bansal, Dushyant"/>
    <s v="Bansal Dushyant"/>
    <x v="7"/>
    <n v="0"/>
    <s v="Product OVLQI"/>
    <x v="1"/>
    <x v="396"/>
    <d v="2008-02-06T00:00:00"/>
    <x v="2"/>
    <s v="Ship to 7-C"/>
    <x v="2"/>
    <s v="Supplier ZWZDM"/>
    <s v="Italy"/>
    <x v="1"/>
    <n v="292.5"/>
  </r>
  <r>
    <n v="10827"/>
    <n v="10"/>
    <n v="31"/>
    <n v="15"/>
    <n v="0"/>
    <s v="Raghav, Amritansh"/>
    <s v="Raghav Amritansh"/>
    <x v="5"/>
    <s v="WA"/>
    <s v="Product YHXGE"/>
    <x v="3"/>
    <x v="396"/>
    <d v="2008-02-06T00:00:00"/>
    <x v="1"/>
    <s v="Ship to 9-B"/>
    <x v="2"/>
    <s v="Supplier QOVFD"/>
    <s v="Japan"/>
    <x v="1"/>
    <n v="465"/>
  </r>
  <r>
    <n v="10827"/>
    <n v="39"/>
    <n v="18"/>
    <n v="21"/>
    <n v="0"/>
    <s v="Raghav, Amritansh"/>
    <s v="Raghav Amritansh"/>
    <x v="5"/>
    <s v="WA"/>
    <s v="Product LSOFL"/>
    <x v="6"/>
    <x v="396"/>
    <d v="2008-02-06T00:00:00"/>
    <x v="1"/>
    <s v="Ship to 9-B"/>
    <x v="2"/>
    <s v="Supplier LVJUA"/>
    <s v="France"/>
    <x v="1"/>
    <n v="378"/>
  </r>
  <r>
    <n v="10828"/>
    <n v="20"/>
    <n v="81"/>
    <n v="5"/>
    <n v="0"/>
    <s v="Gaffney, Lawrie"/>
    <s v="Gaffney Lawrie"/>
    <x v="4"/>
    <n v="0"/>
    <s v="Product QHFFP"/>
    <x v="5"/>
    <x v="397"/>
    <d v="2008-02-04T00:00:00"/>
    <x v="2"/>
    <s v="Ship to 64-B"/>
    <x v="21"/>
    <s v="Supplier BWGYE"/>
    <s v="UK"/>
    <x v="1"/>
    <n v="405"/>
  </r>
  <r>
    <n v="10828"/>
    <n v="38"/>
    <n v="263.5"/>
    <n v="2"/>
    <n v="0"/>
    <s v="Gaffney, Lawrie"/>
    <s v="Gaffney Lawrie"/>
    <x v="4"/>
    <n v="0"/>
    <s v="Product QDOMO"/>
    <x v="6"/>
    <x v="397"/>
    <d v="2008-02-04T00:00:00"/>
    <x v="2"/>
    <s v="Ship to 64-B"/>
    <x v="21"/>
    <s v="Supplier LVJUA"/>
    <s v="France"/>
    <x v="1"/>
    <n v="527"/>
  </r>
  <r>
    <n v="10829"/>
    <n v="2"/>
    <n v="19"/>
    <n v="10"/>
    <n v="0"/>
    <s v="Lee, Frank"/>
    <s v="Lee Frank"/>
    <x v="4"/>
    <n v="0"/>
    <s v="Product RECZE"/>
    <x v="6"/>
    <x v="397"/>
    <d v="2008-01-23T00:00:00"/>
    <x v="2"/>
    <s v="Destination QVTLW"/>
    <x v="14"/>
    <s v="Supplier SWRXU"/>
    <s v="UK"/>
    <x v="2"/>
    <n v="190"/>
  </r>
  <r>
    <n v="10829"/>
    <n v="8"/>
    <n v="40"/>
    <n v="20"/>
    <n v="0"/>
    <s v="Lee, Frank"/>
    <s v="Lee Frank"/>
    <x v="4"/>
    <n v="0"/>
    <s v="Product WVJFP"/>
    <x v="4"/>
    <x v="397"/>
    <d v="2008-01-23T00:00:00"/>
    <x v="2"/>
    <s v="Destination QVTLW"/>
    <x v="14"/>
    <s v="Supplier STUAZ"/>
    <s v="USA"/>
    <x v="2"/>
    <n v="800"/>
  </r>
  <r>
    <n v="10829"/>
    <n v="13"/>
    <n v="6"/>
    <n v="10"/>
    <n v="0"/>
    <s v="Lee, Frank"/>
    <s v="Lee Frank"/>
    <x v="4"/>
    <n v="0"/>
    <s v="Product POXFU"/>
    <x v="3"/>
    <x v="397"/>
    <d v="2008-01-23T00:00:00"/>
    <x v="2"/>
    <s v="Destination QVTLW"/>
    <x v="14"/>
    <s v="Supplier QWUSF"/>
    <s v="Japan"/>
    <x v="2"/>
    <n v="60"/>
  </r>
  <r>
    <n v="10829"/>
    <n v="60"/>
    <n v="34"/>
    <n v="21"/>
    <n v="0"/>
    <s v="Lee, Frank"/>
    <s v="Lee Frank"/>
    <x v="4"/>
    <n v="0"/>
    <s v="Product WHBYK"/>
    <x v="0"/>
    <x v="397"/>
    <d v="2008-01-23T00:00:00"/>
    <x v="2"/>
    <s v="Destination QVTLW"/>
    <x v="14"/>
    <s v="Supplier OAVQT"/>
    <s v="France"/>
    <x v="2"/>
    <n v="714"/>
  </r>
  <r>
    <n v="10830"/>
    <n v="6"/>
    <n v="25"/>
    <n v="6"/>
    <n v="0"/>
    <s v="Nagel, Jean-Philippe"/>
    <s v="Nagel Jean-Philippe"/>
    <x v="1"/>
    <s v="WA"/>
    <s v="Product VAIIV"/>
    <x v="4"/>
    <x v="397"/>
    <d v="2008-01-21T00:00:00"/>
    <x v="1"/>
    <s v="Ship to 81-C"/>
    <x v="1"/>
    <s v="Supplier STUAZ"/>
    <s v="USA"/>
    <x v="1"/>
    <n v="150"/>
  </r>
  <r>
    <n v="10830"/>
    <n v="39"/>
    <n v="18"/>
    <n v="28"/>
    <n v="0"/>
    <s v="Nagel, Jean-Philippe"/>
    <s v="Nagel Jean-Philippe"/>
    <x v="1"/>
    <s v="WA"/>
    <s v="Product LSOFL"/>
    <x v="6"/>
    <x v="397"/>
    <d v="2008-01-21T00:00:00"/>
    <x v="1"/>
    <s v="Ship to 81-C"/>
    <x v="1"/>
    <s v="Supplier LVJUA"/>
    <s v="France"/>
    <x v="1"/>
    <n v="504"/>
  </r>
  <r>
    <n v="10830"/>
    <n v="60"/>
    <n v="34"/>
    <n v="30"/>
    <n v="0"/>
    <s v="Nagel, Jean-Philippe"/>
    <s v="Nagel Jean-Philippe"/>
    <x v="1"/>
    <s v="WA"/>
    <s v="Product WHBYK"/>
    <x v="0"/>
    <x v="397"/>
    <d v="2008-01-21T00:00:00"/>
    <x v="1"/>
    <s v="Ship to 81-C"/>
    <x v="1"/>
    <s v="Supplier OAVQT"/>
    <s v="France"/>
    <x v="1"/>
    <n v="1020"/>
  </r>
  <r>
    <n v="10830"/>
    <n v="68"/>
    <n v="12.5"/>
    <n v="24"/>
    <n v="0"/>
    <s v="Nagel, Jean-Philippe"/>
    <s v="Nagel Jean-Philippe"/>
    <x v="1"/>
    <s v="WA"/>
    <s v="Product TBTBL"/>
    <x v="5"/>
    <x v="397"/>
    <d v="2008-01-21T00:00:00"/>
    <x v="1"/>
    <s v="Ship to 81-C"/>
    <x v="1"/>
    <s v="Supplier BWGYE"/>
    <s v="UK"/>
    <x v="1"/>
    <n v="300"/>
  </r>
  <r>
    <n v="10831"/>
    <n v="19"/>
    <n v="9.1999999999999993"/>
    <n v="2"/>
    <n v="0"/>
    <s v="Ginters, Kaspars"/>
    <s v="Ginters Kaspars"/>
    <x v="2"/>
    <s v="WA"/>
    <s v="Product XKXDO"/>
    <x v="5"/>
    <x v="398"/>
    <d v="2008-01-23T00:00:00"/>
    <x v="1"/>
    <s v="Ship to 70-B"/>
    <x v="20"/>
    <s v="Supplier BWGYE"/>
    <s v="UK"/>
    <x v="1"/>
    <n v="18.399999999999999"/>
  </r>
  <r>
    <n v="10831"/>
    <n v="35"/>
    <n v="18"/>
    <n v="8"/>
    <n v="0"/>
    <s v="Ginters, Kaspars"/>
    <s v="Ginters Kaspars"/>
    <x v="2"/>
    <s v="WA"/>
    <s v="Product NEVTJ"/>
    <x v="6"/>
    <x v="398"/>
    <d v="2008-01-23T00:00:00"/>
    <x v="1"/>
    <s v="Ship to 70-B"/>
    <x v="20"/>
    <s v="Supplier UHZRG"/>
    <s v="USA"/>
    <x v="1"/>
    <n v="144"/>
  </r>
  <r>
    <n v="10831"/>
    <n v="38"/>
    <n v="263.5"/>
    <n v="8"/>
    <n v="0"/>
    <s v="Ginters, Kaspars"/>
    <s v="Ginters Kaspars"/>
    <x v="2"/>
    <s v="WA"/>
    <s v="Product QDOMO"/>
    <x v="6"/>
    <x v="398"/>
    <d v="2008-01-23T00:00:00"/>
    <x v="1"/>
    <s v="Ship to 70-B"/>
    <x v="20"/>
    <s v="Supplier LVJUA"/>
    <s v="France"/>
    <x v="1"/>
    <n v="2108"/>
  </r>
  <r>
    <n v="10831"/>
    <n v="43"/>
    <n v="46"/>
    <n v="9"/>
    <n v="0"/>
    <s v="Ginters, Kaspars"/>
    <s v="Ginters Kaspars"/>
    <x v="2"/>
    <s v="WA"/>
    <s v="Product ZZZHR"/>
    <x v="6"/>
    <x v="398"/>
    <d v="2008-01-23T00:00:00"/>
    <x v="1"/>
    <s v="Ship to 70-B"/>
    <x v="20"/>
    <s v="Supplier CIYNM"/>
    <s v="Singapore"/>
    <x v="1"/>
    <n v="414"/>
  </r>
  <r>
    <n v="10832"/>
    <n v="13"/>
    <n v="6"/>
    <n v="3"/>
    <n v="0.2"/>
    <s v="Litton, Tim"/>
    <s v="Litton Tim"/>
    <x v="8"/>
    <s v="WA"/>
    <s v="Product POXFU"/>
    <x v="3"/>
    <x v="398"/>
    <d v="2008-01-19T00:00:00"/>
    <x v="1"/>
    <s v="Ship to 41-C"/>
    <x v="2"/>
    <s v="Supplier QWUSF"/>
    <s v="Japan"/>
    <x v="1"/>
    <n v="14.4"/>
  </r>
  <r>
    <n v="10832"/>
    <n v="25"/>
    <n v="14"/>
    <n v="10"/>
    <n v="0.2"/>
    <s v="Litton, Tim"/>
    <s v="Litton Tim"/>
    <x v="8"/>
    <s v="WA"/>
    <s v="Product LYLNI"/>
    <x v="5"/>
    <x v="398"/>
    <d v="2008-01-19T00:00:00"/>
    <x v="1"/>
    <s v="Ship to 41-C"/>
    <x v="2"/>
    <s v="Supplier ZPYVS"/>
    <s v="Germany"/>
    <x v="1"/>
    <n v="112"/>
  </r>
  <r>
    <n v="10832"/>
    <n v="44"/>
    <n v="19.45"/>
    <n v="16"/>
    <n v="0.2"/>
    <s v="Litton, Tim"/>
    <s v="Litton Tim"/>
    <x v="8"/>
    <s v="WA"/>
    <s v="Product VJIEO"/>
    <x v="4"/>
    <x v="398"/>
    <d v="2008-01-19T00:00:00"/>
    <x v="1"/>
    <s v="Ship to 41-C"/>
    <x v="2"/>
    <s v="Supplier CIYNM"/>
    <s v="Singapore"/>
    <x v="1"/>
    <n v="248.96"/>
  </r>
  <r>
    <n v="10832"/>
    <n v="64"/>
    <n v="33.25"/>
    <n v="3"/>
    <n v="0"/>
    <s v="Litton, Tim"/>
    <s v="Litton Tim"/>
    <x v="8"/>
    <s v="WA"/>
    <s v="Product HCQDE"/>
    <x v="1"/>
    <x v="398"/>
    <d v="2008-01-19T00:00:00"/>
    <x v="1"/>
    <s v="Ship to 41-C"/>
    <x v="2"/>
    <s v="Supplier SVIYA"/>
    <s v="Germany"/>
    <x v="1"/>
    <n v="99.75"/>
  </r>
  <r>
    <n v="10833"/>
    <n v="7"/>
    <n v="30"/>
    <n v="20"/>
    <n v="0.1"/>
    <s v="Marinova, Nadejda"/>
    <s v="Marinova Nadejda"/>
    <x v="7"/>
    <n v="0"/>
    <s v="Product HMLNI"/>
    <x v="2"/>
    <x v="399"/>
    <d v="2008-01-23T00:00:00"/>
    <x v="1"/>
    <s v="Ship to 56-B"/>
    <x v="8"/>
    <s v="Supplier STUAZ"/>
    <s v="USA"/>
    <x v="1"/>
    <n v="540"/>
  </r>
  <r>
    <n v="10833"/>
    <n v="31"/>
    <n v="12.5"/>
    <n v="9"/>
    <n v="0.1"/>
    <s v="Marinova, Nadejda"/>
    <s v="Marinova Nadejda"/>
    <x v="7"/>
    <n v="0"/>
    <s v="Product XWOXC"/>
    <x v="0"/>
    <x v="399"/>
    <d v="2008-01-23T00:00:00"/>
    <x v="1"/>
    <s v="Ship to 56-B"/>
    <x v="8"/>
    <s v="Supplier KEREV"/>
    <s v="Italy"/>
    <x v="1"/>
    <n v="101.25"/>
  </r>
  <r>
    <n v="10833"/>
    <n v="53"/>
    <n v="32.799999999999997"/>
    <n v="9"/>
    <n v="0.1"/>
    <s v="Marinova, Nadejda"/>
    <s v="Marinova Nadejda"/>
    <x v="7"/>
    <n v="0"/>
    <s v="Product BKGEA"/>
    <x v="7"/>
    <x v="399"/>
    <d v="2008-01-23T00:00:00"/>
    <x v="1"/>
    <s v="Ship to 56-B"/>
    <x v="8"/>
    <s v="Supplier JNNES"/>
    <s v="Australia"/>
    <x v="1"/>
    <n v="265.68"/>
  </r>
  <r>
    <n v="10834"/>
    <n v="29"/>
    <n v="123.79"/>
    <n v="8"/>
    <n v="0.05"/>
    <s v="Nagel, Jean-Philippe"/>
    <s v="Nagel Jean-Philippe"/>
    <x v="5"/>
    <s v="WA"/>
    <s v="Product VJXYN"/>
    <x v="7"/>
    <x v="399"/>
    <d v="2008-01-19T00:00:00"/>
    <x v="3"/>
    <s v="Ship to 81-A"/>
    <x v="1"/>
    <s v="Supplier SVIYA"/>
    <s v="Germany"/>
    <x v="1"/>
    <n v="940.80399999999997"/>
  </r>
  <r>
    <n v="10834"/>
    <n v="30"/>
    <n v="25.89"/>
    <n v="20"/>
    <n v="0.05"/>
    <s v="Nagel, Jean-Philippe"/>
    <s v="Nagel Jean-Philippe"/>
    <x v="5"/>
    <s v="WA"/>
    <s v="Product LYERX"/>
    <x v="3"/>
    <x v="399"/>
    <d v="2008-01-19T00:00:00"/>
    <x v="3"/>
    <s v="Ship to 81-A"/>
    <x v="1"/>
    <s v="Supplier TEGSC"/>
    <s v="Germany"/>
    <x v="1"/>
    <n v="491.90999999999991"/>
  </r>
  <r>
    <n v="10835"/>
    <n v="59"/>
    <n v="55"/>
    <n v="15"/>
    <n v="0"/>
    <s v="Allen, Michael"/>
    <s v="Allen Michael"/>
    <x v="5"/>
    <s v="WA"/>
    <s v="Product UKXRI"/>
    <x v="0"/>
    <x v="399"/>
    <d v="2008-01-21T00:00:00"/>
    <x v="3"/>
    <s v="Destination LOUIE"/>
    <x v="8"/>
    <s v="Supplier OAVQT"/>
    <s v="France"/>
    <x v="1"/>
    <n v="825"/>
  </r>
  <r>
    <n v="10835"/>
    <n v="77"/>
    <n v="13"/>
    <n v="2"/>
    <n v="0.2"/>
    <s v="Allen, Michael"/>
    <s v="Allen Michael"/>
    <x v="5"/>
    <s v="WA"/>
    <s v="Product LUNZZ"/>
    <x v="4"/>
    <x v="399"/>
    <d v="2008-01-21T00:00:00"/>
    <x v="3"/>
    <s v="Destination LOUIE"/>
    <x v="8"/>
    <s v="Supplier SVIYA"/>
    <s v="Germany"/>
    <x v="1"/>
    <n v="20.8"/>
  </r>
  <r>
    <n v="10836"/>
    <n v="22"/>
    <n v="21"/>
    <n v="52"/>
    <n v="0"/>
    <s v="Kane, John"/>
    <s v="Kane John"/>
    <x v="9"/>
    <n v="0"/>
    <s v="Product CPHFY"/>
    <x v="1"/>
    <x v="400"/>
    <d v="2008-01-21T00:00:00"/>
    <x v="2"/>
    <s v="Destination CUVPF"/>
    <x v="6"/>
    <s v="Supplier QQYEU"/>
    <s v="Sweden"/>
    <x v="2"/>
    <n v="1092"/>
  </r>
  <r>
    <n v="10836"/>
    <n v="35"/>
    <n v="18"/>
    <n v="6"/>
    <n v="0"/>
    <s v="Kane, John"/>
    <s v="Kane John"/>
    <x v="9"/>
    <n v="0"/>
    <s v="Product NEVTJ"/>
    <x v="6"/>
    <x v="400"/>
    <d v="2008-01-21T00:00:00"/>
    <x v="2"/>
    <s v="Destination CUVPF"/>
    <x v="6"/>
    <s v="Supplier UHZRG"/>
    <s v="USA"/>
    <x v="2"/>
    <n v="108"/>
  </r>
  <r>
    <n v="10836"/>
    <n v="57"/>
    <n v="19.5"/>
    <n v="24"/>
    <n v="0"/>
    <s v="Kane, John"/>
    <s v="Kane John"/>
    <x v="9"/>
    <n v="0"/>
    <s v="Product OVLQI"/>
    <x v="1"/>
    <x v="400"/>
    <d v="2008-01-21T00:00:00"/>
    <x v="2"/>
    <s v="Destination CUVPF"/>
    <x v="6"/>
    <s v="Supplier ZWZDM"/>
    <s v="Italy"/>
    <x v="2"/>
    <n v="468"/>
  </r>
  <r>
    <n v="10836"/>
    <n v="60"/>
    <n v="34"/>
    <n v="60"/>
    <n v="0"/>
    <s v="Kane, John"/>
    <s v="Kane John"/>
    <x v="9"/>
    <n v="0"/>
    <s v="Product WHBYK"/>
    <x v="0"/>
    <x v="400"/>
    <d v="2008-01-21T00:00:00"/>
    <x v="2"/>
    <s v="Destination CUVPF"/>
    <x v="6"/>
    <s v="Supplier OAVQT"/>
    <s v="France"/>
    <x v="2"/>
    <n v="2040"/>
  </r>
  <r>
    <n v="10836"/>
    <n v="64"/>
    <n v="33.25"/>
    <n v="30"/>
    <n v="0"/>
    <s v="Kane, John"/>
    <s v="Kane John"/>
    <x v="9"/>
    <n v="0"/>
    <s v="Product HCQDE"/>
    <x v="1"/>
    <x v="400"/>
    <d v="2008-01-21T00:00:00"/>
    <x v="2"/>
    <s v="Destination CUVPF"/>
    <x v="6"/>
    <s v="Supplier SVIYA"/>
    <s v="Germany"/>
    <x v="2"/>
    <n v="997.5"/>
  </r>
  <r>
    <n v="10837"/>
    <n v="13"/>
    <n v="6"/>
    <n v="6"/>
    <n v="0"/>
    <s v="Higginbotham, Tom"/>
    <s v="Higginbotham Tom"/>
    <x v="4"/>
    <n v="0"/>
    <s v="Product POXFU"/>
    <x v="3"/>
    <x v="400"/>
    <d v="2008-01-23T00:00:00"/>
    <x v="3"/>
    <s v="Ship to 5-A"/>
    <x v="10"/>
    <s v="Supplier QWUSF"/>
    <s v="Japan"/>
    <x v="1"/>
    <n v="36"/>
  </r>
  <r>
    <n v="10837"/>
    <n v="40"/>
    <n v="18.399999999999999"/>
    <n v="25"/>
    <n v="0"/>
    <s v="Higginbotham, Tom"/>
    <s v="Higginbotham Tom"/>
    <x v="4"/>
    <n v="0"/>
    <s v="Product YZIXQ"/>
    <x v="3"/>
    <x v="400"/>
    <d v="2008-01-23T00:00:00"/>
    <x v="3"/>
    <s v="Ship to 5-A"/>
    <x v="10"/>
    <s v="Supplier JDNUG"/>
    <s v="USA"/>
    <x v="1"/>
    <n v="459.99999999999994"/>
  </r>
  <r>
    <n v="10837"/>
    <n v="47"/>
    <n v="9.5"/>
    <n v="40"/>
    <n v="0.25"/>
    <s v="Higginbotham, Tom"/>
    <s v="Higginbotham Tom"/>
    <x v="4"/>
    <n v="0"/>
    <s v="Product EZZPR"/>
    <x v="5"/>
    <x v="400"/>
    <d v="2008-01-23T00:00:00"/>
    <x v="3"/>
    <s v="Ship to 5-A"/>
    <x v="10"/>
    <s v="Supplier FNUXM"/>
    <s v="Netherlands"/>
    <x v="1"/>
    <n v="285"/>
  </r>
  <r>
    <n v="10837"/>
    <n v="76"/>
    <n v="18"/>
    <n v="21"/>
    <n v="0.25"/>
    <s v="Higginbotham, Tom"/>
    <s v="Higginbotham Tom"/>
    <x v="4"/>
    <n v="0"/>
    <s v="Product JYGFE"/>
    <x v="6"/>
    <x v="400"/>
    <d v="2008-01-23T00:00:00"/>
    <x v="3"/>
    <s v="Ship to 5-A"/>
    <x v="10"/>
    <s v="Supplier ELCRN"/>
    <s v="Finland"/>
    <x v="1"/>
    <n v="283.5"/>
  </r>
  <r>
    <n v="10838"/>
    <n v="1"/>
    <n v="18"/>
    <n v="4"/>
    <n v="0.25"/>
    <s v="Lupu, Cornel"/>
    <s v="Lupu Cornel"/>
    <x v="2"/>
    <s v="WA"/>
    <s v="Product HHYDP"/>
    <x v="6"/>
    <x v="401"/>
    <d v="2008-01-23T00:00:00"/>
    <x v="3"/>
    <s v="Ship to 47-A"/>
    <x v="5"/>
    <s v="Supplier SWRXU"/>
    <s v="UK"/>
    <x v="1"/>
    <n v="54"/>
  </r>
  <r>
    <n v="10838"/>
    <n v="18"/>
    <n v="62.5"/>
    <n v="25"/>
    <n v="0.25"/>
    <s v="Lupu, Cornel"/>
    <s v="Lupu Cornel"/>
    <x v="2"/>
    <s v="WA"/>
    <s v="Product CKEDC"/>
    <x v="3"/>
    <x v="401"/>
    <d v="2008-01-23T00:00:00"/>
    <x v="3"/>
    <s v="Ship to 47-A"/>
    <x v="5"/>
    <s v="Supplier GQRCV"/>
    <s v="Australia"/>
    <x v="1"/>
    <n v="1171.875"/>
  </r>
  <r>
    <n v="10838"/>
    <n v="36"/>
    <n v="19"/>
    <n v="50"/>
    <n v="0.25"/>
    <s v="Lupu, Cornel"/>
    <s v="Lupu Cornel"/>
    <x v="2"/>
    <s v="WA"/>
    <s v="Product GMKIJ"/>
    <x v="3"/>
    <x v="401"/>
    <d v="2008-01-23T00:00:00"/>
    <x v="3"/>
    <s v="Ship to 47-A"/>
    <x v="5"/>
    <s v="Supplier QZGUF"/>
    <s v="Sweden"/>
    <x v="1"/>
    <n v="712.5"/>
  </r>
  <r>
    <n v="10839"/>
    <n v="58"/>
    <n v="13.25"/>
    <n v="30"/>
    <n v="0.1"/>
    <s v="Nagel, Jean-Philippe"/>
    <s v="Nagel Jean-Philippe"/>
    <x v="2"/>
    <s v="WA"/>
    <s v="Product ACRVI"/>
    <x v="3"/>
    <x v="401"/>
    <d v="2008-01-22T00:00:00"/>
    <x v="3"/>
    <s v="Ship to 81-C"/>
    <x v="1"/>
    <s v="Supplier ZRYDZ"/>
    <s v="France"/>
    <x v="1"/>
    <n v="357.75"/>
  </r>
  <r>
    <n v="10839"/>
    <n v="72"/>
    <n v="34.799999999999997"/>
    <n v="15"/>
    <n v="0.1"/>
    <s v="Nagel, Jean-Philippe"/>
    <s v="Nagel Jean-Philippe"/>
    <x v="2"/>
    <s v="WA"/>
    <s v="Product GEEOO"/>
    <x v="0"/>
    <x v="401"/>
    <d v="2008-01-22T00:00:00"/>
    <x v="3"/>
    <s v="Ship to 81-C"/>
    <x v="1"/>
    <s v="Supplier KEREV"/>
    <s v="Italy"/>
    <x v="1"/>
    <n v="469.8"/>
  </r>
  <r>
    <n v="10840"/>
    <n v="25"/>
    <n v="14"/>
    <n v="6"/>
    <n v="0.2"/>
    <s v="Lupu, Cornel"/>
    <s v="Lupu Cornel"/>
    <x v="1"/>
    <s v="WA"/>
    <s v="Product LYLNI"/>
    <x v="5"/>
    <x v="401"/>
    <d v="2008-02-16T00:00:00"/>
    <x v="1"/>
    <s v="Ship to 47-A"/>
    <x v="5"/>
    <s v="Supplier ZPYVS"/>
    <s v="Germany"/>
    <x v="1"/>
    <n v="67.2"/>
  </r>
  <r>
    <n v="10840"/>
    <n v="39"/>
    <n v="18"/>
    <n v="10"/>
    <n v="0.2"/>
    <s v="Lupu, Cornel"/>
    <s v="Lupu Cornel"/>
    <x v="1"/>
    <s v="WA"/>
    <s v="Product LSOFL"/>
    <x v="6"/>
    <x v="401"/>
    <d v="2008-02-16T00:00:00"/>
    <x v="1"/>
    <s v="Ship to 47-A"/>
    <x v="5"/>
    <s v="Supplier LVJUA"/>
    <s v="France"/>
    <x v="1"/>
    <n v="144"/>
  </r>
  <r>
    <n v="10841"/>
    <n v="10"/>
    <n v="31"/>
    <n v="16"/>
    <n v="0"/>
    <s v="Gulbis, Katrin"/>
    <s v="Gulbis Katrin"/>
    <x v="3"/>
    <n v="0"/>
    <s v="Product YHXGE"/>
    <x v="3"/>
    <x v="402"/>
    <d v="2008-01-29T00:00:00"/>
    <x v="1"/>
    <s v="Ship to 76-B"/>
    <x v="3"/>
    <s v="Supplier QOVFD"/>
    <s v="Japan"/>
    <x v="2"/>
    <n v="496"/>
  </r>
  <r>
    <n v="10841"/>
    <n v="56"/>
    <n v="38"/>
    <n v="30"/>
    <n v="0"/>
    <s v="Gulbis, Katrin"/>
    <s v="Gulbis Katrin"/>
    <x v="3"/>
    <n v="0"/>
    <s v="Product VKCMF"/>
    <x v="1"/>
    <x v="402"/>
    <d v="2008-01-29T00:00:00"/>
    <x v="1"/>
    <s v="Ship to 76-B"/>
    <x v="3"/>
    <s v="Supplier ZWZDM"/>
    <s v="Italy"/>
    <x v="2"/>
    <n v="1140"/>
  </r>
  <r>
    <n v="10841"/>
    <n v="59"/>
    <n v="55"/>
    <n v="50"/>
    <n v="0"/>
    <s v="Gulbis, Katrin"/>
    <s v="Gulbis Katrin"/>
    <x v="3"/>
    <n v="0"/>
    <s v="Product UKXRI"/>
    <x v="0"/>
    <x v="402"/>
    <d v="2008-01-29T00:00:00"/>
    <x v="1"/>
    <s v="Ship to 76-B"/>
    <x v="3"/>
    <s v="Supplier OAVQT"/>
    <s v="France"/>
    <x v="2"/>
    <n v="2750"/>
  </r>
  <r>
    <n v="10841"/>
    <n v="77"/>
    <n v="13"/>
    <n v="15"/>
    <n v="0"/>
    <s v="Gulbis, Katrin"/>
    <s v="Gulbis Katrin"/>
    <x v="3"/>
    <n v="0"/>
    <s v="Product LUNZZ"/>
    <x v="4"/>
    <x v="402"/>
    <d v="2008-01-29T00:00:00"/>
    <x v="1"/>
    <s v="Ship to 76-B"/>
    <x v="3"/>
    <s v="Supplier SVIYA"/>
    <s v="Germany"/>
    <x v="2"/>
    <n v="195"/>
  </r>
  <r>
    <n v="10842"/>
    <n v="11"/>
    <n v="21"/>
    <n v="15"/>
    <n v="0"/>
    <s v="Geschwandtner, Jens"/>
    <s v="Geschwandtner Jens"/>
    <x v="5"/>
    <s v="WA"/>
    <s v="Product QMVUN"/>
    <x v="0"/>
    <x v="402"/>
    <d v="2008-01-29T00:00:00"/>
    <x v="3"/>
    <s v="Ship to 80-A"/>
    <x v="7"/>
    <s v="Supplier EQPNC"/>
    <s v="Spain"/>
    <x v="1"/>
    <n v="315"/>
  </r>
  <r>
    <n v="10842"/>
    <n v="43"/>
    <n v="46"/>
    <n v="5"/>
    <n v="0"/>
    <s v="Geschwandtner, Jens"/>
    <s v="Geschwandtner Jens"/>
    <x v="5"/>
    <s v="WA"/>
    <s v="Product ZZZHR"/>
    <x v="6"/>
    <x v="402"/>
    <d v="2008-01-29T00:00:00"/>
    <x v="3"/>
    <s v="Ship to 80-A"/>
    <x v="7"/>
    <s v="Supplier CIYNM"/>
    <s v="Singapore"/>
    <x v="1"/>
    <n v="230"/>
  </r>
  <r>
    <n v="10842"/>
    <n v="68"/>
    <n v="12.5"/>
    <n v="20"/>
    <n v="0"/>
    <s v="Geschwandtner, Jens"/>
    <s v="Geschwandtner Jens"/>
    <x v="5"/>
    <s v="WA"/>
    <s v="Product TBTBL"/>
    <x v="5"/>
    <x v="402"/>
    <d v="2008-01-29T00:00:00"/>
    <x v="3"/>
    <s v="Ship to 80-A"/>
    <x v="7"/>
    <s v="Supplier BWGYE"/>
    <s v="UK"/>
    <x v="1"/>
    <n v="250"/>
  </r>
  <r>
    <n v="10842"/>
    <n v="70"/>
    <n v="15"/>
    <n v="12"/>
    <n v="0"/>
    <s v="Geschwandtner, Jens"/>
    <s v="Geschwandtner Jens"/>
    <x v="5"/>
    <s v="WA"/>
    <s v="Product TOONT"/>
    <x v="6"/>
    <x v="402"/>
    <d v="2008-01-29T00:00:00"/>
    <x v="3"/>
    <s v="Ship to 80-A"/>
    <x v="7"/>
    <s v="Supplier GQRCV"/>
    <s v="Australia"/>
    <x v="1"/>
    <n v="180"/>
  </r>
  <r>
    <n v="10843"/>
    <n v="51"/>
    <n v="53"/>
    <n v="4"/>
    <n v="0.25"/>
    <s v="Tuntisangaroon, Sittichai"/>
    <s v="Tuntisangaroon Sittichai"/>
    <x v="1"/>
    <s v="WA"/>
    <s v="Product APITJ"/>
    <x v="2"/>
    <x v="403"/>
    <d v="2008-01-26T00:00:00"/>
    <x v="1"/>
    <s v="Ship to 84-C"/>
    <x v="2"/>
    <s v="Supplier JNNES"/>
    <s v="Australia"/>
    <x v="1"/>
    <n v="159"/>
  </r>
  <r>
    <n v="10844"/>
    <n v="22"/>
    <n v="21"/>
    <n v="35"/>
    <n v="0"/>
    <s v="Meston, Tosh"/>
    <s v="Meston Tosh"/>
    <x v="6"/>
    <s v="WA"/>
    <s v="Product CPHFY"/>
    <x v="1"/>
    <x v="403"/>
    <d v="2008-01-26T00:00:00"/>
    <x v="1"/>
    <s v="Ship to 59-A"/>
    <x v="6"/>
    <s v="Supplier QQYEU"/>
    <s v="Sweden"/>
    <x v="1"/>
    <n v="735"/>
  </r>
  <r>
    <n v="10845"/>
    <n v="23"/>
    <n v="9"/>
    <n v="70"/>
    <n v="0.1"/>
    <s v="Veronesi, Giorgio"/>
    <s v="Veronesi Giorgio"/>
    <x v="6"/>
    <s v="WA"/>
    <s v="Product JLUDZ"/>
    <x v="1"/>
    <x v="403"/>
    <d v="2008-01-30T00:00:00"/>
    <x v="2"/>
    <s v="Ship to 63-A"/>
    <x v="8"/>
    <s v="Supplier QQYEU"/>
    <s v="Sweden"/>
    <x v="2"/>
    <n v="567"/>
  </r>
  <r>
    <n v="10845"/>
    <n v="35"/>
    <n v="18"/>
    <n v="25"/>
    <n v="0.1"/>
    <s v="Veronesi, Giorgio"/>
    <s v="Veronesi Giorgio"/>
    <x v="6"/>
    <s v="WA"/>
    <s v="Product NEVTJ"/>
    <x v="6"/>
    <x v="403"/>
    <d v="2008-01-30T00:00:00"/>
    <x v="2"/>
    <s v="Ship to 63-A"/>
    <x v="8"/>
    <s v="Supplier UHZRG"/>
    <s v="USA"/>
    <x v="2"/>
    <n v="405"/>
  </r>
  <r>
    <n v="10845"/>
    <n v="42"/>
    <n v="14"/>
    <n v="42"/>
    <n v="0.1"/>
    <s v="Veronesi, Giorgio"/>
    <s v="Veronesi Giorgio"/>
    <x v="6"/>
    <s v="WA"/>
    <s v="Product RJVNM"/>
    <x v="1"/>
    <x v="403"/>
    <d v="2008-01-30T00:00:00"/>
    <x v="2"/>
    <s v="Ship to 63-A"/>
    <x v="8"/>
    <s v="Supplier CIYNM"/>
    <s v="Singapore"/>
    <x v="2"/>
    <n v="529.20000000000005"/>
  </r>
  <r>
    <n v="10845"/>
    <n v="58"/>
    <n v="13.25"/>
    <n v="60"/>
    <n v="0.1"/>
    <s v="Veronesi, Giorgio"/>
    <s v="Veronesi Giorgio"/>
    <x v="6"/>
    <s v="WA"/>
    <s v="Product ACRVI"/>
    <x v="3"/>
    <x v="403"/>
    <d v="2008-01-30T00:00:00"/>
    <x v="2"/>
    <s v="Ship to 63-A"/>
    <x v="8"/>
    <s v="Supplier ZRYDZ"/>
    <s v="France"/>
    <x v="2"/>
    <n v="715.5"/>
  </r>
  <r>
    <n v="10845"/>
    <n v="64"/>
    <n v="33.25"/>
    <n v="48"/>
    <n v="0"/>
    <s v="Veronesi, Giorgio"/>
    <s v="Veronesi Giorgio"/>
    <x v="6"/>
    <s v="WA"/>
    <s v="Product HCQDE"/>
    <x v="1"/>
    <x v="403"/>
    <d v="2008-01-30T00:00:00"/>
    <x v="2"/>
    <s v="Ship to 63-A"/>
    <x v="8"/>
    <s v="Supplier SVIYA"/>
    <s v="Germany"/>
    <x v="2"/>
    <n v="1596"/>
  </r>
  <r>
    <n v="10846"/>
    <n v="4"/>
    <n v="22"/>
    <n v="21"/>
    <n v="0"/>
    <s v="Gulbis, Katrin"/>
    <s v="Gulbis Katrin"/>
    <x v="8"/>
    <s v="WA"/>
    <s v="Product KSBRM"/>
    <x v="4"/>
    <x v="404"/>
    <d v="2008-01-23T00:00:00"/>
    <x v="3"/>
    <s v="Ship to 76-C"/>
    <x v="3"/>
    <s v="Supplier VHQZD"/>
    <s v="USA"/>
    <x v="1"/>
    <n v="462"/>
  </r>
  <r>
    <n v="10846"/>
    <n v="70"/>
    <n v="15"/>
    <n v="30"/>
    <n v="0"/>
    <s v="Gulbis, Katrin"/>
    <s v="Gulbis Katrin"/>
    <x v="8"/>
    <s v="WA"/>
    <s v="Product TOONT"/>
    <x v="6"/>
    <x v="404"/>
    <d v="2008-01-23T00:00:00"/>
    <x v="3"/>
    <s v="Ship to 76-C"/>
    <x v="3"/>
    <s v="Supplier GQRCV"/>
    <s v="Australia"/>
    <x v="1"/>
    <n v="450"/>
  </r>
  <r>
    <n v="10846"/>
    <n v="74"/>
    <n v="10"/>
    <n v="20"/>
    <n v="0"/>
    <s v="Gulbis, Katrin"/>
    <s v="Gulbis Katrin"/>
    <x v="8"/>
    <s v="WA"/>
    <s v="Product BKAZJ"/>
    <x v="2"/>
    <x v="404"/>
    <d v="2008-01-23T00:00:00"/>
    <x v="3"/>
    <s v="Ship to 76-C"/>
    <x v="3"/>
    <s v="Supplier QOVFD"/>
    <s v="Japan"/>
    <x v="1"/>
    <n v="200"/>
  </r>
  <r>
    <n v="10847"/>
    <n v="1"/>
    <n v="18"/>
    <n v="80"/>
    <n v="0.2"/>
    <s v="Navarro, Tomás"/>
    <s v="Navarro Tomás"/>
    <x v="1"/>
    <s v="WA"/>
    <s v="Product HHYDP"/>
    <x v="6"/>
    <x v="404"/>
    <d v="2008-02-10T00:00:00"/>
    <x v="3"/>
    <s v="Ship to 71-A"/>
    <x v="9"/>
    <s v="Supplier SWRXU"/>
    <s v="UK"/>
    <x v="2"/>
    <n v="1152"/>
  </r>
  <r>
    <n v="10847"/>
    <n v="19"/>
    <n v="9.1999999999999993"/>
    <n v="12"/>
    <n v="0.2"/>
    <s v="Navarro, Tomás"/>
    <s v="Navarro Tomás"/>
    <x v="1"/>
    <s v="WA"/>
    <s v="Product XKXDO"/>
    <x v="5"/>
    <x v="404"/>
    <d v="2008-02-10T00:00:00"/>
    <x v="3"/>
    <s v="Ship to 71-A"/>
    <x v="9"/>
    <s v="Supplier BWGYE"/>
    <s v="UK"/>
    <x v="2"/>
    <n v="88.32"/>
  </r>
  <r>
    <n v="10847"/>
    <n v="37"/>
    <n v="26"/>
    <n v="60"/>
    <n v="0.2"/>
    <s v="Navarro, Tomás"/>
    <s v="Navarro Tomás"/>
    <x v="1"/>
    <s v="WA"/>
    <s v="Product EVFFA"/>
    <x v="3"/>
    <x v="404"/>
    <d v="2008-02-10T00:00:00"/>
    <x v="3"/>
    <s v="Ship to 71-A"/>
    <x v="9"/>
    <s v="Supplier QZGUF"/>
    <s v="Sweden"/>
    <x v="2"/>
    <n v="1248"/>
  </r>
  <r>
    <n v="10847"/>
    <n v="45"/>
    <n v="9.5"/>
    <n v="36"/>
    <n v="0.2"/>
    <s v="Navarro, Tomás"/>
    <s v="Navarro Tomás"/>
    <x v="1"/>
    <s v="WA"/>
    <s v="Product AQOKR"/>
    <x v="3"/>
    <x v="404"/>
    <d v="2008-02-10T00:00:00"/>
    <x v="3"/>
    <s v="Ship to 71-A"/>
    <x v="9"/>
    <s v="Supplier XOXZA"/>
    <s v="Denmark"/>
    <x v="2"/>
    <n v="273.60000000000002"/>
  </r>
  <r>
    <n v="10847"/>
    <n v="60"/>
    <n v="34"/>
    <n v="45"/>
    <n v="0.2"/>
    <s v="Navarro, Tomás"/>
    <s v="Navarro Tomás"/>
    <x v="1"/>
    <s v="WA"/>
    <s v="Product WHBYK"/>
    <x v="0"/>
    <x v="404"/>
    <d v="2008-02-10T00:00:00"/>
    <x v="3"/>
    <s v="Ship to 71-A"/>
    <x v="9"/>
    <s v="Supplier OAVQT"/>
    <s v="France"/>
    <x v="2"/>
    <n v="1224"/>
  </r>
  <r>
    <n v="10847"/>
    <n v="71"/>
    <n v="21.5"/>
    <n v="55"/>
    <n v="0.2"/>
    <s v="Navarro, Tomás"/>
    <s v="Navarro Tomás"/>
    <x v="1"/>
    <s v="WA"/>
    <s v="Product MYMOI"/>
    <x v="0"/>
    <x v="404"/>
    <d v="2008-02-10T00:00:00"/>
    <x v="3"/>
    <s v="Ship to 71-A"/>
    <x v="9"/>
    <s v="Supplier NZLIF"/>
    <s v="Norway"/>
    <x v="2"/>
    <n v="946"/>
  </r>
  <r>
    <n v="10848"/>
    <n v="5"/>
    <n v="21.35"/>
    <n v="30"/>
    <n v="0"/>
    <s v="Birkby, Dana"/>
    <s v="Birkby Dana"/>
    <x v="9"/>
    <n v="0"/>
    <s v="Product EPEIM"/>
    <x v="4"/>
    <x v="405"/>
    <d v="2008-01-29T00:00:00"/>
    <x v="1"/>
    <s v="Destination QKQNB"/>
    <x v="14"/>
    <s v="Supplier VHQZD"/>
    <s v="USA"/>
    <x v="1"/>
    <n v="640.5"/>
  </r>
  <r>
    <n v="10848"/>
    <n v="9"/>
    <n v="97"/>
    <n v="3"/>
    <n v="0"/>
    <s v="Birkby, Dana"/>
    <s v="Birkby Dana"/>
    <x v="9"/>
    <n v="0"/>
    <s v="Product AOZBW"/>
    <x v="7"/>
    <x v="405"/>
    <d v="2008-01-29T00:00:00"/>
    <x v="1"/>
    <s v="Destination QKQNB"/>
    <x v="14"/>
    <s v="Supplier QOVFD"/>
    <s v="Japan"/>
    <x v="1"/>
    <n v="291"/>
  </r>
  <r>
    <n v="10849"/>
    <n v="3"/>
    <n v="10"/>
    <n v="49"/>
    <n v="0"/>
    <s v="Song, Lolan"/>
    <s v="Song Lolan"/>
    <x v="4"/>
    <n v="0"/>
    <s v="Product IMEHJ"/>
    <x v="4"/>
    <x v="405"/>
    <d v="2008-01-30T00:00:00"/>
    <x v="1"/>
    <s v="Destination DKMQA"/>
    <x v="8"/>
    <s v="Supplier SWRXU"/>
    <s v="UK"/>
    <x v="1"/>
    <n v="490"/>
  </r>
  <r>
    <n v="10849"/>
    <n v="26"/>
    <n v="31.23"/>
    <n v="18"/>
    <n v="0.15"/>
    <s v="Song, Lolan"/>
    <s v="Song Lolan"/>
    <x v="4"/>
    <n v="0"/>
    <s v="Product HLGZA"/>
    <x v="5"/>
    <x v="405"/>
    <d v="2008-01-30T00:00:00"/>
    <x v="1"/>
    <s v="Destination DKMQA"/>
    <x v="8"/>
    <s v="Supplier ZPYVS"/>
    <s v="Germany"/>
    <x v="1"/>
    <n v="477.81899999999996"/>
  </r>
  <r>
    <n v="10850"/>
    <n v="25"/>
    <n v="14"/>
    <n v="20"/>
    <n v="0.15"/>
    <s v="Tuntisangaroon, Sittichai"/>
    <s v="Tuntisangaroon Sittichai"/>
    <x v="5"/>
    <s v="WA"/>
    <s v="Product LYLNI"/>
    <x v="5"/>
    <x v="405"/>
    <d v="2008-01-30T00:00:00"/>
    <x v="2"/>
    <s v="Ship to 84-C"/>
    <x v="2"/>
    <s v="Supplier ZPYVS"/>
    <s v="Germany"/>
    <x v="1"/>
    <n v="238"/>
  </r>
  <r>
    <n v="10850"/>
    <n v="33"/>
    <n v="2.5"/>
    <n v="4"/>
    <n v="0.15"/>
    <s v="Tuntisangaroon, Sittichai"/>
    <s v="Tuntisangaroon Sittichai"/>
    <x v="5"/>
    <s v="WA"/>
    <s v="Product ASTMN"/>
    <x v="0"/>
    <x v="405"/>
    <d v="2008-01-30T00:00:00"/>
    <x v="2"/>
    <s v="Ship to 84-C"/>
    <x v="2"/>
    <s v="Supplier NZLIF"/>
    <s v="Norway"/>
    <x v="1"/>
    <n v="8.5"/>
  </r>
  <r>
    <n v="10850"/>
    <n v="70"/>
    <n v="15"/>
    <n v="30"/>
    <n v="0.15"/>
    <s v="Tuntisangaroon, Sittichai"/>
    <s v="Tuntisangaroon Sittichai"/>
    <x v="5"/>
    <s v="WA"/>
    <s v="Product TOONT"/>
    <x v="6"/>
    <x v="405"/>
    <d v="2008-01-30T00:00:00"/>
    <x v="2"/>
    <s v="Ship to 84-C"/>
    <x v="2"/>
    <s v="Supplier GQRCV"/>
    <s v="Australia"/>
    <x v="1"/>
    <n v="382.5"/>
  </r>
  <r>
    <n v="10851"/>
    <n v="2"/>
    <n v="19"/>
    <n v="5"/>
    <n v="0.05"/>
    <s v="Garden, Euan"/>
    <s v="Garden Euan"/>
    <x v="3"/>
    <n v="0"/>
    <s v="Product RECZE"/>
    <x v="6"/>
    <x v="406"/>
    <d v="2008-02-02T00:00:00"/>
    <x v="2"/>
    <s v="Ship to 67-C"/>
    <x v="1"/>
    <s v="Supplier SWRXU"/>
    <s v="UK"/>
    <x v="2"/>
    <n v="90.25"/>
  </r>
  <r>
    <n v="10851"/>
    <n v="25"/>
    <n v="14"/>
    <n v="10"/>
    <n v="0.05"/>
    <s v="Garden, Euan"/>
    <s v="Garden Euan"/>
    <x v="3"/>
    <n v="0"/>
    <s v="Product LYLNI"/>
    <x v="5"/>
    <x v="406"/>
    <d v="2008-02-02T00:00:00"/>
    <x v="2"/>
    <s v="Ship to 67-C"/>
    <x v="1"/>
    <s v="Supplier ZPYVS"/>
    <s v="Germany"/>
    <x v="2"/>
    <n v="133"/>
  </r>
  <r>
    <n v="10851"/>
    <n v="57"/>
    <n v="19.5"/>
    <n v="10"/>
    <n v="0.05"/>
    <s v="Garden, Euan"/>
    <s v="Garden Euan"/>
    <x v="3"/>
    <n v="0"/>
    <s v="Product OVLQI"/>
    <x v="1"/>
    <x v="406"/>
    <d v="2008-02-02T00:00:00"/>
    <x v="2"/>
    <s v="Ship to 67-C"/>
    <x v="1"/>
    <s v="Supplier ZWZDM"/>
    <s v="Italy"/>
    <x v="2"/>
    <n v="185.25"/>
  </r>
  <r>
    <n v="10851"/>
    <n v="59"/>
    <n v="55"/>
    <n v="42"/>
    <n v="0.05"/>
    <s v="Garden, Euan"/>
    <s v="Garden Euan"/>
    <x v="3"/>
    <n v="0"/>
    <s v="Product UKXRI"/>
    <x v="0"/>
    <x v="406"/>
    <d v="2008-02-02T00:00:00"/>
    <x v="2"/>
    <s v="Ship to 67-C"/>
    <x v="1"/>
    <s v="Supplier OAVQT"/>
    <s v="France"/>
    <x v="2"/>
    <n v="2194.5"/>
  </r>
  <r>
    <n v="10852"/>
    <n v="2"/>
    <n v="19"/>
    <n v="15"/>
    <n v="0"/>
    <s v="Moore, Michael"/>
    <s v="Moore Michael"/>
    <x v="6"/>
    <s v="WA"/>
    <s v="Product RECZE"/>
    <x v="6"/>
    <x v="406"/>
    <d v="2008-01-30T00:00:00"/>
    <x v="2"/>
    <s v="Ship to 65-A"/>
    <x v="9"/>
    <s v="Supplier SWRXU"/>
    <s v="UK"/>
    <x v="2"/>
    <n v="285"/>
  </r>
  <r>
    <n v="10852"/>
    <n v="17"/>
    <n v="39"/>
    <n v="6"/>
    <n v="0"/>
    <s v="Moore, Michael"/>
    <s v="Moore Michael"/>
    <x v="6"/>
    <s v="WA"/>
    <s v="Product BLCAX"/>
    <x v="7"/>
    <x v="406"/>
    <d v="2008-01-30T00:00:00"/>
    <x v="2"/>
    <s v="Ship to 65-A"/>
    <x v="9"/>
    <s v="Supplier GQRCV"/>
    <s v="Australia"/>
    <x v="2"/>
    <n v="234"/>
  </r>
  <r>
    <n v="10852"/>
    <n v="62"/>
    <n v="49.3"/>
    <n v="50"/>
    <n v="0"/>
    <s v="Moore, Michael"/>
    <s v="Moore Michael"/>
    <x v="6"/>
    <s v="WA"/>
    <s v="Product WUXYK"/>
    <x v="5"/>
    <x v="406"/>
    <d v="2008-01-30T00:00:00"/>
    <x v="2"/>
    <s v="Ship to 65-A"/>
    <x v="9"/>
    <s v="Supplier OGLRK"/>
    <s v="Canada"/>
    <x v="2"/>
    <n v="2465"/>
  </r>
  <r>
    <n v="10853"/>
    <n v="18"/>
    <n v="62.5"/>
    <n v="10"/>
    <n v="0"/>
    <s v="Poland, Carole"/>
    <s v="Poland Carole"/>
    <x v="4"/>
    <n v="0"/>
    <s v="Product CKEDC"/>
    <x v="3"/>
    <x v="407"/>
    <d v="2008-02-03T00:00:00"/>
    <x v="1"/>
    <s v="Ship to 6-B"/>
    <x v="8"/>
    <s v="Supplier GQRCV"/>
    <s v="Australia"/>
    <x v="1"/>
    <n v="625"/>
  </r>
  <r>
    <n v="10854"/>
    <n v="10"/>
    <n v="31"/>
    <n v="100"/>
    <n v="0.15"/>
    <s v="Kane, John"/>
    <s v="Kane John"/>
    <x v="2"/>
    <s v="WA"/>
    <s v="Product YHXGE"/>
    <x v="3"/>
    <x v="407"/>
    <d v="2008-02-05T00:00:00"/>
    <x v="1"/>
    <s v="Destination CUVPF"/>
    <x v="6"/>
    <s v="Supplier QOVFD"/>
    <s v="Japan"/>
    <x v="2"/>
    <n v="2635"/>
  </r>
  <r>
    <n v="10854"/>
    <n v="13"/>
    <n v="6"/>
    <n v="65"/>
    <n v="0.15"/>
    <s v="Kane, John"/>
    <s v="Kane John"/>
    <x v="2"/>
    <s v="WA"/>
    <s v="Product POXFU"/>
    <x v="3"/>
    <x v="407"/>
    <d v="2008-02-05T00:00:00"/>
    <x v="1"/>
    <s v="Destination CUVPF"/>
    <x v="6"/>
    <s v="Supplier QWUSF"/>
    <s v="Japan"/>
    <x v="2"/>
    <n v="331.5"/>
  </r>
  <r>
    <n v="10855"/>
    <n v="16"/>
    <n v="17.45"/>
    <n v="50"/>
    <n v="0"/>
    <s v="Egelund-Muller, Anja"/>
    <s v="Egelund-Muller Anja"/>
    <x v="2"/>
    <s v="WA"/>
    <s v="Product PAFRH"/>
    <x v="5"/>
    <x v="407"/>
    <d v="2008-02-04T00:00:00"/>
    <x v="2"/>
    <s v="Ship to 55-A"/>
    <x v="9"/>
    <s v="Supplier GQRCV"/>
    <s v="Australia"/>
    <x v="2"/>
    <n v="872.5"/>
  </r>
  <r>
    <n v="10855"/>
    <n v="31"/>
    <n v="12.5"/>
    <n v="14"/>
    <n v="0"/>
    <s v="Egelund-Muller, Anja"/>
    <s v="Egelund-Muller Anja"/>
    <x v="2"/>
    <s v="WA"/>
    <s v="Product XWOXC"/>
    <x v="0"/>
    <x v="407"/>
    <d v="2008-02-04T00:00:00"/>
    <x v="2"/>
    <s v="Ship to 55-A"/>
    <x v="9"/>
    <s v="Supplier KEREV"/>
    <s v="Italy"/>
    <x v="2"/>
    <n v="175"/>
  </r>
  <r>
    <n v="10855"/>
    <n v="56"/>
    <n v="38"/>
    <n v="24"/>
    <n v="0"/>
    <s v="Egelund-Muller, Anja"/>
    <s v="Egelund-Muller Anja"/>
    <x v="2"/>
    <s v="WA"/>
    <s v="Product VKCMF"/>
    <x v="1"/>
    <x v="407"/>
    <d v="2008-02-04T00:00:00"/>
    <x v="2"/>
    <s v="Ship to 55-A"/>
    <x v="9"/>
    <s v="Supplier ZWZDM"/>
    <s v="Italy"/>
    <x v="2"/>
    <n v="912"/>
  </r>
  <r>
    <n v="10855"/>
    <n v="65"/>
    <n v="21.05"/>
    <n v="15"/>
    <n v="0.15"/>
    <s v="Egelund-Muller, Anja"/>
    <s v="Egelund-Muller Anja"/>
    <x v="2"/>
    <s v="WA"/>
    <s v="Product XYWBZ"/>
    <x v="4"/>
    <x v="407"/>
    <d v="2008-02-04T00:00:00"/>
    <x v="2"/>
    <s v="Ship to 55-A"/>
    <x v="9"/>
    <s v="Supplier VHQZD"/>
    <s v="USA"/>
    <x v="2"/>
    <n v="268.38749999999999"/>
  </r>
  <r>
    <n v="10856"/>
    <n v="2"/>
    <n v="19"/>
    <n v="20"/>
    <n v="0"/>
    <s v="Peoples, John"/>
    <s v="Peoples John"/>
    <x v="2"/>
    <s v="WA"/>
    <s v="Product RECZE"/>
    <x v="6"/>
    <x v="408"/>
    <d v="2008-02-10T00:00:00"/>
    <x v="1"/>
    <s v="Destination FQFLS"/>
    <x v="7"/>
    <s v="Supplier SWRXU"/>
    <s v="UK"/>
    <x v="1"/>
    <n v="380"/>
  </r>
  <r>
    <n v="10856"/>
    <n v="42"/>
    <n v="14"/>
    <n v="20"/>
    <n v="0"/>
    <s v="Peoples, John"/>
    <s v="Peoples John"/>
    <x v="2"/>
    <s v="WA"/>
    <s v="Product RJVNM"/>
    <x v="1"/>
    <x v="408"/>
    <d v="2008-02-10T00:00:00"/>
    <x v="1"/>
    <s v="Destination FQFLS"/>
    <x v="7"/>
    <s v="Supplier CIYNM"/>
    <s v="Singapore"/>
    <x v="1"/>
    <n v="280"/>
  </r>
  <r>
    <n v="10857"/>
    <n v="3"/>
    <n v="10"/>
    <n v="30"/>
    <n v="0"/>
    <s v="Higginbotham, Tom"/>
    <s v="Higginbotham Tom"/>
    <x v="6"/>
    <s v="WA"/>
    <s v="Product IMEHJ"/>
    <x v="4"/>
    <x v="408"/>
    <d v="2008-02-06T00:00:00"/>
    <x v="1"/>
    <s v="Ship to 5-B"/>
    <x v="10"/>
    <s v="Supplier SWRXU"/>
    <s v="UK"/>
    <x v="2"/>
    <n v="300"/>
  </r>
  <r>
    <n v="10857"/>
    <n v="26"/>
    <n v="31.23"/>
    <n v="35"/>
    <n v="0.25"/>
    <s v="Higginbotham, Tom"/>
    <s v="Higginbotham Tom"/>
    <x v="6"/>
    <s v="WA"/>
    <s v="Product HLGZA"/>
    <x v="5"/>
    <x v="408"/>
    <d v="2008-02-06T00:00:00"/>
    <x v="1"/>
    <s v="Ship to 5-B"/>
    <x v="10"/>
    <s v="Supplier ZPYVS"/>
    <s v="Germany"/>
    <x v="2"/>
    <n v="819.78749999999991"/>
  </r>
  <r>
    <n v="10857"/>
    <n v="29"/>
    <n v="123.79"/>
    <n v="10"/>
    <n v="0.25"/>
    <s v="Higginbotham, Tom"/>
    <s v="Higginbotham Tom"/>
    <x v="6"/>
    <s v="WA"/>
    <s v="Product VJXYN"/>
    <x v="7"/>
    <x v="408"/>
    <d v="2008-02-06T00:00:00"/>
    <x v="1"/>
    <s v="Ship to 5-B"/>
    <x v="10"/>
    <s v="Supplier SVIYA"/>
    <s v="Germany"/>
    <x v="2"/>
    <n v="928.42500000000007"/>
  </r>
  <r>
    <n v="10858"/>
    <n v="7"/>
    <n v="30"/>
    <n v="5"/>
    <n v="0"/>
    <s v="De Oliveira, Jose"/>
    <s v="De Oliveira Jose"/>
    <x v="8"/>
    <s v="WA"/>
    <s v="Product HMLNI"/>
    <x v="2"/>
    <x v="409"/>
    <d v="2008-02-03T00:00:00"/>
    <x v="2"/>
    <s v="Destination POAEW"/>
    <x v="2"/>
    <s v="Supplier STUAZ"/>
    <s v="USA"/>
    <x v="1"/>
    <n v="150"/>
  </r>
  <r>
    <n v="10858"/>
    <n v="27"/>
    <n v="43.9"/>
    <n v="10"/>
    <n v="0"/>
    <s v="De Oliveira, Jose"/>
    <s v="De Oliveira Jose"/>
    <x v="8"/>
    <s v="WA"/>
    <s v="Product SMIOH"/>
    <x v="5"/>
    <x v="409"/>
    <d v="2008-02-03T00:00:00"/>
    <x v="2"/>
    <s v="Destination POAEW"/>
    <x v="2"/>
    <s v="Supplier ZPYVS"/>
    <s v="Germany"/>
    <x v="1"/>
    <n v="439"/>
  </r>
  <r>
    <n v="10858"/>
    <n v="70"/>
    <n v="15"/>
    <n v="4"/>
    <n v="0"/>
    <s v="De Oliveira, Jose"/>
    <s v="De Oliveira Jose"/>
    <x v="8"/>
    <s v="WA"/>
    <s v="Product TOONT"/>
    <x v="6"/>
    <x v="409"/>
    <d v="2008-02-03T00:00:00"/>
    <x v="2"/>
    <s v="Destination POAEW"/>
    <x v="2"/>
    <s v="Supplier GQRCV"/>
    <s v="Australia"/>
    <x v="1"/>
    <n v="60"/>
  </r>
  <r>
    <n v="10859"/>
    <n v="24"/>
    <n v="4.5"/>
    <n v="40"/>
    <n v="0.25"/>
    <s v="Carlson, Jason"/>
    <s v="Carlson Jason"/>
    <x v="5"/>
    <s v="WA"/>
    <s v="Product QOGNU"/>
    <x v="6"/>
    <x v="409"/>
    <d v="2008-02-02T00:00:00"/>
    <x v="1"/>
    <s v="Destination QOCBL"/>
    <x v="8"/>
    <s v="Supplier UNAHG"/>
    <s v="Brazil"/>
    <x v="1"/>
    <n v="135"/>
  </r>
  <r>
    <n v="10859"/>
    <n v="54"/>
    <n v="7.45"/>
    <n v="35"/>
    <n v="0.25"/>
    <s v="Carlson, Jason"/>
    <s v="Carlson Jason"/>
    <x v="5"/>
    <s v="WA"/>
    <s v="Product QAQRL"/>
    <x v="7"/>
    <x v="409"/>
    <d v="2008-02-02T00:00:00"/>
    <x v="1"/>
    <s v="Destination QOCBL"/>
    <x v="8"/>
    <s v="Supplier ERVYZ"/>
    <s v="Canada"/>
    <x v="1"/>
    <n v="195.5625"/>
  </r>
  <r>
    <n v="10859"/>
    <n v="64"/>
    <n v="33.25"/>
    <n v="30"/>
    <n v="0.25"/>
    <s v="Carlson, Jason"/>
    <s v="Carlson Jason"/>
    <x v="5"/>
    <s v="WA"/>
    <s v="Product HCQDE"/>
    <x v="1"/>
    <x v="409"/>
    <d v="2008-02-02T00:00:00"/>
    <x v="1"/>
    <s v="Destination QOCBL"/>
    <x v="8"/>
    <s v="Supplier SVIYA"/>
    <s v="Germany"/>
    <x v="1"/>
    <n v="748.125"/>
  </r>
  <r>
    <n v="10860"/>
    <n v="51"/>
    <n v="53"/>
    <n v="3"/>
    <n v="0"/>
    <s v="Koch, Paul"/>
    <s v="Koch Paul"/>
    <x v="2"/>
    <s v="WA"/>
    <s v="Product APITJ"/>
    <x v="2"/>
    <x v="409"/>
    <d v="2008-02-04T00:00:00"/>
    <x v="3"/>
    <s v="Destination XBVKN"/>
    <x v="2"/>
    <s v="Supplier JNNES"/>
    <s v="Australia"/>
    <x v="1"/>
    <n v="159"/>
  </r>
  <r>
    <n v="10860"/>
    <n v="76"/>
    <n v="18"/>
    <n v="20"/>
    <n v="0"/>
    <s v="Koch, Paul"/>
    <s v="Koch Paul"/>
    <x v="2"/>
    <s v="WA"/>
    <s v="Product JYGFE"/>
    <x v="6"/>
    <x v="409"/>
    <d v="2008-02-04T00:00:00"/>
    <x v="3"/>
    <s v="Destination XBVKN"/>
    <x v="2"/>
    <s v="Supplier ELCRN"/>
    <s v="Finland"/>
    <x v="1"/>
    <n v="360"/>
  </r>
  <r>
    <n v="10861"/>
    <n v="17"/>
    <n v="39"/>
    <n v="42"/>
    <n v="0"/>
    <s v="Smith Jr., Ronaldo"/>
    <s v="Smith Jr. Ronaldo"/>
    <x v="1"/>
    <s v="WA"/>
    <s v="Product BLCAX"/>
    <x v="7"/>
    <x v="410"/>
    <d v="2008-02-17T00:00:00"/>
    <x v="1"/>
    <s v="Ship to 89-C"/>
    <x v="9"/>
    <s v="Supplier GQRCV"/>
    <s v="Australia"/>
    <x v="1"/>
    <n v="1638"/>
  </r>
  <r>
    <n v="10861"/>
    <n v="18"/>
    <n v="62.5"/>
    <n v="20"/>
    <n v="0"/>
    <s v="Smith Jr., Ronaldo"/>
    <s v="Smith Jr. Ronaldo"/>
    <x v="1"/>
    <s v="WA"/>
    <s v="Product CKEDC"/>
    <x v="3"/>
    <x v="410"/>
    <d v="2008-02-17T00:00:00"/>
    <x v="1"/>
    <s v="Ship to 89-C"/>
    <x v="9"/>
    <s v="Supplier GQRCV"/>
    <s v="Australia"/>
    <x v="1"/>
    <n v="1250"/>
  </r>
  <r>
    <n v="10861"/>
    <n v="21"/>
    <n v="10"/>
    <n v="40"/>
    <n v="0"/>
    <s v="Smith Jr., Ronaldo"/>
    <s v="Smith Jr. Ronaldo"/>
    <x v="1"/>
    <s v="WA"/>
    <s v="Product VJZZH"/>
    <x v="5"/>
    <x v="410"/>
    <d v="2008-02-17T00:00:00"/>
    <x v="1"/>
    <s v="Ship to 89-C"/>
    <x v="9"/>
    <s v="Supplier BWGYE"/>
    <s v="UK"/>
    <x v="1"/>
    <n v="400"/>
  </r>
  <r>
    <n v="10861"/>
    <n v="33"/>
    <n v="2.5"/>
    <n v="35"/>
    <n v="0"/>
    <s v="Smith Jr., Ronaldo"/>
    <s v="Smith Jr. Ronaldo"/>
    <x v="1"/>
    <s v="WA"/>
    <s v="Product ASTMN"/>
    <x v="0"/>
    <x v="410"/>
    <d v="2008-02-17T00:00:00"/>
    <x v="1"/>
    <s v="Ship to 89-C"/>
    <x v="9"/>
    <s v="Supplier NZLIF"/>
    <s v="Norway"/>
    <x v="1"/>
    <n v="87.5"/>
  </r>
  <r>
    <n v="10861"/>
    <n v="62"/>
    <n v="49.3"/>
    <n v="3"/>
    <n v="0"/>
    <s v="Smith Jr., Ronaldo"/>
    <s v="Smith Jr. Ronaldo"/>
    <x v="1"/>
    <s v="WA"/>
    <s v="Product WUXYK"/>
    <x v="5"/>
    <x v="410"/>
    <d v="2008-02-17T00:00:00"/>
    <x v="1"/>
    <s v="Ship to 89-C"/>
    <x v="9"/>
    <s v="Supplier OGLRK"/>
    <s v="Canada"/>
    <x v="1"/>
    <n v="147.89999999999998"/>
  </r>
  <r>
    <n v="10862"/>
    <n v="11"/>
    <n v="21"/>
    <n v="25"/>
    <n v="0"/>
    <s v="Louverdis, George"/>
    <s v="Louverdis George"/>
    <x v="6"/>
    <s v="WA"/>
    <s v="Product QMVUN"/>
    <x v="0"/>
    <x v="410"/>
    <d v="2008-02-02T00:00:00"/>
    <x v="1"/>
    <s v="Ship to 44-C"/>
    <x v="8"/>
    <s v="Supplier EQPNC"/>
    <s v="Spain"/>
    <x v="1"/>
    <n v="525"/>
  </r>
  <r>
    <n v="10862"/>
    <n v="52"/>
    <n v="7"/>
    <n v="8"/>
    <n v="0"/>
    <s v="Louverdis, George"/>
    <s v="Louverdis George"/>
    <x v="6"/>
    <s v="WA"/>
    <s v="Product QSRXF"/>
    <x v="1"/>
    <x v="410"/>
    <d v="2008-02-02T00:00:00"/>
    <x v="1"/>
    <s v="Ship to 44-C"/>
    <x v="8"/>
    <s v="Supplier JNNES"/>
    <s v="Australia"/>
    <x v="1"/>
    <n v="56"/>
  </r>
  <r>
    <n v="10863"/>
    <n v="1"/>
    <n v="18"/>
    <n v="20"/>
    <n v="0.15"/>
    <s v="Langohr, Kris"/>
    <s v="Langohr Kris"/>
    <x v="1"/>
    <s v="WA"/>
    <s v="Product HHYDP"/>
    <x v="6"/>
    <x v="411"/>
    <d v="2008-02-17T00:00:00"/>
    <x v="1"/>
    <s v="Destination UOUWK"/>
    <x v="5"/>
    <s v="Supplier SWRXU"/>
    <s v="UK"/>
    <x v="1"/>
    <n v="306"/>
  </r>
  <r>
    <n v="10863"/>
    <n v="58"/>
    <n v="13.25"/>
    <n v="12"/>
    <n v="0.15"/>
    <s v="Langohr, Kris"/>
    <s v="Langohr Kris"/>
    <x v="1"/>
    <s v="WA"/>
    <s v="Product ACRVI"/>
    <x v="3"/>
    <x v="411"/>
    <d v="2008-02-17T00:00:00"/>
    <x v="1"/>
    <s v="Destination UOUWK"/>
    <x v="5"/>
    <s v="Supplier ZRYDZ"/>
    <s v="France"/>
    <x v="1"/>
    <n v="135.15"/>
  </r>
  <r>
    <n v="10864"/>
    <n v="35"/>
    <n v="18"/>
    <n v="4"/>
    <n v="0"/>
    <s v="Arndt, Torsten"/>
    <s v="Arndt Torsten"/>
    <x v="1"/>
    <s v="WA"/>
    <s v="Product NEVTJ"/>
    <x v="6"/>
    <x v="411"/>
    <d v="2008-02-09T00:00:00"/>
    <x v="1"/>
    <s v="Ship to 4-C"/>
    <x v="14"/>
    <s v="Supplier UHZRG"/>
    <s v="USA"/>
    <x v="1"/>
    <n v="72"/>
  </r>
  <r>
    <n v="10864"/>
    <n v="67"/>
    <n v="14"/>
    <n v="15"/>
    <n v="0"/>
    <s v="Arndt, Torsten"/>
    <s v="Arndt Torsten"/>
    <x v="1"/>
    <s v="WA"/>
    <s v="Product XLXQF"/>
    <x v="6"/>
    <x v="411"/>
    <d v="2008-02-09T00:00:00"/>
    <x v="1"/>
    <s v="Ship to 4-C"/>
    <x v="14"/>
    <s v="Supplier UHZRG"/>
    <s v="USA"/>
    <x v="1"/>
    <n v="210"/>
  </r>
  <r>
    <n v="10865"/>
    <n v="38"/>
    <n v="263.5"/>
    <n v="60"/>
    <n v="0.05"/>
    <s v="Veronesi, Giorgio"/>
    <s v="Veronesi Giorgio"/>
    <x v="8"/>
    <s v="WA"/>
    <s v="Product QDOMO"/>
    <x v="6"/>
    <x v="411"/>
    <d v="2008-02-12T00:00:00"/>
    <x v="2"/>
    <s v="Ship to 63-A"/>
    <x v="8"/>
    <s v="Supplier LVJUA"/>
    <s v="France"/>
    <x v="2"/>
    <n v="15019.5"/>
  </r>
  <r>
    <n v="10865"/>
    <n v="39"/>
    <n v="18"/>
    <n v="80"/>
    <n v="0.05"/>
    <s v="Veronesi, Giorgio"/>
    <s v="Veronesi Giorgio"/>
    <x v="8"/>
    <s v="WA"/>
    <s v="Product LSOFL"/>
    <x v="6"/>
    <x v="411"/>
    <d v="2008-02-12T00:00:00"/>
    <x v="2"/>
    <s v="Ship to 63-A"/>
    <x v="8"/>
    <s v="Supplier LVJUA"/>
    <s v="France"/>
    <x v="2"/>
    <n v="1368"/>
  </r>
  <r>
    <n v="10866"/>
    <n v="2"/>
    <n v="19"/>
    <n v="21"/>
    <n v="0.25"/>
    <s v="Higginbotham, Tom"/>
    <s v="Higginbotham Tom"/>
    <x v="3"/>
    <n v="0"/>
    <s v="Product RECZE"/>
    <x v="6"/>
    <x v="412"/>
    <d v="2008-02-12T00:00:00"/>
    <x v="2"/>
    <s v="Ship to 5-B"/>
    <x v="10"/>
    <s v="Supplier SWRXU"/>
    <s v="UK"/>
    <x v="2"/>
    <n v="299.25"/>
  </r>
  <r>
    <n v="10866"/>
    <n v="24"/>
    <n v="4.5"/>
    <n v="6"/>
    <n v="0.25"/>
    <s v="Higginbotham, Tom"/>
    <s v="Higginbotham Tom"/>
    <x v="3"/>
    <n v="0"/>
    <s v="Product QOGNU"/>
    <x v="6"/>
    <x v="412"/>
    <d v="2008-02-12T00:00:00"/>
    <x v="2"/>
    <s v="Ship to 5-B"/>
    <x v="10"/>
    <s v="Supplier UNAHG"/>
    <s v="Brazil"/>
    <x v="2"/>
    <n v="20.25"/>
  </r>
  <r>
    <n v="10866"/>
    <n v="30"/>
    <n v="25.89"/>
    <n v="40"/>
    <n v="0.25"/>
    <s v="Higginbotham, Tom"/>
    <s v="Higginbotham Tom"/>
    <x v="3"/>
    <n v="0"/>
    <s v="Product LYERX"/>
    <x v="3"/>
    <x v="412"/>
    <d v="2008-02-12T00:00:00"/>
    <x v="2"/>
    <s v="Ship to 5-B"/>
    <x v="10"/>
    <s v="Supplier TEGSC"/>
    <s v="Germany"/>
    <x v="2"/>
    <n v="776.69999999999993"/>
  </r>
  <r>
    <n v="10867"/>
    <n v="53"/>
    <n v="32.799999999999997"/>
    <n v="3"/>
    <n v="0"/>
    <s v="Szymczak, Radosław"/>
    <s v="Szymczak Radosław"/>
    <x v="7"/>
    <n v="0"/>
    <s v="Product BKGEA"/>
    <x v="7"/>
    <x v="412"/>
    <d v="2008-02-11T00:00:00"/>
    <x v="2"/>
    <s v="Ship to 48-B"/>
    <x v="9"/>
    <s v="Supplier JNNES"/>
    <s v="Australia"/>
    <x v="1"/>
    <n v="98.399999999999991"/>
  </r>
  <r>
    <n v="10868"/>
    <n v="26"/>
    <n v="31.23"/>
    <n v="20"/>
    <n v="0"/>
    <s v="Misiec, Anna"/>
    <s v="Misiec Anna"/>
    <x v="9"/>
    <n v="0"/>
    <s v="Product HLGZA"/>
    <x v="5"/>
    <x v="413"/>
    <d v="2008-02-23T00:00:00"/>
    <x v="1"/>
    <s v="Ship to 62-C"/>
    <x v="1"/>
    <s v="Supplier ZPYVS"/>
    <s v="Germany"/>
    <x v="2"/>
    <n v="624.6"/>
  </r>
  <r>
    <n v="10868"/>
    <n v="35"/>
    <n v="18"/>
    <n v="30"/>
    <n v="0"/>
    <s v="Misiec, Anna"/>
    <s v="Misiec Anna"/>
    <x v="9"/>
    <n v="0"/>
    <s v="Product NEVTJ"/>
    <x v="6"/>
    <x v="413"/>
    <d v="2008-02-23T00:00:00"/>
    <x v="1"/>
    <s v="Ship to 62-C"/>
    <x v="1"/>
    <s v="Supplier UHZRG"/>
    <s v="USA"/>
    <x v="2"/>
    <n v="540"/>
  </r>
  <r>
    <n v="10868"/>
    <n v="49"/>
    <n v="20"/>
    <n v="42"/>
    <n v="0.1"/>
    <s v="Misiec, Anna"/>
    <s v="Misiec Anna"/>
    <x v="9"/>
    <n v="0"/>
    <s v="Product FPYPN"/>
    <x v="5"/>
    <x v="413"/>
    <d v="2008-02-23T00:00:00"/>
    <x v="1"/>
    <s v="Ship to 62-C"/>
    <x v="1"/>
    <s v="Supplier ELCRN"/>
    <s v="Finland"/>
    <x v="2"/>
    <n v="756"/>
  </r>
  <r>
    <n v="10869"/>
    <n v="1"/>
    <n v="18"/>
    <n v="40"/>
    <n v="0"/>
    <s v="Welcker, Brian"/>
    <s v="Welcker Brian"/>
    <x v="3"/>
    <n v="0"/>
    <s v="Product HHYDP"/>
    <x v="6"/>
    <x v="413"/>
    <d v="2008-02-09T00:00:00"/>
    <x v="2"/>
    <s v="Ship to 72-A"/>
    <x v="14"/>
    <s v="Supplier SWRXU"/>
    <s v="UK"/>
    <x v="2"/>
    <n v="720"/>
  </r>
  <r>
    <n v="10869"/>
    <n v="11"/>
    <n v="21"/>
    <n v="10"/>
    <n v="0"/>
    <s v="Welcker, Brian"/>
    <s v="Welcker Brian"/>
    <x v="3"/>
    <n v="0"/>
    <s v="Product QMVUN"/>
    <x v="0"/>
    <x v="413"/>
    <d v="2008-02-09T00:00:00"/>
    <x v="2"/>
    <s v="Ship to 72-A"/>
    <x v="14"/>
    <s v="Supplier EQPNC"/>
    <s v="Spain"/>
    <x v="2"/>
    <n v="210"/>
  </r>
  <r>
    <n v="10869"/>
    <n v="23"/>
    <n v="9"/>
    <n v="50"/>
    <n v="0"/>
    <s v="Welcker, Brian"/>
    <s v="Welcker Brian"/>
    <x v="3"/>
    <n v="0"/>
    <s v="Product JLUDZ"/>
    <x v="1"/>
    <x v="413"/>
    <d v="2008-02-09T00:00:00"/>
    <x v="2"/>
    <s v="Ship to 72-A"/>
    <x v="14"/>
    <s v="Supplier QQYEU"/>
    <s v="Sweden"/>
    <x v="2"/>
    <n v="450"/>
  </r>
  <r>
    <n v="10869"/>
    <n v="68"/>
    <n v="12.5"/>
    <n v="20"/>
    <n v="0"/>
    <s v="Welcker, Brian"/>
    <s v="Welcker Brian"/>
    <x v="3"/>
    <n v="0"/>
    <s v="Product TBTBL"/>
    <x v="5"/>
    <x v="413"/>
    <d v="2008-02-09T00:00:00"/>
    <x v="2"/>
    <s v="Ship to 72-A"/>
    <x v="14"/>
    <s v="Supplier BWGYE"/>
    <s v="UK"/>
    <x v="2"/>
    <n v="250"/>
  </r>
  <r>
    <n v="10870"/>
    <n v="35"/>
    <n v="18"/>
    <n v="3"/>
    <n v="0"/>
    <s v="Conn, Steve"/>
    <s v="Conn Steve"/>
    <x v="3"/>
    <n v="0"/>
    <s v="Product NEVTJ"/>
    <x v="6"/>
    <x v="413"/>
    <d v="2008-02-13T00:00:00"/>
    <x v="3"/>
    <s v="Ship to 91-A"/>
    <x v="19"/>
    <s v="Supplier UHZRG"/>
    <s v="USA"/>
    <x v="1"/>
    <n v="54"/>
  </r>
  <r>
    <n v="10870"/>
    <n v="51"/>
    <n v="53"/>
    <n v="2"/>
    <n v="0"/>
    <s v="Conn, Steve"/>
    <s v="Conn Steve"/>
    <x v="3"/>
    <n v="0"/>
    <s v="Product APITJ"/>
    <x v="2"/>
    <x v="413"/>
    <d v="2008-02-13T00:00:00"/>
    <x v="3"/>
    <s v="Ship to 91-A"/>
    <x v="19"/>
    <s v="Supplier JNNES"/>
    <s v="Australia"/>
    <x v="1"/>
    <n v="106"/>
  </r>
  <r>
    <n v="10871"/>
    <n v="6"/>
    <n v="25"/>
    <n v="50"/>
    <n v="0.05"/>
    <s v="Raghav, Amritansh"/>
    <s v="Raghav Amritansh"/>
    <x v="4"/>
    <n v="0"/>
    <s v="Product VAIIV"/>
    <x v="4"/>
    <x v="414"/>
    <d v="2008-02-10T00:00:00"/>
    <x v="1"/>
    <s v="Ship to 9-B"/>
    <x v="2"/>
    <s v="Supplier STUAZ"/>
    <s v="USA"/>
    <x v="2"/>
    <n v="1187.5"/>
  </r>
  <r>
    <n v="10871"/>
    <n v="16"/>
    <n v="17.45"/>
    <n v="12"/>
    <n v="0.05"/>
    <s v="Raghav, Amritansh"/>
    <s v="Raghav Amritansh"/>
    <x v="4"/>
    <n v="0"/>
    <s v="Product PAFRH"/>
    <x v="5"/>
    <x v="414"/>
    <d v="2008-02-10T00:00:00"/>
    <x v="1"/>
    <s v="Ship to 9-B"/>
    <x v="2"/>
    <s v="Supplier GQRCV"/>
    <s v="Australia"/>
    <x v="2"/>
    <n v="198.92999999999998"/>
  </r>
  <r>
    <n v="10871"/>
    <n v="17"/>
    <n v="39"/>
    <n v="16"/>
    <n v="0.05"/>
    <s v="Raghav, Amritansh"/>
    <s v="Raghav Amritansh"/>
    <x v="4"/>
    <n v="0"/>
    <s v="Product BLCAX"/>
    <x v="7"/>
    <x v="414"/>
    <d v="2008-02-10T00:00:00"/>
    <x v="1"/>
    <s v="Ship to 9-B"/>
    <x v="2"/>
    <s v="Supplier GQRCV"/>
    <s v="Australia"/>
    <x v="2"/>
    <n v="592.79999999999995"/>
  </r>
  <r>
    <n v="10872"/>
    <n v="55"/>
    <n v="24"/>
    <n v="10"/>
    <n v="0.05"/>
    <s v="Shabalin, Rostislav"/>
    <s v="Shabalin Rostislav"/>
    <x v="3"/>
    <n v="0"/>
    <s v="Product YYWRT"/>
    <x v="7"/>
    <x v="414"/>
    <d v="2008-02-09T00:00:00"/>
    <x v="1"/>
    <s v="Destination GGQIR"/>
    <x v="13"/>
    <s v="Supplier ERVYZ"/>
    <s v="Canada"/>
    <x v="2"/>
    <n v="228"/>
  </r>
  <r>
    <n v="10872"/>
    <n v="62"/>
    <n v="49.3"/>
    <n v="20"/>
    <n v="0.05"/>
    <s v="Shabalin, Rostislav"/>
    <s v="Shabalin Rostislav"/>
    <x v="3"/>
    <n v="0"/>
    <s v="Product WUXYK"/>
    <x v="5"/>
    <x v="414"/>
    <d v="2008-02-09T00:00:00"/>
    <x v="1"/>
    <s v="Destination GGQIR"/>
    <x v="13"/>
    <s v="Supplier OGLRK"/>
    <s v="Canada"/>
    <x v="2"/>
    <n v="936.69999999999993"/>
  </r>
  <r>
    <n v="10872"/>
    <n v="64"/>
    <n v="33.25"/>
    <n v="15"/>
    <n v="0.05"/>
    <s v="Shabalin, Rostislav"/>
    <s v="Shabalin Rostislav"/>
    <x v="3"/>
    <n v="0"/>
    <s v="Product HCQDE"/>
    <x v="1"/>
    <x v="414"/>
    <d v="2008-02-09T00:00:00"/>
    <x v="1"/>
    <s v="Destination GGQIR"/>
    <x v="13"/>
    <s v="Supplier SVIYA"/>
    <s v="Germany"/>
    <x v="2"/>
    <n v="473.8125"/>
  </r>
  <r>
    <n v="10872"/>
    <n v="65"/>
    <n v="21.05"/>
    <n v="21"/>
    <n v="0.05"/>
    <s v="Shabalin, Rostislav"/>
    <s v="Shabalin Rostislav"/>
    <x v="3"/>
    <n v="0"/>
    <s v="Product XYWBZ"/>
    <x v="4"/>
    <x v="414"/>
    <d v="2008-02-09T00:00:00"/>
    <x v="1"/>
    <s v="Destination GGQIR"/>
    <x v="13"/>
    <s v="Supplier VHQZD"/>
    <s v="USA"/>
    <x v="2"/>
    <n v="419.94749999999999"/>
  </r>
  <r>
    <n v="10873"/>
    <n v="21"/>
    <n v="10"/>
    <n v="20"/>
    <n v="0"/>
    <s v="Larsson, Katarina"/>
    <s v="Larsson Katarina"/>
    <x v="1"/>
    <s v="WA"/>
    <s v="Product VJZZH"/>
    <x v="5"/>
    <x v="415"/>
    <d v="2008-02-09T00:00:00"/>
    <x v="2"/>
    <s v="Ship to 90-B"/>
    <x v="11"/>
    <s v="Supplier BWGYE"/>
    <s v="UK"/>
    <x v="1"/>
    <n v="200"/>
  </r>
  <r>
    <n v="10873"/>
    <n v="28"/>
    <n v="45.6"/>
    <n v="3"/>
    <n v="0"/>
    <s v="Larsson, Katarina"/>
    <s v="Larsson Katarina"/>
    <x v="1"/>
    <s v="WA"/>
    <s v="Product OFBNT"/>
    <x v="2"/>
    <x v="415"/>
    <d v="2008-02-09T00:00:00"/>
    <x v="2"/>
    <s v="Ship to 90-B"/>
    <x v="11"/>
    <s v="Supplier SVIYA"/>
    <s v="Germany"/>
    <x v="1"/>
    <n v="136.80000000000001"/>
  </r>
  <r>
    <n v="10874"/>
    <n v="10"/>
    <n v="31"/>
    <n v="10"/>
    <n v="0"/>
    <s v="Shabalin, Rostislav"/>
    <s v="Shabalin Rostislav"/>
    <x v="3"/>
    <n v="0"/>
    <s v="Product YHXGE"/>
    <x v="3"/>
    <x v="415"/>
    <d v="2008-02-11T00:00:00"/>
    <x v="1"/>
    <s v="Destination IIYDD"/>
    <x v="13"/>
    <s v="Supplier QOVFD"/>
    <s v="Japan"/>
    <x v="1"/>
    <n v="310"/>
  </r>
  <r>
    <n v="10875"/>
    <n v="19"/>
    <n v="9.1999999999999993"/>
    <n v="25"/>
    <n v="0"/>
    <s v="Higginbotham, Tom"/>
    <s v="Higginbotham Tom"/>
    <x v="1"/>
    <s v="WA"/>
    <s v="Product XKXDO"/>
    <x v="5"/>
    <x v="415"/>
    <d v="2008-03-03T00:00:00"/>
    <x v="1"/>
    <s v="Ship to 5-A"/>
    <x v="10"/>
    <s v="Supplier BWGYE"/>
    <s v="UK"/>
    <x v="1"/>
    <n v="229.99999999999997"/>
  </r>
  <r>
    <n v="10875"/>
    <n v="47"/>
    <n v="9.5"/>
    <n v="21"/>
    <n v="0.1"/>
    <s v="Higginbotham, Tom"/>
    <s v="Higginbotham Tom"/>
    <x v="1"/>
    <s v="WA"/>
    <s v="Product EZZPR"/>
    <x v="5"/>
    <x v="415"/>
    <d v="2008-03-03T00:00:00"/>
    <x v="1"/>
    <s v="Ship to 5-A"/>
    <x v="10"/>
    <s v="Supplier FNUXM"/>
    <s v="Netherlands"/>
    <x v="1"/>
    <n v="179.55"/>
  </r>
  <r>
    <n v="10875"/>
    <n v="49"/>
    <n v="20"/>
    <n v="15"/>
    <n v="0"/>
    <s v="Higginbotham, Tom"/>
    <s v="Higginbotham Tom"/>
    <x v="1"/>
    <s v="WA"/>
    <s v="Product FPYPN"/>
    <x v="5"/>
    <x v="415"/>
    <d v="2008-03-03T00:00:00"/>
    <x v="1"/>
    <s v="Ship to 5-A"/>
    <x v="10"/>
    <s v="Supplier ELCRN"/>
    <s v="Finland"/>
    <x v="1"/>
    <n v="300"/>
  </r>
  <r>
    <n v="10876"/>
    <n v="46"/>
    <n v="12"/>
    <n v="21"/>
    <n v="0"/>
    <s v="Raghav, Amritansh"/>
    <s v="Raghav Amritansh"/>
    <x v="9"/>
    <n v="0"/>
    <s v="Product CBRRL"/>
    <x v="3"/>
    <x v="416"/>
    <d v="2008-02-12T00:00:00"/>
    <x v="3"/>
    <s v="Ship to 9-A"/>
    <x v="2"/>
    <s v="Supplier XOXZA"/>
    <s v="Denmark"/>
    <x v="1"/>
    <n v="252"/>
  </r>
  <r>
    <n v="10876"/>
    <n v="64"/>
    <n v="33.25"/>
    <n v="20"/>
    <n v="0"/>
    <s v="Raghav, Amritansh"/>
    <s v="Raghav Amritansh"/>
    <x v="9"/>
    <n v="0"/>
    <s v="Product HCQDE"/>
    <x v="1"/>
    <x v="416"/>
    <d v="2008-02-12T00:00:00"/>
    <x v="3"/>
    <s v="Ship to 9-A"/>
    <x v="2"/>
    <s v="Supplier SVIYA"/>
    <s v="Germany"/>
    <x v="1"/>
    <n v="665"/>
  </r>
  <r>
    <n v="10877"/>
    <n v="16"/>
    <n v="17.45"/>
    <n v="30"/>
    <n v="0.25"/>
    <s v="Garden, Euan"/>
    <s v="Garden Euan"/>
    <x v="5"/>
    <s v="WA"/>
    <s v="Product PAFRH"/>
    <x v="5"/>
    <x v="416"/>
    <d v="2008-02-19T00:00:00"/>
    <x v="2"/>
    <s v="Ship to 67-B"/>
    <x v="1"/>
    <s v="Supplier GQRCV"/>
    <s v="Australia"/>
    <x v="1"/>
    <n v="392.625"/>
  </r>
  <r>
    <n v="10877"/>
    <n v="18"/>
    <n v="62.5"/>
    <n v="25"/>
    <n v="0"/>
    <s v="Garden, Euan"/>
    <s v="Garden Euan"/>
    <x v="5"/>
    <s v="WA"/>
    <s v="Product CKEDC"/>
    <x v="3"/>
    <x v="416"/>
    <d v="2008-02-19T00:00:00"/>
    <x v="2"/>
    <s v="Ship to 67-B"/>
    <x v="1"/>
    <s v="Supplier GQRCV"/>
    <s v="Australia"/>
    <x v="1"/>
    <n v="1562.5"/>
  </r>
  <r>
    <n v="10878"/>
    <n v="20"/>
    <n v="81"/>
    <n v="20"/>
    <n v="0.05"/>
    <s v="Veronesi, Giorgio"/>
    <s v="Veronesi Giorgio"/>
    <x v="1"/>
    <s v="WA"/>
    <s v="Product QHFFP"/>
    <x v="5"/>
    <x v="417"/>
    <d v="2008-02-12T00:00:00"/>
    <x v="2"/>
    <s v="Ship to 63-B"/>
    <x v="8"/>
    <s v="Supplier BWGYE"/>
    <s v="UK"/>
    <x v="1"/>
    <n v="1539"/>
  </r>
  <r>
    <n v="10879"/>
    <n v="40"/>
    <n v="18.399999999999999"/>
    <n v="12"/>
    <n v="0"/>
    <s v="Larsson, Katarina"/>
    <s v="Larsson Katarina"/>
    <x v="2"/>
    <s v="WA"/>
    <s v="Product YZIXQ"/>
    <x v="3"/>
    <x v="417"/>
    <d v="2008-02-12T00:00:00"/>
    <x v="3"/>
    <s v="Ship to 90-A"/>
    <x v="11"/>
    <s v="Supplier JDNUG"/>
    <s v="USA"/>
    <x v="1"/>
    <n v="220.79999999999998"/>
  </r>
  <r>
    <n v="10879"/>
    <n v="65"/>
    <n v="21.05"/>
    <n v="10"/>
    <n v="0"/>
    <s v="Larsson, Katarina"/>
    <s v="Larsson Katarina"/>
    <x v="2"/>
    <s v="WA"/>
    <s v="Product XYWBZ"/>
    <x v="4"/>
    <x v="417"/>
    <d v="2008-02-12T00:00:00"/>
    <x v="3"/>
    <s v="Ship to 90-A"/>
    <x v="11"/>
    <s v="Supplier VHQZD"/>
    <s v="USA"/>
    <x v="1"/>
    <n v="210.5"/>
  </r>
  <r>
    <n v="10879"/>
    <n v="76"/>
    <n v="18"/>
    <n v="10"/>
    <n v="0"/>
    <s v="Larsson, Katarina"/>
    <s v="Larsson Katarina"/>
    <x v="2"/>
    <s v="WA"/>
    <s v="Product JYGFE"/>
    <x v="6"/>
    <x v="417"/>
    <d v="2008-02-12T00:00:00"/>
    <x v="3"/>
    <s v="Ship to 90-A"/>
    <x v="11"/>
    <s v="Supplier ELCRN"/>
    <s v="Finland"/>
    <x v="1"/>
    <n v="180"/>
  </r>
  <r>
    <n v="10880"/>
    <n v="23"/>
    <n v="9"/>
    <n v="30"/>
    <n v="0.2"/>
    <s v="San Juan, Patricia"/>
    <s v="San Juan Patricia"/>
    <x v="9"/>
    <n v="0"/>
    <s v="Product JLUDZ"/>
    <x v="1"/>
    <x v="417"/>
    <d v="2008-02-18T00:00:00"/>
    <x v="2"/>
    <s v="Destination KBSBN"/>
    <x v="10"/>
    <s v="Supplier QQYEU"/>
    <s v="Sweden"/>
    <x v="1"/>
    <n v="216"/>
  </r>
  <r>
    <n v="10880"/>
    <n v="61"/>
    <n v="28.5"/>
    <n v="30"/>
    <n v="0.2"/>
    <s v="San Juan, Patricia"/>
    <s v="San Juan Patricia"/>
    <x v="9"/>
    <n v="0"/>
    <s v="Product XYZPE"/>
    <x v="4"/>
    <x v="417"/>
    <d v="2008-02-18T00:00:00"/>
    <x v="2"/>
    <s v="Destination KBSBN"/>
    <x v="10"/>
    <s v="Supplier OGLRK"/>
    <s v="Canada"/>
    <x v="1"/>
    <n v="684"/>
  </r>
  <r>
    <n v="10880"/>
    <n v="70"/>
    <n v="15"/>
    <n v="50"/>
    <n v="0.2"/>
    <s v="San Juan, Patricia"/>
    <s v="San Juan Patricia"/>
    <x v="9"/>
    <n v="0"/>
    <s v="Product TOONT"/>
    <x v="6"/>
    <x v="417"/>
    <d v="2008-02-18T00:00:00"/>
    <x v="2"/>
    <s v="Destination KBSBN"/>
    <x v="10"/>
    <s v="Supplier GQRCV"/>
    <s v="Australia"/>
    <x v="1"/>
    <n v="600"/>
  </r>
  <r>
    <n v="10881"/>
    <n v="73"/>
    <n v="15"/>
    <n v="10"/>
    <n v="0"/>
    <s v="Ray, Mike"/>
    <s v="Ray Mike"/>
    <x v="1"/>
    <s v="WA"/>
    <s v="Product WEUJZ"/>
    <x v="3"/>
    <x v="418"/>
    <d v="2008-02-18T00:00:00"/>
    <x v="2"/>
    <s v="Destination IGLOB"/>
    <x v="21"/>
    <s v="Supplier QZGUF"/>
    <s v="Sweden"/>
    <x v="1"/>
    <n v="150"/>
  </r>
  <r>
    <n v="10882"/>
    <n v="42"/>
    <n v="14"/>
    <n v="25"/>
    <n v="0"/>
    <s v="Navarro, Tomás"/>
    <s v="Navarro Tomás"/>
    <x v="1"/>
    <s v="WA"/>
    <s v="Product RJVNM"/>
    <x v="1"/>
    <x v="418"/>
    <d v="2008-02-20T00:00:00"/>
    <x v="3"/>
    <s v="Ship to 71-B"/>
    <x v="9"/>
    <s v="Supplier CIYNM"/>
    <s v="Singapore"/>
    <x v="1"/>
    <n v="350"/>
  </r>
  <r>
    <n v="10882"/>
    <n v="49"/>
    <n v="20"/>
    <n v="20"/>
    <n v="0.15"/>
    <s v="Navarro, Tomás"/>
    <s v="Navarro Tomás"/>
    <x v="1"/>
    <s v="WA"/>
    <s v="Product FPYPN"/>
    <x v="5"/>
    <x v="418"/>
    <d v="2008-02-20T00:00:00"/>
    <x v="3"/>
    <s v="Ship to 71-B"/>
    <x v="9"/>
    <s v="Supplier ELCRN"/>
    <s v="Finland"/>
    <x v="1"/>
    <n v="340"/>
  </r>
  <r>
    <n v="10882"/>
    <n v="54"/>
    <n v="7.45"/>
    <n v="32"/>
    <n v="0.15"/>
    <s v="Navarro, Tomás"/>
    <s v="Navarro Tomás"/>
    <x v="1"/>
    <s v="WA"/>
    <s v="Product QAQRL"/>
    <x v="7"/>
    <x v="418"/>
    <d v="2008-02-20T00:00:00"/>
    <x v="3"/>
    <s v="Ship to 71-B"/>
    <x v="9"/>
    <s v="Supplier ERVYZ"/>
    <s v="Canada"/>
    <x v="1"/>
    <n v="202.64"/>
  </r>
  <r>
    <n v="10883"/>
    <n v="24"/>
    <n v="4.5"/>
    <n v="8"/>
    <n v="0"/>
    <s v="Szymczak, Radosław"/>
    <s v="Szymczak Radosław"/>
    <x v="6"/>
    <s v="WA"/>
    <s v="Product QOGNU"/>
    <x v="6"/>
    <x v="419"/>
    <d v="2008-02-20T00:00:00"/>
    <x v="3"/>
    <s v="Ship to 48-C"/>
    <x v="9"/>
    <s v="Supplier UNAHG"/>
    <s v="Brazil"/>
    <x v="1"/>
    <n v="36"/>
  </r>
  <r>
    <n v="10884"/>
    <n v="21"/>
    <n v="10"/>
    <n v="40"/>
    <n v="0.05"/>
    <s v="Sunkammurali, Krishna"/>
    <s v="Sunkammurali Krishna"/>
    <x v="1"/>
    <s v="WA"/>
    <s v="Product VJZZH"/>
    <x v="5"/>
    <x v="419"/>
    <d v="2008-02-13T00:00:00"/>
    <x v="1"/>
    <s v="Ship to 45-C"/>
    <x v="9"/>
    <s v="Supplier BWGYE"/>
    <s v="UK"/>
    <x v="1"/>
    <n v="380"/>
  </r>
  <r>
    <n v="10884"/>
    <n v="56"/>
    <n v="38"/>
    <n v="21"/>
    <n v="0.05"/>
    <s v="Sunkammurali, Krishna"/>
    <s v="Sunkammurali Krishna"/>
    <x v="1"/>
    <s v="WA"/>
    <s v="Product VKCMF"/>
    <x v="1"/>
    <x v="419"/>
    <d v="2008-02-13T00:00:00"/>
    <x v="1"/>
    <s v="Ship to 45-C"/>
    <x v="9"/>
    <s v="Supplier ZWZDM"/>
    <s v="Italy"/>
    <x v="1"/>
    <n v="758.09999999999991"/>
  </r>
  <r>
    <n v="10884"/>
    <n v="65"/>
    <n v="21.05"/>
    <n v="12"/>
    <n v="0.05"/>
    <s v="Sunkammurali, Krishna"/>
    <s v="Sunkammurali Krishna"/>
    <x v="1"/>
    <s v="WA"/>
    <s v="Product XYWBZ"/>
    <x v="4"/>
    <x v="419"/>
    <d v="2008-02-13T00:00:00"/>
    <x v="1"/>
    <s v="Ship to 45-C"/>
    <x v="9"/>
    <s v="Supplier VHQZD"/>
    <s v="USA"/>
    <x v="1"/>
    <n v="239.97"/>
  </r>
  <r>
    <n v="10885"/>
    <n v="2"/>
    <n v="19"/>
    <n v="20"/>
    <n v="0"/>
    <s v="Gulbis, Katrin"/>
    <s v="Gulbis Katrin"/>
    <x v="7"/>
    <n v="0"/>
    <s v="Product RECZE"/>
    <x v="6"/>
    <x v="419"/>
    <d v="2008-02-18T00:00:00"/>
    <x v="3"/>
    <s v="Ship to 76-B"/>
    <x v="3"/>
    <s v="Supplier SWRXU"/>
    <s v="UK"/>
    <x v="1"/>
    <n v="380"/>
  </r>
  <r>
    <n v="10885"/>
    <n v="24"/>
    <n v="4.5"/>
    <n v="12"/>
    <n v="0"/>
    <s v="Gulbis, Katrin"/>
    <s v="Gulbis Katrin"/>
    <x v="7"/>
    <n v="0"/>
    <s v="Product QOGNU"/>
    <x v="6"/>
    <x v="419"/>
    <d v="2008-02-18T00:00:00"/>
    <x v="3"/>
    <s v="Ship to 76-B"/>
    <x v="3"/>
    <s v="Supplier UNAHG"/>
    <s v="Brazil"/>
    <x v="1"/>
    <n v="54"/>
  </r>
  <r>
    <n v="10885"/>
    <n v="70"/>
    <n v="15"/>
    <n v="30"/>
    <n v="0"/>
    <s v="Gulbis, Katrin"/>
    <s v="Gulbis Katrin"/>
    <x v="7"/>
    <n v="0"/>
    <s v="Product TOONT"/>
    <x v="6"/>
    <x v="419"/>
    <d v="2008-02-18T00:00:00"/>
    <x v="3"/>
    <s v="Ship to 76-B"/>
    <x v="3"/>
    <s v="Supplier GQRCV"/>
    <s v="Australia"/>
    <x v="1"/>
    <n v="450"/>
  </r>
  <r>
    <n v="10885"/>
    <n v="77"/>
    <n v="13"/>
    <n v="25"/>
    <n v="0"/>
    <s v="Gulbis, Katrin"/>
    <s v="Gulbis Katrin"/>
    <x v="7"/>
    <n v="0"/>
    <s v="Product LUNZZ"/>
    <x v="4"/>
    <x v="419"/>
    <d v="2008-02-18T00:00:00"/>
    <x v="3"/>
    <s v="Ship to 76-B"/>
    <x v="3"/>
    <s v="Supplier SVIYA"/>
    <s v="Germany"/>
    <x v="1"/>
    <n v="325"/>
  </r>
  <r>
    <n v="10886"/>
    <n v="10"/>
    <n v="31"/>
    <n v="70"/>
    <n v="0"/>
    <s v="Cohen, Shy"/>
    <s v="Cohen Shy"/>
    <x v="5"/>
    <s v="WA"/>
    <s v="Product YHXGE"/>
    <x v="3"/>
    <x v="420"/>
    <d v="2008-03-02T00:00:00"/>
    <x v="2"/>
    <s v="Destination SCQXA"/>
    <x v="1"/>
    <s v="Supplier QOVFD"/>
    <s v="Japan"/>
    <x v="1"/>
    <n v="2170"/>
  </r>
  <r>
    <n v="10886"/>
    <n v="31"/>
    <n v="12.5"/>
    <n v="35"/>
    <n v="0"/>
    <s v="Cohen, Shy"/>
    <s v="Cohen Shy"/>
    <x v="5"/>
    <s v="WA"/>
    <s v="Product XWOXC"/>
    <x v="0"/>
    <x v="420"/>
    <d v="2008-03-02T00:00:00"/>
    <x v="2"/>
    <s v="Destination SCQXA"/>
    <x v="1"/>
    <s v="Supplier KEREV"/>
    <s v="Italy"/>
    <x v="1"/>
    <n v="437.5"/>
  </r>
  <r>
    <n v="10886"/>
    <n v="77"/>
    <n v="13"/>
    <n v="40"/>
    <n v="0"/>
    <s v="Cohen, Shy"/>
    <s v="Cohen Shy"/>
    <x v="5"/>
    <s v="WA"/>
    <s v="Product LUNZZ"/>
    <x v="4"/>
    <x v="420"/>
    <d v="2008-03-02T00:00:00"/>
    <x v="2"/>
    <s v="Destination SCQXA"/>
    <x v="1"/>
    <s v="Supplier SVIYA"/>
    <s v="Germany"/>
    <x v="1"/>
    <n v="520"/>
  </r>
  <r>
    <n v="10887"/>
    <n v="25"/>
    <n v="14"/>
    <n v="5"/>
    <n v="0"/>
    <s v="Kolesnikova, Katerina"/>
    <s v="Kolesnikova Katerina"/>
    <x v="6"/>
    <s v="WA"/>
    <s v="Product LYLNI"/>
    <x v="5"/>
    <x v="420"/>
    <d v="2008-02-16T00:00:00"/>
    <x v="3"/>
    <s v="Destination VPNNG"/>
    <x v="13"/>
    <s v="Supplier ZPYVS"/>
    <s v="Germany"/>
    <x v="1"/>
    <n v="70"/>
  </r>
  <r>
    <n v="10888"/>
    <n v="2"/>
    <n v="19"/>
    <n v="20"/>
    <n v="0"/>
    <s v="Shabalin, Rostislav"/>
    <s v="Shabalin Rostislav"/>
    <x v="5"/>
    <s v="WA"/>
    <s v="Product RECZE"/>
    <x v="6"/>
    <x v="421"/>
    <d v="2008-02-23T00:00:00"/>
    <x v="1"/>
    <s v="Destination IIYDD"/>
    <x v="13"/>
    <s v="Supplier SWRXU"/>
    <s v="UK"/>
    <x v="1"/>
    <n v="380"/>
  </r>
  <r>
    <n v="10888"/>
    <n v="68"/>
    <n v="12.5"/>
    <n v="18"/>
    <n v="0"/>
    <s v="Shabalin, Rostislav"/>
    <s v="Shabalin Rostislav"/>
    <x v="5"/>
    <s v="WA"/>
    <s v="Product TBTBL"/>
    <x v="5"/>
    <x v="421"/>
    <d v="2008-02-23T00:00:00"/>
    <x v="1"/>
    <s v="Destination IIYDD"/>
    <x v="13"/>
    <s v="Supplier BWGYE"/>
    <s v="UK"/>
    <x v="1"/>
    <n v="225"/>
  </r>
  <r>
    <n v="10889"/>
    <n v="11"/>
    <n v="21"/>
    <n v="40"/>
    <n v="0"/>
    <s v="Moore, Michael"/>
    <s v="Moore Michael"/>
    <x v="4"/>
    <n v="0"/>
    <s v="Product QMVUN"/>
    <x v="0"/>
    <x v="421"/>
    <d v="2008-02-23T00:00:00"/>
    <x v="3"/>
    <s v="Ship to 65-C"/>
    <x v="9"/>
    <s v="Supplier EQPNC"/>
    <s v="Spain"/>
    <x v="2"/>
    <n v="840"/>
  </r>
  <r>
    <n v="10889"/>
    <n v="38"/>
    <n v="263.5"/>
    <n v="40"/>
    <n v="0"/>
    <s v="Moore, Michael"/>
    <s v="Moore Michael"/>
    <x v="4"/>
    <n v="0"/>
    <s v="Product QDOMO"/>
    <x v="6"/>
    <x v="421"/>
    <d v="2008-02-23T00:00:00"/>
    <x v="3"/>
    <s v="Ship to 65-C"/>
    <x v="9"/>
    <s v="Supplier LVJUA"/>
    <s v="France"/>
    <x v="2"/>
    <n v="10540"/>
  </r>
  <r>
    <n v="10890"/>
    <n v="17"/>
    <n v="39"/>
    <n v="15"/>
    <n v="0"/>
    <s v="Rizaldy, Arif"/>
    <s v="Rizaldy Arif"/>
    <x v="9"/>
    <n v="0"/>
    <s v="Product BLCAX"/>
    <x v="7"/>
    <x v="421"/>
    <d v="2008-02-18T00:00:00"/>
    <x v="2"/>
    <s v="Destination JNSYI"/>
    <x v="2"/>
    <s v="Supplier GQRCV"/>
    <s v="Australia"/>
    <x v="1"/>
    <n v="585"/>
  </r>
  <r>
    <n v="10890"/>
    <n v="34"/>
    <n v="14"/>
    <n v="10"/>
    <n v="0"/>
    <s v="Rizaldy, Arif"/>
    <s v="Rizaldy Arif"/>
    <x v="9"/>
    <n v="0"/>
    <s v="Product SWNJY"/>
    <x v="6"/>
    <x v="421"/>
    <d v="2008-02-18T00:00:00"/>
    <x v="2"/>
    <s v="Destination JNSYI"/>
    <x v="2"/>
    <s v="Supplier UHZRG"/>
    <s v="USA"/>
    <x v="1"/>
    <n v="140"/>
  </r>
  <r>
    <n v="10890"/>
    <n v="41"/>
    <n v="9.65"/>
    <n v="14"/>
    <n v="0"/>
    <s v="Rizaldy, Arif"/>
    <s v="Rizaldy Arif"/>
    <x v="9"/>
    <n v="0"/>
    <s v="Product TTEEX"/>
    <x v="3"/>
    <x v="421"/>
    <d v="2008-02-18T00:00:00"/>
    <x v="2"/>
    <s v="Destination JNSYI"/>
    <x v="2"/>
    <s v="Supplier JDNUG"/>
    <s v="USA"/>
    <x v="1"/>
    <n v="135.1"/>
  </r>
  <r>
    <n v="10891"/>
    <n v="30"/>
    <n v="25.89"/>
    <n v="15"/>
    <n v="0.05"/>
    <s v="Louverdis, George"/>
    <s v="Louverdis George"/>
    <x v="9"/>
    <n v="0"/>
    <s v="Product LYERX"/>
    <x v="3"/>
    <x v="422"/>
    <d v="2008-02-19T00:00:00"/>
    <x v="1"/>
    <s v="Ship to 44-A"/>
    <x v="8"/>
    <s v="Supplier TEGSC"/>
    <s v="Germany"/>
    <x v="1"/>
    <n v="368.9325"/>
  </r>
  <r>
    <n v="10892"/>
    <n v="59"/>
    <n v="55"/>
    <n v="40"/>
    <n v="0.05"/>
    <s v="Mace, Donald"/>
    <s v="Mace Donald"/>
    <x v="1"/>
    <s v="WA"/>
    <s v="Product UKXRI"/>
    <x v="0"/>
    <x v="422"/>
    <d v="2008-02-19T00:00:00"/>
    <x v="1"/>
    <s v="Ship to 50-A"/>
    <x v="3"/>
    <s v="Supplier OAVQT"/>
    <s v="France"/>
    <x v="2"/>
    <n v="2090"/>
  </r>
  <r>
    <n v="10893"/>
    <n v="8"/>
    <n v="40"/>
    <n v="30"/>
    <n v="0"/>
    <s v="Song, Lolan"/>
    <s v="Song Lolan"/>
    <x v="4"/>
    <n v="0"/>
    <s v="Product WVJFP"/>
    <x v="4"/>
    <x v="423"/>
    <d v="2008-02-20T00:00:00"/>
    <x v="1"/>
    <s v="Destination RMBHM"/>
    <x v="8"/>
    <s v="Supplier STUAZ"/>
    <s v="USA"/>
    <x v="1"/>
    <n v="1200"/>
  </r>
  <r>
    <n v="10893"/>
    <n v="24"/>
    <n v="4.5"/>
    <n v="10"/>
    <n v="0"/>
    <s v="Song, Lolan"/>
    <s v="Song Lolan"/>
    <x v="4"/>
    <n v="0"/>
    <s v="Product QOGNU"/>
    <x v="6"/>
    <x v="423"/>
    <d v="2008-02-20T00:00:00"/>
    <x v="1"/>
    <s v="Destination RMBHM"/>
    <x v="8"/>
    <s v="Supplier UNAHG"/>
    <s v="Brazil"/>
    <x v="1"/>
    <n v="45"/>
  </r>
  <r>
    <n v="10893"/>
    <n v="29"/>
    <n v="123.79"/>
    <n v="24"/>
    <n v="0"/>
    <s v="Song, Lolan"/>
    <s v="Song Lolan"/>
    <x v="4"/>
    <n v="0"/>
    <s v="Product VJXYN"/>
    <x v="7"/>
    <x v="423"/>
    <d v="2008-02-20T00:00:00"/>
    <x v="1"/>
    <s v="Destination RMBHM"/>
    <x v="8"/>
    <s v="Supplier SVIYA"/>
    <s v="Germany"/>
    <x v="1"/>
    <n v="2970.96"/>
  </r>
  <r>
    <n v="10893"/>
    <n v="30"/>
    <n v="25.89"/>
    <n v="35"/>
    <n v="0"/>
    <s v="Song, Lolan"/>
    <s v="Song Lolan"/>
    <x v="4"/>
    <n v="0"/>
    <s v="Product LYERX"/>
    <x v="3"/>
    <x v="423"/>
    <d v="2008-02-20T00:00:00"/>
    <x v="1"/>
    <s v="Destination RMBHM"/>
    <x v="8"/>
    <s v="Supplier TEGSC"/>
    <s v="Germany"/>
    <x v="1"/>
    <n v="906.15"/>
  </r>
  <r>
    <n v="10893"/>
    <n v="36"/>
    <n v="19"/>
    <n v="20"/>
    <n v="0"/>
    <s v="Song, Lolan"/>
    <s v="Song Lolan"/>
    <x v="4"/>
    <n v="0"/>
    <s v="Product GMKIJ"/>
    <x v="3"/>
    <x v="423"/>
    <d v="2008-02-20T00:00:00"/>
    <x v="1"/>
    <s v="Destination RMBHM"/>
    <x v="8"/>
    <s v="Supplier QZGUF"/>
    <s v="Sweden"/>
    <x v="1"/>
    <n v="380"/>
  </r>
  <r>
    <n v="10894"/>
    <n v="13"/>
    <n v="6"/>
    <n v="28"/>
    <n v="0.05"/>
    <s v="Navarro, Tomás"/>
    <s v="Navarro Tomás"/>
    <x v="5"/>
    <s v="WA"/>
    <s v="Product POXFU"/>
    <x v="3"/>
    <x v="423"/>
    <d v="2008-02-20T00:00:00"/>
    <x v="2"/>
    <s v="Ship to 71-A"/>
    <x v="9"/>
    <s v="Supplier QWUSF"/>
    <s v="Japan"/>
    <x v="2"/>
    <n v="159.6"/>
  </r>
  <r>
    <n v="10894"/>
    <n v="69"/>
    <n v="36"/>
    <n v="50"/>
    <n v="0.05"/>
    <s v="Navarro, Tomás"/>
    <s v="Navarro Tomás"/>
    <x v="5"/>
    <s v="WA"/>
    <s v="Product COAXA"/>
    <x v="0"/>
    <x v="423"/>
    <d v="2008-02-20T00:00:00"/>
    <x v="2"/>
    <s v="Ship to 71-A"/>
    <x v="9"/>
    <s v="Supplier NZLIF"/>
    <s v="Norway"/>
    <x v="2"/>
    <n v="1710"/>
  </r>
  <r>
    <n v="10894"/>
    <n v="75"/>
    <n v="7.75"/>
    <n v="120"/>
    <n v="0.05"/>
    <s v="Navarro, Tomás"/>
    <s v="Navarro Tomás"/>
    <x v="5"/>
    <s v="WA"/>
    <s v="Product BWRLG"/>
    <x v="6"/>
    <x v="423"/>
    <d v="2008-02-20T00:00:00"/>
    <x v="2"/>
    <s v="Ship to 71-A"/>
    <x v="9"/>
    <s v="Supplier SVIYA"/>
    <s v="Germany"/>
    <x v="2"/>
    <n v="883.5"/>
  </r>
  <r>
    <n v="10895"/>
    <n v="24"/>
    <n v="4.5"/>
    <n v="110"/>
    <n v="0"/>
    <s v="Kane, John"/>
    <s v="Kane John"/>
    <x v="2"/>
    <s v="WA"/>
    <s v="Product QOGNU"/>
    <x v="6"/>
    <x v="423"/>
    <d v="2008-02-23T00:00:00"/>
    <x v="2"/>
    <s v="Destination CUVPF"/>
    <x v="6"/>
    <s v="Supplier UNAHG"/>
    <s v="Brazil"/>
    <x v="2"/>
    <n v="495"/>
  </r>
  <r>
    <n v="10895"/>
    <n v="39"/>
    <n v="18"/>
    <n v="45"/>
    <n v="0"/>
    <s v="Kane, John"/>
    <s v="Kane John"/>
    <x v="2"/>
    <s v="WA"/>
    <s v="Product LSOFL"/>
    <x v="6"/>
    <x v="423"/>
    <d v="2008-02-23T00:00:00"/>
    <x v="2"/>
    <s v="Destination CUVPF"/>
    <x v="6"/>
    <s v="Supplier LVJUA"/>
    <s v="France"/>
    <x v="2"/>
    <n v="810"/>
  </r>
  <r>
    <n v="10895"/>
    <n v="40"/>
    <n v="18.399999999999999"/>
    <n v="91"/>
    <n v="0"/>
    <s v="Kane, John"/>
    <s v="Kane John"/>
    <x v="2"/>
    <s v="WA"/>
    <s v="Product YZIXQ"/>
    <x v="3"/>
    <x v="423"/>
    <d v="2008-02-23T00:00:00"/>
    <x v="2"/>
    <s v="Destination CUVPF"/>
    <x v="6"/>
    <s v="Supplier JDNUG"/>
    <s v="USA"/>
    <x v="2"/>
    <n v="1674.3999999999999"/>
  </r>
  <r>
    <n v="10895"/>
    <n v="60"/>
    <n v="34"/>
    <n v="100"/>
    <n v="0"/>
    <s v="Kane, John"/>
    <s v="Kane John"/>
    <x v="2"/>
    <s v="WA"/>
    <s v="Product WHBYK"/>
    <x v="0"/>
    <x v="423"/>
    <d v="2008-02-23T00:00:00"/>
    <x v="2"/>
    <s v="Destination CUVPF"/>
    <x v="6"/>
    <s v="Supplier OAVQT"/>
    <s v="France"/>
    <x v="2"/>
    <n v="3400"/>
  </r>
  <r>
    <n v="10896"/>
    <n v="45"/>
    <n v="9.5"/>
    <n v="15"/>
    <n v="0"/>
    <s v="Mace, Donald"/>
    <s v="Mace Donald"/>
    <x v="9"/>
    <n v="0"/>
    <s v="Product AQOKR"/>
    <x v="3"/>
    <x v="424"/>
    <d v="2008-02-27T00:00:00"/>
    <x v="3"/>
    <s v="Ship to 50-A"/>
    <x v="3"/>
    <s v="Supplier XOXZA"/>
    <s v="Denmark"/>
    <x v="1"/>
    <n v="142.5"/>
  </r>
  <r>
    <n v="10896"/>
    <n v="56"/>
    <n v="38"/>
    <n v="16"/>
    <n v="0"/>
    <s v="Mace, Donald"/>
    <s v="Mace Donald"/>
    <x v="9"/>
    <n v="0"/>
    <s v="Product VKCMF"/>
    <x v="1"/>
    <x v="424"/>
    <d v="2008-02-27T00:00:00"/>
    <x v="3"/>
    <s v="Ship to 50-A"/>
    <x v="3"/>
    <s v="Supplier ZWZDM"/>
    <s v="Italy"/>
    <x v="1"/>
    <n v="608"/>
  </r>
  <r>
    <n v="10897"/>
    <n v="29"/>
    <n v="123.79"/>
    <n v="80"/>
    <n v="0"/>
    <s v="Crăciun, Ovidiu V."/>
    <s v="Crăciun Ovidiu V."/>
    <x v="2"/>
    <s v="WA"/>
    <s v="Product VJXYN"/>
    <x v="7"/>
    <x v="424"/>
    <d v="2008-02-25T00:00:00"/>
    <x v="1"/>
    <s v="Destination DGKOU"/>
    <x v="15"/>
    <s v="Supplier SVIYA"/>
    <s v="Germany"/>
    <x v="2"/>
    <n v="9903.2000000000007"/>
  </r>
  <r>
    <n v="10897"/>
    <n v="30"/>
    <n v="25.89"/>
    <n v="36"/>
    <n v="0"/>
    <s v="Crăciun, Ovidiu V."/>
    <s v="Crăciun Ovidiu V."/>
    <x v="2"/>
    <s v="WA"/>
    <s v="Product LYERX"/>
    <x v="3"/>
    <x v="424"/>
    <d v="2008-02-25T00:00:00"/>
    <x v="1"/>
    <s v="Destination DGKOU"/>
    <x v="15"/>
    <s v="Supplier TEGSC"/>
    <s v="Germany"/>
    <x v="2"/>
    <n v="932.04"/>
  </r>
  <r>
    <n v="10898"/>
    <n v="13"/>
    <n v="6"/>
    <n v="5"/>
    <n v="0"/>
    <s v="Tiano, Mike"/>
    <s v="Tiano Mike"/>
    <x v="1"/>
    <s v="WA"/>
    <s v="Product POXFU"/>
    <x v="3"/>
    <x v="425"/>
    <d v="2008-03-06T00:00:00"/>
    <x v="1"/>
    <s v="Ship to 54-B"/>
    <x v="21"/>
    <s v="Supplier QWUSF"/>
    <s v="Japan"/>
    <x v="1"/>
    <n v="30"/>
  </r>
  <r>
    <n v="10899"/>
    <n v="39"/>
    <n v="18"/>
    <n v="8"/>
    <n v="0.15"/>
    <s v="Dressler, Marlies"/>
    <s v="Dressler Marlies"/>
    <x v="3"/>
    <n v="0"/>
    <s v="Product LSOFL"/>
    <x v="6"/>
    <x v="425"/>
    <d v="2008-02-26T00:00:00"/>
    <x v="3"/>
    <s v="Ship to 46-C"/>
    <x v="5"/>
    <s v="Supplier LVJUA"/>
    <s v="France"/>
    <x v="1"/>
    <n v="122.39999999999999"/>
  </r>
  <r>
    <n v="10900"/>
    <n v="70"/>
    <n v="15"/>
    <n v="3"/>
    <n v="0.25"/>
    <s v="Li, Yan"/>
    <s v="Li Yan"/>
    <x v="5"/>
    <s v="WA"/>
    <s v="Product TOONT"/>
    <x v="6"/>
    <x v="425"/>
    <d v="2008-03-04T00:00:00"/>
    <x v="1"/>
    <s v="Ship to 88-A"/>
    <x v="1"/>
    <s v="Supplier GQRCV"/>
    <s v="Australia"/>
    <x v="1"/>
    <n v="33.75"/>
  </r>
  <r>
    <n v="10901"/>
    <n v="41"/>
    <n v="9.65"/>
    <n v="30"/>
    <n v="0"/>
    <s v="Langohr, Kris"/>
    <s v="Langohr Kris"/>
    <x v="1"/>
    <s v="WA"/>
    <s v="Product TTEEX"/>
    <x v="3"/>
    <x v="426"/>
    <d v="2008-02-26T00:00:00"/>
    <x v="2"/>
    <s v="Destination UOUWK"/>
    <x v="5"/>
    <s v="Supplier JDNUG"/>
    <s v="USA"/>
    <x v="1"/>
    <n v="289.5"/>
  </r>
  <r>
    <n v="10901"/>
    <n v="71"/>
    <n v="21.5"/>
    <n v="30"/>
    <n v="0"/>
    <s v="Langohr, Kris"/>
    <s v="Langohr Kris"/>
    <x v="1"/>
    <s v="WA"/>
    <s v="Product MYMOI"/>
    <x v="0"/>
    <x v="426"/>
    <d v="2008-02-26T00:00:00"/>
    <x v="2"/>
    <s v="Destination UOUWK"/>
    <x v="5"/>
    <s v="Supplier NZLIF"/>
    <s v="Norway"/>
    <x v="1"/>
    <n v="645"/>
  </r>
  <r>
    <n v="10902"/>
    <n v="55"/>
    <n v="24"/>
    <n v="30"/>
    <n v="0.15"/>
    <s v="San Juan, Patricia"/>
    <s v="San Juan Patricia"/>
    <x v="5"/>
    <s v="WA"/>
    <s v="Product YYWRT"/>
    <x v="7"/>
    <x v="426"/>
    <d v="2008-03-03T00:00:00"/>
    <x v="2"/>
    <s v="Destination NCKKO"/>
    <x v="10"/>
    <s v="Supplier ERVYZ"/>
    <s v="Canada"/>
    <x v="1"/>
    <n v="612"/>
  </r>
  <r>
    <n v="10902"/>
    <n v="62"/>
    <n v="49.3"/>
    <n v="6"/>
    <n v="0.15"/>
    <s v="San Juan, Patricia"/>
    <s v="San Juan Patricia"/>
    <x v="5"/>
    <s v="WA"/>
    <s v="Product WUXYK"/>
    <x v="5"/>
    <x v="426"/>
    <d v="2008-03-03T00:00:00"/>
    <x v="2"/>
    <s v="Destination NCKKO"/>
    <x v="10"/>
    <s v="Supplier OGLRK"/>
    <s v="Canada"/>
    <x v="1"/>
    <n v="251.42999999999995"/>
  </r>
  <r>
    <n v="10903"/>
    <n v="13"/>
    <n v="6"/>
    <n v="40"/>
    <n v="0"/>
    <s v="Cohen, Shy"/>
    <s v="Cohen Shy"/>
    <x v="2"/>
    <s v="WA"/>
    <s v="Product POXFU"/>
    <x v="3"/>
    <x v="427"/>
    <d v="2008-03-04T00:00:00"/>
    <x v="3"/>
    <s v="Destination DPCVR"/>
    <x v="1"/>
    <s v="Supplier QWUSF"/>
    <s v="Japan"/>
    <x v="1"/>
    <n v="240"/>
  </r>
  <r>
    <n v="10903"/>
    <n v="65"/>
    <n v="21.05"/>
    <n v="21"/>
    <n v="0"/>
    <s v="Cohen, Shy"/>
    <s v="Cohen Shy"/>
    <x v="2"/>
    <s v="WA"/>
    <s v="Product XYWBZ"/>
    <x v="4"/>
    <x v="427"/>
    <d v="2008-03-04T00:00:00"/>
    <x v="3"/>
    <s v="Destination DPCVR"/>
    <x v="1"/>
    <s v="Supplier VHQZD"/>
    <s v="USA"/>
    <x v="1"/>
    <n v="442.05"/>
  </r>
  <r>
    <n v="10903"/>
    <n v="68"/>
    <n v="12.5"/>
    <n v="20"/>
    <n v="0"/>
    <s v="Cohen, Shy"/>
    <s v="Cohen Shy"/>
    <x v="2"/>
    <s v="WA"/>
    <s v="Product TBTBL"/>
    <x v="5"/>
    <x v="427"/>
    <d v="2008-03-04T00:00:00"/>
    <x v="3"/>
    <s v="Destination DPCVR"/>
    <x v="1"/>
    <s v="Supplier BWGYE"/>
    <s v="UK"/>
    <x v="1"/>
    <n v="250"/>
  </r>
  <r>
    <n v="10904"/>
    <n v="58"/>
    <n v="13.25"/>
    <n v="15"/>
    <n v="0"/>
    <s v="Smith Jr., Ronaldo"/>
    <s v="Smith Jr. Ronaldo"/>
    <x v="2"/>
    <s v="WA"/>
    <s v="Product ACRVI"/>
    <x v="3"/>
    <x v="427"/>
    <d v="2008-02-27T00:00:00"/>
    <x v="3"/>
    <s v="Ship to 89-A"/>
    <x v="9"/>
    <s v="Supplier ZRYDZ"/>
    <s v="France"/>
    <x v="2"/>
    <n v="198.75"/>
  </r>
  <r>
    <n v="10904"/>
    <n v="62"/>
    <n v="49.3"/>
    <n v="35"/>
    <n v="0"/>
    <s v="Smith Jr., Ronaldo"/>
    <s v="Smith Jr. Ronaldo"/>
    <x v="2"/>
    <s v="WA"/>
    <s v="Product WUXYK"/>
    <x v="5"/>
    <x v="427"/>
    <d v="2008-02-27T00:00:00"/>
    <x v="3"/>
    <s v="Ship to 89-A"/>
    <x v="9"/>
    <s v="Supplier OGLRK"/>
    <s v="Canada"/>
    <x v="2"/>
    <n v="1725.5"/>
  </r>
  <r>
    <n v="10905"/>
    <n v="1"/>
    <n v="18"/>
    <n v="20"/>
    <n v="0.05"/>
    <s v="Li, Yan"/>
    <s v="Li Yan"/>
    <x v="4"/>
    <n v="0"/>
    <s v="Product HHYDP"/>
    <x v="6"/>
    <x v="427"/>
    <d v="2008-03-06T00:00:00"/>
    <x v="1"/>
    <s v="Ship to 88-A"/>
    <x v="1"/>
    <s v="Supplier SWRXU"/>
    <s v="UK"/>
    <x v="1"/>
    <n v="342"/>
  </r>
  <r>
    <n v="10906"/>
    <n v="61"/>
    <n v="28.5"/>
    <n v="15"/>
    <n v="0"/>
    <s v="Conn, Steve"/>
    <s v="Conn Steve"/>
    <x v="1"/>
    <s v="WA"/>
    <s v="Product XYZPE"/>
    <x v="4"/>
    <x v="428"/>
    <d v="2008-03-03T00:00:00"/>
    <x v="3"/>
    <s v="Ship to 91-B"/>
    <x v="19"/>
    <s v="Supplier OGLRK"/>
    <s v="Canada"/>
    <x v="1"/>
    <n v="427.5"/>
  </r>
  <r>
    <n v="10907"/>
    <n v="75"/>
    <n v="7.75"/>
    <n v="14"/>
    <n v="0"/>
    <s v="O’Brien, Dave"/>
    <s v="O’Brien Dave"/>
    <x v="7"/>
    <n v="0"/>
    <s v="Product BWRLG"/>
    <x v="6"/>
    <x v="428"/>
    <d v="2008-02-27T00:00:00"/>
    <x v="3"/>
    <s v="Ship to 74-B"/>
    <x v="2"/>
    <s v="Supplier SVIYA"/>
    <s v="Germany"/>
    <x v="1"/>
    <n v="108.5"/>
  </r>
  <r>
    <n v="10908"/>
    <n v="7"/>
    <n v="30"/>
    <n v="20"/>
    <n v="0.05"/>
    <s v="Voss, Florian"/>
    <s v="Voss Florian"/>
    <x v="1"/>
    <s v="WA"/>
    <s v="Product HMLNI"/>
    <x v="2"/>
    <x v="429"/>
    <d v="2008-03-06T00:00:00"/>
    <x v="1"/>
    <s v="Ship to 66-B"/>
    <x v="12"/>
    <s v="Supplier STUAZ"/>
    <s v="USA"/>
    <x v="1"/>
    <n v="570"/>
  </r>
  <r>
    <n v="10908"/>
    <n v="52"/>
    <n v="7"/>
    <n v="14"/>
    <n v="0.05"/>
    <s v="Voss, Florian"/>
    <s v="Voss Florian"/>
    <x v="1"/>
    <s v="WA"/>
    <s v="Product QSRXF"/>
    <x v="1"/>
    <x v="429"/>
    <d v="2008-03-06T00:00:00"/>
    <x v="1"/>
    <s v="Ship to 66-B"/>
    <x v="12"/>
    <s v="Supplier JNNES"/>
    <s v="Australia"/>
    <x v="1"/>
    <n v="93.1"/>
  </r>
  <r>
    <n v="10909"/>
    <n v="7"/>
    <n v="30"/>
    <n v="12"/>
    <n v="0"/>
    <s v="Ginters, Kaspars"/>
    <s v="Ginters Kaspars"/>
    <x v="5"/>
    <s v="WA"/>
    <s v="Product HMLNI"/>
    <x v="2"/>
    <x v="429"/>
    <d v="2008-03-10T00:00:00"/>
    <x v="1"/>
    <s v="Ship to 70-C"/>
    <x v="20"/>
    <s v="Supplier STUAZ"/>
    <s v="USA"/>
    <x v="1"/>
    <n v="360"/>
  </r>
  <r>
    <n v="10909"/>
    <n v="16"/>
    <n v="17.45"/>
    <n v="15"/>
    <n v="0"/>
    <s v="Ginters, Kaspars"/>
    <s v="Ginters Kaspars"/>
    <x v="5"/>
    <s v="WA"/>
    <s v="Product PAFRH"/>
    <x v="5"/>
    <x v="429"/>
    <d v="2008-03-10T00:00:00"/>
    <x v="1"/>
    <s v="Ship to 70-C"/>
    <x v="20"/>
    <s v="Supplier GQRCV"/>
    <s v="Australia"/>
    <x v="1"/>
    <n v="261.75"/>
  </r>
  <r>
    <n v="10909"/>
    <n v="41"/>
    <n v="9.65"/>
    <n v="5"/>
    <n v="0"/>
    <s v="Ginters, Kaspars"/>
    <s v="Ginters Kaspars"/>
    <x v="5"/>
    <s v="WA"/>
    <s v="Product TTEEX"/>
    <x v="3"/>
    <x v="429"/>
    <d v="2008-03-10T00:00:00"/>
    <x v="1"/>
    <s v="Ship to 70-C"/>
    <x v="20"/>
    <s v="Supplier JDNUG"/>
    <s v="USA"/>
    <x v="1"/>
    <n v="48.25"/>
  </r>
  <r>
    <n v="10910"/>
    <n v="19"/>
    <n v="9.1999999999999993"/>
    <n v="12"/>
    <n v="0"/>
    <s v="Larsson, Katarina"/>
    <s v="Larsson Katarina"/>
    <x v="5"/>
    <s v="WA"/>
    <s v="Product XKXDO"/>
    <x v="5"/>
    <x v="429"/>
    <d v="2008-03-04T00:00:00"/>
    <x v="3"/>
    <s v="Ship to 90-A"/>
    <x v="11"/>
    <s v="Supplier BWGYE"/>
    <s v="UK"/>
    <x v="1"/>
    <n v="110.39999999999999"/>
  </r>
  <r>
    <n v="10910"/>
    <n v="49"/>
    <n v="20"/>
    <n v="10"/>
    <n v="0"/>
    <s v="Larsson, Katarina"/>
    <s v="Larsson Katarina"/>
    <x v="5"/>
    <s v="WA"/>
    <s v="Product FPYPN"/>
    <x v="5"/>
    <x v="429"/>
    <d v="2008-03-04T00:00:00"/>
    <x v="3"/>
    <s v="Ship to 90-A"/>
    <x v="11"/>
    <s v="Supplier ELCRN"/>
    <s v="Finland"/>
    <x v="1"/>
    <n v="200"/>
  </r>
  <r>
    <n v="10910"/>
    <n v="61"/>
    <n v="28.5"/>
    <n v="5"/>
    <n v="0"/>
    <s v="Larsson, Katarina"/>
    <s v="Larsson Katarina"/>
    <x v="5"/>
    <s v="WA"/>
    <s v="Product XYZPE"/>
    <x v="4"/>
    <x v="429"/>
    <d v="2008-03-04T00:00:00"/>
    <x v="3"/>
    <s v="Ship to 90-A"/>
    <x v="11"/>
    <s v="Supplier OGLRK"/>
    <s v="Canada"/>
    <x v="1"/>
    <n v="142.5"/>
  </r>
  <r>
    <n v="10911"/>
    <n v="1"/>
    <n v="18"/>
    <n v="10"/>
    <n v="0"/>
    <s v="Shabalin, Rostislav"/>
    <s v="Shabalin Rostislav"/>
    <x v="2"/>
    <s v="WA"/>
    <s v="Product HHYDP"/>
    <x v="6"/>
    <x v="429"/>
    <d v="2008-03-05T00:00:00"/>
    <x v="2"/>
    <s v="Destination IIYDD"/>
    <x v="13"/>
    <s v="Supplier SWRXU"/>
    <s v="UK"/>
    <x v="1"/>
    <n v="180"/>
  </r>
  <r>
    <n v="10911"/>
    <n v="17"/>
    <n v="39"/>
    <n v="12"/>
    <n v="0"/>
    <s v="Shabalin, Rostislav"/>
    <s v="Shabalin Rostislav"/>
    <x v="2"/>
    <s v="WA"/>
    <s v="Product BLCAX"/>
    <x v="7"/>
    <x v="429"/>
    <d v="2008-03-05T00:00:00"/>
    <x v="2"/>
    <s v="Destination IIYDD"/>
    <x v="13"/>
    <s v="Supplier GQRCV"/>
    <s v="Australia"/>
    <x v="1"/>
    <n v="468"/>
  </r>
  <r>
    <n v="10911"/>
    <n v="67"/>
    <n v="14"/>
    <n v="15"/>
    <n v="0"/>
    <s v="Shabalin, Rostislav"/>
    <s v="Shabalin Rostislav"/>
    <x v="2"/>
    <s v="WA"/>
    <s v="Product XLXQF"/>
    <x v="6"/>
    <x v="429"/>
    <d v="2008-03-05T00:00:00"/>
    <x v="2"/>
    <s v="Destination IIYDD"/>
    <x v="13"/>
    <s v="Supplier UHZRG"/>
    <s v="USA"/>
    <x v="1"/>
    <n v="210"/>
  </r>
  <r>
    <n v="10912"/>
    <n v="11"/>
    <n v="21"/>
    <n v="40"/>
    <n v="0.25"/>
    <s v="Crăciun, Ovidiu V."/>
    <s v="Crăciun Ovidiu V."/>
    <x v="8"/>
    <s v="WA"/>
    <s v="Product QMVUN"/>
    <x v="0"/>
    <x v="429"/>
    <d v="2008-03-18T00:00:00"/>
    <x v="1"/>
    <s v="Destination DGKOU"/>
    <x v="15"/>
    <s v="Supplier EQPNC"/>
    <s v="Spain"/>
    <x v="2"/>
    <n v="630"/>
  </r>
  <r>
    <n v="10912"/>
    <n v="29"/>
    <n v="123.79"/>
    <n v="60"/>
    <n v="0.25"/>
    <s v="Crăciun, Ovidiu V."/>
    <s v="Crăciun Ovidiu V."/>
    <x v="8"/>
    <s v="WA"/>
    <s v="Product VJXYN"/>
    <x v="7"/>
    <x v="429"/>
    <d v="2008-03-18T00:00:00"/>
    <x v="1"/>
    <s v="Destination DGKOU"/>
    <x v="15"/>
    <s v="Supplier SVIYA"/>
    <s v="Germany"/>
    <x v="2"/>
    <n v="5570.55"/>
  </r>
  <r>
    <n v="10913"/>
    <n v="4"/>
    <n v="22"/>
    <n v="30"/>
    <n v="0.25"/>
    <s v="Misiec, Anna"/>
    <s v="Misiec Anna"/>
    <x v="1"/>
    <s v="WA"/>
    <s v="Product KSBRM"/>
    <x v="4"/>
    <x v="429"/>
    <d v="2008-03-04T00:00:00"/>
    <x v="2"/>
    <s v="Ship to 62-A"/>
    <x v="1"/>
    <s v="Supplier VHQZD"/>
    <s v="USA"/>
    <x v="1"/>
    <n v="495"/>
  </r>
  <r>
    <n v="10913"/>
    <n v="33"/>
    <n v="2.5"/>
    <n v="40"/>
    <n v="0.25"/>
    <s v="Misiec, Anna"/>
    <s v="Misiec Anna"/>
    <x v="1"/>
    <s v="WA"/>
    <s v="Product ASTMN"/>
    <x v="0"/>
    <x v="429"/>
    <d v="2008-03-04T00:00:00"/>
    <x v="2"/>
    <s v="Ship to 62-A"/>
    <x v="1"/>
    <s v="Supplier NZLIF"/>
    <s v="Norway"/>
    <x v="1"/>
    <n v="75"/>
  </r>
  <r>
    <n v="10913"/>
    <n v="58"/>
    <n v="13.25"/>
    <n v="15"/>
    <n v="0"/>
    <s v="Misiec, Anna"/>
    <s v="Misiec Anna"/>
    <x v="1"/>
    <s v="WA"/>
    <s v="Product ACRVI"/>
    <x v="3"/>
    <x v="429"/>
    <d v="2008-03-04T00:00:00"/>
    <x v="2"/>
    <s v="Ship to 62-A"/>
    <x v="1"/>
    <s v="Supplier ZRYDZ"/>
    <s v="France"/>
    <x v="1"/>
    <n v="198.75"/>
  </r>
  <r>
    <n v="10914"/>
    <n v="71"/>
    <n v="21.5"/>
    <n v="25"/>
    <n v="0"/>
    <s v="Misiec, Anna"/>
    <s v="Misiec Anna"/>
    <x v="7"/>
    <n v="0"/>
    <s v="Product MYMOI"/>
    <x v="0"/>
    <x v="430"/>
    <d v="2008-03-02T00:00:00"/>
    <x v="2"/>
    <s v="Ship to 62-B"/>
    <x v="1"/>
    <s v="Supplier NZLIF"/>
    <s v="Norway"/>
    <x v="1"/>
    <n v="537.5"/>
  </r>
  <r>
    <n v="10915"/>
    <n v="17"/>
    <n v="39"/>
    <n v="10"/>
    <n v="0"/>
    <s v="Geschwandtner, Jens"/>
    <s v="Geschwandtner Jens"/>
    <x v="8"/>
    <s v="WA"/>
    <s v="Product BLCAX"/>
    <x v="7"/>
    <x v="430"/>
    <d v="2008-03-02T00:00:00"/>
    <x v="1"/>
    <s v="Ship to 80-C"/>
    <x v="7"/>
    <s v="Supplier GQRCV"/>
    <s v="Australia"/>
    <x v="1"/>
    <n v="390"/>
  </r>
  <r>
    <n v="10915"/>
    <n v="33"/>
    <n v="2.5"/>
    <n v="30"/>
    <n v="0"/>
    <s v="Geschwandtner, Jens"/>
    <s v="Geschwandtner Jens"/>
    <x v="8"/>
    <s v="WA"/>
    <s v="Product ASTMN"/>
    <x v="0"/>
    <x v="430"/>
    <d v="2008-03-02T00:00:00"/>
    <x v="1"/>
    <s v="Ship to 80-C"/>
    <x v="7"/>
    <s v="Supplier NZLIF"/>
    <s v="Norway"/>
    <x v="1"/>
    <n v="75"/>
  </r>
  <r>
    <n v="10915"/>
    <n v="54"/>
    <n v="7.45"/>
    <n v="10"/>
    <n v="0"/>
    <s v="Geschwandtner, Jens"/>
    <s v="Geschwandtner Jens"/>
    <x v="8"/>
    <s v="WA"/>
    <s v="Product QAQRL"/>
    <x v="7"/>
    <x v="430"/>
    <d v="2008-03-02T00:00:00"/>
    <x v="1"/>
    <s v="Ship to 80-C"/>
    <x v="7"/>
    <s v="Supplier ERVYZ"/>
    <s v="Canada"/>
    <x v="1"/>
    <n v="74.5"/>
  </r>
  <r>
    <n v="10916"/>
    <n v="16"/>
    <n v="17.45"/>
    <n v="6"/>
    <n v="0"/>
    <s v="Gaffney, Lawrie"/>
    <s v="Gaffney Lawrie"/>
    <x v="5"/>
    <s v="WA"/>
    <s v="Product PAFRH"/>
    <x v="5"/>
    <x v="430"/>
    <d v="2008-03-09T00:00:00"/>
    <x v="1"/>
    <s v="Ship to 64-C"/>
    <x v="21"/>
    <s v="Supplier GQRCV"/>
    <s v="Australia"/>
    <x v="1"/>
    <n v="104.69999999999999"/>
  </r>
  <r>
    <n v="10916"/>
    <n v="32"/>
    <n v="32"/>
    <n v="6"/>
    <n v="0"/>
    <s v="Gaffney, Lawrie"/>
    <s v="Gaffney Lawrie"/>
    <x v="5"/>
    <s v="WA"/>
    <s v="Product NUNAW"/>
    <x v="0"/>
    <x v="430"/>
    <d v="2008-03-09T00:00:00"/>
    <x v="1"/>
    <s v="Ship to 64-C"/>
    <x v="21"/>
    <s v="Supplier KEREV"/>
    <s v="Italy"/>
    <x v="1"/>
    <n v="192"/>
  </r>
  <r>
    <n v="10916"/>
    <n v="57"/>
    <n v="19.5"/>
    <n v="20"/>
    <n v="0"/>
    <s v="Gaffney, Lawrie"/>
    <s v="Gaffney Lawrie"/>
    <x v="5"/>
    <s v="WA"/>
    <s v="Product OVLQI"/>
    <x v="1"/>
    <x v="430"/>
    <d v="2008-03-09T00:00:00"/>
    <x v="1"/>
    <s v="Ship to 64-C"/>
    <x v="21"/>
    <s v="Supplier ZWZDM"/>
    <s v="Italy"/>
    <x v="1"/>
    <n v="390"/>
  </r>
  <r>
    <n v="10917"/>
    <n v="30"/>
    <n v="25.89"/>
    <n v="1"/>
    <n v="0"/>
    <s v="Watters, Jason M."/>
    <s v="Watters Jason M."/>
    <x v="1"/>
    <s v="WA"/>
    <s v="Product LYERX"/>
    <x v="3"/>
    <x v="431"/>
    <d v="2008-03-11T00:00:00"/>
    <x v="1"/>
    <s v="Ship to 69-C"/>
    <x v="13"/>
    <s v="Supplier TEGSC"/>
    <s v="Germany"/>
    <x v="1"/>
    <n v="25.89"/>
  </r>
  <r>
    <n v="10917"/>
    <n v="60"/>
    <n v="34"/>
    <n v="10"/>
    <n v="0"/>
    <s v="Watters, Jason M."/>
    <s v="Watters Jason M."/>
    <x v="1"/>
    <s v="WA"/>
    <s v="Product WHBYK"/>
    <x v="0"/>
    <x v="431"/>
    <d v="2008-03-11T00:00:00"/>
    <x v="1"/>
    <s v="Ship to 69-C"/>
    <x v="13"/>
    <s v="Supplier OAVQT"/>
    <s v="France"/>
    <x v="1"/>
    <n v="340"/>
  </r>
  <r>
    <n v="10918"/>
    <n v="1"/>
    <n v="18"/>
    <n v="60"/>
    <n v="0.25"/>
    <s v="Bassols, Pilar Colome"/>
    <s v="Bassols Pilar Colome"/>
    <x v="2"/>
    <s v="WA"/>
    <s v="Product HHYDP"/>
    <x v="6"/>
    <x v="431"/>
    <d v="2008-03-11T00:00:00"/>
    <x v="3"/>
    <s v="Destination OLSSJ"/>
    <x v="17"/>
    <s v="Supplier SWRXU"/>
    <s v="UK"/>
    <x v="1"/>
    <n v="810"/>
  </r>
  <r>
    <n v="10918"/>
    <n v="60"/>
    <n v="34"/>
    <n v="25"/>
    <n v="0.25"/>
    <s v="Bassols, Pilar Colome"/>
    <s v="Bassols Pilar Colome"/>
    <x v="2"/>
    <s v="WA"/>
    <s v="Product WHBYK"/>
    <x v="0"/>
    <x v="431"/>
    <d v="2008-03-11T00:00:00"/>
    <x v="3"/>
    <s v="Destination OLSSJ"/>
    <x v="17"/>
    <s v="Supplier OAVQT"/>
    <s v="France"/>
    <x v="1"/>
    <n v="637.5"/>
  </r>
  <r>
    <n v="10919"/>
    <n v="16"/>
    <n v="17.45"/>
    <n v="24"/>
    <n v="0"/>
    <s v="Lupu, Cornel"/>
    <s v="Lupu Cornel"/>
    <x v="8"/>
    <s v="WA"/>
    <s v="Product PAFRH"/>
    <x v="5"/>
    <x v="431"/>
    <d v="2008-03-04T00:00:00"/>
    <x v="1"/>
    <s v="Ship to 47-B"/>
    <x v="5"/>
    <s v="Supplier GQRCV"/>
    <s v="Australia"/>
    <x v="1"/>
    <n v="418.79999999999995"/>
  </r>
  <r>
    <n v="10919"/>
    <n v="25"/>
    <n v="14"/>
    <n v="24"/>
    <n v="0"/>
    <s v="Lupu, Cornel"/>
    <s v="Lupu Cornel"/>
    <x v="8"/>
    <s v="WA"/>
    <s v="Product LYLNI"/>
    <x v="5"/>
    <x v="431"/>
    <d v="2008-03-04T00:00:00"/>
    <x v="1"/>
    <s v="Ship to 47-B"/>
    <x v="5"/>
    <s v="Supplier ZPYVS"/>
    <s v="Germany"/>
    <x v="1"/>
    <n v="336"/>
  </r>
  <r>
    <n v="10919"/>
    <n v="40"/>
    <n v="18.399999999999999"/>
    <n v="20"/>
    <n v="0"/>
    <s v="Lupu, Cornel"/>
    <s v="Lupu Cornel"/>
    <x v="8"/>
    <s v="WA"/>
    <s v="Product YZIXQ"/>
    <x v="3"/>
    <x v="431"/>
    <d v="2008-03-04T00:00:00"/>
    <x v="1"/>
    <s v="Ship to 47-B"/>
    <x v="5"/>
    <s v="Supplier JDNUG"/>
    <s v="USA"/>
    <x v="1"/>
    <n v="368"/>
  </r>
  <r>
    <n v="10920"/>
    <n v="50"/>
    <n v="16.25"/>
    <n v="24"/>
    <n v="0"/>
    <s v="Arndt, Torsten"/>
    <s v="Arndt Torsten"/>
    <x v="1"/>
    <s v="WA"/>
    <s v="Product BIUDV"/>
    <x v="5"/>
    <x v="432"/>
    <d v="2008-03-09T00:00:00"/>
    <x v="1"/>
    <s v="Ship to 4-A"/>
    <x v="14"/>
    <s v="Supplier ELCRN"/>
    <s v="Finland"/>
    <x v="1"/>
    <n v="390"/>
  </r>
  <r>
    <n v="10921"/>
    <n v="35"/>
    <n v="18"/>
    <n v="10"/>
    <n v="0"/>
    <s v="Fonteneau, Karl"/>
    <s v="Fonteneau Karl"/>
    <x v="5"/>
    <s v="WA"/>
    <s v="Product NEVTJ"/>
    <x v="6"/>
    <x v="432"/>
    <d v="2008-03-09T00:00:00"/>
    <x v="2"/>
    <s v="Ship to 83-A"/>
    <x v="18"/>
    <s v="Supplier UHZRG"/>
    <s v="USA"/>
    <x v="2"/>
    <n v="180"/>
  </r>
  <r>
    <n v="10921"/>
    <n v="63"/>
    <n v="43.9"/>
    <n v="40"/>
    <n v="0"/>
    <s v="Fonteneau, Karl"/>
    <s v="Fonteneau Karl"/>
    <x v="5"/>
    <s v="WA"/>
    <s v="Product ICKNK"/>
    <x v="4"/>
    <x v="432"/>
    <d v="2008-03-09T00:00:00"/>
    <x v="2"/>
    <s v="Ship to 83-A"/>
    <x v="18"/>
    <s v="Supplier GQRCV"/>
    <s v="Australia"/>
    <x v="2"/>
    <n v="1756"/>
  </r>
  <r>
    <n v="10922"/>
    <n v="17"/>
    <n v="39"/>
    <n v="15"/>
    <n v="0"/>
    <s v="Cohen, Shy"/>
    <s v="Cohen Shy"/>
    <x v="3"/>
    <n v="0"/>
    <s v="Product BLCAX"/>
    <x v="7"/>
    <x v="432"/>
    <d v="2008-03-05T00:00:00"/>
    <x v="3"/>
    <s v="Destination DPCVR"/>
    <x v="1"/>
    <s v="Supplier GQRCV"/>
    <s v="Australia"/>
    <x v="1"/>
    <n v="585"/>
  </r>
  <r>
    <n v="10922"/>
    <n v="24"/>
    <n v="4.5"/>
    <n v="35"/>
    <n v="0"/>
    <s v="Cohen, Shy"/>
    <s v="Cohen Shy"/>
    <x v="3"/>
    <n v="0"/>
    <s v="Product QOGNU"/>
    <x v="6"/>
    <x v="432"/>
    <d v="2008-03-05T00:00:00"/>
    <x v="3"/>
    <s v="Destination DPCVR"/>
    <x v="1"/>
    <s v="Supplier UNAHG"/>
    <s v="Brazil"/>
    <x v="1"/>
    <n v="157.5"/>
  </r>
  <r>
    <n v="10923"/>
    <n v="42"/>
    <n v="14"/>
    <n v="10"/>
    <n v="0.2"/>
    <s v="Litton, Tim"/>
    <s v="Litton Tim"/>
    <x v="9"/>
    <n v="0"/>
    <s v="Product RJVNM"/>
    <x v="1"/>
    <x v="432"/>
    <d v="2008-03-13T00:00:00"/>
    <x v="3"/>
    <s v="Destination OLJND"/>
    <x v="2"/>
    <s v="Supplier CIYNM"/>
    <s v="Singapore"/>
    <x v="1"/>
    <n v="112"/>
  </r>
  <r>
    <n v="10923"/>
    <n v="43"/>
    <n v="46"/>
    <n v="10"/>
    <n v="0.2"/>
    <s v="Litton, Tim"/>
    <s v="Litton Tim"/>
    <x v="9"/>
    <n v="0"/>
    <s v="Product ZZZHR"/>
    <x v="6"/>
    <x v="432"/>
    <d v="2008-03-13T00:00:00"/>
    <x v="3"/>
    <s v="Destination OLJND"/>
    <x v="2"/>
    <s v="Supplier CIYNM"/>
    <s v="Singapore"/>
    <x v="1"/>
    <n v="368"/>
  </r>
  <r>
    <n v="10923"/>
    <n v="67"/>
    <n v="14"/>
    <n v="24"/>
    <n v="0.2"/>
    <s v="Litton, Tim"/>
    <s v="Litton Tim"/>
    <x v="9"/>
    <n v="0"/>
    <s v="Product XLXQF"/>
    <x v="6"/>
    <x v="432"/>
    <d v="2008-03-13T00:00:00"/>
    <x v="3"/>
    <s v="Destination OLJND"/>
    <x v="2"/>
    <s v="Supplier UHZRG"/>
    <s v="USA"/>
    <x v="1"/>
    <n v="268.8"/>
  </r>
  <r>
    <n v="10924"/>
    <n v="10"/>
    <n v="31"/>
    <n v="20"/>
    <n v="0.1"/>
    <s v="Higginbotham, Tom"/>
    <s v="Higginbotham Tom"/>
    <x v="2"/>
    <s v="WA"/>
    <s v="Product YHXGE"/>
    <x v="3"/>
    <x v="433"/>
    <d v="2008-04-08T00:00:00"/>
    <x v="1"/>
    <s v="Ship to 5-A"/>
    <x v="10"/>
    <s v="Supplier QOVFD"/>
    <s v="Japan"/>
    <x v="2"/>
    <n v="558"/>
  </r>
  <r>
    <n v="10924"/>
    <n v="28"/>
    <n v="45.6"/>
    <n v="30"/>
    <n v="0.1"/>
    <s v="Higginbotham, Tom"/>
    <s v="Higginbotham Tom"/>
    <x v="2"/>
    <s v="WA"/>
    <s v="Product OFBNT"/>
    <x v="2"/>
    <x v="433"/>
    <d v="2008-04-08T00:00:00"/>
    <x v="1"/>
    <s v="Ship to 5-A"/>
    <x v="10"/>
    <s v="Supplier SVIYA"/>
    <s v="Germany"/>
    <x v="2"/>
    <n v="1231.2"/>
  </r>
  <r>
    <n v="10924"/>
    <n v="75"/>
    <n v="7.75"/>
    <n v="6"/>
    <n v="0"/>
    <s v="Higginbotham, Tom"/>
    <s v="Higginbotham Tom"/>
    <x v="2"/>
    <s v="WA"/>
    <s v="Product BWRLG"/>
    <x v="6"/>
    <x v="433"/>
    <d v="2008-04-08T00:00:00"/>
    <x v="1"/>
    <s v="Ship to 5-A"/>
    <x v="10"/>
    <s v="Supplier SVIYA"/>
    <s v="Germany"/>
    <x v="2"/>
    <n v="46.5"/>
  </r>
  <r>
    <n v="10925"/>
    <n v="36"/>
    <n v="19"/>
    <n v="25"/>
    <n v="0.15"/>
    <s v="Cohen, Shy"/>
    <s v="Cohen Shy"/>
    <x v="2"/>
    <s v="WA"/>
    <s v="Product GMKIJ"/>
    <x v="3"/>
    <x v="433"/>
    <d v="2008-03-13T00:00:00"/>
    <x v="2"/>
    <s v="Destination JPAIY"/>
    <x v="1"/>
    <s v="Supplier QZGUF"/>
    <s v="Sweden"/>
    <x v="1"/>
    <n v="403.75"/>
  </r>
  <r>
    <n v="10925"/>
    <n v="52"/>
    <n v="7"/>
    <n v="12"/>
    <n v="0.15"/>
    <s v="Cohen, Shy"/>
    <s v="Cohen Shy"/>
    <x v="2"/>
    <s v="WA"/>
    <s v="Product QSRXF"/>
    <x v="1"/>
    <x v="433"/>
    <d v="2008-03-13T00:00:00"/>
    <x v="2"/>
    <s v="Destination JPAIY"/>
    <x v="1"/>
    <s v="Supplier JNNES"/>
    <s v="Australia"/>
    <x v="1"/>
    <n v="71.399999999999991"/>
  </r>
  <r>
    <n v="10926"/>
    <n v="11"/>
    <n v="21"/>
    <n v="2"/>
    <n v="0"/>
    <s v="Hassall, Mark"/>
    <s v="Hassall Mark"/>
    <x v="1"/>
    <s v="WA"/>
    <s v="Product QMVUN"/>
    <x v="0"/>
    <x v="433"/>
    <d v="2008-03-11T00:00:00"/>
    <x v="3"/>
    <s v="Destination RAIGI"/>
    <x v="7"/>
    <s v="Supplier EQPNC"/>
    <s v="Spain"/>
    <x v="1"/>
    <n v="42"/>
  </r>
  <r>
    <n v="10926"/>
    <n v="13"/>
    <n v="6"/>
    <n v="10"/>
    <n v="0"/>
    <s v="Hassall, Mark"/>
    <s v="Hassall Mark"/>
    <x v="1"/>
    <s v="WA"/>
    <s v="Product POXFU"/>
    <x v="3"/>
    <x v="433"/>
    <d v="2008-03-11T00:00:00"/>
    <x v="3"/>
    <s v="Destination RAIGI"/>
    <x v="7"/>
    <s v="Supplier QWUSF"/>
    <s v="Japan"/>
    <x v="1"/>
    <n v="60"/>
  </r>
  <r>
    <n v="10926"/>
    <n v="19"/>
    <n v="9.1999999999999993"/>
    <n v="7"/>
    <n v="0"/>
    <s v="Hassall, Mark"/>
    <s v="Hassall Mark"/>
    <x v="1"/>
    <s v="WA"/>
    <s v="Product XKXDO"/>
    <x v="5"/>
    <x v="433"/>
    <d v="2008-03-11T00:00:00"/>
    <x v="3"/>
    <s v="Destination RAIGI"/>
    <x v="7"/>
    <s v="Supplier BWGYE"/>
    <s v="UK"/>
    <x v="1"/>
    <n v="64.399999999999991"/>
  </r>
  <r>
    <n v="10926"/>
    <n v="72"/>
    <n v="34.799999999999997"/>
    <n v="10"/>
    <n v="0"/>
    <s v="Hassall, Mark"/>
    <s v="Hassall Mark"/>
    <x v="1"/>
    <s v="WA"/>
    <s v="Product GEEOO"/>
    <x v="0"/>
    <x v="433"/>
    <d v="2008-03-11T00:00:00"/>
    <x v="3"/>
    <s v="Destination RAIGI"/>
    <x v="7"/>
    <s v="Supplier KEREV"/>
    <s v="Italy"/>
    <x v="1"/>
    <n v="348"/>
  </r>
  <r>
    <n v="10927"/>
    <n v="20"/>
    <n v="81"/>
    <n v="5"/>
    <n v="0"/>
    <s v="De Oliveira, Jose"/>
    <s v="De Oliveira Jose"/>
    <x v="1"/>
    <s v="WA"/>
    <s v="Product QHFFP"/>
    <x v="5"/>
    <x v="434"/>
    <d v="2008-04-08T00:00:00"/>
    <x v="2"/>
    <s v="Destination WWJLO"/>
    <x v="2"/>
    <s v="Supplier BWGYE"/>
    <s v="UK"/>
    <x v="1"/>
    <n v="405"/>
  </r>
  <r>
    <n v="10927"/>
    <n v="52"/>
    <n v="7"/>
    <n v="5"/>
    <n v="0"/>
    <s v="De Oliveira, Jose"/>
    <s v="De Oliveira Jose"/>
    <x v="1"/>
    <s v="WA"/>
    <s v="Product QSRXF"/>
    <x v="1"/>
    <x v="434"/>
    <d v="2008-04-08T00:00:00"/>
    <x v="2"/>
    <s v="Destination WWJLO"/>
    <x v="2"/>
    <s v="Supplier JNNES"/>
    <s v="Australia"/>
    <x v="1"/>
    <n v="35"/>
  </r>
  <r>
    <n v="10927"/>
    <n v="76"/>
    <n v="18"/>
    <n v="20"/>
    <n v="0"/>
    <s v="De Oliveira, Jose"/>
    <s v="De Oliveira Jose"/>
    <x v="1"/>
    <s v="WA"/>
    <s v="Product JYGFE"/>
    <x v="6"/>
    <x v="434"/>
    <d v="2008-04-08T00:00:00"/>
    <x v="2"/>
    <s v="Destination WWJLO"/>
    <x v="2"/>
    <s v="Supplier ELCRN"/>
    <s v="Finland"/>
    <x v="1"/>
    <n v="360"/>
  </r>
  <r>
    <n v="10928"/>
    <n v="47"/>
    <n v="9.5"/>
    <n v="5"/>
    <n v="0"/>
    <s v="Kolesnikova, Katerina"/>
    <s v="Kolesnikova Katerina"/>
    <x v="5"/>
    <s v="WA"/>
    <s v="Product EZZPR"/>
    <x v="5"/>
    <x v="434"/>
    <d v="2008-03-18T00:00:00"/>
    <x v="2"/>
    <s v="Destination WOFLH"/>
    <x v="13"/>
    <s v="Supplier FNUXM"/>
    <s v="Netherlands"/>
    <x v="1"/>
    <n v="47.5"/>
  </r>
  <r>
    <n v="10928"/>
    <n v="76"/>
    <n v="18"/>
    <n v="5"/>
    <n v="0"/>
    <s v="Kolesnikova, Katerina"/>
    <s v="Kolesnikova Katerina"/>
    <x v="5"/>
    <s v="WA"/>
    <s v="Product JYGFE"/>
    <x v="6"/>
    <x v="434"/>
    <d v="2008-03-18T00:00:00"/>
    <x v="2"/>
    <s v="Destination WOFLH"/>
    <x v="13"/>
    <s v="Supplier ELCRN"/>
    <s v="Finland"/>
    <x v="1"/>
    <n v="90"/>
  </r>
  <r>
    <n v="10929"/>
    <n v="21"/>
    <n v="10"/>
    <n v="60"/>
    <n v="0"/>
    <s v="Carlson, Jason"/>
    <s v="Carlson Jason"/>
    <x v="7"/>
    <n v="0"/>
    <s v="Product VJZZH"/>
    <x v="5"/>
    <x v="434"/>
    <d v="2008-03-12T00:00:00"/>
    <x v="2"/>
    <s v="Destination QOCBL"/>
    <x v="8"/>
    <s v="Supplier BWGYE"/>
    <s v="UK"/>
    <x v="1"/>
    <n v="600"/>
  </r>
  <r>
    <n v="10929"/>
    <n v="75"/>
    <n v="7.75"/>
    <n v="49"/>
    <n v="0"/>
    <s v="Carlson, Jason"/>
    <s v="Carlson Jason"/>
    <x v="7"/>
    <n v="0"/>
    <s v="Product BWRLG"/>
    <x v="6"/>
    <x v="434"/>
    <d v="2008-03-12T00:00:00"/>
    <x v="2"/>
    <s v="Destination QOCBL"/>
    <x v="8"/>
    <s v="Supplier SVIYA"/>
    <s v="Germany"/>
    <x v="1"/>
    <n v="379.75"/>
  </r>
  <r>
    <n v="10929"/>
    <n v="77"/>
    <n v="13"/>
    <n v="15"/>
    <n v="0"/>
    <s v="Carlson, Jason"/>
    <s v="Carlson Jason"/>
    <x v="7"/>
    <n v="0"/>
    <s v="Product LUNZZ"/>
    <x v="4"/>
    <x v="434"/>
    <d v="2008-03-12T00:00:00"/>
    <x v="2"/>
    <s v="Destination QOCBL"/>
    <x v="8"/>
    <s v="Supplier SVIYA"/>
    <s v="Germany"/>
    <x v="1"/>
    <n v="195"/>
  </r>
  <r>
    <n v="10930"/>
    <n v="21"/>
    <n v="10"/>
    <n v="36"/>
    <n v="0"/>
    <s v="Gulbis, Katrin"/>
    <s v="Gulbis Katrin"/>
    <x v="1"/>
    <s v="WA"/>
    <s v="Product VJZZH"/>
    <x v="5"/>
    <x v="435"/>
    <d v="2008-03-18T00:00:00"/>
    <x v="3"/>
    <s v="Ship to 76-A"/>
    <x v="3"/>
    <s v="Supplier BWGYE"/>
    <s v="UK"/>
    <x v="1"/>
    <n v="360"/>
  </r>
  <r>
    <n v="10930"/>
    <n v="27"/>
    <n v="43.9"/>
    <n v="25"/>
    <n v="0"/>
    <s v="Gulbis, Katrin"/>
    <s v="Gulbis Katrin"/>
    <x v="1"/>
    <s v="WA"/>
    <s v="Product SMIOH"/>
    <x v="5"/>
    <x v="435"/>
    <d v="2008-03-18T00:00:00"/>
    <x v="3"/>
    <s v="Ship to 76-A"/>
    <x v="3"/>
    <s v="Supplier ZPYVS"/>
    <s v="Germany"/>
    <x v="1"/>
    <n v="1097.5"/>
  </r>
  <r>
    <n v="10930"/>
    <n v="55"/>
    <n v="24"/>
    <n v="25"/>
    <n v="0.2"/>
    <s v="Gulbis, Katrin"/>
    <s v="Gulbis Katrin"/>
    <x v="1"/>
    <s v="WA"/>
    <s v="Product YYWRT"/>
    <x v="7"/>
    <x v="435"/>
    <d v="2008-03-18T00:00:00"/>
    <x v="3"/>
    <s v="Ship to 76-A"/>
    <x v="3"/>
    <s v="Supplier ERVYZ"/>
    <s v="Canada"/>
    <x v="1"/>
    <n v="480"/>
  </r>
  <r>
    <n v="10930"/>
    <n v="58"/>
    <n v="13.25"/>
    <n v="30"/>
    <n v="0.2"/>
    <s v="Gulbis, Katrin"/>
    <s v="Gulbis Katrin"/>
    <x v="1"/>
    <s v="WA"/>
    <s v="Product ACRVI"/>
    <x v="3"/>
    <x v="435"/>
    <d v="2008-03-18T00:00:00"/>
    <x v="3"/>
    <s v="Ship to 76-A"/>
    <x v="3"/>
    <s v="Supplier ZRYDZ"/>
    <s v="France"/>
    <x v="1"/>
    <n v="318"/>
  </r>
  <r>
    <n v="10931"/>
    <n v="13"/>
    <n v="6"/>
    <n v="42"/>
    <n v="0.15"/>
    <s v="Myrcha, Jacek"/>
    <s v="Myrcha Jacek"/>
    <x v="1"/>
    <s v="WA"/>
    <s v="Product POXFU"/>
    <x v="3"/>
    <x v="435"/>
    <d v="2008-03-19T00:00:00"/>
    <x v="1"/>
    <s v="Ship to 68-B"/>
    <x v="4"/>
    <s v="Supplier QWUSF"/>
    <s v="Japan"/>
    <x v="1"/>
    <n v="214.2"/>
  </r>
  <r>
    <n v="10931"/>
    <n v="57"/>
    <n v="19.5"/>
    <n v="30"/>
    <n v="0"/>
    <s v="Myrcha, Jacek"/>
    <s v="Myrcha Jacek"/>
    <x v="1"/>
    <s v="WA"/>
    <s v="Product OVLQI"/>
    <x v="1"/>
    <x v="435"/>
    <d v="2008-03-19T00:00:00"/>
    <x v="1"/>
    <s v="Ship to 68-B"/>
    <x v="4"/>
    <s v="Supplier ZWZDM"/>
    <s v="Italy"/>
    <x v="1"/>
    <n v="585"/>
  </r>
  <r>
    <n v="10932"/>
    <n v="16"/>
    <n v="17.45"/>
    <n v="30"/>
    <n v="0.1"/>
    <s v="Raghav, Amritansh"/>
    <s v="Raghav Amritansh"/>
    <x v="6"/>
    <s v="WA"/>
    <s v="Product PAFRH"/>
    <x v="5"/>
    <x v="435"/>
    <d v="2008-03-24T00:00:00"/>
    <x v="2"/>
    <s v="Ship to 9-B"/>
    <x v="2"/>
    <s v="Supplier GQRCV"/>
    <s v="Australia"/>
    <x v="2"/>
    <n v="471.15000000000003"/>
  </r>
  <r>
    <n v="10932"/>
    <n v="62"/>
    <n v="49.3"/>
    <n v="14"/>
    <n v="0.1"/>
    <s v="Raghav, Amritansh"/>
    <s v="Raghav Amritansh"/>
    <x v="6"/>
    <s v="WA"/>
    <s v="Product WUXYK"/>
    <x v="5"/>
    <x v="435"/>
    <d v="2008-03-24T00:00:00"/>
    <x v="2"/>
    <s v="Ship to 9-B"/>
    <x v="2"/>
    <s v="Supplier OGLRK"/>
    <s v="Canada"/>
    <x v="2"/>
    <n v="621.17999999999995"/>
  </r>
  <r>
    <n v="10932"/>
    <n v="72"/>
    <n v="34.799999999999997"/>
    <n v="16"/>
    <n v="0"/>
    <s v="Raghav, Amritansh"/>
    <s v="Raghav Amritansh"/>
    <x v="6"/>
    <s v="WA"/>
    <s v="Product GEEOO"/>
    <x v="0"/>
    <x v="435"/>
    <d v="2008-03-24T00:00:00"/>
    <x v="2"/>
    <s v="Ship to 9-B"/>
    <x v="2"/>
    <s v="Supplier KEREV"/>
    <s v="Italy"/>
    <x v="2"/>
    <n v="556.79999999999995"/>
  </r>
  <r>
    <n v="10932"/>
    <n v="75"/>
    <n v="7.75"/>
    <n v="20"/>
    <n v="0.1"/>
    <s v="Raghav, Amritansh"/>
    <s v="Raghav Amritansh"/>
    <x v="6"/>
    <s v="WA"/>
    <s v="Product BWRLG"/>
    <x v="6"/>
    <x v="435"/>
    <d v="2008-03-24T00:00:00"/>
    <x v="2"/>
    <s v="Ship to 9-B"/>
    <x v="2"/>
    <s v="Supplier SVIYA"/>
    <s v="Germany"/>
    <x v="2"/>
    <n v="139.5"/>
  </r>
  <r>
    <n v="10933"/>
    <n v="53"/>
    <n v="32.799999999999997"/>
    <n v="2"/>
    <n v="0"/>
    <s v="Lee, Frank"/>
    <s v="Lee Frank"/>
    <x v="7"/>
    <n v="0"/>
    <s v="Product BKGEA"/>
    <x v="7"/>
    <x v="435"/>
    <d v="2008-03-16T00:00:00"/>
    <x v="3"/>
    <s v="Destination QVTLW"/>
    <x v="14"/>
    <s v="Supplier JNNES"/>
    <s v="Australia"/>
    <x v="1"/>
    <n v="65.599999999999994"/>
  </r>
  <r>
    <n v="10933"/>
    <n v="61"/>
    <n v="28.5"/>
    <n v="30"/>
    <n v="0"/>
    <s v="Lee, Frank"/>
    <s v="Lee Frank"/>
    <x v="7"/>
    <n v="0"/>
    <s v="Product XYZPE"/>
    <x v="4"/>
    <x v="435"/>
    <d v="2008-03-16T00:00:00"/>
    <x v="3"/>
    <s v="Destination QVTLW"/>
    <x v="14"/>
    <s v="Supplier OGLRK"/>
    <s v="Canada"/>
    <x v="1"/>
    <n v="855"/>
  </r>
  <r>
    <n v="10934"/>
    <n v="6"/>
    <n v="25"/>
    <n v="20"/>
    <n v="0"/>
    <s v="Louverdis, George"/>
    <s v="Louverdis George"/>
    <x v="2"/>
    <s v="WA"/>
    <s v="Product VAIIV"/>
    <x v="4"/>
    <x v="436"/>
    <d v="2008-03-12T00:00:00"/>
    <x v="3"/>
    <s v="Ship to 44-C"/>
    <x v="8"/>
    <s v="Supplier STUAZ"/>
    <s v="USA"/>
    <x v="1"/>
    <n v="500"/>
  </r>
  <r>
    <n v="10935"/>
    <n v="1"/>
    <n v="18"/>
    <n v="21"/>
    <n v="0"/>
    <s v="Li, Yan"/>
    <s v="Li Yan"/>
    <x v="1"/>
    <s v="WA"/>
    <s v="Product HHYDP"/>
    <x v="6"/>
    <x v="436"/>
    <d v="2008-03-18T00:00:00"/>
    <x v="3"/>
    <s v="Ship to 88-A"/>
    <x v="1"/>
    <s v="Supplier SWRXU"/>
    <s v="UK"/>
    <x v="1"/>
    <n v="378"/>
  </r>
  <r>
    <n v="10935"/>
    <n v="18"/>
    <n v="62.5"/>
    <n v="4"/>
    <n v="0.25"/>
    <s v="Li, Yan"/>
    <s v="Li Yan"/>
    <x v="1"/>
    <s v="WA"/>
    <s v="Product CKEDC"/>
    <x v="3"/>
    <x v="436"/>
    <d v="2008-03-18T00:00:00"/>
    <x v="3"/>
    <s v="Ship to 88-A"/>
    <x v="1"/>
    <s v="Supplier GQRCV"/>
    <s v="Australia"/>
    <x v="1"/>
    <n v="187.5"/>
  </r>
  <r>
    <n v="10935"/>
    <n v="23"/>
    <n v="9"/>
    <n v="8"/>
    <n v="0.25"/>
    <s v="Li, Yan"/>
    <s v="Li Yan"/>
    <x v="1"/>
    <s v="WA"/>
    <s v="Product JLUDZ"/>
    <x v="1"/>
    <x v="436"/>
    <d v="2008-03-18T00:00:00"/>
    <x v="3"/>
    <s v="Ship to 88-A"/>
    <x v="1"/>
    <s v="Supplier QQYEU"/>
    <s v="Sweden"/>
    <x v="1"/>
    <n v="54"/>
  </r>
  <r>
    <n v="10936"/>
    <n v="36"/>
    <n v="19"/>
    <n v="30"/>
    <n v="0.2"/>
    <s v="Krishnan, Venky"/>
    <s v="Krishnan Venky"/>
    <x v="2"/>
    <s v="WA"/>
    <s v="Product GMKIJ"/>
    <x v="3"/>
    <x v="436"/>
    <d v="2008-03-18T00:00:00"/>
    <x v="1"/>
    <s v="Destination AVQUS"/>
    <x v="9"/>
    <s v="Supplier QZGUF"/>
    <s v="Sweden"/>
    <x v="1"/>
    <n v="456"/>
  </r>
  <r>
    <n v="10937"/>
    <n v="28"/>
    <n v="45.6"/>
    <n v="8"/>
    <n v="0"/>
    <s v="Ray, Mike"/>
    <s v="Ray Mike"/>
    <x v="9"/>
    <n v="0"/>
    <s v="Product OFBNT"/>
    <x v="2"/>
    <x v="437"/>
    <d v="2008-03-13T00:00:00"/>
    <x v="3"/>
    <s v="Destination QTHBC"/>
    <x v="21"/>
    <s v="Supplier SVIYA"/>
    <s v="Germany"/>
    <x v="1"/>
    <n v="364.8"/>
  </r>
  <r>
    <n v="10937"/>
    <n v="34"/>
    <n v="14"/>
    <n v="20"/>
    <n v="0"/>
    <s v="Ray, Mike"/>
    <s v="Ray Mike"/>
    <x v="9"/>
    <n v="0"/>
    <s v="Product SWNJY"/>
    <x v="6"/>
    <x v="437"/>
    <d v="2008-03-13T00:00:00"/>
    <x v="3"/>
    <s v="Destination QTHBC"/>
    <x v="21"/>
    <s v="Supplier UHZRG"/>
    <s v="USA"/>
    <x v="1"/>
    <n v="280"/>
  </r>
  <r>
    <n v="10938"/>
    <n v="13"/>
    <n v="6"/>
    <n v="20"/>
    <n v="0.25"/>
    <s v="Veronesi, Giorgio"/>
    <s v="Veronesi Giorgio"/>
    <x v="2"/>
    <s v="WA"/>
    <s v="Product POXFU"/>
    <x v="3"/>
    <x v="437"/>
    <d v="2008-03-16T00:00:00"/>
    <x v="1"/>
    <s v="Ship to 63-C"/>
    <x v="8"/>
    <s v="Supplier QWUSF"/>
    <s v="Japan"/>
    <x v="1"/>
    <n v="90"/>
  </r>
  <r>
    <n v="10938"/>
    <n v="43"/>
    <n v="46"/>
    <n v="24"/>
    <n v="0.25"/>
    <s v="Veronesi, Giorgio"/>
    <s v="Veronesi Giorgio"/>
    <x v="2"/>
    <s v="WA"/>
    <s v="Product ZZZHR"/>
    <x v="6"/>
    <x v="437"/>
    <d v="2008-03-16T00:00:00"/>
    <x v="1"/>
    <s v="Ship to 63-C"/>
    <x v="8"/>
    <s v="Supplier CIYNM"/>
    <s v="Singapore"/>
    <x v="1"/>
    <n v="828"/>
  </r>
  <r>
    <n v="10938"/>
    <n v="60"/>
    <n v="34"/>
    <n v="49"/>
    <n v="0.25"/>
    <s v="Veronesi, Giorgio"/>
    <s v="Veronesi Giorgio"/>
    <x v="2"/>
    <s v="WA"/>
    <s v="Product WHBYK"/>
    <x v="0"/>
    <x v="437"/>
    <d v="2008-03-16T00:00:00"/>
    <x v="1"/>
    <s v="Ship to 63-C"/>
    <x v="8"/>
    <s v="Supplier OAVQT"/>
    <s v="France"/>
    <x v="1"/>
    <n v="1249.5"/>
  </r>
  <r>
    <n v="10938"/>
    <n v="71"/>
    <n v="21.5"/>
    <n v="35"/>
    <n v="0.25"/>
    <s v="Veronesi, Giorgio"/>
    <s v="Veronesi Giorgio"/>
    <x v="2"/>
    <s v="WA"/>
    <s v="Product MYMOI"/>
    <x v="0"/>
    <x v="437"/>
    <d v="2008-03-16T00:00:00"/>
    <x v="1"/>
    <s v="Ship to 63-C"/>
    <x v="8"/>
    <s v="Supplier NZLIF"/>
    <s v="Norway"/>
    <x v="1"/>
    <n v="564.375"/>
  </r>
  <r>
    <n v="10939"/>
    <n v="2"/>
    <n v="19"/>
    <n v="10"/>
    <n v="0.15"/>
    <s v="Duerr, Bernard"/>
    <s v="Duerr Bernard"/>
    <x v="8"/>
    <s v="WA"/>
    <s v="Product RECZE"/>
    <x v="6"/>
    <x v="437"/>
    <d v="2008-03-13T00:00:00"/>
    <x v="1"/>
    <s v="Ship to 49-A"/>
    <x v="12"/>
    <s v="Supplier SWRXU"/>
    <s v="UK"/>
    <x v="1"/>
    <n v="161.5"/>
  </r>
  <r>
    <n v="10939"/>
    <n v="67"/>
    <n v="14"/>
    <n v="40"/>
    <n v="0.15"/>
    <s v="Duerr, Bernard"/>
    <s v="Duerr Bernard"/>
    <x v="8"/>
    <s v="WA"/>
    <s v="Product XLXQF"/>
    <x v="6"/>
    <x v="437"/>
    <d v="2008-03-13T00:00:00"/>
    <x v="1"/>
    <s v="Ship to 49-A"/>
    <x v="12"/>
    <s v="Supplier UHZRG"/>
    <s v="USA"/>
    <x v="1"/>
    <n v="476"/>
  </r>
  <r>
    <n v="10940"/>
    <n v="7"/>
    <n v="30"/>
    <n v="8"/>
    <n v="0"/>
    <s v="Raghav, Amritansh"/>
    <s v="Raghav Amritansh"/>
    <x v="6"/>
    <s v="WA"/>
    <s v="Product HMLNI"/>
    <x v="2"/>
    <x v="438"/>
    <d v="2008-03-23T00:00:00"/>
    <x v="3"/>
    <s v="Ship to 9-C"/>
    <x v="2"/>
    <s v="Supplier STUAZ"/>
    <s v="USA"/>
    <x v="1"/>
    <n v="240"/>
  </r>
  <r>
    <n v="10940"/>
    <n v="13"/>
    <n v="6"/>
    <n v="20"/>
    <n v="0"/>
    <s v="Raghav, Amritansh"/>
    <s v="Raghav Amritansh"/>
    <x v="6"/>
    <s v="WA"/>
    <s v="Product POXFU"/>
    <x v="3"/>
    <x v="438"/>
    <d v="2008-03-23T00:00:00"/>
    <x v="3"/>
    <s v="Ship to 9-C"/>
    <x v="2"/>
    <s v="Supplier QWUSF"/>
    <s v="Japan"/>
    <x v="1"/>
    <n v="120"/>
  </r>
  <r>
    <n v="10941"/>
    <n v="31"/>
    <n v="12.5"/>
    <n v="44"/>
    <n v="0.25"/>
    <s v="Navarro, Tomás"/>
    <s v="Navarro Tomás"/>
    <x v="9"/>
    <n v="0"/>
    <s v="Product XWOXC"/>
    <x v="0"/>
    <x v="438"/>
    <d v="2008-03-20T00:00:00"/>
    <x v="1"/>
    <s v="Ship to 71-A"/>
    <x v="9"/>
    <s v="Supplier KEREV"/>
    <s v="Italy"/>
    <x v="2"/>
    <n v="412.5"/>
  </r>
  <r>
    <n v="10941"/>
    <n v="62"/>
    <n v="49.3"/>
    <n v="30"/>
    <n v="0.25"/>
    <s v="Navarro, Tomás"/>
    <s v="Navarro Tomás"/>
    <x v="9"/>
    <n v="0"/>
    <s v="Product WUXYK"/>
    <x v="5"/>
    <x v="438"/>
    <d v="2008-03-20T00:00:00"/>
    <x v="1"/>
    <s v="Ship to 71-A"/>
    <x v="9"/>
    <s v="Supplier OGLRK"/>
    <s v="Canada"/>
    <x v="2"/>
    <n v="1109.25"/>
  </r>
  <r>
    <n v="10941"/>
    <n v="68"/>
    <n v="12.5"/>
    <n v="80"/>
    <n v="0.25"/>
    <s v="Navarro, Tomás"/>
    <s v="Navarro Tomás"/>
    <x v="9"/>
    <n v="0"/>
    <s v="Product TBTBL"/>
    <x v="5"/>
    <x v="438"/>
    <d v="2008-03-20T00:00:00"/>
    <x v="1"/>
    <s v="Ship to 71-A"/>
    <x v="9"/>
    <s v="Supplier BWGYE"/>
    <s v="UK"/>
    <x v="2"/>
    <n v="750"/>
  </r>
  <r>
    <n v="10941"/>
    <n v="72"/>
    <n v="34.799999999999997"/>
    <n v="50"/>
    <n v="0"/>
    <s v="Navarro, Tomás"/>
    <s v="Navarro Tomás"/>
    <x v="9"/>
    <n v="0"/>
    <s v="Product GEEOO"/>
    <x v="0"/>
    <x v="438"/>
    <d v="2008-03-20T00:00:00"/>
    <x v="1"/>
    <s v="Ship to 71-A"/>
    <x v="9"/>
    <s v="Supplier KEREV"/>
    <s v="Italy"/>
    <x v="2"/>
    <n v="1739.9999999999998"/>
  </r>
  <r>
    <n v="10942"/>
    <n v="49"/>
    <n v="20"/>
    <n v="28"/>
    <n v="0"/>
    <s v="Voss, Florian"/>
    <s v="Voss Florian"/>
    <x v="4"/>
    <n v="0"/>
    <s v="Product FPYPN"/>
    <x v="5"/>
    <x v="438"/>
    <d v="2008-03-18T00:00:00"/>
    <x v="3"/>
    <s v="Ship to 66-C"/>
    <x v="12"/>
    <s v="Supplier ELCRN"/>
    <s v="Finland"/>
    <x v="1"/>
    <n v="560"/>
  </r>
  <r>
    <n v="10943"/>
    <n v="13"/>
    <n v="6"/>
    <n v="15"/>
    <n v="0"/>
    <s v="Jaffe, David"/>
    <s v="Jaffe David"/>
    <x v="1"/>
    <s v="WA"/>
    <s v="Product POXFU"/>
    <x v="3"/>
    <x v="438"/>
    <d v="2008-03-19T00:00:00"/>
    <x v="1"/>
    <s v="Destination NZASL"/>
    <x v="14"/>
    <s v="Supplier QWUSF"/>
    <s v="Japan"/>
    <x v="1"/>
    <n v="90"/>
  </r>
  <r>
    <n v="10943"/>
    <n v="22"/>
    <n v="21"/>
    <n v="21"/>
    <n v="0"/>
    <s v="Jaffe, David"/>
    <s v="Jaffe David"/>
    <x v="1"/>
    <s v="WA"/>
    <s v="Product CPHFY"/>
    <x v="1"/>
    <x v="438"/>
    <d v="2008-03-19T00:00:00"/>
    <x v="1"/>
    <s v="Destination NZASL"/>
    <x v="14"/>
    <s v="Supplier QQYEU"/>
    <s v="Sweden"/>
    <x v="1"/>
    <n v="441"/>
  </r>
  <r>
    <n v="10943"/>
    <n v="46"/>
    <n v="12"/>
    <n v="15"/>
    <n v="0"/>
    <s v="Jaffe, David"/>
    <s v="Jaffe David"/>
    <x v="1"/>
    <s v="WA"/>
    <s v="Product CBRRL"/>
    <x v="3"/>
    <x v="438"/>
    <d v="2008-03-19T00:00:00"/>
    <x v="1"/>
    <s v="Destination NZASL"/>
    <x v="14"/>
    <s v="Supplier XOXZA"/>
    <s v="Denmark"/>
    <x v="1"/>
    <n v="180"/>
  </r>
  <r>
    <n v="10944"/>
    <n v="11"/>
    <n v="21"/>
    <n v="5"/>
    <n v="0.25"/>
    <s v="Bassols, Pilar Colome"/>
    <s v="Bassols Pilar Colome"/>
    <x v="7"/>
    <n v="0"/>
    <s v="Product QMVUN"/>
    <x v="0"/>
    <x v="439"/>
    <d v="2008-03-13T00:00:00"/>
    <x v="3"/>
    <s v="Destination XJIBQ"/>
    <x v="17"/>
    <s v="Supplier EQPNC"/>
    <s v="Spain"/>
    <x v="1"/>
    <n v="78.75"/>
  </r>
  <r>
    <n v="10944"/>
    <n v="44"/>
    <n v="19.45"/>
    <n v="18"/>
    <n v="0.25"/>
    <s v="Bassols, Pilar Colome"/>
    <s v="Bassols Pilar Colome"/>
    <x v="7"/>
    <n v="0"/>
    <s v="Product VJIEO"/>
    <x v="4"/>
    <x v="439"/>
    <d v="2008-03-13T00:00:00"/>
    <x v="3"/>
    <s v="Destination XJIBQ"/>
    <x v="17"/>
    <s v="Supplier CIYNM"/>
    <s v="Singapore"/>
    <x v="1"/>
    <n v="262.57499999999999"/>
  </r>
  <r>
    <n v="10944"/>
    <n v="56"/>
    <n v="38"/>
    <n v="18"/>
    <n v="0"/>
    <s v="Bassols, Pilar Colome"/>
    <s v="Bassols Pilar Colome"/>
    <x v="7"/>
    <n v="0"/>
    <s v="Product VKCMF"/>
    <x v="1"/>
    <x v="439"/>
    <d v="2008-03-13T00:00:00"/>
    <x v="3"/>
    <s v="Destination XJIBQ"/>
    <x v="17"/>
    <s v="Supplier ZWZDM"/>
    <s v="Italy"/>
    <x v="1"/>
    <n v="684"/>
  </r>
  <r>
    <n v="10945"/>
    <n v="13"/>
    <n v="6"/>
    <n v="20"/>
    <n v="0"/>
    <s v="Dupont-Roc, Patrice"/>
    <s v="Dupont-Roc Patrice"/>
    <x v="1"/>
    <s v="WA"/>
    <s v="Product POXFU"/>
    <x v="3"/>
    <x v="439"/>
    <d v="2008-03-18T00:00:00"/>
    <x v="2"/>
    <s v="Ship to 52-B"/>
    <x v="8"/>
    <s v="Supplier QWUSF"/>
    <s v="Japan"/>
    <x v="1"/>
    <n v="120"/>
  </r>
  <r>
    <n v="10945"/>
    <n v="31"/>
    <n v="12.5"/>
    <n v="10"/>
    <n v="0"/>
    <s v="Dupont-Roc, Patrice"/>
    <s v="Dupont-Roc Patrice"/>
    <x v="1"/>
    <s v="WA"/>
    <s v="Product XWOXC"/>
    <x v="0"/>
    <x v="439"/>
    <d v="2008-03-18T00:00:00"/>
    <x v="2"/>
    <s v="Ship to 52-B"/>
    <x v="8"/>
    <s v="Supplier KEREV"/>
    <s v="Italy"/>
    <x v="1"/>
    <n v="125"/>
  </r>
  <r>
    <n v="10946"/>
    <n v="10"/>
    <n v="31"/>
    <n v="25"/>
    <n v="0"/>
    <s v="Fonteneau, Karl"/>
    <s v="Fonteneau Karl"/>
    <x v="5"/>
    <s v="WA"/>
    <s v="Product YHXGE"/>
    <x v="3"/>
    <x v="439"/>
    <d v="2008-03-19T00:00:00"/>
    <x v="1"/>
    <s v="Ship to 83-B"/>
    <x v="18"/>
    <s v="Supplier QOVFD"/>
    <s v="Japan"/>
    <x v="1"/>
    <n v="775"/>
  </r>
  <r>
    <n v="10946"/>
    <n v="24"/>
    <n v="4.5"/>
    <n v="25"/>
    <n v="0"/>
    <s v="Fonteneau, Karl"/>
    <s v="Fonteneau Karl"/>
    <x v="5"/>
    <s v="WA"/>
    <s v="Product QOGNU"/>
    <x v="6"/>
    <x v="439"/>
    <d v="2008-03-19T00:00:00"/>
    <x v="1"/>
    <s v="Ship to 83-B"/>
    <x v="18"/>
    <s v="Supplier UNAHG"/>
    <s v="Brazil"/>
    <x v="1"/>
    <n v="112.5"/>
  </r>
  <r>
    <n v="10946"/>
    <n v="77"/>
    <n v="13"/>
    <n v="40"/>
    <n v="0"/>
    <s v="Fonteneau, Karl"/>
    <s v="Fonteneau Karl"/>
    <x v="5"/>
    <s v="WA"/>
    <s v="Product LUNZZ"/>
    <x v="4"/>
    <x v="439"/>
    <d v="2008-03-19T00:00:00"/>
    <x v="1"/>
    <s v="Ship to 83-B"/>
    <x v="18"/>
    <s v="Supplier SVIYA"/>
    <s v="Germany"/>
    <x v="1"/>
    <n v="520"/>
  </r>
  <r>
    <n v="10947"/>
    <n v="59"/>
    <n v="55"/>
    <n v="4"/>
    <n v="0"/>
    <s v="Jaffe, David"/>
    <s v="Jaffe David"/>
    <x v="2"/>
    <s v="WA"/>
    <s v="Product UKXRI"/>
    <x v="0"/>
    <x v="440"/>
    <d v="2008-03-16T00:00:00"/>
    <x v="1"/>
    <s v="Destination NZASL"/>
    <x v="14"/>
    <s v="Supplier OAVQT"/>
    <s v="France"/>
    <x v="1"/>
    <n v="220"/>
  </r>
  <r>
    <n v="10948"/>
    <n v="50"/>
    <n v="16.25"/>
    <n v="9"/>
    <n v="0"/>
    <s v="Shabalin, Rostislav"/>
    <s v="Shabalin Rostislav"/>
    <x v="2"/>
    <s v="WA"/>
    <s v="Product BIUDV"/>
    <x v="5"/>
    <x v="440"/>
    <d v="2008-03-19T00:00:00"/>
    <x v="3"/>
    <s v="Destination GGQIR"/>
    <x v="13"/>
    <s v="Supplier ELCRN"/>
    <s v="Finland"/>
    <x v="1"/>
    <n v="146.25"/>
  </r>
  <r>
    <n v="10948"/>
    <n v="51"/>
    <n v="53"/>
    <n v="40"/>
    <n v="0"/>
    <s v="Shabalin, Rostislav"/>
    <s v="Shabalin Rostislav"/>
    <x v="2"/>
    <s v="WA"/>
    <s v="Product APITJ"/>
    <x v="2"/>
    <x v="440"/>
    <d v="2008-03-19T00:00:00"/>
    <x v="3"/>
    <s v="Destination GGQIR"/>
    <x v="13"/>
    <s v="Supplier JNNES"/>
    <s v="Australia"/>
    <x v="1"/>
    <n v="2120"/>
  </r>
  <r>
    <n v="10948"/>
    <n v="55"/>
    <n v="24"/>
    <n v="4"/>
    <n v="0"/>
    <s v="Shabalin, Rostislav"/>
    <s v="Shabalin Rostislav"/>
    <x v="2"/>
    <s v="WA"/>
    <s v="Product YYWRT"/>
    <x v="7"/>
    <x v="440"/>
    <d v="2008-03-19T00:00:00"/>
    <x v="3"/>
    <s v="Destination GGQIR"/>
    <x v="13"/>
    <s v="Supplier ERVYZ"/>
    <s v="Canada"/>
    <x v="1"/>
    <n v="96"/>
  </r>
  <r>
    <n v="10949"/>
    <n v="6"/>
    <n v="25"/>
    <n v="12"/>
    <n v="0"/>
    <s v="Bassols, Pilar Colome"/>
    <s v="Bassols Pilar Colome"/>
    <x v="8"/>
    <s v="WA"/>
    <s v="Product VAIIV"/>
    <x v="4"/>
    <x v="440"/>
    <d v="2008-03-17T00:00:00"/>
    <x v="3"/>
    <s v="Destination OLSSJ"/>
    <x v="17"/>
    <s v="Supplier STUAZ"/>
    <s v="USA"/>
    <x v="1"/>
    <n v="300"/>
  </r>
  <r>
    <n v="10949"/>
    <n v="10"/>
    <n v="31"/>
    <n v="30"/>
    <n v="0"/>
    <s v="Bassols, Pilar Colome"/>
    <s v="Bassols Pilar Colome"/>
    <x v="8"/>
    <s v="WA"/>
    <s v="Product YHXGE"/>
    <x v="3"/>
    <x v="440"/>
    <d v="2008-03-17T00:00:00"/>
    <x v="3"/>
    <s v="Destination OLSSJ"/>
    <x v="17"/>
    <s v="Supplier QOVFD"/>
    <s v="Japan"/>
    <x v="1"/>
    <n v="930"/>
  </r>
  <r>
    <n v="10949"/>
    <n v="17"/>
    <n v="39"/>
    <n v="6"/>
    <n v="0"/>
    <s v="Bassols, Pilar Colome"/>
    <s v="Bassols Pilar Colome"/>
    <x v="8"/>
    <s v="WA"/>
    <s v="Product BLCAX"/>
    <x v="7"/>
    <x v="440"/>
    <d v="2008-03-17T00:00:00"/>
    <x v="3"/>
    <s v="Destination OLSSJ"/>
    <x v="17"/>
    <s v="Supplier GQRCV"/>
    <s v="Australia"/>
    <x v="1"/>
    <n v="234"/>
  </r>
  <r>
    <n v="10949"/>
    <n v="62"/>
    <n v="49.3"/>
    <n v="60"/>
    <n v="0"/>
    <s v="Bassols, Pilar Colome"/>
    <s v="Bassols Pilar Colome"/>
    <x v="8"/>
    <s v="WA"/>
    <s v="Product WUXYK"/>
    <x v="5"/>
    <x v="440"/>
    <d v="2008-03-17T00:00:00"/>
    <x v="3"/>
    <s v="Destination OLSSJ"/>
    <x v="17"/>
    <s v="Supplier OGLRK"/>
    <s v="Canada"/>
    <x v="1"/>
    <n v="2958"/>
  </r>
  <r>
    <n v="10950"/>
    <n v="4"/>
    <n v="22"/>
    <n v="5"/>
    <n v="0"/>
    <s v="Duerr, Bernard"/>
    <s v="Duerr Bernard"/>
    <x v="5"/>
    <s v="WA"/>
    <s v="Product KSBRM"/>
    <x v="4"/>
    <x v="441"/>
    <d v="2008-03-23T00:00:00"/>
    <x v="1"/>
    <s v="Ship to 49-B"/>
    <x v="12"/>
    <s v="Supplier VHQZD"/>
    <s v="USA"/>
    <x v="1"/>
    <n v="110"/>
  </r>
  <r>
    <n v="10951"/>
    <n v="33"/>
    <n v="2.5"/>
    <n v="15"/>
    <n v="0.05"/>
    <s v="Myrcha, Jacek"/>
    <s v="Myrcha Jacek"/>
    <x v="4"/>
    <n v="0"/>
    <s v="Product ASTMN"/>
    <x v="0"/>
    <x v="441"/>
    <d v="2008-04-07T00:00:00"/>
    <x v="1"/>
    <s v="Ship to 68-A"/>
    <x v="4"/>
    <s v="Supplier NZLIF"/>
    <s v="Norway"/>
    <x v="1"/>
    <n v="35.625"/>
  </r>
  <r>
    <n v="10951"/>
    <n v="41"/>
    <n v="9.65"/>
    <n v="6"/>
    <n v="0.05"/>
    <s v="Myrcha, Jacek"/>
    <s v="Myrcha Jacek"/>
    <x v="4"/>
    <n v="0"/>
    <s v="Product TTEEX"/>
    <x v="3"/>
    <x v="441"/>
    <d v="2008-04-07T00:00:00"/>
    <x v="1"/>
    <s v="Ship to 68-A"/>
    <x v="4"/>
    <s v="Supplier JDNUG"/>
    <s v="USA"/>
    <x v="1"/>
    <n v="55.005000000000003"/>
  </r>
  <r>
    <n v="10951"/>
    <n v="75"/>
    <n v="7.75"/>
    <n v="50"/>
    <n v="0.05"/>
    <s v="Myrcha, Jacek"/>
    <s v="Myrcha Jacek"/>
    <x v="4"/>
    <n v="0"/>
    <s v="Product BWRLG"/>
    <x v="6"/>
    <x v="441"/>
    <d v="2008-04-07T00:00:00"/>
    <x v="1"/>
    <s v="Ship to 68-A"/>
    <x v="4"/>
    <s v="Supplier SVIYA"/>
    <s v="Germany"/>
    <x v="1"/>
    <n v="368.125"/>
  </r>
  <r>
    <n v="10952"/>
    <n v="6"/>
    <n v="25"/>
    <n v="16"/>
    <n v="0.05"/>
    <s v="Allen, Michael"/>
    <s v="Allen Michael"/>
    <x v="5"/>
    <s v="WA"/>
    <s v="Product VAIIV"/>
    <x v="4"/>
    <x v="441"/>
    <d v="2008-03-24T00:00:00"/>
    <x v="2"/>
    <s v="Destination LOUIE"/>
    <x v="8"/>
    <s v="Supplier STUAZ"/>
    <s v="USA"/>
    <x v="1"/>
    <n v="380"/>
  </r>
  <r>
    <n v="10952"/>
    <n v="28"/>
    <n v="45.6"/>
    <n v="2"/>
    <n v="0"/>
    <s v="Allen, Michael"/>
    <s v="Allen Michael"/>
    <x v="5"/>
    <s v="WA"/>
    <s v="Product OFBNT"/>
    <x v="2"/>
    <x v="441"/>
    <d v="2008-03-24T00:00:00"/>
    <x v="2"/>
    <s v="Destination LOUIE"/>
    <x v="8"/>
    <s v="Supplier SVIYA"/>
    <s v="Germany"/>
    <x v="1"/>
    <n v="91.2"/>
  </r>
  <r>
    <n v="10953"/>
    <n v="20"/>
    <n v="81"/>
    <n v="50"/>
    <n v="0.05"/>
    <s v="Arndt, Torsten"/>
    <s v="Arndt Torsten"/>
    <x v="4"/>
    <n v="0"/>
    <s v="Product QHFFP"/>
    <x v="5"/>
    <x v="441"/>
    <d v="2008-03-25T00:00:00"/>
    <x v="1"/>
    <s v="Ship to 4-B"/>
    <x v="14"/>
    <s v="Supplier BWGYE"/>
    <s v="UK"/>
    <x v="1"/>
    <n v="3847.5"/>
  </r>
  <r>
    <n v="10953"/>
    <n v="31"/>
    <n v="12.5"/>
    <n v="50"/>
    <n v="0.05"/>
    <s v="Arndt, Torsten"/>
    <s v="Arndt Torsten"/>
    <x v="4"/>
    <n v="0"/>
    <s v="Product XWOXC"/>
    <x v="0"/>
    <x v="441"/>
    <d v="2008-03-25T00:00:00"/>
    <x v="1"/>
    <s v="Ship to 4-B"/>
    <x v="14"/>
    <s v="Supplier KEREV"/>
    <s v="Italy"/>
    <x v="1"/>
    <n v="593.75"/>
  </r>
  <r>
    <n v="10954"/>
    <n v="16"/>
    <n v="17.45"/>
    <n v="28"/>
    <n v="0.15"/>
    <s v="Lupu, Cornel"/>
    <s v="Lupu Cornel"/>
    <x v="3"/>
    <n v="0"/>
    <s v="Product PAFRH"/>
    <x v="5"/>
    <x v="442"/>
    <d v="2008-03-20T00:00:00"/>
    <x v="2"/>
    <s v="Ship to 47-B"/>
    <x v="5"/>
    <s v="Supplier GQRCV"/>
    <s v="Australia"/>
    <x v="1"/>
    <n v="415.30999999999995"/>
  </r>
  <r>
    <n v="10954"/>
    <n v="31"/>
    <n v="12.5"/>
    <n v="25"/>
    <n v="0.15"/>
    <s v="Lupu, Cornel"/>
    <s v="Lupu Cornel"/>
    <x v="3"/>
    <n v="0"/>
    <s v="Product XWOXC"/>
    <x v="0"/>
    <x v="442"/>
    <d v="2008-03-20T00:00:00"/>
    <x v="2"/>
    <s v="Ship to 47-B"/>
    <x v="5"/>
    <s v="Supplier KEREV"/>
    <s v="Italy"/>
    <x v="1"/>
    <n v="265.625"/>
  </r>
  <r>
    <n v="10954"/>
    <n v="45"/>
    <n v="9.5"/>
    <n v="30"/>
    <n v="0"/>
    <s v="Lupu, Cornel"/>
    <s v="Lupu Cornel"/>
    <x v="3"/>
    <n v="0"/>
    <s v="Product AQOKR"/>
    <x v="3"/>
    <x v="442"/>
    <d v="2008-03-20T00:00:00"/>
    <x v="2"/>
    <s v="Ship to 47-B"/>
    <x v="5"/>
    <s v="Supplier XOXZA"/>
    <s v="Denmark"/>
    <x v="1"/>
    <n v="285"/>
  </r>
  <r>
    <n v="10954"/>
    <n v="60"/>
    <n v="34"/>
    <n v="24"/>
    <n v="0.15"/>
    <s v="Lupu, Cornel"/>
    <s v="Lupu Cornel"/>
    <x v="3"/>
    <n v="0"/>
    <s v="Product WHBYK"/>
    <x v="0"/>
    <x v="442"/>
    <d v="2008-03-20T00:00:00"/>
    <x v="2"/>
    <s v="Ship to 47-B"/>
    <x v="5"/>
    <s v="Supplier OAVQT"/>
    <s v="France"/>
    <x v="1"/>
    <n v="693.6"/>
  </r>
  <r>
    <n v="10955"/>
    <n v="75"/>
    <n v="7.75"/>
    <n v="12"/>
    <n v="0.2"/>
    <s v="San Juan, Patricia"/>
    <s v="San Juan Patricia"/>
    <x v="6"/>
    <s v="WA"/>
    <s v="Product BWRLG"/>
    <x v="6"/>
    <x v="442"/>
    <d v="2008-03-20T00:00:00"/>
    <x v="1"/>
    <s v="Destination YCMPK"/>
    <x v="10"/>
    <s v="Supplier SVIYA"/>
    <s v="Germany"/>
    <x v="1"/>
    <n v="74.400000000000006"/>
  </r>
  <r>
    <n v="10956"/>
    <n v="21"/>
    <n v="10"/>
    <n v="12"/>
    <n v="0"/>
    <s v="Poland, Carole"/>
    <s v="Poland Carole"/>
    <x v="7"/>
    <n v="0"/>
    <s v="Product VJZZH"/>
    <x v="5"/>
    <x v="442"/>
    <d v="2008-03-20T00:00:00"/>
    <x v="1"/>
    <s v="Ship to 6-B"/>
    <x v="8"/>
    <s v="Supplier BWGYE"/>
    <s v="UK"/>
    <x v="1"/>
    <n v="120"/>
  </r>
  <r>
    <n v="10956"/>
    <n v="47"/>
    <n v="9.5"/>
    <n v="14"/>
    <n v="0"/>
    <s v="Poland, Carole"/>
    <s v="Poland Carole"/>
    <x v="7"/>
    <n v="0"/>
    <s v="Product EZZPR"/>
    <x v="5"/>
    <x v="442"/>
    <d v="2008-03-20T00:00:00"/>
    <x v="1"/>
    <s v="Ship to 6-B"/>
    <x v="8"/>
    <s v="Supplier FNUXM"/>
    <s v="Netherlands"/>
    <x v="1"/>
    <n v="133"/>
  </r>
  <r>
    <n v="10956"/>
    <n v="51"/>
    <n v="53"/>
    <n v="8"/>
    <n v="0"/>
    <s v="Poland, Carole"/>
    <s v="Poland Carole"/>
    <x v="7"/>
    <n v="0"/>
    <s v="Product APITJ"/>
    <x v="2"/>
    <x v="442"/>
    <d v="2008-03-20T00:00:00"/>
    <x v="1"/>
    <s v="Ship to 6-B"/>
    <x v="8"/>
    <s v="Supplier JNNES"/>
    <s v="Australia"/>
    <x v="1"/>
    <n v="424"/>
  </r>
  <r>
    <n v="10957"/>
    <n v="30"/>
    <n v="25.89"/>
    <n v="30"/>
    <n v="0"/>
    <s v="Langohr, Kris"/>
    <s v="Langohr Kris"/>
    <x v="6"/>
    <s v="WA"/>
    <s v="Product LYERX"/>
    <x v="3"/>
    <x v="443"/>
    <d v="2008-03-27T00:00:00"/>
    <x v="3"/>
    <s v="Destination UOUWK"/>
    <x v="5"/>
    <s v="Supplier TEGSC"/>
    <s v="Germany"/>
    <x v="2"/>
    <n v="776.7"/>
  </r>
  <r>
    <n v="10957"/>
    <n v="35"/>
    <n v="18"/>
    <n v="40"/>
    <n v="0"/>
    <s v="Langohr, Kris"/>
    <s v="Langohr Kris"/>
    <x v="6"/>
    <s v="WA"/>
    <s v="Product NEVTJ"/>
    <x v="6"/>
    <x v="443"/>
    <d v="2008-03-27T00:00:00"/>
    <x v="3"/>
    <s v="Destination UOUWK"/>
    <x v="5"/>
    <s v="Supplier UHZRG"/>
    <s v="USA"/>
    <x v="2"/>
    <n v="720"/>
  </r>
  <r>
    <n v="10957"/>
    <n v="64"/>
    <n v="33.25"/>
    <n v="8"/>
    <n v="0"/>
    <s v="Langohr, Kris"/>
    <s v="Langohr Kris"/>
    <x v="6"/>
    <s v="WA"/>
    <s v="Product HCQDE"/>
    <x v="1"/>
    <x v="443"/>
    <d v="2008-03-27T00:00:00"/>
    <x v="3"/>
    <s v="Destination UOUWK"/>
    <x v="5"/>
    <s v="Supplier SVIYA"/>
    <s v="Germany"/>
    <x v="2"/>
    <n v="266"/>
  </r>
  <r>
    <n v="10958"/>
    <n v="5"/>
    <n v="21.35"/>
    <n v="20"/>
    <n v="0"/>
    <s v="Tiano, Mike"/>
    <s v="Tiano Mike"/>
    <x v="9"/>
    <n v="0"/>
    <s v="Product EPEIM"/>
    <x v="4"/>
    <x v="443"/>
    <d v="2008-03-27T00:00:00"/>
    <x v="1"/>
    <s v="Ship to 54-C"/>
    <x v="21"/>
    <s v="Supplier VHQZD"/>
    <s v="USA"/>
    <x v="1"/>
    <n v="427"/>
  </r>
  <r>
    <n v="10958"/>
    <n v="7"/>
    <n v="30"/>
    <n v="6"/>
    <n v="0"/>
    <s v="Tiano, Mike"/>
    <s v="Tiano Mike"/>
    <x v="9"/>
    <n v="0"/>
    <s v="Product HMLNI"/>
    <x v="2"/>
    <x v="443"/>
    <d v="2008-03-27T00:00:00"/>
    <x v="1"/>
    <s v="Ship to 54-C"/>
    <x v="21"/>
    <s v="Supplier STUAZ"/>
    <s v="USA"/>
    <x v="1"/>
    <n v="180"/>
  </r>
  <r>
    <n v="10958"/>
    <n v="72"/>
    <n v="34.799999999999997"/>
    <n v="5"/>
    <n v="0"/>
    <s v="Tiano, Mike"/>
    <s v="Tiano Mike"/>
    <x v="9"/>
    <n v="0"/>
    <s v="Product GEEOO"/>
    <x v="0"/>
    <x v="443"/>
    <d v="2008-03-27T00:00:00"/>
    <x v="1"/>
    <s v="Ship to 54-C"/>
    <x v="21"/>
    <s v="Supplier KEREV"/>
    <s v="Italy"/>
    <x v="1"/>
    <n v="174"/>
  </r>
  <r>
    <n v="10959"/>
    <n v="75"/>
    <n v="7.75"/>
    <n v="20"/>
    <n v="0.15"/>
    <s v="Cheng, Yao-Qiang"/>
    <s v="Cheng Yao-Qiang"/>
    <x v="7"/>
    <n v="0"/>
    <s v="Product BWRLG"/>
    <x v="6"/>
    <x v="443"/>
    <d v="2008-03-23T00:00:00"/>
    <x v="1"/>
    <s v="Destination GWPFK"/>
    <x v="1"/>
    <s v="Supplier SVIYA"/>
    <s v="Germany"/>
    <x v="1"/>
    <n v="131.75"/>
  </r>
  <r>
    <n v="10960"/>
    <n v="24"/>
    <n v="4.5"/>
    <n v="10"/>
    <n v="0.25"/>
    <s v="Langohr, Kris"/>
    <s v="Langohr Kris"/>
    <x v="2"/>
    <s v="WA"/>
    <s v="Product QOGNU"/>
    <x v="6"/>
    <x v="444"/>
    <d v="2008-04-08T00:00:00"/>
    <x v="2"/>
    <s v="Destination SXYQX"/>
    <x v="5"/>
    <s v="Supplier UNAHG"/>
    <s v="Brazil"/>
    <x v="1"/>
    <n v="33.75"/>
  </r>
  <r>
    <n v="10960"/>
    <n v="41"/>
    <n v="9.65"/>
    <n v="24"/>
    <n v="0"/>
    <s v="Langohr, Kris"/>
    <s v="Langohr Kris"/>
    <x v="2"/>
    <s v="WA"/>
    <s v="Product TTEEX"/>
    <x v="3"/>
    <x v="444"/>
    <d v="2008-04-08T00:00:00"/>
    <x v="2"/>
    <s v="Destination SXYQX"/>
    <x v="5"/>
    <s v="Supplier JDNUG"/>
    <s v="USA"/>
    <x v="1"/>
    <n v="231.60000000000002"/>
  </r>
  <r>
    <n v="10961"/>
    <n v="52"/>
    <n v="7"/>
    <n v="6"/>
    <n v="0.05"/>
    <s v="Misiec, Anna"/>
    <s v="Misiec Anna"/>
    <x v="6"/>
    <s v="WA"/>
    <s v="Product QSRXF"/>
    <x v="1"/>
    <x v="444"/>
    <d v="2008-03-30T00:00:00"/>
    <x v="2"/>
    <s v="Ship to 62-A"/>
    <x v="1"/>
    <s v="Supplier JNNES"/>
    <s v="Australia"/>
    <x v="2"/>
    <n v="39.9"/>
  </r>
  <r>
    <n v="10961"/>
    <n v="76"/>
    <n v="18"/>
    <n v="60"/>
    <n v="0"/>
    <s v="Misiec, Anna"/>
    <s v="Misiec Anna"/>
    <x v="6"/>
    <s v="WA"/>
    <s v="Product JYGFE"/>
    <x v="6"/>
    <x v="444"/>
    <d v="2008-03-30T00:00:00"/>
    <x v="2"/>
    <s v="Ship to 62-A"/>
    <x v="1"/>
    <s v="Supplier ELCRN"/>
    <s v="Finland"/>
    <x v="2"/>
    <n v="1080"/>
  </r>
  <r>
    <n v="10962"/>
    <n v="7"/>
    <n v="30"/>
    <n v="45"/>
    <n v="0"/>
    <s v="Veronesi, Giorgio"/>
    <s v="Veronesi Giorgio"/>
    <x v="6"/>
    <s v="WA"/>
    <s v="Product HMLNI"/>
    <x v="2"/>
    <x v="444"/>
    <d v="2008-03-23T00:00:00"/>
    <x v="1"/>
    <s v="Ship to 63-B"/>
    <x v="8"/>
    <s v="Supplier STUAZ"/>
    <s v="USA"/>
    <x v="2"/>
    <n v="1350"/>
  </r>
  <r>
    <n v="10962"/>
    <n v="13"/>
    <n v="6"/>
    <n v="77"/>
    <n v="0"/>
    <s v="Veronesi, Giorgio"/>
    <s v="Veronesi Giorgio"/>
    <x v="6"/>
    <s v="WA"/>
    <s v="Product POXFU"/>
    <x v="3"/>
    <x v="444"/>
    <d v="2008-03-23T00:00:00"/>
    <x v="1"/>
    <s v="Ship to 63-B"/>
    <x v="8"/>
    <s v="Supplier QWUSF"/>
    <s v="Japan"/>
    <x v="2"/>
    <n v="462"/>
  </r>
  <r>
    <n v="10962"/>
    <n v="53"/>
    <n v="32.799999999999997"/>
    <n v="20"/>
    <n v="0"/>
    <s v="Veronesi, Giorgio"/>
    <s v="Veronesi Giorgio"/>
    <x v="6"/>
    <s v="WA"/>
    <s v="Product BKGEA"/>
    <x v="7"/>
    <x v="444"/>
    <d v="2008-03-23T00:00:00"/>
    <x v="1"/>
    <s v="Ship to 63-B"/>
    <x v="8"/>
    <s v="Supplier JNNES"/>
    <s v="Australia"/>
    <x v="2"/>
    <n v="656"/>
  </r>
  <r>
    <n v="10962"/>
    <n v="69"/>
    <n v="36"/>
    <n v="9"/>
    <n v="0"/>
    <s v="Veronesi, Giorgio"/>
    <s v="Veronesi Giorgio"/>
    <x v="6"/>
    <s v="WA"/>
    <s v="Product COAXA"/>
    <x v="0"/>
    <x v="444"/>
    <d v="2008-03-23T00:00:00"/>
    <x v="1"/>
    <s v="Ship to 63-B"/>
    <x v="8"/>
    <s v="Supplier NZLIF"/>
    <s v="Norway"/>
    <x v="2"/>
    <n v="324"/>
  </r>
  <r>
    <n v="10962"/>
    <n v="76"/>
    <n v="18"/>
    <n v="44"/>
    <n v="0"/>
    <s v="Veronesi, Giorgio"/>
    <s v="Veronesi Giorgio"/>
    <x v="6"/>
    <s v="WA"/>
    <s v="Product JYGFE"/>
    <x v="6"/>
    <x v="444"/>
    <d v="2008-03-23T00:00:00"/>
    <x v="1"/>
    <s v="Ship to 63-B"/>
    <x v="8"/>
    <s v="Supplier ELCRN"/>
    <s v="Finland"/>
    <x v="2"/>
    <n v="792"/>
  </r>
  <r>
    <n v="10963"/>
    <n v="60"/>
    <n v="34"/>
    <n v="2"/>
    <n v="0.15"/>
    <s v="Cavaglieri, Giorgio"/>
    <s v="Cavaglieri Giorgio"/>
    <x v="4"/>
    <n v="0"/>
    <s v="Product WHBYK"/>
    <x v="0"/>
    <x v="444"/>
    <d v="2008-03-26T00:00:00"/>
    <x v="3"/>
    <s v="Destination CIRQO"/>
    <x v="16"/>
    <s v="Supplier OAVQT"/>
    <s v="France"/>
    <x v="1"/>
    <n v="57.8"/>
  </r>
  <r>
    <n v="10964"/>
    <n v="18"/>
    <n v="62.5"/>
    <n v="6"/>
    <n v="0"/>
    <s v="O’Brien, Dave"/>
    <s v="O’Brien Dave"/>
    <x v="2"/>
    <s v="WA"/>
    <s v="Product CKEDC"/>
    <x v="3"/>
    <x v="445"/>
    <d v="2008-03-24T00:00:00"/>
    <x v="1"/>
    <s v="Ship to 74-B"/>
    <x v="2"/>
    <s v="Supplier GQRCV"/>
    <s v="Australia"/>
    <x v="1"/>
    <n v="375"/>
  </r>
  <r>
    <n v="10964"/>
    <n v="38"/>
    <n v="263.5"/>
    <n v="5"/>
    <n v="0"/>
    <s v="O’Brien, Dave"/>
    <s v="O’Brien Dave"/>
    <x v="2"/>
    <s v="WA"/>
    <s v="Product QDOMO"/>
    <x v="6"/>
    <x v="445"/>
    <d v="2008-03-24T00:00:00"/>
    <x v="1"/>
    <s v="Ship to 74-B"/>
    <x v="2"/>
    <s v="Supplier LVJUA"/>
    <s v="France"/>
    <x v="1"/>
    <n v="1317.5"/>
  </r>
  <r>
    <n v="10964"/>
    <n v="69"/>
    <n v="36"/>
    <n v="10"/>
    <n v="0"/>
    <s v="O’Brien, Dave"/>
    <s v="O’Brien Dave"/>
    <x v="2"/>
    <s v="WA"/>
    <s v="Product COAXA"/>
    <x v="0"/>
    <x v="445"/>
    <d v="2008-03-24T00:00:00"/>
    <x v="1"/>
    <s v="Ship to 74-B"/>
    <x v="2"/>
    <s v="Supplier NZLIF"/>
    <s v="Norway"/>
    <x v="1"/>
    <n v="360"/>
  </r>
  <r>
    <n v="10965"/>
    <n v="51"/>
    <n v="53"/>
    <n v="16"/>
    <n v="0"/>
    <s v="Egelund-Muller, Anja"/>
    <s v="Egelund-Muller Anja"/>
    <x v="7"/>
    <n v="0"/>
    <s v="Product APITJ"/>
    <x v="2"/>
    <x v="445"/>
    <d v="2008-03-30T00:00:00"/>
    <x v="3"/>
    <s v="Ship to 55-B"/>
    <x v="9"/>
    <s v="Supplier JNNES"/>
    <s v="Australia"/>
    <x v="2"/>
    <n v="848"/>
  </r>
  <r>
    <n v="10966"/>
    <n v="37"/>
    <n v="26"/>
    <n v="8"/>
    <n v="0"/>
    <s v="Jelitto, Jacek"/>
    <s v="Jelitto Jacek"/>
    <x v="1"/>
    <s v="WA"/>
    <s v="Product EVFFA"/>
    <x v="3"/>
    <x v="445"/>
    <d v="2008-04-08T00:00:00"/>
    <x v="2"/>
    <s v="Destination NRTZZ"/>
    <x v="4"/>
    <s v="Supplier QZGUF"/>
    <s v="Sweden"/>
    <x v="1"/>
    <n v="208"/>
  </r>
  <r>
    <n v="10966"/>
    <n v="56"/>
    <n v="38"/>
    <n v="12"/>
    <n v="0.15"/>
    <s v="Jelitto, Jacek"/>
    <s v="Jelitto Jacek"/>
    <x v="1"/>
    <s v="WA"/>
    <s v="Product VKCMF"/>
    <x v="1"/>
    <x v="445"/>
    <d v="2008-04-08T00:00:00"/>
    <x v="2"/>
    <s v="Destination NRTZZ"/>
    <x v="4"/>
    <s v="Supplier ZWZDM"/>
    <s v="Italy"/>
    <x v="1"/>
    <n v="387.59999999999997"/>
  </r>
  <r>
    <n v="10966"/>
    <n v="62"/>
    <n v="49.3"/>
    <n v="12"/>
    <n v="0.15"/>
    <s v="Jelitto, Jacek"/>
    <s v="Jelitto Jacek"/>
    <x v="1"/>
    <s v="WA"/>
    <s v="Product WUXYK"/>
    <x v="5"/>
    <x v="445"/>
    <d v="2008-04-08T00:00:00"/>
    <x v="2"/>
    <s v="Destination NRTZZ"/>
    <x v="4"/>
    <s v="Supplier OGLRK"/>
    <s v="Canada"/>
    <x v="1"/>
    <n v="502.8599999999999"/>
  </r>
  <r>
    <n v="10967"/>
    <n v="19"/>
    <n v="9.1999999999999993"/>
    <n v="12"/>
    <n v="0"/>
    <s v="Wickham, Jim"/>
    <s v="Wickham Jim"/>
    <x v="8"/>
    <s v="WA"/>
    <s v="Product XKXDO"/>
    <x v="5"/>
    <x v="446"/>
    <d v="2008-04-02T00:00:00"/>
    <x v="1"/>
    <s v="Ship to 79-B"/>
    <x v="8"/>
    <s v="Supplier BWGYE"/>
    <s v="UK"/>
    <x v="1"/>
    <n v="110.39999999999999"/>
  </r>
  <r>
    <n v="10967"/>
    <n v="49"/>
    <n v="20"/>
    <n v="40"/>
    <n v="0"/>
    <s v="Wickham, Jim"/>
    <s v="Wickham Jim"/>
    <x v="8"/>
    <s v="WA"/>
    <s v="Product FPYPN"/>
    <x v="5"/>
    <x v="446"/>
    <d v="2008-04-02T00:00:00"/>
    <x v="1"/>
    <s v="Ship to 79-B"/>
    <x v="8"/>
    <s v="Supplier ELCRN"/>
    <s v="Finland"/>
    <x v="1"/>
    <n v="800"/>
  </r>
  <r>
    <n v="10968"/>
    <n v="12"/>
    <n v="38"/>
    <n v="30"/>
    <n v="0"/>
    <s v="Kane, John"/>
    <s v="Kane John"/>
    <x v="5"/>
    <s v="WA"/>
    <s v="Product OSFNS"/>
    <x v="0"/>
    <x v="446"/>
    <d v="2008-04-01T00:00:00"/>
    <x v="3"/>
    <s v="Destination CUVPF"/>
    <x v="6"/>
    <s v="Supplier EQPNC"/>
    <s v="Spain"/>
    <x v="1"/>
    <n v="1140"/>
  </r>
  <r>
    <n v="10968"/>
    <n v="24"/>
    <n v="4.5"/>
    <n v="30"/>
    <n v="0"/>
    <s v="Kane, John"/>
    <s v="Kane John"/>
    <x v="5"/>
    <s v="WA"/>
    <s v="Product QOGNU"/>
    <x v="6"/>
    <x v="446"/>
    <d v="2008-04-01T00:00:00"/>
    <x v="3"/>
    <s v="Destination CUVPF"/>
    <x v="6"/>
    <s v="Supplier UNAHG"/>
    <s v="Brazil"/>
    <x v="1"/>
    <n v="135"/>
  </r>
  <r>
    <n v="10968"/>
    <n v="64"/>
    <n v="33.25"/>
    <n v="4"/>
    <n v="0"/>
    <s v="Kane, John"/>
    <s v="Kane John"/>
    <x v="5"/>
    <s v="WA"/>
    <s v="Product HCQDE"/>
    <x v="1"/>
    <x v="446"/>
    <d v="2008-04-01T00:00:00"/>
    <x v="3"/>
    <s v="Destination CUVPF"/>
    <x v="6"/>
    <s v="Supplier SVIYA"/>
    <s v="Germany"/>
    <x v="1"/>
    <n v="133"/>
  </r>
  <r>
    <n v="10969"/>
    <n v="46"/>
    <n v="12"/>
    <n v="9"/>
    <n v="0"/>
    <s v="Richardson, Shawn"/>
    <s v="Richardson Shawn"/>
    <x v="5"/>
    <s v="WA"/>
    <s v="Product CBRRL"/>
    <x v="3"/>
    <x v="446"/>
    <d v="2008-03-30T00:00:00"/>
    <x v="1"/>
    <s v="Destination EVHYA"/>
    <x v="1"/>
    <s v="Supplier XOXZA"/>
    <s v="Denmark"/>
    <x v="1"/>
    <n v="108"/>
  </r>
  <r>
    <n v="10970"/>
    <n v="52"/>
    <n v="7"/>
    <n v="40"/>
    <n v="0.2"/>
    <s v="Ilyina, Julia"/>
    <s v="Ilyina Julia"/>
    <x v="4"/>
    <n v="0"/>
    <s v="Product QSRXF"/>
    <x v="1"/>
    <x v="447"/>
    <d v="2008-04-24T00:00:00"/>
    <x v="2"/>
    <s v="Ship to 8-C"/>
    <x v="13"/>
    <s v="Supplier JNNES"/>
    <s v="Australia"/>
    <x v="1"/>
    <n v="224"/>
  </r>
  <r>
    <n v="10971"/>
    <n v="29"/>
    <n v="123.79"/>
    <n v="14"/>
    <n v="0"/>
    <s v="Koch, Paul"/>
    <s v="Koch Paul"/>
    <x v="8"/>
    <s v="WA"/>
    <s v="Product VJXYN"/>
    <x v="7"/>
    <x v="447"/>
    <d v="2008-04-02T00:00:00"/>
    <x v="1"/>
    <s v="Destination XBVKN"/>
    <x v="2"/>
    <s v="Supplier SVIYA"/>
    <s v="Germany"/>
    <x v="2"/>
    <n v="1733.0600000000002"/>
  </r>
  <r>
    <n v="10972"/>
    <n v="17"/>
    <n v="39"/>
    <n v="6"/>
    <n v="0"/>
    <s v="De Oliveira, Jose"/>
    <s v="De Oliveira Jose"/>
    <x v="1"/>
    <s v="WA"/>
    <s v="Product BLCAX"/>
    <x v="7"/>
    <x v="447"/>
    <d v="2008-03-26T00:00:00"/>
    <x v="1"/>
    <s v="Destination MVTWX"/>
    <x v="2"/>
    <s v="Supplier GQRCV"/>
    <s v="Australia"/>
    <x v="1"/>
    <n v="234"/>
  </r>
  <r>
    <n v="10972"/>
    <n v="33"/>
    <n v="2.5"/>
    <n v="7"/>
    <n v="0"/>
    <s v="De Oliveira, Jose"/>
    <s v="De Oliveira Jose"/>
    <x v="1"/>
    <s v="WA"/>
    <s v="Product ASTMN"/>
    <x v="0"/>
    <x v="447"/>
    <d v="2008-03-26T00:00:00"/>
    <x v="1"/>
    <s v="Destination MVTWX"/>
    <x v="2"/>
    <s v="Supplier NZLIF"/>
    <s v="Norway"/>
    <x v="1"/>
    <n v="17.5"/>
  </r>
  <r>
    <n v="10973"/>
    <n v="26"/>
    <n v="31.23"/>
    <n v="5"/>
    <n v="0"/>
    <s v="De Oliveira, Jose"/>
    <s v="De Oliveira Jose"/>
    <x v="7"/>
    <n v="0"/>
    <s v="Product HLGZA"/>
    <x v="5"/>
    <x v="447"/>
    <d v="2008-03-27T00:00:00"/>
    <x v="1"/>
    <s v="Destination WWJLO"/>
    <x v="2"/>
    <s v="Supplier ZPYVS"/>
    <s v="Germany"/>
    <x v="1"/>
    <n v="156.15"/>
  </r>
  <r>
    <n v="10973"/>
    <n v="41"/>
    <n v="9.65"/>
    <n v="6"/>
    <n v="0"/>
    <s v="De Oliveira, Jose"/>
    <s v="De Oliveira Jose"/>
    <x v="7"/>
    <n v="0"/>
    <s v="Product TTEEX"/>
    <x v="3"/>
    <x v="447"/>
    <d v="2008-03-27T00:00:00"/>
    <x v="1"/>
    <s v="Destination WWJLO"/>
    <x v="2"/>
    <s v="Supplier JDNUG"/>
    <s v="USA"/>
    <x v="1"/>
    <n v="57.900000000000006"/>
  </r>
  <r>
    <n v="10973"/>
    <n v="75"/>
    <n v="7.75"/>
    <n v="10"/>
    <n v="0"/>
    <s v="De Oliveira, Jose"/>
    <s v="De Oliveira Jose"/>
    <x v="7"/>
    <n v="0"/>
    <s v="Product BWRLG"/>
    <x v="6"/>
    <x v="447"/>
    <d v="2008-03-27T00:00:00"/>
    <x v="1"/>
    <s v="Destination WWJLO"/>
    <x v="2"/>
    <s v="Supplier SVIYA"/>
    <s v="Germany"/>
    <x v="1"/>
    <n v="77.5"/>
  </r>
  <r>
    <n v="10974"/>
    <n v="63"/>
    <n v="43.9"/>
    <n v="10"/>
    <n v="0"/>
    <s v="Wojciechowska, Agnieszka"/>
    <s v="Wojciechowska Agnieszka"/>
    <x v="2"/>
    <s v="WA"/>
    <s v="Product ICKNK"/>
    <x v="4"/>
    <x v="448"/>
    <d v="2008-04-03T00:00:00"/>
    <x v="3"/>
    <s v="Ship to 75-B"/>
    <x v="9"/>
    <s v="Supplier GQRCV"/>
    <s v="Australia"/>
    <x v="1"/>
    <n v="439"/>
  </r>
  <r>
    <n v="10975"/>
    <n v="8"/>
    <n v="40"/>
    <n v="16"/>
    <n v="0"/>
    <s v="Bassols, Pilar Colome"/>
    <s v="Bassols Pilar Colome"/>
    <x v="5"/>
    <s v="WA"/>
    <s v="Product WVJFP"/>
    <x v="4"/>
    <x v="448"/>
    <d v="2008-03-27T00:00:00"/>
    <x v="3"/>
    <s v="Destination OLSSJ"/>
    <x v="17"/>
    <s v="Supplier STUAZ"/>
    <s v="USA"/>
    <x v="1"/>
    <n v="640"/>
  </r>
  <r>
    <n v="10975"/>
    <n v="75"/>
    <n v="7.75"/>
    <n v="10"/>
    <n v="0"/>
    <s v="Bassols, Pilar Colome"/>
    <s v="Bassols Pilar Colome"/>
    <x v="5"/>
    <s v="WA"/>
    <s v="Product BWRLG"/>
    <x v="6"/>
    <x v="448"/>
    <d v="2008-03-27T00:00:00"/>
    <x v="3"/>
    <s v="Destination OLSSJ"/>
    <x v="17"/>
    <s v="Supplier SVIYA"/>
    <s v="Germany"/>
    <x v="1"/>
    <n v="77.5"/>
  </r>
  <r>
    <n v="10976"/>
    <n v="28"/>
    <n v="45.6"/>
    <n v="20"/>
    <n v="0"/>
    <s v="Langohr, Kris"/>
    <s v="Langohr Kris"/>
    <x v="5"/>
    <s v="WA"/>
    <s v="Product OFBNT"/>
    <x v="2"/>
    <x v="448"/>
    <d v="2008-04-03T00:00:00"/>
    <x v="2"/>
    <s v="Destination SXYQX"/>
    <x v="5"/>
    <s v="Supplier SVIYA"/>
    <s v="Germany"/>
    <x v="1"/>
    <n v="912"/>
  </r>
  <r>
    <n v="10977"/>
    <n v="39"/>
    <n v="18"/>
    <n v="30"/>
    <n v="0"/>
    <s v="San Juan, Patricia"/>
    <s v="San Juan Patricia"/>
    <x v="6"/>
    <s v="WA"/>
    <s v="Product LSOFL"/>
    <x v="6"/>
    <x v="449"/>
    <d v="2008-04-10T00:00:00"/>
    <x v="3"/>
    <s v="Destination NCKKO"/>
    <x v="10"/>
    <s v="Supplier LVJUA"/>
    <s v="France"/>
    <x v="2"/>
    <n v="540"/>
  </r>
  <r>
    <n v="10977"/>
    <n v="47"/>
    <n v="9.5"/>
    <n v="30"/>
    <n v="0"/>
    <s v="San Juan, Patricia"/>
    <s v="San Juan Patricia"/>
    <x v="6"/>
    <s v="WA"/>
    <s v="Product EZZPR"/>
    <x v="5"/>
    <x v="449"/>
    <d v="2008-04-10T00:00:00"/>
    <x v="3"/>
    <s v="Destination NCKKO"/>
    <x v="10"/>
    <s v="Supplier FNUXM"/>
    <s v="Netherlands"/>
    <x v="2"/>
    <n v="285"/>
  </r>
  <r>
    <n v="10977"/>
    <n v="51"/>
    <n v="53"/>
    <n v="10"/>
    <n v="0"/>
    <s v="San Juan, Patricia"/>
    <s v="San Juan Patricia"/>
    <x v="6"/>
    <s v="WA"/>
    <s v="Product APITJ"/>
    <x v="2"/>
    <x v="449"/>
    <d v="2008-04-10T00:00:00"/>
    <x v="3"/>
    <s v="Destination NCKKO"/>
    <x v="10"/>
    <s v="Supplier JNNES"/>
    <s v="Australia"/>
    <x v="2"/>
    <n v="530"/>
  </r>
  <r>
    <n v="10977"/>
    <n v="63"/>
    <n v="43.9"/>
    <n v="20"/>
    <n v="0"/>
    <s v="San Juan, Patricia"/>
    <s v="San Juan Patricia"/>
    <x v="6"/>
    <s v="WA"/>
    <s v="Product ICKNK"/>
    <x v="4"/>
    <x v="449"/>
    <d v="2008-04-10T00:00:00"/>
    <x v="3"/>
    <s v="Destination NCKKO"/>
    <x v="10"/>
    <s v="Supplier GQRCV"/>
    <s v="Australia"/>
    <x v="2"/>
    <n v="878"/>
  </r>
  <r>
    <n v="10978"/>
    <n v="8"/>
    <n v="40"/>
    <n v="20"/>
    <n v="0.15"/>
    <s v="Mace, Donald"/>
    <s v="Mace Donald"/>
    <x v="4"/>
    <n v="0"/>
    <s v="Product WVJFP"/>
    <x v="4"/>
    <x v="449"/>
    <d v="2008-04-23T00:00:00"/>
    <x v="1"/>
    <s v="Ship to 50-A"/>
    <x v="3"/>
    <s v="Supplier STUAZ"/>
    <s v="USA"/>
    <x v="1"/>
    <n v="680"/>
  </r>
  <r>
    <n v="10978"/>
    <n v="21"/>
    <n v="10"/>
    <n v="40"/>
    <n v="0.15"/>
    <s v="Mace, Donald"/>
    <s v="Mace Donald"/>
    <x v="4"/>
    <n v="0"/>
    <s v="Product VJZZH"/>
    <x v="5"/>
    <x v="449"/>
    <d v="2008-04-23T00:00:00"/>
    <x v="1"/>
    <s v="Ship to 50-A"/>
    <x v="3"/>
    <s v="Supplier BWGYE"/>
    <s v="UK"/>
    <x v="1"/>
    <n v="340"/>
  </r>
  <r>
    <n v="10978"/>
    <n v="40"/>
    <n v="18.399999999999999"/>
    <n v="10"/>
    <n v="0"/>
    <s v="Mace, Donald"/>
    <s v="Mace Donald"/>
    <x v="4"/>
    <n v="0"/>
    <s v="Product YZIXQ"/>
    <x v="3"/>
    <x v="449"/>
    <d v="2008-04-23T00:00:00"/>
    <x v="1"/>
    <s v="Ship to 50-A"/>
    <x v="3"/>
    <s v="Supplier JDNUG"/>
    <s v="USA"/>
    <x v="1"/>
    <n v="184"/>
  </r>
  <r>
    <n v="10978"/>
    <n v="44"/>
    <n v="19.45"/>
    <n v="6"/>
    <n v="0.15"/>
    <s v="Mace, Donald"/>
    <s v="Mace Donald"/>
    <x v="4"/>
    <n v="0"/>
    <s v="Product VJIEO"/>
    <x v="4"/>
    <x v="449"/>
    <d v="2008-04-23T00:00:00"/>
    <x v="1"/>
    <s v="Ship to 50-A"/>
    <x v="3"/>
    <s v="Supplier CIYNM"/>
    <s v="Singapore"/>
    <x v="1"/>
    <n v="99.194999999999993"/>
  </r>
  <r>
    <n v="10979"/>
    <n v="7"/>
    <n v="30"/>
    <n v="18"/>
    <n v="0"/>
    <s v="Kane, John"/>
    <s v="Kane John"/>
    <x v="6"/>
    <s v="WA"/>
    <s v="Product HMLNI"/>
    <x v="2"/>
    <x v="449"/>
    <d v="2008-03-31T00:00:00"/>
    <x v="1"/>
    <s v="Destination CUVPF"/>
    <x v="6"/>
    <s v="Supplier STUAZ"/>
    <s v="USA"/>
    <x v="2"/>
    <n v="540"/>
  </r>
  <r>
    <n v="10979"/>
    <n v="12"/>
    <n v="38"/>
    <n v="20"/>
    <n v="0"/>
    <s v="Kane, John"/>
    <s v="Kane John"/>
    <x v="6"/>
    <s v="WA"/>
    <s v="Product OSFNS"/>
    <x v="0"/>
    <x v="449"/>
    <d v="2008-03-31T00:00:00"/>
    <x v="1"/>
    <s v="Destination CUVPF"/>
    <x v="6"/>
    <s v="Supplier EQPNC"/>
    <s v="Spain"/>
    <x v="2"/>
    <n v="760"/>
  </r>
  <r>
    <n v="10979"/>
    <n v="24"/>
    <n v="4.5"/>
    <n v="80"/>
    <n v="0"/>
    <s v="Kane, John"/>
    <s v="Kane John"/>
    <x v="6"/>
    <s v="WA"/>
    <s v="Product QOGNU"/>
    <x v="6"/>
    <x v="449"/>
    <d v="2008-03-31T00:00:00"/>
    <x v="1"/>
    <s v="Destination CUVPF"/>
    <x v="6"/>
    <s v="Supplier UNAHG"/>
    <s v="Brazil"/>
    <x v="2"/>
    <n v="360"/>
  </r>
  <r>
    <n v="10979"/>
    <n v="27"/>
    <n v="43.9"/>
    <n v="30"/>
    <n v="0"/>
    <s v="Kane, John"/>
    <s v="Kane John"/>
    <x v="6"/>
    <s v="WA"/>
    <s v="Product SMIOH"/>
    <x v="5"/>
    <x v="449"/>
    <d v="2008-03-31T00:00:00"/>
    <x v="1"/>
    <s v="Destination CUVPF"/>
    <x v="6"/>
    <s v="Supplier ZPYVS"/>
    <s v="Germany"/>
    <x v="2"/>
    <n v="1317"/>
  </r>
  <r>
    <n v="10979"/>
    <n v="31"/>
    <n v="12.5"/>
    <n v="24"/>
    <n v="0"/>
    <s v="Kane, John"/>
    <s v="Kane John"/>
    <x v="6"/>
    <s v="WA"/>
    <s v="Product XWOXC"/>
    <x v="0"/>
    <x v="449"/>
    <d v="2008-03-31T00:00:00"/>
    <x v="1"/>
    <s v="Destination CUVPF"/>
    <x v="6"/>
    <s v="Supplier KEREV"/>
    <s v="Italy"/>
    <x v="2"/>
    <n v="300"/>
  </r>
  <r>
    <n v="10979"/>
    <n v="63"/>
    <n v="43.9"/>
    <n v="35"/>
    <n v="0"/>
    <s v="Kane, John"/>
    <s v="Kane John"/>
    <x v="6"/>
    <s v="WA"/>
    <s v="Product ICKNK"/>
    <x v="4"/>
    <x v="449"/>
    <d v="2008-03-31T00:00:00"/>
    <x v="1"/>
    <s v="Destination CUVPF"/>
    <x v="6"/>
    <s v="Supplier GQRCV"/>
    <s v="Australia"/>
    <x v="2"/>
    <n v="1536.5"/>
  </r>
  <r>
    <n v="10980"/>
    <n v="75"/>
    <n v="7.75"/>
    <n v="40"/>
    <n v="0.2"/>
    <s v="San Juan, Patricia"/>
    <s v="San Juan Patricia"/>
    <x v="1"/>
    <s v="WA"/>
    <s v="Product BWRLG"/>
    <x v="6"/>
    <x v="450"/>
    <d v="2008-04-17T00:00:00"/>
    <x v="2"/>
    <s v="Destination YCMPK"/>
    <x v="10"/>
    <s v="Supplier SVIYA"/>
    <s v="Germany"/>
    <x v="1"/>
    <n v="248"/>
  </r>
  <r>
    <n v="10981"/>
    <n v="38"/>
    <n v="263.5"/>
    <n v="60"/>
    <n v="0"/>
    <s v="Cohen, Shy"/>
    <s v="Cohen Shy"/>
    <x v="5"/>
    <s v="WA"/>
    <s v="Product QDOMO"/>
    <x v="6"/>
    <x v="450"/>
    <d v="2008-04-02T00:00:00"/>
    <x v="1"/>
    <s v="Destination JPAIY"/>
    <x v="1"/>
    <s v="Supplier LVJUA"/>
    <s v="France"/>
    <x v="2"/>
    <n v="15810"/>
  </r>
  <r>
    <n v="10982"/>
    <n v="7"/>
    <n v="30"/>
    <n v="20"/>
    <n v="0"/>
    <s v="Bassols, Pilar Colome"/>
    <s v="Bassols Pilar Colome"/>
    <x v="8"/>
    <s v="WA"/>
    <s v="Product HMLNI"/>
    <x v="2"/>
    <x v="450"/>
    <d v="2008-04-08T00:00:00"/>
    <x v="2"/>
    <s v="Destination XJIBQ"/>
    <x v="17"/>
    <s v="Supplier STUAZ"/>
    <s v="USA"/>
    <x v="1"/>
    <n v="600"/>
  </r>
  <r>
    <n v="10982"/>
    <n v="43"/>
    <n v="46"/>
    <n v="9"/>
    <n v="0"/>
    <s v="Bassols, Pilar Colome"/>
    <s v="Bassols Pilar Colome"/>
    <x v="8"/>
    <s v="WA"/>
    <s v="Product ZZZHR"/>
    <x v="6"/>
    <x v="450"/>
    <d v="2008-04-08T00:00:00"/>
    <x v="2"/>
    <s v="Destination XJIBQ"/>
    <x v="17"/>
    <s v="Supplier CIYNM"/>
    <s v="Singapore"/>
    <x v="1"/>
    <n v="414"/>
  </r>
  <r>
    <n v="10983"/>
    <n v="13"/>
    <n v="6"/>
    <n v="84"/>
    <n v="0.15"/>
    <s v="Navarro, Tomás"/>
    <s v="Navarro Tomás"/>
    <x v="8"/>
    <s v="WA"/>
    <s v="Product POXFU"/>
    <x v="3"/>
    <x v="450"/>
    <d v="2008-04-06T00:00:00"/>
    <x v="1"/>
    <s v="Ship to 71-B"/>
    <x v="9"/>
    <s v="Supplier QWUSF"/>
    <s v="Japan"/>
    <x v="2"/>
    <n v="428.4"/>
  </r>
  <r>
    <n v="10983"/>
    <n v="57"/>
    <n v="19.5"/>
    <n v="15"/>
    <n v="0"/>
    <s v="Navarro, Tomás"/>
    <s v="Navarro Tomás"/>
    <x v="8"/>
    <s v="WA"/>
    <s v="Product OVLQI"/>
    <x v="1"/>
    <x v="450"/>
    <d v="2008-04-06T00:00:00"/>
    <x v="1"/>
    <s v="Ship to 71-B"/>
    <x v="9"/>
    <s v="Supplier ZWZDM"/>
    <s v="Italy"/>
    <x v="2"/>
    <n v="292.5"/>
  </r>
  <r>
    <n v="10984"/>
    <n v="16"/>
    <n v="17.45"/>
    <n v="55"/>
    <n v="0"/>
    <s v="Navarro, Tomás"/>
    <s v="Navarro Tomás"/>
    <x v="5"/>
    <s v="WA"/>
    <s v="Product PAFRH"/>
    <x v="5"/>
    <x v="451"/>
    <d v="2008-04-03T00:00:00"/>
    <x v="3"/>
    <s v="Ship to 71-B"/>
    <x v="9"/>
    <s v="Supplier GQRCV"/>
    <s v="Australia"/>
    <x v="2"/>
    <n v="959.75"/>
  </r>
  <r>
    <n v="10984"/>
    <n v="24"/>
    <n v="4.5"/>
    <n v="20"/>
    <n v="0"/>
    <s v="Navarro, Tomás"/>
    <s v="Navarro Tomás"/>
    <x v="5"/>
    <s v="WA"/>
    <s v="Product QOGNU"/>
    <x v="6"/>
    <x v="451"/>
    <d v="2008-04-03T00:00:00"/>
    <x v="3"/>
    <s v="Ship to 71-B"/>
    <x v="9"/>
    <s v="Supplier UNAHG"/>
    <s v="Brazil"/>
    <x v="2"/>
    <n v="90"/>
  </r>
  <r>
    <n v="10984"/>
    <n v="36"/>
    <n v="19"/>
    <n v="40"/>
    <n v="0"/>
    <s v="Navarro, Tomás"/>
    <s v="Navarro Tomás"/>
    <x v="5"/>
    <s v="WA"/>
    <s v="Product GMKIJ"/>
    <x v="3"/>
    <x v="451"/>
    <d v="2008-04-03T00:00:00"/>
    <x v="3"/>
    <s v="Ship to 71-B"/>
    <x v="9"/>
    <s v="Supplier QZGUF"/>
    <s v="Sweden"/>
    <x v="2"/>
    <n v="760"/>
  </r>
  <r>
    <n v="10985"/>
    <n v="16"/>
    <n v="17.45"/>
    <n v="36"/>
    <n v="0.1"/>
    <s v="Crăciun, Ovidiu V."/>
    <s v="Crăciun Ovidiu V."/>
    <x v="8"/>
    <s v="WA"/>
    <s v="Product PAFRH"/>
    <x v="5"/>
    <x v="451"/>
    <d v="2008-04-02T00:00:00"/>
    <x v="2"/>
    <s v="Destination ATSOA"/>
    <x v="15"/>
    <s v="Supplier GQRCV"/>
    <s v="Australia"/>
    <x v="1"/>
    <n v="565.38"/>
  </r>
  <r>
    <n v="10985"/>
    <n v="18"/>
    <n v="62.5"/>
    <n v="8"/>
    <n v="0.1"/>
    <s v="Crăciun, Ovidiu V."/>
    <s v="Crăciun Ovidiu V."/>
    <x v="8"/>
    <s v="WA"/>
    <s v="Product CKEDC"/>
    <x v="3"/>
    <x v="451"/>
    <d v="2008-04-02T00:00:00"/>
    <x v="2"/>
    <s v="Destination ATSOA"/>
    <x v="15"/>
    <s v="Supplier GQRCV"/>
    <s v="Australia"/>
    <x v="1"/>
    <n v="450"/>
  </r>
  <r>
    <n v="10985"/>
    <n v="32"/>
    <n v="32"/>
    <n v="35"/>
    <n v="0.1"/>
    <s v="Crăciun, Ovidiu V."/>
    <s v="Crăciun Ovidiu V."/>
    <x v="8"/>
    <s v="WA"/>
    <s v="Product NUNAW"/>
    <x v="0"/>
    <x v="451"/>
    <d v="2008-04-02T00:00:00"/>
    <x v="2"/>
    <s v="Destination ATSOA"/>
    <x v="15"/>
    <s v="Supplier KEREV"/>
    <s v="Italy"/>
    <x v="1"/>
    <n v="1008"/>
  </r>
  <r>
    <n v="10986"/>
    <n v="11"/>
    <n v="21"/>
    <n v="30"/>
    <n v="0"/>
    <s v="Tiano, Mike"/>
    <s v="Tiano Mike"/>
    <x v="6"/>
    <s v="WA"/>
    <s v="Product QMVUN"/>
    <x v="0"/>
    <x v="451"/>
    <d v="2008-04-21T00:00:00"/>
    <x v="1"/>
    <s v="Ship to 54-A"/>
    <x v="21"/>
    <s v="Supplier EQPNC"/>
    <s v="Spain"/>
    <x v="2"/>
    <n v="630"/>
  </r>
  <r>
    <n v="10986"/>
    <n v="20"/>
    <n v="81"/>
    <n v="15"/>
    <n v="0"/>
    <s v="Tiano, Mike"/>
    <s v="Tiano Mike"/>
    <x v="6"/>
    <s v="WA"/>
    <s v="Product QHFFP"/>
    <x v="5"/>
    <x v="451"/>
    <d v="2008-04-21T00:00:00"/>
    <x v="1"/>
    <s v="Ship to 54-A"/>
    <x v="21"/>
    <s v="Supplier BWGYE"/>
    <s v="UK"/>
    <x v="2"/>
    <n v="1215"/>
  </r>
  <r>
    <n v="10986"/>
    <n v="76"/>
    <n v="18"/>
    <n v="10"/>
    <n v="0"/>
    <s v="Tiano, Mike"/>
    <s v="Tiano Mike"/>
    <x v="6"/>
    <s v="WA"/>
    <s v="Product JYGFE"/>
    <x v="6"/>
    <x v="451"/>
    <d v="2008-04-21T00:00:00"/>
    <x v="1"/>
    <s v="Ship to 54-A"/>
    <x v="21"/>
    <s v="Supplier ELCRN"/>
    <s v="Finland"/>
    <x v="2"/>
    <n v="180"/>
  </r>
  <r>
    <n v="10986"/>
    <n v="77"/>
    <n v="13"/>
    <n v="15"/>
    <n v="0"/>
    <s v="Tiano, Mike"/>
    <s v="Tiano Mike"/>
    <x v="6"/>
    <s v="WA"/>
    <s v="Product LUNZZ"/>
    <x v="4"/>
    <x v="451"/>
    <d v="2008-04-21T00:00:00"/>
    <x v="1"/>
    <s v="Ship to 54-A"/>
    <x v="21"/>
    <s v="Supplier SVIYA"/>
    <s v="Germany"/>
    <x v="2"/>
    <n v="195"/>
  </r>
  <r>
    <n v="10987"/>
    <n v="7"/>
    <n v="30"/>
    <n v="60"/>
    <n v="0"/>
    <s v="Boseman, Randall"/>
    <s v="Boseman Randall"/>
    <x v="6"/>
    <s v="WA"/>
    <s v="Product HMLNI"/>
    <x v="2"/>
    <x v="452"/>
    <d v="2008-04-06T00:00:00"/>
    <x v="2"/>
    <s v="Destination FRCGJ"/>
    <x v="14"/>
    <s v="Supplier STUAZ"/>
    <s v="USA"/>
    <x v="2"/>
    <n v="1800"/>
  </r>
  <r>
    <n v="10987"/>
    <n v="43"/>
    <n v="46"/>
    <n v="6"/>
    <n v="0"/>
    <s v="Boseman, Randall"/>
    <s v="Boseman Randall"/>
    <x v="6"/>
    <s v="WA"/>
    <s v="Product ZZZHR"/>
    <x v="6"/>
    <x v="452"/>
    <d v="2008-04-06T00:00:00"/>
    <x v="2"/>
    <s v="Destination FRCGJ"/>
    <x v="14"/>
    <s v="Supplier CIYNM"/>
    <s v="Singapore"/>
    <x v="2"/>
    <n v="276"/>
  </r>
  <r>
    <n v="10987"/>
    <n v="72"/>
    <n v="34.799999999999997"/>
    <n v="20"/>
    <n v="0"/>
    <s v="Boseman, Randall"/>
    <s v="Boseman Randall"/>
    <x v="6"/>
    <s v="WA"/>
    <s v="Product GEEOO"/>
    <x v="0"/>
    <x v="452"/>
    <d v="2008-04-06T00:00:00"/>
    <x v="2"/>
    <s v="Destination FRCGJ"/>
    <x v="14"/>
    <s v="Supplier KEREV"/>
    <s v="Italy"/>
    <x v="2"/>
    <n v="696"/>
  </r>
  <r>
    <n v="10988"/>
    <n v="7"/>
    <n v="30"/>
    <n v="60"/>
    <n v="0"/>
    <s v="Moore, Michael"/>
    <s v="Moore Michael"/>
    <x v="2"/>
    <s v="WA"/>
    <s v="Product HMLNI"/>
    <x v="2"/>
    <x v="452"/>
    <d v="2008-04-10T00:00:00"/>
    <x v="1"/>
    <s v="Ship to 65-A"/>
    <x v="9"/>
    <s v="Supplier STUAZ"/>
    <s v="USA"/>
    <x v="1"/>
    <n v="1800"/>
  </r>
  <r>
    <n v="10988"/>
    <n v="62"/>
    <n v="49.3"/>
    <n v="40"/>
    <n v="0.1"/>
    <s v="Moore, Michael"/>
    <s v="Moore Michael"/>
    <x v="2"/>
    <s v="WA"/>
    <s v="Product WUXYK"/>
    <x v="5"/>
    <x v="452"/>
    <d v="2008-04-10T00:00:00"/>
    <x v="1"/>
    <s v="Ship to 65-A"/>
    <x v="9"/>
    <s v="Supplier OGLRK"/>
    <s v="Canada"/>
    <x v="1"/>
    <n v="1774.8"/>
  </r>
  <r>
    <n v="10989"/>
    <n v="6"/>
    <n v="25"/>
    <n v="40"/>
    <n v="0"/>
    <s v="Florczyk, Krzysztof"/>
    <s v="Florczyk Krzysztof"/>
    <x v="8"/>
    <s v="WA"/>
    <s v="Product VAIIV"/>
    <x v="4"/>
    <x v="452"/>
    <d v="2008-04-02T00:00:00"/>
    <x v="2"/>
    <s v="Ship to 61-A"/>
    <x v="1"/>
    <s v="Supplier STUAZ"/>
    <s v="USA"/>
    <x v="1"/>
    <n v="1000"/>
  </r>
  <r>
    <n v="10989"/>
    <n v="11"/>
    <n v="21"/>
    <n v="15"/>
    <n v="0"/>
    <s v="Florczyk, Krzysztof"/>
    <s v="Florczyk Krzysztof"/>
    <x v="8"/>
    <s v="WA"/>
    <s v="Product QMVUN"/>
    <x v="0"/>
    <x v="452"/>
    <d v="2008-04-02T00:00:00"/>
    <x v="2"/>
    <s v="Ship to 61-A"/>
    <x v="1"/>
    <s v="Supplier EQPNC"/>
    <s v="Spain"/>
    <x v="1"/>
    <n v="315"/>
  </r>
  <r>
    <n v="10989"/>
    <n v="41"/>
    <n v="9.65"/>
    <n v="4"/>
    <n v="0"/>
    <s v="Florczyk, Krzysztof"/>
    <s v="Florczyk Krzysztof"/>
    <x v="8"/>
    <s v="WA"/>
    <s v="Product TTEEX"/>
    <x v="3"/>
    <x v="452"/>
    <d v="2008-04-02T00:00:00"/>
    <x v="2"/>
    <s v="Ship to 61-A"/>
    <x v="1"/>
    <s v="Supplier JDNUG"/>
    <s v="USA"/>
    <x v="1"/>
    <n v="38.6"/>
  </r>
  <r>
    <n v="10990"/>
    <n v="21"/>
    <n v="10"/>
    <n v="65"/>
    <n v="0"/>
    <s v="Kane, John"/>
    <s v="Kane John"/>
    <x v="8"/>
    <s v="WA"/>
    <s v="Product VJZZH"/>
    <x v="5"/>
    <x v="453"/>
    <d v="2008-04-07T00:00:00"/>
    <x v="3"/>
    <s v="Destination RVDMF"/>
    <x v="6"/>
    <s v="Supplier BWGYE"/>
    <s v="UK"/>
    <x v="2"/>
    <n v="650"/>
  </r>
  <r>
    <n v="10990"/>
    <n v="34"/>
    <n v="14"/>
    <n v="60"/>
    <n v="0.15"/>
    <s v="Kane, John"/>
    <s v="Kane John"/>
    <x v="8"/>
    <s v="WA"/>
    <s v="Product SWNJY"/>
    <x v="6"/>
    <x v="453"/>
    <d v="2008-04-07T00:00:00"/>
    <x v="3"/>
    <s v="Destination RVDMF"/>
    <x v="6"/>
    <s v="Supplier UHZRG"/>
    <s v="USA"/>
    <x v="2"/>
    <n v="714"/>
  </r>
  <r>
    <n v="10990"/>
    <n v="55"/>
    <n v="24"/>
    <n v="65"/>
    <n v="0.15"/>
    <s v="Kane, John"/>
    <s v="Kane John"/>
    <x v="8"/>
    <s v="WA"/>
    <s v="Product YYWRT"/>
    <x v="7"/>
    <x v="453"/>
    <d v="2008-04-07T00:00:00"/>
    <x v="3"/>
    <s v="Destination RVDMF"/>
    <x v="6"/>
    <s v="Supplier ERVYZ"/>
    <s v="Canada"/>
    <x v="2"/>
    <n v="1326"/>
  </r>
  <r>
    <n v="10990"/>
    <n v="61"/>
    <n v="28.5"/>
    <n v="66"/>
    <n v="0.15"/>
    <s v="Kane, John"/>
    <s v="Kane John"/>
    <x v="8"/>
    <s v="WA"/>
    <s v="Product XYZPE"/>
    <x v="4"/>
    <x v="453"/>
    <d v="2008-04-07T00:00:00"/>
    <x v="3"/>
    <s v="Destination RVDMF"/>
    <x v="6"/>
    <s v="Supplier OGLRK"/>
    <s v="Canada"/>
    <x v="2"/>
    <n v="1598.85"/>
  </r>
  <r>
    <n v="10991"/>
    <n v="2"/>
    <n v="19"/>
    <n v="50"/>
    <n v="0.2"/>
    <s v="Veronesi, Giorgio"/>
    <s v="Veronesi Giorgio"/>
    <x v="5"/>
    <s v="WA"/>
    <s v="Product RECZE"/>
    <x v="6"/>
    <x v="453"/>
    <d v="2008-04-07T00:00:00"/>
    <x v="2"/>
    <s v="Ship to 63-A"/>
    <x v="8"/>
    <s v="Supplier SWRXU"/>
    <s v="UK"/>
    <x v="1"/>
    <n v="760"/>
  </r>
  <r>
    <n v="10991"/>
    <n v="70"/>
    <n v="15"/>
    <n v="20"/>
    <n v="0.2"/>
    <s v="Veronesi, Giorgio"/>
    <s v="Veronesi Giorgio"/>
    <x v="5"/>
    <s v="WA"/>
    <s v="Product TOONT"/>
    <x v="6"/>
    <x v="453"/>
    <d v="2008-04-07T00:00:00"/>
    <x v="2"/>
    <s v="Ship to 63-A"/>
    <x v="8"/>
    <s v="Supplier GQRCV"/>
    <s v="Australia"/>
    <x v="1"/>
    <n v="240"/>
  </r>
  <r>
    <n v="10991"/>
    <n v="76"/>
    <n v="18"/>
    <n v="90"/>
    <n v="0.2"/>
    <s v="Veronesi, Giorgio"/>
    <s v="Veronesi Giorgio"/>
    <x v="5"/>
    <s v="WA"/>
    <s v="Product JYGFE"/>
    <x v="6"/>
    <x v="453"/>
    <d v="2008-04-07T00:00:00"/>
    <x v="2"/>
    <s v="Ship to 63-A"/>
    <x v="8"/>
    <s v="Supplier ELCRN"/>
    <s v="Finland"/>
    <x v="1"/>
    <n v="1296"/>
  </r>
  <r>
    <n v="10992"/>
    <n v="72"/>
    <n v="34.799999999999997"/>
    <n v="2"/>
    <n v="0"/>
    <s v="Osorio, Cristian"/>
    <s v="Osorio Cristian"/>
    <x v="5"/>
    <s v="WA"/>
    <s v="Product GEEOO"/>
    <x v="0"/>
    <x v="453"/>
    <d v="2008-04-03T00:00:00"/>
    <x v="3"/>
    <s v="Ship to 77-C"/>
    <x v="9"/>
    <s v="Supplier KEREV"/>
    <s v="Italy"/>
    <x v="1"/>
    <n v="69.599999999999994"/>
  </r>
  <r>
    <n v="10993"/>
    <n v="29"/>
    <n v="123.79"/>
    <n v="50"/>
    <n v="0.25"/>
    <s v="San Juan, Patricia"/>
    <s v="San Juan Patricia"/>
    <x v="9"/>
    <n v="0"/>
    <s v="Product VJXYN"/>
    <x v="7"/>
    <x v="453"/>
    <d v="2008-04-10T00:00:00"/>
    <x v="3"/>
    <s v="Destination NCKKO"/>
    <x v="10"/>
    <s v="Supplier SVIYA"/>
    <s v="Germany"/>
    <x v="1"/>
    <n v="4642.125"/>
  </r>
  <r>
    <n v="10993"/>
    <n v="41"/>
    <n v="9.65"/>
    <n v="35"/>
    <n v="0.25"/>
    <s v="San Juan, Patricia"/>
    <s v="San Juan Patricia"/>
    <x v="9"/>
    <n v="0"/>
    <s v="Product TTEEX"/>
    <x v="3"/>
    <x v="453"/>
    <d v="2008-04-10T00:00:00"/>
    <x v="3"/>
    <s v="Destination NCKKO"/>
    <x v="10"/>
    <s v="Supplier JDNUG"/>
    <s v="USA"/>
    <x v="1"/>
    <n v="253.3125"/>
  </r>
  <r>
    <n v="10994"/>
    <n v="59"/>
    <n v="55"/>
    <n v="18"/>
    <n v="0.05"/>
    <s v="Fonteneau, Karl"/>
    <s v="Fonteneau Karl"/>
    <x v="8"/>
    <s v="WA"/>
    <s v="Product UKXRI"/>
    <x v="0"/>
    <x v="454"/>
    <d v="2008-04-09T00:00:00"/>
    <x v="3"/>
    <s v="Ship to 83-C"/>
    <x v="18"/>
    <s v="Supplier OAVQT"/>
    <s v="France"/>
    <x v="1"/>
    <n v="940.5"/>
  </r>
  <r>
    <n v="10995"/>
    <n v="51"/>
    <n v="53"/>
    <n v="20"/>
    <n v="0"/>
    <s v="Fakhouri, Fadi"/>
    <s v="Fakhouri Fadi"/>
    <x v="5"/>
    <s v="WA"/>
    <s v="Product APITJ"/>
    <x v="2"/>
    <x v="454"/>
    <d v="2008-04-06T00:00:00"/>
    <x v="3"/>
    <s v="Ship to 58-B"/>
    <x v="7"/>
    <s v="Supplier JNNES"/>
    <s v="Australia"/>
    <x v="1"/>
    <n v="1060"/>
  </r>
  <r>
    <n v="10995"/>
    <n v="60"/>
    <n v="34"/>
    <n v="4"/>
    <n v="0"/>
    <s v="Fakhouri, Fadi"/>
    <s v="Fakhouri Fadi"/>
    <x v="5"/>
    <s v="WA"/>
    <s v="Product WHBYK"/>
    <x v="0"/>
    <x v="454"/>
    <d v="2008-04-06T00:00:00"/>
    <x v="3"/>
    <s v="Ship to 58-B"/>
    <x v="7"/>
    <s v="Supplier OAVQT"/>
    <s v="France"/>
    <x v="1"/>
    <n v="136"/>
  </r>
  <r>
    <n v="10996"/>
    <n v="42"/>
    <n v="14"/>
    <n v="40"/>
    <n v="0"/>
    <s v="Veronesi, Giorgio"/>
    <s v="Veronesi Giorgio"/>
    <x v="1"/>
    <s v="WA"/>
    <s v="Product RJVNM"/>
    <x v="1"/>
    <x v="454"/>
    <d v="2008-04-10T00:00:00"/>
    <x v="1"/>
    <s v="Ship to 63-C"/>
    <x v="8"/>
    <s v="Supplier CIYNM"/>
    <s v="Singapore"/>
    <x v="1"/>
    <n v="560"/>
  </r>
  <r>
    <n v="10997"/>
    <n v="32"/>
    <n v="32"/>
    <n v="50"/>
    <n v="0"/>
    <s v="Dressler, Marlies"/>
    <s v="Dressler Marlies"/>
    <x v="6"/>
    <s v="WA"/>
    <s v="Product NUNAW"/>
    <x v="0"/>
    <x v="455"/>
    <d v="2008-04-13T00:00:00"/>
    <x v="1"/>
    <s v="Ship to 46-A"/>
    <x v="5"/>
    <s v="Supplier KEREV"/>
    <s v="Italy"/>
    <x v="1"/>
    <n v="1600"/>
  </r>
  <r>
    <n v="10997"/>
    <n v="46"/>
    <n v="12"/>
    <n v="20"/>
    <n v="0.25"/>
    <s v="Dressler, Marlies"/>
    <s v="Dressler Marlies"/>
    <x v="6"/>
    <s v="WA"/>
    <s v="Product CBRRL"/>
    <x v="3"/>
    <x v="455"/>
    <d v="2008-04-13T00:00:00"/>
    <x v="1"/>
    <s v="Ship to 46-A"/>
    <x v="5"/>
    <s v="Supplier XOXZA"/>
    <s v="Denmark"/>
    <x v="1"/>
    <n v="180"/>
  </r>
  <r>
    <n v="10997"/>
    <n v="52"/>
    <n v="7"/>
    <n v="20"/>
    <n v="0.25"/>
    <s v="Dressler, Marlies"/>
    <s v="Dressler Marlies"/>
    <x v="6"/>
    <s v="WA"/>
    <s v="Product QSRXF"/>
    <x v="1"/>
    <x v="455"/>
    <d v="2008-04-13T00:00:00"/>
    <x v="1"/>
    <s v="Ship to 46-A"/>
    <x v="5"/>
    <s v="Supplier JNNES"/>
    <s v="Australia"/>
    <x v="1"/>
    <n v="105"/>
  </r>
  <r>
    <n v="10998"/>
    <n v="24"/>
    <n v="4.5"/>
    <n v="12"/>
    <n v="0"/>
    <s v="Conn, Steve"/>
    <s v="Conn Steve"/>
    <x v="6"/>
    <s v="WA"/>
    <s v="Product QOGNU"/>
    <x v="6"/>
    <x v="455"/>
    <d v="2008-04-17T00:00:00"/>
    <x v="1"/>
    <s v="Ship to 91-A"/>
    <x v="19"/>
    <s v="Supplier UNAHG"/>
    <s v="Brazil"/>
    <x v="1"/>
    <n v="54"/>
  </r>
  <r>
    <n v="10998"/>
    <n v="61"/>
    <n v="28.5"/>
    <n v="7"/>
    <n v="0"/>
    <s v="Conn, Steve"/>
    <s v="Conn Steve"/>
    <x v="6"/>
    <s v="WA"/>
    <s v="Product XYZPE"/>
    <x v="4"/>
    <x v="455"/>
    <d v="2008-04-17T00:00:00"/>
    <x v="1"/>
    <s v="Ship to 91-A"/>
    <x v="19"/>
    <s v="Supplier OGLRK"/>
    <s v="Canada"/>
    <x v="1"/>
    <n v="199.5"/>
  </r>
  <r>
    <n v="10998"/>
    <n v="74"/>
    <n v="10"/>
    <n v="20"/>
    <n v="0"/>
    <s v="Conn, Steve"/>
    <s v="Conn Steve"/>
    <x v="6"/>
    <s v="WA"/>
    <s v="Product BKAZJ"/>
    <x v="2"/>
    <x v="455"/>
    <d v="2008-04-17T00:00:00"/>
    <x v="1"/>
    <s v="Ship to 91-A"/>
    <x v="19"/>
    <s v="Supplier QOVFD"/>
    <s v="Japan"/>
    <x v="1"/>
    <n v="200"/>
  </r>
  <r>
    <n v="10998"/>
    <n v="75"/>
    <n v="7.75"/>
    <n v="30"/>
    <n v="0"/>
    <s v="Conn, Steve"/>
    <s v="Conn Steve"/>
    <x v="6"/>
    <s v="WA"/>
    <s v="Product BWRLG"/>
    <x v="6"/>
    <x v="455"/>
    <d v="2008-04-17T00:00:00"/>
    <x v="1"/>
    <s v="Ship to 91-A"/>
    <x v="19"/>
    <s v="Supplier SVIYA"/>
    <s v="Germany"/>
    <x v="1"/>
    <n v="232.5"/>
  </r>
  <r>
    <n v="10999"/>
    <n v="41"/>
    <n v="9.65"/>
    <n v="20"/>
    <n v="0.05"/>
    <s v="Marinova, Nadejda"/>
    <s v="Marinova Nadejda"/>
    <x v="7"/>
    <n v="0"/>
    <s v="Product TTEEX"/>
    <x v="3"/>
    <x v="455"/>
    <d v="2008-04-10T00:00:00"/>
    <x v="1"/>
    <s v="Ship to 56-B"/>
    <x v="8"/>
    <s v="Supplier JDNUG"/>
    <s v="USA"/>
    <x v="1"/>
    <n v="183.35"/>
  </r>
  <r>
    <n v="10999"/>
    <n v="51"/>
    <n v="53"/>
    <n v="15"/>
    <n v="0.05"/>
    <s v="Marinova, Nadejda"/>
    <s v="Marinova Nadejda"/>
    <x v="7"/>
    <n v="0"/>
    <s v="Product APITJ"/>
    <x v="2"/>
    <x v="455"/>
    <d v="2008-04-10T00:00:00"/>
    <x v="1"/>
    <s v="Ship to 56-B"/>
    <x v="8"/>
    <s v="Supplier JNNES"/>
    <s v="Australia"/>
    <x v="1"/>
    <n v="755.25"/>
  </r>
  <r>
    <n v="10999"/>
    <n v="77"/>
    <n v="13"/>
    <n v="21"/>
    <n v="0.05"/>
    <s v="Marinova, Nadejda"/>
    <s v="Marinova Nadejda"/>
    <x v="7"/>
    <n v="0"/>
    <s v="Product LUNZZ"/>
    <x v="4"/>
    <x v="455"/>
    <d v="2008-04-10T00:00:00"/>
    <x v="1"/>
    <s v="Ship to 56-B"/>
    <x v="8"/>
    <s v="Supplier SVIYA"/>
    <s v="Germany"/>
    <x v="1"/>
    <n v="259.34999999999997"/>
  </r>
  <r>
    <n v="11000"/>
    <n v="4"/>
    <n v="22"/>
    <n v="25"/>
    <n v="0.25"/>
    <s v="Moore, Michael"/>
    <s v="Moore Michael"/>
    <x v="8"/>
    <s v="WA"/>
    <s v="Product KSBRM"/>
    <x v="4"/>
    <x v="456"/>
    <d v="2008-04-14T00:00:00"/>
    <x v="3"/>
    <s v="Ship to 65-A"/>
    <x v="9"/>
    <s v="Supplier VHQZD"/>
    <s v="USA"/>
    <x v="1"/>
    <n v="412.5"/>
  </r>
  <r>
    <n v="11000"/>
    <n v="24"/>
    <n v="4.5"/>
    <n v="30"/>
    <n v="0.25"/>
    <s v="Moore, Michael"/>
    <s v="Moore Michael"/>
    <x v="8"/>
    <s v="WA"/>
    <s v="Product QOGNU"/>
    <x v="6"/>
    <x v="456"/>
    <d v="2008-04-14T00:00:00"/>
    <x v="3"/>
    <s v="Ship to 65-A"/>
    <x v="9"/>
    <s v="Supplier UNAHG"/>
    <s v="Brazil"/>
    <x v="1"/>
    <n v="101.25"/>
  </r>
  <r>
    <n v="11000"/>
    <n v="77"/>
    <n v="13"/>
    <n v="30"/>
    <n v="0"/>
    <s v="Moore, Michael"/>
    <s v="Moore Michael"/>
    <x v="8"/>
    <s v="WA"/>
    <s v="Product LUNZZ"/>
    <x v="4"/>
    <x v="456"/>
    <d v="2008-04-14T00:00:00"/>
    <x v="3"/>
    <s v="Ship to 65-A"/>
    <x v="9"/>
    <s v="Supplier SVIYA"/>
    <s v="Germany"/>
    <x v="1"/>
    <n v="390"/>
  </r>
  <r>
    <n v="11001"/>
    <n v="7"/>
    <n v="30"/>
    <n v="60"/>
    <n v="0"/>
    <s v="San Juan, Patricia"/>
    <s v="San Juan Patricia"/>
    <x v="8"/>
    <s v="WA"/>
    <s v="Product HMLNI"/>
    <x v="2"/>
    <x v="456"/>
    <d v="2008-04-14T00:00:00"/>
    <x v="1"/>
    <s v="Destination YCMPK"/>
    <x v="10"/>
    <s v="Supplier STUAZ"/>
    <s v="USA"/>
    <x v="2"/>
    <n v="1800"/>
  </r>
  <r>
    <n v="11001"/>
    <n v="22"/>
    <n v="21"/>
    <n v="25"/>
    <n v="0"/>
    <s v="San Juan, Patricia"/>
    <s v="San Juan Patricia"/>
    <x v="8"/>
    <s v="WA"/>
    <s v="Product CPHFY"/>
    <x v="1"/>
    <x v="456"/>
    <d v="2008-04-14T00:00:00"/>
    <x v="1"/>
    <s v="Destination YCMPK"/>
    <x v="10"/>
    <s v="Supplier QQYEU"/>
    <s v="Sweden"/>
    <x v="2"/>
    <n v="525"/>
  </r>
  <r>
    <n v="11001"/>
    <n v="46"/>
    <n v="12"/>
    <n v="25"/>
    <n v="0"/>
    <s v="San Juan, Patricia"/>
    <s v="San Juan Patricia"/>
    <x v="8"/>
    <s v="WA"/>
    <s v="Product CBRRL"/>
    <x v="3"/>
    <x v="456"/>
    <d v="2008-04-14T00:00:00"/>
    <x v="1"/>
    <s v="Destination YCMPK"/>
    <x v="10"/>
    <s v="Supplier XOXZA"/>
    <s v="Denmark"/>
    <x v="2"/>
    <n v="300"/>
  </r>
  <r>
    <n v="11001"/>
    <n v="55"/>
    <n v="24"/>
    <n v="6"/>
    <n v="0"/>
    <s v="San Juan, Patricia"/>
    <s v="San Juan Patricia"/>
    <x v="8"/>
    <s v="WA"/>
    <s v="Product YYWRT"/>
    <x v="7"/>
    <x v="456"/>
    <d v="2008-04-14T00:00:00"/>
    <x v="1"/>
    <s v="Destination YCMPK"/>
    <x v="10"/>
    <s v="Supplier ERVYZ"/>
    <s v="Canada"/>
    <x v="2"/>
    <n v="144"/>
  </r>
  <r>
    <n v="11002"/>
    <n v="13"/>
    <n v="6"/>
    <n v="56"/>
    <n v="0"/>
    <s v="Navarro, Tomás"/>
    <s v="Navarro Tomás"/>
    <x v="1"/>
    <s v="WA"/>
    <s v="Product POXFU"/>
    <x v="3"/>
    <x v="456"/>
    <d v="2008-04-16T00:00:00"/>
    <x v="2"/>
    <s v="Ship to 71-A"/>
    <x v="9"/>
    <s v="Supplier QWUSF"/>
    <s v="Japan"/>
    <x v="2"/>
    <n v="336"/>
  </r>
  <r>
    <n v="11002"/>
    <n v="35"/>
    <n v="18"/>
    <n v="15"/>
    <n v="0.15"/>
    <s v="Navarro, Tomás"/>
    <s v="Navarro Tomás"/>
    <x v="1"/>
    <s v="WA"/>
    <s v="Product NEVTJ"/>
    <x v="6"/>
    <x v="456"/>
    <d v="2008-04-16T00:00:00"/>
    <x v="2"/>
    <s v="Ship to 71-A"/>
    <x v="9"/>
    <s v="Supplier UHZRG"/>
    <s v="USA"/>
    <x v="2"/>
    <n v="229.5"/>
  </r>
  <r>
    <n v="11002"/>
    <n v="42"/>
    <n v="14"/>
    <n v="24"/>
    <n v="0.15"/>
    <s v="Navarro, Tomás"/>
    <s v="Navarro Tomás"/>
    <x v="1"/>
    <s v="WA"/>
    <s v="Product RJVNM"/>
    <x v="1"/>
    <x v="456"/>
    <d v="2008-04-16T00:00:00"/>
    <x v="2"/>
    <s v="Ship to 71-A"/>
    <x v="9"/>
    <s v="Supplier CIYNM"/>
    <s v="Singapore"/>
    <x v="2"/>
    <n v="285.59999999999997"/>
  </r>
  <r>
    <n v="11002"/>
    <n v="55"/>
    <n v="24"/>
    <n v="40"/>
    <n v="0"/>
    <s v="Navarro, Tomás"/>
    <s v="Navarro Tomás"/>
    <x v="1"/>
    <s v="WA"/>
    <s v="Product YYWRT"/>
    <x v="7"/>
    <x v="456"/>
    <d v="2008-04-16T00:00:00"/>
    <x v="2"/>
    <s v="Ship to 71-A"/>
    <x v="9"/>
    <s v="Supplier ERVYZ"/>
    <s v="Canada"/>
    <x v="2"/>
    <n v="960"/>
  </r>
  <r>
    <n v="11003"/>
    <n v="1"/>
    <n v="18"/>
    <n v="4"/>
    <n v="0"/>
    <s v="Young, Robin"/>
    <s v="Young Robin"/>
    <x v="2"/>
    <s v="WA"/>
    <s v="Product HHYDP"/>
    <x v="6"/>
    <x v="456"/>
    <d v="2008-04-08T00:00:00"/>
    <x v="3"/>
    <s v="Ship to 78-B"/>
    <x v="9"/>
    <s v="Supplier SWRXU"/>
    <s v="UK"/>
    <x v="1"/>
    <n v="72"/>
  </r>
  <r>
    <n v="11003"/>
    <n v="40"/>
    <n v="18.399999999999999"/>
    <n v="10"/>
    <n v="0"/>
    <s v="Young, Robin"/>
    <s v="Young Robin"/>
    <x v="2"/>
    <s v="WA"/>
    <s v="Product YZIXQ"/>
    <x v="3"/>
    <x v="456"/>
    <d v="2008-04-08T00:00:00"/>
    <x v="3"/>
    <s v="Ship to 78-B"/>
    <x v="9"/>
    <s v="Supplier JDNUG"/>
    <s v="USA"/>
    <x v="1"/>
    <n v="184"/>
  </r>
  <r>
    <n v="11003"/>
    <n v="52"/>
    <n v="7"/>
    <n v="10"/>
    <n v="0"/>
    <s v="Young, Robin"/>
    <s v="Young Robin"/>
    <x v="2"/>
    <s v="WA"/>
    <s v="Product QSRXF"/>
    <x v="1"/>
    <x v="456"/>
    <d v="2008-04-08T00:00:00"/>
    <x v="3"/>
    <s v="Ship to 78-B"/>
    <x v="9"/>
    <s v="Supplier JNNES"/>
    <s v="Australia"/>
    <x v="1"/>
    <n v="70"/>
  </r>
  <r>
    <n v="11004"/>
    <n v="26"/>
    <n v="31.23"/>
    <n v="6"/>
    <n v="0"/>
    <s v="Mace, Donald"/>
    <s v="Mace Donald"/>
    <x v="2"/>
    <s v="WA"/>
    <s v="Product HLGZA"/>
    <x v="5"/>
    <x v="457"/>
    <d v="2008-04-20T00:00:00"/>
    <x v="2"/>
    <s v="Ship to 50-C"/>
    <x v="3"/>
    <s v="Supplier ZPYVS"/>
    <s v="Germany"/>
    <x v="1"/>
    <n v="187.38"/>
  </r>
  <r>
    <n v="11004"/>
    <n v="76"/>
    <n v="18"/>
    <n v="6"/>
    <n v="0"/>
    <s v="Mace, Donald"/>
    <s v="Mace Donald"/>
    <x v="2"/>
    <s v="WA"/>
    <s v="Product JYGFE"/>
    <x v="6"/>
    <x v="457"/>
    <d v="2008-04-20T00:00:00"/>
    <x v="2"/>
    <s v="Ship to 50-C"/>
    <x v="3"/>
    <s v="Supplier ELCRN"/>
    <s v="Finland"/>
    <x v="1"/>
    <n v="108"/>
  </r>
  <r>
    <n v="11005"/>
    <n v="1"/>
    <n v="18"/>
    <n v="2"/>
    <n v="0"/>
    <s v="Larsson, Katarina"/>
    <s v="Larsson Katarina"/>
    <x v="8"/>
    <s v="WA"/>
    <s v="Product HHYDP"/>
    <x v="6"/>
    <x v="457"/>
    <d v="2008-04-10T00:00:00"/>
    <x v="2"/>
    <s v="Ship to 90-A"/>
    <x v="11"/>
    <s v="Supplier SWRXU"/>
    <s v="UK"/>
    <x v="1"/>
    <n v="36"/>
  </r>
  <r>
    <n v="11005"/>
    <n v="59"/>
    <n v="55"/>
    <n v="10"/>
    <n v="0"/>
    <s v="Larsson, Katarina"/>
    <s v="Larsson Katarina"/>
    <x v="8"/>
    <s v="WA"/>
    <s v="Product UKXRI"/>
    <x v="0"/>
    <x v="457"/>
    <d v="2008-04-10T00:00:00"/>
    <x v="2"/>
    <s v="Ship to 90-A"/>
    <x v="11"/>
    <s v="Supplier OAVQT"/>
    <s v="France"/>
    <x v="1"/>
    <n v="550"/>
  </r>
  <r>
    <n v="11006"/>
    <n v="1"/>
    <n v="18"/>
    <n v="8"/>
    <n v="0"/>
    <s v="Krishnan, Venky"/>
    <s v="Krishnan Venky"/>
    <x v="2"/>
    <s v="WA"/>
    <s v="Product HHYDP"/>
    <x v="6"/>
    <x v="457"/>
    <d v="2008-04-15T00:00:00"/>
    <x v="1"/>
    <s v="Destination LLUXZ"/>
    <x v="9"/>
    <s v="Supplier SWRXU"/>
    <s v="UK"/>
    <x v="1"/>
    <n v="144"/>
  </r>
  <r>
    <n v="11006"/>
    <n v="29"/>
    <n v="123.79"/>
    <n v="2"/>
    <n v="0.25"/>
    <s v="Krishnan, Venky"/>
    <s v="Krishnan Venky"/>
    <x v="2"/>
    <s v="WA"/>
    <s v="Product VJXYN"/>
    <x v="7"/>
    <x v="457"/>
    <d v="2008-04-15T00:00:00"/>
    <x v="1"/>
    <s v="Destination LLUXZ"/>
    <x v="9"/>
    <s v="Supplier SVIYA"/>
    <s v="Germany"/>
    <x v="1"/>
    <n v="185.685"/>
  </r>
  <r>
    <n v="11007"/>
    <n v="8"/>
    <n v="40"/>
    <n v="30"/>
    <n v="0"/>
    <s v="Uppal, Sunil"/>
    <s v="Uppal Sunil"/>
    <x v="6"/>
    <s v="WA"/>
    <s v="Product WVJFP"/>
    <x v="4"/>
    <x v="458"/>
    <d v="2008-04-13T00:00:00"/>
    <x v="1"/>
    <s v="Ship to 60-C"/>
    <x v="16"/>
    <s v="Supplier STUAZ"/>
    <s v="USA"/>
    <x v="2"/>
    <n v="1200"/>
  </r>
  <r>
    <n v="11007"/>
    <n v="29"/>
    <n v="123.79"/>
    <n v="10"/>
    <n v="0"/>
    <s v="Uppal, Sunil"/>
    <s v="Uppal Sunil"/>
    <x v="6"/>
    <s v="WA"/>
    <s v="Product VJXYN"/>
    <x v="7"/>
    <x v="458"/>
    <d v="2008-04-13T00:00:00"/>
    <x v="1"/>
    <s v="Ship to 60-C"/>
    <x v="16"/>
    <s v="Supplier SVIYA"/>
    <s v="Germany"/>
    <x v="2"/>
    <n v="1237.9000000000001"/>
  </r>
  <r>
    <n v="11007"/>
    <n v="42"/>
    <n v="14"/>
    <n v="14"/>
    <n v="0"/>
    <s v="Uppal, Sunil"/>
    <s v="Uppal Sunil"/>
    <x v="6"/>
    <s v="WA"/>
    <s v="Product RJVNM"/>
    <x v="1"/>
    <x v="458"/>
    <d v="2008-04-13T00:00:00"/>
    <x v="1"/>
    <s v="Ship to 60-C"/>
    <x v="16"/>
    <s v="Supplier CIYNM"/>
    <s v="Singapore"/>
    <x v="2"/>
    <n v="196"/>
  </r>
  <r>
    <n v="11008"/>
    <n v="28"/>
    <n v="45.6"/>
    <n v="70"/>
    <n v="0.05"/>
    <s v="Kane, John"/>
    <s v="Kane John"/>
    <x v="9"/>
    <n v="0"/>
    <s v="Product OFBNT"/>
    <x v="2"/>
    <x v="458"/>
    <d v="1899-12-30T00:00:00"/>
    <x v="3"/>
    <s v="Destination CUVPF"/>
    <x v="6"/>
    <s v="Supplier SVIYA"/>
    <s v="Germany"/>
    <x v="1"/>
    <n v="3032.3999999999996"/>
  </r>
  <r>
    <n v="11008"/>
    <n v="34"/>
    <n v="14"/>
    <n v="90"/>
    <n v="0.05"/>
    <s v="Kane, John"/>
    <s v="Kane John"/>
    <x v="9"/>
    <n v="0"/>
    <s v="Product SWNJY"/>
    <x v="6"/>
    <x v="458"/>
    <d v="1899-12-30T00:00:00"/>
    <x v="3"/>
    <s v="Destination CUVPF"/>
    <x v="6"/>
    <s v="Supplier UHZRG"/>
    <s v="USA"/>
    <x v="1"/>
    <n v="1197"/>
  </r>
  <r>
    <n v="11008"/>
    <n v="71"/>
    <n v="21.5"/>
    <n v="21"/>
    <n v="0"/>
    <s v="Kane, John"/>
    <s v="Kane John"/>
    <x v="9"/>
    <n v="0"/>
    <s v="Product MYMOI"/>
    <x v="0"/>
    <x v="458"/>
    <d v="1899-12-30T00:00:00"/>
    <x v="3"/>
    <s v="Destination CUVPF"/>
    <x v="6"/>
    <s v="Supplier NZLIF"/>
    <s v="Norway"/>
    <x v="1"/>
    <n v="451.5"/>
  </r>
  <r>
    <n v="11009"/>
    <n v="24"/>
    <n v="4.5"/>
    <n v="12"/>
    <n v="0"/>
    <s v="Shabalin, Rostislav"/>
    <s v="Shabalin Rostislav"/>
    <x v="8"/>
    <s v="WA"/>
    <s v="Product QOGNU"/>
    <x v="6"/>
    <x v="458"/>
    <d v="2008-04-10T00:00:00"/>
    <x v="2"/>
    <s v="Destination WVLDH"/>
    <x v="13"/>
    <s v="Supplier UNAHG"/>
    <s v="Brazil"/>
    <x v="1"/>
    <n v="54"/>
  </r>
  <r>
    <n v="11009"/>
    <n v="36"/>
    <n v="19"/>
    <n v="18"/>
    <n v="0.25"/>
    <s v="Shabalin, Rostislav"/>
    <s v="Shabalin Rostislav"/>
    <x v="8"/>
    <s v="WA"/>
    <s v="Product GMKIJ"/>
    <x v="3"/>
    <x v="458"/>
    <d v="2008-04-10T00:00:00"/>
    <x v="2"/>
    <s v="Destination WVLDH"/>
    <x v="13"/>
    <s v="Supplier QZGUF"/>
    <s v="Sweden"/>
    <x v="1"/>
    <n v="256.5"/>
  </r>
  <r>
    <n v="11009"/>
    <n v="60"/>
    <n v="34"/>
    <n v="9"/>
    <n v="0"/>
    <s v="Shabalin, Rostislav"/>
    <s v="Shabalin Rostislav"/>
    <x v="8"/>
    <s v="WA"/>
    <s v="Product WHBYK"/>
    <x v="0"/>
    <x v="458"/>
    <d v="2008-04-10T00:00:00"/>
    <x v="2"/>
    <s v="Destination WVLDH"/>
    <x v="13"/>
    <s v="Supplier OAVQT"/>
    <s v="France"/>
    <x v="1"/>
    <n v="306"/>
  </r>
  <r>
    <n v="11010"/>
    <n v="7"/>
    <n v="30"/>
    <n v="20"/>
    <n v="0"/>
    <s v="Voss, Florian"/>
    <s v="Voss Florian"/>
    <x v="8"/>
    <s v="WA"/>
    <s v="Product HMLNI"/>
    <x v="2"/>
    <x v="459"/>
    <d v="2008-04-21T00:00:00"/>
    <x v="1"/>
    <s v="Ship to 66-A"/>
    <x v="12"/>
    <s v="Supplier STUAZ"/>
    <s v="USA"/>
    <x v="1"/>
    <n v="600"/>
  </r>
  <r>
    <n v="11010"/>
    <n v="24"/>
    <n v="4.5"/>
    <n v="10"/>
    <n v="0"/>
    <s v="Voss, Florian"/>
    <s v="Voss Florian"/>
    <x v="8"/>
    <s v="WA"/>
    <s v="Product QOGNU"/>
    <x v="6"/>
    <x v="459"/>
    <d v="2008-04-21T00:00:00"/>
    <x v="1"/>
    <s v="Ship to 66-A"/>
    <x v="12"/>
    <s v="Supplier UNAHG"/>
    <s v="Brazil"/>
    <x v="1"/>
    <n v="45"/>
  </r>
  <r>
    <n v="11011"/>
    <n v="58"/>
    <n v="13.25"/>
    <n v="40"/>
    <n v="0.05"/>
    <s v="Allen, Michael"/>
    <s v="Allen Michael"/>
    <x v="2"/>
    <s v="WA"/>
    <s v="Product ACRVI"/>
    <x v="3"/>
    <x v="459"/>
    <d v="2008-04-13T00:00:00"/>
    <x v="2"/>
    <s v="Destination LOUIE"/>
    <x v="8"/>
    <s v="Supplier ZRYDZ"/>
    <s v="France"/>
    <x v="1"/>
    <n v="503.5"/>
  </r>
  <r>
    <n v="11011"/>
    <n v="71"/>
    <n v="21.5"/>
    <n v="20"/>
    <n v="0"/>
    <s v="Allen, Michael"/>
    <s v="Allen Michael"/>
    <x v="2"/>
    <s v="WA"/>
    <s v="Product MYMOI"/>
    <x v="0"/>
    <x v="459"/>
    <d v="2008-04-13T00:00:00"/>
    <x v="2"/>
    <s v="Destination LOUIE"/>
    <x v="8"/>
    <s v="Supplier NZLIF"/>
    <s v="Norway"/>
    <x v="1"/>
    <n v="430"/>
  </r>
  <r>
    <n v="11012"/>
    <n v="19"/>
    <n v="9.1999999999999993"/>
    <n v="50"/>
    <n v="0.05"/>
    <s v="Carlson, Jason"/>
    <s v="Carlson Jason"/>
    <x v="5"/>
    <s v="WA"/>
    <s v="Product XKXDO"/>
    <x v="5"/>
    <x v="459"/>
    <d v="2008-04-17T00:00:00"/>
    <x v="3"/>
    <s v="Destination WEGWI"/>
    <x v="8"/>
    <s v="Supplier BWGYE"/>
    <s v="UK"/>
    <x v="2"/>
    <n v="436.99999999999994"/>
  </r>
  <r>
    <n v="11012"/>
    <n v="60"/>
    <n v="34"/>
    <n v="36"/>
    <n v="0.05"/>
    <s v="Carlson, Jason"/>
    <s v="Carlson Jason"/>
    <x v="5"/>
    <s v="WA"/>
    <s v="Product WHBYK"/>
    <x v="0"/>
    <x v="459"/>
    <d v="2008-04-17T00:00:00"/>
    <x v="3"/>
    <s v="Destination WEGWI"/>
    <x v="8"/>
    <s v="Supplier OAVQT"/>
    <s v="France"/>
    <x v="2"/>
    <n v="1162.8"/>
  </r>
  <r>
    <n v="11012"/>
    <n v="71"/>
    <n v="21.5"/>
    <n v="60"/>
    <n v="0.05"/>
    <s v="Carlson, Jason"/>
    <s v="Carlson Jason"/>
    <x v="5"/>
    <s v="WA"/>
    <s v="Product MYMOI"/>
    <x v="0"/>
    <x v="459"/>
    <d v="2008-04-17T00:00:00"/>
    <x v="3"/>
    <s v="Destination WEGWI"/>
    <x v="8"/>
    <s v="Supplier NZLIF"/>
    <s v="Norway"/>
    <x v="2"/>
    <n v="1225.5"/>
  </r>
  <r>
    <n v="11013"/>
    <n v="23"/>
    <n v="9"/>
    <n v="10"/>
    <n v="0"/>
    <s v="Watters, Jason M."/>
    <s v="Watters Jason M."/>
    <x v="8"/>
    <s v="WA"/>
    <s v="Product JLUDZ"/>
    <x v="1"/>
    <x v="459"/>
    <d v="2008-04-10T00:00:00"/>
    <x v="2"/>
    <s v="Ship to 69-A"/>
    <x v="13"/>
    <s v="Supplier QQYEU"/>
    <s v="Sweden"/>
    <x v="1"/>
    <n v="90"/>
  </r>
  <r>
    <n v="11013"/>
    <n v="42"/>
    <n v="14"/>
    <n v="4"/>
    <n v="0"/>
    <s v="Watters, Jason M."/>
    <s v="Watters Jason M."/>
    <x v="8"/>
    <s v="WA"/>
    <s v="Product RJVNM"/>
    <x v="1"/>
    <x v="459"/>
    <d v="2008-04-10T00:00:00"/>
    <x v="2"/>
    <s v="Ship to 69-A"/>
    <x v="13"/>
    <s v="Supplier CIYNM"/>
    <s v="Singapore"/>
    <x v="1"/>
    <n v="56"/>
  </r>
  <r>
    <n v="11013"/>
    <n v="45"/>
    <n v="9.5"/>
    <n v="20"/>
    <n v="0"/>
    <s v="Watters, Jason M."/>
    <s v="Watters Jason M."/>
    <x v="8"/>
    <s v="WA"/>
    <s v="Product AQOKR"/>
    <x v="3"/>
    <x v="459"/>
    <d v="2008-04-10T00:00:00"/>
    <x v="2"/>
    <s v="Ship to 69-A"/>
    <x v="13"/>
    <s v="Supplier XOXZA"/>
    <s v="Denmark"/>
    <x v="1"/>
    <n v="190"/>
  </r>
  <r>
    <n v="11013"/>
    <n v="68"/>
    <n v="12.5"/>
    <n v="2"/>
    <n v="0"/>
    <s v="Watters, Jason M."/>
    <s v="Watters Jason M."/>
    <x v="8"/>
    <s v="WA"/>
    <s v="Product TBTBL"/>
    <x v="5"/>
    <x v="459"/>
    <d v="2008-04-10T00:00:00"/>
    <x v="2"/>
    <s v="Ship to 69-A"/>
    <x v="13"/>
    <s v="Supplier BWGYE"/>
    <s v="UK"/>
    <x v="1"/>
    <n v="25"/>
  </r>
  <r>
    <n v="11014"/>
    <n v="41"/>
    <n v="9.65"/>
    <n v="28"/>
    <n v="0.1"/>
    <s v="Lupu, Cornel"/>
    <s v="Lupu Cornel"/>
    <x v="8"/>
    <s v="WA"/>
    <s v="Product TTEEX"/>
    <x v="3"/>
    <x v="460"/>
    <d v="2008-04-15T00:00:00"/>
    <x v="3"/>
    <s v="Ship to 47-A"/>
    <x v="5"/>
    <s v="Supplier JDNUG"/>
    <s v="USA"/>
    <x v="1"/>
    <n v="243.18"/>
  </r>
  <r>
    <n v="11015"/>
    <n v="30"/>
    <n v="25.89"/>
    <n v="15"/>
    <n v="0"/>
    <s v="Ginters, Kaspars"/>
    <s v="Ginters Kaspars"/>
    <x v="8"/>
    <s v="WA"/>
    <s v="Product LYERX"/>
    <x v="3"/>
    <x v="460"/>
    <d v="2008-04-20T00:00:00"/>
    <x v="1"/>
    <s v="Ship to 70-C"/>
    <x v="20"/>
    <s v="Supplier TEGSC"/>
    <s v="Germany"/>
    <x v="1"/>
    <n v="388.35"/>
  </r>
  <r>
    <n v="11015"/>
    <n v="77"/>
    <n v="13"/>
    <n v="18"/>
    <n v="0"/>
    <s v="Ginters, Kaspars"/>
    <s v="Ginters Kaspars"/>
    <x v="8"/>
    <s v="WA"/>
    <s v="Product LUNZZ"/>
    <x v="4"/>
    <x v="460"/>
    <d v="2008-04-20T00:00:00"/>
    <x v="1"/>
    <s v="Ship to 70-C"/>
    <x v="20"/>
    <s v="Supplier SVIYA"/>
    <s v="Germany"/>
    <x v="1"/>
    <n v="234"/>
  </r>
  <r>
    <n v="11016"/>
    <n v="31"/>
    <n v="12.5"/>
    <n v="15"/>
    <n v="0"/>
    <s v="Arndt, Torsten"/>
    <s v="Arndt Torsten"/>
    <x v="4"/>
    <n v="0"/>
    <s v="Product XWOXC"/>
    <x v="0"/>
    <x v="460"/>
    <d v="2008-04-13T00:00:00"/>
    <x v="1"/>
    <s v="Ship to 4-A"/>
    <x v="14"/>
    <s v="Supplier KEREV"/>
    <s v="Italy"/>
    <x v="1"/>
    <n v="187.5"/>
  </r>
  <r>
    <n v="11016"/>
    <n v="36"/>
    <n v="19"/>
    <n v="16"/>
    <n v="0"/>
    <s v="Arndt, Torsten"/>
    <s v="Arndt Torsten"/>
    <x v="4"/>
    <n v="0"/>
    <s v="Product GMKIJ"/>
    <x v="3"/>
    <x v="460"/>
    <d v="2008-04-13T00:00:00"/>
    <x v="1"/>
    <s v="Ship to 4-A"/>
    <x v="14"/>
    <s v="Supplier QZGUF"/>
    <s v="Sweden"/>
    <x v="1"/>
    <n v="304"/>
  </r>
  <r>
    <n v="11017"/>
    <n v="3"/>
    <n v="10"/>
    <n v="25"/>
    <n v="0"/>
    <s v="Kane, John"/>
    <s v="Kane John"/>
    <x v="4"/>
    <n v="0"/>
    <s v="Product IMEHJ"/>
    <x v="4"/>
    <x v="461"/>
    <d v="2008-04-20T00:00:00"/>
    <x v="1"/>
    <s v="Destination CUVPF"/>
    <x v="6"/>
    <s v="Supplier SWRXU"/>
    <s v="UK"/>
    <x v="2"/>
    <n v="250"/>
  </r>
  <r>
    <n v="11017"/>
    <n v="59"/>
    <n v="55"/>
    <n v="110"/>
    <n v="0"/>
    <s v="Kane, John"/>
    <s v="Kane John"/>
    <x v="4"/>
    <n v="0"/>
    <s v="Product UKXRI"/>
    <x v="0"/>
    <x v="461"/>
    <d v="2008-04-20T00:00:00"/>
    <x v="1"/>
    <s v="Destination CUVPF"/>
    <x v="6"/>
    <s v="Supplier OAVQT"/>
    <s v="France"/>
    <x v="2"/>
    <n v="6050"/>
  </r>
  <r>
    <n v="11017"/>
    <n v="70"/>
    <n v="15"/>
    <n v="30"/>
    <n v="0"/>
    <s v="Kane, John"/>
    <s v="Kane John"/>
    <x v="4"/>
    <n v="0"/>
    <s v="Product TOONT"/>
    <x v="6"/>
    <x v="461"/>
    <d v="2008-04-20T00:00:00"/>
    <x v="1"/>
    <s v="Destination CUVPF"/>
    <x v="6"/>
    <s v="Supplier GQRCV"/>
    <s v="Australia"/>
    <x v="2"/>
    <n v="450"/>
  </r>
  <r>
    <n v="11018"/>
    <n v="12"/>
    <n v="38"/>
    <n v="20"/>
    <n v="0"/>
    <s v="Szymczak, Radosław"/>
    <s v="Szymczak Radosław"/>
    <x v="1"/>
    <s v="WA"/>
    <s v="Product OSFNS"/>
    <x v="0"/>
    <x v="461"/>
    <d v="2008-04-16T00:00:00"/>
    <x v="1"/>
    <s v="Ship to 48-B"/>
    <x v="9"/>
    <s v="Supplier EQPNC"/>
    <s v="Spain"/>
    <x v="1"/>
    <n v="760"/>
  </r>
  <r>
    <n v="11018"/>
    <n v="18"/>
    <n v="62.5"/>
    <n v="10"/>
    <n v="0"/>
    <s v="Szymczak, Radosław"/>
    <s v="Szymczak Radosław"/>
    <x v="1"/>
    <s v="WA"/>
    <s v="Product CKEDC"/>
    <x v="3"/>
    <x v="461"/>
    <d v="2008-04-16T00:00:00"/>
    <x v="1"/>
    <s v="Ship to 48-B"/>
    <x v="9"/>
    <s v="Supplier GQRCV"/>
    <s v="Australia"/>
    <x v="1"/>
    <n v="625"/>
  </r>
  <r>
    <n v="11018"/>
    <n v="56"/>
    <n v="38"/>
    <n v="5"/>
    <n v="0"/>
    <s v="Szymczak, Radosław"/>
    <s v="Szymczak Radosław"/>
    <x v="1"/>
    <s v="WA"/>
    <s v="Product VKCMF"/>
    <x v="1"/>
    <x v="461"/>
    <d v="2008-04-16T00:00:00"/>
    <x v="1"/>
    <s v="Ship to 48-B"/>
    <x v="9"/>
    <s v="Supplier ZWZDM"/>
    <s v="Italy"/>
    <x v="1"/>
    <n v="190"/>
  </r>
  <r>
    <n v="11019"/>
    <n v="46"/>
    <n v="12"/>
    <n v="3"/>
    <n v="0"/>
    <s v="Gaffney, Lawrie"/>
    <s v="Gaffney Lawrie"/>
    <x v="7"/>
    <n v="0"/>
    <s v="Product CBRRL"/>
    <x v="3"/>
    <x v="461"/>
    <d v="1899-12-30T00:00:00"/>
    <x v="3"/>
    <s v="Ship to 64-B"/>
    <x v="21"/>
    <s v="Supplier XOXZA"/>
    <s v="Denmark"/>
    <x v="1"/>
    <n v="36"/>
  </r>
  <r>
    <n v="11019"/>
    <n v="49"/>
    <n v="20"/>
    <n v="2"/>
    <n v="0"/>
    <s v="Gaffney, Lawrie"/>
    <s v="Gaffney Lawrie"/>
    <x v="7"/>
    <n v="0"/>
    <s v="Product FPYPN"/>
    <x v="5"/>
    <x v="461"/>
    <d v="1899-12-30T00:00:00"/>
    <x v="3"/>
    <s v="Ship to 64-B"/>
    <x v="21"/>
    <s v="Supplier ELCRN"/>
    <s v="Finland"/>
    <x v="1"/>
    <n v="40"/>
  </r>
  <r>
    <n v="11020"/>
    <n v="10"/>
    <n v="31"/>
    <n v="24"/>
    <n v="0.15"/>
    <s v="Marinova, Nadejda"/>
    <s v="Marinova Nadejda"/>
    <x v="8"/>
    <s v="WA"/>
    <s v="Product YHXGE"/>
    <x v="3"/>
    <x v="462"/>
    <d v="2008-04-16T00:00:00"/>
    <x v="1"/>
    <s v="Ship to 56-B"/>
    <x v="8"/>
    <s v="Supplier QOVFD"/>
    <s v="Japan"/>
    <x v="1"/>
    <n v="632.4"/>
  </r>
  <r>
    <n v="11021"/>
    <n v="2"/>
    <n v="19"/>
    <n v="11"/>
    <n v="0.25"/>
    <s v="Veronesi, Giorgio"/>
    <s v="Veronesi Giorgio"/>
    <x v="2"/>
    <s v="WA"/>
    <s v="Product RECZE"/>
    <x v="6"/>
    <x v="462"/>
    <d v="2008-04-21T00:00:00"/>
    <x v="2"/>
    <s v="Ship to 63-B"/>
    <x v="8"/>
    <s v="Supplier SWRXU"/>
    <s v="UK"/>
    <x v="2"/>
    <n v="156.75"/>
  </r>
  <r>
    <n v="11021"/>
    <n v="20"/>
    <n v="81"/>
    <n v="15"/>
    <n v="0"/>
    <s v="Veronesi, Giorgio"/>
    <s v="Veronesi Giorgio"/>
    <x v="2"/>
    <s v="WA"/>
    <s v="Product QHFFP"/>
    <x v="5"/>
    <x v="462"/>
    <d v="2008-04-21T00:00:00"/>
    <x v="2"/>
    <s v="Ship to 63-B"/>
    <x v="8"/>
    <s v="Supplier BWGYE"/>
    <s v="UK"/>
    <x v="2"/>
    <n v="1215"/>
  </r>
  <r>
    <n v="11021"/>
    <n v="26"/>
    <n v="31.23"/>
    <n v="63"/>
    <n v="0"/>
    <s v="Veronesi, Giorgio"/>
    <s v="Veronesi Giorgio"/>
    <x v="2"/>
    <s v="WA"/>
    <s v="Product HLGZA"/>
    <x v="5"/>
    <x v="462"/>
    <d v="2008-04-21T00:00:00"/>
    <x v="2"/>
    <s v="Ship to 63-B"/>
    <x v="8"/>
    <s v="Supplier ZPYVS"/>
    <s v="Germany"/>
    <x v="2"/>
    <n v="1967.49"/>
  </r>
  <r>
    <n v="11021"/>
    <n v="51"/>
    <n v="53"/>
    <n v="44"/>
    <n v="0.25"/>
    <s v="Veronesi, Giorgio"/>
    <s v="Veronesi Giorgio"/>
    <x v="2"/>
    <s v="WA"/>
    <s v="Product APITJ"/>
    <x v="2"/>
    <x v="462"/>
    <d v="2008-04-21T00:00:00"/>
    <x v="2"/>
    <s v="Ship to 63-B"/>
    <x v="8"/>
    <s v="Supplier JNNES"/>
    <s v="Australia"/>
    <x v="2"/>
    <n v="1749"/>
  </r>
  <r>
    <n v="11021"/>
    <n v="72"/>
    <n v="34.799999999999997"/>
    <n v="35"/>
    <n v="0"/>
    <s v="Veronesi, Giorgio"/>
    <s v="Veronesi Giorgio"/>
    <x v="2"/>
    <s v="WA"/>
    <s v="Product GEEOO"/>
    <x v="0"/>
    <x v="462"/>
    <d v="2008-04-21T00:00:00"/>
    <x v="2"/>
    <s v="Ship to 63-B"/>
    <x v="8"/>
    <s v="Supplier KEREV"/>
    <s v="Italy"/>
    <x v="2"/>
    <n v="1218"/>
  </r>
  <r>
    <n v="11022"/>
    <n v="19"/>
    <n v="9.1999999999999993"/>
    <n v="35"/>
    <n v="0"/>
    <s v="Cohen, Shy"/>
    <s v="Cohen Shy"/>
    <x v="4"/>
    <n v="0"/>
    <s v="Product XKXDO"/>
    <x v="5"/>
    <x v="462"/>
    <d v="2008-05-04T00:00:00"/>
    <x v="1"/>
    <s v="Destination SCQXA"/>
    <x v="1"/>
    <s v="Supplier BWGYE"/>
    <s v="UK"/>
    <x v="1"/>
    <n v="322"/>
  </r>
  <r>
    <n v="11022"/>
    <n v="69"/>
    <n v="36"/>
    <n v="30"/>
    <n v="0"/>
    <s v="Cohen, Shy"/>
    <s v="Cohen Shy"/>
    <x v="4"/>
    <n v="0"/>
    <s v="Product COAXA"/>
    <x v="0"/>
    <x v="462"/>
    <d v="2008-05-04T00:00:00"/>
    <x v="1"/>
    <s v="Destination SCQXA"/>
    <x v="1"/>
    <s v="Supplier NZLIF"/>
    <s v="Norway"/>
    <x v="1"/>
    <n v="1080"/>
  </r>
  <r>
    <n v="11023"/>
    <n v="7"/>
    <n v="30"/>
    <n v="4"/>
    <n v="0"/>
    <s v="Jaffe, David"/>
    <s v="Jaffe David"/>
    <x v="5"/>
    <s v="WA"/>
    <s v="Product HMLNI"/>
    <x v="2"/>
    <x v="462"/>
    <d v="2008-04-24T00:00:00"/>
    <x v="1"/>
    <s v="Destination NZASL"/>
    <x v="14"/>
    <s v="Supplier STUAZ"/>
    <s v="USA"/>
    <x v="2"/>
    <n v="120"/>
  </r>
  <r>
    <n v="11023"/>
    <n v="43"/>
    <n v="46"/>
    <n v="30"/>
    <n v="0"/>
    <s v="Jaffe, David"/>
    <s v="Jaffe David"/>
    <x v="5"/>
    <s v="WA"/>
    <s v="Product ZZZHR"/>
    <x v="6"/>
    <x v="462"/>
    <d v="2008-04-24T00:00:00"/>
    <x v="1"/>
    <s v="Destination NZASL"/>
    <x v="14"/>
    <s v="Supplier CIYNM"/>
    <s v="Singapore"/>
    <x v="2"/>
    <n v="1380"/>
  </r>
  <r>
    <n v="11024"/>
    <n v="26"/>
    <n v="31.23"/>
    <n v="12"/>
    <n v="0"/>
    <s v="Boseman, Randall"/>
    <s v="Boseman Randall"/>
    <x v="1"/>
    <s v="WA"/>
    <s v="Product HLGZA"/>
    <x v="5"/>
    <x v="463"/>
    <d v="2008-04-20T00:00:00"/>
    <x v="2"/>
    <s v="Destination BBMRT"/>
    <x v="14"/>
    <s v="Supplier ZPYVS"/>
    <s v="Germany"/>
    <x v="1"/>
    <n v="374.76"/>
  </r>
  <r>
    <n v="11024"/>
    <n v="33"/>
    <n v="2.5"/>
    <n v="30"/>
    <n v="0"/>
    <s v="Boseman, Randall"/>
    <s v="Boseman Randall"/>
    <x v="1"/>
    <s v="WA"/>
    <s v="Product ASTMN"/>
    <x v="0"/>
    <x v="463"/>
    <d v="2008-04-20T00:00:00"/>
    <x v="2"/>
    <s v="Destination BBMRT"/>
    <x v="14"/>
    <s v="Supplier NZLIF"/>
    <s v="Norway"/>
    <x v="1"/>
    <n v="75"/>
  </r>
  <r>
    <n v="11024"/>
    <n v="65"/>
    <n v="21.05"/>
    <n v="21"/>
    <n v="0"/>
    <s v="Boseman, Randall"/>
    <s v="Boseman Randall"/>
    <x v="1"/>
    <s v="WA"/>
    <s v="Product XYWBZ"/>
    <x v="4"/>
    <x v="463"/>
    <d v="2008-04-20T00:00:00"/>
    <x v="2"/>
    <s v="Destination BBMRT"/>
    <x v="14"/>
    <s v="Supplier VHQZD"/>
    <s v="USA"/>
    <x v="1"/>
    <n v="442.05"/>
  </r>
  <r>
    <n v="11024"/>
    <n v="71"/>
    <n v="21.5"/>
    <n v="50"/>
    <n v="0"/>
    <s v="Boseman, Randall"/>
    <s v="Boseman Randall"/>
    <x v="1"/>
    <s v="WA"/>
    <s v="Product MYMOI"/>
    <x v="0"/>
    <x v="463"/>
    <d v="2008-04-20T00:00:00"/>
    <x v="2"/>
    <s v="Destination BBMRT"/>
    <x v="14"/>
    <s v="Supplier NZLIF"/>
    <s v="Norway"/>
    <x v="1"/>
    <n v="1075"/>
  </r>
  <r>
    <n v="11025"/>
    <n v="1"/>
    <n v="18"/>
    <n v="10"/>
    <n v="0.1"/>
    <s v="Ludwig, Michael"/>
    <s v="Ludwig Michael"/>
    <x v="7"/>
    <n v="0"/>
    <s v="Product HHYDP"/>
    <x v="6"/>
    <x v="463"/>
    <d v="2008-04-24T00:00:00"/>
    <x v="3"/>
    <s v="Ship to 87-C"/>
    <x v="11"/>
    <s v="Supplier SWRXU"/>
    <s v="UK"/>
    <x v="1"/>
    <n v="162"/>
  </r>
  <r>
    <n v="11025"/>
    <n v="13"/>
    <n v="6"/>
    <n v="20"/>
    <n v="0.1"/>
    <s v="Ludwig, Michael"/>
    <s v="Ludwig Michael"/>
    <x v="7"/>
    <n v="0"/>
    <s v="Product POXFU"/>
    <x v="3"/>
    <x v="463"/>
    <d v="2008-04-24T00:00:00"/>
    <x v="3"/>
    <s v="Ship to 87-C"/>
    <x v="11"/>
    <s v="Supplier QWUSF"/>
    <s v="Japan"/>
    <x v="1"/>
    <n v="108"/>
  </r>
  <r>
    <n v="11026"/>
    <n v="18"/>
    <n v="62.5"/>
    <n v="8"/>
    <n v="0"/>
    <s v="Schmöllerl, Martin"/>
    <s v="Schmöllerl Martin"/>
    <x v="1"/>
    <s v="WA"/>
    <s v="Product CKEDC"/>
    <x v="3"/>
    <x v="463"/>
    <d v="2008-04-28T00:00:00"/>
    <x v="2"/>
    <s v="Destination DICGM"/>
    <x v="12"/>
    <s v="Supplier GQRCV"/>
    <s v="Australia"/>
    <x v="1"/>
    <n v="500"/>
  </r>
  <r>
    <n v="11026"/>
    <n v="51"/>
    <n v="53"/>
    <n v="10"/>
    <n v="0"/>
    <s v="Schmöllerl, Martin"/>
    <s v="Schmöllerl Martin"/>
    <x v="1"/>
    <s v="WA"/>
    <s v="Product APITJ"/>
    <x v="2"/>
    <x v="463"/>
    <d v="2008-04-28T00:00:00"/>
    <x v="2"/>
    <s v="Destination DICGM"/>
    <x v="12"/>
    <s v="Supplier JNNES"/>
    <s v="Australia"/>
    <x v="1"/>
    <n v="530"/>
  </r>
  <r>
    <n v="11027"/>
    <n v="24"/>
    <n v="4.5"/>
    <n v="30"/>
    <n v="0.25"/>
    <s v="Bassols, Pilar Colome"/>
    <s v="Bassols Pilar Colome"/>
    <x v="5"/>
    <s v="WA"/>
    <s v="Product QOGNU"/>
    <x v="6"/>
    <x v="464"/>
    <d v="2008-04-20T00:00:00"/>
    <x v="2"/>
    <s v="Destination XJIBQ"/>
    <x v="17"/>
    <s v="Supplier UNAHG"/>
    <s v="Brazil"/>
    <x v="1"/>
    <n v="101.25"/>
  </r>
  <r>
    <n v="11027"/>
    <n v="62"/>
    <n v="49.3"/>
    <n v="21"/>
    <n v="0.25"/>
    <s v="Bassols, Pilar Colome"/>
    <s v="Bassols Pilar Colome"/>
    <x v="5"/>
    <s v="WA"/>
    <s v="Product WUXYK"/>
    <x v="5"/>
    <x v="464"/>
    <d v="2008-04-20T00:00:00"/>
    <x v="2"/>
    <s v="Destination XJIBQ"/>
    <x v="17"/>
    <s v="Supplier OGLRK"/>
    <s v="Canada"/>
    <x v="1"/>
    <n v="776.47499999999991"/>
  </r>
  <r>
    <n v="11028"/>
    <n v="55"/>
    <n v="24"/>
    <n v="35"/>
    <n v="0"/>
    <s v="Song, Lolan"/>
    <s v="Song Lolan"/>
    <x v="8"/>
    <s v="WA"/>
    <s v="Product YYWRT"/>
    <x v="7"/>
    <x v="464"/>
    <d v="2008-04-22T00:00:00"/>
    <x v="2"/>
    <s v="Destination DKMQA"/>
    <x v="8"/>
    <s v="Supplier ERVYZ"/>
    <s v="Canada"/>
    <x v="1"/>
    <n v="840"/>
  </r>
  <r>
    <n v="11028"/>
    <n v="59"/>
    <n v="55"/>
    <n v="24"/>
    <n v="0"/>
    <s v="Song, Lolan"/>
    <s v="Song Lolan"/>
    <x v="8"/>
    <s v="WA"/>
    <s v="Product UKXRI"/>
    <x v="0"/>
    <x v="464"/>
    <d v="2008-04-22T00:00:00"/>
    <x v="2"/>
    <s v="Destination DKMQA"/>
    <x v="8"/>
    <s v="Supplier OAVQT"/>
    <s v="France"/>
    <x v="1"/>
    <n v="1320"/>
  </r>
  <r>
    <n v="11029"/>
    <n v="56"/>
    <n v="38"/>
    <n v="20"/>
    <n v="0"/>
    <s v="Jelitto, Jacek"/>
    <s v="Jelitto Jacek"/>
    <x v="1"/>
    <s v="WA"/>
    <s v="Product VKCMF"/>
    <x v="1"/>
    <x v="464"/>
    <d v="2008-04-27T00:00:00"/>
    <x v="2"/>
    <s v="Destination YUJRD"/>
    <x v="4"/>
    <s v="Supplier ZWZDM"/>
    <s v="Italy"/>
    <x v="1"/>
    <n v="760"/>
  </r>
  <r>
    <n v="11029"/>
    <n v="63"/>
    <n v="43.9"/>
    <n v="12"/>
    <n v="0"/>
    <s v="Jelitto, Jacek"/>
    <s v="Jelitto Jacek"/>
    <x v="1"/>
    <s v="WA"/>
    <s v="Product ICKNK"/>
    <x v="4"/>
    <x v="464"/>
    <d v="2008-04-27T00:00:00"/>
    <x v="2"/>
    <s v="Destination YUJRD"/>
    <x v="4"/>
    <s v="Supplier GQRCV"/>
    <s v="Australia"/>
    <x v="1"/>
    <n v="526.79999999999995"/>
  </r>
  <r>
    <n v="11030"/>
    <n v="2"/>
    <n v="19"/>
    <n v="100"/>
    <n v="0.25"/>
    <s v="Navarro, Tomás"/>
    <s v="Navarro Tomás"/>
    <x v="9"/>
    <n v="0"/>
    <s v="Product RECZE"/>
    <x v="6"/>
    <x v="465"/>
    <d v="2008-04-27T00:00:00"/>
    <x v="1"/>
    <s v="Ship to 71-C"/>
    <x v="9"/>
    <s v="Supplier SWRXU"/>
    <s v="UK"/>
    <x v="2"/>
    <n v="1425"/>
  </r>
  <r>
    <n v="11030"/>
    <n v="5"/>
    <n v="21.35"/>
    <n v="70"/>
    <n v="0"/>
    <s v="Navarro, Tomás"/>
    <s v="Navarro Tomás"/>
    <x v="9"/>
    <n v="0"/>
    <s v="Product EPEIM"/>
    <x v="4"/>
    <x v="465"/>
    <d v="2008-04-27T00:00:00"/>
    <x v="1"/>
    <s v="Ship to 71-C"/>
    <x v="9"/>
    <s v="Supplier VHQZD"/>
    <s v="USA"/>
    <x v="2"/>
    <n v="1494.5"/>
  </r>
  <r>
    <n v="11030"/>
    <n v="29"/>
    <n v="123.79"/>
    <n v="60"/>
    <n v="0.25"/>
    <s v="Navarro, Tomás"/>
    <s v="Navarro Tomás"/>
    <x v="9"/>
    <n v="0"/>
    <s v="Product VJXYN"/>
    <x v="7"/>
    <x v="465"/>
    <d v="2008-04-27T00:00:00"/>
    <x v="1"/>
    <s v="Ship to 71-C"/>
    <x v="9"/>
    <s v="Supplier SVIYA"/>
    <s v="Germany"/>
    <x v="2"/>
    <n v="5570.55"/>
  </r>
  <r>
    <n v="11030"/>
    <n v="59"/>
    <n v="55"/>
    <n v="100"/>
    <n v="0.25"/>
    <s v="Navarro, Tomás"/>
    <s v="Navarro Tomás"/>
    <x v="9"/>
    <n v="0"/>
    <s v="Product UKXRI"/>
    <x v="0"/>
    <x v="465"/>
    <d v="2008-04-27T00:00:00"/>
    <x v="1"/>
    <s v="Ship to 71-C"/>
    <x v="9"/>
    <s v="Supplier OAVQT"/>
    <s v="France"/>
    <x v="2"/>
    <n v="4125"/>
  </r>
  <r>
    <n v="11031"/>
    <n v="1"/>
    <n v="18"/>
    <n v="45"/>
    <n v="0"/>
    <s v="Navarro, Tomás"/>
    <s v="Navarro Tomás"/>
    <x v="7"/>
    <n v="0"/>
    <s v="Product HHYDP"/>
    <x v="6"/>
    <x v="465"/>
    <d v="2008-04-24T00:00:00"/>
    <x v="1"/>
    <s v="Ship to 71-C"/>
    <x v="9"/>
    <s v="Supplier SWRXU"/>
    <s v="UK"/>
    <x v="2"/>
    <n v="810"/>
  </r>
  <r>
    <n v="11031"/>
    <n v="13"/>
    <n v="6"/>
    <n v="80"/>
    <n v="0"/>
    <s v="Navarro, Tomás"/>
    <s v="Navarro Tomás"/>
    <x v="7"/>
    <n v="0"/>
    <s v="Product POXFU"/>
    <x v="3"/>
    <x v="465"/>
    <d v="2008-04-24T00:00:00"/>
    <x v="1"/>
    <s v="Ship to 71-C"/>
    <x v="9"/>
    <s v="Supplier QWUSF"/>
    <s v="Japan"/>
    <x v="2"/>
    <n v="480"/>
  </r>
  <r>
    <n v="11031"/>
    <n v="24"/>
    <n v="4.5"/>
    <n v="21"/>
    <n v="0"/>
    <s v="Navarro, Tomás"/>
    <s v="Navarro Tomás"/>
    <x v="7"/>
    <n v="0"/>
    <s v="Product QOGNU"/>
    <x v="6"/>
    <x v="465"/>
    <d v="2008-04-24T00:00:00"/>
    <x v="1"/>
    <s v="Ship to 71-C"/>
    <x v="9"/>
    <s v="Supplier UNAHG"/>
    <s v="Brazil"/>
    <x v="2"/>
    <n v="94.5"/>
  </r>
  <r>
    <n v="11031"/>
    <n v="64"/>
    <n v="33.25"/>
    <n v="20"/>
    <n v="0"/>
    <s v="Navarro, Tomás"/>
    <s v="Navarro Tomás"/>
    <x v="7"/>
    <n v="0"/>
    <s v="Product HCQDE"/>
    <x v="1"/>
    <x v="465"/>
    <d v="2008-04-24T00:00:00"/>
    <x v="1"/>
    <s v="Ship to 71-C"/>
    <x v="9"/>
    <s v="Supplier SVIYA"/>
    <s v="Germany"/>
    <x v="2"/>
    <n v="665"/>
  </r>
  <r>
    <n v="11031"/>
    <n v="71"/>
    <n v="21.5"/>
    <n v="16"/>
    <n v="0"/>
    <s v="Navarro, Tomás"/>
    <s v="Navarro Tomás"/>
    <x v="7"/>
    <n v="0"/>
    <s v="Product MYMOI"/>
    <x v="0"/>
    <x v="465"/>
    <d v="2008-04-24T00:00:00"/>
    <x v="1"/>
    <s v="Ship to 71-C"/>
    <x v="9"/>
    <s v="Supplier NZLIF"/>
    <s v="Norway"/>
    <x v="2"/>
    <n v="344"/>
  </r>
  <r>
    <n v="11032"/>
    <n v="36"/>
    <n v="19"/>
    <n v="35"/>
    <n v="0"/>
    <s v="Smith Jr., Ronaldo"/>
    <s v="Smith Jr. Ronaldo"/>
    <x v="8"/>
    <s v="WA"/>
    <s v="Product GMKIJ"/>
    <x v="3"/>
    <x v="465"/>
    <d v="2008-04-23T00:00:00"/>
    <x v="3"/>
    <s v="Ship to 89-B"/>
    <x v="9"/>
    <s v="Supplier QZGUF"/>
    <s v="Sweden"/>
    <x v="2"/>
    <n v="665"/>
  </r>
  <r>
    <n v="11032"/>
    <n v="38"/>
    <n v="263.5"/>
    <n v="25"/>
    <n v="0"/>
    <s v="Smith Jr., Ronaldo"/>
    <s v="Smith Jr. Ronaldo"/>
    <x v="8"/>
    <s v="WA"/>
    <s v="Product QDOMO"/>
    <x v="6"/>
    <x v="465"/>
    <d v="2008-04-23T00:00:00"/>
    <x v="3"/>
    <s v="Ship to 89-B"/>
    <x v="9"/>
    <s v="Supplier LVJUA"/>
    <s v="France"/>
    <x v="2"/>
    <n v="6587.5"/>
  </r>
  <r>
    <n v="11032"/>
    <n v="59"/>
    <n v="55"/>
    <n v="30"/>
    <n v="0"/>
    <s v="Smith Jr., Ronaldo"/>
    <s v="Smith Jr. Ronaldo"/>
    <x v="8"/>
    <s v="WA"/>
    <s v="Product UKXRI"/>
    <x v="0"/>
    <x v="465"/>
    <d v="2008-04-23T00:00:00"/>
    <x v="3"/>
    <s v="Ship to 89-B"/>
    <x v="9"/>
    <s v="Supplier OAVQT"/>
    <s v="France"/>
    <x v="2"/>
    <n v="1650"/>
  </r>
  <r>
    <n v="11033"/>
    <n v="53"/>
    <n v="32.799999999999997"/>
    <n v="70"/>
    <n v="0.1"/>
    <s v="Myrcha, Jacek"/>
    <s v="Myrcha Jacek"/>
    <x v="9"/>
    <n v="0"/>
    <s v="Product BKGEA"/>
    <x v="7"/>
    <x v="465"/>
    <d v="2008-04-23T00:00:00"/>
    <x v="3"/>
    <s v="Ship to 68-A"/>
    <x v="4"/>
    <s v="Supplier JNNES"/>
    <s v="Australia"/>
    <x v="1"/>
    <n v="2066.4"/>
  </r>
  <r>
    <n v="11033"/>
    <n v="69"/>
    <n v="36"/>
    <n v="36"/>
    <n v="0.1"/>
    <s v="Myrcha, Jacek"/>
    <s v="Myrcha Jacek"/>
    <x v="9"/>
    <n v="0"/>
    <s v="Product COAXA"/>
    <x v="0"/>
    <x v="465"/>
    <d v="2008-04-23T00:00:00"/>
    <x v="3"/>
    <s v="Ship to 68-A"/>
    <x v="4"/>
    <s v="Supplier NZLIF"/>
    <s v="Norway"/>
    <x v="1"/>
    <n v="1166.4000000000001"/>
  </r>
  <r>
    <n v="11034"/>
    <n v="21"/>
    <n v="10"/>
    <n v="15"/>
    <n v="0.1"/>
    <s v="Egelund-Muller, Anja"/>
    <s v="Egelund-Muller Anja"/>
    <x v="6"/>
    <s v="WA"/>
    <s v="Product VJZZH"/>
    <x v="5"/>
    <x v="466"/>
    <d v="2008-04-27T00:00:00"/>
    <x v="2"/>
    <s v="Ship to 55-B"/>
    <x v="9"/>
    <s v="Supplier BWGYE"/>
    <s v="UK"/>
    <x v="1"/>
    <n v="135"/>
  </r>
  <r>
    <n v="11034"/>
    <n v="44"/>
    <n v="19.45"/>
    <n v="12"/>
    <n v="0"/>
    <s v="Egelund-Muller, Anja"/>
    <s v="Egelund-Muller Anja"/>
    <x v="6"/>
    <s v="WA"/>
    <s v="Product VJIEO"/>
    <x v="4"/>
    <x v="466"/>
    <d v="2008-04-27T00:00:00"/>
    <x v="2"/>
    <s v="Ship to 55-B"/>
    <x v="9"/>
    <s v="Supplier CIYNM"/>
    <s v="Singapore"/>
    <x v="1"/>
    <n v="233.39999999999998"/>
  </r>
  <r>
    <n v="11034"/>
    <n v="61"/>
    <n v="28.5"/>
    <n v="6"/>
    <n v="0"/>
    <s v="Egelund-Muller, Anja"/>
    <s v="Egelund-Muller Anja"/>
    <x v="6"/>
    <s v="WA"/>
    <s v="Product XYZPE"/>
    <x v="4"/>
    <x v="466"/>
    <d v="2008-04-27T00:00:00"/>
    <x v="2"/>
    <s v="Ship to 55-B"/>
    <x v="9"/>
    <s v="Supplier OGLRK"/>
    <s v="Canada"/>
    <x v="1"/>
    <n v="171"/>
  </r>
  <r>
    <n v="11035"/>
    <n v="1"/>
    <n v="18"/>
    <n v="10"/>
    <n v="0"/>
    <s v="Gulbis, Katrin"/>
    <s v="Gulbis Katrin"/>
    <x v="8"/>
    <s v="WA"/>
    <s v="Product HHYDP"/>
    <x v="6"/>
    <x v="466"/>
    <d v="2008-04-24T00:00:00"/>
    <x v="1"/>
    <s v="Ship to 76-B"/>
    <x v="3"/>
    <s v="Supplier SWRXU"/>
    <s v="UK"/>
    <x v="1"/>
    <n v="180"/>
  </r>
  <r>
    <n v="11035"/>
    <n v="35"/>
    <n v="18"/>
    <n v="60"/>
    <n v="0"/>
    <s v="Gulbis, Katrin"/>
    <s v="Gulbis Katrin"/>
    <x v="8"/>
    <s v="WA"/>
    <s v="Product NEVTJ"/>
    <x v="6"/>
    <x v="466"/>
    <d v="2008-04-24T00:00:00"/>
    <x v="1"/>
    <s v="Ship to 76-B"/>
    <x v="3"/>
    <s v="Supplier UHZRG"/>
    <s v="USA"/>
    <x v="1"/>
    <n v="1080"/>
  </r>
  <r>
    <n v="11035"/>
    <n v="42"/>
    <n v="14"/>
    <n v="30"/>
    <n v="0"/>
    <s v="Gulbis, Katrin"/>
    <s v="Gulbis Katrin"/>
    <x v="8"/>
    <s v="WA"/>
    <s v="Product RJVNM"/>
    <x v="1"/>
    <x v="466"/>
    <d v="2008-04-24T00:00:00"/>
    <x v="1"/>
    <s v="Ship to 76-B"/>
    <x v="3"/>
    <s v="Supplier CIYNM"/>
    <s v="Singapore"/>
    <x v="1"/>
    <n v="420"/>
  </r>
  <r>
    <n v="11035"/>
    <n v="54"/>
    <n v="7.45"/>
    <n v="10"/>
    <n v="0"/>
    <s v="Gulbis, Katrin"/>
    <s v="Gulbis Katrin"/>
    <x v="8"/>
    <s v="WA"/>
    <s v="Product QAQRL"/>
    <x v="7"/>
    <x v="466"/>
    <d v="2008-04-24T00:00:00"/>
    <x v="1"/>
    <s v="Ship to 76-B"/>
    <x v="3"/>
    <s v="Supplier ERVYZ"/>
    <s v="Canada"/>
    <x v="1"/>
    <n v="74.5"/>
  </r>
  <r>
    <n v="11036"/>
    <n v="13"/>
    <n v="6"/>
    <n v="7"/>
    <n v="0"/>
    <s v="Jones, TiAnna"/>
    <s v="Jones TiAnna"/>
    <x v="6"/>
    <s v="WA"/>
    <s v="Product POXFU"/>
    <x v="3"/>
    <x v="466"/>
    <d v="2008-04-22T00:00:00"/>
    <x v="3"/>
    <s v="Destination YPUYI"/>
    <x v="8"/>
    <s v="Supplier QWUSF"/>
    <s v="Japan"/>
    <x v="2"/>
    <n v="42"/>
  </r>
  <r>
    <n v="11036"/>
    <n v="59"/>
    <n v="55"/>
    <n v="30"/>
    <n v="0"/>
    <s v="Jones, TiAnna"/>
    <s v="Jones TiAnna"/>
    <x v="6"/>
    <s v="WA"/>
    <s v="Product UKXRI"/>
    <x v="0"/>
    <x v="466"/>
    <d v="2008-04-22T00:00:00"/>
    <x v="3"/>
    <s v="Destination YPUYI"/>
    <x v="8"/>
    <s v="Supplier OAVQT"/>
    <s v="France"/>
    <x v="2"/>
    <n v="1650"/>
  </r>
  <r>
    <n v="11037"/>
    <n v="70"/>
    <n v="15"/>
    <n v="4"/>
    <n v="0"/>
    <s v="Shabalin, Rostislav"/>
    <s v="Shabalin Rostislav"/>
    <x v="9"/>
    <n v="0"/>
    <s v="Product TOONT"/>
    <x v="6"/>
    <x v="467"/>
    <d v="2008-04-27T00:00:00"/>
    <x v="2"/>
    <s v="Destination GGQIR"/>
    <x v="13"/>
    <s v="Supplier GQRCV"/>
    <s v="Australia"/>
    <x v="1"/>
    <n v="60"/>
  </r>
  <r>
    <n v="11038"/>
    <n v="40"/>
    <n v="18.399999999999999"/>
    <n v="5"/>
    <n v="0.2"/>
    <s v="Gulbis, Katrin"/>
    <s v="Gulbis Katrin"/>
    <x v="5"/>
    <s v="WA"/>
    <s v="Product YZIXQ"/>
    <x v="3"/>
    <x v="467"/>
    <d v="2008-04-30T00:00:00"/>
    <x v="1"/>
    <s v="Ship to 76-A"/>
    <x v="3"/>
    <s v="Supplier JDNUG"/>
    <s v="USA"/>
    <x v="1"/>
    <n v="73.600000000000009"/>
  </r>
  <r>
    <n v="11038"/>
    <n v="52"/>
    <n v="7"/>
    <n v="2"/>
    <n v="0"/>
    <s v="Gulbis, Katrin"/>
    <s v="Gulbis Katrin"/>
    <x v="5"/>
    <s v="WA"/>
    <s v="Product QSRXF"/>
    <x v="1"/>
    <x v="467"/>
    <d v="2008-04-30T00:00:00"/>
    <x v="1"/>
    <s v="Ship to 76-A"/>
    <x v="3"/>
    <s v="Supplier JNNES"/>
    <s v="Australia"/>
    <x v="1"/>
    <n v="14"/>
  </r>
  <r>
    <n v="11038"/>
    <n v="71"/>
    <n v="21.5"/>
    <n v="30"/>
    <n v="0"/>
    <s v="Gulbis, Katrin"/>
    <s v="Gulbis Katrin"/>
    <x v="5"/>
    <s v="WA"/>
    <s v="Product MYMOI"/>
    <x v="0"/>
    <x v="467"/>
    <d v="2008-04-30T00:00:00"/>
    <x v="1"/>
    <s v="Ship to 76-A"/>
    <x v="3"/>
    <s v="Supplier NZLIF"/>
    <s v="Norway"/>
    <x v="1"/>
    <n v="645"/>
  </r>
  <r>
    <n v="11039"/>
    <n v="28"/>
    <n v="45.6"/>
    <n v="20"/>
    <n v="0"/>
    <s v="Lupu, Cornel"/>
    <s v="Lupu Cornel"/>
    <x v="5"/>
    <s v="WA"/>
    <s v="Product OFBNT"/>
    <x v="2"/>
    <x v="467"/>
    <d v="1899-12-30T00:00:00"/>
    <x v="1"/>
    <s v="Ship to 47-C"/>
    <x v="5"/>
    <s v="Supplier SVIYA"/>
    <s v="Germany"/>
    <x v="1"/>
    <n v="912"/>
  </r>
  <r>
    <n v="11039"/>
    <n v="35"/>
    <n v="18"/>
    <n v="24"/>
    <n v="0"/>
    <s v="Lupu, Cornel"/>
    <s v="Lupu Cornel"/>
    <x v="5"/>
    <s v="WA"/>
    <s v="Product NEVTJ"/>
    <x v="6"/>
    <x v="467"/>
    <d v="1899-12-30T00:00:00"/>
    <x v="1"/>
    <s v="Ship to 47-C"/>
    <x v="5"/>
    <s v="Supplier UHZRG"/>
    <s v="USA"/>
    <x v="1"/>
    <n v="432"/>
  </r>
  <r>
    <n v="11039"/>
    <n v="49"/>
    <n v="20"/>
    <n v="60"/>
    <n v="0"/>
    <s v="Lupu, Cornel"/>
    <s v="Lupu Cornel"/>
    <x v="5"/>
    <s v="WA"/>
    <s v="Product FPYPN"/>
    <x v="5"/>
    <x v="467"/>
    <d v="1899-12-30T00:00:00"/>
    <x v="1"/>
    <s v="Ship to 47-C"/>
    <x v="5"/>
    <s v="Supplier ELCRN"/>
    <s v="Finland"/>
    <x v="1"/>
    <n v="1200"/>
  </r>
  <r>
    <n v="11039"/>
    <n v="57"/>
    <n v="19.5"/>
    <n v="28"/>
    <n v="0"/>
    <s v="Lupu, Cornel"/>
    <s v="Lupu Cornel"/>
    <x v="5"/>
    <s v="WA"/>
    <s v="Product OVLQI"/>
    <x v="1"/>
    <x v="467"/>
    <d v="1899-12-30T00:00:00"/>
    <x v="1"/>
    <s v="Ship to 47-C"/>
    <x v="5"/>
    <s v="Supplier ZWZDM"/>
    <s v="Italy"/>
    <x v="1"/>
    <n v="546"/>
  </r>
  <r>
    <n v="11040"/>
    <n v="21"/>
    <n v="10"/>
    <n v="20"/>
    <n v="0"/>
    <s v="Krishnan, Venky"/>
    <s v="Krishnan Venky"/>
    <x v="1"/>
    <s v="WA"/>
    <s v="Product VJZZH"/>
    <x v="5"/>
    <x v="468"/>
    <d v="1899-12-30T00:00:00"/>
    <x v="3"/>
    <s v="Destination VYOBK"/>
    <x v="9"/>
    <s v="Supplier BWGYE"/>
    <s v="UK"/>
    <x v="1"/>
    <n v="200"/>
  </r>
  <r>
    <n v="11041"/>
    <n v="2"/>
    <n v="19"/>
    <n v="30"/>
    <n v="0.2"/>
    <s v="Jelitto, Jacek"/>
    <s v="Jelitto Jacek"/>
    <x v="2"/>
    <s v="WA"/>
    <s v="Product RECZE"/>
    <x v="6"/>
    <x v="468"/>
    <d v="2008-04-28T00:00:00"/>
    <x v="1"/>
    <s v="Destination YUJRD"/>
    <x v="4"/>
    <s v="Supplier SWRXU"/>
    <s v="UK"/>
    <x v="1"/>
    <n v="456"/>
  </r>
  <r>
    <n v="11041"/>
    <n v="63"/>
    <n v="43.9"/>
    <n v="30"/>
    <n v="0"/>
    <s v="Jelitto, Jacek"/>
    <s v="Jelitto Jacek"/>
    <x v="2"/>
    <s v="WA"/>
    <s v="Product ICKNK"/>
    <x v="4"/>
    <x v="468"/>
    <d v="2008-04-28T00:00:00"/>
    <x v="1"/>
    <s v="Destination YUJRD"/>
    <x v="4"/>
    <s v="Supplier GQRCV"/>
    <s v="Australia"/>
    <x v="1"/>
    <n v="1317"/>
  </r>
  <r>
    <n v="11042"/>
    <n v="44"/>
    <n v="19.45"/>
    <n v="15"/>
    <n v="0"/>
    <s v="Richardson, Shawn"/>
    <s v="Richardson Shawn"/>
    <x v="8"/>
    <s v="WA"/>
    <s v="Product VJIEO"/>
    <x v="4"/>
    <x v="468"/>
    <d v="2008-05-01T00:00:00"/>
    <x v="2"/>
    <s v="Destination EVHYA"/>
    <x v="1"/>
    <s v="Supplier CIYNM"/>
    <s v="Singapore"/>
    <x v="1"/>
    <n v="291.75"/>
  </r>
  <r>
    <n v="11042"/>
    <n v="61"/>
    <n v="28.5"/>
    <n v="4"/>
    <n v="0"/>
    <s v="Richardson, Shawn"/>
    <s v="Richardson Shawn"/>
    <x v="8"/>
    <s v="WA"/>
    <s v="Product XYZPE"/>
    <x v="4"/>
    <x v="468"/>
    <d v="2008-05-01T00:00:00"/>
    <x v="2"/>
    <s v="Destination EVHYA"/>
    <x v="1"/>
    <s v="Supplier OGLRK"/>
    <s v="Canada"/>
    <x v="1"/>
    <n v="114"/>
  </r>
  <r>
    <n v="11043"/>
    <n v="11"/>
    <n v="21"/>
    <n v="10"/>
    <n v="0"/>
    <s v="O’Brien, Dave"/>
    <s v="O’Brien Dave"/>
    <x v="3"/>
    <n v="0"/>
    <s v="Product QMVUN"/>
    <x v="0"/>
    <x v="468"/>
    <d v="2008-04-29T00:00:00"/>
    <x v="1"/>
    <s v="Ship to 74-B"/>
    <x v="2"/>
    <s v="Supplier EQPNC"/>
    <s v="Spain"/>
    <x v="1"/>
    <n v="210"/>
  </r>
  <r>
    <n v="11044"/>
    <n v="62"/>
    <n v="49.3"/>
    <n v="12"/>
    <n v="0"/>
    <s v="Conn, Steve"/>
    <s v="Conn Steve"/>
    <x v="1"/>
    <s v="WA"/>
    <s v="Product WUXYK"/>
    <x v="5"/>
    <x v="469"/>
    <d v="2008-05-01T00:00:00"/>
    <x v="2"/>
    <s v="Ship to 91-B"/>
    <x v="19"/>
    <s v="Supplier OGLRK"/>
    <s v="Canada"/>
    <x v="1"/>
    <n v="591.59999999999991"/>
  </r>
  <r>
    <n v="11045"/>
    <n v="33"/>
    <n v="2.5"/>
    <n v="15"/>
    <n v="0"/>
    <s v="Bassols, Pilar Colome"/>
    <s v="Bassols Pilar Colome"/>
    <x v="7"/>
    <n v="0"/>
    <s v="Product ASTMN"/>
    <x v="0"/>
    <x v="469"/>
    <d v="1899-12-30T00:00:00"/>
    <x v="1"/>
    <s v="Destination LPHSI"/>
    <x v="17"/>
    <s v="Supplier NZLIF"/>
    <s v="Norway"/>
    <x v="1"/>
    <n v="37.5"/>
  </r>
  <r>
    <n v="11045"/>
    <n v="51"/>
    <n v="53"/>
    <n v="24"/>
    <n v="0"/>
    <s v="Bassols, Pilar Colome"/>
    <s v="Bassols Pilar Colome"/>
    <x v="7"/>
    <n v="0"/>
    <s v="Product APITJ"/>
    <x v="2"/>
    <x v="469"/>
    <d v="1899-12-30T00:00:00"/>
    <x v="1"/>
    <s v="Destination LPHSI"/>
    <x v="17"/>
    <s v="Supplier JNNES"/>
    <s v="Australia"/>
    <x v="1"/>
    <n v="1272"/>
  </r>
  <r>
    <n v="11046"/>
    <n v="12"/>
    <n v="38"/>
    <n v="20"/>
    <n v="0.05"/>
    <s v="Syamala, Manoj"/>
    <s v="Syamala Manoj"/>
    <x v="6"/>
    <s v="WA"/>
    <s v="Product OSFNS"/>
    <x v="0"/>
    <x v="469"/>
    <d v="2008-04-24T00:00:00"/>
    <x v="1"/>
    <s v="Ship to 86-C"/>
    <x v="8"/>
    <s v="Supplier EQPNC"/>
    <s v="Spain"/>
    <x v="1"/>
    <n v="722"/>
  </r>
  <r>
    <n v="11046"/>
    <n v="32"/>
    <n v="32"/>
    <n v="15"/>
    <n v="0.05"/>
    <s v="Syamala, Manoj"/>
    <s v="Syamala Manoj"/>
    <x v="6"/>
    <s v="WA"/>
    <s v="Product NUNAW"/>
    <x v="0"/>
    <x v="469"/>
    <d v="2008-04-24T00:00:00"/>
    <x v="1"/>
    <s v="Ship to 86-C"/>
    <x v="8"/>
    <s v="Supplier KEREV"/>
    <s v="Italy"/>
    <x v="1"/>
    <n v="456"/>
  </r>
  <r>
    <n v="11046"/>
    <n v="35"/>
    <n v="18"/>
    <n v="18"/>
    <n v="0.05"/>
    <s v="Syamala, Manoj"/>
    <s v="Syamala Manoj"/>
    <x v="6"/>
    <s v="WA"/>
    <s v="Product NEVTJ"/>
    <x v="6"/>
    <x v="469"/>
    <d v="2008-04-24T00:00:00"/>
    <x v="1"/>
    <s v="Ship to 86-C"/>
    <x v="8"/>
    <s v="Supplier UHZRG"/>
    <s v="USA"/>
    <x v="1"/>
    <n v="307.8"/>
  </r>
  <r>
    <n v="11047"/>
    <n v="1"/>
    <n v="18"/>
    <n v="25"/>
    <n v="0.25"/>
    <s v="Boseman, Randall"/>
    <s v="Boseman Randall"/>
    <x v="9"/>
    <n v="0"/>
    <s v="Product HHYDP"/>
    <x v="6"/>
    <x v="470"/>
    <d v="2008-05-01T00:00:00"/>
    <x v="3"/>
    <s v="Destination FRCGJ"/>
    <x v="14"/>
    <s v="Supplier SWRXU"/>
    <s v="UK"/>
    <x v="1"/>
    <n v="337.5"/>
  </r>
  <r>
    <n v="11047"/>
    <n v="5"/>
    <n v="21.35"/>
    <n v="30"/>
    <n v="0.25"/>
    <s v="Boseman, Randall"/>
    <s v="Boseman Randall"/>
    <x v="9"/>
    <n v="0"/>
    <s v="Product EPEIM"/>
    <x v="4"/>
    <x v="470"/>
    <d v="2008-05-01T00:00:00"/>
    <x v="3"/>
    <s v="Destination FRCGJ"/>
    <x v="14"/>
    <s v="Supplier VHQZD"/>
    <s v="USA"/>
    <x v="1"/>
    <n v="480.375"/>
  </r>
  <r>
    <n v="11048"/>
    <n v="68"/>
    <n v="12.5"/>
    <n v="42"/>
    <n v="0"/>
    <s v="Bassols, Pilar Colome"/>
    <s v="Bassols Pilar Colome"/>
    <x v="9"/>
    <n v="0"/>
    <s v="Product TBTBL"/>
    <x v="5"/>
    <x v="470"/>
    <d v="2008-04-30T00:00:00"/>
    <x v="3"/>
    <s v="Destination XJIBQ"/>
    <x v="17"/>
    <s v="Supplier BWGYE"/>
    <s v="UK"/>
    <x v="1"/>
    <n v="525"/>
  </r>
  <r>
    <n v="11049"/>
    <n v="2"/>
    <n v="19"/>
    <n v="10"/>
    <n v="0.2"/>
    <s v="Cheng, Yao-Qiang"/>
    <s v="Cheng Yao-Qiang"/>
    <x v="2"/>
    <s v="WA"/>
    <s v="Product RECZE"/>
    <x v="6"/>
    <x v="470"/>
    <d v="2008-05-04T00:00:00"/>
    <x v="2"/>
    <s v="Destination XOIGC"/>
    <x v="1"/>
    <s v="Supplier SWRXU"/>
    <s v="UK"/>
    <x v="1"/>
    <n v="152"/>
  </r>
  <r>
    <n v="11049"/>
    <n v="12"/>
    <n v="38"/>
    <n v="4"/>
    <n v="0.2"/>
    <s v="Cheng, Yao-Qiang"/>
    <s v="Cheng Yao-Qiang"/>
    <x v="2"/>
    <s v="WA"/>
    <s v="Product OSFNS"/>
    <x v="0"/>
    <x v="470"/>
    <d v="2008-05-04T00:00:00"/>
    <x v="2"/>
    <s v="Destination XOIGC"/>
    <x v="1"/>
    <s v="Supplier EQPNC"/>
    <s v="Spain"/>
    <x v="1"/>
    <n v="121.60000000000001"/>
  </r>
  <r>
    <n v="11050"/>
    <n v="76"/>
    <n v="18"/>
    <n v="50"/>
    <n v="0.1"/>
    <s v="San Juan, Patricia"/>
    <s v="San Juan Patricia"/>
    <x v="6"/>
    <s v="WA"/>
    <s v="Product JYGFE"/>
    <x v="6"/>
    <x v="471"/>
    <d v="2008-05-05T00:00:00"/>
    <x v="1"/>
    <s v="Destination YCMPK"/>
    <x v="10"/>
    <s v="Supplier ELCRN"/>
    <s v="Finland"/>
    <x v="1"/>
    <n v="810"/>
  </r>
  <r>
    <n v="11051"/>
    <n v="24"/>
    <n v="4.5"/>
    <n v="10"/>
    <n v="0.2"/>
    <s v="Litton, Tim"/>
    <s v="Litton Tim"/>
    <x v="9"/>
    <n v="0"/>
    <s v="Product QOGNU"/>
    <x v="6"/>
    <x v="471"/>
    <d v="1899-12-30T00:00:00"/>
    <x v="3"/>
    <s v="Destination OLJND"/>
    <x v="2"/>
    <s v="Supplier UNAHG"/>
    <s v="Brazil"/>
    <x v="1"/>
    <n v="36"/>
  </r>
  <r>
    <n v="11052"/>
    <n v="43"/>
    <n v="46"/>
    <n v="30"/>
    <n v="0.2"/>
    <s v="Cohen, Shy"/>
    <s v="Cohen Shy"/>
    <x v="2"/>
    <s v="WA"/>
    <s v="Product ZZZHR"/>
    <x v="6"/>
    <x v="471"/>
    <d v="2008-05-01T00:00:00"/>
    <x v="2"/>
    <s v="Destination DPCVR"/>
    <x v="1"/>
    <s v="Supplier CIYNM"/>
    <s v="Singapore"/>
    <x v="1"/>
    <n v="1104"/>
  </r>
  <r>
    <n v="11052"/>
    <n v="61"/>
    <n v="28.5"/>
    <n v="10"/>
    <n v="0.2"/>
    <s v="Cohen, Shy"/>
    <s v="Cohen Shy"/>
    <x v="2"/>
    <s v="WA"/>
    <s v="Product XYZPE"/>
    <x v="4"/>
    <x v="471"/>
    <d v="2008-05-01T00:00:00"/>
    <x v="2"/>
    <s v="Destination DPCVR"/>
    <x v="1"/>
    <s v="Supplier OGLRK"/>
    <s v="Canada"/>
    <x v="1"/>
    <n v="228"/>
  </r>
  <r>
    <n v="11053"/>
    <n v="18"/>
    <n v="62.5"/>
    <n v="35"/>
    <n v="0.2"/>
    <s v="Meston, Tosh"/>
    <s v="Meston Tosh"/>
    <x v="8"/>
    <s v="WA"/>
    <s v="Product CKEDC"/>
    <x v="3"/>
    <x v="471"/>
    <d v="2008-04-29T00:00:00"/>
    <x v="1"/>
    <s v="Ship to 59-A"/>
    <x v="6"/>
    <s v="Supplier GQRCV"/>
    <s v="Australia"/>
    <x v="1"/>
    <n v="1750"/>
  </r>
  <r>
    <n v="11053"/>
    <n v="32"/>
    <n v="32"/>
    <n v="20"/>
    <n v="0"/>
    <s v="Meston, Tosh"/>
    <s v="Meston Tosh"/>
    <x v="8"/>
    <s v="WA"/>
    <s v="Product NUNAW"/>
    <x v="0"/>
    <x v="471"/>
    <d v="2008-04-29T00:00:00"/>
    <x v="1"/>
    <s v="Ship to 59-A"/>
    <x v="6"/>
    <s v="Supplier KEREV"/>
    <s v="Italy"/>
    <x v="1"/>
    <n v="640"/>
  </r>
  <r>
    <n v="11053"/>
    <n v="64"/>
    <n v="33.25"/>
    <n v="25"/>
    <n v="0.2"/>
    <s v="Meston, Tosh"/>
    <s v="Meston Tosh"/>
    <x v="8"/>
    <s v="WA"/>
    <s v="Product HCQDE"/>
    <x v="1"/>
    <x v="471"/>
    <d v="2008-04-29T00:00:00"/>
    <x v="1"/>
    <s v="Ship to 59-A"/>
    <x v="6"/>
    <s v="Supplier SVIYA"/>
    <s v="Germany"/>
    <x v="1"/>
    <n v="665"/>
  </r>
  <r>
    <n v="11054"/>
    <n v="33"/>
    <n v="2.5"/>
    <n v="10"/>
    <n v="0"/>
    <s v="Ray, Mike"/>
    <s v="Ray Mike"/>
    <x v="6"/>
    <s v="WA"/>
    <s v="Product ASTMN"/>
    <x v="0"/>
    <x v="472"/>
    <d v="1899-12-30T00:00:00"/>
    <x v="2"/>
    <s v="Destination QTHBC"/>
    <x v="21"/>
    <s v="Supplier NZLIF"/>
    <s v="Norway"/>
    <x v="1"/>
    <n v="25"/>
  </r>
  <r>
    <n v="11054"/>
    <n v="67"/>
    <n v="14"/>
    <n v="20"/>
    <n v="0"/>
    <s v="Ray, Mike"/>
    <s v="Ray Mike"/>
    <x v="6"/>
    <s v="WA"/>
    <s v="Product XLXQF"/>
    <x v="6"/>
    <x v="472"/>
    <d v="1899-12-30T00:00:00"/>
    <x v="2"/>
    <s v="Destination QTHBC"/>
    <x v="21"/>
    <s v="Supplier UHZRG"/>
    <s v="USA"/>
    <x v="1"/>
    <n v="280"/>
  </r>
  <r>
    <n v="11055"/>
    <n v="24"/>
    <n v="4.5"/>
    <n v="15"/>
    <n v="0"/>
    <s v="Langohr, Kris"/>
    <s v="Langohr Kris"/>
    <x v="9"/>
    <n v="0"/>
    <s v="Product QOGNU"/>
    <x v="6"/>
    <x v="472"/>
    <d v="2008-05-05T00:00:00"/>
    <x v="1"/>
    <s v="Destination JYDLM"/>
    <x v="5"/>
    <s v="Supplier UNAHG"/>
    <s v="Brazil"/>
    <x v="2"/>
    <n v="67.5"/>
  </r>
  <r>
    <n v="11055"/>
    <n v="25"/>
    <n v="14"/>
    <n v="15"/>
    <n v="0"/>
    <s v="Langohr, Kris"/>
    <s v="Langohr Kris"/>
    <x v="9"/>
    <n v="0"/>
    <s v="Product LYLNI"/>
    <x v="5"/>
    <x v="472"/>
    <d v="2008-05-05T00:00:00"/>
    <x v="1"/>
    <s v="Destination JYDLM"/>
    <x v="5"/>
    <s v="Supplier ZPYVS"/>
    <s v="Germany"/>
    <x v="2"/>
    <n v="210"/>
  </r>
  <r>
    <n v="11055"/>
    <n v="51"/>
    <n v="53"/>
    <n v="20"/>
    <n v="0"/>
    <s v="Langohr, Kris"/>
    <s v="Langohr Kris"/>
    <x v="9"/>
    <n v="0"/>
    <s v="Product APITJ"/>
    <x v="2"/>
    <x v="472"/>
    <d v="2008-05-05T00:00:00"/>
    <x v="1"/>
    <s v="Destination JYDLM"/>
    <x v="5"/>
    <s v="Supplier JNNES"/>
    <s v="Australia"/>
    <x v="2"/>
    <n v="1060"/>
  </r>
  <r>
    <n v="11055"/>
    <n v="57"/>
    <n v="19.5"/>
    <n v="20"/>
    <n v="0"/>
    <s v="Langohr, Kris"/>
    <s v="Langohr Kris"/>
    <x v="9"/>
    <n v="0"/>
    <s v="Product OVLQI"/>
    <x v="1"/>
    <x v="472"/>
    <d v="2008-05-05T00:00:00"/>
    <x v="1"/>
    <s v="Destination JYDLM"/>
    <x v="5"/>
    <s v="Supplier ZWZDM"/>
    <s v="Italy"/>
    <x v="2"/>
    <n v="390"/>
  </r>
  <r>
    <n v="11056"/>
    <n v="7"/>
    <n v="30"/>
    <n v="40"/>
    <n v="0"/>
    <s v="Boseman, Randall"/>
    <s v="Boseman Randall"/>
    <x v="6"/>
    <s v="WA"/>
    <s v="Product HMLNI"/>
    <x v="2"/>
    <x v="472"/>
    <d v="2008-05-01T00:00:00"/>
    <x v="1"/>
    <s v="Destination QTKCU"/>
    <x v="14"/>
    <s v="Supplier STUAZ"/>
    <s v="USA"/>
    <x v="2"/>
    <n v="1200"/>
  </r>
  <r>
    <n v="11056"/>
    <n v="55"/>
    <n v="24"/>
    <n v="35"/>
    <n v="0"/>
    <s v="Boseman, Randall"/>
    <s v="Boseman Randall"/>
    <x v="6"/>
    <s v="WA"/>
    <s v="Product YYWRT"/>
    <x v="7"/>
    <x v="472"/>
    <d v="2008-05-01T00:00:00"/>
    <x v="1"/>
    <s v="Destination QTKCU"/>
    <x v="14"/>
    <s v="Supplier ERVYZ"/>
    <s v="Canada"/>
    <x v="2"/>
    <n v="840"/>
  </r>
  <r>
    <n v="11056"/>
    <n v="60"/>
    <n v="34"/>
    <n v="50"/>
    <n v="0"/>
    <s v="Boseman, Randall"/>
    <s v="Boseman Randall"/>
    <x v="6"/>
    <s v="WA"/>
    <s v="Product WHBYK"/>
    <x v="0"/>
    <x v="472"/>
    <d v="2008-05-01T00:00:00"/>
    <x v="1"/>
    <s v="Destination QTKCU"/>
    <x v="14"/>
    <s v="Supplier OAVQT"/>
    <s v="France"/>
    <x v="2"/>
    <n v="1700"/>
  </r>
  <r>
    <n v="11057"/>
    <n v="70"/>
    <n v="15"/>
    <n v="3"/>
    <n v="0"/>
    <s v="Mallit, Ken"/>
    <s v="Mallit Ken"/>
    <x v="2"/>
    <s v="WA"/>
    <s v="Product TOONT"/>
    <x v="6"/>
    <x v="473"/>
    <d v="2008-05-01T00:00:00"/>
    <x v="3"/>
    <s v="Ship to 53-C"/>
    <x v="14"/>
    <s v="Supplier GQRCV"/>
    <s v="Australia"/>
    <x v="1"/>
    <n v="45"/>
  </r>
  <r>
    <n v="11058"/>
    <n v="21"/>
    <n v="10"/>
    <n v="3"/>
    <n v="0"/>
    <s v="Poland, Carole"/>
    <s v="Poland Carole"/>
    <x v="4"/>
    <n v="0"/>
    <s v="Product VJZZH"/>
    <x v="5"/>
    <x v="473"/>
    <d v="1899-12-30T00:00:00"/>
    <x v="3"/>
    <s v="Ship to 6-A"/>
    <x v="8"/>
    <s v="Supplier BWGYE"/>
    <s v="UK"/>
    <x v="1"/>
    <n v="30"/>
  </r>
  <r>
    <n v="11058"/>
    <n v="60"/>
    <n v="34"/>
    <n v="21"/>
    <n v="0"/>
    <s v="Poland, Carole"/>
    <s v="Poland Carole"/>
    <x v="4"/>
    <n v="0"/>
    <s v="Product WHBYK"/>
    <x v="0"/>
    <x v="473"/>
    <d v="1899-12-30T00:00:00"/>
    <x v="3"/>
    <s v="Ship to 6-A"/>
    <x v="8"/>
    <s v="Supplier OAVQT"/>
    <s v="France"/>
    <x v="1"/>
    <n v="714"/>
  </r>
  <r>
    <n v="11058"/>
    <n v="61"/>
    <n v="28.5"/>
    <n v="4"/>
    <n v="0"/>
    <s v="Poland, Carole"/>
    <s v="Poland Carole"/>
    <x v="4"/>
    <n v="0"/>
    <s v="Product XYZPE"/>
    <x v="4"/>
    <x v="473"/>
    <d v="1899-12-30T00:00:00"/>
    <x v="3"/>
    <s v="Ship to 6-A"/>
    <x v="8"/>
    <s v="Supplier OGLRK"/>
    <s v="Canada"/>
    <x v="1"/>
    <n v="114"/>
  </r>
  <r>
    <n v="11059"/>
    <n v="13"/>
    <n v="6"/>
    <n v="30"/>
    <n v="0"/>
    <s v="Garden, Euan"/>
    <s v="Garden Euan"/>
    <x v="8"/>
    <s v="WA"/>
    <s v="Product POXFU"/>
    <x v="3"/>
    <x v="473"/>
    <d v="1899-12-30T00:00:00"/>
    <x v="1"/>
    <s v="Ship to 67-A"/>
    <x v="1"/>
    <s v="Supplier QWUSF"/>
    <s v="Japan"/>
    <x v="1"/>
    <n v="180"/>
  </r>
  <r>
    <n v="11059"/>
    <n v="17"/>
    <n v="39"/>
    <n v="12"/>
    <n v="0"/>
    <s v="Garden, Euan"/>
    <s v="Garden Euan"/>
    <x v="8"/>
    <s v="WA"/>
    <s v="Product BLCAX"/>
    <x v="7"/>
    <x v="473"/>
    <d v="1899-12-30T00:00:00"/>
    <x v="1"/>
    <s v="Ship to 67-A"/>
    <x v="1"/>
    <s v="Supplier GQRCV"/>
    <s v="Australia"/>
    <x v="1"/>
    <n v="468"/>
  </r>
  <r>
    <n v="11059"/>
    <n v="60"/>
    <n v="34"/>
    <n v="35"/>
    <n v="0"/>
    <s v="Garden, Euan"/>
    <s v="Garden Euan"/>
    <x v="8"/>
    <s v="WA"/>
    <s v="Product WHBYK"/>
    <x v="0"/>
    <x v="473"/>
    <d v="1899-12-30T00:00:00"/>
    <x v="1"/>
    <s v="Ship to 67-A"/>
    <x v="1"/>
    <s v="Supplier OAVQT"/>
    <s v="France"/>
    <x v="1"/>
    <n v="1190"/>
  </r>
  <r>
    <n v="11060"/>
    <n v="60"/>
    <n v="34"/>
    <n v="4"/>
    <n v="0"/>
    <s v="Schmöllerl, Martin"/>
    <s v="Schmöllerl Martin"/>
    <x v="8"/>
    <s v="WA"/>
    <s v="Product WHBYK"/>
    <x v="0"/>
    <x v="474"/>
    <d v="2008-05-04T00:00:00"/>
    <x v="1"/>
    <s v="Destination DICGM"/>
    <x v="12"/>
    <s v="Supplier OAVQT"/>
    <s v="France"/>
    <x v="1"/>
    <n v="136"/>
  </r>
  <r>
    <n v="11060"/>
    <n v="77"/>
    <n v="13"/>
    <n v="10"/>
    <n v="0"/>
    <s v="Schmöllerl, Martin"/>
    <s v="Schmöllerl Martin"/>
    <x v="8"/>
    <s v="WA"/>
    <s v="Product LUNZZ"/>
    <x v="4"/>
    <x v="474"/>
    <d v="2008-05-04T00:00:00"/>
    <x v="1"/>
    <s v="Destination DICGM"/>
    <x v="12"/>
    <s v="Supplier SVIYA"/>
    <s v="Germany"/>
    <x v="1"/>
    <n v="130"/>
  </r>
  <r>
    <n v="11061"/>
    <n v="60"/>
    <n v="34"/>
    <n v="15"/>
    <n v="0"/>
    <s v="Krishnan, Venky"/>
    <s v="Krishnan Venky"/>
    <x v="1"/>
    <s v="WA"/>
    <s v="Product WHBYK"/>
    <x v="0"/>
    <x v="474"/>
    <d v="1899-12-30T00:00:00"/>
    <x v="3"/>
    <s v="Destination VYOBK"/>
    <x v="9"/>
    <s v="Supplier OAVQT"/>
    <s v="France"/>
    <x v="1"/>
    <n v="510"/>
  </r>
  <r>
    <n v="11062"/>
    <n v="53"/>
    <n v="32.799999999999997"/>
    <n v="10"/>
    <n v="0.2"/>
    <s v="Voss, Florian"/>
    <s v="Voss Florian"/>
    <x v="1"/>
    <s v="WA"/>
    <s v="Product BKGEA"/>
    <x v="7"/>
    <x v="474"/>
    <d v="1899-12-30T00:00:00"/>
    <x v="1"/>
    <s v="Ship to 66-B"/>
    <x v="12"/>
    <s v="Supplier JNNES"/>
    <s v="Australia"/>
    <x v="1"/>
    <n v="262.40000000000003"/>
  </r>
  <r>
    <n v="11062"/>
    <n v="70"/>
    <n v="15"/>
    <n v="12"/>
    <n v="0.2"/>
    <s v="Voss, Florian"/>
    <s v="Voss Florian"/>
    <x v="1"/>
    <s v="WA"/>
    <s v="Product TOONT"/>
    <x v="6"/>
    <x v="474"/>
    <d v="1899-12-30T00:00:00"/>
    <x v="1"/>
    <s v="Ship to 66-B"/>
    <x v="12"/>
    <s v="Supplier GQRCV"/>
    <s v="Australia"/>
    <x v="1"/>
    <n v="144"/>
  </r>
  <r>
    <n v="11063"/>
    <n v="34"/>
    <n v="14"/>
    <n v="30"/>
    <n v="0"/>
    <s v="Crăciun, Ovidiu V."/>
    <s v="Crăciun Ovidiu V."/>
    <x v="2"/>
    <s v="WA"/>
    <s v="Product SWNJY"/>
    <x v="6"/>
    <x v="474"/>
    <d v="2008-05-06T00:00:00"/>
    <x v="1"/>
    <s v="Destination KPVYJ"/>
    <x v="15"/>
    <s v="Supplier UHZRG"/>
    <s v="USA"/>
    <x v="1"/>
    <n v="420"/>
  </r>
  <r>
    <n v="11063"/>
    <n v="40"/>
    <n v="18.399999999999999"/>
    <n v="40"/>
    <n v="0.1"/>
    <s v="Crăciun, Ovidiu V."/>
    <s v="Crăciun Ovidiu V."/>
    <x v="2"/>
    <s v="WA"/>
    <s v="Product YZIXQ"/>
    <x v="3"/>
    <x v="474"/>
    <d v="2008-05-06T00:00:00"/>
    <x v="1"/>
    <s v="Destination KPVYJ"/>
    <x v="15"/>
    <s v="Supplier JDNUG"/>
    <s v="USA"/>
    <x v="1"/>
    <n v="662.4"/>
  </r>
  <r>
    <n v="11063"/>
    <n v="41"/>
    <n v="9.65"/>
    <n v="30"/>
    <n v="0.1"/>
    <s v="Crăciun, Ovidiu V."/>
    <s v="Crăciun Ovidiu V."/>
    <x v="2"/>
    <s v="WA"/>
    <s v="Product TTEEX"/>
    <x v="3"/>
    <x v="474"/>
    <d v="2008-05-06T00:00:00"/>
    <x v="1"/>
    <s v="Destination KPVYJ"/>
    <x v="15"/>
    <s v="Supplier JDNUG"/>
    <s v="USA"/>
    <x v="1"/>
    <n v="260.55"/>
  </r>
  <r>
    <n v="11064"/>
    <n v="17"/>
    <n v="39"/>
    <n v="77"/>
    <n v="0.1"/>
    <s v="Navarro, Tomás"/>
    <s v="Navarro Tomás"/>
    <x v="5"/>
    <s v="WA"/>
    <s v="Product BLCAX"/>
    <x v="7"/>
    <x v="475"/>
    <d v="2008-05-04T00:00:00"/>
    <x v="2"/>
    <s v="Ship to 71-C"/>
    <x v="9"/>
    <s v="Supplier GQRCV"/>
    <s v="Australia"/>
    <x v="1"/>
    <n v="2702.7000000000003"/>
  </r>
  <r>
    <n v="11064"/>
    <n v="41"/>
    <n v="9.65"/>
    <n v="12"/>
    <n v="0"/>
    <s v="Navarro, Tomás"/>
    <s v="Navarro Tomás"/>
    <x v="5"/>
    <s v="WA"/>
    <s v="Product TTEEX"/>
    <x v="3"/>
    <x v="475"/>
    <d v="2008-05-04T00:00:00"/>
    <x v="2"/>
    <s v="Ship to 71-C"/>
    <x v="9"/>
    <s v="Supplier JDNUG"/>
    <s v="USA"/>
    <x v="1"/>
    <n v="115.80000000000001"/>
  </r>
  <r>
    <n v="11064"/>
    <n v="53"/>
    <n v="32.799999999999997"/>
    <n v="25"/>
    <n v="0.1"/>
    <s v="Navarro, Tomás"/>
    <s v="Navarro Tomás"/>
    <x v="5"/>
    <s v="WA"/>
    <s v="Product BKGEA"/>
    <x v="7"/>
    <x v="475"/>
    <d v="2008-05-04T00:00:00"/>
    <x v="2"/>
    <s v="Ship to 71-C"/>
    <x v="9"/>
    <s v="Supplier JNNES"/>
    <s v="Australia"/>
    <x v="1"/>
    <n v="737.99999999999989"/>
  </r>
  <r>
    <n v="11064"/>
    <n v="55"/>
    <n v="24"/>
    <n v="4"/>
    <n v="0.1"/>
    <s v="Navarro, Tomás"/>
    <s v="Navarro Tomás"/>
    <x v="5"/>
    <s v="WA"/>
    <s v="Product YYWRT"/>
    <x v="7"/>
    <x v="475"/>
    <d v="2008-05-04T00:00:00"/>
    <x v="2"/>
    <s v="Ship to 71-C"/>
    <x v="9"/>
    <s v="Supplier ERVYZ"/>
    <s v="Canada"/>
    <x v="1"/>
    <n v="86.4"/>
  </r>
  <r>
    <n v="11064"/>
    <n v="68"/>
    <n v="12.5"/>
    <n v="55"/>
    <n v="0"/>
    <s v="Navarro, Tomás"/>
    <s v="Navarro Tomás"/>
    <x v="5"/>
    <s v="WA"/>
    <s v="Product TBTBL"/>
    <x v="5"/>
    <x v="475"/>
    <d v="2008-05-04T00:00:00"/>
    <x v="2"/>
    <s v="Ship to 71-C"/>
    <x v="9"/>
    <s v="Supplier BWGYE"/>
    <s v="UK"/>
    <x v="1"/>
    <n v="687.5"/>
  </r>
  <r>
    <n v="11065"/>
    <n v="30"/>
    <n v="25.89"/>
    <n v="4"/>
    <n v="0.25"/>
    <s v="Dressler, Marlies"/>
    <s v="Dressler Marlies"/>
    <x v="6"/>
    <s v="WA"/>
    <s v="Product LYERX"/>
    <x v="3"/>
    <x v="475"/>
    <d v="1899-12-30T00:00:00"/>
    <x v="2"/>
    <s v="Ship to 46-C"/>
    <x v="5"/>
    <s v="Supplier TEGSC"/>
    <s v="Germany"/>
    <x v="1"/>
    <n v="77.67"/>
  </r>
  <r>
    <n v="11065"/>
    <n v="54"/>
    <n v="7.45"/>
    <n v="20"/>
    <n v="0.25"/>
    <s v="Dressler, Marlies"/>
    <s v="Dressler Marlies"/>
    <x v="6"/>
    <s v="WA"/>
    <s v="Product QAQRL"/>
    <x v="7"/>
    <x v="475"/>
    <d v="1899-12-30T00:00:00"/>
    <x v="2"/>
    <s v="Ship to 46-C"/>
    <x v="5"/>
    <s v="Supplier ERVYZ"/>
    <s v="Canada"/>
    <x v="1"/>
    <n v="111.75"/>
  </r>
  <r>
    <n v="11066"/>
    <n v="16"/>
    <n v="17.45"/>
    <n v="3"/>
    <n v="0"/>
    <s v="Smith Jr., Ronaldo"/>
    <s v="Smith Jr. Ronaldo"/>
    <x v="9"/>
    <n v="0"/>
    <s v="Product PAFRH"/>
    <x v="5"/>
    <x v="475"/>
    <d v="2008-05-04T00:00:00"/>
    <x v="1"/>
    <s v="Ship to 89-A"/>
    <x v="9"/>
    <s v="Supplier GQRCV"/>
    <s v="Australia"/>
    <x v="1"/>
    <n v="52.349999999999994"/>
  </r>
  <r>
    <n v="11066"/>
    <n v="19"/>
    <n v="9.1999999999999993"/>
    <n v="42"/>
    <n v="0"/>
    <s v="Smith Jr., Ronaldo"/>
    <s v="Smith Jr. Ronaldo"/>
    <x v="9"/>
    <n v="0"/>
    <s v="Product XKXDO"/>
    <x v="5"/>
    <x v="475"/>
    <d v="2008-05-04T00:00:00"/>
    <x v="1"/>
    <s v="Ship to 89-A"/>
    <x v="9"/>
    <s v="Supplier BWGYE"/>
    <s v="UK"/>
    <x v="1"/>
    <n v="386.4"/>
  </r>
  <r>
    <n v="11066"/>
    <n v="34"/>
    <n v="14"/>
    <n v="35"/>
    <n v="0"/>
    <s v="Smith Jr., Ronaldo"/>
    <s v="Smith Jr. Ronaldo"/>
    <x v="9"/>
    <n v="0"/>
    <s v="Product SWNJY"/>
    <x v="6"/>
    <x v="475"/>
    <d v="2008-05-04T00:00:00"/>
    <x v="1"/>
    <s v="Ship to 89-A"/>
    <x v="9"/>
    <s v="Supplier UHZRG"/>
    <s v="USA"/>
    <x v="1"/>
    <n v="490"/>
  </r>
  <r>
    <n v="11067"/>
    <n v="41"/>
    <n v="9.65"/>
    <n v="9"/>
    <n v="0"/>
    <s v="Jones, TiAnna"/>
    <s v="Jones TiAnna"/>
    <x v="5"/>
    <s v="WA"/>
    <s v="Product TTEEX"/>
    <x v="3"/>
    <x v="476"/>
    <d v="2008-05-06T00:00:00"/>
    <x v="1"/>
    <s v="Destination BJCXA"/>
    <x v="8"/>
    <s v="Supplier JDNUG"/>
    <s v="USA"/>
    <x v="1"/>
    <n v="86.850000000000009"/>
  </r>
  <r>
    <n v="11068"/>
    <n v="28"/>
    <n v="45.6"/>
    <n v="8"/>
    <n v="0.15"/>
    <s v="Misiec, Anna"/>
    <s v="Misiec Anna"/>
    <x v="6"/>
    <s v="WA"/>
    <s v="Product OFBNT"/>
    <x v="2"/>
    <x v="476"/>
    <d v="1899-12-30T00:00:00"/>
    <x v="1"/>
    <s v="Ship to 62-A"/>
    <x v="1"/>
    <s v="Supplier SVIYA"/>
    <s v="Germany"/>
    <x v="1"/>
    <n v="310.08"/>
  </r>
  <r>
    <n v="11068"/>
    <n v="43"/>
    <n v="46"/>
    <n v="36"/>
    <n v="0.15"/>
    <s v="Misiec, Anna"/>
    <s v="Misiec Anna"/>
    <x v="6"/>
    <s v="WA"/>
    <s v="Product ZZZHR"/>
    <x v="6"/>
    <x v="476"/>
    <d v="1899-12-30T00:00:00"/>
    <x v="1"/>
    <s v="Ship to 62-A"/>
    <x v="1"/>
    <s v="Supplier CIYNM"/>
    <s v="Singapore"/>
    <x v="1"/>
    <n v="1407.6"/>
  </r>
  <r>
    <n v="11068"/>
    <n v="77"/>
    <n v="13"/>
    <n v="28"/>
    <n v="0.15"/>
    <s v="Misiec, Anna"/>
    <s v="Misiec Anna"/>
    <x v="6"/>
    <s v="WA"/>
    <s v="Product LUNZZ"/>
    <x v="4"/>
    <x v="476"/>
    <d v="1899-12-30T00:00:00"/>
    <x v="1"/>
    <s v="Ship to 62-A"/>
    <x v="1"/>
    <s v="Supplier SVIYA"/>
    <s v="Germany"/>
    <x v="1"/>
    <n v="309.39999999999998"/>
  </r>
  <r>
    <n v="11069"/>
    <n v="39"/>
    <n v="18"/>
    <n v="20"/>
    <n v="0"/>
    <s v="Geschwandtner, Jens"/>
    <s v="Geschwandtner Jens"/>
    <x v="5"/>
    <s v="WA"/>
    <s v="Product LSOFL"/>
    <x v="6"/>
    <x v="476"/>
    <d v="2008-05-06T00:00:00"/>
    <x v="1"/>
    <s v="Ship to 80-B"/>
    <x v="7"/>
    <s v="Supplier LVJUA"/>
    <s v="France"/>
    <x v="1"/>
    <n v="360"/>
  </r>
  <r>
    <n v="11070"/>
    <n v="1"/>
    <n v="18"/>
    <n v="40"/>
    <n v="0.15"/>
    <s v="Louverdis, George"/>
    <s v="Louverdis George"/>
    <x v="8"/>
    <s v="WA"/>
    <s v="Product HHYDP"/>
    <x v="6"/>
    <x v="477"/>
    <d v="1899-12-30T00:00:00"/>
    <x v="2"/>
    <s v="Ship to 44-A"/>
    <x v="8"/>
    <s v="Supplier SWRXU"/>
    <s v="UK"/>
    <x v="2"/>
    <n v="612"/>
  </r>
  <r>
    <n v="11070"/>
    <n v="2"/>
    <n v="19"/>
    <n v="20"/>
    <n v="0.15"/>
    <s v="Louverdis, George"/>
    <s v="Louverdis George"/>
    <x v="8"/>
    <s v="WA"/>
    <s v="Product RECZE"/>
    <x v="6"/>
    <x v="477"/>
    <d v="1899-12-30T00:00:00"/>
    <x v="2"/>
    <s v="Ship to 44-A"/>
    <x v="8"/>
    <s v="Supplier SWRXU"/>
    <s v="UK"/>
    <x v="2"/>
    <n v="323"/>
  </r>
  <r>
    <n v="11070"/>
    <n v="16"/>
    <n v="17.45"/>
    <n v="30"/>
    <n v="0.15"/>
    <s v="Louverdis, George"/>
    <s v="Louverdis George"/>
    <x v="8"/>
    <s v="WA"/>
    <s v="Product PAFRH"/>
    <x v="5"/>
    <x v="477"/>
    <d v="1899-12-30T00:00:00"/>
    <x v="2"/>
    <s v="Ship to 44-A"/>
    <x v="8"/>
    <s v="Supplier GQRCV"/>
    <s v="Australia"/>
    <x v="2"/>
    <n v="444.97499999999997"/>
  </r>
  <r>
    <n v="11070"/>
    <n v="31"/>
    <n v="12.5"/>
    <n v="20"/>
    <n v="0"/>
    <s v="Louverdis, George"/>
    <s v="Louverdis George"/>
    <x v="8"/>
    <s v="WA"/>
    <s v="Product XWOXC"/>
    <x v="0"/>
    <x v="477"/>
    <d v="1899-12-30T00:00:00"/>
    <x v="2"/>
    <s v="Ship to 44-A"/>
    <x v="8"/>
    <s v="Supplier KEREV"/>
    <s v="Italy"/>
    <x v="2"/>
    <n v="250"/>
  </r>
  <r>
    <n v="11071"/>
    <n v="7"/>
    <n v="30"/>
    <n v="15"/>
    <n v="0.05"/>
    <s v="Dressler, Marlies"/>
    <s v="Dressler Marlies"/>
    <x v="5"/>
    <s v="WA"/>
    <s v="Product HMLNI"/>
    <x v="2"/>
    <x v="477"/>
    <d v="1899-12-30T00:00:00"/>
    <x v="2"/>
    <s v="Ship to 46-B"/>
    <x v="5"/>
    <s v="Supplier STUAZ"/>
    <s v="USA"/>
    <x v="1"/>
    <n v="427.5"/>
  </r>
  <r>
    <n v="11071"/>
    <n v="13"/>
    <n v="6"/>
    <n v="10"/>
    <n v="0.05"/>
    <s v="Dressler, Marlies"/>
    <s v="Dressler Marlies"/>
    <x v="5"/>
    <s v="WA"/>
    <s v="Product POXFU"/>
    <x v="3"/>
    <x v="477"/>
    <d v="1899-12-30T00:00:00"/>
    <x v="2"/>
    <s v="Ship to 46-B"/>
    <x v="5"/>
    <s v="Supplier QWUSF"/>
    <s v="Japan"/>
    <x v="1"/>
    <n v="57"/>
  </r>
  <r>
    <n v="11072"/>
    <n v="2"/>
    <n v="19"/>
    <n v="8"/>
    <n v="0"/>
    <s v="Kane, John"/>
    <s v="Kane John"/>
    <x v="1"/>
    <s v="WA"/>
    <s v="Product RECZE"/>
    <x v="6"/>
    <x v="477"/>
    <d v="1899-12-30T00:00:00"/>
    <x v="1"/>
    <s v="Destination RVDMF"/>
    <x v="6"/>
    <s v="Supplier SWRXU"/>
    <s v="UK"/>
    <x v="2"/>
    <n v="152"/>
  </r>
  <r>
    <n v="11072"/>
    <n v="41"/>
    <n v="9.65"/>
    <n v="40"/>
    <n v="0"/>
    <s v="Kane, John"/>
    <s v="Kane John"/>
    <x v="1"/>
    <s v="WA"/>
    <s v="Product TTEEX"/>
    <x v="3"/>
    <x v="477"/>
    <d v="1899-12-30T00:00:00"/>
    <x v="1"/>
    <s v="Destination RVDMF"/>
    <x v="6"/>
    <s v="Supplier JDNUG"/>
    <s v="USA"/>
    <x v="2"/>
    <n v="386"/>
  </r>
  <r>
    <n v="11072"/>
    <n v="50"/>
    <n v="16.25"/>
    <n v="22"/>
    <n v="0"/>
    <s v="Kane, John"/>
    <s v="Kane John"/>
    <x v="1"/>
    <s v="WA"/>
    <s v="Product BIUDV"/>
    <x v="5"/>
    <x v="477"/>
    <d v="1899-12-30T00:00:00"/>
    <x v="1"/>
    <s v="Destination RVDMF"/>
    <x v="6"/>
    <s v="Supplier ELCRN"/>
    <s v="Finland"/>
    <x v="2"/>
    <n v="357.5"/>
  </r>
  <r>
    <n v="11072"/>
    <n v="64"/>
    <n v="33.25"/>
    <n v="130"/>
    <n v="0"/>
    <s v="Kane, John"/>
    <s v="Kane John"/>
    <x v="1"/>
    <s v="WA"/>
    <s v="Product HCQDE"/>
    <x v="1"/>
    <x v="477"/>
    <d v="1899-12-30T00:00:00"/>
    <x v="1"/>
    <s v="Destination RVDMF"/>
    <x v="6"/>
    <s v="Supplier SVIYA"/>
    <s v="Germany"/>
    <x v="2"/>
    <n v="4322.5"/>
  </r>
  <r>
    <n v="11073"/>
    <n v="11"/>
    <n v="21"/>
    <n v="10"/>
    <n v="0"/>
    <s v="Fakhouri, Fadi"/>
    <s v="Fakhouri Fadi"/>
    <x v="8"/>
    <s v="WA"/>
    <s v="Product QMVUN"/>
    <x v="0"/>
    <x v="477"/>
    <d v="1899-12-30T00:00:00"/>
    <x v="1"/>
    <s v="Ship to 58-B"/>
    <x v="7"/>
    <s v="Supplier EQPNC"/>
    <s v="Spain"/>
    <x v="1"/>
    <n v="210"/>
  </r>
  <r>
    <n v="11073"/>
    <n v="24"/>
    <n v="4.5"/>
    <n v="20"/>
    <n v="0"/>
    <s v="Fakhouri, Fadi"/>
    <s v="Fakhouri Fadi"/>
    <x v="8"/>
    <s v="WA"/>
    <s v="Product QOGNU"/>
    <x v="6"/>
    <x v="477"/>
    <d v="1899-12-30T00:00:00"/>
    <x v="1"/>
    <s v="Ship to 58-B"/>
    <x v="7"/>
    <s v="Supplier UNAHG"/>
    <s v="Brazil"/>
    <x v="1"/>
    <n v="90"/>
  </r>
  <r>
    <n v="11074"/>
    <n v="16"/>
    <n v="17.45"/>
    <n v="14"/>
    <n v="0.05"/>
    <s v="Gonzalez, Nuria"/>
    <s v="Gonzalez Nuria"/>
    <x v="9"/>
    <n v="0"/>
    <s v="Product PAFRH"/>
    <x v="5"/>
    <x v="478"/>
    <d v="1899-12-30T00:00:00"/>
    <x v="1"/>
    <s v="Ship to 73-A"/>
    <x v="18"/>
    <s v="Supplier GQRCV"/>
    <s v="Australia"/>
    <x v="1"/>
    <n v="232.08499999999998"/>
  </r>
  <r>
    <n v="11075"/>
    <n v="2"/>
    <n v="19"/>
    <n v="10"/>
    <n v="0.15"/>
    <s v="Myrcha, Jacek"/>
    <s v="Myrcha Jacek"/>
    <x v="6"/>
    <s v="WA"/>
    <s v="Product RECZE"/>
    <x v="6"/>
    <x v="478"/>
    <d v="1899-12-30T00:00:00"/>
    <x v="1"/>
    <s v="Ship to 68-A"/>
    <x v="4"/>
    <s v="Supplier SWRXU"/>
    <s v="UK"/>
    <x v="1"/>
    <n v="161.5"/>
  </r>
  <r>
    <n v="11075"/>
    <n v="46"/>
    <n v="12"/>
    <n v="30"/>
    <n v="0.15"/>
    <s v="Myrcha, Jacek"/>
    <s v="Myrcha Jacek"/>
    <x v="6"/>
    <s v="WA"/>
    <s v="Product CBRRL"/>
    <x v="3"/>
    <x v="478"/>
    <d v="1899-12-30T00:00:00"/>
    <x v="1"/>
    <s v="Ship to 68-A"/>
    <x v="4"/>
    <s v="Supplier XOXZA"/>
    <s v="Denmark"/>
    <x v="1"/>
    <n v="306"/>
  </r>
  <r>
    <n v="11075"/>
    <n v="76"/>
    <n v="18"/>
    <n v="2"/>
    <n v="0.15"/>
    <s v="Myrcha, Jacek"/>
    <s v="Myrcha Jacek"/>
    <x v="6"/>
    <s v="WA"/>
    <s v="Product JYGFE"/>
    <x v="6"/>
    <x v="478"/>
    <d v="1899-12-30T00:00:00"/>
    <x v="1"/>
    <s v="Ship to 68-A"/>
    <x v="4"/>
    <s v="Supplier ELCRN"/>
    <s v="Finland"/>
    <x v="1"/>
    <n v="30.599999999999998"/>
  </r>
  <r>
    <n v="11076"/>
    <n v="6"/>
    <n v="25"/>
    <n v="20"/>
    <n v="0.25"/>
    <s v="Raghav, Amritansh"/>
    <s v="Raghav Amritansh"/>
    <x v="1"/>
    <s v="WA"/>
    <s v="Product VAIIV"/>
    <x v="4"/>
    <x v="478"/>
    <d v="1899-12-30T00:00:00"/>
    <x v="1"/>
    <s v="Ship to 9-A"/>
    <x v="2"/>
    <s v="Supplier STUAZ"/>
    <s v="USA"/>
    <x v="1"/>
    <n v="375"/>
  </r>
  <r>
    <n v="11076"/>
    <n v="14"/>
    <n v="23.25"/>
    <n v="20"/>
    <n v="0.25"/>
    <s v="Raghav, Amritansh"/>
    <s v="Raghav Amritansh"/>
    <x v="1"/>
    <s v="WA"/>
    <s v="Product PWCJB"/>
    <x v="2"/>
    <x v="478"/>
    <d v="1899-12-30T00:00:00"/>
    <x v="1"/>
    <s v="Ship to 9-A"/>
    <x v="2"/>
    <s v="Supplier QWUSF"/>
    <s v="Japan"/>
    <x v="1"/>
    <n v="348.75"/>
  </r>
  <r>
    <n v="11076"/>
    <n v="19"/>
    <n v="9.1999999999999993"/>
    <n v="10"/>
    <n v="0.25"/>
    <s v="Raghav, Amritansh"/>
    <s v="Raghav Amritansh"/>
    <x v="1"/>
    <s v="WA"/>
    <s v="Product XKXDO"/>
    <x v="5"/>
    <x v="478"/>
    <d v="1899-12-30T00:00:00"/>
    <x v="1"/>
    <s v="Ship to 9-A"/>
    <x v="2"/>
    <s v="Supplier BWGYE"/>
    <s v="UK"/>
    <x v="1"/>
    <n v="69"/>
  </r>
  <r>
    <n v="11077"/>
    <n v="2"/>
    <n v="19"/>
    <n v="24"/>
    <n v="0.2"/>
    <s v="Moore, Michael"/>
    <s v="Moore Michael"/>
    <x v="5"/>
    <s v="WA"/>
    <s v="Product RECZE"/>
    <x v="6"/>
    <x v="478"/>
    <d v="1899-12-30T00:00:00"/>
    <x v="1"/>
    <s v="Ship to 65-A"/>
    <x v="9"/>
    <s v="Supplier SWRXU"/>
    <s v="UK"/>
    <x v="1"/>
    <n v="364.8"/>
  </r>
  <r>
    <n v="11077"/>
    <n v="3"/>
    <n v="10"/>
    <n v="4"/>
    <n v="0"/>
    <s v="Moore, Michael"/>
    <s v="Moore Michael"/>
    <x v="5"/>
    <s v="WA"/>
    <s v="Product IMEHJ"/>
    <x v="4"/>
    <x v="478"/>
    <d v="1899-12-30T00:00:00"/>
    <x v="1"/>
    <s v="Ship to 65-A"/>
    <x v="9"/>
    <s v="Supplier SWRXU"/>
    <s v="UK"/>
    <x v="1"/>
    <n v="40"/>
  </r>
  <r>
    <n v="11077"/>
    <n v="4"/>
    <n v="22"/>
    <n v="1"/>
    <n v="0"/>
    <s v="Moore, Michael"/>
    <s v="Moore Michael"/>
    <x v="5"/>
    <s v="WA"/>
    <s v="Product KSBRM"/>
    <x v="4"/>
    <x v="478"/>
    <d v="1899-12-30T00:00:00"/>
    <x v="1"/>
    <s v="Ship to 65-A"/>
    <x v="9"/>
    <s v="Supplier VHQZD"/>
    <s v="USA"/>
    <x v="1"/>
    <n v="22"/>
  </r>
  <r>
    <n v="11077"/>
    <n v="6"/>
    <n v="25"/>
    <n v="1"/>
    <n v="0.02"/>
    <s v="Moore, Michael"/>
    <s v="Moore Michael"/>
    <x v="5"/>
    <s v="WA"/>
    <s v="Product VAIIV"/>
    <x v="4"/>
    <x v="478"/>
    <d v="1899-12-30T00:00:00"/>
    <x v="1"/>
    <s v="Ship to 65-A"/>
    <x v="9"/>
    <s v="Supplier STUAZ"/>
    <s v="USA"/>
    <x v="1"/>
    <n v="24.5"/>
  </r>
  <r>
    <n v="11077"/>
    <n v="7"/>
    <n v="30"/>
    <n v="1"/>
    <n v="0.05"/>
    <s v="Moore, Michael"/>
    <s v="Moore Michael"/>
    <x v="5"/>
    <s v="WA"/>
    <s v="Product HMLNI"/>
    <x v="2"/>
    <x v="478"/>
    <d v="1899-12-30T00:00:00"/>
    <x v="1"/>
    <s v="Ship to 65-A"/>
    <x v="9"/>
    <s v="Supplier STUAZ"/>
    <s v="USA"/>
    <x v="1"/>
    <n v="28.5"/>
  </r>
  <r>
    <n v="11077"/>
    <n v="8"/>
    <n v="40"/>
    <n v="2"/>
    <n v="0.1"/>
    <s v="Moore, Michael"/>
    <s v="Moore Michael"/>
    <x v="5"/>
    <s v="WA"/>
    <s v="Product WVJFP"/>
    <x v="4"/>
    <x v="478"/>
    <d v="1899-12-30T00:00:00"/>
    <x v="1"/>
    <s v="Ship to 65-A"/>
    <x v="9"/>
    <s v="Supplier STUAZ"/>
    <s v="USA"/>
    <x v="1"/>
    <n v="72"/>
  </r>
  <r>
    <n v="11077"/>
    <n v="10"/>
    <n v="31"/>
    <n v="1"/>
    <n v="0"/>
    <s v="Moore, Michael"/>
    <s v="Moore Michael"/>
    <x v="5"/>
    <s v="WA"/>
    <s v="Product YHXGE"/>
    <x v="3"/>
    <x v="478"/>
    <d v="1899-12-30T00:00:00"/>
    <x v="1"/>
    <s v="Ship to 65-A"/>
    <x v="9"/>
    <s v="Supplier QOVFD"/>
    <s v="Japan"/>
    <x v="1"/>
    <n v="31"/>
  </r>
  <r>
    <n v="11077"/>
    <n v="12"/>
    <n v="38"/>
    <n v="2"/>
    <n v="0.05"/>
    <s v="Moore, Michael"/>
    <s v="Moore Michael"/>
    <x v="5"/>
    <s v="WA"/>
    <s v="Product OSFNS"/>
    <x v="0"/>
    <x v="478"/>
    <d v="1899-12-30T00:00:00"/>
    <x v="1"/>
    <s v="Ship to 65-A"/>
    <x v="9"/>
    <s v="Supplier EQPNC"/>
    <s v="Spain"/>
    <x v="1"/>
    <n v="72.2"/>
  </r>
  <r>
    <n v="11077"/>
    <n v="13"/>
    <n v="6"/>
    <n v="4"/>
    <n v="0"/>
    <s v="Moore, Michael"/>
    <s v="Moore Michael"/>
    <x v="5"/>
    <s v="WA"/>
    <s v="Product POXFU"/>
    <x v="3"/>
    <x v="478"/>
    <d v="1899-12-30T00:00:00"/>
    <x v="1"/>
    <s v="Ship to 65-A"/>
    <x v="9"/>
    <s v="Supplier QWUSF"/>
    <s v="Japan"/>
    <x v="1"/>
    <n v="24"/>
  </r>
  <r>
    <n v="11077"/>
    <n v="14"/>
    <n v="23.25"/>
    <n v="1"/>
    <n v="0.03"/>
    <s v="Moore, Michael"/>
    <s v="Moore Michael"/>
    <x v="5"/>
    <s v="WA"/>
    <s v="Product PWCJB"/>
    <x v="2"/>
    <x v="478"/>
    <d v="1899-12-30T00:00:00"/>
    <x v="1"/>
    <s v="Ship to 65-A"/>
    <x v="9"/>
    <s v="Supplier QWUSF"/>
    <s v="Japan"/>
    <x v="1"/>
    <n v="22.552499999999998"/>
  </r>
  <r>
    <n v="11077"/>
    <n v="16"/>
    <n v="17.45"/>
    <n v="2"/>
    <n v="0.03"/>
    <s v="Moore, Michael"/>
    <s v="Moore Michael"/>
    <x v="5"/>
    <s v="WA"/>
    <s v="Product PAFRH"/>
    <x v="5"/>
    <x v="478"/>
    <d v="1899-12-30T00:00:00"/>
    <x v="1"/>
    <s v="Ship to 65-A"/>
    <x v="9"/>
    <s v="Supplier GQRCV"/>
    <s v="Australia"/>
    <x v="1"/>
    <n v="33.852999999999994"/>
  </r>
  <r>
    <n v="11077"/>
    <n v="20"/>
    <n v="81"/>
    <n v="1"/>
    <n v="0.04"/>
    <s v="Moore, Michael"/>
    <s v="Moore Michael"/>
    <x v="5"/>
    <s v="WA"/>
    <s v="Product QHFFP"/>
    <x v="5"/>
    <x v="478"/>
    <d v="1899-12-30T00:00:00"/>
    <x v="1"/>
    <s v="Ship to 65-A"/>
    <x v="9"/>
    <s v="Supplier BWGYE"/>
    <s v="UK"/>
    <x v="1"/>
    <n v="77.759999999999991"/>
  </r>
  <r>
    <n v="11077"/>
    <n v="23"/>
    <n v="9"/>
    <n v="2"/>
    <n v="0"/>
    <s v="Moore, Michael"/>
    <s v="Moore Michael"/>
    <x v="5"/>
    <s v="WA"/>
    <s v="Product JLUDZ"/>
    <x v="1"/>
    <x v="478"/>
    <d v="1899-12-30T00:00:00"/>
    <x v="1"/>
    <s v="Ship to 65-A"/>
    <x v="9"/>
    <s v="Supplier QQYEU"/>
    <s v="Sweden"/>
    <x v="1"/>
    <n v="18"/>
  </r>
  <r>
    <n v="11077"/>
    <n v="32"/>
    <n v="32"/>
    <n v="1"/>
    <n v="0"/>
    <s v="Moore, Michael"/>
    <s v="Moore Michael"/>
    <x v="5"/>
    <s v="WA"/>
    <s v="Product NUNAW"/>
    <x v="0"/>
    <x v="478"/>
    <d v="1899-12-30T00:00:00"/>
    <x v="1"/>
    <s v="Ship to 65-A"/>
    <x v="9"/>
    <s v="Supplier KEREV"/>
    <s v="Italy"/>
    <x v="1"/>
    <n v="32"/>
  </r>
  <r>
    <n v="11077"/>
    <n v="39"/>
    <n v="18"/>
    <n v="2"/>
    <n v="0.05"/>
    <s v="Moore, Michael"/>
    <s v="Moore Michael"/>
    <x v="5"/>
    <s v="WA"/>
    <s v="Product LSOFL"/>
    <x v="6"/>
    <x v="478"/>
    <d v="1899-12-30T00:00:00"/>
    <x v="1"/>
    <s v="Ship to 65-A"/>
    <x v="9"/>
    <s v="Supplier LVJUA"/>
    <s v="France"/>
    <x v="1"/>
    <n v="34.199999999999996"/>
  </r>
  <r>
    <n v="11077"/>
    <n v="41"/>
    <n v="9.65"/>
    <n v="3"/>
    <n v="0"/>
    <s v="Moore, Michael"/>
    <s v="Moore Michael"/>
    <x v="5"/>
    <s v="WA"/>
    <s v="Product TTEEX"/>
    <x v="3"/>
    <x v="478"/>
    <d v="1899-12-30T00:00:00"/>
    <x v="1"/>
    <s v="Ship to 65-A"/>
    <x v="9"/>
    <s v="Supplier JDNUG"/>
    <s v="USA"/>
    <x v="1"/>
    <n v="28.950000000000003"/>
  </r>
  <r>
    <n v="11077"/>
    <n v="46"/>
    <n v="12"/>
    <n v="3"/>
    <n v="0.02"/>
    <s v="Moore, Michael"/>
    <s v="Moore Michael"/>
    <x v="5"/>
    <s v="WA"/>
    <s v="Product CBRRL"/>
    <x v="3"/>
    <x v="478"/>
    <d v="1899-12-30T00:00:00"/>
    <x v="1"/>
    <s v="Ship to 65-A"/>
    <x v="9"/>
    <s v="Supplier XOXZA"/>
    <s v="Denmark"/>
    <x v="1"/>
    <n v="35.28"/>
  </r>
  <r>
    <n v="11077"/>
    <n v="52"/>
    <n v="7"/>
    <n v="2"/>
    <n v="0"/>
    <s v="Moore, Michael"/>
    <s v="Moore Michael"/>
    <x v="5"/>
    <s v="WA"/>
    <s v="Product QSRXF"/>
    <x v="1"/>
    <x v="478"/>
    <d v="1899-12-30T00:00:00"/>
    <x v="1"/>
    <s v="Ship to 65-A"/>
    <x v="9"/>
    <s v="Supplier JNNES"/>
    <s v="Australia"/>
    <x v="1"/>
    <n v="14"/>
  </r>
  <r>
    <n v="11077"/>
    <n v="55"/>
    <n v="24"/>
    <n v="2"/>
    <n v="0"/>
    <s v="Moore, Michael"/>
    <s v="Moore Michael"/>
    <x v="5"/>
    <s v="WA"/>
    <s v="Product YYWRT"/>
    <x v="7"/>
    <x v="478"/>
    <d v="1899-12-30T00:00:00"/>
    <x v="1"/>
    <s v="Ship to 65-A"/>
    <x v="9"/>
    <s v="Supplier ERVYZ"/>
    <s v="Canada"/>
    <x v="1"/>
    <n v="48"/>
  </r>
  <r>
    <n v="11077"/>
    <n v="60"/>
    <n v="34"/>
    <n v="2"/>
    <n v="0.06"/>
    <s v="Moore, Michael"/>
    <s v="Moore Michael"/>
    <x v="5"/>
    <s v="WA"/>
    <s v="Product WHBYK"/>
    <x v="0"/>
    <x v="478"/>
    <d v="1899-12-30T00:00:00"/>
    <x v="1"/>
    <s v="Ship to 65-A"/>
    <x v="9"/>
    <s v="Supplier OAVQT"/>
    <s v="France"/>
    <x v="1"/>
    <n v="63.919999999999995"/>
  </r>
  <r>
    <n v="11077"/>
    <n v="64"/>
    <n v="33.25"/>
    <n v="2"/>
    <n v="0.03"/>
    <s v="Moore, Michael"/>
    <s v="Moore Michael"/>
    <x v="5"/>
    <s v="WA"/>
    <s v="Product HCQDE"/>
    <x v="1"/>
    <x v="478"/>
    <d v="1899-12-30T00:00:00"/>
    <x v="1"/>
    <s v="Ship to 65-A"/>
    <x v="9"/>
    <s v="Supplier SVIYA"/>
    <s v="Germany"/>
    <x v="1"/>
    <n v="64.504999999999995"/>
  </r>
  <r>
    <n v="11077"/>
    <n v="66"/>
    <n v="17"/>
    <n v="1"/>
    <n v="0"/>
    <s v="Moore, Michael"/>
    <s v="Moore Michael"/>
    <x v="5"/>
    <s v="WA"/>
    <s v="Product LQMGN"/>
    <x v="4"/>
    <x v="478"/>
    <d v="1899-12-30T00:00:00"/>
    <x v="1"/>
    <s v="Ship to 65-A"/>
    <x v="9"/>
    <s v="Supplier VHQZD"/>
    <s v="USA"/>
    <x v="1"/>
    <n v="17"/>
  </r>
  <r>
    <n v="11077"/>
    <n v="73"/>
    <n v="15"/>
    <n v="2"/>
    <n v="0.01"/>
    <s v="Moore, Michael"/>
    <s v="Moore Michael"/>
    <x v="5"/>
    <s v="WA"/>
    <s v="Product WEUJZ"/>
    <x v="3"/>
    <x v="478"/>
    <d v="1899-12-30T00:00:00"/>
    <x v="1"/>
    <s v="Ship to 65-A"/>
    <x v="9"/>
    <s v="Supplier QZGUF"/>
    <s v="Sweden"/>
    <x v="1"/>
    <n v="29.7"/>
  </r>
  <r>
    <n v="11077"/>
    <n v="75"/>
    <n v="7.75"/>
    <n v="4"/>
    <n v="0"/>
    <s v="Moore, Michael"/>
    <s v="Moore Michael"/>
    <x v="5"/>
    <s v="WA"/>
    <s v="Product BWRLG"/>
    <x v="6"/>
    <x v="478"/>
    <d v="1899-12-30T00:00:00"/>
    <x v="1"/>
    <s v="Ship to 65-A"/>
    <x v="9"/>
    <s v="Supplier SVIYA"/>
    <s v="Germany"/>
    <x v="1"/>
    <n v="31"/>
  </r>
  <r>
    <n v="11077"/>
    <n v="77"/>
    <n v="13"/>
    <n v="2"/>
    <n v="0"/>
    <s v="Moore, Michael"/>
    <s v="Moore Michael"/>
    <x v="5"/>
    <s v="WA"/>
    <s v="Product LUNZZ"/>
    <x v="4"/>
    <x v="478"/>
    <d v="1899-12-30T00:00:00"/>
    <x v="1"/>
    <s v="Ship to 65-A"/>
    <x v="9"/>
    <s v="Supplier SVIYA"/>
    <s v="Germany"/>
    <x v="1"/>
    <n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B704B5-76E3-4A3F-86D5-7CF2F4C3B09E}"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A29:B52" firstHeaderRow="1" firstDataRow="1" firstDataCol="1"/>
  <pivotFields count="21">
    <pivotField showAll="0"/>
    <pivotField showAll="0"/>
    <pivotField showAll="0"/>
    <pivotField showAll="0"/>
    <pivotField numFmtId="9" showAll="0"/>
    <pivotField showAll="0"/>
    <pivotField showAll="0"/>
    <pivotField showAll="0"/>
    <pivotField showAll="0"/>
    <pivotField showAll="0"/>
    <pivotField showAll="0">
      <items count="9">
        <item x="6"/>
        <item x="4"/>
        <item x="5"/>
        <item x="0"/>
        <item x="1"/>
        <item x="7"/>
        <item x="2"/>
        <item x="3"/>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axis="axisRow" showAll="0" sortType="ascending">
      <items count="25">
        <item x="21"/>
        <item x="6"/>
        <item x="3"/>
        <item x="1"/>
        <item x="17"/>
        <item x="18"/>
        <item x="11"/>
        <item x="2"/>
        <item x="8"/>
        <item x="15"/>
        <item x="12"/>
        <item x="7"/>
        <item x="20"/>
        <item x="19"/>
        <item x="16"/>
        <item x="13"/>
        <item x="10"/>
        <item x="4"/>
        <item x="14"/>
        <item x="9"/>
        <item x="5"/>
        <item m="1" x="23"/>
        <item m="1" x="2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6">
        <item x="1"/>
        <item x="2"/>
        <item x="3"/>
        <item x="4"/>
        <item x="0"/>
        <item t="default"/>
      </items>
    </pivotField>
  </pivotFields>
  <rowFields count="1">
    <field x="15"/>
  </rowFields>
  <rowItems count="23">
    <i>
      <x v="23"/>
    </i>
    <i>
      <x v="13"/>
    </i>
    <i>
      <x v="12"/>
    </i>
    <i>
      <x/>
    </i>
    <i>
      <x v="14"/>
    </i>
    <i>
      <x v="10"/>
    </i>
    <i>
      <x v="15"/>
    </i>
    <i>
      <x v="6"/>
    </i>
    <i>
      <x v="11"/>
    </i>
    <i>
      <x v="17"/>
    </i>
    <i>
      <x v="5"/>
    </i>
    <i>
      <x v="2"/>
    </i>
    <i>
      <x v="9"/>
    </i>
    <i>
      <x v="4"/>
    </i>
    <i>
      <x v="16"/>
    </i>
    <i>
      <x v="20"/>
    </i>
    <i>
      <x v="18"/>
    </i>
    <i>
      <x v="7"/>
    </i>
    <i>
      <x v="3"/>
    </i>
    <i>
      <x v="1"/>
    </i>
    <i>
      <x v="8"/>
    </i>
    <i>
      <x v="19"/>
    </i>
    <i t="grand">
      <x/>
    </i>
  </rowItems>
  <colItems count="1">
    <i/>
  </colItems>
  <dataFields count="1">
    <dataField name="Sum of Revenue " fld="19" baseField="0" baseItem="0" numFmtId="164"/>
  </dataFields>
  <formats count="2">
    <format dxfId="1">
      <pivotArea collapsedLevelsAreSubtotals="1" fieldPosition="0">
        <references count="1">
          <reference field="15" count="0"/>
        </references>
      </pivotArea>
    </format>
    <format dxfId="0">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F9477B-A2A1-4E52-B48A-C4EEDCD7507B}"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E1:F7" firstHeaderRow="1" firstDataRow="1" firstDataCol="1"/>
  <pivotFields count="21">
    <pivotField showAll="0"/>
    <pivotField showAll="0"/>
    <pivotField showAll="0"/>
    <pivotField showAll="0"/>
    <pivotField numFmtId="9" showAll="0"/>
    <pivotField showAll="0"/>
    <pivotField showAll="0"/>
    <pivotField showAll="0"/>
    <pivotField showAll="0"/>
    <pivotField showAll="0"/>
    <pivotField showAll="0">
      <items count="9">
        <item x="6"/>
        <item x="4"/>
        <item x="5"/>
        <item x="0"/>
        <item x="1"/>
        <item x="7"/>
        <item x="2"/>
        <item x="3"/>
        <item t="default"/>
      </items>
    </pivotField>
    <pivotField axis="axisRow" showAll="0" sortType="ascending">
      <items count="15">
        <item x="1"/>
        <item x="2"/>
        <item x="3"/>
        <item x="4"/>
        <item x="5"/>
        <item x="6"/>
        <item x="7"/>
        <item x="8"/>
        <item x="9"/>
        <item x="10"/>
        <item x="11"/>
        <item x="12"/>
        <item x="0"/>
        <item x="13"/>
        <item t="default"/>
      </items>
    </pivotField>
    <pivotField showAll="0"/>
    <pivotField showAll="0"/>
    <pivotField showAll="0"/>
    <pivotField showAll="0">
      <items count="25">
        <item m="1" x="22"/>
        <item x="21"/>
        <item x="6"/>
        <item x="3"/>
        <item x="1"/>
        <item x="17"/>
        <item x="18"/>
        <item x="11"/>
        <item x="2"/>
        <item x="8"/>
        <item x="15"/>
        <item x="12"/>
        <item x="7"/>
        <item x="20"/>
        <item x="0"/>
        <item x="19"/>
        <item x="16"/>
        <item x="13"/>
        <item x="10"/>
        <item x="4"/>
        <item x="14"/>
        <item x="9"/>
        <item x="5"/>
        <item m="1" x="23"/>
        <item t="default"/>
      </items>
    </pivotField>
    <pivotField showAll="0"/>
    <pivotField showAll="0"/>
    <pivotField showAll="0"/>
    <pivotField dataField="1" showAll="0"/>
    <pivotField axis="axisRow" showAll="0">
      <items count="6">
        <item sd="0" x="1"/>
        <item sd="0" x="2"/>
        <item sd="0" x="3"/>
        <item x="4"/>
        <item x="0"/>
        <item t="default"/>
      </items>
    </pivotField>
  </pivotFields>
  <rowFields count="2">
    <field x="20"/>
    <field x="11"/>
  </rowFields>
  <rowItems count="6">
    <i>
      <x/>
    </i>
    <i>
      <x v="1"/>
    </i>
    <i>
      <x v="2"/>
    </i>
    <i>
      <x v="4"/>
    </i>
    <i r="1">
      <x v="12"/>
    </i>
    <i t="grand">
      <x/>
    </i>
  </rowItems>
  <colItems count="1">
    <i/>
  </colItems>
  <dataFields count="1">
    <dataField name="Sum of Revenue " fld="19" baseField="0" baseItem="0"/>
  </dataFields>
  <formats count="3">
    <format dxfId="4">
      <pivotArea collapsedLevelsAreSubtotals="1" fieldPosition="0">
        <references count="1">
          <reference field="20" count="1">
            <x v="0"/>
          </reference>
        </references>
      </pivotArea>
    </format>
    <format dxfId="3">
      <pivotArea collapsedLevelsAreSubtotals="1" fieldPosition="0">
        <references count="1">
          <reference field="20" count="1">
            <x v="1"/>
          </reference>
        </references>
      </pivotArea>
    </format>
    <format dxfId="2">
      <pivotArea collapsedLevelsAreSubtotals="1" fieldPosition="0">
        <references count="1">
          <reference field="20" count="1">
            <x v="2"/>
          </reference>
        </references>
      </pivotArea>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0" count="1" selected="0">
            <x v="0"/>
          </reference>
        </references>
      </pivotArea>
    </chartFormat>
    <chartFormat chart="3" format="4">
      <pivotArea type="data" outline="0" fieldPosition="0">
        <references count="3">
          <reference field="4294967294" count="1" selected="0">
            <x v="0"/>
          </reference>
          <reference field="11" count="1" selected="0">
            <x v="12"/>
          </reference>
          <reference field="20" count="1" selected="0">
            <x v="4"/>
          </reference>
        </references>
      </pivotArea>
    </chartFormat>
    <chartFormat chart="3" format="5">
      <pivotArea type="data" outline="0" fieldPosition="0">
        <references count="2">
          <reference field="4294967294" count="1" selected="0">
            <x v="0"/>
          </reference>
          <reference field="20" count="1" selected="0">
            <x v="1"/>
          </reference>
        </references>
      </pivotArea>
    </chartFormat>
    <chartFormat chart="3" format="6">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E6905E-3A6F-4FFE-B4E2-EB7666C173B0}"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A13:B24" firstHeaderRow="1" firstDataRow="1" firstDataCol="1"/>
  <pivotFields count="21">
    <pivotField showAll="0"/>
    <pivotField showAll="0"/>
    <pivotField showAll="0"/>
    <pivotField showAll="0"/>
    <pivotField numFmtId="9" showAll="0"/>
    <pivotField showAll="0"/>
    <pivotField showAll="0"/>
    <pivotField axis="axisRow" showAll="0" sortType="ascending">
      <items count="13">
        <item x="8"/>
        <item x="7"/>
        <item x="9"/>
        <item x="3"/>
        <item x="1"/>
        <item x="2"/>
        <item x="6"/>
        <item x="5"/>
        <item x="4"/>
        <item m="1" x="11"/>
        <item m="1" x="10"/>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9">
        <item x="6"/>
        <item x="4"/>
        <item x="5"/>
        <item x="0"/>
        <item x="1"/>
        <item x="7"/>
        <item x="2"/>
        <item x="3"/>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items count="25">
        <item m="1" x="22"/>
        <item x="21"/>
        <item x="6"/>
        <item x="3"/>
        <item x="1"/>
        <item x="17"/>
        <item x="18"/>
        <item x="11"/>
        <item x="2"/>
        <item x="8"/>
        <item x="15"/>
        <item x="12"/>
        <item x="7"/>
        <item x="20"/>
        <item x="0"/>
        <item x="19"/>
        <item x="16"/>
        <item x="13"/>
        <item x="10"/>
        <item x="4"/>
        <item x="14"/>
        <item x="9"/>
        <item x="5"/>
        <item m="1" x="23"/>
        <item t="default"/>
      </items>
    </pivotField>
    <pivotField showAll="0"/>
    <pivotField showAll="0"/>
    <pivotField showAll="0"/>
    <pivotField dataField="1" showAll="0"/>
    <pivotField showAll="0">
      <items count="6">
        <item x="1"/>
        <item x="2"/>
        <item x="3"/>
        <item x="4"/>
        <item x="0"/>
        <item t="default"/>
      </items>
    </pivotField>
  </pivotFields>
  <rowFields count="1">
    <field x="7"/>
  </rowFields>
  <rowItems count="11">
    <i>
      <x v="11"/>
    </i>
    <i>
      <x v="3"/>
    </i>
    <i>
      <x v="1"/>
    </i>
    <i>
      <x v="8"/>
    </i>
    <i>
      <x v="2"/>
    </i>
    <i>
      <x v="6"/>
    </i>
    <i>
      <x/>
    </i>
    <i>
      <x v="7"/>
    </i>
    <i>
      <x v="5"/>
    </i>
    <i>
      <x v="4"/>
    </i>
    <i t="grand">
      <x/>
    </i>
  </rowItems>
  <colItems count="1">
    <i/>
  </colItems>
  <dataFields count="1">
    <dataField name="Sum of Revenue " fld="19" baseField="0" baseItem="0" numFmtId="164"/>
  </dataFields>
  <formats count="2">
    <format dxfId="6">
      <pivotArea collapsedLevelsAreSubtotals="1" fieldPosition="0">
        <references count="1">
          <reference field="7" count="0"/>
        </references>
      </pivotArea>
    </format>
    <format dxfId="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440A56-78BE-4F7C-ADEF-F3EB88B01104}"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A1:B10" firstHeaderRow="1" firstDataRow="1" firstDataCol="1"/>
  <pivotFields count="21">
    <pivotField showAll="0"/>
    <pivotField showAll="0"/>
    <pivotField showAll="0"/>
    <pivotField showAll="0"/>
    <pivotField numFmtId="9" showAll="0"/>
    <pivotField showAll="0"/>
    <pivotField showAll="0"/>
    <pivotField showAll="0"/>
    <pivotField showAll="0"/>
    <pivotField showAll="0"/>
    <pivotField axis="axisRow" showAll="0" sortType="ascending">
      <items count="9">
        <item x="6"/>
        <item x="4"/>
        <item x="5"/>
        <item x="0"/>
        <item x="1"/>
        <item x="7"/>
        <item x="2"/>
        <item x="3"/>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pivotField showAll="0"/>
    <pivotField showAll="0"/>
    <pivotField showAll="0">
      <items count="25">
        <item m="1" x="22"/>
        <item x="21"/>
        <item x="6"/>
        <item x="3"/>
        <item x="1"/>
        <item x="17"/>
        <item x="18"/>
        <item x="11"/>
        <item x="2"/>
        <item x="8"/>
        <item x="15"/>
        <item x="12"/>
        <item x="7"/>
        <item x="20"/>
        <item x="0"/>
        <item x="19"/>
        <item x="16"/>
        <item x="13"/>
        <item x="10"/>
        <item x="4"/>
        <item x="14"/>
        <item x="9"/>
        <item x="5"/>
        <item m="1" x="23"/>
        <item t="default"/>
      </items>
    </pivotField>
    <pivotField showAll="0"/>
    <pivotField showAll="0"/>
    <pivotField showAll="0"/>
    <pivotField dataField="1" showAll="0"/>
    <pivotField showAll="0">
      <items count="6">
        <item x="1"/>
        <item x="2"/>
        <item x="3"/>
        <item x="4"/>
        <item x="0"/>
        <item t="default"/>
      </items>
    </pivotField>
  </pivotFields>
  <rowFields count="1">
    <field x="10"/>
  </rowFields>
  <rowItems count="9">
    <i>
      <x v="4"/>
    </i>
    <i>
      <x v="6"/>
    </i>
    <i>
      <x v="1"/>
    </i>
    <i>
      <x v="7"/>
    </i>
    <i>
      <x v="5"/>
    </i>
    <i>
      <x v="2"/>
    </i>
    <i>
      <x v="3"/>
    </i>
    <i>
      <x/>
    </i>
    <i t="grand">
      <x/>
    </i>
  </rowItems>
  <colItems count="1">
    <i/>
  </colItems>
  <dataFields count="1">
    <dataField name="Sum of Revenue " fld="19" baseField="0" baseItem="0" numFmtId="164"/>
  </dataFields>
  <formats count="1">
    <format dxfId="7">
      <pivotArea outline="0" collapsedLevelsAreSubtotals="1" fieldPosition="0"/>
    </format>
  </formats>
  <chartFormats count="8">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0" count="1" selected="0">
            <x v="3"/>
          </reference>
        </references>
      </pivotArea>
    </chartFormat>
    <chartFormat chart="3" format="4">
      <pivotArea type="data" outline="0" fieldPosition="0">
        <references count="2">
          <reference field="4294967294" count="1" selected="0">
            <x v="0"/>
          </reference>
          <reference field="10" count="1" selected="0">
            <x v="2"/>
          </reference>
        </references>
      </pivotArea>
    </chartFormat>
    <chartFormat chart="3" format="5">
      <pivotArea type="data" outline="0" fieldPosition="0">
        <references count="2">
          <reference field="4294967294" count="1" selected="0">
            <x v="0"/>
          </reference>
          <reference field="10" count="1" selected="0">
            <x v="5"/>
          </reference>
        </references>
      </pivotArea>
    </chartFormat>
    <chartFormat chart="3" format="6">
      <pivotArea type="data" outline="0" fieldPosition="0">
        <references count="2">
          <reference field="4294967294" count="1" selected="0">
            <x v="0"/>
          </reference>
          <reference field="10" count="1" selected="0">
            <x v="7"/>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6"/>
          </reference>
        </references>
      </pivotArea>
    </chartFormat>
    <chartFormat chart="3" format="9">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0B697B-98F1-474B-8472-647531A5A04F}"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A65:B69" firstHeaderRow="1" firstDataRow="1" firstDataCol="1"/>
  <pivotFields count="21">
    <pivotField dataField="1" showAll="0"/>
    <pivotField showAll="0"/>
    <pivotField showAll="0"/>
    <pivotField showAll="0"/>
    <pivotField numFmtId="9" showAll="0"/>
    <pivotField showAll="0"/>
    <pivotField showAll="0"/>
    <pivotField showAll="0"/>
    <pivotField showAll="0"/>
    <pivotField showAll="0"/>
    <pivotField showAll="0">
      <items count="9">
        <item x="6"/>
        <item x="4"/>
        <item x="5"/>
        <item x="0"/>
        <item x="1"/>
        <item x="7"/>
        <item x="2"/>
        <item x="3"/>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items count="25">
        <item m="1" x="22"/>
        <item x="21"/>
        <item x="6"/>
        <item x="3"/>
        <item x="1"/>
        <item x="17"/>
        <item x="18"/>
        <item x="11"/>
        <item x="2"/>
        <item x="8"/>
        <item x="15"/>
        <item x="12"/>
        <item x="7"/>
        <item x="20"/>
        <item x="0"/>
        <item x="19"/>
        <item x="16"/>
        <item x="13"/>
        <item x="10"/>
        <item x="4"/>
        <item x="14"/>
        <item x="9"/>
        <item x="5"/>
        <item m="1" x="23"/>
        <item t="default"/>
      </items>
    </pivotField>
    <pivotField showAll="0"/>
    <pivotField showAll="0"/>
    <pivotField axis="axisRow" showAll="0" sortType="ascending">
      <items count="6">
        <item x="2"/>
        <item x="1"/>
        <item m="1" x="4"/>
        <item m="1" x="3"/>
        <item x="0"/>
        <item t="default"/>
      </items>
      <autoSortScope>
        <pivotArea dataOnly="0" outline="0" fieldPosition="0">
          <references count="1">
            <reference field="4294967294" count="1" selected="0">
              <x v="0"/>
            </reference>
          </references>
        </pivotArea>
      </autoSortScope>
    </pivotField>
    <pivotField showAll="0"/>
    <pivotField showAll="0">
      <items count="6">
        <item x="1"/>
        <item x="2"/>
        <item x="3"/>
        <item x="4"/>
        <item x="0"/>
        <item t="default"/>
      </items>
    </pivotField>
  </pivotFields>
  <rowFields count="1">
    <field x="18"/>
  </rowFields>
  <rowItems count="4">
    <i>
      <x v="4"/>
    </i>
    <i>
      <x/>
    </i>
    <i>
      <x v="1"/>
    </i>
    <i t="grand">
      <x/>
    </i>
  </rowItems>
  <colItems count="1">
    <i/>
  </colItems>
  <dataFields count="1">
    <dataField name="Count of orderid" fld="0" subtotal="count" baseField="18" baseItem="0"/>
  </dataFields>
  <chartFormats count="12">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8" count="1" selected="0">
            <x v="0"/>
          </reference>
        </references>
      </pivotArea>
    </chartFormat>
    <chartFormat chart="3" format="7">
      <pivotArea type="data" outline="0" fieldPosition="0">
        <references count="2">
          <reference field="4294967294" count="1" selected="0">
            <x v="0"/>
          </reference>
          <reference field="18" count="1" selected="0">
            <x v="1"/>
          </reference>
        </references>
      </pivotArea>
    </chartFormat>
    <chartFormat chart="3" format="8">
      <pivotArea type="data" outline="0" fieldPosition="0">
        <references count="2">
          <reference field="4294967294" count="1" selected="0">
            <x v="0"/>
          </reference>
          <reference field="18" count="1" selected="0">
            <x v="4"/>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8" count="1" selected="0">
            <x v="4"/>
          </reference>
        </references>
      </pivotArea>
    </chartFormat>
    <chartFormat chart="4" format="11">
      <pivotArea type="data" outline="0" fieldPosition="0">
        <references count="2">
          <reference field="4294967294" count="1" selected="0">
            <x v="0"/>
          </reference>
          <reference field="18" count="1" selected="0">
            <x v="0"/>
          </reference>
        </references>
      </pivotArea>
    </chartFormat>
    <chartFormat chart="4" format="12">
      <pivotArea type="data" outline="0" fieldPosition="0">
        <references count="2">
          <reference field="4294967294" count="1" selected="0">
            <x v="0"/>
          </reference>
          <reference field="18" count="1" selected="0">
            <x v="1"/>
          </reference>
        </references>
      </pivotArea>
    </chartFormat>
    <chartFormat chart="0" format="1">
      <pivotArea type="data" outline="0" fieldPosition="0">
        <references count="2">
          <reference field="4294967294" count="1" selected="0">
            <x v="0"/>
          </reference>
          <reference field="18" count="1" selected="0">
            <x v="4"/>
          </reference>
        </references>
      </pivotArea>
    </chartFormat>
    <chartFormat chart="0" format="2">
      <pivotArea type="data" outline="0" fieldPosition="0">
        <references count="2">
          <reference field="4294967294" count="1" selected="0">
            <x v="0"/>
          </reference>
          <reference field="18" count="1" selected="0">
            <x v="0"/>
          </reference>
        </references>
      </pivotArea>
    </chartFormat>
    <chartFormat chart="0" format="3">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A30720-7F8D-49DA-9F5D-3392FE21B3EA}"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A56:B61" firstHeaderRow="1" firstDataRow="1" firstDataCol="1"/>
  <pivotFields count="21">
    <pivotField showAll="0"/>
    <pivotField showAll="0"/>
    <pivotField showAll="0"/>
    <pivotField showAll="0"/>
    <pivotField numFmtId="9" showAll="0"/>
    <pivotField showAll="0"/>
    <pivotField showAll="0"/>
    <pivotField showAll="0"/>
    <pivotField showAll="0"/>
    <pivotField showAll="0"/>
    <pivotField showAll="0">
      <items count="9">
        <item x="6"/>
        <item x="4"/>
        <item x="5"/>
        <item x="0"/>
        <item x="1"/>
        <item x="7"/>
        <item x="2"/>
        <item x="3"/>
        <item t="default"/>
      </items>
    </pivotField>
    <pivotField showAll="0">
      <items count="15">
        <item x="0"/>
        <item x="1"/>
        <item x="2"/>
        <item x="3"/>
        <item x="4"/>
        <item x="5"/>
        <item x="6"/>
        <item x="7"/>
        <item x="8"/>
        <item x="9"/>
        <item x="10"/>
        <item x="11"/>
        <item x="12"/>
        <item x="13"/>
        <item t="default"/>
      </items>
    </pivotField>
    <pivotField showAll="0"/>
    <pivotField axis="axisRow" showAll="0" sortType="ascending">
      <items count="7">
        <item x="1"/>
        <item x="2"/>
        <item x="3"/>
        <item m="1" x="5"/>
        <item m="1" x="4"/>
        <item x="0"/>
        <item t="default"/>
      </items>
      <autoSortScope>
        <pivotArea dataOnly="0" outline="0" fieldPosition="0">
          <references count="1">
            <reference field="4294967294" count="1" selected="0">
              <x v="0"/>
            </reference>
          </references>
        </pivotArea>
      </autoSortScope>
    </pivotField>
    <pivotField showAll="0"/>
    <pivotField showAll="0">
      <items count="25">
        <item m="1" x="22"/>
        <item x="21"/>
        <item x="6"/>
        <item x="3"/>
        <item x="1"/>
        <item x="17"/>
        <item x="18"/>
        <item x="11"/>
        <item x="2"/>
        <item x="8"/>
        <item x="15"/>
        <item x="12"/>
        <item x="7"/>
        <item x="20"/>
        <item x="0"/>
        <item x="19"/>
        <item x="16"/>
        <item x="13"/>
        <item x="10"/>
        <item x="4"/>
        <item x="14"/>
        <item x="9"/>
        <item x="5"/>
        <item m="1" x="23"/>
        <item t="default"/>
      </items>
    </pivotField>
    <pivotField showAll="0"/>
    <pivotField showAll="0"/>
    <pivotField showAll="0"/>
    <pivotField dataField="1" showAll="0"/>
    <pivotField showAll="0">
      <items count="6">
        <item x="1"/>
        <item x="2"/>
        <item x="3"/>
        <item x="4"/>
        <item x="0"/>
        <item t="default"/>
      </items>
    </pivotField>
  </pivotFields>
  <rowFields count="1">
    <field x="13"/>
  </rowFields>
  <rowItems count="5">
    <i>
      <x v="5"/>
    </i>
    <i>
      <x v="1"/>
    </i>
    <i>
      <x v="2"/>
    </i>
    <i>
      <x/>
    </i>
    <i t="grand">
      <x/>
    </i>
  </rowItems>
  <colItems count="1">
    <i/>
  </colItems>
  <dataFields count="1">
    <dataField name="Sum of Revenue " fld="19" baseField="0" baseItem="0"/>
  </dataFields>
  <formats count="1">
    <format dxfId="8">
      <pivotArea collapsedLevelsAreSubtotals="1" fieldPosition="0">
        <references count="1">
          <reference field="13" count="0"/>
        </references>
      </pivotArea>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3" count="1" selected="0">
            <x v="0"/>
          </reference>
        </references>
      </pivotArea>
    </chartFormat>
    <chartFormat chart="3" format="8">
      <pivotArea type="data" outline="0" fieldPosition="0">
        <references count="2">
          <reference field="4294967294" count="1" selected="0">
            <x v="0"/>
          </reference>
          <reference field="13" count="1" selected="0">
            <x v="1"/>
          </reference>
        </references>
      </pivotArea>
    </chartFormat>
    <chartFormat chart="3" format="9">
      <pivotArea type="data" outline="0" fieldPosition="0">
        <references count="2">
          <reference field="4294967294" count="1" selected="0">
            <x v="0"/>
          </reference>
          <reference field="13" count="1" selected="0">
            <x v="2"/>
          </reference>
        </references>
      </pivotArea>
    </chartFormat>
    <chartFormat chart="3" format="10">
      <pivotArea type="data" outline="0" fieldPosition="0">
        <references count="2">
          <reference field="4294967294" count="1" selected="0">
            <x v="0"/>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0668941-B4D0-4D63-B6B2-5416B50FD36F}" sourceName="Product Category">
  <pivotTables>
    <pivotTable tabId="2" name="PivotTable6"/>
    <pivotTable tabId="2" name="PivotTable1"/>
    <pivotTable tabId="2" name="PivotTable2"/>
    <pivotTable tabId="2" name="PivotTable3"/>
    <pivotTable tabId="2" name="PivotTable4"/>
    <pivotTable tabId="2" name="PivotTable5"/>
  </pivotTables>
  <data>
    <tabular pivotCacheId="2052646952">
      <items count="8">
        <i x="6" s="1"/>
        <i x="4" s="1"/>
        <i x="5" s="1"/>
        <i x="0" s="1"/>
        <i x="1" s="1"/>
        <i x="7"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country" xr10:uid="{0C1D78D4-1A2F-411B-B6BF-2A9ADBFE5A63}" sourceName="shipcountry">
  <pivotTables>
    <pivotTable tabId="2" name="PivotTable3"/>
    <pivotTable tabId="2" name="PivotTable1"/>
    <pivotTable tabId="2" name="PivotTable2"/>
    <pivotTable tabId="2" name="PivotTable4"/>
    <pivotTable tabId="2" name="PivotTable5"/>
    <pivotTable tabId="2" name="PivotTable6"/>
  </pivotTables>
  <data>
    <tabular pivotCacheId="2052646952">
      <items count="24">
        <i x="21" s="1"/>
        <i x="6" s="1"/>
        <i x="3" s="1"/>
        <i x="1" s="1"/>
        <i x="17" s="1"/>
        <i x="18" s="1"/>
        <i x="11" s="1"/>
        <i x="2" s="1"/>
        <i x="8" s="1"/>
        <i x="15" s="1"/>
        <i x="12" s="1"/>
        <i x="7" s="1"/>
        <i x="20" s="1"/>
        <i x="0" s="1"/>
        <i x="19" s="1"/>
        <i x="16" s="1"/>
        <i x="13" s="1"/>
        <i x="10" s="1"/>
        <i x="4" s="1"/>
        <i x="14" s="1"/>
        <i x="9" s="1"/>
        <i x="5" s="1"/>
        <i x="22" s="1" nd="1"/>
        <i x="2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C40FE5A8-A485-40E5-AE94-A128AD20205E}" cache="Slicer_Product_Category" caption="Product Category" columnCount="2" style="Slicer Style 1" rowHeight="234950"/>
  <slicer name="shipcountry 1" xr10:uid="{4C3F6326-04D6-4442-8A83-E08F32F989B0}" cache="Slicer_shipcountry" caption="shipcountry" columnCount="4"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5BAAC1E8-9016-40EA-AEA3-29A687B3CFA4}" sourceName="orderdate">
  <pivotTables>
    <pivotTable tabId="2" name="PivotTable2"/>
    <pivotTable tabId="2" name="PivotTable1"/>
    <pivotTable tabId="2" name="PivotTable3"/>
    <pivotTable tabId="2" name="PivotTable4"/>
    <pivotTable tabId="2" name="PivotTable5"/>
    <pivotTable tabId="2" name="PivotTable6"/>
  </pivotTables>
  <state minimalRefreshVersion="6" lastRefreshVersion="6" pivotCacheId="2052646952" filterType="unknown">
    <bounds startDate="2006-01-01T00:00:00" endDate="200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685EAE91-B11D-4931-8395-47804DE87AF1}" cache="NativeTimeline_orderdate" caption="orderdate" level="2" selectionLevel="2" scrollPosition="2006-01-01T00:00:00" style="Timeline Style 1"/>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2F1BD3E-4404-40C6-A4AB-A9EF1B999367}">
  <we:reference id="wa200009404" version="1.0.0.8" store="en-US" storeType="OMEX"/>
  <we:alternateReferences>
    <we:reference id="wa200009404" version="1.0.0.8" store=""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90B71-A603-4338-8769-6B1355B2B76D}">
  <dimension ref="A1:U2156"/>
  <sheetViews>
    <sheetView workbookViewId="0">
      <selection sqref="A1:U2156"/>
    </sheetView>
  </sheetViews>
  <sheetFormatPr defaultRowHeight="14.4"/>
  <cols>
    <col min="2" max="2" width="16.33203125" customWidth="1"/>
    <col min="3" max="3" width="11.5546875" customWidth="1"/>
    <col min="6" max="6" width="22.88671875" customWidth="1"/>
    <col min="7" max="7" width="21.21875" customWidth="1"/>
    <col min="8" max="9" width="15.77734375" customWidth="1"/>
    <col min="10" max="10" width="16.33203125" customWidth="1"/>
    <col min="11" max="11" width="20.88671875" customWidth="1"/>
    <col min="12" max="12" width="18.44140625" customWidth="1"/>
    <col min="13" max="13" width="15.88671875" customWidth="1"/>
    <col min="14" max="14" width="16.88671875" customWidth="1"/>
    <col min="15" max="15" width="20.44140625" customWidth="1"/>
    <col min="16" max="16" width="15.5546875" customWidth="1"/>
    <col min="17" max="17" width="14.88671875" customWidth="1"/>
    <col min="18" max="18" width="14.33203125" customWidth="1"/>
    <col min="19" max="19" width="13.77734375" customWidth="1"/>
    <col min="20" max="20" width="15.44140625" customWidth="1"/>
    <col min="21" max="21" width="50.109375" customWidth="1"/>
  </cols>
  <sheetData>
    <row r="1" spans="1:21">
      <c r="A1" s="1" t="s">
        <v>0</v>
      </c>
      <c r="B1" s="2" t="s">
        <v>1</v>
      </c>
      <c r="C1" s="2" t="s">
        <v>2</v>
      </c>
      <c r="D1" s="2" t="s">
        <v>3</v>
      </c>
      <c r="E1" s="3" t="s">
        <v>4</v>
      </c>
      <c r="F1" s="2" t="s">
        <v>5</v>
      </c>
      <c r="G1" s="2" t="s">
        <v>6</v>
      </c>
      <c r="H1" s="2" t="s">
        <v>7</v>
      </c>
      <c r="I1" s="2" t="s">
        <v>8</v>
      </c>
      <c r="J1" s="2" t="s">
        <v>9</v>
      </c>
      <c r="K1" s="2" t="s">
        <v>10</v>
      </c>
      <c r="L1" s="4" t="s">
        <v>11</v>
      </c>
      <c r="M1" s="2" t="s">
        <v>12</v>
      </c>
      <c r="N1" s="2" t="s">
        <v>13</v>
      </c>
      <c r="O1" s="5" t="s">
        <v>14</v>
      </c>
      <c r="P1" s="5" t="s">
        <v>15</v>
      </c>
      <c r="Q1" s="5" t="s">
        <v>16</v>
      </c>
      <c r="R1" s="5" t="s">
        <v>17</v>
      </c>
      <c r="S1" s="6" t="s">
        <v>18</v>
      </c>
      <c r="T1" s="6" t="s">
        <v>19</v>
      </c>
      <c r="U1" s="7" t="s">
        <v>20</v>
      </c>
    </row>
    <row r="2" spans="1:21">
      <c r="A2" s="1">
        <v>10248</v>
      </c>
      <c r="B2" s="2">
        <v>11</v>
      </c>
      <c r="C2" s="2">
        <v>14</v>
      </c>
      <c r="D2" s="2">
        <v>12</v>
      </c>
      <c r="E2" s="3">
        <v>0</v>
      </c>
      <c r="F2" s="2" t="str">
        <f>IFERROR(VLOOKUP(VLOOKUP(A2,'[1]Sales Order'!A:B,2,FALSE),[1]Customer!A:C,3,FALSE),"Not Specified")</f>
        <v>Not Specified</v>
      </c>
      <c r="G2" s="2" t="str">
        <f>SUBSTITUTE(F2,",","",1)</f>
        <v>Not Specified</v>
      </c>
      <c r="H2" s="8" t="str">
        <f>IFERROR(VLOOKUP(VLOOKUP(A2,'[1]Sales Order'!A:C,3,FALSE),[1]Employee!A:E,5,FALSE)&amp;" "&amp;VLOOKUP(VLOOKUP(A2,'[1]Sales Order'!A:C,3,FALSE),[1]Employee!A:C,3,FALSE)&amp;" "&amp;VLOOKUP(VLOOKUP(A2,'[1]Sales Order'!A:C,3,FALSE),[1]Employee!A:B,2,FALSE),"Not Specified")</f>
        <v>Not Specified</v>
      </c>
      <c r="I2" t="str">
        <f>IFERROR(VLOOKUP(VLOOKUP(A2,'[1]Sales Order'!A:C,3,FALSE),[1]Employee!A:J,10,FALSE),"Not Specified")</f>
        <v>Not Specified</v>
      </c>
      <c r="J2" t="str">
        <f>VLOOKUP(B2,[1]Product!A:B,2,FALSE)</f>
        <v>Product QMVUN</v>
      </c>
      <c r="K2" t="str">
        <f>VLOOKUP(VLOOKUP(B2,[1]Product!A:D,4,FALSE),[1]Category!A:B,2,FALSE)</f>
        <v>Dairy Product</v>
      </c>
      <c r="L2" s="9"/>
      <c r="M2" s="10" t="str">
        <f>IFERROR(VLOOKUP(A2,'[1]Sales Order'!A:F,6,FALSE),"")</f>
        <v/>
      </c>
      <c r="N2" t="str">
        <f>IFERROR(VLOOKUP(VLOOKUP(A2,'[1]Sales Order'!A:G,7,FALSE),[1]Shipper!A:B,2,FALSE),"Not Specified")</f>
        <v>Not Specified</v>
      </c>
      <c r="O2" t="str">
        <f>IFERROR(VLOOKUP(A2,'[1]Sales Order'!A:I,9,FALSE),"Not Specified")</f>
        <v>Not Specified</v>
      </c>
      <c r="P2" t="str">
        <f>IFERROR(VLOOKUP(A2,'[1]Sales Order'!A:N,14,FALSE),"Not Specified")</f>
        <v>Not Specified</v>
      </c>
      <c r="Q2" t="str">
        <f>VLOOKUP(VLOOKUP(B2,[1]Product!A:C,3,FALSE),[1]Supplier!A:B,2,FALSE)</f>
        <v>Supplier EQPNC</v>
      </c>
      <c r="R2" t="str">
        <f>VLOOKUP(VLOOKUP(B2,[1]Product!A:C,3,FALSE),[1]Supplier!A:I,9,FALSE)</f>
        <v>Spain</v>
      </c>
      <c r="S2" t="str">
        <f>IFERROR(IF(VLOOKUP(A2,'[1]Sales Order'!A:H,8,FALSE)&gt;100,"High Freight","Low Freight"),"Not Specified")</f>
        <v>Not Specified</v>
      </c>
      <c r="T2">
        <f>C2*D2*(1-E2)</f>
        <v>168</v>
      </c>
      <c r="U2" s="11" t="s">
        <v>21</v>
      </c>
    </row>
    <row r="3" spans="1:21">
      <c r="A3" s="1">
        <v>10248</v>
      </c>
      <c r="B3" s="2">
        <v>42</v>
      </c>
      <c r="C3" s="2">
        <v>9.8000000000000007</v>
      </c>
      <c r="D3" s="2">
        <v>10</v>
      </c>
      <c r="E3" s="3">
        <v>0</v>
      </c>
      <c r="F3" s="2" t="str">
        <f>IFERROR(VLOOKUP(VLOOKUP(A3,'[1]Sales Order'!A:B,2,FALSE),[1]Customer!A:C,3,FALSE),"Not Specified")</f>
        <v>Not Specified</v>
      </c>
      <c r="G3" s="2" t="str">
        <f t="shared" ref="G3:G66" si="0">SUBSTITUTE(F3,",","",1)</f>
        <v>Not Specified</v>
      </c>
      <c r="H3" s="8" t="str">
        <f>IFERROR(VLOOKUP(VLOOKUP(A3,'[1]Sales Order'!A:C,3,FALSE),[1]Employee!A:E,5,FALSE)&amp;" "&amp;VLOOKUP(VLOOKUP(A3,'[1]Sales Order'!A:C,3,FALSE),[1]Employee!A:C,3,FALSE)&amp;" "&amp;VLOOKUP(VLOOKUP(A3,'[1]Sales Order'!A:C,3,FALSE),[1]Employee!A:B,2,FALSE),"Not Specified")</f>
        <v>Not Specified</v>
      </c>
      <c r="I3" t="str">
        <f>IFERROR(VLOOKUP(VLOOKUP(A3,'[1]Sales Order'!A:C,3,FALSE),[1]Employee!A:J,10,FALSE),"Not Specified")</f>
        <v>Not Specified</v>
      </c>
      <c r="J3" t="str">
        <f>VLOOKUP(B3,[1]Product!A:B,2,FALSE)</f>
        <v>Product RJVNM</v>
      </c>
      <c r="K3" t="str">
        <f>VLOOKUP(VLOOKUP(B3,[1]Product!A:D,4,FALSE),[1]Category!A:B,2,FALSE)</f>
        <v>Grains/Cereals</v>
      </c>
      <c r="L3" s="9"/>
      <c r="M3" s="10" t="str">
        <f>IFERROR(VLOOKUP(A3,'[1]Sales Order'!A:F,6,FALSE),"")</f>
        <v/>
      </c>
      <c r="N3" t="str">
        <f>IFERROR(VLOOKUP(VLOOKUP(A3,'[1]Sales Order'!A:G,7,FALSE),[1]Shipper!A:B,2,FALSE),"Not Specified")</f>
        <v>Not Specified</v>
      </c>
      <c r="O3" t="str">
        <f>IFERROR(VLOOKUP(A3,'[1]Sales Order'!A:I,9,FALSE),"Not Specified")</f>
        <v>Not Specified</v>
      </c>
      <c r="P3" t="str">
        <f>IFERROR(VLOOKUP(A3,'[1]Sales Order'!A:N,14,FALSE),"Not Specified")</f>
        <v>Not Specified</v>
      </c>
      <c r="Q3" t="str">
        <f>VLOOKUP(VLOOKUP(B3,[1]Product!A:C,3,FALSE),[1]Supplier!A:B,2,FALSE)</f>
        <v>Supplier CIYNM</v>
      </c>
      <c r="R3" t="str">
        <f>VLOOKUP(VLOOKUP(B3,[1]Product!A:C,3,FALSE),[1]Supplier!A:I,9,FALSE)</f>
        <v>Singapore</v>
      </c>
      <c r="S3" t="str">
        <f>IFERROR(IF(VLOOKUP(A3,'[1]Sales Order'!A:H,8,FALSE)&gt;100,"High Freight","Low Freight"),"Not Specified")</f>
        <v>Not Specified</v>
      </c>
      <c r="T3">
        <f t="shared" ref="T3:T66" si="1">C3*D3*(1-E3)</f>
        <v>98</v>
      </c>
      <c r="U3" s="12" t="s">
        <v>21</v>
      </c>
    </row>
    <row r="4" spans="1:21">
      <c r="A4" s="1">
        <v>10248</v>
      </c>
      <c r="B4" s="2">
        <v>72</v>
      </c>
      <c r="C4" s="2">
        <v>34.799999999999997</v>
      </c>
      <c r="D4" s="2">
        <v>5</v>
      </c>
      <c r="E4" s="3">
        <v>0</v>
      </c>
      <c r="F4" s="2" t="str">
        <f>IFERROR(VLOOKUP(VLOOKUP(A4,'[1]Sales Order'!A:B,2,FALSE),[1]Customer!A:C,3,FALSE),"Not Specified")</f>
        <v>Not Specified</v>
      </c>
      <c r="G4" s="2" t="str">
        <f t="shared" si="0"/>
        <v>Not Specified</v>
      </c>
      <c r="H4" s="8" t="str">
        <f>IFERROR(VLOOKUP(VLOOKUP(A4,'[1]Sales Order'!A:C,3,FALSE),[1]Employee!A:E,5,FALSE)&amp;" "&amp;VLOOKUP(VLOOKUP(A4,'[1]Sales Order'!A:C,3,FALSE),[1]Employee!A:C,3,FALSE)&amp;" "&amp;VLOOKUP(VLOOKUP(A4,'[1]Sales Order'!A:C,3,FALSE),[1]Employee!A:B,2,FALSE),"Not Specified")</f>
        <v>Not Specified</v>
      </c>
      <c r="I4" t="str">
        <f>IFERROR(VLOOKUP(VLOOKUP(A4,'[1]Sales Order'!A:C,3,FALSE),[1]Employee!A:J,10,FALSE),"Not Specified")</f>
        <v>Not Specified</v>
      </c>
      <c r="J4" t="str">
        <f>VLOOKUP(B4,[1]Product!A:B,2,FALSE)</f>
        <v>Product GEEOO</v>
      </c>
      <c r="K4" t="str">
        <f>VLOOKUP(VLOOKUP(B4,[1]Product!A:D,4,FALSE),[1]Category!A:B,2,FALSE)</f>
        <v>Dairy Product</v>
      </c>
      <c r="L4" s="9"/>
      <c r="M4" s="10" t="str">
        <f>IFERROR(VLOOKUP(A4,'[1]Sales Order'!A:F,6,FALSE),"")</f>
        <v/>
      </c>
      <c r="N4" t="str">
        <f>IFERROR(VLOOKUP(VLOOKUP(A4,'[1]Sales Order'!A:G,7,FALSE),[1]Shipper!A:B,2,FALSE),"Not Specified")</f>
        <v>Not Specified</v>
      </c>
      <c r="O4" t="str">
        <f>IFERROR(VLOOKUP(A4,'[1]Sales Order'!A:I,9,FALSE),"Not Specified")</f>
        <v>Not Specified</v>
      </c>
      <c r="P4" t="str">
        <f>IFERROR(VLOOKUP(A4,'[1]Sales Order'!A:N,14,FALSE),"Not Specified")</f>
        <v>Not Specified</v>
      </c>
      <c r="Q4" t="str">
        <f>VLOOKUP(VLOOKUP(B4,[1]Product!A:C,3,FALSE),[1]Supplier!A:B,2,FALSE)</f>
        <v>Supplier KEREV</v>
      </c>
      <c r="R4" t="str">
        <f>VLOOKUP(VLOOKUP(B4,[1]Product!A:C,3,FALSE),[1]Supplier!A:I,9,FALSE)</f>
        <v>Italy</v>
      </c>
      <c r="S4" t="str">
        <f>IFERROR(IF(VLOOKUP(A4,'[1]Sales Order'!A:H,8,FALSE)&gt;100,"High Freight","Low Freight"),"Not Specified")</f>
        <v>Not Specified</v>
      </c>
      <c r="T4">
        <f t="shared" si="1"/>
        <v>174</v>
      </c>
      <c r="U4" s="12" t="s">
        <v>21</v>
      </c>
    </row>
    <row r="5" spans="1:21">
      <c r="A5" s="1">
        <v>10249</v>
      </c>
      <c r="B5" s="2">
        <v>14</v>
      </c>
      <c r="C5" s="2">
        <v>18.600000000000001</v>
      </c>
      <c r="D5" s="2">
        <v>9</v>
      </c>
      <c r="E5" s="3">
        <v>0</v>
      </c>
      <c r="F5" s="2" t="str">
        <f>IFERROR(VLOOKUP(VLOOKUP(A5,'[1]Sales Order'!A:B,2,FALSE),[1]Customer!A:C,3,FALSE),"Not Specified")</f>
        <v>Not Specified</v>
      </c>
      <c r="G5" s="2" t="str">
        <f t="shared" si="0"/>
        <v>Not Specified</v>
      </c>
      <c r="H5" s="8" t="str">
        <f>IFERROR(VLOOKUP(VLOOKUP(A5,'[1]Sales Order'!A:C,3,FALSE),[1]Employee!A:E,5,FALSE)&amp;" "&amp;VLOOKUP(VLOOKUP(A5,'[1]Sales Order'!A:C,3,FALSE),[1]Employee!A:C,3,FALSE)&amp;" "&amp;VLOOKUP(VLOOKUP(A5,'[1]Sales Order'!A:C,3,FALSE),[1]Employee!A:B,2,FALSE),"Not Specified")</f>
        <v>Not Specified</v>
      </c>
      <c r="I5" t="str">
        <f>IFERROR(VLOOKUP(VLOOKUP(A5,'[1]Sales Order'!A:C,3,FALSE),[1]Employee!A:J,10,FALSE),"Not Specified")</f>
        <v>Not Specified</v>
      </c>
      <c r="J5" t="str">
        <f>VLOOKUP(B5,[1]Product!A:B,2,FALSE)</f>
        <v>Product PWCJB</v>
      </c>
      <c r="K5" t="str">
        <f>VLOOKUP(VLOOKUP(B5,[1]Product!A:D,4,FALSE),[1]Category!A:B,2,FALSE)</f>
        <v>Produce</v>
      </c>
      <c r="L5" s="9"/>
      <c r="M5" s="10" t="str">
        <f>IFERROR(VLOOKUP(A5,'[1]Sales Order'!A:F,6,FALSE),"")</f>
        <v/>
      </c>
      <c r="N5" t="str">
        <f>IFERROR(VLOOKUP(VLOOKUP(A5,'[1]Sales Order'!A:G,7,FALSE),[1]Shipper!A:B,2,FALSE),"Not Specified")</f>
        <v>Not Specified</v>
      </c>
      <c r="O5" t="str">
        <f>IFERROR(VLOOKUP(A5,'[1]Sales Order'!A:I,9,FALSE),"Not Specified")</f>
        <v>Not Specified</v>
      </c>
      <c r="P5" t="str">
        <f>IFERROR(VLOOKUP(A5,'[1]Sales Order'!A:N,14,FALSE),"Not Specified")</f>
        <v>Not Specified</v>
      </c>
      <c r="Q5" t="str">
        <f>VLOOKUP(VLOOKUP(B5,[1]Product!A:C,3,FALSE),[1]Supplier!A:B,2,FALSE)</f>
        <v>Supplier QWUSF</v>
      </c>
      <c r="R5" t="str">
        <f>VLOOKUP(VLOOKUP(B5,[1]Product!A:C,3,FALSE),[1]Supplier!A:I,9,FALSE)</f>
        <v>Japan</v>
      </c>
      <c r="S5" t="str">
        <f>IFERROR(IF(VLOOKUP(A5,'[1]Sales Order'!A:H,8,FALSE)&gt;100,"High Freight","Low Freight"),"Not Specified")</f>
        <v>Not Specified</v>
      </c>
      <c r="T5">
        <f t="shared" si="1"/>
        <v>167.4</v>
      </c>
      <c r="U5" s="12" t="s">
        <v>22</v>
      </c>
    </row>
    <row r="6" spans="1:21">
      <c r="A6" s="1">
        <v>10249</v>
      </c>
      <c r="B6" s="2">
        <v>51</v>
      </c>
      <c r="C6" s="2">
        <v>42.4</v>
      </c>
      <c r="D6" s="2">
        <v>40</v>
      </c>
      <c r="E6" s="3">
        <v>0</v>
      </c>
      <c r="F6" s="2" t="str">
        <f>IFERROR(VLOOKUP(VLOOKUP(A6,'[1]Sales Order'!A:B,2,FALSE),[1]Customer!A:C,3,FALSE),"Not Specified")</f>
        <v>Not Specified</v>
      </c>
      <c r="G6" s="2" t="str">
        <f t="shared" si="0"/>
        <v>Not Specified</v>
      </c>
      <c r="H6" s="8" t="str">
        <f>IFERROR(VLOOKUP(VLOOKUP(A6,'[1]Sales Order'!A:C,3,FALSE),[1]Employee!A:E,5,FALSE)&amp;" "&amp;VLOOKUP(VLOOKUP(A6,'[1]Sales Order'!A:C,3,FALSE),[1]Employee!A:C,3,FALSE)&amp;" "&amp;VLOOKUP(VLOOKUP(A6,'[1]Sales Order'!A:C,3,FALSE),[1]Employee!A:B,2,FALSE),"Not Specified")</f>
        <v>Not Specified</v>
      </c>
      <c r="I6" t="str">
        <f>IFERROR(VLOOKUP(VLOOKUP(A6,'[1]Sales Order'!A:C,3,FALSE),[1]Employee!A:J,10,FALSE),"Not Specified")</f>
        <v>Not Specified</v>
      </c>
      <c r="J6" t="str">
        <f>VLOOKUP(B6,[1]Product!A:B,2,FALSE)</f>
        <v>Product APITJ</v>
      </c>
      <c r="K6" t="str">
        <f>VLOOKUP(VLOOKUP(B6,[1]Product!A:D,4,FALSE),[1]Category!A:B,2,FALSE)</f>
        <v>Produce</v>
      </c>
      <c r="L6" s="9"/>
      <c r="M6" s="10" t="str">
        <f>IFERROR(VLOOKUP(A6,'[1]Sales Order'!A:F,6,FALSE),"")</f>
        <v/>
      </c>
      <c r="N6" t="str">
        <f>IFERROR(VLOOKUP(VLOOKUP(A6,'[1]Sales Order'!A:G,7,FALSE),[1]Shipper!A:B,2,FALSE),"Not Specified")</f>
        <v>Not Specified</v>
      </c>
      <c r="O6" t="str">
        <f>IFERROR(VLOOKUP(A6,'[1]Sales Order'!A:I,9,FALSE),"Not Specified")</f>
        <v>Not Specified</v>
      </c>
      <c r="P6" t="str">
        <f>IFERROR(VLOOKUP(A6,'[1]Sales Order'!A:N,14,FALSE),"Not Specified")</f>
        <v>Not Specified</v>
      </c>
      <c r="Q6" t="str">
        <f>VLOOKUP(VLOOKUP(B6,[1]Product!A:C,3,FALSE),[1]Supplier!A:B,2,FALSE)</f>
        <v>Supplier JNNES</v>
      </c>
      <c r="R6" t="str">
        <f>VLOOKUP(VLOOKUP(B6,[1]Product!A:C,3,FALSE),[1]Supplier!A:I,9,FALSE)</f>
        <v>Australia</v>
      </c>
      <c r="S6" t="str">
        <f>IFERROR(IF(VLOOKUP(A6,'[1]Sales Order'!A:H,8,FALSE)&gt;100,"High Freight","Low Freight"),"Not Specified")</f>
        <v>Not Specified</v>
      </c>
      <c r="T6">
        <f t="shared" si="1"/>
        <v>1696</v>
      </c>
      <c r="U6" s="12" t="s">
        <v>22</v>
      </c>
    </row>
    <row r="7" spans="1:21">
      <c r="A7" s="1">
        <v>10250</v>
      </c>
      <c r="B7" s="2">
        <v>41</v>
      </c>
      <c r="C7" s="2">
        <v>7.7</v>
      </c>
      <c r="D7" s="2">
        <v>10</v>
      </c>
      <c r="E7" s="3">
        <v>0</v>
      </c>
      <c r="F7" s="2" t="str">
        <f>IFERROR(VLOOKUP(VLOOKUP(A7,'[1]Sales Order'!A:B,2,FALSE),[1]Customer!A:C,3,FALSE),"Not Specified")</f>
        <v>Cohen, Shy</v>
      </c>
      <c r="G7" s="2" t="str">
        <f t="shared" si="0"/>
        <v>Cohen Shy</v>
      </c>
      <c r="H7" s="8" t="str">
        <f>IFERROR(VLOOKUP(VLOOKUP(A7,'[1]Sales Order'!A:C,3,FALSE),[1]Employee!A:E,5,FALSE)&amp;" "&amp;VLOOKUP(VLOOKUP(A7,'[1]Sales Order'!A:C,3,FALSE),[1]Employee!A:C,3,FALSE)&amp;" "&amp;VLOOKUP(VLOOKUP(A7,'[1]Sales Order'!A:C,3,FALSE),[1]Employee!A:B,2,FALSE),"Not Specified")</f>
        <v>Mrs. Yael Peled</v>
      </c>
      <c r="I7" t="str">
        <f>IFERROR(VLOOKUP(VLOOKUP(A7,'[1]Sales Order'!A:C,3,FALSE),[1]Employee!A:J,10,FALSE),"Not Specified")</f>
        <v>WA</v>
      </c>
      <c r="J7" t="str">
        <f>VLOOKUP(B7,[1]Product!A:B,2,FALSE)</f>
        <v>Product TTEEX</v>
      </c>
      <c r="K7" t="str">
        <f>VLOOKUP(VLOOKUP(B7,[1]Product!A:D,4,FALSE),[1]Category!A:B,2,FALSE)</f>
        <v>Seafood</v>
      </c>
      <c r="L7" s="10">
        <f>IFERROR(VLOOKUP(A7,'[1]Sales Order'!A:D,4,FALSE),"")</f>
        <v>38906</v>
      </c>
      <c r="M7" s="10">
        <f>IFERROR(VLOOKUP(A7,'[1]Sales Order'!A:F,6,FALSE),"")</f>
        <v>38910</v>
      </c>
      <c r="N7" t="str">
        <f>IFERROR(VLOOKUP(VLOOKUP(A7,'[1]Sales Order'!A:G,7,FALSE),[1]Shipper!A:B,2,FALSE),"Not Specified")</f>
        <v>Shipper ETYNR</v>
      </c>
      <c r="O7" t="str">
        <f>IFERROR(VLOOKUP(A7,'[1]Sales Order'!A:I,9,FALSE),"Not Specified")</f>
        <v>Destination SCQXA</v>
      </c>
      <c r="P7" t="str">
        <f>IFERROR(VLOOKUP(A7,'[1]Sales Order'!A:N,14,FALSE),"Not Specified")</f>
        <v>Brazil</v>
      </c>
      <c r="Q7" t="str">
        <f>VLOOKUP(VLOOKUP(B7,[1]Product!A:C,3,FALSE),[1]Supplier!A:B,2,FALSE)</f>
        <v>Supplier JDNUG</v>
      </c>
      <c r="R7" t="str">
        <f>VLOOKUP(VLOOKUP(B7,[1]Product!A:C,3,FALSE),[1]Supplier!A:I,9,FALSE)</f>
        <v>USA</v>
      </c>
      <c r="S7" t="str">
        <f>IFERROR(IF(VLOOKUP(A7,'[1]Sales Order'!A:H,8,FALSE)&gt;100,"High Freight","Low Freight"),"Not Specified")</f>
        <v>Low Freight</v>
      </c>
      <c r="T7">
        <f t="shared" si="1"/>
        <v>77</v>
      </c>
    </row>
    <row r="8" spans="1:21">
      <c r="A8" s="1">
        <v>10250</v>
      </c>
      <c r="B8" s="2">
        <v>51</v>
      </c>
      <c r="C8" s="2">
        <v>42.4</v>
      </c>
      <c r="D8" s="2">
        <v>35</v>
      </c>
      <c r="E8" s="3">
        <v>0.15</v>
      </c>
      <c r="F8" s="2" t="str">
        <f>IFERROR(VLOOKUP(VLOOKUP(A8,'[1]Sales Order'!A:B,2,FALSE),[1]Customer!A:C,3,FALSE),"Not Specified")</f>
        <v>Cohen, Shy</v>
      </c>
      <c r="G8" s="2" t="str">
        <f t="shared" si="0"/>
        <v>Cohen Shy</v>
      </c>
      <c r="H8" s="8" t="str">
        <f>IFERROR(VLOOKUP(VLOOKUP(A8,'[1]Sales Order'!A:C,3,FALSE),[1]Employee!A:E,5,FALSE)&amp;" "&amp;VLOOKUP(VLOOKUP(A8,'[1]Sales Order'!A:C,3,FALSE),[1]Employee!A:C,3,FALSE)&amp;" "&amp;VLOOKUP(VLOOKUP(A8,'[1]Sales Order'!A:C,3,FALSE),[1]Employee!A:B,2,FALSE),"Not Specified")</f>
        <v>Mrs. Yael Peled</v>
      </c>
      <c r="I8" t="str">
        <f>IFERROR(VLOOKUP(VLOOKUP(A8,'[1]Sales Order'!A:C,3,FALSE),[1]Employee!A:J,10,FALSE),"Not Specified")</f>
        <v>WA</v>
      </c>
      <c r="J8" t="str">
        <f>VLOOKUP(B8,[1]Product!A:B,2,FALSE)</f>
        <v>Product APITJ</v>
      </c>
      <c r="K8" t="str">
        <f>VLOOKUP(VLOOKUP(B8,[1]Product!A:D,4,FALSE),[1]Category!A:B,2,FALSE)</f>
        <v>Produce</v>
      </c>
      <c r="L8" s="10">
        <f>IFERROR(VLOOKUP(A8,'[1]Sales Order'!A:D,4,FALSE),"")</f>
        <v>38906</v>
      </c>
      <c r="M8" s="10">
        <f>IFERROR(VLOOKUP(A8,'[1]Sales Order'!A:F,6,FALSE),"")</f>
        <v>38910</v>
      </c>
      <c r="N8" t="str">
        <f>IFERROR(VLOOKUP(VLOOKUP(A8,'[1]Sales Order'!A:G,7,FALSE),[1]Shipper!A:B,2,FALSE),"Not Specified")</f>
        <v>Shipper ETYNR</v>
      </c>
      <c r="O8" t="str">
        <f>IFERROR(VLOOKUP(A8,'[1]Sales Order'!A:I,9,FALSE),"Not Specified")</f>
        <v>Destination SCQXA</v>
      </c>
      <c r="P8" t="str">
        <f>IFERROR(VLOOKUP(A8,'[1]Sales Order'!A:N,14,FALSE),"Not Specified")</f>
        <v>Brazil</v>
      </c>
      <c r="Q8" t="str">
        <f>VLOOKUP(VLOOKUP(B8,[1]Product!A:C,3,FALSE),[1]Supplier!A:B,2,FALSE)</f>
        <v>Supplier JNNES</v>
      </c>
      <c r="R8" t="str">
        <f>VLOOKUP(VLOOKUP(B8,[1]Product!A:C,3,FALSE),[1]Supplier!A:I,9,FALSE)</f>
        <v>Australia</v>
      </c>
      <c r="S8" t="str">
        <f>IFERROR(IF(VLOOKUP(A8,'[1]Sales Order'!A:H,8,FALSE)&gt;100,"High Freight","Low Freight"),"Not Specified")</f>
        <v>Low Freight</v>
      </c>
      <c r="T8">
        <f t="shared" si="1"/>
        <v>1261.3999999999999</v>
      </c>
    </row>
    <row r="9" spans="1:21">
      <c r="A9" s="1">
        <v>10250</v>
      </c>
      <c r="B9" s="2">
        <v>65</v>
      </c>
      <c r="C9" s="2">
        <v>16.8</v>
      </c>
      <c r="D9" s="2">
        <v>15</v>
      </c>
      <c r="E9" s="3">
        <v>0.15</v>
      </c>
      <c r="F9" s="2" t="str">
        <f>IFERROR(VLOOKUP(VLOOKUP(A9,'[1]Sales Order'!A:B,2,FALSE),[1]Customer!A:C,3,FALSE),"Not Specified")</f>
        <v>Cohen, Shy</v>
      </c>
      <c r="G9" s="2" t="str">
        <f t="shared" si="0"/>
        <v>Cohen Shy</v>
      </c>
      <c r="H9" s="8" t="str">
        <f>IFERROR(VLOOKUP(VLOOKUP(A9,'[1]Sales Order'!A:C,3,FALSE),[1]Employee!A:E,5,FALSE)&amp;" "&amp;VLOOKUP(VLOOKUP(A9,'[1]Sales Order'!A:C,3,FALSE),[1]Employee!A:C,3,FALSE)&amp;" "&amp;VLOOKUP(VLOOKUP(A9,'[1]Sales Order'!A:C,3,FALSE),[1]Employee!A:B,2,FALSE),"Not Specified")</f>
        <v>Mrs. Yael Peled</v>
      </c>
      <c r="I9" t="str">
        <f>IFERROR(VLOOKUP(VLOOKUP(A9,'[1]Sales Order'!A:C,3,FALSE),[1]Employee!A:J,10,FALSE),"Not Specified")</f>
        <v>WA</v>
      </c>
      <c r="J9" t="str">
        <f>VLOOKUP(B9,[1]Product!A:B,2,FALSE)</f>
        <v>Product XYWBZ</v>
      </c>
      <c r="K9" t="str">
        <f>VLOOKUP(VLOOKUP(B9,[1]Product!A:D,4,FALSE),[1]Category!A:B,2,FALSE)</f>
        <v>Condiments</v>
      </c>
      <c r="L9" s="10">
        <f>IFERROR(VLOOKUP(A9,'[1]Sales Order'!A:D,4,FALSE),"")</f>
        <v>38906</v>
      </c>
      <c r="M9" s="10">
        <f>IFERROR(VLOOKUP(A9,'[1]Sales Order'!A:F,6,FALSE),"")</f>
        <v>38910</v>
      </c>
      <c r="N9" t="str">
        <f>IFERROR(VLOOKUP(VLOOKUP(A9,'[1]Sales Order'!A:G,7,FALSE),[1]Shipper!A:B,2,FALSE),"Not Specified")</f>
        <v>Shipper ETYNR</v>
      </c>
      <c r="O9" t="str">
        <f>IFERROR(VLOOKUP(A9,'[1]Sales Order'!A:I,9,FALSE),"Not Specified")</f>
        <v>Destination SCQXA</v>
      </c>
      <c r="P9" t="str">
        <f>IFERROR(VLOOKUP(A9,'[1]Sales Order'!A:N,14,FALSE),"Not Specified")</f>
        <v>Brazil</v>
      </c>
      <c r="Q9" t="str">
        <f>VLOOKUP(VLOOKUP(B9,[1]Product!A:C,3,FALSE),[1]Supplier!A:B,2,FALSE)</f>
        <v>Supplier VHQZD</v>
      </c>
      <c r="R9" t="str">
        <f>VLOOKUP(VLOOKUP(B9,[1]Product!A:C,3,FALSE),[1]Supplier!A:I,9,FALSE)</f>
        <v>USA</v>
      </c>
      <c r="S9" t="str">
        <f>IFERROR(IF(VLOOKUP(A9,'[1]Sales Order'!A:H,8,FALSE)&gt;100,"High Freight","Low Freight"),"Not Specified")</f>
        <v>Low Freight</v>
      </c>
      <c r="T9">
        <f t="shared" si="1"/>
        <v>214.2</v>
      </c>
    </row>
    <row r="10" spans="1:21">
      <c r="A10" s="1">
        <v>10251</v>
      </c>
      <c r="B10" s="2">
        <v>22</v>
      </c>
      <c r="C10" s="2">
        <v>16.8</v>
      </c>
      <c r="D10" s="2">
        <v>6</v>
      </c>
      <c r="E10" s="3">
        <v>0.05</v>
      </c>
      <c r="F10" s="2" t="str">
        <f>IFERROR(VLOOKUP(VLOOKUP(A10,'[1]Sales Order'!A:B,2,FALSE),[1]Customer!A:C,3,FALSE),"Not Specified")</f>
        <v>Tuntisangaroon, Sittichai</v>
      </c>
      <c r="G10" s="2" t="str">
        <f t="shared" si="0"/>
        <v>Tuntisangaroon Sittichai</v>
      </c>
      <c r="H10" s="8" t="str">
        <f>IFERROR(VLOOKUP(VLOOKUP(A10,'[1]Sales Order'!A:C,3,FALSE),[1]Employee!A:E,5,FALSE)&amp;" "&amp;VLOOKUP(VLOOKUP(A10,'[1]Sales Order'!A:C,3,FALSE),[1]Employee!A:C,3,FALSE)&amp;" "&amp;VLOOKUP(VLOOKUP(A10,'[1]Sales Order'!A:C,3,FALSE),[1]Employee!A:B,2,FALSE),"Not Specified")</f>
        <v>Ms. Judy Lew</v>
      </c>
      <c r="I10" t="str">
        <f>IFERROR(VLOOKUP(VLOOKUP(A10,'[1]Sales Order'!A:C,3,FALSE),[1]Employee!A:J,10,FALSE),"Not Specified")</f>
        <v>WA</v>
      </c>
      <c r="J10" t="str">
        <f>VLOOKUP(B10,[1]Product!A:B,2,FALSE)</f>
        <v>Product CPHFY</v>
      </c>
      <c r="K10" t="str">
        <f>VLOOKUP(VLOOKUP(B10,[1]Product!A:D,4,FALSE),[1]Category!A:B,2,FALSE)</f>
        <v>Grains/Cereals</v>
      </c>
      <c r="L10" s="10">
        <f>IFERROR(VLOOKUP(A10,'[1]Sales Order'!A:D,4,FALSE),"")</f>
        <v>38906</v>
      </c>
      <c r="M10" s="10">
        <f>IFERROR(VLOOKUP(A10,'[1]Sales Order'!A:F,6,FALSE),"")</f>
        <v>38913</v>
      </c>
      <c r="N10" t="str">
        <f>IFERROR(VLOOKUP(VLOOKUP(A10,'[1]Sales Order'!A:G,7,FALSE),[1]Shipper!A:B,2,FALSE),"Not Specified")</f>
        <v>Shipper GVSUA</v>
      </c>
      <c r="O10" t="str">
        <f>IFERROR(VLOOKUP(A10,'[1]Sales Order'!A:I,9,FALSE),"Not Specified")</f>
        <v>Ship to 84-A</v>
      </c>
      <c r="P10" t="str">
        <f>IFERROR(VLOOKUP(A10,'[1]Sales Order'!A:N,14,FALSE),"Not Specified")</f>
        <v>France</v>
      </c>
      <c r="Q10" t="str">
        <f>VLOOKUP(VLOOKUP(B10,[1]Product!A:C,3,FALSE),[1]Supplier!A:B,2,FALSE)</f>
        <v>Supplier QQYEU</v>
      </c>
      <c r="R10" t="str">
        <f>VLOOKUP(VLOOKUP(B10,[1]Product!A:C,3,FALSE),[1]Supplier!A:I,9,FALSE)</f>
        <v>Sweden</v>
      </c>
      <c r="S10" t="str">
        <f>IFERROR(IF(VLOOKUP(A10,'[1]Sales Order'!A:H,8,FALSE)&gt;100,"High Freight","Low Freight"),"Not Specified")</f>
        <v>Low Freight</v>
      </c>
      <c r="T10">
        <f t="shared" si="1"/>
        <v>95.76</v>
      </c>
    </row>
    <row r="11" spans="1:21">
      <c r="A11" s="1">
        <v>10251</v>
      </c>
      <c r="B11" s="2">
        <v>57</v>
      </c>
      <c r="C11" s="2">
        <v>15.6</v>
      </c>
      <c r="D11" s="2">
        <v>15</v>
      </c>
      <c r="E11" s="3">
        <v>0.05</v>
      </c>
      <c r="F11" s="2" t="str">
        <f>IFERROR(VLOOKUP(VLOOKUP(A11,'[1]Sales Order'!A:B,2,FALSE),[1]Customer!A:C,3,FALSE),"Not Specified")</f>
        <v>Tuntisangaroon, Sittichai</v>
      </c>
      <c r="G11" s="2" t="str">
        <f t="shared" si="0"/>
        <v>Tuntisangaroon Sittichai</v>
      </c>
      <c r="H11" s="8" t="str">
        <f>IFERROR(VLOOKUP(VLOOKUP(A11,'[1]Sales Order'!A:C,3,FALSE),[1]Employee!A:E,5,FALSE)&amp;" "&amp;VLOOKUP(VLOOKUP(A11,'[1]Sales Order'!A:C,3,FALSE),[1]Employee!A:C,3,FALSE)&amp;" "&amp;VLOOKUP(VLOOKUP(A11,'[1]Sales Order'!A:C,3,FALSE),[1]Employee!A:B,2,FALSE),"Not Specified")</f>
        <v>Ms. Judy Lew</v>
      </c>
      <c r="I11" t="str">
        <f>IFERROR(VLOOKUP(VLOOKUP(A11,'[1]Sales Order'!A:C,3,FALSE),[1]Employee!A:J,10,FALSE),"Not Specified")</f>
        <v>WA</v>
      </c>
      <c r="J11" t="str">
        <f>VLOOKUP(B11,[1]Product!A:B,2,FALSE)</f>
        <v>Product OVLQI</v>
      </c>
      <c r="K11" t="str">
        <f>VLOOKUP(VLOOKUP(B11,[1]Product!A:D,4,FALSE),[1]Category!A:B,2,FALSE)</f>
        <v>Grains/Cereals</v>
      </c>
      <c r="L11" s="10">
        <f>IFERROR(VLOOKUP(A11,'[1]Sales Order'!A:D,4,FALSE),"")</f>
        <v>38906</v>
      </c>
      <c r="M11" s="10">
        <f>IFERROR(VLOOKUP(A11,'[1]Sales Order'!A:F,6,FALSE),"")</f>
        <v>38913</v>
      </c>
      <c r="N11" t="str">
        <f>IFERROR(VLOOKUP(VLOOKUP(A11,'[1]Sales Order'!A:G,7,FALSE),[1]Shipper!A:B,2,FALSE),"Not Specified")</f>
        <v>Shipper GVSUA</v>
      </c>
      <c r="O11" t="str">
        <f>IFERROR(VLOOKUP(A11,'[1]Sales Order'!A:I,9,FALSE),"Not Specified")</f>
        <v>Ship to 84-A</v>
      </c>
      <c r="P11" t="str">
        <f>IFERROR(VLOOKUP(A11,'[1]Sales Order'!A:N,14,FALSE),"Not Specified")</f>
        <v>France</v>
      </c>
      <c r="Q11" t="str">
        <f>VLOOKUP(VLOOKUP(B11,[1]Product!A:C,3,FALSE),[1]Supplier!A:B,2,FALSE)</f>
        <v>Supplier ZWZDM</v>
      </c>
      <c r="R11" t="str">
        <f>VLOOKUP(VLOOKUP(B11,[1]Product!A:C,3,FALSE),[1]Supplier!A:I,9,FALSE)</f>
        <v>Italy</v>
      </c>
      <c r="S11" t="str">
        <f>IFERROR(IF(VLOOKUP(A11,'[1]Sales Order'!A:H,8,FALSE)&gt;100,"High Freight","Low Freight"),"Not Specified")</f>
        <v>Low Freight</v>
      </c>
      <c r="T11">
        <f t="shared" si="1"/>
        <v>222.29999999999998</v>
      </c>
    </row>
    <row r="12" spans="1:21">
      <c r="A12" s="1">
        <v>10251</v>
      </c>
      <c r="B12" s="2">
        <v>65</v>
      </c>
      <c r="C12" s="2">
        <v>16.8</v>
      </c>
      <c r="D12" s="2">
        <v>20</v>
      </c>
      <c r="E12" s="3">
        <v>0</v>
      </c>
      <c r="F12" s="2" t="str">
        <f>IFERROR(VLOOKUP(VLOOKUP(A12,'[1]Sales Order'!A:B,2,FALSE),[1]Customer!A:C,3,FALSE),"Not Specified")</f>
        <v>Tuntisangaroon, Sittichai</v>
      </c>
      <c r="G12" s="2" t="str">
        <f t="shared" si="0"/>
        <v>Tuntisangaroon Sittichai</v>
      </c>
      <c r="H12" s="8" t="str">
        <f>IFERROR(VLOOKUP(VLOOKUP(A12,'[1]Sales Order'!A:C,3,FALSE),[1]Employee!A:E,5,FALSE)&amp;" "&amp;VLOOKUP(VLOOKUP(A12,'[1]Sales Order'!A:C,3,FALSE),[1]Employee!A:C,3,FALSE)&amp;" "&amp;VLOOKUP(VLOOKUP(A12,'[1]Sales Order'!A:C,3,FALSE),[1]Employee!A:B,2,FALSE),"Not Specified")</f>
        <v>Ms. Judy Lew</v>
      </c>
      <c r="I12" t="str">
        <f>IFERROR(VLOOKUP(VLOOKUP(A12,'[1]Sales Order'!A:C,3,FALSE),[1]Employee!A:J,10,FALSE),"Not Specified")</f>
        <v>WA</v>
      </c>
      <c r="J12" t="str">
        <f>VLOOKUP(B12,[1]Product!A:B,2,FALSE)</f>
        <v>Product XYWBZ</v>
      </c>
      <c r="K12" t="str">
        <f>VLOOKUP(VLOOKUP(B12,[1]Product!A:D,4,FALSE),[1]Category!A:B,2,FALSE)</f>
        <v>Condiments</v>
      </c>
      <c r="L12" s="10">
        <f>IFERROR(VLOOKUP(A12,'[1]Sales Order'!A:D,4,FALSE),"")</f>
        <v>38906</v>
      </c>
      <c r="M12" s="10">
        <f>IFERROR(VLOOKUP(A12,'[1]Sales Order'!A:F,6,FALSE),"")</f>
        <v>38913</v>
      </c>
      <c r="N12" t="str">
        <f>IFERROR(VLOOKUP(VLOOKUP(A12,'[1]Sales Order'!A:G,7,FALSE),[1]Shipper!A:B,2,FALSE),"Not Specified")</f>
        <v>Shipper GVSUA</v>
      </c>
      <c r="O12" t="str">
        <f>IFERROR(VLOOKUP(A12,'[1]Sales Order'!A:I,9,FALSE),"Not Specified")</f>
        <v>Ship to 84-A</v>
      </c>
      <c r="P12" t="str">
        <f>IFERROR(VLOOKUP(A12,'[1]Sales Order'!A:N,14,FALSE),"Not Specified")</f>
        <v>France</v>
      </c>
      <c r="Q12" t="str">
        <f>VLOOKUP(VLOOKUP(B12,[1]Product!A:C,3,FALSE),[1]Supplier!A:B,2,FALSE)</f>
        <v>Supplier VHQZD</v>
      </c>
      <c r="R12" t="str">
        <f>VLOOKUP(VLOOKUP(B12,[1]Product!A:C,3,FALSE),[1]Supplier!A:I,9,FALSE)</f>
        <v>USA</v>
      </c>
      <c r="S12" t="str">
        <f>IFERROR(IF(VLOOKUP(A12,'[1]Sales Order'!A:H,8,FALSE)&gt;100,"High Freight","Low Freight"),"Not Specified")</f>
        <v>Low Freight</v>
      </c>
      <c r="T12">
        <f t="shared" si="1"/>
        <v>336</v>
      </c>
    </row>
    <row r="13" spans="1:21">
      <c r="A13" s="1">
        <v>10252</v>
      </c>
      <c r="B13" s="2">
        <v>20</v>
      </c>
      <c r="C13" s="2">
        <v>64.8</v>
      </c>
      <c r="D13" s="2">
        <v>40</v>
      </c>
      <c r="E13" s="3">
        <v>0.05</v>
      </c>
      <c r="F13" s="2" t="str">
        <f>IFERROR(VLOOKUP(VLOOKUP(A13,'[1]Sales Order'!A:B,2,FALSE),[1]Customer!A:C,3,FALSE),"Not Specified")</f>
        <v>Gulbis, Katrin</v>
      </c>
      <c r="G13" s="2" t="str">
        <f t="shared" si="0"/>
        <v>Gulbis Katrin</v>
      </c>
      <c r="H13" s="8" t="str">
        <f>IFERROR(VLOOKUP(VLOOKUP(A13,'[1]Sales Order'!A:C,3,FALSE),[1]Employee!A:E,5,FALSE)&amp;" "&amp;VLOOKUP(VLOOKUP(A13,'[1]Sales Order'!A:C,3,FALSE),[1]Employee!A:C,3,FALSE)&amp;" "&amp;VLOOKUP(VLOOKUP(A13,'[1]Sales Order'!A:C,3,FALSE),[1]Employee!A:B,2,FALSE),"Not Specified")</f>
        <v>Mrs. Yael Peled</v>
      </c>
      <c r="I13" t="str">
        <f>IFERROR(VLOOKUP(VLOOKUP(A13,'[1]Sales Order'!A:C,3,FALSE),[1]Employee!A:J,10,FALSE),"Not Specified")</f>
        <v>WA</v>
      </c>
      <c r="J13" t="str">
        <f>VLOOKUP(B13,[1]Product!A:B,2,FALSE)</f>
        <v>Product QHFFP</v>
      </c>
      <c r="K13" t="str">
        <f>VLOOKUP(VLOOKUP(B13,[1]Product!A:D,4,FALSE),[1]Category!A:B,2,FALSE)</f>
        <v>Confections</v>
      </c>
      <c r="L13" s="10">
        <f>IFERROR(VLOOKUP(A13,'[1]Sales Order'!A:D,4,FALSE),"")</f>
        <v>38907</v>
      </c>
      <c r="M13" s="10">
        <f>IFERROR(VLOOKUP(A13,'[1]Sales Order'!A:F,6,FALSE),"")</f>
        <v>38909</v>
      </c>
      <c r="N13" t="str">
        <f>IFERROR(VLOOKUP(VLOOKUP(A13,'[1]Sales Order'!A:G,7,FALSE),[1]Shipper!A:B,2,FALSE),"Not Specified")</f>
        <v>Shipper ETYNR</v>
      </c>
      <c r="O13" t="str">
        <f>IFERROR(VLOOKUP(A13,'[1]Sales Order'!A:I,9,FALSE),"Not Specified")</f>
        <v>Ship to 76-B</v>
      </c>
      <c r="P13" t="str">
        <f>IFERROR(VLOOKUP(A13,'[1]Sales Order'!A:N,14,FALSE),"Not Specified")</f>
        <v>Belgium</v>
      </c>
      <c r="Q13" t="str">
        <f>VLOOKUP(VLOOKUP(B13,[1]Product!A:C,3,FALSE),[1]Supplier!A:B,2,FALSE)</f>
        <v>Supplier BWGYE</v>
      </c>
      <c r="R13" t="str">
        <f>VLOOKUP(VLOOKUP(B13,[1]Product!A:C,3,FALSE),[1]Supplier!A:I,9,FALSE)</f>
        <v>UK</v>
      </c>
      <c r="S13" t="str">
        <f>IFERROR(IF(VLOOKUP(A13,'[1]Sales Order'!A:H,8,FALSE)&gt;100,"High Freight","Low Freight"),"Not Specified")</f>
        <v>Low Freight</v>
      </c>
      <c r="T13">
        <f t="shared" si="1"/>
        <v>2462.4</v>
      </c>
    </row>
    <row r="14" spans="1:21">
      <c r="A14" s="1">
        <v>10252</v>
      </c>
      <c r="B14" s="2">
        <v>33</v>
      </c>
      <c r="C14" s="2">
        <v>2</v>
      </c>
      <c r="D14" s="2">
        <v>25</v>
      </c>
      <c r="E14" s="3">
        <v>0.05</v>
      </c>
      <c r="F14" s="2" t="str">
        <f>IFERROR(VLOOKUP(VLOOKUP(A14,'[1]Sales Order'!A:B,2,FALSE),[1]Customer!A:C,3,FALSE),"Not Specified")</f>
        <v>Gulbis, Katrin</v>
      </c>
      <c r="G14" s="2" t="str">
        <f t="shared" si="0"/>
        <v>Gulbis Katrin</v>
      </c>
      <c r="H14" s="8" t="str">
        <f>IFERROR(VLOOKUP(VLOOKUP(A14,'[1]Sales Order'!A:C,3,FALSE),[1]Employee!A:E,5,FALSE)&amp;" "&amp;VLOOKUP(VLOOKUP(A14,'[1]Sales Order'!A:C,3,FALSE),[1]Employee!A:C,3,FALSE)&amp;" "&amp;VLOOKUP(VLOOKUP(A14,'[1]Sales Order'!A:C,3,FALSE),[1]Employee!A:B,2,FALSE),"Not Specified")</f>
        <v>Mrs. Yael Peled</v>
      </c>
      <c r="I14" t="str">
        <f>IFERROR(VLOOKUP(VLOOKUP(A14,'[1]Sales Order'!A:C,3,FALSE),[1]Employee!A:J,10,FALSE),"Not Specified")</f>
        <v>WA</v>
      </c>
      <c r="J14" t="str">
        <f>VLOOKUP(B14,[1]Product!A:B,2,FALSE)</f>
        <v>Product ASTMN</v>
      </c>
      <c r="K14" t="str">
        <f>VLOOKUP(VLOOKUP(B14,[1]Product!A:D,4,FALSE),[1]Category!A:B,2,FALSE)</f>
        <v>Dairy Product</v>
      </c>
      <c r="L14" s="10">
        <f>IFERROR(VLOOKUP(A14,'[1]Sales Order'!A:D,4,FALSE),"")</f>
        <v>38907</v>
      </c>
      <c r="M14" s="10">
        <f>IFERROR(VLOOKUP(A14,'[1]Sales Order'!A:F,6,FALSE),"")</f>
        <v>38909</v>
      </c>
      <c r="N14" t="str">
        <f>IFERROR(VLOOKUP(VLOOKUP(A14,'[1]Sales Order'!A:G,7,FALSE),[1]Shipper!A:B,2,FALSE),"Not Specified")</f>
        <v>Shipper ETYNR</v>
      </c>
      <c r="O14" t="str">
        <f>IFERROR(VLOOKUP(A14,'[1]Sales Order'!A:I,9,FALSE),"Not Specified")</f>
        <v>Ship to 76-B</v>
      </c>
      <c r="P14" t="str">
        <f>IFERROR(VLOOKUP(A14,'[1]Sales Order'!A:N,14,FALSE),"Not Specified")</f>
        <v>Belgium</v>
      </c>
      <c r="Q14" t="str">
        <f>VLOOKUP(VLOOKUP(B14,[1]Product!A:C,3,FALSE),[1]Supplier!A:B,2,FALSE)</f>
        <v>Supplier NZLIF</v>
      </c>
      <c r="R14" t="str">
        <f>VLOOKUP(VLOOKUP(B14,[1]Product!A:C,3,FALSE),[1]Supplier!A:I,9,FALSE)</f>
        <v>Norway</v>
      </c>
      <c r="S14" t="str">
        <f>IFERROR(IF(VLOOKUP(A14,'[1]Sales Order'!A:H,8,FALSE)&gt;100,"High Freight","Low Freight"),"Not Specified")</f>
        <v>Low Freight</v>
      </c>
      <c r="T14">
        <f t="shared" si="1"/>
        <v>47.5</v>
      </c>
    </row>
    <row r="15" spans="1:21">
      <c r="A15" s="1">
        <v>10252</v>
      </c>
      <c r="B15" s="2">
        <v>60</v>
      </c>
      <c r="C15" s="2">
        <v>27.2</v>
      </c>
      <c r="D15" s="2">
        <v>40</v>
      </c>
      <c r="E15" s="3">
        <v>0</v>
      </c>
      <c r="F15" s="2" t="str">
        <f>IFERROR(VLOOKUP(VLOOKUP(A15,'[1]Sales Order'!A:B,2,FALSE),[1]Customer!A:C,3,FALSE),"Not Specified")</f>
        <v>Gulbis, Katrin</v>
      </c>
      <c r="G15" s="2" t="str">
        <f t="shared" si="0"/>
        <v>Gulbis Katrin</v>
      </c>
      <c r="H15" s="8" t="str">
        <f>IFERROR(VLOOKUP(VLOOKUP(A15,'[1]Sales Order'!A:C,3,FALSE),[1]Employee!A:E,5,FALSE)&amp;" "&amp;VLOOKUP(VLOOKUP(A15,'[1]Sales Order'!A:C,3,FALSE),[1]Employee!A:C,3,FALSE)&amp;" "&amp;VLOOKUP(VLOOKUP(A15,'[1]Sales Order'!A:C,3,FALSE),[1]Employee!A:B,2,FALSE),"Not Specified")</f>
        <v>Mrs. Yael Peled</v>
      </c>
      <c r="I15" t="str">
        <f>IFERROR(VLOOKUP(VLOOKUP(A15,'[1]Sales Order'!A:C,3,FALSE),[1]Employee!A:J,10,FALSE),"Not Specified")</f>
        <v>WA</v>
      </c>
      <c r="J15" t="str">
        <f>VLOOKUP(B15,[1]Product!A:B,2,FALSE)</f>
        <v>Product WHBYK</v>
      </c>
      <c r="K15" t="str">
        <f>VLOOKUP(VLOOKUP(B15,[1]Product!A:D,4,FALSE),[1]Category!A:B,2,FALSE)</f>
        <v>Dairy Product</v>
      </c>
      <c r="L15" s="10">
        <f>IFERROR(VLOOKUP(A15,'[1]Sales Order'!A:D,4,FALSE),"")</f>
        <v>38907</v>
      </c>
      <c r="M15" s="10">
        <f>IFERROR(VLOOKUP(A15,'[1]Sales Order'!A:F,6,FALSE),"")</f>
        <v>38909</v>
      </c>
      <c r="N15" t="str">
        <f>IFERROR(VLOOKUP(VLOOKUP(A15,'[1]Sales Order'!A:G,7,FALSE),[1]Shipper!A:B,2,FALSE),"Not Specified")</f>
        <v>Shipper ETYNR</v>
      </c>
      <c r="O15" t="str">
        <f>IFERROR(VLOOKUP(A15,'[1]Sales Order'!A:I,9,FALSE),"Not Specified")</f>
        <v>Ship to 76-B</v>
      </c>
      <c r="P15" t="str">
        <f>IFERROR(VLOOKUP(A15,'[1]Sales Order'!A:N,14,FALSE),"Not Specified")</f>
        <v>Belgium</v>
      </c>
      <c r="Q15" t="str">
        <f>VLOOKUP(VLOOKUP(B15,[1]Product!A:C,3,FALSE),[1]Supplier!A:B,2,FALSE)</f>
        <v>Supplier OAVQT</v>
      </c>
      <c r="R15" t="str">
        <f>VLOOKUP(VLOOKUP(B15,[1]Product!A:C,3,FALSE),[1]Supplier!A:I,9,FALSE)</f>
        <v>France</v>
      </c>
      <c r="S15" t="str">
        <f>IFERROR(IF(VLOOKUP(A15,'[1]Sales Order'!A:H,8,FALSE)&gt;100,"High Freight","Low Freight"),"Not Specified")</f>
        <v>Low Freight</v>
      </c>
      <c r="T15">
        <f t="shared" si="1"/>
        <v>1088</v>
      </c>
    </row>
    <row r="16" spans="1:21">
      <c r="A16" s="1">
        <v>10253</v>
      </c>
      <c r="B16" s="2">
        <v>31</v>
      </c>
      <c r="C16" s="2">
        <v>10</v>
      </c>
      <c r="D16" s="2">
        <v>20</v>
      </c>
      <c r="E16" s="3">
        <v>0</v>
      </c>
      <c r="F16" s="2" t="str">
        <f>IFERROR(VLOOKUP(VLOOKUP(A16,'[1]Sales Order'!A:B,2,FALSE),[1]Customer!A:C,3,FALSE),"Not Specified")</f>
        <v>Cohen, Shy</v>
      </c>
      <c r="G16" s="2" t="str">
        <f t="shared" si="0"/>
        <v>Cohen Shy</v>
      </c>
      <c r="H16" s="8" t="str">
        <f>IFERROR(VLOOKUP(VLOOKUP(A16,'[1]Sales Order'!A:C,3,FALSE),[1]Employee!A:E,5,FALSE)&amp;" "&amp;VLOOKUP(VLOOKUP(A16,'[1]Sales Order'!A:C,3,FALSE),[1]Employee!A:C,3,FALSE)&amp;" "&amp;VLOOKUP(VLOOKUP(A16,'[1]Sales Order'!A:C,3,FALSE),[1]Employee!A:B,2,FALSE),"Not Specified")</f>
        <v>Ms. Judy Lew</v>
      </c>
      <c r="I16" t="str">
        <f>IFERROR(VLOOKUP(VLOOKUP(A16,'[1]Sales Order'!A:C,3,FALSE),[1]Employee!A:J,10,FALSE),"Not Specified")</f>
        <v>WA</v>
      </c>
      <c r="J16" t="str">
        <f>VLOOKUP(B16,[1]Product!A:B,2,FALSE)</f>
        <v>Product XWOXC</v>
      </c>
      <c r="K16" t="str">
        <f>VLOOKUP(VLOOKUP(B16,[1]Product!A:D,4,FALSE),[1]Category!A:B,2,FALSE)</f>
        <v>Dairy Product</v>
      </c>
      <c r="L16" s="10">
        <f>IFERROR(VLOOKUP(A16,'[1]Sales Order'!A:D,4,FALSE),"")</f>
        <v>38908</v>
      </c>
      <c r="M16" s="10">
        <f>IFERROR(VLOOKUP(A16,'[1]Sales Order'!A:F,6,FALSE),"")</f>
        <v>38914</v>
      </c>
      <c r="N16" t="str">
        <f>IFERROR(VLOOKUP(VLOOKUP(A16,'[1]Sales Order'!A:G,7,FALSE),[1]Shipper!A:B,2,FALSE),"Not Specified")</f>
        <v>Shipper ETYNR</v>
      </c>
      <c r="O16" t="str">
        <f>IFERROR(VLOOKUP(A16,'[1]Sales Order'!A:I,9,FALSE),"Not Specified")</f>
        <v>Destination JPAIY</v>
      </c>
      <c r="P16" t="str">
        <f>IFERROR(VLOOKUP(A16,'[1]Sales Order'!A:N,14,FALSE),"Not Specified")</f>
        <v>Brazil</v>
      </c>
      <c r="Q16" t="str">
        <f>VLOOKUP(VLOOKUP(B16,[1]Product!A:C,3,FALSE),[1]Supplier!A:B,2,FALSE)</f>
        <v>Supplier KEREV</v>
      </c>
      <c r="R16" t="str">
        <f>VLOOKUP(VLOOKUP(B16,[1]Product!A:C,3,FALSE),[1]Supplier!A:I,9,FALSE)</f>
        <v>Italy</v>
      </c>
      <c r="S16" t="str">
        <f>IFERROR(IF(VLOOKUP(A16,'[1]Sales Order'!A:H,8,FALSE)&gt;100,"High Freight","Low Freight"),"Not Specified")</f>
        <v>Low Freight</v>
      </c>
      <c r="T16">
        <f t="shared" si="1"/>
        <v>200</v>
      </c>
    </row>
    <row r="17" spans="1:20">
      <c r="A17" s="1">
        <v>10253</v>
      </c>
      <c r="B17" s="2">
        <v>39</v>
      </c>
      <c r="C17" s="2">
        <v>14.4</v>
      </c>
      <c r="D17" s="2">
        <v>42</v>
      </c>
      <c r="E17" s="3">
        <v>0</v>
      </c>
      <c r="F17" s="2" t="str">
        <f>IFERROR(VLOOKUP(VLOOKUP(A17,'[1]Sales Order'!A:B,2,FALSE),[1]Customer!A:C,3,FALSE),"Not Specified")</f>
        <v>Cohen, Shy</v>
      </c>
      <c r="G17" s="2" t="str">
        <f t="shared" si="0"/>
        <v>Cohen Shy</v>
      </c>
      <c r="H17" s="8" t="str">
        <f>IFERROR(VLOOKUP(VLOOKUP(A17,'[1]Sales Order'!A:C,3,FALSE),[1]Employee!A:E,5,FALSE)&amp;" "&amp;VLOOKUP(VLOOKUP(A17,'[1]Sales Order'!A:C,3,FALSE),[1]Employee!A:C,3,FALSE)&amp;" "&amp;VLOOKUP(VLOOKUP(A17,'[1]Sales Order'!A:C,3,FALSE),[1]Employee!A:B,2,FALSE),"Not Specified")</f>
        <v>Ms. Judy Lew</v>
      </c>
      <c r="I17" t="str">
        <f>IFERROR(VLOOKUP(VLOOKUP(A17,'[1]Sales Order'!A:C,3,FALSE),[1]Employee!A:J,10,FALSE),"Not Specified")</f>
        <v>WA</v>
      </c>
      <c r="J17" t="str">
        <f>VLOOKUP(B17,[1]Product!A:B,2,FALSE)</f>
        <v>Product LSOFL</v>
      </c>
      <c r="K17" t="str">
        <f>VLOOKUP(VLOOKUP(B17,[1]Product!A:D,4,FALSE),[1]Category!A:B,2,FALSE)</f>
        <v>Beverages</v>
      </c>
      <c r="L17" s="10">
        <f>IFERROR(VLOOKUP(A17,'[1]Sales Order'!A:D,4,FALSE),"")</f>
        <v>38908</v>
      </c>
      <c r="M17" s="10">
        <f>IFERROR(VLOOKUP(A17,'[1]Sales Order'!A:F,6,FALSE),"")</f>
        <v>38914</v>
      </c>
      <c r="N17" t="str">
        <f>IFERROR(VLOOKUP(VLOOKUP(A17,'[1]Sales Order'!A:G,7,FALSE),[1]Shipper!A:B,2,FALSE),"Not Specified")</f>
        <v>Shipper ETYNR</v>
      </c>
      <c r="O17" t="str">
        <f>IFERROR(VLOOKUP(A17,'[1]Sales Order'!A:I,9,FALSE),"Not Specified")</f>
        <v>Destination JPAIY</v>
      </c>
      <c r="P17" t="str">
        <f>IFERROR(VLOOKUP(A17,'[1]Sales Order'!A:N,14,FALSE),"Not Specified")</f>
        <v>Brazil</v>
      </c>
      <c r="Q17" t="str">
        <f>VLOOKUP(VLOOKUP(B17,[1]Product!A:C,3,FALSE),[1]Supplier!A:B,2,FALSE)</f>
        <v>Supplier LVJUA</v>
      </c>
      <c r="R17" t="str">
        <f>VLOOKUP(VLOOKUP(B17,[1]Product!A:C,3,FALSE),[1]Supplier!A:I,9,FALSE)</f>
        <v>France</v>
      </c>
      <c r="S17" t="str">
        <f>IFERROR(IF(VLOOKUP(A17,'[1]Sales Order'!A:H,8,FALSE)&gt;100,"High Freight","Low Freight"),"Not Specified")</f>
        <v>Low Freight</v>
      </c>
      <c r="T17">
        <f t="shared" si="1"/>
        <v>604.80000000000007</v>
      </c>
    </row>
    <row r="18" spans="1:20">
      <c r="A18" s="1">
        <v>10253</v>
      </c>
      <c r="B18" s="2">
        <v>49</v>
      </c>
      <c r="C18" s="2">
        <v>16</v>
      </c>
      <c r="D18" s="2">
        <v>40</v>
      </c>
      <c r="E18" s="3">
        <v>0</v>
      </c>
      <c r="F18" s="2" t="str">
        <f>IFERROR(VLOOKUP(VLOOKUP(A18,'[1]Sales Order'!A:B,2,FALSE),[1]Customer!A:C,3,FALSE),"Not Specified")</f>
        <v>Cohen, Shy</v>
      </c>
      <c r="G18" s="2" t="str">
        <f t="shared" si="0"/>
        <v>Cohen Shy</v>
      </c>
      <c r="H18" s="8" t="str">
        <f>IFERROR(VLOOKUP(VLOOKUP(A18,'[1]Sales Order'!A:C,3,FALSE),[1]Employee!A:E,5,FALSE)&amp;" "&amp;VLOOKUP(VLOOKUP(A18,'[1]Sales Order'!A:C,3,FALSE),[1]Employee!A:C,3,FALSE)&amp;" "&amp;VLOOKUP(VLOOKUP(A18,'[1]Sales Order'!A:C,3,FALSE),[1]Employee!A:B,2,FALSE),"Not Specified")</f>
        <v>Ms. Judy Lew</v>
      </c>
      <c r="I18" t="str">
        <f>IFERROR(VLOOKUP(VLOOKUP(A18,'[1]Sales Order'!A:C,3,FALSE),[1]Employee!A:J,10,FALSE),"Not Specified")</f>
        <v>WA</v>
      </c>
      <c r="J18" t="str">
        <f>VLOOKUP(B18,[1]Product!A:B,2,FALSE)</f>
        <v>Product FPYPN</v>
      </c>
      <c r="K18" t="str">
        <f>VLOOKUP(VLOOKUP(B18,[1]Product!A:D,4,FALSE),[1]Category!A:B,2,FALSE)</f>
        <v>Confections</v>
      </c>
      <c r="L18" s="10">
        <f>IFERROR(VLOOKUP(A18,'[1]Sales Order'!A:D,4,FALSE),"")</f>
        <v>38908</v>
      </c>
      <c r="M18" s="10">
        <f>IFERROR(VLOOKUP(A18,'[1]Sales Order'!A:F,6,FALSE),"")</f>
        <v>38914</v>
      </c>
      <c r="N18" t="str">
        <f>IFERROR(VLOOKUP(VLOOKUP(A18,'[1]Sales Order'!A:G,7,FALSE),[1]Shipper!A:B,2,FALSE),"Not Specified")</f>
        <v>Shipper ETYNR</v>
      </c>
      <c r="O18" t="str">
        <f>IFERROR(VLOOKUP(A18,'[1]Sales Order'!A:I,9,FALSE),"Not Specified")</f>
        <v>Destination JPAIY</v>
      </c>
      <c r="P18" t="str">
        <f>IFERROR(VLOOKUP(A18,'[1]Sales Order'!A:N,14,FALSE),"Not Specified")</f>
        <v>Brazil</v>
      </c>
      <c r="Q18" t="str">
        <f>VLOOKUP(VLOOKUP(B18,[1]Product!A:C,3,FALSE),[1]Supplier!A:B,2,FALSE)</f>
        <v>Supplier ELCRN</v>
      </c>
      <c r="R18" t="str">
        <f>VLOOKUP(VLOOKUP(B18,[1]Product!A:C,3,FALSE),[1]Supplier!A:I,9,FALSE)</f>
        <v>Finland</v>
      </c>
      <c r="S18" t="str">
        <f>IFERROR(IF(VLOOKUP(A18,'[1]Sales Order'!A:H,8,FALSE)&gt;100,"High Freight","Low Freight"),"Not Specified")</f>
        <v>Low Freight</v>
      </c>
      <c r="T18">
        <f t="shared" si="1"/>
        <v>640</v>
      </c>
    </row>
    <row r="19" spans="1:20">
      <c r="A19" s="1">
        <v>10254</v>
      </c>
      <c r="B19" s="2">
        <v>24</v>
      </c>
      <c r="C19" s="2">
        <v>3.6</v>
      </c>
      <c r="D19" s="2">
        <v>15</v>
      </c>
      <c r="E19" s="3">
        <v>0.15</v>
      </c>
      <c r="F19" s="2" t="str">
        <f>IFERROR(VLOOKUP(VLOOKUP(A19,'[1]Sales Order'!A:B,2,FALSE),[1]Customer!A:C,3,FALSE),"Not Specified")</f>
        <v>Jelitto, Jacek</v>
      </c>
      <c r="G19" s="2" t="str">
        <f t="shared" si="0"/>
        <v>Jelitto Jacek</v>
      </c>
      <c r="H19" s="8" t="str">
        <f>IFERROR(VLOOKUP(VLOOKUP(A19,'[1]Sales Order'!A:C,3,FALSE),[1]Employee!A:E,5,FALSE)&amp;" "&amp;VLOOKUP(VLOOKUP(A19,'[1]Sales Order'!A:C,3,FALSE),[1]Employee!A:C,3,FALSE)&amp;" "&amp;VLOOKUP(VLOOKUP(A19,'[1]Sales Order'!A:C,3,FALSE),[1]Employee!A:B,2,FALSE),"Not Specified")</f>
        <v>Mr. Sven Buck</v>
      </c>
      <c r="I19">
        <f>IFERROR(VLOOKUP(VLOOKUP(A19,'[1]Sales Order'!A:C,3,FALSE),[1]Employee!A:J,10,FALSE),"Not Specified")</f>
        <v>0</v>
      </c>
      <c r="J19" t="str">
        <f>VLOOKUP(B19,[1]Product!A:B,2,FALSE)</f>
        <v>Product QOGNU</v>
      </c>
      <c r="K19" t="str">
        <f>VLOOKUP(VLOOKUP(B19,[1]Product!A:D,4,FALSE),[1]Category!A:B,2,FALSE)</f>
        <v>Beverages</v>
      </c>
      <c r="L19" s="10">
        <f>IFERROR(VLOOKUP(A19,'[1]Sales Order'!A:D,4,FALSE),"")</f>
        <v>38909</v>
      </c>
      <c r="M19" s="10">
        <f>IFERROR(VLOOKUP(A19,'[1]Sales Order'!A:F,6,FALSE),"")</f>
        <v>38921</v>
      </c>
      <c r="N19" t="str">
        <f>IFERROR(VLOOKUP(VLOOKUP(A19,'[1]Sales Order'!A:G,7,FALSE),[1]Shipper!A:B,2,FALSE),"Not Specified")</f>
        <v>Shipper ETYNR</v>
      </c>
      <c r="O19" t="str">
        <f>IFERROR(VLOOKUP(A19,'[1]Sales Order'!A:I,9,FALSE),"Not Specified")</f>
        <v>Destination YUJRD</v>
      </c>
      <c r="P19" t="str">
        <f>IFERROR(VLOOKUP(A19,'[1]Sales Order'!A:N,14,FALSE),"Not Specified")</f>
        <v>Switzerland</v>
      </c>
      <c r="Q19" t="str">
        <f>VLOOKUP(VLOOKUP(B19,[1]Product!A:C,3,FALSE),[1]Supplier!A:B,2,FALSE)</f>
        <v>Supplier UNAHG</v>
      </c>
      <c r="R19" t="str">
        <f>VLOOKUP(VLOOKUP(B19,[1]Product!A:C,3,FALSE),[1]Supplier!A:I,9,FALSE)</f>
        <v>Brazil</v>
      </c>
      <c r="S19" t="str">
        <f>IFERROR(IF(VLOOKUP(A19,'[1]Sales Order'!A:H,8,FALSE)&gt;100,"High Freight","Low Freight"),"Not Specified")</f>
        <v>Low Freight</v>
      </c>
      <c r="T19">
        <f t="shared" si="1"/>
        <v>45.9</v>
      </c>
    </row>
    <row r="20" spans="1:20">
      <c r="A20" s="1">
        <v>10254</v>
      </c>
      <c r="B20" s="2">
        <v>55</v>
      </c>
      <c r="C20" s="2">
        <v>19.2</v>
      </c>
      <c r="D20" s="2">
        <v>21</v>
      </c>
      <c r="E20" s="3">
        <v>0.15</v>
      </c>
      <c r="F20" s="2" t="str">
        <f>IFERROR(VLOOKUP(VLOOKUP(A20,'[1]Sales Order'!A:B,2,FALSE),[1]Customer!A:C,3,FALSE),"Not Specified")</f>
        <v>Jelitto, Jacek</v>
      </c>
      <c r="G20" s="2" t="str">
        <f t="shared" si="0"/>
        <v>Jelitto Jacek</v>
      </c>
      <c r="H20" s="8" t="str">
        <f>IFERROR(VLOOKUP(VLOOKUP(A20,'[1]Sales Order'!A:C,3,FALSE),[1]Employee!A:E,5,FALSE)&amp;" "&amp;VLOOKUP(VLOOKUP(A20,'[1]Sales Order'!A:C,3,FALSE),[1]Employee!A:C,3,FALSE)&amp;" "&amp;VLOOKUP(VLOOKUP(A20,'[1]Sales Order'!A:C,3,FALSE),[1]Employee!A:B,2,FALSE),"Not Specified")</f>
        <v>Mr. Sven Buck</v>
      </c>
      <c r="I20">
        <f>IFERROR(VLOOKUP(VLOOKUP(A20,'[1]Sales Order'!A:C,3,FALSE),[1]Employee!A:J,10,FALSE),"Not Specified")</f>
        <v>0</v>
      </c>
      <c r="J20" t="str">
        <f>VLOOKUP(B20,[1]Product!A:B,2,FALSE)</f>
        <v>Product YYWRT</v>
      </c>
      <c r="K20" t="str">
        <f>VLOOKUP(VLOOKUP(B20,[1]Product!A:D,4,FALSE),[1]Category!A:B,2,FALSE)</f>
        <v>Meat/Poultry</v>
      </c>
      <c r="L20" s="10">
        <f>IFERROR(VLOOKUP(A20,'[1]Sales Order'!A:D,4,FALSE),"")</f>
        <v>38909</v>
      </c>
      <c r="M20" s="10">
        <f>IFERROR(VLOOKUP(A20,'[1]Sales Order'!A:F,6,FALSE),"")</f>
        <v>38921</v>
      </c>
      <c r="N20" t="str">
        <f>IFERROR(VLOOKUP(VLOOKUP(A20,'[1]Sales Order'!A:G,7,FALSE),[1]Shipper!A:B,2,FALSE),"Not Specified")</f>
        <v>Shipper ETYNR</v>
      </c>
      <c r="O20" t="str">
        <f>IFERROR(VLOOKUP(A20,'[1]Sales Order'!A:I,9,FALSE),"Not Specified")</f>
        <v>Destination YUJRD</v>
      </c>
      <c r="P20" t="str">
        <f>IFERROR(VLOOKUP(A20,'[1]Sales Order'!A:N,14,FALSE),"Not Specified")</f>
        <v>Switzerland</v>
      </c>
      <c r="Q20" t="str">
        <f>VLOOKUP(VLOOKUP(B20,[1]Product!A:C,3,FALSE),[1]Supplier!A:B,2,FALSE)</f>
        <v>Supplier ERVYZ</v>
      </c>
      <c r="R20" t="str">
        <f>VLOOKUP(VLOOKUP(B20,[1]Product!A:C,3,FALSE),[1]Supplier!A:I,9,FALSE)</f>
        <v>Canada</v>
      </c>
      <c r="S20" t="str">
        <f>IFERROR(IF(VLOOKUP(A20,'[1]Sales Order'!A:H,8,FALSE)&gt;100,"High Freight","Low Freight"),"Not Specified")</f>
        <v>Low Freight</v>
      </c>
      <c r="T20">
        <f t="shared" si="1"/>
        <v>342.71999999999997</v>
      </c>
    </row>
    <row r="21" spans="1:20">
      <c r="A21" s="1">
        <v>10254</v>
      </c>
      <c r="B21" s="2">
        <v>74</v>
      </c>
      <c r="C21" s="2">
        <v>8</v>
      </c>
      <c r="D21" s="2">
        <v>21</v>
      </c>
      <c r="E21" s="3">
        <v>0</v>
      </c>
      <c r="F21" s="2" t="str">
        <f>IFERROR(VLOOKUP(VLOOKUP(A21,'[1]Sales Order'!A:B,2,FALSE),[1]Customer!A:C,3,FALSE),"Not Specified")</f>
        <v>Jelitto, Jacek</v>
      </c>
      <c r="G21" s="2" t="str">
        <f t="shared" si="0"/>
        <v>Jelitto Jacek</v>
      </c>
      <c r="H21" s="8" t="str">
        <f>IFERROR(VLOOKUP(VLOOKUP(A21,'[1]Sales Order'!A:C,3,FALSE),[1]Employee!A:E,5,FALSE)&amp;" "&amp;VLOOKUP(VLOOKUP(A21,'[1]Sales Order'!A:C,3,FALSE),[1]Employee!A:C,3,FALSE)&amp;" "&amp;VLOOKUP(VLOOKUP(A21,'[1]Sales Order'!A:C,3,FALSE),[1]Employee!A:B,2,FALSE),"Not Specified")</f>
        <v>Mr. Sven Buck</v>
      </c>
      <c r="I21">
        <f>IFERROR(VLOOKUP(VLOOKUP(A21,'[1]Sales Order'!A:C,3,FALSE),[1]Employee!A:J,10,FALSE),"Not Specified")</f>
        <v>0</v>
      </c>
      <c r="J21" t="str">
        <f>VLOOKUP(B21,[1]Product!A:B,2,FALSE)</f>
        <v>Product BKAZJ</v>
      </c>
      <c r="K21" t="str">
        <f>VLOOKUP(VLOOKUP(B21,[1]Product!A:D,4,FALSE),[1]Category!A:B,2,FALSE)</f>
        <v>Produce</v>
      </c>
      <c r="L21" s="10">
        <f>IFERROR(VLOOKUP(A21,'[1]Sales Order'!A:D,4,FALSE),"")</f>
        <v>38909</v>
      </c>
      <c r="M21" s="10">
        <f>IFERROR(VLOOKUP(A21,'[1]Sales Order'!A:F,6,FALSE),"")</f>
        <v>38921</v>
      </c>
      <c r="N21" t="str">
        <f>IFERROR(VLOOKUP(VLOOKUP(A21,'[1]Sales Order'!A:G,7,FALSE),[1]Shipper!A:B,2,FALSE),"Not Specified")</f>
        <v>Shipper ETYNR</v>
      </c>
      <c r="O21" t="str">
        <f>IFERROR(VLOOKUP(A21,'[1]Sales Order'!A:I,9,FALSE),"Not Specified")</f>
        <v>Destination YUJRD</v>
      </c>
      <c r="P21" t="str">
        <f>IFERROR(VLOOKUP(A21,'[1]Sales Order'!A:N,14,FALSE),"Not Specified")</f>
        <v>Switzerland</v>
      </c>
      <c r="Q21" t="str">
        <f>VLOOKUP(VLOOKUP(B21,[1]Product!A:C,3,FALSE),[1]Supplier!A:B,2,FALSE)</f>
        <v>Supplier QOVFD</v>
      </c>
      <c r="R21" t="str">
        <f>VLOOKUP(VLOOKUP(B21,[1]Product!A:C,3,FALSE),[1]Supplier!A:I,9,FALSE)</f>
        <v>Japan</v>
      </c>
      <c r="S21" t="str">
        <f>IFERROR(IF(VLOOKUP(A21,'[1]Sales Order'!A:H,8,FALSE)&gt;100,"High Freight","Low Freight"),"Not Specified")</f>
        <v>Low Freight</v>
      </c>
      <c r="T21">
        <f t="shared" si="1"/>
        <v>168</v>
      </c>
    </row>
    <row r="22" spans="1:20">
      <c r="A22" s="1">
        <v>10255</v>
      </c>
      <c r="B22" s="2">
        <v>2</v>
      </c>
      <c r="C22" s="2">
        <v>15.2</v>
      </c>
      <c r="D22" s="2">
        <v>20</v>
      </c>
      <c r="E22" s="3">
        <v>0</v>
      </c>
      <c r="F22" s="2" t="str">
        <f>IFERROR(VLOOKUP(VLOOKUP(A22,'[1]Sales Order'!A:B,2,FALSE),[1]Customer!A:C,3,FALSE),"Not Specified")</f>
        <v>Myrcha, Jacek</v>
      </c>
      <c r="G22" s="2" t="str">
        <f t="shared" si="0"/>
        <v>Myrcha Jacek</v>
      </c>
      <c r="H22" s="8" t="str">
        <f>IFERROR(VLOOKUP(VLOOKUP(A22,'[1]Sales Order'!A:C,3,FALSE),[1]Employee!A:E,5,FALSE)&amp;" "&amp;VLOOKUP(VLOOKUP(A22,'[1]Sales Order'!A:C,3,FALSE),[1]Employee!A:C,3,FALSE)&amp;" "&amp;VLOOKUP(VLOOKUP(A22,'[1]Sales Order'!A:C,3,FALSE),[1]Employee!A:B,2,FALSE),"Not Specified")</f>
        <v>Ms. Zoya Dolgopyatova</v>
      </c>
      <c r="I22">
        <f>IFERROR(VLOOKUP(VLOOKUP(A22,'[1]Sales Order'!A:C,3,FALSE),[1]Employee!A:J,10,FALSE),"Not Specified")</f>
        <v>0</v>
      </c>
      <c r="J22" t="str">
        <f>VLOOKUP(B22,[1]Product!A:B,2,FALSE)</f>
        <v>Product RECZE</v>
      </c>
      <c r="K22" t="str">
        <f>VLOOKUP(VLOOKUP(B22,[1]Product!A:D,4,FALSE),[1]Category!A:B,2,FALSE)</f>
        <v>Beverages</v>
      </c>
      <c r="L22" s="10">
        <f>IFERROR(VLOOKUP(A22,'[1]Sales Order'!A:D,4,FALSE),"")</f>
        <v>38910</v>
      </c>
      <c r="M22" s="10">
        <f>IFERROR(VLOOKUP(A22,'[1]Sales Order'!A:F,6,FALSE),"")</f>
        <v>38913</v>
      </c>
      <c r="N22" t="str">
        <f>IFERROR(VLOOKUP(VLOOKUP(A22,'[1]Sales Order'!A:G,7,FALSE),[1]Shipper!A:B,2,FALSE),"Not Specified")</f>
        <v>Shipper ZHISN</v>
      </c>
      <c r="O22" t="str">
        <f>IFERROR(VLOOKUP(A22,'[1]Sales Order'!A:I,9,FALSE),"Not Specified")</f>
        <v>Ship to 68-A</v>
      </c>
      <c r="P22" t="str">
        <f>IFERROR(VLOOKUP(A22,'[1]Sales Order'!A:N,14,FALSE),"Not Specified")</f>
        <v>Switzerland</v>
      </c>
      <c r="Q22" t="str">
        <f>VLOOKUP(VLOOKUP(B22,[1]Product!A:C,3,FALSE),[1]Supplier!A:B,2,FALSE)</f>
        <v>Supplier SWRXU</v>
      </c>
      <c r="R22" t="str">
        <f>VLOOKUP(VLOOKUP(B22,[1]Product!A:C,3,FALSE),[1]Supplier!A:I,9,FALSE)</f>
        <v>UK</v>
      </c>
      <c r="S22" t="str">
        <f>IFERROR(IF(VLOOKUP(A22,'[1]Sales Order'!A:H,8,FALSE)&gt;100,"High Freight","Low Freight"),"Not Specified")</f>
        <v>High Freight</v>
      </c>
      <c r="T22">
        <f t="shared" si="1"/>
        <v>304</v>
      </c>
    </row>
    <row r="23" spans="1:20">
      <c r="A23" s="1">
        <v>10255</v>
      </c>
      <c r="B23" s="2">
        <v>16</v>
      </c>
      <c r="C23" s="2">
        <v>13.9</v>
      </c>
      <c r="D23" s="2">
        <v>35</v>
      </c>
      <c r="E23" s="3">
        <v>0</v>
      </c>
      <c r="F23" s="2" t="str">
        <f>IFERROR(VLOOKUP(VLOOKUP(A23,'[1]Sales Order'!A:B,2,FALSE),[1]Customer!A:C,3,FALSE),"Not Specified")</f>
        <v>Myrcha, Jacek</v>
      </c>
      <c r="G23" s="2" t="str">
        <f t="shared" si="0"/>
        <v>Myrcha Jacek</v>
      </c>
      <c r="H23" s="8" t="str">
        <f>IFERROR(VLOOKUP(VLOOKUP(A23,'[1]Sales Order'!A:C,3,FALSE),[1]Employee!A:E,5,FALSE)&amp;" "&amp;VLOOKUP(VLOOKUP(A23,'[1]Sales Order'!A:C,3,FALSE),[1]Employee!A:C,3,FALSE)&amp;" "&amp;VLOOKUP(VLOOKUP(A23,'[1]Sales Order'!A:C,3,FALSE),[1]Employee!A:B,2,FALSE),"Not Specified")</f>
        <v>Ms. Zoya Dolgopyatova</v>
      </c>
      <c r="I23">
        <f>IFERROR(VLOOKUP(VLOOKUP(A23,'[1]Sales Order'!A:C,3,FALSE),[1]Employee!A:J,10,FALSE),"Not Specified")</f>
        <v>0</v>
      </c>
      <c r="J23" t="str">
        <f>VLOOKUP(B23,[1]Product!A:B,2,FALSE)</f>
        <v>Product PAFRH</v>
      </c>
      <c r="K23" t="str">
        <f>VLOOKUP(VLOOKUP(B23,[1]Product!A:D,4,FALSE),[1]Category!A:B,2,FALSE)</f>
        <v>Confections</v>
      </c>
      <c r="L23" s="10">
        <f>IFERROR(VLOOKUP(A23,'[1]Sales Order'!A:D,4,FALSE),"")</f>
        <v>38910</v>
      </c>
      <c r="M23" s="10">
        <f>IFERROR(VLOOKUP(A23,'[1]Sales Order'!A:F,6,FALSE),"")</f>
        <v>38913</v>
      </c>
      <c r="N23" t="str">
        <f>IFERROR(VLOOKUP(VLOOKUP(A23,'[1]Sales Order'!A:G,7,FALSE),[1]Shipper!A:B,2,FALSE),"Not Specified")</f>
        <v>Shipper ZHISN</v>
      </c>
      <c r="O23" t="str">
        <f>IFERROR(VLOOKUP(A23,'[1]Sales Order'!A:I,9,FALSE),"Not Specified")</f>
        <v>Ship to 68-A</v>
      </c>
      <c r="P23" t="str">
        <f>IFERROR(VLOOKUP(A23,'[1]Sales Order'!A:N,14,FALSE),"Not Specified")</f>
        <v>Switzerland</v>
      </c>
      <c r="Q23" t="str">
        <f>VLOOKUP(VLOOKUP(B23,[1]Product!A:C,3,FALSE),[1]Supplier!A:B,2,FALSE)</f>
        <v>Supplier GQRCV</v>
      </c>
      <c r="R23" t="str">
        <f>VLOOKUP(VLOOKUP(B23,[1]Product!A:C,3,FALSE),[1]Supplier!A:I,9,FALSE)</f>
        <v>Australia</v>
      </c>
      <c r="S23" t="str">
        <f>IFERROR(IF(VLOOKUP(A23,'[1]Sales Order'!A:H,8,FALSE)&gt;100,"High Freight","Low Freight"),"Not Specified")</f>
        <v>High Freight</v>
      </c>
      <c r="T23">
        <f t="shared" si="1"/>
        <v>486.5</v>
      </c>
    </row>
    <row r="24" spans="1:20">
      <c r="A24" s="1">
        <v>10255</v>
      </c>
      <c r="B24" s="2">
        <v>36</v>
      </c>
      <c r="C24" s="2">
        <v>15.2</v>
      </c>
      <c r="D24" s="2">
        <v>25</v>
      </c>
      <c r="E24" s="3">
        <v>0</v>
      </c>
      <c r="F24" s="2" t="str">
        <f>IFERROR(VLOOKUP(VLOOKUP(A24,'[1]Sales Order'!A:B,2,FALSE),[1]Customer!A:C,3,FALSE),"Not Specified")</f>
        <v>Myrcha, Jacek</v>
      </c>
      <c r="G24" s="2" t="str">
        <f t="shared" si="0"/>
        <v>Myrcha Jacek</v>
      </c>
      <c r="H24" s="8" t="str">
        <f>IFERROR(VLOOKUP(VLOOKUP(A24,'[1]Sales Order'!A:C,3,FALSE),[1]Employee!A:E,5,FALSE)&amp;" "&amp;VLOOKUP(VLOOKUP(A24,'[1]Sales Order'!A:C,3,FALSE),[1]Employee!A:C,3,FALSE)&amp;" "&amp;VLOOKUP(VLOOKUP(A24,'[1]Sales Order'!A:C,3,FALSE),[1]Employee!A:B,2,FALSE),"Not Specified")</f>
        <v>Ms. Zoya Dolgopyatova</v>
      </c>
      <c r="I24">
        <f>IFERROR(VLOOKUP(VLOOKUP(A24,'[1]Sales Order'!A:C,3,FALSE),[1]Employee!A:J,10,FALSE),"Not Specified")</f>
        <v>0</v>
      </c>
      <c r="J24" t="str">
        <f>VLOOKUP(B24,[1]Product!A:B,2,FALSE)</f>
        <v>Product GMKIJ</v>
      </c>
      <c r="K24" t="str">
        <f>VLOOKUP(VLOOKUP(B24,[1]Product!A:D,4,FALSE),[1]Category!A:B,2,FALSE)</f>
        <v>Seafood</v>
      </c>
      <c r="L24" s="10">
        <f>IFERROR(VLOOKUP(A24,'[1]Sales Order'!A:D,4,FALSE),"")</f>
        <v>38910</v>
      </c>
      <c r="M24" s="10">
        <f>IFERROR(VLOOKUP(A24,'[1]Sales Order'!A:F,6,FALSE),"")</f>
        <v>38913</v>
      </c>
      <c r="N24" t="str">
        <f>IFERROR(VLOOKUP(VLOOKUP(A24,'[1]Sales Order'!A:G,7,FALSE),[1]Shipper!A:B,2,FALSE),"Not Specified")</f>
        <v>Shipper ZHISN</v>
      </c>
      <c r="O24" t="str">
        <f>IFERROR(VLOOKUP(A24,'[1]Sales Order'!A:I,9,FALSE),"Not Specified")</f>
        <v>Ship to 68-A</v>
      </c>
      <c r="P24" t="str">
        <f>IFERROR(VLOOKUP(A24,'[1]Sales Order'!A:N,14,FALSE),"Not Specified")</f>
        <v>Switzerland</v>
      </c>
      <c r="Q24" t="str">
        <f>VLOOKUP(VLOOKUP(B24,[1]Product!A:C,3,FALSE),[1]Supplier!A:B,2,FALSE)</f>
        <v>Supplier QZGUF</v>
      </c>
      <c r="R24" t="str">
        <f>VLOOKUP(VLOOKUP(B24,[1]Product!A:C,3,FALSE),[1]Supplier!A:I,9,FALSE)</f>
        <v>Sweden</v>
      </c>
      <c r="S24" t="str">
        <f>IFERROR(IF(VLOOKUP(A24,'[1]Sales Order'!A:H,8,FALSE)&gt;100,"High Freight","Low Freight"),"Not Specified")</f>
        <v>High Freight</v>
      </c>
      <c r="T24">
        <f t="shared" si="1"/>
        <v>380</v>
      </c>
    </row>
    <row r="25" spans="1:20">
      <c r="A25" s="1">
        <v>10255</v>
      </c>
      <c r="B25" s="2">
        <v>59</v>
      </c>
      <c r="C25" s="2">
        <v>44</v>
      </c>
      <c r="D25" s="2">
        <v>30</v>
      </c>
      <c r="E25" s="3">
        <v>0</v>
      </c>
      <c r="F25" s="2" t="str">
        <f>IFERROR(VLOOKUP(VLOOKUP(A25,'[1]Sales Order'!A:B,2,FALSE),[1]Customer!A:C,3,FALSE),"Not Specified")</f>
        <v>Myrcha, Jacek</v>
      </c>
      <c r="G25" s="2" t="str">
        <f t="shared" si="0"/>
        <v>Myrcha Jacek</v>
      </c>
      <c r="H25" s="8" t="str">
        <f>IFERROR(VLOOKUP(VLOOKUP(A25,'[1]Sales Order'!A:C,3,FALSE),[1]Employee!A:E,5,FALSE)&amp;" "&amp;VLOOKUP(VLOOKUP(A25,'[1]Sales Order'!A:C,3,FALSE),[1]Employee!A:C,3,FALSE)&amp;" "&amp;VLOOKUP(VLOOKUP(A25,'[1]Sales Order'!A:C,3,FALSE),[1]Employee!A:B,2,FALSE),"Not Specified")</f>
        <v>Ms. Zoya Dolgopyatova</v>
      </c>
      <c r="I25">
        <f>IFERROR(VLOOKUP(VLOOKUP(A25,'[1]Sales Order'!A:C,3,FALSE),[1]Employee!A:J,10,FALSE),"Not Specified")</f>
        <v>0</v>
      </c>
      <c r="J25" t="str">
        <f>VLOOKUP(B25,[1]Product!A:B,2,FALSE)</f>
        <v>Product UKXRI</v>
      </c>
      <c r="K25" t="str">
        <f>VLOOKUP(VLOOKUP(B25,[1]Product!A:D,4,FALSE),[1]Category!A:B,2,FALSE)</f>
        <v>Dairy Product</v>
      </c>
      <c r="L25" s="10">
        <f>IFERROR(VLOOKUP(A25,'[1]Sales Order'!A:D,4,FALSE),"")</f>
        <v>38910</v>
      </c>
      <c r="M25" s="10">
        <f>IFERROR(VLOOKUP(A25,'[1]Sales Order'!A:F,6,FALSE),"")</f>
        <v>38913</v>
      </c>
      <c r="N25" t="str">
        <f>IFERROR(VLOOKUP(VLOOKUP(A25,'[1]Sales Order'!A:G,7,FALSE),[1]Shipper!A:B,2,FALSE),"Not Specified")</f>
        <v>Shipper ZHISN</v>
      </c>
      <c r="O25" t="str">
        <f>IFERROR(VLOOKUP(A25,'[1]Sales Order'!A:I,9,FALSE),"Not Specified")</f>
        <v>Ship to 68-A</v>
      </c>
      <c r="P25" t="str">
        <f>IFERROR(VLOOKUP(A25,'[1]Sales Order'!A:N,14,FALSE),"Not Specified")</f>
        <v>Switzerland</v>
      </c>
      <c r="Q25" t="str">
        <f>VLOOKUP(VLOOKUP(B25,[1]Product!A:C,3,FALSE),[1]Supplier!A:B,2,FALSE)</f>
        <v>Supplier OAVQT</v>
      </c>
      <c r="R25" t="str">
        <f>VLOOKUP(VLOOKUP(B25,[1]Product!A:C,3,FALSE),[1]Supplier!A:I,9,FALSE)</f>
        <v>France</v>
      </c>
      <c r="S25" t="str">
        <f>IFERROR(IF(VLOOKUP(A25,'[1]Sales Order'!A:H,8,FALSE)&gt;100,"High Freight","Low Freight"),"Not Specified")</f>
        <v>High Freight</v>
      </c>
      <c r="T25">
        <f t="shared" si="1"/>
        <v>1320</v>
      </c>
    </row>
    <row r="26" spans="1:20">
      <c r="A26" s="1">
        <v>10256</v>
      </c>
      <c r="B26" s="2">
        <v>53</v>
      </c>
      <c r="C26" s="2">
        <v>26.2</v>
      </c>
      <c r="D26" s="2">
        <v>15</v>
      </c>
      <c r="E26" s="3">
        <v>0</v>
      </c>
      <c r="F26" s="2" t="str">
        <f>IFERROR(VLOOKUP(VLOOKUP(A26,'[1]Sales Order'!A:B,2,FALSE),[1]Customer!A:C,3,FALSE),"Not Specified")</f>
        <v>Li, Yan</v>
      </c>
      <c r="G26" s="2" t="str">
        <f t="shared" si="0"/>
        <v>Li Yan</v>
      </c>
      <c r="H26" s="8" t="str">
        <f>IFERROR(VLOOKUP(VLOOKUP(A26,'[1]Sales Order'!A:C,3,FALSE),[1]Employee!A:E,5,FALSE)&amp;" "&amp;VLOOKUP(VLOOKUP(A26,'[1]Sales Order'!A:C,3,FALSE),[1]Employee!A:C,3,FALSE)&amp;" "&amp;VLOOKUP(VLOOKUP(A26,'[1]Sales Order'!A:C,3,FALSE),[1]Employee!A:B,2,FALSE),"Not Specified")</f>
        <v>Ms. Judy Lew</v>
      </c>
      <c r="I26" t="str">
        <f>IFERROR(VLOOKUP(VLOOKUP(A26,'[1]Sales Order'!A:C,3,FALSE),[1]Employee!A:J,10,FALSE),"Not Specified")</f>
        <v>WA</v>
      </c>
      <c r="J26" t="str">
        <f>VLOOKUP(B26,[1]Product!A:B,2,FALSE)</f>
        <v>Product BKGEA</v>
      </c>
      <c r="K26" t="str">
        <f>VLOOKUP(VLOOKUP(B26,[1]Product!A:D,4,FALSE),[1]Category!A:B,2,FALSE)</f>
        <v>Meat/Poultry</v>
      </c>
      <c r="L26" s="10">
        <f>IFERROR(VLOOKUP(A26,'[1]Sales Order'!A:D,4,FALSE),"")</f>
        <v>38913</v>
      </c>
      <c r="M26" s="10">
        <f>IFERROR(VLOOKUP(A26,'[1]Sales Order'!A:F,6,FALSE),"")</f>
        <v>38915</v>
      </c>
      <c r="N26" t="str">
        <f>IFERROR(VLOOKUP(VLOOKUP(A26,'[1]Sales Order'!A:G,7,FALSE),[1]Shipper!A:B,2,FALSE),"Not Specified")</f>
        <v>Shipper ETYNR</v>
      </c>
      <c r="O26" t="str">
        <f>IFERROR(VLOOKUP(A26,'[1]Sales Order'!A:I,9,FALSE),"Not Specified")</f>
        <v>Ship to 88-B</v>
      </c>
      <c r="P26" t="str">
        <f>IFERROR(VLOOKUP(A26,'[1]Sales Order'!A:N,14,FALSE),"Not Specified")</f>
        <v>Brazil</v>
      </c>
      <c r="Q26" t="str">
        <f>VLOOKUP(VLOOKUP(B26,[1]Product!A:C,3,FALSE),[1]Supplier!A:B,2,FALSE)</f>
        <v>Supplier JNNES</v>
      </c>
      <c r="R26" t="str">
        <f>VLOOKUP(VLOOKUP(B26,[1]Product!A:C,3,FALSE),[1]Supplier!A:I,9,FALSE)</f>
        <v>Australia</v>
      </c>
      <c r="S26" t="str">
        <f>IFERROR(IF(VLOOKUP(A26,'[1]Sales Order'!A:H,8,FALSE)&gt;100,"High Freight","Low Freight"),"Not Specified")</f>
        <v>Low Freight</v>
      </c>
      <c r="T26">
        <f t="shared" si="1"/>
        <v>393</v>
      </c>
    </row>
    <row r="27" spans="1:20">
      <c r="A27" s="1">
        <v>10256</v>
      </c>
      <c r="B27" s="2">
        <v>77</v>
      </c>
      <c r="C27" s="2">
        <v>10.4</v>
      </c>
      <c r="D27" s="2">
        <v>12</v>
      </c>
      <c r="E27" s="3">
        <v>0</v>
      </c>
      <c r="F27" s="2" t="str">
        <f>IFERROR(VLOOKUP(VLOOKUP(A27,'[1]Sales Order'!A:B,2,FALSE),[1]Customer!A:C,3,FALSE),"Not Specified")</f>
        <v>Li, Yan</v>
      </c>
      <c r="G27" s="2" t="str">
        <f t="shared" si="0"/>
        <v>Li Yan</v>
      </c>
      <c r="H27" s="8" t="str">
        <f>IFERROR(VLOOKUP(VLOOKUP(A27,'[1]Sales Order'!A:C,3,FALSE),[1]Employee!A:E,5,FALSE)&amp;" "&amp;VLOOKUP(VLOOKUP(A27,'[1]Sales Order'!A:C,3,FALSE),[1]Employee!A:C,3,FALSE)&amp;" "&amp;VLOOKUP(VLOOKUP(A27,'[1]Sales Order'!A:C,3,FALSE),[1]Employee!A:B,2,FALSE),"Not Specified")</f>
        <v>Ms. Judy Lew</v>
      </c>
      <c r="I27" t="str">
        <f>IFERROR(VLOOKUP(VLOOKUP(A27,'[1]Sales Order'!A:C,3,FALSE),[1]Employee!A:J,10,FALSE),"Not Specified")</f>
        <v>WA</v>
      </c>
      <c r="J27" t="str">
        <f>VLOOKUP(B27,[1]Product!A:B,2,FALSE)</f>
        <v>Product LUNZZ</v>
      </c>
      <c r="K27" t="str">
        <f>VLOOKUP(VLOOKUP(B27,[1]Product!A:D,4,FALSE),[1]Category!A:B,2,FALSE)</f>
        <v>Condiments</v>
      </c>
      <c r="L27" s="10">
        <f>IFERROR(VLOOKUP(A27,'[1]Sales Order'!A:D,4,FALSE),"")</f>
        <v>38913</v>
      </c>
      <c r="M27" s="10">
        <f>IFERROR(VLOOKUP(A27,'[1]Sales Order'!A:F,6,FALSE),"")</f>
        <v>38915</v>
      </c>
      <c r="N27" t="str">
        <f>IFERROR(VLOOKUP(VLOOKUP(A27,'[1]Sales Order'!A:G,7,FALSE),[1]Shipper!A:B,2,FALSE),"Not Specified")</f>
        <v>Shipper ETYNR</v>
      </c>
      <c r="O27" t="str">
        <f>IFERROR(VLOOKUP(A27,'[1]Sales Order'!A:I,9,FALSE),"Not Specified")</f>
        <v>Ship to 88-B</v>
      </c>
      <c r="P27" t="str">
        <f>IFERROR(VLOOKUP(A27,'[1]Sales Order'!A:N,14,FALSE),"Not Specified")</f>
        <v>Brazil</v>
      </c>
      <c r="Q27" t="str">
        <f>VLOOKUP(VLOOKUP(B27,[1]Product!A:C,3,FALSE),[1]Supplier!A:B,2,FALSE)</f>
        <v>Supplier SVIYA</v>
      </c>
      <c r="R27" t="str">
        <f>VLOOKUP(VLOOKUP(B27,[1]Product!A:C,3,FALSE),[1]Supplier!A:I,9,FALSE)</f>
        <v>Germany</v>
      </c>
      <c r="S27" t="str">
        <f>IFERROR(IF(VLOOKUP(A27,'[1]Sales Order'!A:H,8,FALSE)&gt;100,"High Freight","Low Freight"),"Not Specified")</f>
        <v>Low Freight</v>
      </c>
      <c r="T27">
        <f t="shared" si="1"/>
        <v>124.80000000000001</v>
      </c>
    </row>
    <row r="28" spans="1:20">
      <c r="A28" s="1">
        <v>10257</v>
      </c>
      <c r="B28" s="2">
        <v>27</v>
      </c>
      <c r="C28" s="2">
        <v>35.1</v>
      </c>
      <c r="D28" s="2">
        <v>25</v>
      </c>
      <c r="E28" s="3">
        <v>0</v>
      </c>
      <c r="F28" s="2" t="str">
        <f>IFERROR(VLOOKUP(VLOOKUP(A28,'[1]Sales Order'!A:B,2,FALSE),[1]Customer!A:C,3,FALSE),"Not Specified")</f>
        <v>Langohr, Kris</v>
      </c>
      <c r="G28" s="2" t="str">
        <f t="shared" si="0"/>
        <v>Langohr Kris</v>
      </c>
      <c r="H28" s="8" t="str">
        <f>IFERROR(VLOOKUP(VLOOKUP(A28,'[1]Sales Order'!A:C,3,FALSE),[1]Employee!A:E,5,FALSE)&amp;" "&amp;VLOOKUP(VLOOKUP(A28,'[1]Sales Order'!A:C,3,FALSE),[1]Employee!A:C,3,FALSE)&amp;" "&amp;VLOOKUP(VLOOKUP(A28,'[1]Sales Order'!A:C,3,FALSE),[1]Employee!A:B,2,FALSE),"Not Specified")</f>
        <v>Mrs. Yael Peled</v>
      </c>
      <c r="I28" t="str">
        <f>IFERROR(VLOOKUP(VLOOKUP(A28,'[1]Sales Order'!A:C,3,FALSE),[1]Employee!A:J,10,FALSE),"Not Specified")</f>
        <v>WA</v>
      </c>
      <c r="J28" t="str">
        <f>VLOOKUP(B28,[1]Product!A:B,2,FALSE)</f>
        <v>Product SMIOH</v>
      </c>
      <c r="K28" t="str">
        <f>VLOOKUP(VLOOKUP(B28,[1]Product!A:D,4,FALSE),[1]Category!A:B,2,FALSE)</f>
        <v>Confections</v>
      </c>
      <c r="L28" s="10">
        <f>IFERROR(VLOOKUP(A28,'[1]Sales Order'!A:D,4,FALSE),"")</f>
        <v>38914</v>
      </c>
      <c r="M28" s="10">
        <f>IFERROR(VLOOKUP(A28,'[1]Sales Order'!A:F,6,FALSE),"")</f>
        <v>38920</v>
      </c>
      <c r="N28" t="str">
        <f>IFERROR(VLOOKUP(VLOOKUP(A28,'[1]Sales Order'!A:G,7,FALSE),[1]Shipper!A:B,2,FALSE),"Not Specified")</f>
        <v>Shipper ZHISN</v>
      </c>
      <c r="O28" t="str">
        <f>IFERROR(VLOOKUP(A28,'[1]Sales Order'!A:I,9,FALSE),"Not Specified")</f>
        <v>Destination JYDLM</v>
      </c>
      <c r="P28" t="str">
        <f>IFERROR(VLOOKUP(A28,'[1]Sales Order'!A:N,14,FALSE),"Not Specified")</f>
        <v>Venezuela</v>
      </c>
      <c r="Q28" t="str">
        <f>VLOOKUP(VLOOKUP(B28,[1]Product!A:C,3,FALSE),[1]Supplier!A:B,2,FALSE)</f>
        <v>Supplier ZPYVS</v>
      </c>
      <c r="R28" t="str">
        <f>VLOOKUP(VLOOKUP(B28,[1]Product!A:C,3,FALSE),[1]Supplier!A:I,9,FALSE)</f>
        <v>Germany</v>
      </c>
      <c r="S28" t="str">
        <f>IFERROR(IF(VLOOKUP(A28,'[1]Sales Order'!A:H,8,FALSE)&gt;100,"High Freight","Low Freight"),"Not Specified")</f>
        <v>Low Freight</v>
      </c>
      <c r="T28">
        <f t="shared" si="1"/>
        <v>877.5</v>
      </c>
    </row>
    <row r="29" spans="1:20">
      <c r="A29" s="1">
        <v>10257</v>
      </c>
      <c r="B29" s="2">
        <v>39</v>
      </c>
      <c r="C29" s="2">
        <v>14.4</v>
      </c>
      <c r="D29" s="2">
        <v>6</v>
      </c>
      <c r="E29" s="3">
        <v>0</v>
      </c>
      <c r="F29" s="2" t="str">
        <f>IFERROR(VLOOKUP(VLOOKUP(A29,'[1]Sales Order'!A:B,2,FALSE),[1]Customer!A:C,3,FALSE),"Not Specified")</f>
        <v>Langohr, Kris</v>
      </c>
      <c r="G29" s="2" t="str">
        <f t="shared" si="0"/>
        <v>Langohr Kris</v>
      </c>
      <c r="H29" s="8" t="str">
        <f>IFERROR(VLOOKUP(VLOOKUP(A29,'[1]Sales Order'!A:C,3,FALSE),[1]Employee!A:E,5,FALSE)&amp;" "&amp;VLOOKUP(VLOOKUP(A29,'[1]Sales Order'!A:C,3,FALSE),[1]Employee!A:C,3,FALSE)&amp;" "&amp;VLOOKUP(VLOOKUP(A29,'[1]Sales Order'!A:C,3,FALSE),[1]Employee!A:B,2,FALSE),"Not Specified")</f>
        <v>Mrs. Yael Peled</v>
      </c>
      <c r="I29" t="str">
        <f>IFERROR(VLOOKUP(VLOOKUP(A29,'[1]Sales Order'!A:C,3,FALSE),[1]Employee!A:J,10,FALSE),"Not Specified")</f>
        <v>WA</v>
      </c>
      <c r="J29" t="str">
        <f>VLOOKUP(B29,[1]Product!A:B,2,FALSE)</f>
        <v>Product LSOFL</v>
      </c>
      <c r="K29" t="str">
        <f>VLOOKUP(VLOOKUP(B29,[1]Product!A:D,4,FALSE),[1]Category!A:B,2,FALSE)</f>
        <v>Beverages</v>
      </c>
      <c r="L29" s="10">
        <f>IFERROR(VLOOKUP(A29,'[1]Sales Order'!A:D,4,FALSE),"")</f>
        <v>38914</v>
      </c>
      <c r="M29" s="10">
        <f>IFERROR(VLOOKUP(A29,'[1]Sales Order'!A:F,6,FALSE),"")</f>
        <v>38920</v>
      </c>
      <c r="N29" t="str">
        <f>IFERROR(VLOOKUP(VLOOKUP(A29,'[1]Sales Order'!A:G,7,FALSE),[1]Shipper!A:B,2,FALSE),"Not Specified")</f>
        <v>Shipper ZHISN</v>
      </c>
      <c r="O29" t="str">
        <f>IFERROR(VLOOKUP(A29,'[1]Sales Order'!A:I,9,FALSE),"Not Specified")</f>
        <v>Destination JYDLM</v>
      </c>
      <c r="P29" t="str">
        <f>IFERROR(VLOOKUP(A29,'[1]Sales Order'!A:N,14,FALSE),"Not Specified")</f>
        <v>Venezuela</v>
      </c>
      <c r="Q29" t="str">
        <f>VLOOKUP(VLOOKUP(B29,[1]Product!A:C,3,FALSE),[1]Supplier!A:B,2,FALSE)</f>
        <v>Supplier LVJUA</v>
      </c>
      <c r="R29" t="str">
        <f>VLOOKUP(VLOOKUP(B29,[1]Product!A:C,3,FALSE),[1]Supplier!A:I,9,FALSE)</f>
        <v>France</v>
      </c>
      <c r="S29" t="str">
        <f>IFERROR(IF(VLOOKUP(A29,'[1]Sales Order'!A:H,8,FALSE)&gt;100,"High Freight","Low Freight"),"Not Specified")</f>
        <v>Low Freight</v>
      </c>
      <c r="T29">
        <f t="shared" si="1"/>
        <v>86.4</v>
      </c>
    </row>
    <row r="30" spans="1:20">
      <c r="A30" s="1">
        <v>10257</v>
      </c>
      <c r="B30" s="2">
        <v>77</v>
      </c>
      <c r="C30" s="2">
        <v>10.4</v>
      </c>
      <c r="D30" s="2">
        <v>15</v>
      </c>
      <c r="E30" s="3">
        <v>0</v>
      </c>
      <c r="F30" s="2" t="str">
        <f>IFERROR(VLOOKUP(VLOOKUP(A30,'[1]Sales Order'!A:B,2,FALSE),[1]Customer!A:C,3,FALSE),"Not Specified")</f>
        <v>Langohr, Kris</v>
      </c>
      <c r="G30" s="2" t="str">
        <f t="shared" si="0"/>
        <v>Langohr Kris</v>
      </c>
      <c r="H30" s="8" t="str">
        <f>IFERROR(VLOOKUP(VLOOKUP(A30,'[1]Sales Order'!A:C,3,FALSE),[1]Employee!A:E,5,FALSE)&amp;" "&amp;VLOOKUP(VLOOKUP(A30,'[1]Sales Order'!A:C,3,FALSE),[1]Employee!A:C,3,FALSE)&amp;" "&amp;VLOOKUP(VLOOKUP(A30,'[1]Sales Order'!A:C,3,FALSE),[1]Employee!A:B,2,FALSE),"Not Specified")</f>
        <v>Mrs. Yael Peled</v>
      </c>
      <c r="I30" t="str">
        <f>IFERROR(VLOOKUP(VLOOKUP(A30,'[1]Sales Order'!A:C,3,FALSE),[1]Employee!A:J,10,FALSE),"Not Specified")</f>
        <v>WA</v>
      </c>
      <c r="J30" t="str">
        <f>VLOOKUP(B30,[1]Product!A:B,2,FALSE)</f>
        <v>Product LUNZZ</v>
      </c>
      <c r="K30" t="str">
        <f>VLOOKUP(VLOOKUP(B30,[1]Product!A:D,4,FALSE),[1]Category!A:B,2,FALSE)</f>
        <v>Condiments</v>
      </c>
      <c r="L30" s="10">
        <f>IFERROR(VLOOKUP(A30,'[1]Sales Order'!A:D,4,FALSE),"")</f>
        <v>38914</v>
      </c>
      <c r="M30" s="10">
        <f>IFERROR(VLOOKUP(A30,'[1]Sales Order'!A:F,6,FALSE),"")</f>
        <v>38920</v>
      </c>
      <c r="N30" t="str">
        <f>IFERROR(VLOOKUP(VLOOKUP(A30,'[1]Sales Order'!A:G,7,FALSE),[1]Shipper!A:B,2,FALSE),"Not Specified")</f>
        <v>Shipper ZHISN</v>
      </c>
      <c r="O30" t="str">
        <f>IFERROR(VLOOKUP(A30,'[1]Sales Order'!A:I,9,FALSE),"Not Specified")</f>
        <v>Destination JYDLM</v>
      </c>
      <c r="P30" t="str">
        <f>IFERROR(VLOOKUP(A30,'[1]Sales Order'!A:N,14,FALSE),"Not Specified")</f>
        <v>Venezuela</v>
      </c>
      <c r="Q30" t="str">
        <f>VLOOKUP(VLOOKUP(B30,[1]Product!A:C,3,FALSE),[1]Supplier!A:B,2,FALSE)</f>
        <v>Supplier SVIYA</v>
      </c>
      <c r="R30" t="str">
        <f>VLOOKUP(VLOOKUP(B30,[1]Product!A:C,3,FALSE),[1]Supplier!A:I,9,FALSE)</f>
        <v>Germany</v>
      </c>
      <c r="S30" t="str">
        <f>IFERROR(IF(VLOOKUP(A30,'[1]Sales Order'!A:H,8,FALSE)&gt;100,"High Freight","Low Freight"),"Not Specified")</f>
        <v>Low Freight</v>
      </c>
      <c r="T30">
        <f t="shared" si="1"/>
        <v>156</v>
      </c>
    </row>
    <row r="31" spans="1:20">
      <c r="A31" s="1">
        <v>10258</v>
      </c>
      <c r="B31" s="2">
        <v>2</v>
      </c>
      <c r="C31" s="2">
        <v>15.2</v>
      </c>
      <c r="D31" s="2">
        <v>50</v>
      </c>
      <c r="E31" s="3">
        <v>0.2</v>
      </c>
      <c r="F31" s="2" t="str">
        <f>IFERROR(VLOOKUP(VLOOKUP(A31,'[1]Sales Order'!A:B,2,FALSE),[1]Customer!A:C,3,FALSE),"Not Specified")</f>
        <v>Kane, John</v>
      </c>
      <c r="G31" s="2" t="str">
        <f t="shared" si="0"/>
        <v>Kane John</v>
      </c>
      <c r="H31" s="8" t="str">
        <f>IFERROR(VLOOKUP(VLOOKUP(A31,'[1]Sales Order'!A:C,3,FALSE),[1]Employee!A:E,5,FALSE)&amp;" "&amp;VLOOKUP(VLOOKUP(A31,'[1]Sales Order'!A:C,3,FALSE),[1]Employee!A:C,3,FALSE)&amp;" "&amp;VLOOKUP(VLOOKUP(A31,'[1]Sales Order'!A:C,3,FALSE),[1]Employee!A:B,2,FALSE),"Not Specified")</f>
        <v>Ms. Sara Davis</v>
      </c>
      <c r="I31" t="str">
        <f>IFERROR(VLOOKUP(VLOOKUP(A31,'[1]Sales Order'!A:C,3,FALSE),[1]Employee!A:J,10,FALSE),"Not Specified")</f>
        <v>WA</v>
      </c>
      <c r="J31" t="str">
        <f>VLOOKUP(B31,[1]Product!A:B,2,FALSE)</f>
        <v>Product RECZE</v>
      </c>
      <c r="K31" t="str">
        <f>VLOOKUP(VLOOKUP(B31,[1]Product!A:D,4,FALSE),[1]Category!A:B,2,FALSE)</f>
        <v>Beverages</v>
      </c>
      <c r="L31" s="10">
        <f>IFERROR(VLOOKUP(A31,'[1]Sales Order'!A:D,4,FALSE),"")</f>
        <v>38915</v>
      </c>
      <c r="M31" s="10">
        <f>IFERROR(VLOOKUP(A31,'[1]Sales Order'!A:F,6,FALSE),"")</f>
        <v>38921</v>
      </c>
      <c r="N31" t="str">
        <f>IFERROR(VLOOKUP(VLOOKUP(A31,'[1]Sales Order'!A:G,7,FALSE),[1]Shipper!A:B,2,FALSE),"Not Specified")</f>
        <v>Shipper GVSUA</v>
      </c>
      <c r="O31" t="str">
        <f>IFERROR(VLOOKUP(A31,'[1]Sales Order'!A:I,9,FALSE),"Not Specified")</f>
        <v>Destination RVDMF</v>
      </c>
      <c r="P31" t="str">
        <f>IFERROR(VLOOKUP(A31,'[1]Sales Order'!A:N,14,FALSE),"Not Specified")</f>
        <v>Austria</v>
      </c>
      <c r="Q31" t="str">
        <f>VLOOKUP(VLOOKUP(B31,[1]Product!A:C,3,FALSE),[1]Supplier!A:B,2,FALSE)</f>
        <v>Supplier SWRXU</v>
      </c>
      <c r="R31" t="str">
        <f>VLOOKUP(VLOOKUP(B31,[1]Product!A:C,3,FALSE),[1]Supplier!A:I,9,FALSE)</f>
        <v>UK</v>
      </c>
      <c r="S31" t="str">
        <f>IFERROR(IF(VLOOKUP(A31,'[1]Sales Order'!A:H,8,FALSE)&gt;100,"High Freight","Low Freight"),"Not Specified")</f>
        <v>High Freight</v>
      </c>
      <c r="T31">
        <f t="shared" si="1"/>
        <v>608</v>
      </c>
    </row>
    <row r="32" spans="1:20">
      <c r="A32" s="1">
        <v>10258</v>
      </c>
      <c r="B32" s="2">
        <v>5</v>
      </c>
      <c r="C32" s="2">
        <v>17</v>
      </c>
      <c r="D32" s="2">
        <v>65</v>
      </c>
      <c r="E32" s="3">
        <v>0.2</v>
      </c>
      <c r="F32" s="2" t="str">
        <f>IFERROR(VLOOKUP(VLOOKUP(A32,'[1]Sales Order'!A:B,2,FALSE),[1]Customer!A:C,3,FALSE),"Not Specified")</f>
        <v>Kane, John</v>
      </c>
      <c r="G32" s="2" t="str">
        <f t="shared" si="0"/>
        <v>Kane John</v>
      </c>
      <c r="H32" s="8" t="str">
        <f>IFERROR(VLOOKUP(VLOOKUP(A32,'[1]Sales Order'!A:C,3,FALSE),[1]Employee!A:E,5,FALSE)&amp;" "&amp;VLOOKUP(VLOOKUP(A32,'[1]Sales Order'!A:C,3,FALSE),[1]Employee!A:C,3,FALSE)&amp;" "&amp;VLOOKUP(VLOOKUP(A32,'[1]Sales Order'!A:C,3,FALSE),[1]Employee!A:B,2,FALSE),"Not Specified")</f>
        <v>Ms. Sara Davis</v>
      </c>
      <c r="I32" t="str">
        <f>IFERROR(VLOOKUP(VLOOKUP(A32,'[1]Sales Order'!A:C,3,FALSE),[1]Employee!A:J,10,FALSE),"Not Specified")</f>
        <v>WA</v>
      </c>
      <c r="J32" t="str">
        <f>VLOOKUP(B32,[1]Product!A:B,2,FALSE)</f>
        <v>Product EPEIM</v>
      </c>
      <c r="K32" t="str">
        <f>VLOOKUP(VLOOKUP(B32,[1]Product!A:D,4,FALSE),[1]Category!A:B,2,FALSE)</f>
        <v>Condiments</v>
      </c>
      <c r="L32" s="10">
        <f>IFERROR(VLOOKUP(A32,'[1]Sales Order'!A:D,4,FALSE),"")</f>
        <v>38915</v>
      </c>
      <c r="M32" s="10">
        <f>IFERROR(VLOOKUP(A32,'[1]Sales Order'!A:F,6,FALSE),"")</f>
        <v>38921</v>
      </c>
      <c r="N32" t="str">
        <f>IFERROR(VLOOKUP(VLOOKUP(A32,'[1]Sales Order'!A:G,7,FALSE),[1]Shipper!A:B,2,FALSE),"Not Specified")</f>
        <v>Shipper GVSUA</v>
      </c>
      <c r="O32" t="str">
        <f>IFERROR(VLOOKUP(A32,'[1]Sales Order'!A:I,9,FALSE),"Not Specified")</f>
        <v>Destination RVDMF</v>
      </c>
      <c r="P32" t="str">
        <f>IFERROR(VLOOKUP(A32,'[1]Sales Order'!A:N,14,FALSE),"Not Specified")</f>
        <v>Austria</v>
      </c>
      <c r="Q32" t="str">
        <f>VLOOKUP(VLOOKUP(B32,[1]Product!A:C,3,FALSE),[1]Supplier!A:B,2,FALSE)</f>
        <v>Supplier VHQZD</v>
      </c>
      <c r="R32" t="str">
        <f>VLOOKUP(VLOOKUP(B32,[1]Product!A:C,3,FALSE),[1]Supplier!A:I,9,FALSE)</f>
        <v>USA</v>
      </c>
      <c r="S32" t="str">
        <f>IFERROR(IF(VLOOKUP(A32,'[1]Sales Order'!A:H,8,FALSE)&gt;100,"High Freight","Low Freight"),"Not Specified")</f>
        <v>High Freight</v>
      </c>
      <c r="T32">
        <f t="shared" si="1"/>
        <v>884</v>
      </c>
    </row>
    <row r="33" spans="1:20">
      <c r="A33" s="1">
        <v>10258</v>
      </c>
      <c r="B33" s="2">
        <v>32</v>
      </c>
      <c r="C33" s="2">
        <v>25.6</v>
      </c>
      <c r="D33" s="2">
        <v>6</v>
      </c>
      <c r="E33" s="3">
        <v>0.2</v>
      </c>
      <c r="F33" s="2" t="str">
        <f>IFERROR(VLOOKUP(VLOOKUP(A33,'[1]Sales Order'!A:B,2,FALSE),[1]Customer!A:C,3,FALSE),"Not Specified")</f>
        <v>Kane, John</v>
      </c>
      <c r="G33" s="2" t="str">
        <f t="shared" si="0"/>
        <v>Kane John</v>
      </c>
      <c r="H33" s="8" t="str">
        <f>IFERROR(VLOOKUP(VLOOKUP(A33,'[1]Sales Order'!A:C,3,FALSE),[1]Employee!A:E,5,FALSE)&amp;" "&amp;VLOOKUP(VLOOKUP(A33,'[1]Sales Order'!A:C,3,FALSE),[1]Employee!A:C,3,FALSE)&amp;" "&amp;VLOOKUP(VLOOKUP(A33,'[1]Sales Order'!A:C,3,FALSE),[1]Employee!A:B,2,FALSE),"Not Specified")</f>
        <v>Ms. Sara Davis</v>
      </c>
      <c r="I33" t="str">
        <f>IFERROR(VLOOKUP(VLOOKUP(A33,'[1]Sales Order'!A:C,3,FALSE),[1]Employee!A:J,10,FALSE),"Not Specified")</f>
        <v>WA</v>
      </c>
      <c r="J33" t="str">
        <f>VLOOKUP(B33,[1]Product!A:B,2,FALSE)</f>
        <v>Product NUNAW</v>
      </c>
      <c r="K33" t="str">
        <f>VLOOKUP(VLOOKUP(B33,[1]Product!A:D,4,FALSE),[1]Category!A:B,2,FALSE)</f>
        <v>Dairy Product</v>
      </c>
      <c r="L33" s="10">
        <f>IFERROR(VLOOKUP(A33,'[1]Sales Order'!A:D,4,FALSE),"")</f>
        <v>38915</v>
      </c>
      <c r="M33" s="10">
        <f>IFERROR(VLOOKUP(A33,'[1]Sales Order'!A:F,6,FALSE),"")</f>
        <v>38921</v>
      </c>
      <c r="N33" t="str">
        <f>IFERROR(VLOOKUP(VLOOKUP(A33,'[1]Sales Order'!A:G,7,FALSE),[1]Shipper!A:B,2,FALSE),"Not Specified")</f>
        <v>Shipper GVSUA</v>
      </c>
      <c r="O33" t="str">
        <f>IFERROR(VLOOKUP(A33,'[1]Sales Order'!A:I,9,FALSE),"Not Specified")</f>
        <v>Destination RVDMF</v>
      </c>
      <c r="P33" t="str">
        <f>IFERROR(VLOOKUP(A33,'[1]Sales Order'!A:N,14,FALSE),"Not Specified")</f>
        <v>Austria</v>
      </c>
      <c r="Q33" t="str">
        <f>VLOOKUP(VLOOKUP(B33,[1]Product!A:C,3,FALSE),[1]Supplier!A:B,2,FALSE)</f>
        <v>Supplier KEREV</v>
      </c>
      <c r="R33" t="str">
        <f>VLOOKUP(VLOOKUP(B33,[1]Product!A:C,3,FALSE),[1]Supplier!A:I,9,FALSE)</f>
        <v>Italy</v>
      </c>
      <c r="S33" t="str">
        <f>IFERROR(IF(VLOOKUP(A33,'[1]Sales Order'!A:H,8,FALSE)&gt;100,"High Freight","Low Freight"),"Not Specified")</f>
        <v>High Freight</v>
      </c>
      <c r="T33">
        <f t="shared" si="1"/>
        <v>122.88000000000002</v>
      </c>
    </row>
    <row r="34" spans="1:20">
      <c r="A34" s="1">
        <v>10259</v>
      </c>
      <c r="B34" s="2">
        <v>21</v>
      </c>
      <c r="C34" s="2">
        <v>8</v>
      </c>
      <c r="D34" s="2">
        <v>10</v>
      </c>
      <c r="E34" s="3">
        <v>0</v>
      </c>
      <c r="F34" s="2" t="str">
        <f>IFERROR(VLOOKUP(VLOOKUP(A34,'[1]Sales Order'!A:B,2,FALSE),[1]Customer!A:C,3,FALSE),"Not Specified")</f>
        <v>Benito, Almudena</v>
      </c>
      <c r="G34" s="2" t="str">
        <f t="shared" si="0"/>
        <v>Benito Almudena</v>
      </c>
      <c r="H34" s="8" t="str">
        <f>IFERROR(VLOOKUP(VLOOKUP(A34,'[1]Sales Order'!A:C,3,FALSE),[1]Employee!A:E,5,FALSE)&amp;" "&amp;VLOOKUP(VLOOKUP(A34,'[1]Sales Order'!A:C,3,FALSE),[1]Employee!A:C,3,FALSE)&amp;" "&amp;VLOOKUP(VLOOKUP(A34,'[1]Sales Order'!A:C,3,FALSE),[1]Employee!A:B,2,FALSE),"Not Specified")</f>
        <v>Mrs. Yael Peled</v>
      </c>
      <c r="I34" t="str">
        <f>IFERROR(VLOOKUP(VLOOKUP(A34,'[1]Sales Order'!A:C,3,FALSE),[1]Employee!A:J,10,FALSE),"Not Specified")</f>
        <v>WA</v>
      </c>
      <c r="J34" t="str">
        <f>VLOOKUP(B34,[1]Product!A:B,2,FALSE)</f>
        <v>Product VJZZH</v>
      </c>
      <c r="K34" t="str">
        <f>VLOOKUP(VLOOKUP(B34,[1]Product!A:D,4,FALSE),[1]Category!A:B,2,FALSE)</f>
        <v>Confections</v>
      </c>
      <c r="L34" s="10">
        <f>IFERROR(VLOOKUP(A34,'[1]Sales Order'!A:D,4,FALSE),"")</f>
        <v>38916</v>
      </c>
      <c r="M34" s="10">
        <f>IFERROR(VLOOKUP(A34,'[1]Sales Order'!A:F,6,FALSE),"")</f>
        <v>38923</v>
      </c>
      <c r="N34" t="str">
        <f>IFERROR(VLOOKUP(VLOOKUP(A34,'[1]Sales Order'!A:G,7,FALSE),[1]Shipper!A:B,2,FALSE),"Not Specified")</f>
        <v>Shipper ZHISN</v>
      </c>
      <c r="O34" t="str">
        <f>IFERROR(VLOOKUP(A34,'[1]Sales Order'!A:I,9,FALSE),"Not Specified")</f>
        <v>Destination LGGCH</v>
      </c>
      <c r="P34" t="str">
        <f>IFERROR(VLOOKUP(A34,'[1]Sales Order'!A:N,14,FALSE),"Not Specified")</f>
        <v>Mexico</v>
      </c>
      <c r="Q34" t="str">
        <f>VLOOKUP(VLOOKUP(B34,[1]Product!A:C,3,FALSE),[1]Supplier!A:B,2,FALSE)</f>
        <v>Supplier BWGYE</v>
      </c>
      <c r="R34" t="str">
        <f>VLOOKUP(VLOOKUP(B34,[1]Product!A:C,3,FALSE),[1]Supplier!A:I,9,FALSE)</f>
        <v>UK</v>
      </c>
      <c r="S34" t="str">
        <f>IFERROR(IF(VLOOKUP(A34,'[1]Sales Order'!A:H,8,FALSE)&gt;100,"High Freight","Low Freight"),"Not Specified")</f>
        <v>Low Freight</v>
      </c>
      <c r="T34">
        <f t="shared" si="1"/>
        <v>80</v>
      </c>
    </row>
    <row r="35" spans="1:20">
      <c r="A35" s="1">
        <v>10259</v>
      </c>
      <c r="B35" s="2">
        <v>37</v>
      </c>
      <c r="C35" s="2">
        <v>20.8</v>
      </c>
      <c r="D35" s="2">
        <v>1</v>
      </c>
      <c r="E35" s="3">
        <v>0</v>
      </c>
      <c r="F35" s="2" t="str">
        <f>IFERROR(VLOOKUP(VLOOKUP(A35,'[1]Sales Order'!A:B,2,FALSE),[1]Customer!A:C,3,FALSE),"Not Specified")</f>
        <v>Benito, Almudena</v>
      </c>
      <c r="G35" s="2" t="str">
        <f t="shared" si="0"/>
        <v>Benito Almudena</v>
      </c>
      <c r="H35" s="8" t="str">
        <f>IFERROR(VLOOKUP(VLOOKUP(A35,'[1]Sales Order'!A:C,3,FALSE),[1]Employee!A:E,5,FALSE)&amp;" "&amp;VLOOKUP(VLOOKUP(A35,'[1]Sales Order'!A:C,3,FALSE),[1]Employee!A:C,3,FALSE)&amp;" "&amp;VLOOKUP(VLOOKUP(A35,'[1]Sales Order'!A:C,3,FALSE),[1]Employee!A:B,2,FALSE),"Not Specified")</f>
        <v>Mrs. Yael Peled</v>
      </c>
      <c r="I35" t="str">
        <f>IFERROR(VLOOKUP(VLOOKUP(A35,'[1]Sales Order'!A:C,3,FALSE),[1]Employee!A:J,10,FALSE),"Not Specified")</f>
        <v>WA</v>
      </c>
      <c r="J35" t="str">
        <f>VLOOKUP(B35,[1]Product!A:B,2,FALSE)</f>
        <v>Product EVFFA</v>
      </c>
      <c r="K35" t="str">
        <f>VLOOKUP(VLOOKUP(B35,[1]Product!A:D,4,FALSE),[1]Category!A:B,2,FALSE)</f>
        <v>Seafood</v>
      </c>
      <c r="L35" s="10">
        <f>IFERROR(VLOOKUP(A35,'[1]Sales Order'!A:D,4,FALSE),"")</f>
        <v>38916</v>
      </c>
      <c r="M35" s="10">
        <f>IFERROR(VLOOKUP(A35,'[1]Sales Order'!A:F,6,FALSE),"")</f>
        <v>38923</v>
      </c>
      <c r="N35" t="str">
        <f>IFERROR(VLOOKUP(VLOOKUP(A35,'[1]Sales Order'!A:G,7,FALSE),[1]Shipper!A:B,2,FALSE),"Not Specified")</f>
        <v>Shipper ZHISN</v>
      </c>
      <c r="O35" t="str">
        <f>IFERROR(VLOOKUP(A35,'[1]Sales Order'!A:I,9,FALSE),"Not Specified")</f>
        <v>Destination LGGCH</v>
      </c>
      <c r="P35" t="str">
        <f>IFERROR(VLOOKUP(A35,'[1]Sales Order'!A:N,14,FALSE),"Not Specified")</f>
        <v>Mexico</v>
      </c>
      <c r="Q35" t="str">
        <f>VLOOKUP(VLOOKUP(B35,[1]Product!A:C,3,FALSE),[1]Supplier!A:B,2,FALSE)</f>
        <v>Supplier QZGUF</v>
      </c>
      <c r="R35" t="str">
        <f>VLOOKUP(VLOOKUP(B35,[1]Product!A:C,3,FALSE),[1]Supplier!A:I,9,FALSE)</f>
        <v>Sweden</v>
      </c>
      <c r="S35" t="str">
        <f>IFERROR(IF(VLOOKUP(A35,'[1]Sales Order'!A:H,8,FALSE)&gt;100,"High Freight","Low Freight"),"Not Specified")</f>
        <v>Low Freight</v>
      </c>
      <c r="T35">
        <f t="shared" si="1"/>
        <v>20.8</v>
      </c>
    </row>
    <row r="36" spans="1:20">
      <c r="A36" s="1">
        <v>10260</v>
      </c>
      <c r="B36" s="2">
        <v>41</v>
      </c>
      <c r="C36" s="2">
        <v>7.7</v>
      </c>
      <c r="D36" s="2">
        <v>16</v>
      </c>
      <c r="E36" s="3">
        <v>0.25</v>
      </c>
      <c r="F36" s="2" t="str">
        <f>IFERROR(VLOOKUP(VLOOKUP(A36,'[1]Sales Order'!A:B,2,FALSE),[1]Customer!A:C,3,FALSE),"Not Specified")</f>
        <v>Marinova, Nadejda</v>
      </c>
      <c r="G36" s="2" t="str">
        <f t="shared" si="0"/>
        <v>Marinova Nadejda</v>
      </c>
      <c r="H36" s="8" t="str">
        <f>IFERROR(VLOOKUP(VLOOKUP(A36,'[1]Sales Order'!A:C,3,FALSE),[1]Employee!A:E,5,FALSE)&amp;" "&amp;VLOOKUP(VLOOKUP(A36,'[1]Sales Order'!A:C,3,FALSE),[1]Employee!A:C,3,FALSE)&amp;" "&amp;VLOOKUP(VLOOKUP(A36,'[1]Sales Order'!A:C,3,FALSE),[1]Employee!A:B,2,FALSE),"Not Specified")</f>
        <v>Mrs. Yael Peled</v>
      </c>
      <c r="I36" t="str">
        <f>IFERROR(VLOOKUP(VLOOKUP(A36,'[1]Sales Order'!A:C,3,FALSE),[1]Employee!A:J,10,FALSE),"Not Specified")</f>
        <v>WA</v>
      </c>
      <c r="J36" t="str">
        <f>VLOOKUP(B36,[1]Product!A:B,2,FALSE)</f>
        <v>Product TTEEX</v>
      </c>
      <c r="K36" t="str">
        <f>VLOOKUP(VLOOKUP(B36,[1]Product!A:D,4,FALSE),[1]Category!A:B,2,FALSE)</f>
        <v>Seafood</v>
      </c>
      <c r="L36" s="10">
        <f>IFERROR(VLOOKUP(A36,'[1]Sales Order'!A:D,4,FALSE),"")</f>
        <v>38917</v>
      </c>
      <c r="M36" s="10">
        <f>IFERROR(VLOOKUP(A36,'[1]Sales Order'!A:F,6,FALSE),"")</f>
        <v>38927</v>
      </c>
      <c r="N36" t="str">
        <f>IFERROR(VLOOKUP(VLOOKUP(A36,'[1]Sales Order'!A:G,7,FALSE),[1]Shipper!A:B,2,FALSE),"Not Specified")</f>
        <v>Shipper GVSUA</v>
      </c>
      <c r="O36" t="str">
        <f>IFERROR(VLOOKUP(A36,'[1]Sales Order'!A:I,9,FALSE),"Not Specified")</f>
        <v>Ship to 56-A</v>
      </c>
      <c r="P36" t="str">
        <f>IFERROR(VLOOKUP(A36,'[1]Sales Order'!A:N,14,FALSE),"Not Specified")</f>
        <v>Germany</v>
      </c>
      <c r="Q36" t="str">
        <f>VLOOKUP(VLOOKUP(B36,[1]Product!A:C,3,FALSE),[1]Supplier!A:B,2,FALSE)</f>
        <v>Supplier JDNUG</v>
      </c>
      <c r="R36" t="str">
        <f>VLOOKUP(VLOOKUP(B36,[1]Product!A:C,3,FALSE),[1]Supplier!A:I,9,FALSE)</f>
        <v>USA</v>
      </c>
      <c r="S36" t="str">
        <f>IFERROR(IF(VLOOKUP(A36,'[1]Sales Order'!A:H,8,FALSE)&gt;100,"High Freight","Low Freight"),"Not Specified")</f>
        <v>Low Freight</v>
      </c>
      <c r="T36">
        <f t="shared" si="1"/>
        <v>92.4</v>
      </c>
    </row>
    <row r="37" spans="1:20">
      <c r="A37" s="1">
        <v>10260</v>
      </c>
      <c r="B37" s="2">
        <v>57</v>
      </c>
      <c r="C37" s="2">
        <v>15.6</v>
      </c>
      <c r="D37" s="2">
        <v>50</v>
      </c>
      <c r="E37" s="3">
        <v>0</v>
      </c>
      <c r="F37" s="2" t="str">
        <f>IFERROR(VLOOKUP(VLOOKUP(A37,'[1]Sales Order'!A:B,2,FALSE),[1]Customer!A:C,3,FALSE),"Not Specified")</f>
        <v>Marinova, Nadejda</v>
      </c>
      <c r="G37" s="2" t="str">
        <f t="shared" si="0"/>
        <v>Marinova Nadejda</v>
      </c>
      <c r="H37" s="8" t="str">
        <f>IFERROR(VLOOKUP(VLOOKUP(A37,'[1]Sales Order'!A:C,3,FALSE),[1]Employee!A:E,5,FALSE)&amp;" "&amp;VLOOKUP(VLOOKUP(A37,'[1]Sales Order'!A:C,3,FALSE),[1]Employee!A:C,3,FALSE)&amp;" "&amp;VLOOKUP(VLOOKUP(A37,'[1]Sales Order'!A:C,3,FALSE),[1]Employee!A:B,2,FALSE),"Not Specified")</f>
        <v>Mrs. Yael Peled</v>
      </c>
      <c r="I37" t="str">
        <f>IFERROR(VLOOKUP(VLOOKUP(A37,'[1]Sales Order'!A:C,3,FALSE),[1]Employee!A:J,10,FALSE),"Not Specified")</f>
        <v>WA</v>
      </c>
      <c r="J37" t="str">
        <f>VLOOKUP(B37,[1]Product!A:B,2,FALSE)</f>
        <v>Product OVLQI</v>
      </c>
      <c r="K37" t="str">
        <f>VLOOKUP(VLOOKUP(B37,[1]Product!A:D,4,FALSE),[1]Category!A:B,2,FALSE)</f>
        <v>Grains/Cereals</v>
      </c>
      <c r="L37" s="10">
        <f>IFERROR(VLOOKUP(A37,'[1]Sales Order'!A:D,4,FALSE),"")</f>
        <v>38917</v>
      </c>
      <c r="M37" s="10">
        <f>IFERROR(VLOOKUP(A37,'[1]Sales Order'!A:F,6,FALSE),"")</f>
        <v>38927</v>
      </c>
      <c r="N37" t="str">
        <f>IFERROR(VLOOKUP(VLOOKUP(A37,'[1]Sales Order'!A:G,7,FALSE),[1]Shipper!A:B,2,FALSE),"Not Specified")</f>
        <v>Shipper GVSUA</v>
      </c>
      <c r="O37" t="str">
        <f>IFERROR(VLOOKUP(A37,'[1]Sales Order'!A:I,9,FALSE),"Not Specified")</f>
        <v>Ship to 56-A</v>
      </c>
      <c r="P37" t="str">
        <f>IFERROR(VLOOKUP(A37,'[1]Sales Order'!A:N,14,FALSE),"Not Specified")</f>
        <v>Germany</v>
      </c>
      <c r="Q37" t="str">
        <f>VLOOKUP(VLOOKUP(B37,[1]Product!A:C,3,FALSE),[1]Supplier!A:B,2,FALSE)</f>
        <v>Supplier ZWZDM</v>
      </c>
      <c r="R37" t="str">
        <f>VLOOKUP(VLOOKUP(B37,[1]Product!A:C,3,FALSE),[1]Supplier!A:I,9,FALSE)</f>
        <v>Italy</v>
      </c>
      <c r="S37" t="str">
        <f>IFERROR(IF(VLOOKUP(A37,'[1]Sales Order'!A:H,8,FALSE)&gt;100,"High Freight","Low Freight"),"Not Specified")</f>
        <v>Low Freight</v>
      </c>
      <c r="T37">
        <f t="shared" si="1"/>
        <v>780</v>
      </c>
    </row>
    <row r="38" spans="1:20">
      <c r="A38" s="1">
        <v>10260</v>
      </c>
      <c r="B38" s="2">
        <v>62</v>
      </c>
      <c r="C38" s="2">
        <v>39.4</v>
      </c>
      <c r="D38" s="2">
        <v>15</v>
      </c>
      <c r="E38" s="3">
        <v>0.25</v>
      </c>
      <c r="F38" s="2" t="str">
        <f>IFERROR(VLOOKUP(VLOOKUP(A38,'[1]Sales Order'!A:B,2,FALSE),[1]Customer!A:C,3,FALSE),"Not Specified")</f>
        <v>Marinova, Nadejda</v>
      </c>
      <c r="G38" s="2" t="str">
        <f t="shared" si="0"/>
        <v>Marinova Nadejda</v>
      </c>
      <c r="H38" s="8" t="str">
        <f>IFERROR(VLOOKUP(VLOOKUP(A38,'[1]Sales Order'!A:C,3,FALSE),[1]Employee!A:E,5,FALSE)&amp;" "&amp;VLOOKUP(VLOOKUP(A38,'[1]Sales Order'!A:C,3,FALSE),[1]Employee!A:C,3,FALSE)&amp;" "&amp;VLOOKUP(VLOOKUP(A38,'[1]Sales Order'!A:C,3,FALSE),[1]Employee!A:B,2,FALSE),"Not Specified")</f>
        <v>Mrs. Yael Peled</v>
      </c>
      <c r="I38" t="str">
        <f>IFERROR(VLOOKUP(VLOOKUP(A38,'[1]Sales Order'!A:C,3,FALSE),[1]Employee!A:J,10,FALSE),"Not Specified")</f>
        <v>WA</v>
      </c>
      <c r="J38" t="str">
        <f>VLOOKUP(B38,[1]Product!A:B,2,FALSE)</f>
        <v>Product WUXYK</v>
      </c>
      <c r="K38" t="str">
        <f>VLOOKUP(VLOOKUP(B38,[1]Product!A:D,4,FALSE),[1]Category!A:B,2,FALSE)</f>
        <v>Confections</v>
      </c>
      <c r="L38" s="10">
        <f>IFERROR(VLOOKUP(A38,'[1]Sales Order'!A:D,4,FALSE),"")</f>
        <v>38917</v>
      </c>
      <c r="M38" s="10">
        <f>IFERROR(VLOOKUP(A38,'[1]Sales Order'!A:F,6,FALSE),"")</f>
        <v>38927</v>
      </c>
      <c r="N38" t="str">
        <f>IFERROR(VLOOKUP(VLOOKUP(A38,'[1]Sales Order'!A:G,7,FALSE),[1]Shipper!A:B,2,FALSE),"Not Specified")</f>
        <v>Shipper GVSUA</v>
      </c>
      <c r="O38" t="str">
        <f>IFERROR(VLOOKUP(A38,'[1]Sales Order'!A:I,9,FALSE),"Not Specified")</f>
        <v>Ship to 56-A</v>
      </c>
      <c r="P38" t="str">
        <f>IFERROR(VLOOKUP(A38,'[1]Sales Order'!A:N,14,FALSE),"Not Specified")</f>
        <v>Germany</v>
      </c>
      <c r="Q38" t="str">
        <f>VLOOKUP(VLOOKUP(B38,[1]Product!A:C,3,FALSE),[1]Supplier!A:B,2,FALSE)</f>
        <v>Supplier OGLRK</v>
      </c>
      <c r="R38" t="str">
        <f>VLOOKUP(VLOOKUP(B38,[1]Product!A:C,3,FALSE),[1]Supplier!A:I,9,FALSE)</f>
        <v>Canada</v>
      </c>
      <c r="S38" t="str">
        <f>IFERROR(IF(VLOOKUP(A38,'[1]Sales Order'!A:H,8,FALSE)&gt;100,"High Freight","Low Freight"),"Not Specified")</f>
        <v>Low Freight</v>
      </c>
      <c r="T38">
        <f t="shared" si="1"/>
        <v>443.25</v>
      </c>
    </row>
    <row r="39" spans="1:20">
      <c r="A39" s="1">
        <v>10260</v>
      </c>
      <c r="B39" s="2">
        <v>70</v>
      </c>
      <c r="C39" s="2">
        <v>12</v>
      </c>
      <c r="D39" s="2">
        <v>21</v>
      </c>
      <c r="E39" s="3">
        <v>0.25</v>
      </c>
      <c r="F39" s="2" t="str">
        <f>IFERROR(VLOOKUP(VLOOKUP(A39,'[1]Sales Order'!A:B,2,FALSE),[1]Customer!A:C,3,FALSE),"Not Specified")</f>
        <v>Marinova, Nadejda</v>
      </c>
      <c r="G39" s="2" t="str">
        <f t="shared" si="0"/>
        <v>Marinova Nadejda</v>
      </c>
      <c r="H39" s="8" t="str">
        <f>IFERROR(VLOOKUP(VLOOKUP(A39,'[1]Sales Order'!A:C,3,FALSE),[1]Employee!A:E,5,FALSE)&amp;" "&amp;VLOOKUP(VLOOKUP(A39,'[1]Sales Order'!A:C,3,FALSE),[1]Employee!A:C,3,FALSE)&amp;" "&amp;VLOOKUP(VLOOKUP(A39,'[1]Sales Order'!A:C,3,FALSE),[1]Employee!A:B,2,FALSE),"Not Specified")</f>
        <v>Mrs. Yael Peled</v>
      </c>
      <c r="I39" t="str">
        <f>IFERROR(VLOOKUP(VLOOKUP(A39,'[1]Sales Order'!A:C,3,FALSE),[1]Employee!A:J,10,FALSE),"Not Specified")</f>
        <v>WA</v>
      </c>
      <c r="J39" t="str">
        <f>VLOOKUP(B39,[1]Product!A:B,2,FALSE)</f>
        <v>Product TOONT</v>
      </c>
      <c r="K39" t="str">
        <f>VLOOKUP(VLOOKUP(B39,[1]Product!A:D,4,FALSE),[1]Category!A:B,2,FALSE)</f>
        <v>Beverages</v>
      </c>
      <c r="L39" s="10">
        <f>IFERROR(VLOOKUP(A39,'[1]Sales Order'!A:D,4,FALSE),"")</f>
        <v>38917</v>
      </c>
      <c r="M39" s="10">
        <f>IFERROR(VLOOKUP(A39,'[1]Sales Order'!A:F,6,FALSE),"")</f>
        <v>38927</v>
      </c>
      <c r="N39" t="str">
        <f>IFERROR(VLOOKUP(VLOOKUP(A39,'[1]Sales Order'!A:G,7,FALSE),[1]Shipper!A:B,2,FALSE),"Not Specified")</f>
        <v>Shipper GVSUA</v>
      </c>
      <c r="O39" t="str">
        <f>IFERROR(VLOOKUP(A39,'[1]Sales Order'!A:I,9,FALSE),"Not Specified")</f>
        <v>Ship to 56-A</v>
      </c>
      <c r="P39" t="str">
        <f>IFERROR(VLOOKUP(A39,'[1]Sales Order'!A:N,14,FALSE),"Not Specified")</f>
        <v>Germany</v>
      </c>
      <c r="Q39" t="str">
        <f>VLOOKUP(VLOOKUP(B39,[1]Product!A:C,3,FALSE),[1]Supplier!A:B,2,FALSE)</f>
        <v>Supplier GQRCV</v>
      </c>
      <c r="R39" t="str">
        <f>VLOOKUP(VLOOKUP(B39,[1]Product!A:C,3,FALSE),[1]Supplier!A:I,9,FALSE)</f>
        <v>Australia</v>
      </c>
      <c r="S39" t="str">
        <f>IFERROR(IF(VLOOKUP(A39,'[1]Sales Order'!A:H,8,FALSE)&gt;100,"High Freight","Low Freight"),"Not Specified")</f>
        <v>Low Freight</v>
      </c>
      <c r="T39">
        <f t="shared" si="1"/>
        <v>189</v>
      </c>
    </row>
    <row r="40" spans="1:20">
      <c r="A40" s="1">
        <v>10261</v>
      </c>
      <c r="B40" s="2">
        <v>21</v>
      </c>
      <c r="C40" s="2">
        <v>8</v>
      </c>
      <c r="D40" s="2">
        <v>20</v>
      </c>
      <c r="E40" s="3">
        <v>0</v>
      </c>
      <c r="F40" s="2" t="str">
        <f>IFERROR(VLOOKUP(VLOOKUP(A40,'[1]Sales Order'!A:B,2,FALSE),[1]Customer!A:C,3,FALSE),"Not Specified")</f>
        <v>Florczyk, Krzysztof</v>
      </c>
      <c r="G40" s="2" t="str">
        <f t="shared" si="0"/>
        <v>Florczyk Krzysztof</v>
      </c>
      <c r="H40" s="8" t="str">
        <f>IFERROR(VLOOKUP(VLOOKUP(A40,'[1]Sales Order'!A:C,3,FALSE),[1]Employee!A:E,5,FALSE)&amp;" "&amp;VLOOKUP(VLOOKUP(A40,'[1]Sales Order'!A:C,3,FALSE),[1]Employee!A:C,3,FALSE)&amp;" "&amp;VLOOKUP(VLOOKUP(A40,'[1]Sales Order'!A:C,3,FALSE),[1]Employee!A:B,2,FALSE),"Not Specified")</f>
        <v>Mrs. Yael Peled</v>
      </c>
      <c r="I40" t="str">
        <f>IFERROR(VLOOKUP(VLOOKUP(A40,'[1]Sales Order'!A:C,3,FALSE),[1]Employee!A:J,10,FALSE),"Not Specified")</f>
        <v>WA</v>
      </c>
      <c r="J40" t="str">
        <f>VLOOKUP(B40,[1]Product!A:B,2,FALSE)</f>
        <v>Product VJZZH</v>
      </c>
      <c r="K40" t="str">
        <f>VLOOKUP(VLOOKUP(B40,[1]Product!A:D,4,FALSE),[1]Category!A:B,2,FALSE)</f>
        <v>Confections</v>
      </c>
      <c r="L40" s="10">
        <f>IFERROR(VLOOKUP(A40,'[1]Sales Order'!A:D,4,FALSE),"")</f>
        <v>38917</v>
      </c>
      <c r="M40" s="10">
        <f>IFERROR(VLOOKUP(A40,'[1]Sales Order'!A:F,6,FALSE),"")</f>
        <v>38928</v>
      </c>
      <c r="N40" t="str">
        <f>IFERROR(VLOOKUP(VLOOKUP(A40,'[1]Sales Order'!A:G,7,FALSE),[1]Shipper!A:B,2,FALSE),"Not Specified")</f>
        <v>Shipper ETYNR</v>
      </c>
      <c r="O40" t="str">
        <f>IFERROR(VLOOKUP(A40,'[1]Sales Order'!A:I,9,FALSE),"Not Specified")</f>
        <v>Ship to 61-B</v>
      </c>
      <c r="P40" t="str">
        <f>IFERROR(VLOOKUP(A40,'[1]Sales Order'!A:N,14,FALSE),"Not Specified")</f>
        <v>Brazil</v>
      </c>
      <c r="Q40" t="str">
        <f>VLOOKUP(VLOOKUP(B40,[1]Product!A:C,3,FALSE),[1]Supplier!A:B,2,FALSE)</f>
        <v>Supplier BWGYE</v>
      </c>
      <c r="R40" t="str">
        <f>VLOOKUP(VLOOKUP(B40,[1]Product!A:C,3,FALSE),[1]Supplier!A:I,9,FALSE)</f>
        <v>UK</v>
      </c>
      <c r="S40" t="str">
        <f>IFERROR(IF(VLOOKUP(A40,'[1]Sales Order'!A:H,8,FALSE)&gt;100,"High Freight","Low Freight"),"Not Specified")</f>
        <v>Low Freight</v>
      </c>
      <c r="T40">
        <f t="shared" si="1"/>
        <v>160</v>
      </c>
    </row>
    <row r="41" spans="1:20">
      <c r="A41" s="1">
        <v>10261</v>
      </c>
      <c r="B41" s="2">
        <v>35</v>
      </c>
      <c r="C41" s="2">
        <v>14.4</v>
      </c>
      <c r="D41" s="2">
        <v>20</v>
      </c>
      <c r="E41" s="3">
        <v>0</v>
      </c>
      <c r="F41" s="2" t="str">
        <f>IFERROR(VLOOKUP(VLOOKUP(A41,'[1]Sales Order'!A:B,2,FALSE),[1]Customer!A:C,3,FALSE),"Not Specified")</f>
        <v>Florczyk, Krzysztof</v>
      </c>
      <c r="G41" s="2" t="str">
        <f t="shared" si="0"/>
        <v>Florczyk Krzysztof</v>
      </c>
      <c r="H41" s="8" t="str">
        <f>IFERROR(VLOOKUP(VLOOKUP(A41,'[1]Sales Order'!A:C,3,FALSE),[1]Employee!A:E,5,FALSE)&amp;" "&amp;VLOOKUP(VLOOKUP(A41,'[1]Sales Order'!A:C,3,FALSE),[1]Employee!A:C,3,FALSE)&amp;" "&amp;VLOOKUP(VLOOKUP(A41,'[1]Sales Order'!A:C,3,FALSE),[1]Employee!A:B,2,FALSE),"Not Specified")</f>
        <v>Mrs. Yael Peled</v>
      </c>
      <c r="I41" t="str">
        <f>IFERROR(VLOOKUP(VLOOKUP(A41,'[1]Sales Order'!A:C,3,FALSE),[1]Employee!A:J,10,FALSE),"Not Specified")</f>
        <v>WA</v>
      </c>
      <c r="J41" t="str">
        <f>VLOOKUP(B41,[1]Product!A:B,2,FALSE)</f>
        <v>Product NEVTJ</v>
      </c>
      <c r="K41" t="str">
        <f>VLOOKUP(VLOOKUP(B41,[1]Product!A:D,4,FALSE),[1]Category!A:B,2,FALSE)</f>
        <v>Beverages</v>
      </c>
      <c r="L41" s="10">
        <f>IFERROR(VLOOKUP(A41,'[1]Sales Order'!A:D,4,FALSE),"")</f>
        <v>38917</v>
      </c>
      <c r="M41" s="10">
        <f>IFERROR(VLOOKUP(A41,'[1]Sales Order'!A:F,6,FALSE),"")</f>
        <v>38928</v>
      </c>
      <c r="N41" t="str">
        <f>IFERROR(VLOOKUP(VLOOKUP(A41,'[1]Sales Order'!A:G,7,FALSE),[1]Shipper!A:B,2,FALSE),"Not Specified")</f>
        <v>Shipper ETYNR</v>
      </c>
      <c r="O41" t="str">
        <f>IFERROR(VLOOKUP(A41,'[1]Sales Order'!A:I,9,FALSE),"Not Specified")</f>
        <v>Ship to 61-B</v>
      </c>
      <c r="P41" t="str">
        <f>IFERROR(VLOOKUP(A41,'[1]Sales Order'!A:N,14,FALSE),"Not Specified")</f>
        <v>Brazil</v>
      </c>
      <c r="Q41" t="str">
        <f>VLOOKUP(VLOOKUP(B41,[1]Product!A:C,3,FALSE),[1]Supplier!A:B,2,FALSE)</f>
        <v>Supplier UHZRG</v>
      </c>
      <c r="R41" t="str">
        <f>VLOOKUP(VLOOKUP(B41,[1]Product!A:C,3,FALSE),[1]Supplier!A:I,9,FALSE)</f>
        <v>USA</v>
      </c>
      <c r="S41" t="str">
        <f>IFERROR(IF(VLOOKUP(A41,'[1]Sales Order'!A:H,8,FALSE)&gt;100,"High Freight","Low Freight"),"Not Specified")</f>
        <v>Low Freight</v>
      </c>
      <c r="T41">
        <f t="shared" si="1"/>
        <v>288</v>
      </c>
    </row>
    <row r="42" spans="1:20">
      <c r="A42" s="1">
        <v>10262</v>
      </c>
      <c r="B42" s="2">
        <v>5</v>
      </c>
      <c r="C42" s="2">
        <v>17</v>
      </c>
      <c r="D42" s="2">
        <v>12</v>
      </c>
      <c r="E42" s="3">
        <v>0.2</v>
      </c>
      <c r="F42" s="2" t="str">
        <f>IFERROR(VLOOKUP(VLOOKUP(A42,'[1]Sales Order'!A:B,2,FALSE),[1]Customer!A:C,3,FALSE),"Not Specified")</f>
        <v>Moore, Michael</v>
      </c>
      <c r="G42" s="2" t="str">
        <f t="shared" si="0"/>
        <v>Moore Michael</v>
      </c>
      <c r="H42" s="8" t="str">
        <f>IFERROR(VLOOKUP(VLOOKUP(A42,'[1]Sales Order'!A:C,3,FALSE),[1]Employee!A:E,5,FALSE)&amp;" "&amp;VLOOKUP(VLOOKUP(A42,'[1]Sales Order'!A:C,3,FALSE),[1]Employee!A:C,3,FALSE)&amp;" "&amp;VLOOKUP(VLOOKUP(A42,'[1]Sales Order'!A:C,3,FALSE),[1]Employee!A:B,2,FALSE),"Not Specified")</f>
        <v>Ms. Maria Cameron</v>
      </c>
      <c r="I42" t="str">
        <f>IFERROR(VLOOKUP(VLOOKUP(A42,'[1]Sales Order'!A:C,3,FALSE),[1]Employee!A:J,10,FALSE),"Not Specified")</f>
        <v>WA</v>
      </c>
      <c r="J42" t="str">
        <f>VLOOKUP(B42,[1]Product!A:B,2,FALSE)</f>
        <v>Product EPEIM</v>
      </c>
      <c r="K42" t="str">
        <f>VLOOKUP(VLOOKUP(B42,[1]Product!A:D,4,FALSE),[1]Category!A:B,2,FALSE)</f>
        <v>Condiments</v>
      </c>
      <c r="L42" s="10">
        <f>IFERROR(VLOOKUP(A42,'[1]Sales Order'!A:D,4,FALSE),"")</f>
        <v>38920</v>
      </c>
      <c r="M42" s="10">
        <f>IFERROR(VLOOKUP(A42,'[1]Sales Order'!A:F,6,FALSE),"")</f>
        <v>38923</v>
      </c>
      <c r="N42" t="str">
        <f>IFERROR(VLOOKUP(VLOOKUP(A42,'[1]Sales Order'!A:G,7,FALSE),[1]Shipper!A:B,2,FALSE),"Not Specified")</f>
        <v>Shipper ZHISN</v>
      </c>
      <c r="O42" t="str">
        <f>IFERROR(VLOOKUP(A42,'[1]Sales Order'!A:I,9,FALSE),"Not Specified")</f>
        <v>Ship to 65-B</v>
      </c>
      <c r="P42" t="str">
        <f>IFERROR(VLOOKUP(A42,'[1]Sales Order'!A:N,14,FALSE),"Not Specified")</f>
        <v>USA</v>
      </c>
      <c r="Q42" t="str">
        <f>VLOOKUP(VLOOKUP(B42,[1]Product!A:C,3,FALSE),[1]Supplier!A:B,2,FALSE)</f>
        <v>Supplier VHQZD</v>
      </c>
      <c r="R42" t="str">
        <f>VLOOKUP(VLOOKUP(B42,[1]Product!A:C,3,FALSE),[1]Supplier!A:I,9,FALSE)</f>
        <v>USA</v>
      </c>
      <c r="S42" t="str">
        <f>IFERROR(IF(VLOOKUP(A42,'[1]Sales Order'!A:H,8,FALSE)&gt;100,"High Freight","Low Freight"),"Not Specified")</f>
        <v>Low Freight</v>
      </c>
      <c r="T42">
        <f t="shared" si="1"/>
        <v>163.20000000000002</v>
      </c>
    </row>
    <row r="43" spans="1:20">
      <c r="A43" s="1">
        <v>10262</v>
      </c>
      <c r="B43" s="2">
        <v>7</v>
      </c>
      <c r="C43" s="2">
        <v>24</v>
      </c>
      <c r="D43" s="2">
        <v>15</v>
      </c>
      <c r="E43" s="3">
        <v>0</v>
      </c>
      <c r="F43" s="2" t="str">
        <f>IFERROR(VLOOKUP(VLOOKUP(A43,'[1]Sales Order'!A:B,2,FALSE),[1]Customer!A:C,3,FALSE),"Not Specified")</f>
        <v>Moore, Michael</v>
      </c>
      <c r="G43" s="2" t="str">
        <f t="shared" si="0"/>
        <v>Moore Michael</v>
      </c>
      <c r="H43" s="8" t="str">
        <f>IFERROR(VLOOKUP(VLOOKUP(A43,'[1]Sales Order'!A:C,3,FALSE),[1]Employee!A:E,5,FALSE)&amp;" "&amp;VLOOKUP(VLOOKUP(A43,'[1]Sales Order'!A:C,3,FALSE),[1]Employee!A:C,3,FALSE)&amp;" "&amp;VLOOKUP(VLOOKUP(A43,'[1]Sales Order'!A:C,3,FALSE),[1]Employee!A:B,2,FALSE),"Not Specified")</f>
        <v>Ms. Maria Cameron</v>
      </c>
      <c r="I43" t="str">
        <f>IFERROR(VLOOKUP(VLOOKUP(A43,'[1]Sales Order'!A:C,3,FALSE),[1]Employee!A:J,10,FALSE),"Not Specified")</f>
        <v>WA</v>
      </c>
      <c r="J43" t="str">
        <f>VLOOKUP(B43,[1]Product!A:B,2,FALSE)</f>
        <v>Product HMLNI</v>
      </c>
      <c r="K43" t="str">
        <f>VLOOKUP(VLOOKUP(B43,[1]Product!A:D,4,FALSE),[1]Category!A:B,2,FALSE)</f>
        <v>Produce</v>
      </c>
      <c r="L43" s="10">
        <f>IFERROR(VLOOKUP(A43,'[1]Sales Order'!A:D,4,FALSE),"")</f>
        <v>38920</v>
      </c>
      <c r="M43" s="10">
        <f>IFERROR(VLOOKUP(A43,'[1]Sales Order'!A:F,6,FALSE),"")</f>
        <v>38923</v>
      </c>
      <c r="N43" t="str">
        <f>IFERROR(VLOOKUP(VLOOKUP(A43,'[1]Sales Order'!A:G,7,FALSE),[1]Shipper!A:B,2,FALSE),"Not Specified")</f>
        <v>Shipper ZHISN</v>
      </c>
      <c r="O43" t="str">
        <f>IFERROR(VLOOKUP(A43,'[1]Sales Order'!A:I,9,FALSE),"Not Specified")</f>
        <v>Ship to 65-B</v>
      </c>
      <c r="P43" t="str">
        <f>IFERROR(VLOOKUP(A43,'[1]Sales Order'!A:N,14,FALSE),"Not Specified")</f>
        <v>USA</v>
      </c>
      <c r="Q43" t="str">
        <f>VLOOKUP(VLOOKUP(B43,[1]Product!A:C,3,FALSE),[1]Supplier!A:B,2,FALSE)</f>
        <v>Supplier STUAZ</v>
      </c>
      <c r="R43" t="str">
        <f>VLOOKUP(VLOOKUP(B43,[1]Product!A:C,3,FALSE),[1]Supplier!A:I,9,FALSE)</f>
        <v>USA</v>
      </c>
      <c r="S43" t="str">
        <f>IFERROR(IF(VLOOKUP(A43,'[1]Sales Order'!A:H,8,FALSE)&gt;100,"High Freight","Low Freight"),"Not Specified")</f>
        <v>Low Freight</v>
      </c>
      <c r="T43">
        <f t="shared" si="1"/>
        <v>360</v>
      </c>
    </row>
    <row r="44" spans="1:20">
      <c r="A44" s="1">
        <v>10262</v>
      </c>
      <c r="B44" s="2">
        <v>56</v>
      </c>
      <c r="C44" s="2">
        <v>30.4</v>
      </c>
      <c r="D44" s="2">
        <v>2</v>
      </c>
      <c r="E44" s="3">
        <v>0</v>
      </c>
      <c r="F44" s="2" t="str">
        <f>IFERROR(VLOOKUP(VLOOKUP(A44,'[1]Sales Order'!A:B,2,FALSE),[1]Customer!A:C,3,FALSE),"Not Specified")</f>
        <v>Moore, Michael</v>
      </c>
      <c r="G44" s="2" t="str">
        <f t="shared" si="0"/>
        <v>Moore Michael</v>
      </c>
      <c r="H44" s="8" t="str">
        <f>IFERROR(VLOOKUP(VLOOKUP(A44,'[1]Sales Order'!A:C,3,FALSE),[1]Employee!A:E,5,FALSE)&amp;" "&amp;VLOOKUP(VLOOKUP(A44,'[1]Sales Order'!A:C,3,FALSE),[1]Employee!A:C,3,FALSE)&amp;" "&amp;VLOOKUP(VLOOKUP(A44,'[1]Sales Order'!A:C,3,FALSE),[1]Employee!A:B,2,FALSE),"Not Specified")</f>
        <v>Ms. Maria Cameron</v>
      </c>
      <c r="I44" t="str">
        <f>IFERROR(VLOOKUP(VLOOKUP(A44,'[1]Sales Order'!A:C,3,FALSE),[1]Employee!A:J,10,FALSE),"Not Specified")</f>
        <v>WA</v>
      </c>
      <c r="J44" t="str">
        <f>VLOOKUP(B44,[1]Product!A:B,2,FALSE)</f>
        <v>Product VKCMF</v>
      </c>
      <c r="K44" t="str">
        <f>VLOOKUP(VLOOKUP(B44,[1]Product!A:D,4,FALSE),[1]Category!A:B,2,FALSE)</f>
        <v>Grains/Cereals</v>
      </c>
      <c r="L44" s="10">
        <f>IFERROR(VLOOKUP(A44,'[1]Sales Order'!A:D,4,FALSE),"")</f>
        <v>38920</v>
      </c>
      <c r="M44" s="10">
        <f>IFERROR(VLOOKUP(A44,'[1]Sales Order'!A:F,6,FALSE),"")</f>
        <v>38923</v>
      </c>
      <c r="N44" t="str">
        <f>IFERROR(VLOOKUP(VLOOKUP(A44,'[1]Sales Order'!A:G,7,FALSE),[1]Shipper!A:B,2,FALSE),"Not Specified")</f>
        <v>Shipper ZHISN</v>
      </c>
      <c r="O44" t="str">
        <f>IFERROR(VLOOKUP(A44,'[1]Sales Order'!A:I,9,FALSE),"Not Specified")</f>
        <v>Ship to 65-B</v>
      </c>
      <c r="P44" t="str">
        <f>IFERROR(VLOOKUP(A44,'[1]Sales Order'!A:N,14,FALSE),"Not Specified")</f>
        <v>USA</v>
      </c>
      <c r="Q44" t="str">
        <f>VLOOKUP(VLOOKUP(B44,[1]Product!A:C,3,FALSE),[1]Supplier!A:B,2,FALSE)</f>
        <v>Supplier ZWZDM</v>
      </c>
      <c r="R44" t="str">
        <f>VLOOKUP(VLOOKUP(B44,[1]Product!A:C,3,FALSE),[1]Supplier!A:I,9,FALSE)</f>
        <v>Italy</v>
      </c>
      <c r="S44" t="str">
        <f>IFERROR(IF(VLOOKUP(A44,'[1]Sales Order'!A:H,8,FALSE)&gt;100,"High Freight","Low Freight"),"Not Specified")</f>
        <v>Low Freight</v>
      </c>
      <c r="T44">
        <f t="shared" si="1"/>
        <v>60.8</v>
      </c>
    </row>
    <row r="45" spans="1:20">
      <c r="A45" s="1">
        <v>10263</v>
      </c>
      <c r="B45" s="2">
        <v>16</v>
      </c>
      <c r="C45" s="2">
        <v>13.9</v>
      </c>
      <c r="D45" s="2">
        <v>60</v>
      </c>
      <c r="E45" s="3">
        <v>0.25</v>
      </c>
      <c r="F45" s="2" t="str">
        <f>IFERROR(VLOOKUP(VLOOKUP(A45,'[1]Sales Order'!A:B,2,FALSE),[1]Customer!A:C,3,FALSE),"Not Specified")</f>
        <v>Kane, John</v>
      </c>
      <c r="G45" s="2" t="str">
        <f t="shared" si="0"/>
        <v>Kane John</v>
      </c>
      <c r="H45" s="8" t="str">
        <f>IFERROR(VLOOKUP(VLOOKUP(A45,'[1]Sales Order'!A:C,3,FALSE),[1]Employee!A:E,5,FALSE)&amp;" "&amp;VLOOKUP(VLOOKUP(A45,'[1]Sales Order'!A:C,3,FALSE),[1]Employee!A:C,3,FALSE)&amp;" "&amp;VLOOKUP(VLOOKUP(A45,'[1]Sales Order'!A:C,3,FALSE),[1]Employee!A:B,2,FALSE),"Not Specified")</f>
        <v>Ms. Zoya Dolgopyatova</v>
      </c>
      <c r="I45">
        <f>IFERROR(VLOOKUP(VLOOKUP(A45,'[1]Sales Order'!A:C,3,FALSE),[1]Employee!A:J,10,FALSE),"Not Specified")</f>
        <v>0</v>
      </c>
      <c r="J45" t="str">
        <f>VLOOKUP(B45,[1]Product!A:B,2,FALSE)</f>
        <v>Product PAFRH</v>
      </c>
      <c r="K45" t="str">
        <f>VLOOKUP(VLOOKUP(B45,[1]Product!A:D,4,FALSE),[1]Category!A:B,2,FALSE)</f>
        <v>Confections</v>
      </c>
      <c r="L45" s="10">
        <f>IFERROR(VLOOKUP(A45,'[1]Sales Order'!A:D,4,FALSE),"")</f>
        <v>38921</v>
      </c>
      <c r="M45" s="10">
        <f>IFERROR(VLOOKUP(A45,'[1]Sales Order'!A:F,6,FALSE),"")</f>
        <v>38929</v>
      </c>
      <c r="N45" t="str">
        <f>IFERROR(VLOOKUP(VLOOKUP(A45,'[1]Sales Order'!A:G,7,FALSE),[1]Shipper!A:B,2,FALSE),"Not Specified")</f>
        <v>Shipper ZHISN</v>
      </c>
      <c r="O45" t="str">
        <f>IFERROR(VLOOKUP(A45,'[1]Sales Order'!A:I,9,FALSE),"Not Specified")</f>
        <v>Destination FFXKT</v>
      </c>
      <c r="P45" t="str">
        <f>IFERROR(VLOOKUP(A45,'[1]Sales Order'!A:N,14,FALSE),"Not Specified")</f>
        <v>Austria</v>
      </c>
      <c r="Q45" t="str">
        <f>VLOOKUP(VLOOKUP(B45,[1]Product!A:C,3,FALSE),[1]Supplier!A:B,2,FALSE)</f>
        <v>Supplier GQRCV</v>
      </c>
      <c r="R45" t="str">
        <f>VLOOKUP(VLOOKUP(B45,[1]Product!A:C,3,FALSE),[1]Supplier!A:I,9,FALSE)</f>
        <v>Australia</v>
      </c>
      <c r="S45" t="str">
        <f>IFERROR(IF(VLOOKUP(A45,'[1]Sales Order'!A:H,8,FALSE)&gt;100,"High Freight","Low Freight"),"Not Specified")</f>
        <v>High Freight</v>
      </c>
      <c r="T45">
        <f t="shared" si="1"/>
        <v>625.5</v>
      </c>
    </row>
    <row r="46" spans="1:20">
      <c r="A46" s="1">
        <v>10263</v>
      </c>
      <c r="B46" s="2">
        <v>24</v>
      </c>
      <c r="C46" s="2">
        <v>3.6</v>
      </c>
      <c r="D46" s="2">
        <v>28</v>
      </c>
      <c r="E46" s="3">
        <v>0</v>
      </c>
      <c r="F46" s="2" t="str">
        <f>IFERROR(VLOOKUP(VLOOKUP(A46,'[1]Sales Order'!A:B,2,FALSE),[1]Customer!A:C,3,FALSE),"Not Specified")</f>
        <v>Kane, John</v>
      </c>
      <c r="G46" s="2" t="str">
        <f t="shared" si="0"/>
        <v>Kane John</v>
      </c>
      <c r="H46" s="8" t="str">
        <f>IFERROR(VLOOKUP(VLOOKUP(A46,'[1]Sales Order'!A:C,3,FALSE),[1]Employee!A:E,5,FALSE)&amp;" "&amp;VLOOKUP(VLOOKUP(A46,'[1]Sales Order'!A:C,3,FALSE),[1]Employee!A:C,3,FALSE)&amp;" "&amp;VLOOKUP(VLOOKUP(A46,'[1]Sales Order'!A:C,3,FALSE),[1]Employee!A:B,2,FALSE),"Not Specified")</f>
        <v>Ms. Zoya Dolgopyatova</v>
      </c>
      <c r="I46">
        <f>IFERROR(VLOOKUP(VLOOKUP(A46,'[1]Sales Order'!A:C,3,FALSE),[1]Employee!A:J,10,FALSE),"Not Specified")</f>
        <v>0</v>
      </c>
      <c r="J46" t="str">
        <f>VLOOKUP(B46,[1]Product!A:B,2,FALSE)</f>
        <v>Product QOGNU</v>
      </c>
      <c r="K46" t="str">
        <f>VLOOKUP(VLOOKUP(B46,[1]Product!A:D,4,FALSE),[1]Category!A:B,2,FALSE)</f>
        <v>Beverages</v>
      </c>
      <c r="L46" s="10">
        <f>IFERROR(VLOOKUP(A46,'[1]Sales Order'!A:D,4,FALSE),"")</f>
        <v>38921</v>
      </c>
      <c r="M46" s="10">
        <f>IFERROR(VLOOKUP(A46,'[1]Sales Order'!A:F,6,FALSE),"")</f>
        <v>38929</v>
      </c>
      <c r="N46" t="str">
        <f>IFERROR(VLOOKUP(VLOOKUP(A46,'[1]Sales Order'!A:G,7,FALSE),[1]Shipper!A:B,2,FALSE),"Not Specified")</f>
        <v>Shipper ZHISN</v>
      </c>
      <c r="O46" t="str">
        <f>IFERROR(VLOOKUP(A46,'[1]Sales Order'!A:I,9,FALSE),"Not Specified")</f>
        <v>Destination FFXKT</v>
      </c>
      <c r="P46" t="str">
        <f>IFERROR(VLOOKUP(A46,'[1]Sales Order'!A:N,14,FALSE),"Not Specified")</f>
        <v>Austria</v>
      </c>
      <c r="Q46" t="str">
        <f>VLOOKUP(VLOOKUP(B46,[1]Product!A:C,3,FALSE),[1]Supplier!A:B,2,FALSE)</f>
        <v>Supplier UNAHG</v>
      </c>
      <c r="R46" t="str">
        <f>VLOOKUP(VLOOKUP(B46,[1]Product!A:C,3,FALSE),[1]Supplier!A:I,9,FALSE)</f>
        <v>Brazil</v>
      </c>
      <c r="S46" t="str">
        <f>IFERROR(IF(VLOOKUP(A46,'[1]Sales Order'!A:H,8,FALSE)&gt;100,"High Freight","Low Freight"),"Not Specified")</f>
        <v>High Freight</v>
      </c>
      <c r="T46">
        <f t="shared" si="1"/>
        <v>100.8</v>
      </c>
    </row>
    <row r="47" spans="1:20">
      <c r="A47" s="1">
        <v>10263</v>
      </c>
      <c r="B47" s="2">
        <v>30</v>
      </c>
      <c r="C47" s="2">
        <v>20.7</v>
      </c>
      <c r="D47" s="2">
        <v>60</v>
      </c>
      <c r="E47" s="3">
        <v>0.25</v>
      </c>
      <c r="F47" s="2" t="str">
        <f>IFERROR(VLOOKUP(VLOOKUP(A47,'[1]Sales Order'!A:B,2,FALSE),[1]Customer!A:C,3,FALSE),"Not Specified")</f>
        <v>Kane, John</v>
      </c>
      <c r="G47" s="2" t="str">
        <f t="shared" si="0"/>
        <v>Kane John</v>
      </c>
      <c r="H47" s="8" t="str">
        <f>IFERROR(VLOOKUP(VLOOKUP(A47,'[1]Sales Order'!A:C,3,FALSE),[1]Employee!A:E,5,FALSE)&amp;" "&amp;VLOOKUP(VLOOKUP(A47,'[1]Sales Order'!A:C,3,FALSE),[1]Employee!A:C,3,FALSE)&amp;" "&amp;VLOOKUP(VLOOKUP(A47,'[1]Sales Order'!A:C,3,FALSE),[1]Employee!A:B,2,FALSE),"Not Specified")</f>
        <v>Ms. Zoya Dolgopyatova</v>
      </c>
      <c r="I47">
        <f>IFERROR(VLOOKUP(VLOOKUP(A47,'[1]Sales Order'!A:C,3,FALSE),[1]Employee!A:J,10,FALSE),"Not Specified")</f>
        <v>0</v>
      </c>
      <c r="J47" t="str">
        <f>VLOOKUP(B47,[1]Product!A:B,2,FALSE)</f>
        <v>Product LYERX</v>
      </c>
      <c r="K47" t="str">
        <f>VLOOKUP(VLOOKUP(B47,[1]Product!A:D,4,FALSE),[1]Category!A:B,2,FALSE)</f>
        <v>Seafood</v>
      </c>
      <c r="L47" s="10">
        <f>IFERROR(VLOOKUP(A47,'[1]Sales Order'!A:D,4,FALSE),"")</f>
        <v>38921</v>
      </c>
      <c r="M47" s="10">
        <f>IFERROR(VLOOKUP(A47,'[1]Sales Order'!A:F,6,FALSE),"")</f>
        <v>38929</v>
      </c>
      <c r="N47" t="str">
        <f>IFERROR(VLOOKUP(VLOOKUP(A47,'[1]Sales Order'!A:G,7,FALSE),[1]Shipper!A:B,2,FALSE),"Not Specified")</f>
        <v>Shipper ZHISN</v>
      </c>
      <c r="O47" t="str">
        <f>IFERROR(VLOOKUP(A47,'[1]Sales Order'!A:I,9,FALSE),"Not Specified")</f>
        <v>Destination FFXKT</v>
      </c>
      <c r="P47" t="str">
        <f>IFERROR(VLOOKUP(A47,'[1]Sales Order'!A:N,14,FALSE),"Not Specified")</f>
        <v>Austria</v>
      </c>
      <c r="Q47" t="str">
        <f>VLOOKUP(VLOOKUP(B47,[1]Product!A:C,3,FALSE),[1]Supplier!A:B,2,FALSE)</f>
        <v>Supplier TEGSC</v>
      </c>
      <c r="R47" t="str">
        <f>VLOOKUP(VLOOKUP(B47,[1]Product!A:C,3,FALSE),[1]Supplier!A:I,9,FALSE)</f>
        <v>Germany</v>
      </c>
      <c r="S47" t="str">
        <f>IFERROR(IF(VLOOKUP(A47,'[1]Sales Order'!A:H,8,FALSE)&gt;100,"High Freight","Low Freight"),"Not Specified")</f>
        <v>High Freight</v>
      </c>
      <c r="T47">
        <f t="shared" si="1"/>
        <v>931.5</v>
      </c>
    </row>
    <row r="48" spans="1:20">
      <c r="A48" s="1">
        <v>10263</v>
      </c>
      <c r="B48" s="2">
        <v>74</v>
      </c>
      <c r="C48" s="2">
        <v>8</v>
      </c>
      <c r="D48" s="2">
        <v>36</v>
      </c>
      <c r="E48" s="3">
        <v>0.25</v>
      </c>
      <c r="F48" s="2" t="str">
        <f>IFERROR(VLOOKUP(VLOOKUP(A48,'[1]Sales Order'!A:B,2,FALSE),[1]Customer!A:C,3,FALSE),"Not Specified")</f>
        <v>Kane, John</v>
      </c>
      <c r="G48" s="2" t="str">
        <f t="shared" si="0"/>
        <v>Kane John</v>
      </c>
      <c r="H48" s="8" t="str">
        <f>IFERROR(VLOOKUP(VLOOKUP(A48,'[1]Sales Order'!A:C,3,FALSE),[1]Employee!A:E,5,FALSE)&amp;" "&amp;VLOOKUP(VLOOKUP(A48,'[1]Sales Order'!A:C,3,FALSE),[1]Employee!A:C,3,FALSE)&amp;" "&amp;VLOOKUP(VLOOKUP(A48,'[1]Sales Order'!A:C,3,FALSE),[1]Employee!A:B,2,FALSE),"Not Specified")</f>
        <v>Ms. Zoya Dolgopyatova</v>
      </c>
      <c r="I48">
        <f>IFERROR(VLOOKUP(VLOOKUP(A48,'[1]Sales Order'!A:C,3,FALSE),[1]Employee!A:J,10,FALSE),"Not Specified")</f>
        <v>0</v>
      </c>
      <c r="J48" t="str">
        <f>VLOOKUP(B48,[1]Product!A:B,2,FALSE)</f>
        <v>Product BKAZJ</v>
      </c>
      <c r="K48" t="str">
        <f>VLOOKUP(VLOOKUP(B48,[1]Product!A:D,4,FALSE),[1]Category!A:B,2,FALSE)</f>
        <v>Produce</v>
      </c>
      <c r="L48" s="10">
        <f>IFERROR(VLOOKUP(A48,'[1]Sales Order'!A:D,4,FALSE),"")</f>
        <v>38921</v>
      </c>
      <c r="M48" s="10">
        <f>IFERROR(VLOOKUP(A48,'[1]Sales Order'!A:F,6,FALSE),"")</f>
        <v>38929</v>
      </c>
      <c r="N48" t="str">
        <f>IFERROR(VLOOKUP(VLOOKUP(A48,'[1]Sales Order'!A:G,7,FALSE),[1]Shipper!A:B,2,FALSE),"Not Specified")</f>
        <v>Shipper ZHISN</v>
      </c>
      <c r="O48" t="str">
        <f>IFERROR(VLOOKUP(A48,'[1]Sales Order'!A:I,9,FALSE),"Not Specified")</f>
        <v>Destination FFXKT</v>
      </c>
      <c r="P48" t="str">
        <f>IFERROR(VLOOKUP(A48,'[1]Sales Order'!A:N,14,FALSE),"Not Specified")</f>
        <v>Austria</v>
      </c>
      <c r="Q48" t="str">
        <f>VLOOKUP(VLOOKUP(B48,[1]Product!A:C,3,FALSE),[1]Supplier!A:B,2,FALSE)</f>
        <v>Supplier QOVFD</v>
      </c>
      <c r="R48" t="str">
        <f>VLOOKUP(VLOOKUP(B48,[1]Product!A:C,3,FALSE),[1]Supplier!A:I,9,FALSE)</f>
        <v>Japan</v>
      </c>
      <c r="S48" t="str">
        <f>IFERROR(IF(VLOOKUP(A48,'[1]Sales Order'!A:H,8,FALSE)&gt;100,"High Freight","Low Freight"),"Not Specified")</f>
        <v>High Freight</v>
      </c>
      <c r="T48">
        <f t="shared" si="1"/>
        <v>216</v>
      </c>
    </row>
    <row r="49" spans="1:20">
      <c r="A49" s="1">
        <v>10264</v>
      </c>
      <c r="B49" s="2">
        <v>2</v>
      </c>
      <c r="C49" s="2">
        <v>15.2</v>
      </c>
      <c r="D49" s="2">
        <v>35</v>
      </c>
      <c r="E49" s="3">
        <v>0</v>
      </c>
      <c r="F49" s="2" t="str">
        <f>IFERROR(VLOOKUP(VLOOKUP(A49,'[1]Sales Order'!A:B,2,FALSE),[1]Customer!A:C,3,FALSE),"Not Specified")</f>
        <v>San Juan, Patricia</v>
      </c>
      <c r="G49" s="2" t="str">
        <f t="shared" si="0"/>
        <v>San Juan Patricia</v>
      </c>
      <c r="H49" s="8" t="str">
        <f>IFERROR(VLOOKUP(VLOOKUP(A49,'[1]Sales Order'!A:C,3,FALSE),[1]Employee!A:E,5,FALSE)&amp;" "&amp;VLOOKUP(VLOOKUP(A49,'[1]Sales Order'!A:C,3,FALSE),[1]Employee!A:C,3,FALSE)&amp;" "&amp;VLOOKUP(VLOOKUP(A49,'[1]Sales Order'!A:C,3,FALSE),[1]Employee!A:B,2,FALSE),"Not Specified")</f>
        <v>Mr. Paul Suurs</v>
      </c>
      <c r="I49">
        <f>IFERROR(VLOOKUP(VLOOKUP(A49,'[1]Sales Order'!A:C,3,FALSE),[1]Employee!A:J,10,FALSE),"Not Specified")</f>
        <v>0</v>
      </c>
      <c r="J49" t="str">
        <f>VLOOKUP(B49,[1]Product!A:B,2,FALSE)</f>
        <v>Product RECZE</v>
      </c>
      <c r="K49" t="str">
        <f>VLOOKUP(VLOOKUP(B49,[1]Product!A:D,4,FALSE),[1]Category!A:B,2,FALSE)</f>
        <v>Beverages</v>
      </c>
      <c r="L49" s="10">
        <f>IFERROR(VLOOKUP(A49,'[1]Sales Order'!A:D,4,FALSE),"")</f>
        <v>38922</v>
      </c>
      <c r="M49" s="10">
        <f>IFERROR(VLOOKUP(A49,'[1]Sales Order'!A:F,6,FALSE),"")</f>
        <v>38952</v>
      </c>
      <c r="N49" t="str">
        <f>IFERROR(VLOOKUP(VLOOKUP(A49,'[1]Sales Order'!A:G,7,FALSE),[1]Shipper!A:B,2,FALSE),"Not Specified")</f>
        <v>Shipper ZHISN</v>
      </c>
      <c r="O49" t="str">
        <f>IFERROR(VLOOKUP(A49,'[1]Sales Order'!A:I,9,FALSE),"Not Specified")</f>
        <v>Destination KBSBN</v>
      </c>
      <c r="P49" t="str">
        <f>IFERROR(VLOOKUP(A49,'[1]Sales Order'!A:N,14,FALSE),"Not Specified")</f>
        <v>Sweden</v>
      </c>
      <c r="Q49" t="str">
        <f>VLOOKUP(VLOOKUP(B49,[1]Product!A:C,3,FALSE),[1]Supplier!A:B,2,FALSE)</f>
        <v>Supplier SWRXU</v>
      </c>
      <c r="R49" t="str">
        <f>VLOOKUP(VLOOKUP(B49,[1]Product!A:C,3,FALSE),[1]Supplier!A:I,9,FALSE)</f>
        <v>UK</v>
      </c>
      <c r="S49" t="str">
        <f>IFERROR(IF(VLOOKUP(A49,'[1]Sales Order'!A:H,8,FALSE)&gt;100,"High Freight","Low Freight"),"Not Specified")</f>
        <v>Low Freight</v>
      </c>
      <c r="T49">
        <f t="shared" si="1"/>
        <v>532</v>
      </c>
    </row>
    <row r="50" spans="1:20">
      <c r="A50" s="1">
        <v>10264</v>
      </c>
      <c r="B50" s="2">
        <v>41</v>
      </c>
      <c r="C50" s="2">
        <v>7.7</v>
      </c>
      <c r="D50" s="2">
        <v>25</v>
      </c>
      <c r="E50" s="3">
        <v>0.15</v>
      </c>
      <c r="F50" s="2" t="str">
        <f>IFERROR(VLOOKUP(VLOOKUP(A50,'[1]Sales Order'!A:B,2,FALSE),[1]Customer!A:C,3,FALSE),"Not Specified")</f>
        <v>San Juan, Patricia</v>
      </c>
      <c r="G50" s="2" t="str">
        <f t="shared" si="0"/>
        <v>San Juan Patricia</v>
      </c>
      <c r="H50" s="8" t="str">
        <f>IFERROR(VLOOKUP(VLOOKUP(A50,'[1]Sales Order'!A:C,3,FALSE),[1]Employee!A:E,5,FALSE)&amp;" "&amp;VLOOKUP(VLOOKUP(A50,'[1]Sales Order'!A:C,3,FALSE),[1]Employee!A:C,3,FALSE)&amp;" "&amp;VLOOKUP(VLOOKUP(A50,'[1]Sales Order'!A:C,3,FALSE),[1]Employee!A:B,2,FALSE),"Not Specified")</f>
        <v>Mr. Paul Suurs</v>
      </c>
      <c r="I50">
        <f>IFERROR(VLOOKUP(VLOOKUP(A50,'[1]Sales Order'!A:C,3,FALSE),[1]Employee!A:J,10,FALSE),"Not Specified")</f>
        <v>0</v>
      </c>
      <c r="J50" t="str">
        <f>VLOOKUP(B50,[1]Product!A:B,2,FALSE)</f>
        <v>Product TTEEX</v>
      </c>
      <c r="K50" t="str">
        <f>VLOOKUP(VLOOKUP(B50,[1]Product!A:D,4,FALSE),[1]Category!A:B,2,FALSE)</f>
        <v>Seafood</v>
      </c>
      <c r="L50" s="10">
        <f>IFERROR(VLOOKUP(A50,'[1]Sales Order'!A:D,4,FALSE),"")</f>
        <v>38922</v>
      </c>
      <c r="M50" s="10">
        <f>IFERROR(VLOOKUP(A50,'[1]Sales Order'!A:F,6,FALSE),"")</f>
        <v>38952</v>
      </c>
      <c r="N50" t="str">
        <f>IFERROR(VLOOKUP(VLOOKUP(A50,'[1]Sales Order'!A:G,7,FALSE),[1]Shipper!A:B,2,FALSE),"Not Specified")</f>
        <v>Shipper ZHISN</v>
      </c>
      <c r="O50" t="str">
        <f>IFERROR(VLOOKUP(A50,'[1]Sales Order'!A:I,9,FALSE),"Not Specified")</f>
        <v>Destination KBSBN</v>
      </c>
      <c r="P50" t="str">
        <f>IFERROR(VLOOKUP(A50,'[1]Sales Order'!A:N,14,FALSE),"Not Specified")</f>
        <v>Sweden</v>
      </c>
      <c r="Q50" t="str">
        <f>VLOOKUP(VLOOKUP(B50,[1]Product!A:C,3,FALSE),[1]Supplier!A:B,2,FALSE)</f>
        <v>Supplier JDNUG</v>
      </c>
      <c r="R50" t="str">
        <f>VLOOKUP(VLOOKUP(B50,[1]Product!A:C,3,FALSE),[1]Supplier!A:I,9,FALSE)</f>
        <v>USA</v>
      </c>
      <c r="S50" t="str">
        <f>IFERROR(IF(VLOOKUP(A50,'[1]Sales Order'!A:H,8,FALSE)&gt;100,"High Freight","Low Freight"),"Not Specified")</f>
        <v>Low Freight</v>
      </c>
      <c r="T50">
        <f t="shared" si="1"/>
        <v>163.625</v>
      </c>
    </row>
    <row r="51" spans="1:20">
      <c r="A51" s="1">
        <v>10265</v>
      </c>
      <c r="B51" s="2">
        <v>17</v>
      </c>
      <c r="C51" s="2">
        <v>31.2</v>
      </c>
      <c r="D51" s="2">
        <v>30</v>
      </c>
      <c r="E51" s="3">
        <v>0</v>
      </c>
      <c r="F51" s="2" t="str">
        <f>IFERROR(VLOOKUP(VLOOKUP(A51,'[1]Sales Order'!A:B,2,FALSE),[1]Customer!A:C,3,FALSE),"Not Specified")</f>
        <v>Bansal, Dushyant</v>
      </c>
      <c r="G51" s="2" t="str">
        <f t="shared" si="0"/>
        <v>Bansal Dushyant</v>
      </c>
      <c r="H51" s="8" t="str">
        <f>IFERROR(VLOOKUP(VLOOKUP(A51,'[1]Sales Order'!A:C,3,FALSE),[1]Employee!A:E,5,FALSE)&amp;" "&amp;VLOOKUP(VLOOKUP(A51,'[1]Sales Order'!A:C,3,FALSE),[1]Employee!A:C,3,FALSE)&amp;" "&amp;VLOOKUP(VLOOKUP(A51,'[1]Sales Order'!A:C,3,FALSE),[1]Employee!A:B,2,FALSE),"Not Specified")</f>
        <v>Dr. Don Funk</v>
      </c>
      <c r="I51" t="str">
        <f>IFERROR(VLOOKUP(VLOOKUP(A51,'[1]Sales Order'!A:C,3,FALSE),[1]Employee!A:J,10,FALSE),"Not Specified")</f>
        <v>WA</v>
      </c>
      <c r="J51" t="str">
        <f>VLOOKUP(B51,[1]Product!A:B,2,FALSE)</f>
        <v>Product BLCAX</v>
      </c>
      <c r="K51" t="str">
        <f>VLOOKUP(VLOOKUP(B51,[1]Product!A:D,4,FALSE),[1]Category!A:B,2,FALSE)</f>
        <v>Meat/Poultry</v>
      </c>
      <c r="L51" s="10">
        <f>IFERROR(VLOOKUP(A51,'[1]Sales Order'!A:D,4,FALSE),"")</f>
        <v>38923</v>
      </c>
      <c r="M51" s="10">
        <f>IFERROR(VLOOKUP(A51,'[1]Sales Order'!A:F,6,FALSE),"")</f>
        <v>38941</v>
      </c>
      <c r="N51" t="str">
        <f>IFERROR(VLOOKUP(VLOOKUP(A51,'[1]Sales Order'!A:G,7,FALSE),[1]Shipper!A:B,2,FALSE),"Not Specified")</f>
        <v>Shipper GVSUA</v>
      </c>
      <c r="O51" t="str">
        <f>IFERROR(VLOOKUP(A51,'[1]Sales Order'!A:I,9,FALSE),"Not Specified")</f>
        <v>Ship to 7-A</v>
      </c>
      <c r="P51" t="str">
        <f>IFERROR(VLOOKUP(A51,'[1]Sales Order'!A:N,14,FALSE),"Not Specified")</f>
        <v>France</v>
      </c>
      <c r="Q51" t="str">
        <f>VLOOKUP(VLOOKUP(B51,[1]Product!A:C,3,FALSE),[1]Supplier!A:B,2,FALSE)</f>
        <v>Supplier GQRCV</v>
      </c>
      <c r="R51" t="str">
        <f>VLOOKUP(VLOOKUP(B51,[1]Product!A:C,3,FALSE),[1]Supplier!A:I,9,FALSE)</f>
        <v>Australia</v>
      </c>
      <c r="S51" t="str">
        <f>IFERROR(IF(VLOOKUP(A51,'[1]Sales Order'!A:H,8,FALSE)&gt;100,"High Freight","Low Freight"),"Not Specified")</f>
        <v>Low Freight</v>
      </c>
      <c r="T51">
        <f t="shared" si="1"/>
        <v>936</v>
      </c>
    </row>
    <row r="52" spans="1:20">
      <c r="A52" s="1">
        <v>10265</v>
      </c>
      <c r="B52" s="2">
        <v>70</v>
      </c>
      <c r="C52" s="2">
        <v>12</v>
      </c>
      <c r="D52" s="2">
        <v>20</v>
      </c>
      <c r="E52" s="3">
        <v>0</v>
      </c>
      <c r="F52" s="2" t="str">
        <f>IFERROR(VLOOKUP(VLOOKUP(A52,'[1]Sales Order'!A:B,2,FALSE),[1]Customer!A:C,3,FALSE),"Not Specified")</f>
        <v>Bansal, Dushyant</v>
      </c>
      <c r="G52" s="2" t="str">
        <f t="shared" si="0"/>
        <v>Bansal Dushyant</v>
      </c>
      <c r="H52" s="8" t="str">
        <f>IFERROR(VLOOKUP(VLOOKUP(A52,'[1]Sales Order'!A:C,3,FALSE),[1]Employee!A:E,5,FALSE)&amp;" "&amp;VLOOKUP(VLOOKUP(A52,'[1]Sales Order'!A:C,3,FALSE),[1]Employee!A:C,3,FALSE)&amp;" "&amp;VLOOKUP(VLOOKUP(A52,'[1]Sales Order'!A:C,3,FALSE),[1]Employee!A:B,2,FALSE),"Not Specified")</f>
        <v>Dr. Don Funk</v>
      </c>
      <c r="I52" t="str">
        <f>IFERROR(VLOOKUP(VLOOKUP(A52,'[1]Sales Order'!A:C,3,FALSE),[1]Employee!A:J,10,FALSE),"Not Specified")</f>
        <v>WA</v>
      </c>
      <c r="J52" t="str">
        <f>VLOOKUP(B52,[1]Product!A:B,2,FALSE)</f>
        <v>Product TOONT</v>
      </c>
      <c r="K52" t="str">
        <f>VLOOKUP(VLOOKUP(B52,[1]Product!A:D,4,FALSE),[1]Category!A:B,2,FALSE)</f>
        <v>Beverages</v>
      </c>
      <c r="L52" s="10">
        <f>IFERROR(VLOOKUP(A52,'[1]Sales Order'!A:D,4,FALSE),"")</f>
        <v>38923</v>
      </c>
      <c r="M52" s="10">
        <f>IFERROR(VLOOKUP(A52,'[1]Sales Order'!A:F,6,FALSE),"")</f>
        <v>38941</v>
      </c>
      <c r="N52" t="str">
        <f>IFERROR(VLOOKUP(VLOOKUP(A52,'[1]Sales Order'!A:G,7,FALSE),[1]Shipper!A:B,2,FALSE),"Not Specified")</f>
        <v>Shipper GVSUA</v>
      </c>
      <c r="O52" t="str">
        <f>IFERROR(VLOOKUP(A52,'[1]Sales Order'!A:I,9,FALSE),"Not Specified")</f>
        <v>Ship to 7-A</v>
      </c>
      <c r="P52" t="str">
        <f>IFERROR(VLOOKUP(A52,'[1]Sales Order'!A:N,14,FALSE),"Not Specified")</f>
        <v>France</v>
      </c>
      <c r="Q52" t="str">
        <f>VLOOKUP(VLOOKUP(B52,[1]Product!A:C,3,FALSE),[1]Supplier!A:B,2,FALSE)</f>
        <v>Supplier GQRCV</v>
      </c>
      <c r="R52" t="str">
        <f>VLOOKUP(VLOOKUP(B52,[1]Product!A:C,3,FALSE),[1]Supplier!A:I,9,FALSE)</f>
        <v>Australia</v>
      </c>
      <c r="S52" t="str">
        <f>IFERROR(IF(VLOOKUP(A52,'[1]Sales Order'!A:H,8,FALSE)&gt;100,"High Freight","Low Freight"),"Not Specified")</f>
        <v>Low Freight</v>
      </c>
      <c r="T52">
        <f t="shared" si="1"/>
        <v>240</v>
      </c>
    </row>
    <row r="53" spans="1:20">
      <c r="A53" s="1">
        <v>10266</v>
      </c>
      <c r="B53" s="2">
        <v>12</v>
      </c>
      <c r="C53" s="2">
        <v>30.4</v>
      </c>
      <c r="D53" s="2">
        <v>12</v>
      </c>
      <c r="E53" s="3">
        <v>0.05</v>
      </c>
      <c r="F53" s="2" t="str">
        <f>IFERROR(VLOOKUP(VLOOKUP(A53,'[1]Sales Order'!A:B,2,FALSE),[1]Customer!A:C,3,FALSE),"Not Specified")</f>
        <v>Ludwig, Michael</v>
      </c>
      <c r="G53" s="2" t="str">
        <f t="shared" si="0"/>
        <v>Ludwig Michael</v>
      </c>
      <c r="H53" s="8" t="str">
        <f>IFERROR(VLOOKUP(VLOOKUP(A53,'[1]Sales Order'!A:C,3,FALSE),[1]Employee!A:E,5,FALSE)&amp;" "&amp;VLOOKUP(VLOOKUP(A53,'[1]Sales Order'!A:C,3,FALSE),[1]Employee!A:C,3,FALSE)&amp;" "&amp;VLOOKUP(VLOOKUP(A53,'[1]Sales Order'!A:C,3,FALSE),[1]Employee!A:B,2,FALSE),"Not Specified")</f>
        <v>Ms. Judy Lew</v>
      </c>
      <c r="I53" t="str">
        <f>IFERROR(VLOOKUP(VLOOKUP(A53,'[1]Sales Order'!A:C,3,FALSE),[1]Employee!A:J,10,FALSE),"Not Specified")</f>
        <v>WA</v>
      </c>
      <c r="J53" t="str">
        <f>VLOOKUP(B53,[1]Product!A:B,2,FALSE)</f>
        <v>Product OSFNS</v>
      </c>
      <c r="K53" t="str">
        <f>VLOOKUP(VLOOKUP(B53,[1]Product!A:D,4,FALSE),[1]Category!A:B,2,FALSE)</f>
        <v>Dairy Product</v>
      </c>
      <c r="L53" s="10">
        <f>IFERROR(VLOOKUP(A53,'[1]Sales Order'!A:D,4,FALSE),"")</f>
        <v>38924</v>
      </c>
      <c r="M53" s="10">
        <f>IFERROR(VLOOKUP(A53,'[1]Sales Order'!A:F,6,FALSE),"")</f>
        <v>38929</v>
      </c>
      <c r="N53" t="str">
        <f>IFERROR(VLOOKUP(VLOOKUP(A53,'[1]Sales Order'!A:G,7,FALSE),[1]Shipper!A:B,2,FALSE),"Not Specified")</f>
        <v>Shipper ZHISN</v>
      </c>
      <c r="O53" t="str">
        <f>IFERROR(VLOOKUP(A53,'[1]Sales Order'!A:I,9,FALSE),"Not Specified")</f>
        <v>Ship to 87-B</v>
      </c>
      <c r="P53" t="str">
        <f>IFERROR(VLOOKUP(A53,'[1]Sales Order'!A:N,14,FALSE),"Not Specified")</f>
        <v>Finland</v>
      </c>
      <c r="Q53" t="str">
        <f>VLOOKUP(VLOOKUP(B53,[1]Product!A:C,3,FALSE),[1]Supplier!A:B,2,FALSE)</f>
        <v>Supplier EQPNC</v>
      </c>
      <c r="R53" t="str">
        <f>VLOOKUP(VLOOKUP(B53,[1]Product!A:C,3,FALSE),[1]Supplier!A:I,9,FALSE)</f>
        <v>Spain</v>
      </c>
      <c r="S53" t="str">
        <f>IFERROR(IF(VLOOKUP(A53,'[1]Sales Order'!A:H,8,FALSE)&gt;100,"High Freight","Low Freight"),"Not Specified")</f>
        <v>Low Freight</v>
      </c>
      <c r="T53">
        <f t="shared" si="1"/>
        <v>346.55999999999995</v>
      </c>
    </row>
    <row r="54" spans="1:20">
      <c r="A54" s="1">
        <v>10267</v>
      </c>
      <c r="B54" s="2">
        <v>40</v>
      </c>
      <c r="C54" s="2">
        <v>14.7</v>
      </c>
      <c r="D54" s="2">
        <v>50</v>
      </c>
      <c r="E54" s="3">
        <v>0</v>
      </c>
      <c r="F54" s="2" t="str">
        <f>IFERROR(VLOOKUP(VLOOKUP(A54,'[1]Sales Order'!A:B,2,FALSE),[1]Customer!A:C,3,FALSE),"Not Specified")</f>
        <v>Carlson, Jason</v>
      </c>
      <c r="G54" s="2" t="str">
        <f t="shared" si="0"/>
        <v>Carlson Jason</v>
      </c>
      <c r="H54" s="8" t="str">
        <f>IFERROR(VLOOKUP(VLOOKUP(A54,'[1]Sales Order'!A:C,3,FALSE),[1]Employee!A:E,5,FALSE)&amp;" "&amp;VLOOKUP(VLOOKUP(A54,'[1]Sales Order'!A:C,3,FALSE),[1]Employee!A:C,3,FALSE)&amp;" "&amp;VLOOKUP(VLOOKUP(A54,'[1]Sales Order'!A:C,3,FALSE),[1]Employee!A:B,2,FALSE),"Not Specified")</f>
        <v>Mrs. Yael Peled</v>
      </c>
      <c r="I54" t="str">
        <f>IFERROR(VLOOKUP(VLOOKUP(A54,'[1]Sales Order'!A:C,3,FALSE),[1]Employee!A:J,10,FALSE),"Not Specified")</f>
        <v>WA</v>
      </c>
      <c r="J54" t="str">
        <f>VLOOKUP(B54,[1]Product!A:B,2,FALSE)</f>
        <v>Product YZIXQ</v>
      </c>
      <c r="K54" t="str">
        <f>VLOOKUP(VLOOKUP(B54,[1]Product!A:D,4,FALSE),[1]Category!A:B,2,FALSE)</f>
        <v>Seafood</v>
      </c>
      <c r="L54" s="10">
        <f>IFERROR(VLOOKUP(A54,'[1]Sales Order'!A:D,4,FALSE),"")</f>
        <v>38927</v>
      </c>
      <c r="M54" s="10">
        <f>IFERROR(VLOOKUP(A54,'[1]Sales Order'!A:F,6,FALSE),"")</f>
        <v>38935</v>
      </c>
      <c r="N54" t="str">
        <f>IFERROR(VLOOKUP(VLOOKUP(A54,'[1]Sales Order'!A:G,7,FALSE),[1]Shipper!A:B,2,FALSE),"Not Specified")</f>
        <v>Shipper GVSUA</v>
      </c>
      <c r="O54" t="str">
        <f>IFERROR(VLOOKUP(A54,'[1]Sales Order'!A:I,9,FALSE),"Not Specified")</f>
        <v>Destination VAPXU</v>
      </c>
      <c r="P54" t="str">
        <f>IFERROR(VLOOKUP(A54,'[1]Sales Order'!A:N,14,FALSE),"Not Specified")</f>
        <v>Germany</v>
      </c>
      <c r="Q54" t="str">
        <f>VLOOKUP(VLOOKUP(B54,[1]Product!A:C,3,FALSE),[1]Supplier!A:B,2,FALSE)</f>
        <v>Supplier JDNUG</v>
      </c>
      <c r="R54" t="str">
        <f>VLOOKUP(VLOOKUP(B54,[1]Product!A:C,3,FALSE),[1]Supplier!A:I,9,FALSE)</f>
        <v>USA</v>
      </c>
      <c r="S54" t="str">
        <f>IFERROR(IF(VLOOKUP(A54,'[1]Sales Order'!A:H,8,FALSE)&gt;100,"High Freight","Low Freight"),"Not Specified")</f>
        <v>High Freight</v>
      </c>
      <c r="T54">
        <f t="shared" si="1"/>
        <v>735</v>
      </c>
    </row>
    <row r="55" spans="1:20">
      <c r="A55" s="1">
        <v>10267</v>
      </c>
      <c r="B55" s="2">
        <v>59</v>
      </c>
      <c r="C55" s="2">
        <v>44</v>
      </c>
      <c r="D55" s="2">
        <v>70</v>
      </c>
      <c r="E55" s="3">
        <v>0.15</v>
      </c>
      <c r="F55" s="2" t="str">
        <f>IFERROR(VLOOKUP(VLOOKUP(A55,'[1]Sales Order'!A:B,2,FALSE),[1]Customer!A:C,3,FALSE),"Not Specified")</f>
        <v>Carlson, Jason</v>
      </c>
      <c r="G55" s="2" t="str">
        <f t="shared" si="0"/>
        <v>Carlson Jason</v>
      </c>
      <c r="H55" s="8" t="str">
        <f>IFERROR(VLOOKUP(VLOOKUP(A55,'[1]Sales Order'!A:C,3,FALSE),[1]Employee!A:E,5,FALSE)&amp;" "&amp;VLOOKUP(VLOOKUP(A55,'[1]Sales Order'!A:C,3,FALSE),[1]Employee!A:C,3,FALSE)&amp;" "&amp;VLOOKUP(VLOOKUP(A55,'[1]Sales Order'!A:C,3,FALSE),[1]Employee!A:B,2,FALSE),"Not Specified")</f>
        <v>Mrs. Yael Peled</v>
      </c>
      <c r="I55" t="str">
        <f>IFERROR(VLOOKUP(VLOOKUP(A55,'[1]Sales Order'!A:C,3,FALSE),[1]Employee!A:J,10,FALSE),"Not Specified")</f>
        <v>WA</v>
      </c>
      <c r="J55" t="str">
        <f>VLOOKUP(B55,[1]Product!A:B,2,FALSE)</f>
        <v>Product UKXRI</v>
      </c>
      <c r="K55" t="str">
        <f>VLOOKUP(VLOOKUP(B55,[1]Product!A:D,4,FALSE),[1]Category!A:B,2,FALSE)</f>
        <v>Dairy Product</v>
      </c>
      <c r="L55" s="10">
        <f>IFERROR(VLOOKUP(A55,'[1]Sales Order'!A:D,4,FALSE),"")</f>
        <v>38927</v>
      </c>
      <c r="M55" s="10">
        <f>IFERROR(VLOOKUP(A55,'[1]Sales Order'!A:F,6,FALSE),"")</f>
        <v>38935</v>
      </c>
      <c r="N55" t="str">
        <f>IFERROR(VLOOKUP(VLOOKUP(A55,'[1]Sales Order'!A:G,7,FALSE),[1]Shipper!A:B,2,FALSE),"Not Specified")</f>
        <v>Shipper GVSUA</v>
      </c>
      <c r="O55" t="str">
        <f>IFERROR(VLOOKUP(A55,'[1]Sales Order'!A:I,9,FALSE),"Not Specified")</f>
        <v>Destination VAPXU</v>
      </c>
      <c r="P55" t="str">
        <f>IFERROR(VLOOKUP(A55,'[1]Sales Order'!A:N,14,FALSE),"Not Specified")</f>
        <v>Germany</v>
      </c>
      <c r="Q55" t="str">
        <f>VLOOKUP(VLOOKUP(B55,[1]Product!A:C,3,FALSE),[1]Supplier!A:B,2,FALSE)</f>
        <v>Supplier OAVQT</v>
      </c>
      <c r="R55" t="str">
        <f>VLOOKUP(VLOOKUP(B55,[1]Product!A:C,3,FALSE),[1]Supplier!A:I,9,FALSE)</f>
        <v>France</v>
      </c>
      <c r="S55" t="str">
        <f>IFERROR(IF(VLOOKUP(A55,'[1]Sales Order'!A:H,8,FALSE)&gt;100,"High Freight","Low Freight"),"Not Specified")</f>
        <v>High Freight</v>
      </c>
      <c r="T55">
        <f t="shared" si="1"/>
        <v>2618</v>
      </c>
    </row>
    <row r="56" spans="1:20">
      <c r="A56" s="1">
        <v>10267</v>
      </c>
      <c r="B56" s="2">
        <v>76</v>
      </c>
      <c r="C56" s="2">
        <v>14.4</v>
      </c>
      <c r="D56" s="2">
        <v>15</v>
      </c>
      <c r="E56" s="3">
        <v>0.15</v>
      </c>
      <c r="F56" s="2" t="str">
        <f>IFERROR(VLOOKUP(VLOOKUP(A56,'[1]Sales Order'!A:B,2,FALSE),[1]Customer!A:C,3,FALSE),"Not Specified")</f>
        <v>Carlson, Jason</v>
      </c>
      <c r="G56" s="2" t="str">
        <f t="shared" si="0"/>
        <v>Carlson Jason</v>
      </c>
      <c r="H56" s="8" t="str">
        <f>IFERROR(VLOOKUP(VLOOKUP(A56,'[1]Sales Order'!A:C,3,FALSE),[1]Employee!A:E,5,FALSE)&amp;" "&amp;VLOOKUP(VLOOKUP(A56,'[1]Sales Order'!A:C,3,FALSE),[1]Employee!A:C,3,FALSE)&amp;" "&amp;VLOOKUP(VLOOKUP(A56,'[1]Sales Order'!A:C,3,FALSE),[1]Employee!A:B,2,FALSE),"Not Specified")</f>
        <v>Mrs. Yael Peled</v>
      </c>
      <c r="I56" t="str">
        <f>IFERROR(VLOOKUP(VLOOKUP(A56,'[1]Sales Order'!A:C,3,FALSE),[1]Employee!A:J,10,FALSE),"Not Specified")</f>
        <v>WA</v>
      </c>
      <c r="J56" t="str">
        <f>VLOOKUP(B56,[1]Product!A:B,2,FALSE)</f>
        <v>Product JYGFE</v>
      </c>
      <c r="K56" t="str">
        <f>VLOOKUP(VLOOKUP(B56,[1]Product!A:D,4,FALSE),[1]Category!A:B,2,FALSE)</f>
        <v>Beverages</v>
      </c>
      <c r="L56" s="10">
        <f>IFERROR(VLOOKUP(A56,'[1]Sales Order'!A:D,4,FALSE),"")</f>
        <v>38927</v>
      </c>
      <c r="M56" s="10">
        <f>IFERROR(VLOOKUP(A56,'[1]Sales Order'!A:F,6,FALSE),"")</f>
        <v>38935</v>
      </c>
      <c r="N56" t="str">
        <f>IFERROR(VLOOKUP(VLOOKUP(A56,'[1]Sales Order'!A:G,7,FALSE),[1]Shipper!A:B,2,FALSE),"Not Specified")</f>
        <v>Shipper GVSUA</v>
      </c>
      <c r="O56" t="str">
        <f>IFERROR(VLOOKUP(A56,'[1]Sales Order'!A:I,9,FALSE),"Not Specified")</f>
        <v>Destination VAPXU</v>
      </c>
      <c r="P56" t="str">
        <f>IFERROR(VLOOKUP(A56,'[1]Sales Order'!A:N,14,FALSE),"Not Specified")</f>
        <v>Germany</v>
      </c>
      <c r="Q56" t="str">
        <f>VLOOKUP(VLOOKUP(B56,[1]Product!A:C,3,FALSE),[1]Supplier!A:B,2,FALSE)</f>
        <v>Supplier ELCRN</v>
      </c>
      <c r="R56" t="str">
        <f>VLOOKUP(VLOOKUP(B56,[1]Product!A:C,3,FALSE),[1]Supplier!A:I,9,FALSE)</f>
        <v>Finland</v>
      </c>
      <c r="S56" t="str">
        <f>IFERROR(IF(VLOOKUP(A56,'[1]Sales Order'!A:H,8,FALSE)&gt;100,"High Freight","Low Freight"),"Not Specified")</f>
        <v>High Freight</v>
      </c>
      <c r="T56">
        <f t="shared" si="1"/>
        <v>183.6</v>
      </c>
    </row>
    <row r="57" spans="1:20">
      <c r="A57" s="1">
        <v>10268</v>
      </c>
      <c r="B57" s="2">
        <v>29</v>
      </c>
      <c r="C57" s="2">
        <v>99</v>
      </c>
      <c r="D57" s="2">
        <v>10</v>
      </c>
      <c r="E57" s="3">
        <v>0</v>
      </c>
      <c r="F57" s="2" t="str">
        <f>IFERROR(VLOOKUP(VLOOKUP(A57,'[1]Sales Order'!A:B,2,FALSE),[1]Customer!A:C,3,FALSE),"Not Specified")</f>
        <v>Sigurdarson, Hallur</v>
      </c>
      <c r="G57" s="2" t="str">
        <f t="shared" si="0"/>
        <v>Sigurdarson Hallur</v>
      </c>
      <c r="H57" s="8" t="str">
        <f>IFERROR(VLOOKUP(VLOOKUP(A57,'[1]Sales Order'!A:C,3,FALSE),[1]Employee!A:E,5,FALSE)&amp;" "&amp;VLOOKUP(VLOOKUP(A57,'[1]Sales Order'!A:C,3,FALSE),[1]Employee!A:C,3,FALSE)&amp;" "&amp;VLOOKUP(VLOOKUP(A57,'[1]Sales Order'!A:C,3,FALSE),[1]Employee!A:B,2,FALSE),"Not Specified")</f>
        <v>Ms. Maria Cameron</v>
      </c>
      <c r="I57" t="str">
        <f>IFERROR(VLOOKUP(VLOOKUP(A57,'[1]Sales Order'!A:C,3,FALSE),[1]Employee!A:J,10,FALSE),"Not Specified")</f>
        <v>WA</v>
      </c>
      <c r="J57" t="str">
        <f>VLOOKUP(B57,[1]Product!A:B,2,FALSE)</f>
        <v>Product VJXYN</v>
      </c>
      <c r="K57" t="str">
        <f>VLOOKUP(VLOOKUP(B57,[1]Product!A:D,4,FALSE),[1]Category!A:B,2,FALSE)</f>
        <v>Meat/Poultry</v>
      </c>
      <c r="L57" s="10">
        <f>IFERROR(VLOOKUP(A57,'[1]Sales Order'!A:D,4,FALSE),"")</f>
        <v>38928</v>
      </c>
      <c r="M57" s="10">
        <f>IFERROR(VLOOKUP(A57,'[1]Sales Order'!A:F,6,FALSE),"")</f>
        <v>38931</v>
      </c>
      <c r="N57" t="str">
        <f>IFERROR(VLOOKUP(VLOOKUP(A57,'[1]Sales Order'!A:G,7,FALSE),[1]Shipper!A:B,2,FALSE),"Not Specified")</f>
        <v>Shipper ZHISN</v>
      </c>
      <c r="O57" t="str">
        <f>IFERROR(VLOOKUP(A57,'[1]Sales Order'!A:I,9,FALSE),"Not Specified")</f>
        <v>Destination QJVQH</v>
      </c>
      <c r="P57" t="str">
        <f>IFERROR(VLOOKUP(A57,'[1]Sales Order'!A:N,14,FALSE),"Not Specified")</f>
        <v>Venezuela</v>
      </c>
      <c r="Q57" t="str">
        <f>VLOOKUP(VLOOKUP(B57,[1]Product!A:C,3,FALSE),[1]Supplier!A:B,2,FALSE)</f>
        <v>Supplier SVIYA</v>
      </c>
      <c r="R57" t="str">
        <f>VLOOKUP(VLOOKUP(B57,[1]Product!A:C,3,FALSE),[1]Supplier!A:I,9,FALSE)</f>
        <v>Germany</v>
      </c>
      <c r="S57" t="str">
        <f>IFERROR(IF(VLOOKUP(A57,'[1]Sales Order'!A:H,8,FALSE)&gt;100,"High Freight","Low Freight"),"Not Specified")</f>
        <v>Low Freight</v>
      </c>
      <c r="T57">
        <f t="shared" si="1"/>
        <v>990</v>
      </c>
    </row>
    <row r="58" spans="1:20">
      <c r="A58" s="1">
        <v>10268</v>
      </c>
      <c r="B58" s="2">
        <v>72</v>
      </c>
      <c r="C58" s="2">
        <v>27.8</v>
      </c>
      <c r="D58" s="2">
        <v>4</v>
      </c>
      <c r="E58" s="3">
        <v>0</v>
      </c>
      <c r="F58" s="2" t="str">
        <f>IFERROR(VLOOKUP(VLOOKUP(A58,'[1]Sales Order'!A:B,2,FALSE),[1]Customer!A:C,3,FALSE),"Not Specified")</f>
        <v>Sigurdarson, Hallur</v>
      </c>
      <c r="G58" s="2" t="str">
        <f t="shared" si="0"/>
        <v>Sigurdarson Hallur</v>
      </c>
      <c r="H58" s="8" t="str">
        <f>IFERROR(VLOOKUP(VLOOKUP(A58,'[1]Sales Order'!A:C,3,FALSE),[1]Employee!A:E,5,FALSE)&amp;" "&amp;VLOOKUP(VLOOKUP(A58,'[1]Sales Order'!A:C,3,FALSE),[1]Employee!A:C,3,FALSE)&amp;" "&amp;VLOOKUP(VLOOKUP(A58,'[1]Sales Order'!A:C,3,FALSE),[1]Employee!A:B,2,FALSE),"Not Specified")</f>
        <v>Ms. Maria Cameron</v>
      </c>
      <c r="I58" t="str">
        <f>IFERROR(VLOOKUP(VLOOKUP(A58,'[1]Sales Order'!A:C,3,FALSE),[1]Employee!A:J,10,FALSE),"Not Specified")</f>
        <v>WA</v>
      </c>
      <c r="J58" t="str">
        <f>VLOOKUP(B58,[1]Product!A:B,2,FALSE)</f>
        <v>Product GEEOO</v>
      </c>
      <c r="K58" t="str">
        <f>VLOOKUP(VLOOKUP(B58,[1]Product!A:D,4,FALSE),[1]Category!A:B,2,FALSE)</f>
        <v>Dairy Product</v>
      </c>
      <c r="L58" s="10">
        <f>IFERROR(VLOOKUP(A58,'[1]Sales Order'!A:D,4,FALSE),"")</f>
        <v>38928</v>
      </c>
      <c r="M58" s="10">
        <f>IFERROR(VLOOKUP(A58,'[1]Sales Order'!A:F,6,FALSE),"")</f>
        <v>38931</v>
      </c>
      <c r="N58" t="str">
        <f>IFERROR(VLOOKUP(VLOOKUP(A58,'[1]Sales Order'!A:G,7,FALSE),[1]Shipper!A:B,2,FALSE),"Not Specified")</f>
        <v>Shipper ZHISN</v>
      </c>
      <c r="O58" t="str">
        <f>IFERROR(VLOOKUP(A58,'[1]Sales Order'!A:I,9,FALSE),"Not Specified")</f>
        <v>Destination QJVQH</v>
      </c>
      <c r="P58" t="str">
        <f>IFERROR(VLOOKUP(A58,'[1]Sales Order'!A:N,14,FALSE),"Not Specified")</f>
        <v>Venezuela</v>
      </c>
      <c r="Q58" t="str">
        <f>VLOOKUP(VLOOKUP(B58,[1]Product!A:C,3,FALSE),[1]Supplier!A:B,2,FALSE)</f>
        <v>Supplier KEREV</v>
      </c>
      <c r="R58" t="str">
        <f>VLOOKUP(VLOOKUP(B58,[1]Product!A:C,3,FALSE),[1]Supplier!A:I,9,FALSE)</f>
        <v>Italy</v>
      </c>
      <c r="S58" t="str">
        <f>IFERROR(IF(VLOOKUP(A58,'[1]Sales Order'!A:H,8,FALSE)&gt;100,"High Freight","Low Freight"),"Not Specified")</f>
        <v>Low Freight</v>
      </c>
      <c r="T58">
        <f t="shared" si="1"/>
        <v>111.2</v>
      </c>
    </row>
    <row r="59" spans="1:20">
      <c r="A59" s="1">
        <v>10269</v>
      </c>
      <c r="B59" s="2">
        <v>33</v>
      </c>
      <c r="C59" s="2">
        <v>2</v>
      </c>
      <c r="D59" s="2">
        <v>60</v>
      </c>
      <c r="E59" s="3">
        <v>0.05</v>
      </c>
      <c r="F59" s="2" t="str">
        <f>IFERROR(VLOOKUP(VLOOKUP(A59,'[1]Sales Order'!A:B,2,FALSE),[1]Customer!A:C,3,FALSE),"Not Specified")</f>
        <v>Smith Jr., Ronaldo</v>
      </c>
      <c r="G59" s="2" t="str">
        <f t="shared" si="0"/>
        <v>Smith Jr. Ronaldo</v>
      </c>
      <c r="H59" s="8" t="str">
        <f>IFERROR(VLOOKUP(VLOOKUP(A59,'[1]Sales Order'!A:C,3,FALSE),[1]Employee!A:E,5,FALSE)&amp;" "&amp;VLOOKUP(VLOOKUP(A59,'[1]Sales Order'!A:C,3,FALSE),[1]Employee!A:C,3,FALSE)&amp;" "&amp;VLOOKUP(VLOOKUP(A59,'[1]Sales Order'!A:C,3,FALSE),[1]Employee!A:B,2,FALSE),"Not Specified")</f>
        <v>Mr. Sven Buck</v>
      </c>
      <c r="I59">
        <f>IFERROR(VLOOKUP(VLOOKUP(A59,'[1]Sales Order'!A:C,3,FALSE),[1]Employee!A:J,10,FALSE),"Not Specified")</f>
        <v>0</v>
      </c>
      <c r="J59" t="str">
        <f>VLOOKUP(B59,[1]Product!A:B,2,FALSE)</f>
        <v>Product ASTMN</v>
      </c>
      <c r="K59" t="str">
        <f>VLOOKUP(VLOOKUP(B59,[1]Product!A:D,4,FALSE),[1]Category!A:B,2,FALSE)</f>
        <v>Dairy Product</v>
      </c>
      <c r="L59" s="10">
        <f>IFERROR(VLOOKUP(A59,'[1]Sales Order'!A:D,4,FALSE),"")</f>
        <v>38929</v>
      </c>
      <c r="M59" s="10">
        <f>IFERROR(VLOOKUP(A59,'[1]Sales Order'!A:F,6,FALSE),"")</f>
        <v>38938</v>
      </c>
      <c r="N59" t="str">
        <f>IFERROR(VLOOKUP(VLOOKUP(A59,'[1]Sales Order'!A:G,7,FALSE),[1]Shipper!A:B,2,FALSE),"Not Specified")</f>
        <v>Shipper GVSUA</v>
      </c>
      <c r="O59" t="str">
        <f>IFERROR(VLOOKUP(A59,'[1]Sales Order'!A:I,9,FALSE),"Not Specified")</f>
        <v>Ship to 89-B</v>
      </c>
      <c r="P59" t="str">
        <f>IFERROR(VLOOKUP(A59,'[1]Sales Order'!A:N,14,FALSE),"Not Specified")</f>
        <v>USA</v>
      </c>
      <c r="Q59" t="str">
        <f>VLOOKUP(VLOOKUP(B59,[1]Product!A:C,3,FALSE),[1]Supplier!A:B,2,FALSE)</f>
        <v>Supplier NZLIF</v>
      </c>
      <c r="R59" t="str">
        <f>VLOOKUP(VLOOKUP(B59,[1]Product!A:C,3,FALSE),[1]Supplier!A:I,9,FALSE)</f>
        <v>Norway</v>
      </c>
      <c r="S59" t="str">
        <f>IFERROR(IF(VLOOKUP(A59,'[1]Sales Order'!A:H,8,FALSE)&gt;100,"High Freight","Low Freight"),"Not Specified")</f>
        <v>Low Freight</v>
      </c>
      <c r="T59">
        <f t="shared" si="1"/>
        <v>114</v>
      </c>
    </row>
    <row r="60" spans="1:20">
      <c r="A60" s="1">
        <v>10269</v>
      </c>
      <c r="B60" s="2">
        <v>72</v>
      </c>
      <c r="C60" s="2">
        <v>27.8</v>
      </c>
      <c r="D60" s="2">
        <v>20</v>
      </c>
      <c r="E60" s="3">
        <v>0.05</v>
      </c>
      <c r="F60" s="2" t="str">
        <f>IFERROR(VLOOKUP(VLOOKUP(A60,'[1]Sales Order'!A:B,2,FALSE),[1]Customer!A:C,3,FALSE),"Not Specified")</f>
        <v>Smith Jr., Ronaldo</v>
      </c>
      <c r="G60" s="2" t="str">
        <f t="shared" si="0"/>
        <v>Smith Jr. Ronaldo</v>
      </c>
      <c r="H60" s="8" t="str">
        <f>IFERROR(VLOOKUP(VLOOKUP(A60,'[1]Sales Order'!A:C,3,FALSE),[1]Employee!A:E,5,FALSE)&amp;" "&amp;VLOOKUP(VLOOKUP(A60,'[1]Sales Order'!A:C,3,FALSE),[1]Employee!A:C,3,FALSE)&amp;" "&amp;VLOOKUP(VLOOKUP(A60,'[1]Sales Order'!A:C,3,FALSE),[1]Employee!A:B,2,FALSE),"Not Specified")</f>
        <v>Mr. Sven Buck</v>
      </c>
      <c r="I60">
        <f>IFERROR(VLOOKUP(VLOOKUP(A60,'[1]Sales Order'!A:C,3,FALSE),[1]Employee!A:J,10,FALSE),"Not Specified")</f>
        <v>0</v>
      </c>
      <c r="J60" t="str">
        <f>VLOOKUP(B60,[1]Product!A:B,2,FALSE)</f>
        <v>Product GEEOO</v>
      </c>
      <c r="K60" t="str">
        <f>VLOOKUP(VLOOKUP(B60,[1]Product!A:D,4,FALSE),[1]Category!A:B,2,FALSE)</f>
        <v>Dairy Product</v>
      </c>
      <c r="L60" s="10">
        <f>IFERROR(VLOOKUP(A60,'[1]Sales Order'!A:D,4,FALSE),"")</f>
        <v>38929</v>
      </c>
      <c r="M60" s="10">
        <f>IFERROR(VLOOKUP(A60,'[1]Sales Order'!A:F,6,FALSE),"")</f>
        <v>38938</v>
      </c>
      <c r="N60" t="str">
        <f>IFERROR(VLOOKUP(VLOOKUP(A60,'[1]Sales Order'!A:G,7,FALSE),[1]Shipper!A:B,2,FALSE),"Not Specified")</f>
        <v>Shipper GVSUA</v>
      </c>
      <c r="O60" t="str">
        <f>IFERROR(VLOOKUP(A60,'[1]Sales Order'!A:I,9,FALSE),"Not Specified")</f>
        <v>Ship to 89-B</v>
      </c>
      <c r="P60" t="str">
        <f>IFERROR(VLOOKUP(A60,'[1]Sales Order'!A:N,14,FALSE),"Not Specified")</f>
        <v>USA</v>
      </c>
      <c r="Q60" t="str">
        <f>VLOOKUP(VLOOKUP(B60,[1]Product!A:C,3,FALSE),[1]Supplier!A:B,2,FALSE)</f>
        <v>Supplier KEREV</v>
      </c>
      <c r="R60" t="str">
        <f>VLOOKUP(VLOOKUP(B60,[1]Product!A:C,3,FALSE),[1]Supplier!A:I,9,FALSE)</f>
        <v>Italy</v>
      </c>
      <c r="S60" t="str">
        <f>IFERROR(IF(VLOOKUP(A60,'[1]Sales Order'!A:H,8,FALSE)&gt;100,"High Freight","Low Freight"),"Not Specified")</f>
        <v>Low Freight</v>
      </c>
      <c r="T60">
        <f t="shared" si="1"/>
        <v>528.19999999999993</v>
      </c>
    </row>
    <row r="61" spans="1:20">
      <c r="A61" s="1">
        <v>10270</v>
      </c>
      <c r="B61" s="2">
        <v>36</v>
      </c>
      <c r="C61" s="2">
        <v>15.2</v>
      </c>
      <c r="D61" s="2">
        <v>30</v>
      </c>
      <c r="E61" s="3">
        <v>0</v>
      </c>
      <c r="F61" s="2" t="str">
        <f>IFERROR(VLOOKUP(VLOOKUP(A61,'[1]Sales Order'!A:B,2,FALSE),[1]Customer!A:C,3,FALSE),"Not Specified")</f>
        <v>Ludwig, Michael</v>
      </c>
      <c r="G61" s="2" t="str">
        <f t="shared" si="0"/>
        <v>Ludwig Michael</v>
      </c>
      <c r="H61" s="8" t="str">
        <f>IFERROR(VLOOKUP(VLOOKUP(A61,'[1]Sales Order'!A:C,3,FALSE),[1]Employee!A:E,5,FALSE)&amp;" "&amp;VLOOKUP(VLOOKUP(A61,'[1]Sales Order'!A:C,3,FALSE),[1]Employee!A:C,3,FALSE)&amp;" "&amp;VLOOKUP(VLOOKUP(A61,'[1]Sales Order'!A:C,3,FALSE),[1]Employee!A:B,2,FALSE),"Not Specified")</f>
        <v>Ms. Sara Davis</v>
      </c>
      <c r="I61" t="str">
        <f>IFERROR(VLOOKUP(VLOOKUP(A61,'[1]Sales Order'!A:C,3,FALSE),[1]Employee!A:J,10,FALSE),"Not Specified")</f>
        <v>WA</v>
      </c>
      <c r="J61" t="str">
        <f>VLOOKUP(B61,[1]Product!A:B,2,FALSE)</f>
        <v>Product GMKIJ</v>
      </c>
      <c r="K61" t="str">
        <f>VLOOKUP(VLOOKUP(B61,[1]Product!A:D,4,FALSE),[1]Category!A:B,2,FALSE)</f>
        <v>Seafood</v>
      </c>
      <c r="L61" s="10">
        <f>IFERROR(VLOOKUP(A61,'[1]Sales Order'!A:D,4,FALSE),"")</f>
        <v>38930</v>
      </c>
      <c r="M61" s="10">
        <f>IFERROR(VLOOKUP(A61,'[1]Sales Order'!A:F,6,FALSE),"")</f>
        <v>38931</v>
      </c>
      <c r="N61" t="str">
        <f>IFERROR(VLOOKUP(VLOOKUP(A61,'[1]Sales Order'!A:G,7,FALSE),[1]Shipper!A:B,2,FALSE),"Not Specified")</f>
        <v>Shipper GVSUA</v>
      </c>
      <c r="O61" t="str">
        <f>IFERROR(VLOOKUP(A61,'[1]Sales Order'!A:I,9,FALSE),"Not Specified")</f>
        <v>Ship to 87-B</v>
      </c>
      <c r="P61" t="str">
        <f>IFERROR(VLOOKUP(A61,'[1]Sales Order'!A:N,14,FALSE),"Not Specified")</f>
        <v>Finland</v>
      </c>
      <c r="Q61" t="str">
        <f>VLOOKUP(VLOOKUP(B61,[1]Product!A:C,3,FALSE),[1]Supplier!A:B,2,FALSE)</f>
        <v>Supplier QZGUF</v>
      </c>
      <c r="R61" t="str">
        <f>VLOOKUP(VLOOKUP(B61,[1]Product!A:C,3,FALSE),[1]Supplier!A:I,9,FALSE)</f>
        <v>Sweden</v>
      </c>
      <c r="S61" t="str">
        <f>IFERROR(IF(VLOOKUP(A61,'[1]Sales Order'!A:H,8,FALSE)&gt;100,"High Freight","Low Freight"),"Not Specified")</f>
        <v>High Freight</v>
      </c>
      <c r="T61">
        <f t="shared" si="1"/>
        <v>456</v>
      </c>
    </row>
    <row r="62" spans="1:20">
      <c r="A62" s="1">
        <v>10270</v>
      </c>
      <c r="B62" s="2">
        <v>43</v>
      </c>
      <c r="C62" s="2">
        <v>36.799999999999997</v>
      </c>
      <c r="D62" s="2">
        <v>25</v>
      </c>
      <c r="E62" s="3">
        <v>0</v>
      </c>
      <c r="F62" s="2" t="str">
        <f>IFERROR(VLOOKUP(VLOOKUP(A62,'[1]Sales Order'!A:B,2,FALSE),[1]Customer!A:C,3,FALSE),"Not Specified")</f>
        <v>Ludwig, Michael</v>
      </c>
      <c r="G62" s="2" t="str">
        <f t="shared" si="0"/>
        <v>Ludwig Michael</v>
      </c>
      <c r="H62" s="8" t="str">
        <f>IFERROR(VLOOKUP(VLOOKUP(A62,'[1]Sales Order'!A:C,3,FALSE),[1]Employee!A:E,5,FALSE)&amp;" "&amp;VLOOKUP(VLOOKUP(A62,'[1]Sales Order'!A:C,3,FALSE),[1]Employee!A:C,3,FALSE)&amp;" "&amp;VLOOKUP(VLOOKUP(A62,'[1]Sales Order'!A:C,3,FALSE),[1]Employee!A:B,2,FALSE),"Not Specified")</f>
        <v>Ms. Sara Davis</v>
      </c>
      <c r="I62" t="str">
        <f>IFERROR(VLOOKUP(VLOOKUP(A62,'[1]Sales Order'!A:C,3,FALSE),[1]Employee!A:J,10,FALSE),"Not Specified")</f>
        <v>WA</v>
      </c>
      <c r="J62" t="str">
        <f>VLOOKUP(B62,[1]Product!A:B,2,FALSE)</f>
        <v>Product ZZZHR</v>
      </c>
      <c r="K62" t="str">
        <f>VLOOKUP(VLOOKUP(B62,[1]Product!A:D,4,FALSE),[1]Category!A:B,2,FALSE)</f>
        <v>Beverages</v>
      </c>
      <c r="L62" s="10">
        <f>IFERROR(VLOOKUP(A62,'[1]Sales Order'!A:D,4,FALSE),"")</f>
        <v>38930</v>
      </c>
      <c r="M62" s="10">
        <f>IFERROR(VLOOKUP(A62,'[1]Sales Order'!A:F,6,FALSE),"")</f>
        <v>38931</v>
      </c>
      <c r="N62" t="str">
        <f>IFERROR(VLOOKUP(VLOOKUP(A62,'[1]Sales Order'!A:G,7,FALSE),[1]Shipper!A:B,2,FALSE),"Not Specified")</f>
        <v>Shipper GVSUA</v>
      </c>
      <c r="O62" t="str">
        <f>IFERROR(VLOOKUP(A62,'[1]Sales Order'!A:I,9,FALSE),"Not Specified")</f>
        <v>Ship to 87-B</v>
      </c>
      <c r="P62" t="str">
        <f>IFERROR(VLOOKUP(A62,'[1]Sales Order'!A:N,14,FALSE),"Not Specified")</f>
        <v>Finland</v>
      </c>
      <c r="Q62" t="str">
        <f>VLOOKUP(VLOOKUP(B62,[1]Product!A:C,3,FALSE),[1]Supplier!A:B,2,FALSE)</f>
        <v>Supplier CIYNM</v>
      </c>
      <c r="R62" t="str">
        <f>VLOOKUP(VLOOKUP(B62,[1]Product!A:C,3,FALSE),[1]Supplier!A:I,9,FALSE)</f>
        <v>Singapore</v>
      </c>
      <c r="S62" t="str">
        <f>IFERROR(IF(VLOOKUP(A62,'[1]Sales Order'!A:H,8,FALSE)&gt;100,"High Freight","Low Freight"),"Not Specified")</f>
        <v>High Freight</v>
      </c>
      <c r="T62">
        <f t="shared" si="1"/>
        <v>919.99999999999989</v>
      </c>
    </row>
    <row r="63" spans="1:20">
      <c r="A63" s="1">
        <v>10271</v>
      </c>
      <c r="B63" s="2">
        <v>33</v>
      </c>
      <c r="C63" s="2">
        <v>2</v>
      </c>
      <c r="D63" s="2">
        <v>24</v>
      </c>
      <c r="E63" s="3">
        <v>0</v>
      </c>
      <c r="F63" s="2" t="str">
        <f>IFERROR(VLOOKUP(VLOOKUP(A63,'[1]Sales Order'!A:B,2,FALSE),[1]Customer!A:C,3,FALSE),"Not Specified")</f>
        <v>Wojciechowska, Agnieszka</v>
      </c>
      <c r="G63" s="2" t="str">
        <f t="shared" si="0"/>
        <v>Wojciechowska Agnieszka</v>
      </c>
      <c r="H63" s="8" t="str">
        <f>IFERROR(VLOOKUP(VLOOKUP(A63,'[1]Sales Order'!A:C,3,FALSE),[1]Employee!A:E,5,FALSE)&amp;" "&amp;VLOOKUP(VLOOKUP(A63,'[1]Sales Order'!A:C,3,FALSE),[1]Employee!A:C,3,FALSE)&amp;" "&amp;VLOOKUP(VLOOKUP(A63,'[1]Sales Order'!A:C,3,FALSE),[1]Employee!A:B,2,FALSE),"Not Specified")</f>
        <v>Mr. Paul Suurs</v>
      </c>
      <c r="I63">
        <f>IFERROR(VLOOKUP(VLOOKUP(A63,'[1]Sales Order'!A:C,3,FALSE),[1]Employee!A:J,10,FALSE),"Not Specified")</f>
        <v>0</v>
      </c>
      <c r="J63" t="str">
        <f>VLOOKUP(B63,[1]Product!A:B,2,FALSE)</f>
        <v>Product ASTMN</v>
      </c>
      <c r="K63" t="str">
        <f>VLOOKUP(VLOOKUP(B63,[1]Product!A:D,4,FALSE),[1]Category!A:B,2,FALSE)</f>
        <v>Dairy Product</v>
      </c>
      <c r="L63" s="10">
        <f>IFERROR(VLOOKUP(A63,'[1]Sales Order'!A:D,4,FALSE),"")</f>
        <v>38930</v>
      </c>
      <c r="M63" s="10">
        <f>IFERROR(VLOOKUP(A63,'[1]Sales Order'!A:F,6,FALSE),"")</f>
        <v>38959</v>
      </c>
      <c r="N63" t="str">
        <f>IFERROR(VLOOKUP(VLOOKUP(A63,'[1]Sales Order'!A:G,7,FALSE),[1]Shipper!A:B,2,FALSE),"Not Specified")</f>
        <v>Shipper ETYNR</v>
      </c>
      <c r="O63" t="str">
        <f>IFERROR(VLOOKUP(A63,'[1]Sales Order'!A:I,9,FALSE),"Not Specified")</f>
        <v>Ship to 75-C</v>
      </c>
      <c r="P63" t="str">
        <f>IFERROR(VLOOKUP(A63,'[1]Sales Order'!A:N,14,FALSE),"Not Specified")</f>
        <v>USA</v>
      </c>
      <c r="Q63" t="str">
        <f>VLOOKUP(VLOOKUP(B63,[1]Product!A:C,3,FALSE),[1]Supplier!A:B,2,FALSE)</f>
        <v>Supplier NZLIF</v>
      </c>
      <c r="R63" t="str">
        <f>VLOOKUP(VLOOKUP(B63,[1]Product!A:C,3,FALSE),[1]Supplier!A:I,9,FALSE)</f>
        <v>Norway</v>
      </c>
      <c r="S63" t="str">
        <f>IFERROR(IF(VLOOKUP(A63,'[1]Sales Order'!A:H,8,FALSE)&gt;100,"High Freight","Low Freight"),"Not Specified")</f>
        <v>Low Freight</v>
      </c>
      <c r="T63">
        <f t="shared" si="1"/>
        <v>48</v>
      </c>
    </row>
    <row r="64" spans="1:20">
      <c r="A64" s="1">
        <v>10272</v>
      </c>
      <c r="B64" s="2">
        <v>20</v>
      </c>
      <c r="C64" s="2">
        <v>64.8</v>
      </c>
      <c r="D64" s="2">
        <v>6</v>
      </c>
      <c r="E64" s="3">
        <v>0</v>
      </c>
      <c r="F64" s="2" t="str">
        <f>IFERROR(VLOOKUP(VLOOKUP(A64,'[1]Sales Order'!A:B,2,FALSE),[1]Customer!A:C,3,FALSE),"Not Specified")</f>
        <v>Moore, Michael</v>
      </c>
      <c r="G64" s="2" t="str">
        <f t="shared" si="0"/>
        <v>Moore Michael</v>
      </c>
      <c r="H64" s="8" t="str">
        <f>IFERROR(VLOOKUP(VLOOKUP(A64,'[1]Sales Order'!A:C,3,FALSE),[1]Employee!A:E,5,FALSE)&amp;" "&amp;VLOOKUP(VLOOKUP(A64,'[1]Sales Order'!A:C,3,FALSE),[1]Employee!A:C,3,FALSE)&amp;" "&amp;VLOOKUP(VLOOKUP(A64,'[1]Sales Order'!A:C,3,FALSE),[1]Employee!A:B,2,FALSE),"Not Specified")</f>
        <v>Mr. Paul Suurs</v>
      </c>
      <c r="I64">
        <f>IFERROR(VLOOKUP(VLOOKUP(A64,'[1]Sales Order'!A:C,3,FALSE),[1]Employee!A:J,10,FALSE),"Not Specified")</f>
        <v>0</v>
      </c>
      <c r="J64" t="str">
        <f>VLOOKUP(B64,[1]Product!A:B,2,FALSE)</f>
        <v>Product QHFFP</v>
      </c>
      <c r="K64" t="str">
        <f>VLOOKUP(VLOOKUP(B64,[1]Product!A:D,4,FALSE),[1]Category!A:B,2,FALSE)</f>
        <v>Confections</v>
      </c>
      <c r="L64" s="10">
        <f>IFERROR(VLOOKUP(A64,'[1]Sales Order'!A:D,4,FALSE),"")</f>
        <v>38931</v>
      </c>
      <c r="M64" s="10">
        <f>IFERROR(VLOOKUP(A64,'[1]Sales Order'!A:F,6,FALSE),"")</f>
        <v>38935</v>
      </c>
      <c r="N64" t="str">
        <f>IFERROR(VLOOKUP(VLOOKUP(A64,'[1]Sales Order'!A:G,7,FALSE),[1]Shipper!A:B,2,FALSE),"Not Specified")</f>
        <v>Shipper ETYNR</v>
      </c>
      <c r="O64" t="str">
        <f>IFERROR(VLOOKUP(A64,'[1]Sales Order'!A:I,9,FALSE),"Not Specified")</f>
        <v>Ship to 65-A</v>
      </c>
      <c r="P64" t="str">
        <f>IFERROR(VLOOKUP(A64,'[1]Sales Order'!A:N,14,FALSE),"Not Specified")</f>
        <v>USA</v>
      </c>
      <c r="Q64" t="str">
        <f>VLOOKUP(VLOOKUP(B64,[1]Product!A:C,3,FALSE),[1]Supplier!A:B,2,FALSE)</f>
        <v>Supplier BWGYE</v>
      </c>
      <c r="R64" t="str">
        <f>VLOOKUP(VLOOKUP(B64,[1]Product!A:C,3,FALSE),[1]Supplier!A:I,9,FALSE)</f>
        <v>UK</v>
      </c>
      <c r="S64" t="str">
        <f>IFERROR(IF(VLOOKUP(A64,'[1]Sales Order'!A:H,8,FALSE)&gt;100,"High Freight","Low Freight"),"Not Specified")</f>
        <v>Low Freight</v>
      </c>
      <c r="T64">
        <f t="shared" si="1"/>
        <v>388.79999999999995</v>
      </c>
    </row>
    <row r="65" spans="1:20">
      <c r="A65" s="1">
        <v>10272</v>
      </c>
      <c r="B65" s="2">
        <v>31</v>
      </c>
      <c r="C65" s="2">
        <v>10</v>
      </c>
      <c r="D65" s="2">
        <v>40</v>
      </c>
      <c r="E65" s="3">
        <v>0</v>
      </c>
      <c r="F65" s="2" t="str">
        <f>IFERROR(VLOOKUP(VLOOKUP(A65,'[1]Sales Order'!A:B,2,FALSE),[1]Customer!A:C,3,FALSE),"Not Specified")</f>
        <v>Moore, Michael</v>
      </c>
      <c r="G65" s="2" t="str">
        <f t="shared" si="0"/>
        <v>Moore Michael</v>
      </c>
      <c r="H65" s="8" t="str">
        <f>IFERROR(VLOOKUP(VLOOKUP(A65,'[1]Sales Order'!A:C,3,FALSE),[1]Employee!A:E,5,FALSE)&amp;" "&amp;VLOOKUP(VLOOKUP(A65,'[1]Sales Order'!A:C,3,FALSE),[1]Employee!A:C,3,FALSE)&amp;" "&amp;VLOOKUP(VLOOKUP(A65,'[1]Sales Order'!A:C,3,FALSE),[1]Employee!A:B,2,FALSE),"Not Specified")</f>
        <v>Mr. Paul Suurs</v>
      </c>
      <c r="I65">
        <f>IFERROR(VLOOKUP(VLOOKUP(A65,'[1]Sales Order'!A:C,3,FALSE),[1]Employee!A:J,10,FALSE),"Not Specified")</f>
        <v>0</v>
      </c>
      <c r="J65" t="str">
        <f>VLOOKUP(B65,[1]Product!A:B,2,FALSE)</f>
        <v>Product XWOXC</v>
      </c>
      <c r="K65" t="str">
        <f>VLOOKUP(VLOOKUP(B65,[1]Product!A:D,4,FALSE),[1]Category!A:B,2,FALSE)</f>
        <v>Dairy Product</v>
      </c>
      <c r="L65" s="10">
        <f>IFERROR(VLOOKUP(A65,'[1]Sales Order'!A:D,4,FALSE),"")</f>
        <v>38931</v>
      </c>
      <c r="M65" s="10">
        <f>IFERROR(VLOOKUP(A65,'[1]Sales Order'!A:F,6,FALSE),"")</f>
        <v>38935</v>
      </c>
      <c r="N65" t="str">
        <f>IFERROR(VLOOKUP(VLOOKUP(A65,'[1]Sales Order'!A:G,7,FALSE),[1]Shipper!A:B,2,FALSE),"Not Specified")</f>
        <v>Shipper ETYNR</v>
      </c>
      <c r="O65" t="str">
        <f>IFERROR(VLOOKUP(A65,'[1]Sales Order'!A:I,9,FALSE),"Not Specified")</f>
        <v>Ship to 65-A</v>
      </c>
      <c r="P65" t="str">
        <f>IFERROR(VLOOKUP(A65,'[1]Sales Order'!A:N,14,FALSE),"Not Specified")</f>
        <v>USA</v>
      </c>
      <c r="Q65" t="str">
        <f>VLOOKUP(VLOOKUP(B65,[1]Product!A:C,3,FALSE),[1]Supplier!A:B,2,FALSE)</f>
        <v>Supplier KEREV</v>
      </c>
      <c r="R65" t="str">
        <f>VLOOKUP(VLOOKUP(B65,[1]Product!A:C,3,FALSE),[1]Supplier!A:I,9,FALSE)</f>
        <v>Italy</v>
      </c>
      <c r="S65" t="str">
        <f>IFERROR(IF(VLOOKUP(A65,'[1]Sales Order'!A:H,8,FALSE)&gt;100,"High Freight","Low Freight"),"Not Specified")</f>
        <v>Low Freight</v>
      </c>
      <c r="T65">
        <f t="shared" si="1"/>
        <v>400</v>
      </c>
    </row>
    <row r="66" spans="1:20">
      <c r="A66" s="1">
        <v>10272</v>
      </c>
      <c r="B66" s="2">
        <v>72</v>
      </c>
      <c r="C66" s="2">
        <v>27.8</v>
      </c>
      <c r="D66" s="2">
        <v>24</v>
      </c>
      <c r="E66" s="3">
        <v>0</v>
      </c>
      <c r="F66" s="2" t="str">
        <f>IFERROR(VLOOKUP(VLOOKUP(A66,'[1]Sales Order'!A:B,2,FALSE),[1]Customer!A:C,3,FALSE),"Not Specified")</f>
        <v>Moore, Michael</v>
      </c>
      <c r="G66" s="2" t="str">
        <f t="shared" si="0"/>
        <v>Moore Michael</v>
      </c>
      <c r="H66" s="8" t="str">
        <f>IFERROR(VLOOKUP(VLOOKUP(A66,'[1]Sales Order'!A:C,3,FALSE),[1]Employee!A:E,5,FALSE)&amp;" "&amp;VLOOKUP(VLOOKUP(A66,'[1]Sales Order'!A:C,3,FALSE),[1]Employee!A:C,3,FALSE)&amp;" "&amp;VLOOKUP(VLOOKUP(A66,'[1]Sales Order'!A:C,3,FALSE),[1]Employee!A:B,2,FALSE),"Not Specified")</f>
        <v>Mr. Paul Suurs</v>
      </c>
      <c r="I66">
        <f>IFERROR(VLOOKUP(VLOOKUP(A66,'[1]Sales Order'!A:C,3,FALSE),[1]Employee!A:J,10,FALSE),"Not Specified")</f>
        <v>0</v>
      </c>
      <c r="J66" t="str">
        <f>VLOOKUP(B66,[1]Product!A:B,2,FALSE)</f>
        <v>Product GEEOO</v>
      </c>
      <c r="K66" t="str">
        <f>VLOOKUP(VLOOKUP(B66,[1]Product!A:D,4,FALSE),[1]Category!A:B,2,FALSE)</f>
        <v>Dairy Product</v>
      </c>
      <c r="L66" s="10">
        <f>IFERROR(VLOOKUP(A66,'[1]Sales Order'!A:D,4,FALSE),"")</f>
        <v>38931</v>
      </c>
      <c r="M66" s="10">
        <f>IFERROR(VLOOKUP(A66,'[1]Sales Order'!A:F,6,FALSE),"")</f>
        <v>38935</v>
      </c>
      <c r="N66" t="str">
        <f>IFERROR(VLOOKUP(VLOOKUP(A66,'[1]Sales Order'!A:G,7,FALSE),[1]Shipper!A:B,2,FALSE),"Not Specified")</f>
        <v>Shipper ETYNR</v>
      </c>
      <c r="O66" t="str">
        <f>IFERROR(VLOOKUP(A66,'[1]Sales Order'!A:I,9,FALSE),"Not Specified")</f>
        <v>Ship to 65-A</v>
      </c>
      <c r="P66" t="str">
        <f>IFERROR(VLOOKUP(A66,'[1]Sales Order'!A:N,14,FALSE),"Not Specified")</f>
        <v>USA</v>
      </c>
      <c r="Q66" t="str">
        <f>VLOOKUP(VLOOKUP(B66,[1]Product!A:C,3,FALSE),[1]Supplier!A:B,2,FALSE)</f>
        <v>Supplier KEREV</v>
      </c>
      <c r="R66" t="str">
        <f>VLOOKUP(VLOOKUP(B66,[1]Product!A:C,3,FALSE),[1]Supplier!A:I,9,FALSE)</f>
        <v>Italy</v>
      </c>
      <c r="S66" t="str">
        <f>IFERROR(IF(VLOOKUP(A66,'[1]Sales Order'!A:H,8,FALSE)&gt;100,"High Freight","Low Freight"),"Not Specified")</f>
        <v>Low Freight</v>
      </c>
      <c r="T66">
        <f t="shared" si="1"/>
        <v>667.2</v>
      </c>
    </row>
    <row r="67" spans="1:20">
      <c r="A67" s="1">
        <v>10273</v>
      </c>
      <c r="B67" s="2">
        <v>10</v>
      </c>
      <c r="C67" s="2">
        <v>24.8</v>
      </c>
      <c r="D67" s="2">
        <v>24</v>
      </c>
      <c r="E67" s="3">
        <v>0.05</v>
      </c>
      <c r="F67" s="2" t="str">
        <f>IFERROR(VLOOKUP(VLOOKUP(A67,'[1]Sales Order'!A:B,2,FALSE),[1]Customer!A:C,3,FALSE),"Not Specified")</f>
        <v>Veronesi, Giorgio</v>
      </c>
      <c r="G67" s="2" t="str">
        <f t="shared" ref="G67:G130" si="2">SUBSTITUTE(F67,",","",1)</f>
        <v>Veronesi Giorgio</v>
      </c>
      <c r="H67" s="8" t="str">
        <f>IFERROR(VLOOKUP(VLOOKUP(A67,'[1]Sales Order'!A:C,3,FALSE),[1]Employee!A:E,5,FALSE)&amp;" "&amp;VLOOKUP(VLOOKUP(A67,'[1]Sales Order'!A:C,3,FALSE),[1]Employee!A:C,3,FALSE)&amp;" "&amp;VLOOKUP(VLOOKUP(A67,'[1]Sales Order'!A:C,3,FALSE),[1]Employee!A:B,2,FALSE),"Not Specified")</f>
        <v>Ms. Judy Lew</v>
      </c>
      <c r="I67" t="str">
        <f>IFERROR(VLOOKUP(VLOOKUP(A67,'[1]Sales Order'!A:C,3,FALSE),[1]Employee!A:J,10,FALSE),"Not Specified")</f>
        <v>WA</v>
      </c>
      <c r="J67" t="str">
        <f>VLOOKUP(B67,[1]Product!A:B,2,FALSE)</f>
        <v>Product YHXGE</v>
      </c>
      <c r="K67" t="str">
        <f>VLOOKUP(VLOOKUP(B67,[1]Product!A:D,4,FALSE),[1]Category!A:B,2,FALSE)</f>
        <v>Seafood</v>
      </c>
      <c r="L67" s="10">
        <f>IFERROR(VLOOKUP(A67,'[1]Sales Order'!A:D,4,FALSE),"")</f>
        <v>38934</v>
      </c>
      <c r="M67" s="10">
        <f>IFERROR(VLOOKUP(A67,'[1]Sales Order'!A:F,6,FALSE),"")</f>
        <v>38941</v>
      </c>
      <c r="N67" t="str">
        <f>IFERROR(VLOOKUP(VLOOKUP(A67,'[1]Sales Order'!A:G,7,FALSE),[1]Shipper!A:B,2,FALSE),"Not Specified")</f>
        <v>Shipper ZHISN</v>
      </c>
      <c r="O67" t="str">
        <f>IFERROR(VLOOKUP(A67,'[1]Sales Order'!A:I,9,FALSE),"Not Specified")</f>
        <v>Ship to 63-A</v>
      </c>
      <c r="P67" t="str">
        <f>IFERROR(VLOOKUP(A67,'[1]Sales Order'!A:N,14,FALSE),"Not Specified")</f>
        <v>Germany</v>
      </c>
      <c r="Q67" t="str">
        <f>VLOOKUP(VLOOKUP(B67,[1]Product!A:C,3,FALSE),[1]Supplier!A:B,2,FALSE)</f>
        <v>Supplier QOVFD</v>
      </c>
      <c r="R67" t="str">
        <f>VLOOKUP(VLOOKUP(B67,[1]Product!A:C,3,FALSE),[1]Supplier!A:I,9,FALSE)</f>
        <v>Japan</v>
      </c>
      <c r="S67" t="str">
        <f>IFERROR(IF(VLOOKUP(A67,'[1]Sales Order'!A:H,8,FALSE)&gt;100,"High Freight","Low Freight"),"Not Specified")</f>
        <v>Low Freight</v>
      </c>
      <c r="T67">
        <f t="shared" ref="T67:T130" si="3">C67*D67*(1-E67)</f>
        <v>565.44000000000005</v>
      </c>
    </row>
    <row r="68" spans="1:20">
      <c r="A68" s="1">
        <v>10273</v>
      </c>
      <c r="B68" s="2">
        <v>31</v>
      </c>
      <c r="C68" s="2">
        <v>10</v>
      </c>
      <c r="D68" s="2">
        <v>15</v>
      </c>
      <c r="E68" s="3">
        <v>0.05</v>
      </c>
      <c r="F68" s="2" t="str">
        <f>IFERROR(VLOOKUP(VLOOKUP(A68,'[1]Sales Order'!A:B,2,FALSE),[1]Customer!A:C,3,FALSE),"Not Specified")</f>
        <v>Veronesi, Giorgio</v>
      </c>
      <c r="G68" s="2" t="str">
        <f t="shared" si="2"/>
        <v>Veronesi Giorgio</v>
      </c>
      <c r="H68" s="8" t="str">
        <f>IFERROR(VLOOKUP(VLOOKUP(A68,'[1]Sales Order'!A:C,3,FALSE),[1]Employee!A:E,5,FALSE)&amp;" "&amp;VLOOKUP(VLOOKUP(A68,'[1]Sales Order'!A:C,3,FALSE),[1]Employee!A:C,3,FALSE)&amp;" "&amp;VLOOKUP(VLOOKUP(A68,'[1]Sales Order'!A:C,3,FALSE),[1]Employee!A:B,2,FALSE),"Not Specified")</f>
        <v>Ms. Judy Lew</v>
      </c>
      <c r="I68" t="str">
        <f>IFERROR(VLOOKUP(VLOOKUP(A68,'[1]Sales Order'!A:C,3,FALSE),[1]Employee!A:J,10,FALSE),"Not Specified")</f>
        <v>WA</v>
      </c>
      <c r="J68" t="str">
        <f>VLOOKUP(B68,[1]Product!A:B,2,FALSE)</f>
        <v>Product XWOXC</v>
      </c>
      <c r="K68" t="str">
        <f>VLOOKUP(VLOOKUP(B68,[1]Product!A:D,4,FALSE),[1]Category!A:B,2,FALSE)</f>
        <v>Dairy Product</v>
      </c>
      <c r="L68" s="10">
        <f>IFERROR(VLOOKUP(A68,'[1]Sales Order'!A:D,4,FALSE),"")</f>
        <v>38934</v>
      </c>
      <c r="M68" s="10">
        <f>IFERROR(VLOOKUP(A68,'[1]Sales Order'!A:F,6,FALSE),"")</f>
        <v>38941</v>
      </c>
      <c r="N68" t="str">
        <f>IFERROR(VLOOKUP(VLOOKUP(A68,'[1]Sales Order'!A:G,7,FALSE),[1]Shipper!A:B,2,FALSE),"Not Specified")</f>
        <v>Shipper ZHISN</v>
      </c>
      <c r="O68" t="str">
        <f>IFERROR(VLOOKUP(A68,'[1]Sales Order'!A:I,9,FALSE),"Not Specified")</f>
        <v>Ship to 63-A</v>
      </c>
      <c r="P68" t="str">
        <f>IFERROR(VLOOKUP(A68,'[1]Sales Order'!A:N,14,FALSE),"Not Specified")</f>
        <v>Germany</v>
      </c>
      <c r="Q68" t="str">
        <f>VLOOKUP(VLOOKUP(B68,[1]Product!A:C,3,FALSE),[1]Supplier!A:B,2,FALSE)</f>
        <v>Supplier KEREV</v>
      </c>
      <c r="R68" t="str">
        <f>VLOOKUP(VLOOKUP(B68,[1]Product!A:C,3,FALSE),[1]Supplier!A:I,9,FALSE)</f>
        <v>Italy</v>
      </c>
      <c r="S68" t="str">
        <f>IFERROR(IF(VLOOKUP(A68,'[1]Sales Order'!A:H,8,FALSE)&gt;100,"High Freight","Low Freight"),"Not Specified")</f>
        <v>Low Freight</v>
      </c>
      <c r="T68">
        <f t="shared" si="3"/>
        <v>142.5</v>
      </c>
    </row>
    <row r="69" spans="1:20">
      <c r="A69" s="1">
        <v>10273</v>
      </c>
      <c r="B69" s="2">
        <v>33</v>
      </c>
      <c r="C69" s="2">
        <v>2</v>
      </c>
      <c r="D69" s="2">
        <v>20</v>
      </c>
      <c r="E69" s="3">
        <v>0</v>
      </c>
      <c r="F69" s="2" t="str">
        <f>IFERROR(VLOOKUP(VLOOKUP(A69,'[1]Sales Order'!A:B,2,FALSE),[1]Customer!A:C,3,FALSE),"Not Specified")</f>
        <v>Veronesi, Giorgio</v>
      </c>
      <c r="G69" s="2" t="str">
        <f t="shared" si="2"/>
        <v>Veronesi Giorgio</v>
      </c>
      <c r="H69" s="8" t="str">
        <f>IFERROR(VLOOKUP(VLOOKUP(A69,'[1]Sales Order'!A:C,3,FALSE),[1]Employee!A:E,5,FALSE)&amp;" "&amp;VLOOKUP(VLOOKUP(A69,'[1]Sales Order'!A:C,3,FALSE),[1]Employee!A:C,3,FALSE)&amp;" "&amp;VLOOKUP(VLOOKUP(A69,'[1]Sales Order'!A:C,3,FALSE),[1]Employee!A:B,2,FALSE),"Not Specified")</f>
        <v>Ms. Judy Lew</v>
      </c>
      <c r="I69" t="str">
        <f>IFERROR(VLOOKUP(VLOOKUP(A69,'[1]Sales Order'!A:C,3,FALSE),[1]Employee!A:J,10,FALSE),"Not Specified")</f>
        <v>WA</v>
      </c>
      <c r="J69" t="str">
        <f>VLOOKUP(B69,[1]Product!A:B,2,FALSE)</f>
        <v>Product ASTMN</v>
      </c>
      <c r="K69" t="str">
        <f>VLOOKUP(VLOOKUP(B69,[1]Product!A:D,4,FALSE),[1]Category!A:B,2,FALSE)</f>
        <v>Dairy Product</v>
      </c>
      <c r="L69" s="10">
        <f>IFERROR(VLOOKUP(A69,'[1]Sales Order'!A:D,4,FALSE),"")</f>
        <v>38934</v>
      </c>
      <c r="M69" s="10">
        <f>IFERROR(VLOOKUP(A69,'[1]Sales Order'!A:F,6,FALSE),"")</f>
        <v>38941</v>
      </c>
      <c r="N69" t="str">
        <f>IFERROR(VLOOKUP(VLOOKUP(A69,'[1]Sales Order'!A:G,7,FALSE),[1]Shipper!A:B,2,FALSE),"Not Specified")</f>
        <v>Shipper ZHISN</v>
      </c>
      <c r="O69" t="str">
        <f>IFERROR(VLOOKUP(A69,'[1]Sales Order'!A:I,9,FALSE),"Not Specified")</f>
        <v>Ship to 63-A</v>
      </c>
      <c r="P69" t="str">
        <f>IFERROR(VLOOKUP(A69,'[1]Sales Order'!A:N,14,FALSE),"Not Specified")</f>
        <v>Germany</v>
      </c>
      <c r="Q69" t="str">
        <f>VLOOKUP(VLOOKUP(B69,[1]Product!A:C,3,FALSE),[1]Supplier!A:B,2,FALSE)</f>
        <v>Supplier NZLIF</v>
      </c>
      <c r="R69" t="str">
        <f>VLOOKUP(VLOOKUP(B69,[1]Product!A:C,3,FALSE),[1]Supplier!A:I,9,FALSE)</f>
        <v>Norway</v>
      </c>
      <c r="S69" t="str">
        <f>IFERROR(IF(VLOOKUP(A69,'[1]Sales Order'!A:H,8,FALSE)&gt;100,"High Freight","Low Freight"),"Not Specified")</f>
        <v>Low Freight</v>
      </c>
      <c r="T69">
        <f t="shared" si="3"/>
        <v>40</v>
      </c>
    </row>
    <row r="70" spans="1:20">
      <c r="A70" s="1">
        <v>10273</v>
      </c>
      <c r="B70" s="2">
        <v>40</v>
      </c>
      <c r="C70" s="2">
        <v>14.7</v>
      </c>
      <c r="D70" s="2">
        <v>60</v>
      </c>
      <c r="E70" s="3">
        <v>0.05</v>
      </c>
      <c r="F70" s="2" t="str">
        <f>IFERROR(VLOOKUP(VLOOKUP(A70,'[1]Sales Order'!A:B,2,FALSE),[1]Customer!A:C,3,FALSE),"Not Specified")</f>
        <v>Veronesi, Giorgio</v>
      </c>
      <c r="G70" s="2" t="str">
        <f t="shared" si="2"/>
        <v>Veronesi Giorgio</v>
      </c>
      <c r="H70" s="8" t="str">
        <f>IFERROR(VLOOKUP(VLOOKUP(A70,'[1]Sales Order'!A:C,3,FALSE),[1]Employee!A:E,5,FALSE)&amp;" "&amp;VLOOKUP(VLOOKUP(A70,'[1]Sales Order'!A:C,3,FALSE),[1]Employee!A:C,3,FALSE)&amp;" "&amp;VLOOKUP(VLOOKUP(A70,'[1]Sales Order'!A:C,3,FALSE),[1]Employee!A:B,2,FALSE),"Not Specified")</f>
        <v>Ms. Judy Lew</v>
      </c>
      <c r="I70" t="str">
        <f>IFERROR(VLOOKUP(VLOOKUP(A70,'[1]Sales Order'!A:C,3,FALSE),[1]Employee!A:J,10,FALSE),"Not Specified")</f>
        <v>WA</v>
      </c>
      <c r="J70" t="str">
        <f>VLOOKUP(B70,[1]Product!A:B,2,FALSE)</f>
        <v>Product YZIXQ</v>
      </c>
      <c r="K70" t="str">
        <f>VLOOKUP(VLOOKUP(B70,[1]Product!A:D,4,FALSE),[1]Category!A:B,2,FALSE)</f>
        <v>Seafood</v>
      </c>
      <c r="L70" s="10">
        <f>IFERROR(VLOOKUP(A70,'[1]Sales Order'!A:D,4,FALSE),"")</f>
        <v>38934</v>
      </c>
      <c r="M70" s="10">
        <f>IFERROR(VLOOKUP(A70,'[1]Sales Order'!A:F,6,FALSE),"")</f>
        <v>38941</v>
      </c>
      <c r="N70" t="str">
        <f>IFERROR(VLOOKUP(VLOOKUP(A70,'[1]Sales Order'!A:G,7,FALSE),[1]Shipper!A:B,2,FALSE),"Not Specified")</f>
        <v>Shipper ZHISN</v>
      </c>
      <c r="O70" t="str">
        <f>IFERROR(VLOOKUP(A70,'[1]Sales Order'!A:I,9,FALSE),"Not Specified")</f>
        <v>Ship to 63-A</v>
      </c>
      <c r="P70" t="str">
        <f>IFERROR(VLOOKUP(A70,'[1]Sales Order'!A:N,14,FALSE),"Not Specified")</f>
        <v>Germany</v>
      </c>
      <c r="Q70" t="str">
        <f>VLOOKUP(VLOOKUP(B70,[1]Product!A:C,3,FALSE),[1]Supplier!A:B,2,FALSE)</f>
        <v>Supplier JDNUG</v>
      </c>
      <c r="R70" t="str">
        <f>VLOOKUP(VLOOKUP(B70,[1]Product!A:C,3,FALSE),[1]Supplier!A:I,9,FALSE)</f>
        <v>USA</v>
      </c>
      <c r="S70" t="str">
        <f>IFERROR(IF(VLOOKUP(A70,'[1]Sales Order'!A:H,8,FALSE)&gt;100,"High Freight","Low Freight"),"Not Specified")</f>
        <v>Low Freight</v>
      </c>
      <c r="T70">
        <f t="shared" si="3"/>
        <v>837.9</v>
      </c>
    </row>
    <row r="71" spans="1:20">
      <c r="A71" s="1">
        <v>10273</v>
      </c>
      <c r="B71" s="2">
        <v>76</v>
      </c>
      <c r="C71" s="2">
        <v>14.4</v>
      </c>
      <c r="D71" s="2">
        <v>33</v>
      </c>
      <c r="E71" s="3">
        <v>0.05</v>
      </c>
      <c r="F71" s="2" t="str">
        <f>IFERROR(VLOOKUP(VLOOKUP(A71,'[1]Sales Order'!A:B,2,FALSE),[1]Customer!A:C,3,FALSE),"Not Specified")</f>
        <v>Veronesi, Giorgio</v>
      </c>
      <c r="G71" s="2" t="str">
        <f t="shared" si="2"/>
        <v>Veronesi Giorgio</v>
      </c>
      <c r="H71" s="8" t="str">
        <f>IFERROR(VLOOKUP(VLOOKUP(A71,'[1]Sales Order'!A:C,3,FALSE),[1]Employee!A:E,5,FALSE)&amp;" "&amp;VLOOKUP(VLOOKUP(A71,'[1]Sales Order'!A:C,3,FALSE),[1]Employee!A:C,3,FALSE)&amp;" "&amp;VLOOKUP(VLOOKUP(A71,'[1]Sales Order'!A:C,3,FALSE),[1]Employee!A:B,2,FALSE),"Not Specified")</f>
        <v>Ms. Judy Lew</v>
      </c>
      <c r="I71" t="str">
        <f>IFERROR(VLOOKUP(VLOOKUP(A71,'[1]Sales Order'!A:C,3,FALSE),[1]Employee!A:J,10,FALSE),"Not Specified")</f>
        <v>WA</v>
      </c>
      <c r="J71" t="str">
        <f>VLOOKUP(B71,[1]Product!A:B,2,FALSE)</f>
        <v>Product JYGFE</v>
      </c>
      <c r="K71" t="str">
        <f>VLOOKUP(VLOOKUP(B71,[1]Product!A:D,4,FALSE),[1]Category!A:B,2,FALSE)</f>
        <v>Beverages</v>
      </c>
      <c r="L71" s="10">
        <f>IFERROR(VLOOKUP(A71,'[1]Sales Order'!A:D,4,FALSE),"")</f>
        <v>38934</v>
      </c>
      <c r="M71" s="10">
        <f>IFERROR(VLOOKUP(A71,'[1]Sales Order'!A:F,6,FALSE),"")</f>
        <v>38941</v>
      </c>
      <c r="N71" t="str">
        <f>IFERROR(VLOOKUP(VLOOKUP(A71,'[1]Sales Order'!A:G,7,FALSE),[1]Shipper!A:B,2,FALSE),"Not Specified")</f>
        <v>Shipper ZHISN</v>
      </c>
      <c r="O71" t="str">
        <f>IFERROR(VLOOKUP(A71,'[1]Sales Order'!A:I,9,FALSE),"Not Specified")</f>
        <v>Ship to 63-A</v>
      </c>
      <c r="P71" t="str">
        <f>IFERROR(VLOOKUP(A71,'[1]Sales Order'!A:N,14,FALSE),"Not Specified")</f>
        <v>Germany</v>
      </c>
      <c r="Q71" t="str">
        <f>VLOOKUP(VLOOKUP(B71,[1]Product!A:C,3,FALSE),[1]Supplier!A:B,2,FALSE)</f>
        <v>Supplier ELCRN</v>
      </c>
      <c r="R71" t="str">
        <f>VLOOKUP(VLOOKUP(B71,[1]Product!A:C,3,FALSE),[1]Supplier!A:I,9,FALSE)</f>
        <v>Finland</v>
      </c>
      <c r="S71" t="str">
        <f>IFERROR(IF(VLOOKUP(A71,'[1]Sales Order'!A:H,8,FALSE)&gt;100,"High Freight","Low Freight"),"Not Specified")</f>
        <v>Low Freight</v>
      </c>
      <c r="T71">
        <f t="shared" si="3"/>
        <v>451.43999999999994</v>
      </c>
    </row>
    <row r="72" spans="1:20">
      <c r="A72" s="1">
        <v>10274</v>
      </c>
      <c r="B72" s="2">
        <v>71</v>
      </c>
      <c r="C72" s="2">
        <v>17.2</v>
      </c>
      <c r="D72" s="2">
        <v>20</v>
      </c>
      <c r="E72" s="3">
        <v>0</v>
      </c>
      <c r="F72" s="2" t="str">
        <f>IFERROR(VLOOKUP(VLOOKUP(A72,'[1]Sales Order'!A:B,2,FALSE),[1]Customer!A:C,3,FALSE),"Not Specified")</f>
        <v>McLin, Nkenge</v>
      </c>
      <c r="G72" s="2" t="str">
        <f t="shared" si="2"/>
        <v>McLin Nkenge</v>
      </c>
      <c r="H72" s="8" t="str">
        <f>IFERROR(VLOOKUP(VLOOKUP(A72,'[1]Sales Order'!A:C,3,FALSE),[1]Employee!A:E,5,FALSE)&amp;" "&amp;VLOOKUP(VLOOKUP(A72,'[1]Sales Order'!A:C,3,FALSE),[1]Employee!A:C,3,FALSE)&amp;" "&amp;VLOOKUP(VLOOKUP(A72,'[1]Sales Order'!A:C,3,FALSE),[1]Employee!A:B,2,FALSE),"Not Specified")</f>
        <v>Mr. Paul Suurs</v>
      </c>
      <c r="I72">
        <f>IFERROR(VLOOKUP(VLOOKUP(A72,'[1]Sales Order'!A:C,3,FALSE),[1]Employee!A:J,10,FALSE),"Not Specified")</f>
        <v>0</v>
      </c>
      <c r="J72" t="str">
        <f>VLOOKUP(B72,[1]Product!A:B,2,FALSE)</f>
        <v>Product MYMOI</v>
      </c>
      <c r="K72" t="str">
        <f>VLOOKUP(VLOOKUP(B72,[1]Product!A:D,4,FALSE),[1]Category!A:B,2,FALSE)</f>
        <v>Dairy Product</v>
      </c>
      <c r="L72" s="10">
        <f>IFERROR(VLOOKUP(A72,'[1]Sales Order'!A:D,4,FALSE),"")</f>
        <v>38935</v>
      </c>
      <c r="M72" s="10">
        <f>IFERROR(VLOOKUP(A72,'[1]Sales Order'!A:F,6,FALSE),"")</f>
        <v>38945</v>
      </c>
      <c r="N72" t="str">
        <f>IFERROR(VLOOKUP(VLOOKUP(A72,'[1]Sales Order'!A:G,7,FALSE),[1]Shipper!A:B,2,FALSE),"Not Specified")</f>
        <v>Shipper GVSUA</v>
      </c>
      <c r="O72" t="str">
        <f>IFERROR(VLOOKUP(A72,'[1]Sales Order'!A:I,9,FALSE),"Not Specified")</f>
        <v>Ship to 85-B</v>
      </c>
      <c r="P72" t="str">
        <f>IFERROR(VLOOKUP(A72,'[1]Sales Order'!A:N,14,FALSE),"Not Specified")</f>
        <v>France</v>
      </c>
      <c r="Q72" t="str">
        <f>VLOOKUP(VLOOKUP(B72,[1]Product!A:C,3,FALSE),[1]Supplier!A:B,2,FALSE)</f>
        <v>Supplier NZLIF</v>
      </c>
      <c r="R72" t="str">
        <f>VLOOKUP(VLOOKUP(B72,[1]Product!A:C,3,FALSE),[1]Supplier!A:I,9,FALSE)</f>
        <v>Norway</v>
      </c>
      <c r="S72" t="str">
        <f>IFERROR(IF(VLOOKUP(A72,'[1]Sales Order'!A:H,8,FALSE)&gt;100,"High Freight","Low Freight"),"Not Specified")</f>
        <v>Low Freight</v>
      </c>
      <c r="T72">
        <f t="shared" si="3"/>
        <v>344</v>
      </c>
    </row>
    <row r="73" spans="1:20">
      <c r="A73" s="1">
        <v>10274</v>
      </c>
      <c r="B73" s="2">
        <v>72</v>
      </c>
      <c r="C73" s="2">
        <v>27.8</v>
      </c>
      <c r="D73" s="2">
        <v>7</v>
      </c>
      <c r="E73" s="3">
        <v>0</v>
      </c>
      <c r="F73" s="2" t="str">
        <f>IFERROR(VLOOKUP(VLOOKUP(A73,'[1]Sales Order'!A:B,2,FALSE),[1]Customer!A:C,3,FALSE),"Not Specified")</f>
        <v>McLin, Nkenge</v>
      </c>
      <c r="G73" s="2" t="str">
        <f t="shared" si="2"/>
        <v>McLin Nkenge</v>
      </c>
      <c r="H73" s="8" t="str">
        <f>IFERROR(VLOOKUP(VLOOKUP(A73,'[1]Sales Order'!A:C,3,FALSE),[1]Employee!A:E,5,FALSE)&amp;" "&amp;VLOOKUP(VLOOKUP(A73,'[1]Sales Order'!A:C,3,FALSE),[1]Employee!A:C,3,FALSE)&amp;" "&amp;VLOOKUP(VLOOKUP(A73,'[1]Sales Order'!A:C,3,FALSE),[1]Employee!A:B,2,FALSE),"Not Specified")</f>
        <v>Mr. Paul Suurs</v>
      </c>
      <c r="I73">
        <f>IFERROR(VLOOKUP(VLOOKUP(A73,'[1]Sales Order'!A:C,3,FALSE),[1]Employee!A:J,10,FALSE),"Not Specified")</f>
        <v>0</v>
      </c>
      <c r="J73" t="str">
        <f>VLOOKUP(B73,[1]Product!A:B,2,FALSE)</f>
        <v>Product GEEOO</v>
      </c>
      <c r="K73" t="str">
        <f>VLOOKUP(VLOOKUP(B73,[1]Product!A:D,4,FALSE),[1]Category!A:B,2,FALSE)</f>
        <v>Dairy Product</v>
      </c>
      <c r="L73" s="10">
        <f>IFERROR(VLOOKUP(A73,'[1]Sales Order'!A:D,4,FALSE),"")</f>
        <v>38935</v>
      </c>
      <c r="M73" s="10">
        <f>IFERROR(VLOOKUP(A73,'[1]Sales Order'!A:F,6,FALSE),"")</f>
        <v>38945</v>
      </c>
      <c r="N73" t="str">
        <f>IFERROR(VLOOKUP(VLOOKUP(A73,'[1]Sales Order'!A:G,7,FALSE),[1]Shipper!A:B,2,FALSE),"Not Specified")</f>
        <v>Shipper GVSUA</v>
      </c>
      <c r="O73" t="str">
        <f>IFERROR(VLOOKUP(A73,'[1]Sales Order'!A:I,9,FALSE),"Not Specified")</f>
        <v>Ship to 85-B</v>
      </c>
      <c r="P73" t="str">
        <f>IFERROR(VLOOKUP(A73,'[1]Sales Order'!A:N,14,FALSE),"Not Specified")</f>
        <v>France</v>
      </c>
      <c r="Q73" t="str">
        <f>VLOOKUP(VLOOKUP(B73,[1]Product!A:C,3,FALSE),[1]Supplier!A:B,2,FALSE)</f>
        <v>Supplier KEREV</v>
      </c>
      <c r="R73" t="str">
        <f>VLOOKUP(VLOOKUP(B73,[1]Product!A:C,3,FALSE),[1]Supplier!A:I,9,FALSE)</f>
        <v>Italy</v>
      </c>
      <c r="S73" t="str">
        <f>IFERROR(IF(VLOOKUP(A73,'[1]Sales Order'!A:H,8,FALSE)&gt;100,"High Freight","Low Freight"),"Not Specified")</f>
        <v>Low Freight</v>
      </c>
      <c r="T73">
        <f t="shared" si="3"/>
        <v>194.6</v>
      </c>
    </row>
    <row r="74" spans="1:20">
      <c r="A74" s="1">
        <v>10275</v>
      </c>
      <c r="B74" s="2">
        <v>24</v>
      </c>
      <c r="C74" s="2">
        <v>3.6</v>
      </c>
      <c r="D74" s="2">
        <v>12</v>
      </c>
      <c r="E74" s="3">
        <v>0.05</v>
      </c>
      <c r="F74" s="2" t="str">
        <f>IFERROR(VLOOKUP(VLOOKUP(A74,'[1]Sales Order'!A:B,2,FALSE),[1]Customer!A:C,3,FALSE),"Not Specified")</f>
        <v>Duerr, Bernard</v>
      </c>
      <c r="G74" s="2" t="str">
        <f t="shared" si="2"/>
        <v>Duerr Bernard</v>
      </c>
      <c r="H74" s="8" t="str">
        <f>IFERROR(VLOOKUP(VLOOKUP(A74,'[1]Sales Order'!A:C,3,FALSE),[1]Employee!A:E,5,FALSE)&amp;" "&amp;VLOOKUP(VLOOKUP(A74,'[1]Sales Order'!A:C,3,FALSE),[1]Employee!A:C,3,FALSE)&amp;" "&amp;VLOOKUP(VLOOKUP(A74,'[1]Sales Order'!A:C,3,FALSE),[1]Employee!A:B,2,FALSE),"Not Specified")</f>
        <v>Ms. Sara Davis</v>
      </c>
      <c r="I74" t="str">
        <f>IFERROR(VLOOKUP(VLOOKUP(A74,'[1]Sales Order'!A:C,3,FALSE),[1]Employee!A:J,10,FALSE),"Not Specified")</f>
        <v>WA</v>
      </c>
      <c r="J74" t="str">
        <f>VLOOKUP(B74,[1]Product!A:B,2,FALSE)</f>
        <v>Product QOGNU</v>
      </c>
      <c r="K74" t="str">
        <f>VLOOKUP(VLOOKUP(B74,[1]Product!A:D,4,FALSE),[1]Category!A:B,2,FALSE)</f>
        <v>Beverages</v>
      </c>
      <c r="L74" s="10">
        <f>IFERROR(VLOOKUP(A74,'[1]Sales Order'!A:D,4,FALSE),"")</f>
        <v>38936</v>
      </c>
      <c r="M74" s="10">
        <f>IFERROR(VLOOKUP(A74,'[1]Sales Order'!A:F,6,FALSE),"")</f>
        <v>38938</v>
      </c>
      <c r="N74" t="str">
        <f>IFERROR(VLOOKUP(VLOOKUP(A74,'[1]Sales Order'!A:G,7,FALSE),[1]Shipper!A:B,2,FALSE),"Not Specified")</f>
        <v>Shipper GVSUA</v>
      </c>
      <c r="O74" t="str">
        <f>IFERROR(VLOOKUP(A74,'[1]Sales Order'!A:I,9,FALSE),"Not Specified")</f>
        <v>Ship to 49-A</v>
      </c>
      <c r="P74" t="str">
        <f>IFERROR(VLOOKUP(A74,'[1]Sales Order'!A:N,14,FALSE),"Not Specified")</f>
        <v>Italy</v>
      </c>
      <c r="Q74" t="str">
        <f>VLOOKUP(VLOOKUP(B74,[1]Product!A:C,3,FALSE),[1]Supplier!A:B,2,FALSE)</f>
        <v>Supplier UNAHG</v>
      </c>
      <c r="R74" t="str">
        <f>VLOOKUP(VLOOKUP(B74,[1]Product!A:C,3,FALSE),[1]Supplier!A:I,9,FALSE)</f>
        <v>Brazil</v>
      </c>
      <c r="S74" t="str">
        <f>IFERROR(IF(VLOOKUP(A74,'[1]Sales Order'!A:H,8,FALSE)&gt;100,"High Freight","Low Freight"),"Not Specified")</f>
        <v>Low Freight</v>
      </c>
      <c r="T74">
        <f t="shared" si="3"/>
        <v>41.04</v>
      </c>
    </row>
    <row r="75" spans="1:20">
      <c r="A75" s="1">
        <v>10275</v>
      </c>
      <c r="B75" s="2">
        <v>59</v>
      </c>
      <c r="C75" s="2">
        <v>44</v>
      </c>
      <c r="D75" s="2">
        <v>6</v>
      </c>
      <c r="E75" s="3">
        <v>0.05</v>
      </c>
      <c r="F75" s="2" t="str">
        <f>IFERROR(VLOOKUP(VLOOKUP(A75,'[1]Sales Order'!A:B,2,FALSE),[1]Customer!A:C,3,FALSE),"Not Specified")</f>
        <v>Duerr, Bernard</v>
      </c>
      <c r="G75" s="2" t="str">
        <f t="shared" si="2"/>
        <v>Duerr Bernard</v>
      </c>
      <c r="H75" s="8" t="str">
        <f>IFERROR(VLOOKUP(VLOOKUP(A75,'[1]Sales Order'!A:C,3,FALSE),[1]Employee!A:E,5,FALSE)&amp;" "&amp;VLOOKUP(VLOOKUP(A75,'[1]Sales Order'!A:C,3,FALSE),[1]Employee!A:C,3,FALSE)&amp;" "&amp;VLOOKUP(VLOOKUP(A75,'[1]Sales Order'!A:C,3,FALSE),[1]Employee!A:B,2,FALSE),"Not Specified")</f>
        <v>Ms. Sara Davis</v>
      </c>
      <c r="I75" t="str">
        <f>IFERROR(VLOOKUP(VLOOKUP(A75,'[1]Sales Order'!A:C,3,FALSE),[1]Employee!A:J,10,FALSE),"Not Specified")</f>
        <v>WA</v>
      </c>
      <c r="J75" t="str">
        <f>VLOOKUP(B75,[1]Product!A:B,2,FALSE)</f>
        <v>Product UKXRI</v>
      </c>
      <c r="K75" t="str">
        <f>VLOOKUP(VLOOKUP(B75,[1]Product!A:D,4,FALSE),[1]Category!A:B,2,FALSE)</f>
        <v>Dairy Product</v>
      </c>
      <c r="L75" s="10">
        <f>IFERROR(VLOOKUP(A75,'[1]Sales Order'!A:D,4,FALSE),"")</f>
        <v>38936</v>
      </c>
      <c r="M75" s="10">
        <f>IFERROR(VLOOKUP(A75,'[1]Sales Order'!A:F,6,FALSE),"")</f>
        <v>38938</v>
      </c>
      <c r="N75" t="str">
        <f>IFERROR(VLOOKUP(VLOOKUP(A75,'[1]Sales Order'!A:G,7,FALSE),[1]Shipper!A:B,2,FALSE),"Not Specified")</f>
        <v>Shipper GVSUA</v>
      </c>
      <c r="O75" t="str">
        <f>IFERROR(VLOOKUP(A75,'[1]Sales Order'!A:I,9,FALSE),"Not Specified")</f>
        <v>Ship to 49-A</v>
      </c>
      <c r="P75" t="str">
        <f>IFERROR(VLOOKUP(A75,'[1]Sales Order'!A:N,14,FALSE),"Not Specified")</f>
        <v>Italy</v>
      </c>
      <c r="Q75" t="str">
        <f>VLOOKUP(VLOOKUP(B75,[1]Product!A:C,3,FALSE),[1]Supplier!A:B,2,FALSE)</f>
        <v>Supplier OAVQT</v>
      </c>
      <c r="R75" t="str">
        <f>VLOOKUP(VLOOKUP(B75,[1]Product!A:C,3,FALSE),[1]Supplier!A:I,9,FALSE)</f>
        <v>France</v>
      </c>
      <c r="S75" t="str">
        <f>IFERROR(IF(VLOOKUP(A75,'[1]Sales Order'!A:H,8,FALSE)&gt;100,"High Freight","Low Freight"),"Not Specified")</f>
        <v>Low Freight</v>
      </c>
      <c r="T75">
        <f t="shared" si="3"/>
        <v>250.79999999999998</v>
      </c>
    </row>
    <row r="76" spans="1:20">
      <c r="A76" s="1">
        <v>10276</v>
      </c>
      <c r="B76" s="2">
        <v>10</v>
      </c>
      <c r="C76" s="2">
        <v>24.8</v>
      </c>
      <c r="D76" s="2">
        <v>15</v>
      </c>
      <c r="E76" s="3">
        <v>0</v>
      </c>
      <c r="F76" s="2" t="str">
        <f>IFERROR(VLOOKUP(VLOOKUP(A76,'[1]Sales Order'!A:B,2,FALSE),[1]Customer!A:C,3,FALSE),"Not Specified")</f>
        <v>Geschwandtner, Jens</v>
      </c>
      <c r="G76" s="2" t="str">
        <f t="shared" si="2"/>
        <v>Geschwandtner Jens</v>
      </c>
      <c r="H76" s="8" t="str">
        <f>IFERROR(VLOOKUP(VLOOKUP(A76,'[1]Sales Order'!A:C,3,FALSE),[1]Employee!A:E,5,FALSE)&amp;" "&amp;VLOOKUP(VLOOKUP(A76,'[1]Sales Order'!A:C,3,FALSE),[1]Employee!A:C,3,FALSE)&amp;" "&amp;VLOOKUP(VLOOKUP(A76,'[1]Sales Order'!A:C,3,FALSE),[1]Employee!A:B,2,FALSE),"Not Specified")</f>
        <v>Ms. Maria Cameron</v>
      </c>
      <c r="I76" t="str">
        <f>IFERROR(VLOOKUP(VLOOKUP(A76,'[1]Sales Order'!A:C,3,FALSE),[1]Employee!A:J,10,FALSE),"Not Specified")</f>
        <v>WA</v>
      </c>
      <c r="J76" t="str">
        <f>VLOOKUP(B76,[1]Product!A:B,2,FALSE)</f>
        <v>Product YHXGE</v>
      </c>
      <c r="K76" t="str">
        <f>VLOOKUP(VLOOKUP(B76,[1]Product!A:D,4,FALSE),[1]Category!A:B,2,FALSE)</f>
        <v>Seafood</v>
      </c>
      <c r="L76" s="10">
        <f>IFERROR(VLOOKUP(A76,'[1]Sales Order'!A:D,4,FALSE),"")</f>
        <v>38937</v>
      </c>
      <c r="M76" s="10">
        <f>IFERROR(VLOOKUP(A76,'[1]Sales Order'!A:F,6,FALSE),"")</f>
        <v>38943</v>
      </c>
      <c r="N76" t="str">
        <f>IFERROR(VLOOKUP(VLOOKUP(A76,'[1]Sales Order'!A:G,7,FALSE),[1]Shipper!A:B,2,FALSE),"Not Specified")</f>
        <v>Shipper ZHISN</v>
      </c>
      <c r="O76" t="str">
        <f>IFERROR(VLOOKUP(A76,'[1]Sales Order'!A:I,9,FALSE),"Not Specified")</f>
        <v>Ship to 80-C</v>
      </c>
      <c r="P76" t="str">
        <f>IFERROR(VLOOKUP(A76,'[1]Sales Order'!A:N,14,FALSE),"Not Specified")</f>
        <v>Mexico</v>
      </c>
      <c r="Q76" t="str">
        <f>VLOOKUP(VLOOKUP(B76,[1]Product!A:C,3,FALSE),[1]Supplier!A:B,2,FALSE)</f>
        <v>Supplier QOVFD</v>
      </c>
      <c r="R76" t="str">
        <f>VLOOKUP(VLOOKUP(B76,[1]Product!A:C,3,FALSE),[1]Supplier!A:I,9,FALSE)</f>
        <v>Japan</v>
      </c>
      <c r="S76" t="str">
        <f>IFERROR(IF(VLOOKUP(A76,'[1]Sales Order'!A:H,8,FALSE)&gt;100,"High Freight","Low Freight"),"Not Specified")</f>
        <v>Low Freight</v>
      </c>
      <c r="T76">
        <f t="shared" si="3"/>
        <v>372</v>
      </c>
    </row>
    <row r="77" spans="1:20">
      <c r="A77" s="1">
        <v>10276</v>
      </c>
      <c r="B77" s="2">
        <v>13</v>
      </c>
      <c r="C77" s="2">
        <v>4.8</v>
      </c>
      <c r="D77" s="2">
        <v>10</v>
      </c>
      <c r="E77" s="3">
        <v>0</v>
      </c>
      <c r="F77" s="2" t="str">
        <f>IFERROR(VLOOKUP(VLOOKUP(A77,'[1]Sales Order'!A:B,2,FALSE),[1]Customer!A:C,3,FALSE),"Not Specified")</f>
        <v>Geschwandtner, Jens</v>
      </c>
      <c r="G77" s="2" t="str">
        <f t="shared" si="2"/>
        <v>Geschwandtner Jens</v>
      </c>
      <c r="H77" s="8" t="str">
        <f>IFERROR(VLOOKUP(VLOOKUP(A77,'[1]Sales Order'!A:C,3,FALSE),[1]Employee!A:E,5,FALSE)&amp;" "&amp;VLOOKUP(VLOOKUP(A77,'[1]Sales Order'!A:C,3,FALSE),[1]Employee!A:C,3,FALSE)&amp;" "&amp;VLOOKUP(VLOOKUP(A77,'[1]Sales Order'!A:C,3,FALSE),[1]Employee!A:B,2,FALSE),"Not Specified")</f>
        <v>Ms. Maria Cameron</v>
      </c>
      <c r="I77" t="str">
        <f>IFERROR(VLOOKUP(VLOOKUP(A77,'[1]Sales Order'!A:C,3,FALSE),[1]Employee!A:J,10,FALSE),"Not Specified")</f>
        <v>WA</v>
      </c>
      <c r="J77" t="str">
        <f>VLOOKUP(B77,[1]Product!A:B,2,FALSE)</f>
        <v>Product POXFU</v>
      </c>
      <c r="K77" t="str">
        <f>VLOOKUP(VLOOKUP(B77,[1]Product!A:D,4,FALSE),[1]Category!A:B,2,FALSE)</f>
        <v>Seafood</v>
      </c>
      <c r="L77" s="10">
        <f>IFERROR(VLOOKUP(A77,'[1]Sales Order'!A:D,4,FALSE),"")</f>
        <v>38937</v>
      </c>
      <c r="M77" s="10">
        <f>IFERROR(VLOOKUP(A77,'[1]Sales Order'!A:F,6,FALSE),"")</f>
        <v>38943</v>
      </c>
      <c r="N77" t="str">
        <f>IFERROR(VLOOKUP(VLOOKUP(A77,'[1]Sales Order'!A:G,7,FALSE),[1]Shipper!A:B,2,FALSE),"Not Specified")</f>
        <v>Shipper ZHISN</v>
      </c>
      <c r="O77" t="str">
        <f>IFERROR(VLOOKUP(A77,'[1]Sales Order'!A:I,9,FALSE),"Not Specified")</f>
        <v>Ship to 80-C</v>
      </c>
      <c r="P77" t="str">
        <f>IFERROR(VLOOKUP(A77,'[1]Sales Order'!A:N,14,FALSE),"Not Specified")</f>
        <v>Mexico</v>
      </c>
      <c r="Q77" t="str">
        <f>VLOOKUP(VLOOKUP(B77,[1]Product!A:C,3,FALSE),[1]Supplier!A:B,2,FALSE)</f>
        <v>Supplier QWUSF</v>
      </c>
      <c r="R77" t="str">
        <f>VLOOKUP(VLOOKUP(B77,[1]Product!A:C,3,FALSE),[1]Supplier!A:I,9,FALSE)</f>
        <v>Japan</v>
      </c>
      <c r="S77" t="str">
        <f>IFERROR(IF(VLOOKUP(A77,'[1]Sales Order'!A:H,8,FALSE)&gt;100,"High Freight","Low Freight"),"Not Specified")</f>
        <v>Low Freight</v>
      </c>
      <c r="T77">
        <f t="shared" si="3"/>
        <v>48</v>
      </c>
    </row>
    <row r="78" spans="1:20">
      <c r="A78" s="1">
        <v>10277</v>
      </c>
      <c r="B78" s="2">
        <v>28</v>
      </c>
      <c r="C78" s="2">
        <v>36.4</v>
      </c>
      <c r="D78" s="2">
        <v>20</v>
      </c>
      <c r="E78" s="3">
        <v>0</v>
      </c>
      <c r="F78" s="2" t="str">
        <f>IFERROR(VLOOKUP(VLOOKUP(A78,'[1]Sales Order'!A:B,2,FALSE),[1]Customer!A:C,3,FALSE),"Not Specified")</f>
        <v>Dupont-Roc, Patrice</v>
      </c>
      <c r="G78" s="2" t="str">
        <f t="shared" si="2"/>
        <v>Dupont-Roc Patrice</v>
      </c>
      <c r="H78" s="8" t="str">
        <f>IFERROR(VLOOKUP(VLOOKUP(A78,'[1]Sales Order'!A:C,3,FALSE),[1]Employee!A:E,5,FALSE)&amp;" "&amp;VLOOKUP(VLOOKUP(A78,'[1]Sales Order'!A:C,3,FALSE),[1]Employee!A:C,3,FALSE)&amp;" "&amp;VLOOKUP(VLOOKUP(A78,'[1]Sales Order'!A:C,3,FALSE),[1]Employee!A:B,2,FALSE),"Not Specified")</f>
        <v>Dr. Don Funk</v>
      </c>
      <c r="I78" t="str">
        <f>IFERROR(VLOOKUP(VLOOKUP(A78,'[1]Sales Order'!A:C,3,FALSE),[1]Employee!A:J,10,FALSE),"Not Specified")</f>
        <v>WA</v>
      </c>
      <c r="J78" t="str">
        <f>VLOOKUP(B78,[1]Product!A:B,2,FALSE)</f>
        <v>Product OFBNT</v>
      </c>
      <c r="K78" t="str">
        <f>VLOOKUP(VLOOKUP(B78,[1]Product!A:D,4,FALSE),[1]Category!A:B,2,FALSE)</f>
        <v>Produce</v>
      </c>
      <c r="L78" s="10">
        <f>IFERROR(VLOOKUP(A78,'[1]Sales Order'!A:D,4,FALSE),"")</f>
        <v>38938</v>
      </c>
      <c r="M78" s="10">
        <f>IFERROR(VLOOKUP(A78,'[1]Sales Order'!A:F,6,FALSE),"")</f>
        <v>38942</v>
      </c>
      <c r="N78" t="str">
        <f>IFERROR(VLOOKUP(VLOOKUP(A78,'[1]Sales Order'!A:G,7,FALSE),[1]Shipper!A:B,2,FALSE),"Not Specified")</f>
        <v>Shipper ZHISN</v>
      </c>
      <c r="O78" t="str">
        <f>IFERROR(VLOOKUP(A78,'[1]Sales Order'!A:I,9,FALSE),"Not Specified")</f>
        <v>Ship to 52-A</v>
      </c>
      <c r="P78" t="str">
        <f>IFERROR(VLOOKUP(A78,'[1]Sales Order'!A:N,14,FALSE),"Not Specified")</f>
        <v>Germany</v>
      </c>
      <c r="Q78" t="str">
        <f>VLOOKUP(VLOOKUP(B78,[1]Product!A:C,3,FALSE),[1]Supplier!A:B,2,FALSE)</f>
        <v>Supplier SVIYA</v>
      </c>
      <c r="R78" t="str">
        <f>VLOOKUP(VLOOKUP(B78,[1]Product!A:C,3,FALSE),[1]Supplier!A:I,9,FALSE)</f>
        <v>Germany</v>
      </c>
      <c r="S78" t="str">
        <f>IFERROR(IF(VLOOKUP(A78,'[1]Sales Order'!A:H,8,FALSE)&gt;100,"High Freight","Low Freight"),"Not Specified")</f>
        <v>High Freight</v>
      </c>
      <c r="T78">
        <f t="shared" si="3"/>
        <v>728</v>
      </c>
    </row>
    <row r="79" spans="1:20">
      <c r="A79" s="1">
        <v>10277</v>
      </c>
      <c r="B79" s="2">
        <v>62</v>
      </c>
      <c r="C79" s="2">
        <v>39.4</v>
      </c>
      <c r="D79" s="2">
        <v>12</v>
      </c>
      <c r="E79" s="3">
        <v>0</v>
      </c>
      <c r="F79" s="2" t="str">
        <f>IFERROR(VLOOKUP(VLOOKUP(A79,'[1]Sales Order'!A:B,2,FALSE),[1]Customer!A:C,3,FALSE),"Not Specified")</f>
        <v>Dupont-Roc, Patrice</v>
      </c>
      <c r="G79" s="2" t="str">
        <f t="shared" si="2"/>
        <v>Dupont-Roc Patrice</v>
      </c>
      <c r="H79" s="8" t="str">
        <f>IFERROR(VLOOKUP(VLOOKUP(A79,'[1]Sales Order'!A:C,3,FALSE),[1]Employee!A:E,5,FALSE)&amp;" "&amp;VLOOKUP(VLOOKUP(A79,'[1]Sales Order'!A:C,3,FALSE),[1]Employee!A:C,3,FALSE)&amp;" "&amp;VLOOKUP(VLOOKUP(A79,'[1]Sales Order'!A:C,3,FALSE),[1]Employee!A:B,2,FALSE),"Not Specified")</f>
        <v>Dr. Don Funk</v>
      </c>
      <c r="I79" t="str">
        <f>IFERROR(VLOOKUP(VLOOKUP(A79,'[1]Sales Order'!A:C,3,FALSE),[1]Employee!A:J,10,FALSE),"Not Specified")</f>
        <v>WA</v>
      </c>
      <c r="J79" t="str">
        <f>VLOOKUP(B79,[1]Product!A:B,2,FALSE)</f>
        <v>Product WUXYK</v>
      </c>
      <c r="K79" t="str">
        <f>VLOOKUP(VLOOKUP(B79,[1]Product!A:D,4,FALSE),[1]Category!A:B,2,FALSE)</f>
        <v>Confections</v>
      </c>
      <c r="L79" s="10">
        <f>IFERROR(VLOOKUP(A79,'[1]Sales Order'!A:D,4,FALSE),"")</f>
        <v>38938</v>
      </c>
      <c r="M79" s="10">
        <f>IFERROR(VLOOKUP(A79,'[1]Sales Order'!A:F,6,FALSE),"")</f>
        <v>38942</v>
      </c>
      <c r="N79" t="str">
        <f>IFERROR(VLOOKUP(VLOOKUP(A79,'[1]Sales Order'!A:G,7,FALSE),[1]Shipper!A:B,2,FALSE),"Not Specified")</f>
        <v>Shipper ZHISN</v>
      </c>
      <c r="O79" t="str">
        <f>IFERROR(VLOOKUP(A79,'[1]Sales Order'!A:I,9,FALSE),"Not Specified")</f>
        <v>Ship to 52-A</v>
      </c>
      <c r="P79" t="str">
        <f>IFERROR(VLOOKUP(A79,'[1]Sales Order'!A:N,14,FALSE),"Not Specified")</f>
        <v>Germany</v>
      </c>
      <c r="Q79" t="str">
        <f>VLOOKUP(VLOOKUP(B79,[1]Product!A:C,3,FALSE),[1]Supplier!A:B,2,FALSE)</f>
        <v>Supplier OGLRK</v>
      </c>
      <c r="R79" t="str">
        <f>VLOOKUP(VLOOKUP(B79,[1]Product!A:C,3,FALSE),[1]Supplier!A:I,9,FALSE)</f>
        <v>Canada</v>
      </c>
      <c r="S79" t="str">
        <f>IFERROR(IF(VLOOKUP(A79,'[1]Sales Order'!A:H,8,FALSE)&gt;100,"High Freight","Low Freight"),"Not Specified")</f>
        <v>High Freight</v>
      </c>
      <c r="T79">
        <f t="shared" si="3"/>
        <v>472.79999999999995</v>
      </c>
    </row>
    <row r="80" spans="1:20">
      <c r="A80" s="1">
        <v>10278</v>
      </c>
      <c r="B80" s="2">
        <v>44</v>
      </c>
      <c r="C80" s="2">
        <v>15.5</v>
      </c>
      <c r="D80" s="2">
        <v>16</v>
      </c>
      <c r="E80" s="3">
        <v>0</v>
      </c>
      <c r="F80" s="2" t="str">
        <f>IFERROR(VLOOKUP(VLOOKUP(A80,'[1]Sales Order'!A:B,2,FALSE),[1]Customer!A:C,3,FALSE),"Not Specified")</f>
        <v>Higginbotham, Tom</v>
      </c>
      <c r="G80" s="2" t="str">
        <f t="shared" si="2"/>
        <v>Higginbotham Tom</v>
      </c>
      <c r="H80" s="8" t="str">
        <f>IFERROR(VLOOKUP(VLOOKUP(A80,'[1]Sales Order'!A:C,3,FALSE),[1]Employee!A:E,5,FALSE)&amp;" "&amp;VLOOKUP(VLOOKUP(A80,'[1]Sales Order'!A:C,3,FALSE),[1]Employee!A:C,3,FALSE)&amp;" "&amp;VLOOKUP(VLOOKUP(A80,'[1]Sales Order'!A:C,3,FALSE),[1]Employee!A:B,2,FALSE),"Not Specified")</f>
        <v>Ms. Maria Cameron</v>
      </c>
      <c r="I80" t="str">
        <f>IFERROR(VLOOKUP(VLOOKUP(A80,'[1]Sales Order'!A:C,3,FALSE),[1]Employee!A:J,10,FALSE),"Not Specified")</f>
        <v>WA</v>
      </c>
      <c r="J80" t="str">
        <f>VLOOKUP(B80,[1]Product!A:B,2,FALSE)</f>
        <v>Product VJIEO</v>
      </c>
      <c r="K80" t="str">
        <f>VLOOKUP(VLOOKUP(B80,[1]Product!A:D,4,FALSE),[1]Category!A:B,2,FALSE)</f>
        <v>Condiments</v>
      </c>
      <c r="L80" s="10">
        <f>IFERROR(VLOOKUP(A80,'[1]Sales Order'!A:D,4,FALSE),"")</f>
        <v>38941</v>
      </c>
      <c r="M80" s="10">
        <f>IFERROR(VLOOKUP(A80,'[1]Sales Order'!A:F,6,FALSE),"")</f>
        <v>38945</v>
      </c>
      <c r="N80" t="str">
        <f>IFERROR(VLOOKUP(VLOOKUP(A80,'[1]Sales Order'!A:G,7,FALSE),[1]Shipper!A:B,2,FALSE),"Not Specified")</f>
        <v>Shipper ETYNR</v>
      </c>
      <c r="O80" t="str">
        <f>IFERROR(VLOOKUP(A80,'[1]Sales Order'!A:I,9,FALSE),"Not Specified")</f>
        <v>Ship to 5-C</v>
      </c>
      <c r="P80" t="str">
        <f>IFERROR(VLOOKUP(A80,'[1]Sales Order'!A:N,14,FALSE),"Not Specified")</f>
        <v>Sweden</v>
      </c>
      <c r="Q80" t="str">
        <f>VLOOKUP(VLOOKUP(B80,[1]Product!A:C,3,FALSE),[1]Supplier!A:B,2,FALSE)</f>
        <v>Supplier CIYNM</v>
      </c>
      <c r="R80" t="str">
        <f>VLOOKUP(VLOOKUP(B80,[1]Product!A:C,3,FALSE),[1]Supplier!A:I,9,FALSE)</f>
        <v>Singapore</v>
      </c>
      <c r="S80" t="str">
        <f>IFERROR(IF(VLOOKUP(A80,'[1]Sales Order'!A:H,8,FALSE)&gt;100,"High Freight","Low Freight"),"Not Specified")</f>
        <v>Low Freight</v>
      </c>
      <c r="T80">
        <f t="shared" si="3"/>
        <v>248</v>
      </c>
    </row>
    <row r="81" spans="1:20">
      <c r="A81" s="1">
        <v>10278</v>
      </c>
      <c r="B81" s="2">
        <v>59</v>
      </c>
      <c r="C81" s="2">
        <v>44</v>
      </c>
      <c r="D81" s="2">
        <v>15</v>
      </c>
      <c r="E81" s="3">
        <v>0</v>
      </c>
      <c r="F81" s="2" t="str">
        <f>IFERROR(VLOOKUP(VLOOKUP(A81,'[1]Sales Order'!A:B,2,FALSE),[1]Customer!A:C,3,FALSE),"Not Specified")</f>
        <v>Higginbotham, Tom</v>
      </c>
      <c r="G81" s="2" t="str">
        <f t="shared" si="2"/>
        <v>Higginbotham Tom</v>
      </c>
      <c r="H81" s="8" t="str">
        <f>IFERROR(VLOOKUP(VLOOKUP(A81,'[1]Sales Order'!A:C,3,FALSE),[1]Employee!A:E,5,FALSE)&amp;" "&amp;VLOOKUP(VLOOKUP(A81,'[1]Sales Order'!A:C,3,FALSE),[1]Employee!A:C,3,FALSE)&amp;" "&amp;VLOOKUP(VLOOKUP(A81,'[1]Sales Order'!A:C,3,FALSE),[1]Employee!A:B,2,FALSE),"Not Specified")</f>
        <v>Ms. Maria Cameron</v>
      </c>
      <c r="I81" t="str">
        <f>IFERROR(VLOOKUP(VLOOKUP(A81,'[1]Sales Order'!A:C,3,FALSE),[1]Employee!A:J,10,FALSE),"Not Specified")</f>
        <v>WA</v>
      </c>
      <c r="J81" t="str">
        <f>VLOOKUP(B81,[1]Product!A:B,2,FALSE)</f>
        <v>Product UKXRI</v>
      </c>
      <c r="K81" t="str">
        <f>VLOOKUP(VLOOKUP(B81,[1]Product!A:D,4,FALSE),[1]Category!A:B,2,FALSE)</f>
        <v>Dairy Product</v>
      </c>
      <c r="L81" s="10">
        <f>IFERROR(VLOOKUP(A81,'[1]Sales Order'!A:D,4,FALSE),"")</f>
        <v>38941</v>
      </c>
      <c r="M81" s="10">
        <f>IFERROR(VLOOKUP(A81,'[1]Sales Order'!A:F,6,FALSE),"")</f>
        <v>38945</v>
      </c>
      <c r="N81" t="str">
        <f>IFERROR(VLOOKUP(VLOOKUP(A81,'[1]Sales Order'!A:G,7,FALSE),[1]Shipper!A:B,2,FALSE),"Not Specified")</f>
        <v>Shipper ETYNR</v>
      </c>
      <c r="O81" t="str">
        <f>IFERROR(VLOOKUP(A81,'[1]Sales Order'!A:I,9,FALSE),"Not Specified")</f>
        <v>Ship to 5-C</v>
      </c>
      <c r="P81" t="str">
        <f>IFERROR(VLOOKUP(A81,'[1]Sales Order'!A:N,14,FALSE),"Not Specified")</f>
        <v>Sweden</v>
      </c>
      <c r="Q81" t="str">
        <f>VLOOKUP(VLOOKUP(B81,[1]Product!A:C,3,FALSE),[1]Supplier!A:B,2,FALSE)</f>
        <v>Supplier OAVQT</v>
      </c>
      <c r="R81" t="str">
        <f>VLOOKUP(VLOOKUP(B81,[1]Product!A:C,3,FALSE),[1]Supplier!A:I,9,FALSE)</f>
        <v>France</v>
      </c>
      <c r="S81" t="str">
        <f>IFERROR(IF(VLOOKUP(A81,'[1]Sales Order'!A:H,8,FALSE)&gt;100,"High Freight","Low Freight"),"Not Specified")</f>
        <v>Low Freight</v>
      </c>
      <c r="T81">
        <f t="shared" si="3"/>
        <v>660</v>
      </c>
    </row>
    <row r="82" spans="1:20">
      <c r="A82" s="1">
        <v>10278</v>
      </c>
      <c r="B82" s="2">
        <v>63</v>
      </c>
      <c r="C82" s="2">
        <v>35.1</v>
      </c>
      <c r="D82" s="2">
        <v>8</v>
      </c>
      <c r="E82" s="3">
        <v>0</v>
      </c>
      <c r="F82" s="2" t="str">
        <f>IFERROR(VLOOKUP(VLOOKUP(A82,'[1]Sales Order'!A:B,2,FALSE),[1]Customer!A:C,3,FALSE),"Not Specified")</f>
        <v>Higginbotham, Tom</v>
      </c>
      <c r="G82" s="2" t="str">
        <f t="shared" si="2"/>
        <v>Higginbotham Tom</v>
      </c>
      <c r="H82" s="8" t="str">
        <f>IFERROR(VLOOKUP(VLOOKUP(A82,'[1]Sales Order'!A:C,3,FALSE),[1]Employee!A:E,5,FALSE)&amp;" "&amp;VLOOKUP(VLOOKUP(A82,'[1]Sales Order'!A:C,3,FALSE),[1]Employee!A:C,3,FALSE)&amp;" "&amp;VLOOKUP(VLOOKUP(A82,'[1]Sales Order'!A:C,3,FALSE),[1]Employee!A:B,2,FALSE),"Not Specified")</f>
        <v>Ms. Maria Cameron</v>
      </c>
      <c r="I82" t="str">
        <f>IFERROR(VLOOKUP(VLOOKUP(A82,'[1]Sales Order'!A:C,3,FALSE),[1]Employee!A:J,10,FALSE),"Not Specified")</f>
        <v>WA</v>
      </c>
      <c r="J82" t="str">
        <f>VLOOKUP(B82,[1]Product!A:B,2,FALSE)</f>
        <v>Product ICKNK</v>
      </c>
      <c r="K82" t="str">
        <f>VLOOKUP(VLOOKUP(B82,[1]Product!A:D,4,FALSE),[1]Category!A:B,2,FALSE)</f>
        <v>Condiments</v>
      </c>
      <c r="L82" s="10">
        <f>IFERROR(VLOOKUP(A82,'[1]Sales Order'!A:D,4,FALSE),"")</f>
        <v>38941</v>
      </c>
      <c r="M82" s="10">
        <f>IFERROR(VLOOKUP(A82,'[1]Sales Order'!A:F,6,FALSE),"")</f>
        <v>38945</v>
      </c>
      <c r="N82" t="str">
        <f>IFERROR(VLOOKUP(VLOOKUP(A82,'[1]Sales Order'!A:G,7,FALSE),[1]Shipper!A:B,2,FALSE),"Not Specified")</f>
        <v>Shipper ETYNR</v>
      </c>
      <c r="O82" t="str">
        <f>IFERROR(VLOOKUP(A82,'[1]Sales Order'!A:I,9,FALSE),"Not Specified")</f>
        <v>Ship to 5-C</v>
      </c>
      <c r="P82" t="str">
        <f>IFERROR(VLOOKUP(A82,'[1]Sales Order'!A:N,14,FALSE),"Not Specified")</f>
        <v>Sweden</v>
      </c>
      <c r="Q82" t="str">
        <f>VLOOKUP(VLOOKUP(B82,[1]Product!A:C,3,FALSE),[1]Supplier!A:B,2,FALSE)</f>
        <v>Supplier GQRCV</v>
      </c>
      <c r="R82" t="str">
        <f>VLOOKUP(VLOOKUP(B82,[1]Product!A:C,3,FALSE),[1]Supplier!A:I,9,FALSE)</f>
        <v>Australia</v>
      </c>
      <c r="S82" t="str">
        <f>IFERROR(IF(VLOOKUP(A82,'[1]Sales Order'!A:H,8,FALSE)&gt;100,"High Freight","Low Freight"),"Not Specified")</f>
        <v>Low Freight</v>
      </c>
      <c r="T82">
        <f t="shared" si="3"/>
        <v>280.8</v>
      </c>
    </row>
    <row r="83" spans="1:20">
      <c r="A83" s="1">
        <v>10278</v>
      </c>
      <c r="B83" s="2">
        <v>73</v>
      </c>
      <c r="C83" s="2">
        <v>12</v>
      </c>
      <c r="D83" s="2">
        <v>25</v>
      </c>
      <c r="E83" s="3">
        <v>0</v>
      </c>
      <c r="F83" s="2" t="str">
        <f>IFERROR(VLOOKUP(VLOOKUP(A83,'[1]Sales Order'!A:B,2,FALSE),[1]Customer!A:C,3,FALSE),"Not Specified")</f>
        <v>Higginbotham, Tom</v>
      </c>
      <c r="G83" s="2" t="str">
        <f t="shared" si="2"/>
        <v>Higginbotham Tom</v>
      </c>
      <c r="H83" s="8" t="str">
        <f>IFERROR(VLOOKUP(VLOOKUP(A83,'[1]Sales Order'!A:C,3,FALSE),[1]Employee!A:E,5,FALSE)&amp;" "&amp;VLOOKUP(VLOOKUP(A83,'[1]Sales Order'!A:C,3,FALSE),[1]Employee!A:C,3,FALSE)&amp;" "&amp;VLOOKUP(VLOOKUP(A83,'[1]Sales Order'!A:C,3,FALSE),[1]Employee!A:B,2,FALSE),"Not Specified")</f>
        <v>Ms. Maria Cameron</v>
      </c>
      <c r="I83" t="str">
        <f>IFERROR(VLOOKUP(VLOOKUP(A83,'[1]Sales Order'!A:C,3,FALSE),[1]Employee!A:J,10,FALSE),"Not Specified")</f>
        <v>WA</v>
      </c>
      <c r="J83" t="str">
        <f>VLOOKUP(B83,[1]Product!A:B,2,FALSE)</f>
        <v>Product WEUJZ</v>
      </c>
      <c r="K83" t="str">
        <f>VLOOKUP(VLOOKUP(B83,[1]Product!A:D,4,FALSE),[1]Category!A:B,2,FALSE)</f>
        <v>Seafood</v>
      </c>
      <c r="L83" s="10">
        <f>IFERROR(VLOOKUP(A83,'[1]Sales Order'!A:D,4,FALSE),"")</f>
        <v>38941</v>
      </c>
      <c r="M83" s="10">
        <f>IFERROR(VLOOKUP(A83,'[1]Sales Order'!A:F,6,FALSE),"")</f>
        <v>38945</v>
      </c>
      <c r="N83" t="str">
        <f>IFERROR(VLOOKUP(VLOOKUP(A83,'[1]Sales Order'!A:G,7,FALSE),[1]Shipper!A:B,2,FALSE),"Not Specified")</f>
        <v>Shipper ETYNR</v>
      </c>
      <c r="O83" t="str">
        <f>IFERROR(VLOOKUP(A83,'[1]Sales Order'!A:I,9,FALSE),"Not Specified")</f>
        <v>Ship to 5-C</v>
      </c>
      <c r="P83" t="str">
        <f>IFERROR(VLOOKUP(A83,'[1]Sales Order'!A:N,14,FALSE),"Not Specified")</f>
        <v>Sweden</v>
      </c>
      <c r="Q83" t="str">
        <f>VLOOKUP(VLOOKUP(B83,[1]Product!A:C,3,FALSE),[1]Supplier!A:B,2,FALSE)</f>
        <v>Supplier QZGUF</v>
      </c>
      <c r="R83" t="str">
        <f>VLOOKUP(VLOOKUP(B83,[1]Product!A:C,3,FALSE),[1]Supplier!A:I,9,FALSE)</f>
        <v>Sweden</v>
      </c>
      <c r="S83" t="str">
        <f>IFERROR(IF(VLOOKUP(A83,'[1]Sales Order'!A:H,8,FALSE)&gt;100,"High Freight","Low Freight"),"Not Specified")</f>
        <v>Low Freight</v>
      </c>
      <c r="T83">
        <f t="shared" si="3"/>
        <v>300</v>
      </c>
    </row>
    <row r="84" spans="1:20">
      <c r="A84" s="1">
        <v>10279</v>
      </c>
      <c r="B84" s="2">
        <v>17</v>
      </c>
      <c r="C84" s="2">
        <v>31.2</v>
      </c>
      <c r="D84" s="2">
        <v>15</v>
      </c>
      <c r="E84" s="3">
        <v>0.25</v>
      </c>
      <c r="F84" s="2" t="str">
        <f>IFERROR(VLOOKUP(VLOOKUP(A84,'[1]Sales Order'!A:B,2,FALSE),[1]Customer!A:C,3,FALSE),"Not Specified")</f>
        <v>Louverdis, George</v>
      </c>
      <c r="G84" s="2" t="str">
        <f t="shared" si="2"/>
        <v>Louverdis George</v>
      </c>
      <c r="H84" s="8" t="str">
        <f>IFERROR(VLOOKUP(VLOOKUP(A84,'[1]Sales Order'!A:C,3,FALSE),[1]Employee!A:E,5,FALSE)&amp;" "&amp;VLOOKUP(VLOOKUP(A84,'[1]Sales Order'!A:C,3,FALSE),[1]Employee!A:C,3,FALSE)&amp;" "&amp;VLOOKUP(VLOOKUP(A84,'[1]Sales Order'!A:C,3,FALSE),[1]Employee!A:B,2,FALSE),"Not Specified")</f>
        <v>Ms. Maria Cameron</v>
      </c>
      <c r="I84" t="str">
        <f>IFERROR(VLOOKUP(VLOOKUP(A84,'[1]Sales Order'!A:C,3,FALSE),[1]Employee!A:J,10,FALSE),"Not Specified")</f>
        <v>WA</v>
      </c>
      <c r="J84" t="str">
        <f>VLOOKUP(B84,[1]Product!A:B,2,FALSE)</f>
        <v>Product BLCAX</v>
      </c>
      <c r="K84" t="str">
        <f>VLOOKUP(VLOOKUP(B84,[1]Product!A:D,4,FALSE),[1]Category!A:B,2,FALSE)</f>
        <v>Meat/Poultry</v>
      </c>
      <c r="L84" s="10">
        <f>IFERROR(VLOOKUP(A84,'[1]Sales Order'!A:D,4,FALSE),"")</f>
        <v>38942</v>
      </c>
      <c r="M84" s="10">
        <f>IFERROR(VLOOKUP(A84,'[1]Sales Order'!A:F,6,FALSE),"")</f>
        <v>38945</v>
      </c>
      <c r="N84" t="str">
        <f>IFERROR(VLOOKUP(VLOOKUP(A84,'[1]Sales Order'!A:G,7,FALSE),[1]Shipper!A:B,2,FALSE),"Not Specified")</f>
        <v>Shipper ETYNR</v>
      </c>
      <c r="O84" t="str">
        <f>IFERROR(VLOOKUP(A84,'[1]Sales Order'!A:I,9,FALSE),"Not Specified")</f>
        <v>Ship to 44-A</v>
      </c>
      <c r="P84" t="str">
        <f>IFERROR(VLOOKUP(A84,'[1]Sales Order'!A:N,14,FALSE),"Not Specified")</f>
        <v>Germany</v>
      </c>
      <c r="Q84" t="str">
        <f>VLOOKUP(VLOOKUP(B84,[1]Product!A:C,3,FALSE),[1]Supplier!A:B,2,FALSE)</f>
        <v>Supplier GQRCV</v>
      </c>
      <c r="R84" t="str">
        <f>VLOOKUP(VLOOKUP(B84,[1]Product!A:C,3,FALSE),[1]Supplier!A:I,9,FALSE)</f>
        <v>Australia</v>
      </c>
      <c r="S84" t="str">
        <f>IFERROR(IF(VLOOKUP(A84,'[1]Sales Order'!A:H,8,FALSE)&gt;100,"High Freight","Low Freight"),"Not Specified")</f>
        <v>Low Freight</v>
      </c>
      <c r="T84">
        <f t="shared" si="3"/>
        <v>351</v>
      </c>
    </row>
    <row r="85" spans="1:20">
      <c r="A85" s="1">
        <v>10280</v>
      </c>
      <c r="B85" s="2">
        <v>24</v>
      </c>
      <c r="C85" s="2">
        <v>3.6</v>
      </c>
      <c r="D85" s="2">
        <v>12</v>
      </c>
      <c r="E85" s="3">
        <v>0</v>
      </c>
      <c r="F85" s="2" t="str">
        <f>IFERROR(VLOOKUP(VLOOKUP(A85,'[1]Sales Order'!A:B,2,FALSE),[1]Customer!A:C,3,FALSE),"Not Specified")</f>
        <v>Higginbotham, Tom</v>
      </c>
      <c r="G85" s="2" t="str">
        <f t="shared" si="2"/>
        <v>Higginbotham Tom</v>
      </c>
      <c r="H85" s="8" t="str">
        <f>IFERROR(VLOOKUP(VLOOKUP(A85,'[1]Sales Order'!A:C,3,FALSE),[1]Employee!A:E,5,FALSE)&amp;" "&amp;VLOOKUP(VLOOKUP(A85,'[1]Sales Order'!A:C,3,FALSE),[1]Employee!A:C,3,FALSE)&amp;" "&amp;VLOOKUP(VLOOKUP(A85,'[1]Sales Order'!A:C,3,FALSE),[1]Employee!A:B,2,FALSE),"Not Specified")</f>
        <v>Dr. Don Funk</v>
      </c>
      <c r="I85" t="str">
        <f>IFERROR(VLOOKUP(VLOOKUP(A85,'[1]Sales Order'!A:C,3,FALSE),[1]Employee!A:J,10,FALSE),"Not Specified")</f>
        <v>WA</v>
      </c>
      <c r="J85" t="str">
        <f>VLOOKUP(B85,[1]Product!A:B,2,FALSE)</f>
        <v>Product QOGNU</v>
      </c>
      <c r="K85" t="str">
        <f>VLOOKUP(VLOOKUP(B85,[1]Product!A:D,4,FALSE),[1]Category!A:B,2,FALSE)</f>
        <v>Beverages</v>
      </c>
      <c r="L85" s="10">
        <f>IFERROR(VLOOKUP(A85,'[1]Sales Order'!A:D,4,FALSE),"")</f>
        <v>38943</v>
      </c>
      <c r="M85" s="10">
        <f>IFERROR(VLOOKUP(A85,'[1]Sales Order'!A:F,6,FALSE),"")</f>
        <v>38972</v>
      </c>
      <c r="N85" t="str">
        <f>IFERROR(VLOOKUP(VLOOKUP(A85,'[1]Sales Order'!A:G,7,FALSE),[1]Shipper!A:B,2,FALSE),"Not Specified")</f>
        <v>Shipper GVSUA</v>
      </c>
      <c r="O85" t="str">
        <f>IFERROR(VLOOKUP(A85,'[1]Sales Order'!A:I,9,FALSE),"Not Specified")</f>
        <v>Ship to 5-B</v>
      </c>
      <c r="P85" t="str">
        <f>IFERROR(VLOOKUP(A85,'[1]Sales Order'!A:N,14,FALSE),"Not Specified")</f>
        <v>Sweden</v>
      </c>
      <c r="Q85" t="str">
        <f>VLOOKUP(VLOOKUP(B85,[1]Product!A:C,3,FALSE),[1]Supplier!A:B,2,FALSE)</f>
        <v>Supplier UNAHG</v>
      </c>
      <c r="R85" t="str">
        <f>VLOOKUP(VLOOKUP(B85,[1]Product!A:C,3,FALSE),[1]Supplier!A:I,9,FALSE)</f>
        <v>Brazil</v>
      </c>
      <c r="S85" t="str">
        <f>IFERROR(IF(VLOOKUP(A85,'[1]Sales Order'!A:H,8,FALSE)&gt;100,"High Freight","Low Freight"),"Not Specified")</f>
        <v>Low Freight</v>
      </c>
      <c r="T85">
        <f t="shared" si="3"/>
        <v>43.2</v>
      </c>
    </row>
    <row r="86" spans="1:20">
      <c r="A86" s="1">
        <v>10280</v>
      </c>
      <c r="B86" s="2">
        <v>55</v>
      </c>
      <c r="C86" s="2">
        <v>19.2</v>
      </c>
      <c r="D86" s="2">
        <v>20</v>
      </c>
      <c r="E86" s="3">
        <v>0</v>
      </c>
      <c r="F86" s="2" t="str">
        <f>IFERROR(VLOOKUP(VLOOKUP(A86,'[1]Sales Order'!A:B,2,FALSE),[1]Customer!A:C,3,FALSE),"Not Specified")</f>
        <v>Higginbotham, Tom</v>
      </c>
      <c r="G86" s="2" t="str">
        <f t="shared" si="2"/>
        <v>Higginbotham Tom</v>
      </c>
      <c r="H86" s="8" t="str">
        <f>IFERROR(VLOOKUP(VLOOKUP(A86,'[1]Sales Order'!A:C,3,FALSE),[1]Employee!A:E,5,FALSE)&amp;" "&amp;VLOOKUP(VLOOKUP(A86,'[1]Sales Order'!A:C,3,FALSE),[1]Employee!A:C,3,FALSE)&amp;" "&amp;VLOOKUP(VLOOKUP(A86,'[1]Sales Order'!A:C,3,FALSE),[1]Employee!A:B,2,FALSE),"Not Specified")</f>
        <v>Dr. Don Funk</v>
      </c>
      <c r="I86" t="str">
        <f>IFERROR(VLOOKUP(VLOOKUP(A86,'[1]Sales Order'!A:C,3,FALSE),[1]Employee!A:J,10,FALSE),"Not Specified")</f>
        <v>WA</v>
      </c>
      <c r="J86" t="str">
        <f>VLOOKUP(B86,[1]Product!A:B,2,FALSE)</f>
        <v>Product YYWRT</v>
      </c>
      <c r="K86" t="str">
        <f>VLOOKUP(VLOOKUP(B86,[1]Product!A:D,4,FALSE),[1]Category!A:B,2,FALSE)</f>
        <v>Meat/Poultry</v>
      </c>
      <c r="L86" s="10">
        <f>IFERROR(VLOOKUP(A86,'[1]Sales Order'!A:D,4,FALSE),"")</f>
        <v>38943</v>
      </c>
      <c r="M86" s="10">
        <f>IFERROR(VLOOKUP(A86,'[1]Sales Order'!A:F,6,FALSE),"")</f>
        <v>38972</v>
      </c>
      <c r="N86" t="str">
        <f>IFERROR(VLOOKUP(VLOOKUP(A86,'[1]Sales Order'!A:G,7,FALSE),[1]Shipper!A:B,2,FALSE),"Not Specified")</f>
        <v>Shipper GVSUA</v>
      </c>
      <c r="O86" t="str">
        <f>IFERROR(VLOOKUP(A86,'[1]Sales Order'!A:I,9,FALSE),"Not Specified")</f>
        <v>Ship to 5-B</v>
      </c>
      <c r="P86" t="str">
        <f>IFERROR(VLOOKUP(A86,'[1]Sales Order'!A:N,14,FALSE),"Not Specified")</f>
        <v>Sweden</v>
      </c>
      <c r="Q86" t="str">
        <f>VLOOKUP(VLOOKUP(B86,[1]Product!A:C,3,FALSE),[1]Supplier!A:B,2,FALSE)</f>
        <v>Supplier ERVYZ</v>
      </c>
      <c r="R86" t="str">
        <f>VLOOKUP(VLOOKUP(B86,[1]Product!A:C,3,FALSE),[1]Supplier!A:I,9,FALSE)</f>
        <v>Canada</v>
      </c>
      <c r="S86" t="str">
        <f>IFERROR(IF(VLOOKUP(A86,'[1]Sales Order'!A:H,8,FALSE)&gt;100,"High Freight","Low Freight"),"Not Specified")</f>
        <v>Low Freight</v>
      </c>
      <c r="T86">
        <f t="shared" si="3"/>
        <v>384</v>
      </c>
    </row>
    <row r="87" spans="1:20">
      <c r="A87" s="1">
        <v>10280</v>
      </c>
      <c r="B87" s="2">
        <v>75</v>
      </c>
      <c r="C87" s="2">
        <v>6.2</v>
      </c>
      <c r="D87" s="2">
        <v>30</v>
      </c>
      <c r="E87" s="3">
        <v>0</v>
      </c>
      <c r="F87" s="2" t="str">
        <f>IFERROR(VLOOKUP(VLOOKUP(A87,'[1]Sales Order'!A:B,2,FALSE),[1]Customer!A:C,3,FALSE),"Not Specified")</f>
        <v>Higginbotham, Tom</v>
      </c>
      <c r="G87" s="2" t="str">
        <f t="shared" si="2"/>
        <v>Higginbotham Tom</v>
      </c>
      <c r="H87" s="8" t="str">
        <f>IFERROR(VLOOKUP(VLOOKUP(A87,'[1]Sales Order'!A:C,3,FALSE),[1]Employee!A:E,5,FALSE)&amp;" "&amp;VLOOKUP(VLOOKUP(A87,'[1]Sales Order'!A:C,3,FALSE),[1]Employee!A:C,3,FALSE)&amp;" "&amp;VLOOKUP(VLOOKUP(A87,'[1]Sales Order'!A:C,3,FALSE),[1]Employee!A:B,2,FALSE),"Not Specified")</f>
        <v>Dr. Don Funk</v>
      </c>
      <c r="I87" t="str">
        <f>IFERROR(VLOOKUP(VLOOKUP(A87,'[1]Sales Order'!A:C,3,FALSE),[1]Employee!A:J,10,FALSE),"Not Specified")</f>
        <v>WA</v>
      </c>
      <c r="J87" t="str">
        <f>VLOOKUP(B87,[1]Product!A:B,2,FALSE)</f>
        <v>Product BWRLG</v>
      </c>
      <c r="K87" t="str">
        <f>VLOOKUP(VLOOKUP(B87,[1]Product!A:D,4,FALSE),[1]Category!A:B,2,FALSE)</f>
        <v>Beverages</v>
      </c>
      <c r="L87" s="10">
        <f>IFERROR(VLOOKUP(A87,'[1]Sales Order'!A:D,4,FALSE),"")</f>
        <v>38943</v>
      </c>
      <c r="M87" s="10">
        <f>IFERROR(VLOOKUP(A87,'[1]Sales Order'!A:F,6,FALSE),"")</f>
        <v>38972</v>
      </c>
      <c r="N87" t="str">
        <f>IFERROR(VLOOKUP(VLOOKUP(A87,'[1]Sales Order'!A:G,7,FALSE),[1]Shipper!A:B,2,FALSE),"Not Specified")</f>
        <v>Shipper GVSUA</v>
      </c>
      <c r="O87" t="str">
        <f>IFERROR(VLOOKUP(A87,'[1]Sales Order'!A:I,9,FALSE),"Not Specified")</f>
        <v>Ship to 5-B</v>
      </c>
      <c r="P87" t="str">
        <f>IFERROR(VLOOKUP(A87,'[1]Sales Order'!A:N,14,FALSE),"Not Specified")</f>
        <v>Sweden</v>
      </c>
      <c r="Q87" t="str">
        <f>VLOOKUP(VLOOKUP(B87,[1]Product!A:C,3,FALSE),[1]Supplier!A:B,2,FALSE)</f>
        <v>Supplier SVIYA</v>
      </c>
      <c r="R87" t="str">
        <f>VLOOKUP(VLOOKUP(B87,[1]Product!A:C,3,FALSE),[1]Supplier!A:I,9,FALSE)</f>
        <v>Germany</v>
      </c>
      <c r="S87" t="str">
        <f>IFERROR(IF(VLOOKUP(A87,'[1]Sales Order'!A:H,8,FALSE)&gt;100,"High Freight","Low Freight"),"Not Specified")</f>
        <v>Low Freight</v>
      </c>
      <c r="T87">
        <f t="shared" si="3"/>
        <v>186</v>
      </c>
    </row>
    <row r="88" spans="1:20">
      <c r="A88" s="1">
        <v>10281</v>
      </c>
      <c r="B88" s="2">
        <v>19</v>
      </c>
      <c r="C88" s="2">
        <v>7.3</v>
      </c>
      <c r="D88" s="2">
        <v>1</v>
      </c>
      <c r="E88" s="3">
        <v>0</v>
      </c>
      <c r="F88" s="2" t="str">
        <f>IFERROR(VLOOKUP(VLOOKUP(A88,'[1]Sales Order'!A:B,2,FALSE),[1]Customer!A:C,3,FALSE),"Not Specified")</f>
        <v>Watters, Jason M.</v>
      </c>
      <c r="G88" s="2" t="str">
        <f t="shared" si="2"/>
        <v>Watters Jason M.</v>
      </c>
      <c r="H88" s="8" t="str">
        <f>IFERROR(VLOOKUP(VLOOKUP(A88,'[1]Sales Order'!A:C,3,FALSE),[1]Employee!A:E,5,FALSE)&amp;" "&amp;VLOOKUP(VLOOKUP(A88,'[1]Sales Order'!A:C,3,FALSE),[1]Employee!A:C,3,FALSE)&amp;" "&amp;VLOOKUP(VLOOKUP(A88,'[1]Sales Order'!A:C,3,FALSE),[1]Employee!A:B,2,FALSE),"Not Specified")</f>
        <v>Mrs. Yael Peled</v>
      </c>
      <c r="I88" t="str">
        <f>IFERROR(VLOOKUP(VLOOKUP(A88,'[1]Sales Order'!A:C,3,FALSE),[1]Employee!A:J,10,FALSE),"Not Specified")</f>
        <v>WA</v>
      </c>
      <c r="J88" t="str">
        <f>VLOOKUP(B88,[1]Product!A:B,2,FALSE)</f>
        <v>Product XKXDO</v>
      </c>
      <c r="K88" t="str">
        <f>VLOOKUP(VLOOKUP(B88,[1]Product!A:D,4,FALSE),[1]Category!A:B,2,FALSE)</f>
        <v>Confections</v>
      </c>
      <c r="L88" s="10">
        <f>IFERROR(VLOOKUP(A88,'[1]Sales Order'!A:D,4,FALSE),"")</f>
        <v>38943</v>
      </c>
      <c r="M88" s="10">
        <f>IFERROR(VLOOKUP(A88,'[1]Sales Order'!A:F,6,FALSE),"")</f>
        <v>38950</v>
      </c>
      <c r="N88" t="str">
        <f>IFERROR(VLOOKUP(VLOOKUP(A88,'[1]Sales Order'!A:G,7,FALSE),[1]Shipper!A:B,2,FALSE),"Not Specified")</f>
        <v>Shipper GVSUA</v>
      </c>
      <c r="O88" t="str">
        <f>IFERROR(VLOOKUP(A88,'[1]Sales Order'!A:I,9,FALSE),"Not Specified")</f>
        <v>Ship to 69-A</v>
      </c>
      <c r="P88" t="str">
        <f>IFERROR(VLOOKUP(A88,'[1]Sales Order'!A:N,14,FALSE),"Not Specified")</f>
        <v>Spain</v>
      </c>
      <c r="Q88" t="str">
        <f>VLOOKUP(VLOOKUP(B88,[1]Product!A:C,3,FALSE),[1]Supplier!A:B,2,FALSE)</f>
        <v>Supplier BWGYE</v>
      </c>
      <c r="R88" t="str">
        <f>VLOOKUP(VLOOKUP(B88,[1]Product!A:C,3,FALSE),[1]Supplier!A:I,9,FALSE)</f>
        <v>UK</v>
      </c>
      <c r="S88" t="str">
        <f>IFERROR(IF(VLOOKUP(A88,'[1]Sales Order'!A:H,8,FALSE)&gt;100,"High Freight","Low Freight"),"Not Specified")</f>
        <v>Low Freight</v>
      </c>
      <c r="T88">
        <f t="shared" si="3"/>
        <v>7.3</v>
      </c>
    </row>
    <row r="89" spans="1:20">
      <c r="A89" s="1">
        <v>10281</v>
      </c>
      <c r="B89" s="2">
        <v>24</v>
      </c>
      <c r="C89" s="2">
        <v>3.6</v>
      </c>
      <c r="D89" s="2">
        <v>6</v>
      </c>
      <c r="E89" s="3">
        <v>0</v>
      </c>
      <c r="F89" s="2" t="str">
        <f>IFERROR(VLOOKUP(VLOOKUP(A89,'[1]Sales Order'!A:B,2,FALSE),[1]Customer!A:C,3,FALSE),"Not Specified")</f>
        <v>Watters, Jason M.</v>
      </c>
      <c r="G89" s="2" t="str">
        <f t="shared" si="2"/>
        <v>Watters Jason M.</v>
      </c>
      <c r="H89" s="8" t="str">
        <f>IFERROR(VLOOKUP(VLOOKUP(A89,'[1]Sales Order'!A:C,3,FALSE),[1]Employee!A:E,5,FALSE)&amp;" "&amp;VLOOKUP(VLOOKUP(A89,'[1]Sales Order'!A:C,3,FALSE),[1]Employee!A:C,3,FALSE)&amp;" "&amp;VLOOKUP(VLOOKUP(A89,'[1]Sales Order'!A:C,3,FALSE),[1]Employee!A:B,2,FALSE),"Not Specified")</f>
        <v>Mrs. Yael Peled</v>
      </c>
      <c r="I89" t="str">
        <f>IFERROR(VLOOKUP(VLOOKUP(A89,'[1]Sales Order'!A:C,3,FALSE),[1]Employee!A:J,10,FALSE),"Not Specified")</f>
        <v>WA</v>
      </c>
      <c r="J89" t="str">
        <f>VLOOKUP(B89,[1]Product!A:B,2,FALSE)</f>
        <v>Product QOGNU</v>
      </c>
      <c r="K89" t="str">
        <f>VLOOKUP(VLOOKUP(B89,[1]Product!A:D,4,FALSE),[1]Category!A:B,2,FALSE)</f>
        <v>Beverages</v>
      </c>
      <c r="L89" s="10">
        <f>IFERROR(VLOOKUP(A89,'[1]Sales Order'!A:D,4,FALSE),"")</f>
        <v>38943</v>
      </c>
      <c r="M89" s="10">
        <f>IFERROR(VLOOKUP(A89,'[1]Sales Order'!A:F,6,FALSE),"")</f>
        <v>38950</v>
      </c>
      <c r="N89" t="str">
        <f>IFERROR(VLOOKUP(VLOOKUP(A89,'[1]Sales Order'!A:G,7,FALSE),[1]Shipper!A:B,2,FALSE),"Not Specified")</f>
        <v>Shipper GVSUA</v>
      </c>
      <c r="O89" t="str">
        <f>IFERROR(VLOOKUP(A89,'[1]Sales Order'!A:I,9,FALSE),"Not Specified")</f>
        <v>Ship to 69-A</v>
      </c>
      <c r="P89" t="str">
        <f>IFERROR(VLOOKUP(A89,'[1]Sales Order'!A:N,14,FALSE),"Not Specified")</f>
        <v>Spain</v>
      </c>
      <c r="Q89" t="str">
        <f>VLOOKUP(VLOOKUP(B89,[1]Product!A:C,3,FALSE),[1]Supplier!A:B,2,FALSE)</f>
        <v>Supplier UNAHG</v>
      </c>
      <c r="R89" t="str">
        <f>VLOOKUP(VLOOKUP(B89,[1]Product!A:C,3,FALSE),[1]Supplier!A:I,9,FALSE)</f>
        <v>Brazil</v>
      </c>
      <c r="S89" t="str">
        <f>IFERROR(IF(VLOOKUP(A89,'[1]Sales Order'!A:H,8,FALSE)&gt;100,"High Freight","Low Freight"),"Not Specified")</f>
        <v>Low Freight</v>
      </c>
      <c r="T89">
        <f t="shared" si="3"/>
        <v>21.6</v>
      </c>
    </row>
    <row r="90" spans="1:20">
      <c r="A90" s="1">
        <v>10281</v>
      </c>
      <c r="B90" s="2">
        <v>35</v>
      </c>
      <c r="C90" s="2">
        <v>14.4</v>
      </c>
      <c r="D90" s="2">
        <v>4</v>
      </c>
      <c r="E90" s="3">
        <v>0</v>
      </c>
      <c r="F90" s="2" t="str">
        <f>IFERROR(VLOOKUP(VLOOKUP(A90,'[1]Sales Order'!A:B,2,FALSE),[1]Customer!A:C,3,FALSE),"Not Specified")</f>
        <v>Watters, Jason M.</v>
      </c>
      <c r="G90" s="2" t="str">
        <f t="shared" si="2"/>
        <v>Watters Jason M.</v>
      </c>
      <c r="H90" s="8" t="str">
        <f>IFERROR(VLOOKUP(VLOOKUP(A90,'[1]Sales Order'!A:C,3,FALSE),[1]Employee!A:E,5,FALSE)&amp;" "&amp;VLOOKUP(VLOOKUP(A90,'[1]Sales Order'!A:C,3,FALSE),[1]Employee!A:C,3,FALSE)&amp;" "&amp;VLOOKUP(VLOOKUP(A90,'[1]Sales Order'!A:C,3,FALSE),[1]Employee!A:B,2,FALSE),"Not Specified")</f>
        <v>Mrs. Yael Peled</v>
      </c>
      <c r="I90" t="str">
        <f>IFERROR(VLOOKUP(VLOOKUP(A90,'[1]Sales Order'!A:C,3,FALSE),[1]Employee!A:J,10,FALSE),"Not Specified")</f>
        <v>WA</v>
      </c>
      <c r="J90" t="str">
        <f>VLOOKUP(B90,[1]Product!A:B,2,FALSE)</f>
        <v>Product NEVTJ</v>
      </c>
      <c r="K90" t="str">
        <f>VLOOKUP(VLOOKUP(B90,[1]Product!A:D,4,FALSE),[1]Category!A:B,2,FALSE)</f>
        <v>Beverages</v>
      </c>
      <c r="L90" s="10">
        <f>IFERROR(VLOOKUP(A90,'[1]Sales Order'!A:D,4,FALSE),"")</f>
        <v>38943</v>
      </c>
      <c r="M90" s="10">
        <f>IFERROR(VLOOKUP(A90,'[1]Sales Order'!A:F,6,FALSE),"")</f>
        <v>38950</v>
      </c>
      <c r="N90" t="str">
        <f>IFERROR(VLOOKUP(VLOOKUP(A90,'[1]Sales Order'!A:G,7,FALSE),[1]Shipper!A:B,2,FALSE),"Not Specified")</f>
        <v>Shipper GVSUA</v>
      </c>
      <c r="O90" t="str">
        <f>IFERROR(VLOOKUP(A90,'[1]Sales Order'!A:I,9,FALSE),"Not Specified")</f>
        <v>Ship to 69-A</v>
      </c>
      <c r="P90" t="str">
        <f>IFERROR(VLOOKUP(A90,'[1]Sales Order'!A:N,14,FALSE),"Not Specified")</f>
        <v>Spain</v>
      </c>
      <c r="Q90" t="str">
        <f>VLOOKUP(VLOOKUP(B90,[1]Product!A:C,3,FALSE),[1]Supplier!A:B,2,FALSE)</f>
        <v>Supplier UHZRG</v>
      </c>
      <c r="R90" t="str">
        <f>VLOOKUP(VLOOKUP(B90,[1]Product!A:C,3,FALSE),[1]Supplier!A:I,9,FALSE)</f>
        <v>USA</v>
      </c>
      <c r="S90" t="str">
        <f>IFERROR(IF(VLOOKUP(A90,'[1]Sales Order'!A:H,8,FALSE)&gt;100,"High Freight","Low Freight"),"Not Specified")</f>
        <v>Low Freight</v>
      </c>
      <c r="T90">
        <f t="shared" si="3"/>
        <v>57.6</v>
      </c>
    </row>
    <row r="91" spans="1:20">
      <c r="A91" s="1">
        <v>10282</v>
      </c>
      <c r="B91" s="2">
        <v>30</v>
      </c>
      <c r="C91" s="2">
        <v>20.7</v>
      </c>
      <c r="D91" s="2">
        <v>6</v>
      </c>
      <c r="E91" s="3">
        <v>0</v>
      </c>
      <c r="F91" s="2" t="str">
        <f>IFERROR(VLOOKUP(VLOOKUP(A91,'[1]Sales Order'!A:B,2,FALSE),[1]Customer!A:C,3,FALSE),"Not Specified")</f>
        <v>Watters, Jason M.</v>
      </c>
      <c r="G91" s="2" t="str">
        <f t="shared" si="2"/>
        <v>Watters Jason M.</v>
      </c>
      <c r="H91" s="8" t="str">
        <f>IFERROR(VLOOKUP(VLOOKUP(A91,'[1]Sales Order'!A:C,3,FALSE),[1]Employee!A:E,5,FALSE)&amp;" "&amp;VLOOKUP(VLOOKUP(A91,'[1]Sales Order'!A:C,3,FALSE),[1]Employee!A:C,3,FALSE)&amp;" "&amp;VLOOKUP(VLOOKUP(A91,'[1]Sales Order'!A:C,3,FALSE),[1]Employee!A:B,2,FALSE),"Not Specified")</f>
        <v>Mrs. Yael Peled</v>
      </c>
      <c r="I91" t="str">
        <f>IFERROR(VLOOKUP(VLOOKUP(A91,'[1]Sales Order'!A:C,3,FALSE),[1]Employee!A:J,10,FALSE),"Not Specified")</f>
        <v>WA</v>
      </c>
      <c r="J91" t="str">
        <f>VLOOKUP(B91,[1]Product!A:B,2,FALSE)</f>
        <v>Product LYERX</v>
      </c>
      <c r="K91" t="str">
        <f>VLOOKUP(VLOOKUP(B91,[1]Product!A:D,4,FALSE),[1]Category!A:B,2,FALSE)</f>
        <v>Seafood</v>
      </c>
      <c r="L91" s="10">
        <f>IFERROR(VLOOKUP(A91,'[1]Sales Order'!A:D,4,FALSE),"")</f>
        <v>38944</v>
      </c>
      <c r="M91" s="10">
        <f>IFERROR(VLOOKUP(A91,'[1]Sales Order'!A:F,6,FALSE),"")</f>
        <v>38950</v>
      </c>
      <c r="N91" t="str">
        <f>IFERROR(VLOOKUP(VLOOKUP(A91,'[1]Sales Order'!A:G,7,FALSE),[1]Shipper!A:B,2,FALSE),"Not Specified")</f>
        <v>Shipper GVSUA</v>
      </c>
      <c r="O91" t="str">
        <f>IFERROR(VLOOKUP(A91,'[1]Sales Order'!A:I,9,FALSE),"Not Specified")</f>
        <v>Ship to 69-B</v>
      </c>
      <c r="P91" t="str">
        <f>IFERROR(VLOOKUP(A91,'[1]Sales Order'!A:N,14,FALSE),"Not Specified")</f>
        <v>Spain</v>
      </c>
      <c r="Q91" t="str">
        <f>VLOOKUP(VLOOKUP(B91,[1]Product!A:C,3,FALSE),[1]Supplier!A:B,2,FALSE)</f>
        <v>Supplier TEGSC</v>
      </c>
      <c r="R91" t="str">
        <f>VLOOKUP(VLOOKUP(B91,[1]Product!A:C,3,FALSE),[1]Supplier!A:I,9,FALSE)</f>
        <v>Germany</v>
      </c>
      <c r="S91" t="str">
        <f>IFERROR(IF(VLOOKUP(A91,'[1]Sales Order'!A:H,8,FALSE)&gt;100,"High Freight","Low Freight"),"Not Specified")</f>
        <v>Low Freight</v>
      </c>
      <c r="T91">
        <f t="shared" si="3"/>
        <v>124.19999999999999</v>
      </c>
    </row>
    <row r="92" spans="1:20">
      <c r="A92" s="1">
        <v>10282</v>
      </c>
      <c r="B92" s="2">
        <v>57</v>
      </c>
      <c r="C92" s="2">
        <v>15.6</v>
      </c>
      <c r="D92" s="2">
        <v>2</v>
      </c>
      <c r="E92" s="3">
        <v>0</v>
      </c>
      <c r="F92" s="2" t="str">
        <f>IFERROR(VLOOKUP(VLOOKUP(A92,'[1]Sales Order'!A:B,2,FALSE),[1]Customer!A:C,3,FALSE),"Not Specified")</f>
        <v>Watters, Jason M.</v>
      </c>
      <c r="G92" s="2" t="str">
        <f t="shared" si="2"/>
        <v>Watters Jason M.</v>
      </c>
      <c r="H92" s="8" t="str">
        <f>IFERROR(VLOOKUP(VLOOKUP(A92,'[1]Sales Order'!A:C,3,FALSE),[1]Employee!A:E,5,FALSE)&amp;" "&amp;VLOOKUP(VLOOKUP(A92,'[1]Sales Order'!A:C,3,FALSE),[1]Employee!A:C,3,FALSE)&amp;" "&amp;VLOOKUP(VLOOKUP(A92,'[1]Sales Order'!A:C,3,FALSE),[1]Employee!A:B,2,FALSE),"Not Specified")</f>
        <v>Mrs. Yael Peled</v>
      </c>
      <c r="I92" t="str">
        <f>IFERROR(VLOOKUP(VLOOKUP(A92,'[1]Sales Order'!A:C,3,FALSE),[1]Employee!A:J,10,FALSE),"Not Specified")</f>
        <v>WA</v>
      </c>
      <c r="J92" t="str">
        <f>VLOOKUP(B92,[1]Product!A:B,2,FALSE)</f>
        <v>Product OVLQI</v>
      </c>
      <c r="K92" t="str">
        <f>VLOOKUP(VLOOKUP(B92,[1]Product!A:D,4,FALSE),[1]Category!A:B,2,FALSE)</f>
        <v>Grains/Cereals</v>
      </c>
      <c r="L92" s="10">
        <f>IFERROR(VLOOKUP(A92,'[1]Sales Order'!A:D,4,FALSE),"")</f>
        <v>38944</v>
      </c>
      <c r="M92" s="10">
        <f>IFERROR(VLOOKUP(A92,'[1]Sales Order'!A:F,6,FALSE),"")</f>
        <v>38950</v>
      </c>
      <c r="N92" t="str">
        <f>IFERROR(VLOOKUP(VLOOKUP(A92,'[1]Sales Order'!A:G,7,FALSE),[1]Shipper!A:B,2,FALSE),"Not Specified")</f>
        <v>Shipper GVSUA</v>
      </c>
      <c r="O92" t="str">
        <f>IFERROR(VLOOKUP(A92,'[1]Sales Order'!A:I,9,FALSE),"Not Specified")</f>
        <v>Ship to 69-B</v>
      </c>
      <c r="P92" t="str">
        <f>IFERROR(VLOOKUP(A92,'[1]Sales Order'!A:N,14,FALSE),"Not Specified")</f>
        <v>Spain</v>
      </c>
      <c r="Q92" t="str">
        <f>VLOOKUP(VLOOKUP(B92,[1]Product!A:C,3,FALSE),[1]Supplier!A:B,2,FALSE)</f>
        <v>Supplier ZWZDM</v>
      </c>
      <c r="R92" t="str">
        <f>VLOOKUP(VLOOKUP(B92,[1]Product!A:C,3,FALSE),[1]Supplier!A:I,9,FALSE)</f>
        <v>Italy</v>
      </c>
      <c r="S92" t="str">
        <f>IFERROR(IF(VLOOKUP(A92,'[1]Sales Order'!A:H,8,FALSE)&gt;100,"High Freight","Low Freight"),"Not Specified")</f>
        <v>Low Freight</v>
      </c>
      <c r="T92">
        <f t="shared" si="3"/>
        <v>31.2</v>
      </c>
    </row>
    <row r="93" spans="1:20">
      <c r="A93" s="1">
        <v>10283</v>
      </c>
      <c r="B93" s="2">
        <v>15</v>
      </c>
      <c r="C93" s="2">
        <v>12.4</v>
      </c>
      <c r="D93" s="2">
        <v>20</v>
      </c>
      <c r="E93" s="3">
        <v>0</v>
      </c>
      <c r="F93" s="2" t="str">
        <f>IFERROR(VLOOKUP(VLOOKUP(A93,'[1]Sales Order'!A:B,2,FALSE),[1]Customer!A:C,3,FALSE),"Not Specified")</f>
        <v>Dressler, Marlies</v>
      </c>
      <c r="G93" s="2" t="str">
        <f t="shared" si="2"/>
        <v>Dressler Marlies</v>
      </c>
      <c r="H93" s="8" t="str">
        <f>IFERROR(VLOOKUP(VLOOKUP(A93,'[1]Sales Order'!A:C,3,FALSE),[1]Employee!A:E,5,FALSE)&amp;" "&amp;VLOOKUP(VLOOKUP(A93,'[1]Sales Order'!A:C,3,FALSE),[1]Employee!A:C,3,FALSE)&amp;" "&amp;VLOOKUP(VLOOKUP(A93,'[1]Sales Order'!A:C,3,FALSE),[1]Employee!A:B,2,FALSE),"Not Specified")</f>
        <v>Ms. Judy Lew</v>
      </c>
      <c r="I93" t="str">
        <f>IFERROR(VLOOKUP(VLOOKUP(A93,'[1]Sales Order'!A:C,3,FALSE),[1]Employee!A:J,10,FALSE),"Not Specified")</f>
        <v>WA</v>
      </c>
      <c r="J93" t="str">
        <f>VLOOKUP(B93,[1]Product!A:B,2,FALSE)</f>
        <v>Product KSZOI</v>
      </c>
      <c r="K93" t="str">
        <f>VLOOKUP(VLOOKUP(B93,[1]Product!A:D,4,FALSE),[1]Category!A:B,2,FALSE)</f>
        <v>Condiments</v>
      </c>
      <c r="L93" s="10">
        <f>IFERROR(VLOOKUP(A93,'[1]Sales Order'!A:D,4,FALSE),"")</f>
        <v>38945</v>
      </c>
      <c r="M93" s="10">
        <f>IFERROR(VLOOKUP(A93,'[1]Sales Order'!A:F,6,FALSE),"")</f>
        <v>38952</v>
      </c>
      <c r="N93" t="str">
        <f>IFERROR(VLOOKUP(VLOOKUP(A93,'[1]Sales Order'!A:G,7,FALSE),[1]Shipper!A:B,2,FALSE),"Not Specified")</f>
        <v>Shipper ZHISN</v>
      </c>
      <c r="O93" t="str">
        <f>IFERROR(VLOOKUP(A93,'[1]Sales Order'!A:I,9,FALSE),"Not Specified")</f>
        <v>Ship to 46-A</v>
      </c>
      <c r="P93" t="str">
        <f>IFERROR(VLOOKUP(A93,'[1]Sales Order'!A:N,14,FALSE),"Not Specified")</f>
        <v>Venezuela</v>
      </c>
      <c r="Q93" t="str">
        <f>VLOOKUP(VLOOKUP(B93,[1]Product!A:C,3,FALSE),[1]Supplier!A:B,2,FALSE)</f>
        <v>Supplier QWUSF</v>
      </c>
      <c r="R93" t="str">
        <f>VLOOKUP(VLOOKUP(B93,[1]Product!A:C,3,FALSE),[1]Supplier!A:I,9,FALSE)</f>
        <v>Japan</v>
      </c>
      <c r="S93" t="str">
        <f>IFERROR(IF(VLOOKUP(A93,'[1]Sales Order'!A:H,8,FALSE)&gt;100,"High Freight","Low Freight"),"Not Specified")</f>
        <v>Low Freight</v>
      </c>
      <c r="T93">
        <f t="shared" si="3"/>
        <v>248</v>
      </c>
    </row>
    <row r="94" spans="1:20">
      <c r="A94" s="1">
        <v>10283</v>
      </c>
      <c r="B94" s="2">
        <v>19</v>
      </c>
      <c r="C94" s="2">
        <v>7.3</v>
      </c>
      <c r="D94" s="2">
        <v>18</v>
      </c>
      <c r="E94" s="3">
        <v>0</v>
      </c>
      <c r="F94" s="2" t="str">
        <f>IFERROR(VLOOKUP(VLOOKUP(A94,'[1]Sales Order'!A:B,2,FALSE),[1]Customer!A:C,3,FALSE),"Not Specified")</f>
        <v>Dressler, Marlies</v>
      </c>
      <c r="G94" s="2" t="str">
        <f t="shared" si="2"/>
        <v>Dressler Marlies</v>
      </c>
      <c r="H94" s="8" t="str">
        <f>IFERROR(VLOOKUP(VLOOKUP(A94,'[1]Sales Order'!A:C,3,FALSE),[1]Employee!A:E,5,FALSE)&amp;" "&amp;VLOOKUP(VLOOKUP(A94,'[1]Sales Order'!A:C,3,FALSE),[1]Employee!A:C,3,FALSE)&amp;" "&amp;VLOOKUP(VLOOKUP(A94,'[1]Sales Order'!A:C,3,FALSE),[1]Employee!A:B,2,FALSE),"Not Specified")</f>
        <v>Ms. Judy Lew</v>
      </c>
      <c r="I94" t="str">
        <f>IFERROR(VLOOKUP(VLOOKUP(A94,'[1]Sales Order'!A:C,3,FALSE),[1]Employee!A:J,10,FALSE),"Not Specified")</f>
        <v>WA</v>
      </c>
      <c r="J94" t="str">
        <f>VLOOKUP(B94,[1]Product!A:B,2,FALSE)</f>
        <v>Product XKXDO</v>
      </c>
      <c r="K94" t="str">
        <f>VLOOKUP(VLOOKUP(B94,[1]Product!A:D,4,FALSE),[1]Category!A:B,2,FALSE)</f>
        <v>Confections</v>
      </c>
      <c r="L94" s="10">
        <f>IFERROR(VLOOKUP(A94,'[1]Sales Order'!A:D,4,FALSE),"")</f>
        <v>38945</v>
      </c>
      <c r="M94" s="10">
        <f>IFERROR(VLOOKUP(A94,'[1]Sales Order'!A:F,6,FALSE),"")</f>
        <v>38952</v>
      </c>
      <c r="N94" t="str">
        <f>IFERROR(VLOOKUP(VLOOKUP(A94,'[1]Sales Order'!A:G,7,FALSE),[1]Shipper!A:B,2,FALSE),"Not Specified")</f>
        <v>Shipper ZHISN</v>
      </c>
      <c r="O94" t="str">
        <f>IFERROR(VLOOKUP(A94,'[1]Sales Order'!A:I,9,FALSE),"Not Specified")</f>
        <v>Ship to 46-A</v>
      </c>
      <c r="P94" t="str">
        <f>IFERROR(VLOOKUP(A94,'[1]Sales Order'!A:N,14,FALSE),"Not Specified")</f>
        <v>Venezuela</v>
      </c>
      <c r="Q94" t="str">
        <f>VLOOKUP(VLOOKUP(B94,[1]Product!A:C,3,FALSE),[1]Supplier!A:B,2,FALSE)</f>
        <v>Supplier BWGYE</v>
      </c>
      <c r="R94" t="str">
        <f>VLOOKUP(VLOOKUP(B94,[1]Product!A:C,3,FALSE),[1]Supplier!A:I,9,FALSE)</f>
        <v>UK</v>
      </c>
      <c r="S94" t="str">
        <f>IFERROR(IF(VLOOKUP(A94,'[1]Sales Order'!A:H,8,FALSE)&gt;100,"High Freight","Low Freight"),"Not Specified")</f>
        <v>Low Freight</v>
      </c>
      <c r="T94">
        <f t="shared" si="3"/>
        <v>131.4</v>
      </c>
    </row>
    <row r="95" spans="1:20">
      <c r="A95" s="1">
        <v>10283</v>
      </c>
      <c r="B95" s="2">
        <v>60</v>
      </c>
      <c r="C95" s="2">
        <v>27.2</v>
      </c>
      <c r="D95" s="2">
        <v>35</v>
      </c>
      <c r="E95" s="3">
        <v>0</v>
      </c>
      <c r="F95" s="2" t="str">
        <f>IFERROR(VLOOKUP(VLOOKUP(A95,'[1]Sales Order'!A:B,2,FALSE),[1]Customer!A:C,3,FALSE),"Not Specified")</f>
        <v>Dressler, Marlies</v>
      </c>
      <c r="G95" s="2" t="str">
        <f t="shared" si="2"/>
        <v>Dressler Marlies</v>
      </c>
      <c r="H95" s="8" t="str">
        <f>IFERROR(VLOOKUP(VLOOKUP(A95,'[1]Sales Order'!A:C,3,FALSE),[1]Employee!A:E,5,FALSE)&amp;" "&amp;VLOOKUP(VLOOKUP(A95,'[1]Sales Order'!A:C,3,FALSE),[1]Employee!A:C,3,FALSE)&amp;" "&amp;VLOOKUP(VLOOKUP(A95,'[1]Sales Order'!A:C,3,FALSE),[1]Employee!A:B,2,FALSE),"Not Specified")</f>
        <v>Ms. Judy Lew</v>
      </c>
      <c r="I95" t="str">
        <f>IFERROR(VLOOKUP(VLOOKUP(A95,'[1]Sales Order'!A:C,3,FALSE),[1]Employee!A:J,10,FALSE),"Not Specified")</f>
        <v>WA</v>
      </c>
      <c r="J95" t="str">
        <f>VLOOKUP(B95,[1]Product!A:B,2,FALSE)</f>
        <v>Product WHBYK</v>
      </c>
      <c r="K95" t="str">
        <f>VLOOKUP(VLOOKUP(B95,[1]Product!A:D,4,FALSE),[1]Category!A:B,2,FALSE)</f>
        <v>Dairy Product</v>
      </c>
      <c r="L95" s="10">
        <f>IFERROR(VLOOKUP(A95,'[1]Sales Order'!A:D,4,FALSE),"")</f>
        <v>38945</v>
      </c>
      <c r="M95" s="10">
        <f>IFERROR(VLOOKUP(A95,'[1]Sales Order'!A:F,6,FALSE),"")</f>
        <v>38952</v>
      </c>
      <c r="N95" t="str">
        <f>IFERROR(VLOOKUP(VLOOKUP(A95,'[1]Sales Order'!A:G,7,FALSE),[1]Shipper!A:B,2,FALSE),"Not Specified")</f>
        <v>Shipper ZHISN</v>
      </c>
      <c r="O95" t="str">
        <f>IFERROR(VLOOKUP(A95,'[1]Sales Order'!A:I,9,FALSE),"Not Specified")</f>
        <v>Ship to 46-A</v>
      </c>
      <c r="P95" t="str">
        <f>IFERROR(VLOOKUP(A95,'[1]Sales Order'!A:N,14,FALSE),"Not Specified")</f>
        <v>Venezuela</v>
      </c>
      <c r="Q95" t="str">
        <f>VLOOKUP(VLOOKUP(B95,[1]Product!A:C,3,FALSE),[1]Supplier!A:B,2,FALSE)</f>
        <v>Supplier OAVQT</v>
      </c>
      <c r="R95" t="str">
        <f>VLOOKUP(VLOOKUP(B95,[1]Product!A:C,3,FALSE),[1]Supplier!A:I,9,FALSE)</f>
        <v>France</v>
      </c>
      <c r="S95" t="str">
        <f>IFERROR(IF(VLOOKUP(A95,'[1]Sales Order'!A:H,8,FALSE)&gt;100,"High Freight","Low Freight"),"Not Specified")</f>
        <v>Low Freight</v>
      </c>
      <c r="T95">
        <f t="shared" si="3"/>
        <v>952</v>
      </c>
    </row>
    <row r="96" spans="1:20">
      <c r="A96" s="1">
        <v>10283</v>
      </c>
      <c r="B96" s="2">
        <v>72</v>
      </c>
      <c r="C96" s="2">
        <v>27.8</v>
      </c>
      <c r="D96" s="2">
        <v>3</v>
      </c>
      <c r="E96" s="3">
        <v>0</v>
      </c>
      <c r="F96" s="2" t="str">
        <f>IFERROR(VLOOKUP(VLOOKUP(A96,'[1]Sales Order'!A:B,2,FALSE),[1]Customer!A:C,3,FALSE),"Not Specified")</f>
        <v>Dressler, Marlies</v>
      </c>
      <c r="G96" s="2" t="str">
        <f t="shared" si="2"/>
        <v>Dressler Marlies</v>
      </c>
      <c r="H96" s="8" t="str">
        <f>IFERROR(VLOOKUP(VLOOKUP(A96,'[1]Sales Order'!A:C,3,FALSE),[1]Employee!A:E,5,FALSE)&amp;" "&amp;VLOOKUP(VLOOKUP(A96,'[1]Sales Order'!A:C,3,FALSE),[1]Employee!A:C,3,FALSE)&amp;" "&amp;VLOOKUP(VLOOKUP(A96,'[1]Sales Order'!A:C,3,FALSE),[1]Employee!A:B,2,FALSE),"Not Specified")</f>
        <v>Ms. Judy Lew</v>
      </c>
      <c r="I96" t="str">
        <f>IFERROR(VLOOKUP(VLOOKUP(A96,'[1]Sales Order'!A:C,3,FALSE),[1]Employee!A:J,10,FALSE),"Not Specified")</f>
        <v>WA</v>
      </c>
      <c r="J96" t="str">
        <f>VLOOKUP(B96,[1]Product!A:B,2,FALSE)</f>
        <v>Product GEEOO</v>
      </c>
      <c r="K96" t="str">
        <f>VLOOKUP(VLOOKUP(B96,[1]Product!A:D,4,FALSE),[1]Category!A:B,2,FALSE)</f>
        <v>Dairy Product</v>
      </c>
      <c r="L96" s="10">
        <f>IFERROR(VLOOKUP(A96,'[1]Sales Order'!A:D,4,FALSE),"")</f>
        <v>38945</v>
      </c>
      <c r="M96" s="10">
        <f>IFERROR(VLOOKUP(A96,'[1]Sales Order'!A:F,6,FALSE),"")</f>
        <v>38952</v>
      </c>
      <c r="N96" t="str">
        <f>IFERROR(VLOOKUP(VLOOKUP(A96,'[1]Sales Order'!A:G,7,FALSE),[1]Shipper!A:B,2,FALSE),"Not Specified")</f>
        <v>Shipper ZHISN</v>
      </c>
      <c r="O96" t="str">
        <f>IFERROR(VLOOKUP(A96,'[1]Sales Order'!A:I,9,FALSE),"Not Specified")</f>
        <v>Ship to 46-A</v>
      </c>
      <c r="P96" t="str">
        <f>IFERROR(VLOOKUP(A96,'[1]Sales Order'!A:N,14,FALSE),"Not Specified")</f>
        <v>Venezuela</v>
      </c>
      <c r="Q96" t="str">
        <f>VLOOKUP(VLOOKUP(B96,[1]Product!A:C,3,FALSE),[1]Supplier!A:B,2,FALSE)</f>
        <v>Supplier KEREV</v>
      </c>
      <c r="R96" t="str">
        <f>VLOOKUP(VLOOKUP(B96,[1]Product!A:C,3,FALSE),[1]Supplier!A:I,9,FALSE)</f>
        <v>Italy</v>
      </c>
      <c r="S96" t="str">
        <f>IFERROR(IF(VLOOKUP(A96,'[1]Sales Order'!A:H,8,FALSE)&gt;100,"High Freight","Low Freight"),"Not Specified")</f>
        <v>Low Freight</v>
      </c>
      <c r="T96">
        <f t="shared" si="3"/>
        <v>83.4</v>
      </c>
    </row>
    <row r="97" spans="1:20">
      <c r="A97" s="1">
        <v>10284</v>
      </c>
      <c r="B97" s="2">
        <v>27</v>
      </c>
      <c r="C97" s="2">
        <v>35.1</v>
      </c>
      <c r="D97" s="2">
        <v>15</v>
      </c>
      <c r="E97" s="3">
        <v>0.25</v>
      </c>
      <c r="F97" s="2" t="str">
        <f>IFERROR(VLOOKUP(VLOOKUP(A97,'[1]Sales Order'!A:B,2,FALSE),[1]Customer!A:C,3,FALSE),"Not Specified")</f>
        <v>Louverdis, George</v>
      </c>
      <c r="G97" s="2" t="str">
        <f t="shared" si="2"/>
        <v>Louverdis George</v>
      </c>
      <c r="H97" s="8" t="str">
        <f>IFERROR(VLOOKUP(VLOOKUP(A97,'[1]Sales Order'!A:C,3,FALSE),[1]Employee!A:E,5,FALSE)&amp;" "&amp;VLOOKUP(VLOOKUP(A97,'[1]Sales Order'!A:C,3,FALSE),[1]Employee!A:C,3,FALSE)&amp;" "&amp;VLOOKUP(VLOOKUP(A97,'[1]Sales Order'!A:C,3,FALSE),[1]Employee!A:B,2,FALSE),"Not Specified")</f>
        <v>Mrs. Yael Peled</v>
      </c>
      <c r="I97" t="str">
        <f>IFERROR(VLOOKUP(VLOOKUP(A97,'[1]Sales Order'!A:C,3,FALSE),[1]Employee!A:J,10,FALSE),"Not Specified")</f>
        <v>WA</v>
      </c>
      <c r="J97" t="str">
        <f>VLOOKUP(B97,[1]Product!A:B,2,FALSE)</f>
        <v>Product SMIOH</v>
      </c>
      <c r="K97" t="str">
        <f>VLOOKUP(VLOOKUP(B97,[1]Product!A:D,4,FALSE),[1]Category!A:B,2,FALSE)</f>
        <v>Confections</v>
      </c>
      <c r="L97" s="10">
        <f>IFERROR(VLOOKUP(A97,'[1]Sales Order'!A:D,4,FALSE),"")</f>
        <v>38948</v>
      </c>
      <c r="M97" s="10">
        <f>IFERROR(VLOOKUP(A97,'[1]Sales Order'!A:F,6,FALSE),"")</f>
        <v>38956</v>
      </c>
      <c r="N97" t="str">
        <f>IFERROR(VLOOKUP(VLOOKUP(A97,'[1]Sales Order'!A:G,7,FALSE),[1]Shipper!A:B,2,FALSE),"Not Specified")</f>
        <v>Shipper GVSUA</v>
      </c>
      <c r="O97" t="str">
        <f>IFERROR(VLOOKUP(A97,'[1]Sales Order'!A:I,9,FALSE),"Not Specified")</f>
        <v>Ship to 44-A</v>
      </c>
      <c r="P97" t="str">
        <f>IFERROR(VLOOKUP(A97,'[1]Sales Order'!A:N,14,FALSE),"Not Specified")</f>
        <v>Germany</v>
      </c>
      <c r="Q97" t="str">
        <f>VLOOKUP(VLOOKUP(B97,[1]Product!A:C,3,FALSE),[1]Supplier!A:B,2,FALSE)</f>
        <v>Supplier ZPYVS</v>
      </c>
      <c r="R97" t="str">
        <f>VLOOKUP(VLOOKUP(B97,[1]Product!A:C,3,FALSE),[1]Supplier!A:I,9,FALSE)</f>
        <v>Germany</v>
      </c>
      <c r="S97" t="str">
        <f>IFERROR(IF(VLOOKUP(A97,'[1]Sales Order'!A:H,8,FALSE)&gt;100,"High Freight","Low Freight"),"Not Specified")</f>
        <v>Low Freight</v>
      </c>
      <c r="T97">
        <f t="shared" si="3"/>
        <v>394.875</v>
      </c>
    </row>
    <row r="98" spans="1:20">
      <c r="A98" s="1">
        <v>10284</v>
      </c>
      <c r="B98" s="2">
        <v>44</v>
      </c>
      <c r="C98" s="2">
        <v>15.5</v>
      </c>
      <c r="D98" s="2">
        <v>21</v>
      </c>
      <c r="E98" s="3">
        <v>0</v>
      </c>
      <c r="F98" s="2" t="str">
        <f>IFERROR(VLOOKUP(VLOOKUP(A98,'[1]Sales Order'!A:B,2,FALSE),[1]Customer!A:C,3,FALSE),"Not Specified")</f>
        <v>Louverdis, George</v>
      </c>
      <c r="G98" s="2" t="str">
        <f t="shared" si="2"/>
        <v>Louverdis George</v>
      </c>
      <c r="H98" s="8" t="str">
        <f>IFERROR(VLOOKUP(VLOOKUP(A98,'[1]Sales Order'!A:C,3,FALSE),[1]Employee!A:E,5,FALSE)&amp;" "&amp;VLOOKUP(VLOOKUP(A98,'[1]Sales Order'!A:C,3,FALSE),[1]Employee!A:C,3,FALSE)&amp;" "&amp;VLOOKUP(VLOOKUP(A98,'[1]Sales Order'!A:C,3,FALSE),[1]Employee!A:B,2,FALSE),"Not Specified")</f>
        <v>Mrs. Yael Peled</v>
      </c>
      <c r="I98" t="str">
        <f>IFERROR(VLOOKUP(VLOOKUP(A98,'[1]Sales Order'!A:C,3,FALSE),[1]Employee!A:J,10,FALSE),"Not Specified")</f>
        <v>WA</v>
      </c>
      <c r="J98" t="str">
        <f>VLOOKUP(B98,[1]Product!A:B,2,FALSE)</f>
        <v>Product VJIEO</v>
      </c>
      <c r="K98" t="str">
        <f>VLOOKUP(VLOOKUP(B98,[1]Product!A:D,4,FALSE),[1]Category!A:B,2,FALSE)</f>
        <v>Condiments</v>
      </c>
      <c r="L98" s="10">
        <f>IFERROR(VLOOKUP(A98,'[1]Sales Order'!A:D,4,FALSE),"")</f>
        <v>38948</v>
      </c>
      <c r="M98" s="10">
        <f>IFERROR(VLOOKUP(A98,'[1]Sales Order'!A:F,6,FALSE),"")</f>
        <v>38956</v>
      </c>
      <c r="N98" t="str">
        <f>IFERROR(VLOOKUP(VLOOKUP(A98,'[1]Sales Order'!A:G,7,FALSE),[1]Shipper!A:B,2,FALSE),"Not Specified")</f>
        <v>Shipper GVSUA</v>
      </c>
      <c r="O98" t="str">
        <f>IFERROR(VLOOKUP(A98,'[1]Sales Order'!A:I,9,FALSE),"Not Specified")</f>
        <v>Ship to 44-A</v>
      </c>
      <c r="P98" t="str">
        <f>IFERROR(VLOOKUP(A98,'[1]Sales Order'!A:N,14,FALSE),"Not Specified")</f>
        <v>Germany</v>
      </c>
      <c r="Q98" t="str">
        <f>VLOOKUP(VLOOKUP(B98,[1]Product!A:C,3,FALSE),[1]Supplier!A:B,2,FALSE)</f>
        <v>Supplier CIYNM</v>
      </c>
      <c r="R98" t="str">
        <f>VLOOKUP(VLOOKUP(B98,[1]Product!A:C,3,FALSE),[1]Supplier!A:I,9,FALSE)</f>
        <v>Singapore</v>
      </c>
      <c r="S98" t="str">
        <f>IFERROR(IF(VLOOKUP(A98,'[1]Sales Order'!A:H,8,FALSE)&gt;100,"High Freight","Low Freight"),"Not Specified")</f>
        <v>Low Freight</v>
      </c>
      <c r="T98">
        <f t="shared" si="3"/>
        <v>325.5</v>
      </c>
    </row>
    <row r="99" spans="1:20">
      <c r="A99" s="1">
        <v>10284</v>
      </c>
      <c r="B99" s="2">
        <v>60</v>
      </c>
      <c r="C99" s="2">
        <v>27.2</v>
      </c>
      <c r="D99" s="2">
        <v>20</v>
      </c>
      <c r="E99" s="3">
        <v>0.25</v>
      </c>
      <c r="F99" s="2" t="str">
        <f>IFERROR(VLOOKUP(VLOOKUP(A99,'[1]Sales Order'!A:B,2,FALSE),[1]Customer!A:C,3,FALSE),"Not Specified")</f>
        <v>Louverdis, George</v>
      </c>
      <c r="G99" s="2" t="str">
        <f t="shared" si="2"/>
        <v>Louverdis George</v>
      </c>
      <c r="H99" s="8" t="str">
        <f>IFERROR(VLOOKUP(VLOOKUP(A99,'[1]Sales Order'!A:C,3,FALSE),[1]Employee!A:E,5,FALSE)&amp;" "&amp;VLOOKUP(VLOOKUP(A99,'[1]Sales Order'!A:C,3,FALSE),[1]Employee!A:C,3,FALSE)&amp;" "&amp;VLOOKUP(VLOOKUP(A99,'[1]Sales Order'!A:C,3,FALSE),[1]Employee!A:B,2,FALSE),"Not Specified")</f>
        <v>Mrs. Yael Peled</v>
      </c>
      <c r="I99" t="str">
        <f>IFERROR(VLOOKUP(VLOOKUP(A99,'[1]Sales Order'!A:C,3,FALSE),[1]Employee!A:J,10,FALSE),"Not Specified")</f>
        <v>WA</v>
      </c>
      <c r="J99" t="str">
        <f>VLOOKUP(B99,[1]Product!A:B,2,FALSE)</f>
        <v>Product WHBYK</v>
      </c>
      <c r="K99" t="str">
        <f>VLOOKUP(VLOOKUP(B99,[1]Product!A:D,4,FALSE),[1]Category!A:B,2,FALSE)</f>
        <v>Dairy Product</v>
      </c>
      <c r="L99" s="10">
        <f>IFERROR(VLOOKUP(A99,'[1]Sales Order'!A:D,4,FALSE),"")</f>
        <v>38948</v>
      </c>
      <c r="M99" s="10">
        <f>IFERROR(VLOOKUP(A99,'[1]Sales Order'!A:F,6,FALSE),"")</f>
        <v>38956</v>
      </c>
      <c r="N99" t="str">
        <f>IFERROR(VLOOKUP(VLOOKUP(A99,'[1]Sales Order'!A:G,7,FALSE),[1]Shipper!A:B,2,FALSE),"Not Specified")</f>
        <v>Shipper GVSUA</v>
      </c>
      <c r="O99" t="str">
        <f>IFERROR(VLOOKUP(A99,'[1]Sales Order'!A:I,9,FALSE),"Not Specified")</f>
        <v>Ship to 44-A</v>
      </c>
      <c r="P99" t="str">
        <f>IFERROR(VLOOKUP(A99,'[1]Sales Order'!A:N,14,FALSE),"Not Specified")</f>
        <v>Germany</v>
      </c>
      <c r="Q99" t="str">
        <f>VLOOKUP(VLOOKUP(B99,[1]Product!A:C,3,FALSE),[1]Supplier!A:B,2,FALSE)</f>
        <v>Supplier OAVQT</v>
      </c>
      <c r="R99" t="str">
        <f>VLOOKUP(VLOOKUP(B99,[1]Product!A:C,3,FALSE),[1]Supplier!A:I,9,FALSE)</f>
        <v>France</v>
      </c>
      <c r="S99" t="str">
        <f>IFERROR(IF(VLOOKUP(A99,'[1]Sales Order'!A:H,8,FALSE)&gt;100,"High Freight","Low Freight"),"Not Specified")</f>
        <v>Low Freight</v>
      </c>
      <c r="T99">
        <f t="shared" si="3"/>
        <v>408</v>
      </c>
    </row>
    <row r="100" spans="1:20">
      <c r="A100" s="1">
        <v>10284</v>
      </c>
      <c r="B100" s="2">
        <v>67</v>
      </c>
      <c r="C100" s="2">
        <v>11.2</v>
      </c>
      <c r="D100" s="2">
        <v>5</v>
      </c>
      <c r="E100" s="3">
        <v>0.25</v>
      </c>
      <c r="F100" s="2" t="str">
        <f>IFERROR(VLOOKUP(VLOOKUP(A100,'[1]Sales Order'!A:B,2,FALSE),[1]Customer!A:C,3,FALSE),"Not Specified")</f>
        <v>Louverdis, George</v>
      </c>
      <c r="G100" s="2" t="str">
        <f t="shared" si="2"/>
        <v>Louverdis George</v>
      </c>
      <c r="H100" s="8" t="str">
        <f>IFERROR(VLOOKUP(VLOOKUP(A100,'[1]Sales Order'!A:C,3,FALSE),[1]Employee!A:E,5,FALSE)&amp;" "&amp;VLOOKUP(VLOOKUP(A100,'[1]Sales Order'!A:C,3,FALSE),[1]Employee!A:C,3,FALSE)&amp;" "&amp;VLOOKUP(VLOOKUP(A100,'[1]Sales Order'!A:C,3,FALSE),[1]Employee!A:B,2,FALSE),"Not Specified")</f>
        <v>Mrs. Yael Peled</v>
      </c>
      <c r="I100" t="str">
        <f>IFERROR(VLOOKUP(VLOOKUP(A100,'[1]Sales Order'!A:C,3,FALSE),[1]Employee!A:J,10,FALSE),"Not Specified")</f>
        <v>WA</v>
      </c>
      <c r="J100" t="str">
        <f>VLOOKUP(B100,[1]Product!A:B,2,FALSE)</f>
        <v>Product XLXQF</v>
      </c>
      <c r="K100" t="str">
        <f>VLOOKUP(VLOOKUP(B100,[1]Product!A:D,4,FALSE),[1]Category!A:B,2,FALSE)</f>
        <v>Beverages</v>
      </c>
      <c r="L100" s="10">
        <f>IFERROR(VLOOKUP(A100,'[1]Sales Order'!A:D,4,FALSE),"")</f>
        <v>38948</v>
      </c>
      <c r="M100" s="10">
        <f>IFERROR(VLOOKUP(A100,'[1]Sales Order'!A:F,6,FALSE),"")</f>
        <v>38956</v>
      </c>
      <c r="N100" t="str">
        <f>IFERROR(VLOOKUP(VLOOKUP(A100,'[1]Sales Order'!A:G,7,FALSE),[1]Shipper!A:B,2,FALSE),"Not Specified")</f>
        <v>Shipper GVSUA</v>
      </c>
      <c r="O100" t="str">
        <f>IFERROR(VLOOKUP(A100,'[1]Sales Order'!A:I,9,FALSE),"Not Specified")</f>
        <v>Ship to 44-A</v>
      </c>
      <c r="P100" t="str">
        <f>IFERROR(VLOOKUP(A100,'[1]Sales Order'!A:N,14,FALSE),"Not Specified")</f>
        <v>Germany</v>
      </c>
      <c r="Q100" t="str">
        <f>VLOOKUP(VLOOKUP(B100,[1]Product!A:C,3,FALSE),[1]Supplier!A:B,2,FALSE)</f>
        <v>Supplier UHZRG</v>
      </c>
      <c r="R100" t="str">
        <f>VLOOKUP(VLOOKUP(B100,[1]Product!A:C,3,FALSE),[1]Supplier!A:I,9,FALSE)</f>
        <v>USA</v>
      </c>
      <c r="S100" t="str">
        <f>IFERROR(IF(VLOOKUP(A100,'[1]Sales Order'!A:H,8,FALSE)&gt;100,"High Freight","Low Freight"),"Not Specified")</f>
        <v>Low Freight</v>
      </c>
      <c r="T100">
        <f t="shared" si="3"/>
        <v>42</v>
      </c>
    </row>
    <row r="101" spans="1:20">
      <c r="A101" s="1">
        <v>10285</v>
      </c>
      <c r="B101" s="2">
        <v>1</v>
      </c>
      <c r="C101" s="2">
        <v>14.4</v>
      </c>
      <c r="D101" s="2">
        <v>45</v>
      </c>
      <c r="E101" s="3">
        <v>0.2</v>
      </c>
      <c r="F101" s="2" t="str">
        <f>IFERROR(VLOOKUP(VLOOKUP(A101,'[1]Sales Order'!A:B,2,FALSE),[1]Customer!A:C,3,FALSE),"Not Specified")</f>
        <v>Veronesi, Giorgio</v>
      </c>
      <c r="G101" s="2" t="str">
        <f t="shared" si="2"/>
        <v>Veronesi Giorgio</v>
      </c>
      <c r="H101" s="8" t="str">
        <f>IFERROR(VLOOKUP(VLOOKUP(A101,'[1]Sales Order'!A:C,3,FALSE),[1]Employee!A:E,5,FALSE)&amp;" "&amp;VLOOKUP(VLOOKUP(A101,'[1]Sales Order'!A:C,3,FALSE),[1]Employee!A:C,3,FALSE)&amp;" "&amp;VLOOKUP(VLOOKUP(A101,'[1]Sales Order'!A:C,3,FALSE),[1]Employee!A:B,2,FALSE),"Not Specified")</f>
        <v>Ms. Sara Davis</v>
      </c>
      <c r="I101" t="str">
        <f>IFERROR(VLOOKUP(VLOOKUP(A101,'[1]Sales Order'!A:C,3,FALSE),[1]Employee!A:J,10,FALSE),"Not Specified")</f>
        <v>WA</v>
      </c>
      <c r="J101" t="str">
        <f>VLOOKUP(B101,[1]Product!A:B,2,FALSE)</f>
        <v>Product HHYDP</v>
      </c>
      <c r="K101" t="str">
        <f>VLOOKUP(VLOOKUP(B101,[1]Product!A:D,4,FALSE),[1]Category!A:B,2,FALSE)</f>
        <v>Beverages</v>
      </c>
      <c r="L101" s="10">
        <f>IFERROR(VLOOKUP(A101,'[1]Sales Order'!A:D,4,FALSE),"")</f>
        <v>38949</v>
      </c>
      <c r="M101" s="10">
        <f>IFERROR(VLOOKUP(A101,'[1]Sales Order'!A:F,6,FALSE),"")</f>
        <v>38955</v>
      </c>
      <c r="N101" t="str">
        <f>IFERROR(VLOOKUP(VLOOKUP(A101,'[1]Sales Order'!A:G,7,FALSE),[1]Shipper!A:B,2,FALSE),"Not Specified")</f>
        <v>Shipper ETYNR</v>
      </c>
      <c r="O101" t="str">
        <f>IFERROR(VLOOKUP(A101,'[1]Sales Order'!A:I,9,FALSE),"Not Specified")</f>
        <v>Ship to 63-B</v>
      </c>
      <c r="P101" t="str">
        <f>IFERROR(VLOOKUP(A101,'[1]Sales Order'!A:N,14,FALSE),"Not Specified")</f>
        <v>Germany</v>
      </c>
      <c r="Q101" t="str">
        <f>VLOOKUP(VLOOKUP(B101,[1]Product!A:C,3,FALSE),[1]Supplier!A:B,2,FALSE)</f>
        <v>Supplier SWRXU</v>
      </c>
      <c r="R101" t="str">
        <f>VLOOKUP(VLOOKUP(B101,[1]Product!A:C,3,FALSE),[1]Supplier!A:I,9,FALSE)</f>
        <v>UK</v>
      </c>
      <c r="S101" t="str">
        <f>IFERROR(IF(VLOOKUP(A101,'[1]Sales Order'!A:H,8,FALSE)&gt;100,"High Freight","Low Freight"),"Not Specified")</f>
        <v>Low Freight</v>
      </c>
      <c r="T101">
        <f t="shared" si="3"/>
        <v>518.4</v>
      </c>
    </row>
    <row r="102" spans="1:20">
      <c r="A102" s="1">
        <v>10285</v>
      </c>
      <c r="B102" s="2">
        <v>40</v>
      </c>
      <c r="C102" s="2">
        <v>14.7</v>
      </c>
      <c r="D102" s="2">
        <v>40</v>
      </c>
      <c r="E102" s="3">
        <v>0.2</v>
      </c>
      <c r="F102" s="2" t="str">
        <f>IFERROR(VLOOKUP(VLOOKUP(A102,'[1]Sales Order'!A:B,2,FALSE),[1]Customer!A:C,3,FALSE),"Not Specified")</f>
        <v>Veronesi, Giorgio</v>
      </c>
      <c r="G102" s="2" t="str">
        <f t="shared" si="2"/>
        <v>Veronesi Giorgio</v>
      </c>
      <c r="H102" s="8" t="str">
        <f>IFERROR(VLOOKUP(VLOOKUP(A102,'[1]Sales Order'!A:C,3,FALSE),[1]Employee!A:E,5,FALSE)&amp;" "&amp;VLOOKUP(VLOOKUP(A102,'[1]Sales Order'!A:C,3,FALSE),[1]Employee!A:C,3,FALSE)&amp;" "&amp;VLOOKUP(VLOOKUP(A102,'[1]Sales Order'!A:C,3,FALSE),[1]Employee!A:B,2,FALSE),"Not Specified")</f>
        <v>Ms. Sara Davis</v>
      </c>
      <c r="I102" t="str">
        <f>IFERROR(VLOOKUP(VLOOKUP(A102,'[1]Sales Order'!A:C,3,FALSE),[1]Employee!A:J,10,FALSE),"Not Specified")</f>
        <v>WA</v>
      </c>
      <c r="J102" t="str">
        <f>VLOOKUP(B102,[1]Product!A:B,2,FALSE)</f>
        <v>Product YZIXQ</v>
      </c>
      <c r="K102" t="str">
        <f>VLOOKUP(VLOOKUP(B102,[1]Product!A:D,4,FALSE),[1]Category!A:B,2,FALSE)</f>
        <v>Seafood</v>
      </c>
      <c r="L102" s="10">
        <f>IFERROR(VLOOKUP(A102,'[1]Sales Order'!A:D,4,FALSE),"")</f>
        <v>38949</v>
      </c>
      <c r="M102" s="10">
        <f>IFERROR(VLOOKUP(A102,'[1]Sales Order'!A:F,6,FALSE),"")</f>
        <v>38955</v>
      </c>
      <c r="N102" t="str">
        <f>IFERROR(VLOOKUP(VLOOKUP(A102,'[1]Sales Order'!A:G,7,FALSE),[1]Shipper!A:B,2,FALSE),"Not Specified")</f>
        <v>Shipper ETYNR</v>
      </c>
      <c r="O102" t="str">
        <f>IFERROR(VLOOKUP(A102,'[1]Sales Order'!A:I,9,FALSE),"Not Specified")</f>
        <v>Ship to 63-B</v>
      </c>
      <c r="P102" t="str">
        <f>IFERROR(VLOOKUP(A102,'[1]Sales Order'!A:N,14,FALSE),"Not Specified")</f>
        <v>Germany</v>
      </c>
      <c r="Q102" t="str">
        <f>VLOOKUP(VLOOKUP(B102,[1]Product!A:C,3,FALSE),[1]Supplier!A:B,2,FALSE)</f>
        <v>Supplier JDNUG</v>
      </c>
      <c r="R102" t="str">
        <f>VLOOKUP(VLOOKUP(B102,[1]Product!A:C,3,FALSE),[1]Supplier!A:I,9,FALSE)</f>
        <v>USA</v>
      </c>
      <c r="S102" t="str">
        <f>IFERROR(IF(VLOOKUP(A102,'[1]Sales Order'!A:H,8,FALSE)&gt;100,"High Freight","Low Freight"),"Not Specified")</f>
        <v>Low Freight</v>
      </c>
      <c r="T102">
        <f t="shared" si="3"/>
        <v>470.40000000000003</v>
      </c>
    </row>
    <row r="103" spans="1:20">
      <c r="A103" s="1">
        <v>10285</v>
      </c>
      <c r="B103" s="2">
        <v>53</v>
      </c>
      <c r="C103" s="2">
        <v>26.2</v>
      </c>
      <c r="D103" s="2">
        <v>36</v>
      </c>
      <c r="E103" s="3">
        <v>0.2</v>
      </c>
      <c r="F103" s="2" t="str">
        <f>IFERROR(VLOOKUP(VLOOKUP(A103,'[1]Sales Order'!A:B,2,FALSE),[1]Customer!A:C,3,FALSE),"Not Specified")</f>
        <v>Veronesi, Giorgio</v>
      </c>
      <c r="G103" s="2" t="str">
        <f t="shared" si="2"/>
        <v>Veronesi Giorgio</v>
      </c>
      <c r="H103" s="8" t="str">
        <f>IFERROR(VLOOKUP(VLOOKUP(A103,'[1]Sales Order'!A:C,3,FALSE),[1]Employee!A:E,5,FALSE)&amp;" "&amp;VLOOKUP(VLOOKUP(A103,'[1]Sales Order'!A:C,3,FALSE),[1]Employee!A:C,3,FALSE)&amp;" "&amp;VLOOKUP(VLOOKUP(A103,'[1]Sales Order'!A:C,3,FALSE),[1]Employee!A:B,2,FALSE),"Not Specified")</f>
        <v>Ms. Sara Davis</v>
      </c>
      <c r="I103" t="str">
        <f>IFERROR(VLOOKUP(VLOOKUP(A103,'[1]Sales Order'!A:C,3,FALSE),[1]Employee!A:J,10,FALSE),"Not Specified")</f>
        <v>WA</v>
      </c>
      <c r="J103" t="str">
        <f>VLOOKUP(B103,[1]Product!A:B,2,FALSE)</f>
        <v>Product BKGEA</v>
      </c>
      <c r="K103" t="str">
        <f>VLOOKUP(VLOOKUP(B103,[1]Product!A:D,4,FALSE),[1]Category!A:B,2,FALSE)</f>
        <v>Meat/Poultry</v>
      </c>
      <c r="L103" s="10">
        <f>IFERROR(VLOOKUP(A103,'[1]Sales Order'!A:D,4,FALSE),"")</f>
        <v>38949</v>
      </c>
      <c r="M103" s="10">
        <f>IFERROR(VLOOKUP(A103,'[1]Sales Order'!A:F,6,FALSE),"")</f>
        <v>38955</v>
      </c>
      <c r="N103" t="str">
        <f>IFERROR(VLOOKUP(VLOOKUP(A103,'[1]Sales Order'!A:G,7,FALSE),[1]Shipper!A:B,2,FALSE),"Not Specified")</f>
        <v>Shipper ETYNR</v>
      </c>
      <c r="O103" t="str">
        <f>IFERROR(VLOOKUP(A103,'[1]Sales Order'!A:I,9,FALSE),"Not Specified")</f>
        <v>Ship to 63-B</v>
      </c>
      <c r="P103" t="str">
        <f>IFERROR(VLOOKUP(A103,'[1]Sales Order'!A:N,14,FALSE),"Not Specified")</f>
        <v>Germany</v>
      </c>
      <c r="Q103" t="str">
        <f>VLOOKUP(VLOOKUP(B103,[1]Product!A:C,3,FALSE),[1]Supplier!A:B,2,FALSE)</f>
        <v>Supplier JNNES</v>
      </c>
      <c r="R103" t="str">
        <f>VLOOKUP(VLOOKUP(B103,[1]Product!A:C,3,FALSE),[1]Supplier!A:I,9,FALSE)</f>
        <v>Australia</v>
      </c>
      <c r="S103" t="str">
        <f>IFERROR(IF(VLOOKUP(A103,'[1]Sales Order'!A:H,8,FALSE)&gt;100,"High Freight","Low Freight"),"Not Specified")</f>
        <v>Low Freight</v>
      </c>
      <c r="T103">
        <f t="shared" si="3"/>
        <v>754.56</v>
      </c>
    </row>
    <row r="104" spans="1:20">
      <c r="A104" s="1">
        <v>10286</v>
      </c>
      <c r="B104" s="2">
        <v>35</v>
      </c>
      <c r="C104" s="2">
        <v>14.4</v>
      </c>
      <c r="D104" s="2">
        <v>100</v>
      </c>
      <c r="E104" s="3">
        <v>0</v>
      </c>
      <c r="F104" s="2" t="str">
        <f>IFERROR(VLOOKUP(VLOOKUP(A104,'[1]Sales Order'!A:B,2,FALSE),[1]Customer!A:C,3,FALSE),"Not Specified")</f>
        <v>Veronesi, Giorgio</v>
      </c>
      <c r="G104" s="2" t="str">
        <f t="shared" si="2"/>
        <v>Veronesi Giorgio</v>
      </c>
      <c r="H104" s="8" t="str">
        <f>IFERROR(VLOOKUP(VLOOKUP(A104,'[1]Sales Order'!A:C,3,FALSE),[1]Employee!A:E,5,FALSE)&amp;" "&amp;VLOOKUP(VLOOKUP(A104,'[1]Sales Order'!A:C,3,FALSE),[1]Employee!A:C,3,FALSE)&amp;" "&amp;VLOOKUP(VLOOKUP(A104,'[1]Sales Order'!A:C,3,FALSE),[1]Employee!A:B,2,FALSE),"Not Specified")</f>
        <v>Ms. Maria Cameron</v>
      </c>
      <c r="I104" t="str">
        <f>IFERROR(VLOOKUP(VLOOKUP(A104,'[1]Sales Order'!A:C,3,FALSE),[1]Employee!A:J,10,FALSE),"Not Specified")</f>
        <v>WA</v>
      </c>
      <c r="J104" t="str">
        <f>VLOOKUP(B104,[1]Product!A:B,2,FALSE)</f>
        <v>Product NEVTJ</v>
      </c>
      <c r="K104" t="str">
        <f>VLOOKUP(VLOOKUP(B104,[1]Product!A:D,4,FALSE),[1]Category!A:B,2,FALSE)</f>
        <v>Beverages</v>
      </c>
      <c r="L104" s="10">
        <f>IFERROR(VLOOKUP(A104,'[1]Sales Order'!A:D,4,FALSE),"")</f>
        <v>38950</v>
      </c>
      <c r="M104" s="10">
        <f>IFERROR(VLOOKUP(A104,'[1]Sales Order'!A:F,6,FALSE),"")</f>
        <v>38959</v>
      </c>
      <c r="N104" t="str">
        <f>IFERROR(VLOOKUP(VLOOKUP(A104,'[1]Sales Order'!A:G,7,FALSE),[1]Shipper!A:B,2,FALSE),"Not Specified")</f>
        <v>Shipper ZHISN</v>
      </c>
      <c r="O104" t="str">
        <f>IFERROR(VLOOKUP(A104,'[1]Sales Order'!A:I,9,FALSE),"Not Specified")</f>
        <v>Ship to 63-B</v>
      </c>
      <c r="P104" t="str">
        <f>IFERROR(VLOOKUP(A104,'[1]Sales Order'!A:N,14,FALSE),"Not Specified")</f>
        <v>Germany</v>
      </c>
      <c r="Q104" t="str">
        <f>VLOOKUP(VLOOKUP(B104,[1]Product!A:C,3,FALSE),[1]Supplier!A:B,2,FALSE)</f>
        <v>Supplier UHZRG</v>
      </c>
      <c r="R104" t="str">
        <f>VLOOKUP(VLOOKUP(B104,[1]Product!A:C,3,FALSE),[1]Supplier!A:I,9,FALSE)</f>
        <v>USA</v>
      </c>
      <c r="S104" t="str">
        <f>IFERROR(IF(VLOOKUP(A104,'[1]Sales Order'!A:H,8,FALSE)&gt;100,"High Freight","Low Freight"),"Not Specified")</f>
        <v>High Freight</v>
      </c>
      <c r="T104">
        <f t="shared" si="3"/>
        <v>1440</v>
      </c>
    </row>
    <row r="105" spans="1:20">
      <c r="A105" s="1">
        <v>10286</v>
      </c>
      <c r="B105" s="2">
        <v>62</v>
      </c>
      <c r="C105" s="2">
        <v>39.4</v>
      </c>
      <c r="D105" s="2">
        <v>40</v>
      </c>
      <c r="E105" s="3">
        <v>0</v>
      </c>
      <c r="F105" s="2" t="str">
        <f>IFERROR(VLOOKUP(VLOOKUP(A105,'[1]Sales Order'!A:B,2,FALSE),[1]Customer!A:C,3,FALSE),"Not Specified")</f>
        <v>Veronesi, Giorgio</v>
      </c>
      <c r="G105" s="2" t="str">
        <f t="shared" si="2"/>
        <v>Veronesi Giorgio</v>
      </c>
      <c r="H105" s="8" t="str">
        <f>IFERROR(VLOOKUP(VLOOKUP(A105,'[1]Sales Order'!A:C,3,FALSE),[1]Employee!A:E,5,FALSE)&amp;" "&amp;VLOOKUP(VLOOKUP(A105,'[1]Sales Order'!A:C,3,FALSE),[1]Employee!A:C,3,FALSE)&amp;" "&amp;VLOOKUP(VLOOKUP(A105,'[1]Sales Order'!A:C,3,FALSE),[1]Employee!A:B,2,FALSE),"Not Specified")</f>
        <v>Ms. Maria Cameron</v>
      </c>
      <c r="I105" t="str">
        <f>IFERROR(VLOOKUP(VLOOKUP(A105,'[1]Sales Order'!A:C,3,FALSE),[1]Employee!A:J,10,FALSE),"Not Specified")</f>
        <v>WA</v>
      </c>
      <c r="J105" t="str">
        <f>VLOOKUP(B105,[1]Product!A:B,2,FALSE)</f>
        <v>Product WUXYK</v>
      </c>
      <c r="K105" t="str">
        <f>VLOOKUP(VLOOKUP(B105,[1]Product!A:D,4,FALSE),[1]Category!A:B,2,FALSE)</f>
        <v>Confections</v>
      </c>
      <c r="L105" s="10">
        <f>IFERROR(VLOOKUP(A105,'[1]Sales Order'!A:D,4,FALSE),"")</f>
        <v>38950</v>
      </c>
      <c r="M105" s="10">
        <f>IFERROR(VLOOKUP(A105,'[1]Sales Order'!A:F,6,FALSE),"")</f>
        <v>38959</v>
      </c>
      <c r="N105" t="str">
        <f>IFERROR(VLOOKUP(VLOOKUP(A105,'[1]Sales Order'!A:G,7,FALSE),[1]Shipper!A:B,2,FALSE),"Not Specified")</f>
        <v>Shipper ZHISN</v>
      </c>
      <c r="O105" t="str">
        <f>IFERROR(VLOOKUP(A105,'[1]Sales Order'!A:I,9,FALSE),"Not Specified")</f>
        <v>Ship to 63-B</v>
      </c>
      <c r="P105" t="str">
        <f>IFERROR(VLOOKUP(A105,'[1]Sales Order'!A:N,14,FALSE),"Not Specified")</f>
        <v>Germany</v>
      </c>
      <c r="Q105" t="str">
        <f>VLOOKUP(VLOOKUP(B105,[1]Product!A:C,3,FALSE),[1]Supplier!A:B,2,FALSE)</f>
        <v>Supplier OGLRK</v>
      </c>
      <c r="R105" t="str">
        <f>VLOOKUP(VLOOKUP(B105,[1]Product!A:C,3,FALSE),[1]Supplier!A:I,9,FALSE)</f>
        <v>Canada</v>
      </c>
      <c r="S105" t="str">
        <f>IFERROR(IF(VLOOKUP(A105,'[1]Sales Order'!A:H,8,FALSE)&gt;100,"High Freight","Low Freight"),"Not Specified")</f>
        <v>High Freight</v>
      </c>
      <c r="T105">
        <f t="shared" si="3"/>
        <v>1576</v>
      </c>
    </row>
    <row r="106" spans="1:20">
      <c r="A106" s="1">
        <v>10287</v>
      </c>
      <c r="B106" s="2">
        <v>16</v>
      </c>
      <c r="C106" s="2">
        <v>13.9</v>
      </c>
      <c r="D106" s="2">
        <v>40</v>
      </c>
      <c r="E106" s="3">
        <v>0.15</v>
      </c>
      <c r="F106" s="2" t="str">
        <f>IFERROR(VLOOKUP(VLOOKUP(A106,'[1]Sales Order'!A:B,2,FALSE),[1]Customer!A:C,3,FALSE),"Not Specified")</f>
        <v>Garden, Euan</v>
      </c>
      <c r="G106" s="2" t="str">
        <f t="shared" si="2"/>
        <v>Garden Euan</v>
      </c>
      <c r="H106" s="8" t="str">
        <f>IFERROR(VLOOKUP(VLOOKUP(A106,'[1]Sales Order'!A:C,3,FALSE),[1]Employee!A:E,5,FALSE)&amp;" "&amp;VLOOKUP(VLOOKUP(A106,'[1]Sales Order'!A:C,3,FALSE),[1]Employee!A:C,3,FALSE)&amp;" "&amp;VLOOKUP(VLOOKUP(A106,'[1]Sales Order'!A:C,3,FALSE),[1]Employee!A:B,2,FALSE),"Not Specified")</f>
        <v>Ms. Maria Cameron</v>
      </c>
      <c r="I106" t="str">
        <f>IFERROR(VLOOKUP(VLOOKUP(A106,'[1]Sales Order'!A:C,3,FALSE),[1]Employee!A:J,10,FALSE),"Not Specified")</f>
        <v>WA</v>
      </c>
      <c r="J106" t="str">
        <f>VLOOKUP(B106,[1]Product!A:B,2,FALSE)</f>
        <v>Product PAFRH</v>
      </c>
      <c r="K106" t="str">
        <f>VLOOKUP(VLOOKUP(B106,[1]Product!A:D,4,FALSE),[1]Category!A:B,2,FALSE)</f>
        <v>Confections</v>
      </c>
      <c r="L106" s="10">
        <f>IFERROR(VLOOKUP(A106,'[1]Sales Order'!A:D,4,FALSE),"")</f>
        <v>38951</v>
      </c>
      <c r="M106" s="10">
        <f>IFERROR(VLOOKUP(A106,'[1]Sales Order'!A:F,6,FALSE),"")</f>
        <v>38957</v>
      </c>
      <c r="N106" t="str">
        <f>IFERROR(VLOOKUP(VLOOKUP(A106,'[1]Sales Order'!A:G,7,FALSE),[1]Shipper!A:B,2,FALSE),"Not Specified")</f>
        <v>Shipper ZHISN</v>
      </c>
      <c r="O106" t="str">
        <f>IFERROR(VLOOKUP(A106,'[1]Sales Order'!A:I,9,FALSE),"Not Specified")</f>
        <v>Ship to 67-A</v>
      </c>
      <c r="P106" t="str">
        <f>IFERROR(VLOOKUP(A106,'[1]Sales Order'!A:N,14,FALSE),"Not Specified")</f>
        <v>Brazil</v>
      </c>
      <c r="Q106" t="str">
        <f>VLOOKUP(VLOOKUP(B106,[1]Product!A:C,3,FALSE),[1]Supplier!A:B,2,FALSE)</f>
        <v>Supplier GQRCV</v>
      </c>
      <c r="R106" t="str">
        <f>VLOOKUP(VLOOKUP(B106,[1]Product!A:C,3,FALSE),[1]Supplier!A:I,9,FALSE)</f>
        <v>Australia</v>
      </c>
      <c r="S106" t="str">
        <f>IFERROR(IF(VLOOKUP(A106,'[1]Sales Order'!A:H,8,FALSE)&gt;100,"High Freight","Low Freight"),"Not Specified")</f>
        <v>Low Freight</v>
      </c>
      <c r="T106">
        <f t="shared" si="3"/>
        <v>472.59999999999997</v>
      </c>
    </row>
    <row r="107" spans="1:20">
      <c r="A107" s="1">
        <v>10287</v>
      </c>
      <c r="B107" s="2">
        <v>34</v>
      </c>
      <c r="C107" s="2">
        <v>11.2</v>
      </c>
      <c r="D107" s="2">
        <v>20</v>
      </c>
      <c r="E107" s="3">
        <v>0</v>
      </c>
      <c r="F107" s="2" t="str">
        <f>IFERROR(VLOOKUP(VLOOKUP(A107,'[1]Sales Order'!A:B,2,FALSE),[1]Customer!A:C,3,FALSE),"Not Specified")</f>
        <v>Garden, Euan</v>
      </c>
      <c r="G107" s="2" t="str">
        <f t="shared" si="2"/>
        <v>Garden Euan</v>
      </c>
      <c r="H107" s="8" t="str">
        <f>IFERROR(VLOOKUP(VLOOKUP(A107,'[1]Sales Order'!A:C,3,FALSE),[1]Employee!A:E,5,FALSE)&amp;" "&amp;VLOOKUP(VLOOKUP(A107,'[1]Sales Order'!A:C,3,FALSE),[1]Employee!A:C,3,FALSE)&amp;" "&amp;VLOOKUP(VLOOKUP(A107,'[1]Sales Order'!A:C,3,FALSE),[1]Employee!A:B,2,FALSE),"Not Specified")</f>
        <v>Ms. Maria Cameron</v>
      </c>
      <c r="I107" t="str">
        <f>IFERROR(VLOOKUP(VLOOKUP(A107,'[1]Sales Order'!A:C,3,FALSE),[1]Employee!A:J,10,FALSE),"Not Specified")</f>
        <v>WA</v>
      </c>
      <c r="J107" t="str">
        <f>VLOOKUP(B107,[1]Product!A:B,2,FALSE)</f>
        <v>Product SWNJY</v>
      </c>
      <c r="K107" t="str">
        <f>VLOOKUP(VLOOKUP(B107,[1]Product!A:D,4,FALSE),[1]Category!A:B,2,FALSE)</f>
        <v>Beverages</v>
      </c>
      <c r="L107" s="10">
        <f>IFERROR(VLOOKUP(A107,'[1]Sales Order'!A:D,4,FALSE),"")</f>
        <v>38951</v>
      </c>
      <c r="M107" s="10">
        <f>IFERROR(VLOOKUP(A107,'[1]Sales Order'!A:F,6,FALSE),"")</f>
        <v>38957</v>
      </c>
      <c r="N107" t="str">
        <f>IFERROR(VLOOKUP(VLOOKUP(A107,'[1]Sales Order'!A:G,7,FALSE),[1]Shipper!A:B,2,FALSE),"Not Specified")</f>
        <v>Shipper ZHISN</v>
      </c>
      <c r="O107" t="str">
        <f>IFERROR(VLOOKUP(A107,'[1]Sales Order'!A:I,9,FALSE),"Not Specified")</f>
        <v>Ship to 67-A</v>
      </c>
      <c r="P107" t="str">
        <f>IFERROR(VLOOKUP(A107,'[1]Sales Order'!A:N,14,FALSE),"Not Specified")</f>
        <v>Brazil</v>
      </c>
      <c r="Q107" t="str">
        <f>VLOOKUP(VLOOKUP(B107,[1]Product!A:C,3,FALSE),[1]Supplier!A:B,2,FALSE)</f>
        <v>Supplier UHZRG</v>
      </c>
      <c r="R107" t="str">
        <f>VLOOKUP(VLOOKUP(B107,[1]Product!A:C,3,FALSE),[1]Supplier!A:I,9,FALSE)</f>
        <v>USA</v>
      </c>
      <c r="S107" t="str">
        <f>IFERROR(IF(VLOOKUP(A107,'[1]Sales Order'!A:H,8,FALSE)&gt;100,"High Freight","Low Freight"),"Not Specified")</f>
        <v>Low Freight</v>
      </c>
      <c r="T107">
        <f t="shared" si="3"/>
        <v>224</v>
      </c>
    </row>
    <row r="108" spans="1:20">
      <c r="A108" s="1">
        <v>10287</v>
      </c>
      <c r="B108" s="2">
        <v>46</v>
      </c>
      <c r="C108" s="2">
        <v>9.6</v>
      </c>
      <c r="D108" s="2">
        <v>15</v>
      </c>
      <c r="E108" s="3">
        <v>0.15</v>
      </c>
      <c r="F108" s="2" t="str">
        <f>IFERROR(VLOOKUP(VLOOKUP(A108,'[1]Sales Order'!A:B,2,FALSE),[1]Customer!A:C,3,FALSE),"Not Specified")</f>
        <v>Garden, Euan</v>
      </c>
      <c r="G108" s="2" t="str">
        <f t="shared" si="2"/>
        <v>Garden Euan</v>
      </c>
      <c r="H108" s="8" t="str">
        <f>IFERROR(VLOOKUP(VLOOKUP(A108,'[1]Sales Order'!A:C,3,FALSE),[1]Employee!A:E,5,FALSE)&amp;" "&amp;VLOOKUP(VLOOKUP(A108,'[1]Sales Order'!A:C,3,FALSE),[1]Employee!A:C,3,FALSE)&amp;" "&amp;VLOOKUP(VLOOKUP(A108,'[1]Sales Order'!A:C,3,FALSE),[1]Employee!A:B,2,FALSE),"Not Specified")</f>
        <v>Ms. Maria Cameron</v>
      </c>
      <c r="I108" t="str">
        <f>IFERROR(VLOOKUP(VLOOKUP(A108,'[1]Sales Order'!A:C,3,FALSE),[1]Employee!A:J,10,FALSE),"Not Specified")</f>
        <v>WA</v>
      </c>
      <c r="J108" t="str">
        <f>VLOOKUP(B108,[1]Product!A:B,2,FALSE)</f>
        <v>Product CBRRL</v>
      </c>
      <c r="K108" t="str">
        <f>VLOOKUP(VLOOKUP(B108,[1]Product!A:D,4,FALSE),[1]Category!A:B,2,FALSE)</f>
        <v>Seafood</v>
      </c>
      <c r="L108" s="10">
        <f>IFERROR(VLOOKUP(A108,'[1]Sales Order'!A:D,4,FALSE),"")</f>
        <v>38951</v>
      </c>
      <c r="M108" s="10">
        <f>IFERROR(VLOOKUP(A108,'[1]Sales Order'!A:F,6,FALSE),"")</f>
        <v>38957</v>
      </c>
      <c r="N108" t="str">
        <f>IFERROR(VLOOKUP(VLOOKUP(A108,'[1]Sales Order'!A:G,7,FALSE),[1]Shipper!A:B,2,FALSE),"Not Specified")</f>
        <v>Shipper ZHISN</v>
      </c>
      <c r="O108" t="str">
        <f>IFERROR(VLOOKUP(A108,'[1]Sales Order'!A:I,9,FALSE),"Not Specified")</f>
        <v>Ship to 67-A</v>
      </c>
      <c r="P108" t="str">
        <f>IFERROR(VLOOKUP(A108,'[1]Sales Order'!A:N,14,FALSE),"Not Specified")</f>
        <v>Brazil</v>
      </c>
      <c r="Q108" t="str">
        <f>VLOOKUP(VLOOKUP(B108,[1]Product!A:C,3,FALSE),[1]Supplier!A:B,2,FALSE)</f>
        <v>Supplier XOXZA</v>
      </c>
      <c r="R108" t="str">
        <f>VLOOKUP(VLOOKUP(B108,[1]Product!A:C,3,FALSE),[1]Supplier!A:I,9,FALSE)</f>
        <v>Denmark</v>
      </c>
      <c r="S108" t="str">
        <f>IFERROR(IF(VLOOKUP(A108,'[1]Sales Order'!A:H,8,FALSE)&gt;100,"High Freight","Low Freight"),"Not Specified")</f>
        <v>Low Freight</v>
      </c>
      <c r="T108">
        <f t="shared" si="3"/>
        <v>122.39999999999999</v>
      </c>
    </row>
    <row r="109" spans="1:20">
      <c r="A109" s="1">
        <v>10288</v>
      </c>
      <c r="B109" s="2">
        <v>54</v>
      </c>
      <c r="C109" s="2">
        <v>5.9</v>
      </c>
      <c r="D109" s="2">
        <v>10</v>
      </c>
      <c r="E109" s="3">
        <v>0.1</v>
      </c>
      <c r="F109" s="2" t="str">
        <f>IFERROR(VLOOKUP(VLOOKUP(A109,'[1]Sales Order'!A:B,2,FALSE),[1]Customer!A:C,3,FALSE),"Not Specified")</f>
        <v>Voss, Florian</v>
      </c>
      <c r="G109" s="2" t="str">
        <f t="shared" si="2"/>
        <v>Voss Florian</v>
      </c>
      <c r="H109" s="8" t="str">
        <f>IFERROR(VLOOKUP(VLOOKUP(A109,'[1]Sales Order'!A:C,3,FALSE),[1]Employee!A:E,5,FALSE)&amp;" "&amp;VLOOKUP(VLOOKUP(A109,'[1]Sales Order'!A:C,3,FALSE),[1]Employee!A:C,3,FALSE)&amp;" "&amp;VLOOKUP(VLOOKUP(A109,'[1]Sales Order'!A:C,3,FALSE),[1]Employee!A:B,2,FALSE),"Not Specified")</f>
        <v>Mrs. Yael Peled</v>
      </c>
      <c r="I109" t="str">
        <f>IFERROR(VLOOKUP(VLOOKUP(A109,'[1]Sales Order'!A:C,3,FALSE),[1]Employee!A:J,10,FALSE),"Not Specified")</f>
        <v>WA</v>
      </c>
      <c r="J109" t="str">
        <f>VLOOKUP(B109,[1]Product!A:B,2,FALSE)</f>
        <v>Product QAQRL</v>
      </c>
      <c r="K109" t="str">
        <f>VLOOKUP(VLOOKUP(B109,[1]Product!A:D,4,FALSE),[1]Category!A:B,2,FALSE)</f>
        <v>Meat/Poultry</v>
      </c>
      <c r="L109" s="10">
        <f>IFERROR(VLOOKUP(A109,'[1]Sales Order'!A:D,4,FALSE),"")</f>
        <v>38952</v>
      </c>
      <c r="M109" s="10">
        <f>IFERROR(VLOOKUP(A109,'[1]Sales Order'!A:F,6,FALSE),"")</f>
        <v>38963</v>
      </c>
      <c r="N109" t="str">
        <f>IFERROR(VLOOKUP(VLOOKUP(A109,'[1]Sales Order'!A:G,7,FALSE),[1]Shipper!A:B,2,FALSE),"Not Specified")</f>
        <v>Shipper GVSUA</v>
      </c>
      <c r="O109" t="str">
        <f>IFERROR(VLOOKUP(A109,'[1]Sales Order'!A:I,9,FALSE),"Not Specified")</f>
        <v>Ship to 66-C</v>
      </c>
      <c r="P109" t="str">
        <f>IFERROR(VLOOKUP(A109,'[1]Sales Order'!A:N,14,FALSE),"Not Specified")</f>
        <v>Italy</v>
      </c>
      <c r="Q109" t="str">
        <f>VLOOKUP(VLOOKUP(B109,[1]Product!A:C,3,FALSE),[1]Supplier!A:B,2,FALSE)</f>
        <v>Supplier ERVYZ</v>
      </c>
      <c r="R109" t="str">
        <f>VLOOKUP(VLOOKUP(B109,[1]Product!A:C,3,FALSE),[1]Supplier!A:I,9,FALSE)</f>
        <v>Canada</v>
      </c>
      <c r="S109" t="str">
        <f>IFERROR(IF(VLOOKUP(A109,'[1]Sales Order'!A:H,8,FALSE)&gt;100,"High Freight","Low Freight"),"Not Specified")</f>
        <v>Low Freight</v>
      </c>
      <c r="T109">
        <f t="shared" si="3"/>
        <v>53.1</v>
      </c>
    </row>
    <row r="110" spans="1:20">
      <c r="A110" s="1">
        <v>10288</v>
      </c>
      <c r="B110" s="2">
        <v>68</v>
      </c>
      <c r="C110" s="2">
        <v>10</v>
      </c>
      <c r="D110" s="2">
        <v>3</v>
      </c>
      <c r="E110" s="3">
        <v>0.1</v>
      </c>
      <c r="F110" s="2" t="str">
        <f>IFERROR(VLOOKUP(VLOOKUP(A110,'[1]Sales Order'!A:B,2,FALSE),[1]Customer!A:C,3,FALSE),"Not Specified")</f>
        <v>Voss, Florian</v>
      </c>
      <c r="G110" s="2" t="str">
        <f t="shared" si="2"/>
        <v>Voss Florian</v>
      </c>
      <c r="H110" s="8" t="str">
        <f>IFERROR(VLOOKUP(VLOOKUP(A110,'[1]Sales Order'!A:C,3,FALSE),[1]Employee!A:E,5,FALSE)&amp;" "&amp;VLOOKUP(VLOOKUP(A110,'[1]Sales Order'!A:C,3,FALSE),[1]Employee!A:C,3,FALSE)&amp;" "&amp;VLOOKUP(VLOOKUP(A110,'[1]Sales Order'!A:C,3,FALSE),[1]Employee!A:B,2,FALSE),"Not Specified")</f>
        <v>Mrs. Yael Peled</v>
      </c>
      <c r="I110" t="str">
        <f>IFERROR(VLOOKUP(VLOOKUP(A110,'[1]Sales Order'!A:C,3,FALSE),[1]Employee!A:J,10,FALSE),"Not Specified")</f>
        <v>WA</v>
      </c>
      <c r="J110" t="str">
        <f>VLOOKUP(B110,[1]Product!A:B,2,FALSE)</f>
        <v>Product TBTBL</v>
      </c>
      <c r="K110" t="str">
        <f>VLOOKUP(VLOOKUP(B110,[1]Product!A:D,4,FALSE),[1]Category!A:B,2,FALSE)</f>
        <v>Confections</v>
      </c>
      <c r="L110" s="10">
        <f>IFERROR(VLOOKUP(A110,'[1]Sales Order'!A:D,4,FALSE),"")</f>
        <v>38952</v>
      </c>
      <c r="M110" s="10">
        <f>IFERROR(VLOOKUP(A110,'[1]Sales Order'!A:F,6,FALSE),"")</f>
        <v>38963</v>
      </c>
      <c r="N110" t="str">
        <f>IFERROR(VLOOKUP(VLOOKUP(A110,'[1]Sales Order'!A:G,7,FALSE),[1]Shipper!A:B,2,FALSE),"Not Specified")</f>
        <v>Shipper GVSUA</v>
      </c>
      <c r="O110" t="str">
        <f>IFERROR(VLOOKUP(A110,'[1]Sales Order'!A:I,9,FALSE),"Not Specified")</f>
        <v>Ship to 66-C</v>
      </c>
      <c r="P110" t="str">
        <f>IFERROR(VLOOKUP(A110,'[1]Sales Order'!A:N,14,FALSE),"Not Specified")</f>
        <v>Italy</v>
      </c>
      <c r="Q110" t="str">
        <f>VLOOKUP(VLOOKUP(B110,[1]Product!A:C,3,FALSE),[1]Supplier!A:B,2,FALSE)</f>
        <v>Supplier BWGYE</v>
      </c>
      <c r="R110" t="str">
        <f>VLOOKUP(VLOOKUP(B110,[1]Product!A:C,3,FALSE),[1]Supplier!A:I,9,FALSE)</f>
        <v>UK</v>
      </c>
      <c r="S110" t="str">
        <f>IFERROR(IF(VLOOKUP(A110,'[1]Sales Order'!A:H,8,FALSE)&gt;100,"High Freight","Low Freight"),"Not Specified")</f>
        <v>Low Freight</v>
      </c>
      <c r="T110">
        <f t="shared" si="3"/>
        <v>27</v>
      </c>
    </row>
    <row r="111" spans="1:20">
      <c r="A111" s="1">
        <v>10289</v>
      </c>
      <c r="B111" s="2">
        <v>3</v>
      </c>
      <c r="C111" s="2">
        <v>8</v>
      </c>
      <c r="D111" s="2">
        <v>30</v>
      </c>
      <c r="E111" s="3">
        <v>0</v>
      </c>
      <c r="F111" s="2" t="str">
        <f>IFERROR(VLOOKUP(VLOOKUP(A111,'[1]Sales Order'!A:B,2,FALSE),[1]Customer!A:C,3,FALSE),"Not Specified")</f>
        <v>Jaffe, David</v>
      </c>
      <c r="G111" s="2" t="str">
        <f t="shared" si="2"/>
        <v>Jaffe David</v>
      </c>
      <c r="H111" s="8" t="str">
        <f>IFERROR(VLOOKUP(VLOOKUP(A111,'[1]Sales Order'!A:C,3,FALSE),[1]Employee!A:E,5,FALSE)&amp;" "&amp;VLOOKUP(VLOOKUP(A111,'[1]Sales Order'!A:C,3,FALSE),[1]Employee!A:C,3,FALSE)&amp;" "&amp;VLOOKUP(VLOOKUP(A111,'[1]Sales Order'!A:C,3,FALSE),[1]Employee!A:B,2,FALSE),"Not Specified")</f>
        <v>Mr. Russell King</v>
      </c>
      <c r="I111">
        <f>IFERROR(VLOOKUP(VLOOKUP(A111,'[1]Sales Order'!A:C,3,FALSE),[1]Employee!A:J,10,FALSE),"Not Specified")</f>
        <v>0</v>
      </c>
      <c r="J111" t="str">
        <f>VLOOKUP(B111,[1]Product!A:B,2,FALSE)</f>
        <v>Product IMEHJ</v>
      </c>
      <c r="K111" t="str">
        <f>VLOOKUP(VLOOKUP(B111,[1]Product!A:D,4,FALSE),[1]Category!A:B,2,FALSE)</f>
        <v>Condiments</v>
      </c>
      <c r="L111" s="10">
        <f>IFERROR(VLOOKUP(A111,'[1]Sales Order'!A:D,4,FALSE),"")</f>
        <v>38955</v>
      </c>
      <c r="M111" s="10">
        <f>IFERROR(VLOOKUP(A111,'[1]Sales Order'!A:F,6,FALSE),"")</f>
        <v>38957</v>
      </c>
      <c r="N111" t="str">
        <f>IFERROR(VLOOKUP(VLOOKUP(A111,'[1]Sales Order'!A:G,7,FALSE),[1]Shipper!A:B,2,FALSE),"Not Specified")</f>
        <v>Shipper ZHISN</v>
      </c>
      <c r="O111" t="str">
        <f>IFERROR(VLOOKUP(A111,'[1]Sales Order'!A:I,9,FALSE),"Not Specified")</f>
        <v>Destination DLEUN</v>
      </c>
      <c r="P111" t="str">
        <f>IFERROR(VLOOKUP(A111,'[1]Sales Order'!A:N,14,FALSE),"Not Specified")</f>
        <v>UK</v>
      </c>
      <c r="Q111" t="str">
        <f>VLOOKUP(VLOOKUP(B111,[1]Product!A:C,3,FALSE),[1]Supplier!A:B,2,FALSE)</f>
        <v>Supplier SWRXU</v>
      </c>
      <c r="R111" t="str">
        <f>VLOOKUP(VLOOKUP(B111,[1]Product!A:C,3,FALSE),[1]Supplier!A:I,9,FALSE)</f>
        <v>UK</v>
      </c>
      <c r="S111" t="str">
        <f>IFERROR(IF(VLOOKUP(A111,'[1]Sales Order'!A:H,8,FALSE)&gt;100,"High Freight","Low Freight"),"Not Specified")</f>
        <v>Low Freight</v>
      </c>
      <c r="T111">
        <f t="shared" si="3"/>
        <v>240</v>
      </c>
    </row>
    <row r="112" spans="1:20">
      <c r="A112" s="1">
        <v>10289</v>
      </c>
      <c r="B112" s="2">
        <v>64</v>
      </c>
      <c r="C112" s="2">
        <v>26.6</v>
      </c>
      <c r="D112" s="2">
        <v>9</v>
      </c>
      <c r="E112" s="3">
        <v>0</v>
      </c>
      <c r="F112" s="2" t="str">
        <f>IFERROR(VLOOKUP(VLOOKUP(A112,'[1]Sales Order'!A:B,2,FALSE),[1]Customer!A:C,3,FALSE),"Not Specified")</f>
        <v>Jaffe, David</v>
      </c>
      <c r="G112" s="2" t="str">
        <f t="shared" si="2"/>
        <v>Jaffe David</v>
      </c>
      <c r="H112" s="8" t="str">
        <f>IFERROR(VLOOKUP(VLOOKUP(A112,'[1]Sales Order'!A:C,3,FALSE),[1]Employee!A:E,5,FALSE)&amp;" "&amp;VLOOKUP(VLOOKUP(A112,'[1]Sales Order'!A:C,3,FALSE),[1]Employee!A:C,3,FALSE)&amp;" "&amp;VLOOKUP(VLOOKUP(A112,'[1]Sales Order'!A:C,3,FALSE),[1]Employee!A:B,2,FALSE),"Not Specified")</f>
        <v>Mr. Russell King</v>
      </c>
      <c r="I112">
        <f>IFERROR(VLOOKUP(VLOOKUP(A112,'[1]Sales Order'!A:C,3,FALSE),[1]Employee!A:J,10,FALSE),"Not Specified")</f>
        <v>0</v>
      </c>
      <c r="J112" t="str">
        <f>VLOOKUP(B112,[1]Product!A:B,2,FALSE)</f>
        <v>Product HCQDE</v>
      </c>
      <c r="K112" t="str">
        <f>VLOOKUP(VLOOKUP(B112,[1]Product!A:D,4,FALSE),[1]Category!A:B,2,FALSE)</f>
        <v>Grains/Cereals</v>
      </c>
      <c r="L112" s="10">
        <f>IFERROR(VLOOKUP(A112,'[1]Sales Order'!A:D,4,FALSE),"")</f>
        <v>38955</v>
      </c>
      <c r="M112" s="10">
        <f>IFERROR(VLOOKUP(A112,'[1]Sales Order'!A:F,6,FALSE),"")</f>
        <v>38957</v>
      </c>
      <c r="N112" t="str">
        <f>IFERROR(VLOOKUP(VLOOKUP(A112,'[1]Sales Order'!A:G,7,FALSE),[1]Shipper!A:B,2,FALSE),"Not Specified")</f>
        <v>Shipper ZHISN</v>
      </c>
      <c r="O112" t="str">
        <f>IFERROR(VLOOKUP(A112,'[1]Sales Order'!A:I,9,FALSE),"Not Specified")</f>
        <v>Destination DLEUN</v>
      </c>
      <c r="P112" t="str">
        <f>IFERROR(VLOOKUP(A112,'[1]Sales Order'!A:N,14,FALSE),"Not Specified")</f>
        <v>UK</v>
      </c>
      <c r="Q112" t="str">
        <f>VLOOKUP(VLOOKUP(B112,[1]Product!A:C,3,FALSE),[1]Supplier!A:B,2,FALSE)</f>
        <v>Supplier SVIYA</v>
      </c>
      <c r="R112" t="str">
        <f>VLOOKUP(VLOOKUP(B112,[1]Product!A:C,3,FALSE),[1]Supplier!A:I,9,FALSE)</f>
        <v>Germany</v>
      </c>
      <c r="S112" t="str">
        <f>IFERROR(IF(VLOOKUP(A112,'[1]Sales Order'!A:H,8,FALSE)&gt;100,"High Freight","Low Freight"),"Not Specified")</f>
        <v>Low Freight</v>
      </c>
      <c r="T112">
        <f t="shared" si="3"/>
        <v>239.4</v>
      </c>
    </row>
    <row r="113" spans="1:20">
      <c r="A113" s="1">
        <v>10290</v>
      </c>
      <c r="B113" s="2">
        <v>5</v>
      </c>
      <c r="C113" s="2">
        <v>17</v>
      </c>
      <c r="D113" s="2">
        <v>20</v>
      </c>
      <c r="E113" s="3">
        <v>0</v>
      </c>
      <c r="F113" s="2" t="str">
        <f>IFERROR(VLOOKUP(VLOOKUP(A113,'[1]Sales Order'!A:B,2,FALSE),[1]Customer!A:C,3,FALSE),"Not Specified")</f>
        <v>Richardson, Shawn</v>
      </c>
      <c r="G113" s="2" t="str">
        <f t="shared" si="2"/>
        <v>Richardson Shawn</v>
      </c>
      <c r="H113" s="8" t="str">
        <f>IFERROR(VLOOKUP(VLOOKUP(A113,'[1]Sales Order'!A:C,3,FALSE),[1]Employee!A:E,5,FALSE)&amp;" "&amp;VLOOKUP(VLOOKUP(A113,'[1]Sales Order'!A:C,3,FALSE),[1]Employee!A:C,3,FALSE)&amp;" "&amp;VLOOKUP(VLOOKUP(A113,'[1]Sales Order'!A:C,3,FALSE),[1]Employee!A:B,2,FALSE),"Not Specified")</f>
        <v>Ms. Maria Cameron</v>
      </c>
      <c r="I113" t="str">
        <f>IFERROR(VLOOKUP(VLOOKUP(A113,'[1]Sales Order'!A:C,3,FALSE),[1]Employee!A:J,10,FALSE),"Not Specified")</f>
        <v>WA</v>
      </c>
      <c r="J113" t="str">
        <f>VLOOKUP(B113,[1]Product!A:B,2,FALSE)</f>
        <v>Product EPEIM</v>
      </c>
      <c r="K113" t="str">
        <f>VLOOKUP(VLOOKUP(B113,[1]Product!A:D,4,FALSE),[1]Category!A:B,2,FALSE)</f>
        <v>Condiments</v>
      </c>
      <c r="L113" s="10">
        <f>IFERROR(VLOOKUP(A113,'[1]Sales Order'!A:D,4,FALSE),"")</f>
        <v>38956</v>
      </c>
      <c r="M113" s="10">
        <f>IFERROR(VLOOKUP(A113,'[1]Sales Order'!A:F,6,FALSE),"")</f>
        <v>38963</v>
      </c>
      <c r="N113" t="str">
        <f>IFERROR(VLOOKUP(VLOOKUP(A113,'[1]Sales Order'!A:G,7,FALSE),[1]Shipper!A:B,2,FALSE),"Not Specified")</f>
        <v>Shipper GVSUA</v>
      </c>
      <c r="O113" t="str">
        <f>IFERROR(VLOOKUP(A113,'[1]Sales Order'!A:I,9,FALSE),"Not Specified")</f>
        <v>Destination HQZHO</v>
      </c>
      <c r="P113" t="str">
        <f>IFERROR(VLOOKUP(A113,'[1]Sales Order'!A:N,14,FALSE),"Not Specified")</f>
        <v>Brazil</v>
      </c>
      <c r="Q113" t="str">
        <f>VLOOKUP(VLOOKUP(B113,[1]Product!A:C,3,FALSE),[1]Supplier!A:B,2,FALSE)</f>
        <v>Supplier VHQZD</v>
      </c>
      <c r="R113" t="str">
        <f>VLOOKUP(VLOOKUP(B113,[1]Product!A:C,3,FALSE),[1]Supplier!A:I,9,FALSE)</f>
        <v>USA</v>
      </c>
      <c r="S113" t="str">
        <f>IFERROR(IF(VLOOKUP(A113,'[1]Sales Order'!A:H,8,FALSE)&gt;100,"High Freight","Low Freight"),"Not Specified")</f>
        <v>Low Freight</v>
      </c>
      <c r="T113">
        <f t="shared" si="3"/>
        <v>340</v>
      </c>
    </row>
    <row r="114" spans="1:20">
      <c r="A114" s="1">
        <v>10290</v>
      </c>
      <c r="B114" s="2">
        <v>29</v>
      </c>
      <c r="C114" s="2">
        <v>99</v>
      </c>
      <c r="D114" s="2">
        <v>15</v>
      </c>
      <c r="E114" s="3">
        <v>0</v>
      </c>
      <c r="F114" s="2" t="str">
        <f>IFERROR(VLOOKUP(VLOOKUP(A114,'[1]Sales Order'!A:B,2,FALSE),[1]Customer!A:C,3,FALSE),"Not Specified")</f>
        <v>Richardson, Shawn</v>
      </c>
      <c r="G114" s="2" t="str">
        <f t="shared" si="2"/>
        <v>Richardson Shawn</v>
      </c>
      <c r="H114" s="8" t="str">
        <f>IFERROR(VLOOKUP(VLOOKUP(A114,'[1]Sales Order'!A:C,3,FALSE),[1]Employee!A:E,5,FALSE)&amp;" "&amp;VLOOKUP(VLOOKUP(A114,'[1]Sales Order'!A:C,3,FALSE),[1]Employee!A:C,3,FALSE)&amp;" "&amp;VLOOKUP(VLOOKUP(A114,'[1]Sales Order'!A:C,3,FALSE),[1]Employee!A:B,2,FALSE),"Not Specified")</f>
        <v>Ms. Maria Cameron</v>
      </c>
      <c r="I114" t="str">
        <f>IFERROR(VLOOKUP(VLOOKUP(A114,'[1]Sales Order'!A:C,3,FALSE),[1]Employee!A:J,10,FALSE),"Not Specified")</f>
        <v>WA</v>
      </c>
      <c r="J114" t="str">
        <f>VLOOKUP(B114,[1]Product!A:B,2,FALSE)</f>
        <v>Product VJXYN</v>
      </c>
      <c r="K114" t="str">
        <f>VLOOKUP(VLOOKUP(B114,[1]Product!A:D,4,FALSE),[1]Category!A:B,2,FALSE)</f>
        <v>Meat/Poultry</v>
      </c>
      <c r="L114" s="10">
        <f>IFERROR(VLOOKUP(A114,'[1]Sales Order'!A:D,4,FALSE),"")</f>
        <v>38956</v>
      </c>
      <c r="M114" s="10">
        <f>IFERROR(VLOOKUP(A114,'[1]Sales Order'!A:F,6,FALSE),"")</f>
        <v>38963</v>
      </c>
      <c r="N114" t="str">
        <f>IFERROR(VLOOKUP(VLOOKUP(A114,'[1]Sales Order'!A:G,7,FALSE),[1]Shipper!A:B,2,FALSE),"Not Specified")</f>
        <v>Shipper GVSUA</v>
      </c>
      <c r="O114" t="str">
        <f>IFERROR(VLOOKUP(A114,'[1]Sales Order'!A:I,9,FALSE),"Not Specified")</f>
        <v>Destination HQZHO</v>
      </c>
      <c r="P114" t="str">
        <f>IFERROR(VLOOKUP(A114,'[1]Sales Order'!A:N,14,FALSE),"Not Specified")</f>
        <v>Brazil</v>
      </c>
      <c r="Q114" t="str">
        <f>VLOOKUP(VLOOKUP(B114,[1]Product!A:C,3,FALSE),[1]Supplier!A:B,2,FALSE)</f>
        <v>Supplier SVIYA</v>
      </c>
      <c r="R114" t="str">
        <f>VLOOKUP(VLOOKUP(B114,[1]Product!A:C,3,FALSE),[1]Supplier!A:I,9,FALSE)</f>
        <v>Germany</v>
      </c>
      <c r="S114" t="str">
        <f>IFERROR(IF(VLOOKUP(A114,'[1]Sales Order'!A:H,8,FALSE)&gt;100,"High Freight","Low Freight"),"Not Specified")</f>
        <v>Low Freight</v>
      </c>
      <c r="T114">
        <f t="shared" si="3"/>
        <v>1485</v>
      </c>
    </row>
    <row r="115" spans="1:20">
      <c r="A115" s="1">
        <v>10290</v>
      </c>
      <c r="B115" s="2">
        <v>49</v>
      </c>
      <c r="C115" s="2">
        <v>16</v>
      </c>
      <c r="D115" s="2">
        <v>15</v>
      </c>
      <c r="E115" s="3">
        <v>0</v>
      </c>
      <c r="F115" s="2" t="str">
        <f>IFERROR(VLOOKUP(VLOOKUP(A115,'[1]Sales Order'!A:B,2,FALSE),[1]Customer!A:C,3,FALSE),"Not Specified")</f>
        <v>Richardson, Shawn</v>
      </c>
      <c r="G115" s="2" t="str">
        <f t="shared" si="2"/>
        <v>Richardson Shawn</v>
      </c>
      <c r="H115" s="8" t="str">
        <f>IFERROR(VLOOKUP(VLOOKUP(A115,'[1]Sales Order'!A:C,3,FALSE),[1]Employee!A:E,5,FALSE)&amp;" "&amp;VLOOKUP(VLOOKUP(A115,'[1]Sales Order'!A:C,3,FALSE),[1]Employee!A:C,3,FALSE)&amp;" "&amp;VLOOKUP(VLOOKUP(A115,'[1]Sales Order'!A:C,3,FALSE),[1]Employee!A:B,2,FALSE),"Not Specified")</f>
        <v>Ms. Maria Cameron</v>
      </c>
      <c r="I115" t="str">
        <f>IFERROR(VLOOKUP(VLOOKUP(A115,'[1]Sales Order'!A:C,3,FALSE),[1]Employee!A:J,10,FALSE),"Not Specified")</f>
        <v>WA</v>
      </c>
      <c r="J115" t="str">
        <f>VLOOKUP(B115,[1]Product!A:B,2,FALSE)</f>
        <v>Product FPYPN</v>
      </c>
      <c r="K115" t="str">
        <f>VLOOKUP(VLOOKUP(B115,[1]Product!A:D,4,FALSE),[1]Category!A:B,2,FALSE)</f>
        <v>Confections</v>
      </c>
      <c r="L115" s="10">
        <f>IFERROR(VLOOKUP(A115,'[1]Sales Order'!A:D,4,FALSE),"")</f>
        <v>38956</v>
      </c>
      <c r="M115" s="10">
        <f>IFERROR(VLOOKUP(A115,'[1]Sales Order'!A:F,6,FALSE),"")</f>
        <v>38963</v>
      </c>
      <c r="N115" t="str">
        <f>IFERROR(VLOOKUP(VLOOKUP(A115,'[1]Sales Order'!A:G,7,FALSE),[1]Shipper!A:B,2,FALSE),"Not Specified")</f>
        <v>Shipper GVSUA</v>
      </c>
      <c r="O115" t="str">
        <f>IFERROR(VLOOKUP(A115,'[1]Sales Order'!A:I,9,FALSE),"Not Specified")</f>
        <v>Destination HQZHO</v>
      </c>
      <c r="P115" t="str">
        <f>IFERROR(VLOOKUP(A115,'[1]Sales Order'!A:N,14,FALSE),"Not Specified")</f>
        <v>Brazil</v>
      </c>
      <c r="Q115" t="str">
        <f>VLOOKUP(VLOOKUP(B115,[1]Product!A:C,3,FALSE),[1]Supplier!A:B,2,FALSE)</f>
        <v>Supplier ELCRN</v>
      </c>
      <c r="R115" t="str">
        <f>VLOOKUP(VLOOKUP(B115,[1]Product!A:C,3,FALSE),[1]Supplier!A:I,9,FALSE)</f>
        <v>Finland</v>
      </c>
      <c r="S115" t="str">
        <f>IFERROR(IF(VLOOKUP(A115,'[1]Sales Order'!A:H,8,FALSE)&gt;100,"High Freight","Low Freight"),"Not Specified")</f>
        <v>Low Freight</v>
      </c>
      <c r="T115">
        <f t="shared" si="3"/>
        <v>240</v>
      </c>
    </row>
    <row r="116" spans="1:20">
      <c r="A116" s="1">
        <v>10290</v>
      </c>
      <c r="B116" s="2">
        <v>77</v>
      </c>
      <c r="C116" s="2">
        <v>10.4</v>
      </c>
      <c r="D116" s="2">
        <v>10</v>
      </c>
      <c r="E116" s="3">
        <v>0</v>
      </c>
      <c r="F116" s="2" t="str">
        <f>IFERROR(VLOOKUP(VLOOKUP(A116,'[1]Sales Order'!A:B,2,FALSE),[1]Customer!A:C,3,FALSE),"Not Specified")</f>
        <v>Richardson, Shawn</v>
      </c>
      <c r="G116" s="2" t="str">
        <f t="shared" si="2"/>
        <v>Richardson Shawn</v>
      </c>
      <c r="H116" s="8" t="str">
        <f>IFERROR(VLOOKUP(VLOOKUP(A116,'[1]Sales Order'!A:C,3,FALSE),[1]Employee!A:E,5,FALSE)&amp;" "&amp;VLOOKUP(VLOOKUP(A116,'[1]Sales Order'!A:C,3,FALSE),[1]Employee!A:C,3,FALSE)&amp;" "&amp;VLOOKUP(VLOOKUP(A116,'[1]Sales Order'!A:C,3,FALSE),[1]Employee!A:B,2,FALSE),"Not Specified")</f>
        <v>Ms. Maria Cameron</v>
      </c>
      <c r="I116" t="str">
        <f>IFERROR(VLOOKUP(VLOOKUP(A116,'[1]Sales Order'!A:C,3,FALSE),[1]Employee!A:J,10,FALSE),"Not Specified")</f>
        <v>WA</v>
      </c>
      <c r="J116" t="str">
        <f>VLOOKUP(B116,[1]Product!A:B,2,FALSE)</f>
        <v>Product LUNZZ</v>
      </c>
      <c r="K116" t="str">
        <f>VLOOKUP(VLOOKUP(B116,[1]Product!A:D,4,FALSE),[1]Category!A:B,2,FALSE)</f>
        <v>Condiments</v>
      </c>
      <c r="L116" s="10">
        <f>IFERROR(VLOOKUP(A116,'[1]Sales Order'!A:D,4,FALSE),"")</f>
        <v>38956</v>
      </c>
      <c r="M116" s="10">
        <f>IFERROR(VLOOKUP(A116,'[1]Sales Order'!A:F,6,FALSE),"")</f>
        <v>38963</v>
      </c>
      <c r="N116" t="str">
        <f>IFERROR(VLOOKUP(VLOOKUP(A116,'[1]Sales Order'!A:G,7,FALSE),[1]Shipper!A:B,2,FALSE),"Not Specified")</f>
        <v>Shipper GVSUA</v>
      </c>
      <c r="O116" t="str">
        <f>IFERROR(VLOOKUP(A116,'[1]Sales Order'!A:I,9,FALSE),"Not Specified")</f>
        <v>Destination HQZHO</v>
      </c>
      <c r="P116" t="str">
        <f>IFERROR(VLOOKUP(A116,'[1]Sales Order'!A:N,14,FALSE),"Not Specified")</f>
        <v>Brazil</v>
      </c>
      <c r="Q116" t="str">
        <f>VLOOKUP(VLOOKUP(B116,[1]Product!A:C,3,FALSE),[1]Supplier!A:B,2,FALSE)</f>
        <v>Supplier SVIYA</v>
      </c>
      <c r="R116" t="str">
        <f>VLOOKUP(VLOOKUP(B116,[1]Product!A:C,3,FALSE),[1]Supplier!A:I,9,FALSE)</f>
        <v>Germany</v>
      </c>
      <c r="S116" t="str">
        <f>IFERROR(IF(VLOOKUP(A116,'[1]Sales Order'!A:H,8,FALSE)&gt;100,"High Freight","Low Freight"),"Not Specified")</f>
        <v>Low Freight</v>
      </c>
      <c r="T116">
        <f t="shared" si="3"/>
        <v>104</v>
      </c>
    </row>
    <row r="117" spans="1:20">
      <c r="A117" s="1">
        <v>10291</v>
      </c>
      <c r="B117" s="2">
        <v>13</v>
      </c>
      <c r="C117" s="2">
        <v>4.8</v>
      </c>
      <c r="D117" s="2">
        <v>20</v>
      </c>
      <c r="E117" s="3">
        <v>0.1</v>
      </c>
      <c r="F117" s="2" t="str">
        <f>IFERROR(VLOOKUP(VLOOKUP(A117,'[1]Sales Order'!A:B,2,FALSE),[1]Customer!A:C,3,FALSE),"Not Specified")</f>
        <v>Florczyk, Krzysztof</v>
      </c>
      <c r="G117" s="2" t="str">
        <f t="shared" si="2"/>
        <v>Florczyk Krzysztof</v>
      </c>
      <c r="H117" s="8" t="str">
        <f>IFERROR(VLOOKUP(VLOOKUP(A117,'[1]Sales Order'!A:C,3,FALSE),[1]Employee!A:E,5,FALSE)&amp;" "&amp;VLOOKUP(VLOOKUP(A117,'[1]Sales Order'!A:C,3,FALSE),[1]Employee!A:C,3,FALSE)&amp;" "&amp;VLOOKUP(VLOOKUP(A117,'[1]Sales Order'!A:C,3,FALSE),[1]Employee!A:B,2,FALSE),"Not Specified")</f>
        <v>Mr. Paul Suurs</v>
      </c>
      <c r="I117">
        <f>IFERROR(VLOOKUP(VLOOKUP(A117,'[1]Sales Order'!A:C,3,FALSE),[1]Employee!A:J,10,FALSE),"Not Specified")</f>
        <v>0</v>
      </c>
      <c r="J117" t="str">
        <f>VLOOKUP(B117,[1]Product!A:B,2,FALSE)</f>
        <v>Product POXFU</v>
      </c>
      <c r="K117" t="str">
        <f>VLOOKUP(VLOOKUP(B117,[1]Product!A:D,4,FALSE),[1]Category!A:B,2,FALSE)</f>
        <v>Seafood</v>
      </c>
      <c r="L117" s="10">
        <f>IFERROR(VLOOKUP(A117,'[1]Sales Order'!A:D,4,FALSE),"")</f>
        <v>38956</v>
      </c>
      <c r="M117" s="10">
        <f>IFERROR(VLOOKUP(A117,'[1]Sales Order'!A:F,6,FALSE),"")</f>
        <v>38964</v>
      </c>
      <c r="N117" t="str">
        <f>IFERROR(VLOOKUP(VLOOKUP(A117,'[1]Sales Order'!A:G,7,FALSE),[1]Shipper!A:B,2,FALSE),"Not Specified")</f>
        <v>Shipper ETYNR</v>
      </c>
      <c r="O117" t="str">
        <f>IFERROR(VLOOKUP(A117,'[1]Sales Order'!A:I,9,FALSE),"Not Specified")</f>
        <v>Ship to 61-A</v>
      </c>
      <c r="P117" t="str">
        <f>IFERROR(VLOOKUP(A117,'[1]Sales Order'!A:N,14,FALSE),"Not Specified")</f>
        <v>Brazil</v>
      </c>
      <c r="Q117" t="str">
        <f>VLOOKUP(VLOOKUP(B117,[1]Product!A:C,3,FALSE),[1]Supplier!A:B,2,FALSE)</f>
        <v>Supplier QWUSF</v>
      </c>
      <c r="R117" t="str">
        <f>VLOOKUP(VLOOKUP(B117,[1]Product!A:C,3,FALSE),[1]Supplier!A:I,9,FALSE)</f>
        <v>Japan</v>
      </c>
      <c r="S117" t="str">
        <f>IFERROR(IF(VLOOKUP(A117,'[1]Sales Order'!A:H,8,FALSE)&gt;100,"High Freight","Low Freight"),"Not Specified")</f>
        <v>Low Freight</v>
      </c>
      <c r="T117">
        <f t="shared" si="3"/>
        <v>86.4</v>
      </c>
    </row>
    <row r="118" spans="1:20">
      <c r="A118" s="1">
        <v>10291</v>
      </c>
      <c r="B118" s="2">
        <v>44</v>
      </c>
      <c r="C118" s="2">
        <v>15.5</v>
      </c>
      <c r="D118" s="2">
        <v>24</v>
      </c>
      <c r="E118" s="3">
        <v>0.1</v>
      </c>
      <c r="F118" s="2" t="str">
        <f>IFERROR(VLOOKUP(VLOOKUP(A118,'[1]Sales Order'!A:B,2,FALSE),[1]Customer!A:C,3,FALSE),"Not Specified")</f>
        <v>Florczyk, Krzysztof</v>
      </c>
      <c r="G118" s="2" t="str">
        <f t="shared" si="2"/>
        <v>Florczyk Krzysztof</v>
      </c>
      <c r="H118" s="8" t="str">
        <f>IFERROR(VLOOKUP(VLOOKUP(A118,'[1]Sales Order'!A:C,3,FALSE),[1]Employee!A:E,5,FALSE)&amp;" "&amp;VLOOKUP(VLOOKUP(A118,'[1]Sales Order'!A:C,3,FALSE),[1]Employee!A:C,3,FALSE)&amp;" "&amp;VLOOKUP(VLOOKUP(A118,'[1]Sales Order'!A:C,3,FALSE),[1]Employee!A:B,2,FALSE),"Not Specified")</f>
        <v>Mr. Paul Suurs</v>
      </c>
      <c r="I118">
        <f>IFERROR(VLOOKUP(VLOOKUP(A118,'[1]Sales Order'!A:C,3,FALSE),[1]Employee!A:J,10,FALSE),"Not Specified")</f>
        <v>0</v>
      </c>
      <c r="J118" t="str">
        <f>VLOOKUP(B118,[1]Product!A:B,2,FALSE)</f>
        <v>Product VJIEO</v>
      </c>
      <c r="K118" t="str">
        <f>VLOOKUP(VLOOKUP(B118,[1]Product!A:D,4,FALSE),[1]Category!A:B,2,FALSE)</f>
        <v>Condiments</v>
      </c>
      <c r="L118" s="10">
        <f>IFERROR(VLOOKUP(A118,'[1]Sales Order'!A:D,4,FALSE),"")</f>
        <v>38956</v>
      </c>
      <c r="M118" s="10">
        <f>IFERROR(VLOOKUP(A118,'[1]Sales Order'!A:F,6,FALSE),"")</f>
        <v>38964</v>
      </c>
      <c r="N118" t="str">
        <f>IFERROR(VLOOKUP(VLOOKUP(A118,'[1]Sales Order'!A:G,7,FALSE),[1]Shipper!A:B,2,FALSE),"Not Specified")</f>
        <v>Shipper ETYNR</v>
      </c>
      <c r="O118" t="str">
        <f>IFERROR(VLOOKUP(A118,'[1]Sales Order'!A:I,9,FALSE),"Not Specified")</f>
        <v>Ship to 61-A</v>
      </c>
      <c r="P118" t="str">
        <f>IFERROR(VLOOKUP(A118,'[1]Sales Order'!A:N,14,FALSE),"Not Specified")</f>
        <v>Brazil</v>
      </c>
      <c r="Q118" t="str">
        <f>VLOOKUP(VLOOKUP(B118,[1]Product!A:C,3,FALSE),[1]Supplier!A:B,2,FALSE)</f>
        <v>Supplier CIYNM</v>
      </c>
      <c r="R118" t="str">
        <f>VLOOKUP(VLOOKUP(B118,[1]Product!A:C,3,FALSE),[1]Supplier!A:I,9,FALSE)</f>
        <v>Singapore</v>
      </c>
      <c r="S118" t="str">
        <f>IFERROR(IF(VLOOKUP(A118,'[1]Sales Order'!A:H,8,FALSE)&gt;100,"High Freight","Low Freight"),"Not Specified")</f>
        <v>Low Freight</v>
      </c>
      <c r="T118">
        <f t="shared" si="3"/>
        <v>334.8</v>
      </c>
    </row>
    <row r="119" spans="1:20">
      <c r="A119" s="1">
        <v>10291</v>
      </c>
      <c r="B119" s="2">
        <v>51</v>
      </c>
      <c r="C119" s="2">
        <v>42.4</v>
      </c>
      <c r="D119" s="2">
        <v>2</v>
      </c>
      <c r="E119" s="3">
        <v>0.1</v>
      </c>
      <c r="F119" s="2" t="str">
        <f>IFERROR(VLOOKUP(VLOOKUP(A119,'[1]Sales Order'!A:B,2,FALSE),[1]Customer!A:C,3,FALSE),"Not Specified")</f>
        <v>Florczyk, Krzysztof</v>
      </c>
      <c r="G119" s="2" t="str">
        <f t="shared" si="2"/>
        <v>Florczyk Krzysztof</v>
      </c>
      <c r="H119" s="8" t="str">
        <f>IFERROR(VLOOKUP(VLOOKUP(A119,'[1]Sales Order'!A:C,3,FALSE),[1]Employee!A:E,5,FALSE)&amp;" "&amp;VLOOKUP(VLOOKUP(A119,'[1]Sales Order'!A:C,3,FALSE),[1]Employee!A:C,3,FALSE)&amp;" "&amp;VLOOKUP(VLOOKUP(A119,'[1]Sales Order'!A:C,3,FALSE),[1]Employee!A:B,2,FALSE),"Not Specified")</f>
        <v>Mr. Paul Suurs</v>
      </c>
      <c r="I119">
        <f>IFERROR(VLOOKUP(VLOOKUP(A119,'[1]Sales Order'!A:C,3,FALSE),[1]Employee!A:J,10,FALSE),"Not Specified")</f>
        <v>0</v>
      </c>
      <c r="J119" t="str">
        <f>VLOOKUP(B119,[1]Product!A:B,2,FALSE)</f>
        <v>Product APITJ</v>
      </c>
      <c r="K119" t="str">
        <f>VLOOKUP(VLOOKUP(B119,[1]Product!A:D,4,FALSE),[1]Category!A:B,2,FALSE)</f>
        <v>Produce</v>
      </c>
      <c r="L119" s="10">
        <f>IFERROR(VLOOKUP(A119,'[1]Sales Order'!A:D,4,FALSE),"")</f>
        <v>38956</v>
      </c>
      <c r="M119" s="10">
        <f>IFERROR(VLOOKUP(A119,'[1]Sales Order'!A:F,6,FALSE),"")</f>
        <v>38964</v>
      </c>
      <c r="N119" t="str">
        <f>IFERROR(VLOOKUP(VLOOKUP(A119,'[1]Sales Order'!A:G,7,FALSE),[1]Shipper!A:B,2,FALSE),"Not Specified")</f>
        <v>Shipper ETYNR</v>
      </c>
      <c r="O119" t="str">
        <f>IFERROR(VLOOKUP(A119,'[1]Sales Order'!A:I,9,FALSE),"Not Specified")</f>
        <v>Ship to 61-A</v>
      </c>
      <c r="P119" t="str">
        <f>IFERROR(VLOOKUP(A119,'[1]Sales Order'!A:N,14,FALSE),"Not Specified")</f>
        <v>Brazil</v>
      </c>
      <c r="Q119" t="str">
        <f>VLOOKUP(VLOOKUP(B119,[1]Product!A:C,3,FALSE),[1]Supplier!A:B,2,FALSE)</f>
        <v>Supplier JNNES</v>
      </c>
      <c r="R119" t="str">
        <f>VLOOKUP(VLOOKUP(B119,[1]Product!A:C,3,FALSE),[1]Supplier!A:I,9,FALSE)</f>
        <v>Australia</v>
      </c>
      <c r="S119" t="str">
        <f>IFERROR(IF(VLOOKUP(A119,'[1]Sales Order'!A:H,8,FALSE)&gt;100,"High Freight","Low Freight"),"Not Specified")</f>
        <v>Low Freight</v>
      </c>
      <c r="T119">
        <f t="shared" si="3"/>
        <v>76.319999999999993</v>
      </c>
    </row>
    <row r="120" spans="1:20">
      <c r="A120" s="1">
        <v>10292</v>
      </c>
      <c r="B120" s="2">
        <v>20</v>
      </c>
      <c r="C120" s="2">
        <v>64.8</v>
      </c>
      <c r="D120" s="2">
        <v>20</v>
      </c>
      <c r="E120" s="3">
        <v>0</v>
      </c>
      <c r="F120" s="2" t="str">
        <f>IFERROR(VLOOKUP(VLOOKUP(A120,'[1]Sales Order'!A:B,2,FALSE),[1]Customer!A:C,3,FALSE),"Not Specified")</f>
        <v>Nagel, Jean-Philippe</v>
      </c>
      <c r="G120" s="2" t="str">
        <f t="shared" si="2"/>
        <v>Nagel Jean-Philippe</v>
      </c>
      <c r="H120" s="8" t="str">
        <f>IFERROR(VLOOKUP(VLOOKUP(A120,'[1]Sales Order'!A:C,3,FALSE),[1]Employee!A:E,5,FALSE)&amp;" "&amp;VLOOKUP(VLOOKUP(A120,'[1]Sales Order'!A:C,3,FALSE),[1]Employee!A:C,3,FALSE)&amp;" "&amp;VLOOKUP(VLOOKUP(A120,'[1]Sales Order'!A:C,3,FALSE),[1]Employee!A:B,2,FALSE),"Not Specified")</f>
        <v>Ms. Sara Davis</v>
      </c>
      <c r="I120" t="str">
        <f>IFERROR(VLOOKUP(VLOOKUP(A120,'[1]Sales Order'!A:C,3,FALSE),[1]Employee!A:J,10,FALSE),"Not Specified")</f>
        <v>WA</v>
      </c>
      <c r="J120" t="str">
        <f>VLOOKUP(B120,[1]Product!A:B,2,FALSE)</f>
        <v>Product QHFFP</v>
      </c>
      <c r="K120" t="str">
        <f>VLOOKUP(VLOOKUP(B120,[1]Product!A:D,4,FALSE),[1]Category!A:B,2,FALSE)</f>
        <v>Confections</v>
      </c>
      <c r="L120" s="10">
        <f>IFERROR(VLOOKUP(A120,'[1]Sales Order'!A:D,4,FALSE),"")</f>
        <v>38957</v>
      </c>
      <c r="M120" s="10">
        <f>IFERROR(VLOOKUP(A120,'[1]Sales Order'!A:F,6,FALSE),"")</f>
        <v>38962</v>
      </c>
      <c r="N120" t="str">
        <f>IFERROR(VLOOKUP(VLOOKUP(A120,'[1]Sales Order'!A:G,7,FALSE),[1]Shipper!A:B,2,FALSE),"Not Specified")</f>
        <v>Shipper ETYNR</v>
      </c>
      <c r="O120" t="str">
        <f>IFERROR(VLOOKUP(A120,'[1]Sales Order'!A:I,9,FALSE),"Not Specified")</f>
        <v>Ship to 81-A</v>
      </c>
      <c r="P120" t="str">
        <f>IFERROR(VLOOKUP(A120,'[1]Sales Order'!A:N,14,FALSE),"Not Specified")</f>
        <v>Brazil</v>
      </c>
      <c r="Q120" t="str">
        <f>VLOOKUP(VLOOKUP(B120,[1]Product!A:C,3,FALSE),[1]Supplier!A:B,2,FALSE)</f>
        <v>Supplier BWGYE</v>
      </c>
      <c r="R120" t="str">
        <f>VLOOKUP(VLOOKUP(B120,[1]Product!A:C,3,FALSE),[1]Supplier!A:I,9,FALSE)</f>
        <v>UK</v>
      </c>
      <c r="S120" t="str">
        <f>IFERROR(IF(VLOOKUP(A120,'[1]Sales Order'!A:H,8,FALSE)&gt;100,"High Freight","Low Freight"),"Not Specified")</f>
        <v>Low Freight</v>
      </c>
      <c r="T120">
        <f t="shared" si="3"/>
        <v>1296</v>
      </c>
    </row>
    <row r="121" spans="1:20">
      <c r="A121" s="1">
        <v>10293</v>
      </c>
      <c r="B121" s="2">
        <v>18</v>
      </c>
      <c r="C121" s="2">
        <v>50</v>
      </c>
      <c r="D121" s="2">
        <v>12</v>
      </c>
      <c r="E121" s="3">
        <v>0</v>
      </c>
      <c r="F121" s="2" t="str">
        <f>IFERROR(VLOOKUP(VLOOKUP(A121,'[1]Sales Order'!A:B,2,FALSE),[1]Customer!A:C,3,FALSE),"Not Specified")</f>
        <v>Geschwandtner, Jens</v>
      </c>
      <c r="G121" s="2" t="str">
        <f t="shared" si="2"/>
        <v>Geschwandtner Jens</v>
      </c>
      <c r="H121" s="8" t="str">
        <f>IFERROR(VLOOKUP(VLOOKUP(A121,'[1]Sales Order'!A:C,3,FALSE),[1]Employee!A:E,5,FALSE)&amp;" "&amp;VLOOKUP(VLOOKUP(A121,'[1]Sales Order'!A:C,3,FALSE),[1]Employee!A:C,3,FALSE)&amp;" "&amp;VLOOKUP(VLOOKUP(A121,'[1]Sales Order'!A:C,3,FALSE),[1]Employee!A:B,2,FALSE),"Not Specified")</f>
        <v>Ms. Sara Davis</v>
      </c>
      <c r="I121" t="str">
        <f>IFERROR(VLOOKUP(VLOOKUP(A121,'[1]Sales Order'!A:C,3,FALSE),[1]Employee!A:J,10,FALSE),"Not Specified")</f>
        <v>WA</v>
      </c>
      <c r="J121" t="str">
        <f>VLOOKUP(B121,[1]Product!A:B,2,FALSE)</f>
        <v>Product CKEDC</v>
      </c>
      <c r="K121" t="str">
        <f>VLOOKUP(VLOOKUP(B121,[1]Product!A:D,4,FALSE),[1]Category!A:B,2,FALSE)</f>
        <v>Seafood</v>
      </c>
      <c r="L121" s="10">
        <f>IFERROR(VLOOKUP(A121,'[1]Sales Order'!A:D,4,FALSE),"")</f>
        <v>38958</v>
      </c>
      <c r="M121" s="10">
        <f>IFERROR(VLOOKUP(A121,'[1]Sales Order'!A:F,6,FALSE),"")</f>
        <v>38971</v>
      </c>
      <c r="N121" t="str">
        <f>IFERROR(VLOOKUP(VLOOKUP(A121,'[1]Sales Order'!A:G,7,FALSE),[1]Shipper!A:B,2,FALSE),"Not Specified")</f>
        <v>Shipper ZHISN</v>
      </c>
      <c r="O121" t="str">
        <f>IFERROR(VLOOKUP(A121,'[1]Sales Order'!A:I,9,FALSE),"Not Specified")</f>
        <v>Ship to 80-B</v>
      </c>
      <c r="P121" t="str">
        <f>IFERROR(VLOOKUP(A121,'[1]Sales Order'!A:N,14,FALSE),"Not Specified")</f>
        <v>Mexico</v>
      </c>
      <c r="Q121" t="str">
        <f>VLOOKUP(VLOOKUP(B121,[1]Product!A:C,3,FALSE),[1]Supplier!A:B,2,FALSE)</f>
        <v>Supplier GQRCV</v>
      </c>
      <c r="R121" t="str">
        <f>VLOOKUP(VLOOKUP(B121,[1]Product!A:C,3,FALSE),[1]Supplier!A:I,9,FALSE)</f>
        <v>Australia</v>
      </c>
      <c r="S121" t="str">
        <f>IFERROR(IF(VLOOKUP(A121,'[1]Sales Order'!A:H,8,FALSE)&gt;100,"High Freight","Low Freight"),"Not Specified")</f>
        <v>Low Freight</v>
      </c>
      <c r="T121">
        <f t="shared" si="3"/>
        <v>600</v>
      </c>
    </row>
    <row r="122" spans="1:20">
      <c r="A122" s="1">
        <v>10293</v>
      </c>
      <c r="B122" s="2">
        <v>24</v>
      </c>
      <c r="C122" s="2">
        <v>3.6</v>
      </c>
      <c r="D122" s="2">
        <v>10</v>
      </c>
      <c r="E122" s="3">
        <v>0</v>
      </c>
      <c r="F122" s="2" t="str">
        <f>IFERROR(VLOOKUP(VLOOKUP(A122,'[1]Sales Order'!A:B,2,FALSE),[1]Customer!A:C,3,FALSE),"Not Specified")</f>
        <v>Geschwandtner, Jens</v>
      </c>
      <c r="G122" s="2" t="str">
        <f t="shared" si="2"/>
        <v>Geschwandtner Jens</v>
      </c>
      <c r="H122" s="8" t="str">
        <f>IFERROR(VLOOKUP(VLOOKUP(A122,'[1]Sales Order'!A:C,3,FALSE),[1]Employee!A:E,5,FALSE)&amp;" "&amp;VLOOKUP(VLOOKUP(A122,'[1]Sales Order'!A:C,3,FALSE),[1]Employee!A:C,3,FALSE)&amp;" "&amp;VLOOKUP(VLOOKUP(A122,'[1]Sales Order'!A:C,3,FALSE),[1]Employee!A:B,2,FALSE),"Not Specified")</f>
        <v>Ms. Sara Davis</v>
      </c>
      <c r="I122" t="str">
        <f>IFERROR(VLOOKUP(VLOOKUP(A122,'[1]Sales Order'!A:C,3,FALSE),[1]Employee!A:J,10,FALSE),"Not Specified")</f>
        <v>WA</v>
      </c>
      <c r="J122" t="str">
        <f>VLOOKUP(B122,[1]Product!A:B,2,FALSE)</f>
        <v>Product QOGNU</v>
      </c>
      <c r="K122" t="str">
        <f>VLOOKUP(VLOOKUP(B122,[1]Product!A:D,4,FALSE),[1]Category!A:B,2,FALSE)</f>
        <v>Beverages</v>
      </c>
      <c r="L122" s="10">
        <f>IFERROR(VLOOKUP(A122,'[1]Sales Order'!A:D,4,FALSE),"")</f>
        <v>38958</v>
      </c>
      <c r="M122" s="10">
        <f>IFERROR(VLOOKUP(A122,'[1]Sales Order'!A:F,6,FALSE),"")</f>
        <v>38971</v>
      </c>
      <c r="N122" t="str">
        <f>IFERROR(VLOOKUP(VLOOKUP(A122,'[1]Sales Order'!A:G,7,FALSE),[1]Shipper!A:B,2,FALSE),"Not Specified")</f>
        <v>Shipper ZHISN</v>
      </c>
      <c r="O122" t="str">
        <f>IFERROR(VLOOKUP(A122,'[1]Sales Order'!A:I,9,FALSE),"Not Specified")</f>
        <v>Ship to 80-B</v>
      </c>
      <c r="P122" t="str">
        <f>IFERROR(VLOOKUP(A122,'[1]Sales Order'!A:N,14,FALSE),"Not Specified")</f>
        <v>Mexico</v>
      </c>
      <c r="Q122" t="str">
        <f>VLOOKUP(VLOOKUP(B122,[1]Product!A:C,3,FALSE),[1]Supplier!A:B,2,FALSE)</f>
        <v>Supplier UNAHG</v>
      </c>
      <c r="R122" t="str">
        <f>VLOOKUP(VLOOKUP(B122,[1]Product!A:C,3,FALSE),[1]Supplier!A:I,9,FALSE)</f>
        <v>Brazil</v>
      </c>
      <c r="S122" t="str">
        <f>IFERROR(IF(VLOOKUP(A122,'[1]Sales Order'!A:H,8,FALSE)&gt;100,"High Freight","Low Freight"),"Not Specified")</f>
        <v>Low Freight</v>
      </c>
      <c r="T122">
        <f t="shared" si="3"/>
        <v>36</v>
      </c>
    </row>
    <row r="123" spans="1:20">
      <c r="A123" s="1">
        <v>10293</v>
      </c>
      <c r="B123" s="2">
        <v>63</v>
      </c>
      <c r="C123" s="2">
        <v>35.1</v>
      </c>
      <c r="D123" s="2">
        <v>5</v>
      </c>
      <c r="E123" s="3">
        <v>0</v>
      </c>
      <c r="F123" s="2" t="str">
        <f>IFERROR(VLOOKUP(VLOOKUP(A123,'[1]Sales Order'!A:B,2,FALSE),[1]Customer!A:C,3,FALSE),"Not Specified")</f>
        <v>Geschwandtner, Jens</v>
      </c>
      <c r="G123" s="2" t="str">
        <f t="shared" si="2"/>
        <v>Geschwandtner Jens</v>
      </c>
      <c r="H123" s="8" t="str">
        <f>IFERROR(VLOOKUP(VLOOKUP(A123,'[1]Sales Order'!A:C,3,FALSE),[1]Employee!A:E,5,FALSE)&amp;" "&amp;VLOOKUP(VLOOKUP(A123,'[1]Sales Order'!A:C,3,FALSE),[1]Employee!A:C,3,FALSE)&amp;" "&amp;VLOOKUP(VLOOKUP(A123,'[1]Sales Order'!A:C,3,FALSE),[1]Employee!A:B,2,FALSE),"Not Specified")</f>
        <v>Ms. Sara Davis</v>
      </c>
      <c r="I123" t="str">
        <f>IFERROR(VLOOKUP(VLOOKUP(A123,'[1]Sales Order'!A:C,3,FALSE),[1]Employee!A:J,10,FALSE),"Not Specified")</f>
        <v>WA</v>
      </c>
      <c r="J123" t="str">
        <f>VLOOKUP(B123,[1]Product!A:B,2,FALSE)</f>
        <v>Product ICKNK</v>
      </c>
      <c r="K123" t="str">
        <f>VLOOKUP(VLOOKUP(B123,[1]Product!A:D,4,FALSE),[1]Category!A:B,2,FALSE)</f>
        <v>Condiments</v>
      </c>
      <c r="L123" s="10">
        <f>IFERROR(VLOOKUP(A123,'[1]Sales Order'!A:D,4,FALSE),"")</f>
        <v>38958</v>
      </c>
      <c r="M123" s="10">
        <f>IFERROR(VLOOKUP(A123,'[1]Sales Order'!A:F,6,FALSE),"")</f>
        <v>38971</v>
      </c>
      <c r="N123" t="str">
        <f>IFERROR(VLOOKUP(VLOOKUP(A123,'[1]Sales Order'!A:G,7,FALSE),[1]Shipper!A:B,2,FALSE),"Not Specified")</f>
        <v>Shipper ZHISN</v>
      </c>
      <c r="O123" t="str">
        <f>IFERROR(VLOOKUP(A123,'[1]Sales Order'!A:I,9,FALSE),"Not Specified")</f>
        <v>Ship to 80-B</v>
      </c>
      <c r="P123" t="str">
        <f>IFERROR(VLOOKUP(A123,'[1]Sales Order'!A:N,14,FALSE),"Not Specified")</f>
        <v>Mexico</v>
      </c>
      <c r="Q123" t="str">
        <f>VLOOKUP(VLOOKUP(B123,[1]Product!A:C,3,FALSE),[1]Supplier!A:B,2,FALSE)</f>
        <v>Supplier GQRCV</v>
      </c>
      <c r="R123" t="str">
        <f>VLOOKUP(VLOOKUP(B123,[1]Product!A:C,3,FALSE),[1]Supplier!A:I,9,FALSE)</f>
        <v>Australia</v>
      </c>
      <c r="S123" t="str">
        <f>IFERROR(IF(VLOOKUP(A123,'[1]Sales Order'!A:H,8,FALSE)&gt;100,"High Freight","Low Freight"),"Not Specified")</f>
        <v>Low Freight</v>
      </c>
      <c r="T123">
        <f t="shared" si="3"/>
        <v>175.5</v>
      </c>
    </row>
    <row r="124" spans="1:20">
      <c r="A124" s="1">
        <v>10293</v>
      </c>
      <c r="B124" s="2">
        <v>75</v>
      </c>
      <c r="C124" s="2">
        <v>6.2</v>
      </c>
      <c r="D124" s="2">
        <v>6</v>
      </c>
      <c r="E124" s="3">
        <v>0</v>
      </c>
      <c r="F124" s="2" t="str">
        <f>IFERROR(VLOOKUP(VLOOKUP(A124,'[1]Sales Order'!A:B,2,FALSE),[1]Customer!A:C,3,FALSE),"Not Specified")</f>
        <v>Geschwandtner, Jens</v>
      </c>
      <c r="G124" s="2" t="str">
        <f t="shared" si="2"/>
        <v>Geschwandtner Jens</v>
      </c>
      <c r="H124" s="8" t="str">
        <f>IFERROR(VLOOKUP(VLOOKUP(A124,'[1]Sales Order'!A:C,3,FALSE),[1]Employee!A:E,5,FALSE)&amp;" "&amp;VLOOKUP(VLOOKUP(A124,'[1]Sales Order'!A:C,3,FALSE),[1]Employee!A:C,3,FALSE)&amp;" "&amp;VLOOKUP(VLOOKUP(A124,'[1]Sales Order'!A:C,3,FALSE),[1]Employee!A:B,2,FALSE),"Not Specified")</f>
        <v>Ms. Sara Davis</v>
      </c>
      <c r="I124" t="str">
        <f>IFERROR(VLOOKUP(VLOOKUP(A124,'[1]Sales Order'!A:C,3,FALSE),[1]Employee!A:J,10,FALSE),"Not Specified")</f>
        <v>WA</v>
      </c>
      <c r="J124" t="str">
        <f>VLOOKUP(B124,[1]Product!A:B,2,FALSE)</f>
        <v>Product BWRLG</v>
      </c>
      <c r="K124" t="str">
        <f>VLOOKUP(VLOOKUP(B124,[1]Product!A:D,4,FALSE),[1]Category!A:B,2,FALSE)</f>
        <v>Beverages</v>
      </c>
      <c r="L124" s="10">
        <f>IFERROR(VLOOKUP(A124,'[1]Sales Order'!A:D,4,FALSE),"")</f>
        <v>38958</v>
      </c>
      <c r="M124" s="10">
        <f>IFERROR(VLOOKUP(A124,'[1]Sales Order'!A:F,6,FALSE),"")</f>
        <v>38971</v>
      </c>
      <c r="N124" t="str">
        <f>IFERROR(VLOOKUP(VLOOKUP(A124,'[1]Sales Order'!A:G,7,FALSE),[1]Shipper!A:B,2,FALSE),"Not Specified")</f>
        <v>Shipper ZHISN</v>
      </c>
      <c r="O124" t="str">
        <f>IFERROR(VLOOKUP(A124,'[1]Sales Order'!A:I,9,FALSE),"Not Specified")</f>
        <v>Ship to 80-B</v>
      </c>
      <c r="P124" t="str">
        <f>IFERROR(VLOOKUP(A124,'[1]Sales Order'!A:N,14,FALSE),"Not Specified")</f>
        <v>Mexico</v>
      </c>
      <c r="Q124" t="str">
        <f>VLOOKUP(VLOOKUP(B124,[1]Product!A:C,3,FALSE),[1]Supplier!A:B,2,FALSE)</f>
        <v>Supplier SVIYA</v>
      </c>
      <c r="R124" t="str">
        <f>VLOOKUP(VLOOKUP(B124,[1]Product!A:C,3,FALSE),[1]Supplier!A:I,9,FALSE)</f>
        <v>Germany</v>
      </c>
      <c r="S124" t="str">
        <f>IFERROR(IF(VLOOKUP(A124,'[1]Sales Order'!A:H,8,FALSE)&gt;100,"High Freight","Low Freight"),"Not Specified")</f>
        <v>Low Freight</v>
      </c>
      <c r="T124">
        <f t="shared" si="3"/>
        <v>37.200000000000003</v>
      </c>
    </row>
    <row r="125" spans="1:20">
      <c r="A125" s="1">
        <v>10294</v>
      </c>
      <c r="B125" s="2">
        <v>1</v>
      </c>
      <c r="C125" s="2">
        <v>14.4</v>
      </c>
      <c r="D125" s="2">
        <v>18</v>
      </c>
      <c r="E125" s="3">
        <v>0</v>
      </c>
      <c r="F125" s="2" t="str">
        <f>IFERROR(VLOOKUP(VLOOKUP(A125,'[1]Sales Order'!A:B,2,FALSE),[1]Customer!A:C,3,FALSE),"Not Specified")</f>
        <v>Moore, Michael</v>
      </c>
      <c r="G125" s="2" t="str">
        <f t="shared" si="2"/>
        <v>Moore Michael</v>
      </c>
      <c r="H125" s="8" t="str">
        <f>IFERROR(VLOOKUP(VLOOKUP(A125,'[1]Sales Order'!A:C,3,FALSE),[1]Employee!A:E,5,FALSE)&amp;" "&amp;VLOOKUP(VLOOKUP(A125,'[1]Sales Order'!A:C,3,FALSE),[1]Employee!A:C,3,FALSE)&amp;" "&amp;VLOOKUP(VLOOKUP(A125,'[1]Sales Order'!A:C,3,FALSE),[1]Employee!A:B,2,FALSE),"Not Specified")</f>
        <v>Mrs. Yael Peled</v>
      </c>
      <c r="I125" t="str">
        <f>IFERROR(VLOOKUP(VLOOKUP(A125,'[1]Sales Order'!A:C,3,FALSE),[1]Employee!A:J,10,FALSE),"Not Specified")</f>
        <v>WA</v>
      </c>
      <c r="J125" t="str">
        <f>VLOOKUP(B125,[1]Product!A:B,2,FALSE)</f>
        <v>Product HHYDP</v>
      </c>
      <c r="K125" t="str">
        <f>VLOOKUP(VLOOKUP(B125,[1]Product!A:D,4,FALSE),[1]Category!A:B,2,FALSE)</f>
        <v>Beverages</v>
      </c>
      <c r="L125" s="10">
        <f>IFERROR(VLOOKUP(A125,'[1]Sales Order'!A:D,4,FALSE),"")</f>
        <v>38959</v>
      </c>
      <c r="M125" s="10">
        <f>IFERROR(VLOOKUP(A125,'[1]Sales Order'!A:F,6,FALSE),"")</f>
        <v>38965</v>
      </c>
      <c r="N125" t="str">
        <f>IFERROR(VLOOKUP(VLOOKUP(A125,'[1]Sales Order'!A:G,7,FALSE),[1]Shipper!A:B,2,FALSE),"Not Specified")</f>
        <v>Shipper ETYNR</v>
      </c>
      <c r="O125" t="str">
        <f>IFERROR(VLOOKUP(A125,'[1]Sales Order'!A:I,9,FALSE),"Not Specified")</f>
        <v>Ship to 65-A</v>
      </c>
      <c r="P125" t="str">
        <f>IFERROR(VLOOKUP(A125,'[1]Sales Order'!A:N,14,FALSE),"Not Specified")</f>
        <v>USA</v>
      </c>
      <c r="Q125" t="str">
        <f>VLOOKUP(VLOOKUP(B125,[1]Product!A:C,3,FALSE),[1]Supplier!A:B,2,FALSE)</f>
        <v>Supplier SWRXU</v>
      </c>
      <c r="R125" t="str">
        <f>VLOOKUP(VLOOKUP(B125,[1]Product!A:C,3,FALSE),[1]Supplier!A:I,9,FALSE)</f>
        <v>UK</v>
      </c>
      <c r="S125" t="str">
        <f>IFERROR(IF(VLOOKUP(A125,'[1]Sales Order'!A:H,8,FALSE)&gt;100,"High Freight","Low Freight"),"Not Specified")</f>
        <v>High Freight</v>
      </c>
      <c r="T125">
        <f t="shared" si="3"/>
        <v>259.2</v>
      </c>
    </row>
    <row r="126" spans="1:20">
      <c r="A126" s="1">
        <v>10294</v>
      </c>
      <c r="B126" s="2">
        <v>17</v>
      </c>
      <c r="C126" s="2">
        <v>31.2</v>
      </c>
      <c r="D126" s="2">
        <v>15</v>
      </c>
      <c r="E126" s="3">
        <v>0</v>
      </c>
      <c r="F126" s="2" t="str">
        <f>IFERROR(VLOOKUP(VLOOKUP(A126,'[1]Sales Order'!A:B,2,FALSE),[1]Customer!A:C,3,FALSE),"Not Specified")</f>
        <v>Moore, Michael</v>
      </c>
      <c r="G126" s="2" t="str">
        <f t="shared" si="2"/>
        <v>Moore Michael</v>
      </c>
      <c r="H126" s="8" t="str">
        <f>IFERROR(VLOOKUP(VLOOKUP(A126,'[1]Sales Order'!A:C,3,FALSE),[1]Employee!A:E,5,FALSE)&amp;" "&amp;VLOOKUP(VLOOKUP(A126,'[1]Sales Order'!A:C,3,FALSE),[1]Employee!A:C,3,FALSE)&amp;" "&amp;VLOOKUP(VLOOKUP(A126,'[1]Sales Order'!A:C,3,FALSE),[1]Employee!A:B,2,FALSE),"Not Specified")</f>
        <v>Mrs. Yael Peled</v>
      </c>
      <c r="I126" t="str">
        <f>IFERROR(VLOOKUP(VLOOKUP(A126,'[1]Sales Order'!A:C,3,FALSE),[1]Employee!A:J,10,FALSE),"Not Specified")</f>
        <v>WA</v>
      </c>
      <c r="J126" t="str">
        <f>VLOOKUP(B126,[1]Product!A:B,2,FALSE)</f>
        <v>Product BLCAX</v>
      </c>
      <c r="K126" t="str">
        <f>VLOOKUP(VLOOKUP(B126,[1]Product!A:D,4,FALSE),[1]Category!A:B,2,FALSE)</f>
        <v>Meat/Poultry</v>
      </c>
      <c r="L126" s="10">
        <f>IFERROR(VLOOKUP(A126,'[1]Sales Order'!A:D,4,FALSE),"")</f>
        <v>38959</v>
      </c>
      <c r="M126" s="10">
        <f>IFERROR(VLOOKUP(A126,'[1]Sales Order'!A:F,6,FALSE),"")</f>
        <v>38965</v>
      </c>
      <c r="N126" t="str">
        <f>IFERROR(VLOOKUP(VLOOKUP(A126,'[1]Sales Order'!A:G,7,FALSE),[1]Shipper!A:B,2,FALSE),"Not Specified")</f>
        <v>Shipper ETYNR</v>
      </c>
      <c r="O126" t="str">
        <f>IFERROR(VLOOKUP(A126,'[1]Sales Order'!A:I,9,FALSE),"Not Specified")</f>
        <v>Ship to 65-A</v>
      </c>
      <c r="P126" t="str">
        <f>IFERROR(VLOOKUP(A126,'[1]Sales Order'!A:N,14,FALSE),"Not Specified")</f>
        <v>USA</v>
      </c>
      <c r="Q126" t="str">
        <f>VLOOKUP(VLOOKUP(B126,[1]Product!A:C,3,FALSE),[1]Supplier!A:B,2,FALSE)</f>
        <v>Supplier GQRCV</v>
      </c>
      <c r="R126" t="str">
        <f>VLOOKUP(VLOOKUP(B126,[1]Product!A:C,3,FALSE),[1]Supplier!A:I,9,FALSE)</f>
        <v>Australia</v>
      </c>
      <c r="S126" t="str">
        <f>IFERROR(IF(VLOOKUP(A126,'[1]Sales Order'!A:H,8,FALSE)&gt;100,"High Freight","Low Freight"),"Not Specified")</f>
        <v>High Freight</v>
      </c>
      <c r="T126">
        <f t="shared" si="3"/>
        <v>468</v>
      </c>
    </row>
    <row r="127" spans="1:20">
      <c r="A127" s="1">
        <v>10294</v>
      </c>
      <c r="B127" s="2">
        <v>43</v>
      </c>
      <c r="C127" s="2">
        <v>36.799999999999997</v>
      </c>
      <c r="D127" s="2">
        <v>15</v>
      </c>
      <c r="E127" s="3">
        <v>0</v>
      </c>
      <c r="F127" s="2" t="str">
        <f>IFERROR(VLOOKUP(VLOOKUP(A127,'[1]Sales Order'!A:B,2,FALSE),[1]Customer!A:C,3,FALSE),"Not Specified")</f>
        <v>Moore, Michael</v>
      </c>
      <c r="G127" s="2" t="str">
        <f t="shared" si="2"/>
        <v>Moore Michael</v>
      </c>
      <c r="H127" s="8" t="str">
        <f>IFERROR(VLOOKUP(VLOOKUP(A127,'[1]Sales Order'!A:C,3,FALSE),[1]Employee!A:E,5,FALSE)&amp;" "&amp;VLOOKUP(VLOOKUP(A127,'[1]Sales Order'!A:C,3,FALSE),[1]Employee!A:C,3,FALSE)&amp;" "&amp;VLOOKUP(VLOOKUP(A127,'[1]Sales Order'!A:C,3,FALSE),[1]Employee!A:B,2,FALSE),"Not Specified")</f>
        <v>Mrs. Yael Peled</v>
      </c>
      <c r="I127" t="str">
        <f>IFERROR(VLOOKUP(VLOOKUP(A127,'[1]Sales Order'!A:C,3,FALSE),[1]Employee!A:J,10,FALSE),"Not Specified")</f>
        <v>WA</v>
      </c>
      <c r="J127" t="str">
        <f>VLOOKUP(B127,[1]Product!A:B,2,FALSE)</f>
        <v>Product ZZZHR</v>
      </c>
      <c r="K127" t="str">
        <f>VLOOKUP(VLOOKUP(B127,[1]Product!A:D,4,FALSE),[1]Category!A:B,2,FALSE)</f>
        <v>Beverages</v>
      </c>
      <c r="L127" s="10">
        <f>IFERROR(VLOOKUP(A127,'[1]Sales Order'!A:D,4,FALSE),"")</f>
        <v>38959</v>
      </c>
      <c r="M127" s="10">
        <f>IFERROR(VLOOKUP(A127,'[1]Sales Order'!A:F,6,FALSE),"")</f>
        <v>38965</v>
      </c>
      <c r="N127" t="str">
        <f>IFERROR(VLOOKUP(VLOOKUP(A127,'[1]Sales Order'!A:G,7,FALSE),[1]Shipper!A:B,2,FALSE),"Not Specified")</f>
        <v>Shipper ETYNR</v>
      </c>
      <c r="O127" t="str">
        <f>IFERROR(VLOOKUP(A127,'[1]Sales Order'!A:I,9,FALSE),"Not Specified")</f>
        <v>Ship to 65-A</v>
      </c>
      <c r="P127" t="str">
        <f>IFERROR(VLOOKUP(A127,'[1]Sales Order'!A:N,14,FALSE),"Not Specified")</f>
        <v>USA</v>
      </c>
      <c r="Q127" t="str">
        <f>VLOOKUP(VLOOKUP(B127,[1]Product!A:C,3,FALSE),[1]Supplier!A:B,2,FALSE)</f>
        <v>Supplier CIYNM</v>
      </c>
      <c r="R127" t="str">
        <f>VLOOKUP(VLOOKUP(B127,[1]Product!A:C,3,FALSE),[1]Supplier!A:I,9,FALSE)</f>
        <v>Singapore</v>
      </c>
      <c r="S127" t="str">
        <f>IFERROR(IF(VLOOKUP(A127,'[1]Sales Order'!A:H,8,FALSE)&gt;100,"High Freight","Low Freight"),"Not Specified")</f>
        <v>High Freight</v>
      </c>
      <c r="T127">
        <f t="shared" si="3"/>
        <v>552</v>
      </c>
    </row>
    <row r="128" spans="1:20">
      <c r="A128" s="1">
        <v>10294</v>
      </c>
      <c r="B128" s="2">
        <v>60</v>
      </c>
      <c r="C128" s="2">
        <v>27.2</v>
      </c>
      <c r="D128" s="2">
        <v>21</v>
      </c>
      <c r="E128" s="3">
        <v>0</v>
      </c>
      <c r="F128" s="2" t="str">
        <f>IFERROR(VLOOKUP(VLOOKUP(A128,'[1]Sales Order'!A:B,2,FALSE),[1]Customer!A:C,3,FALSE),"Not Specified")</f>
        <v>Moore, Michael</v>
      </c>
      <c r="G128" s="2" t="str">
        <f t="shared" si="2"/>
        <v>Moore Michael</v>
      </c>
      <c r="H128" s="8" t="str">
        <f>IFERROR(VLOOKUP(VLOOKUP(A128,'[1]Sales Order'!A:C,3,FALSE),[1]Employee!A:E,5,FALSE)&amp;" "&amp;VLOOKUP(VLOOKUP(A128,'[1]Sales Order'!A:C,3,FALSE),[1]Employee!A:C,3,FALSE)&amp;" "&amp;VLOOKUP(VLOOKUP(A128,'[1]Sales Order'!A:C,3,FALSE),[1]Employee!A:B,2,FALSE),"Not Specified")</f>
        <v>Mrs. Yael Peled</v>
      </c>
      <c r="I128" t="str">
        <f>IFERROR(VLOOKUP(VLOOKUP(A128,'[1]Sales Order'!A:C,3,FALSE),[1]Employee!A:J,10,FALSE),"Not Specified")</f>
        <v>WA</v>
      </c>
      <c r="J128" t="str">
        <f>VLOOKUP(B128,[1]Product!A:B,2,FALSE)</f>
        <v>Product WHBYK</v>
      </c>
      <c r="K128" t="str">
        <f>VLOOKUP(VLOOKUP(B128,[1]Product!A:D,4,FALSE),[1]Category!A:B,2,FALSE)</f>
        <v>Dairy Product</v>
      </c>
      <c r="L128" s="10">
        <f>IFERROR(VLOOKUP(A128,'[1]Sales Order'!A:D,4,FALSE),"")</f>
        <v>38959</v>
      </c>
      <c r="M128" s="10">
        <f>IFERROR(VLOOKUP(A128,'[1]Sales Order'!A:F,6,FALSE),"")</f>
        <v>38965</v>
      </c>
      <c r="N128" t="str">
        <f>IFERROR(VLOOKUP(VLOOKUP(A128,'[1]Sales Order'!A:G,7,FALSE),[1]Shipper!A:B,2,FALSE),"Not Specified")</f>
        <v>Shipper ETYNR</v>
      </c>
      <c r="O128" t="str">
        <f>IFERROR(VLOOKUP(A128,'[1]Sales Order'!A:I,9,FALSE),"Not Specified")</f>
        <v>Ship to 65-A</v>
      </c>
      <c r="P128" t="str">
        <f>IFERROR(VLOOKUP(A128,'[1]Sales Order'!A:N,14,FALSE),"Not Specified")</f>
        <v>USA</v>
      </c>
      <c r="Q128" t="str">
        <f>VLOOKUP(VLOOKUP(B128,[1]Product!A:C,3,FALSE),[1]Supplier!A:B,2,FALSE)</f>
        <v>Supplier OAVQT</v>
      </c>
      <c r="R128" t="str">
        <f>VLOOKUP(VLOOKUP(B128,[1]Product!A:C,3,FALSE),[1]Supplier!A:I,9,FALSE)</f>
        <v>France</v>
      </c>
      <c r="S128" t="str">
        <f>IFERROR(IF(VLOOKUP(A128,'[1]Sales Order'!A:H,8,FALSE)&gt;100,"High Freight","Low Freight"),"Not Specified")</f>
        <v>High Freight</v>
      </c>
      <c r="T128">
        <f t="shared" si="3"/>
        <v>571.19999999999993</v>
      </c>
    </row>
    <row r="129" spans="1:20">
      <c r="A129" s="1">
        <v>10294</v>
      </c>
      <c r="B129" s="2">
        <v>75</v>
      </c>
      <c r="C129" s="2">
        <v>6.2</v>
      </c>
      <c r="D129" s="2">
        <v>6</v>
      </c>
      <c r="E129" s="3">
        <v>0</v>
      </c>
      <c r="F129" s="2" t="str">
        <f>IFERROR(VLOOKUP(VLOOKUP(A129,'[1]Sales Order'!A:B,2,FALSE),[1]Customer!A:C,3,FALSE),"Not Specified")</f>
        <v>Moore, Michael</v>
      </c>
      <c r="G129" s="2" t="str">
        <f t="shared" si="2"/>
        <v>Moore Michael</v>
      </c>
      <c r="H129" s="8" t="str">
        <f>IFERROR(VLOOKUP(VLOOKUP(A129,'[1]Sales Order'!A:C,3,FALSE),[1]Employee!A:E,5,FALSE)&amp;" "&amp;VLOOKUP(VLOOKUP(A129,'[1]Sales Order'!A:C,3,FALSE),[1]Employee!A:C,3,FALSE)&amp;" "&amp;VLOOKUP(VLOOKUP(A129,'[1]Sales Order'!A:C,3,FALSE),[1]Employee!A:B,2,FALSE),"Not Specified")</f>
        <v>Mrs. Yael Peled</v>
      </c>
      <c r="I129" t="str">
        <f>IFERROR(VLOOKUP(VLOOKUP(A129,'[1]Sales Order'!A:C,3,FALSE),[1]Employee!A:J,10,FALSE),"Not Specified")</f>
        <v>WA</v>
      </c>
      <c r="J129" t="str">
        <f>VLOOKUP(B129,[1]Product!A:B,2,FALSE)</f>
        <v>Product BWRLG</v>
      </c>
      <c r="K129" t="str">
        <f>VLOOKUP(VLOOKUP(B129,[1]Product!A:D,4,FALSE),[1]Category!A:B,2,FALSE)</f>
        <v>Beverages</v>
      </c>
      <c r="L129" s="10">
        <f>IFERROR(VLOOKUP(A129,'[1]Sales Order'!A:D,4,FALSE),"")</f>
        <v>38959</v>
      </c>
      <c r="M129" s="10">
        <f>IFERROR(VLOOKUP(A129,'[1]Sales Order'!A:F,6,FALSE),"")</f>
        <v>38965</v>
      </c>
      <c r="N129" t="str">
        <f>IFERROR(VLOOKUP(VLOOKUP(A129,'[1]Sales Order'!A:G,7,FALSE),[1]Shipper!A:B,2,FALSE),"Not Specified")</f>
        <v>Shipper ETYNR</v>
      </c>
      <c r="O129" t="str">
        <f>IFERROR(VLOOKUP(A129,'[1]Sales Order'!A:I,9,FALSE),"Not Specified")</f>
        <v>Ship to 65-A</v>
      </c>
      <c r="P129" t="str">
        <f>IFERROR(VLOOKUP(A129,'[1]Sales Order'!A:N,14,FALSE),"Not Specified")</f>
        <v>USA</v>
      </c>
      <c r="Q129" t="str">
        <f>VLOOKUP(VLOOKUP(B129,[1]Product!A:C,3,FALSE),[1]Supplier!A:B,2,FALSE)</f>
        <v>Supplier SVIYA</v>
      </c>
      <c r="R129" t="str">
        <f>VLOOKUP(VLOOKUP(B129,[1]Product!A:C,3,FALSE),[1]Supplier!A:I,9,FALSE)</f>
        <v>Germany</v>
      </c>
      <c r="S129" t="str">
        <f>IFERROR(IF(VLOOKUP(A129,'[1]Sales Order'!A:H,8,FALSE)&gt;100,"High Freight","Low Freight"),"Not Specified")</f>
        <v>High Freight</v>
      </c>
      <c r="T129">
        <f t="shared" si="3"/>
        <v>37.200000000000003</v>
      </c>
    </row>
    <row r="130" spans="1:20">
      <c r="A130" s="1">
        <v>10295</v>
      </c>
      <c r="B130" s="2">
        <v>56</v>
      </c>
      <c r="C130" s="2">
        <v>30.4</v>
      </c>
      <c r="D130" s="2">
        <v>4</v>
      </c>
      <c r="E130" s="3">
        <v>0</v>
      </c>
      <c r="F130" s="2" t="str">
        <f>IFERROR(VLOOKUP(VLOOKUP(A130,'[1]Sales Order'!A:B,2,FALSE),[1]Customer!A:C,3,FALSE),"Not Specified")</f>
        <v>McLin, Nkenge</v>
      </c>
      <c r="G130" s="2" t="str">
        <f t="shared" si="2"/>
        <v>McLin Nkenge</v>
      </c>
      <c r="H130" s="8" t="str">
        <f>IFERROR(VLOOKUP(VLOOKUP(A130,'[1]Sales Order'!A:C,3,FALSE),[1]Employee!A:E,5,FALSE)&amp;" "&amp;VLOOKUP(VLOOKUP(A130,'[1]Sales Order'!A:C,3,FALSE),[1]Employee!A:C,3,FALSE)&amp;" "&amp;VLOOKUP(VLOOKUP(A130,'[1]Sales Order'!A:C,3,FALSE),[1]Employee!A:B,2,FALSE),"Not Specified")</f>
        <v>Dr. Don Funk</v>
      </c>
      <c r="I130" t="str">
        <f>IFERROR(VLOOKUP(VLOOKUP(A130,'[1]Sales Order'!A:C,3,FALSE),[1]Employee!A:J,10,FALSE),"Not Specified")</f>
        <v>WA</v>
      </c>
      <c r="J130" t="str">
        <f>VLOOKUP(B130,[1]Product!A:B,2,FALSE)</f>
        <v>Product VKCMF</v>
      </c>
      <c r="K130" t="str">
        <f>VLOOKUP(VLOOKUP(B130,[1]Product!A:D,4,FALSE),[1]Category!A:B,2,FALSE)</f>
        <v>Grains/Cereals</v>
      </c>
      <c r="L130" s="10">
        <f>IFERROR(VLOOKUP(A130,'[1]Sales Order'!A:D,4,FALSE),"")</f>
        <v>38962</v>
      </c>
      <c r="M130" s="10">
        <f>IFERROR(VLOOKUP(A130,'[1]Sales Order'!A:F,6,FALSE),"")</f>
        <v>38970</v>
      </c>
      <c r="N130" t="str">
        <f>IFERROR(VLOOKUP(VLOOKUP(A130,'[1]Sales Order'!A:G,7,FALSE),[1]Shipper!A:B,2,FALSE),"Not Specified")</f>
        <v>Shipper ETYNR</v>
      </c>
      <c r="O130" t="str">
        <f>IFERROR(VLOOKUP(A130,'[1]Sales Order'!A:I,9,FALSE),"Not Specified")</f>
        <v>Ship to 85-C</v>
      </c>
      <c r="P130" t="str">
        <f>IFERROR(VLOOKUP(A130,'[1]Sales Order'!A:N,14,FALSE),"Not Specified")</f>
        <v>France</v>
      </c>
      <c r="Q130" t="str">
        <f>VLOOKUP(VLOOKUP(B130,[1]Product!A:C,3,FALSE),[1]Supplier!A:B,2,FALSE)</f>
        <v>Supplier ZWZDM</v>
      </c>
      <c r="R130" t="str">
        <f>VLOOKUP(VLOOKUP(B130,[1]Product!A:C,3,FALSE),[1]Supplier!A:I,9,FALSE)</f>
        <v>Italy</v>
      </c>
      <c r="S130" t="str">
        <f>IFERROR(IF(VLOOKUP(A130,'[1]Sales Order'!A:H,8,FALSE)&gt;100,"High Freight","Low Freight"),"Not Specified")</f>
        <v>Low Freight</v>
      </c>
      <c r="T130">
        <f t="shared" si="3"/>
        <v>121.6</v>
      </c>
    </row>
    <row r="131" spans="1:20">
      <c r="A131" s="1">
        <v>10296</v>
      </c>
      <c r="B131" s="2">
        <v>11</v>
      </c>
      <c r="C131" s="2">
        <v>16.8</v>
      </c>
      <c r="D131" s="2">
        <v>12</v>
      </c>
      <c r="E131" s="3">
        <v>0</v>
      </c>
      <c r="F131" s="2" t="str">
        <f>IFERROR(VLOOKUP(VLOOKUP(A131,'[1]Sales Order'!A:B,2,FALSE),[1]Customer!A:C,3,FALSE),"Not Specified")</f>
        <v>Dressler, Marlies</v>
      </c>
      <c r="G131" s="2" t="str">
        <f t="shared" ref="G131:G194" si="4">SUBSTITUTE(F131,",","",1)</f>
        <v>Dressler Marlies</v>
      </c>
      <c r="H131" s="8" t="str">
        <f>IFERROR(VLOOKUP(VLOOKUP(A131,'[1]Sales Order'!A:C,3,FALSE),[1]Employee!A:E,5,FALSE)&amp;" "&amp;VLOOKUP(VLOOKUP(A131,'[1]Sales Order'!A:C,3,FALSE),[1]Employee!A:C,3,FALSE)&amp;" "&amp;VLOOKUP(VLOOKUP(A131,'[1]Sales Order'!A:C,3,FALSE),[1]Employee!A:B,2,FALSE),"Not Specified")</f>
        <v>Mr. Paul Suurs</v>
      </c>
      <c r="I131">
        <f>IFERROR(VLOOKUP(VLOOKUP(A131,'[1]Sales Order'!A:C,3,FALSE),[1]Employee!A:J,10,FALSE),"Not Specified")</f>
        <v>0</v>
      </c>
      <c r="J131" t="str">
        <f>VLOOKUP(B131,[1]Product!A:B,2,FALSE)</f>
        <v>Product QMVUN</v>
      </c>
      <c r="K131" t="str">
        <f>VLOOKUP(VLOOKUP(B131,[1]Product!A:D,4,FALSE),[1]Category!A:B,2,FALSE)</f>
        <v>Dairy Product</v>
      </c>
      <c r="L131" s="10">
        <f>IFERROR(VLOOKUP(A131,'[1]Sales Order'!A:D,4,FALSE),"")</f>
        <v>38963</v>
      </c>
      <c r="M131" s="10">
        <f>IFERROR(VLOOKUP(A131,'[1]Sales Order'!A:F,6,FALSE),"")</f>
        <v>38971</v>
      </c>
      <c r="N131" t="str">
        <f>IFERROR(VLOOKUP(VLOOKUP(A131,'[1]Sales Order'!A:G,7,FALSE),[1]Shipper!A:B,2,FALSE),"Not Specified")</f>
        <v>Shipper GVSUA</v>
      </c>
      <c r="O131" t="str">
        <f>IFERROR(VLOOKUP(A131,'[1]Sales Order'!A:I,9,FALSE),"Not Specified")</f>
        <v>Ship to 46-C</v>
      </c>
      <c r="P131" t="str">
        <f>IFERROR(VLOOKUP(A131,'[1]Sales Order'!A:N,14,FALSE),"Not Specified")</f>
        <v>Venezuela</v>
      </c>
      <c r="Q131" t="str">
        <f>VLOOKUP(VLOOKUP(B131,[1]Product!A:C,3,FALSE),[1]Supplier!A:B,2,FALSE)</f>
        <v>Supplier EQPNC</v>
      </c>
      <c r="R131" t="str">
        <f>VLOOKUP(VLOOKUP(B131,[1]Product!A:C,3,FALSE),[1]Supplier!A:I,9,FALSE)</f>
        <v>Spain</v>
      </c>
      <c r="S131" t="str">
        <f>IFERROR(IF(VLOOKUP(A131,'[1]Sales Order'!A:H,8,FALSE)&gt;100,"High Freight","Low Freight"),"Not Specified")</f>
        <v>Low Freight</v>
      </c>
      <c r="T131">
        <f t="shared" ref="T131:T194" si="5">C131*D131*(1-E131)</f>
        <v>201.60000000000002</v>
      </c>
    </row>
    <row r="132" spans="1:20">
      <c r="A132" s="1">
        <v>10296</v>
      </c>
      <c r="B132" s="2">
        <v>16</v>
      </c>
      <c r="C132" s="2">
        <v>13.9</v>
      </c>
      <c r="D132" s="2">
        <v>30</v>
      </c>
      <c r="E132" s="3">
        <v>0</v>
      </c>
      <c r="F132" s="2" t="str">
        <f>IFERROR(VLOOKUP(VLOOKUP(A132,'[1]Sales Order'!A:B,2,FALSE),[1]Customer!A:C,3,FALSE),"Not Specified")</f>
        <v>Dressler, Marlies</v>
      </c>
      <c r="G132" s="2" t="str">
        <f t="shared" si="4"/>
        <v>Dressler Marlies</v>
      </c>
      <c r="H132" s="8" t="str">
        <f>IFERROR(VLOOKUP(VLOOKUP(A132,'[1]Sales Order'!A:C,3,FALSE),[1]Employee!A:E,5,FALSE)&amp;" "&amp;VLOOKUP(VLOOKUP(A132,'[1]Sales Order'!A:C,3,FALSE),[1]Employee!A:C,3,FALSE)&amp;" "&amp;VLOOKUP(VLOOKUP(A132,'[1]Sales Order'!A:C,3,FALSE),[1]Employee!A:B,2,FALSE),"Not Specified")</f>
        <v>Mr. Paul Suurs</v>
      </c>
      <c r="I132">
        <f>IFERROR(VLOOKUP(VLOOKUP(A132,'[1]Sales Order'!A:C,3,FALSE),[1]Employee!A:J,10,FALSE),"Not Specified")</f>
        <v>0</v>
      </c>
      <c r="J132" t="str">
        <f>VLOOKUP(B132,[1]Product!A:B,2,FALSE)</f>
        <v>Product PAFRH</v>
      </c>
      <c r="K132" t="str">
        <f>VLOOKUP(VLOOKUP(B132,[1]Product!A:D,4,FALSE),[1]Category!A:B,2,FALSE)</f>
        <v>Confections</v>
      </c>
      <c r="L132" s="10">
        <f>IFERROR(VLOOKUP(A132,'[1]Sales Order'!A:D,4,FALSE),"")</f>
        <v>38963</v>
      </c>
      <c r="M132" s="10">
        <f>IFERROR(VLOOKUP(A132,'[1]Sales Order'!A:F,6,FALSE),"")</f>
        <v>38971</v>
      </c>
      <c r="N132" t="str">
        <f>IFERROR(VLOOKUP(VLOOKUP(A132,'[1]Sales Order'!A:G,7,FALSE),[1]Shipper!A:B,2,FALSE),"Not Specified")</f>
        <v>Shipper GVSUA</v>
      </c>
      <c r="O132" t="str">
        <f>IFERROR(VLOOKUP(A132,'[1]Sales Order'!A:I,9,FALSE),"Not Specified")</f>
        <v>Ship to 46-C</v>
      </c>
      <c r="P132" t="str">
        <f>IFERROR(VLOOKUP(A132,'[1]Sales Order'!A:N,14,FALSE),"Not Specified")</f>
        <v>Venezuela</v>
      </c>
      <c r="Q132" t="str">
        <f>VLOOKUP(VLOOKUP(B132,[1]Product!A:C,3,FALSE),[1]Supplier!A:B,2,FALSE)</f>
        <v>Supplier GQRCV</v>
      </c>
      <c r="R132" t="str">
        <f>VLOOKUP(VLOOKUP(B132,[1]Product!A:C,3,FALSE),[1]Supplier!A:I,9,FALSE)</f>
        <v>Australia</v>
      </c>
      <c r="S132" t="str">
        <f>IFERROR(IF(VLOOKUP(A132,'[1]Sales Order'!A:H,8,FALSE)&gt;100,"High Freight","Low Freight"),"Not Specified")</f>
        <v>Low Freight</v>
      </c>
      <c r="T132">
        <f t="shared" si="5"/>
        <v>417</v>
      </c>
    </row>
    <row r="133" spans="1:20">
      <c r="A133" s="1">
        <v>10296</v>
      </c>
      <c r="B133" s="2">
        <v>69</v>
      </c>
      <c r="C133" s="2">
        <v>28.8</v>
      </c>
      <c r="D133" s="2">
        <v>15</v>
      </c>
      <c r="E133" s="3">
        <v>0</v>
      </c>
      <c r="F133" s="2" t="str">
        <f>IFERROR(VLOOKUP(VLOOKUP(A133,'[1]Sales Order'!A:B,2,FALSE),[1]Customer!A:C,3,FALSE),"Not Specified")</f>
        <v>Dressler, Marlies</v>
      </c>
      <c r="G133" s="2" t="str">
        <f t="shared" si="4"/>
        <v>Dressler Marlies</v>
      </c>
      <c r="H133" s="8" t="str">
        <f>IFERROR(VLOOKUP(VLOOKUP(A133,'[1]Sales Order'!A:C,3,FALSE),[1]Employee!A:E,5,FALSE)&amp;" "&amp;VLOOKUP(VLOOKUP(A133,'[1]Sales Order'!A:C,3,FALSE),[1]Employee!A:C,3,FALSE)&amp;" "&amp;VLOOKUP(VLOOKUP(A133,'[1]Sales Order'!A:C,3,FALSE),[1]Employee!A:B,2,FALSE),"Not Specified")</f>
        <v>Mr. Paul Suurs</v>
      </c>
      <c r="I133">
        <f>IFERROR(VLOOKUP(VLOOKUP(A133,'[1]Sales Order'!A:C,3,FALSE),[1]Employee!A:J,10,FALSE),"Not Specified")</f>
        <v>0</v>
      </c>
      <c r="J133" t="str">
        <f>VLOOKUP(B133,[1]Product!A:B,2,FALSE)</f>
        <v>Product COAXA</v>
      </c>
      <c r="K133" t="str">
        <f>VLOOKUP(VLOOKUP(B133,[1]Product!A:D,4,FALSE),[1]Category!A:B,2,FALSE)</f>
        <v>Dairy Product</v>
      </c>
      <c r="L133" s="10">
        <f>IFERROR(VLOOKUP(A133,'[1]Sales Order'!A:D,4,FALSE),"")</f>
        <v>38963</v>
      </c>
      <c r="M133" s="10">
        <f>IFERROR(VLOOKUP(A133,'[1]Sales Order'!A:F,6,FALSE),"")</f>
        <v>38971</v>
      </c>
      <c r="N133" t="str">
        <f>IFERROR(VLOOKUP(VLOOKUP(A133,'[1]Sales Order'!A:G,7,FALSE),[1]Shipper!A:B,2,FALSE),"Not Specified")</f>
        <v>Shipper GVSUA</v>
      </c>
      <c r="O133" t="str">
        <f>IFERROR(VLOOKUP(A133,'[1]Sales Order'!A:I,9,FALSE),"Not Specified")</f>
        <v>Ship to 46-C</v>
      </c>
      <c r="P133" t="str">
        <f>IFERROR(VLOOKUP(A133,'[1]Sales Order'!A:N,14,FALSE),"Not Specified")</f>
        <v>Venezuela</v>
      </c>
      <c r="Q133" t="str">
        <f>VLOOKUP(VLOOKUP(B133,[1]Product!A:C,3,FALSE),[1]Supplier!A:B,2,FALSE)</f>
        <v>Supplier NZLIF</v>
      </c>
      <c r="R133" t="str">
        <f>VLOOKUP(VLOOKUP(B133,[1]Product!A:C,3,FALSE),[1]Supplier!A:I,9,FALSE)</f>
        <v>Norway</v>
      </c>
      <c r="S133" t="str">
        <f>IFERROR(IF(VLOOKUP(A133,'[1]Sales Order'!A:H,8,FALSE)&gt;100,"High Freight","Low Freight"),"Not Specified")</f>
        <v>Low Freight</v>
      </c>
      <c r="T133">
        <f t="shared" si="5"/>
        <v>432</v>
      </c>
    </row>
    <row r="134" spans="1:20">
      <c r="A134" s="1">
        <v>10297</v>
      </c>
      <c r="B134" s="2">
        <v>39</v>
      </c>
      <c r="C134" s="2">
        <v>14.4</v>
      </c>
      <c r="D134" s="2">
        <v>60</v>
      </c>
      <c r="E134" s="3">
        <v>0</v>
      </c>
      <c r="F134" s="2" t="str">
        <f>IFERROR(VLOOKUP(VLOOKUP(A134,'[1]Sales Order'!A:B,2,FALSE),[1]Customer!A:C,3,FALSE),"Not Specified")</f>
        <v>Bansal, Dushyant</v>
      </c>
      <c r="G134" s="2" t="str">
        <f t="shared" si="4"/>
        <v>Bansal Dushyant</v>
      </c>
      <c r="H134" s="8" t="str">
        <f>IFERROR(VLOOKUP(VLOOKUP(A134,'[1]Sales Order'!A:C,3,FALSE),[1]Employee!A:E,5,FALSE)&amp;" "&amp;VLOOKUP(VLOOKUP(A134,'[1]Sales Order'!A:C,3,FALSE),[1]Employee!A:C,3,FALSE)&amp;" "&amp;VLOOKUP(VLOOKUP(A134,'[1]Sales Order'!A:C,3,FALSE),[1]Employee!A:B,2,FALSE),"Not Specified")</f>
        <v>Mr. Sven Buck</v>
      </c>
      <c r="I134">
        <f>IFERROR(VLOOKUP(VLOOKUP(A134,'[1]Sales Order'!A:C,3,FALSE),[1]Employee!A:J,10,FALSE),"Not Specified")</f>
        <v>0</v>
      </c>
      <c r="J134" t="str">
        <f>VLOOKUP(B134,[1]Product!A:B,2,FALSE)</f>
        <v>Product LSOFL</v>
      </c>
      <c r="K134" t="str">
        <f>VLOOKUP(VLOOKUP(B134,[1]Product!A:D,4,FALSE),[1]Category!A:B,2,FALSE)</f>
        <v>Beverages</v>
      </c>
      <c r="L134" s="10">
        <f>IFERROR(VLOOKUP(A134,'[1]Sales Order'!A:D,4,FALSE),"")</f>
        <v>38964</v>
      </c>
      <c r="M134" s="10">
        <f>IFERROR(VLOOKUP(A134,'[1]Sales Order'!A:F,6,FALSE),"")</f>
        <v>38970</v>
      </c>
      <c r="N134" t="str">
        <f>IFERROR(VLOOKUP(VLOOKUP(A134,'[1]Sales Order'!A:G,7,FALSE),[1]Shipper!A:B,2,FALSE),"Not Specified")</f>
        <v>Shipper ETYNR</v>
      </c>
      <c r="O134" t="str">
        <f>IFERROR(VLOOKUP(A134,'[1]Sales Order'!A:I,9,FALSE),"Not Specified")</f>
        <v>Ship to 7-C</v>
      </c>
      <c r="P134" t="str">
        <f>IFERROR(VLOOKUP(A134,'[1]Sales Order'!A:N,14,FALSE),"Not Specified")</f>
        <v>France</v>
      </c>
      <c r="Q134" t="str">
        <f>VLOOKUP(VLOOKUP(B134,[1]Product!A:C,3,FALSE),[1]Supplier!A:B,2,FALSE)</f>
        <v>Supplier LVJUA</v>
      </c>
      <c r="R134" t="str">
        <f>VLOOKUP(VLOOKUP(B134,[1]Product!A:C,3,FALSE),[1]Supplier!A:I,9,FALSE)</f>
        <v>France</v>
      </c>
      <c r="S134" t="str">
        <f>IFERROR(IF(VLOOKUP(A134,'[1]Sales Order'!A:H,8,FALSE)&gt;100,"High Freight","Low Freight"),"Not Specified")</f>
        <v>Low Freight</v>
      </c>
      <c r="T134">
        <f t="shared" si="5"/>
        <v>864</v>
      </c>
    </row>
    <row r="135" spans="1:20">
      <c r="A135" s="1">
        <v>10297</v>
      </c>
      <c r="B135" s="2">
        <v>72</v>
      </c>
      <c r="C135" s="2">
        <v>27.8</v>
      </c>
      <c r="D135" s="2">
        <v>20</v>
      </c>
      <c r="E135" s="3">
        <v>0</v>
      </c>
      <c r="F135" s="2" t="str">
        <f>IFERROR(VLOOKUP(VLOOKUP(A135,'[1]Sales Order'!A:B,2,FALSE),[1]Customer!A:C,3,FALSE),"Not Specified")</f>
        <v>Bansal, Dushyant</v>
      </c>
      <c r="G135" s="2" t="str">
        <f t="shared" si="4"/>
        <v>Bansal Dushyant</v>
      </c>
      <c r="H135" s="8" t="str">
        <f>IFERROR(VLOOKUP(VLOOKUP(A135,'[1]Sales Order'!A:C,3,FALSE),[1]Employee!A:E,5,FALSE)&amp;" "&amp;VLOOKUP(VLOOKUP(A135,'[1]Sales Order'!A:C,3,FALSE),[1]Employee!A:C,3,FALSE)&amp;" "&amp;VLOOKUP(VLOOKUP(A135,'[1]Sales Order'!A:C,3,FALSE),[1]Employee!A:B,2,FALSE),"Not Specified")</f>
        <v>Mr. Sven Buck</v>
      </c>
      <c r="I135">
        <f>IFERROR(VLOOKUP(VLOOKUP(A135,'[1]Sales Order'!A:C,3,FALSE),[1]Employee!A:J,10,FALSE),"Not Specified")</f>
        <v>0</v>
      </c>
      <c r="J135" t="str">
        <f>VLOOKUP(B135,[1]Product!A:B,2,FALSE)</f>
        <v>Product GEEOO</v>
      </c>
      <c r="K135" t="str">
        <f>VLOOKUP(VLOOKUP(B135,[1]Product!A:D,4,FALSE),[1]Category!A:B,2,FALSE)</f>
        <v>Dairy Product</v>
      </c>
      <c r="L135" s="10">
        <f>IFERROR(VLOOKUP(A135,'[1]Sales Order'!A:D,4,FALSE),"")</f>
        <v>38964</v>
      </c>
      <c r="M135" s="10">
        <f>IFERROR(VLOOKUP(A135,'[1]Sales Order'!A:F,6,FALSE),"")</f>
        <v>38970</v>
      </c>
      <c r="N135" t="str">
        <f>IFERROR(VLOOKUP(VLOOKUP(A135,'[1]Sales Order'!A:G,7,FALSE),[1]Shipper!A:B,2,FALSE),"Not Specified")</f>
        <v>Shipper ETYNR</v>
      </c>
      <c r="O135" t="str">
        <f>IFERROR(VLOOKUP(A135,'[1]Sales Order'!A:I,9,FALSE),"Not Specified")</f>
        <v>Ship to 7-C</v>
      </c>
      <c r="P135" t="str">
        <f>IFERROR(VLOOKUP(A135,'[1]Sales Order'!A:N,14,FALSE),"Not Specified")</f>
        <v>France</v>
      </c>
      <c r="Q135" t="str">
        <f>VLOOKUP(VLOOKUP(B135,[1]Product!A:C,3,FALSE),[1]Supplier!A:B,2,FALSE)</f>
        <v>Supplier KEREV</v>
      </c>
      <c r="R135" t="str">
        <f>VLOOKUP(VLOOKUP(B135,[1]Product!A:C,3,FALSE),[1]Supplier!A:I,9,FALSE)</f>
        <v>Italy</v>
      </c>
      <c r="S135" t="str">
        <f>IFERROR(IF(VLOOKUP(A135,'[1]Sales Order'!A:H,8,FALSE)&gt;100,"High Freight","Low Freight"),"Not Specified")</f>
        <v>Low Freight</v>
      </c>
      <c r="T135">
        <f t="shared" si="5"/>
        <v>556</v>
      </c>
    </row>
    <row r="136" spans="1:20">
      <c r="A136" s="1">
        <v>10298</v>
      </c>
      <c r="B136" s="2">
        <v>2</v>
      </c>
      <c r="C136" s="2">
        <v>15.2</v>
      </c>
      <c r="D136" s="2">
        <v>40</v>
      </c>
      <c r="E136" s="3">
        <v>0</v>
      </c>
      <c r="F136" s="2" t="str">
        <f>IFERROR(VLOOKUP(VLOOKUP(A136,'[1]Sales Order'!A:B,2,FALSE),[1]Customer!A:C,3,FALSE),"Not Specified")</f>
        <v>Crăciun, Ovidiu V.</v>
      </c>
      <c r="G136" s="2" t="str">
        <f t="shared" si="4"/>
        <v>Crăciun Ovidiu V.</v>
      </c>
      <c r="H136" s="8" t="str">
        <f>IFERROR(VLOOKUP(VLOOKUP(A136,'[1]Sales Order'!A:C,3,FALSE),[1]Employee!A:E,5,FALSE)&amp;" "&amp;VLOOKUP(VLOOKUP(A136,'[1]Sales Order'!A:C,3,FALSE),[1]Employee!A:C,3,FALSE)&amp;" "&amp;VLOOKUP(VLOOKUP(A136,'[1]Sales Order'!A:C,3,FALSE),[1]Employee!A:B,2,FALSE),"Not Specified")</f>
        <v>Mr. Paul Suurs</v>
      </c>
      <c r="I136">
        <f>IFERROR(VLOOKUP(VLOOKUP(A136,'[1]Sales Order'!A:C,3,FALSE),[1]Employee!A:J,10,FALSE),"Not Specified")</f>
        <v>0</v>
      </c>
      <c r="J136" t="str">
        <f>VLOOKUP(B136,[1]Product!A:B,2,FALSE)</f>
        <v>Product RECZE</v>
      </c>
      <c r="K136" t="str">
        <f>VLOOKUP(VLOOKUP(B136,[1]Product!A:D,4,FALSE),[1]Category!A:B,2,FALSE)</f>
        <v>Beverages</v>
      </c>
      <c r="L136" s="10">
        <f>IFERROR(VLOOKUP(A136,'[1]Sales Order'!A:D,4,FALSE),"")</f>
        <v>38965</v>
      </c>
      <c r="M136" s="10">
        <f>IFERROR(VLOOKUP(A136,'[1]Sales Order'!A:F,6,FALSE),"")</f>
        <v>38971</v>
      </c>
      <c r="N136" t="str">
        <f>IFERROR(VLOOKUP(VLOOKUP(A136,'[1]Sales Order'!A:G,7,FALSE),[1]Shipper!A:B,2,FALSE),"Not Specified")</f>
        <v>Shipper ETYNR</v>
      </c>
      <c r="O136" t="str">
        <f>IFERROR(VLOOKUP(A136,'[1]Sales Order'!A:I,9,FALSE),"Not Specified")</f>
        <v>Destination ATSOA</v>
      </c>
      <c r="P136" t="str">
        <f>IFERROR(VLOOKUP(A136,'[1]Sales Order'!A:N,14,FALSE),"Not Specified")</f>
        <v>Ireland</v>
      </c>
      <c r="Q136" t="str">
        <f>VLOOKUP(VLOOKUP(B136,[1]Product!A:C,3,FALSE),[1]Supplier!A:B,2,FALSE)</f>
        <v>Supplier SWRXU</v>
      </c>
      <c r="R136" t="str">
        <f>VLOOKUP(VLOOKUP(B136,[1]Product!A:C,3,FALSE),[1]Supplier!A:I,9,FALSE)</f>
        <v>UK</v>
      </c>
      <c r="S136" t="str">
        <f>IFERROR(IF(VLOOKUP(A136,'[1]Sales Order'!A:H,8,FALSE)&gt;100,"High Freight","Low Freight"),"Not Specified")</f>
        <v>High Freight</v>
      </c>
      <c r="T136">
        <f t="shared" si="5"/>
        <v>608</v>
      </c>
    </row>
    <row r="137" spans="1:20">
      <c r="A137" s="1">
        <v>10298</v>
      </c>
      <c r="B137" s="2">
        <v>36</v>
      </c>
      <c r="C137" s="2">
        <v>15.2</v>
      </c>
      <c r="D137" s="2">
        <v>40</v>
      </c>
      <c r="E137" s="3">
        <v>0.25</v>
      </c>
      <c r="F137" s="2" t="str">
        <f>IFERROR(VLOOKUP(VLOOKUP(A137,'[1]Sales Order'!A:B,2,FALSE),[1]Customer!A:C,3,FALSE),"Not Specified")</f>
        <v>Crăciun, Ovidiu V.</v>
      </c>
      <c r="G137" s="2" t="str">
        <f t="shared" si="4"/>
        <v>Crăciun Ovidiu V.</v>
      </c>
      <c r="H137" s="8" t="str">
        <f>IFERROR(VLOOKUP(VLOOKUP(A137,'[1]Sales Order'!A:C,3,FALSE),[1]Employee!A:E,5,FALSE)&amp;" "&amp;VLOOKUP(VLOOKUP(A137,'[1]Sales Order'!A:C,3,FALSE),[1]Employee!A:C,3,FALSE)&amp;" "&amp;VLOOKUP(VLOOKUP(A137,'[1]Sales Order'!A:C,3,FALSE),[1]Employee!A:B,2,FALSE),"Not Specified")</f>
        <v>Mr. Paul Suurs</v>
      </c>
      <c r="I137">
        <f>IFERROR(VLOOKUP(VLOOKUP(A137,'[1]Sales Order'!A:C,3,FALSE),[1]Employee!A:J,10,FALSE),"Not Specified")</f>
        <v>0</v>
      </c>
      <c r="J137" t="str">
        <f>VLOOKUP(B137,[1]Product!A:B,2,FALSE)</f>
        <v>Product GMKIJ</v>
      </c>
      <c r="K137" t="str">
        <f>VLOOKUP(VLOOKUP(B137,[1]Product!A:D,4,FALSE),[1]Category!A:B,2,FALSE)</f>
        <v>Seafood</v>
      </c>
      <c r="L137" s="10">
        <f>IFERROR(VLOOKUP(A137,'[1]Sales Order'!A:D,4,FALSE),"")</f>
        <v>38965</v>
      </c>
      <c r="M137" s="10">
        <f>IFERROR(VLOOKUP(A137,'[1]Sales Order'!A:F,6,FALSE),"")</f>
        <v>38971</v>
      </c>
      <c r="N137" t="str">
        <f>IFERROR(VLOOKUP(VLOOKUP(A137,'[1]Sales Order'!A:G,7,FALSE),[1]Shipper!A:B,2,FALSE),"Not Specified")</f>
        <v>Shipper ETYNR</v>
      </c>
      <c r="O137" t="str">
        <f>IFERROR(VLOOKUP(A137,'[1]Sales Order'!A:I,9,FALSE),"Not Specified")</f>
        <v>Destination ATSOA</v>
      </c>
      <c r="P137" t="str">
        <f>IFERROR(VLOOKUP(A137,'[1]Sales Order'!A:N,14,FALSE),"Not Specified")</f>
        <v>Ireland</v>
      </c>
      <c r="Q137" t="str">
        <f>VLOOKUP(VLOOKUP(B137,[1]Product!A:C,3,FALSE),[1]Supplier!A:B,2,FALSE)</f>
        <v>Supplier QZGUF</v>
      </c>
      <c r="R137" t="str">
        <f>VLOOKUP(VLOOKUP(B137,[1]Product!A:C,3,FALSE),[1]Supplier!A:I,9,FALSE)</f>
        <v>Sweden</v>
      </c>
      <c r="S137" t="str">
        <f>IFERROR(IF(VLOOKUP(A137,'[1]Sales Order'!A:H,8,FALSE)&gt;100,"High Freight","Low Freight"),"Not Specified")</f>
        <v>High Freight</v>
      </c>
      <c r="T137">
        <f t="shared" si="5"/>
        <v>456</v>
      </c>
    </row>
    <row r="138" spans="1:20">
      <c r="A138" s="1">
        <v>10298</v>
      </c>
      <c r="B138" s="2">
        <v>59</v>
      </c>
      <c r="C138" s="2">
        <v>44</v>
      </c>
      <c r="D138" s="2">
        <v>30</v>
      </c>
      <c r="E138" s="3">
        <v>0.25</v>
      </c>
      <c r="F138" s="2" t="str">
        <f>IFERROR(VLOOKUP(VLOOKUP(A138,'[1]Sales Order'!A:B,2,FALSE),[1]Customer!A:C,3,FALSE),"Not Specified")</f>
        <v>Crăciun, Ovidiu V.</v>
      </c>
      <c r="G138" s="2" t="str">
        <f t="shared" si="4"/>
        <v>Crăciun Ovidiu V.</v>
      </c>
      <c r="H138" s="8" t="str">
        <f>IFERROR(VLOOKUP(VLOOKUP(A138,'[1]Sales Order'!A:C,3,FALSE),[1]Employee!A:E,5,FALSE)&amp;" "&amp;VLOOKUP(VLOOKUP(A138,'[1]Sales Order'!A:C,3,FALSE),[1]Employee!A:C,3,FALSE)&amp;" "&amp;VLOOKUP(VLOOKUP(A138,'[1]Sales Order'!A:C,3,FALSE),[1]Employee!A:B,2,FALSE),"Not Specified")</f>
        <v>Mr. Paul Suurs</v>
      </c>
      <c r="I138">
        <f>IFERROR(VLOOKUP(VLOOKUP(A138,'[1]Sales Order'!A:C,3,FALSE),[1]Employee!A:J,10,FALSE),"Not Specified")</f>
        <v>0</v>
      </c>
      <c r="J138" t="str">
        <f>VLOOKUP(B138,[1]Product!A:B,2,FALSE)</f>
        <v>Product UKXRI</v>
      </c>
      <c r="K138" t="str">
        <f>VLOOKUP(VLOOKUP(B138,[1]Product!A:D,4,FALSE),[1]Category!A:B,2,FALSE)</f>
        <v>Dairy Product</v>
      </c>
      <c r="L138" s="10">
        <f>IFERROR(VLOOKUP(A138,'[1]Sales Order'!A:D,4,FALSE),"")</f>
        <v>38965</v>
      </c>
      <c r="M138" s="10">
        <f>IFERROR(VLOOKUP(A138,'[1]Sales Order'!A:F,6,FALSE),"")</f>
        <v>38971</v>
      </c>
      <c r="N138" t="str">
        <f>IFERROR(VLOOKUP(VLOOKUP(A138,'[1]Sales Order'!A:G,7,FALSE),[1]Shipper!A:B,2,FALSE),"Not Specified")</f>
        <v>Shipper ETYNR</v>
      </c>
      <c r="O138" t="str">
        <f>IFERROR(VLOOKUP(A138,'[1]Sales Order'!A:I,9,FALSE),"Not Specified")</f>
        <v>Destination ATSOA</v>
      </c>
      <c r="P138" t="str">
        <f>IFERROR(VLOOKUP(A138,'[1]Sales Order'!A:N,14,FALSE),"Not Specified")</f>
        <v>Ireland</v>
      </c>
      <c r="Q138" t="str">
        <f>VLOOKUP(VLOOKUP(B138,[1]Product!A:C,3,FALSE),[1]Supplier!A:B,2,FALSE)</f>
        <v>Supplier OAVQT</v>
      </c>
      <c r="R138" t="str">
        <f>VLOOKUP(VLOOKUP(B138,[1]Product!A:C,3,FALSE),[1]Supplier!A:I,9,FALSE)</f>
        <v>France</v>
      </c>
      <c r="S138" t="str">
        <f>IFERROR(IF(VLOOKUP(A138,'[1]Sales Order'!A:H,8,FALSE)&gt;100,"High Freight","Low Freight"),"Not Specified")</f>
        <v>High Freight</v>
      </c>
      <c r="T138">
        <f t="shared" si="5"/>
        <v>990</v>
      </c>
    </row>
    <row r="139" spans="1:20">
      <c r="A139" s="1">
        <v>10298</v>
      </c>
      <c r="B139" s="2">
        <v>62</v>
      </c>
      <c r="C139" s="2">
        <v>39.4</v>
      </c>
      <c r="D139" s="2">
        <v>15</v>
      </c>
      <c r="E139" s="3">
        <v>0</v>
      </c>
      <c r="F139" s="2" t="str">
        <f>IFERROR(VLOOKUP(VLOOKUP(A139,'[1]Sales Order'!A:B,2,FALSE),[1]Customer!A:C,3,FALSE),"Not Specified")</f>
        <v>Crăciun, Ovidiu V.</v>
      </c>
      <c r="G139" s="2" t="str">
        <f t="shared" si="4"/>
        <v>Crăciun Ovidiu V.</v>
      </c>
      <c r="H139" s="8" t="str">
        <f>IFERROR(VLOOKUP(VLOOKUP(A139,'[1]Sales Order'!A:C,3,FALSE),[1]Employee!A:E,5,FALSE)&amp;" "&amp;VLOOKUP(VLOOKUP(A139,'[1]Sales Order'!A:C,3,FALSE),[1]Employee!A:C,3,FALSE)&amp;" "&amp;VLOOKUP(VLOOKUP(A139,'[1]Sales Order'!A:C,3,FALSE),[1]Employee!A:B,2,FALSE),"Not Specified")</f>
        <v>Mr. Paul Suurs</v>
      </c>
      <c r="I139">
        <f>IFERROR(VLOOKUP(VLOOKUP(A139,'[1]Sales Order'!A:C,3,FALSE),[1]Employee!A:J,10,FALSE),"Not Specified")</f>
        <v>0</v>
      </c>
      <c r="J139" t="str">
        <f>VLOOKUP(B139,[1]Product!A:B,2,FALSE)</f>
        <v>Product WUXYK</v>
      </c>
      <c r="K139" t="str">
        <f>VLOOKUP(VLOOKUP(B139,[1]Product!A:D,4,FALSE),[1]Category!A:B,2,FALSE)</f>
        <v>Confections</v>
      </c>
      <c r="L139" s="10">
        <f>IFERROR(VLOOKUP(A139,'[1]Sales Order'!A:D,4,FALSE),"")</f>
        <v>38965</v>
      </c>
      <c r="M139" s="10">
        <f>IFERROR(VLOOKUP(A139,'[1]Sales Order'!A:F,6,FALSE),"")</f>
        <v>38971</v>
      </c>
      <c r="N139" t="str">
        <f>IFERROR(VLOOKUP(VLOOKUP(A139,'[1]Sales Order'!A:G,7,FALSE),[1]Shipper!A:B,2,FALSE),"Not Specified")</f>
        <v>Shipper ETYNR</v>
      </c>
      <c r="O139" t="str">
        <f>IFERROR(VLOOKUP(A139,'[1]Sales Order'!A:I,9,FALSE),"Not Specified")</f>
        <v>Destination ATSOA</v>
      </c>
      <c r="P139" t="str">
        <f>IFERROR(VLOOKUP(A139,'[1]Sales Order'!A:N,14,FALSE),"Not Specified")</f>
        <v>Ireland</v>
      </c>
      <c r="Q139" t="str">
        <f>VLOOKUP(VLOOKUP(B139,[1]Product!A:C,3,FALSE),[1]Supplier!A:B,2,FALSE)</f>
        <v>Supplier OGLRK</v>
      </c>
      <c r="R139" t="str">
        <f>VLOOKUP(VLOOKUP(B139,[1]Product!A:C,3,FALSE),[1]Supplier!A:I,9,FALSE)</f>
        <v>Canada</v>
      </c>
      <c r="S139" t="str">
        <f>IFERROR(IF(VLOOKUP(A139,'[1]Sales Order'!A:H,8,FALSE)&gt;100,"High Freight","Low Freight"),"Not Specified")</f>
        <v>High Freight</v>
      </c>
      <c r="T139">
        <f t="shared" si="5"/>
        <v>591</v>
      </c>
    </row>
    <row r="140" spans="1:20">
      <c r="A140" s="1">
        <v>10299</v>
      </c>
      <c r="B140" s="2">
        <v>19</v>
      </c>
      <c r="C140" s="2">
        <v>7.3</v>
      </c>
      <c r="D140" s="2">
        <v>15</v>
      </c>
      <c r="E140" s="3">
        <v>0</v>
      </c>
      <c r="F140" s="2" t="str">
        <f>IFERROR(VLOOKUP(VLOOKUP(A140,'[1]Sales Order'!A:B,2,FALSE),[1]Customer!A:C,3,FALSE),"Not Specified")</f>
        <v>Garden, Euan</v>
      </c>
      <c r="G140" s="2" t="str">
        <f t="shared" si="4"/>
        <v>Garden Euan</v>
      </c>
      <c r="H140" s="8" t="str">
        <f>IFERROR(VLOOKUP(VLOOKUP(A140,'[1]Sales Order'!A:C,3,FALSE),[1]Employee!A:E,5,FALSE)&amp;" "&amp;VLOOKUP(VLOOKUP(A140,'[1]Sales Order'!A:C,3,FALSE),[1]Employee!A:C,3,FALSE)&amp;" "&amp;VLOOKUP(VLOOKUP(A140,'[1]Sales Order'!A:C,3,FALSE),[1]Employee!A:B,2,FALSE),"Not Specified")</f>
        <v>Mrs. Yael Peled</v>
      </c>
      <c r="I140" t="str">
        <f>IFERROR(VLOOKUP(VLOOKUP(A140,'[1]Sales Order'!A:C,3,FALSE),[1]Employee!A:J,10,FALSE),"Not Specified")</f>
        <v>WA</v>
      </c>
      <c r="J140" t="str">
        <f>VLOOKUP(B140,[1]Product!A:B,2,FALSE)</f>
        <v>Product XKXDO</v>
      </c>
      <c r="K140" t="str">
        <f>VLOOKUP(VLOOKUP(B140,[1]Product!A:D,4,FALSE),[1]Category!A:B,2,FALSE)</f>
        <v>Confections</v>
      </c>
      <c r="L140" s="10">
        <f>IFERROR(VLOOKUP(A140,'[1]Sales Order'!A:D,4,FALSE),"")</f>
        <v>38966</v>
      </c>
      <c r="M140" s="10">
        <f>IFERROR(VLOOKUP(A140,'[1]Sales Order'!A:F,6,FALSE),"")</f>
        <v>38973</v>
      </c>
      <c r="N140" t="str">
        <f>IFERROR(VLOOKUP(VLOOKUP(A140,'[1]Sales Order'!A:G,7,FALSE),[1]Shipper!A:B,2,FALSE),"Not Specified")</f>
        <v>Shipper ETYNR</v>
      </c>
      <c r="O140" t="str">
        <f>IFERROR(VLOOKUP(A140,'[1]Sales Order'!A:I,9,FALSE),"Not Specified")</f>
        <v>Ship to 67-A</v>
      </c>
      <c r="P140" t="str">
        <f>IFERROR(VLOOKUP(A140,'[1]Sales Order'!A:N,14,FALSE),"Not Specified")</f>
        <v>Brazil</v>
      </c>
      <c r="Q140" t="str">
        <f>VLOOKUP(VLOOKUP(B140,[1]Product!A:C,3,FALSE),[1]Supplier!A:B,2,FALSE)</f>
        <v>Supplier BWGYE</v>
      </c>
      <c r="R140" t="str">
        <f>VLOOKUP(VLOOKUP(B140,[1]Product!A:C,3,FALSE),[1]Supplier!A:I,9,FALSE)</f>
        <v>UK</v>
      </c>
      <c r="S140" t="str">
        <f>IFERROR(IF(VLOOKUP(A140,'[1]Sales Order'!A:H,8,FALSE)&gt;100,"High Freight","Low Freight"),"Not Specified")</f>
        <v>Low Freight</v>
      </c>
      <c r="T140">
        <f t="shared" si="5"/>
        <v>109.5</v>
      </c>
    </row>
    <row r="141" spans="1:20">
      <c r="A141" s="1">
        <v>10299</v>
      </c>
      <c r="B141" s="2">
        <v>70</v>
      </c>
      <c r="C141" s="2">
        <v>12</v>
      </c>
      <c r="D141" s="2">
        <v>20</v>
      </c>
      <c r="E141" s="3">
        <v>0</v>
      </c>
      <c r="F141" s="2" t="str">
        <f>IFERROR(VLOOKUP(VLOOKUP(A141,'[1]Sales Order'!A:B,2,FALSE),[1]Customer!A:C,3,FALSE),"Not Specified")</f>
        <v>Garden, Euan</v>
      </c>
      <c r="G141" s="2" t="str">
        <f t="shared" si="4"/>
        <v>Garden Euan</v>
      </c>
      <c r="H141" s="8" t="str">
        <f>IFERROR(VLOOKUP(VLOOKUP(A141,'[1]Sales Order'!A:C,3,FALSE),[1]Employee!A:E,5,FALSE)&amp;" "&amp;VLOOKUP(VLOOKUP(A141,'[1]Sales Order'!A:C,3,FALSE),[1]Employee!A:C,3,FALSE)&amp;" "&amp;VLOOKUP(VLOOKUP(A141,'[1]Sales Order'!A:C,3,FALSE),[1]Employee!A:B,2,FALSE),"Not Specified")</f>
        <v>Mrs. Yael Peled</v>
      </c>
      <c r="I141" t="str">
        <f>IFERROR(VLOOKUP(VLOOKUP(A141,'[1]Sales Order'!A:C,3,FALSE),[1]Employee!A:J,10,FALSE),"Not Specified")</f>
        <v>WA</v>
      </c>
      <c r="J141" t="str">
        <f>VLOOKUP(B141,[1]Product!A:B,2,FALSE)</f>
        <v>Product TOONT</v>
      </c>
      <c r="K141" t="str">
        <f>VLOOKUP(VLOOKUP(B141,[1]Product!A:D,4,FALSE),[1]Category!A:B,2,FALSE)</f>
        <v>Beverages</v>
      </c>
      <c r="L141" s="10">
        <f>IFERROR(VLOOKUP(A141,'[1]Sales Order'!A:D,4,FALSE),"")</f>
        <v>38966</v>
      </c>
      <c r="M141" s="10">
        <f>IFERROR(VLOOKUP(A141,'[1]Sales Order'!A:F,6,FALSE),"")</f>
        <v>38973</v>
      </c>
      <c r="N141" t="str">
        <f>IFERROR(VLOOKUP(VLOOKUP(A141,'[1]Sales Order'!A:G,7,FALSE),[1]Shipper!A:B,2,FALSE),"Not Specified")</f>
        <v>Shipper ETYNR</v>
      </c>
      <c r="O141" t="str">
        <f>IFERROR(VLOOKUP(A141,'[1]Sales Order'!A:I,9,FALSE),"Not Specified")</f>
        <v>Ship to 67-A</v>
      </c>
      <c r="P141" t="str">
        <f>IFERROR(VLOOKUP(A141,'[1]Sales Order'!A:N,14,FALSE),"Not Specified")</f>
        <v>Brazil</v>
      </c>
      <c r="Q141" t="str">
        <f>VLOOKUP(VLOOKUP(B141,[1]Product!A:C,3,FALSE),[1]Supplier!A:B,2,FALSE)</f>
        <v>Supplier GQRCV</v>
      </c>
      <c r="R141" t="str">
        <f>VLOOKUP(VLOOKUP(B141,[1]Product!A:C,3,FALSE),[1]Supplier!A:I,9,FALSE)</f>
        <v>Australia</v>
      </c>
      <c r="S141" t="str">
        <f>IFERROR(IF(VLOOKUP(A141,'[1]Sales Order'!A:H,8,FALSE)&gt;100,"High Freight","Low Freight"),"Not Specified")</f>
        <v>Low Freight</v>
      </c>
      <c r="T141">
        <f t="shared" si="5"/>
        <v>240</v>
      </c>
    </row>
    <row r="142" spans="1:20">
      <c r="A142" s="1">
        <v>10300</v>
      </c>
      <c r="B142" s="2">
        <v>66</v>
      </c>
      <c r="C142" s="2">
        <v>13.6</v>
      </c>
      <c r="D142" s="2">
        <v>30</v>
      </c>
      <c r="E142" s="3">
        <v>0</v>
      </c>
      <c r="F142" s="2" t="str">
        <f>IFERROR(VLOOKUP(VLOOKUP(A142,'[1]Sales Order'!A:B,2,FALSE),[1]Customer!A:C,3,FALSE),"Not Specified")</f>
        <v>Duerr, Bernard</v>
      </c>
      <c r="G142" s="2" t="str">
        <f t="shared" si="4"/>
        <v>Duerr Bernard</v>
      </c>
      <c r="H142" s="8" t="str">
        <f>IFERROR(VLOOKUP(VLOOKUP(A142,'[1]Sales Order'!A:C,3,FALSE),[1]Employee!A:E,5,FALSE)&amp;" "&amp;VLOOKUP(VLOOKUP(A142,'[1]Sales Order'!A:C,3,FALSE),[1]Employee!A:C,3,FALSE)&amp;" "&amp;VLOOKUP(VLOOKUP(A142,'[1]Sales Order'!A:C,3,FALSE),[1]Employee!A:B,2,FALSE),"Not Specified")</f>
        <v>Dr. Don Funk</v>
      </c>
      <c r="I142" t="str">
        <f>IFERROR(VLOOKUP(VLOOKUP(A142,'[1]Sales Order'!A:C,3,FALSE),[1]Employee!A:J,10,FALSE),"Not Specified")</f>
        <v>WA</v>
      </c>
      <c r="J142" t="str">
        <f>VLOOKUP(B142,[1]Product!A:B,2,FALSE)</f>
        <v>Product LQMGN</v>
      </c>
      <c r="K142" t="str">
        <f>VLOOKUP(VLOOKUP(B142,[1]Product!A:D,4,FALSE),[1]Category!A:B,2,FALSE)</f>
        <v>Condiments</v>
      </c>
      <c r="L142" s="10">
        <f>IFERROR(VLOOKUP(A142,'[1]Sales Order'!A:D,4,FALSE),"")</f>
        <v>38969</v>
      </c>
      <c r="M142" s="10">
        <f>IFERROR(VLOOKUP(A142,'[1]Sales Order'!A:F,6,FALSE),"")</f>
        <v>38978</v>
      </c>
      <c r="N142" t="str">
        <f>IFERROR(VLOOKUP(VLOOKUP(A142,'[1]Sales Order'!A:G,7,FALSE),[1]Shipper!A:B,2,FALSE),"Not Specified")</f>
        <v>Shipper ETYNR</v>
      </c>
      <c r="O142" t="str">
        <f>IFERROR(VLOOKUP(A142,'[1]Sales Order'!A:I,9,FALSE),"Not Specified")</f>
        <v>Ship to 49-A</v>
      </c>
      <c r="P142" t="str">
        <f>IFERROR(VLOOKUP(A142,'[1]Sales Order'!A:N,14,FALSE),"Not Specified")</f>
        <v>Italy</v>
      </c>
      <c r="Q142" t="str">
        <f>VLOOKUP(VLOOKUP(B142,[1]Product!A:C,3,FALSE),[1]Supplier!A:B,2,FALSE)</f>
        <v>Supplier VHQZD</v>
      </c>
      <c r="R142" t="str">
        <f>VLOOKUP(VLOOKUP(B142,[1]Product!A:C,3,FALSE),[1]Supplier!A:I,9,FALSE)</f>
        <v>USA</v>
      </c>
      <c r="S142" t="str">
        <f>IFERROR(IF(VLOOKUP(A142,'[1]Sales Order'!A:H,8,FALSE)&gt;100,"High Freight","Low Freight"),"Not Specified")</f>
        <v>Low Freight</v>
      </c>
      <c r="T142">
        <f t="shared" si="5"/>
        <v>408</v>
      </c>
    </row>
    <row r="143" spans="1:20">
      <c r="A143" s="1">
        <v>10300</v>
      </c>
      <c r="B143" s="2">
        <v>68</v>
      </c>
      <c r="C143" s="2">
        <v>10</v>
      </c>
      <c r="D143" s="2">
        <v>20</v>
      </c>
      <c r="E143" s="3">
        <v>0</v>
      </c>
      <c r="F143" s="2" t="str">
        <f>IFERROR(VLOOKUP(VLOOKUP(A143,'[1]Sales Order'!A:B,2,FALSE),[1]Customer!A:C,3,FALSE),"Not Specified")</f>
        <v>Duerr, Bernard</v>
      </c>
      <c r="G143" s="2" t="str">
        <f t="shared" si="4"/>
        <v>Duerr Bernard</v>
      </c>
      <c r="H143" s="8" t="str">
        <f>IFERROR(VLOOKUP(VLOOKUP(A143,'[1]Sales Order'!A:C,3,FALSE),[1]Employee!A:E,5,FALSE)&amp;" "&amp;VLOOKUP(VLOOKUP(A143,'[1]Sales Order'!A:C,3,FALSE),[1]Employee!A:C,3,FALSE)&amp;" "&amp;VLOOKUP(VLOOKUP(A143,'[1]Sales Order'!A:C,3,FALSE),[1]Employee!A:B,2,FALSE),"Not Specified")</f>
        <v>Dr. Don Funk</v>
      </c>
      <c r="I143" t="str">
        <f>IFERROR(VLOOKUP(VLOOKUP(A143,'[1]Sales Order'!A:C,3,FALSE),[1]Employee!A:J,10,FALSE),"Not Specified")</f>
        <v>WA</v>
      </c>
      <c r="J143" t="str">
        <f>VLOOKUP(B143,[1]Product!A:B,2,FALSE)</f>
        <v>Product TBTBL</v>
      </c>
      <c r="K143" t="str">
        <f>VLOOKUP(VLOOKUP(B143,[1]Product!A:D,4,FALSE),[1]Category!A:B,2,FALSE)</f>
        <v>Confections</v>
      </c>
      <c r="L143" s="10">
        <f>IFERROR(VLOOKUP(A143,'[1]Sales Order'!A:D,4,FALSE),"")</f>
        <v>38969</v>
      </c>
      <c r="M143" s="10">
        <f>IFERROR(VLOOKUP(A143,'[1]Sales Order'!A:F,6,FALSE),"")</f>
        <v>38978</v>
      </c>
      <c r="N143" t="str">
        <f>IFERROR(VLOOKUP(VLOOKUP(A143,'[1]Sales Order'!A:G,7,FALSE),[1]Shipper!A:B,2,FALSE),"Not Specified")</f>
        <v>Shipper ETYNR</v>
      </c>
      <c r="O143" t="str">
        <f>IFERROR(VLOOKUP(A143,'[1]Sales Order'!A:I,9,FALSE),"Not Specified")</f>
        <v>Ship to 49-A</v>
      </c>
      <c r="P143" t="str">
        <f>IFERROR(VLOOKUP(A143,'[1]Sales Order'!A:N,14,FALSE),"Not Specified")</f>
        <v>Italy</v>
      </c>
      <c r="Q143" t="str">
        <f>VLOOKUP(VLOOKUP(B143,[1]Product!A:C,3,FALSE),[1]Supplier!A:B,2,FALSE)</f>
        <v>Supplier BWGYE</v>
      </c>
      <c r="R143" t="str">
        <f>VLOOKUP(VLOOKUP(B143,[1]Product!A:C,3,FALSE),[1]Supplier!A:I,9,FALSE)</f>
        <v>UK</v>
      </c>
      <c r="S143" t="str">
        <f>IFERROR(IF(VLOOKUP(A143,'[1]Sales Order'!A:H,8,FALSE)&gt;100,"High Freight","Low Freight"),"Not Specified")</f>
        <v>Low Freight</v>
      </c>
      <c r="T143">
        <f t="shared" si="5"/>
        <v>200</v>
      </c>
    </row>
    <row r="144" spans="1:20">
      <c r="A144" s="1">
        <v>10301</v>
      </c>
      <c r="B144" s="2">
        <v>40</v>
      </c>
      <c r="C144" s="2">
        <v>14.7</v>
      </c>
      <c r="D144" s="2">
        <v>10</v>
      </c>
      <c r="E144" s="3">
        <v>0</v>
      </c>
      <c r="F144" s="2" t="str">
        <f>IFERROR(VLOOKUP(VLOOKUP(A144,'[1]Sales Order'!A:B,2,FALSE),[1]Customer!A:C,3,FALSE),"Not Specified")</f>
        <v>Syamala, Manoj</v>
      </c>
      <c r="G144" s="2" t="str">
        <f t="shared" si="4"/>
        <v>Syamala Manoj</v>
      </c>
      <c r="H144" s="8" t="str">
        <f>IFERROR(VLOOKUP(VLOOKUP(A144,'[1]Sales Order'!A:C,3,FALSE),[1]Employee!A:E,5,FALSE)&amp;" "&amp;VLOOKUP(VLOOKUP(A144,'[1]Sales Order'!A:C,3,FALSE),[1]Employee!A:C,3,FALSE)&amp;" "&amp;VLOOKUP(VLOOKUP(A144,'[1]Sales Order'!A:C,3,FALSE),[1]Employee!A:B,2,FALSE),"Not Specified")</f>
        <v>Ms. Maria Cameron</v>
      </c>
      <c r="I144" t="str">
        <f>IFERROR(VLOOKUP(VLOOKUP(A144,'[1]Sales Order'!A:C,3,FALSE),[1]Employee!A:J,10,FALSE),"Not Specified")</f>
        <v>WA</v>
      </c>
      <c r="J144" t="str">
        <f>VLOOKUP(B144,[1]Product!A:B,2,FALSE)</f>
        <v>Product YZIXQ</v>
      </c>
      <c r="K144" t="str">
        <f>VLOOKUP(VLOOKUP(B144,[1]Product!A:D,4,FALSE),[1]Category!A:B,2,FALSE)</f>
        <v>Seafood</v>
      </c>
      <c r="L144" s="10">
        <f>IFERROR(VLOOKUP(A144,'[1]Sales Order'!A:D,4,FALSE),"")</f>
        <v>38969</v>
      </c>
      <c r="M144" s="10">
        <f>IFERROR(VLOOKUP(A144,'[1]Sales Order'!A:F,6,FALSE),"")</f>
        <v>38977</v>
      </c>
      <c r="N144" t="str">
        <f>IFERROR(VLOOKUP(VLOOKUP(A144,'[1]Sales Order'!A:G,7,FALSE),[1]Shipper!A:B,2,FALSE),"Not Specified")</f>
        <v>Shipper ETYNR</v>
      </c>
      <c r="O144" t="str">
        <f>IFERROR(VLOOKUP(A144,'[1]Sales Order'!A:I,9,FALSE),"Not Specified")</f>
        <v>Ship to 86-A</v>
      </c>
      <c r="P144" t="str">
        <f>IFERROR(VLOOKUP(A144,'[1]Sales Order'!A:N,14,FALSE),"Not Specified")</f>
        <v>Germany</v>
      </c>
      <c r="Q144" t="str">
        <f>VLOOKUP(VLOOKUP(B144,[1]Product!A:C,3,FALSE),[1]Supplier!A:B,2,FALSE)</f>
        <v>Supplier JDNUG</v>
      </c>
      <c r="R144" t="str">
        <f>VLOOKUP(VLOOKUP(B144,[1]Product!A:C,3,FALSE),[1]Supplier!A:I,9,FALSE)</f>
        <v>USA</v>
      </c>
      <c r="S144" t="str">
        <f>IFERROR(IF(VLOOKUP(A144,'[1]Sales Order'!A:H,8,FALSE)&gt;100,"High Freight","Low Freight"),"Not Specified")</f>
        <v>Low Freight</v>
      </c>
      <c r="T144">
        <f t="shared" si="5"/>
        <v>147</v>
      </c>
    </row>
    <row r="145" spans="1:20">
      <c r="A145" s="1">
        <v>10301</v>
      </c>
      <c r="B145" s="2">
        <v>56</v>
      </c>
      <c r="C145" s="2">
        <v>30.4</v>
      </c>
      <c r="D145" s="2">
        <v>20</v>
      </c>
      <c r="E145" s="3">
        <v>0</v>
      </c>
      <c r="F145" s="2" t="str">
        <f>IFERROR(VLOOKUP(VLOOKUP(A145,'[1]Sales Order'!A:B,2,FALSE),[1]Customer!A:C,3,FALSE),"Not Specified")</f>
        <v>Syamala, Manoj</v>
      </c>
      <c r="G145" s="2" t="str">
        <f t="shared" si="4"/>
        <v>Syamala Manoj</v>
      </c>
      <c r="H145" s="8" t="str">
        <f>IFERROR(VLOOKUP(VLOOKUP(A145,'[1]Sales Order'!A:C,3,FALSE),[1]Employee!A:E,5,FALSE)&amp;" "&amp;VLOOKUP(VLOOKUP(A145,'[1]Sales Order'!A:C,3,FALSE),[1]Employee!A:C,3,FALSE)&amp;" "&amp;VLOOKUP(VLOOKUP(A145,'[1]Sales Order'!A:C,3,FALSE),[1]Employee!A:B,2,FALSE),"Not Specified")</f>
        <v>Ms. Maria Cameron</v>
      </c>
      <c r="I145" t="str">
        <f>IFERROR(VLOOKUP(VLOOKUP(A145,'[1]Sales Order'!A:C,3,FALSE),[1]Employee!A:J,10,FALSE),"Not Specified")</f>
        <v>WA</v>
      </c>
      <c r="J145" t="str">
        <f>VLOOKUP(B145,[1]Product!A:B,2,FALSE)</f>
        <v>Product VKCMF</v>
      </c>
      <c r="K145" t="str">
        <f>VLOOKUP(VLOOKUP(B145,[1]Product!A:D,4,FALSE),[1]Category!A:B,2,FALSE)</f>
        <v>Grains/Cereals</v>
      </c>
      <c r="L145" s="10">
        <f>IFERROR(VLOOKUP(A145,'[1]Sales Order'!A:D,4,FALSE),"")</f>
        <v>38969</v>
      </c>
      <c r="M145" s="10">
        <f>IFERROR(VLOOKUP(A145,'[1]Sales Order'!A:F,6,FALSE),"")</f>
        <v>38977</v>
      </c>
      <c r="N145" t="str">
        <f>IFERROR(VLOOKUP(VLOOKUP(A145,'[1]Sales Order'!A:G,7,FALSE),[1]Shipper!A:B,2,FALSE),"Not Specified")</f>
        <v>Shipper ETYNR</v>
      </c>
      <c r="O145" t="str">
        <f>IFERROR(VLOOKUP(A145,'[1]Sales Order'!A:I,9,FALSE),"Not Specified")</f>
        <v>Ship to 86-A</v>
      </c>
      <c r="P145" t="str">
        <f>IFERROR(VLOOKUP(A145,'[1]Sales Order'!A:N,14,FALSE),"Not Specified")</f>
        <v>Germany</v>
      </c>
      <c r="Q145" t="str">
        <f>VLOOKUP(VLOOKUP(B145,[1]Product!A:C,3,FALSE),[1]Supplier!A:B,2,FALSE)</f>
        <v>Supplier ZWZDM</v>
      </c>
      <c r="R145" t="str">
        <f>VLOOKUP(VLOOKUP(B145,[1]Product!A:C,3,FALSE),[1]Supplier!A:I,9,FALSE)</f>
        <v>Italy</v>
      </c>
      <c r="S145" t="str">
        <f>IFERROR(IF(VLOOKUP(A145,'[1]Sales Order'!A:H,8,FALSE)&gt;100,"High Freight","Low Freight"),"Not Specified")</f>
        <v>Low Freight</v>
      </c>
      <c r="T145">
        <f t="shared" si="5"/>
        <v>608</v>
      </c>
    </row>
    <row r="146" spans="1:20">
      <c r="A146" s="1">
        <v>10302</v>
      </c>
      <c r="B146" s="2">
        <v>17</v>
      </c>
      <c r="C146" s="2">
        <v>31.2</v>
      </c>
      <c r="D146" s="2">
        <v>40</v>
      </c>
      <c r="E146" s="3">
        <v>0</v>
      </c>
      <c r="F146" s="2" t="str">
        <f>IFERROR(VLOOKUP(VLOOKUP(A146,'[1]Sales Order'!A:B,2,FALSE),[1]Customer!A:C,3,FALSE),"Not Specified")</f>
        <v>Gulbis, Katrin</v>
      </c>
      <c r="G146" s="2" t="str">
        <f t="shared" si="4"/>
        <v>Gulbis Katrin</v>
      </c>
      <c r="H146" s="8" t="str">
        <f>IFERROR(VLOOKUP(VLOOKUP(A146,'[1]Sales Order'!A:C,3,FALSE),[1]Employee!A:E,5,FALSE)&amp;" "&amp;VLOOKUP(VLOOKUP(A146,'[1]Sales Order'!A:C,3,FALSE),[1]Employee!A:C,3,FALSE)&amp;" "&amp;VLOOKUP(VLOOKUP(A146,'[1]Sales Order'!A:C,3,FALSE),[1]Employee!A:B,2,FALSE),"Not Specified")</f>
        <v>Mrs. Yael Peled</v>
      </c>
      <c r="I146" t="str">
        <f>IFERROR(VLOOKUP(VLOOKUP(A146,'[1]Sales Order'!A:C,3,FALSE),[1]Employee!A:J,10,FALSE),"Not Specified")</f>
        <v>WA</v>
      </c>
      <c r="J146" t="str">
        <f>VLOOKUP(B146,[1]Product!A:B,2,FALSE)</f>
        <v>Product BLCAX</v>
      </c>
      <c r="K146" t="str">
        <f>VLOOKUP(VLOOKUP(B146,[1]Product!A:D,4,FALSE),[1]Category!A:B,2,FALSE)</f>
        <v>Meat/Poultry</v>
      </c>
      <c r="L146" s="10">
        <f>IFERROR(VLOOKUP(A146,'[1]Sales Order'!A:D,4,FALSE),"")</f>
        <v>38970</v>
      </c>
      <c r="M146" s="10">
        <f>IFERROR(VLOOKUP(A146,'[1]Sales Order'!A:F,6,FALSE),"")</f>
        <v>38999</v>
      </c>
      <c r="N146" t="str">
        <f>IFERROR(VLOOKUP(VLOOKUP(A146,'[1]Sales Order'!A:G,7,FALSE),[1]Shipper!A:B,2,FALSE),"Not Specified")</f>
        <v>Shipper ETYNR</v>
      </c>
      <c r="O146" t="str">
        <f>IFERROR(VLOOKUP(A146,'[1]Sales Order'!A:I,9,FALSE),"Not Specified")</f>
        <v>Ship to 76-B</v>
      </c>
      <c r="P146" t="str">
        <f>IFERROR(VLOOKUP(A146,'[1]Sales Order'!A:N,14,FALSE),"Not Specified")</f>
        <v>Belgium</v>
      </c>
      <c r="Q146" t="str">
        <f>VLOOKUP(VLOOKUP(B146,[1]Product!A:C,3,FALSE),[1]Supplier!A:B,2,FALSE)</f>
        <v>Supplier GQRCV</v>
      </c>
      <c r="R146" t="str">
        <f>VLOOKUP(VLOOKUP(B146,[1]Product!A:C,3,FALSE),[1]Supplier!A:I,9,FALSE)</f>
        <v>Australia</v>
      </c>
      <c r="S146" t="str">
        <f>IFERROR(IF(VLOOKUP(A146,'[1]Sales Order'!A:H,8,FALSE)&gt;100,"High Freight","Low Freight"),"Not Specified")</f>
        <v>Low Freight</v>
      </c>
      <c r="T146">
        <f t="shared" si="5"/>
        <v>1248</v>
      </c>
    </row>
    <row r="147" spans="1:20">
      <c r="A147" s="1">
        <v>10302</v>
      </c>
      <c r="B147" s="2">
        <v>28</v>
      </c>
      <c r="C147" s="2">
        <v>36.4</v>
      </c>
      <c r="D147" s="2">
        <v>28</v>
      </c>
      <c r="E147" s="3">
        <v>0</v>
      </c>
      <c r="F147" s="2" t="str">
        <f>IFERROR(VLOOKUP(VLOOKUP(A147,'[1]Sales Order'!A:B,2,FALSE),[1]Customer!A:C,3,FALSE),"Not Specified")</f>
        <v>Gulbis, Katrin</v>
      </c>
      <c r="G147" s="2" t="str">
        <f t="shared" si="4"/>
        <v>Gulbis Katrin</v>
      </c>
      <c r="H147" s="8" t="str">
        <f>IFERROR(VLOOKUP(VLOOKUP(A147,'[1]Sales Order'!A:C,3,FALSE),[1]Employee!A:E,5,FALSE)&amp;" "&amp;VLOOKUP(VLOOKUP(A147,'[1]Sales Order'!A:C,3,FALSE),[1]Employee!A:C,3,FALSE)&amp;" "&amp;VLOOKUP(VLOOKUP(A147,'[1]Sales Order'!A:C,3,FALSE),[1]Employee!A:B,2,FALSE),"Not Specified")</f>
        <v>Mrs. Yael Peled</v>
      </c>
      <c r="I147" t="str">
        <f>IFERROR(VLOOKUP(VLOOKUP(A147,'[1]Sales Order'!A:C,3,FALSE),[1]Employee!A:J,10,FALSE),"Not Specified")</f>
        <v>WA</v>
      </c>
      <c r="J147" t="str">
        <f>VLOOKUP(B147,[1]Product!A:B,2,FALSE)</f>
        <v>Product OFBNT</v>
      </c>
      <c r="K147" t="str">
        <f>VLOOKUP(VLOOKUP(B147,[1]Product!A:D,4,FALSE),[1]Category!A:B,2,FALSE)</f>
        <v>Produce</v>
      </c>
      <c r="L147" s="10">
        <f>IFERROR(VLOOKUP(A147,'[1]Sales Order'!A:D,4,FALSE),"")</f>
        <v>38970</v>
      </c>
      <c r="M147" s="10">
        <f>IFERROR(VLOOKUP(A147,'[1]Sales Order'!A:F,6,FALSE),"")</f>
        <v>38999</v>
      </c>
      <c r="N147" t="str">
        <f>IFERROR(VLOOKUP(VLOOKUP(A147,'[1]Sales Order'!A:G,7,FALSE),[1]Shipper!A:B,2,FALSE),"Not Specified")</f>
        <v>Shipper ETYNR</v>
      </c>
      <c r="O147" t="str">
        <f>IFERROR(VLOOKUP(A147,'[1]Sales Order'!A:I,9,FALSE),"Not Specified")</f>
        <v>Ship to 76-B</v>
      </c>
      <c r="P147" t="str">
        <f>IFERROR(VLOOKUP(A147,'[1]Sales Order'!A:N,14,FALSE),"Not Specified")</f>
        <v>Belgium</v>
      </c>
      <c r="Q147" t="str">
        <f>VLOOKUP(VLOOKUP(B147,[1]Product!A:C,3,FALSE),[1]Supplier!A:B,2,FALSE)</f>
        <v>Supplier SVIYA</v>
      </c>
      <c r="R147" t="str">
        <f>VLOOKUP(VLOOKUP(B147,[1]Product!A:C,3,FALSE),[1]Supplier!A:I,9,FALSE)</f>
        <v>Germany</v>
      </c>
      <c r="S147" t="str">
        <f>IFERROR(IF(VLOOKUP(A147,'[1]Sales Order'!A:H,8,FALSE)&gt;100,"High Freight","Low Freight"),"Not Specified")</f>
        <v>Low Freight</v>
      </c>
      <c r="T147">
        <f t="shared" si="5"/>
        <v>1019.1999999999999</v>
      </c>
    </row>
    <row r="148" spans="1:20">
      <c r="A148" s="1">
        <v>10302</v>
      </c>
      <c r="B148" s="2">
        <v>43</v>
      </c>
      <c r="C148" s="2">
        <v>36.799999999999997</v>
      </c>
      <c r="D148" s="2">
        <v>12</v>
      </c>
      <c r="E148" s="3">
        <v>0</v>
      </c>
      <c r="F148" s="2" t="str">
        <f>IFERROR(VLOOKUP(VLOOKUP(A148,'[1]Sales Order'!A:B,2,FALSE),[1]Customer!A:C,3,FALSE),"Not Specified")</f>
        <v>Gulbis, Katrin</v>
      </c>
      <c r="G148" s="2" t="str">
        <f t="shared" si="4"/>
        <v>Gulbis Katrin</v>
      </c>
      <c r="H148" s="8" t="str">
        <f>IFERROR(VLOOKUP(VLOOKUP(A148,'[1]Sales Order'!A:C,3,FALSE),[1]Employee!A:E,5,FALSE)&amp;" "&amp;VLOOKUP(VLOOKUP(A148,'[1]Sales Order'!A:C,3,FALSE),[1]Employee!A:C,3,FALSE)&amp;" "&amp;VLOOKUP(VLOOKUP(A148,'[1]Sales Order'!A:C,3,FALSE),[1]Employee!A:B,2,FALSE),"Not Specified")</f>
        <v>Mrs. Yael Peled</v>
      </c>
      <c r="I148" t="str">
        <f>IFERROR(VLOOKUP(VLOOKUP(A148,'[1]Sales Order'!A:C,3,FALSE),[1]Employee!A:J,10,FALSE),"Not Specified")</f>
        <v>WA</v>
      </c>
      <c r="J148" t="str">
        <f>VLOOKUP(B148,[1]Product!A:B,2,FALSE)</f>
        <v>Product ZZZHR</v>
      </c>
      <c r="K148" t="str">
        <f>VLOOKUP(VLOOKUP(B148,[1]Product!A:D,4,FALSE),[1]Category!A:B,2,FALSE)</f>
        <v>Beverages</v>
      </c>
      <c r="L148" s="10">
        <f>IFERROR(VLOOKUP(A148,'[1]Sales Order'!A:D,4,FALSE),"")</f>
        <v>38970</v>
      </c>
      <c r="M148" s="10">
        <f>IFERROR(VLOOKUP(A148,'[1]Sales Order'!A:F,6,FALSE),"")</f>
        <v>38999</v>
      </c>
      <c r="N148" t="str">
        <f>IFERROR(VLOOKUP(VLOOKUP(A148,'[1]Sales Order'!A:G,7,FALSE),[1]Shipper!A:B,2,FALSE),"Not Specified")</f>
        <v>Shipper ETYNR</v>
      </c>
      <c r="O148" t="str">
        <f>IFERROR(VLOOKUP(A148,'[1]Sales Order'!A:I,9,FALSE),"Not Specified")</f>
        <v>Ship to 76-B</v>
      </c>
      <c r="P148" t="str">
        <f>IFERROR(VLOOKUP(A148,'[1]Sales Order'!A:N,14,FALSE),"Not Specified")</f>
        <v>Belgium</v>
      </c>
      <c r="Q148" t="str">
        <f>VLOOKUP(VLOOKUP(B148,[1]Product!A:C,3,FALSE),[1]Supplier!A:B,2,FALSE)</f>
        <v>Supplier CIYNM</v>
      </c>
      <c r="R148" t="str">
        <f>VLOOKUP(VLOOKUP(B148,[1]Product!A:C,3,FALSE),[1]Supplier!A:I,9,FALSE)</f>
        <v>Singapore</v>
      </c>
      <c r="S148" t="str">
        <f>IFERROR(IF(VLOOKUP(A148,'[1]Sales Order'!A:H,8,FALSE)&gt;100,"High Freight","Low Freight"),"Not Specified")</f>
        <v>Low Freight</v>
      </c>
      <c r="T148">
        <f t="shared" si="5"/>
        <v>441.59999999999997</v>
      </c>
    </row>
    <row r="149" spans="1:20">
      <c r="A149" s="1">
        <v>10303</v>
      </c>
      <c r="B149" s="2">
        <v>40</v>
      </c>
      <c r="C149" s="2">
        <v>14.7</v>
      </c>
      <c r="D149" s="2">
        <v>40</v>
      </c>
      <c r="E149" s="3">
        <v>0.1</v>
      </c>
      <c r="F149" s="2" t="str">
        <f>IFERROR(VLOOKUP(VLOOKUP(A149,'[1]Sales Order'!A:B,2,FALSE),[1]Customer!A:C,3,FALSE),"Not Specified")</f>
        <v>Shabalin, Rostislav</v>
      </c>
      <c r="G149" s="2" t="str">
        <f t="shared" si="4"/>
        <v>Shabalin Rostislav</v>
      </c>
      <c r="H149" s="8" t="str">
        <f>IFERROR(VLOOKUP(VLOOKUP(A149,'[1]Sales Order'!A:C,3,FALSE),[1]Employee!A:E,5,FALSE)&amp;" "&amp;VLOOKUP(VLOOKUP(A149,'[1]Sales Order'!A:C,3,FALSE),[1]Employee!A:C,3,FALSE)&amp;" "&amp;VLOOKUP(VLOOKUP(A149,'[1]Sales Order'!A:C,3,FALSE),[1]Employee!A:B,2,FALSE),"Not Specified")</f>
        <v>Mr. Russell King</v>
      </c>
      <c r="I149">
        <f>IFERROR(VLOOKUP(VLOOKUP(A149,'[1]Sales Order'!A:C,3,FALSE),[1]Employee!A:J,10,FALSE),"Not Specified")</f>
        <v>0</v>
      </c>
      <c r="J149" t="str">
        <f>VLOOKUP(B149,[1]Product!A:B,2,FALSE)</f>
        <v>Product YZIXQ</v>
      </c>
      <c r="K149" t="str">
        <f>VLOOKUP(VLOOKUP(B149,[1]Product!A:D,4,FALSE),[1]Category!A:B,2,FALSE)</f>
        <v>Seafood</v>
      </c>
      <c r="L149" s="10">
        <f>IFERROR(VLOOKUP(A149,'[1]Sales Order'!A:D,4,FALSE),"")</f>
        <v>38971</v>
      </c>
      <c r="M149" s="10">
        <f>IFERROR(VLOOKUP(A149,'[1]Sales Order'!A:F,6,FALSE),"")</f>
        <v>38978</v>
      </c>
      <c r="N149" t="str">
        <f>IFERROR(VLOOKUP(VLOOKUP(A149,'[1]Sales Order'!A:G,7,FALSE),[1]Shipper!A:B,2,FALSE),"Not Specified")</f>
        <v>Shipper ETYNR</v>
      </c>
      <c r="O149" t="str">
        <f>IFERROR(VLOOKUP(A149,'[1]Sales Order'!A:I,9,FALSE),"Not Specified")</f>
        <v>Destination IIYDD</v>
      </c>
      <c r="P149" t="str">
        <f>IFERROR(VLOOKUP(A149,'[1]Sales Order'!A:N,14,FALSE),"Not Specified")</f>
        <v>Spain</v>
      </c>
      <c r="Q149" t="str">
        <f>VLOOKUP(VLOOKUP(B149,[1]Product!A:C,3,FALSE),[1]Supplier!A:B,2,FALSE)</f>
        <v>Supplier JDNUG</v>
      </c>
      <c r="R149" t="str">
        <f>VLOOKUP(VLOOKUP(B149,[1]Product!A:C,3,FALSE),[1]Supplier!A:I,9,FALSE)</f>
        <v>USA</v>
      </c>
      <c r="S149" t="str">
        <f>IFERROR(IF(VLOOKUP(A149,'[1]Sales Order'!A:H,8,FALSE)&gt;100,"High Freight","Low Freight"),"Not Specified")</f>
        <v>High Freight</v>
      </c>
      <c r="T149">
        <f t="shared" si="5"/>
        <v>529.20000000000005</v>
      </c>
    </row>
    <row r="150" spans="1:20">
      <c r="A150" s="1">
        <v>10303</v>
      </c>
      <c r="B150" s="2">
        <v>65</v>
      </c>
      <c r="C150" s="2">
        <v>16.8</v>
      </c>
      <c r="D150" s="2">
        <v>30</v>
      </c>
      <c r="E150" s="3">
        <v>0.1</v>
      </c>
      <c r="F150" s="2" t="str">
        <f>IFERROR(VLOOKUP(VLOOKUP(A150,'[1]Sales Order'!A:B,2,FALSE),[1]Customer!A:C,3,FALSE),"Not Specified")</f>
        <v>Shabalin, Rostislav</v>
      </c>
      <c r="G150" s="2" t="str">
        <f t="shared" si="4"/>
        <v>Shabalin Rostislav</v>
      </c>
      <c r="H150" s="8" t="str">
        <f>IFERROR(VLOOKUP(VLOOKUP(A150,'[1]Sales Order'!A:C,3,FALSE),[1]Employee!A:E,5,FALSE)&amp;" "&amp;VLOOKUP(VLOOKUP(A150,'[1]Sales Order'!A:C,3,FALSE),[1]Employee!A:C,3,FALSE)&amp;" "&amp;VLOOKUP(VLOOKUP(A150,'[1]Sales Order'!A:C,3,FALSE),[1]Employee!A:B,2,FALSE),"Not Specified")</f>
        <v>Mr. Russell King</v>
      </c>
      <c r="I150">
        <f>IFERROR(VLOOKUP(VLOOKUP(A150,'[1]Sales Order'!A:C,3,FALSE),[1]Employee!A:J,10,FALSE),"Not Specified")</f>
        <v>0</v>
      </c>
      <c r="J150" t="str">
        <f>VLOOKUP(B150,[1]Product!A:B,2,FALSE)</f>
        <v>Product XYWBZ</v>
      </c>
      <c r="K150" t="str">
        <f>VLOOKUP(VLOOKUP(B150,[1]Product!A:D,4,FALSE),[1]Category!A:B,2,FALSE)</f>
        <v>Condiments</v>
      </c>
      <c r="L150" s="10">
        <f>IFERROR(VLOOKUP(A150,'[1]Sales Order'!A:D,4,FALSE),"")</f>
        <v>38971</v>
      </c>
      <c r="M150" s="10">
        <f>IFERROR(VLOOKUP(A150,'[1]Sales Order'!A:F,6,FALSE),"")</f>
        <v>38978</v>
      </c>
      <c r="N150" t="str">
        <f>IFERROR(VLOOKUP(VLOOKUP(A150,'[1]Sales Order'!A:G,7,FALSE),[1]Shipper!A:B,2,FALSE),"Not Specified")</f>
        <v>Shipper ETYNR</v>
      </c>
      <c r="O150" t="str">
        <f>IFERROR(VLOOKUP(A150,'[1]Sales Order'!A:I,9,FALSE),"Not Specified")</f>
        <v>Destination IIYDD</v>
      </c>
      <c r="P150" t="str">
        <f>IFERROR(VLOOKUP(A150,'[1]Sales Order'!A:N,14,FALSE),"Not Specified")</f>
        <v>Spain</v>
      </c>
      <c r="Q150" t="str">
        <f>VLOOKUP(VLOOKUP(B150,[1]Product!A:C,3,FALSE),[1]Supplier!A:B,2,FALSE)</f>
        <v>Supplier VHQZD</v>
      </c>
      <c r="R150" t="str">
        <f>VLOOKUP(VLOOKUP(B150,[1]Product!A:C,3,FALSE),[1]Supplier!A:I,9,FALSE)</f>
        <v>USA</v>
      </c>
      <c r="S150" t="str">
        <f>IFERROR(IF(VLOOKUP(A150,'[1]Sales Order'!A:H,8,FALSE)&gt;100,"High Freight","Low Freight"),"Not Specified")</f>
        <v>High Freight</v>
      </c>
      <c r="T150">
        <f t="shared" si="5"/>
        <v>453.6</v>
      </c>
    </row>
    <row r="151" spans="1:20">
      <c r="A151" s="1">
        <v>10303</v>
      </c>
      <c r="B151" s="2">
        <v>68</v>
      </c>
      <c r="C151" s="2">
        <v>10</v>
      </c>
      <c r="D151" s="2">
        <v>15</v>
      </c>
      <c r="E151" s="3">
        <v>0.1</v>
      </c>
      <c r="F151" s="2" t="str">
        <f>IFERROR(VLOOKUP(VLOOKUP(A151,'[1]Sales Order'!A:B,2,FALSE),[1]Customer!A:C,3,FALSE),"Not Specified")</f>
        <v>Shabalin, Rostislav</v>
      </c>
      <c r="G151" s="2" t="str">
        <f t="shared" si="4"/>
        <v>Shabalin Rostislav</v>
      </c>
      <c r="H151" s="8" t="str">
        <f>IFERROR(VLOOKUP(VLOOKUP(A151,'[1]Sales Order'!A:C,3,FALSE),[1]Employee!A:E,5,FALSE)&amp;" "&amp;VLOOKUP(VLOOKUP(A151,'[1]Sales Order'!A:C,3,FALSE),[1]Employee!A:C,3,FALSE)&amp;" "&amp;VLOOKUP(VLOOKUP(A151,'[1]Sales Order'!A:C,3,FALSE),[1]Employee!A:B,2,FALSE),"Not Specified")</f>
        <v>Mr. Russell King</v>
      </c>
      <c r="I151">
        <f>IFERROR(VLOOKUP(VLOOKUP(A151,'[1]Sales Order'!A:C,3,FALSE),[1]Employee!A:J,10,FALSE),"Not Specified")</f>
        <v>0</v>
      </c>
      <c r="J151" t="str">
        <f>VLOOKUP(B151,[1]Product!A:B,2,FALSE)</f>
        <v>Product TBTBL</v>
      </c>
      <c r="K151" t="str">
        <f>VLOOKUP(VLOOKUP(B151,[1]Product!A:D,4,FALSE),[1]Category!A:B,2,FALSE)</f>
        <v>Confections</v>
      </c>
      <c r="L151" s="10">
        <f>IFERROR(VLOOKUP(A151,'[1]Sales Order'!A:D,4,FALSE),"")</f>
        <v>38971</v>
      </c>
      <c r="M151" s="10">
        <f>IFERROR(VLOOKUP(A151,'[1]Sales Order'!A:F,6,FALSE),"")</f>
        <v>38978</v>
      </c>
      <c r="N151" t="str">
        <f>IFERROR(VLOOKUP(VLOOKUP(A151,'[1]Sales Order'!A:G,7,FALSE),[1]Shipper!A:B,2,FALSE),"Not Specified")</f>
        <v>Shipper ETYNR</v>
      </c>
      <c r="O151" t="str">
        <f>IFERROR(VLOOKUP(A151,'[1]Sales Order'!A:I,9,FALSE),"Not Specified")</f>
        <v>Destination IIYDD</v>
      </c>
      <c r="P151" t="str">
        <f>IFERROR(VLOOKUP(A151,'[1]Sales Order'!A:N,14,FALSE),"Not Specified")</f>
        <v>Spain</v>
      </c>
      <c r="Q151" t="str">
        <f>VLOOKUP(VLOOKUP(B151,[1]Product!A:C,3,FALSE),[1]Supplier!A:B,2,FALSE)</f>
        <v>Supplier BWGYE</v>
      </c>
      <c r="R151" t="str">
        <f>VLOOKUP(VLOOKUP(B151,[1]Product!A:C,3,FALSE),[1]Supplier!A:I,9,FALSE)</f>
        <v>UK</v>
      </c>
      <c r="S151" t="str">
        <f>IFERROR(IF(VLOOKUP(A151,'[1]Sales Order'!A:H,8,FALSE)&gt;100,"High Freight","Low Freight"),"Not Specified")</f>
        <v>High Freight</v>
      </c>
      <c r="T151">
        <f t="shared" si="5"/>
        <v>135</v>
      </c>
    </row>
    <row r="152" spans="1:20">
      <c r="A152" s="1">
        <v>10304</v>
      </c>
      <c r="B152" s="2">
        <v>49</v>
      </c>
      <c r="C152" s="2">
        <v>16</v>
      </c>
      <c r="D152" s="2">
        <v>30</v>
      </c>
      <c r="E152" s="3">
        <v>0</v>
      </c>
      <c r="F152" s="2" t="str">
        <f>IFERROR(VLOOKUP(VLOOKUP(A152,'[1]Sales Order'!A:B,2,FALSE),[1]Customer!A:C,3,FALSE),"Not Specified")</f>
        <v>Geschwandtner, Jens</v>
      </c>
      <c r="G152" s="2" t="str">
        <f t="shared" si="4"/>
        <v>Geschwandtner Jens</v>
      </c>
      <c r="H152" s="8" t="str">
        <f>IFERROR(VLOOKUP(VLOOKUP(A152,'[1]Sales Order'!A:C,3,FALSE),[1]Employee!A:E,5,FALSE)&amp;" "&amp;VLOOKUP(VLOOKUP(A152,'[1]Sales Order'!A:C,3,FALSE),[1]Employee!A:C,3,FALSE)&amp;" "&amp;VLOOKUP(VLOOKUP(A152,'[1]Sales Order'!A:C,3,FALSE),[1]Employee!A:B,2,FALSE),"Not Specified")</f>
        <v>Ms. Sara Davis</v>
      </c>
      <c r="I152" t="str">
        <f>IFERROR(VLOOKUP(VLOOKUP(A152,'[1]Sales Order'!A:C,3,FALSE),[1]Employee!A:J,10,FALSE),"Not Specified")</f>
        <v>WA</v>
      </c>
      <c r="J152" t="str">
        <f>VLOOKUP(B152,[1]Product!A:B,2,FALSE)</f>
        <v>Product FPYPN</v>
      </c>
      <c r="K152" t="str">
        <f>VLOOKUP(VLOOKUP(B152,[1]Product!A:D,4,FALSE),[1]Category!A:B,2,FALSE)</f>
        <v>Confections</v>
      </c>
      <c r="L152" s="10">
        <f>IFERROR(VLOOKUP(A152,'[1]Sales Order'!A:D,4,FALSE),"")</f>
        <v>38972</v>
      </c>
      <c r="M152" s="10">
        <f>IFERROR(VLOOKUP(A152,'[1]Sales Order'!A:F,6,FALSE),"")</f>
        <v>38977</v>
      </c>
      <c r="N152" t="str">
        <f>IFERROR(VLOOKUP(VLOOKUP(A152,'[1]Sales Order'!A:G,7,FALSE),[1]Shipper!A:B,2,FALSE),"Not Specified")</f>
        <v>Shipper ETYNR</v>
      </c>
      <c r="O152" t="str">
        <f>IFERROR(VLOOKUP(A152,'[1]Sales Order'!A:I,9,FALSE),"Not Specified")</f>
        <v>Ship to 80-C</v>
      </c>
      <c r="P152" t="str">
        <f>IFERROR(VLOOKUP(A152,'[1]Sales Order'!A:N,14,FALSE),"Not Specified")</f>
        <v>Mexico</v>
      </c>
      <c r="Q152" t="str">
        <f>VLOOKUP(VLOOKUP(B152,[1]Product!A:C,3,FALSE),[1]Supplier!A:B,2,FALSE)</f>
        <v>Supplier ELCRN</v>
      </c>
      <c r="R152" t="str">
        <f>VLOOKUP(VLOOKUP(B152,[1]Product!A:C,3,FALSE),[1]Supplier!A:I,9,FALSE)</f>
        <v>Finland</v>
      </c>
      <c r="S152" t="str">
        <f>IFERROR(IF(VLOOKUP(A152,'[1]Sales Order'!A:H,8,FALSE)&gt;100,"High Freight","Low Freight"),"Not Specified")</f>
        <v>Low Freight</v>
      </c>
      <c r="T152">
        <f t="shared" si="5"/>
        <v>480</v>
      </c>
    </row>
    <row r="153" spans="1:20">
      <c r="A153" s="1">
        <v>10304</v>
      </c>
      <c r="B153" s="2">
        <v>59</v>
      </c>
      <c r="C153" s="2">
        <v>44</v>
      </c>
      <c r="D153" s="2">
        <v>10</v>
      </c>
      <c r="E153" s="3">
        <v>0</v>
      </c>
      <c r="F153" s="2" t="str">
        <f>IFERROR(VLOOKUP(VLOOKUP(A153,'[1]Sales Order'!A:B,2,FALSE),[1]Customer!A:C,3,FALSE),"Not Specified")</f>
        <v>Geschwandtner, Jens</v>
      </c>
      <c r="G153" s="2" t="str">
        <f t="shared" si="4"/>
        <v>Geschwandtner Jens</v>
      </c>
      <c r="H153" s="8" t="str">
        <f>IFERROR(VLOOKUP(VLOOKUP(A153,'[1]Sales Order'!A:C,3,FALSE),[1]Employee!A:E,5,FALSE)&amp;" "&amp;VLOOKUP(VLOOKUP(A153,'[1]Sales Order'!A:C,3,FALSE),[1]Employee!A:C,3,FALSE)&amp;" "&amp;VLOOKUP(VLOOKUP(A153,'[1]Sales Order'!A:C,3,FALSE),[1]Employee!A:B,2,FALSE),"Not Specified")</f>
        <v>Ms. Sara Davis</v>
      </c>
      <c r="I153" t="str">
        <f>IFERROR(VLOOKUP(VLOOKUP(A153,'[1]Sales Order'!A:C,3,FALSE),[1]Employee!A:J,10,FALSE),"Not Specified")</f>
        <v>WA</v>
      </c>
      <c r="J153" t="str">
        <f>VLOOKUP(B153,[1]Product!A:B,2,FALSE)</f>
        <v>Product UKXRI</v>
      </c>
      <c r="K153" t="str">
        <f>VLOOKUP(VLOOKUP(B153,[1]Product!A:D,4,FALSE),[1]Category!A:B,2,FALSE)</f>
        <v>Dairy Product</v>
      </c>
      <c r="L153" s="10">
        <f>IFERROR(VLOOKUP(A153,'[1]Sales Order'!A:D,4,FALSE),"")</f>
        <v>38972</v>
      </c>
      <c r="M153" s="10">
        <f>IFERROR(VLOOKUP(A153,'[1]Sales Order'!A:F,6,FALSE),"")</f>
        <v>38977</v>
      </c>
      <c r="N153" t="str">
        <f>IFERROR(VLOOKUP(VLOOKUP(A153,'[1]Sales Order'!A:G,7,FALSE),[1]Shipper!A:B,2,FALSE),"Not Specified")</f>
        <v>Shipper ETYNR</v>
      </c>
      <c r="O153" t="str">
        <f>IFERROR(VLOOKUP(A153,'[1]Sales Order'!A:I,9,FALSE),"Not Specified")</f>
        <v>Ship to 80-C</v>
      </c>
      <c r="P153" t="str">
        <f>IFERROR(VLOOKUP(A153,'[1]Sales Order'!A:N,14,FALSE),"Not Specified")</f>
        <v>Mexico</v>
      </c>
      <c r="Q153" t="str">
        <f>VLOOKUP(VLOOKUP(B153,[1]Product!A:C,3,FALSE),[1]Supplier!A:B,2,FALSE)</f>
        <v>Supplier OAVQT</v>
      </c>
      <c r="R153" t="str">
        <f>VLOOKUP(VLOOKUP(B153,[1]Product!A:C,3,FALSE),[1]Supplier!A:I,9,FALSE)</f>
        <v>France</v>
      </c>
      <c r="S153" t="str">
        <f>IFERROR(IF(VLOOKUP(A153,'[1]Sales Order'!A:H,8,FALSE)&gt;100,"High Freight","Low Freight"),"Not Specified")</f>
        <v>Low Freight</v>
      </c>
      <c r="T153">
        <f t="shared" si="5"/>
        <v>440</v>
      </c>
    </row>
    <row r="154" spans="1:20">
      <c r="A154" s="1">
        <v>10304</v>
      </c>
      <c r="B154" s="2">
        <v>71</v>
      </c>
      <c r="C154" s="2">
        <v>17.2</v>
      </c>
      <c r="D154" s="2">
        <v>2</v>
      </c>
      <c r="E154" s="3">
        <v>0</v>
      </c>
      <c r="F154" s="2" t="str">
        <f>IFERROR(VLOOKUP(VLOOKUP(A154,'[1]Sales Order'!A:B,2,FALSE),[1]Customer!A:C,3,FALSE),"Not Specified")</f>
        <v>Geschwandtner, Jens</v>
      </c>
      <c r="G154" s="2" t="str">
        <f t="shared" si="4"/>
        <v>Geschwandtner Jens</v>
      </c>
      <c r="H154" s="8" t="str">
        <f>IFERROR(VLOOKUP(VLOOKUP(A154,'[1]Sales Order'!A:C,3,FALSE),[1]Employee!A:E,5,FALSE)&amp;" "&amp;VLOOKUP(VLOOKUP(A154,'[1]Sales Order'!A:C,3,FALSE),[1]Employee!A:C,3,FALSE)&amp;" "&amp;VLOOKUP(VLOOKUP(A154,'[1]Sales Order'!A:C,3,FALSE),[1]Employee!A:B,2,FALSE),"Not Specified")</f>
        <v>Ms. Sara Davis</v>
      </c>
      <c r="I154" t="str">
        <f>IFERROR(VLOOKUP(VLOOKUP(A154,'[1]Sales Order'!A:C,3,FALSE),[1]Employee!A:J,10,FALSE),"Not Specified")</f>
        <v>WA</v>
      </c>
      <c r="J154" t="str">
        <f>VLOOKUP(B154,[1]Product!A:B,2,FALSE)</f>
        <v>Product MYMOI</v>
      </c>
      <c r="K154" t="str">
        <f>VLOOKUP(VLOOKUP(B154,[1]Product!A:D,4,FALSE),[1]Category!A:B,2,FALSE)</f>
        <v>Dairy Product</v>
      </c>
      <c r="L154" s="10">
        <f>IFERROR(VLOOKUP(A154,'[1]Sales Order'!A:D,4,FALSE),"")</f>
        <v>38972</v>
      </c>
      <c r="M154" s="10">
        <f>IFERROR(VLOOKUP(A154,'[1]Sales Order'!A:F,6,FALSE),"")</f>
        <v>38977</v>
      </c>
      <c r="N154" t="str">
        <f>IFERROR(VLOOKUP(VLOOKUP(A154,'[1]Sales Order'!A:G,7,FALSE),[1]Shipper!A:B,2,FALSE),"Not Specified")</f>
        <v>Shipper ETYNR</v>
      </c>
      <c r="O154" t="str">
        <f>IFERROR(VLOOKUP(A154,'[1]Sales Order'!A:I,9,FALSE),"Not Specified")</f>
        <v>Ship to 80-C</v>
      </c>
      <c r="P154" t="str">
        <f>IFERROR(VLOOKUP(A154,'[1]Sales Order'!A:N,14,FALSE),"Not Specified")</f>
        <v>Mexico</v>
      </c>
      <c r="Q154" t="str">
        <f>VLOOKUP(VLOOKUP(B154,[1]Product!A:C,3,FALSE),[1]Supplier!A:B,2,FALSE)</f>
        <v>Supplier NZLIF</v>
      </c>
      <c r="R154" t="str">
        <f>VLOOKUP(VLOOKUP(B154,[1]Product!A:C,3,FALSE),[1]Supplier!A:I,9,FALSE)</f>
        <v>Norway</v>
      </c>
      <c r="S154" t="str">
        <f>IFERROR(IF(VLOOKUP(A154,'[1]Sales Order'!A:H,8,FALSE)&gt;100,"High Freight","Low Freight"),"Not Specified")</f>
        <v>Low Freight</v>
      </c>
      <c r="T154">
        <f t="shared" si="5"/>
        <v>34.4</v>
      </c>
    </row>
    <row r="155" spans="1:20">
      <c r="A155" s="1">
        <v>10305</v>
      </c>
      <c r="B155" s="2">
        <v>18</v>
      </c>
      <c r="C155" s="2">
        <v>50</v>
      </c>
      <c r="D155" s="2">
        <v>25</v>
      </c>
      <c r="E155" s="3">
        <v>0.1</v>
      </c>
      <c r="F155" s="2" t="str">
        <f>IFERROR(VLOOKUP(VLOOKUP(A155,'[1]Sales Order'!A:B,2,FALSE),[1]Customer!A:C,3,FALSE),"Not Specified")</f>
        <v>Egelund-Muller, Anja</v>
      </c>
      <c r="G155" s="2" t="str">
        <f t="shared" si="4"/>
        <v>Egelund-Muller Anja</v>
      </c>
      <c r="H155" s="8" t="str">
        <f>IFERROR(VLOOKUP(VLOOKUP(A155,'[1]Sales Order'!A:C,3,FALSE),[1]Employee!A:E,5,FALSE)&amp;" "&amp;VLOOKUP(VLOOKUP(A155,'[1]Sales Order'!A:C,3,FALSE),[1]Employee!A:C,3,FALSE)&amp;" "&amp;VLOOKUP(VLOOKUP(A155,'[1]Sales Order'!A:C,3,FALSE),[1]Employee!A:B,2,FALSE),"Not Specified")</f>
        <v>Ms. Maria Cameron</v>
      </c>
      <c r="I155" t="str">
        <f>IFERROR(VLOOKUP(VLOOKUP(A155,'[1]Sales Order'!A:C,3,FALSE),[1]Employee!A:J,10,FALSE),"Not Specified")</f>
        <v>WA</v>
      </c>
      <c r="J155" t="str">
        <f>VLOOKUP(B155,[1]Product!A:B,2,FALSE)</f>
        <v>Product CKEDC</v>
      </c>
      <c r="K155" t="str">
        <f>VLOOKUP(VLOOKUP(B155,[1]Product!A:D,4,FALSE),[1]Category!A:B,2,FALSE)</f>
        <v>Seafood</v>
      </c>
      <c r="L155" s="10">
        <f>IFERROR(VLOOKUP(A155,'[1]Sales Order'!A:D,4,FALSE),"")</f>
        <v>38973</v>
      </c>
      <c r="M155" s="10">
        <f>IFERROR(VLOOKUP(A155,'[1]Sales Order'!A:F,6,FALSE),"")</f>
        <v>38999</v>
      </c>
      <c r="N155" t="str">
        <f>IFERROR(VLOOKUP(VLOOKUP(A155,'[1]Sales Order'!A:G,7,FALSE),[1]Shipper!A:B,2,FALSE),"Not Specified")</f>
        <v>Shipper ZHISN</v>
      </c>
      <c r="O155" t="str">
        <f>IFERROR(VLOOKUP(A155,'[1]Sales Order'!A:I,9,FALSE),"Not Specified")</f>
        <v>Ship to 55-B</v>
      </c>
      <c r="P155" t="str">
        <f>IFERROR(VLOOKUP(A155,'[1]Sales Order'!A:N,14,FALSE),"Not Specified")</f>
        <v>USA</v>
      </c>
      <c r="Q155" t="str">
        <f>VLOOKUP(VLOOKUP(B155,[1]Product!A:C,3,FALSE),[1]Supplier!A:B,2,FALSE)</f>
        <v>Supplier GQRCV</v>
      </c>
      <c r="R155" t="str">
        <f>VLOOKUP(VLOOKUP(B155,[1]Product!A:C,3,FALSE),[1]Supplier!A:I,9,FALSE)</f>
        <v>Australia</v>
      </c>
      <c r="S155" t="str">
        <f>IFERROR(IF(VLOOKUP(A155,'[1]Sales Order'!A:H,8,FALSE)&gt;100,"High Freight","Low Freight"),"Not Specified")</f>
        <v>High Freight</v>
      </c>
      <c r="T155">
        <f t="shared" si="5"/>
        <v>1125</v>
      </c>
    </row>
    <row r="156" spans="1:20">
      <c r="A156" s="1">
        <v>10305</v>
      </c>
      <c r="B156" s="2">
        <v>29</v>
      </c>
      <c r="C156" s="2">
        <v>99</v>
      </c>
      <c r="D156" s="2">
        <v>25</v>
      </c>
      <c r="E156" s="3">
        <v>0.1</v>
      </c>
      <c r="F156" s="2" t="str">
        <f>IFERROR(VLOOKUP(VLOOKUP(A156,'[1]Sales Order'!A:B,2,FALSE),[1]Customer!A:C,3,FALSE),"Not Specified")</f>
        <v>Egelund-Muller, Anja</v>
      </c>
      <c r="G156" s="2" t="str">
        <f t="shared" si="4"/>
        <v>Egelund-Muller Anja</v>
      </c>
      <c r="H156" s="8" t="str">
        <f>IFERROR(VLOOKUP(VLOOKUP(A156,'[1]Sales Order'!A:C,3,FALSE),[1]Employee!A:E,5,FALSE)&amp;" "&amp;VLOOKUP(VLOOKUP(A156,'[1]Sales Order'!A:C,3,FALSE),[1]Employee!A:C,3,FALSE)&amp;" "&amp;VLOOKUP(VLOOKUP(A156,'[1]Sales Order'!A:C,3,FALSE),[1]Employee!A:B,2,FALSE),"Not Specified")</f>
        <v>Ms. Maria Cameron</v>
      </c>
      <c r="I156" t="str">
        <f>IFERROR(VLOOKUP(VLOOKUP(A156,'[1]Sales Order'!A:C,3,FALSE),[1]Employee!A:J,10,FALSE),"Not Specified")</f>
        <v>WA</v>
      </c>
      <c r="J156" t="str">
        <f>VLOOKUP(B156,[1]Product!A:B,2,FALSE)</f>
        <v>Product VJXYN</v>
      </c>
      <c r="K156" t="str">
        <f>VLOOKUP(VLOOKUP(B156,[1]Product!A:D,4,FALSE),[1]Category!A:B,2,FALSE)</f>
        <v>Meat/Poultry</v>
      </c>
      <c r="L156" s="10">
        <f>IFERROR(VLOOKUP(A156,'[1]Sales Order'!A:D,4,FALSE),"")</f>
        <v>38973</v>
      </c>
      <c r="M156" s="10">
        <f>IFERROR(VLOOKUP(A156,'[1]Sales Order'!A:F,6,FALSE),"")</f>
        <v>38999</v>
      </c>
      <c r="N156" t="str">
        <f>IFERROR(VLOOKUP(VLOOKUP(A156,'[1]Sales Order'!A:G,7,FALSE),[1]Shipper!A:B,2,FALSE),"Not Specified")</f>
        <v>Shipper ZHISN</v>
      </c>
      <c r="O156" t="str">
        <f>IFERROR(VLOOKUP(A156,'[1]Sales Order'!A:I,9,FALSE),"Not Specified")</f>
        <v>Ship to 55-B</v>
      </c>
      <c r="P156" t="str">
        <f>IFERROR(VLOOKUP(A156,'[1]Sales Order'!A:N,14,FALSE),"Not Specified")</f>
        <v>USA</v>
      </c>
      <c r="Q156" t="str">
        <f>VLOOKUP(VLOOKUP(B156,[1]Product!A:C,3,FALSE),[1]Supplier!A:B,2,FALSE)</f>
        <v>Supplier SVIYA</v>
      </c>
      <c r="R156" t="str">
        <f>VLOOKUP(VLOOKUP(B156,[1]Product!A:C,3,FALSE),[1]Supplier!A:I,9,FALSE)</f>
        <v>Germany</v>
      </c>
      <c r="S156" t="str">
        <f>IFERROR(IF(VLOOKUP(A156,'[1]Sales Order'!A:H,8,FALSE)&gt;100,"High Freight","Low Freight"),"Not Specified")</f>
        <v>High Freight</v>
      </c>
      <c r="T156">
        <f t="shared" si="5"/>
        <v>2227.5</v>
      </c>
    </row>
    <row r="157" spans="1:20">
      <c r="A157" s="1">
        <v>10305</v>
      </c>
      <c r="B157" s="2">
        <v>39</v>
      </c>
      <c r="C157" s="2">
        <v>14.4</v>
      </c>
      <c r="D157" s="2">
        <v>30</v>
      </c>
      <c r="E157" s="3">
        <v>0.1</v>
      </c>
      <c r="F157" s="2" t="str">
        <f>IFERROR(VLOOKUP(VLOOKUP(A157,'[1]Sales Order'!A:B,2,FALSE),[1]Customer!A:C,3,FALSE),"Not Specified")</f>
        <v>Egelund-Muller, Anja</v>
      </c>
      <c r="G157" s="2" t="str">
        <f t="shared" si="4"/>
        <v>Egelund-Muller Anja</v>
      </c>
      <c r="H157" s="8" t="str">
        <f>IFERROR(VLOOKUP(VLOOKUP(A157,'[1]Sales Order'!A:C,3,FALSE),[1]Employee!A:E,5,FALSE)&amp;" "&amp;VLOOKUP(VLOOKUP(A157,'[1]Sales Order'!A:C,3,FALSE),[1]Employee!A:C,3,FALSE)&amp;" "&amp;VLOOKUP(VLOOKUP(A157,'[1]Sales Order'!A:C,3,FALSE),[1]Employee!A:B,2,FALSE),"Not Specified")</f>
        <v>Ms. Maria Cameron</v>
      </c>
      <c r="I157" t="str">
        <f>IFERROR(VLOOKUP(VLOOKUP(A157,'[1]Sales Order'!A:C,3,FALSE),[1]Employee!A:J,10,FALSE),"Not Specified")</f>
        <v>WA</v>
      </c>
      <c r="J157" t="str">
        <f>VLOOKUP(B157,[1]Product!A:B,2,FALSE)</f>
        <v>Product LSOFL</v>
      </c>
      <c r="K157" t="str">
        <f>VLOOKUP(VLOOKUP(B157,[1]Product!A:D,4,FALSE),[1]Category!A:B,2,FALSE)</f>
        <v>Beverages</v>
      </c>
      <c r="L157" s="10">
        <f>IFERROR(VLOOKUP(A157,'[1]Sales Order'!A:D,4,FALSE),"")</f>
        <v>38973</v>
      </c>
      <c r="M157" s="10">
        <f>IFERROR(VLOOKUP(A157,'[1]Sales Order'!A:F,6,FALSE),"")</f>
        <v>38999</v>
      </c>
      <c r="N157" t="str">
        <f>IFERROR(VLOOKUP(VLOOKUP(A157,'[1]Sales Order'!A:G,7,FALSE),[1]Shipper!A:B,2,FALSE),"Not Specified")</f>
        <v>Shipper ZHISN</v>
      </c>
      <c r="O157" t="str">
        <f>IFERROR(VLOOKUP(A157,'[1]Sales Order'!A:I,9,FALSE),"Not Specified")</f>
        <v>Ship to 55-B</v>
      </c>
      <c r="P157" t="str">
        <f>IFERROR(VLOOKUP(A157,'[1]Sales Order'!A:N,14,FALSE),"Not Specified")</f>
        <v>USA</v>
      </c>
      <c r="Q157" t="str">
        <f>VLOOKUP(VLOOKUP(B157,[1]Product!A:C,3,FALSE),[1]Supplier!A:B,2,FALSE)</f>
        <v>Supplier LVJUA</v>
      </c>
      <c r="R157" t="str">
        <f>VLOOKUP(VLOOKUP(B157,[1]Product!A:C,3,FALSE),[1]Supplier!A:I,9,FALSE)</f>
        <v>France</v>
      </c>
      <c r="S157" t="str">
        <f>IFERROR(IF(VLOOKUP(A157,'[1]Sales Order'!A:H,8,FALSE)&gt;100,"High Freight","Low Freight"),"Not Specified")</f>
        <v>High Freight</v>
      </c>
      <c r="T157">
        <f t="shared" si="5"/>
        <v>388.8</v>
      </c>
    </row>
    <row r="158" spans="1:20">
      <c r="A158" s="1">
        <v>10306</v>
      </c>
      <c r="B158" s="2">
        <v>30</v>
      </c>
      <c r="C158" s="2">
        <v>20.7</v>
      </c>
      <c r="D158" s="2">
        <v>10</v>
      </c>
      <c r="E158" s="3">
        <v>0</v>
      </c>
      <c r="F158" s="2" t="str">
        <f>IFERROR(VLOOKUP(VLOOKUP(A158,'[1]Sales Order'!A:B,2,FALSE),[1]Customer!A:C,3,FALSE),"Not Specified")</f>
        <v>Watters, Jason M.</v>
      </c>
      <c r="G158" s="2" t="str">
        <f t="shared" si="4"/>
        <v>Watters Jason M.</v>
      </c>
      <c r="H158" s="8" t="str">
        <f>IFERROR(VLOOKUP(VLOOKUP(A158,'[1]Sales Order'!A:C,3,FALSE),[1]Employee!A:E,5,FALSE)&amp;" "&amp;VLOOKUP(VLOOKUP(A158,'[1]Sales Order'!A:C,3,FALSE),[1]Employee!A:C,3,FALSE)&amp;" "&amp;VLOOKUP(VLOOKUP(A158,'[1]Sales Order'!A:C,3,FALSE),[1]Employee!A:B,2,FALSE),"Not Specified")</f>
        <v>Ms. Sara Davis</v>
      </c>
      <c r="I158" t="str">
        <f>IFERROR(VLOOKUP(VLOOKUP(A158,'[1]Sales Order'!A:C,3,FALSE),[1]Employee!A:J,10,FALSE),"Not Specified")</f>
        <v>WA</v>
      </c>
      <c r="J158" t="str">
        <f>VLOOKUP(B158,[1]Product!A:B,2,FALSE)</f>
        <v>Product LYERX</v>
      </c>
      <c r="K158" t="str">
        <f>VLOOKUP(VLOOKUP(B158,[1]Product!A:D,4,FALSE),[1]Category!A:B,2,FALSE)</f>
        <v>Seafood</v>
      </c>
      <c r="L158" s="10">
        <f>IFERROR(VLOOKUP(A158,'[1]Sales Order'!A:D,4,FALSE),"")</f>
        <v>38976</v>
      </c>
      <c r="M158" s="10">
        <f>IFERROR(VLOOKUP(A158,'[1]Sales Order'!A:F,6,FALSE),"")</f>
        <v>38983</v>
      </c>
      <c r="N158" t="str">
        <f>IFERROR(VLOOKUP(VLOOKUP(A158,'[1]Sales Order'!A:G,7,FALSE),[1]Shipper!A:B,2,FALSE),"Not Specified")</f>
        <v>Shipper ZHISN</v>
      </c>
      <c r="O158" t="str">
        <f>IFERROR(VLOOKUP(A158,'[1]Sales Order'!A:I,9,FALSE),"Not Specified")</f>
        <v>Ship to 69-B</v>
      </c>
      <c r="P158" t="str">
        <f>IFERROR(VLOOKUP(A158,'[1]Sales Order'!A:N,14,FALSE),"Not Specified")</f>
        <v>Spain</v>
      </c>
      <c r="Q158" t="str">
        <f>VLOOKUP(VLOOKUP(B158,[1]Product!A:C,3,FALSE),[1]Supplier!A:B,2,FALSE)</f>
        <v>Supplier TEGSC</v>
      </c>
      <c r="R158" t="str">
        <f>VLOOKUP(VLOOKUP(B158,[1]Product!A:C,3,FALSE),[1]Supplier!A:I,9,FALSE)</f>
        <v>Germany</v>
      </c>
      <c r="S158" t="str">
        <f>IFERROR(IF(VLOOKUP(A158,'[1]Sales Order'!A:H,8,FALSE)&gt;100,"High Freight","Low Freight"),"Not Specified")</f>
        <v>Low Freight</v>
      </c>
      <c r="T158">
        <f t="shared" si="5"/>
        <v>207</v>
      </c>
    </row>
    <row r="159" spans="1:20">
      <c r="A159" s="1">
        <v>10306</v>
      </c>
      <c r="B159" s="2">
        <v>53</v>
      </c>
      <c r="C159" s="2">
        <v>26.2</v>
      </c>
      <c r="D159" s="2">
        <v>10</v>
      </c>
      <c r="E159" s="3">
        <v>0</v>
      </c>
      <c r="F159" s="2" t="str">
        <f>IFERROR(VLOOKUP(VLOOKUP(A159,'[1]Sales Order'!A:B,2,FALSE),[1]Customer!A:C,3,FALSE),"Not Specified")</f>
        <v>Watters, Jason M.</v>
      </c>
      <c r="G159" s="2" t="str">
        <f t="shared" si="4"/>
        <v>Watters Jason M.</v>
      </c>
      <c r="H159" s="8" t="str">
        <f>IFERROR(VLOOKUP(VLOOKUP(A159,'[1]Sales Order'!A:C,3,FALSE),[1]Employee!A:E,5,FALSE)&amp;" "&amp;VLOOKUP(VLOOKUP(A159,'[1]Sales Order'!A:C,3,FALSE),[1]Employee!A:C,3,FALSE)&amp;" "&amp;VLOOKUP(VLOOKUP(A159,'[1]Sales Order'!A:C,3,FALSE),[1]Employee!A:B,2,FALSE),"Not Specified")</f>
        <v>Ms. Sara Davis</v>
      </c>
      <c r="I159" t="str">
        <f>IFERROR(VLOOKUP(VLOOKUP(A159,'[1]Sales Order'!A:C,3,FALSE),[1]Employee!A:J,10,FALSE),"Not Specified")</f>
        <v>WA</v>
      </c>
      <c r="J159" t="str">
        <f>VLOOKUP(B159,[1]Product!A:B,2,FALSE)</f>
        <v>Product BKGEA</v>
      </c>
      <c r="K159" t="str">
        <f>VLOOKUP(VLOOKUP(B159,[1]Product!A:D,4,FALSE),[1]Category!A:B,2,FALSE)</f>
        <v>Meat/Poultry</v>
      </c>
      <c r="L159" s="10">
        <f>IFERROR(VLOOKUP(A159,'[1]Sales Order'!A:D,4,FALSE),"")</f>
        <v>38976</v>
      </c>
      <c r="M159" s="10">
        <f>IFERROR(VLOOKUP(A159,'[1]Sales Order'!A:F,6,FALSE),"")</f>
        <v>38983</v>
      </c>
      <c r="N159" t="str">
        <f>IFERROR(VLOOKUP(VLOOKUP(A159,'[1]Sales Order'!A:G,7,FALSE),[1]Shipper!A:B,2,FALSE),"Not Specified")</f>
        <v>Shipper ZHISN</v>
      </c>
      <c r="O159" t="str">
        <f>IFERROR(VLOOKUP(A159,'[1]Sales Order'!A:I,9,FALSE),"Not Specified")</f>
        <v>Ship to 69-B</v>
      </c>
      <c r="P159" t="str">
        <f>IFERROR(VLOOKUP(A159,'[1]Sales Order'!A:N,14,FALSE),"Not Specified")</f>
        <v>Spain</v>
      </c>
      <c r="Q159" t="str">
        <f>VLOOKUP(VLOOKUP(B159,[1]Product!A:C,3,FALSE),[1]Supplier!A:B,2,FALSE)</f>
        <v>Supplier JNNES</v>
      </c>
      <c r="R159" t="str">
        <f>VLOOKUP(VLOOKUP(B159,[1]Product!A:C,3,FALSE),[1]Supplier!A:I,9,FALSE)</f>
        <v>Australia</v>
      </c>
      <c r="S159" t="str">
        <f>IFERROR(IF(VLOOKUP(A159,'[1]Sales Order'!A:H,8,FALSE)&gt;100,"High Freight","Low Freight"),"Not Specified")</f>
        <v>Low Freight</v>
      </c>
      <c r="T159">
        <f t="shared" si="5"/>
        <v>262</v>
      </c>
    </row>
    <row r="160" spans="1:20">
      <c r="A160" s="1">
        <v>10306</v>
      </c>
      <c r="B160" s="2">
        <v>54</v>
      </c>
      <c r="C160" s="2">
        <v>5.9</v>
      </c>
      <c r="D160" s="2">
        <v>5</v>
      </c>
      <c r="E160" s="3">
        <v>0</v>
      </c>
      <c r="F160" s="2" t="str">
        <f>IFERROR(VLOOKUP(VLOOKUP(A160,'[1]Sales Order'!A:B,2,FALSE),[1]Customer!A:C,3,FALSE),"Not Specified")</f>
        <v>Watters, Jason M.</v>
      </c>
      <c r="G160" s="2" t="str">
        <f t="shared" si="4"/>
        <v>Watters Jason M.</v>
      </c>
      <c r="H160" s="8" t="str">
        <f>IFERROR(VLOOKUP(VLOOKUP(A160,'[1]Sales Order'!A:C,3,FALSE),[1]Employee!A:E,5,FALSE)&amp;" "&amp;VLOOKUP(VLOOKUP(A160,'[1]Sales Order'!A:C,3,FALSE),[1]Employee!A:C,3,FALSE)&amp;" "&amp;VLOOKUP(VLOOKUP(A160,'[1]Sales Order'!A:C,3,FALSE),[1]Employee!A:B,2,FALSE),"Not Specified")</f>
        <v>Ms. Sara Davis</v>
      </c>
      <c r="I160" t="str">
        <f>IFERROR(VLOOKUP(VLOOKUP(A160,'[1]Sales Order'!A:C,3,FALSE),[1]Employee!A:J,10,FALSE),"Not Specified")</f>
        <v>WA</v>
      </c>
      <c r="J160" t="str">
        <f>VLOOKUP(B160,[1]Product!A:B,2,FALSE)</f>
        <v>Product QAQRL</v>
      </c>
      <c r="K160" t="str">
        <f>VLOOKUP(VLOOKUP(B160,[1]Product!A:D,4,FALSE),[1]Category!A:B,2,FALSE)</f>
        <v>Meat/Poultry</v>
      </c>
      <c r="L160" s="10">
        <f>IFERROR(VLOOKUP(A160,'[1]Sales Order'!A:D,4,FALSE),"")</f>
        <v>38976</v>
      </c>
      <c r="M160" s="10">
        <f>IFERROR(VLOOKUP(A160,'[1]Sales Order'!A:F,6,FALSE),"")</f>
        <v>38983</v>
      </c>
      <c r="N160" t="str">
        <f>IFERROR(VLOOKUP(VLOOKUP(A160,'[1]Sales Order'!A:G,7,FALSE),[1]Shipper!A:B,2,FALSE),"Not Specified")</f>
        <v>Shipper ZHISN</v>
      </c>
      <c r="O160" t="str">
        <f>IFERROR(VLOOKUP(A160,'[1]Sales Order'!A:I,9,FALSE),"Not Specified")</f>
        <v>Ship to 69-B</v>
      </c>
      <c r="P160" t="str">
        <f>IFERROR(VLOOKUP(A160,'[1]Sales Order'!A:N,14,FALSE),"Not Specified")</f>
        <v>Spain</v>
      </c>
      <c r="Q160" t="str">
        <f>VLOOKUP(VLOOKUP(B160,[1]Product!A:C,3,FALSE),[1]Supplier!A:B,2,FALSE)</f>
        <v>Supplier ERVYZ</v>
      </c>
      <c r="R160" t="str">
        <f>VLOOKUP(VLOOKUP(B160,[1]Product!A:C,3,FALSE),[1]Supplier!A:I,9,FALSE)</f>
        <v>Canada</v>
      </c>
      <c r="S160" t="str">
        <f>IFERROR(IF(VLOOKUP(A160,'[1]Sales Order'!A:H,8,FALSE)&gt;100,"High Freight","Low Freight"),"Not Specified")</f>
        <v>Low Freight</v>
      </c>
      <c r="T160">
        <f t="shared" si="5"/>
        <v>29.5</v>
      </c>
    </row>
    <row r="161" spans="1:20">
      <c r="A161" s="1">
        <v>10307</v>
      </c>
      <c r="B161" s="2">
        <v>62</v>
      </c>
      <c r="C161" s="2">
        <v>39.4</v>
      </c>
      <c r="D161" s="2">
        <v>10</v>
      </c>
      <c r="E161" s="3">
        <v>0</v>
      </c>
      <c r="F161" s="2" t="str">
        <f>IFERROR(VLOOKUP(VLOOKUP(A161,'[1]Sales Order'!A:B,2,FALSE),[1]Customer!A:C,3,FALSE),"Not Specified")</f>
        <v>Szymczak, Radosław</v>
      </c>
      <c r="G161" s="2" t="str">
        <f t="shared" si="4"/>
        <v>Szymczak Radosław</v>
      </c>
      <c r="H161" s="8" t="str">
        <f>IFERROR(VLOOKUP(VLOOKUP(A161,'[1]Sales Order'!A:C,3,FALSE),[1]Employee!A:E,5,FALSE)&amp;" "&amp;VLOOKUP(VLOOKUP(A161,'[1]Sales Order'!A:C,3,FALSE),[1]Employee!A:C,3,FALSE)&amp;" "&amp;VLOOKUP(VLOOKUP(A161,'[1]Sales Order'!A:C,3,FALSE),[1]Employee!A:B,2,FALSE),"Not Specified")</f>
        <v>Dr. Don Funk</v>
      </c>
      <c r="I161" t="str">
        <f>IFERROR(VLOOKUP(VLOOKUP(A161,'[1]Sales Order'!A:C,3,FALSE),[1]Employee!A:J,10,FALSE),"Not Specified")</f>
        <v>WA</v>
      </c>
      <c r="J161" t="str">
        <f>VLOOKUP(B161,[1]Product!A:B,2,FALSE)</f>
        <v>Product WUXYK</v>
      </c>
      <c r="K161" t="str">
        <f>VLOOKUP(VLOOKUP(B161,[1]Product!A:D,4,FALSE),[1]Category!A:B,2,FALSE)</f>
        <v>Confections</v>
      </c>
      <c r="L161" s="10">
        <f>IFERROR(VLOOKUP(A161,'[1]Sales Order'!A:D,4,FALSE),"")</f>
        <v>38977</v>
      </c>
      <c r="M161" s="10">
        <f>IFERROR(VLOOKUP(A161,'[1]Sales Order'!A:F,6,FALSE),"")</f>
        <v>38985</v>
      </c>
      <c r="N161" t="str">
        <f>IFERROR(VLOOKUP(VLOOKUP(A161,'[1]Sales Order'!A:G,7,FALSE),[1]Shipper!A:B,2,FALSE),"Not Specified")</f>
        <v>Shipper ETYNR</v>
      </c>
      <c r="O161" t="str">
        <f>IFERROR(VLOOKUP(A161,'[1]Sales Order'!A:I,9,FALSE),"Not Specified")</f>
        <v>Ship to 48-B</v>
      </c>
      <c r="P161" t="str">
        <f>IFERROR(VLOOKUP(A161,'[1]Sales Order'!A:N,14,FALSE),"Not Specified")</f>
        <v>USA</v>
      </c>
      <c r="Q161" t="str">
        <f>VLOOKUP(VLOOKUP(B161,[1]Product!A:C,3,FALSE),[1]Supplier!A:B,2,FALSE)</f>
        <v>Supplier OGLRK</v>
      </c>
      <c r="R161" t="str">
        <f>VLOOKUP(VLOOKUP(B161,[1]Product!A:C,3,FALSE),[1]Supplier!A:I,9,FALSE)</f>
        <v>Canada</v>
      </c>
      <c r="S161" t="str">
        <f>IFERROR(IF(VLOOKUP(A161,'[1]Sales Order'!A:H,8,FALSE)&gt;100,"High Freight","Low Freight"),"Not Specified")</f>
        <v>Low Freight</v>
      </c>
      <c r="T161">
        <f t="shared" si="5"/>
        <v>394</v>
      </c>
    </row>
    <row r="162" spans="1:20">
      <c r="A162" s="1">
        <v>10307</v>
      </c>
      <c r="B162" s="2">
        <v>68</v>
      </c>
      <c r="C162" s="2">
        <v>10</v>
      </c>
      <c r="D162" s="2">
        <v>3</v>
      </c>
      <c r="E162" s="3">
        <v>0</v>
      </c>
      <c r="F162" s="2" t="str">
        <f>IFERROR(VLOOKUP(VLOOKUP(A162,'[1]Sales Order'!A:B,2,FALSE),[1]Customer!A:C,3,FALSE),"Not Specified")</f>
        <v>Szymczak, Radosław</v>
      </c>
      <c r="G162" s="2" t="str">
        <f t="shared" si="4"/>
        <v>Szymczak Radosław</v>
      </c>
      <c r="H162" s="8" t="str">
        <f>IFERROR(VLOOKUP(VLOOKUP(A162,'[1]Sales Order'!A:C,3,FALSE),[1]Employee!A:E,5,FALSE)&amp;" "&amp;VLOOKUP(VLOOKUP(A162,'[1]Sales Order'!A:C,3,FALSE),[1]Employee!A:C,3,FALSE)&amp;" "&amp;VLOOKUP(VLOOKUP(A162,'[1]Sales Order'!A:C,3,FALSE),[1]Employee!A:B,2,FALSE),"Not Specified")</f>
        <v>Dr. Don Funk</v>
      </c>
      <c r="I162" t="str">
        <f>IFERROR(VLOOKUP(VLOOKUP(A162,'[1]Sales Order'!A:C,3,FALSE),[1]Employee!A:J,10,FALSE),"Not Specified")</f>
        <v>WA</v>
      </c>
      <c r="J162" t="str">
        <f>VLOOKUP(B162,[1]Product!A:B,2,FALSE)</f>
        <v>Product TBTBL</v>
      </c>
      <c r="K162" t="str">
        <f>VLOOKUP(VLOOKUP(B162,[1]Product!A:D,4,FALSE),[1]Category!A:B,2,FALSE)</f>
        <v>Confections</v>
      </c>
      <c r="L162" s="10">
        <f>IFERROR(VLOOKUP(A162,'[1]Sales Order'!A:D,4,FALSE),"")</f>
        <v>38977</v>
      </c>
      <c r="M162" s="10">
        <f>IFERROR(VLOOKUP(A162,'[1]Sales Order'!A:F,6,FALSE),"")</f>
        <v>38985</v>
      </c>
      <c r="N162" t="str">
        <f>IFERROR(VLOOKUP(VLOOKUP(A162,'[1]Sales Order'!A:G,7,FALSE),[1]Shipper!A:B,2,FALSE),"Not Specified")</f>
        <v>Shipper ETYNR</v>
      </c>
      <c r="O162" t="str">
        <f>IFERROR(VLOOKUP(A162,'[1]Sales Order'!A:I,9,FALSE),"Not Specified")</f>
        <v>Ship to 48-B</v>
      </c>
      <c r="P162" t="str">
        <f>IFERROR(VLOOKUP(A162,'[1]Sales Order'!A:N,14,FALSE),"Not Specified")</f>
        <v>USA</v>
      </c>
      <c r="Q162" t="str">
        <f>VLOOKUP(VLOOKUP(B162,[1]Product!A:C,3,FALSE),[1]Supplier!A:B,2,FALSE)</f>
        <v>Supplier BWGYE</v>
      </c>
      <c r="R162" t="str">
        <f>VLOOKUP(VLOOKUP(B162,[1]Product!A:C,3,FALSE),[1]Supplier!A:I,9,FALSE)</f>
        <v>UK</v>
      </c>
      <c r="S162" t="str">
        <f>IFERROR(IF(VLOOKUP(A162,'[1]Sales Order'!A:H,8,FALSE)&gt;100,"High Freight","Low Freight"),"Not Specified")</f>
        <v>Low Freight</v>
      </c>
      <c r="T162">
        <f t="shared" si="5"/>
        <v>30</v>
      </c>
    </row>
    <row r="163" spans="1:20">
      <c r="A163" s="1">
        <v>10308</v>
      </c>
      <c r="B163" s="2">
        <v>69</v>
      </c>
      <c r="C163" s="2">
        <v>28.8</v>
      </c>
      <c r="D163" s="2">
        <v>1</v>
      </c>
      <c r="E163" s="3">
        <v>0</v>
      </c>
      <c r="F163" s="2" t="str">
        <f>IFERROR(VLOOKUP(VLOOKUP(A163,'[1]Sales Order'!A:B,2,FALSE),[1]Customer!A:C,3,FALSE),"Not Specified")</f>
        <v>Hassall, Mark</v>
      </c>
      <c r="G163" s="2" t="str">
        <f t="shared" si="4"/>
        <v>Hassall Mark</v>
      </c>
      <c r="H163" s="8" t="str">
        <f>IFERROR(VLOOKUP(VLOOKUP(A163,'[1]Sales Order'!A:C,3,FALSE),[1]Employee!A:E,5,FALSE)&amp;" "&amp;VLOOKUP(VLOOKUP(A163,'[1]Sales Order'!A:C,3,FALSE),[1]Employee!A:C,3,FALSE)&amp;" "&amp;VLOOKUP(VLOOKUP(A163,'[1]Sales Order'!A:C,3,FALSE),[1]Employee!A:B,2,FALSE),"Not Specified")</f>
        <v>Mr. Russell King</v>
      </c>
      <c r="I163">
        <f>IFERROR(VLOOKUP(VLOOKUP(A163,'[1]Sales Order'!A:C,3,FALSE),[1]Employee!A:J,10,FALSE),"Not Specified")</f>
        <v>0</v>
      </c>
      <c r="J163" t="str">
        <f>VLOOKUP(B163,[1]Product!A:B,2,FALSE)</f>
        <v>Product COAXA</v>
      </c>
      <c r="K163" t="str">
        <f>VLOOKUP(VLOOKUP(B163,[1]Product!A:D,4,FALSE),[1]Category!A:B,2,FALSE)</f>
        <v>Dairy Product</v>
      </c>
      <c r="L163" s="10">
        <f>IFERROR(VLOOKUP(A163,'[1]Sales Order'!A:D,4,FALSE),"")</f>
        <v>38978</v>
      </c>
      <c r="M163" s="10">
        <f>IFERROR(VLOOKUP(A163,'[1]Sales Order'!A:F,6,FALSE),"")</f>
        <v>38984</v>
      </c>
      <c r="N163" t="str">
        <f>IFERROR(VLOOKUP(VLOOKUP(A163,'[1]Sales Order'!A:G,7,FALSE),[1]Shipper!A:B,2,FALSE),"Not Specified")</f>
        <v>Shipper ZHISN</v>
      </c>
      <c r="O163" t="str">
        <f>IFERROR(VLOOKUP(A163,'[1]Sales Order'!A:I,9,FALSE),"Not Specified")</f>
        <v>Destination QMVCI</v>
      </c>
      <c r="P163" t="str">
        <f>IFERROR(VLOOKUP(A163,'[1]Sales Order'!A:N,14,FALSE),"Not Specified")</f>
        <v>Mexico</v>
      </c>
      <c r="Q163" t="str">
        <f>VLOOKUP(VLOOKUP(B163,[1]Product!A:C,3,FALSE),[1]Supplier!A:B,2,FALSE)</f>
        <v>Supplier NZLIF</v>
      </c>
      <c r="R163" t="str">
        <f>VLOOKUP(VLOOKUP(B163,[1]Product!A:C,3,FALSE),[1]Supplier!A:I,9,FALSE)</f>
        <v>Norway</v>
      </c>
      <c r="S163" t="str">
        <f>IFERROR(IF(VLOOKUP(A163,'[1]Sales Order'!A:H,8,FALSE)&gt;100,"High Freight","Low Freight"),"Not Specified")</f>
        <v>Low Freight</v>
      </c>
      <c r="T163">
        <f t="shared" si="5"/>
        <v>28.8</v>
      </c>
    </row>
    <row r="164" spans="1:20">
      <c r="A164" s="1">
        <v>10308</v>
      </c>
      <c r="B164" s="2">
        <v>70</v>
      </c>
      <c r="C164" s="2">
        <v>12</v>
      </c>
      <c r="D164" s="2">
        <v>5</v>
      </c>
      <c r="E164" s="3">
        <v>0</v>
      </c>
      <c r="F164" s="2" t="str">
        <f>IFERROR(VLOOKUP(VLOOKUP(A164,'[1]Sales Order'!A:B,2,FALSE),[1]Customer!A:C,3,FALSE),"Not Specified")</f>
        <v>Hassall, Mark</v>
      </c>
      <c r="G164" s="2" t="str">
        <f t="shared" si="4"/>
        <v>Hassall Mark</v>
      </c>
      <c r="H164" s="8" t="str">
        <f>IFERROR(VLOOKUP(VLOOKUP(A164,'[1]Sales Order'!A:C,3,FALSE),[1]Employee!A:E,5,FALSE)&amp;" "&amp;VLOOKUP(VLOOKUP(A164,'[1]Sales Order'!A:C,3,FALSE),[1]Employee!A:C,3,FALSE)&amp;" "&amp;VLOOKUP(VLOOKUP(A164,'[1]Sales Order'!A:C,3,FALSE),[1]Employee!A:B,2,FALSE),"Not Specified")</f>
        <v>Mr. Russell King</v>
      </c>
      <c r="I164">
        <f>IFERROR(VLOOKUP(VLOOKUP(A164,'[1]Sales Order'!A:C,3,FALSE),[1]Employee!A:J,10,FALSE),"Not Specified")</f>
        <v>0</v>
      </c>
      <c r="J164" t="str">
        <f>VLOOKUP(B164,[1]Product!A:B,2,FALSE)</f>
        <v>Product TOONT</v>
      </c>
      <c r="K164" t="str">
        <f>VLOOKUP(VLOOKUP(B164,[1]Product!A:D,4,FALSE),[1]Category!A:B,2,FALSE)</f>
        <v>Beverages</v>
      </c>
      <c r="L164" s="10">
        <f>IFERROR(VLOOKUP(A164,'[1]Sales Order'!A:D,4,FALSE),"")</f>
        <v>38978</v>
      </c>
      <c r="M164" s="10">
        <f>IFERROR(VLOOKUP(A164,'[1]Sales Order'!A:F,6,FALSE),"")</f>
        <v>38984</v>
      </c>
      <c r="N164" t="str">
        <f>IFERROR(VLOOKUP(VLOOKUP(A164,'[1]Sales Order'!A:G,7,FALSE),[1]Shipper!A:B,2,FALSE),"Not Specified")</f>
        <v>Shipper ZHISN</v>
      </c>
      <c r="O164" t="str">
        <f>IFERROR(VLOOKUP(A164,'[1]Sales Order'!A:I,9,FALSE),"Not Specified")</f>
        <v>Destination QMVCI</v>
      </c>
      <c r="P164" t="str">
        <f>IFERROR(VLOOKUP(A164,'[1]Sales Order'!A:N,14,FALSE),"Not Specified")</f>
        <v>Mexico</v>
      </c>
      <c r="Q164" t="str">
        <f>VLOOKUP(VLOOKUP(B164,[1]Product!A:C,3,FALSE),[1]Supplier!A:B,2,FALSE)</f>
        <v>Supplier GQRCV</v>
      </c>
      <c r="R164" t="str">
        <f>VLOOKUP(VLOOKUP(B164,[1]Product!A:C,3,FALSE),[1]Supplier!A:I,9,FALSE)</f>
        <v>Australia</v>
      </c>
      <c r="S164" t="str">
        <f>IFERROR(IF(VLOOKUP(A164,'[1]Sales Order'!A:H,8,FALSE)&gt;100,"High Freight","Low Freight"),"Not Specified")</f>
        <v>Low Freight</v>
      </c>
      <c r="T164">
        <f t="shared" si="5"/>
        <v>60</v>
      </c>
    </row>
    <row r="165" spans="1:20">
      <c r="A165" s="1">
        <v>10309</v>
      </c>
      <c r="B165" s="2">
        <v>4</v>
      </c>
      <c r="C165" s="2">
        <v>17.600000000000001</v>
      </c>
      <c r="D165" s="2">
        <v>20</v>
      </c>
      <c r="E165" s="3">
        <v>0</v>
      </c>
      <c r="F165" s="2" t="str">
        <f>IFERROR(VLOOKUP(VLOOKUP(A165,'[1]Sales Order'!A:B,2,FALSE),[1]Customer!A:C,3,FALSE),"Not Specified")</f>
        <v>Crăciun, Ovidiu V.</v>
      </c>
      <c r="G165" s="2" t="str">
        <f t="shared" si="4"/>
        <v>Crăciun Ovidiu V.</v>
      </c>
      <c r="H165" s="8" t="str">
        <f>IFERROR(VLOOKUP(VLOOKUP(A165,'[1]Sales Order'!A:C,3,FALSE),[1]Employee!A:E,5,FALSE)&amp;" "&amp;VLOOKUP(VLOOKUP(A165,'[1]Sales Order'!A:C,3,FALSE),[1]Employee!A:C,3,FALSE)&amp;" "&amp;VLOOKUP(VLOOKUP(A165,'[1]Sales Order'!A:C,3,FALSE),[1]Employee!A:B,2,FALSE),"Not Specified")</f>
        <v>Ms. Judy Lew</v>
      </c>
      <c r="I165" t="str">
        <f>IFERROR(VLOOKUP(VLOOKUP(A165,'[1]Sales Order'!A:C,3,FALSE),[1]Employee!A:J,10,FALSE),"Not Specified")</f>
        <v>WA</v>
      </c>
      <c r="J165" t="str">
        <f>VLOOKUP(B165,[1]Product!A:B,2,FALSE)</f>
        <v>Product KSBRM</v>
      </c>
      <c r="K165" t="str">
        <f>VLOOKUP(VLOOKUP(B165,[1]Product!A:D,4,FALSE),[1]Category!A:B,2,FALSE)</f>
        <v>Condiments</v>
      </c>
      <c r="L165" s="10">
        <f>IFERROR(VLOOKUP(A165,'[1]Sales Order'!A:D,4,FALSE),"")</f>
        <v>38979</v>
      </c>
      <c r="M165" s="10">
        <f>IFERROR(VLOOKUP(A165,'[1]Sales Order'!A:F,6,FALSE),"")</f>
        <v>39013</v>
      </c>
      <c r="N165" t="str">
        <f>IFERROR(VLOOKUP(VLOOKUP(A165,'[1]Sales Order'!A:G,7,FALSE),[1]Shipper!A:B,2,FALSE),"Not Specified")</f>
        <v>Shipper GVSUA</v>
      </c>
      <c r="O165" t="str">
        <f>IFERROR(VLOOKUP(A165,'[1]Sales Order'!A:I,9,FALSE),"Not Specified")</f>
        <v>Destination ATSOA</v>
      </c>
      <c r="P165" t="str">
        <f>IFERROR(VLOOKUP(A165,'[1]Sales Order'!A:N,14,FALSE),"Not Specified")</f>
        <v>Ireland</v>
      </c>
      <c r="Q165" t="str">
        <f>VLOOKUP(VLOOKUP(B165,[1]Product!A:C,3,FALSE),[1]Supplier!A:B,2,FALSE)</f>
        <v>Supplier VHQZD</v>
      </c>
      <c r="R165" t="str">
        <f>VLOOKUP(VLOOKUP(B165,[1]Product!A:C,3,FALSE),[1]Supplier!A:I,9,FALSE)</f>
        <v>USA</v>
      </c>
      <c r="S165" t="str">
        <f>IFERROR(IF(VLOOKUP(A165,'[1]Sales Order'!A:H,8,FALSE)&gt;100,"High Freight","Low Freight"),"Not Specified")</f>
        <v>Low Freight</v>
      </c>
      <c r="T165">
        <f t="shared" si="5"/>
        <v>352</v>
      </c>
    </row>
    <row r="166" spans="1:20">
      <c r="A166" s="1">
        <v>10309</v>
      </c>
      <c r="B166" s="2">
        <v>6</v>
      </c>
      <c r="C166" s="2">
        <v>20</v>
      </c>
      <c r="D166" s="2">
        <v>30</v>
      </c>
      <c r="E166" s="3">
        <v>0</v>
      </c>
      <c r="F166" s="2" t="str">
        <f>IFERROR(VLOOKUP(VLOOKUP(A166,'[1]Sales Order'!A:B,2,FALSE),[1]Customer!A:C,3,FALSE),"Not Specified")</f>
        <v>Crăciun, Ovidiu V.</v>
      </c>
      <c r="G166" s="2" t="str">
        <f t="shared" si="4"/>
        <v>Crăciun Ovidiu V.</v>
      </c>
      <c r="H166" s="8" t="str">
        <f>IFERROR(VLOOKUP(VLOOKUP(A166,'[1]Sales Order'!A:C,3,FALSE),[1]Employee!A:E,5,FALSE)&amp;" "&amp;VLOOKUP(VLOOKUP(A166,'[1]Sales Order'!A:C,3,FALSE),[1]Employee!A:C,3,FALSE)&amp;" "&amp;VLOOKUP(VLOOKUP(A166,'[1]Sales Order'!A:C,3,FALSE),[1]Employee!A:B,2,FALSE),"Not Specified")</f>
        <v>Ms. Judy Lew</v>
      </c>
      <c r="I166" t="str">
        <f>IFERROR(VLOOKUP(VLOOKUP(A166,'[1]Sales Order'!A:C,3,FALSE),[1]Employee!A:J,10,FALSE),"Not Specified")</f>
        <v>WA</v>
      </c>
      <c r="J166" t="str">
        <f>VLOOKUP(B166,[1]Product!A:B,2,FALSE)</f>
        <v>Product VAIIV</v>
      </c>
      <c r="K166" t="str">
        <f>VLOOKUP(VLOOKUP(B166,[1]Product!A:D,4,FALSE),[1]Category!A:B,2,FALSE)</f>
        <v>Condiments</v>
      </c>
      <c r="L166" s="10">
        <f>IFERROR(VLOOKUP(A166,'[1]Sales Order'!A:D,4,FALSE),"")</f>
        <v>38979</v>
      </c>
      <c r="M166" s="10">
        <f>IFERROR(VLOOKUP(A166,'[1]Sales Order'!A:F,6,FALSE),"")</f>
        <v>39013</v>
      </c>
      <c r="N166" t="str">
        <f>IFERROR(VLOOKUP(VLOOKUP(A166,'[1]Sales Order'!A:G,7,FALSE),[1]Shipper!A:B,2,FALSE),"Not Specified")</f>
        <v>Shipper GVSUA</v>
      </c>
      <c r="O166" t="str">
        <f>IFERROR(VLOOKUP(A166,'[1]Sales Order'!A:I,9,FALSE),"Not Specified")</f>
        <v>Destination ATSOA</v>
      </c>
      <c r="P166" t="str">
        <f>IFERROR(VLOOKUP(A166,'[1]Sales Order'!A:N,14,FALSE),"Not Specified")</f>
        <v>Ireland</v>
      </c>
      <c r="Q166" t="str">
        <f>VLOOKUP(VLOOKUP(B166,[1]Product!A:C,3,FALSE),[1]Supplier!A:B,2,FALSE)</f>
        <v>Supplier STUAZ</v>
      </c>
      <c r="R166" t="str">
        <f>VLOOKUP(VLOOKUP(B166,[1]Product!A:C,3,FALSE),[1]Supplier!A:I,9,FALSE)</f>
        <v>USA</v>
      </c>
      <c r="S166" t="str">
        <f>IFERROR(IF(VLOOKUP(A166,'[1]Sales Order'!A:H,8,FALSE)&gt;100,"High Freight","Low Freight"),"Not Specified")</f>
        <v>Low Freight</v>
      </c>
      <c r="T166">
        <f t="shared" si="5"/>
        <v>600</v>
      </c>
    </row>
    <row r="167" spans="1:20">
      <c r="A167" s="1">
        <v>10309</v>
      </c>
      <c r="B167" s="2">
        <v>42</v>
      </c>
      <c r="C167" s="2">
        <v>11.2</v>
      </c>
      <c r="D167" s="2">
        <v>2</v>
      </c>
      <c r="E167" s="3">
        <v>0</v>
      </c>
      <c r="F167" s="2" t="str">
        <f>IFERROR(VLOOKUP(VLOOKUP(A167,'[1]Sales Order'!A:B,2,FALSE),[1]Customer!A:C,3,FALSE),"Not Specified")</f>
        <v>Crăciun, Ovidiu V.</v>
      </c>
      <c r="G167" s="2" t="str">
        <f t="shared" si="4"/>
        <v>Crăciun Ovidiu V.</v>
      </c>
      <c r="H167" s="8" t="str">
        <f>IFERROR(VLOOKUP(VLOOKUP(A167,'[1]Sales Order'!A:C,3,FALSE),[1]Employee!A:E,5,FALSE)&amp;" "&amp;VLOOKUP(VLOOKUP(A167,'[1]Sales Order'!A:C,3,FALSE),[1]Employee!A:C,3,FALSE)&amp;" "&amp;VLOOKUP(VLOOKUP(A167,'[1]Sales Order'!A:C,3,FALSE),[1]Employee!A:B,2,FALSE),"Not Specified")</f>
        <v>Ms. Judy Lew</v>
      </c>
      <c r="I167" t="str">
        <f>IFERROR(VLOOKUP(VLOOKUP(A167,'[1]Sales Order'!A:C,3,FALSE),[1]Employee!A:J,10,FALSE),"Not Specified")</f>
        <v>WA</v>
      </c>
      <c r="J167" t="str">
        <f>VLOOKUP(B167,[1]Product!A:B,2,FALSE)</f>
        <v>Product RJVNM</v>
      </c>
      <c r="K167" t="str">
        <f>VLOOKUP(VLOOKUP(B167,[1]Product!A:D,4,FALSE),[1]Category!A:B,2,FALSE)</f>
        <v>Grains/Cereals</v>
      </c>
      <c r="L167" s="10">
        <f>IFERROR(VLOOKUP(A167,'[1]Sales Order'!A:D,4,FALSE),"")</f>
        <v>38979</v>
      </c>
      <c r="M167" s="10">
        <f>IFERROR(VLOOKUP(A167,'[1]Sales Order'!A:F,6,FALSE),"")</f>
        <v>39013</v>
      </c>
      <c r="N167" t="str">
        <f>IFERROR(VLOOKUP(VLOOKUP(A167,'[1]Sales Order'!A:G,7,FALSE),[1]Shipper!A:B,2,FALSE),"Not Specified")</f>
        <v>Shipper GVSUA</v>
      </c>
      <c r="O167" t="str">
        <f>IFERROR(VLOOKUP(A167,'[1]Sales Order'!A:I,9,FALSE),"Not Specified")</f>
        <v>Destination ATSOA</v>
      </c>
      <c r="P167" t="str">
        <f>IFERROR(VLOOKUP(A167,'[1]Sales Order'!A:N,14,FALSE),"Not Specified")</f>
        <v>Ireland</v>
      </c>
      <c r="Q167" t="str">
        <f>VLOOKUP(VLOOKUP(B167,[1]Product!A:C,3,FALSE),[1]Supplier!A:B,2,FALSE)</f>
        <v>Supplier CIYNM</v>
      </c>
      <c r="R167" t="str">
        <f>VLOOKUP(VLOOKUP(B167,[1]Product!A:C,3,FALSE),[1]Supplier!A:I,9,FALSE)</f>
        <v>Singapore</v>
      </c>
      <c r="S167" t="str">
        <f>IFERROR(IF(VLOOKUP(A167,'[1]Sales Order'!A:H,8,FALSE)&gt;100,"High Freight","Low Freight"),"Not Specified")</f>
        <v>Low Freight</v>
      </c>
      <c r="T167">
        <f t="shared" si="5"/>
        <v>22.4</v>
      </c>
    </row>
    <row r="168" spans="1:20">
      <c r="A168" s="1">
        <v>10309</v>
      </c>
      <c r="B168" s="2">
        <v>43</v>
      </c>
      <c r="C168" s="2">
        <v>36.799999999999997</v>
      </c>
      <c r="D168" s="2">
        <v>20</v>
      </c>
      <c r="E168" s="3">
        <v>0</v>
      </c>
      <c r="F168" s="2" t="str">
        <f>IFERROR(VLOOKUP(VLOOKUP(A168,'[1]Sales Order'!A:B,2,FALSE),[1]Customer!A:C,3,FALSE),"Not Specified")</f>
        <v>Crăciun, Ovidiu V.</v>
      </c>
      <c r="G168" s="2" t="str">
        <f t="shared" si="4"/>
        <v>Crăciun Ovidiu V.</v>
      </c>
      <c r="H168" s="8" t="str">
        <f>IFERROR(VLOOKUP(VLOOKUP(A168,'[1]Sales Order'!A:C,3,FALSE),[1]Employee!A:E,5,FALSE)&amp;" "&amp;VLOOKUP(VLOOKUP(A168,'[1]Sales Order'!A:C,3,FALSE),[1]Employee!A:C,3,FALSE)&amp;" "&amp;VLOOKUP(VLOOKUP(A168,'[1]Sales Order'!A:C,3,FALSE),[1]Employee!A:B,2,FALSE),"Not Specified")</f>
        <v>Ms. Judy Lew</v>
      </c>
      <c r="I168" t="str">
        <f>IFERROR(VLOOKUP(VLOOKUP(A168,'[1]Sales Order'!A:C,3,FALSE),[1]Employee!A:J,10,FALSE),"Not Specified")</f>
        <v>WA</v>
      </c>
      <c r="J168" t="str">
        <f>VLOOKUP(B168,[1]Product!A:B,2,FALSE)</f>
        <v>Product ZZZHR</v>
      </c>
      <c r="K168" t="str">
        <f>VLOOKUP(VLOOKUP(B168,[1]Product!A:D,4,FALSE),[1]Category!A:B,2,FALSE)</f>
        <v>Beverages</v>
      </c>
      <c r="L168" s="10">
        <f>IFERROR(VLOOKUP(A168,'[1]Sales Order'!A:D,4,FALSE),"")</f>
        <v>38979</v>
      </c>
      <c r="M168" s="10">
        <f>IFERROR(VLOOKUP(A168,'[1]Sales Order'!A:F,6,FALSE),"")</f>
        <v>39013</v>
      </c>
      <c r="N168" t="str">
        <f>IFERROR(VLOOKUP(VLOOKUP(A168,'[1]Sales Order'!A:G,7,FALSE),[1]Shipper!A:B,2,FALSE),"Not Specified")</f>
        <v>Shipper GVSUA</v>
      </c>
      <c r="O168" t="str">
        <f>IFERROR(VLOOKUP(A168,'[1]Sales Order'!A:I,9,FALSE),"Not Specified")</f>
        <v>Destination ATSOA</v>
      </c>
      <c r="P168" t="str">
        <f>IFERROR(VLOOKUP(A168,'[1]Sales Order'!A:N,14,FALSE),"Not Specified")</f>
        <v>Ireland</v>
      </c>
      <c r="Q168" t="str">
        <f>VLOOKUP(VLOOKUP(B168,[1]Product!A:C,3,FALSE),[1]Supplier!A:B,2,FALSE)</f>
        <v>Supplier CIYNM</v>
      </c>
      <c r="R168" t="str">
        <f>VLOOKUP(VLOOKUP(B168,[1]Product!A:C,3,FALSE),[1]Supplier!A:I,9,FALSE)</f>
        <v>Singapore</v>
      </c>
      <c r="S168" t="str">
        <f>IFERROR(IF(VLOOKUP(A168,'[1]Sales Order'!A:H,8,FALSE)&gt;100,"High Freight","Low Freight"),"Not Specified")</f>
        <v>Low Freight</v>
      </c>
      <c r="T168">
        <f t="shared" si="5"/>
        <v>736</v>
      </c>
    </row>
    <row r="169" spans="1:20">
      <c r="A169" s="1">
        <v>10309</v>
      </c>
      <c r="B169" s="2">
        <v>71</v>
      </c>
      <c r="C169" s="2">
        <v>17.2</v>
      </c>
      <c r="D169" s="2">
        <v>3</v>
      </c>
      <c r="E169" s="3">
        <v>0</v>
      </c>
      <c r="F169" s="2" t="str">
        <f>IFERROR(VLOOKUP(VLOOKUP(A169,'[1]Sales Order'!A:B,2,FALSE),[1]Customer!A:C,3,FALSE),"Not Specified")</f>
        <v>Crăciun, Ovidiu V.</v>
      </c>
      <c r="G169" s="2" t="str">
        <f t="shared" si="4"/>
        <v>Crăciun Ovidiu V.</v>
      </c>
      <c r="H169" s="8" t="str">
        <f>IFERROR(VLOOKUP(VLOOKUP(A169,'[1]Sales Order'!A:C,3,FALSE),[1]Employee!A:E,5,FALSE)&amp;" "&amp;VLOOKUP(VLOOKUP(A169,'[1]Sales Order'!A:C,3,FALSE),[1]Employee!A:C,3,FALSE)&amp;" "&amp;VLOOKUP(VLOOKUP(A169,'[1]Sales Order'!A:C,3,FALSE),[1]Employee!A:B,2,FALSE),"Not Specified")</f>
        <v>Ms. Judy Lew</v>
      </c>
      <c r="I169" t="str">
        <f>IFERROR(VLOOKUP(VLOOKUP(A169,'[1]Sales Order'!A:C,3,FALSE),[1]Employee!A:J,10,FALSE),"Not Specified")</f>
        <v>WA</v>
      </c>
      <c r="J169" t="str">
        <f>VLOOKUP(B169,[1]Product!A:B,2,FALSE)</f>
        <v>Product MYMOI</v>
      </c>
      <c r="K169" t="str">
        <f>VLOOKUP(VLOOKUP(B169,[1]Product!A:D,4,FALSE),[1]Category!A:B,2,FALSE)</f>
        <v>Dairy Product</v>
      </c>
      <c r="L169" s="10">
        <f>IFERROR(VLOOKUP(A169,'[1]Sales Order'!A:D,4,FALSE),"")</f>
        <v>38979</v>
      </c>
      <c r="M169" s="10">
        <f>IFERROR(VLOOKUP(A169,'[1]Sales Order'!A:F,6,FALSE),"")</f>
        <v>39013</v>
      </c>
      <c r="N169" t="str">
        <f>IFERROR(VLOOKUP(VLOOKUP(A169,'[1]Sales Order'!A:G,7,FALSE),[1]Shipper!A:B,2,FALSE),"Not Specified")</f>
        <v>Shipper GVSUA</v>
      </c>
      <c r="O169" t="str">
        <f>IFERROR(VLOOKUP(A169,'[1]Sales Order'!A:I,9,FALSE),"Not Specified")</f>
        <v>Destination ATSOA</v>
      </c>
      <c r="P169" t="str">
        <f>IFERROR(VLOOKUP(A169,'[1]Sales Order'!A:N,14,FALSE),"Not Specified")</f>
        <v>Ireland</v>
      </c>
      <c r="Q169" t="str">
        <f>VLOOKUP(VLOOKUP(B169,[1]Product!A:C,3,FALSE),[1]Supplier!A:B,2,FALSE)</f>
        <v>Supplier NZLIF</v>
      </c>
      <c r="R169" t="str">
        <f>VLOOKUP(VLOOKUP(B169,[1]Product!A:C,3,FALSE),[1]Supplier!A:I,9,FALSE)</f>
        <v>Norway</v>
      </c>
      <c r="S169" t="str">
        <f>IFERROR(IF(VLOOKUP(A169,'[1]Sales Order'!A:H,8,FALSE)&gt;100,"High Freight","Low Freight"),"Not Specified")</f>
        <v>Low Freight</v>
      </c>
      <c r="T169">
        <f t="shared" si="5"/>
        <v>51.599999999999994</v>
      </c>
    </row>
    <row r="170" spans="1:20">
      <c r="A170" s="1">
        <v>10310</v>
      </c>
      <c r="B170" s="2">
        <v>16</v>
      </c>
      <c r="C170" s="2">
        <v>13.9</v>
      </c>
      <c r="D170" s="2">
        <v>10</v>
      </c>
      <c r="E170" s="3">
        <v>0</v>
      </c>
      <c r="F170" s="2" t="str">
        <f>IFERROR(VLOOKUP(VLOOKUP(A170,'[1]Sales Order'!A:B,2,FALSE),[1]Customer!A:C,3,FALSE),"Not Specified")</f>
        <v>Osorio, Cristian</v>
      </c>
      <c r="G170" s="2" t="str">
        <f t="shared" si="4"/>
        <v>Osorio Cristian</v>
      </c>
      <c r="H170" s="8" t="str">
        <f>IFERROR(VLOOKUP(VLOOKUP(A170,'[1]Sales Order'!A:C,3,FALSE),[1]Employee!A:E,5,FALSE)&amp;" "&amp;VLOOKUP(VLOOKUP(A170,'[1]Sales Order'!A:C,3,FALSE),[1]Employee!A:C,3,FALSE)&amp;" "&amp;VLOOKUP(VLOOKUP(A170,'[1]Sales Order'!A:C,3,FALSE),[1]Employee!A:B,2,FALSE),"Not Specified")</f>
        <v>Ms. Maria Cameron</v>
      </c>
      <c r="I170" t="str">
        <f>IFERROR(VLOOKUP(VLOOKUP(A170,'[1]Sales Order'!A:C,3,FALSE),[1]Employee!A:J,10,FALSE),"Not Specified")</f>
        <v>WA</v>
      </c>
      <c r="J170" t="str">
        <f>VLOOKUP(B170,[1]Product!A:B,2,FALSE)</f>
        <v>Product PAFRH</v>
      </c>
      <c r="K170" t="str">
        <f>VLOOKUP(VLOOKUP(B170,[1]Product!A:D,4,FALSE),[1]Category!A:B,2,FALSE)</f>
        <v>Confections</v>
      </c>
      <c r="L170" s="10">
        <f>IFERROR(VLOOKUP(A170,'[1]Sales Order'!A:D,4,FALSE),"")</f>
        <v>38980</v>
      </c>
      <c r="M170" s="10">
        <f>IFERROR(VLOOKUP(A170,'[1]Sales Order'!A:F,6,FALSE),"")</f>
        <v>38987</v>
      </c>
      <c r="N170" t="str">
        <f>IFERROR(VLOOKUP(VLOOKUP(A170,'[1]Sales Order'!A:G,7,FALSE),[1]Shipper!A:B,2,FALSE),"Not Specified")</f>
        <v>Shipper ETYNR</v>
      </c>
      <c r="O170" t="str">
        <f>IFERROR(VLOOKUP(A170,'[1]Sales Order'!A:I,9,FALSE),"Not Specified")</f>
        <v>Ship to 77-B</v>
      </c>
      <c r="P170" t="str">
        <f>IFERROR(VLOOKUP(A170,'[1]Sales Order'!A:N,14,FALSE),"Not Specified")</f>
        <v>USA</v>
      </c>
      <c r="Q170" t="str">
        <f>VLOOKUP(VLOOKUP(B170,[1]Product!A:C,3,FALSE),[1]Supplier!A:B,2,FALSE)</f>
        <v>Supplier GQRCV</v>
      </c>
      <c r="R170" t="str">
        <f>VLOOKUP(VLOOKUP(B170,[1]Product!A:C,3,FALSE),[1]Supplier!A:I,9,FALSE)</f>
        <v>Australia</v>
      </c>
      <c r="S170" t="str">
        <f>IFERROR(IF(VLOOKUP(A170,'[1]Sales Order'!A:H,8,FALSE)&gt;100,"High Freight","Low Freight"),"Not Specified")</f>
        <v>Low Freight</v>
      </c>
      <c r="T170">
        <f t="shared" si="5"/>
        <v>139</v>
      </c>
    </row>
    <row r="171" spans="1:20">
      <c r="A171" s="1">
        <v>10310</v>
      </c>
      <c r="B171" s="2">
        <v>62</v>
      </c>
      <c r="C171" s="2">
        <v>39.4</v>
      </c>
      <c r="D171" s="2">
        <v>5</v>
      </c>
      <c r="E171" s="3">
        <v>0</v>
      </c>
      <c r="F171" s="2" t="str">
        <f>IFERROR(VLOOKUP(VLOOKUP(A171,'[1]Sales Order'!A:B,2,FALSE),[1]Customer!A:C,3,FALSE),"Not Specified")</f>
        <v>Osorio, Cristian</v>
      </c>
      <c r="G171" s="2" t="str">
        <f t="shared" si="4"/>
        <v>Osorio Cristian</v>
      </c>
      <c r="H171" s="8" t="str">
        <f>IFERROR(VLOOKUP(VLOOKUP(A171,'[1]Sales Order'!A:C,3,FALSE),[1]Employee!A:E,5,FALSE)&amp;" "&amp;VLOOKUP(VLOOKUP(A171,'[1]Sales Order'!A:C,3,FALSE),[1]Employee!A:C,3,FALSE)&amp;" "&amp;VLOOKUP(VLOOKUP(A171,'[1]Sales Order'!A:C,3,FALSE),[1]Employee!A:B,2,FALSE),"Not Specified")</f>
        <v>Ms. Maria Cameron</v>
      </c>
      <c r="I171" t="str">
        <f>IFERROR(VLOOKUP(VLOOKUP(A171,'[1]Sales Order'!A:C,3,FALSE),[1]Employee!A:J,10,FALSE),"Not Specified")</f>
        <v>WA</v>
      </c>
      <c r="J171" t="str">
        <f>VLOOKUP(B171,[1]Product!A:B,2,FALSE)</f>
        <v>Product WUXYK</v>
      </c>
      <c r="K171" t="str">
        <f>VLOOKUP(VLOOKUP(B171,[1]Product!A:D,4,FALSE),[1]Category!A:B,2,FALSE)</f>
        <v>Confections</v>
      </c>
      <c r="L171" s="10">
        <f>IFERROR(VLOOKUP(A171,'[1]Sales Order'!A:D,4,FALSE),"")</f>
        <v>38980</v>
      </c>
      <c r="M171" s="10">
        <f>IFERROR(VLOOKUP(A171,'[1]Sales Order'!A:F,6,FALSE),"")</f>
        <v>38987</v>
      </c>
      <c r="N171" t="str">
        <f>IFERROR(VLOOKUP(VLOOKUP(A171,'[1]Sales Order'!A:G,7,FALSE),[1]Shipper!A:B,2,FALSE),"Not Specified")</f>
        <v>Shipper ETYNR</v>
      </c>
      <c r="O171" t="str">
        <f>IFERROR(VLOOKUP(A171,'[1]Sales Order'!A:I,9,FALSE),"Not Specified")</f>
        <v>Ship to 77-B</v>
      </c>
      <c r="P171" t="str">
        <f>IFERROR(VLOOKUP(A171,'[1]Sales Order'!A:N,14,FALSE),"Not Specified")</f>
        <v>USA</v>
      </c>
      <c r="Q171" t="str">
        <f>VLOOKUP(VLOOKUP(B171,[1]Product!A:C,3,FALSE),[1]Supplier!A:B,2,FALSE)</f>
        <v>Supplier OGLRK</v>
      </c>
      <c r="R171" t="str">
        <f>VLOOKUP(VLOOKUP(B171,[1]Product!A:C,3,FALSE),[1]Supplier!A:I,9,FALSE)</f>
        <v>Canada</v>
      </c>
      <c r="S171" t="str">
        <f>IFERROR(IF(VLOOKUP(A171,'[1]Sales Order'!A:H,8,FALSE)&gt;100,"High Freight","Low Freight"),"Not Specified")</f>
        <v>Low Freight</v>
      </c>
      <c r="T171">
        <f t="shared" si="5"/>
        <v>197</v>
      </c>
    </row>
    <row r="172" spans="1:20">
      <c r="A172" s="1">
        <v>10311</v>
      </c>
      <c r="B172" s="2">
        <v>42</v>
      </c>
      <c r="C172" s="2">
        <v>11.2</v>
      </c>
      <c r="D172" s="2">
        <v>6</v>
      </c>
      <c r="E172" s="3">
        <v>0</v>
      </c>
      <c r="F172" s="2" t="str">
        <f>IFERROR(VLOOKUP(VLOOKUP(A172,'[1]Sales Order'!A:B,2,FALSE),[1]Customer!A:C,3,FALSE),"Not Specified")</f>
        <v>Rizaldy, Arif</v>
      </c>
      <c r="G172" s="2" t="str">
        <f t="shared" si="4"/>
        <v>Rizaldy Arif</v>
      </c>
      <c r="H172" s="8" t="str">
        <f>IFERROR(VLOOKUP(VLOOKUP(A172,'[1]Sales Order'!A:C,3,FALSE),[1]Employee!A:E,5,FALSE)&amp;" "&amp;VLOOKUP(VLOOKUP(A172,'[1]Sales Order'!A:C,3,FALSE),[1]Employee!A:C,3,FALSE)&amp;" "&amp;VLOOKUP(VLOOKUP(A172,'[1]Sales Order'!A:C,3,FALSE),[1]Employee!A:B,2,FALSE),"Not Specified")</f>
        <v>Ms. Sara Davis</v>
      </c>
      <c r="I172" t="str">
        <f>IFERROR(VLOOKUP(VLOOKUP(A172,'[1]Sales Order'!A:C,3,FALSE),[1]Employee!A:J,10,FALSE),"Not Specified")</f>
        <v>WA</v>
      </c>
      <c r="J172" t="str">
        <f>VLOOKUP(B172,[1]Product!A:B,2,FALSE)</f>
        <v>Product RJVNM</v>
      </c>
      <c r="K172" t="str">
        <f>VLOOKUP(VLOOKUP(B172,[1]Product!A:D,4,FALSE),[1]Category!A:B,2,FALSE)</f>
        <v>Grains/Cereals</v>
      </c>
      <c r="L172" s="10">
        <f>IFERROR(VLOOKUP(A172,'[1]Sales Order'!A:D,4,FALSE),"")</f>
        <v>38980</v>
      </c>
      <c r="M172" s="10">
        <f>IFERROR(VLOOKUP(A172,'[1]Sales Order'!A:F,6,FALSE),"")</f>
        <v>38986</v>
      </c>
      <c r="N172" t="str">
        <f>IFERROR(VLOOKUP(VLOOKUP(A172,'[1]Sales Order'!A:G,7,FALSE),[1]Shipper!A:B,2,FALSE),"Not Specified")</f>
        <v>Shipper ZHISN</v>
      </c>
      <c r="O172" t="str">
        <f>IFERROR(VLOOKUP(A172,'[1]Sales Order'!A:I,9,FALSE),"Not Specified")</f>
        <v>Destination SNPXM</v>
      </c>
      <c r="P172" t="str">
        <f>IFERROR(VLOOKUP(A172,'[1]Sales Order'!A:N,14,FALSE),"Not Specified")</f>
        <v>France</v>
      </c>
      <c r="Q172" t="str">
        <f>VLOOKUP(VLOOKUP(B172,[1]Product!A:C,3,FALSE),[1]Supplier!A:B,2,FALSE)</f>
        <v>Supplier CIYNM</v>
      </c>
      <c r="R172" t="str">
        <f>VLOOKUP(VLOOKUP(B172,[1]Product!A:C,3,FALSE),[1]Supplier!A:I,9,FALSE)</f>
        <v>Singapore</v>
      </c>
      <c r="S172" t="str">
        <f>IFERROR(IF(VLOOKUP(A172,'[1]Sales Order'!A:H,8,FALSE)&gt;100,"High Freight","Low Freight"),"Not Specified")</f>
        <v>Low Freight</v>
      </c>
      <c r="T172">
        <f t="shared" si="5"/>
        <v>67.199999999999989</v>
      </c>
    </row>
    <row r="173" spans="1:20">
      <c r="A173" s="1">
        <v>10311</v>
      </c>
      <c r="B173" s="2">
        <v>69</v>
      </c>
      <c r="C173" s="2">
        <v>28.8</v>
      </c>
      <c r="D173" s="2">
        <v>7</v>
      </c>
      <c r="E173" s="3">
        <v>0</v>
      </c>
      <c r="F173" s="2" t="str">
        <f>IFERROR(VLOOKUP(VLOOKUP(A173,'[1]Sales Order'!A:B,2,FALSE),[1]Customer!A:C,3,FALSE),"Not Specified")</f>
        <v>Rizaldy, Arif</v>
      </c>
      <c r="G173" s="2" t="str">
        <f t="shared" si="4"/>
        <v>Rizaldy Arif</v>
      </c>
      <c r="H173" s="8" t="str">
        <f>IFERROR(VLOOKUP(VLOOKUP(A173,'[1]Sales Order'!A:C,3,FALSE),[1]Employee!A:E,5,FALSE)&amp;" "&amp;VLOOKUP(VLOOKUP(A173,'[1]Sales Order'!A:C,3,FALSE),[1]Employee!A:C,3,FALSE)&amp;" "&amp;VLOOKUP(VLOOKUP(A173,'[1]Sales Order'!A:C,3,FALSE),[1]Employee!A:B,2,FALSE),"Not Specified")</f>
        <v>Ms. Sara Davis</v>
      </c>
      <c r="I173" t="str">
        <f>IFERROR(VLOOKUP(VLOOKUP(A173,'[1]Sales Order'!A:C,3,FALSE),[1]Employee!A:J,10,FALSE),"Not Specified")</f>
        <v>WA</v>
      </c>
      <c r="J173" t="str">
        <f>VLOOKUP(B173,[1]Product!A:B,2,FALSE)</f>
        <v>Product COAXA</v>
      </c>
      <c r="K173" t="str">
        <f>VLOOKUP(VLOOKUP(B173,[1]Product!A:D,4,FALSE),[1]Category!A:B,2,FALSE)</f>
        <v>Dairy Product</v>
      </c>
      <c r="L173" s="10">
        <f>IFERROR(VLOOKUP(A173,'[1]Sales Order'!A:D,4,FALSE),"")</f>
        <v>38980</v>
      </c>
      <c r="M173" s="10">
        <f>IFERROR(VLOOKUP(A173,'[1]Sales Order'!A:F,6,FALSE),"")</f>
        <v>38986</v>
      </c>
      <c r="N173" t="str">
        <f>IFERROR(VLOOKUP(VLOOKUP(A173,'[1]Sales Order'!A:G,7,FALSE),[1]Shipper!A:B,2,FALSE),"Not Specified")</f>
        <v>Shipper ZHISN</v>
      </c>
      <c r="O173" t="str">
        <f>IFERROR(VLOOKUP(A173,'[1]Sales Order'!A:I,9,FALSE),"Not Specified")</f>
        <v>Destination SNPXM</v>
      </c>
      <c r="P173" t="str">
        <f>IFERROR(VLOOKUP(A173,'[1]Sales Order'!A:N,14,FALSE),"Not Specified")</f>
        <v>France</v>
      </c>
      <c r="Q173" t="str">
        <f>VLOOKUP(VLOOKUP(B173,[1]Product!A:C,3,FALSE),[1]Supplier!A:B,2,FALSE)</f>
        <v>Supplier NZLIF</v>
      </c>
      <c r="R173" t="str">
        <f>VLOOKUP(VLOOKUP(B173,[1]Product!A:C,3,FALSE),[1]Supplier!A:I,9,FALSE)</f>
        <v>Norway</v>
      </c>
      <c r="S173" t="str">
        <f>IFERROR(IF(VLOOKUP(A173,'[1]Sales Order'!A:H,8,FALSE)&gt;100,"High Freight","Low Freight"),"Not Specified")</f>
        <v>Low Freight</v>
      </c>
      <c r="T173">
        <f t="shared" si="5"/>
        <v>201.6</v>
      </c>
    </row>
    <row r="174" spans="1:20">
      <c r="A174" s="1">
        <v>10312</v>
      </c>
      <c r="B174" s="2">
        <v>28</v>
      </c>
      <c r="C174" s="2">
        <v>36.4</v>
      </c>
      <c r="D174" s="2">
        <v>4</v>
      </c>
      <c r="E174" s="3">
        <v>0</v>
      </c>
      <c r="F174" s="2" t="str">
        <f>IFERROR(VLOOKUP(VLOOKUP(A174,'[1]Sales Order'!A:B,2,FALSE),[1]Customer!A:C,3,FALSE),"Not Specified")</f>
        <v>Syamala, Manoj</v>
      </c>
      <c r="G174" s="2" t="str">
        <f t="shared" si="4"/>
        <v>Syamala Manoj</v>
      </c>
      <c r="H174" s="8" t="str">
        <f>IFERROR(VLOOKUP(VLOOKUP(A174,'[1]Sales Order'!A:C,3,FALSE),[1]Employee!A:E,5,FALSE)&amp;" "&amp;VLOOKUP(VLOOKUP(A174,'[1]Sales Order'!A:C,3,FALSE),[1]Employee!A:C,3,FALSE)&amp;" "&amp;VLOOKUP(VLOOKUP(A174,'[1]Sales Order'!A:C,3,FALSE),[1]Employee!A:B,2,FALSE),"Not Specified")</f>
        <v>Dr. Don Funk</v>
      </c>
      <c r="I174" t="str">
        <f>IFERROR(VLOOKUP(VLOOKUP(A174,'[1]Sales Order'!A:C,3,FALSE),[1]Employee!A:J,10,FALSE),"Not Specified")</f>
        <v>WA</v>
      </c>
      <c r="J174" t="str">
        <f>VLOOKUP(B174,[1]Product!A:B,2,FALSE)</f>
        <v>Product OFBNT</v>
      </c>
      <c r="K174" t="str">
        <f>VLOOKUP(VLOOKUP(B174,[1]Product!A:D,4,FALSE),[1]Category!A:B,2,FALSE)</f>
        <v>Produce</v>
      </c>
      <c r="L174" s="10">
        <f>IFERROR(VLOOKUP(A174,'[1]Sales Order'!A:D,4,FALSE),"")</f>
        <v>38983</v>
      </c>
      <c r="M174" s="10">
        <f>IFERROR(VLOOKUP(A174,'[1]Sales Order'!A:F,6,FALSE),"")</f>
        <v>38993</v>
      </c>
      <c r="N174" t="str">
        <f>IFERROR(VLOOKUP(VLOOKUP(A174,'[1]Sales Order'!A:G,7,FALSE),[1]Shipper!A:B,2,FALSE),"Not Specified")</f>
        <v>Shipper ETYNR</v>
      </c>
      <c r="O174" t="str">
        <f>IFERROR(VLOOKUP(A174,'[1]Sales Order'!A:I,9,FALSE),"Not Specified")</f>
        <v>Ship to 86-B</v>
      </c>
      <c r="P174" t="str">
        <f>IFERROR(VLOOKUP(A174,'[1]Sales Order'!A:N,14,FALSE),"Not Specified")</f>
        <v>Germany</v>
      </c>
      <c r="Q174" t="str">
        <f>VLOOKUP(VLOOKUP(B174,[1]Product!A:C,3,FALSE),[1]Supplier!A:B,2,FALSE)</f>
        <v>Supplier SVIYA</v>
      </c>
      <c r="R174" t="str">
        <f>VLOOKUP(VLOOKUP(B174,[1]Product!A:C,3,FALSE),[1]Supplier!A:I,9,FALSE)</f>
        <v>Germany</v>
      </c>
      <c r="S174" t="str">
        <f>IFERROR(IF(VLOOKUP(A174,'[1]Sales Order'!A:H,8,FALSE)&gt;100,"High Freight","Low Freight"),"Not Specified")</f>
        <v>Low Freight</v>
      </c>
      <c r="T174">
        <f t="shared" si="5"/>
        <v>145.6</v>
      </c>
    </row>
    <row r="175" spans="1:20">
      <c r="A175" s="1">
        <v>10312</v>
      </c>
      <c r="B175" s="2">
        <v>43</v>
      </c>
      <c r="C175" s="2">
        <v>36.799999999999997</v>
      </c>
      <c r="D175" s="2">
        <v>24</v>
      </c>
      <c r="E175" s="3">
        <v>0</v>
      </c>
      <c r="F175" s="2" t="str">
        <f>IFERROR(VLOOKUP(VLOOKUP(A175,'[1]Sales Order'!A:B,2,FALSE),[1]Customer!A:C,3,FALSE),"Not Specified")</f>
        <v>Syamala, Manoj</v>
      </c>
      <c r="G175" s="2" t="str">
        <f t="shared" si="4"/>
        <v>Syamala Manoj</v>
      </c>
      <c r="H175" s="8" t="str">
        <f>IFERROR(VLOOKUP(VLOOKUP(A175,'[1]Sales Order'!A:C,3,FALSE),[1]Employee!A:E,5,FALSE)&amp;" "&amp;VLOOKUP(VLOOKUP(A175,'[1]Sales Order'!A:C,3,FALSE),[1]Employee!A:C,3,FALSE)&amp;" "&amp;VLOOKUP(VLOOKUP(A175,'[1]Sales Order'!A:C,3,FALSE),[1]Employee!A:B,2,FALSE),"Not Specified")</f>
        <v>Dr. Don Funk</v>
      </c>
      <c r="I175" t="str">
        <f>IFERROR(VLOOKUP(VLOOKUP(A175,'[1]Sales Order'!A:C,3,FALSE),[1]Employee!A:J,10,FALSE),"Not Specified")</f>
        <v>WA</v>
      </c>
      <c r="J175" t="str">
        <f>VLOOKUP(B175,[1]Product!A:B,2,FALSE)</f>
        <v>Product ZZZHR</v>
      </c>
      <c r="K175" t="str">
        <f>VLOOKUP(VLOOKUP(B175,[1]Product!A:D,4,FALSE),[1]Category!A:B,2,FALSE)</f>
        <v>Beverages</v>
      </c>
      <c r="L175" s="10">
        <f>IFERROR(VLOOKUP(A175,'[1]Sales Order'!A:D,4,FALSE),"")</f>
        <v>38983</v>
      </c>
      <c r="M175" s="10">
        <f>IFERROR(VLOOKUP(A175,'[1]Sales Order'!A:F,6,FALSE),"")</f>
        <v>38993</v>
      </c>
      <c r="N175" t="str">
        <f>IFERROR(VLOOKUP(VLOOKUP(A175,'[1]Sales Order'!A:G,7,FALSE),[1]Shipper!A:B,2,FALSE),"Not Specified")</f>
        <v>Shipper ETYNR</v>
      </c>
      <c r="O175" t="str">
        <f>IFERROR(VLOOKUP(A175,'[1]Sales Order'!A:I,9,FALSE),"Not Specified")</f>
        <v>Ship to 86-B</v>
      </c>
      <c r="P175" t="str">
        <f>IFERROR(VLOOKUP(A175,'[1]Sales Order'!A:N,14,FALSE),"Not Specified")</f>
        <v>Germany</v>
      </c>
      <c r="Q175" t="str">
        <f>VLOOKUP(VLOOKUP(B175,[1]Product!A:C,3,FALSE),[1]Supplier!A:B,2,FALSE)</f>
        <v>Supplier CIYNM</v>
      </c>
      <c r="R175" t="str">
        <f>VLOOKUP(VLOOKUP(B175,[1]Product!A:C,3,FALSE),[1]Supplier!A:I,9,FALSE)</f>
        <v>Singapore</v>
      </c>
      <c r="S175" t="str">
        <f>IFERROR(IF(VLOOKUP(A175,'[1]Sales Order'!A:H,8,FALSE)&gt;100,"High Freight","Low Freight"),"Not Specified")</f>
        <v>Low Freight</v>
      </c>
      <c r="T175">
        <f t="shared" si="5"/>
        <v>883.19999999999993</v>
      </c>
    </row>
    <row r="176" spans="1:20">
      <c r="A176" s="1">
        <v>10312</v>
      </c>
      <c r="B176" s="2">
        <v>53</v>
      </c>
      <c r="C176" s="2">
        <v>26.2</v>
      </c>
      <c r="D176" s="2">
        <v>20</v>
      </c>
      <c r="E176" s="3">
        <v>0</v>
      </c>
      <c r="F176" s="2" t="str">
        <f>IFERROR(VLOOKUP(VLOOKUP(A176,'[1]Sales Order'!A:B,2,FALSE),[1]Customer!A:C,3,FALSE),"Not Specified")</f>
        <v>Syamala, Manoj</v>
      </c>
      <c r="G176" s="2" t="str">
        <f t="shared" si="4"/>
        <v>Syamala Manoj</v>
      </c>
      <c r="H176" s="8" t="str">
        <f>IFERROR(VLOOKUP(VLOOKUP(A176,'[1]Sales Order'!A:C,3,FALSE),[1]Employee!A:E,5,FALSE)&amp;" "&amp;VLOOKUP(VLOOKUP(A176,'[1]Sales Order'!A:C,3,FALSE),[1]Employee!A:C,3,FALSE)&amp;" "&amp;VLOOKUP(VLOOKUP(A176,'[1]Sales Order'!A:C,3,FALSE),[1]Employee!A:B,2,FALSE),"Not Specified")</f>
        <v>Dr. Don Funk</v>
      </c>
      <c r="I176" t="str">
        <f>IFERROR(VLOOKUP(VLOOKUP(A176,'[1]Sales Order'!A:C,3,FALSE),[1]Employee!A:J,10,FALSE),"Not Specified")</f>
        <v>WA</v>
      </c>
      <c r="J176" t="str">
        <f>VLOOKUP(B176,[1]Product!A:B,2,FALSE)</f>
        <v>Product BKGEA</v>
      </c>
      <c r="K176" t="str">
        <f>VLOOKUP(VLOOKUP(B176,[1]Product!A:D,4,FALSE),[1]Category!A:B,2,FALSE)</f>
        <v>Meat/Poultry</v>
      </c>
      <c r="L176" s="10">
        <f>IFERROR(VLOOKUP(A176,'[1]Sales Order'!A:D,4,FALSE),"")</f>
        <v>38983</v>
      </c>
      <c r="M176" s="10">
        <f>IFERROR(VLOOKUP(A176,'[1]Sales Order'!A:F,6,FALSE),"")</f>
        <v>38993</v>
      </c>
      <c r="N176" t="str">
        <f>IFERROR(VLOOKUP(VLOOKUP(A176,'[1]Sales Order'!A:G,7,FALSE),[1]Shipper!A:B,2,FALSE),"Not Specified")</f>
        <v>Shipper ETYNR</v>
      </c>
      <c r="O176" t="str">
        <f>IFERROR(VLOOKUP(A176,'[1]Sales Order'!A:I,9,FALSE),"Not Specified")</f>
        <v>Ship to 86-B</v>
      </c>
      <c r="P176" t="str">
        <f>IFERROR(VLOOKUP(A176,'[1]Sales Order'!A:N,14,FALSE),"Not Specified")</f>
        <v>Germany</v>
      </c>
      <c r="Q176" t="str">
        <f>VLOOKUP(VLOOKUP(B176,[1]Product!A:C,3,FALSE),[1]Supplier!A:B,2,FALSE)</f>
        <v>Supplier JNNES</v>
      </c>
      <c r="R176" t="str">
        <f>VLOOKUP(VLOOKUP(B176,[1]Product!A:C,3,FALSE),[1]Supplier!A:I,9,FALSE)</f>
        <v>Australia</v>
      </c>
      <c r="S176" t="str">
        <f>IFERROR(IF(VLOOKUP(A176,'[1]Sales Order'!A:H,8,FALSE)&gt;100,"High Freight","Low Freight"),"Not Specified")</f>
        <v>Low Freight</v>
      </c>
      <c r="T176">
        <f t="shared" si="5"/>
        <v>524</v>
      </c>
    </row>
    <row r="177" spans="1:20">
      <c r="A177" s="1">
        <v>10312</v>
      </c>
      <c r="B177" s="2">
        <v>75</v>
      </c>
      <c r="C177" s="2">
        <v>6.2</v>
      </c>
      <c r="D177" s="2">
        <v>10</v>
      </c>
      <c r="E177" s="3">
        <v>0</v>
      </c>
      <c r="F177" s="2" t="str">
        <f>IFERROR(VLOOKUP(VLOOKUP(A177,'[1]Sales Order'!A:B,2,FALSE),[1]Customer!A:C,3,FALSE),"Not Specified")</f>
        <v>Syamala, Manoj</v>
      </c>
      <c r="G177" s="2" t="str">
        <f t="shared" si="4"/>
        <v>Syamala Manoj</v>
      </c>
      <c r="H177" s="8" t="str">
        <f>IFERROR(VLOOKUP(VLOOKUP(A177,'[1]Sales Order'!A:C,3,FALSE),[1]Employee!A:E,5,FALSE)&amp;" "&amp;VLOOKUP(VLOOKUP(A177,'[1]Sales Order'!A:C,3,FALSE),[1]Employee!A:C,3,FALSE)&amp;" "&amp;VLOOKUP(VLOOKUP(A177,'[1]Sales Order'!A:C,3,FALSE),[1]Employee!A:B,2,FALSE),"Not Specified")</f>
        <v>Dr. Don Funk</v>
      </c>
      <c r="I177" t="str">
        <f>IFERROR(VLOOKUP(VLOOKUP(A177,'[1]Sales Order'!A:C,3,FALSE),[1]Employee!A:J,10,FALSE),"Not Specified")</f>
        <v>WA</v>
      </c>
      <c r="J177" t="str">
        <f>VLOOKUP(B177,[1]Product!A:B,2,FALSE)</f>
        <v>Product BWRLG</v>
      </c>
      <c r="K177" t="str">
        <f>VLOOKUP(VLOOKUP(B177,[1]Product!A:D,4,FALSE),[1]Category!A:B,2,FALSE)</f>
        <v>Beverages</v>
      </c>
      <c r="L177" s="10">
        <f>IFERROR(VLOOKUP(A177,'[1]Sales Order'!A:D,4,FALSE),"")</f>
        <v>38983</v>
      </c>
      <c r="M177" s="10">
        <f>IFERROR(VLOOKUP(A177,'[1]Sales Order'!A:F,6,FALSE),"")</f>
        <v>38993</v>
      </c>
      <c r="N177" t="str">
        <f>IFERROR(VLOOKUP(VLOOKUP(A177,'[1]Sales Order'!A:G,7,FALSE),[1]Shipper!A:B,2,FALSE),"Not Specified")</f>
        <v>Shipper ETYNR</v>
      </c>
      <c r="O177" t="str">
        <f>IFERROR(VLOOKUP(A177,'[1]Sales Order'!A:I,9,FALSE),"Not Specified")</f>
        <v>Ship to 86-B</v>
      </c>
      <c r="P177" t="str">
        <f>IFERROR(VLOOKUP(A177,'[1]Sales Order'!A:N,14,FALSE),"Not Specified")</f>
        <v>Germany</v>
      </c>
      <c r="Q177" t="str">
        <f>VLOOKUP(VLOOKUP(B177,[1]Product!A:C,3,FALSE),[1]Supplier!A:B,2,FALSE)</f>
        <v>Supplier SVIYA</v>
      </c>
      <c r="R177" t="str">
        <f>VLOOKUP(VLOOKUP(B177,[1]Product!A:C,3,FALSE),[1]Supplier!A:I,9,FALSE)</f>
        <v>Germany</v>
      </c>
      <c r="S177" t="str">
        <f>IFERROR(IF(VLOOKUP(A177,'[1]Sales Order'!A:H,8,FALSE)&gt;100,"High Freight","Low Freight"),"Not Specified")</f>
        <v>Low Freight</v>
      </c>
      <c r="T177">
        <f t="shared" si="5"/>
        <v>62</v>
      </c>
    </row>
    <row r="178" spans="1:20">
      <c r="A178" s="1">
        <v>10313</v>
      </c>
      <c r="B178" s="2">
        <v>36</v>
      </c>
      <c r="C178" s="2">
        <v>15.2</v>
      </c>
      <c r="D178" s="2">
        <v>12</v>
      </c>
      <c r="E178" s="3">
        <v>0</v>
      </c>
      <c r="F178" s="2" t="str">
        <f>IFERROR(VLOOKUP(VLOOKUP(A178,'[1]Sales Order'!A:B,2,FALSE),[1]Customer!A:C,3,FALSE),"Not Specified")</f>
        <v>Veronesi, Giorgio</v>
      </c>
      <c r="G178" s="2" t="str">
        <f t="shared" si="4"/>
        <v>Veronesi Giorgio</v>
      </c>
      <c r="H178" s="8" t="str">
        <f>IFERROR(VLOOKUP(VLOOKUP(A178,'[1]Sales Order'!A:C,3,FALSE),[1]Employee!A:E,5,FALSE)&amp;" "&amp;VLOOKUP(VLOOKUP(A178,'[1]Sales Order'!A:C,3,FALSE),[1]Employee!A:C,3,FALSE)&amp;" "&amp;VLOOKUP(VLOOKUP(A178,'[1]Sales Order'!A:C,3,FALSE),[1]Employee!A:B,2,FALSE),"Not Specified")</f>
        <v>Dr. Don Funk</v>
      </c>
      <c r="I178" t="str">
        <f>IFERROR(VLOOKUP(VLOOKUP(A178,'[1]Sales Order'!A:C,3,FALSE),[1]Employee!A:J,10,FALSE),"Not Specified")</f>
        <v>WA</v>
      </c>
      <c r="J178" t="str">
        <f>VLOOKUP(B178,[1]Product!A:B,2,FALSE)</f>
        <v>Product GMKIJ</v>
      </c>
      <c r="K178" t="str">
        <f>VLOOKUP(VLOOKUP(B178,[1]Product!A:D,4,FALSE),[1]Category!A:B,2,FALSE)</f>
        <v>Seafood</v>
      </c>
      <c r="L178" s="10">
        <f>IFERROR(VLOOKUP(A178,'[1]Sales Order'!A:D,4,FALSE),"")</f>
        <v>38984</v>
      </c>
      <c r="M178" s="10">
        <f>IFERROR(VLOOKUP(A178,'[1]Sales Order'!A:F,6,FALSE),"")</f>
        <v>38994</v>
      </c>
      <c r="N178" t="str">
        <f>IFERROR(VLOOKUP(VLOOKUP(A178,'[1]Sales Order'!A:G,7,FALSE),[1]Shipper!A:B,2,FALSE),"Not Specified")</f>
        <v>Shipper ETYNR</v>
      </c>
      <c r="O178" t="str">
        <f>IFERROR(VLOOKUP(A178,'[1]Sales Order'!A:I,9,FALSE),"Not Specified")</f>
        <v>Ship to 63-A</v>
      </c>
      <c r="P178" t="str">
        <f>IFERROR(VLOOKUP(A178,'[1]Sales Order'!A:N,14,FALSE),"Not Specified")</f>
        <v>Germany</v>
      </c>
      <c r="Q178" t="str">
        <f>VLOOKUP(VLOOKUP(B178,[1]Product!A:C,3,FALSE),[1]Supplier!A:B,2,FALSE)</f>
        <v>Supplier QZGUF</v>
      </c>
      <c r="R178" t="str">
        <f>VLOOKUP(VLOOKUP(B178,[1]Product!A:C,3,FALSE),[1]Supplier!A:I,9,FALSE)</f>
        <v>Sweden</v>
      </c>
      <c r="S178" t="str">
        <f>IFERROR(IF(VLOOKUP(A178,'[1]Sales Order'!A:H,8,FALSE)&gt;100,"High Freight","Low Freight"),"Not Specified")</f>
        <v>Low Freight</v>
      </c>
      <c r="T178">
        <f t="shared" si="5"/>
        <v>182.39999999999998</v>
      </c>
    </row>
    <row r="179" spans="1:20">
      <c r="A179" s="1">
        <v>10314</v>
      </c>
      <c r="B179" s="2">
        <v>32</v>
      </c>
      <c r="C179" s="2">
        <v>25.6</v>
      </c>
      <c r="D179" s="2">
        <v>40</v>
      </c>
      <c r="E179" s="3">
        <v>0.1</v>
      </c>
      <c r="F179" s="2" t="str">
        <f>IFERROR(VLOOKUP(VLOOKUP(A179,'[1]Sales Order'!A:B,2,FALSE),[1]Customer!A:C,3,FALSE),"Not Specified")</f>
        <v>Moore, Michael</v>
      </c>
      <c r="G179" s="2" t="str">
        <f t="shared" si="4"/>
        <v>Moore Michael</v>
      </c>
      <c r="H179" s="8" t="str">
        <f>IFERROR(VLOOKUP(VLOOKUP(A179,'[1]Sales Order'!A:C,3,FALSE),[1]Employee!A:E,5,FALSE)&amp;" "&amp;VLOOKUP(VLOOKUP(A179,'[1]Sales Order'!A:C,3,FALSE),[1]Employee!A:C,3,FALSE)&amp;" "&amp;VLOOKUP(VLOOKUP(A179,'[1]Sales Order'!A:C,3,FALSE),[1]Employee!A:B,2,FALSE),"Not Specified")</f>
        <v>Ms. Sara Davis</v>
      </c>
      <c r="I179" t="str">
        <f>IFERROR(VLOOKUP(VLOOKUP(A179,'[1]Sales Order'!A:C,3,FALSE),[1]Employee!A:J,10,FALSE),"Not Specified")</f>
        <v>WA</v>
      </c>
      <c r="J179" t="str">
        <f>VLOOKUP(B179,[1]Product!A:B,2,FALSE)</f>
        <v>Product NUNAW</v>
      </c>
      <c r="K179" t="str">
        <f>VLOOKUP(VLOOKUP(B179,[1]Product!A:D,4,FALSE),[1]Category!A:B,2,FALSE)</f>
        <v>Dairy Product</v>
      </c>
      <c r="L179" s="10">
        <f>IFERROR(VLOOKUP(A179,'[1]Sales Order'!A:D,4,FALSE),"")</f>
        <v>38985</v>
      </c>
      <c r="M179" s="10">
        <f>IFERROR(VLOOKUP(A179,'[1]Sales Order'!A:F,6,FALSE),"")</f>
        <v>38994</v>
      </c>
      <c r="N179" t="str">
        <f>IFERROR(VLOOKUP(VLOOKUP(A179,'[1]Sales Order'!A:G,7,FALSE),[1]Shipper!A:B,2,FALSE),"Not Specified")</f>
        <v>Shipper ETYNR</v>
      </c>
      <c r="O179" t="str">
        <f>IFERROR(VLOOKUP(A179,'[1]Sales Order'!A:I,9,FALSE),"Not Specified")</f>
        <v>Ship to 65-A</v>
      </c>
      <c r="P179" t="str">
        <f>IFERROR(VLOOKUP(A179,'[1]Sales Order'!A:N,14,FALSE),"Not Specified")</f>
        <v>USA</v>
      </c>
      <c r="Q179" t="str">
        <f>VLOOKUP(VLOOKUP(B179,[1]Product!A:C,3,FALSE),[1]Supplier!A:B,2,FALSE)</f>
        <v>Supplier KEREV</v>
      </c>
      <c r="R179" t="str">
        <f>VLOOKUP(VLOOKUP(B179,[1]Product!A:C,3,FALSE),[1]Supplier!A:I,9,FALSE)</f>
        <v>Italy</v>
      </c>
      <c r="S179" t="str">
        <f>IFERROR(IF(VLOOKUP(A179,'[1]Sales Order'!A:H,8,FALSE)&gt;100,"High Freight","Low Freight"),"Not Specified")</f>
        <v>Low Freight</v>
      </c>
      <c r="T179">
        <f t="shared" si="5"/>
        <v>921.6</v>
      </c>
    </row>
    <row r="180" spans="1:20">
      <c r="A180" s="1">
        <v>10314</v>
      </c>
      <c r="B180" s="2">
        <v>58</v>
      </c>
      <c r="C180" s="2">
        <v>10.6</v>
      </c>
      <c r="D180" s="2">
        <v>30</v>
      </c>
      <c r="E180" s="3">
        <v>0.1</v>
      </c>
      <c r="F180" s="2" t="str">
        <f>IFERROR(VLOOKUP(VLOOKUP(A180,'[1]Sales Order'!A:B,2,FALSE),[1]Customer!A:C,3,FALSE),"Not Specified")</f>
        <v>Moore, Michael</v>
      </c>
      <c r="G180" s="2" t="str">
        <f t="shared" si="4"/>
        <v>Moore Michael</v>
      </c>
      <c r="H180" s="8" t="str">
        <f>IFERROR(VLOOKUP(VLOOKUP(A180,'[1]Sales Order'!A:C,3,FALSE),[1]Employee!A:E,5,FALSE)&amp;" "&amp;VLOOKUP(VLOOKUP(A180,'[1]Sales Order'!A:C,3,FALSE),[1]Employee!A:C,3,FALSE)&amp;" "&amp;VLOOKUP(VLOOKUP(A180,'[1]Sales Order'!A:C,3,FALSE),[1]Employee!A:B,2,FALSE),"Not Specified")</f>
        <v>Ms. Sara Davis</v>
      </c>
      <c r="I180" t="str">
        <f>IFERROR(VLOOKUP(VLOOKUP(A180,'[1]Sales Order'!A:C,3,FALSE),[1]Employee!A:J,10,FALSE),"Not Specified")</f>
        <v>WA</v>
      </c>
      <c r="J180" t="str">
        <f>VLOOKUP(B180,[1]Product!A:B,2,FALSE)</f>
        <v>Product ACRVI</v>
      </c>
      <c r="K180" t="str">
        <f>VLOOKUP(VLOOKUP(B180,[1]Product!A:D,4,FALSE),[1]Category!A:B,2,FALSE)</f>
        <v>Seafood</v>
      </c>
      <c r="L180" s="10">
        <f>IFERROR(VLOOKUP(A180,'[1]Sales Order'!A:D,4,FALSE),"")</f>
        <v>38985</v>
      </c>
      <c r="M180" s="10">
        <f>IFERROR(VLOOKUP(A180,'[1]Sales Order'!A:F,6,FALSE),"")</f>
        <v>38994</v>
      </c>
      <c r="N180" t="str">
        <f>IFERROR(VLOOKUP(VLOOKUP(A180,'[1]Sales Order'!A:G,7,FALSE),[1]Shipper!A:B,2,FALSE),"Not Specified")</f>
        <v>Shipper ETYNR</v>
      </c>
      <c r="O180" t="str">
        <f>IFERROR(VLOOKUP(A180,'[1]Sales Order'!A:I,9,FALSE),"Not Specified")</f>
        <v>Ship to 65-A</v>
      </c>
      <c r="P180" t="str">
        <f>IFERROR(VLOOKUP(A180,'[1]Sales Order'!A:N,14,FALSE),"Not Specified")</f>
        <v>USA</v>
      </c>
      <c r="Q180" t="str">
        <f>VLOOKUP(VLOOKUP(B180,[1]Product!A:C,3,FALSE),[1]Supplier!A:B,2,FALSE)</f>
        <v>Supplier ZRYDZ</v>
      </c>
      <c r="R180" t="str">
        <f>VLOOKUP(VLOOKUP(B180,[1]Product!A:C,3,FALSE),[1]Supplier!A:I,9,FALSE)</f>
        <v>France</v>
      </c>
      <c r="S180" t="str">
        <f>IFERROR(IF(VLOOKUP(A180,'[1]Sales Order'!A:H,8,FALSE)&gt;100,"High Freight","Low Freight"),"Not Specified")</f>
        <v>Low Freight</v>
      </c>
      <c r="T180">
        <f t="shared" si="5"/>
        <v>286.2</v>
      </c>
    </row>
    <row r="181" spans="1:20">
      <c r="A181" s="1">
        <v>10314</v>
      </c>
      <c r="B181" s="2">
        <v>62</v>
      </c>
      <c r="C181" s="2">
        <v>39.4</v>
      </c>
      <c r="D181" s="2">
        <v>25</v>
      </c>
      <c r="E181" s="3">
        <v>0.1</v>
      </c>
      <c r="F181" s="2" t="str">
        <f>IFERROR(VLOOKUP(VLOOKUP(A181,'[1]Sales Order'!A:B,2,FALSE),[1]Customer!A:C,3,FALSE),"Not Specified")</f>
        <v>Moore, Michael</v>
      </c>
      <c r="G181" s="2" t="str">
        <f t="shared" si="4"/>
        <v>Moore Michael</v>
      </c>
      <c r="H181" s="8" t="str">
        <f>IFERROR(VLOOKUP(VLOOKUP(A181,'[1]Sales Order'!A:C,3,FALSE),[1]Employee!A:E,5,FALSE)&amp;" "&amp;VLOOKUP(VLOOKUP(A181,'[1]Sales Order'!A:C,3,FALSE),[1]Employee!A:C,3,FALSE)&amp;" "&amp;VLOOKUP(VLOOKUP(A181,'[1]Sales Order'!A:C,3,FALSE),[1]Employee!A:B,2,FALSE),"Not Specified")</f>
        <v>Ms. Sara Davis</v>
      </c>
      <c r="I181" t="str">
        <f>IFERROR(VLOOKUP(VLOOKUP(A181,'[1]Sales Order'!A:C,3,FALSE),[1]Employee!A:J,10,FALSE),"Not Specified")</f>
        <v>WA</v>
      </c>
      <c r="J181" t="str">
        <f>VLOOKUP(B181,[1]Product!A:B,2,FALSE)</f>
        <v>Product WUXYK</v>
      </c>
      <c r="K181" t="str">
        <f>VLOOKUP(VLOOKUP(B181,[1]Product!A:D,4,FALSE),[1]Category!A:B,2,FALSE)</f>
        <v>Confections</v>
      </c>
      <c r="L181" s="10">
        <f>IFERROR(VLOOKUP(A181,'[1]Sales Order'!A:D,4,FALSE),"")</f>
        <v>38985</v>
      </c>
      <c r="M181" s="10">
        <f>IFERROR(VLOOKUP(A181,'[1]Sales Order'!A:F,6,FALSE),"")</f>
        <v>38994</v>
      </c>
      <c r="N181" t="str">
        <f>IFERROR(VLOOKUP(VLOOKUP(A181,'[1]Sales Order'!A:G,7,FALSE),[1]Shipper!A:B,2,FALSE),"Not Specified")</f>
        <v>Shipper ETYNR</v>
      </c>
      <c r="O181" t="str">
        <f>IFERROR(VLOOKUP(A181,'[1]Sales Order'!A:I,9,FALSE),"Not Specified")</f>
        <v>Ship to 65-A</v>
      </c>
      <c r="P181" t="str">
        <f>IFERROR(VLOOKUP(A181,'[1]Sales Order'!A:N,14,FALSE),"Not Specified")</f>
        <v>USA</v>
      </c>
      <c r="Q181" t="str">
        <f>VLOOKUP(VLOOKUP(B181,[1]Product!A:C,3,FALSE),[1]Supplier!A:B,2,FALSE)</f>
        <v>Supplier OGLRK</v>
      </c>
      <c r="R181" t="str">
        <f>VLOOKUP(VLOOKUP(B181,[1]Product!A:C,3,FALSE),[1]Supplier!A:I,9,FALSE)</f>
        <v>Canada</v>
      </c>
      <c r="S181" t="str">
        <f>IFERROR(IF(VLOOKUP(A181,'[1]Sales Order'!A:H,8,FALSE)&gt;100,"High Freight","Low Freight"),"Not Specified")</f>
        <v>Low Freight</v>
      </c>
      <c r="T181">
        <f t="shared" si="5"/>
        <v>886.5</v>
      </c>
    </row>
    <row r="182" spans="1:20">
      <c r="A182" s="1">
        <v>10315</v>
      </c>
      <c r="B182" s="2">
        <v>34</v>
      </c>
      <c r="C182" s="2">
        <v>11.2</v>
      </c>
      <c r="D182" s="2">
        <v>14</v>
      </c>
      <c r="E182" s="3">
        <v>0</v>
      </c>
      <c r="F182" s="2" t="str">
        <f>IFERROR(VLOOKUP(VLOOKUP(A182,'[1]Sales Order'!A:B,2,FALSE),[1]Customer!A:C,3,FALSE),"Not Specified")</f>
        <v>Lee, Frank</v>
      </c>
      <c r="G182" s="2" t="str">
        <f t="shared" si="4"/>
        <v>Lee Frank</v>
      </c>
      <c r="H182" s="8" t="str">
        <f>IFERROR(VLOOKUP(VLOOKUP(A182,'[1]Sales Order'!A:C,3,FALSE),[1]Employee!A:E,5,FALSE)&amp;" "&amp;VLOOKUP(VLOOKUP(A182,'[1]Sales Order'!A:C,3,FALSE),[1]Employee!A:C,3,FALSE)&amp;" "&amp;VLOOKUP(VLOOKUP(A182,'[1]Sales Order'!A:C,3,FALSE),[1]Employee!A:B,2,FALSE),"Not Specified")</f>
        <v>Mrs. Yael Peled</v>
      </c>
      <c r="I182" t="str">
        <f>IFERROR(VLOOKUP(VLOOKUP(A182,'[1]Sales Order'!A:C,3,FALSE),[1]Employee!A:J,10,FALSE),"Not Specified")</f>
        <v>WA</v>
      </c>
      <c r="J182" t="str">
        <f>VLOOKUP(B182,[1]Product!A:B,2,FALSE)</f>
        <v>Product SWNJY</v>
      </c>
      <c r="K182" t="str">
        <f>VLOOKUP(VLOOKUP(B182,[1]Product!A:D,4,FALSE),[1]Category!A:B,2,FALSE)</f>
        <v>Beverages</v>
      </c>
      <c r="L182" s="10">
        <f>IFERROR(VLOOKUP(A182,'[1]Sales Order'!A:D,4,FALSE),"")</f>
        <v>38986</v>
      </c>
      <c r="M182" s="10">
        <f>IFERROR(VLOOKUP(A182,'[1]Sales Order'!A:F,6,FALSE),"")</f>
        <v>38993</v>
      </c>
      <c r="N182" t="str">
        <f>IFERROR(VLOOKUP(VLOOKUP(A182,'[1]Sales Order'!A:G,7,FALSE),[1]Shipper!A:B,2,FALSE),"Not Specified")</f>
        <v>Shipper ETYNR</v>
      </c>
      <c r="O182" t="str">
        <f>IFERROR(VLOOKUP(A182,'[1]Sales Order'!A:I,9,FALSE),"Not Specified")</f>
        <v>Destination AXVHD</v>
      </c>
      <c r="P182" t="str">
        <f>IFERROR(VLOOKUP(A182,'[1]Sales Order'!A:N,14,FALSE),"Not Specified")</f>
        <v>UK</v>
      </c>
      <c r="Q182" t="str">
        <f>VLOOKUP(VLOOKUP(B182,[1]Product!A:C,3,FALSE),[1]Supplier!A:B,2,FALSE)</f>
        <v>Supplier UHZRG</v>
      </c>
      <c r="R182" t="str">
        <f>VLOOKUP(VLOOKUP(B182,[1]Product!A:C,3,FALSE),[1]Supplier!A:I,9,FALSE)</f>
        <v>USA</v>
      </c>
      <c r="S182" t="str">
        <f>IFERROR(IF(VLOOKUP(A182,'[1]Sales Order'!A:H,8,FALSE)&gt;100,"High Freight","Low Freight"),"Not Specified")</f>
        <v>Low Freight</v>
      </c>
      <c r="T182">
        <f t="shared" si="5"/>
        <v>156.79999999999998</v>
      </c>
    </row>
    <row r="183" spans="1:20">
      <c r="A183" s="1">
        <v>10315</v>
      </c>
      <c r="B183" s="2">
        <v>70</v>
      </c>
      <c r="C183" s="2">
        <v>12</v>
      </c>
      <c r="D183" s="2">
        <v>30</v>
      </c>
      <c r="E183" s="3">
        <v>0</v>
      </c>
      <c r="F183" s="2" t="str">
        <f>IFERROR(VLOOKUP(VLOOKUP(A183,'[1]Sales Order'!A:B,2,FALSE),[1]Customer!A:C,3,FALSE),"Not Specified")</f>
        <v>Lee, Frank</v>
      </c>
      <c r="G183" s="2" t="str">
        <f t="shared" si="4"/>
        <v>Lee Frank</v>
      </c>
      <c r="H183" s="8" t="str">
        <f>IFERROR(VLOOKUP(VLOOKUP(A183,'[1]Sales Order'!A:C,3,FALSE),[1]Employee!A:E,5,FALSE)&amp;" "&amp;VLOOKUP(VLOOKUP(A183,'[1]Sales Order'!A:C,3,FALSE),[1]Employee!A:C,3,FALSE)&amp;" "&amp;VLOOKUP(VLOOKUP(A183,'[1]Sales Order'!A:C,3,FALSE),[1]Employee!A:B,2,FALSE),"Not Specified")</f>
        <v>Mrs. Yael Peled</v>
      </c>
      <c r="I183" t="str">
        <f>IFERROR(VLOOKUP(VLOOKUP(A183,'[1]Sales Order'!A:C,3,FALSE),[1]Employee!A:J,10,FALSE),"Not Specified")</f>
        <v>WA</v>
      </c>
      <c r="J183" t="str">
        <f>VLOOKUP(B183,[1]Product!A:B,2,FALSE)</f>
        <v>Product TOONT</v>
      </c>
      <c r="K183" t="str">
        <f>VLOOKUP(VLOOKUP(B183,[1]Product!A:D,4,FALSE),[1]Category!A:B,2,FALSE)</f>
        <v>Beverages</v>
      </c>
      <c r="L183" s="10">
        <f>IFERROR(VLOOKUP(A183,'[1]Sales Order'!A:D,4,FALSE),"")</f>
        <v>38986</v>
      </c>
      <c r="M183" s="10">
        <f>IFERROR(VLOOKUP(A183,'[1]Sales Order'!A:F,6,FALSE),"")</f>
        <v>38993</v>
      </c>
      <c r="N183" t="str">
        <f>IFERROR(VLOOKUP(VLOOKUP(A183,'[1]Sales Order'!A:G,7,FALSE),[1]Shipper!A:B,2,FALSE),"Not Specified")</f>
        <v>Shipper ETYNR</v>
      </c>
      <c r="O183" t="str">
        <f>IFERROR(VLOOKUP(A183,'[1]Sales Order'!A:I,9,FALSE),"Not Specified")</f>
        <v>Destination AXVHD</v>
      </c>
      <c r="P183" t="str">
        <f>IFERROR(VLOOKUP(A183,'[1]Sales Order'!A:N,14,FALSE),"Not Specified")</f>
        <v>UK</v>
      </c>
      <c r="Q183" t="str">
        <f>VLOOKUP(VLOOKUP(B183,[1]Product!A:C,3,FALSE),[1]Supplier!A:B,2,FALSE)</f>
        <v>Supplier GQRCV</v>
      </c>
      <c r="R183" t="str">
        <f>VLOOKUP(VLOOKUP(B183,[1]Product!A:C,3,FALSE),[1]Supplier!A:I,9,FALSE)</f>
        <v>Australia</v>
      </c>
      <c r="S183" t="str">
        <f>IFERROR(IF(VLOOKUP(A183,'[1]Sales Order'!A:H,8,FALSE)&gt;100,"High Freight","Low Freight"),"Not Specified")</f>
        <v>Low Freight</v>
      </c>
      <c r="T183">
        <f t="shared" si="5"/>
        <v>360</v>
      </c>
    </row>
    <row r="184" spans="1:20">
      <c r="A184" s="1">
        <v>10316</v>
      </c>
      <c r="B184" s="2">
        <v>41</v>
      </c>
      <c r="C184" s="2">
        <v>7.7</v>
      </c>
      <c r="D184" s="2">
        <v>10</v>
      </c>
      <c r="E184" s="3">
        <v>0</v>
      </c>
      <c r="F184" s="2" t="str">
        <f>IFERROR(VLOOKUP(VLOOKUP(A184,'[1]Sales Order'!A:B,2,FALSE),[1]Customer!A:C,3,FALSE),"Not Specified")</f>
        <v>Moore, Michael</v>
      </c>
      <c r="G184" s="2" t="str">
        <f t="shared" si="4"/>
        <v>Moore Michael</v>
      </c>
      <c r="H184" s="8" t="str">
        <f>IFERROR(VLOOKUP(VLOOKUP(A184,'[1]Sales Order'!A:C,3,FALSE),[1]Employee!A:E,5,FALSE)&amp;" "&amp;VLOOKUP(VLOOKUP(A184,'[1]Sales Order'!A:C,3,FALSE),[1]Employee!A:C,3,FALSE)&amp;" "&amp;VLOOKUP(VLOOKUP(A184,'[1]Sales Order'!A:C,3,FALSE),[1]Employee!A:B,2,FALSE),"Not Specified")</f>
        <v>Ms. Sara Davis</v>
      </c>
      <c r="I184" t="str">
        <f>IFERROR(VLOOKUP(VLOOKUP(A184,'[1]Sales Order'!A:C,3,FALSE),[1]Employee!A:J,10,FALSE),"Not Specified")</f>
        <v>WA</v>
      </c>
      <c r="J184" t="str">
        <f>VLOOKUP(B184,[1]Product!A:B,2,FALSE)</f>
        <v>Product TTEEX</v>
      </c>
      <c r="K184" t="str">
        <f>VLOOKUP(VLOOKUP(B184,[1]Product!A:D,4,FALSE),[1]Category!A:B,2,FALSE)</f>
        <v>Seafood</v>
      </c>
      <c r="L184" s="10">
        <f>IFERROR(VLOOKUP(A184,'[1]Sales Order'!A:D,4,FALSE),"")</f>
        <v>38987</v>
      </c>
      <c r="M184" s="10">
        <f>IFERROR(VLOOKUP(A184,'[1]Sales Order'!A:F,6,FALSE),"")</f>
        <v>38998</v>
      </c>
      <c r="N184" t="str">
        <f>IFERROR(VLOOKUP(VLOOKUP(A184,'[1]Sales Order'!A:G,7,FALSE),[1]Shipper!A:B,2,FALSE),"Not Specified")</f>
        <v>Shipper ZHISN</v>
      </c>
      <c r="O184" t="str">
        <f>IFERROR(VLOOKUP(A184,'[1]Sales Order'!A:I,9,FALSE),"Not Specified")</f>
        <v>Ship to 65-B</v>
      </c>
      <c r="P184" t="str">
        <f>IFERROR(VLOOKUP(A184,'[1]Sales Order'!A:N,14,FALSE),"Not Specified")</f>
        <v>USA</v>
      </c>
      <c r="Q184" t="str">
        <f>VLOOKUP(VLOOKUP(B184,[1]Product!A:C,3,FALSE),[1]Supplier!A:B,2,FALSE)</f>
        <v>Supplier JDNUG</v>
      </c>
      <c r="R184" t="str">
        <f>VLOOKUP(VLOOKUP(B184,[1]Product!A:C,3,FALSE),[1]Supplier!A:I,9,FALSE)</f>
        <v>USA</v>
      </c>
      <c r="S184" t="str">
        <f>IFERROR(IF(VLOOKUP(A184,'[1]Sales Order'!A:H,8,FALSE)&gt;100,"High Freight","Low Freight"),"Not Specified")</f>
        <v>High Freight</v>
      </c>
      <c r="T184">
        <f t="shared" si="5"/>
        <v>77</v>
      </c>
    </row>
    <row r="185" spans="1:20">
      <c r="A185" s="1">
        <v>10316</v>
      </c>
      <c r="B185" s="2">
        <v>62</v>
      </c>
      <c r="C185" s="2">
        <v>39.4</v>
      </c>
      <c r="D185" s="2">
        <v>70</v>
      </c>
      <c r="E185" s="3">
        <v>0</v>
      </c>
      <c r="F185" s="2" t="str">
        <f>IFERROR(VLOOKUP(VLOOKUP(A185,'[1]Sales Order'!A:B,2,FALSE),[1]Customer!A:C,3,FALSE),"Not Specified")</f>
        <v>Moore, Michael</v>
      </c>
      <c r="G185" s="2" t="str">
        <f t="shared" si="4"/>
        <v>Moore Michael</v>
      </c>
      <c r="H185" s="8" t="str">
        <f>IFERROR(VLOOKUP(VLOOKUP(A185,'[1]Sales Order'!A:C,3,FALSE),[1]Employee!A:E,5,FALSE)&amp;" "&amp;VLOOKUP(VLOOKUP(A185,'[1]Sales Order'!A:C,3,FALSE),[1]Employee!A:C,3,FALSE)&amp;" "&amp;VLOOKUP(VLOOKUP(A185,'[1]Sales Order'!A:C,3,FALSE),[1]Employee!A:B,2,FALSE),"Not Specified")</f>
        <v>Ms. Sara Davis</v>
      </c>
      <c r="I185" t="str">
        <f>IFERROR(VLOOKUP(VLOOKUP(A185,'[1]Sales Order'!A:C,3,FALSE),[1]Employee!A:J,10,FALSE),"Not Specified")</f>
        <v>WA</v>
      </c>
      <c r="J185" t="str">
        <f>VLOOKUP(B185,[1]Product!A:B,2,FALSE)</f>
        <v>Product WUXYK</v>
      </c>
      <c r="K185" t="str">
        <f>VLOOKUP(VLOOKUP(B185,[1]Product!A:D,4,FALSE),[1]Category!A:B,2,FALSE)</f>
        <v>Confections</v>
      </c>
      <c r="L185" s="10">
        <f>IFERROR(VLOOKUP(A185,'[1]Sales Order'!A:D,4,FALSE),"")</f>
        <v>38987</v>
      </c>
      <c r="M185" s="10">
        <f>IFERROR(VLOOKUP(A185,'[1]Sales Order'!A:F,6,FALSE),"")</f>
        <v>38998</v>
      </c>
      <c r="N185" t="str">
        <f>IFERROR(VLOOKUP(VLOOKUP(A185,'[1]Sales Order'!A:G,7,FALSE),[1]Shipper!A:B,2,FALSE),"Not Specified")</f>
        <v>Shipper ZHISN</v>
      </c>
      <c r="O185" t="str">
        <f>IFERROR(VLOOKUP(A185,'[1]Sales Order'!A:I,9,FALSE),"Not Specified")</f>
        <v>Ship to 65-B</v>
      </c>
      <c r="P185" t="str">
        <f>IFERROR(VLOOKUP(A185,'[1]Sales Order'!A:N,14,FALSE),"Not Specified")</f>
        <v>USA</v>
      </c>
      <c r="Q185" t="str">
        <f>VLOOKUP(VLOOKUP(B185,[1]Product!A:C,3,FALSE),[1]Supplier!A:B,2,FALSE)</f>
        <v>Supplier OGLRK</v>
      </c>
      <c r="R185" t="str">
        <f>VLOOKUP(VLOOKUP(B185,[1]Product!A:C,3,FALSE),[1]Supplier!A:I,9,FALSE)</f>
        <v>Canada</v>
      </c>
      <c r="S185" t="str">
        <f>IFERROR(IF(VLOOKUP(A185,'[1]Sales Order'!A:H,8,FALSE)&gt;100,"High Freight","Low Freight"),"Not Specified")</f>
        <v>High Freight</v>
      </c>
      <c r="T185">
        <f t="shared" si="5"/>
        <v>2758</v>
      </c>
    </row>
    <row r="186" spans="1:20">
      <c r="A186" s="1">
        <v>10317</v>
      </c>
      <c r="B186" s="2">
        <v>1</v>
      </c>
      <c r="C186" s="2">
        <v>14.4</v>
      </c>
      <c r="D186" s="2">
        <v>20</v>
      </c>
      <c r="E186" s="3">
        <v>0</v>
      </c>
      <c r="F186" s="2" t="str">
        <f>IFERROR(VLOOKUP(VLOOKUP(A186,'[1]Sales Order'!A:B,2,FALSE),[1]Customer!A:C,3,FALSE),"Not Specified")</f>
        <v>Szymczak, Radosław</v>
      </c>
      <c r="G186" s="2" t="str">
        <f t="shared" si="4"/>
        <v>Szymczak Radosław</v>
      </c>
      <c r="H186" s="8" t="str">
        <f>IFERROR(VLOOKUP(VLOOKUP(A186,'[1]Sales Order'!A:C,3,FALSE),[1]Employee!A:E,5,FALSE)&amp;" "&amp;VLOOKUP(VLOOKUP(A186,'[1]Sales Order'!A:C,3,FALSE),[1]Employee!A:C,3,FALSE)&amp;" "&amp;VLOOKUP(VLOOKUP(A186,'[1]Sales Order'!A:C,3,FALSE),[1]Employee!A:B,2,FALSE),"Not Specified")</f>
        <v>Mr. Paul Suurs</v>
      </c>
      <c r="I186">
        <f>IFERROR(VLOOKUP(VLOOKUP(A186,'[1]Sales Order'!A:C,3,FALSE),[1]Employee!A:J,10,FALSE),"Not Specified")</f>
        <v>0</v>
      </c>
      <c r="J186" t="str">
        <f>VLOOKUP(B186,[1]Product!A:B,2,FALSE)</f>
        <v>Product HHYDP</v>
      </c>
      <c r="K186" t="str">
        <f>VLOOKUP(VLOOKUP(B186,[1]Product!A:D,4,FALSE),[1]Category!A:B,2,FALSE)</f>
        <v>Beverages</v>
      </c>
      <c r="L186" s="10">
        <f>IFERROR(VLOOKUP(A186,'[1]Sales Order'!A:D,4,FALSE),"")</f>
        <v>38990</v>
      </c>
      <c r="M186" s="10">
        <f>IFERROR(VLOOKUP(A186,'[1]Sales Order'!A:F,6,FALSE),"")</f>
        <v>39000</v>
      </c>
      <c r="N186" t="str">
        <f>IFERROR(VLOOKUP(VLOOKUP(A186,'[1]Sales Order'!A:G,7,FALSE),[1]Shipper!A:B,2,FALSE),"Not Specified")</f>
        <v>Shipper GVSUA</v>
      </c>
      <c r="O186" t="str">
        <f>IFERROR(VLOOKUP(A186,'[1]Sales Order'!A:I,9,FALSE),"Not Specified")</f>
        <v>Ship to 48-B</v>
      </c>
      <c r="P186" t="str">
        <f>IFERROR(VLOOKUP(A186,'[1]Sales Order'!A:N,14,FALSE),"Not Specified")</f>
        <v>USA</v>
      </c>
      <c r="Q186" t="str">
        <f>VLOOKUP(VLOOKUP(B186,[1]Product!A:C,3,FALSE),[1]Supplier!A:B,2,FALSE)</f>
        <v>Supplier SWRXU</v>
      </c>
      <c r="R186" t="str">
        <f>VLOOKUP(VLOOKUP(B186,[1]Product!A:C,3,FALSE),[1]Supplier!A:I,9,FALSE)</f>
        <v>UK</v>
      </c>
      <c r="S186" t="str">
        <f>IFERROR(IF(VLOOKUP(A186,'[1]Sales Order'!A:H,8,FALSE)&gt;100,"High Freight","Low Freight"),"Not Specified")</f>
        <v>Low Freight</v>
      </c>
      <c r="T186">
        <f t="shared" si="5"/>
        <v>288</v>
      </c>
    </row>
    <row r="187" spans="1:20">
      <c r="A187" s="1">
        <v>10318</v>
      </c>
      <c r="B187" s="2">
        <v>41</v>
      </c>
      <c r="C187" s="2">
        <v>7.7</v>
      </c>
      <c r="D187" s="2">
        <v>20</v>
      </c>
      <c r="E187" s="3">
        <v>0</v>
      </c>
      <c r="F187" s="2" t="str">
        <f>IFERROR(VLOOKUP(VLOOKUP(A187,'[1]Sales Order'!A:B,2,FALSE),[1]Customer!A:C,3,FALSE),"Not Specified")</f>
        <v>Lee, Frank</v>
      </c>
      <c r="G187" s="2" t="str">
        <f t="shared" si="4"/>
        <v>Lee Frank</v>
      </c>
      <c r="H187" s="8" t="str">
        <f>IFERROR(VLOOKUP(VLOOKUP(A187,'[1]Sales Order'!A:C,3,FALSE),[1]Employee!A:E,5,FALSE)&amp;" "&amp;VLOOKUP(VLOOKUP(A187,'[1]Sales Order'!A:C,3,FALSE),[1]Employee!A:C,3,FALSE)&amp;" "&amp;VLOOKUP(VLOOKUP(A187,'[1]Sales Order'!A:C,3,FALSE),[1]Employee!A:B,2,FALSE),"Not Specified")</f>
        <v>Ms. Maria Cameron</v>
      </c>
      <c r="I187" t="str">
        <f>IFERROR(VLOOKUP(VLOOKUP(A187,'[1]Sales Order'!A:C,3,FALSE),[1]Employee!A:J,10,FALSE),"Not Specified")</f>
        <v>WA</v>
      </c>
      <c r="J187" t="str">
        <f>VLOOKUP(B187,[1]Product!A:B,2,FALSE)</f>
        <v>Product TTEEX</v>
      </c>
      <c r="K187" t="str">
        <f>VLOOKUP(VLOOKUP(B187,[1]Product!A:D,4,FALSE),[1]Category!A:B,2,FALSE)</f>
        <v>Seafood</v>
      </c>
      <c r="L187" s="10">
        <f>IFERROR(VLOOKUP(A187,'[1]Sales Order'!A:D,4,FALSE),"")</f>
        <v>38991</v>
      </c>
      <c r="M187" s="10">
        <f>IFERROR(VLOOKUP(A187,'[1]Sales Order'!A:F,6,FALSE),"")</f>
        <v>38994</v>
      </c>
      <c r="N187" t="str">
        <f>IFERROR(VLOOKUP(VLOOKUP(A187,'[1]Sales Order'!A:G,7,FALSE),[1]Shipper!A:B,2,FALSE),"Not Specified")</f>
        <v>Shipper ETYNR</v>
      </c>
      <c r="O187" t="str">
        <f>IFERROR(VLOOKUP(A187,'[1]Sales Order'!A:I,9,FALSE),"Not Specified")</f>
        <v>Destination AXVHD</v>
      </c>
      <c r="P187" t="str">
        <f>IFERROR(VLOOKUP(A187,'[1]Sales Order'!A:N,14,FALSE),"Not Specified")</f>
        <v>UK</v>
      </c>
      <c r="Q187" t="str">
        <f>VLOOKUP(VLOOKUP(B187,[1]Product!A:C,3,FALSE),[1]Supplier!A:B,2,FALSE)</f>
        <v>Supplier JDNUG</v>
      </c>
      <c r="R187" t="str">
        <f>VLOOKUP(VLOOKUP(B187,[1]Product!A:C,3,FALSE),[1]Supplier!A:I,9,FALSE)</f>
        <v>USA</v>
      </c>
      <c r="S187" t="str">
        <f>IFERROR(IF(VLOOKUP(A187,'[1]Sales Order'!A:H,8,FALSE)&gt;100,"High Freight","Low Freight"),"Not Specified")</f>
        <v>Low Freight</v>
      </c>
      <c r="T187">
        <f t="shared" si="5"/>
        <v>154</v>
      </c>
    </row>
    <row r="188" spans="1:20">
      <c r="A188" s="1">
        <v>10318</v>
      </c>
      <c r="B188" s="2">
        <v>76</v>
      </c>
      <c r="C188" s="2">
        <v>14.4</v>
      </c>
      <c r="D188" s="2">
        <v>6</v>
      </c>
      <c r="E188" s="3">
        <v>0</v>
      </c>
      <c r="F188" s="2" t="str">
        <f>IFERROR(VLOOKUP(VLOOKUP(A188,'[1]Sales Order'!A:B,2,FALSE),[1]Customer!A:C,3,FALSE),"Not Specified")</f>
        <v>Lee, Frank</v>
      </c>
      <c r="G188" s="2" t="str">
        <f t="shared" si="4"/>
        <v>Lee Frank</v>
      </c>
      <c r="H188" s="8" t="str">
        <f>IFERROR(VLOOKUP(VLOOKUP(A188,'[1]Sales Order'!A:C,3,FALSE),[1]Employee!A:E,5,FALSE)&amp;" "&amp;VLOOKUP(VLOOKUP(A188,'[1]Sales Order'!A:C,3,FALSE),[1]Employee!A:C,3,FALSE)&amp;" "&amp;VLOOKUP(VLOOKUP(A188,'[1]Sales Order'!A:C,3,FALSE),[1]Employee!A:B,2,FALSE),"Not Specified")</f>
        <v>Ms. Maria Cameron</v>
      </c>
      <c r="I188" t="str">
        <f>IFERROR(VLOOKUP(VLOOKUP(A188,'[1]Sales Order'!A:C,3,FALSE),[1]Employee!A:J,10,FALSE),"Not Specified")</f>
        <v>WA</v>
      </c>
      <c r="J188" t="str">
        <f>VLOOKUP(B188,[1]Product!A:B,2,FALSE)</f>
        <v>Product JYGFE</v>
      </c>
      <c r="K188" t="str">
        <f>VLOOKUP(VLOOKUP(B188,[1]Product!A:D,4,FALSE),[1]Category!A:B,2,FALSE)</f>
        <v>Beverages</v>
      </c>
      <c r="L188" s="10">
        <f>IFERROR(VLOOKUP(A188,'[1]Sales Order'!A:D,4,FALSE),"")</f>
        <v>38991</v>
      </c>
      <c r="M188" s="10">
        <f>IFERROR(VLOOKUP(A188,'[1]Sales Order'!A:F,6,FALSE),"")</f>
        <v>38994</v>
      </c>
      <c r="N188" t="str">
        <f>IFERROR(VLOOKUP(VLOOKUP(A188,'[1]Sales Order'!A:G,7,FALSE),[1]Shipper!A:B,2,FALSE),"Not Specified")</f>
        <v>Shipper ETYNR</v>
      </c>
      <c r="O188" t="str">
        <f>IFERROR(VLOOKUP(A188,'[1]Sales Order'!A:I,9,FALSE),"Not Specified")</f>
        <v>Destination AXVHD</v>
      </c>
      <c r="P188" t="str">
        <f>IFERROR(VLOOKUP(A188,'[1]Sales Order'!A:N,14,FALSE),"Not Specified")</f>
        <v>UK</v>
      </c>
      <c r="Q188" t="str">
        <f>VLOOKUP(VLOOKUP(B188,[1]Product!A:C,3,FALSE),[1]Supplier!A:B,2,FALSE)</f>
        <v>Supplier ELCRN</v>
      </c>
      <c r="R188" t="str">
        <f>VLOOKUP(VLOOKUP(B188,[1]Product!A:C,3,FALSE),[1]Supplier!A:I,9,FALSE)</f>
        <v>Finland</v>
      </c>
      <c r="S188" t="str">
        <f>IFERROR(IF(VLOOKUP(A188,'[1]Sales Order'!A:H,8,FALSE)&gt;100,"High Freight","Low Freight"),"Not Specified")</f>
        <v>Low Freight</v>
      </c>
      <c r="T188">
        <f t="shared" si="5"/>
        <v>86.4</v>
      </c>
    </row>
    <row r="189" spans="1:20">
      <c r="A189" s="1">
        <v>10319</v>
      </c>
      <c r="B189" s="2">
        <v>17</v>
      </c>
      <c r="C189" s="2">
        <v>31.2</v>
      </c>
      <c r="D189" s="2">
        <v>8</v>
      </c>
      <c r="E189" s="3">
        <v>0</v>
      </c>
      <c r="F189" s="2" t="str">
        <f>IFERROR(VLOOKUP(VLOOKUP(A189,'[1]Sales Order'!A:B,2,FALSE),[1]Customer!A:C,3,FALSE),"Not Specified")</f>
        <v>Geschwandtner, Jens</v>
      </c>
      <c r="G189" s="2" t="str">
        <f t="shared" si="4"/>
        <v>Geschwandtner Jens</v>
      </c>
      <c r="H189" s="8" t="str">
        <f>IFERROR(VLOOKUP(VLOOKUP(A189,'[1]Sales Order'!A:C,3,FALSE),[1]Employee!A:E,5,FALSE)&amp;" "&amp;VLOOKUP(VLOOKUP(A189,'[1]Sales Order'!A:C,3,FALSE),[1]Employee!A:C,3,FALSE)&amp;" "&amp;VLOOKUP(VLOOKUP(A189,'[1]Sales Order'!A:C,3,FALSE),[1]Employee!A:B,2,FALSE),"Not Specified")</f>
        <v>Mr. Russell King</v>
      </c>
      <c r="I189">
        <f>IFERROR(VLOOKUP(VLOOKUP(A189,'[1]Sales Order'!A:C,3,FALSE),[1]Employee!A:J,10,FALSE),"Not Specified")</f>
        <v>0</v>
      </c>
      <c r="J189" t="str">
        <f>VLOOKUP(B189,[1]Product!A:B,2,FALSE)</f>
        <v>Product BLCAX</v>
      </c>
      <c r="K189" t="str">
        <f>VLOOKUP(VLOOKUP(B189,[1]Product!A:D,4,FALSE),[1]Category!A:B,2,FALSE)</f>
        <v>Meat/Poultry</v>
      </c>
      <c r="L189" s="10">
        <f>IFERROR(VLOOKUP(A189,'[1]Sales Order'!A:D,4,FALSE),"")</f>
        <v>38992</v>
      </c>
      <c r="M189" s="10">
        <f>IFERROR(VLOOKUP(A189,'[1]Sales Order'!A:F,6,FALSE),"")</f>
        <v>39001</v>
      </c>
      <c r="N189" t="str">
        <f>IFERROR(VLOOKUP(VLOOKUP(A189,'[1]Sales Order'!A:G,7,FALSE),[1]Shipper!A:B,2,FALSE),"Not Specified")</f>
        <v>Shipper ZHISN</v>
      </c>
      <c r="O189" t="str">
        <f>IFERROR(VLOOKUP(A189,'[1]Sales Order'!A:I,9,FALSE),"Not Specified")</f>
        <v>Ship to 80-B</v>
      </c>
      <c r="P189" t="str">
        <f>IFERROR(VLOOKUP(A189,'[1]Sales Order'!A:N,14,FALSE),"Not Specified")</f>
        <v>Mexico</v>
      </c>
      <c r="Q189" t="str">
        <f>VLOOKUP(VLOOKUP(B189,[1]Product!A:C,3,FALSE),[1]Supplier!A:B,2,FALSE)</f>
        <v>Supplier GQRCV</v>
      </c>
      <c r="R189" t="str">
        <f>VLOOKUP(VLOOKUP(B189,[1]Product!A:C,3,FALSE),[1]Supplier!A:I,9,FALSE)</f>
        <v>Australia</v>
      </c>
      <c r="S189" t="str">
        <f>IFERROR(IF(VLOOKUP(A189,'[1]Sales Order'!A:H,8,FALSE)&gt;100,"High Freight","Low Freight"),"Not Specified")</f>
        <v>Low Freight</v>
      </c>
      <c r="T189">
        <f t="shared" si="5"/>
        <v>249.6</v>
      </c>
    </row>
    <row r="190" spans="1:20">
      <c r="A190" s="1">
        <v>10319</v>
      </c>
      <c r="B190" s="2">
        <v>28</v>
      </c>
      <c r="C190" s="2">
        <v>36.4</v>
      </c>
      <c r="D190" s="2">
        <v>14</v>
      </c>
      <c r="E190" s="3">
        <v>0</v>
      </c>
      <c r="F190" s="2" t="str">
        <f>IFERROR(VLOOKUP(VLOOKUP(A190,'[1]Sales Order'!A:B,2,FALSE),[1]Customer!A:C,3,FALSE),"Not Specified")</f>
        <v>Geschwandtner, Jens</v>
      </c>
      <c r="G190" s="2" t="str">
        <f t="shared" si="4"/>
        <v>Geschwandtner Jens</v>
      </c>
      <c r="H190" s="8" t="str">
        <f>IFERROR(VLOOKUP(VLOOKUP(A190,'[1]Sales Order'!A:C,3,FALSE),[1]Employee!A:E,5,FALSE)&amp;" "&amp;VLOOKUP(VLOOKUP(A190,'[1]Sales Order'!A:C,3,FALSE),[1]Employee!A:C,3,FALSE)&amp;" "&amp;VLOOKUP(VLOOKUP(A190,'[1]Sales Order'!A:C,3,FALSE),[1]Employee!A:B,2,FALSE),"Not Specified")</f>
        <v>Mr. Russell King</v>
      </c>
      <c r="I190">
        <f>IFERROR(VLOOKUP(VLOOKUP(A190,'[1]Sales Order'!A:C,3,FALSE),[1]Employee!A:J,10,FALSE),"Not Specified")</f>
        <v>0</v>
      </c>
      <c r="J190" t="str">
        <f>VLOOKUP(B190,[1]Product!A:B,2,FALSE)</f>
        <v>Product OFBNT</v>
      </c>
      <c r="K190" t="str">
        <f>VLOOKUP(VLOOKUP(B190,[1]Product!A:D,4,FALSE),[1]Category!A:B,2,FALSE)</f>
        <v>Produce</v>
      </c>
      <c r="L190" s="10">
        <f>IFERROR(VLOOKUP(A190,'[1]Sales Order'!A:D,4,FALSE),"")</f>
        <v>38992</v>
      </c>
      <c r="M190" s="10">
        <f>IFERROR(VLOOKUP(A190,'[1]Sales Order'!A:F,6,FALSE),"")</f>
        <v>39001</v>
      </c>
      <c r="N190" t="str">
        <f>IFERROR(VLOOKUP(VLOOKUP(A190,'[1]Sales Order'!A:G,7,FALSE),[1]Shipper!A:B,2,FALSE),"Not Specified")</f>
        <v>Shipper ZHISN</v>
      </c>
      <c r="O190" t="str">
        <f>IFERROR(VLOOKUP(A190,'[1]Sales Order'!A:I,9,FALSE),"Not Specified")</f>
        <v>Ship to 80-B</v>
      </c>
      <c r="P190" t="str">
        <f>IFERROR(VLOOKUP(A190,'[1]Sales Order'!A:N,14,FALSE),"Not Specified")</f>
        <v>Mexico</v>
      </c>
      <c r="Q190" t="str">
        <f>VLOOKUP(VLOOKUP(B190,[1]Product!A:C,3,FALSE),[1]Supplier!A:B,2,FALSE)</f>
        <v>Supplier SVIYA</v>
      </c>
      <c r="R190" t="str">
        <f>VLOOKUP(VLOOKUP(B190,[1]Product!A:C,3,FALSE),[1]Supplier!A:I,9,FALSE)</f>
        <v>Germany</v>
      </c>
      <c r="S190" t="str">
        <f>IFERROR(IF(VLOOKUP(A190,'[1]Sales Order'!A:H,8,FALSE)&gt;100,"High Freight","Low Freight"),"Not Specified")</f>
        <v>Low Freight</v>
      </c>
      <c r="T190">
        <f t="shared" si="5"/>
        <v>509.59999999999997</v>
      </c>
    </row>
    <row r="191" spans="1:20">
      <c r="A191" s="1">
        <v>10319</v>
      </c>
      <c r="B191" s="2">
        <v>76</v>
      </c>
      <c r="C191" s="2">
        <v>14.4</v>
      </c>
      <c r="D191" s="2">
        <v>30</v>
      </c>
      <c r="E191" s="3">
        <v>0</v>
      </c>
      <c r="F191" s="2" t="str">
        <f>IFERROR(VLOOKUP(VLOOKUP(A191,'[1]Sales Order'!A:B,2,FALSE),[1]Customer!A:C,3,FALSE),"Not Specified")</f>
        <v>Geschwandtner, Jens</v>
      </c>
      <c r="G191" s="2" t="str">
        <f t="shared" si="4"/>
        <v>Geschwandtner Jens</v>
      </c>
      <c r="H191" s="8" t="str">
        <f>IFERROR(VLOOKUP(VLOOKUP(A191,'[1]Sales Order'!A:C,3,FALSE),[1]Employee!A:E,5,FALSE)&amp;" "&amp;VLOOKUP(VLOOKUP(A191,'[1]Sales Order'!A:C,3,FALSE),[1]Employee!A:C,3,FALSE)&amp;" "&amp;VLOOKUP(VLOOKUP(A191,'[1]Sales Order'!A:C,3,FALSE),[1]Employee!A:B,2,FALSE),"Not Specified")</f>
        <v>Mr. Russell King</v>
      </c>
      <c r="I191">
        <f>IFERROR(VLOOKUP(VLOOKUP(A191,'[1]Sales Order'!A:C,3,FALSE),[1]Employee!A:J,10,FALSE),"Not Specified")</f>
        <v>0</v>
      </c>
      <c r="J191" t="str">
        <f>VLOOKUP(B191,[1]Product!A:B,2,FALSE)</f>
        <v>Product JYGFE</v>
      </c>
      <c r="K191" t="str">
        <f>VLOOKUP(VLOOKUP(B191,[1]Product!A:D,4,FALSE),[1]Category!A:B,2,FALSE)</f>
        <v>Beverages</v>
      </c>
      <c r="L191" s="10">
        <f>IFERROR(VLOOKUP(A191,'[1]Sales Order'!A:D,4,FALSE),"")</f>
        <v>38992</v>
      </c>
      <c r="M191" s="10">
        <f>IFERROR(VLOOKUP(A191,'[1]Sales Order'!A:F,6,FALSE),"")</f>
        <v>39001</v>
      </c>
      <c r="N191" t="str">
        <f>IFERROR(VLOOKUP(VLOOKUP(A191,'[1]Sales Order'!A:G,7,FALSE),[1]Shipper!A:B,2,FALSE),"Not Specified")</f>
        <v>Shipper ZHISN</v>
      </c>
      <c r="O191" t="str">
        <f>IFERROR(VLOOKUP(A191,'[1]Sales Order'!A:I,9,FALSE),"Not Specified")</f>
        <v>Ship to 80-B</v>
      </c>
      <c r="P191" t="str">
        <f>IFERROR(VLOOKUP(A191,'[1]Sales Order'!A:N,14,FALSE),"Not Specified")</f>
        <v>Mexico</v>
      </c>
      <c r="Q191" t="str">
        <f>VLOOKUP(VLOOKUP(B191,[1]Product!A:C,3,FALSE),[1]Supplier!A:B,2,FALSE)</f>
        <v>Supplier ELCRN</v>
      </c>
      <c r="R191" t="str">
        <f>VLOOKUP(VLOOKUP(B191,[1]Product!A:C,3,FALSE),[1]Supplier!A:I,9,FALSE)</f>
        <v>Finland</v>
      </c>
      <c r="S191" t="str">
        <f>IFERROR(IF(VLOOKUP(A191,'[1]Sales Order'!A:H,8,FALSE)&gt;100,"High Freight","Low Freight"),"Not Specified")</f>
        <v>Low Freight</v>
      </c>
      <c r="T191">
        <f t="shared" si="5"/>
        <v>432</v>
      </c>
    </row>
    <row r="192" spans="1:20">
      <c r="A192" s="1">
        <v>10320</v>
      </c>
      <c r="B192" s="2">
        <v>71</v>
      </c>
      <c r="C192" s="2">
        <v>17.2</v>
      </c>
      <c r="D192" s="2">
        <v>30</v>
      </c>
      <c r="E192" s="3">
        <v>0</v>
      </c>
      <c r="F192" s="2" t="str">
        <f>IFERROR(VLOOKUP(VLOOKUP(A192,'[1]Sales Order'!A:B,2,FALSE),[1]Customer!A:C,3,FALSE),"Not Specified")</f>
        <v>Ludwig, Michael</v>
      </c>
      <c r="G192" s="2" t="str">
        <f t="shared" si="4"/>
        <v>Ludwig Michael</v>
      </c>
      <c r="H192" s="8" t="str">
        <f>IFERROR(VLOOKUP(VLOOKUP(A192,'[1]Sales Order'!A:C,3,FALSE),[1]Employee!A:E,5,FALSE)&amp;" "&amp;VLOOKUP(VLOOKUP(A192,'[1]Sales Order'!A:C,3,FALSE),[1]Employee!A:C,3,FALSE)&amp;" "&amp;VLOOKUP(VLOOKUP(A192,'[1]Sales Order'!A:C,3,FALSE),[1]Employee!A:B,2,FALSE),"Not Specified")</f>
        <v>Mr. Sven Buck</v>
      </c>
      <c r="I192">
        <f>IFERROR(VLOOKUP(VLOOKUP(A192,'[1]Sales Order'!A:C,3,FALSE),[1]Employee!A:J,10,FALSE),"Not Specified")</f>
        <v>0</v>
      </c>
      <c r="J192" t="str">
        <f>VLOOKUP(B192,[1]Product!A:B,2,FALSE)</f>
        <v>Product MYMOI</v>
      </c>
      <c r="K192" t="str">
        <f>VLOOKUP(VLOOKUP(B192,[1]Product!A:D,4,FALSE),[1]Category!A:B,2,FALSE)</f>
        <v>Dairy Product</v>
      </c>
      <c r="L192" s="10">
        <f>IFERROR(VLOOKUP(A192,'[1]Sales Order'!A:D,4,FALSE),"")</f>
        <v>38993</v>
      </c>
      <c r="M192" s="10">
        <f>IFERROR(VLOOKUP(A192,'[1]Sales Order'!A:F,6,FALSE),"")</f>
        <v>39008</v>
      </c>
      <c r="N192" t="str">
        <f>IFERROR(VLOOKUP(VLOOKUP(A192,'[1]Sales Order'!A:G,7,FALSE),[1]Shipper!A:B,2,FALSE),"Not Specified")</f>
        <v>Shipper ZHISN</v>
      </c>
      <c r="O192" t="str">
        <f>IFERROR(VLOOKUP(A192,'[1]Sales Order'!A:I,9,FALSE),"Not Specified")</f>
        <v>Ship to 87-A</v>
      </c>
      <c r="P192" t="str">
        <f>IFERROR(VLOOKUP(A192,'[1]Sales Order'!A:N,14,FALSE),"Not Specified")</f>
        <v>Finland</v>
      </c>
      <c r="Q192" t="str">
        <f>VLOOKUP(VLOOKUP(B192,[1]Product!A:C,3,FALSE),[1]Supplier!A:B,2,FALSE)</f>
        <v>Supplier NZLIF</v>
      </c>
      <c r="R192" t="str">
        <f>VLOOKUP(VLOOKUP(B192,[1]Product!A:C,3,FALSE),[1]Supplier!A:I,9,FALSE)</f>
        <v>Norway</v>
      </c>
      <c r="S192" t="str">
        <f>IFERROR(IF(VLOOKUP(A192,'[1]Sales Order'!A:H,8,FALSE)&gt;100,"High Freight","Low Freight"),"Not Specified")</f>
        <v>Low Freight</v>
      </c>
      <c r="T192">
        <f t="shared" si="5"/>
        <v>516</v>
      </c>
    </row>
    <row r="193" spans="1:20">
      <c r="A193" s="1">
        <v>10321</v>
      </c>
      <c r="B193" s="2">
        <v>35</v>
      </c>
      <c r="C193" s="2">
        <v>14.4</v>
      </c>
      <c r="D193" s="2">
        <v>10</v>
      </c>
      <c r="E193" s="3">
        <v>0</v>
      </c>
      <c r="F193" s="2" t="str">
        <f>IFERROR(VLOOKUP(VLOOKUP(A193,'[1]Sales Order'!A:B,2,FALSE),[1]Customer!A:C,3,FALSE),"Not Specified")</f>
        <v>Lee, Frank</v>
      </c>
      <c r="G193" s="2" t="str">
        <f t="shared" si="4"/>
        <v>Lee Frank</v>
      </c>
      <c r="H193" s="8" t="str">
        <f>IFERROR(VLOOKUP(VLOOKUP(A193,'[1]Sales Order'!A:C,3,FALSE),[1]Employee!A:E,5,FALSE)&amp;" "&amp;VLOOKUP(VLOOKUP(A193,'[1]Sales Order'!A:C,3,FALSE),[1]Employee!A:C,3,FALSE)&amp;" "&amp;VLOOKUP(VLOOKUP(A193,'[1]Sales Order'!A:C,3,FALSE),[1]Employee!A:B,2,FALSE),"Not Specified")</f>
        <v>Ms. Judy Lew</v>
      </c>
      <c r="I193" t="str">
        <f>IFERROR(VLOOKUP(VLOOKUP(A193,'[1]Sales Order'!A:C,3,FALSE),[1]Employee!A:J,10,FALSE),"Not Specified")</f>
        <v>WA</v>
      </c>
      <c r="J193" t="str">
        <f>VLOOKUP(B193,[1]Product!A:B,2,FALSE)</f>
        <v>Product NEVTJ</v>
      </c>
      <c r="K193" t="str">
        <f>VLOOKUP(VLOOKUP(B193,[1]Product!A:D,4,FALSE),[1]Category!A:B,2,FALSE)</f>
        <v>Beverages</v>
      </c>
      <c r="L193" s="10">
        <f>IFERROR(VLOOKUP(A193,'[1]Sales Order'!A:D,4,FALSE),"")</f>
        <v>38993</v>
      </c>
      <c r="M193" s="10">
        <f>IFERROR(VLOOKUP(A193,'[1]Sales Order'!A:F,6,FALSE),"")</f>
        <v>39001</v>
      </c>
      <c r="N193" t="str">
        <f>IFERROR(VLOOKUP(VLOOKUP(A193,'[1]Sales Order'!A:G,7,FALSE),[1]Shipper!A:B,2,FALSE),"Not Specified")</f>
        <v>Shipper ETYNR</v>
      </c>
      <c r="O193" t="str">
        <f>IFERROR(VLOOKUP(A193,'[1]Sales Order'!A:I,9,FALSE),"Not Specified")</f>
        <v>Destination LMVGS</v>
      </c>
      <c r="P193" t="str">
        <f>IFERROR(VLOOKUP(A193,'[1]Sales Order'!A:N,14,FALSE),"Not Specified")</f>
        <v>UK</v>
      </c>
      <c r="Q193" t="str">
        <f>VLOOKUP(VLOOKUP(B193,[1]Product!A:C,3,FALSE),[1]Supplier!A:B,2,FALSE)</f>
        <v>Supplier UHZRG</v>
      </c>
      <c r="R193" t="str">
        <f>VLOOKUP(VLOOKUP(B193,[1]Product!A:C,3,FALSE),[1]Supplier!A:I,9,FALSE)</f>
        <v>USA</v>
      </c>
      <c r="S193" t="str">
        <f>IFERROR(IF(VLOOKUP(A193,'[1]Sales Order'!A:H,8,FALSE)&gt;100,"High Freight","Low Freight"),"Not Specified")</f>
        <v>Low Freight</v>
      </c>
      <c r="T193">
        <f t="shared" si="5"/>
        <v>144</v>
      </c>
    </row>
    <row r="194" spans="1:20">
      <c r="A194" s="1">
        <v>10322</v>
      </c>
      <c r="B194" s="2">
        <v>52</v>
      </c>
      <c r="C194" s="2">
        <v>5.6</v>
      </c>
      <c r="D194" s="2">
        <v>20</v>
      </c>
      <c r="E194" s="3">
        <v>0</v>
      </c>
      <c r="F194" s="2" t="str">
        <f>IFERROR(VLOOKUP(VLOOKUP(A194,'[1]Sales Order'!A:B,2,FALSE),[1]Customer!A:C,3,FALSE),"Not Specified")</f>
        <v>Fakhouri, Fadi</v>
      </c>
      <c r="G194" s="2" t="str">
        <f t="shared" si="4"/>
        <v>Fakhouri Fadi</v>
      </c>
      <c r="H194" s="8" t="str">
        <f>IFERROR(VLOOKUP(VLOOKUP(A194,'[1]Sales Order'!A:C,3,FALSE),[1]Employee!A:E,5,FALSE)&amp;" "&amp;VLOOKUP(VLOOKUP(A194,'[1]Sales Order'!A:C,3,FALSE),[1]Employee!A:C,3,FALSE)&amp;" "&amp;VLOOKUP(VLOOKUP(A194,'[1]Sales Order'!A:C,3,FALSE),[1]Employee!A:B,2,FALSE),"Not Specified")</f>
        <v>Mr. Russell King</v>
      </c>
      <c r="I194">
        <f>IFERROR(VLOOKUP(VLOOKUP(A194,'[1]Sales Order'!A:C,3,FALSE),[1]Employee!A:J,10,FALSE),"Not Specified")</f>
        <v>0</v>
      </c>
      <c r="J194" t="str">
        <f>VLOOKUP(B194,[1]Product!A:B,2,FALSE)</f>
        <v>Product QSRXF</v>
      </c>
      <c r="K194" t="str">
        <f>VLOOKUP(VLOOKUP(B194,[1]Product!A:D,4,FALSE),[1]Category!A:B,2,FALSE)</f>
        <v>Grains/Cereals</v>
      </c>
      <c r="L194" s="10">
        <f>IFERROR(VLOOKUP(A194,'[1]Sales Order'!A:D,4,FALSE),"")</f>
        <v>38994</v>
      </c>
      <c r="M194" s="10">
        <f>IFERROR(VLOOKUP(A194,'[1]Sales Order'!A:F,6,FALSE),"")</f>
        <v>39013</v>
      </c>
      <c r="N194" t="str">
        <f>IFERROR(VLOOKUP(VLOOKUP(A194,'[1]Sales Order'!A:G,7,FALSE),[1]Shipper!A:B,2,FALSE),"Not Specified")</f>
        <v>Shipper ZHISN</v>
      </c>
      <c r="O194" t="str">
        <f>IFERROR(VLOOKUP(A194,'[1]Sales Order'!A:I,9,FALSE),"Not Specified")</f>
        <v>Ship to 58-A</v>
      </c>
      <c r="P194" t="str">
        <f>IFERROR(VLOOKUP(A194,'[1]Sales Order'!A:N,14,FALSE),"Not Specified")</f>
        <v>Mexico</v>
      </c>
      <c r="Q194" t="str">
        <f>VLOOKUP(VLOOKUP(B194,[1]Product!A:C,3,FALSE),[1]Supplier!A:B,2,FALSE)</f>
        <v>Supplier JNNES</v>
      </c>
      <c r="R194" t="str">
        <f>VLOOKUP(VLOOKUP(B194,[1]Product!A:C,3,FALSE),[1]Supplier!A:I,9,FALSE)</f>
        <v>Australia</v>
      </c>
      <c r="S194" t="str">
        <f>IFERROR(IF(VLOOKUP(A194,'[1]Sales Order'!A:H,8,FALSE)&gt;100,"High Freight","Low Freight"),"Not Specified")</f>
        <v>Low Freight</v>
      </c>
      <c r="T194">
        <f t="shared" si="5"/>
        <v>112</v>
      </c>
    </row>
    <row r="195" spans="1:20">
      <c r="A195" s="1">
        <v>10323</v>
      </c>
      <c r="B195" s="2">
        <v>15</v>
      </c>
      <c r="C195" s="2">
        <v>12.4</v>
      </c>
      <c r="D195" s="2">
        <v>5</v>
      </c>
      <c r="E195" s="3">
        <v>0</v>
      </c>
      <c r="F195" s="2" t="str">
        <f>IFERROR(VLOOKUP(VLOOKUP(A195,'[1]Sales Order'!A:B,2,FALSE),[1]Customer!A:C,3,FALSE),"Not Specified")</f>
        <v>Song, Lolan</v>
      </c>
      <c r="G195" s="2" t="str">
        <f t="shared" ref="G195:G258" si="6">SUBSTITUTE(F195,",","",1)</f>
        <v>Song Lolan</v>
      </c>
      <c r="H195" s="8" t="str">
        <f>IFERROR(VLOOKUP(VLOOKUP(A195,'[1]Sales Order'!A:C,3,FALSE),[1]Employee!A:E,5,FALSE)&amp;" "&amp;VLOOKUP(VLOOKUP(A195,'[1]Sales Order'!A:C,3,FALSE),[1]Employee!A:C,3,FALSE)&amp;" "&amp;VLOOKUP(VLOOKUP(A195,'[1]Sales Order'!A:C,3,FALSE),[1]Employee!A:B,2,FALSE),"Not Specified")</f>
        <v>Mrs. Yael Peled</v>
      </c>
      <c r="I195" t="str">
        <f>IFERROR(VLOOKUP(VLOOKUP(A195,'[1]Sales Order'!A:C,3,FALSE),[1]Employee!A:J,10,FALSE),"Not Specified")</f>
        <v>WA</v>
      </c>
      <c r="J195" t="str">
        <f>VLOOKUP(B195,[1]Product!A:B,2,FALSE)</f>
        <v>Product KSZOI</v>
      </c>
      <c r="K195" t="str">
        <f>VLOOKUP(VLOOKUP(B195,[1]Product!A:D,4,FALSE),[1]Category!A:B,2,FALSE)</f>
        <v>Condiments</v>
      </c>
      <c r="L195" s="10">
        <f>IFERROR(VLOOKUP(A195,'[1]Sales Order'!A:D,4,FALSE),"")</f>
        <v>38997</v>
      </c>
      <c r="M195" s="10">
        <f>IFERROR(VLOOKUP(A195,'[1]Sales Order'!A:F,6,FALSE),"")</f>
        <v>39004</v>
      </c>
      <c r="N195" t="str">
        <f>IFERROR(VLOOKUP(VLOOKUP(A195,'[1]Sales Order'!A:G,7,FALSE),[1]Shipper!A:B,2,FALSE),"Not Specified")</f>
        <v>Shipper GVSUA</v>
      </c>
      <c r="O195" t="str">
        <f>IFERROR(VLOOKUP(A195,'[1]Sales Order'!A:I,9,FALSE),"Not Specified")</f>
        <v>Destination RMBHM</v>
      </c>
      <c r="P195" t="str">
        <f>IFERROR(VLOOKUP(A195,'[1]Sales Order'!A:N,14,FALSE),"Not Specified")</f>
        <v>Germany</v>
      </c>
      <c r="Q195" t="str">
        <f>VLOOKUP(VLOOKUP(B195,[1]Product!A:C,3,FALSE),[1]Supplier!A:B,2,FALSE)</f>
        <v>Supplier QWUSF</v>
      </c>
      <c r="R195" t="str">
        <f>VLOOKUP(VLOOKUP(B195,[1]Product!A:C,3,FALSE),[1]Supplier!A:I,9,FALSE)</f>
        <v>Japan</v>
      </c>
      <c r="S195" t="str">
        <f>IFERROR(IF(VLOOKUP(A195,'[1]Sales Order'!A:H,8,FALSE)&gt;100,"High Freight","Low Freight"),"Not Specified")</f>
        <v>Low Freight</v>
      </c>
      <c r="T195">
        <f t="shared" ref="T195:T258" si="7">C195*D195*(1-E195)</f>
        <v>62</v>
      </c>
    </row>
    <row r="196" spans="1:20">
      <c r="A196" s="1">
        <v>10323</v>
      </c>
      <c r="B196" s="2">
        <v>25</v>
      </c>
      <c r="C196" s="2">
        <v>11.2</v>
      </c>
      <c r="D196" s="2">
        <v>4</v>
      </c>
      <c r="E196" s="3">
        <v>0</v>
      </c>
      <c r="F196" s="2" t="str">
        <f>IFERROR(VLOOKUP(VLOOKUP(A196,'[1]Sales Order'!A:B,2,FALSE),[1]Customer!A:C,3,FALSE),"Not Specified")</f>
        <v>Song, Lolan</v>
      </c>
      <c r="G196" s="2" t="str">
        <f t="shared" si="6"/>
        <v>Song Lolan</v>
      </c>
      <c r="H196" s="8" t="str">
        <f>IFERROR(VLOOKUP(VLOOKUP(A196,'[1]Sales Order'!A:C,3,FALSE),[1]Employee!A:E,5,FALSE)&amp;" "&amp;VLOOKUP(VLOOKUP(A196,'[1]Sales Order'!A:C,3,FALSE),[1]Employee!A:C,3,FALSE)&amp;" "&amp;VLOOKUP(VLOOKUP(A196,'[1]Sales Order'!A:C,3,FALSE),[1]Employee!A:B,2,FALSE),"Not Specified")</f>
        <v>Mrs. Yael Peled</v>
      </c>
      <c r="I196" t="str">
        <f>IFERROR(VLOOKUP(VLOOKUP(A196,'[1]Sales Order'!A:C,3,FALSE),[1]Employee!A:J,10,FALSE),"Not Specified")</f>
        <v>WA</v>
      </c>
      <c r="J196" t="str">
        <f>VLOOKUP(B196,[1]Product!A:B,2,FALSE)</f>
        <v>Product LYLNI</v>
      </c>
      <c r="K196" t="str">
        <f>VLOOKUP(VLOOKUP(B196,[1]Product!A:D,4,FALSE),[1]Category!A:B,2,FALSE)</f>
        <v>Confections</v>
      </c>
      <c r="L196" s="10">
        <f>IFERROR(VLOOKUP(A196,'[1]Sales Order'!A:D,4,FALSE),"")</f>
        <v>38997</v>
      </c>
      <c r="M196" s="10">
        <f>IFERROR(VLOOKUP(A196,'[1]Sales Order'!A:F,6,FALSE),"")</f>
        <v>39004</v>
      </c>
      <c r="N196" t="str">
        <f>IFERROR(VLOOKUP(VLOOKUP(A196,'[1]Sales Order'!A:G,7,FALSE),[1]Shipper!A:B,2,FALSE),"Not Specified")</f>
        <v>Shipper GVSUA</v>
      </c>
      <c r="O196" t="str">
        <f>IFERROR(VLOOKUP(A196,'[1]Sales Order'!A:I,9,FALSE),"Not Specified")</f>
        <v>Destination RMBHM</v>
      </c>
      <c r="P196" t="str">
        <f>IFERROR(VLOOKUP(A196,'[1]Sales Order'!A:N,14,FALSE),"Not Specified")</f>
        <v>Germany</v>
      </c>
      <c r="Q196" t="str">
        <f>VLOOKUP(VLOOKUP(B196,[1]Product!A:C,3,FALSE),[1]Supplier!A:B,2,FALSE)</f>
        <v>Supplier ZPYVS</v>
      </c>
      <c r="R196" t="str">
        <f>VLOOKUP(VLOOKUP(B196,[1]Product!A:C,3,FALSE),[1]Supplier!A:I,9,FALSE)</f>
        <v>Germany</v>
      </c>
      <c r="S196" t="str">
        <f>IFERROR(IF(VLOOKUP(A196,'[1]Sales Order'!A:H,8,FALSE)&gt;100,"High Freight","Low Freight"),"Not Specified")</f>
        <v>Low Freight</v>
      </c>
      <c r="T196">
        <f t="shared" si="7"/>
        <v>44.8</v>
      </c>
    </row>
    <row r="197" spans="1:20">
      <c r="A197" s="1">
        <v>10323</v>
      </c>
      <c r="B197" s="2">
        <v>39</v>
      </c>
      <c r="C197" s="2">
        <v>14.4</v>
      </c>
      <c r="D197" s="2">
        <v>4</v>
      </c>
      <c r="E197" s="3">
        <v>0</v>
      </c>
      <c r="F197" s="2" t="str">
        <f>IFERROR(VLOOKUP(VLOOKUP(A197,'[1]Sales Order'!A:B,2,FALSE),[1]Customer!A:C,3,FALSE),"Not Specified")</f>
        <v>Song, Lolan</v>
      </c>
      <c r="G197" s="2" t="str">
        <f t="shared" si="6"/>
        <v>Song Lolan</v>
      </c>
      <c r="H197" s="8" t="str">
        <f>IFERROR(VLOOKUP(VLOOKUP(A197,'[1]Sales Order'!A:C,3,FALSE),[1]Employee!A:E,5,FALSE)&amp;" "&amp;VLOOKUP(VLOOKUP(A197,'[1]Sales Order'!A:C,3,FALSE),[1]Employee!A:C,3,FALSE)&amp;" "&amp;VLOOKUP(VLOOKUP(A197,'[1]Sales Order'!A:C,3,FALSE),[1]Employee!A:B,2,FALSE),"Not Specified")</f>
        <v>Mrs. Yael Peled</v>
      </c>
      <c r="I197" t="str">
        <f>IFERROR(VLOOKUP(VLOOKUP(A197,'[1]Sales Order'!A:C,3,FALSE),[1]Employee!A:J,10,FALSE),"Not Specified")</f>
        <v>WA</v>
      </c>
      <c r="J197" t="str">
        <f>VLOOKUP(B197,[1]Product!A:B,2,FALSE)</f>
        <v>Product LSOFL</v>
      </c>
      <c r="K197" t="str">
        <f>VLOOKUP(VLOOKUP(B197,[1]Product!A:D,4,FALSE),[1]Category!A:B,2,FALSE)</f>
        <v>Beverages</v>
      </c>
      <c r="L197" s="10">
        <f>IFERROR(VLOOKUP(A197,'[1]Sales Order'!A:D,4,FALSE),"")</f>
        <v>38997</v>
      </c>
      <c r="M197" s="10">
        <f>IFERROR(VLOOKUP(A197,'[1]Sales Order'!A:F,6,FALSE),"")</f>
        <v>39004</v>
      </c>
      <c r="N197" t="str">
        <f>IFERROR(VLOOKUP(VLOOKUP(A197,'[1]Sales Order'!A:G,7,FALSE),[1]Shipper!A:B,2,FALSE),"Not Specified")</f>
        <v>Shipper GVSUA</v>
      </c>
      <c r="O197" t="str">
        <f>IFERROR(VLOOKUP(A197,'[1]Sales Order'!A:I,9,FALSE),"Not Specified")</f>
        <v>Destination RMBHM</v>
      </c>
      <c r="P197" t="str">
        <f>IFERROR(VLOOKUP(A197,'[1]Sales Order'!A:N,14,FALSE),"Not Specified")</f>
        <v>Germany</v>
      </c>
      <c r="Q197" t="str">
        <f>VLOOKUP(VLOOKUP(B197,[1]Product!A:C,3,FALSE),[1]Supplier!A:B,2,FALSE)</f>
        <v>Supplier LVJUA</v>
      </c>
      <c r="R197" t="str">
        <f>VLOOKUP(VLOOKUP(B197,[1]Product!A:C,3,FALSE),[1]Supplier!A:I,9,FALSE)</f>
        <v>France</v>
      </c>
      <c r="S197" t="str">
        <f>IFERROR(IF(VLOOKUP(A197,'[1]Sales Order'!A:H,8,FALSE)&gt;100,"High Freight","Low Freight"),"Not Specified")</f>
        <v>Low Freight</v>
      </c>
      <c r="T197">
        <f t="shared" si="7"/>
        <v>57.6</v>
      </c>
    </row>
    <row r="198" spans="1:20">
      <c r="A198" s="1">
        <v>10324</v>
      </c>
      <c r="B198" s="2">
        <v>16</v>
      </c>
      <c r="C198" s="2">
        <v>13.9</v>
      </c>
      <c r="D198" s="2">
        <v>21</v>
      </c>
      <c r="E198" s="3">
        <v>0.15</v>
      </c>
      <c r="F198" s="2" t="str">
        <f>IFERROR(VLOOKUP(VLOOKUP(A198,'[1]Sales Order'!A:B,2,FALSE),[1]Customer!A:C,3,FALSE),"Not Specified")</f>
        <v>Navarro, Tomás</v>
      </c>
      <c r="G198" s="2" t="str">
        <f t="shared" si="6"/>
        <v>Navarro Tomás</v>
      </c>
      <c r="H198" s="8" t="str">
        <f>IFERROR(VLOOKUP(VLOOKUP(A198,'[1]Sales Order'!A:C,3,FALSE),[1]Employee!A:E,5,FALSE)&amp;" "&amp;VLOOKUP(VLOOKUP(A198,'[1]Sales Order'!A:C,3,FALSE),[1]Employee!A:C,3,FALSE)&amp;" "&amp;VLOOKUP(VLOOKUP(A198,'[1]Sales Order'!A:C,3,FALSE),[1]Employee!A:B,2,FALSE),"Not Specified")</f>
        <v>Ms. Zoya Dolgopyatova</v>
      </c>
      <c r="I198">
        <f>IFERROR(VLOOKUP(VLOOKUP(A198,'[1]Sales Order'!A:C,3,FALSE),[1]Employee!A:J,10,FALSE),"Not Specified")</f>
        <v>0</v>
      </c>
      <c r="J198" t="str">
        <f>VLOOKUP(B198,[1]Product!A:B,2,FALSE)</f>
        <v>Product PAFRH</v>
      </c>
      <c r="K198" t="str">
        <f>VLOOKUP(VLOOKUP(B198,[1]Product!A:D,4,FALSE),[1]Category!A:B,2,FALSE)</f>
        <v>Confections</v>
      </c>
      <c r="L198" s="10">
        <f>IFERROR(VLOOKUP(A198,'[1]Sales Order'!A:D,4,FALSE),"")</f>
        <v>38998</v>
      </c>
      <c r="M198" s="10">
        <f>IFERROR(VLOOKUP(A198,'[1]Sales Order'!A:F,6,FALSE),"")</f>
        <v>39000</v>
      </c>
      <c r="N198" t="str">
        <f>IFERROR(VLOOKUP(VLOOKUP(A198,'[1]Sales Order'!A:G,7,FALSE),[1]Shipper!A:B,2,FALSE),"Not Specified")</f>
        <v>Shipper GVSUA</v>
      </c>
      <c r="O198" t="str">
        <f>IFERROR(VLOOKUP(A198,'[1]Sales Order'!A:I,9,FALSE),"Not Specified")</f>
        <v>Ship to 71-C</v>
      </c>
      <c r="P198" t="str">
        <f>IFERROR(VLOOKUP(A198,'[1]Sales Order'!A:N,14,FALSE),"Not Specified")</f>
        <v>USA</v>
      </c>
      <c r="Q198" t="str">
        <f>VLOOKUP(VLOOKUP(B198,[1]Product!A:C,3,FALSE),[1]Supplier!A:B,2,FALSE)</f>
        <v>Supplier GQRCV</v>
      </c>
      <c r="R198" t="str">
        <f>VLOOKUP(VLOOKUP(B198,[1]Product!A:C,3,FALSE),[1]Supplier!A:I,9,FALSE)</f>
        <v>Australia</v>
      </c>
      <c r="S198" t="str">
        <f>IFERROR(IF(VLOOKUP(A198,'[1]Sales Order'!A:H,8,FALSE)&gt;100,"High Freight","Low Freight"),"Not Specified")</f>
        <v>High Freight</v>
      </c>
      <c r="T198">
        <f t="shared" si="7"/>
        <v>248.11500000000001</v>
      </c>
    </row>
    <row r="199" spans="1:20">
      <c r="A199" s="1">
        <v>10324</v>
      </c>
      <c r="B199" s="2">
        <v>35</v>
      </c>
      <c r="C199" s="2">
        <v>14.4</v>
      </c>
      <c r="D199" s="2">
        <v>70</v>
      </c>
      <c r="E199" s="3">
        <v>0.15</v>
      </c>
      <c r="F199" s="2" t="str">
        <f>IFERROR(VLOOKUP(VLOOKUP(A199,'[1]Sales Order'!A:B,2,FALSE),[1]Customer!A:C,3,FALSE),"Not Specified")</f>
        <v>Navarro, Tomás</v>
      </c>
      <c r="G199" s="2" t="str">
        <f t="shared" si="6"/>
        <v>Navarro Tomás</v>
      </c>
      <c r="H199" s="8" t="str">
        <f>IFERROR(VLOOKUP(VLOOKUP(A199,'[1]Sales Order'!A:C,3,FALSE),[1]Employee!A:E,5,FALSE)&amp;" "&amp;VLOOKUP(VLOOKUP(A199,'[1]Sales Order'!A:C,3,FALSE),[1]Employee!A:C,3,FALSE)&amp;" "&amp;VLOOKUP(VLOOKUP(A199,'[1]Sales Order'!A:C,3,FALSE),[1]Employee!A:B,2,FALSE),"Not Specified")</f>
        <v>Ms. Zoya Dolgopyatova</v>
      </c>
      <c r="I199">
        <f>IFERROR(VLOOKUP(VLOOKUP(A199,'[1]Sales Order'!A:C,3,FALSE),[1]Employee!A:J,10,FALSE),"Not Specified")</f>
        <v>0</v>
      </c>
      <c r="J199" t="str">
        <f>VLOOKUP(B199,[1]Product!A:B,2,FALSE)</f>
        <v>Product NEVTJ</v>
      </c>
      <c r="K199" t="str">
        <f>VLOOKUP(VLOOKUP(B199,[1]Product!A:D,4,FALSE),[1]Category!A:B,2,FALSE)</f>
        <v>Beverages</v>
      </c>
      <c r="L199" s="10">
        <f>IFERROR(VLOOKUP(A199,'[1]Sales Order'!A:D,4,FALSE),"")</f>
        <v>38998</v>
      </c>
      <c r="M199" s="10">
        <f>IFERROR(VLOOKUP(A199,'[1]Sales Order'!A:F,6,FALSE),"")</f>
        <v>39000</v>
      </c>
      <c r="N199" t="str">
        <f>IFERROR(VLOOKUP(VLOOKUP(A199,'[1]Sales Order'!A:G,7,FALSE),[1]Shipper!A:B,2,FALSE),"Not Specified")</f>
        <v>Shipper GVSUA</v>
      </c>
      <c r="O199" t="str">
        <f>IFERROR(VLOOKUP(A199,'[1]Sales Order'!A:I,9,FALSE),"Not Specified")</f>
        <v>Ship to 71-C</v>
      </c>
      <c r="P199" t="str">
        <f>IFERROR(VLOOKUP(A199,'[1]Sales Order'!A:N,14,FALSE),"Not Specified")</f>
        <v>USA</v>
      </c>
      <c r="Q199" t="str">
        <f>VLOOKUP(VLOOKUP(B199,[1]Product!A:C,3,FALSE),[1]Supplier!A:B,2,FALSE)</f>
        <v>Supplier UHZRG</v>
      </c>
      <c r="R199" t="str">
        <f>VLOOKUP(VLOOKUP(B199,[1]Product!A:C,3,FALSE),[1]Supplier!A:I,9,FALSE)</f>
        <v>USA</v>
      </c>
      <c r="S199" t="str">
        <f>IFERROR(IF(VLOOKUP(A199,'[1]Sales Order'!A:H,8,FALSE)&gt;100,"High Freight","Low Freight"),"Not Specified")</f>
        <v>High Freight</v>
      </c>
      <c r="T199">
        <f t="shared" si="7"/>
        <v>856.8</v>
      </c>
    </row>
    <row r="200" spans="1:20">
      <c r="A200" s="1">
        <v>10324</v>
      </c>
      <c r="B200" s="2">
        <v>46</v>
      </c>
      <c r="C200" s="2">
        <v>9.6</v>
      </c>
      <c r="D200" s="2">
        <v>30</v>
      </c>
      <c r="E200" s="3">
        <v>0</v>
      </c>
      <c r="F200" s="2" t="str">
        <f>IFERROR(VLOOKUP(VLOOKUP(A200,'[1]Sales Order'!A:B,2,FALSE),[1]Customer!A:C,3,FALSE),"Not Specified")</f>
        <v>Navarro, Tomás</v>
      </c>
      <c r="G200" s="2" t="str">
        <f t="shared" si="6"/>
        <v>Navarro Tomás</v>
      </c>
      <c r="H200" s="8" t="str">
        <f>IFERROR(VLOOKUP(VLOOKUP(A200,'[1]Sales Order'!A:C,3,FALSE),[1]Employee!A:E,5,FALSE)&amp;" "&amp;VLOOKUP(VLOOKUP(A200,'[1]Sales Order'!A:C,3,FALSE),[1]Employee!A:C,3,FALSE)&amp;" "&amp;VLOOKUP(VLOOKUP(A200,'[1]Sales Order'!A:C,3,FALSE),[1]Employee!A:B,2,FALSE),"Not Specified")</f>
        <v>Ms. Zoya Dolgopyatova</v>
      </c>
      <c r="I200">
        <f>IFERROR(VLOOKUP(VLOOKUP(A200,'[1]Sales Order'!A:C,3,FALSE),[1]Employee!A:J,10,FALSE),"Not Specified")</f>
        <v>0</v>
      </c>
      <c r="J200" t="str">
        <f>VLOOKUP(B200,[1]Product!A:B,2,FALSE)</f>
        <v>Product CBRRL</v>
      </c>
      <c r="K200" t="str">
        <f>VLOOKUP(VLOOKUP(B200,[1]Product!A:D,4,FALSE),[1]Category!A:B,2,FALSE)</f>
        <v>Seafood</v>
      </c>
      <c r="L200" s="10">
        <f>IFERROR(VLOOKUP(A200,'[1]Sales Order'!A:D,4,FALSE),"")</f>
        <v>38998</v>
      </c>
      <c r="M200" s="10">
        <f>IFERROR(VLOOKUP(A200,'[1]Sales Order'!A:F,6,FALSE),"")</f>
        <v>39000</v>
      </c>
      <c r="N200" t="str">
        <f>IFERROR(VLOOKUP(VLOOKUP(A200,'[1]Sales Order'!A:G,7,FALSE),[1]Shipper!A:B,2,FALSE),"Not Specified")</f>
        <v>Shipper GVSUA</v>
      </c>
      <c r="O200" t="str">
        <f>IFERROR(VLOOKUP(A200,'[1]Sales Order'!A:I,9,FALSE),"Not Specified")</f>
        <v>Ship to 71-C</v>
      </c>
      <c r="P200" t="str">
        <f>IFERROR(VLOOKUP(A200,'[1]Sales Order'!A:N,14,FALSE),"Not Specified")</f>
        <v>USA</v>
      </c>
      <c r="Q200" t="str">
        <f>VLOOKUP(VLOOKUP(B200,[1]Product!A:C,3,FALSE),[1]Supplier!A:B,2,FALSE)</f>
        <v>Supplier XOXZA</v>
      </c>
      <c r="R200" t="str">
        <f>VLOOKUP(VLOOKUP(B200,[1]Product!A:C,3,FALSE),[1]Supplier!A:I,9,FALSE)</f>
        <v>Denmark</v>
      </c>
      <c r="S200" t="str">
        <f>IFERROR(IF(VLOOKUP(A200,'[1]Sales Order'!A:H,8,FALSE)&gt;100,"High Freight","Low Freight"),"Not Specified")</f>
        <v>High Freight</v>
      </c>
      <c r="T200">
        <f t="shared" si="7"/>
        <v>288</v>
      </c>
    </row>
    <row r="201" spans="1:20">
      <c r="A201" s="1">
        <v>10324</v>
      </c>
      <c r="B201" s="2">
        <v>59</v>
      </c>
      <c r="C201" s="2">
        <v>44</v>
      </c>
      <c r="D201" s="2">
        <v>40</v>
      </c>
      <c r="E201" s="3">
        <v>0.15</v>
      </c>
      <c r="F201" s="2" t="str">
        <f>IFERROR(VLOOKUP(VLOOKUP(A201,'[1]Sales Order'!A:B,2,FALSE),[1]Customer!A:C,3,FALSE),"Not Specified")</f>
        <v>Navarro, Tomás</v>
      </c>
      <c r="G201" s="2" t="str">
        <f t="shared" si="6"/>
        <v>Navarro Tomás</v>
      </c>
      <c r="H201" s="8" t="str">
        <f>IFERROR(VLOOKUP(VLOOKUP(A201,'[1]Sales Order'!A:C,3,FALSE),[1]Employee!A:E,5,FALSE)&amp;" "&amp;VLOOKUP(VLOOKUP(A201,'[1]Sales Order'!A:C,3,FALSE),[1]Employee!A:C,3,FALSE)&amp;" "&amp;VLOOKUP(VLOOKUP(A201,'[1]Sales Order'!A:C,3,FALSE),[1]Employee!A:B,2,FALSE),"Not Specified")</f>
        <v>Ms. Zoya Dolgopyatova</v>
      </c>
      <c r="I201">
        <f>IFERROR(VLOOKUP(VLOOKUP(A201,'[1]Sales Order'!A:C,3,FALSE),[1]Employee!A:J,10,FALSE),"Not Specified")</f>
        <v>0</v>
      </c>
      <c r="J201" t="str">
        <f>VLOOKUP(B201,[1]Product!A:B,2,FALSE)</f>
        <v>Product UKXRI</v>
      </c>
      <c r="K201" t="str">
        <f>VLOOKUP(VLOOKUP(B201,[1]Product!A:D,4,FALSE),[1]Category!A:B,2,FALSE)</f>
        <v>Dairy Product</v>
      </c>
      <c r="L201" s="10">
        <f>IFERROR(VLOOKUP(A201,'[1]Sales Order'!A:D,4,FALSE),"")</f>
        <v>38998</v>
      </c>
      <c r="M201" s="10">
        <f>IFERROR(VLOOKUP(A201,'[1]Sales Order'!A:F,6,FALSE),"")</f>
        <v>39000</v>
      </c>
      <c r="N201" t="str">
        <f>IFERROR(VLOOKUP(VLOOKUP(A201,'[1]Sales Order'!A:G,7,FALSE),[1]Shipper!A:B,2,FALSE),"Not Specified")</f>
        <v>Shipper GVSUA</v>
      </c>
      <c r="O201" t="str">
        <f>IFERROR(VLOOKUP(A201,'[1]Sales Order'!A:I,9,FALSE),"Not Specified")</f>
        <v>Ship to 71-C</v>
      </c>
      <c r="P201" t="str">
        <f>IFERROR(VLOOKUP(A201,'[1]Sales Order'!A:N,14,FALSE),"Not Specified")</f>
        <v>USA</v>
      </c>
      <c r="Q201" t="str">
        <f>VLOOKUP(VLOOKUP(B201,[1]Product!A:C,3,FALSE),[1]Supplier!A:B,2,FALSE)</f>
        <v>Supplier OAVQT</v>
      </c>
      <c r="R201" t="str">
        <f>VLOOKUP(VLOOKUP(B201,[1]Product!A:C,3,FALSE),[1]Supplier!A:I,9,FALSE)</f>
        <v>France</v>
      </c>
      <c r="S201" t="str">
        <f>IFERROR(IF(VLOOKUP(A201,'[1]Sales Order'!A:H,8,FALSE)&gt;100,"High Freight","Low Freight"),"Not Specified")</f>
        <v>High Freight</v>
      </c>
      <c r="T201">
        <f t="shared" si="7"/>
        <v>1496</v>
      </c>
    </row>
    <row r="202" spans="1:20">
      <c r="A202" s="1">
        <v>10324</v>
      </c>
      <c r="B202" s="2">
        <v>63</v>
      </c>
      <c r="C202" s="2">
        <v>35.1</v>
      </c>
      <c r="D202" s="2">
        <v>80</v>
      </c>
      <c r="E202" s="3">
        <v>0.15</v>
      </c>
      <c r="F202" s="2" t="str">
        <f>IFERROR(VLOOKUP(VLOOKUP(A202,'[1]Sales Order'!A:B,2,FALSE),[1]Customer!A:C,3,FALSE),"Not Specified")</f>
        <v>Navarro, Tomás</v>
      </c>
      <c r="G202" s="2" t="str">
        <f t="shared" si="6"/>
        <v>Navarro Tomás</v>
      </c>
      <c r="H202" s="8" t="str">
        <f>IFERROR(VLOOKUP(VLOOKUP(A202,'[1]Sales Order'!A:C,3,FALSE),[1]Employee!A:E,5,FALSE)&amp;" "&amp;VLOOKUP(VLOOKUP(A202,'[1]Sales Order'!A:C,3,FALSE),[1]Employee!A:C,3,FALSE)&amp;" "&amp;VLOOKUP(VLOOKUP(A202,'[1]Sales Order'!A:C,3,FALSE),[1]Employee!A:B,2,FALSE),"Not Specified")</f>
        <v>Ms. Zoya Dolgopyatova</v>
      </c>
      <c r="I202">
        <f>IFERROR(VLOOKUP(VLOOKUP(A202,'[1]Sales Order'!A:C,3,FALSE),[1]Employee!A:J,10,FALSE),"Not Specified")</f>
        <v>0</v>
      </c>
      <c r="J202" t="str">
        <f>VLOOKUP(B202,[1]Product!A:B,2,FALSE)</f>
        <v>Product ICKNK</v>
      </c>
      <c r="K202" t="str">
        <f>VLOOKUP(VLOOKUP(B202,[1]Product!A:D,4,FALSE),[1]Category!A:B,2,FALSE)</f>
        <v>Condiments</v>
      </c>
      <c r="L202" s="10">
        <f>IFERROR(VLOOKUP(A202,'[1]Sales Order'!A:D,4,FALSE),"")</f>
        <v>38998</v>
      </c>
      <c r="M202" s="10">
        <f>IFERROR(VLOOKUP(A202,'[1]Sales Order'!A:F,6,FALSE),"")</f>
        <v>39000</v>
      </c>
      <c r="N202" t="str">
        <f>IFERROR(VLOOKUP(VLOOKUP(A202,'[1]Sales Order'!A:G,7,FALSE),[1]Shipper!A:B,2,FALSE),"Not Specified")</f>
        <v>Shipper GVSUA</v>
      </c>
      <c r="O202" t="str">
        <f>IFERROR(VLOOKUP(A202,'[1]Sales Order'!A:I,9,FALSE),"Not Specified")</f>
        <v>Ship to 71-C</v>
      </c>
      <c r="P202" t="str">
        <f>IFERROR(VLOOKUP(A202,'[1]Sales Order'!A:N,14,FALSE),"Not Specified")</f>
        <v>USA</v>
      </c>
      <c r="Q202" t="str">
        <f>VLOOKUP(VLOOKUP(B202,[1]Product!A:C,3,FALSE),[1]Supplier!A:B,2,FALSE)</f>
        <v>Supplier GQRCV</v>
      </c>
      <c r="R202" t="str">
        <f>VLOOKUP(VLOOKUP(B202,[1]Product!A:C,3,FALSE),[1]Supplier!A:I,9,FALSE)</f>
        <v>Australia</v>
      </c>
      <c r="S202" t="str">
        <f>IFERROR(IF(VLOOKUP(A202,'[1]Sales Order'!A:H,8,FALSE)&gt;100,"High Freight","Low Freight"),"Not Specified")</f>
        <v>High Freight</v>
      </c>
      <c r="T202">
        <f t="shared" si="7"/>
        <v>2386.7999999999997</v>
      </c>
    </row>
    <row r="203" spans="1:20">
      <c r="A203" s="1">
        <v>10325</v>
      </c>
      <c r="B203" s="2">
        <v>6</v>
      </c>
      <c r="C203" s="2">
        <v>20</v>
      </c>
      <c r="D203" s="2">
        <v>6</v>
      </c>
      <c r="E203" s="3">
        <v>0</v>
      </c>
      <c r="F203" s="2" t="str">
        <f>IFERROR(VLOOKUP(VLOOKUP(A203,'[1]Sales Order'!A:B,2,FALSE),[1]Customer!A:C,3,FALSE),"Not Specified")</f>
        <v>Song, Lolan</v>
      </c>
      <c r="G203" s="2" t="str">
        <f t="shared" si="6"/>
        <v>Song Lolan</v>
      </c>
      <c r="H203" s="8" t="str">
        <f>IFERROR(VLOOKUP(VLOOKUP(A203,'[1]Sales Order'!A:C,3,FALSE),[1]Employee!A:E,5,FALSE)&amp;" "&amp;VLOOKUP(VLOOKUP(A203,'[1]Sales Order'!A:C,3,FALSE),[1]Employee!A:C,3,FALSE)&amp;" "&amp;VLOOKUP(VLOOKUP(A203,'[1]Sales Order'!A:C,3,FALSE),[1]Employee!A:B,2,FALSE),"Not Specified")</f>
        <v>Ms. Sara Davis</v>
      </c>
      <c r="I203" t="str">
        <f>IFERROR(VLOOKUP(VLOOKUP(A203,'[1]Sales Order'!A:C,3,FALSE),[1]Employee!A:J,10,FALSE),"Not Specified")</f>
        <v>WA</v>
      </c>
      <c r="J203" t="str">
        <f>VLOOKUP(B203,[1]Product!A:B,2,FALSE)</f>
        <v>Product VAIIV</v>
      </c>
      <c r="K203" t="str">
        <f>VLOOKUP(VLOOKUP(B203,[1]Product!A:D,4,FALSE),[1]Category!A:B,2,FALSE)</f>
        <v>Condiments</v>
      </c>
      <c r="L203" s="10">
        <f>IFERROR(VLOOKUP(A203,'[1]Sales Order'!A:D,4,FALSE),"")</f>
        <v>38999</v>
      </c>
      <c r="M203" s="10">
        <f>IFERROR(VLOOKUP(A203,'[1]Sales Order'!A:F,6,FALSE),"")</f>
        <v>39004</v>
      </c>
      <c r="N203" t="str">
        <f>IFERROR(VLOOKUP(VLOOKUP(A203,'[1]Sales Order'!A:G,7,FALSE),[1]Shipper!A:B,2,FALSE),"Not Specified")</f>
        <v>Shipper ZHISN</v>
      </c>
      <c r="O203" t="str">
        <f>IFERROR(VLOOKUP(A203,'[1]Sales Order'!A:I,9,FALSE),"Not Specified")</f>
        <v>Destination RMBHM</v>
      </c>
      <c r="P203" t="str">
        <f>IFERROR(VLOOKUP(A203,'[1]Sales Order'!A:N,14,FALSE),"Not Specified")</f>
        <v>Germany</v>
      </c>
      <c r="Q203" t="str">
        <f>VLOOKUP(VLOOKUP(B203,[1]Product!A:C,3,FALSE),[1]Supplier!A:B,2,FALSE)</f>
        <v>Supplier STUAZ</v>
      </c>
      <c r="R203" t="str">
        <f>VLOOKUP(VLOOKUP(B203,[1]Product!A:C,3,FALSE),[1]Supplier!A:I,9,FALSE)</f>
        <v>USA</v>
      </c>
      <c r="S203" t="str">
        <f>IFERROR(IF(VLOOKUP(A203,'[1]Sales Order'!A:H,8,FALSE)&gt;100,"High Freight","Low Freight"),"Not Specified")</f>
        <v>Low Freight</v>
      </c>
      <c r="T203">
        <f t="shared" si="7"/>
        <v>120</v>
      </c>
    </row>
    <row r="204" spans="1:20">
      <c r="A204" s="1">
        <v>10325</v>
      </c>
      <c r="B204" s="2">
        <v>13</v>
      </c>
      <c r="C204" s="2">
        <v>4.8</v>
      </c>
      <c r="D204" s="2">
        <v>12</v>
      </c>
      <c r="E204" s="3">
        <v>0</v>
      </c>
      <c r="F204" s="2" t="str">
        <f>IFERROR(VLOOKUP(VLOOKUP(A204,'[1]Sales Order'!A:B,2,FALSE),[1]Customer!A:C,3,FALSE),"Not Specified")</f>
        <v>Song, Lolan</v>
      </c>
      <c r="G204" s="2" t="str">
        <f t="shared" si="6"/>
        <v>Song Lolan</v>
      </c>
      <c r="H204" s="8" t="str">
        <f>IFERROR(VLOOKUP(VLOOKUP(A204,'[1]Sales Order'!A:C,3,FALSE),[1]Employee!A:E,5,FALSE)&amp;" "&amp;VLOOKUP(VLOOKUP(A204,'[1]Sales Order'!A:C,3,FALSE),[1]Employee!A:C,3,FALSE)&amp;" "&amp;VLOOKUP(VLOOKUP(A204,'[1]Sales Order'!A:C,3,FALSE),[1]Employee!A:B,2,FALSE),"Not Specified")</f>
        <v>Ms. Sara Davis</v>
      </c>
      <c r="I204" t="str">
        <f>IFERROR(VLOOKUP(VLOOKUP(A204,'[1]Sales Order'!A:C,3,FALSE),[1]Employee!A:J,10,FALSE),"Not Specified")</f>
        <v>WA</v>
      </c>
      <c r="J204" t="str">
        <f>VLOOKUP(B204,[1]Product!A:B,2,FALSE)</f>
        <v>Product POXFU</v>
      </c>
      <c r="K204" t="str">
        <f>VLOOKUP(VLOOKUP(B204,[1]Product!A:D,4,FALSE),[1]Category!A:B,2,FALSE)</f>
        <v>Seafood</v>
      </c>
      <c r="L204" s="10">
        <f>IFERROR(VLOOKUP(A204,'[1]Sales Order'!A:D,4,FALSE),"")</f>
        <v>38999</v>
      </c>
      <c r="M204" s="10">
        <f>IFERROR(VLOOKUP(A204,'[1]Sales Order'!A:F,6,FALSE),"")</f>
        <v>39004</v>
      </c>
      <c r="N204" t="str">
        <f>IFERROR(VLOOKUP(VLOOKUP(A204,'[1]Sales Order'!A:G,7,FALSE),[1]Shipper!A:B,2,FALSE),"Not Specified")</f>
        <v>Shipper ZHISN</v>
      </c>
      <c r="O204" t="str">
        <f>IFERROR(VLOOKUP(A204,'[1]Sales Order'!A:I,9,FALSE),"Not Specified")</f>
        <v>Destination RMBHM</v>
      </c>
      <c r="P204" t="str">
        <f>IFERROR(VLOOKUP(A204,'[1]Sales Order'!A:N,14,FALSE),"Not Specified")</f>
        <v>Germany</v>
      </c>
      <c r="Q204" t="str">
        <f>VLOOKUP(VLOOKUP(B204,[1]Product!A:C,3,FALSE),[1]Supplier!A:B,2,FALSE)</f>
        <v>Supplier QWUSF</v>
      </c>
      <c r="R204" t="str">
        <f>VLOOKUP(VLOOKUP(B204,[1]Product!A:C,3,FALSE),[1]Supplier!A:I,9,FALSE)</f>
        <v>Japan</v>
      </c>
      <c r="S204" t="str">
        <f>IFERROR(IF(VLOOKUP(A204,'[1]Sales Order'!A:H,8,FALSE)&gt;100,"High Freight","Low Freight"),"Not Specified")</f>
        <v>Low Freight</v>
      </c>
      <c r="T204">
        <f t="shared" si="7"/>
        <v>57.599999999999994</v>
      </c>
    </row>
    <row r="205" spans="1:20">
      <c r="A205" s="1">
        <v>10325</v>
      </c>
      <c r="B205" s="2">
        <v>14</v>
      </c>
      <c r="C205" s="2">
        <v>18.600000000000001</v>
      </c>
      <c r="D205" s="2">
        <v>9</v>
      </c>
      <c r="E205" s="3">
        <v>0</v>
      </c>
      <c r="F205" s="2" t="str">
        <f>IFERROR(VLOOKUP(VLOOKUP(A205,'[1]Sales Order'!A:B,2,FALSE),[1]Customer!A:C,3,FALSE),"Not Specified")</f>
        <v>Song, Lolan</v>
      </c>
      <c r="G205" s="2" t="str">
        <f t="shared" si="6"/>
        <v>Song Lolan</v>
      </c>
      <c r="H205" s="8" t="str">
        <f>IFERROR(VLOOKUP(VLOOKUP(A205,'[1]Sales Order'!A:C,3,FALSE),[1]Employee!A:E,5,FALSE)&amp;" "&amp;VLOOKUP(VLOOKUP(A205,'[1]Sales Order'!A:C,3,FALSE),[1]Employee!A:C,3,FALSE)&amp;" "&amp;VLOOKUP(VLOOKUP(A205,'[1]Sales Order'!A:C,3,FALSE),[1]Employee!A:B,2,FALSE),"Not Specified")</f>
        <v>Ms. Sara Davis</v>
      </c>
      <c r="I205" t="str">
        <f>IFERROR(VLOOKUP(VLOOKUP(A205,'[1]Sales Order'!A:C,3,FALSE),[1]Employee!A:J,10,FALSE),"Not Specified")</f>
        <v>WA</v>
      </c>
      <c r="J205" t="str">
        <f>VLOOKUP(B205,[1]Product!A:B,2,FALSE)</f>
        <v>Product PWCJB</v>
      </c>
      <c r="K205" t="str">
        <f>VLOOKUP(VLOOKUP(B205,[1]Product!A:D,4,FALSE),[1]Category!A:B,2,FALSE)</f>
        <v>Produce</v>
      </c>
      <c r="L205" s="10">
        <f>IFERROR(VLOOKUP(A205,'[1]Sales Order'!A:D,4,FALSE),"")</f>
        <v>38999</v>
      </c>
      <c r="M205" s="10">
        <f>IFERROR(VLOOKUP(A205,'[1]Sales Order'!A:F,6,FALSE),"")</f>
        <v>39004</v>
      </c>
      <c r="N205" t="str">
        <f>IFERROR(VLOOKUP(VLOOKUP(A205,'[1]Sales Order'!A:G,7,FALSE),[1]Shipper!A:B,2,FALSE),"Not Specified")</f>
        <v>Shipper ZHISN</v>
      </c>
      <c r="O205" t="str">
        <f>IFERROR(VLOOKUP(A205,'[1]Sales Order'!A:I,9,FALSE),"Not Specified")</f>
        <v>Destination RMBHM</v>
      </c>
      <c r="P205" t="str">
        <f>IFERROR(VLOOKUP(A205,'[1]Sales Order'!A:N,14,FALSE),"Not Specified")</f>
        <v>Germany</v>
      </c>
      <c r="Q205" t="str">
        <f>VLOOKUP(VLOOKUP(B205,[1]Product!A:C,3,FALSE),[1]Supplier!A:B,2,FALSE)</f>
        <v>Supplier QWUSF</v>
      </c>
      <c r="R205" t="str">
        <f>VLOOKUP(VLOOKUP(B205,[1]Product!A:C,3,FALSE),[1]Supplier!A:I,9,FALSE)</f>
        <v>Japan</v>
      </c>
      <c r="S205" t="str">
        <f>IFERROR(IF(VLOOKUP(A205,'[1]Sales Order'!A:H,8,FALSE)&gt;100,"High Freight","Low Freight"),"Not Specified")</f>
        <v>Low Freight</v>
      </c>
      <c r="T205">
        <f t="shared" si="7"/>
        <v>167.4</v>
      </c>
    </row>
    <row r="206" spans="1:20">
      <c r="A206" s="1">
        <v>10325</v>
      </c>
      <c r="B206" s="2">
        <v>31</v>
      </c>
      <c r="C206" s="2">
        <v>10</v>
      </c>
      <c r="D206" s="2">
        <v>4</v>
      </c>
      <c r="E206" s="3">
        <v>0</v>
      </c>
      <c r="F206" s="2" t="str">
        <f>IFERROR(VLOOKUP(VLOOKUP(A206,'[1]Sales Order'!A:B,2,FALSE),[1]Customer!A:C,3,FALSE),"Not Specified")</f>
        <v>Song, Lolan</v>
      </c>
      <c r="G206" s="2" t="str">
        <f t="shared" si="6"/>
        <v>Song Lolan</v>
      </c>
      <c r="H206" s="8" t="str">
        <f>IFERROR(VLOOKUP(VLOOKUP(A206,'[1]Sales Order'!A:C,3,FALSE),[1]Employee!A:E,5,FALSE)&amp;" "&amp;VLOOKUP(VLOOKUP(A206,'[1]Sales Order'!A:C,3,FALSE),[1]Employee!A:C,3,FALSE)&amp;" "&amp;VLOOKUP(VLOOKUP(A206,'[1]Sales Order'!A:C,3,FALSE),[1]Employee!A:B,2,FALSE),"Not Specified")</f>
        <v>Ms. Sara Davis</v>
      </c>
      <c r="I206" t="str">
        <f>IFERROR(VLOOKUP(VLOOKUP(A206,'[1]Sales Order'!A:C,3,FALSE),[1]Employee!A:J,10,FALSE),"Not Specified")</f>
        <v>WA</v>
      </c>
      <c r="J206" t="str">
        <f>VLOOKUP(B206,[1]Product!A:B,2,FALSE)</f>
        <v>Product XWOXC</v>
      </c>
      <c r="K206" t="str">
        <f>VLOOKUP(VLOOKUP(B206,[1]Product!A:D,4,FALSE),[1]Category!A:B,2,FALSE)</f>
        <v>Dairy Product</v>
      </c>
      <c r="L206" s="10">
        <f>IFERROR(VLOOKUP(A206,'[1]Sales Order'!A:D,4,FALSE),"")</f>
        <v>38999</v>
      </c>
      <c r="M206" s="10">
        <f>IFERROR(VLOOKUP(A206,'[1]Sales Order'!A:F,6,FALSE),"")</f>
        <v>39004</v>
      </c>
      <c r="N206" t="str">
        <f>IFERROR(VLOOKUP(VLOOKUP(A206,'[1]Sales Order'!A:G,7,FALSE),[1]Shipper!A:B,2,FALSE),"Not Specified")</f>
        <v>Shipper ZHISN</v>
      </c>
      <c r="O206" t="str">
        <f>IFERROR(VLOOKUP(A206,'[1]Sales Order'!A:I,9,FALSE),"Not Specified")</f>
        <v>Destination RMBHM</v>
      </c>
      <c r="P206" t="str">
        <f>IFERROR(VLOOKUP(A206,'[1]Sales Order'!A:N,14,FALSE),"Not Specified")</f>
        <v>Germany</v>
      </c>
      <c r="Q206" t="str">
        <f>VLOOKUP(VLOOKUP(B206,[1]Product!A:C,3,FALSE),[1]Supplier!A:B,2,FALSE)</f>
        <v>Supplier KEREV</v>
      </c>
      <c r="R206" t="str">
        <f>VLOOKUP(VLOOKUP(B206,[1]Product!A:C,3,FALSE),[1]Supplier!A:I,9,FALSE)</f>
        <v>Italy</v>
      </c>
      <c r="S206" t="str">
        <f>IFERROR(IF(VLOOKUP(A206,'[1]Sales Order'!A:H,8,FALSE)&gt;100,"High Freight","Low Freight"),"Not Specified")</f>
        <v>Low Freight</v>
      </c>
      <c r="T206">
        <f t="shared" si="7"/>
        <v>40</v>
      </c>
    </row>
    <row r="207" spans="1:20">
      <c r="A207" s="1">
        <v>10325</v>
      </c>
      <c r="B207" s="2">
        <v>72</v>
      </c>
      <c r="C207" s="2">
        <v>27.8</v>
      </c>
      <c r="D207" s="2">
        <v>40</v>
      </c>
      <c r="E207" s="3">
        <v>0</v>
      </c>
      <c r="F207" s="2" t="str">
        <f>IFERROR(VLOOKUP(VLOOKUP(A207,'[1]Sales Order'!A:B,2,FALSE),[1]Customer!A:C,3,FALSE),"Not Specified")</f>
        <v>Song, Lolan</v>
      </c>
      <c r="G207" s="2" t="str">
        <f t="shared" si="6"/>
        <v>Song Lolan</v>
      </c>
      <c r="H207" s="8" t="str">
        <f>IFERROR(VLOOKUP(VLOOKUP(A207,'[1]Sales Order'!A:C,3,FALSE),[1]Employee!A:E,5,FALSE)&amp;" "&amp;VLOOKUP(VLOOKUP(A207,'[1]Sales Order'!A:C,3,FALSE),[1]Employee!A:C,3,FALSE)&amp;" "&amp;VLOOKUP(VLOOKUP(A207,'[1]Sales Order'!A:C,3,FALSE),[1]Employee!A:B,2,FALSE),"Not Specified")</f>
        <v>Ms. Sara Davis</v>
      </c>
      <c r="I207" t="str">
        <f>IFERROR(VLOOKUP(VLOOKUP(A207,'[1]Sales Order'!A:C,3,FALSE),[1]Employee!A:J,10,FALSE),"Not Specified")</f>
        <v>WA</v>
      </c>
      <c r="J207" t="str">
        <f>VLOOKUP(B207,[1]Product!A:B,2,FALSE)</f>
        <v>Product GEEOO</v>
      </c>
      <c r="K207" t="str">
        <f>VLOOKUP(VLOOKUP(B207,[1]Product!A:D,4,FALSE),[1]Category!A:B,2,FALSE)</f>
        <v>Dairy Product</v>
      </c>
      <c r="L207" s="10">
        <f>IFERROR(VLOOKUP(A207,'[1]Sales Order'!A:D,4,FALSE),"")</f>
        <v>38999</v>
      </c>
      <c r="M207" s="10">
        <f>IFERROR(VLOOKUP(A207,'[1]Sales Order'!A:F,6,FALSE),"")</f>
        <v>39004</v>
      </c>
      <c r="N207" t="str">
        <f>IFERROR(VLOOKUP(VLOOKUP(A207,'[1]Sales Order'!A:G,7,FALSE),[1]Shipper!A:B,2,FALSE),"Not Specified")</f>
        <v>Shipper ZHISN</v>
      </c>
      <c r="O207" t="str">
        <f>IFERROR(VLOOKUP(A207,'[1]Sales Order'!A:I,9,FALSE),"Not Specified")</f>
        <v>Destination RMBHM</v>
      </c>
      <c r="P207" t="str">
        <f>IFERROR(VLOOKUP(A207,'[1]Sales Order'!A:N,14,FALSE),"Not Specified")</f>
        <v>Germany</v>
      </c>
      <c r="Q207" t="str">
        <f>VLOOKUP(VLOOKUP(B207,[1]Product!A:C,3,FALSE),[1]Supplier!A:B,2,FALSE)</f>
        <v>Supplier KEREV</v>
      </c>
      <c r="R207" t="str">
        <f>VLOOKUP(VLOOKUP(B207,[1]Product!A:C,3,FALSE),[1]Supplier!A:I,9,FALSE)</f>
        <v>Italy</v>
      </c>
      <c r="S207" t="str">
        <f>IFERROR(IF(VLOOKUP(A207,'[1]Sales Order'!A:H,8,FALSE)&gt;100,"High Freight","Low Freight"),"Not Specified")</f>
        <v>Low Freight</v>
      </c>
      <c r="T207">
        <f t="shared" si="7"/>
        <v>1112</v>
      </c>
    </row>
    <row r="208" spans="1:20">
      <c r="A208" s="1">
        <v>10326</v>
      </c>
      <c r="B208" s="2">
        <v>4</v>
      </c>
      <c r="C208" s="2">
        <v>17.600000000000001</v>
      </c>
      <c r="D208" s="2">
        <v>24</v>
      </c>
      <c r="E208" s="3">
        <v>0</v>
      </c>
      <c r="F208" s="2" t="str">
        <f>IFERROR(VLOOKUP(VLOOKUP(A208,'[1]Sales Order'!A:B,2,FALSE),[1]Customer!A:C,3,FALSE),"Not Specified")</f>
        <v>Ilyina, Julia</v>
      </c>
      <c r="G208" s="2" t="str">
        <f t="shared" si="6"/>
        <v>Ilyina Julia</v>
      </c>
      <c r="H208" s="8" t="str">
        <f>IFERROR(VLOOKUP(VLOOKUP(A208,'[1]Sales Order'!A:C,3,FALSE),[1]Employee!A:E,5,FALSE)&amp;" "&amp;VLOOKUP(VLOOKUP(A208,'[1]Sales Order'!A:C,3,FALSE),[1]Employee!A:C,3,FALSE)&amp;" "&amp;VLOOKUP(VLOOKUP(A208,'[1]Sales Order'!A:C,3,FALSE),[1]Employee!A:B,2,FALSE),"Not Specified")</f>
        <v>Mrs. Yael Peled</v>
      </c>
      <c r="I208" t="str">
        <f>IFERROR(VLOOKUP(VLOOKUP(A208,'[1]Sales Order'!A:C,3,FALSE),[1]Employee!A:J,10,FALSE),"Not Specified")</f>
        <v>WA</v>
      </c>
      <c r="J208" t="str">
        <f>VLOOKUP(B208,[1]Product!A:B,2,FALSE)</f>
        <v>Product KSBRM</v>
      </c>
      <c r="K208" t="str">
        <f>VLOOKUP(VLOOKUP(B208,[1]Product!A:D,4,FALSE),[1]Category!A:B,2,FALSE)</f>
        <v>Condiments</v>
      </c>
      <c r="L208" s="10">
        <f>IFERROR(VLOOKUP(A208,'[1]Sales Order'!A:D,4,FALSE),"")</f>
        <v>39000</v>
      </c>
      <c r="M208" s="10">
        <f>IFERROR(VLOOKUP(A208,'[1]Sales Order'!A:F,6,FALSE),"")</f>
        <v>39004</v>
      </c>
      <c r="N208" t="str">
        <f>IFERROR(VLOOKUP(VLOOKUP(A208,'[1]Sales Order'!A:G,7,FALSE),[1]Shipper!A:B,2,FALSE),"Not Specified")</f>
        <v>Shipper ETYNR</v>
      </c>
      <c r="O208" t="str">
        <f>IFERROR(VLOOKUP(A208,'[1]Sales Order'!A:I,9,FALSE),"Not Specified")</f>
        <v>Ship to 8-A</v>
      </c>
      <c r="P208" t="str">
        <f>IFERROR(VLOOKUP(A208,'[1]Sales Order'!A:N,14,FALSE),"Not Specified")</f>
        <v>Spain</v>
      </c>
      <c r="Q208" t="str">
        <f>VLOOKUP(VLOOKUP(B208,[1]Product!A:C,3,FALSE),[1]Supplier!A:B,2,FALSE)</f>
        <v>Supplier VHQZD</v>
      </c>
      <c r="R208" t="str">
        <f>VLOOKUP(VLOOKUP(B208,[1]Product!A:C,3,FALSE),[1]Supplier!A:I,9,FALSE)</f>
        <v>USA</v>
      </c>
      <c r="S208" t="str">
        <f>IFERROR(IF(VLOOKUP(A208,'[1]Sales Order'!A:H,8,FALSE)&gt;100,"High Freight","Low Freight"),"Not Specified")</f>
        <v>Low Freight</v>
      </c>
      <c r="T208">
        <f t="shared" si="7"/>
        <v>422.40000000000003</v>
      </c>
    </row>
    <row r="209" spans="1:20">
      <c r="A209" s="1">
        <v>10326</v>
      </c>
      <c r="B209" s="2">
        <v>57</v>
      </c>
      <c r="C209" s="2">
        <v>15.6</v>
      </c>
      <c r="D209" s="2">
        <v>16</v>
      </c>
      <c r="E209" s="3">
        <v>0</v>
      </c>
      <c r="F209" s="2" t="str">
        <f>IFERROR(VLOOKUP(VLOOKUP(A209,'[1]Sales Order'!A:B,2,FALSE),[1]Customer!A:C,3,FALSE),"Not Specified")</f>
        <v>Ilyina, Julia</v>
      </c>
      <c r="G209" s="2" t="str">
        <f t="shared" si="6"/>
        <v>Ilyina Julia</v>
      </c>
      <c r="H209" s="8" t="str">
        <f>IFERROR(VLOOKUP(VLOOKUP(A209,'[1]Sales Order'!A:C,3,FALSE),[1]Employee!A:E,5,FALSE)&amp;" "&amp;VLOOKUP(VLOOKUP(A209,'[1]Sales Order'!A:C,3,FALSE),[1]Employee!A:C,3,FALSE)&amp;" "&amp;VLOOKUP(VLOOKUP(A209,'[1]Sales Order'!A:C,3,FALSE),[1]Employee!A:B,2,FALSE),"Not Specified")</f>
        <v>Mrs. Yael Peled</v>
      </c>
      <c r="I209" t="str">
        <f>IFERROR(VLOOKUP(VLOOKUP(A209,'[1]Sales Order'!A:C,3,FALSE),[1]Employee!A:J,10,FALSE),"Not Specified")</f>
        <v>WA</v>
      </c>
      <c r="J209" t="str">
        <f>VLOOKUP(B209,[1]Product!A:B,2,FALSE)</f>
        <v>Product OVLQI</v>
      </c>
      <c r="K209" t="str">
        <f>VLOOKUP(VLOOKUP(B209,[1]Product!A:D,4,FALSE),[1]Category!A:B,2,FALSE)</f>
        <v>Grains/Cereals</v>
      </c>
      <c r="L209" s="10">
        <f>IFERROR(VLOOKUP(A209,'[1]Sales Order'!A:D,4,FALSE),"")</f>
        <v>39000</v>
      </c>
      <c r="M209" s="10">
        <f>IFERROR(VLOOKUP(A209,'[1]Sales Order'!A:F,6,FALSE),"")</f>
        <v>39004</v>
      </c>
      <c r="N209" t="str">
        <f>IFERROR(VLOOKUP(VLOOKUP(A209,'[1]Sales Order'!A:G,7,FALSE),[1]Shipper!A:B,2,FALSE),"Not Specified")</f>
        <v>Shipper ETYNR</v>
      </c>
      <c r="O209" t="str">
        <f>IFERROR(VLOOKUP(A209,'[1]Sales Order'!A:I,9,FALSE),"Not Specified")</f>
        <v>Ship to 8-A</v>
      </c>
      <c r="P209" t="str">
        <f>IFERROR(VLOOKUP(A209,'[1]Sales Order'!A:N,14,FALSE),"Not Specified")</f>
        <v>Spain</v>
      </c>
      <c r="Q209" t="str">
        <f>VLOOKUP(VLOOKUP(B209,[1]Product!A:C,3,FALSE),[1]Supplier!A:B,2,FALSE)</f>
        <v>Supplier ZWZDM</v>
      </c>
      <c r="R209" t="str">
        <f>VLOOKUP(VLOOKUP(B209,[1]Product!A:C,3,FALSE),[1]Supplier!A:I,9,FALSE)</f>
        <v>Italy</v>
      </c>
      <c r="S209" t="str">
        <f>IFERROR(IF(VLOOKUP(A209,'[1]Sales Order'!A:H,8,FALSE)&gt;100,"High Freight","Low Freight"),"Not Specified")</f>
        <v>Low Freight</v>
      </c>
      <c r="T209">
        <f t="shared" si="7"/>
        <v>249.6</v>
      </c>
    </row>
    <row r="210" spans="1:20">
      <c r="A210" s="1">
        <v>10326</v>
      </c>
      <c r="B210" s="2">
        <v>75</v>
      </c>
      <c r="C210" s="2">
        <v>6.2</v>
      </c>
      <c r="D210" s="2">
        <v>50</v>
      </c>
      <c r="E210" s="3">
        <v>0</v>
      </c>
      <c r="F210" s="2" t="str">
        <f>IFERROR(VLOOKUP(VLOOKUP(A210,'[1]Sales Order'!A:B,2,FALSE),[1]Customer!A:C,3,FALSE),"Not Specified")</f>
        <v>Ilyina, Julia</v>
      </c>
      <c r="G210" s="2" t="str">
        <f t="shared" si="6"/>
        <v>Ilyina Julia</v>
      </c>
      <c r="H210" s="8" t="str">
        <f>IFERROR(VLOOKUP(VLOOKUP(A210,'[1]Sales Order'!A:C,3,FALSE),[1]Employee!A:E,5,FALSE)&amp;" "&amp;VLOOKUP(VLOOKUP(A210,'[1]Sales Order'!A:C,3,FALSE),[1]Employee!A:C,3,FALSE)&amp;" "&amp;VLOOKUP(VLOOKUP(A210,'[1]Sales Order'!A:C,3,FALSE),[1]Employee!A:B,2,FALSE),"Not Specified")</f>
        <v>Mrs. Yael Peled</v>
      </c>
      <c r="I210" t="str">
        <f>IFERROR(VLOOKUP(VLOOKUP(A210,'[1]Sales Order'!A:C,3,FALSE),[1]Employee!A:J,10,FALSE),"Not Specified")</f>
        <v>WA</v>
      </c>
      <c r="J210" t="str">
        <f>VLOOKUP(B210,[1]Product!A:B,2,FALSE)</f>
        <v>Product BWRLG</v>
      </c>
      <c r="K210" t="str">
        <f>VLOOKUP(VLOOKUP(B210,[1]Product!A:D,4,FALSE),[1]Category!A:B,2,FALSE)</f>
        <v>Beverages</v>
      </c>
      <c r="L210" s="10">
        <f>IFERROR(VLOOKUP(A210,'[1]Sales Order'!A:D,4,FALSE),"")</f>
        <v>39000</v>
      </c>
      <c r="M210" s="10">
        <f>IFERROR(VLOOKUP(A210,'[1]Sales Order'!A:F,6,FALSE),"")</f>
        <v>39004</v>
      </c>
      <c r="N210" t="str">
        <f>IFERROR(VLOOKUP(VLOOKUP(A210,'[1]Sales Order'!A:G,7,FALSE),[1]Shipper!A:B,2,FALSE),"Not Specified")</f>
        <v>Shipper ETYNR</v>
      </c>
      <c r="O210" t="str">
        <f>IFERROR(VLOOKUP(A210,'[1]Sales Order'!A:I,9,FALSE),"Not Specified")</f>
        <v>Ship to 8-A</v>
      </c>
      <c r="P210" t="str">
        <f>IFERROR(VLOOKUP(A210,'[1]Sales Order'!A:N,14,FALSE),"Not Specified")</f>
        <v>Spain</v>
      </c>
      <c r="Q210" t="str">
        <f>VLOOKUP(VLOOKUP(B210,[1]Product!A:C,3,FALSE),[1]Supplier!A:B,2,FALSE)</f>
        <v>Supplier SVIYA</v>
      </c>
      <c r="R210" t="str">
        <f>VLOOKUP(VLOOKUP(B210,[1]Product!A:C,3,FALSE),[1]Supplier!A:I,9,FALSE)</f>
        <v>Germany</v>
      </c>
      <c r="S210" t="str">
        <f>IFERROR(IF(VLOOKUP(A210,'[1]Sales Order'!A:H,8,FALSE)&gt;100,"High Freight","Low Freight"),"Not Specified")</f>
        <v>Low Freight</v>
      </c>
      <c r="T210">
        <f t="shared" si="7"/>
        <v>310</v>
      </c>
    </row>
    <row r="211" spans="1:20">
      <c r="A211" s="1">
        <v>10327</v>
      </c>
      <c r="B211" s="2">
        <v>2</v>
      </c>
      <c r="C211" s="2">
        <v>15.2</v>
      </c>
      <c r="D211" s="2">
        <v>25</v>
      </c>
      <c r="E211" s="3">
        <v>0.2</v>
      </c>
      <c r="F211" s="2" t="str">
        <f>IFERROR(VLOOKUP(VLOOKUP(A211,'[1]Sales Order'!A:B,2,FALSE),[1]Customer!A:C,3,FALSE),"Not Specified")</f>
        <v>San Juan, Patricia</v>
      </c>
      <c r="G211" s="2" t="str">
        <f t="shared" si="6"/>
        <v>San Juan Patricia</v>
      </c>
      <c r="H211" s="8" t="str">
        <f>IFERROR(VLOOKUP(VLOOKUP(A211,'[1]Sales Order'!A:C,3,FALSE),[1]Employee!A:E,5,FALSE)&amp;" "&amp;VLOOKUP(VLOOKUP(A211,'[1]Sales Order'!A:C,3,FALSE),[1]Employee!A:C,3,FALSE)&amp;" "&amp;VLOOKUP(VLOOKUP(A211,'[1]Sales Order'!A:C,3,FALSE),[1]Employee!A:B,2,FALSE),"Not Specified")</f>
        <v>Dr. Don Funk</v>
      </c>
      <c r="I211" t="str">
        <f>IFERROR(VLOOKUP(VLOOKUP(A211,'[1]Sales Order'!A:C,3,FALSE),[1]Employee!A:J,10,FALSE),"Not Specified")</f>
        <v>WA</v>
      </c>
      <c r="J211" t="str">
        <f>VLOOKUP(B211,[1]Product!A:B,2,FALSE)</f>
        <v>Product RECZE</v>
      </c>
      <c r="K211" t="str">
        <f>VLOOKUP(VLOOKUP(B211,[1]Product!A:D,4,FALSE),[1]Category!A:B,2,FALSE)</f>
        <v>Beverages</v>
      </c>
      <c r="L211" s="10">
        <f>IFERROR(VLOOKUP(A211,'[1]Sales Order'!A:D,4,FALSE),"")</f>
        <v>39001</v>
      </c>
      <c r="M211" s="10">
        <f>IFERROR(VLOOKUP(A211,'[1]Sales Order'!A:F,6,FALSE),"")</f>
        <v>39004</v>
      </c>
      <c r="N211" t="str">
        <f>IFERROR(VLOOKUP(VLOOKUP(A211,'[1]Sales Order'!A:G,7,FALSE),[1]Shipper!A:B,2,FALSE),"Not Specified")</f>
        <v>Shipper GVSUA</v>
      </c>
      <c r="O211" t="str">
        <f>IFERROR(VLOOKUP(A211,'[1]Sales Order'!A:I,9,FALSE),"Not Specified")</f>
        <v>Destination NCKKO</v>
      </c>
      <c r="P211" t="str">
        <f>IFERROR(VLOOKUP(A211,'[1]Sales Order'!A:N,14,FALSE),"Not Specified")</f>
        <v>Sweden</v>
      </c>
      <c r="Q211" t="str">
        <f>VLOOKUP(VLOOKUP(B211,[1]Product!A:C,3,FALSE),[1]Supplier!A:B,2,FALSE)</f>
        <v>Supplier SWRXU</v>
      </c>
      <c r="R211" t="str">
        <f>VLOOKUP(VLOOKUP(B211,[1]Product!A:C,3,FALSE),[1]Supplier!A:I,9,FALSE)</f>
        <v>UK</v>
      </c>
      <c r="S211" t="str">
        <f>IFERROR(IF(VLOOKUP(A211,'[1]Sales Order'!A:H,8,FALSE)&gt;100,"High Freight","Low Freight"),"Not Specified")</f>
        <v>Low Freight</v>
      </c>
      <c r="T211">
        <f t="shared" si="7"/>
        <v>304</v>
      </c>
    </row>
    <row r="212" spans="1:20">
      <c r="A212" s="1">
        <v>10327</v>
      </c>
      <c r="B212" s="2">
        <v>11</v>
      </c>
      <c r="C212" s="2">
        <v>16.8</v>
      </c>
      <c r="D212" s="2">
        <v>50</v>
      </c>
      <c r="E212" s="3">
        <v>0.2</v>
      </c>
      <c r="F212" s="2" t="str">
        <f>IFERROR(VLOOKUP(VLOOKUP(A212,'[1]Sales Order'!A:B,2,FALSE),[1]Customer!A:C,3,FALSE),"Not Specified")</f>
        <v>San Juan, Patricia</v>
      </c>
      <c r="G212" s="2" t="str">
        <f t="shared" si="6"/>
        <v>San Juan Patricia</v>
      </c>
      <c r="H212" s="8" t="str">
        <f>IFERROR(VLOOKUP(VLOOKUP(A212,'[1]Sales Order'!A:C,3,FALSE),[1]Employee!A:E,5,FALSE)&amp;" "&amp;VLOOKUP(VLOOKUP(A212,'[1]Sales Order'!A:C,3,FALSE),[1]Employee!A:C,3,FALSE)&amp;" "&amp;VLOOKUP(VLOOKUP(A212,'[1]Sales Order'!A:C,3,FALSE),[1]Employee!A:B,2,FALSE),"Not Specified")</f>
        <v>Dr. Don Funk</v>
      </c>
      <c r="I212" t="str">
        <f>IFERROR(VLOOKUP(VLOOKUP(A212,'[1]Sales Order'!A:C,3,FALSE),[1]Employee!A:J,10,FALSE),"Not Specified")</f>
        <v>WA</v>
      </c>
      <c r="J212" t="str">
        <f>VLOOKUP(B212,[1]Product!A:B,2,FALSE)</f>
        <v>Product QMVUN</v>
      </c>
      <c r="K212" t="str">
        <f>VLOOKUP(VLOOKUP(B212,[1]Product!A:D,4,FALSE),[1]Category!A:B,2,FALSE)</f>
        <v>Dairy Product</v>
      </c>
      <c r="L212" s="10">
        <f>IFERROR(VLOOKUP(A212,'[1]Sales Order'!A:D,4,FALSE),"")</f>
        <v>39001</v>
      </c>
      <c r="M212" s="10">
        <f>IFERROR(VLOOKUP(A212,'[1]Sales Order'!A:F,6,FALSE),"")</f>
        <v>39004</v>
      </c>
      <c r="N212" t="str">
        <f>IFERROR(VLOOKUP(VLOOKUP(A212,'[1]Sales Order'!A:G,7,FALSE),[1]Shipper!A:B,2,FALSE),"Not Specified")</f>
        <v>Shipper GVSUA</v>
      </c>
      <c r="O212" t="str">
        <f>IFERROR(VLOOKUP(A212,'[1]Sales Order'!A:I,9,FALSE),"Not Specified")</f>
        <v>Destination NCKKO</v>
      </c>
      <c r="P212" t="str">
        <f>IFERROR(VLOOKUP(A212,'[1]Sales Order'!A:N,14,FALSE),"Not Specified")</f>
        <v>Sweden</v>
      </c>
      <c r="Q212" t="str">
        <f>VLOOKUP(VLOOKUP(B212,[1]Product!A:C,3,FALSE),[1]Supplier!A:B,2,FALSE)</f>
        <v>Supplier EQPNC</v>
      </c>
      <c r="R212" t="str">
        <f>VLOOKUP(VLOOKUP(B212,[1]Product!A:C,3,FALSE),[1]Supplier!A:I,9,FALSE)</f>
        <v>Spain</v>
      </c>
      <c r="S212" t="str">
        <f>IFERROR(IF(VLOOKUP(A212,'[1]Sales Order'!A:H,8,FALSE)&gt;100,"High Freight","Low Freight"),"Not Specified")</f>
        <v>Low Freight</v>
      </c>
      <c r="T212">
        <f t="shared" si="7"/>
        <v>672</v>
      </c>
    </row>
    <row r="213" spans="1:20">
      <c r="A213" s="1">
        <v>10327</v>
      </c>
      <c r="B213" s="2">
        <v>30</v>
      </c>
      <c r="C213" s="2">
        <v>20.7</v>
      </c>
      <c r="D213" s="2">
        <v>35</v>
      </c>
      <c r="E213" s="3">
        <v>0.2</v>
      </c>
      <c r="F213" s="2" t="str">
        <f>IFERROR(VLOOKUP(VLOOKUP(A213,'[1]Sales Order'!A:B,2,FALSE),[1]Customer!A:C,3,FALSE),"Not Specified")</f>
        <v>San Juan, Patricia</v>
      </c>
      <c r="G213" s="2" t="str">
        <f t="shared" si="6"/>
        <v>San Juan Patricia</v>
      </c>
      <c r="H213" s="8" t="str">
        <f>IFERROR(VLOOKUP(VLOOKUP(A213,'[1]Sales Order'!A:C,3,FALSE),[1]Employee!A:E,5,FALSE)&amp;" "&amp;VLOOKUP(VLOOKUP(A213,'[1]Sales Order'!A:C,3,FALSE),[1]Employee!A:C,3,FALSE)&amp;" "&amp;VLOOKUP(VLOOKUP(A213,'[1]Sales Order'!A:C,3,FALSE),[1]Employee!A:B,2,FALSE),"Not Specified")</f>
        <v>Dr. Don Funk</v>
      </c>
      <c r="I213" t="str">
        <f>IFERROR(VLOOKUP(VLOOKUP(A213,'[1]Sales Order'!A:C,3,FALSE),[1]Employee!A:J,10,FALSE),"Not Specified")</f>
        <v>WA</v>
      </c>
      <c r="J213" t="str">
        <f>VLOOKUP(B213,[1]Product!A:B,2,FALSE)</f>
        <v>Product LYERX</v>
      </c>
      <c r="K213" t="str">
        <f>VLOOKUP(VLOOKUP(B213,[1]Product!A:D,4,FALSE),[1]Category!A:B,2,FALSE)</f>
        <v>Seafood</v>
      </c>
      <c r="L213" s="10">
        <f>IFERROR(VLOOKUP(A213,'[1]Sales Order'!A:D,4,FALSE),"")</f>
        <v>39001</v>
      </c>
      <c r="M213" s="10">
        <f>IFERROR(VLOOKUP(A213,'[1]Sales Order'!A:F,6,FALSE),"")</f>
        <v>39004</v>
      </c>
      <c r="N213" t="str">
        <f>IFERROR(VLOOKUP(VLOOKUP(A213,'[1]Sales Order'!A:G,7,FALSE),[1]Shipper!A:B,2,FALSE),"Not Specified")</f>
        <v>Shipper GVSUA</v>
      </c>
      <c r="O213" t="str">
        <f>IFERROR(VLOOKUP(A213,'[1]Sales Order'!A:I,9,FALSE),"Not Specified")</f>
        <v>Destination NCKKO</v>
      </c>
      <c r="P213" t="str">
        <f>IFERROR(VLOOKUP(A213,'[1]Sales Order'!A:N,14,FALSE),"Not Specified")</f>
        <v>Sweden</v>
      </c>
      <c r="Q213" t="str">
        <f>VLOOKUP(VLOOKUP(B213,[1]Product!A:C,3,FALSE),[1]Supplier!A:B,2,FALSE)</f>
        <v>Supplier TEGSC</v>
      </c>
      <c r="R213" t="str">
        <f>VLOOKUP(VLOOKUP(B213,[1]Product!A:C,3,FALSE),[1]Supplier!A:I,9,FALSE)</f>
        <v>Germany</v>
      </c>
      <c r="S213" t="str">
        <f>IFERROR(IF(VLOOKUP(A213,'[1]Sales Order'!A:H,8,FALSE)&gt;100,"High Freight","Low Freight"),"Not Specified")</f>
        <v>Low Freight</v>
      </c>
      <c r="T213">
        <f t="shared" si="7"/>
        <v>579.6</v>
      </c>
    </row>
    <row r="214" spans="1:20">
      <c r="A214" s="1">
        <v>10327</v>
      </c>
      <c r="B214" s="2">
        <v>58</v>
      </c>
      <c r="C214" s="2">
        <v>10.6</v>
      </c>
      <c r="D214" s="2">
        <v>30</v>
      </c>
      <c r="E214" s="3">
        <v>0.2</v>
      </c>
      <c r="F214" s="2" t="str">
        <f>IFERROR(VLOOKUP(VLOOKUP(A214,'[1]Sales Order'!A:B,2,FALSE),[1]Customer!A:C,3,FALSE),"Not Specified")</f>
        <v>San Juan, Patricia</v>
      </c>
      <c r="G214" s="2" t="str">
        <f t="shared" si="6"/>
        <v>San Juan Patricia</v>
      </c>
      <c r="H214" s="8" t="str">
        <f>IFERROR(VLOOKUP(VLOOKUP(A214,'[1]Sales Order'!A:C,3,FALSE),[1]Employee!A:E,5,FALSE)&amp;" "&amp;VLOOKUP(VLOOKUP(A214,'[1]Sales Order'!A:C,3,FALSE),[1]Employee!A:C,3,FALSE)&amp;" "&amp;VLOOKUP(VLOOKUP(A214,'[1]Sales Order'!A:C,3,FALSE),[1]Employee!A:B,2,FALSE),"Not Specified")</f>
        <v>Dr. Don Funk</v>
      </c>
      <c r="I214" t="str">
        <f>IFERROR(VLOOKUP(VLOOKUP(A214,'[1]Sales Order'!A:C,3,FALSE),[1]Employee!A:J,10,FALSE),"Not Specified")</f>
        <v>WA</v>
      </c>
      <c r="J214" t="str">
        <f>VLOOKUP(B214,[1]Product!A:B,2,FALSE)</f>
        <v>Product ACRVI</v>
      </c>
      <c r="K214" t="str">
        <f>VLOOKUP(VLOOKUP(B214,[1]Product!A:D,4,FALSE),[1]Category!A:B,2,FALSE)</f>
        <v>Seafood</v>
      </c>
      <c r="L214" s="10">
        <f>IFERROR(VLOOKUP(A214,'[1]Sales Order'!A:D,4,FALSE),"")</f>
        <v>39001</v>
      </c>
      <c r="M214" s="10">
        <f>IFERROR(VLOOKUP(A214,'[1]Sales Order'!A:F,6,FALSE),"")</f>
        <v>39004</v>
      </c>
      <c r="N214" t="str">
        <f>IFERROR(VLOOKUP(VLOOKUP(A214,'[1]Sales Order'!A:G,7,FALSE),[1]Shipper!A:B,2,FALSE),"Not Specified")</f>
        <v>Shipper GVSUA</v>
      </c>
      <c r="O214" t="str">
        <f>IFERROR(VLOOKUP(A214,'[1]Sales Order'!A:I,9,FALSE),"Not Specified")</f>
        <v>Destination NCKKO</v>
      </c>
      <c r="P214" t="str">
        <f>IFERROR(VLOOKUP(A214,'[1]Sales Order'!A:N,14,FALSE),"Not Specified")</f>
        <v>Sweden</v>
      </c>
      <c r="Q214" t="str">
        <f>VLOOKUP(VLOOKUP(B214,[1]Product!A:C,3,FALSE),[1]Supplier!A:B,2,FALSE)</f>
        <v>Supplier ZRYDZ</v>
      </c>
      <c r="R214" t="str">
        <f>VLOOKUP(VLOOKUP(B214,[1]Product!A:C,3,FALSE),[1]Supplier!A:I,9,FALSE)</f>
        <v>France</v>
      </c>
      <c r="S214" t="str">
        <f>IFERROR(IF(VLOOKUP(A214,'[1]Sales Order'!A:H,8,FALSE)&gt;100,"High Freight","Low Freight"),"Not Specified")</f>
        <v>Low Freight</v>
      </c>
      <c r="T214">
        <f t="shared" si="7"/>
        <v>254.4</v>
      </c>
    </row>
    <row r="215" spans="1:20">
      <c r="A215" s="1">
        <v>10328</v>
      </c>
      <c r="B215" s="2">
        <v>59</v>
      </c>
      <c r="C215" s="2">
        <v>44</v>
      </c>
      <c r="D215" s="2">
        <v>9</v>
      </c>
      <c r="E215" s="3">
        <v>0</v>
      </c>
      <c r="F215" s="2" t="str">
        <f>IFERROR(VLOOKUP(VLOOKUP(A215,'[1]Sales Order'!A:B,2,FALSE),[1]Customer!A:C,3,FALSE),"Not Specified")</f>
        <v>Cavaglieri, Giorgio</v>
      </c>
      <c r="G215" s="2" t="str">
        <f t="shared" si="6"/>
        <v>Cavaglieri Giorgio</v>
      </c>
      <c r="H215" s="8" t="str">
        <f>IFERROR(VLOOKUP(VLOOKUP(A215,'[1]Sales Order'!A:C,3,FALSE),[1]Employee!A:E,5,FALSE)&amp;" "&amp;VLOOKUP(VLOOKUP(A215,'[1]Sales Order'!A:C,3,FALSE),[1]Employee!A:C,3,FALSE)&amp;" "&amp;VLOOKUP(VLOOKUP(A215,'[1]Sales Order'!A:C,3,FALSE),[1]Employee!A:B,2,FALSE),"Not Specified")</f>
        <v>Mrs. Yael Peled</v>
      </c>
      <c r="I215" t="str">
        <f>IFERROR(VLOOKUP(VLOOKUP(A215,'[1]Sales Order'!A:C,3,FALSE),[1]Employee!A:J,10,FALSE),"Not Specified")</f>
        <v>WA</v>
      </c>
      <c r="J215" t="str">
        <f>VLOOKUP(B215,[1]Product!A:B,2,FALSE)</f>
        <v>Product UKXRI</v>
      </c>
      <c r="K215" t="str">
        <f>VLOOKUP(VLOOKUP(B215,[1]Product!A:D,4,FALSE),[1]Category!A:B,2,FALSE)</f>
        <v>Dairy Product</v>
      </c>
      <c r="L215" s="10">
        <f>IFERROR(VLOOKUP(A215,'[1]Sales Order'!A:D,4,FALSE),"")</f>
        <v>39004</v>
      </c>
      <c r="M215" s="10">
        <f>IFERROR(VLOOKUP(A215,'[1]Sales Order'!A:F,6,FALSE),"")</f>
        <v>39007</v>
      </c>
      <c r="N215" t="str">
        <f>IFERROR(VLOOKUP(VLOOKUP(A215,'[1]Sales Order'!A:G,7,FALSE),[1]Shipper!A:B,2,FALSE),"Not Specified")</f>
        <v>Shipper ZHISN</v>
      </c>
      <c r="O215" t="str">
        <f>IFERROR(VLOOKUP(A215,'[1]Sales Order'!A:I,9,FALSE),"Not Specified")</f>
        <v>Destination CIRQO</v>
      </c>
      <c r="P215" t="str">
        <f>IFERROR(VLOOKUP(A215,'[1]Sales Order'!A:N,14,FALSE),"Not Specified")</f>
        <v>Portugal</v>
      </c>
      <c r="Q215" t="str">
        <f>VLOOKUP(VLOOKUP(B215,[1]Product!A:C,3,FALSE),[1]Supplier!A:B,2,FALSE)</f>
        <v>Supplier OAVQT</v>
      </c>
      <c r="R215" t="str">
        <f>VLOOKUP(VLOOKUP(B215,[1]Product!A:C,3,FALSE),[1]Supplier!A:I,9,FALSE)</f>
        <v>France</v>
      </c>
      <c r="S215" t="str">
        <f>IFERROR(IF(VLOOKUP(A215,'[1]Sales Order'!A:H,8,FALSE)&gt;100,"High Freight","Low Freight"),"Not Specified")</f>
        <v>Low Freight</v>
      </c>
      <c r="T215">
        <f t="shared" si="7"/>
        <v>396</v>
      </c>
    </row>
    <row r="216" spans="1:20">
      <c r="A216" s="1">
        <v>10328</v>
      </c>
      <c r="B216" s="2">
        <v>65</v>
      </c>
      <c r="C216" s="2">
        <v>16.8</v>
      </c>
      <c r="D216" s="2">
        <v>40</v>
      </c>
      <c r="E216" s="3">
        <v>0</v>
      </c>
      <c r="F216" s="2" t="str">
        <f>IFERROR(VLOOKUP(VLOOKUP(A216,'[1]Sales Order'!A:B,2,FALSE),[1]Customer!A:C,3,FALSE),"Not Specified")</f>
        <v>Cavaglieri, Giorgio</v>
      </c>
      <c r="G216" s="2" t="str">
        <f t="shared" si="6"/>
        <v>Cavaglieri Giorgio</v>
      </c>
      <c r="H216" s="8" t="str">
        <f>IFERROR(VLOOKUP(VLOOKUP(A216,'[1]Sales Order'!A:C,3,FALSE),[1]Employee!A:E,5,FALSE)&amp;" "&amp;VLOOKUP(VLOOKUP(A216,'[1]Sales Order'!A:C,3,FALSE),[1]Employee!A:C,3,FALSE)&amp;" "&amp;VLOOKUP(VLOOKUP(A216,'[1]Sales Order'!A:C,3,FALSE),[1]Employee!A:B,2,FALSE),"Not Specified")</f>
        <v>Mrs. Yael Peled</v>
      </c>
      <c r="I216" t="str">
        <f>IFERROR(VLOOKUP(VLOOKUP(A216,'[1]Sales Order'!A:C,3,FALSE),[1]Employee!A:J,10,FALSE),"Not Specified")</f>
        <v>WA</v>
      </c>
      <c r="J216" t="str">
        <f>VLOOKUP(B216,[1]Product!A:B,2,FALSE)</f>
        <v>Product XYWBZ</v>
      </c>
      <c r="K216" t="str">
        <f>VLOOKUP(VLOOKUP(B216,[1]Product!A:D,4,FALSE),[1]Category!A:B,2,FALSE)</f>
        <v>Condiments</v>
      </c>
      <c r="L216" s="10">
        <f>IFERROR(VLOOKUP(A216,'[1]Sales Order'!A:D,4,FALSE),"")</f>
        <v>39004</v>
      </c>
      <c r="M216" s="10">
        <f>IFERROR(VLOOKUP(A216,'[1]Sales Order'!A:F,6,FALSE),"")</f>
        <v>39007</v>
      </c>
      <c r="N216" t="str">
        <f>IFERROR(VLOOKUP(VLOOKUP(A216,'[1]Sales Order'!A:G,7,FALSE),[1]Shipper!A:B,2,FALSE),"Not Specified")</f>
        <v>Shipper ZHISN</v>
      </c>
      <c r="O216" t="str">
        <f>IFERROR(VLOOKUP(A216,'[1]Sales Order'!A:I,9,FALSE),"Not Specified")</f>
        <v>Destination CIRQO</v>
      </c>
      <c r="P216" t="str">
        <f>IFERROR(VLOOKUP(A216,'[1]Sales Order'!A:N,14,FALSE),"Not Specified")</f>
        <v>Portugal</v>
      </c>
      <c r="Q216" t="str">
        <f>VLOOKUP(VLOOKUP(B216,[1]Product!A:C,3,FALSE),[1]Supplier!A:B,2,FALSE)</f>
        <v>Supplier VHQZD</v>
      </c>
      <c r="R216" t="str">
        <f>VLOOKUP(VLOOKUP(B216,[1]Product!A:C,3,FALSE),[1]Supplier!A:I,9,FALSE)</f>
        <v>USA</v>
      </c>
      <c r="S216" t="str">
        <f>IFERROR(IF(VLOOKUP(A216,'[1]Sales Order'!A:H,8,FALSE)&gt;100,"High Freight","Low Freight"),"Not Specified")</f>
        <v>Low Freight</v>
      </c>
      <c r="T216">
        <f t="shared" si="7"/>
        <v>672</v>
      </c>
    </row>
    <row r="217" spans="1:20">
      <c r="A217" s="1">
        <v>10328</v>
      </c>
      <c r="B217" s="2">
        <v>68</v>
      </c>
      <c r="C217" s="2">
        <v>10</v>
      </c>
      <c r="D217" s="2">
        <v>10</v>
      </c>
      <c r="E217" s="3">
        <v>0</v>
      </c>
      <c r="F217" s="2" t="str">
        <f>IFERROR(VLOOKUP(VLOOKUP(A217,'[1]Sales Order'!A:B,2,FALSE),[1]Customer!A:C,3,FALSE),"Not Specified")</f>
        <v>Cavaglieri, Giorgio</v>
      </c>
      <c r="G217" s="2" t="str">
        <f t="shared" si="6"/>
        <v>Cavaglieri Giorgio</v>
      </c>
      <c r="H217" s="8" t="str">
        <f>IFERROR(VLOOKUP(VLOOKUP(A217,'[1]Sales Order'!A:C,3,FALSE),[1]Employee!A:E,5,FALSE)&amp;" "&amp;VLOOKUP(VLOOKUP(A217,'[1]Sales Order'!A:C,3,FALSE),[1]Employee!A:C,3,FALSE)&amp;" "&amp;VLOOKUP(VLOOKUP(A217,'[1]Sales Order'!A:C,3,FALSE),[1]Employee!A:B,2,FALSE),"Not Specified")</f>
        <v>Mrs. Yael Peled</v>
      </c>
      <c r="I217" t="str">
        <f>IFERROR(VLOOKUP(VLOOKUP(A217,'[1]Sales Order'!A:C,3,FALSE),[1]Employee!A:J,10,FALSE),"Not Specified")</f>
        <v>WA</v>
      </c>
      <c r="J217" t="str">
        <f>VLOOKUP(B217,[1]Product!A:B,2,FALSE)</f>
        <v>Product TBTBL</v>
      </c>
      <c r="K217" t="str">
        <f>VLOOKUP(VLOOKUP(B217,[1]Product!A:D,4,FALSE),[1]Category!A:B,2,FALSE)</f>
        <v>Confections</v>
      </c>
      <c r="L217" s="10">
        <f>IFERROR(VLOOKUP(A217,'[1]Sales Order'!A:D,4,FALSE),"")</f>
        <v>39004</v>
      </c>
      <c r="M217" s="10">
        <f>IFERROR(VLOOKUP(A217,'[1]Sales Order'!A:F,6,FALSE),"")</f>
        <v>39007</v>
      </c>
      <c r="N217" t="str">
        <f>IFERROR(VLOOKUP(VLOOKUP(A217,'[1]Sales Order'!A:G,7,FALSE),[1]Shipper!A:B,2,FALSE),"Not Specified")</f>
        <v>Shipper ZHISN</v>
      </c>
      <c r="O217" t="str">
        <f>IFERROR(VLOOKUP(A217,'[1]Sales Order'!A:I,9,FALSE),"Not Specified")</f>
        <v>Destination CIRQO</v>
      </c>
      <c r="P217" t="str">
        <f>IFERROR(VLOOKUP(A217,'[1]Sales Order'!A:N,14,FALSE),"Not Specified")</f>
        <v>Portugal</v>
      </c>
      <c r="Q217" t="str">
        <f>VLOOKUP(VLOOKUP(B217,[1]Product!A:C,3,FALSE),[1]Supplier!A:B,2,FALSE)</f>
        <v>Supplier BWGYE</v>
      </c>
      <c r="R217" t="str">
        <f>VLOOKUP(VLOOKUP(B217,[1]Product!A:C,3,FALSE),[1]Supplier!A:I,9,FALSE)</f>
        <v>UK</v>
      </c>
      <c r="S217" t="str">
        <f>IFERROR(IF(VLOOKUP(A217,'[1]Sales Order'!A:H,8,FALSE)&gt;100,"High Freight","Low Freight"),"Not Specified")</f>
        <v>Low Freight</v>
      </c>
      <c r="T217">
        <f t="shared" si="7"/>
        <v>100</v>
      </c>
    </row>
    <row r="218" spans="1:20">
      <c r="A218" s="1">
        <v>10329</v>
      </c>
      <c r="B218" s="2">
        <v>19</v>
      </c>
      <c r="C218" s="2">
        <v>7.3</v>
      </c>
      <c r="D218" s="2">
        <v>10</v>
      </c>
      <c r="E218" s="3">
        <v>0.05</v>
      </c>
      <c r="F218" s="2" t="str">
        <f>IFERROR(VLOOKUP(VLOOKUP(A218,'[1]Sales Order'!A:B,2,FALSE),[1]Customer!A:C,3,FALSE),"Not Specified")</f>
        <v>Wojciechowska, Agnieszka</v>
      </c>
      <c r="G218" s="2" t="str">
        <f t="shared" si="6"/>
        <v>Wojciechowska Agnieszka</v>
      </c>
      <c r="H218" s="8" t="str">
        <f>IFERROR(VLOOKUP(VLOOKUP(A218,'[1]Sales Order'!A:C,3,FALSE),[1]Employee!A:E,5,FALSE)&amp;" "&amp;VLOOKUP(VLOOKUP(A218,'[1]Sales Order'!A:C,3,FALSE),[1]Employee!A:C,3,FALSE)&amp;" "&amp;VLOOKUP(VLOOKUP(A218,'[1]Sales Order'!A:C,3,FALSE),[1]Employee!A:B,2,FALSE),"Not Specified")</f>
        <v>Mrs. Yael Peled</v>
      </c>
      <c r="I218" t="str">
        <f>IFERROR(VLOOKUP(VLOOKUP(A218,'[1]Sales Order'!A:C,3,FALSE),[1]Employee!A:J,10,FALSE),"Not Specified")</f>
        <v>WA</v>
      </c>
      <c r="J218" t="str">
        <f>VLOOKUP(B218,[1]Product!A:B,2,FALSE)</f>
        <v>Product XKXDO</v>
      </c>
      <c r="K218" t="str">
        <f>VLOOKUP(VLOOKUP(B218,[1]Product!A:D,4,FALSE),[1]Category!A:B,2,FALSE)</f>
        <v>Confections</v>
      </c>
      <c r="L218" s="10">
        <f>IFERROR(VLOOKUP(A218,'[1]Sales Order'!A:D,4,FALSE),"")</f>
        <v>39005</v>
      </c>
      <c r="M218" s="10">
        <f>IFERROR(VLOOKUP(A218,'[1]Sales Order'!A:F,6,FALSE),"")</f>
        <v>39013</v>
      </c>
      <c r="N218" t="str">
        <f>IFERROR(VLOOKUP(VLOOKUP(A218,'[1]Sales Order'!A:G,7,FALSE),[1]Shipper!A:B,2,FALSE),"Not Specified")</f>
        <v>Shipper ETYNR</v>
      </c>
      <c r="O218" t="str">
        <f>IFERROR(VLOOKUP(A218,'[1]Sales Order'!A:I,9,FALSE),"Not Specified")</f>
        <v>Ship to 75-C</v>
      </c>
      <c r="P218" t="str">
        <f>IFERROR(VLOOKUP(A218,'[1]Sales Order'!A:N,14,FALSE),"Not Specified")</f>
        <v>USA</v>
      </c>
      <c r="Q218" t="str">
        <f>VLOOKUP(VLOOKUP(B218,[1]Product!A:C,3,FALSE),[1]Supplier!A:B,2,FALSE)</f>
        <v>Supplier BWGYE</v>
      </c>
      <c r="R218" t="str">
        <f>VLOOKUP(VLOOKUP(B218,[1]Product!A:C,3,FALSE),[1]Supplier!A:I,9,FALSE)</f>
        <v>UK</v>
      </c>
      <c r="S218" t="str">
        <f>IFERROR(IF(VLOOKUP(A218,'[1]Sales Order'!A:H,8,FALSE)&gt;100,"High Freight","Low Freight"),"Not Specified")</f>
        <v>High Freight</v>
      </c>
      <c r="T218">
        <f t="shared" si="7"/>
        <v>69.349999999999994</v>
      </c>
    </row>
    <row r="219" spans="1:20">
      <c r="A219" s="1">
        <v>10329</v>
      </c>
      <c r="B219" s="2">
        <v>30</v>
      </c>
      <c r="C219" s="2">
        <v>20.7</v>
      </c>
      <c r="D219" s="2">
        <v>8</v>
      </c>
      <c r="E219" s="3">
        <v>0.05</v>
      </c>
      <c r="F219" s="2" t="str">
        <f>IFERROR(VLOOKUP(VLOOKUP(A219,'[1]Sales Order'!A:B,2,FALSE),[1]Customer!A:C,3,FALSE),"Not Specified")</f>
        <v>Wojciechowska, Agnieszka</v>
      </c>
      <c r="G219" s="2" t="str">
        <f t="shared" si="6"/>
        <v>Wojciechowska Agnieszka</v>
      </c>
      <c r="H219" s="8" t="str">
        <f>IFERROR(VLOOKUP(VLOOKUP(A219,'[1]Sales Order'!A:C,3,FALSE),[1]Employee!A:E,5,FALSE)&amp;" "&amp;VLOOKUP(VLOOKUP(A219,'[1]Sales Order'!A:C,3,FALSE),[1]Employee!A:C,3,FALSE)&amp;" "&amp;VLOOKUP(VLOOKUP(A219,'[1]Sales Order'!A:C,3,FALSE),[1]Employee!A:B,2,FALSE),"Not Specified")</f>
        <v>Mrs. Yael Peled</v>
      </c>
      <c r="I219" t="str">
        <f>IFERROR(VLOOKUP(VLOOKUP(A219,'[1]Sales Order'!A:C,3,FALSE),[1]Employee!A:J,10,FALSE),"Not Specified")</f>
        <v>WA</v>
      </c>
      <c r="J219" t="str">
        <f>VLOOKUP(B219,[1]Product!A:B,2,FALSE)</f>
        <v>Product LYERX</v>
      </c>
      <c r="K219" t="str">
        <f>VLOOKUP(VLOOKUP(B219,[1]Product!A:D,4,FALSE),[1]Category!A:B,2,FALSE)</f>
        <v>Seafood</v>
      </c>
      <c r="L219" s="10">
        <f>IFERROR(VLOOKUP(A219,'[1]Sales Order'!A:D,4,FALSE),"")</f>
        <v>39005</v>
      </c>
      <c r="M219" s="10">
        <f>IFERROR(VLOOKUP(A219,'[1]Sales Order'!A:F,6,FALSE),"")</f>
        <v>39013</v>
      </c>
      <c r="N219" t="str">
        <f>IFERROR(VLOOKUP(VLOOKUP(A219,'[1]Sales Order'!A:G,7,FALSE),[1]Shipper!A:B,2,FALSE),"Not Specified")</f>
        <v>Shipper ETYNR</v>
      </c>
      <c r="O219" t="str">
        <f>IFERROR(VLOOKUP(A219,'[1]Sales Order'!A:I,9,FALSE),"Not Specified")</f>
        <v>Ship to 75-C</v>
      </c>
      <c r="P219" t="str">
        <f>IFERROR(VLOOKUP(A219,'[1]Sales Order'!A:N,14,FALSE),"Not Specified")</f>
        <v>USA</v>
      </c>
      <c r="Q219" t="str">
        <f>VLOOKUP(VLOOKUP(B219,[1]Product!A:C,3,FALSE),[1]Supplier!A:B,2,FALSE)</f>
        <v>Supplier TEGSC</v>
      </c>
      <c r="R219" t="str">
        <f>VLOOKUP(VLOOKUP(B219,[1]Product!A:C,3,FALSE),[1]Supplier!A:I,9,FALSE)</f>
        <v>Germany</v>
      </c>
      <c r="S219" t="str">
        <f>IFERROR(IF(VLOOKUP(A219,'[1]Sales Order'!A:H,8,FALSE)&gt;100,"High Freight","Low Freight"),"Not Specified")</f>
        <v>High Freight</v>
      </c>
      <c r="T219">
        <f t="shared" si="7"/>
        <v>157.32</v>
      </c>
    </row>
    <row r="220" spans="1:20">
      <c r="A220" s="1">
        <v>10329</v>
      </c>
      <c r="B220" s="2">
        <v>38</v>
      </c>
      <c r="C220" s="2">
        <v>210.8</v>
      </c>
      <c r="D220" s="2">
        <v>20</v>
      </c>
      <c r="E220" s="3">
        <v>0.05</v>
      </c>
      <c r="F220" s="2" t="str">
        <f>IFERROR(VLOOKUP(VLOOKUP(A220,'[1]Sales Order'!A:B,2,FALSE),[1]Customer!A:C,3,FALSE),"Not Specified")</f>
        <v>Wojciechowska, Agnieszka</v>
      </c>
      <c r="G220" s="2" t="str">
        <f t="shared" si="6"/>
        <v>Wojciechowska Agnieszka</v>
      </c>
      <c r="H220" s="8" t="str">
        <f>IFERROR(VLOOKUP(VLOOKUP(A220,'[1]Sales Order'!A:C,3,FALSE),[1]Employee!A:E,5,FALSE)&amp;" "&amp;VLOOKUP(VLOOKUP(A220,'[1]Sales Order'!A:C,3,FALSE),[1]Employee!A:C,3,FALSE)&amp;" "&amp;VLOOKUP(VLOOKUP(A220,'[1]Sales Order'!A:C,3,FALSE),[1]Employee!A:B,2,FALSE),"Not Specified")</f>
        <v>Mrs. Yael Peled</v>
      </c>
      <c r="I220" t="str">
        <f>IFERROR(VLOOKUP(VLOOKUP(A220,'[1]Sales Order'!A:C,3,FALSE),[1]Employee!A:J,10,FALSE),"Not Specified")</f>
        <v>WA</v>
      </c>
      <c r="J220" t="str">
        <f>VLOOKUP(B220,[1]Product!A:B,2,FALSE)</f>
        <v>Product QDOMO</v>
      </c>
      <c r="K220" t="str">
        <f>VLOOKUP(VLOOKUP(B220,[1]Product!A:D,4,FALSE),[1]Category!A:B,2,FALSE)</f>
        <v>Beverages</v>
      </c>
      <c r="L220" s="10">
        <f>IFERROR(VLOOKUP(A220,'[1]Sales Order'!A:D,4,FALSE),"")</f>
        <v>39005</v>
      </c>
      <c r="M220" s="10">
        <f>IFERROR(VLOOKUP(A220,'[1]Sales Order'!A:F,6,FALSE),"")</f>
        <v>39013</v>
      </c>
      <c r="N220" t="str">
        <f>IFERROR(VLOOKUP(VLOOKUP(A220,'[1]Sales Order'!A:G,7,FALSE),[1]Shipper!A:B,2,FALSE),"Not Specified")</f>
        <v>Shipper ETYNR</v>
      </c>
      <c r="O220" t="str">
        <f>IFERROR(VLOOKUP(A220,'[1]Sales Order'!A:I,9,FALSE),"Not Specified")</f>
        <v>Ship to 75-C</v>
      </c>
      <c r="P220" t="str">
        <f>IFERROR(VLOOKUP(A220,'[1]Sales Order'!A:N,14,FALSE),"Not Specified")</f>
        <v>USA</v>
      </c>
      <c r="Q220" t="str">
        <f>VLOOKUP(VLOOKUP(B220,[1]Product!A:C,3,FALSE),[1]Supplier!A:B,2,FALSE)</f>
        <v>Supplier LVJUA</v>
      </c>
      <c r="R220" t="str">
        <f>VLOOKUP(VLOOKUP(B220,[1]Product!A:C,3,FALSE),[1]Supplier!A:I,9,FALSE)</f>
        <v>France</v>
      </c>
      <c r="S220" t="str">
        <f>IFERROR(IF(VLOOKUP(A220,'[1]Sales Order'!A:H,8,FALSE)&gt;100,"High Freight","Low Freight"),"Not Specified")</f>
        <v>High Freight</v>
      </c>
      <c r="T220">
        <f t="shared" si="7"/>
        <v>4005.2</v>
      </c>
    </row>
    <row r="221" spans="1:20">
      <c r="A221" s="1">
        <v>10329</v>
      </c>
      <c r="B221" s="2">
        <v>56</v>
      </c>
      <c r="C221" s="2">
        <v>30.4</v>
      </c>
      <c r="D221" s="2">
        <v>12</v>
      </c>
      <c r="E221" s="3">
        <v>0.05</v>
      </c>
      <c r="F221" s="2" t="str">
        <f>IFERROR(VLOOKUP(VLOOKUP(A221,'[1]Sales Order'!A:B,2,FALSE),[1]Customer!A:C,3,FALSE),"Not Specified")</f>
        <v>Wojciechowska, Agnieszka</v>
      </c>
      <c r="G221" s="2" t="str">
        <f t="shared" si="6"/>
        <v>Wojciechowska Agnieszka</v>
      </c>
      <c r="H221" s="8" t="str">
        <f>IFERROR(VLOOKUP(VLOOKUP(A221,'[1]Sales Order'!A:C,3,FALSE),[1]Employee!A:E,5,FALSE)&amp;" "&amp;VLOOKUP(VLOOKUP(A221,'[1]Sales Order'!A:C,3,FALSE),[1]Employee!A:C,3,FALSE)&amp;" "&amp;VLOOKUP(VLOOKUP(A221,'[1]Sales Order'!A:C,3,FALSE),[1]Employee!A:B,2,FALSE),"Not Specified")</f>
        <v>Mrs. Yael Peled</v>
      </c>
      <c r="I221" t="str">
        <f>IFERROR(VLOOKUP(VLOOKUP(A221,'[1]Sales Order'!A:C,3,FALSE),[1]Employee!A:J,10,FALSE),"Not Specified")</f>
        <v>WA</v>
      </c>
      <c r="J221" t="str">
        <f>VLOOKUP(B221,[1]Product!A:B,2,FALSE)</f>
        <v>Product VKCMF</v>
      </c>
      <c r="K221" t="str">
        <f>VLOOKUP(VLOOKUP(B221,[1]Product!A:D,4,FALSE),[1]Category!A:B,2,FALSE)</f>
        <v>Grains/Cereals</v>
      </c>
      <c r="L221" s="10">
        <f>IFERROR(VLOOKUP(A221,'[1]Sales Order'!A:D,4,FALSE),"")</f>
        <v>39005</v>
      </c>
      <c r="M221" s="10">
        <f>IFERROR(VLOOKUP(A221,'[1]Sales Order'!A:F,6,FALSE),"")</f>
        <v>39013</v>
      </c>
      <c r="N221" t="str">
        <f>IFERROR(VLOOKUP(VLOOKUP(A221,'[1]Sales Order'!A:G,7,FALSE),[1]Shipper!A:B,2,FALSE),"Not Specified")</f>
        <v>Shipper ETYNR</v>
      </c>
      <c r="O221" t="str">
        <f>IFERROR(VLOOKUP(A221,'[1]Sales Order'!A:I,9,FALSE),"Not Specified")</f>
        <v>Ship to 75-C</v>
      </c>
      <c r="P221" t="str">
        <f>IFERROR(VLOOKUP(A221,'[1]Sales Order'!A:N,14,FALSE),"Not Specified")</f>
        <v>USA</v>
      </c>
      <c r="Q221" t="str">
        <f>VLOOKUP(VLOOKUP(B221,[1]Product!A:C,3,FALSE),[1]Supplier!A:B,2,FALSE)</f>
        <v>Supplier ZWZDM</v>
      </c>
      <c r="R221" t="str">
        <f>VLOOKUP(VLOOKUP(B221,[1]Product!A:C,3,FALSE),[1]Supplier!A:I,9,FALSE)</f>
        <v>Italy</v>
      </c>
      <c r="S221" t="str">
        <f>IFERROR(IF(VLOOKUP(A221,'[1]Sales Order'!A:H,8,FALSE)&gt;100,"High Freight","Low Freight"),"Not Specified")</f>
        <v>High Freight</v>
      </c>
      <c r="T221">
        <f t="shared" si="7"/>
        <v>346.55999999999995</v>
      </c>
    </row>
    <row r="222" spans="1:20">
      <c r="A222" s="1">
        <v>10330</v>
      </c>
      <c r="B222" s="2">
        <v>26</v>
      </c>
      <c r="C222" s="2">
        <v>24.9</v>
      </c>
      <c r="D222" s="2">
        <v>50</v>
      </c>
      <c r="E222" s="3">
        <v>0.15</v>
      </c>
      <c r="F222" s="2" t="str">
        <f>IFERROR(VLOOKUP(VLOOKUP(A222,'[1]Sales Order'!A:B,2,FALSE),[1]Customer!A:C,3,FALSE),"Not Specified")</f>
        <v>Dressler, Marlies</v>
      </c>
      <c r="G222" s="2" t="str">
        <f t="shared" si="6"/>
        <v>Dressler Marlies</v>
      </c>
      <c r="H222" s="8" t="str">
        <f>IFERROR(VLOOKUP(VLOOKUP(A222,'[1]Sales Order'!A:C,3,FALSE),[1]Employee!A:E,5,FALSE)&amp;" "&amp;VLOOKUP(VLOOKUP(A222,'[1]Sales Order'!A:C,3,FALSE),[1]Employee!A:C,3,FALSE)&amp;" "&amp;VLOOKUP(VLOOKUP(A222,'[1]Sales Order'!A:C,3,FALSE),[1]Employee!A:B,2,FALSE),"Not Specified")</f>
        <v>Ms. Judy Lew</v>
      </c>
      <c r="I222" t="str">
        <f>IFERROR(VLOOKUP(VLOOKUP(A222,'[1]Sales Order'!A:C,3,FALSE),[1]Employee!A:J,10,FALSE),"Not Specified")</f>
        <v>WA</v>
      </c>
      <c r="J222" t="str">
        <f>VLOOKUP(B222,[1]Product!A:B,2,FALSE)</f>
        <v>Product HLGZA</v>
      </c>
      <c r="K222" t="str">
        <f>VLOOKUP(VLOOKUP(B222,[1]Product!A:D,4,FALSE),[1]Category!A:B,2,FALSE)</f>
        <v>Confections</v>
      </c>
      <c r="L222" s="10">
        <f>IFERROR(VLOOKUP(A222,'[1]Sales Order'!A:D,4,FALSE),"")</f>
        <v>39006</v>
      </c>
      <c r="M222" s="10">
        <f>IFERROR(VLOOKUP(A222,'[1]Sales Order'!A:F,6,FALSE),"")</f>
        <v>39018</v>
      </c>
      <c r="N222" t="str">
        <f>IFERROR(VLOOKUP(VLOOKUP(A222,'[1]Sales Order'!A:G,7,FALSE),[1]Shipper!A:B,2,FALSE),"Not Specified")</f>
        <v>Shipper GVSUA</v>
      </c>
      <c r="O222" t="str">
        <f>IFERROR(VLOOKUP(A222,'[1]Sales Order'!A:I,9,FALSE),"Not Specified")</f>
        <v>Ship to 46-A</v>
      </c>
      <c r="P222" t="str">
        <f>IFERROR(VLOOKUP(A222,'[1]Sales Order'!A:N,14,FALSE),"Not Specified")</f>
        <v>Venezuela</v>
      </c>
      <c r="Q222" t="str">
        <f>VLOOKUP(VLOOKUP(B222,[1]Product!A:C,3,FALSE),[1]Supplier!A:B,2,FALSE)</f>
        <v>Supplier ZPYVS</v>
      </c>
      <c r="R222" t="str">
        <f>VLOOKUP(VLOOKUP(B222,[1]Product!A:C,3,FALSE),[1]Supplier!A:I,9,FALSE)</f>
        <v>Germany</v>
      </c>
      <c r="S222" t="str">
        <f>IFERROR(IF(VLOOKUP(A222,'[1]Sales Order'!A:H,8,FALSE)&gt;100,"High Freight","Low Freight"),"Not Specified")</f>
        <v>Low Freight</v>
      </c>
      <c r="T222">
        <f t="shared" si="7"/>
        <v>1058.25</v>
      </c>
    </row>
    <row r="223" spans="1:20">
      <c r="A223" s="1">
        <v>10330</v>
      </c>
      <c r="B223" s="2">
        <v>72</v>
      </c>
      <c r="C223" s="2">
        <v>27.8</v>
      </c>
      <c r="D223" s="2">
        <v>25</v>
      </c>
      <c r="E223" s="3">
        <v>0.15</v>
      </c>
      <c r="F223" s="2" t="str">
        <f>IFERROR(VLOOKUP(VLOOKUP(A223,'[1]Sales Order'!A:B,2,FALSE),[1]Customer!A:C,3,FALSE),"Not Specified")</f>
        <v>Dressler, Marlies</v>
      </c>
      <c r="G223" s="2" t="str">
        <f t="shared" si="6"/>
        <v>Dressler Marlies</v>
      </c>
      <c r="H223" s="8" t="str">
        <f>IFERROR(VLOOKUP(VLOOKUP(A223,'[1]Sales Order'!A:C,3,FALSE),[1]Employee!A:E,5,FALSE)&amp;" "&amp;VLOOKUP(VLOOKUP(A223,'[1]Sales Order'!A:C,3,FALSE),[1]Employee!A:C,3,FALSE)&amp;" "&amp;VLOOKUP(VLOOKUP(A223,'[1]Sales Order'!A:C,3,FALSE),[1]Employee!A:B,2,FALSE),"Not Specified")</f>
        <v>Ms. Judy Lew</v>
      </c>
      <c r="I223" t="str">
        <f>IFERROR(VLOOKUP(VLOOKUP(A223,'[1]Sales Order'!A:C,3,FALSE),[1]Employee!A:J,10,FALSE),"Not Specified")</f>
        <v>WA</v>
      </c>
      <c r="J223" t="str">
        <f>VLOOKUP(B223,[1]Product!A:B,2,FALSE)</f>
        <v>Product GEEOO</v>
      </c>
      <c r="K223" t="str">
        <f>VLOOKUP(VLOOKUP(B223,[1]Product!A:D,4,FALSE),[1]Category!A:B,2,FALSE)</f>
        <v>Dairy Product</v>
      </c>
      <c r="L223" s="10">
        <f>IFERROR(VLOOKUP(A223,'[1]Sales Order'!A:D,4,FALSE),"")</f>
        <v>39006</v>
      </c>
      <c r="M223" s="10">
        <f>IFERROR(VLOOKUP(A223,'[1]Sales Order'!A:F,6,FALSE),"")</f>
        <v>39018</v>
      </c>
      <c r="N223" t="str">
        <f>IFERROR(VLOOKUP(VLOOKUP(A223,'[1]Sales Order'!A:G,7,FALSE),[1]Shipper!A:B,2,FALSE),"Not Specified")</f>
        <v>Shipper GVSUA</v>
      </c>
      <c r="O223" t="str">
        <f>IFERROR(VLOOKUP(A223,'[1]Sales Order'!A:I,9,FALSE),"Not Specified")</f>
        <v>Ship to 46-A</v>
      </c>
      <c r="P223" t="str">
        <f>IFERROR(VLOOKUP(A223,'[1]Sales Order'!A:N,14,FALSE),"Not Specified")</f>
        <v>Venezuela</v>
      </c>
      <c r="Q223" t="str">
        <f>VLOOKUP(VLOOKUP(B223,[1]Product!A:C,3,FALSE),[1]Supplier!A:B,2,FALSE)</f>
        <v>Supplier KEREV</v>
      </c>
      <c r="R223" t="str">
        <f>VLOOKUP(VLOOKUP(B223,[1]Product!A:C,3,FALSE),[1]Supplier!A:I,9,FALSE)</f>
        <v>Italy</v>
      </c>
      <c r="S223" t="str">
        <f>IFERROR(IF(VLOOKUP(A223,'[1]Sales Order'!A:H,8,FALSE)&gt;100,"High Freight","Low Freight"),"Not Specified")</f>
        <v>Low Freight</v>
      </c>
      <c r="T223">
        <f t="shared" si="7"/>
        <v>590.75</v>
      </c>
    </row>
    <row r="224" spans="1:20">
      <c r="A224" s="1">
        <v>10331</v>
      </c>
      <c r="B224" s="2">
        <v>54</v>
      </c>
      <c r="C224" s="2">
        <v>5.9</v>
      </c>
      <c r="D224" s="2">
        <v>15</v>
      </c>
      <c r="E224" s="3">
        <v>0</v>
      </c>
      <c r="F224" s="2" t="str">
        <f>IFERROR(VLOOKUP(VLOOKUP(A224,'[1]Sales Order'!A:B,2,FALSE),[1]Customer!A:C,3,FALSE),"Not Specified")</f>
        <v>Raghav, Amritansh</v>
      </c>
      <c r="G224" s="2" t="str">
        <f t="shared" si="6"/>
        <v>Raghav Amritansh</v>
      </c>
      <c r="H224" s="8" t="str">
        <f>IFERROR(VLOOKUP(VLOOKUP(A224,'[1]Sales Order'!A:C,3,FALSE),[1]Employee!A:E,5,FALSE)&amp;" "&amp;VLOOKUP(VLOOKUP(A224,'[1]Sales Order'!A:C,3,FALSE),[1]Employee!A:C,3,FALSE)&amp;" "&amp;VLOOKUP(VLOOKUP(A224,'[1]Sales Order'!A:C,3,FALSE),[1]Employee!A:B,2,FALSE),"Not Specified")</f>
        <v>Ms. Zoya Dolgopyatova</v>
      </c>
      <c r="I224">
        <f>IFERROR(VLOOKUP(VLOOKUP(A224,'[1]Sales Order'!A:C,3,FALSE),[1]Employee!A:J,10,FALSE),"Not Specified")</f>
        <v>0</v>
      </c>
      <c r="J224" t="str">
        <f>VLOOKUP(B224,[1]Product!A:B,2,FALSE)</f>
        <v>Product QAQRL</v>
      </c>
      <c r="K224" t="str">
        <f>VLOOKUP(VLOOKUP(B224,[1]Product!A:D,4,FALSE),[1]Category!A:B,2,FALSE)</f>
        <v>Meat/Poultry</v>
      </c>
      <c r="L224" s="10">
        <f>IFERROR(VLOOKUP(A224,'[1]Sales Order'!A:D,4,FALSE),"")</f>
        <v>39006</v>
      </c>
      <c r="M224" s="10">
        <f>IFERROR(VLOOKUP(A224,'[1]Sales Order'!A:F,6,FALSE),"")</f>
        <v>39011</v>
      </c>
      <c r="N224" t="str">
        <f>IFERROR(VLOOKUP(VLOOKUP(A224,'[1]Sales Order'!A:G,7,FALSE),[1]Shipper!A:B,2,FALSE),"Not Specified")</f>
        <v>Shipper GVSUA</v>
      </c>
      <c r="O224" t="str">
        <f>IFERROR(VLOOKUP(A224,'[1]Sales Order'!A:I,9,FALSE),"Not Specified")</f>
        <v>Ship to 9-C</v>
      </c>
      <c r="P224" t="str">
        <f>IFERROR(VLOOKUP(A224,'[1]Sales Order'!A:N,14,FALSE),"Not Specified")</f>
        <v>France</v>
      </c>
      <c r="Q224" t="str">
        <f>VLOOKUP(VLOOKUP(B224,[1]Product!A:C,3,FALSE),[1]Supplier!A:B,2,FALSE)</f>
        <v>Supplier ERVYZ</v>
      </c>
      <c r="R224" t="str">
        <f>VLOOKUP(VLOOKUP(B224,[1]Product!A:C,3,FALSE),[1]Supplier!A:I,9,FALSE)</f>
        <v>Canada</v>
      </c>
      <c r="S224" t="str">
        <f>IFERROR(IF(VLOOKUP(A224,'[1]Sales Order'!A:H,8,FALSE)&gt;100,"High Freight","Low Freight"),"Not Specified")</f>
        <v>Low Freight</v>
      </c>
      <c r="T224">
        <f t="shared" si="7"/>
        <v>88.5</v>
      </c>
    </row>
    <row r="225" spans="1:20">
      <c r="A225" s="1">
        <v>10332</v>
      </c>
      <c r="B225" s="2">
        <v>18</v>
      </c>
      <c r="C225" s="2">
        <v>50</v>
      </c>
      <c r="D225" s="2">
        <v>40</v>
      </c>
      <c r="E225" s="3">
        <v>0.2</v>
      </c>
      <c r="F225" s="2" t="str">
        <f>IFERROR(VLOOKUP(VLOOKUP(A225,'[1]Sales Order'!A:B,2,FALSE),[1]Customer!A:C,3,FALSE),"Not Specified")</f>
        <v>Taylor, Maurice</v>
      </c>
      <c r="G225" s="2" t="str">
        <f t="shared" si="6"/>
        <v>Taylor Maurice</v>
      </c>
      <c r="H225" s="8" t="str">
        <f>IFERROR(VLOOKUP(VLOOKUP(A225,'[1]Sales Order'!A:C,3,FALSE),[1]Employee!A:E,5,FALSE)&amp;" "&amp;VLOOKUP(VLOOKUP(A225,'[1]Sales Order'!A:C,3,FALSE),[1]Employee!A:C,3,FALSE)&amp;" "&amp;VLOOKUP(VLOOKUP(A225,'[1]Sales Order'!A:C,3,FALSE),[1]Employee!A:B,2,FALSE),"Not Specified")</f>
        <v>Ms. Judy Lew</v>
      </c>
      <c r="I225" t="str">
        <f>IFERROR(VLOOKUP(VLOOKUP(A225,'[1]Sales Order'!A:C,3,FALSE),[1]Employee!A:J,10,FALSE),"Not Specified")</f>
        <v>WA</v>
      </c>
      <c r="J225" t="str">
        <f>VLOOKUP(B225,[1]Product!A:B,2,FALSE)</f>
        <v>Product CKEDC</v>
      </c>
      <c r="K225" t="str">
        <f>VLOOKUP(VLOOKUP(B225,[1]Product!A:D,4,FALSE),[1]Category!A:B,2,FALSE)</f>
        <v>Seafood</v>
      </c>
      <c r="L225" s="10">
        <f>IFERROR(VLOOKUP(A225,'[1]Sales Order'!A:D,4,FALSE),"")</f>
        <v>39007</v>
      </c>
      <c r="M225" s="10">
        <f>IFERROR(VLOOKUP(A225,'[1]Sales Order'!A:F,6,FALSE),"")</f>
        <v>39011</v>
      </c>
      <c r="N225" t="str">
        <f>IFERROR(VLOOKUP(VLOOKUP(A225,'[1]Sales Order'!A:G,7,FALSE),[1]Shipper!A:B,2,FALSE),"Not Specified")</f>
        <v>Shipper ETYNR</v>
      </c>
      <c r="O225" t="str">
        <f>IFERROR(VLOOKUP(A225,'[1]Sales Order'!A:I,9,FALSE),"Not Specified")</f>
        <v>Ship to 51-B</v>
      </c>
      <c r="P225" t="str">
        <f>IFERROR(VLOOKUP(A225,'[1]Sales Order'!A:N,14,FALSE),"Not Specified")</f>
        <v>Canada</v>
      </c>
      <c r="Q225" t="str">
        <f>VLOOKUP(VLOOKUP(B225,[1]Product!A:C,3,FALSE),[1]Supplier!A:B,2,FALSE)</f>
        <v>Supplier GQRCV</v>
      </c>
      <c r="R225" t="str">
        <f>VLOOKUP(VLOOKUP(B225,[1]Product!A:C,3,FALSE),[1]Supplier!A:I,9,FALSE)</f>
        <v>Australia</v>
      </c>
      <c r="S225" t="str">
        <f>IFERROR(IF(VLOOKUP(A225,'[1]Sales Order'!A:H,8,FALSE)&gt;100,"High Freight","Low Freight"),"Not Specified")</f>
        <v>Low Freight</v>
      </c>
      <c r="T225">
        <f t="shared" si="7"/>
        <v>1600</v>
      </c>
    </row>
    <row r="226" spans="1:20">
      <c r="A226" s="1">
        <v>10332</v>
      </c>
      <c r="B226" s="2">
        <v>42</v>
      </c>
      <c r="C226" s="2">
        <v>11.2</v>
      </c>
      <c r="D226" s="2">
        <v>10</v>
      </c>
      <c r="E226" s="3">
        <v>0.2</v>
      </c>
      <c r="F226" s="2" t="str">
        <f>IFERROR(VLOOKUP(VLOOKUP(A226,'[1]Sales Order'!A:B,2,FALSE),[1]Customer!A:C,3,FALSE),"Not Specified")</f>
        <v>Taylor, Maurice</v>
      </c>
      <c r="G226" s="2" t="str">
        <f t="shared" si="6"/>
        <v>Taylor Maurice</v>
      </c>
      <c r="H226" s="8" t="str">
        <f>IFERROR(VLOOKUP(VLOOKUP(A226,'[1]Sales Order'!A:C,3,FALSE),[1]Employee!A:E,5,FALSE)&amp;" "&amp;VLOOKUP(VLOOKUP(A226,'[1]Sales Order'!A:C,3,FALSE),[1]Employee!A:C,3,FALSE)&amp;" "&amp;VLOOKUP(VLOOKUP(A226,'[1]Sales Order'!A:C,3,FALSE),[1]Employee!A:B,2,FALSE),"Not Specified")</f>
        <v>Ms. Judy Lew</v>
      </c>
      <c r="I226" t="str">
        <f>IFERROR(VLOOKUP(VLOOKUP(A226,'[1]Sales Order'!A:C,3,FALSE),[1]Employee!A:J,10,FALSE),"Not Specified")</f>
        <v>WA</v>
      </c>
      <c r="J226" t="str">
        <f>VLOOKUP(B226,[1]Product!A:B,2,FALSE)</f>
        <v>Product RJVNM</v>
      </c>
      <c r="K226" t="str">
        <f>VLOOKUP(VLOOKUP(B226,[1]Product!A:D,4,FALSE),[1]Category!A:B,2,FALSE)</f>
        <v>Grains/Cereals</v>
      </c>
      <c r="L226" s="10">
        <f>IFERROR(VLOOKUP(A226,'[1]Sales Order'!A:D,4,FALSE),"")</f>
        <v>39007</v>
      </c>
      <c r="M226" s="10">
        <f>IFERROR(VLOOKUP(A226,'[1]Sales Order'!A:F,6,FALSE),"")</f>
        <v>39011</v>
      </c>
      <c r="N226" t="str">
        <f>IFERROR(VLOOKUP(VLOOKUP(A226,'[1]Sales Order'!A:G,7,FALSE),[1]Shipper!A:B,2,FALSE),"Not Specified")</f>
        <v>Shipper ETYNR</v>
      </c>
      <c r="O226" t="str">
        <f>IFERROR(VLOOKUP(A226,'[1]Sales Order'!A:I,9,FALSE),"Not Specified")</f>
        <v>Ship to 51-B</v>
      </c>
      <c r="P226" t="str">
        <f>IFERROR(VLOOKUP(A226,'[1]Sales Order'!A:N,14,FALSE),"Not Specified")</f>
        <v>Canada</v>
      </c>
      <c r="Q226" t="str">
        <f>VLOOKUP(VLOOKUP(B226,[1]Product!A:C,3,FALSE),[1]Supplier!A:B,2,FALSE)</f>
        <v>Supplier CIYNM</v>
      </c>
      <c r="R226" t="str">
        <f>VLOOKUP(VLOOKUP(B226,[1]Product!A:C,3,FALSE),[1]Supplier!A:I,9,FALSE)</f>
        <v>Singapore</v>
      </c>
      <c r="S226" t="str">
        <f>IFERROR(IF(VLOOKUP(A226,'[1]Sales Order'!A:H,8,FALSE)&gt;100,"High Freight","Low Freight"),"Not Specified")</f>
        <v>Low Freight</v>
      </c>
      <c r="T226">
        <f t="shared" si="7"/>
        <v>89.600000000000009</v>
      </c>
    </row>
    <row r="227" spans="1:20">
      <c r="A227" s="1">
        <v>10332</v>
      </c>
      <c r="B227" s="2">
        <v>47</v>
      </c>
      <c r="C227" s="2">
        <v>7.6</v>
      </c>
      <c r="D227" s="2">
        <v>16</v>
      </c>
      <c r="E227" s="3">
        <v>0.2</v>
      </c>
      <c r="F227" s="2" t="str">
        <f>IFERROR(VLOOKUP(VLOOKUP(A227,'[1]Sales Order'!A:B,2,FALSE),[1]Customer!A:C,3,FALSE),"Not Specified")</f>
        <v>Taylor, Maurice</v>
      </c>
      <c r="G227" s="2" t="str">
        <f t="shared" si="6"/>
        <v>Taylor Maurice</v>
      </c>
      <c r="H227" s="8" t="str">
        <f>IFERROR(VLOOKUP(VLOOKUP(A227,'[1]Sales Order'!A:C,3,FALSE),[1]Employee!A:E,5,FALSE)&amp;" "&amp;VLOOKUP(VLOOKUP(A227,'[1]Sales Order'!A:C,3,FALSE),[1]Employee!A:C,3,FALSE)&amp;" "&amp;VLOOKUP(VLOOKUP(A227,'[1]Sales Order'!A:C,3,FALSE),[1]Employee!A:B,2,FALSE),"Not Specified")</f>
        <v>Ms. Judy Lew</v>
      </c>
      <c r="I227" t="str">
        <f>IFERROR(VLOOKUP(VLOOKUP(A227,'[1]Sales Order'!A:C,3,FALSE),[1]Employee!A:J,10,FALSE),"Not Specified")</f>
        <v>WA</v>
      </c>
      <c r="J227" t="str">
        <f>VLOOKUP(B227,[1]Product!A:B,2,FALSE)</f>
        <v>Product EZZPR</v>
      </c>
      <c r="K227" t="str">
        <f>VLOOKUP(VLOOKUP(B227,[1]Product!A:D,4,FALSE),[1]Category!A:B,2,FALSE)</f>
        <v>Confections</v>
      </c>
      <c r="L227" s="10">
        <f>IFERROR(VLOOKUP(A227,'[1]Sales Order'!A:D,4,FALSE),"")</f>
        <v>39007</v>
      </c>
      <c r="M227" s="10">
        <f>IFERROR(VLOOKUP(A227,'[1]Sales Order'!A:F,6,FALSE),"")</f>
        <v>39011</v>
      </c>
      <c r="N227" t="str">
        <f>IFERROR(VLOOKUP(VLOOKUP(A227,'[1]Sales Order'!A:G,7,FALSE),[1]Shipper!A:B,2,FALSE),"Not Specified")</f>
        <v>Shipper ETYNR</v>
      </c>
      <c r="O227" t="str">
        <f>IFERROR(VLOOKUP(A227,'[1]Sales Order'!A:I,9,FALSE),"Not Specified")</f>
        <v>Ship to 51-B</v>
      </c>
      <c r="P227" t="str">
        <f>IFERROR(VLOOKUP(A227,'[1]Sales Order'!A:N,14,FALSE),"Not Specified")</f>
        <v>Canada</v>
      </c>
      <c r="Q227" t="str">
        <f>VLOOKUP(VLOOKUP(B227,[1]Product!A:C,3,FALSE),[1]Supplier!A:B,2,FALSE)</f>
        <v>Supplier FNUXM</v>
      </c>
      <c r="R227" t="str">
        <f>VLOOKUP(VLOOKUP(B227,[1]Product!A:C,3,FALSE),[1]Supplier!A:I,9,FALSE)</f>
        <v>Netherlands</v>
      </c>
      <c r="S227" t="str">
        <f>IFERROR(IF(VLOOKUP(A227,'[1]Sales Order'!A:H,8,FALSE)&gt;100,"High Freight","Low Freight"),"Not Specified")</f>
        <v>Low Freight</v>
      </c>
      <c r="T227">
        <f t="shared" si="7"/>
        <v>97.28</v>
      </c>
    </row>
    <row r="228" spans="1:20">
      <c r="A228" s="1">
        <v>10333</v>
      </c>
      <c r="B228" s="2">
        <v>14</v>
      </c>
      <c r="C228" s="2">
        <v>18.600000000000001</v>
      </c>
      <c r="D228" s="2">
        <v>10</v>
      </c>
      <c r="E228" s="3">
        <v>0</v>
      </c>
      <c r="F228" s="2" t="str">
        <f>IFERROR(VLOOKUP(VLOOKUP(A228,'[1]Sales Order'!A:B,2,FALSE),[1]Customer!A:C,3,FALSE),"Not Specified")</f>
        <v>Ludwig, Michael</v>
      </c>
      <c r="G228" s="2" t="str">
        <f t="shared" si="6"/>
        <v>Ludwig Michael</v>
      </c>
      <c r="H228" s="8" t="str">
        <f>IFERROR(VLOOKUP(VLOOKUP(A228,'[1]Sales Order'!A:C,3,FALSE),[1]Employee!A:E,5,FALSE)&amp;" "&amp;VLOOKUP(VLOOKUP(A228,'[1]Sales Order'!A:C,3,FALSE),[1]Employee!A:C,3,FALSE)&amp;" "&amp;VLOOKUP(VLOOKUP(A228,'[1]Sales Order'!A:C,3,FALSE),[1]Employee!A:B,2,FALSE),"Not Specified")</f>
        <v>Mr. Sven Buck</v>
      </c>
      <c r="I228">
        <f>IFERROR(VLOOKUP(VLOOKUP(A228,'[1]Sales Order'!A:C,3,FALSE),[1]Employee!A:J,10,FALSE),"Not Specified")</f>
        <v>0</v>
      </c>
      <c r="J228" t="str">
        <f>VLOOKUP(B228,[1]Product!A:B,2,FALSE)</f>
        <v>Product PWCJB</v>
      </c>
      <c r="K228" t="str">
        <f>VLOOKUP(VLOOKUP(B228,[1]Product!A:D,4,FALSE),[1]Category!A:B,2,FALSE)</f>
        <v>Produce</v>
      </c>
      <c r="L228" s="10">
        <f>IFERROR(VLOOKUP(A228,'[1]Sales Order'!A:D,4,FALSE),"")</f>
        <v>39008</v>
      </c>
      <c r="M228" s="10">
        <f>IFERROR(VLOOKUP(A228,'[1]Sales Order'!A:F,6,FALSE),"")</f>
        <v>39015</v>
      </c>
      <c r="N228" t="str">
        <f>IFERROR(VLOOKUP(VLOOKUP(A228,'[1]Sales Order'!A:G,7,FALSE),[1]Shipper!A:B,2,FALSE),"Not Specified")</f>
        <v>Shipper ZHISN</v>
      </c>
      <c r="O228" t="str">
        <f>IFERROR(VLOOKUP(A228,'[1]Sales Order'!A:I,9,FALSE),"Not Specified")</f>
        <v>Ship to 87-C</v>
      </c>
      <c r="P228" t="str">
        <f>IFERROR(VLOOKUP(A228,'[1]Sales Order'!A:N,14,FALSE),"Not Specified")</f>
        <v>Finland</v>
      </c>
      <c r="Q228" t="str">
        <f>VLOOKUP(VLOOKUP(B228,[1]Product!A:C,3,FALSE),[1]Supplier!A:B,2,FALSE)</f>
        <v>Supplier QWUSF</v>
      </c>
      <c r="R228" t="str">
        <f>VLOOKUP(VLOOKUP(B228,[1]Product!A:C,3,FALSE),[1]Supplier!A:I,9,FALSE)</f>
        <v>Japan</v>
      </c>
      <c r="S228" t="str">
        <f>IFERROR(IF(VLOOKUP(A228,'[1]Sales Order'!A:H,8,FALSE)&gt;100,"High Freight","Low Freight"),"Not Specified")</f>
        <v>Low Freight</v>
      </c>
      <c r="T228">
        <f t="shared" si="7"/>
        <v>186</v>
      </c>
    </row>
    <row r="229" spans="1:20">
      <c r="A229" s="1">
        <v>10333</v>
      </c>
      <c r="B229" s="2">
        <v>21</v>
      </c>
      <c r="C229" s="2">
        <v>8</v>
      </c>
      <c r="D229" s="2">
        <v>10</v>
      </c>
      <c r="E229" s="3">
        <v>0.1</v>
      </c>
      <c r="F229" s="2" t="str">
        <f>IFERROR(VLOOKUP(VLOOKUP(A229,'[1]Sales Order'!A:B,2,FALSE),[1]Customer!A:C,3,FALSE),"Not Specified")</f>
        <v>Ludwig, Michael</v>
      </c>
      <c r="G229" s="2" t="str">
        <f t="shared" si="6"/>
        <v>Ludwig Michael</v>
      </c>
      <c r="H229" s="8" t="str">
        <f>IFERROR(VLOOKUP(VLOOKUP(A229,'[1]Sales Order'!A:C,3,FALSE),[1]Employee!A:E,5,FALSE)&amp;" "&amp;VLOOKUP(VLOOKUP(A229,'[1]Sales Order'!A:C,3,FALSE),[1]Employee!A:C,3,FALSE)&amp;" "&amp;VLOOKUP(VLOOKUP(A229,'[1]Sales Order'!A:C,3,FALSE),[1]Employee!A:B,2,FALSE),"Not Specified")</f>
        <v>Mr. Sven Buck</v>
      </c>
      <c r="I229">
        <f>IFERROR(VLOOKUP(VLOOKUP(A229,'[1]Sales Order'!A:C,3,FALSE),[1]Employee!A:J,10,FALSE),"Not Specified")</f>
        <v>0</v>
      </c>
      <c r="J229" t="str">
        <f>VLOOKUP(B229,[1]Product!A:B,2,FALSE)</f>
        <v>Product VJZZH</v>
      </c>
      <c r="K229" t="str">
        <f>VLOOKUP(VLOOKUP(B229,[1]Product!A:D,4,FALSE),[1]Category!A:B,2,FALSE)</f>
        <v>Confections</v>
      </c>
      <c r="L229" s="10">
        <f>IFERROR(VLOOKUP(A229,'[1]Sales Order'!A:D,4,FALSE),"")</f>
        <v>39008</v>
      </c>
      <c r="M229" s="10">
        <f>IFERROR(VLOOKUP(A229,'[1]Sales Order'!A:F,6,FALSE),"")</f>
        <v>39015</v>
      </c>
      <c r="N229" t="str">
        <f>IFERROR(VLOOKUP(VLOOKUP(A229,'[1]Sales Order'!A:G,7,FALSE),[1]Shipper!A:B,2,FALSE),"Not Specified")</f>
        <v>Shipper ZHISN</v>
      </c>
      <c r="O229" t="str">
        <f>IFERROR(VLOOKUP(A229,'[1]Sales Order'!A:I,9,FALSE),"Not Specified")</f>
        <v>Ship to 87-C</v>
      </c>
      <c r="P229" t="str">
        <f>IFERROR(VLOOKUP(A229,'[1]Sales Order'!A:N,14,FALSE),"Not Specified")</f>
        <v>Finland</v>
      </c>
      <c r="Q229" t="str">
        <f>VLOOKUP(VLOOKUP(B229,[1]Product!A:C,3,FALSE),[1]Supplier!A:B,2,FALSE)</f>
        <v>Supplier BWGYE</v>
      </c>
      <c r="R229" t="str">
        <f>VLOOKUP(VLOOKUP(B229,[1]Product!A:C,3,FALSE),[1]Supplier!A:I,9,FALSE)</f>
        <v>UK</v>
      </c>
      <c r="S229" t="str">
        <f>IFERROR(IF(VLOOKUP(A229,'[1]Sales Order'!A:H,8,FALSE)&gt;100,"High Freight","Low Freight"),"Not Specified")</f>
        <v>Low Freight</v>
      </c>
      <c r="T229">
        <f t="shared" si="7"/>
        <v>72</v>
      </c>
    </row>
    <row r="230" spans="1:20">
      <c r="A230" s="1">
        <v>10333</v>
      </c>
      <c r="B230" s="2">
        <v>71</v>
      </c>
      <c r="C230" s="2">
        <v>17.2</v>
      </c>
      <c r="D230" s="2">
        <v>40</v>
      </c>
      <c r="E230" s="3">
        <v>0.1</v>
      </c>
      <c r="F230" s="2" t="str">
        <f>IFERROR(VLOOKUP(VLOOKUP(A230,'[1]Sales Order'!A:B,2,FALSE),[1]Customer!A:C,3,FALSE),"Not Specified")</f>
        <v>Ludwig, Michael</v>
      </c>
      <c r="G230" s="2" t="str">
        <f t="shared" si="6"/>
        <v>Ludwig Michael</v>
      </c>
      <c r="H230" s="8" t="str">
        <f>IFERROR(VLOOKUP(VLOOKUP(A230,'[1]Sales Order'!A:C,3,FALSE),[1]Employee!A:E,5,FALSE)&amp;" "&amp;VLOOKUP(VLOOKUP(A230,'[1]Sales Order'!A:C,3,FALSE),[1]Employee!A:C,3,FALSE)&amp;" "&amp;VLOOKUP(VLOOKUP(A230,'[1]Sales Order'!A:C,3,FALSE),[1]Employee!A:B,2,FALSE),"Not Specified")</f>
        <v>Mr. Sven Buck</v>
      </c>
      <c r="I230">
        <f>IFERROR(VLOOKUP(VLOOKUP(A230,'[1]Sales Order'!A:C,3,FALSE),[1]Employee!A:J,10,FALSE),"Not Specified")</f>
        <v>0</v>
      </c>
      <c r="J230" t="str">
        <f>VLOOKUP(B230,[1]Product!A:B,2,FALSE)</f>
        <v>Product MYMOI</v>
      </c>
      <c r="K230" t="str">
        <f>VLOOKUP(VLOOKUP(B230,[1]Product!A:D,4,FALSE),[1]Category!A:B,2,FALSE)</f>
        <v>Dairy Product</v>
      </c>
      <c r="L230" s="10">
        <f>IFERROR(VLOOKUP(A230,'[1]Sales Order'!A:D,4,FALSE),"")</f>
        <v>39008</v>
      </c>
      <c r="M230" s="10">
        <f>IFERROR(VLOOKUP(A230,'[1]Sales Order'!A:F,6,FALSE),"")</f>
        <v>39015</v>
      </c>
      <c r="N230" t="str">
        <f>IFERROR(VLOOKUP(VLOOKUP(A230,'[1]Sales Order'!A:G,7,FALSE),[1]Shipper!A:B,2,FALSE),"Not Specified")</f>
        <v>Shipper ZHISN</v>
      </c>
      <c r="O230" t="str">
        <f>IFERROR(VLOOKUP(A230,'[1]Sales Order'!A:I,9,FALSE),"Not Specified")</f>
        <v>Ship to 87-C</v>
      </c>
      <c r="P230" t="str">
        <f>IFERROR(VLOOKUP(A230,'[1]Sales Order'!A:N,14,FALSE),"Not Specified")</f>
        <v>Finland</v>
      </c>
      <c r="Q230" t="str">
        <f>VLOOKUP(VLOOKUP(B230,[1]Product!A:C,3,FALSE),[1]Supplier!A:B,2,FALSE)</f>
        <v>Supplier NZLIF</v>
      </c>
      <c r="R230" t="str">
        <f>VLOOKUP(VLOOKUP(B230,[1]Product!A:C,3,FALSE),[1]Supplier!A:I,9,FALSE)</f>
        <v>Norway</v>
      </c>
      <c r="S230" t="str">
        <f>IFERROR(IF(VLOOKUP(A230,'[1]Sales Order'!A:H,8,FALSE)&gt;100,"High Freight","Low Freight"),"Not Specified")</f>
        <v>Low Freight</v>
      </c>
      <c r="T230">
        <f t="shared" si="7"/>
        <v>619.20000000000005</v>
      </c>
    </row>
    <row r="231" spans="1:20">
      <c r="A231" s="1">
        <v>10334</v>
      </c>
      <c r="B231" s="2">
        <v>52</v>
      </c>
      <c r="C231" s="2">
        <v>5.6</v>
      </c>
      <c r="D231" s="2">
        <v>8</v>
      </c>
      <c r="E231" s="3">
        <v>0</v>
      </c>
      <c r="F231" s="2" t="str">
        <f>IFERROR(VLOOKUP(VLOOKUP(A231,'[1]Sales Order'!A:B,2,FALSE),[1]Customer!A:C,3,FALSE),"Not Specified")</f>
        <v>Tuntisangaroon, Sittichai</v>
      </c>
      <c r="G231" s="2" t="str">
        <f t="shared" si="6"/>
        <v>Tuntisangaroon Sittichai</v>
      </c>
      <c r="H231" s="8" t="str">
        <f>IFERROR(VLOOKUP(VLOOKUP(A231,'[1]Sales Order'!A:C,3,FALSE),[1]Employee!A:E,5,FALSE)&amp;" "&amp;VLOOKUP(VLOOKUP(A231,'[1]Sales Order'!A:C,3,FALSE),[1]Employee!A:C,3,FALSE)&amp;" "&amp;VLOOKUP(VLOOKUP(A231,'[1]Sales Order'!A:C,3,FALSE),[1]Employee!A:B,2,FALSE),"Not Specified")</f>
        <v>Ms. Maria Cameron</v>
      </c>
      <c r="I231" t="str">
        <f>IFERROR(VLOOKUP(VLOOKUP(A231,'[1]Sales Order'!A:C,3,FALSE),[1]Employee!A:J,10,FALSE),"Not Specified")</f>
        <v>WA</v>
      </c>
      <c r="J231" t="str">
        <f>VLOOKUP(B231,[1]Product!A:B,2,FALSE)</f>
        <v>Product QSRXF</v>
      </c>
      <c r="K231" t="str">
        <f>VLOOKUP(VLOOKUP(B231,[1]Product!A:D,4,FALSE),[1]Category!A:B,2,FALSE)</f>
        <v>Grains/Cereals</v>
      </c>
      <c r="L231" s="10">
        <f>IFERROR(VLOOKUP(A231,'[1]Sales Order'!A:D,4,FALSE),"")</f>
        <v>39011</v>
      </c>
      <c r="M231" s="10">
        <f>IFERROR(VLOOKUP(A231,'[1]Sales Order'!A:F,6,FALSE),"")</f>
        <v>39018</v>
      </c>
      <c r="N231" t="str">
        <f>IFERROR(VLOOKUP(VLOOKUP(A231,'[1]Sales Order'!A:G,7,FALSE),[1]Shipper!A:B,2,FALSE),"Not Specified")</f>
        <v>Shipper ETYNR</v>
      </c>
      <c r="O231" t="str">
        <f>IFERROR(VLOOKUP(A231,'[1]Sales Order'!A:I,9,FALSE),"Not Specified")</f>
        <v>Ship to 84-B</v>
      </c>
      <c r="P231" t="str">
        <f>IFERROR(VLOOKUP(A231,'[1]Sales Order'!A:N,14,FALSE),"Not Specified")</f>
        <v>France</v>
      </c>
      <c r="Q231" t="str">
        <f>VLOOKUP(VLOOKUP(B231,[1]Product!A:C,3,FALSE),[1]Supplier!A:B,2,FALSE)</f>
        <v>Supplier JNNES</v>
      </c>
      <c r="R231" t="str">
        <f>VLOOKUP(VLOOKUP(B231,[1]Product!A:C,3,FALSE),[1]Supplier!A:I,9,FALSE)</f>
        <v>Australia</v>
      </c>
      <c r="S231" t="str">
        <f>IFERROR(IF(VLOOKUP(A231,'[1]Sales Order'!A:H,8,FALSE)&gt;100,"High Freight","Low Freight"),"Not Specified")</f>
        <v>Low Freight</v>
      </c>
      <c r="T231">
        <f t="shared" si="7"/>
        <v>44.8</v>
      </c>
    </row>
    <row r="232" spans="1:20">
      <c r="A232" s="1">
        <v>10334</v>
      </c>
      <c r="B232" s="2">
        <v>68</v>
      </c>
      <c r="C232" s="2">
        <v>10</v>
      </c>
      <c r="D232" s="2">
        <v>10</v>
      </c>
      <c r="E232" s="3">
        <v>0</v>
      </c>
      <c r="F232" s="2" t="str">
        <f>IFERROR(VLOOKUP(VLOOKUP(A232,'[1]Sales Order'!A:B,2,FALSE),[1]Customer!A:C,3,FALSE),"Not Specified")</f>
        <v>Tuntisangaroon, Sittichai</v>
      </c>
      <c r="G232" s="2" t="str">
        <f t="shared" si="6"/>
        <v>Tuntisangaroon Sittichai</v>
      </c>
      <c r="H232" s="8" t="str">
        <f>IFERROR(VLOOKUP(VLOOKUP(A232,'[1]Sales Order'!A:C,3,FALSE),[1]Employee!A:E,5,FALSE)&amp;" "&amp;VLOOKUP(VLOOKUP(A232,'[1]Sales Order'!A:C,3,FALSE),[1]Employee!A:C,3,FALSE)&amp;" "&amp;VLOOKUP(VLOOKUP(A232,'[1]Sales Order'!A:C,3,FALSE),[1]Employee!A:B,2,FALSE),"Not Specified")</f>
        <v>Ms. Maria Cameron</v>
      </c>
      <c r="I232" t="str">
        <f>IFERROR(VLOOKUP(VLOOKUP(A232,'[1]Sales Order'!A:C,3,FALSE),[1]Employee!A:J,10,FALSE),"Not Specified")</f>
        <v>WA</v>
      </c>
      <c r="J232" t="str">
        <f>VLOOKUP(B232,[1]Product!A:B,2,FALSE)</f>
        <v>Product TBTBL</v>
      </c>
      <c r="K232" t="str">
        <f>VLOOKUP(VLOOKUP(B232,[1]Product!A:D,4,FALSE),[1]Category!A:B,2,FALSE)</f>
        <v>Confections</v>
      </c>
      <c r="L232" s="10">
        <f>IFERROR(VLOOKUP(A232,'[1]Sales Order'!A:D,4,FALSE),"")</f>
        <v>39011</v>
      </c>
      <c r="M232" s="10">
        <f>IFERROR(VLOOKUP(A232,'[1]Sales Order'!A:F,6,FALSE),"")</f>
        <v>39018</v>
      </c>
      <c r="N232" t="str">
        <f>IFERROR(VLOOKUP(VLOOKUP(A232,'[1]Sales Order'!A:G,7,FALSE),[1]Shipper!A:B,2,FALSE),"Not Specified")</f>
        <v>Shipper ETYNR</v>
      </c>
      <c r="O232" t="str">
        <f>IFERROR(VLOOKUP(A232,'[1]Sales Order'!A:I,9,FALSE),"Not Specified")</f>
        <v>Ship to 84-B</v>
      </c>
      <c r="P232" t="str">
        <f>IFERROR(VLOOKUP(A232,'[1]Sales Order'!A:N,14,FALSE),"Not Specified")</f>
        <v>France</v>
      </c>
      <c r="Q232" t="str">
        <f>VLOOKUP(VLOOKUP(B232,[1]Product!A:C,3,FALSE),[1]Supplier!A:B,2,FALSE)</f>
        <v>Supplier BWGYE</v>
      </c>
      <c r="R232" t="str">
        <f>VLOOKUP(VLOOKUP(B232,[1]Product!A:C,3,FALSE),[1]Supplier!A:I,9,FALSE)</f>
        <v>UK</v>
      </c>
      <c r="S232" t="str">
        <f>IFERROR(IF(VLOOKUP(A232,'[1]Sales Order'!A:H,8,FALSE)&gt;100,"High Freight","Low Freight"),"Not Specified")</f>
        <v>Low Freight</v>
      </c>
      <c r="T232">
        <f t="shared" si="7"/>
        <v>100</v>
      </c>
    </row>
    <row r="233" spans="1:20">
      <c r="A233" s="1">
        <v>10335</v>
      </c>
      <c r="B233" s="2">
        <v>2</v>
      </c>
      <c r="C233" s="2">
        <v>15.2</v>
      </c>
      <c r="D233" s="2">
        <v>7</v>
      </c>
      <c r="E233" s="3">
        <v>0.2</v>
      </c>
      <c r="F233" s="2" t="str">
        <f>IFERROR(VLOOKUP(VLOOKUP(A233,'[1]Sales Order'!A:B,2,FALSE),[1]Customer!A:C,3,FALSE),"Not Specified")</f>
        <v>Crăciun, Ovidiu V.</v>
      </c>
      <c r="G233" s="2" t="str">
        <f t="shared" si="6"/>
        <v>Crăciun Ovidiu V.</v>
      </c>
      <c r="H233" s="8" t="str">
        <f>IFERROR(VLOOKUP(VLOOKUP(A233,'[1]Sales Order'!A:C,3,FALSE),[1]Employee!A:E,5,FALSE)&amp;" "&amp;VLOOKUP(VLOOKUP(A233,'[1]Sales Order'!A:C,3,FALSE),[1]Employee!A:C,3,FALSE)&amp;" "&amp;VLOOKUP(VLOOKUP(A233,'[1]Sales Order'!A:C,3,FALSE),[1]Employee!A:B,2,FALSE),"Not Specified")</f>
        <v>Mr. Russell King</v>
      </c>
      <c r="I233">
        <f>IFERROR(VLOOKUP(VLOOKUP(A233,'[1]Sales Order'!A:C,3,FALSE),[1]Employee!A:J,10,FALSE),"Not Specified")</f>
        <v>0</v>
      </c>
      <c r="J233" t="str">
        <f>VLOOKUP(B233,[1]Product!A:B,2,FALSE)</f>
        <v>Product RECZE</v>
      </c>
      <c r="K233" t="str">
        <f>VLOOKUP(VLOOKUP(B233,[1]Product!A:D,4,FALSE),[1]Category!A:B,2,FALSE)</f>
        <v>Beverages</v>
      </c>
      <c r="L233" s="10">
        <f>IFERROR(VLOOKUP(A233,'[1]Sales Order'!A:D,4,FALSE),"")</f>
        <v>39012</v>
      </c>
      <c r="M233" s="10">
        <f>IFERROR(VLOOKUP(A233,'[1]Sales Order'!A:F,6,FALSE),"")</f>
        <v>39014</v>
      </c>
      <c r="N233" t="str">
        <f>IFERROR(VLOOKUP(VLOOKUP(A233,'[1]Sales Order'!A:G,7,FALSE),[1]Shipper!A:B,2,FALSE),"Not Specified")</f>
        <v>Shipper ETYNR</v>
      </c>
      <c r="O233" t="str">
        <f>IFERROR(VLOOKUP(A233,'[1]Sales Order'!A:I,9,FALSE),"Not Specified")</f>
        <v>Destination ATSOA</v>
      </c>
      <c r="P233" t="str">
        <f>IFERROR(VLOOKUP(A233,'[1]Sales Order'!A:N,14,FALSE),"Not Specified")</f>
        <v>Ireland</v>
      </c>
      <c r="Q233" t="str">
        <f>VLOOKUP(VLOOKUP(B233,[1]Product!A:C,3,FALSE),[1]Supplier!A:B,2,FALSE)</f>
        <v>Supplier SWRXU</v>
      </c>
      <c r="R233" t="str">
        <f>VLOOKUP(VLOOKUP(B233,[1]Product!A:C,3,FALSE),[1]Supplier!A:I,9,FALSE)</f>
        <v>UK</v>
      </c>
      <c r="S233" t="str">
        <f>IFERROR(IF(VLOOKUP(A233,'[1]Sales Order'!A:H,8,FALSE)&gt;100,"High Freight","Low Freight"),"Not Specified")</f>
        <v>Low Freight</v>
      </c>
      <c r="T233">
        <f t="shared" si="7"/>
        <v>85.12</v>
      </c>
    </row>
    <row r="234" spans="1:20">
      <c r="A234" s="1">
        <v>10335</v>
      </c>
      <c r="B234" s="2">
        <v>31</v>
      </c>
      <c r="C234" s="2">
        <v>10</v>
      </c>
      <c r="D234" s="2">
        <v>25</v>
      </c>
      <c r="E234" s="3">
        <v>0.2</v>
      </c>
      <c r="F234" s="2" t="str">
        <f>IFERROR(VLOOKUP(VLOOKUP(A234,'[1]Sales Order'!A:B,2,FALSE),[1]Customer!A:C,3,FALSE),"Not Specified")</f>
        <v>Crăciun, Ovidiu V.</v>
      </c>
      <c r="G234" s="2" t="str">
        <f t="shared" si="6"/>
        <v>Crăciun Ovidiu V.</v>
      </c>
      <c r="H234" s="8" t="str">
        <f>IFERROR(VLOOKUP(VLOOKUP(A234,'[1]Sales Order'!A:C,3,FALSE),[1]Employee!A:E,5,FALSE)&amp;" "&amp;VLOOKUP(VLOOKUP(A234,'[1]Sales Order'!A:C,3,FALSE),[1]Employee!A:C,3,FALSE)&amp;" "&amp;VLOOKUP(VLOOKUP(A234,'[1]Sales Order'!A:C,3,FALSE),[1]Employee!A:B,2,FALSE),"Not Specified")</f>
        <v>Mr. Russell King</v>
      </c>
      <c r="I234">
        <f>IFERROR(VLOOKUP(VLOOKUP(A234,'[1]Sales Order'!A:C,3,FALSE),[1]Employee!A:J,10,FALSE),"Not Specified")</f>
        <v>0</v>
      </c>
      <c r="J234" t="str">
        <f>VLOOKUP(B234,[1]Product!A:B,2,FALSE)</f>
        <v>Product XWOXC</v>
      </c>
      <c r="K234" t="str">
        <f>VLOOKUP(VLOOKUP(B234,[1]Product!A:D,4,FALSE),[1]Category!A:B,2,FALSE)</f>
        <v>Dairy Product</v>
      </c>
      <c r="L234" s="10">
        <f>IFERROR(VLOOKUP(A234,'[1]Sales Order'!A:D,4,FALSE),"")</f>
        <v>39012</v>
      </c>
      <c r="M234" s="10">
        <f>IFERROR(VLOOKUP(A234,'[1]Sales Order'!A:F,6,FALSE),"")</f>
        <v>39014</v>
      </c>
      <c r="N234" t="str">
        <f>IFERROR(VLOOKUP(VLOOKUP(A234,'[1]Sales Order'!A:G,7,FALSE),[1]Shipper!A:B,2,FALSE),"Not Specified")</f>
        <v>Shipper ETYNR</v>
      </c>
      <c r="O234" t="str">
        <f>IFERROR(VLOOKUP(A234,'[1]Sales Order'!A:I,9,FALSE),"Not Specified")</f>
        <v>Destination ATSOA</v>
      </c>
      <c r="P234" t="str">
        <f>IFERROR(VLOOKUP(A234,'[1]Sales Order'!A:N,14,FALSE),"Not Specified")</f>
        <v>Ireland</v>
      </c>
      <c r="Q234" t="str">
        <f>VLOOKUP(VLOOKUP(B234,[1]Product!A:C,3,FALSE),[1]Supplier!A:B,2,FALSE)</f>
        <v>Supplier KEREV</v>
      </c>
      <c r="R234" t="str">
        <f>VLOOKUP(VLOOKUP(B234,[1]Product!A:C,3,FALSE),[1]Supplier!A:I,9,FALSE)</f>
        <v>Italy</v>
      </c>
      <c r="S234" t="str">
        <f>IFERROR(IF(VLOOKUP(A234,'[1]Sales Order'!A:H,8,FALSE)&gt;100,"High Freight","Low Freight"),"Not Specified")</f>
        <v>Low Freight</v>
      </c>
      <c r="T234">
        <f t="shared" si="7"/>
        <v>200</v>
      </c>
    </row>
    <row r="235" spans="1:20">
      <c r="A235" s="1">
        <v>10335</v>
      </c>
      <c r="B235" s="2">
        <v>32</v>
      </c>
      <c r="C235" s="2">
        <v>25.6</v>
      </c>
      <c r="D235" s="2">
        <v>6</v>
      </c>
      <c r="E235" s="3">
        <v>0.2</v>
      </c>
      <c r="F235" s="2" t="str">
        <f>IFERROR(VLOOKUP(VLOOKUP(A235,'[1]Sales Order'!A:B,2,FALSE),[1]Customer!A:C,3,FALSE),"Not Specified")</f>
        <v>Crăciun, Ovidiu V.</v>
      </c>
      <c r="G235" s="2" t="str">
        <f t="shared" si="6"/>
        <v>Crăciun Ovidiu V.</v>
      </c>
      <c r="H235" s="8" t="str">
        <f>IFERROR(VLOOKUP(VLOOKUP(A235,'[1]Sales Order'!A:C,3,FALSE),[1]Employee!A:E,5,FALSE)&amp;" "&amp;VLOOKUP(VLOOKUP(A235,'[1]Sales Order'!A:C,3,FALSE),[1]Employee!A:C,3,FALSE)&amp;" "&amp;VLOOKUP(VLOOKUP(A235,'[1]Sales Order'!A:C,3,FALSE),[1]Employee!A:B,2,FALSE),"Not Specified")</f>
        <v>Mr. Russell King</v>
      </c>
      <c r="I235">
        <f>IFERROR(VLOOKUP(VLOOKUP(A235,'[1]Sales Order'!A:C,3,FALSE),[1]Employee!A:J,10,FALSE),"Not Specified")</f>
        <v>0</v>
      </c>
      <c r="J235" t="str">
        <f>VLOOKUP(B235,[1]Product!A:B,2,FALSE)</f>
        <v>Product NUNAW</v>
      </c>
      <c r="K235" t="str">
        <f>VLOOKUP(VLOOKUP(B235,[1]Product!A:D,4,FALSE),[1]Category!A:B,2,FALSE)</f>
        <v>Dairy Product</v>
      </c>
      <c r="L235" s="10">
        <f>IFERROR(VLOOKUP(A235,'[1]Sales Order'!A:D,4,FALSE),"")</f>
        <v>39012</v>
      </c>
      <c r="M235" s="10">
        <f>IFERROR(VLOOKUP(A235,'[1]Sales Order'!A:F,6,FALSE),"")</f>
        <v>39014</v>
      </c>
      <c r="N235" t="str">
        <f>IFERROR(VLOOKUP(VLOOKUP(A235,'[1]Sales Order'!A:G,7,FALSE),[1]Shipper!A:B,2,FALSE),"Not Specified")</f>
        <v>Shipper ETYNR</v>
      </c>
      <c r="O235" t="str">
        <f>IFERROR(VLOOKUP(A235,'[1]Sales Order'!A:I,9,FALSE),"Not Specified")</f>
        <v>Destination ATSOA</v>
      </c>
      <c r="P235" t="str">
        <f>IFERROR(VLOOKUP(A235,'[1]Sales Order'!A:N,14,FALSE),"Not Specified")</f>
        <v>Ireland</v>
      </c>
      <c r="Q235" t="str">
        <f>VLOOKUP(VLOOKUP(B235,[1]Product!A:C,3,FALSE),[1]Supplier!A:B,2,FALSE)</f>
        <v>Supplier KEREV</v>
      </c>
      <c r="R235" t="str">
        <f>VLOOKUP(VLOOKUP(B235,[1]Product!A:C,3,FALSE),[1]Supplier!A:I,9,FALSE)</f>
        <v>Italy</v>
      </c>
      <c r="S235" t="str">
        <f>IFERROR(IF(VLOOKUP(A235,'[1]Sales Order'!A:H,8,FALSE)&gt;100,"High Freight","Low Freight"),"Not Specified")</f>
        <v>Low Freight</v>
      </c>
      <c r="T235">
        <f t="shared" si="7"/>
        <v>122.88000000000002</v>
      </c>
    </row>
    <row r="236" spans="1:20">
      <c r="A236" s="1">
        <v>10335</v>
      </c>
      <c r="B236" s="2">
        <v>51</v>
      </c>
      <c r="C236" s="2">
        <v>42.4</v>
      </c>
      <c r="D236" s="2">
        <v>48</v>
      </c>
      <c r="E236" s="3">
        <v>0.2</v>
      </c>
      <c r="F236" s="2" t="str">
        <f>IFERROR(VLOOKUP(VLOOKUP(A236,'[1]Sales Order'!A:B,2,FALSE),[1]Customer!A:C,3,FALSE),"Not Specified")</f>
        <v>Crăciun, Ovidiu V.</v>
      </c>
      <c r="G236" s="2" t="str">
        <f t="shared" si="6"/>
        <v>Crăciun Ovidiu V.</v>
      </c>
      <c r="H236" s="8" t="str">
        <f>IFERROR(VLOOKUP(VLOOKUP(A236,'[1]Sales Order'!A:C,3,FALSE),[1]Employee!A:E,5,FALSE)&amp;" "&amp;VLOOKUP(VLOOKUP(A236,'[1]Sales Order'!A:C,3,FALSE),[1]Employee!A:C,3,FALSE)&amp;" "&amp;VLOOKUP(VLOOKUP(A236,'[1]Sales Order'!A:C,3,FALSE),[1]Employee!A:B,2,FALSE),"Not Specified")</f>
        <v>Mr. Russell King</v>
      </c>
      <c r="I236">
        <f>IFERROR(VLOOKUP(VLOOKUP(A236,'[1]Sales Order'!A:C,3,FALSE),[1]Employee!A:J,10,FALSE),"Not Specified")</f>
        <v>0</v>
      </c>
      <c r="J236" t="str">
        <f>VLOOKUP(B236,[1]Product!A:B,2,FALSE)</f>
        <v>Product APITJ</v>
      </c>
      <c r="K236" t="str">
        <f>VLOOKUP(VLOOKUP(B236,[1]Product!A:D,4,FALSE),[1]Category!A:B,2,FALSE)</f>
        <v>Produce</v>
      </c>
      <c r="L236" s="10">
        <f>IFERROR(VLOOKUP(A236,'[1]Sales Order'!A:D,4,FALSE),"")</f>
        <v>39012</v>
      </c>
      <c r="M236" s="10">
        <f>IFERROR(VLOOKUP(A236,'[1]Sales Order'!A:F,6,FALSE),"")</f>
        <v>39014</v>
      </c>
      <c r="N236" t="str">
        <f>IFERROR(VLOOKUP(VLOOKUP(A236,'[1]Sales Order'!A:G,7,FALSE),[1]Shipper!A:B,2,FALSE),"Not Specified")</f>
        <v>Shipper ETYNR</v>
      </c>
      <c r="O236" t="str">
        <f>IFERROR(VLOOKUP(A236,'[1]Sales Order'!A:I,9,FALSE),"Not Specified")</f>
        <v>Destination ATSOA</v>
      </c>
      <c r="P236" t="str">
        <f>IFERROR(VLOOKUP(A236,'[1]Sales Order'!A:N,14,FALSE),"Not Specified")</f>
        <v>Ireland</v>
      </c>
      <c r="Q236" t="str">
        <f>VLOOKUP(VLOOKUP(B236,[1]Product!A:C,3,FALSE),[1]Supplier!A:B,2,FALSE)</f>
        <v>Supplier JNNES</v>
      </c>
      <c r="R236" t="str">
        <f>VLOOKUP(VLOOKUP(B236,[1]Product!A:C,3,FALSE),[1]Supplier!A:I,9,FALSE)</f>
        <v>Australia</v>
      </c>
      <c r="S236" t="str">
        <f>IFERROR(IF(VLOOKUP(A236,'[1]Sales Order'!A:H,8,FALSE)&gt;100,"High Freight","Low Freight"),"Not Specified")</f>
        <v>Low Freight</v>
      </c>
      <c r="T236">
        <f t="shared" si="7"/>
        <v>1628.1599999999999</v>
      </c>
    </row>
    <row r="237" spans="1:20">
      <c r="A237" s="1">
        <v>10336</v>
      </c>
      <c r="B237" s="2">
        <v>4</v>
      </c>
      <c r="C237" s="2">
        <v>17.600000000000001</v>
      </c>
      <c r="D237" s="2">
        <v>18</v>
      </c>
      <c r="E237" s="3">
        <v>0.1</v>
      </c>
      <c r="F237" s="2" t="str">
        <f>IFERROR(VLOOKUP(VLOOKUP(A237,'[1]Sales Order'!A:B,2,FALSE),[1]Customer!A:C,3,FALSE),"Not Specified")</f>
        <v>Uppal, Sunil</v>
      </c>
      <c r="G237" s="2" t="str">
        <f t="shared" si="6"/>
        <v>Uppal Sunil</v>
      </c>
      <c r="H237" s="8" t="str">
        <f>IFERROR(VLOOKUP(VLOOKUP(A237,'[1]Sales Order'!A:C,3,FALSE),[1]Employee!A:E,5,FALSE)&amp;" "&amp;VLOOKUP(VLOOKUP(A237,'[1]Sales Order'!A:C,3,FALSE),[1]Employee!A:C,3,FALSE)&amp;" "&amp;VLOOKUP(VLOOKUP(A237,'[1]Sales Order'!A:C,3,FALSE),[1]Employee!A:B,2,FALSE),"Not Specified")</f>
        <v>Mr. Russell King</v>
      </c>
      <c r="I237">
        <f>IFERROR(VLOOKUP(VLOOKUP(A237,'[1]Sales Order'!A:C,3,FALSE),[1]Employee!A:J,10,FALSE),"Not Specified")</f>
        <v>0</v>
      </c>
      <c r="J237" t="str">
        <f>VLOOKUP(B237,[1]Product!A:B,2,FALSE)</f>
        <v>Product KSBRM</v>
      </c>
      <c r="K237" t="str">
        <f>VLOOKUP(VLOOKUP(B237,[1]Product!A:D,4,FALSE),[1]Category!A:B,2,FALSE)</f>
        <v>Condiments</v>
      </c>
      <c r="L237" s="10">
        <f>IFERROR(VLOOKUP(A237,'[1]Sales Order'!A:D,4,FALSE),"")</f>
        <v>39013</v>
      </c>
      <c r="M237" s="10">
        <f>IFERROR(VLOOKUP(A237,'[1]Sales Order'!A:F,6,FALSE),"")</f>
        <v>39015</v>
      </c>
      <c r="N237" t="str">
        <f>IFERROR(VLOOKUP(VLOOKUP(A237,'[1]Sales Order'!A:G,7,FALSE),[1]Shipper!A:B,2,FALSE),"Not Specified")</f>
        <v>Shipper ETYNR</v>
      </c>
      <c r="O237" t="str">
        <f>IFERROR(VLOOKUP(A237,'[1]Sales Order'!A:I,9,FALSE),"Not Specified")</f>
        <v>Ship to 60-B</v>
      </c>
      <c r="P237" t="str">
        <f>IFERROR(VLOOKUP(A237,'[1]Sales Order'!A:N,14,FALSE),"Not Specified")</f>
        <v>Portugal</v>
      </c>
      <c r="Q237" t="str">
        <f>VLOOKUP(VLOOKUP(B237,[1]Product!A:C,3,FALSE),[1]Supplier!A:B,2,FALSE)</f>
        <v>Supplier VHQZD</v>
      </c>
      <c r="R237" t="str">
        <f>VLOOKUP(VLOOKUP(B237,[1]Product!A:C,3,FALSE),[1]Supplier!A:I,9,FALSE)</f>
        <v>USA</v>
      </c>
      <c r="S237" t="str">
        <f>IFERROR(IF(VLOOKUP(A237,'[1]Sales Order'!A:H,8,FALSE)&gt;100,"High Freight","Low Freight"),"Not Specified")</f>
        <v>Low Freight</v>
      </c>
      <c r="T237">
        <f t="shared" si="7"/>
        <v>285.12</v>
      </c>
    </row>
    <row r="238" spans="1:20">
      <c r="A238" s="1">
        <v>10337</v>
      </c>
      <c r="B238" s="2">
        <v>23</v>
      </c>
      <c r="C238" s="2">
        <v>7.2</v>
      </c>
      <c r="D238" s="2">
        <v>40</v>
      </c>
      <c r="E238" s="3">
        <v>0</v>
      </c>
      <c r="F238" s="2" t="str">
        <f>IFERROR(VLOOKUP(VLOOKUP(A238,'[1]Sales Order'!A:B,2,FALSE),[1]Customer!A:C,3,FALSE),"Not Specified")</f>
        <v>Carlson, Jason</v>
      </c>
      <c r="G238" s="2" t="str">
        <f t="shared" si="6"/>
        <v>Carlson Jason</v>
      </c>
      <c r="H238" s="8" t="str">
        <f>IFERROR(VLOOKUP(VLOOKUP(A238,'[1]Sales Order'!A:C,3,FALSE),[1]Employee!A:E,5,FALSE)&amp;" "&amp;VLOOKUP(VLOOKUP(A238,'[1]Sales Order'!A:C,3,FALSE),[1]Employee!A:C,3,FALSE)&amp;" "&amp;VLOOKUP(VLOOKUP(A238,'[1]Sales Order'!A:C,3,FALSE),[1]Employee!A:B,2,FALSE),"Not Specified")</f>
        <v>Mrs. Yael Peled</v>
      </c>
      <c r="I238" t="str">
        <f>IFERROR(VLOOKUP(VLOOKUP(A238,'[1]Sales Order'!A:C,3,FALSE),[1]Employee!A:J,10,FALSE),"Not Specified")</f>
        <v>WA</v>
      </c>
      <c r="J238" t="str">
        <f>VLOOKUP(B238,[1]Product!A:B,2,FALSE)</f>
        <v>Product JLUDZ</v>
      </c>
      <c r="K238" t="str">
        <f>VLOOKUP(VLOOKUP(B238,[1]Product!A:D,4,FALSE),[1]Category!A:B,2,FALSE)</f>
        <v>Grains/Cereals</v>
      </c>
      <c r="L238" s="10">
        <f>IFERROR(VLOOKUP(A238,'[1]Sales Order'!A:D,4,FALSE),"")</f>
        <v>39014</v>
      </c>
      <c r="M238" s="10">
        <f>IFERROR(VLOOKUP(A238,'[1]Sales Order'!A:F,6,FALSE),"")</f>
        <v>39019</v>
      </c>
      <c r="N238" t="str">
        <f>IFERROR(VLOOKUP(VLOOKUP(A238,'[1]Sales Order'!A:G,7,FALSE),[1]Shipper!A:B,2,FALSE),"Not Specified")</f>
        <v>Shipper ZHISN</v>
      </c>
      <c r="O238" t="str">
        <f>IFERROR(VLOOKUP(A238,'[1]Sales Order'!A:I,9,FALSE),"Not Specified")</f>
        <v>Destination QOCBL</v>
      </c>
      <c r="P238" t="str">
        <f>IFERROR(VLOOKUP(A238,'[1]Sales Order'!A:N,14,FALSE),"Not Specified")</f>
        <v>Germany</v>
      </c>
      <c r="Q238" t="str">
        <f>VLOOKUP(VLOOKUP(B238,[1]Product!A:C,3,FALSE),[1]Supplier!A:B,2,FALSE)</f>
        <v>Supplier QQYEU</v>
      </c>
      <c r="R238" t="str">
        <f>VLOOKUP(VLOOKUP(B238,[1]Product!A:C,3,FALSE),[1]Supplier!A:I,9,FALSE)</f>
        <v>Sweden</v>
      </c>
      <c r="S238" t="str">
        <f>IFERROR(IF(VLOOKUP(A238,'[1]Sales Order'!A:H,8,FALSE)&gt;100,"High Freight","Low Freight"),"Not Specified")</f>
        <v>High Freight</v>
      </c>
      <c r="T238">
        <f t="shared" si="7"/>
        <v>288</v>
      </c>
    </row>
    <row r="239" spans="1:20">
      <c r="A239" s="1">
        <v>10337</v>
      </c>
      <c r="B239" s="2">
        <v>26</v>
      </c>
      <c r="C239" s="2">
        <v>24.9</v>
      </c>
      <c r="D239" s="2">
        <v>24</v>
      </c>
      <c r="E239" s="3">
        <v>0</v>
      </c>
      <c r="F239" s="2" t="str">
        <f>IFERROR(VLOOKUP(VLOOKUP(A239,'[1]Sales Order'!A:B,2,FALSE),[1]Customer!A:C,3,FALSE),"Not Specified")</f>
        <v>Carlson, Jason</v>
      </c>
      <c r="G239" s="2" t="str">
        <f t="shared" si="6"/>
        <v>Carlson Jason</v>
      </c>
      <c r="H239" s="8" t="str">
        <f>IFERROR(VLOOKUP(VLOOKUP(A239,'[1]Sales Order'!A:C,3,FALSE),[1]Employee!A:E,5,FALSE)&amp;" "&amp;VLOOKUP(VLOOKUP(A239,'[1]Sales Order'!A:C,3,FALSE),[1]Employee!A:C,3,FALSE)&amp;" "&amp;VLOOKUP(VLOOKUP(A239,'[1]Sales Order'!A:C,3,FALSE),[1]Employee!A:B,2,FALSE),"Not Specified")</f>
        <v>Mrs. Yael Peled</v>
      </c>
      <c r="I239" t="str">
        <f>IFERROR(VLOOKUP(VLOOKUP(A239,'[1]Sales Order'!A:C,3,FALSE),[1]Employee!A:J,10,FALSE),"Not Specified")</f>
        <v>WA</v>
      </c>
      <c r="J239" t="str">
        <f>VLOOKUP(B239,[1]Product!A:B,2,FALSE)</f>
        <v>Product HLGZA</v>
      </c>
      <c r="K239" t="str">
        <f>VLOOKUP(VLOOKUP(B239,[1]Product!A:D,4,FALSE),[1]Category!A:B,2,FALSE)</f>
        <v>Confections</v>
      </c>
      <c r="L239" s="10">
        <f>IFERROR(VLOOKUP(A239,'[1]Sales Order'!A:D,4,FALSE),"")</f>
        <v>39014</v>
      </c>
      <c r="M239" s="10">
        <f>IFERROR(VLOOKUP(A239,'[1]Sales Order'!A:F,6,FALSE),"")</f>
        <v>39019</v>
      </c>
      <c r="N239" t="str">
        <f>IFERROR(VLOOKUP(VLOOKUP(A239,'[1]Sales Order'!A:G,7,FALSE),[1]Shipper!A:B,2,FALSE),"Not Specified")</f>
        <v>Shipper ZHISN</v>
      </c>
      <c r="O239" t="str">
        <f>IFERROR(VLOOKUP(A239,'[1]Sales Order'!A:I,9,FALSE),"Not Specified")</f>
        <v>Destination QOCBL</v>
      </c>
      <c r="P239" t="str">
        <f>IFERROR(VLOOKUP(A239,'[1]Sales Order'!A:N,14,FALSE),"Not Specified")</f>
        <v>Germany</v>
      </c>
      <c r="Q239" t="str">
        <f>VLOOKUP(VLOOKUP(B239,[1]Product!A:C,3,FALSE),[1]Supplier!A:B,2,FALSE)</f>
        <v>Supplier ZPYVS</v>
      </c>
      <c r="R239" t="str">
        <f>VLOOKUP(VLOOKUP(B239,[1]Product!A:C,3,FALSE),[1]Supplier!A:I,9,FALSE)</f>
        <v>Germany</v>
      </c>
      <c r="S239" t="str">
        <f>IFERROR(IF(VLOOKUP(A239,'[1]Sales Order'!A:H,8,FALSE)&gt;100,"High Freight","Low Freight"),"Not Specified")</f>
        <v>High Freight</v>
      </c>
      <c r="T239">
        <f t="shared" si="7"/>
        <v>597.59999999999991</v>
      </c>
    </row>
    <row r="240" spans="1:20">
      <c r="A240" s="1">
        <v>10337</v>
      </c>
      <c r="B240" s="2">
        <v>36</v>
      </c>
      <c r="C240" s="2">
        <v>15.2</v>
      </c>
      <c r="D240" s="2">
        <v>20</v>
      </c>
      <c r="E240" s="3">
        <v>0</v>
      </c>
      <c r="F240" s="2" t="str">
        <f>IFERROR(VLOOKUP(VLOOKUP(A240,'[1]Sales Order'!A:B,2,FALSE),[1]Customer!A:C,3,FALSE),"Not Specified")</f>
        <v>Carlson, Jason</v>
      </c>
      <c r="G240" s="2" t="str">
        <f t="shared" si="6"/>
        <v>Carlson Jason</v>
      </c>
      <c r="H240" s="8" t="str">
        <f>IFERROR(VLOOKUP(VLOOKUP(A240,'[1]Sales Order'!A:C,3,FALSE),[1]Employee!A:E,5,FALSE)&amp;" "&amp;VLOOKUP(VLOOKUP(A240,'[1]Sales Order'!A:C,3,FALSE),[1]Employee!A:C,3,FALSE)&amp;" "&amp;VLOOKUP(VLOOKUP(A240,'[1]Sales Order'!A:C,3,FALSE),[1]Employee!A:B,2,FALSE),"Not Specified")</f>
        <v>Mrs. Yael Peled</v>
      </c>
      <c r="I240" t="str">
        <f>IFERROR(VLOOKUP(VLOOKUP(A240,'[1]Sales Order'!A:C,3,FALSE),[1]Employee!A:J,10,FALSE),"Not Specified")</f>
        <v>WA</v>
      </c>
      <c r="J240" t="str">
        <f>VLOOKUP(B240,[1]Product!A:B,2,FALSE)</f>
        <v>Product GMKIJ</v>
      </c>
      <c r="K240" t="str">
        <f>VLOOKUP(VLOOKUP(B240,[1]Product!A:D,4,FALSE),[1]Category!A:B,2,FALSE)</f>
        <v>Seafood</v>
      </c>
      <c r="L240" s="10">
        <f>IFERROR(VLOOKUP(A240,'[1]Sales Order'!A:D,4,FALSE),"")</f>
        <v>39014</v>
      </c>
      <c r="M240" s="10">
        <f>IFERROR(VLOOKUP(A240,'[1]Sales Order'!A:F,6,FALSE),"")</f>
        <v>39019</v>
      </c>
      <c r="N240" t="str">
        <f>IFERROR(VLOOKUP(VLOOKUP(A240,'[1]Sales Order'!A:G,7,FALSE),[1]Shipper!A:B,2,FALSE),"Not Specified")</f>
        <v>Shipper ZHISN</v>
      </c>
      <c r="O240" t="str">
        <f>IFERROR(VLOOKUP(A240,'[1]Sales Order'!A:I,9,FALSE),"Not Specified")</f>
        <v>Destination QOCBL</v>
      </c>
      <c r="P240" t="str">
        <f>IFERROR(VLOOKUP(A240,'[1]Sales Order'!A:N,14,FALSE),"Not Specified")</f>
        <v>Germany</v>
      </c>
      <c r="Q240" t="str">
        <f>VLOOKUP(VLOOKUP(B240,[1]Product!A:C,3,FALSE),[1]Supplier!A:B,2,FALSE)</f>
        <v>Supplier QZGUF</v>
      </c>
      <c r="R240" t="str">
        <f>VLOOKUP(VLOOKUP(B240,[1]Product!A:C,3,FALSE),[1]Supplier!A:I,9,FALSE)</f>
        <v>Sweden</v>
      </c>
      <c r="S240" t="str">
        <f>IFERROR(IF(VLOOKUP(A240,'[1]Sales Order'!A:H,8,FALSE)&gt;100,"High Freight","Low Freight"),"Not Specified")</f>
        <v>High Freight</v>
      </c>
      <c r="T240">
        <f t="shared" si="7"/>
        <v>304</v>
      </c>
    </row>
    <row r="241" spans="1:20">
      <c r="A241" s="1">
        <v>10337</v>
      </c>
      <c r="B241" s="2">
        <v>37</v>
      </c>
      <c r="C241" s="2">
        <v>20.8</v>
      </c>
      <c r="D241" s="2">
        <v>28</v>
      </c>
      <c r="E241" s="3">
        <v>0</v>
      </c>
      <c r="F241" s="2" t="str">
        <f>IFERROR(VLOOKUP(VLOOKUP(A241,'[1]Sales Order'!A:B,2,FALSE),[1]Customer!A:C,3,FALSE),"Not Specified")</f>
        <v>Carlson, Jason</v>
      </c>
      <c r="G241" s="2" t="str">
        <f t="shared" si="6"/>
        <v>Carlson Jason</v>
      </c>
      <c r="H241" s="8" t="str">
        <f>IFERROR(VLOOKUP(VLOOKUP(A241,'[1]Sales Order'!A:C,3,FALSE),[1]Employee!A:E,5,FALSE)&amp;" "&amp;VLOOKUP(VLOOKUP(A241,'[1]Sales Order'!A:C,3,FALSE),[1]Employee!A:C,3,FALSE)&amp;" "&amp;VLOOKUP(VLOOKUP(A241,'[1]Sales Order'!A:C,3,FALSE),[1]Employee!A:B,2,FALSE),"Not Specified")</f>
        <v>Mrs. Yael Peled</v>
      </c>
      <c r="I241" t="str">
        <f>IFERROR(VLOOKUP(VLOOKUP(A241,'[1]Sales Order'!A:C,3,FALSE),[1]Employee!A:J,10,FALSE),"Not Specified")</f>
        <v>WA</v>
      </c>
      <c r="J241" t="str">
        <f>VLOOKUP(B241,[1]Product!A:B,2,FALSE)</f>
        <v>Product EVFFA</v>
      </c>
      <c r="K241" t="str">
        <f>VLOOKUP(VLOOKUP(B241,[1]Product!A:D,4,FALSE),[1]Category!A:B,2,FALSE)</f>
        <v>Seafood</v>
      </c>
      <c r="L241" s="10">
        <f>IFERROR(VLOOKUP(A241,'[1]Sales Order'!A:D,4,FALSE),"")</f>
        <v>39014</v>
      </c>
      <c r="M241" s="10">
        <f>IFERROR(VLOOKUP(A241,'[1]Sales Order'!A:F,6,FALSE),"")</f>
        <v>39019</v>
      </c>
      <c r="N241" t="str">
        <f>IFERROR(VLOOKUP(VLOOKUP(A241,'[1]Sales Order'!A:G,7,FALSE),[1]Shipper!A:B,2,FALSE),"Not Specified")</f>
        <v>Shipper ZHISN</v>
      </c>
      <c r="O241" t="str">
        <f>IFERROR(VLOOKUP(A241,'[1]Sales Order'!A:I,9,FALSE),"Not Specified")</f>
        <v>Destination QOCBL</v>
      </c>
      <c r="P241" t="str">
        <f>IFERROR(VLOOKUP(A241,'[1]Sales Order'!A:N,14,FALSE),"Not Specified")</f>
        <v>Germany</v>
      </c>
      <c r="Q241" t="str">
        <f>VLOOKUP(VLOOKUP(B241,[1]Product!A:C,3,FALSE),[1]Supplier!A:B,2,FALSE)</f>
        <v>Supplier QZGUF</v>
      </c>
      <c r="R241" t="str">
        <f>VLOOKUP(VLOOKUP(B241,[1]Product!A:C,3,FALSE),[1]Supplier!A:I,9,FALSE)</f>
        <v>Sweden</v>
      </c>
      <c r="S241" t="str">
        <f>IFERROR(IF(VLOOKUP(A241,'[1]Sales Order'!A:H,8,FALSE)&gt;100,"High Freight","Low Freight"),"Not Specified")</f>
        <v>High Freight</v>
      </c>
      <c r="T241">
        <f t="shared" si="7"/>
        <v>582.4</v>
      </c>
    </row>
    <row r="242" spans="1:20">
      <c r="A242" s="1">
        <v>10337</v>
      </c>
      <c r="B242" s="2">
        <v>72</v>
      </c>
      <c r="C242" s="2">
        <v>27.8</v>
      </c>
      <c r="D242" s="2">
        <v>25</v>
      </c>
      <c r="E242" s="3">
        <v>0</v>
      </c>
      <c r="F242" s="2" t="str">
        <f>IFERROR(VLOOKUP(VLOOKUP(A242,'[1]Sales Order'!A:B,2,FALSE),[1]Customer!A:C,3,FALSE),"Not Specified")</f>
        <v>Carlson, Jason</v>
      </c>
      <c r="G242" s="2" t="str">
        <f t="shared" si="6"/>
        <v>Carlson Jason</v>
      </c>
      <c r="H242" s="8" t="str">
        <f>IFERROR(VLOOKUP(VLOOKUP(A242,'[1]Sales Order'!A:C,3,FALSE),[1]Employee!A:E,5,FALSE)&amp;" "&amp;VLOOKUP(VLOOKUP(A242,'[1]Sales Order'!A:C,3,FALSE),[1]Employee!A:C,3,FALSE)&amp;" "&amp;VLOOKUP(VLOOKUP(A242,'[1]Sales Order'!A:C,3,FALSE),[1]Employee!A:B,2,FALSE),"Not Specified")</f>
        <v>Mrs. Yael Peled</v>
      </c>
      <c r="I242" t="str">
        <f>IFERROR(VLOOKUP(VLOOKUP(A242,'[1]Sales Order'!A:C,3,FALSE),[1]Employee!A:J,10,FALSE),"Not Specified")</f>
        <v>WA</v>
      </c>
      <c r="J242" t="str">
        <f>VLOOKUP(B242,[1]Product!A:B,2,FALSE)</f>
        <v>Product GEEOO</v>
      </c>
      <c r="K242" t="str">
        <f>VLOOKUP(VLOOKUP(B242,[1]Product!A:D,4,FALSE),[1]Category!A:B,2,FALSE)</f>
        <v>Dairy Product</v>
      </c>
      <c r="L242" s="10">
        <f>IFERROR(VLOOKUP(A242,'[1]Sales Order'!A:D,4,FALSE),"")</f>
        <v>39014</v>
      </c>
      <c r="M242" s="10">
        <f>IFERROR(VLOOKUP(A242,'[1]Sales Order'!A:F,6,FALSE),"")</f>
        <v>39019</v>
      </c>
      <c r="N242" t="str">
        <f>IFERROR(VLOOKUP(VLOOKUP(A242,'[1]Sales Order'!A:G,7,FALSE),[1]Shipper!A:B,2,FALSE),"Not Specified")</f>
        <v>Shipper ZHISN</v>
      </c>
      <c r="O242" t="str">
        <f>IFERROR(VLOOKUP(A242,'[1]Sales Order'!A:I,9,FALSE),"Not Specified")</f>
        <v>Destination QOCBL</v>
      </c>
      <c r="P242" t="str">
        <f>IFERROR(VLOOKUP(A242,'[1]Sales Order'!A:N,14,FALSE),"Not Specified")</f>
        <v>Germany</v>
      </c>
      <c r="Q242" t="str">
        <f>VLOOKUP(VLOOKUP(B242,[1]Product!A:C,3,FALSE),[1]Supplier!A:B,2,FALSE)</f>
        <v>Supplier KEREV</v>
      </c>
      <c r="R242" t="str">
        <f>VLOOKUP(VLOOKUP(B242,[1]Product!A:C,3,FALSE),[1]Supplier!A:I,9,FALSE)</f>
        <v>Italy</v>
      </c>
      <c r="S242" t="str">
        <f>IFERROR(IF(VLOOKUP(A242,'[1]Sales Order'!A:H,8,FALSE)&gt;100,"High Freight","Low Freight"),"Not Specified")</f>
        <v>High Freight</v>
      </c>
      <c r="T242">
        <f t="shared" si="7"/>
        <v>695</v>
      </c>
    </row>
    <row r="243" spans="1:20">
      <c r="A243" s="1">
        <v>10338</v>
      </c>
      <c r="B243" s="2">
        <v>17</v>
      </c>
      <c r="C243" s="2">
        <v>31.2</v>
      </c>
      <c r="D243" s="2">
        <v>20</v>
      </c>
      <c r="E243" s="3">
        <v>0</v>
      </c>
      <c r="F243" s="2" t="str">
        <f>IFERROR(VLOOKUP(VLOOKUP(A243,'[1]Sales Order'!A:B,2,FALSE),[1]Customer!A:C,3,FALSE),"Not Specified")</f>
        <v>Egelund-Muller, Anja</v>
      </c>
      <c r="G243" s="2" t="str">
        <f t="shared" si="6"/>
        <v>Egelund-Muller Anja</v>
      </c>
      <c r="H243" s="8" t="str">
        <f>IFERROR(VLOOKUP(VLOOKUP(A243,'[1]Sales Order'!A:C,3,FALSE),[1]Employee!A:E,5,FALSE)&amp;" "&amp;VLOOKUP(VLOOKUP(A243,'[1]Sales Order'!A:C,3,FALSE),[1]Employee!A:C,3,FALSE)&amp;" "&amp;VLOOKUP(VLOOKUP(A243,'[1]Sales Order'!A:C,3,FALSE),[1]Employee!A:B,2,FALSE),"Not Specified")</f>
        <v>Mrs. Yael Peled</v>
      </c>
      <c r="I243" t="str">
        <f>IFERROR(VLOOKUP(VLOOKUP(A243,'[1]Sales Order'!A:C,3,FALSE),[1]Employee!A:J,10,FALSE),"Not Specified")</f>
        <v>WA</v>
      </c>
      <c r="J243" t="str">
        <f>VLOOKUP(B243,[1]Product!A:B,2,FALSE)</f>
        <v>Product BLCAX</v>
      </c>
      <c r="K243" t="str">
        <f>VLOOKUP(VLOOKUP(B243,[1]Product!A:D,4,FALSE),[1]Category!A:B,2,FALSE)</f>
        <v>Meat/Poultry</v>
      </c>
      <c r="L243" s="10">
        <f>IFERROR(VLOOKUP(A243,'[1]Sales Order'!A:D,4,FALSE),"")</f>
        <v>39015</v>
      </c>
      <c r="M243" s="10">
        <f>IFERROR(VLOOKUP(A243,'[1]Sales Order'!A:F,6,FALSE),"")</f>
        <v>39019</v>
      </c>
      <c r="N243" t="str">
        <f>IFERROR(VLOOKUP(VLOOKUP(A243,'[1]Sales Order'!A:G,7,FALSE),[1]Shipper!A:B,2,FALSE),"Not Specified")</f>
        <v>Shipper ZHISN</v>
      </c>
      <c r="O243" t="str">
        <f>IFERROR(VLOOKUP(A243,'[1]Sales Order'!A:I,9,FALSE),"Not Specified")</f>
        <v>Ship to 55-C</v>
      </c>
      <c r="P243" t="str">
        <f>IFERROR(VLOOKUP(A243,'[1]Sales Order'!A:N,14,FALSE),"Not Specified")</f>
        <v>USA</v>
      </c>
      <c r="Q243" t="str">
        <f>VLOOKUP(VLOOKUP(B243,[1]Product!A:C,3,FALSE),[1]Supplier!A:B,2,FALSE)</f>
        <v>Supplier GQRCV</v>
      </c>
      <c r="R243" t="str">
        <f>VLOOKUP(VLOOKUP(B243,[1]Product!A:C,3,FALSE),[1]Supplier!A:I,9,FALSE)</f>
        <v>Australia</v>
      </c>
      <c r="S243" t="str">
        <f>IFERROR(IF(VLOOKUP(A243,'[1]Sales Order'!A:H,8,FALSE)&gt;100,"High Freight","Low Freight"),"Not Specified")</f>
        <v>Low Freight</v>
      </c>
      <c r="T243">
        <f t="shared" si="7"/>
        <v>624</v>
      </c>
    </row>
    <row r="244" spans="1:20">
      <c r="A244" s="1">
        <v>10338</v>
      </c>
      <c r="B244" s="2">
        <v>30</v>
      </c>
      <c r="C244" s="2">
        <v>20.7</v>
      </c>
      <c r="D244" s="2">
        <v>15</v>
      </c>
      <c r="E244" s="3">
        <v>0</v>
      </c>
      <c r="F244" s="2" t="str">
        <f>IFERROR(VLOOKUP(VLOOKUP(A244,'[1]Sales Order'!A:B,2,FALSE),[1]Customer!A:C,3,FALSE),"Not Specified")</f>
        <v>Egelund-Muller, Anja</v>
      </c>
      <c r="G244" s="2" t="str">
        <f t="shared" si="6"/>
        <v>Egelund-Muller Anja</v>
      </c>
      <c r="H244" s="8" t="str">
        <f>IFERROR(VLOOKUP(VLOOKUP(A244,'[1]Sales Order'!A:C,3,FALSE),[1]Employee!A:E,5,FALSE)&amp;" "&amp;VLOOKUP(VLOOKUP(A244,'[1]Sales Order'!A:C,3,FALSE),[1]Employee!A:C,3,FALSE)&amp;" "&amp;VLOOKUP(VLOOKUP(A244,'[1]Sales Order'!A:C,3,FALSE),[1]Employee!A:B,2,FALSE),"Not Specified")</f>
        <v>Mrs. Yael Peled</v>
      </c>
      <c r="I244" t="str">
        <f>IFERROR(VLOOKUP(VLOOKUP(A244,'[1]Sales Order'!A:C,3,FALSE),[1]Employee!A:J,10,FALSE),"Not Specified")</f>
        <v>WA</v>
      </c>
      <c r="J244" t="str">
        <f>VLOOKUP(B244,[1]Product!A:B,2,FALSE)</f>
        <v>Product LYERX</v>
      </c>
      <c r="K244" t="str">
        <f>VLOOKUP(VLOOKUP(B244,[1]Product!A:D,4,FALSE),[1]Category!A:B,2,FALSE)</f>
        <v>Seafood</v>
      </c>
      <c r="L244" s="10">
        <f>IFERROR(VLOOKUP(A244,'[1]Sales Order'!A:D,4,FALSE),"")</f>
        <v>39015</v>
      </c>
      <c r="M244" s="10">
        <f>IFERROR(VLOOKUP(A244,'[1]Sales Order'!A:F,6,FALSE),"")</f>
        <v>39019</v>
      </c>
      <c r="N244" t="str">
        <f>IFERROR(VLOOKUP(VLOOKUP(A244,'[1]Sales Order'!A:G,7,FALSE),[1]Shipper!A:B,2,FALSE),"Not Specified")</f>
        <v>Shipper ZHISN</v>
      </c>
      <c r="O244" t="str">
        <f>IFERROR(VLOOKUP(A244,'[1]Sales Order'!A:I,9,FALSE),"Not Specified")</f>
        <v>Ship to 55-C</v>
      </c>
      <c r="P244" t="str">
        <f>IFERROR(VLOOKUP(A244,'[1]Sales Order'!A:N,14,FALSE),"Not Specified")</f>
        <v>USA</v>
      </c>
      <c r="Q244" t="str">
        <f>VLOOKUP(VLOOKUP(B244,[1]Product!A:C,3,FALSE),[1]Supplier!A:B,2,FALSE)</f>
        <v>Supplier TEGSC</v>
      </c>
      <c r="R244" t="str">
        <f>VLOOKUP(VLOOKUP(B244,[1]Product!A:C,3,FALSE),[1]Supplier!A:I,9,FALSE)</f>
        <v>Germany</v>
      </c>
      <c r="S244" t="str">
        <f>IFERROR(IF(VLOOKUP(A244,'[1]Sales Order'!A:H,8,FALSE)&gt;100,"High Freight","Low Freight"),"Not Specified")</f>
        <v>Low Freight</v>
      </c>
      <c r="T244">
        <f t="shared" si="7"/>
        <v>310.5</v>
      </c>
    </row>
    <row r="245" spans="1:20">
      <c r="A245" s="1">
        <v>10339</v>
      </c>
      <c r="B245" s="2">
        <v>4</v>
      </c>
      <c r="C245" s="2">
        <v>17.600000000000001</v>
      </c>
      <c r="D245" s="2">
        <v>10</v>
      </c>
      <c r="E245" s="3">
        <v>0</v>
      </c>
      <c r="F245" s="2" t="str">
        <f>IFERROR(VLOOKUP(VLOOKUP(A245,'[1]Sales Order'!A:B,2,FALSE),[1]Customer!A:C,3,FALSE),"Not Specified")</f>
        <v>Taylor, Maurice</v>
      </c>
      <c r="G245" s="2" t="str">
        <f t="shared" si="6"/>
        <v>Taylor Maurice</v>
      </c>
      <c r="H245" s="8" t="str">
        <f>IFERROR(VLOOKUP(VLOOKUP(A245,'[1]Sales Order'!A:C,3,FALSE),[1]Employee!A:E,5,FALSE)&amp;" "&amp;VLOOKUP(VLOOKUP(A245,'[1]Sales Order'!A:C,3,FALSE),[1]Employee!A:C,3,FALSE)&amp;" "&amp;VLOOKUP(VLOOKUP(A245,'[1]Sales Order'!A:C,3,FALSE),[1]Employee!A:B,2,FALSE),"Not Specified")</f>
        <v>Dr. Don Funk</v>
      </c>
      <c r="I245" t="str">
        <f>IFERROR(VLOOKUP(VLOOKUP(A245,'[1]Sales Order'!A:C,3,FALSE),[1]Employee!A:J,10,FALSE),"Not Specified")</f>
        <v>WA</v>
      </c>
      <c r="J245" t="str">
        <f>VLOOKUP(B245,[1]Product!A:B,2,FALSE)</f>
        <v>Product KSBRM</v>
      </c>
      <c r="K245" t="str">
        <f>VLOOKUP(VLOOKUP(B245,[1]Product!A:D,4,FALSE),[1]Category!A:B,2,FALSE)</f>
        <v>Condiments</v>
      </c>
      <c r="L245" s="10">
        <f>IFERROR(VLOOKUP(A245,'[1]Sales Order'!A:D,4,FALSE),"")</f>
        <v>39018</v>
      </c>
      <c r="M245" s="10">
        <f>IFERROR(VLOOKUP(A245,'[1]Sales Order'!A:F,6,FALSE),"")</f>
        <v>39025</v>
      </c>
      <c r="N245" t="str">
        <f>IFERROR(VLOOKUP(VLOOKUP(A245,'[1]Sales Order'!A:G,7,FALSE),[1]Shipper!A:B,2,FALSE),"Not Specified")</f>
        <v>Shipper ETYNR</v>
      </c>
      <c r="O245" t="str">
        <f>IFERROR(VLOOKUP(A245,'[1]Sales Order'!A:I,9,FALSE),"Not Specified")</f>
        <v>Ship to 51-C</v>
      </c>
      <c r="P245" t="str">
        <f>IFERROR(VLOOKUP(A245,'[1]Sales Order'!A:N,14,FALSE),"Not Specified")</f>
        <v>Canada</v>
      </c>
      <c r="Q245" t="str">
        <f>VLOOKUP(VLOOKUP(B245,[1]Product!A:C,3,FALSE),[1]Supplier!A:B,2,FALSE)</f>
        <v>Supplier VHQZD</v>
      </c>
      <c r="R245" t="str">
        <f>VLOOKUP(VLOOKUP(B245,[1]Product!A:C,3,FALSE),[1]Supplier!A:I,9,FALSE)</f>
        <v>USA</v>
      </c>
      <c r="S245" t="str">
        <f>IFERROR(IF(VLOOKUP(A245,'[1]Sales Order'!A:H,8,FALSE)&gt;100,"High Freight","Low Freight"),"Not Specified")</f>
        <v>Low Freight</v>
      </c>
      <c r="T245">
        <f t="shared" si="7"/>
        <v>176</v>
      </c>
    </row>
    <row r="246" spans="1:20">
      <c r="A246" s="1">
        <v>10339</v>
      </c>
      <c r="B246" s="2">
        <v>17</v>
      </c>
      <c r="C246" s="2">
        <v>31.2</v>
      </c>
      <c r="D246" s="2">
        <v>70</v>
      </c>
      <c r="E246" s="3">
        <v>0.05</v>
      </c>
      <c r="F246" s="2" t="str">
        <f>IFERROR(VLOOKUP(VLOOKUP(A246,'[1]Sales Order'!A:B,2,FALSE),[1]Customer!A:C,3,FALSE),"Not Specified")</f>
        <v>Taylor, Maurice</v>
      </c>
      <c r="G246" s="2" t="str">
        <f t="shared" si="6"/>
        <v>Taylor Maurice</v>
      </c>
      <c r="H246" s="8" t="str">
        <f>IFERROR(VLOOKUP(VLOOKUP(A246,'[1]Sales Order'!A:C,3,FALSE),[1]Employee!A:E,5,FALSE)&amp;" "&amp;VLOOKUP(VLOOKUP(A246,'[1]Sales Order'!A:C,3,FALSE),[1]Employee!A:C,3,FALSE)&amp;" "&amp;VLOOKUP(VLOOKUP(A246,'[1]Sales Order'!A:C,3,FALSE),[1]Employee!A:B,2,FALSE),"Not Specified")</f>
        <v>Dr. Don Funk</v>
      </c>
      <c r="I246" t="str">
        <f>IFERROR(VLOOKUP(VLOOKUP(A246,'[1]Sales Order'!A:C,3,FALSE),[1]Employee!A:J,10,FALSE),"Not Specified")</f>
        <v>WA</v>
      </c>
      <c r="J246" t="str">
        <f>VLOOKUP(B246,[1]Product!A:B,2,FALSE)</f>
        <v>Product BLCAX</v>
      </c>
      <c r="K246" t="str">
        <f>VLOOKUP(VLOOKUP(B246,[1]Product!A:D,4,FALSE),[1]Category!A:B,2,FALSE)</f>
        <v>Meat/Poultry</v>
      </c>
      <c r="L246" s="10">
        <f>IFERROR(VLOOKUP(A246,'[1]Sales Order'!A:D,4,FALSE),"")</f>
        <v>39018</v>
      </c>
      <c r="M246" s="10">
        <f>IFERROR(VLOOKUP(A246,'[1]Sales Order'!A:F,6,FALSE),"")</f>
        <v>39025</v>
      </c>
      <c r="N246" t="str">
        <f>IFERROR(VLOOKUP(VLOOKUP(A246,'[1]Sales Order'!A:G,7,FALSE),[1]Shipper!A:B,2,FALSE),"Not Specified")</f>
        <v>Shipper ETYNR</v>
      </c>
      <c r="O246" t="str">
        <f>IFERROR(VLOOKUP(A246,'[1]Sales Order'!A:I,9,FALSE),"Not Specified")</f>
        <v>Ship to 51-C</v>
      </c>
      <c r="P246" t="str">
        <f>IFERROR(VLOOKUP(A246,'[1]Sales Order'!A:N,14,FALSE),"Not Specified")</f>
        <v>Canada</v>
      </c>
      <c r="Q246" t="str">
        <f>VLOOKUP(VLOOKUP(B246,[1]Product!A:C,3,FALSE),[1]Supplier!A:B,2,FALSE)</f>
        <v>Supplier GQRCV</v>
      </c>
      <c r="R246" t="str">
        <f>VLOOKUP(VLOOKUP(B246,[1]Product!A:C,3,FALSE),[1]Supplier!A:I,9,FALSE)</f>
        <v>Australia</v>
      </c>
      <c r="S246" t="str">
        <f>IFERROR(IF(VLOOKUP(A246,'[1]Sales Order'!A:H,8,FALSE)&gt;100,"High Freight","Low Freight"),"Not Specified")</f>
        <v>Low Freight</v>
      </c>
      <c r="T246">
        <f t="shared" si="7"/>
        <v>2074.7999999999997</v>
      </c>
    </row>
    <row r="247" spans="1:20">
      <c r="A247" s="1">
        <v>10339</v>
      </c>
      <c r="B247" s="2">
        <v>62</v>
      </c>
      <c r="C247" s="2">
        <v>39.4</v>
      </c>
      <c r="D247" s="2">
        <v>28</v>
      </c>
      <c r="E247" s="3">
        <v>0</v>
      </c>
      <c r="F247" s="2" t="str">
        <f>IFERROR(VLOOKUP(VLOOKUP(A247,'[1]Sales Order'!A:B,2,FALSE),[1]Customer!A:C,3,FALSE),"Not Specified")</f>
        <v>Taylor, Maurice</v>
      </c>
      <c r="G247" s="2" t="str">
        <f t="shared" si="6"/>
        <v>Taylor Maurice</v>
      </c>
      <c r="H247" s="8" t="str">
        <f>IFERROR(VLOOKUP(VLOOKUP(A247,'[1]Sales Order'!A:C,3,FALSE),[1]Employee!A:E,5,FALSE)&amp;" "&amp;VLOOKUP(VLOOKUP(A247,'[1]Sales Order'!A:C,3,FALSE),[1]Employee!A:C,3,FALSE)&amp;" "&amp;VLOOKUP(VLOOKUP(A247,'[1]Sales Order'!A:C,3,FALSE),[1]Employee!A:B,2,FALSE),"Not Specified")</f>
        <v>Dr. Don Funk</v>
      </c>
      <c r="I247" t="str">
        <f>IFERROR(VLOOKUP(VLOOKUP(A247,'[1]Sales Order'!A:C,3,FALSE),[1]Employee!A:J,10,FALSE),"Not Specified")</f>
        <v>WA</v>
      </c>
      <c r="J247" t="str">
        <f>VLOOKUP(B247,[1]Product!A:B,2,FALSE)</f>
        <v>Product WUXYK</v>
      </c>
      <c r="K247" t="str">
        <f>VLOOKUP(VLOOKUP(B247,[1]Product!A:D,4,FALSE),[1]Category!A:B,2,FALSE)</f>
        <v>Confections</v>
      </c>
      <c r="L247" s="10">
        <f>IFERROR(VLOOKUP(A247,'[1]Sales Order'!A:D,4,FALSE),"")</f>
        <v>39018</v>
      </c>
      <c r="M247" s="10">
        <f>IFERROR(VLOOKUP(A247,'[1]Sales Order'!A:F,6,FALSE),"")</f>
        <v>39025</v>
      </c>
      <c r="N247" t="str">
        <f>IFERROR(VLOOKUP(VLOOKUP(A247,'[1]Sales Order'!A:G,7,FALSE),[1]Shipper!A:B,2,FALSE),"Not Specified")</f>
        <v>Shipper ETYNR</v>
      </c>
      <c r="O247" t="str">
        <f>IFERROR(VLOOKUP(A247,'[1]Sales Order'!A:I,9,FALSE),"Not Specified")</f>
        <v>Ship to 51-C</v>
      </c>
      <c r="P247" t="str">
        <f>IFERROR(VLOOKUP(A247,'[1]Sales Order'!A:N,14,FALSE),"Not Specified")</f>
        <v>Canada</v>
      </c>
      <c r="Q247" t="str">
        <f>VLOOKUP(VLOOKUP(B247,[1]Product!A:C,3,FALSE),[1]Supplier!A:B,2,FALSE)</f>
        <v>Supplier OGLRK</v>
      </c>
      <c r="R247" t="str">
        <f>VLOOKUP(VLOOKUP(B247,[1]Product!A:C,3,FALSE),[1]Supplier!A:I,9,FALSE)</f>
        <v>Canada</v>
      </c>
      <c r="S247" t="str">
        <f>IFERROR(IF(VLOOKUP(A247,'[1]Sales Order'!A:H,8,FALSE)&gt;100,"High Freight","Low Freight"),"Not Specified")</f>
        <v>Low Freight</v>
      </c>
      <c r="T247">
        <f t="shared" si="7"/>
        <v>1103.2</v>
      </c>
    </row>
    <row r="248" spans="1:20">
      <c r="A248" s="1">
        <v>10340</v>
      </c>
      <c r="B248" s="2">
        <v>18</v>
      </c>
      <c r="C248" s="2">
        <v>50</v>
      </c>
      <c r="D248" s="2">
        <v>20</v>
      </c>
      <c r="E248" s="3">
        <v>0.05</v>
      </c>
      <c r="F248" s="2" t="str">
        <f>IFERROR(VLOOKUP(VLOOKUP(A248,'[1]Sales Order'!A:B,2,FALSE),[1]Customer!A:C,3,FALSE),"Not Specified")</f>
        <v>Raghav, Amritansh</v>
      </c>
      <c r="G248" s="2" t="str">
        <f t="shared" si="6"/>
        <v>Raghav Amritansh</v>
      </c>
      <c r="H248" s="8" t="str">
        <f>IFERROR(VLOOKUP(VLOOKUP(A248,'[1]Sales Order'!A:C,3,FALSE),[1]Employee!A:E,5,FALSE)&amp;" "&amp;VLOOKUP(VLOOKUP(A248,'[1]Sales Order'!A:C,3,FALSE),[1]Employee!A:C,3,FALSE)&amp;" "&amp;VLOOKUP(VLOOKUP(A248,'[1]Sales Order'!A:C,3,FALSE),[1]Employee!A:B,2,FALSE),"Not Specified")</f>
        <v>Ms. Sara Davis</v>
      </c>
      <c r="I248" t="str">
        <f>IFERROR(VLOOKUP(VLOOKUP(A248,'[1]Sales Order'!A:C,3,FALSE),[1]Employee!A:J,10,FALSE),"Not Specified")</f>
        <v>WA</v>
      </c>
      <c r="J248" t="str">
        <f>VLOOKUP(B248,[1]Product!A:B,2,FALSE)</f>
        <v>Product CKEDC</v>
      </c>
      <c r="K248" t="str">
        <f>VLOOKUP(VLOOKUP(B248,[1]Product!A:D,4,FALSE),[1]Category!A:B,2,FALSE)</f>
        <v>Seafood</v>
      </c>
      <c r="L248" s="10">
        <f>IFERROR(VLOOKUP(A248,'[1]Sales Order'!A:D,4,FALSE),"")</f>
        <v>39019</v>
      </c>
      <c r="M248" s="10">
        <f>IFERROR(VLOOKUP(A248,'[1]Sales Order'!A:F,6,FALSE),"")</f>
        <v>39029</v>
      </c>
      <c r="N248" t="str">
        <f>IFERROR(VLOOKUP(VLOOKUP(A248,'[1]Sales Order'!A:G,7,FALSE),[1]Shipper!A:B,2,FALSE),"Not Specified")</f>
        <v>Shipper ZHISN</v>
      </c>
      <c r="O248" t="str">
        <f>IFERROR(VLOOKUP(A248,'[1]Sales Order'!A:I,9,FALSE),"Not Specified")</f>
        <v>Ship to 9-A</v>
      </c>
      <c r="P248" t="str">
        <f>IFERROR(VLOOKUP(A248,'[1]Sales Order'!A:N,14,FALSE),"Not Specified")</f>
        <v>France</v>
      </c>
      <c r="Q248" t="str">
        <f>VLOOKUP(VLOOKUP(B248,[1]Product!A:C,3,FALSE),[1]Supplier!A:B,2,FALSE)</f>
        <v>Supplier GQRCV</v>
      </c>
      <c r="R248" t="str">
        <f>VLOOKUP(VLOOKUP(B248,[1]Product!A:C,3,FALSE),[1]Supplier!A:I,9,FALSE)</f>
        <v>Australia</v>
      </c>
      <c r="S248" t="str">
        <f>IFERROR(IF(VLOOKUP(A248,'[1]Sales Order'!A:H,8,FALSE)&gt;100,"High Freight","Low Freight"),"Not Specified")</f>
        <v>High Freight</v>
      </c>
      <c r="T248">
        <f t="shared" si="7"/>
        <v>950</v>
      </c>
    </row>
    <row r="249" spans="1:20">
      <c r="A249" s="1">
        <v>10340</v>
      </c>
      <c r="B249" s="2">
        <v>41</v>
      </c>
      <c r="C249" s="2">
        <v>7.7</v>
      </c>
      <c r="D249" s="2">
        <v>12</v>
      </c>
      <c r="E249" s="3">
        <v>0.05</v>
      </c>
      <c r="F249" s="2" t="str">
        <f>IFERROR(VLOOKUP(VLOOKUP(A249,'[1]Sales Order'!A:B,2,FALSE),[1]Customer!A:C,3,FALSE),"Not Specified")</f>
        <v>Raghav, Amritansh</v>
      </c>
      <c r="G249" s="2" t="str">
        <f t="shared" si="6"/>
        <v>Raghav Amritansh</v>
      </c>
      <c r="H249" s="8" t="str">
        <f>IFERROR(VLOOKUP(VLOOKUP(A249,'[1]Sales Order'!A:C,3,FALSE),[1]Employee!A:E,5,FALSE)&amp;" "&amp;VLOOKUP(VLOOKUP(A249,'[1]Sales Order'!A:C,3,FALSE),[1]Employee!A:C,3,FALSE)&amp;" "&amp;VLOOKUP(VLOOKUP(A249,'[1]Sales Order'!A:C,3,FALSE),[1]Employee!A:B,2,FALSE),"Not Specified")</f>
        <v>Ms. Sara Davis</v>
      </c>
      <c r="I249" t="str">
        <f>IFERROR(VLOOKUP(VLOOKUP(A249,'[1]Sales Order'!A:C,3,FALSE),[1]Employee!A:J,10,FALSE),"Not Specified")</f>
        <v>WA</v>
      </c>
      <c r="J249" t="str">
        <f>VLOOKUP(B249,[1]Product!A:B,2,FALSE)</f>
        <v>Product TTEEX</v>
      </c>
      <c r="K249" t="str">
        <f>VLOOKUP(VLOOKUP(B249,[1]Product!A:D,4,FALSE),[1]Category!A:B,2,FALSE)</f>
        <v>Seafood</v>
      </c>
      <c r="L249" s="10">
        <f>IFERROR(VLOOKUP(A249,'[1]Sales Order'!A:D,4,FALSE),"")</f>
        <v>39019</v>
      </c>
      <c r="M249" s="10">
        <f>IFERROR(VLOOKUP(A249,'[1]Sales Order'!A:F,6,FALSE),"")</f>
        <v>39029</v>
      </c>
      <c r="N249" t="str">
        <f>IFERROR(VLOOKUP(VLOOKUP(A249,'[1]Sales Order'!A:G,7,FALSE),[1]Shipper!A:B,2,FALSE),"Not Specified")</f>
        <v>Shipper ZHISN</v>
      </c>
      <c r="O249" t="str">
        <f>IFERROR(VLOOKUP(A249,'[1]Sales Order'!A:I,9,FALSE),"Not Specified")</f>
        <v>Ship to 9-A</v>
      </c>
      <c r="P249" t="str">
        <f>IFERROR(VLOOKUP(A249,'[1]Sales Order'!A:N,14,FALSE),"Not Specified")</f>
        <v>France</v>
      </c>
      <c r="Q249" t="str">
        <f>VLOOKUP(VLOOKUP(B249,[1]Product!A:C,3,FALSE),[1]Supplier!A:B,2,FALSE)</f>
        <v>Supplier JDNUG</v>
      </c>
      <c r="R249" t="str">
        <f>VLOOKUP(VLOOKUP(B249,[1]Product!A:C,3,FALSE),[1]Supplier!A:I,9,FALSE)</f>
        <v>USA</v>
      </c>
      <c r="S249" t="str">
        <f>IFERROR(IF(VLOOKUP(A249,'[1]Sales Order'!A:H,8,FALSE)&gt;100,"High Freight","Low Freight"),"Not Specified")</f>
        <v>High Freight</v>
      </c>
      <c r="T249">
        <f t="shared" si="7"/>
        <v>87.78</v>
      </c>
    </row>
    <row r="250" spans="1:20">
      <c r="A250" s="1">
        <v>10340</v>
      </c>
      <c r="B250" s="2">
        <v>43</v>
      </c>
      <c r="C250" s="2">
        <v>36.799999999999997</v>
      </c>
      <c r="D250" s="2">
        <v>40</v>
      </c>
      <c r="E250" s="3">
        <v>0.05</v>
      </c>
      <c r="F250" s="2" t="str">
        <f>IFERROR(VLOOKUP(VLOOKUP(A250,'[1]Sales Order'!A:B,2,FALSE),[1]Customer!A:C,3,FALSE),"Not Specified")</f>
        <v>Raghav, Amritansh</v>
      </c>
      <c r="G250" s="2" t="str">
        <f t="shared" si="6"/>
        <v>Raghav Amritansh</v>
      </c>
      <c r="H250" s="8" t="str">
        <f>IFERROR(VLOOKUP(VLOOKUP(A250,'[1]Sales Order'!A:C,3,FALSE),[1]Employee!A:E,5,FALSE)&amp;" "&amp;VLOOKUP(VLOOKUP(A250,'[1]Sales Order'!A:C,3,FALSE),[1]Employee!A:C,3,FALSE)&amp;" "&amp;VLOOKUP(VLOOKUP(A250,'[1]Sales Order'!A:C,3,FALSE),[1]Employee!A:B,2,FALSE),"Not Specified")</f>
        <v>Ms. Sara Davis</v>
      </c>
      <c r="I250" t="str">
        <f>IFERROR(VLOOKUP(VLOOKUP(A250,'[1]Sales Order'!A:C,3,FALSE),[1]Employee!A:J,10,FALSE),"Not Specified")</f>
        <v>WA</v>
      </c>
      <c r="J250" t="str">
        <f>VLOOKUP(B250,[1]Product!A:B,2,FALSE)</f>
        <v>Product ZZZHR</v>
      </c>
      <c r="K250" t="str">
        <f>VLOOKUP(VLOOKUP(B250,[1]Product!A:D,4,FALSE),[1]Category!A:B,2,FALSE)</f>
        <v>Beverages</v>
      </c>
      <c r="L250" s="10">
        <f>IFERROR(VLOOKUP(A250,'[1]Sales Order'!A:D,4,FALSE),"")</f>
        <v>39019</v>
      </c>
      <c r="M250" s="10">
        <f>IFERROR(VLOOKUP(A250,'[1]Sales Order'!A:F,6,FALSE),"")</f>
        <v>39029</v>
      </c>
      <c r="N250" t="str">
        <f>IFERROR(VLOOKUP(VLOOKUP(A250,'[1]Sales Order'!A:G,7,FALSE),[1]Shipper!A:B,2,FALSE),"Not Specified")</f>
        <v>Shipper ZHISN</v>
      </c>
      <c r="O250" t="str">
        <f>IFERROR(VLOOKUP(A250,'[1]Sales Order'!A:I,9,FALSE),"Not Specified")</f>
        <v>Ship to 9-A</v>
      </c>
      <c r="P250" t="str">
        <f>IFERROR(VLOOKUP(A250,'[1]Sales Order'!A:N,14,FALSE),"Not Specified")</f>
        <v>France</v>
      </c>
      <c r="Q250" t="str">
        <f>VLOOKUP(VLOOKUP(B250,[1]Product!A:C,3,FALSE),[1]Supplier!A:B,2,FALSE)</f>
        <v>Supplier CIYNM</v>
      </c>
      <c r="R250" t="str">
        <f>VLOOKUP(VLOOKUP(B250,[1]Product!A:C,3,FALSE),[1]Supplier!A:I,9,FALSE)</f>
        <v>Singapore</v>
      </c>
      <c r="S250" t="str">
        <f>IFERROR(IF(VLOOKUP(A250,'[1]Sales Order'!A:H,8,FALSE)&gt;100,"High Freight","Low Freight"),"Not Specified")</f>
        <v>High Freight</v>
      </c>
      <c r="T250">
        <f t="shared" si="7"/>
        <v>1398.3999999999999</v>
      </c>
    </row>
    <row r="251" spans="1:20">
      <c r="A251" s="1">
        <v>10341</v>
      </c>
      <c r="B251" s="2">
        <v>33</v>
      </c>
      <c r="C251" s="2">
        <v>2</v>
      </c>
      <c r="D251" s="2">
        <v>8</v>
      </c>
      <c r="E251" s="3">
        <v>0</v>
      </c>
      <c r="F251" s="2" t="str">
        <f>IFERROR(VLOOKUP(VLOOKUP(A251,'[1]Sales Order'!A:B,2,FALSE),[1]Customer!A:C,3,FALSE),"Not Specified")</f>
        <v>Gonzalez, Nuria</v>
      </c>
      <c r="G251" s="2" t="str">
        <f t="shared" si="6"/>
        <v>Gonzalez Nuria</v>
      </c>
      <c r="H251" s="8" t="str">
        <f>IFERROR(VLOOKUP(VLOOKUP(A251,'[1]Sales Order'!A:C,3,FALSE),[1]Employee!A:E,5,FALSE)&amp;" "&amp;VLOOKUP(VLOOKUP(A251,'[1]Sales Order'!A:C,3,FALSE),[1]Employee!A:C,3,FALSE)&amp;" "&amp;VLOOKUP(VLOOKUP(A251,'[1]Sales Order'!A:C,3,FALSE),[1]Employee!A:B,2,FALSE),"Not Specified")</f>
        <v>Mr. Russell King</v>
      </c>
      <c r="I251">
        <f>IFERROR(VLOOKUP(VLOOKUP(A251,'[1]Sales Order'!A:C,3,FALSE),[1]Employee!A:J,10,FALSE),"Not Specified")</f>
        <v>0</v>
      </c>
      <c r="J251" t="str">
        <f>VLOOKUP(B251,[1]Product!A:B,2,FALSE)</f>
        <v>Product ASTMN</v>
      </c>
      <c r="K251" t="str">
        <f>VLOOKUP(VLOOKUP(B251,[1]Product!A:D,4,FALSE),[1]Category!A:B,2,FALSE)</f>
        <v>Dairy Product</v>
      </c>
      <c r="L251" s="10">
        <f>IFERROR(VLOOKUP(A251,'[1]Sales Order'!A:D,4,FALSE),"")</f>
        <v>39019</v>
      </c>
      <c r="M251" s="10">
        <f>IFERROR(VLOOKUP(A251,'[1]Sales Order'!A:F,6,FALSE),"")</f>
        <v>39026</v>
      </c>
      <c r="N251" t="str">
        <f>IFERROR(VLOOKUP(VLOOKUP(A251,'[1]Sales Order'!A:G,7,FALSE),[1]Shipper!A:B,2,FALSE),"Not Specified")</f>
        <v>Shipper ZHISN</v>
      </c>
      <c r="O251" t="str">
        <f>IFERROR(VLOOKUP(A251,'[1]Sales Order'!A:I,9,FALSE),"Not Specified")</f>
        <v>Ship to 73-A</v>
      </c>
      <c r="P251" t="str">
        <f>IFERROR(VLOOKUP(A251,'[1]Sales Order'!A:N,14,FALSE),"Not Specified")</f>
        <v>Denmark</v>
      </c>
      <c r="Q251" t="str">
        <f>VLOOKUP(VLOOKUP(B251,[1]Product!A:C,3,FALSE),[1]Supplier!A:B,2,FALSE)</f>
        <v>Supplier NZLIF</v>
      </c>
      <c r="R251" t="str">
        <f>VLOOKUP(VLOOKUP(B251,[1]Product!A:C,3,FALSE),[1]Supplier!A:I,9,FALSE)</f>
        <v>Norway</v>
      </c>
      <c r="S251" t="str">
        <f>IFERROR(IF(VLOOKUP(A251,'[1]Sales Order'!A:H,8,FALSE)&gt;100,"High Freight","Low Freight"),"Not Specified")</f>
        <v>Low Freight</v>
      </c>
      <c r="T251">
        <f t="shared" si="7"/>
        <v>16</v>
      </c>
    </row>
    <row r="252" spans="1:20">
      <c r="A252" s="1">
        <v>10341</v>
      </c>
      <c r="B252" s="2">
        <v>59</v>
      </c>
      <c r="C252" s="2">
        <v>44</v>
      </c>
      <c r="D252" s="2">
        <v>9</v>
      </c>
      <c r="E252" s="3">
        <v>0.15</v>
      </c>
      <c r="F252" s="2" t="str">
        <f>IFERROR(VLOOKUP(VLOOKUP(A252,'[1]Sales Order'!A:B,2,FALSE),[1]Customer!A:C,3,FALSE),"Not Specified")</f>
        <v>Gonzalez, Nuria</v>
      </c>
      <c r="G252" s="2" t="str">
        <f t="shared" si="6"/>
        <v>Gonzalez Nuria</v>
      </c>
      <c r="H252" s="8" t="str">
        <f>IFERROR(VLOOKUP(VLOOKUP(A252,'[1]Sales Order'!A:C,3,FALSE),[1]Employee!A:E,5,FALSE)&amp;" "&amp;VLOOKUP(VLOOKUP(A252,'[1]Sales Order'!A:C,3,FALSE),[1]Employee!A:C,3,FALSE)&amp;" "&amp;VLOOKUP(VLOOKUP(A252,'[1]Sales Order'!A:C,3,FALSE),[1]Employee!A:B,2,FALSE),"Not Specified")</f>
        <v>Mr. Russell King</v>
      </c>
      <c r="I252">
        <f>IFERROR(VLOOKUP(VLOOKUP(A252,'[1]Sales Order'!A:C,3,FALSE),[1]Employee!A:J,10,FALSE),"Not Specified")</f>
        <v>0</v>
      </c>
      <c r="J252" t="str">
        <f>VLOOKUP(B252,[1]Product!A:B,2,FALSE)</f>
        <v>Product UKXRI</v>
      </c>
      <c r="K252" t="str">
        <f>VLOOKUP(VLOOKUP(B252,[1]Product!A:D,4,FALSE),[1]Category!A:B,2,FALSE)</f>
        <v>Dairy Product</v>
      </c>
      <c r="L252" s="10">
        <f>IFERROR(VLOOKUP(A252,'[1]Sales Order'!A:D,4,FALSE),"")</f>
        <v>39019</v>
      </c>
      <c r="M252" s="10">
        <f>IFERROR(VLOOKUP(A252,'[1]Sales Order'!A:F,6,FALSE),"")</f>
        <v>39026</v>
      </c>
      <c r="N252" t="str">
        <f>IFERROR(VLOOKUP(VLOOKUP(A252,'[1]Sales Order'!A:G,7,FALSE),[1]Shipper!A:B,2,FALSE),"Not Specified")</f>
        <v>Shipper ZHISN</v>
      </c>
      <c r="O252" t="str">
        <f>IFERROR(VLOOKUP(A252,'[1]Sales Order'!A:I,9,FALSE),"Not Specified")</f>
        <v>Ship to 73-A</v>
      </c>
      <c r="P252" t="str">
        <f>IFERROR(VLOOKUP(A252,'[1]Sales Order'!A:N,14,FALSE),"Not Specified")</f>
        <v>Denmark</v>
      </c>
      <c r="Q252" t="str">
        <f>VLOOKUP(VLOOKUP(B252,[1]Product!A:C,3,FALSE),[1]Supplier!A:B,2,FALSE)</f>
        <v>Supplier OAVQT</v>
      </c>
      <c r="R252" t="str">
        <f>VLOOKUP(VLOOKUP(B252,[1]Product!A:C,3,FALSE),[1]Supplier!A:I,9,FALSE)</f>
        <v>France</v>
      </c>
      <c r="S252" t="str">
        <f>IFERROR(IF(VLOOKUP(A252,'[1]Sales Order'!A:H,8,FALSE)&gt;100,"High Freight","Low Freight"),"Not Specified")</f>
        <v>Low Freight</v>
      </c>
      <c r="T252">
        <f t="shared" si="7"/>
        <v>336.59999999999997</v>
      </c>
    </row>
    <row r="253" spans="1:20">
      <c r="A253" s="1">
        <v>10342</v>
      </c>
      <c r="B253" s="2">
        <v>2</v>
      </c>
      <c r="C253" s="2">
        <v>15.2</v>
      </c>
      <c r="D253" s="2">
        <v>24</v>
      </c>
      <c r="E253" s="3">
        <v>0.2</v>
      </c>
      <c r="F253" s="2" t="str">
        <f>IFERROR(VLOOKUP(VLOOKUP(A253,'[1]Sales Order'!A:B,2,FALSE),[1]Customer!A:C,3,FALSE),"Not Specified")</f>
        <v>Carlson, Jason</v>
      </c>
      <c r="G253" s="2" t="str">
        <f t="shared" si="6"/>
        <v>Carlson Jason</v>
      </c>
      <c r="H253" s="8" t="str">
        <f>IFERROR(VLOOKUP(VLOOKUP(A253,'[1]Sales Order'!A:C,3,FALSE),[1]Employee!A:E,5,FALSE)&amp;" "&amp;VLOOKUP(VLOOKUP(A253,'[1]Sales Order'!A:C,3,FALSE),[1]Employee!A:C,3,FALSE)&amp;" "&amp;VLOOKUP(VLOOKUP(A253,'[1]Sales Order'!A:C,3,FALSE),[1]Employee!A:B,2,FALSE),"Not Specified")</f>
        <v>Mrs. Yael Peled</v>
      </c>
      <c r="I253" t="str">
        <f>IFERROR(VLOOKUP(VLOOKUP(A253,'[1]Sales Order'!A:C,3,FALSE),[1]Employee!A:J,10,FALSE),"Not Specified")</f>
        <v>WA</v>
      </c>
      <c r="J253" t="str">
        <f>VLOOKUP(B253,[1]Product!A:B,2,FALSE)</f>
        <v>Product RECZE</v>
      </c>
      <c r="K253" t="str">
        <f>VLOOKUP(VLOOKUP(B253,[1]Product!A:D,4,FALSE),[1]Category!A:B,2,FALSE)</f>
        <v>Beverages</v>
      </c>
      <c r="L253" s="10">
        <f>IFERROR(VLOOKUP(A253,'[1]Sales Order'!A:D,4,FALSE),"")</f>
        <v>39020</v>
      </c>
      <c r="M253" s="10">
        <f>IFERROR(VLOOKUP(A253,'[1]Sales Order'!A:F,6,FALSE),"")</f>
        <v>39025</v>
      </c>
      <c r="N253" t="str">
        <f>IFERROR(VLOOKUP(VLOOKUP(A253,'[1]Sales Order'!A:G,7,FALSE),[1]Shipper!A:B,2,FALSE),"Not Specified")</f>
        <v>Shipper ETYNR</v>
      </c>
      <c r="O253" t="str">
        <f>IFERROR(VLOOKUP(A253,'[1]Sales Order'!A:I,9,FALSE),"Not Specified")</f>
        <v>Destination VAPXU</v>
      </c>
      <c r="P253" t="str">
        <f>IFERROR(VLOOKUP(A253,'[1]Sales Order'!A:N,14,FALSE),"Not Specified")</f>
        <v>Germany</v>
      </c>
      <c r="Q253" t="str">
        <f>VLOOKUP(VLOOKUP(B253,[1]Product!A:C,3,FALSE),[1]Supplier!A:B,2,FALSE)</f>
        <v>Supplier SWRXU</v>
      </c>
      <c r="R253" t="str">
        <f>VLOOKUP(VLOOKUP(B253,[1]Product!A:C,3,FALSE),[1]Supplier!A:I,9,FALSE)</f>
        <v>UK</v>
      </c>
      <c r="S253" t="str">
        <f>IFERROR(IF(VLOOKUP(A253,'[1]Sales Order'!A:H,8,FALSE)&gt;100,"High Freight","Low Freight"),"Not Specified")</f>
        <v>Low Freight</v>
      </c>
      <c r="T253">
        <f t="shared" si="7"/>
        <v>291.83999999999997</v>
      </c>
    </row>
    <row r="254" spans="1:20">
      <c r="A254" s="1">
        <v>10342</v>
      </c>
      <c r="B254" s="2">
        <v>31</v>
      </c>
      <c r="C254" s="2">
        <v>10</v>
      </c>
      <c r="D254" s="2">
        <v>56</v>
      </c>
      <c r="E254" s="3">
        <v>0.2</v>
      </c>
      <c r="F254" s="2" t="str">
        <f>IFERROR(VLOOKUP(VLOOKUP(A254,'[1]Sales Order'!A:B,2,FALSE),[1]Customer!A:C,3,FALSE),"Not Specified")</f>
        <v>Carlson, Jason</v>
      </c>
      <c r="G254" s="2" t="str">
        <f t="shared" si="6"/>
        <v>Carlson Jason</v>
      </c>
      <c r="H254" s="8" t="str">
        <f>IFERROR(VLOOKUP(VLOOKUP(A254,'[1]Sales Order'!A:C,3,FALSE),[1]Employee!A:E,5,FALSE)&amp;" "&amp;VLOOKUP(VLOOKUP(A254,'[1]Sales Order'!A:C,3,FALSE),[1]Employee!A:C,3,FALSE)&amp;" "&amp;VLOOKUP(VLOOKUP(A254,'[1]Sales Order'!A:C,3,FALSE),[1]Employee!A:B,2,FALSE),"Not Specified")</f>
        <v>Mrs. Yael Peled</v>
      </c>
      <c r="I254" t="str">
        <f>IFERROR(VLOOKUP(VLOOKUP(A254,'[1]Sales Order'!A:C,3,FALSE),[1]Employee!A:J,10,FALSE),"Not Specified")</f>
        <v>WA</v>
      </c>
      <c r="J254" t="str">
        <f>VLOOKUP(B254,[1]Product!A:B,2,FALSE)</f>
        <v>Product XWOXC</v>
      </c>
      <c r="K254" t="str">
        <f>VLOOKUP(VLOOKUP(B254,[1]Product!A:D,4,FALSE),[1]Category!A:B,2,FALSE)</f>
        <v>Dairy Product</v>
      </c>
      <c r="L254" s="10">
        <f>IFERROR(VLOOKUP(A254,'[1]Sales Order'!A:D,4,FALSE),"")</f>
        <v>39020</v>
      </c>
      <c r="M254" s="10">
        <f>IFERROR(VLOOKUP(A254,'[1]Sales Order'!A:F,6,FALSE),"")</f>
        <v>39025</v>
      </c>
      <c r="N254" t="str">
        <f>IFERROR(VLOOKUP(VLOOKUP(A254,'[1]Sales Order'!A:G,7,FALSE),[1]Shipper!A:B,2,FALSE),"Not Specified")</f>
        <v>Shipper ETYNR</v>
      </c>
      <c r="O254" t="str">
        <f>IFERROR(VLOOKUP(A254,'[1]Sales Order'!A:I,9,FALSE),"Not Specified")</f>
        <v>Destination VAPXU</v>
      </c>
      <c r="P254" t="str">
        <f>IFERROR(VLOOKUP(A254,'[1]Sales Order'!A:N,14,FALSE),"Not Specified")</f>
        <v>Germany</v>
      </c>
      <c r="Q254" t="str">
        <f>VLOOKUP(VLOOKUP(B254,[1]Product!A:C,3,FALSE),[1]Supplier!A:B,2,FALSE)</f>
        <v>Supplier KEREV</v>
      </c>
      <c r="R254" t="str">
        <f>VLOOKUP(VLOOKUP(B254,[1]Product!A:C,3,FALSE),[1]Supplier!A:I,9,FALSE)</f>
        <v>Italy</v>
      </c>
      <c r="S254" t="str">
        <f>IFERROR(IF(VLOOKUP(A254,'[1]Sales Order'!A:H,8,FALSE)&gt;100,"High Freight","Low Freight"),"Not Specified")</f>
        <v>Low Freight</v>
      </c>
      <c r="T254">
        <f t="shared" si="7"/>
        <v>448</v>
      </c>
    </row>
    <row r="255" spans="1:20">
      <c r="A255" s="1">
        <v>10342</v>
      </c>
      <c r="B255" s="2">
        <v>36</v>
      </c>
      <c r="C255" s="2">
        <v>15.2</v>
      </c>
      <c r="D255" s="2">
        <v>40</v>
      </c>
      <c r="E255" s="3">
        <v>0.2</v>
      </c>
      <c r="F255" s="2" t="str">
        <f>IFERROR(VLOOKUP(VLOOKUP(A255,'[1]Sales Order'!A:B,2,FALSE),[1]Customer!A:C,3,FALSE),"Not Specified")</f>
        <v>Carlson, Jason</v>
      </c>
      <c r="G255" s="2" t="str">
        <f t="shared" si="6"/>
        <v>Carlson Jason</v>
      </c>
      <c r="H255" s="8" t="str">
        <f>IFERROR(VLOOKUP(VLOOKUP(A255,'[1]Sales Order'!A:C,3,FALSE),[1]Employee!A:E,5,FALSE)&amp;" "&amp;VLOOKUP(VLOOKUP(A255,'[1]Sales Order'!A:C,3,FALSE),[1]Employee!A:C,3,FALSE)&amp;" "&amp;VLOOKUP(VLOOKUP(A255,'[1]Sales Order'!A:C,3,FALSE),[1]Employee!A:B,2,FALSE),"Not Specified")</f>
        <v>Mrs. Yael Peled</v>
      </c>
      <c r="I255" t="str">
        <f>IFERROR(VLOOKUP(VLOOKUP(A255,'[1]Sales Order'!A:C,3,FALSE),[1]Employee!A:J,10,FALSE),"Not Specified")</f>
        <v>WA</v>
      </c>
      <c r="J255" t="str">
        <f>VLOOKUP(B255,[1]Product!A:B,2,FALSE)</f>
        <v>Product GMKIJ</v>
      </c>
      <c r="K255" t="str">
        <f>VLOOKUP(VLOOKUP(B255,[1]Product!A:D,4,FALSE),[1]Category!A:B,2,FALSE)</f>
        <v>Seafood</v>
      </c>
      <c r="L255" s="10">
        <f>IFERROR(VLOOKUP(A255,'[1]Sales Order'!A:D,4,FALSE),"")</f>
        <v>39020</v>
      </c>
      <c r="M255" s="10">
        <f>IFERROR(VLOOKUP(A255,'[1]Sales Order'!A:F,6,FALSE),"")</f>
        <v>39025</v>
      </c>
      <c r="N255" t="str">
        <f>IFERROR(VLOOKUP(VLOOKUP(A255,'[1]Sales Order'!A:G,7,FALSE),[1]Shipper!A:B,2,FALSE),"Not Specified")</f>
        <v>Shipper ETYNR</v>
      </c>
      <c r="O255" t="str">
        <f>IFERROR(VLOOKUP(A255,'[1]Sales Order'!A:I,9,FALSE),"Not Specified")</f>
        <v>Destination VAPXU</v>
      </c>
      <c r="P255" t="str">
        <f>IFERROR(VLOOKUP(A255,'[1]Sales Order'!A:N,14,FALSE),"Not Specified")</f>
        <v>Germany</v>
      </c>
      <c r="Q255" t="str">
        <f>VLOOKUP(VLOOKUP(B255,[1]Product!A:C,3,FALSE),[1]Supplier!A:B,2,FALSE)</f>
        <v>Supplier QZGUF</v>
      </c>
      <c r="R255" t="str">
        <f>VLOOKUP(VLOOKUP(B255,[1]Product!A:C,3,FALSE),[1]Supplier!A:I,9,FALSE)</f>
        <v>Sweden</v>
      </c>
      <c r="S255" t="str">
        <f>IFERROR(IF(VLOOKUP(A255,'[1]Sales Order'!A:H,8,FALSE)&gt;100,"High Freight","Low Freight"),"Not Specified")</f>
        <v>Low Freight</v>
      </c>
      <c r="T255">
        <f t="shared" si="7"/>
        <v>486.40000000000003</v>
      </c>
    </row>
    <row r="256" spans="1:20">
      <c r="A256" s="1">
        <v>10342</v>
      </c>
      <c r="B256" s="2">
        <v>55</v>
      </c>
      <c r="C256" s="2">
        <v>19.2</v>
      </c>
      <c r="D256" s="2">
        <v>40</v>
      </c>
      <c r="E256" s="3">
        <v>0.2</v>
      </c>
      <c r="F256" s="2" t="str">
        <f>IFERROR(VLOOKUP(VLOOKUP(A256,'[1]Sales Order'!A:B,2,FALSE),[1]Customer!A:C,3,FALSE),"Not Specified")</f>
        <v>Carlson, Jason</v>
      </c>
      <c r="G256" s="2" t="str">
        <f t="shared" si="6"/>
        <v>Carlson Jason</v>
      </c>
      <c r="H256" s="8" t="str">
        <f>IFERROR(VLOOKUP(VLOOKUP(A256,'[1]Sales Order'!A:C,3,FALSE),[1]Employee!A:E,5,FALSE)&amp;" "&amp;VLOOKUP(VLOOKUP(A256,'[1]Sales Order'!A:C,3,FALSE),[1]Employee!A:C,3,FALSE)&amp;" "&amp;VLOOKUP(VLOOKUP(A256,'[1]Sales Order'!A:C,3,FALSE),[1]Employee!A:B,2,FALSE),"Not Specified")</f>
        <v>Mrs. Yael Peled</v>
      </c>
      <c r="I256" t="str">
        <f>IFERROR(VLOOKUP(VLOOKUP(A256,'[1]Sales Order'!A:C,3,FALSE),[1]Employee!A:J,10,FALSE),"Not Specified")</f>
        <v>WA</v>
      </c>
      <c r="J256" t="str">
        <f>VLOOKUP(B256,[1]Product!A:B,2,FALSE)</f>
        <v>Product YYWRT</v>
      </c>
      <c r="K256" t="str">
        <f>VLOOKUP(VLOOKUP(B256,[1]Product!A:D,4,FALSE),[1]Category!A:B,2,FALSE)</f>
        <v>Meat/Poultry</v>
      </c>
      <c r="L256" s="10">
        <f>IFERROR(VLOOKUP(A256,'[1]Sales Order'!A:D,4,FALSE),"")</f>
        <v>39020</v>
      </c>
      <c r="M256" s="10">
        <f>IFERROR(VLOOKUP(A256,'[1]Sales Order'!A:F,6,FALSE),"")</f>
        <v>39025</v>
      </c>
      <c r="N256" t="str">
        <f>IFERROR(VLOOKUP(VLOOKUP(A256,'[1]Sales Order'!A:G,7,FALSE),[1]Shipper!A:B,2,FALSE),"Not Specified")</f>
        <v>Shipper ETYNR</v>
      </c>
      <c r="O256" t="str">
        <f>IFERROR(VLOOKUP(A256,'[1]Sales Order'!A:I,9,FALSE),"Not Specified")</f>
        <v>Destination VAPXU</v>
      </c>
      <c r="P256" t="str">
        <f>IFERROR(VLOOKUP(A256,'[1]Sales Order'!A:N,14,FALSE),"Not Specified")</f>
        <v>Germany</v>
      </c>
      <c r="Q256" t="str">
        <f>VLOOKUP(VLOOKUP(B256,[1]Product!A:C,3,FALSE),[1]Supplier!A:B,2,FALSE)</f>
        <v>Supplier ERVYZ</v>
      </c>
      <c r="R256" t="str">
        <f>VLOOKUP(VLOOKUP(B256,[1]Product!A:C,3,FALSE),[1]Supplier!A:I,9,FALSE)</f>
        <v>Canada</v>
      </c>
      <c r="S256" t="str">
        <f>IFERROR(IF(VLOOKUP(A256,'[1]Sales Order'!A:H,8,FALSE)&gt;100,"High Freight","Low Freight"),"Not Specified")</f>
        <v>Low Freight</v>
      </c>
      <c r="T256">
        <f t="shared" si="7"/>
        <v>614.40000000000009</v>
      </c>
    </row>
    <row r="257" spans="1:20">
      <c r="A257" s="1">
        <v>10343</v>
      </c>
      <c r="B257" s="2">
        <v>64</v>
      </c>
      <c r="C257" s="2">
        <v>26.6</v>
      </c>
      <c r="D257" s="2">
        <v>50</v>
      </c>
      <c r="E257" s="3">
        <v>0</v>
      </c>
      <c r="F257" s="2" t="str">
        <f>IFERROR(VLOOKUP(VLOOKUP(A257,'[1]Sales Order'!A:B,2,FALSE),[1]Customer!A:C,3,FALSE),"Not Specified")</f>
        <v>Louverdis, George</v>
      </c>
      <c r="G257" s="2" t="str">
        <f t="shared" si="6"/>
        <v>Louverdis George</v>
      </c>
      <c r="H257" s="8" t="str">
        <f>IFERROR(VLOOKUP(VLOOKUP(A257,'[1]Sales Order'!A:C,3,FALSE),[1]Employee!A:E,5,FALSE)&amp;" "&amp;VLOOKUP(VLOOKUP(A257,'[1]Sales Order'!A:C,3,FALSE),[1]Employee!A:C,3,FALSE)&amp;" "&amp;VLOOKUP(VLOOKUP(A257,'[1]Sales Order'!A:C,3,FALSE),[1]Employee!A:B,2,FALSE),"Not Specified")</f>
        <v>Mrs. Yael Peled</v>
      </c>
      <c r="I257" t="str">
        <f>IFERROR(VLOOKUP(VLOOKUP(A257,'[1]Sales Order'!A:C,3,FALSE),[1]Employee!A:J,10,FALSE),"Not Specified")</f>
        <v>WA</v>
      </c>
      <c r="J257" t="str">
        <f>VLOOKUP(B257,[1]Product!A:B,2,FALSE)</f>
        <v>Product HCQDE</v>
      </c>
      <c r="K257" t="str">
        <f>VLOOKUP(VLOOKUP(B257,[1]Product!A:D,4,FALSE),[1]Category!A:B,2,FALSE)</f>
        <v>Grains/Cereals</v>
      </c>
      <c r="L257" s="10">
        <f>IFERROR(VLOOKUP(A257,'[1]Sales Order'!A:D,4,FALSE),"")</f>
        <v>39021</v>
      </c>
      <c r="M257" s="10">
        <f>IFERROR(VLOOKUP(A257,'[1]Sales Order'!A:F,6,FALSE),"")</f>
        <v>39027</v>
      </c>
      <c r="N257" t="str">
        <f>IFERROR(VLOOKUP(VLOOKUP(A257,'[1]Sales Order'!A:G,7,FALSE),[1]Shipper!A:B,2,FALSE),"Not Specified")</f>
        <v>Shipper GVSUA</v>
      </c>
      <c r="O257" t="str">
        <f>IFERROR(VLOOKUP(A257,'[1]Sales Order'!A:I,9,FALSE),"Not Specified")</f>
        <v>Ship to 44-A</v>
      </c>
      <c r="P257" t="str">
        <f>IFERROR(VLOOKUP(A257,'[1]Sales Order'!A:N,14,FALSE),"Not Specified")</f>
        <v>Germany</v>
      </c>
      <c r="Q257" t="str">
        <f>VLOOKUP(VLOOKUP(B257,[1]Product!A:C,3,FALSE),[1]Supplier!A:B,2,FALSE)</f>
        <v>Supplier SVIYA</v>
      </c>
      <c r="R257" t="str">
        <f>VLOOKUP(VLOOKUP(B257,[1]Product!A:C,3,FALSE),[1]Supplier!A:I,9,FALSE)</f>
        <v>Germany</v>
      </c>
      <c r="S257" t="str">
        <f>IFERROR(IF(VLOOKUP(A257,'[1]Sales Order'!A:H,8,FALSE)&gt;100,"High Freight","Low Freight"),"Not Specified")</f>
        <v>High Freight</v>
      </c>
      <c r="T257">
        <f t="shared" si="7"/>
        <v>1330</v>
      </c>
    </row>
    <row r="258" spans="1:20">
      <c r="A258" s="1">
        <v>10343</v>
      </c>
      <c r="B258" s="2">
        <v>68</v>
      </c>
      <c r="C258" s="2">
        <v>10</v>
      </c>
      <c r="D258" s="2">
        <v>4</v>
      </c>
      <c r="E258" s="3">
        <v>0.05</v>
      </c>
      <c r="F258" s="2" t="str">
        <f>IFERROR(VLOOKUP(VLOOKUP(A258,'[1]Sales Order'!A:B,2,FALSE),[1]Customer!A:C,3,FALSE),"Not Specified")</f>
        <v>Louverdis, George</v>
      </c>
      <c r="G258" s="2" t="str">
        <f t="shared" si="6"/>
        <v>Louverdis George</v>
      </c>
      <c r="H258" s="8" t="str">
        <f>IFERROR(VLOOKUP(VLOOKUP(A258,'[1]Sales Order'!A:C,3,FALSE),[1]Employee!A:E,5,FALSE)&amp;" "&amp;VLOOKUP(VLOOKUP(A258,'[1]Sales Order'!A:C,3,FALSE),[1]Employee!A:C,3,FALSE)&amp;" "&amp;VLOOKUP(VLOOKUP(A258,'[1]Sales Order'!A:C,3,FALSE),[1]Employee!A:B,2,FALSE),"Not Specified")</f>
        <v>Mrs. Yael Peled</v>
      </c>
      <c r="I258" t="str">
        <f>IFERROR(VLOOKUP(VLOOKUP(A258,'[1]Sales Order'!A:C,3,FALSE),[1]Employee!A:J,10,FALSE),"Not Specified")</f>
        <v>WA</v>
      </c>
      <c r="J258" t="str">
        <f>VLOOKUP(B258,[1]Product!A:B,2,FALSE)</f>
        <v>Product TBTBL</v>
      </c>
      <c r="K258" t="str">
        <f>VLOOKUP(VLOOKUP(B258,[1]Product!A:D,4,FALSE),[1]Category!A:B,2,FALSE)</f>
        <v>Confections</v>
      </c>
      <c r="L258" s="10">
        <f>IFERROR(VLOOKUP(A258,'[1]Sales Order'!A:D,4,FALSE),"")</f>
        <v>39021</v>
      </c>
      <c r="M258" s="10">
        <f>IFERROR(VLOOKUP(A258,'[1]Sales Order'!A:F,6,FALSE),"")</f>
        <v>39027</v>
      </c>
      <c r="N258" t="str">
        <f>IFERROR(VLOOKUP(VLOOKUP(A258,'[1]Sales Order'!A:G,7,FALSE),[1]Shipper!A:B,2,FALSE),"Not Specified")</f>
        <v>Shipper GVSUA</v>
      </c>
      <c r="O258" t="str">
        <f>IFERROR(VLOOKUP(A258,'[1]Sales Order'!A:I,9,FALSE),"Not Specified")</f>
        <v>Ship to 44-A</v>
      </c>
      <c r="P258" t="str">
        <f>IFERROR(VLOOKUP(A258,'[1]Sales Order'!A:N,14,FALSE),"Not Specified")</f>
        <v>Germany</v>
      </c>
      <c r="Q258" t="str">
        <f>VLOOKUP(VLOOKUP(B258,[1]Product!A:C,3,FALSE),[1]Supplier!A:B,2,FALSE)</f>
        <v>Supplier BWGYE</v>
      </c>
      <c r="R258" t="str">
        <f>VLOOKUP(VLOOKUP(B258,[1]Product!A:C,3,FALSE),[1]Supplier!A:I,9,FALSE)</f>
        <v>UK</v>
      </c>
      <c r="S258" t="str">
        <f>IFERROR(IF(VLOOKUP(A258,'[1]Sales Order'!A:H,8,FALSE)&gt;100,"High Freight","Low Freight"),"Not Specified")</f>
        <v>High Freight</v>
      </c>
      <c r="T258">
        <f t="shared" si="7"/>
        <v>38</v>
      </c>
    </row>
    <row r="259" spans="1:20">
      <c r="A259" s="1">
        <v>10343</v>
      </c>
      <c r="B259" s="2">
        <v>76</v>
      </c>
      <c r="C259" s="2">
        <v>14.4</v>
      </c>
      <c r="D259" s="2">
        <v>15</v>
      </c>
      <c r="E259" s="3">
        <v>0</v>
      </c>
      <c r="F259" s="2" t="str">
        <f>IFERROR(VLOOKUP(VLOOKUP(A259,'[1]Sales Order'!A:B,2,FALSE),[1]Customer!A:C,3,FALSE),"Not Specified")</f>
        <v>Louverdis, George</v>
      </c>
      <c r="G259" s="2" t="str">
        <f t="shared" ref="G259:G322" si="8">SUBSTITUTE(F259,",","",1)</f>
        <v>Louverdis George</v>
      </c>
      <c r="H259" s="8" t="str">
        <f>IFERROR(VLOOKUP(VLOOKUP(A259,'[1]Sales Order'!A:C,3,FALSE),[1]Employee!A:E,5,FALSE)&amp;" "&amp;VLOOKUP(VLOOKUP(A259,'[1]Sales Order'!A:C,3,FALSE),[1]Employee!A:C,3,FALSE)&amp;" "&amp;VLOOKUP(VLOOKUP(A259,'[1]Sales Order'!A:C,3,FALSE),[1]Employee!A:B,2,FALSE),"Not Specified")</f>
        <v>Mrs. Yael Peled</v>
      </c>
      <c r="I259" t="str">
        <f>IFERROR(VLOOKUP(VLOOKUP(A259,'[1]Sales Order'!A:C,3,FALSE),[1]Employee!A:J,10,FALSE),"Not Specified")</f>
        <v>WA</v>
      </c>
      <c r="J259" t="str">
        <f>VLOOKUP(B259,[1]Product!A:B,2,FALSE)</f>
        <v>Product JYGFE</v>
      </c>
      <c r="K259" t="str">
        <f>VLOOKUP(VLOOKUP(B259,[1]Product!A:D,4,FALSE),[1]Category!A:B,2,FALSE)</f>
        <v>Beverages</v>
      </c>
      <c r="L259" s="10">
        <f>IFERROR(VLOOKUP(A259,'[1]Sales Order'!A:D,4,FALSE),"")</f>
        <v>39021</v>
      </c>
      <c r="M259" s="10">
        <f>IFERROR(VLOOKUP(A259,'[1]Sales Order'!A:F,6,FALSE),"")</f>
        <v>39027</v>
      </c>
      <c r="N259" t="str">
        <f>IFERROR(VLOOKUP(VLOOKUP(A259,'[1]Sales Order'!A:G,7,FALSE),[1]Shipper!A:B,2,FALSE),"Not Specified")</f>
        <v>Shipper GVSUA</v>
      </c>
      <c r="O259" t="str">
        <f>IFERROR(VLOOKUP(A259,'[1]Sales Order'!A:I,9,FALSE),"Not Specified")</f>
        <v>Ship to 44-A</v>
      </c>
      <c r="P259" t="str">
        <f>IFERROR(VLOOKUP(A259,'[1]Sales Order'!A:N,14,FALSE),"Not Specified")</f>
        <v>Germany</v>
      </c>
      <c r="Q259" t="str">
        <f>VLOOKUP(VLOOKUP(B259,[1]Product!A:C,3,FALSE),[1]Supplier!A:B,2,FALSE)</f>
        <v>Supplier ELCRN</v>
      </c>
      <c r="R259" t="str">
        <f>VLOOKUP(VLOOKUP(B259,[1]Product!A:C,3,FALSE),[1]Supplier!A:I,9,FALSE)</f>
        <v>Finland</v>
      </c>
      <c r="S259" t="str">
        <f>IFERROR(IF(VLOOKUP(A259,'[1]Sales Order'!A:H,8,FALSE)&gt;100,"High Freight","Low Freight"),"Not Specified")</f>
        <v>High Freight</v>
      </c>
      <c r="T259">
        <f t="shared" ref="T259:T322" si="9">C259*D259*(1-E259)</f>
        <v>216</v>
      </c>
    </row>
    <row r="260" spans="1:20">
      <c r="A260" s="1">
        <v>10344</v>
      </c>
      <c r="B260" s="2">
        <v>4</v>
      </c>
      <c r="C260" s="2">
        <v>17.600000000000001</v>
      </c>
      <c r="D260" s="2">
        <v>35</v>
      </c>
      <c r="E260" s="3">
        <v>0</v>
      </c>
      <c r="F260" s="2" t="str">
        <f>IFERROR(VLOOKUP(VLOOKUP(A260,'[1]Sales Order'!A:B,2,FALSE),[1]Customer!A:C,3,FALSE),"Not Specified")</f>
        <v>Smith Jr., Ronaldo</v>
      </c>
      <c r="G260" s="2" t="str">
        <f t="shared" si="8"/>
        <v>Smith Jr. Ronaldo</v>
      </c>
      <c r="H260" s="8" t="str">
        <f>IFERROR(VLOOKUP(VLOOKUP(A260,'[1]Sales Order'!A:C,3,FALSE),[1]Employee!A:E,5,FALSE)&amp;" "&amp;VLOOKUP(VLOOKUP(A260,'[1]Sales Order'!A:C,3,FALSE),[1]Employee!A:C,3,FALSE)&amp;" "&amp;VLOOKUP(VLOOKUP(A260,'[1]Sales Order'!A:C,3,FALSE),[1]Employee!A:B,2,FALSE),"Not Specified")</f>
        <v>Mrs. Yael Peled</v>
      </c>
      <c r="I260" t="str">
        <f>IFERROR(VLOOKUP(VLOOKUP(A260,'[1]Sales Order'!A:C,3,FALSE),[1]Employee!A:J,10,FALSE),"Not Specified")</f>
        <v>WA</v>
      </c>
      <c r="J260" t="str">
        <f>VLOOKUP(B260,[1]Product!A:B,2,FALSE)</f>
        <v>Product KSBRM</v>
      </c>
      <c r="K260" t="str">
        <f>VLOOKUP(VLOOKUP(B260,[1]Product!A:D,4,FALSE),[1]Category!A:B,2,FALSE)</f>
        <v>Condiments</v>
      </c>
      <c r="L260" s="10">
        <f>IFERROR(VLOOKUP(A260,'[1]Sales Order'!A:D,4,FALSE),"")</f>
        <v>39022</v>
      </c>
      <c r="M260" s="10">
        <f>IFERROR(VLOOKUP(A260,'[1]Sales Order'!A:F,6,FALSE),"")</f>
        <v>39026</v>
      </c>
      <c r="N260" t="str">
        <f>IFERROR(VLOOKUP(VLOOKUP(A260,'[1]Sales Order'!A:G,7,FALSE),[1]Shipper!A:B,2,FALSE),"Not Specified")</f>
        <v>Shipper ETYNR</v>
      </c>
      <c r="O260" t="str">
        <f>IFERROR(VLOOKUP(A260,'[1]Sales Order'!A:I,9,FALSE),"Not Specified")</f>
        <v>Ship to 89-A</v>
      </c>
      <c r="P260" t="str">
        <f>IFERROR(VLOOKUP(A260,'[1]Sales Order'!A:N,14,FALSE),"Not Specified")</f>
        <v>USA</v>
      </c>
      <c r="Q260" t="str">
        <f>VLOOKUP(VLOOKUP(B260,[1]Product!A:C,3,FALSE),[1]Supplier!A:B,2,FALSE)</f>
        <v>Supplier VHQZD</v>
      </c>
      <c r="R260" t="str">
        <f>VLOOKUP(VLOOKUP(B260,[1]Product!A:C,3,FALSE),[1]Supplier!A:I,9,FALSE)</f>
        <v>USA</v>
      </c>
      <c r="S260" t="str">
        <f>IFERROR(IF(VLOOKUP(A260,'[1]Sales Order'!A:H,8,FALSE)&gt;100,"High Freight","Low Freight"),"Not Specified")</f>
        <v>Low Freight</v>
      </c>
      <c r="T260">
        <f t="shared" si="9"/>
        <v>616</v>
      </c>
    </row>
    <row r="261" spans="1:20">
      <c r="A261" s="1">
        <v>10344</v>
      </c>
      <c r="B261" s="2">
        <v>8</v>
      </c>
      <c r="C261" s="2">
        <v>32</v>
      </c>
      <c r="D261" s="2">
        <v>70</v>
      </c>
      <c r="E261" s="3">
        <v>0.25</v>
      </c>
      <c r="F261" s="2" t="str">
        <f>IFERROR(VLOOKUP(VLOOKUP(A261,'[1]Sales Order'!A:B,2,FALSE),[1]Customer!A:C,3,FALSE),"Not Specified")</f>
        <v>Smith Jr., Ronaldo</v>
      </c>
      <c r="G261" s="2" t="str">
        <f t="shared" si="8"/>
        <v>Smith Jr. Ronaldo</v>
      </c>
      <c r="H261" s="8" t="str">
        <f>IFERROR(VLOOKUP(VLOOKUP(A261,'[1]Sales Order'!A:C,3,FALSE),[1]Employee!A:E,5,FALSE)&amp;" "&amp;VLOOKUP(VLOOKUP(A261,'[1]Sales Order'!A:C,3,FALSE),[1]Employee!A:C,3,FALSE)&amp;" "&amp;VLOOKUP(VLOOKUP(A261,'[1]Sales Order'!A:C,3,FALSE),[1]Employee!A:B,2,FALSE),"Not Specified")</f>
        <v>Mrs. Yael Peled</v>
      </c>
      <c r="I261" t="str">
        <f>IFERROR(VLOOKUP(VLOOKUP(A261,'[1]Sales Order'!A:C,3,FALSE),[1]Employee!A:J,10,FALSE),"Not Specified")</f>
        <v>WA</v>
      </c>
      <c r="J261" t="str">
        <f>VLOOKUP(B261,[1]Product!A:B,2,FALSE)</f>
        <v>Product WVJFP</v>
      </c>
      <c r="K261" t="str">
        <f>VLOOKUP(VLOOKUP(B261,[1]Product!A:D,4,FALSE),[1]Category!A:B,2,FALSE)</f>
        <v>Condiments</v>
      </c>
      <c r="L261" s="10">
        <f>IFERROR(VLOOKUP(A261,'[1]Sales Order'!A:D,4,FALSE),"")</f>
        <v>39022</v>
      </c>
      <c r="M261" s="10">
        <f>IFERROR(VLOOKUP(A261,'[1]Sales Order'!A:F,6,FALSE),"")</f>
        <v>39026</v>
      </c>
      <c r="N261" t="str">
        <f>IFERROR(VLOOKUP(VLOOKUP(A261,'[1]Sales Order'!A:G,7,FALSE),[1]Shipper!A:B,2,FALSE),"Not Specified")</f>
        <v>Shipper ETYNR</v>
      </c>
      <c r="O261" t="str">
        <f>IFERROR(VLOOKUP(A261,'[1]Sales Order'!A:I,9,FALSE),"Not Specified")</f>
        <v>Ship to 89-A</v>
      </c>
      <c r="P261" t="str">
        <f>IFERROR(VLOOKUP(A261,'[1]Sales Order'!A:N,14,FALSE),"Not Specified")</f>
        <v>USA</v>
      </c>
      <c r="Q261" t="str">
        <f>VLOOKUP(VLOOKUP(B261,[1]Product!A:C,3,FALSE),[1]Supplier!A:B,2,FALSE)</f>
        <v>Supplier STUAZ</v>
      </c>
      <c r="R261" t="str">
        <f>VLOOKUP(VLOOKUP(B261,[1]Product!A:C,3,FALSE),[1]Supplier!A:I,9,FALSE)</f>
        <v>USA</v>
      </c>
      <c r="S261" t="str">
        <f>IFERROR(IF(VLOOKUP(A261,'[1]Sales Order'!A:H,8,FALSE)&gt;100,"High Freight","Low Freight"),"Not Specified")</f>
        <v>Low Freight</v>
      </c>
      <c r="T261">
        <f t="shared" si="9"/>
        <v>1680</v>
      </c>
    </row>
    <row r="262" spans="1:20">
      <c r="A262" s="1">
        <v>10345</v>
      </c>
      <c r="B262" s="2">
        <v>8</v>
      </c>
      <c r="C262" s="2">
        <v>32</v>
      </c>
      <c r="D262" s="2">
        <v>70</v>
      </c>
      <c r="E262" s="3">
        <v>0</v>
      </c>
      <c r="F262" s="2" t="str">
        <f>IFERROR(VLOOKUP(VLOOKUP(A262,'[1]Sales Order'!A:B,2,FALSE),[1]Customer!A:C,3,FALSE),"Not Specified")</f>
        <v>Veronesi, Giorgio</v>
      </c>
      <c r="G262" s="2" t="str">
        <f t="shared" si="8"/>
        <v>Veronesi Giorgio</v>
      </c>
      <c r="H262" s="8" t="str">
        <f>IFERROR(VLOOKUP(VLOOKUP(A262,'[1]Sales Order'!A:C,3,FALSE),[1]Employee!A:E,5,FALSE)&amp;" "&amp;VLOOKUP(VLOOKUP(A262,'[1]Sales Order'!A:C,3,FALSE),[1]Employee!A:C,3,FALSE)&amp;" "&amp;VLOOKUP(VLOOKUP(A262,'[1]Sales Order'!A:C,3,FALSE),[1]Employee!A:B,2,FALSE),"Not Specified")</f>
        <v>Dr. Don Funk</v>
      </c>
      <c r="I262" t="str">
        <f>IFERROR(VLOOKUP(VLOOKUP(A262,'[1]Sales Order'!A:C,3,FALSE),[1]Employee!A:J,10,FALSE),"Not Specified")</f>
        <v>WA</v>
      </c>
      <c r="J262" t="str">
        <f>VLOOKUP(B262,[1]Product!A:B,2,FALSE)</f>
        <v>Product WVJFP</v>
      </c>
      <c r="K262" t="str">
        <f>VLOOKUP(VLOOKUP(B262,[1]Product!A:D,4,FALSE),[1]Category!A:B,2,FALSE)</f>
        <v>Condiments</v>
      </c>
      <c r="L262" s="10">
        <f>IFERROR(VLOOKUP(A262,'[1]Sales Order'!A:D,4,FALSE),"")</f>
        <v>39025</v>
      </c>
      <c r="M262" s="10">
        <f>IFERROR(VLOOKUP(A262,'[1]Sales Order'!A:F,6,FALSE),"")</f>
        <v>39032</v>
      </c>
      <c r="N262" t="str">
        <f>IFERROR(VLOOKUP(VLOOKUP(A262,'[1]Sales Order'!A:G,7,FALSE),[1]Shipper!A:B,2,FALSE),"Not Specified")</f>
        <v>Shipper ETYNR</v>
      </c>
      <c r="O262" t="str">
        <f>IFERROR(VLOOKUP(A262,'[1]Sales Order'!A:I,9,FALSE),"Not Specified")</f>
        <v>Ship to 63-B</v>
      </c>
      <c r="P262" t="str">
        <f>IFERROR(VLOOKUP(A262,'[1]Sales Order'!A:N,14,FALSE),"Not Specified")</f>
        <v>Germany</v>
      </c>
      <c r="Q262" t="str">
        <f>VLOOKUP(VLOOKUP(B262,[1]Product!A:C,3,FALSE),[1]Supplier!A:B,2,FALSE)</f>
        <v>Supplier STUAZ</v>
      </c>
      <c r="R262" t="str">
        <f>VLOOKUP(VLOOKUP(B262,[1]Product!A:C,3,FALSE),[1]Supplier!A:I,9,FALSE)</f>
        <v>USA</v>
      </c>
      <c r="S262" t="str">
        <f>IFERROR(IF(VLOOKUP(A262,'[1]Sales Order'!A:H,8,FALSE)&gt;100,"High Freight","Low Freight"),"Not Specified")</f>
        <v>High Freight</v>
      </c>
      <c r="T262">
        <f t="shared" si="9"/>
        <v>2240</v>
      </c>
    </row>
    <row r="263" spans="1:20">
      <c r="A263" s="1">
        <v>10345</v>
      </c>
      <c r="B263" s="2">
        <v>19</v>
      </c>
      <c r="C263" s="2">
        <v>7.3</v>
      </c>
      <c r="D263" s="2">
        <v>80</v>
      </c>
      <c r="E263" s="3">
        <v>0</v>
      </c>
      <c r="F263" s="2" t="str">
        <f>IFERROR(VLOOKUP(VLOOKUP(A263,'[1]Sales Order'!A:B,2,FALSE),[1]Customer!A:C,3,FALSE),"Not Specified")</f>
        <v>Veronesi, Giorgio</v>
      </c>
      <c r="G263" s="2" t="str">
        <f t="shared" si="8"/>
        <v>Veronesi Giorgio</v>
      </c>
      <c r="H263" s="8" t="str">
        <f>IFERROR(VLOOKUP(VLOOKUP(A263,'[1]Sales Order'!A:C,3,FALSE),[1]Employee!A:E,5,FALSE)&amp;" "&amp;VLOOKUP(VLOOKUP(A263,'[1]Sales Order'!A:C,3,FALSE),[1]Employee!A:C,3,FALSE)&amp;" "&amp;VLOOKUP(VLOOKUP(A263,'[1]Sales Order'!A:C,3,FALSE),[1]Employee!A:B,2,FALSE),"Not Specified")</f>
        <v>Dr. Don Funk</v>
      </c>
      <c r="I263" t="str">
        <f>IFERROR(VLOOKUP(VLOOKUP(A263,'[1]Sales Order'!A:C,3,FALSE),[1]Employee!A:J,10,FALSE),"Not Specified")</f>
        <v>WA</v>
      </c>
      <c r="J263" t="str">
        <f>VLOOKUP(B263,[1]Product!A:B,2,FALSE)</f>
        <v>Product XKXDO</v>
      </c>
      <c r="K263" t="str">
        <f>VLOOKUP(VLOOKUP(B263,[1]Product!A:D,4,FALSE),[1]Category!A:B,2,FALSE)</f>
        <v>Confections</v>
      </c>
      <c r="L263" s="10">
        <f>IFERROR(VLOOKUP(A263,'[1]Sales Order'!A:D,4,FALSE),"")</f>
        <v>39025</v>
      </c>
      <c r="M263" s="10">
        <f>IFERROR(VLOOKUP(A263,'[1]Sales Order'!A:F,6,FALSE),"")</f>
        <v>39032</v>
      </c>
      <c r="N263" t="str">
        <f>IFERROR(VLOOKUP(VLOOKUP(A263,'[1]Sales Order'!A:G,7,FALSE),[1]Shipper!A:B,2,FALSE),"Not Specified")</f>
        <v>Shipper ETYNR</v>
      </c>
      <c r="O263" t="str">
        <f>IFERROR(VLOOKUP(A263,'[1]Sales Order'!A:I,9,FALSE),"Not Specified")</f>
        <v>Ship to 63-B</v>
      </c>
      <c r="P263" t="str">
        <f>IFERROR(VLOOKUP(A263,'[1]Sales Order'!A:N,14,FALSE),"Not Specified")</f>
        <v>Germany</v>
      </c>
      <c r="Q263" t="str">
        <f>VLOOKUP(VLOOKUP(B263,[1]Product!A:C,3,FALSE),[1]Supplier!A:B,2,FALSE)</f>
        <v>Supplier BWGYE</v>
      </c>
      <c r="R263" t="str">
        <f>VLOOKUP(VLOOKUP(B263,[1]Product!A:C,3,FALSE),[1]Supplier!A:I,9,FALSE)</f>
        <v>UK</v>
      </c>
      <c r="S263" t="str">
        <f>IFERROR(IF(VLOOKUP(A263,'[1]Sales Order'!A:H,8,FALSE)&gt;100,"High Freight","Low Freight"),"Not Specified")</f>
        <v>High Freight</v>
      </c>
      <c r="T263">
        <f t="shared" si="9"/>
        <v>584</v>
      </c>
    </row>
    <row r="264" spans="1:20">
      <c r="A264" s="1">
        <v>10345</v>
      </c>
      <c r="B264" s="2">
        <v>42</v>
      </c>
      <c r="C264" s="2">
        <v>11.2</v>
      </c>
      <c r="D264" s="2">
        <v>9</v>
      </c>
      <c r="E264" s="3">
        <v>0</v>
      </c>
      <c r="F264" s="2" t="str">
        <f>IFERROR(VLOOKUP(VLOOKUP(A264,'[1]Sales Order'!A:B,2,FALSE),[1]Customer!A:C,3,FALSE),"Not Specified")</f>
        <v>Veronesi, Giorgio</v>
      </c>
      <c r="G264" s="2" t="str">
        <f t="shared" si="8"/>
        <v>Veronesi Giorgio</v>
      </c>
      <c r="H264" s="8" t="str">
        <f>IFERROR(VLOOKUP(VLOOKUP(A264,'[1]Sales Order'!A:C,3,FALSE),[1]Employee!A:E,5,FALSE)&amp;" "&amp;VLOOKUP(VLOOKUP(A264,'[1]Sales Order'!A:C,3,FALSE),[1]Employee!A:C,3,FALSE)&amp;" "&amp;VLOOKUP(VLOOKUP(A264,'[1]Sales Order'!A:C,3,FALSE),[1]Employee!A:B,2,FALSE),"Not Specified")</f>
        <v>Dr. Don Funk</v>
      </c>
      <c r="I264" t="str">
        <f>IFERROR(VLOOKUP(VLOOKUP(A264,'[1]Sales Order'!A:C,3,FALSE),[1]Employee!A:J,10,FALSE),"Not Specified")</f>
        <v>WA</v>
      </c>
      <c r="J264" t="str">
        <f>VLOOKUP(B264,[1]Product!A:B,2,FALSE)</f>
        <v>Product RJVNM</v>
      </c>
      <c r="K264" t="str">
        <f>VLOOKUP(VLOOKUP(B264,[1]Product!A:D,4,FALSE),[1]Category!A:B,2,FALSE)</f>
        <v>Grains/Cereals</v>
      </c>
      <c r="L264" s="10">
        <f>IFERROR(VLOOKUP(A264,'[1]Sales Order'!A:D,4,FALSE),"")</f>
        <v>39025</v>
      </c>
      <c r="M264" s="10">
        <f>IFERROR(VLOOKUP(A264,'[1]Sales Order'!A:F,6,FALSE),"")</f>
        <v>39032</v>
      </c>
      <c r="N264" t="str">
        <f>IFERROR(VLOOKUP(VLOOKUP(A264,'[1]Sales Order'!A:G,7,FALSE),[1]Shipper!A:B,2,FALSE),"Not Specified")</f>
        <v>Shipper ETYNR</v>
      </c>
      <c r="O264" t="str">
        <f>IFERROR(VLOOKUP(A264,'[1]Sales Order'!A:I,9,FALSE),"Not Specified")</f>
        <v>Ship to 63-B</v>
      </c>
      <c r="P264" t="str">
        <f>IFERROR(VLOOKUP(A264,'[1]Sales Order'!A:N,14,FALSE),"Not Specified")</f>
        <v>Germany</v>
      </c>
      <c r="Q264" t="str">
        <f>VLOOKUP(VLOOKUP(B264,[1]Product!A:C,3,FALSE),[1]Supplier!A:B,2,FALSE)</f>
        <v>Supplier CIYNM</v>
      </c>
      <c r="R264" t="str">
        <f>VLOOKUP(VLOOKUP(B264,[1]Product!A:C,3,FALSE),[1]Supplier!A:I,9,FALSE)</f>
        <v>Singapore</v>
      </c>
      <c r="S264" t="str">
        <f>IFERROR(IF(VLOOKUP(A264,'[1]Sales Order'!A:H,8,FALSE)&gt;100,"High Freight","Low Freight"),"Not Specified")</f>
        <v>High Freight</v>
      </c>
      <c r="T264">
        <f t="shared" si="9"/>
        <v>100.8</v>
      </c>
    </row>
    <row r="265" spans="1:20">
      <c r="A265" s="1">
        <v>10346</v>
      </c>
      <c r="B265" s="2">
        <v>17</v>
      </c>
      <c r="C265" s="2">
        <v>31.2</v>
      </c>
      <c r="D265" s="2">
        <v>36</v>
      </c>
      <c r="E265" s="3">
        <v>0.1</v>
      </c>
      <c r="F265" s="2" t="str">
        <f>IFERROR(VLOOKUP(VLOOKUP(A265,'[1]Sales Order'!A:B,2,FALSE),[1]Customer!A:C,3,FALSE),"Not Specified")</f>
        <v>Moore, Michael</v>
      </c>
      <c r="G265" s="2" t="str">
        <f t="shared" si="8"/>
        <v>Moore Michael</v>
      </c>
      <c r="H265" s="8" t="str">
        <f>IFERROR(VLOOKUP(VLOOKUP(A265,'[1]Sales Order'!A:C,3,FALSE),[1]Employee!A:E,5,FALSE)&amp;" "&amp;VLOOKUP(VLOOKUP(A265,'[1]Sales Order'!A:C,3,FALSE),[1]Employee!A:C,3,FALSE)&amp;" "&amp;VLOOKUP(VLOOKUP(A265,'[1]Sales Order'!A:C,3,FALSE),[1]Employee!A:B,2,FALSE),"Not Specified")</f>
        <v>Ms. Judy Lew</v>
      </c>
      <c r="I265" t="str">
        <f>IFERROR(VLOOKUP(VLOOKUP(A265,'[1]Sales Order'!A:C,3,FALSE),[1]Employee!A:J,10,FALSE),"Not Specified")</f>
        <v>WA</v>
      </c>
      <c r="J265" t="str">
        <f>VLOOKUP(B265,[1]Product!A:B,2,FALSE)</f>
        <v>Product BLCAX</v>
      </c>
      <c r="K265" t="str">
        <f>VLOOKUP(VLOOKUP(B265,[1]Product!A:D,4,FALSE),[1]Category!A:B,2,FALSE)</f>
        <v>Meat/Poultry</v>
      </c>
      <c r="L265" s="10">
        <f>IFERROR(VLOOKUP(A265,'[1]Sales Order'!A:D,4,FALSE),"")</f>
        <v>39026</v>
      </c>
      <c r="M265" s="10">
        <f>IFERROR(VLOOKUP(A265,'[1]Sales Order'!A:F,6,FALSE),"")</f>
        <v>39029</v>
      </c>
      <c r="N265" t="str">
        <f>IFERROR(VLOOKUP(VLOOKUP(A265,'[1]Sales Order'!A:G,7,FALSE),[1]Shipper!A:B,2,FALSE),"Not Specified")</f>
        <v>Shipper ZHISN</v>
      </c>
      <c r="O265" t="str">
        <f>IFERROR(VLOOKUP(A265,'[1]Sales Order'!A:I,9,FALSE),"Not Specified")</f>
        <v>Ship to 65-A</v>
      </c>
      <c r="P265" t="str">
        <f>IFERROR(VLOOKUP(A265,'[1]Sales Order'!A:N,14,FALSE),"Not Specified")</f>
        <v>USA</v>
      </c>
      <c r="Q265" t="str">
        <f>VLOOKUP(VLOOKUP(B265,[1]Product!A:C,3,FALSE),[1]Supplier!A:B,2,FALSE)</f>
        <v>Supplier GQRCV</v>
      </c>
      <c r="R265" t="str">
        <f>VLOOKUP(VLOOKUP(B265,[1]Product!A:C,3,FALSE),[1]Supplier!A:I,9,FALSE)</f>
        <v>Australia</v>
      </c>
      <c r="S265" t="str">
        <f>IFERROR(IF(VLOOKUP(A265,'[1]Sales Order'!A:H,8,FALSE)&gt;100,"High Freight","Low Freight"),"Not Specified")</f>
        <v>High Freight</v>
      </c>
      <c r="T265">
        <f t="shared" si="9"/>
        <v>1010.8800000000001</v>
      </c>
    </row>
    <row r="266" spans="1:20">
      <c r="A266" s="1">
        <v>10346</v>
      </c>
      <c r="B266" s="2">
        <v>56</v>
      </c>
      <c r="C266" s="2">
        <v>30.4</v>
      </c>
      <c r="D266" s="2">
        <v>20</v>
      </c>
      <c r="E266" s="3">
        <v>0</v>
      </c>
      <c r="F266" s="2" t="str">
        <f>IFERROR(VLOOKUP(VLOOKUP(A266,'[1]Sales Order'!A:B,2,FALSE),[1]Customer!A:C,3,FALSE),"Not Specified")</f>
        <v>Moore, Michael</v>
      </c>
      <c r="G266" s="2" t="str">
        <f t="shared" si="8"/>
        <v>Moore Michael</v>
      </c>
      <c r="H266" s="8" t="str">
        <f>IFERROR(VLOOKUP(VLOOKUP(A266,'[1]Sales Order'!A:C,3,FALSE),[1]Employee!A:E,5,FALSE)&amp;" "&amp;VLOOKUP(VLOOKUP(A266,'[1]Sales Order'!A:C,3,FALSE),[1]Employee!A:C,3,FALSE)&amp;" "&amp;VLOOKUP(VLOOKUP(A266,'[1]Sales Order'!A:C,3,FALSE),[1]Employee!A:B,2,FALSE),"Not Specified")</f>
        <v>Ms. Judy Lew</v>
      </c>
      <c r="I266" t="str">
        <f>IFERROR(VLOOKUP(VLOOKUP(A266,'[1]Sales Order'!A:C,3,FALSE),[1]Employee!A:J,10,FALSE),"Not Specified")</f>
        <v>WA</v>
      </c>
      <c r="J266" t="str">
        <f>VLOOKUP(B266,[1]Product!A:B,2,FALSE)</f>
        <v>Product VKCMF</v>
      </c>
      <c r="K266" t="str">
        <f>VLOOKUP(VLOOKUP(B266,[1]Product!A:D,4,FALSE),[1]Category!A:B,2,FALSE)</f>
        <v>Grains/Cereals</v>
      </c>
      <c r="L266" s="10">
        <f>IFERROR(VLOOKUP(A266,'[1]Sales Order'!A:D,4,FALSE),"")</f>
        <v>39026</v>
      </c>
      <c r="M266" s="10">
        <f>IFERROR(VLOOKUP(A266,'[1]Sales Order'!A:F,6,FALSE),"")</f>
        <v>39029</v>
      </c>
      <c r="N266" t="str">
        <f>IFERROR(VLOOKUP(VLOOKUP(A266,'[1]Sales Order'!A:G,7,FALSE),[1]Shipper!A:B,2,FALSE),"Not Specified")</f>
        <v>Shipper ZHISN</v>
      </c>
      <c r="O266" t="str">
        <f>IFERROR(VLOOKUP(A266,'[1]Sales Order'!A:I,9,FALSE),"Not Specified")</f>
        <v>Ship to 65-A</v>
      </c>
      <c r="P266" t="str">
        <f>IFERROR(VLOOKUP(A266,'[1]Sales Order'!A:N,14,FALSE),"Not Specified")</f>
        <v>USA</v>
      </c>
      <c r="Q266" t="str">
        <f>VLOOKUP(VLOOKUP(B266,[1]Product!A:C,3,FALSE),[1]Supplier!A:B,2,FALSE)</f>
        <v>Supplier ZWZDM</v>
      </c>
      <c r="R266" t="str">
        <f>VLOOKUP(VLOOKUP(B266,[1]Product!A:C,3,FALSE),[1]Supplier!A:I,9,FALSE)</f>
        <v>Italy</v>
      </c>
      <c r="S266" t="str">
        <f>IFERROR(IF(VLOOKUP(A266,'[1]Sales Order'!A:H,8,FALSE)&gt;100,"High Freight","Low Freight"),"Not Specified")</f>
        <v>High Freight</v>
      </c>
      <c r="T266">
        <f t="shared" si="9"/>
        <v>608</v>
      </c>
    </row>
    <row r="267" spans="1:20">
      <c r="A267" s="1">
        <v>10347</v>
      </c>
      <c r="B267" s="2">
        <v>25</v>
      </c>
      <c r="C267" s="2">
        <v>11.2</v>
      </c>
      <c r="D267" s="2">
        <v>10</v>
      </c>
      <c r="E267" s="3">
        <v>0</v>
      </c>
      <c r="F267" s="2" t="str">
        <f>IFERROR(VLOOKUP(VLOOKUP(A267,'[1]Sales Order'!A:B,2,FALSE),[1]Customer!A:C,3,FALSE),"Not Specified")</f>
        <v>Russo, Giuseppe</v>
      </c>
      <c r="G267" s="2" t="str">
        <f t="shared" si="8"/>
        <v>Russo Giuseppe</v>
      </c>
      <c r="H267" s="8" t="str">
        <f>IFERROR(VLOOKUP(VLOOKUP(A267,'[1]Sales Order'!A:C,3,FALSE),[1]Employee!A:E,5,FALSE)&amp;" "&amp;VLOOKUP(VLOOKUP(A267,'[1]Sales Order'!A:C,3,FALSE),[1]Employee!A:C,3,FALSE)&amp;" "&amp;VLOOKUP(VLOOKUP(A267,'[1]Sales Order'!A:C,3,FALSE),[1]Employee!A:B,2,FALSE),"Not Specified")</f>
        <v>Mrs. Yael Peled</v>
      </c>
      <c r="I267" t="str">
        <f>IFERROR(VLOOKUP(VLOOKUP(A267,'[1]Sales Order'!A:C,3,FALSE),[1]Employee!A:J,10,FALSE),"Not Specified")</f>
        <v>WA</v>
      </c>
      <c r="J267" t="str">
        <f>VLOOKUP(B267,[1]Product!A:B,2,FALSE)</f>
        <v>Product LYLNI</v>
      </c>
      <c r="K267" t="str">
        <f>VLOOKUP(VLOOKUP(B267,[1]Product!A:D,4,FALSE),[1]Category!A:B,2,FALSE)</f>
        <v>Confections</v>
      </c>
      <c r="L267" s="10">
        <f>IFERROR(VLOOKUP(A267,'[1]Sales Order'!A:D,4,FALSE),"")</f>
        <v>39027</v>
      </c>
      <c r="M267" s="10">
        <f>IFERROR(VLOOKUP(A267,'[1]Sales Order'!A:F,6,FALSE),"")</f>
        <v>39029</v>
      </c>
      <c r="N267" t="str">
        <f>IFERROR(VLOOKUP(VLOOKUP(A267,'[1]Sales Order'!A:G,7,FALSE),[1]Shipper!A:B,2,FALSE),"Not Specified")</f>
        <v>Shipper ZHISN</v>
      </c>
      <c r="O267" t="str">
        <f>IFERROR(VLOOKUP(A267,'[1]Sales Order'!A:I,9,FALSE),"Not Specified")</f>
        <v>Destination KKELL</v>
      </c>
      <c r="P267" t="str">
        <f>IFERROR(VLOOKUP(A267,'[1]Sales Order'!A:N,14,FALSE),"Not Specified")</f>
        <v>Brazil</v>
      </c>
      <c r="Q267" t="str">
        <f>VLOOKUP(VLOOKUP(B267,[1]Product!A:C,3,FALSE),[1]Supplier!A:B,2,FALSE)</f>
        <v>Supplier ZPYVS</v>
      </c>
      <c r="R267" t="str">
        <f>VLOOKUP(VLOOKUP(B267,[1]Product!A:C,3,FALSE),[1]Supplier!A:I,9,FALSE)</f>
        <v>Germany</v>
      </c>
      <c r="S267" t="str">
        <f>IFERROR(IF(VLOOKUP(A267,'[1]Sales Order'!A:H,8,FALSE)&gt;100,"High Freight","Low Freight"),"Not Specified")</f>
        <v>Low Freight</v>
      </c>
      <c r="T267">
        <f t="shared" si="9"/>
        <v>112</v>
      </c>
    </row>
    <row r="268" spans="1:20">
      <c r="A268" s="1">
        <v>10347</v>
      </c>
      <c r="B268" s="2">
        <v>39</v>
      </c>
      <c r="C268" s="2">
        <v>14.4</v>
      </c>
      <c r="D268" s="2">
        <v>50</v>
      </c>
      <c r="E268" s="3">
        <v>0.15</v>
      </c>
      <c r="F268" s="2" t="str">
        <f>IFERROR(VLOOKUP(VLOOKUP(A268,'[1]Sales Order'!A:B,2,FALSE),[1]Customer!A:C,3,FALSE),"Not Specified")</f>
        <v>Russo, Giuseppe</v>
      </c>
      <c r="G268" s="2" t="str">
        <f t="shared" si="8"/>
        <v>Russo Giuseppe</v>
      </c>
      <c r="H268" s="8" t="str">
        <f>IFERROR(VLOOKUP(VLOOKUP(A268,'[1]Sales Order'!A:C,3,FALSE),[1]Employee!A:E,5,FALSE)&amp;" "&amp;VLOOKUP(VLOOKUP(A268,'[1]Sales Order'!A:C,3,FALSE),[1]Employee!A:C,3,FALSE)&amp;" "&amp;VLOOKUP(VLOOKUP(A268,'[1]Sales Order'!A:C,3,FALSE),[1]Employee!A:B,2,FALSE),"Not Specified")</f>
        <v>Mrs. Yael Peled</v>
      </c>
      <c r="I268" t="str">
        <f>IFERROR(VLOOKUP(VLOOKUP(A268,'[1]Sales Order'!A:C,3,FALSE),[1]Employee!A:J,10,FALSE),"Not Specified")</f>
        <v>WA</v>
      </c>
      <c r="J268" t="str">
        <f>VLOOKUP(B268,[1]Product!A:B,2,FALSE)</f>
        <v>Product LSOFL</v>
      </c>
      <c r="K268" t="str">
        <f>VLOOKUP(VLOOKUP(B268,[1]Product!A:D,4,FALSE),[1]Category!A:B,2,FALSE)</f>
        <v>Beverages</v>
      </c>
      <c r="L268" s="10">
        <f>IFERROR(VLOOKUP(A268,'[1]Sales Order'!A:D,4,FALSE),"")</f>
        <v>39027</v>
      </c>
      <c r="M268" s="10">
        <f>IFERROR(VLOOKUP(A268,'[1]Sales Order'!A:F,6,FALSE),"")</f>
        <v>39029</v>
      </c>
      <c r="N268" t="str">
        <f>IFERROR(VLOOKUP(VLOOKUP(A268,'[1]Sales Order'!A:G,7,FALSE),[1]Shipper!A:B,2,FALSE),"Not Specified")</f>
        <v>Shipper ZHISN</v>
      </c>
      <c r="O268" t="str">
        <f>IFERROR(VLOOKUP(A268,'[1]Sales Order'!A:I,9,FALSE),"Not Specified")</f>
        <v>Destination KKELL</v>
      </c>
      <c r="P268" t="str">
        <f>IFERROR(VLOOKUP(A268,'[1]Sales Order'!A:N,14,FALSE),"Not Specified")</f>
        <v>Brazil</v>
      </c>
      <c r="Q268" t="str">
        <f>VLOOKUP(VLOOKUP(B268,[1]Product!A:C,3,FALSE),[1]Supplier!A:B,2,FALSE)</f>
        <v>Supplier LVJUA</v>
      </c>
      <c r="R268" t="str">
        <f>VLOOKUP(VLOOKUP(B268,[1]Product!A:C,3,FALSE),[1]Supplier!A:I,9,FALSE)</f>
        <v>France</v>
      </c>
      <c r="S268" t="str">
        <f>IFERROR(IF(VLOOKUP(A268,'[1]Sales Order'!A:H,8,FALSE)&gt;100,"High Freight","Low Freight"),"Not Specified")</f>
        <v>Low Freight</v>
      </c>
      <c r="T268">
        <f t="shared" si="9"/>
        <v>612</v>
      </c>
    </row>
    <row r="269" spans="1:20">
      <c r="A269" s="1">
        <v>10347</v>
      </c>
      <c r="B269" s="2">
        <v>40</v>
      </c>
      <c r="C269" s="2">
        <v>14.7</v>
      </c>
      <c r="D269" s="2">
        <v>4</v>
      </c>
      <c r="E269" s="3">
        <v>0</v>
      </c>
      <c r="F269" s="2" t="str">
        <f>IFERROR(VLOOKUP(VLOOKUP(A269,'[1]Sales Order'!A:B,2,FALSE),[1]Customer!A:C,3,FALSE),"Not Specified")</f>
        <v>Russo, Giuseppe</v>
      </c>
      <c r="G269" s="2" t="str">
        <f t="shared" si="8"/>
        <v>Russo Giuseppe</v>
      </c>
      <c r="H269" s="8" t="str">
        <f>IFERROR(VLOOKUP(VLOOKUP(A269,'[1]Sales Order'!A:C,3,FALSE),[1]Employee!A:E,5,FALSE)&amp;" "&amp;VLOOKUP(VLOOKUP(A269,'[1]Sales Order'!A:C,3,FALSE),[1]Employee!A:C,3,FALSE)&amp;" "&amp;VLOOKUP(VLOOKUP(A269,'[1]Sales Order'!A:C,3,FALSE),[1]Employee!A:B,2,FALSE),"Not Specified")</f>
        <v>Mrs. Yael Peled</v>
      </c>
      <c r="I269" t="str">
        <f>IFERROR(VLOOKUP(VLOOKUP(A269,'[1]Sales Order'!A:C,3,FALSE),[1]Employee!A:J,10,FALSE),"Not Specified")</f>
        <v>WA</v>
      </c>
      <c r="J269" t="str">
        <f>VLOOKUP(B269,[1]Product!A:B,2,FALSE)</f>
        <v>Product YZIXQ</v>
      </c>
      <c r="K269" t="str">
        <f>VLOOKUP(VLOOKUP(B269,[1]Product!A:D,4,FALSE),[1]Category!A:B,2,FALSE)</f>
        <v>Seafood</v>
      </c>
      <c r="L269" s="10">
        <f>IFERROR(VLOOKUP(A269,'[1]Sales Order'!A:D,4,FALSE),"")</f>
        <v>39027</v>
      </c>
      <c r="M269" s="10">
        <f>IFERROR(VLOOKUP(A269,'[1]Sales Order'!A:F,6,FALSE),"")</f>
        <v>39029</v>
      </c>
      <c r="N269" t="str">
        <f>IFERROR(VLOOKUP(VLOOKUP(A269,'[1]Sales Order'!A:G,7,FALSE),[1]Shipper!A:B,2,FALSE),"Not Specified")</f>
        <v>Shipper ZHISN</v>
      </c>
      <c r="O269" t="str">
        <f>IFERROR(VLOOKUP(A269,'[1]Sales Order'!A:I,9,FALSE),"Not Specified")</f>
        <v>Destination KKELL</v>
      </c>
      <c r="P269" t="str">
        <f>IFERROR(VLOOKUP(A269,'[1]Sales Order'!A:N,14,FALSE),"Not Specified")</f>
        <v>Brazil</v>
      </c>
      <c r="Q269" t="str">
        <f>VLOOKUP(VLOOKUP(B269,[1]Product!A:C,3,FALSE),[1]Supplier!A:B,2,FALSE)</f>
        <v>Supplier JDNUG</v>
      </c>
      <c r="R269" t="str">
        <f>VLOOKUP(VLOOKUP(B269,[1]Product!A:C,3,FALSE),[1]Supplier!A:I,9,FALSE)</f>
        <v>USA</v>
      </c>
      <c r="S269" t="str">
        <f>IFERROR(IF(VLOOKUP(A269,'[1]Sales Order'!A:H,8,FALSE)&gt;100,"High Freight","Low Freight"),"Not Specified")</f>
        <v>Low Freight</v>
      </c>
      <c r="T269">
        <f t="shared" si="9"/>
        <v>58.8</v>
      </c>
    </row>
    <row r="270" spans="1:20">
      <c r="A270" s="1">
        <v>10347</v>
      </c>
      <c r="B270" s="2">
        <v>75</v>
      </c>
      <c r="C270" s="2">
        <v>6.2</v>
      </c>
      <c r="D270" s="2">
        <v>6</v>
      </c>
      <c r="E270" s="3">
        <v>0.15</v>
      </c>
      <c r="F270" s="2" t="str">
        <f>IFERROR(VLOOKUP(VLOOKUP(A270,'[1]Sales Order'!A:B,2,FALSE),[1]Customer!A:C,3,FALSE),"Not Specified")</f>
        <v>Russo, Giuseppe</v>
      </c>
      <c r="G270" s="2" t="str">
        <f t="shared" si="8"/>
        <v>Russo Giuseppe</v>
      </c>
      <c r="H270" s="8" t="str">
        <f>IFERROR(VLOOKUP(VLOOKUP(A270,'[1]Sales Order'!A:C,3,FALSE),[1]Employee!A:E,5,FALSE)&amp;" "&amp;VLOOKUP(VLOOKUP(A270,'[1]Sales Order'!A:C,3,FALSE),[1]Employee!A:C,3,FALSE)&amp;" "&amp;VLOOKUP(VLOOKUP(A270,'[1]Sales Order'!A:C,3,FALSE),[1]Employee!A:B,2,FALSE),"Not Specified")</f>
        <v>Mrs. Yael Peled</v>
      </c>
      <c r="I270" t="str">
        <f>IFERROR(VLOOKUP(VLOOKUP(A270,'[1]Sales Order'!A:C,3,FALSE),[1]Employee!A:J,10,FALSE),"Not Specified")</f>
        <v>WA</v>
      </c>
      <c r="J270" t="str">
        <f>VLOOKUP(B270,[1]Product!A:B,2,FALSE)</f>
        <v>Product BWRLG</v>
      </c>
      <c r="K270" t="str">
        <f>VLOOKUP(VLOOKUP(B270,[1]Product!A:D,4,FALSE),[1]Category!A:B,2,FALSE)</f>
        <v>Beverages</v>
      </c>
      <c r="L270" s="10">
        <f>IFERROR(VLOOKUP(A270,'[1]Sales Order'!A:D,4,FALSE),"")</f>
        <v>39027</v>
      </c>
      <c r="M270" s="10">
        <f>IFERROR(VLOOKUP(A270,'[1]Sales Order'!A:F,6,FALSE),"")</f>
        <v>39029</v>
      </c>
      <c r="N270" t="str">
        <f>IFERROR(VLOOKUP(VLOOKUP(A270,'[1]Sales Order'!A:G,7,FALSE),[1]Shipper!A:B,2,FALSE),"Not Specified")</f>
        <v>Shipper ZHISN</v>
      </c>
      <c r="O270" t="str">
        <f>IFERROR(VLOOKUP(A270,'[1]Sales Order'!A:I,9,FALSE),"Not Specified")</f>
        <v>Destination KKELL</v>
      </c>
      <c r="P270" t="str">
        <f>IFERROR(VLOOKUP(A270,'[1]Sales Order'!A:N,14,FALSE),"Not Specified")</f>
        <v>Brazil</v>
      </c>
      <c r="Q270" t="str">
        <f>VLOOKUP(VLOOKUP(B270,[1]Product!A:C,3,FALSE),[1]Supplier!A:B,2,FALSE)</f>
        <v>Supplier SVIYA</v>
      </c>
      <c r="R270" t="str">
        <f>VLOOKUP(VLOOKUP(B270,[1]Product!A:C,3,FALSE),[1]Supplier!A:I,9,FALSE)</f>
        <v>Germany</v>
      </c>
      <c r="S270" t="str">
        <f>IFERROR(IF(VLOOKUP(A270,'[1]Sales Order'!A:H,8,FALSE)&gt;100,"High Freight","Low Freight"),"Not Specified")</f>
        <v>Low Freight</v>
      </c>
      <c r="T270">
        <f t="shared" si="9"/>
        <v>31.62</v>
      </c>
    </row>
    <row r="271" spans="1:20">
      <c r="A271" s="1">
        <v>10348</v>
      </c>
      <c r="B271" s="2">
        <v>1</v>
      </c>
      <c r="C271" s="2">
        <v>14.4</v>
      </c>
      <c r="D271" s="2">
        <v>15</v>
      </c>
      <c r="E271" s="3">
        <v>0.15</v>
      </c>
      <c r="F271" s="2" t="str">
        <f>IFERROR(VLOOKUP(VLOOKUP(A271,'[1]Sales Order'!A:B,2,FALSE),[1]Customer!A:C,3,FALSE),"Not Specified")</f>
        <v>Syamala, Manoj</v>
      </c>
      <c r="G271" s="2" t="str">
        <f t="shared" si="8"/>
        <v>Syamala Manoj</v>
      </c>
      <c r="H271" s="8" t="str">
        <f>IFERROR(VLOOKUP(VLOOKUP(A271,'[1]Sales Order'!A:C,3,FALSE),[1]Employee!A:E,5,FALSE)&amp;" "&amp;VLOOKUP(VLOOKUP(A271,'[1]Sales Order'!A:C,3,FALSE),[1]Employee!A:C,3,FALSE)&amp;" "&amp;VLOOKUP(VLOOKUP(A271,'[1]Sales Order'!A:C,3,FALSE),[1]Employee!A:B,2,FALSE),"Not Specified")</f>
        <v>Mrs. Yael Peled</v>
      </c>
      <c r="I271" t="str">
        <f>IFERROR(VLOOKUP(VLOOKUP(A271,'[1]Sales Order'!A:C,3,FALSE),[1]Employee!A:J,10,FALSE),"Not Specified")</f>
        <v>WA</v>
      </c>
      <c r="J271" t="str">
        <f>VLOOKUP(B271,[1]Product!A:B,2,FALSE)</f>
        <v>Product HHYDP</v>
      </c>
      <c r="K271" t="str">
        <f>VLOOKUP(VLOOKUP(B271,[1]Product!A:D,4,FALSE),[1]Category!A:B,2,FALSE)</f>
        <v>Beverages</v>
      </c>
      <c r="L271" s="10">
        <f>IFERROR(VLOOKUP(A271,'[1]Sales Order'!A:D,4,FALSE),"")</f>
        <v>39028</v>
      </c>
      <c r="M271" s="10">
        <f>IFERROR(VLOOKUP(A271,'[1]Sales Order'!A:F,6,FALSE),"")</f>
        <v>39036</v>
      </c>
      <c r="N271" t="str">
        <f>IFERROR(VLOOKUP(VLOOKUP(A271,'[1]Sales Order'!A:G,7,FALSE),[1]Shipper!A:B,2,FALSE),"Not Specified")</f>
        <v>Shipper ETYNR</v>
      </c>
      <c r="O271" t="str">
        <f>IFERROR(VLOOKUP(A271,'[1]Sales Order'!A:I,9,FALSE),"Not Specified")</f>
        <v>Ship to 86-B</v>
      </c>
      <c r="P271" t="str">
        <f>IFERROR(VLOOKUP(A271,'[1]Sales Order'!A:N,14,FALSE),"Not Specified")</f>
        <v>Germany</v>
      </c>
      <c r="Q271" t="str">
        <f>VLOOKUP(VLOOKUP(B271,[1]Product!A:C,3,FALSE),[1]Supplier!A:B,2,FALSE)</f>
        <v>Supplier SWRXU</v>
      </c>
      <c r="R271" t="str">
        <f>VLOOKUP(VLOOKUP(B271,[1]Product!A:C,3,FALSE),[1]Supplier!A:I,9,FALSE)</f>
        <v>UK</v>
      </c>
      <c r="S271" t="str">
        <f>IFERROR(IF(VLOOKUP(A271,'[1]Sales Order'!A:H,8,FALSE)&gt;100,"High Freight","Low Freight"),"Not Specified")</f>
        <v>Low Freight</v>
      </c>
      <c r="T271">
        <f t="shared" si="9"/>
        <v>183.6</v>
      </c>
    </row>
    <row r="272" spans="1:20">
      <c r="A272" s="1">
        <v>10348</v>
      </c>
      <c r="B272" s="2">
        <v>23</v>
      </c>
      <c r="C272" s="2">
        <v>7.2</v>
      </c>
      <c r="D272" s="2">
        <v>25</v>
      </c>
      <c r="E272" s="3">
        <v>0</v>
      </c>
      <c r="F272" s="2" t="str">
        <f>IFERROR(VLOOKUP(VLOOKUP(A272,'[1]Sales Order'!A:B,2,FALSE),[1]Customer!A:C,3,FALSE),"Not Specified")</f>
        <v>Syamala, Manoj</v>
      </c>
      <c r="G272" s="2" t="str">
        <f t="shared" si="8"/>
        <v>Syamala Manoj</v>
      </c>
      <c r="H272" s="8" t="str">
        <f>IFERROR(VLOOKUP(VLOOKUP(A272,'[1]Sales Order'!A:C,3,FALSE),[1]Employee!A:E,5,FALSE)&amp;" "&amp;VLOOKUP(VLOOKUP(A272,'[1]Sales Order'!A:C,3,FALSE),[1]Employee!A:C,3,FALSE)&amp;" "&amp;VLOOKUP(VLOOKUP(A272,'[1]Sales Order'!A:C,3,FALSE),[1]Employee!A:B,2,FALSE),"Not Specified")</f>
        <v>Mrs. Yael Peled</v>
      </c>
      <c r="I272" t="str">
        <f>IFERROR(VLOOKUP(VLOOKUP(A272,'[1]Sales Order'!A:C,3,FALSE),[1]Employee!A:J,10,FALSE),"Not Specified")</f>
        <v>WA</v>
      </c>
      <c r="J272" t="str">
        <f>VLOOKUP(B272,[1]Product!A:B,2,FALSE)</f>
        <v>Product JLUDZ</v>
      </c>
      <c r="K272" t="str">
        <f>VLOOKUP(VLOOKUP(B272,[1]Product!A:D,4,FALSE),[1]Category!A:B,2,FALSE)</f>
        <v>Grains/Cereals</v>
      </c>
      <c r="L272" s="10">
        <f>IFERROR(VLOOKUP(A272,'[1]Sales Order'!A:D,4,FALSE),"")</f>
        <v>39028</v>
      </c>
      <c r="M272" s="10">
        <f>IFERROR(VLOOKUP(A272,'[1]Sales Order'!A:F,6,FALSE),"")</f>
        <v>39036</v>
      </c>
      <c r="N272" t="str">
        <f>IFERROR(VLOOKUP(VLOOKUP(A272,'[1]Sales Order'!A:G,7,FALSE),[1]Shipper!A:B,2,FALSE),"Not Specified")</f>
        <v>Shipper ETYNR</v>
      </c>
      <c r="O272" t="str">
        <f>IFERROR(VLOOKUP(A272,'[1]Sales Order'!A:I,9,FALSE),"Not Specified")</f>
        <v>Ship to 86-B</v>
      </c>
      <c r="P272" t="str">
        <f>IFERROR(VLOOKUP(A272,'[1]Sales Order'!A:N,14,FALSE),"Not Specified")</f>
        <v>Germany</v>
      </c>
      <c r="Q272" t="str">
        <f>VLOOKUP(VLOOKUP(B272,[1]Product!A:C,3,FALSE),[1]Supplier!A:B,2,FALSE)</f>
        <v>Supplier QQYEU</v>
      </c>
      <c r="R272" t="str">
        <f>VLOOKUP(VLOOKUP(B272,[1]Product!A:C,3,FALSE),[1]Supplier!A:I,9,FALSE)</f>
        <v>Sweden</v>
      </c>
      <c r="S272" t="str">
        <f>IFERROR(IF(VLOOKUP(A272,'[1]Sales Order'!A:H,8,FALSE)&gt;100,"High Freight","Low Freight"),"Not Specified")</f>
        <v>Low Freight</v>
      </c>
      <c r="T272">
        <f t="shared" si="9"/>
        <v>180</v>
      </c>
    </row>
    <row r="273" spans="1:20">
      <c r="A273" s="1">
        <v>10349</v>
      </c>
      <c r="B273" s="2">
        <v>54</v>
      </c>
      <c r="C273" s="2">
        <v>5.9</v>
      </c>
      <c r="D273" s="2">
        <v>24</v>
      </c>
      <c r="E273" s="3">
        <v>0</v>
      </c>
      <c r="F273" s="2" t="str">
        <f>IFERROR(VLOOKUP(VLOOKUP(A273,'[1]Sales Order'!A:B,2,FALSE),[1]Customer!A:C,3,FALSE),"Not Specified")</f>
        <v>Wojciechowska, Agnieszka</v>
      </c>
      <c r="G273" s="2" t="str">
        <f t="shared" si="8"/>
        <v>Wojciechowska Agnieszka</v>
      </c>
      <c r="H273" s="8" t="str">
        <f>IFERROR(VLOOKUP(VLOOKUP(A273,'[1]Sales Order'!A:C,3,FALSE),[1]Employee!A:E,5,FALSE)&amp;" "&amp;VLOOKUP(VLOOKUP(A273,'[1]Sales Order'!A:C,3,FALSE),[1]Employee!A:C,3,FALSE)&amp;" "&amp;VLOOKUP(VLOOKUP(A273,'[1]Sales Order'!A:C,3,FALSE),[1]Employee!A:B,2,FALSE),"Not Specified")</f>
        <v>Mr. Russell King</v>
      </c>
      <c r="I273">
        <f>IFERROR(VLOOKUP(VLOOKUP(A273,'[1]Sales Order'!A:C,3,FALSE),[1]Employee!A:J,10,FALSE),"Not Specified")</f>
        <v>0</v>
      </c>
      <c r="J273" t="str">
        <f>VLOOKUP(B273,[1]Product!A:B,2,FALSE)</f>
        <v>Product QAQRL</v>
      </c>
      <c r="K273" t="str">
        <f>VLOOKUP(VLOOKUP(B273,[1]Product!A:D,4,FALSE),[1]Category!A:B,2,FALSE)</f>
        <v>Meat/Poultry</v>
      </c>
      <c r="L273" s="10">
        <f>IFERROR(VLOOKUP(A273,'[1]Sales Order'!A:D,4,FALSE),"")</f>
        <v>39029</v>
      </c>
      <c r="M273" s="10">
        <f>IFERROR(VLOOKUP(A273,'[1]Sales Order'!A:F,6,FALSE),"")</f>
        <v>39036</v>
      </c>
      <c r="N273" t="str">
        <f>IFERROR(VLOOKUP(VLOOKUP(A273,'[1]Sales Order'!A:G,7,FALSE),[1]Shipper!A:B,2,FALSE),"Not Specified")</f>
        <v>Shipper GVSUA</v>
      </c>
      <c r="O273" t="str">
        <f>IFERROR(VLOOKUP(A273,'[1]Sales Order'!A:I,9,FALSE),"Not Specified")</f>
        <v>Ship to 75-C</v>
      </c>
      <c r="P273" t="str">
        <f>IFERROR(VLOOKUP(A273,'[1]Sales Order'!A:N,14,FALSE),"Not Specified")</f>
        <v>USA</v>
      </c>
      <c r="Q273" t="str">
        <f>VLOOKUP(VLOOKUP(B273,[1]Product!A:C,3,FALSE),[1]Supplier!A:B,2,FALSE)</f>
        <v>Supplier ERVYZ</v>
      </c>
      <c r="R273" t="str">
        <f>VLOOKUP(VLOOKUP(B273,[1]Product!A:C,3,FALSE),[1]Supplier!A:I,9,FALSE)</f>
        <v>Canada</v>
      </c>
      <c r="S273" t="str">
        <f>IFERROR(IF(VLOOKUP(A273,'[1]Sales Order'!A:H,8,FALSE)&gt;100,"High Freight","Low Freight"),"Not Specified")</f>
        <v>Low Freight</v>
      </c>
      <c r="T273">
        <f t="shared" si="9"/>
        <v>141.60000000000002</v>
      </c>
    </row>
    <row r="274" spans="1:20">
      <c r="A274" s="1">
        <v>10350</v>
      </c>
      <c r="B274" s="2">
        <v>50</v>
      </c>
      <c r="C274" s="2">
        <v>13</v>
      </c>
      <c r="D274" s="2">
        <v>15</v>
      </c>
      <c r="E274" s="3">
        <v>0.1</v>
      </c>
      <c r="F274" s="2" t="str">
        <f>IFERROR(VLOOKUP(VLOOKUP(A274,'[1]Sales Order'!A:B,2,FALSE),[1]Customer!A:C,3,FALSE),"Not Specified")</f>
        <v>Litton, Tim</v>
      </c>
      <c r="G274" s="2" t="str">
        <f t="shared" si="8"/>
        <v>Litton Tim</v>
      </c>
      <c r="H274" s="8" t="str">
        <f>IFERROR(VLOOKUP(VLOOKUP(A274,'[1]Sales Order'!A:C,3,FALSE),[1]Employee!A:E,5,FALSE)&amp;" "&amp;VLOOKUP(VLOOKUP(A274,'[1]Sales Order'!A:C,3,FALSE),[1]Employee!A:C,3,FALSE)&amp;" "&amp;VLOOKUP(VLOOKUP(A274,'[1]Sales Order'!A:C,3,FALSE),[1]Employee!A:B,2,FALSE),"Not Specified")</f>
        <v>Mr. Paul Suurs</v>
      </c>
      <c r="I274">
        <f>IFERROR(VLOOKUP(VLOOKUP(A274,'[1]Sales Order'!A:C,3,FALSE),[1]Employee!A:J,10,FALSE),"Not Specified")</f>
        <v>0</v>
      </c>
      <c r="J274" t="str">
        <f>VLOOKUP(B274,[1]Product!A:B,2,FALSE)</f>
        <v>Product BIUDV</v>
      </c>
      <c r="K274" t="str">
        <f>VLOOKUP(VLOOKUP(B274,[1]Product!A:D,4,FALSE),[1]Category!A:B,2,FALSE)</f>
        <v>Confections</v>
      </c>
      <c r="L274" s="10">
        <f>IFERROR(VLOOKUP(A274,'[1]Sales Order'!A:D,4,FALSE),"")</f>
        <v>39032</v>
      </c>
      <c r="M274" s="10">
        <f>IFERROR(VLOOKUP(A274,'[1]Sales Order'!A:F,6,FALSE),"")</f>
        <v>39054</v>
      </c>
      <c r="N274" t="str">
        <f>IFERROR(VLOOKUP(VLOOKUP(A274,'[1]Sales Order'!A:G,7,FALSE),[1]Shipper!A:B,2,FALSE),"Not Specified")</f>
        <v>Shipper ETYNR</v>
      </c>
      <c r="O274" t="str">
        <f>IFERROR(VLOOKUP(A274,'[1]Sales Order'!A:I,9,FALSE),"Not Specified")</f>
        <v>Destination DWJIO</v>
      </c>
      <c r="P274" t="str">
        <f>IFERROR(VLOOKUP(A274,'[1]Sales Order'!A:N,14,FALSE),"Not Specified")</f>
        <v>France</v>
      </c>
      <c r="Q274" t="str">
        <f>VLOOKUP(VLOOKUP(B274,[1]Product!A:C,3,FALSE),[1]Supplier!A:B,2,FALSE)</f>
        <v>Supplier ELCRN</v>
      </c>
      <c r="R274" t="str">
        <f>VLOOKUP(VLOOKUP(B274,[1]Product!A:C,3,FALSE),[1]Supplier!A:I,9,FALSE)</f>
        <v>Finland</v>
      </c>
      <c r="S274" t="str">
        <f>IFERROR(IF(VLOOKUP(A274,'[1]Sales Order'!A:H,8,FALSE)&gt;100,"High Freight","Low Freight"),"Not Specified")</f>
        <v>Low Freight</v>
      </c>
      <c r="T274">
        <f t="shared" si="9"/>
        <v>175.5</v>
      </c>
    </row>
    <row r="275" spans="1:20">
      <c r="A275" s="1">
        <v>10350</v>
      </c>
      <c r="B275" s="2">
        <v>69</v>
      </c>
      <c r="C275" s="2">
        <v>28.8</v>
      </c>
      <c r="D275" s="2">
        <v>18</v>
      </c>
      <c r="E275" s="3">
        <v>0.1</v>
      </c>
      <c r="F275" s="2" t="str">
        <f>IFERROR(VLOOKUP(VLOOKUP(A275,'[1]Sales Order'!A:B,2,FALSE),[1]Customer!A:C,3,FALSE),"Not Specified")</f>
        <v>Litton, Tim</v>
      </c>
      <c r="G275" s="2" t="str">
        <f t="shared" si="8"/>
        <v>Litton Tim</v>
      </c>
      <c r="H275" s="8" t="str">
        <f>IFERROR(VLOOKUP(VLOOKUP(A275,'[1]Sales Order'!A:C,3,FALSE),[1]Employee!A:E,5,FALSE)&amp;" "&amp;VLOOKUP(VLOOKUP(A275,'[1]Sales Order'!A:C,3,FALSE),[1]Employee!A:C,3,FALSE)&amp;" "&amp;VLOOKUP(VLOOKUP(A275,'[1]Sales Order'!A:C,3,FALSE),[1]Employee!A:B,2,FALSE),"Not Specified")</f>
        <v>Mr. Paul Suurs</v>
      </c>
      <c r="I275">
        <f>IFERROR(VLOOKUP(VLOOKUP(A275,'[1]Sales Order'!A:C,3,FALSE),[1]Employee!A:J,10,FALSE),"Not Specified")</f>
        <v>0</v>
      </c>
      <c r="J275" t="str">
        <f>VLOOKUP(B275,[1]Product!A:B,2,FALSE)</f>
        <v>Product COAXA</v>
      </c>
      <c r="K275" t="str">
        <f>VLOOKUP(VLOOKUP(B275,[1]Product!A:D,4,FALSE),[1]Category!A:B,2,FALSE)</f>
        <v>Dairy Product</v>
      </c>
      <c r="L275" s="10">
        <f>IFERROR(VLOOKUP(A275,'[1]Sales Order'!A:D,4,FALSE),"")</f>
        <v>39032</v>
      </c>
      <c r="M275" s="10">
        <f>IFERROR(VLOOKUP(A275,'[1]Sales Order'!A:F,6,FALSE),"")</f>
        <v>39054</v>
      </c>
      <c r="N275" t="str">
        <f>IFERROR(VLOOKUP(VLOOKUP(A275,'[1]Sales Order'!A:G,7,FALSE),[1]Shipper!A:B,2,FALSE),"Not Specified")</f>
        <v>Shipper ETYNR</v>
      </c>
      <c r="O275" t="str">
        <f>IFERROR(VLOOKUP(A275,'[1]Sales Order'!A:I,9,FALSE),"Not Specified")</f>
        <v>Destination DWJIO</v>
      </c>
      <c r="P275" t="str">
        <f>IFERROR(VLOOKUP(A275,'[1]Sales Order'!A:N,14,FALSE),"Not Specified")</f>
        <v>France</v>
      </c>
      <c r="Q275" t="str">
        <f>VLOOKUP(VLOOKUP(B275,[1]Product!A:C,3,FALSE),[1]Supplier!A:B,2,FALSE)</f>
        <v>Supplier NZLIF</v>
      </c>
      <c r="R275" t="str">
        <f>VLOOKUP(VLOOKUP(B275,[1]Product!A:C,3,FALSE),[1]Supplier!A:I,9,FALSE)</f>
        <v>Norway</v>
      </c>
      <c r="S275" t="str">
        <f>IFERROR(IF(VLOOKUP(A275,'[1]Sales Order'!A:H,8,FALSE)&gt;100,"High Freight","Low Freight"),"Not Specified")</f>
        <v>Low Freight</v>
      </c>
      <c r="T275">
        <f t="shared" si="9"/>
        <v>466.56</v>
      </c>
    </row>
    <row r="276" spans="1:20">
      <c r="A276" s="1">
        <v>10351</v>
      </c>
      <c r="B276" s="2">
        <v>38</v>
      </c>
      <c r="C276" s="2">
        <v>210.8</v>
      </c>
      <c r="D276" s="2">
        <v>20</v>
      </c>
      <c r="E276" s="3">
        <v>0.05</v>
      </c>
      <c r="F276" s="2" t="str">
        <f>IFERROR(VLOOKUP(VLOOKUP(A276,'[1]Sales Order'!A:B,2,FALSE),[1]Customer!A:C,3,FALSE),"Not Specified")</f>
        <v>Kane, John</v>
      </c>
      <c r="G276" s="2" t="str">
        <f t="shared" si="8"/>
        <v>Kane John</v>
      </c>
      <c r="H276" s="8" t="str">
        <f>IFERROR(VLOOKUP(VLOOKUP(A276,'[1]Sales Order'!A:C,3,FALSE),[1]Employee!A:E,5,FALSE)&amp;" "&amp;VLOOKUP(VLOOKUP(A276,'[1]Sales Order'!A:C,3,FALSE),[1]Employee!A:C,3,FALSE)&amp;" "&amp;VLOOKUP(VLOOKUP(A276,'[1]Sales Order'!A:C,3,FALSE),[1]Employee!A:B,2,FALSE),"Not Specified")</f>
        <v>Ms. Sara Davis</v>
      </c>
      <c r="I276" t="str">
        <f>IFERROR(VLOOKUP(VLOOKUP(A276,'[1]Sales Order'!A:C,3,FALSE),[1]Employee!A:J,10,FALSE),"Not Specified")</f>
        <v>WA</v>
      </c>
      <c r="J276" t="str">
        <f>VLOOKUP(B276,[1]Product!A:B,2,FALSE)</f>
        <v>Product QDOMO</v>
      </c>
      <c r="K276" t="str">
        <f>VLOOKUP(VLOOKUP(B276,[1]Product!A:D,4,FALSE),[1]Category!A:B,2,FALSE)</f>
        <v>Beverages</v>
      </c>
      <c r="L276" s="10">
        <f>IFERROR(VLOOKUP(A276,'[1]Sales Order'!A:D,4,FALSE),"")</f>
        <v>39032</v>
      </c>
      <c r="M276" s="10">
        <f>IFERROR(VLOOKUP(A276,'[1]Sales Order'!A:F,6,FALSE),"")</f>
        <v>39041</v>
      </c>
      <c r="N276" t="str">
        <f>IFERROR(VLOOKUP(VLOOKUP(A276,'[1]Sales Order'!A:G,7,FALSE),[1]Shipper!A:B,2,FALSE),"Not Specified")</f>
        <v>Shipper GVSUA</v>
      </c>
      <c r="O276" t="str">
        <f>IFERROR(VLOOKUP(A276,'[1]Sales Order'!A:I,9,FALSE),"Not Specified")</f>
        <v>Destination RVDMF</v>
      </c>
      <c r="P276" t="str">
        <f>IFERROR(VLOOKUP(A276,'[1]Sales Order'!A:N,14,FALSE),"Not Specified")</f>
        <v>Austria</v>
      </c>
      <c r="Q276" t="str">
        <f>VLOOKUP(VLOOKUP(B276,[1]Product!A:C,3,FALSE),[1]Supplier!A:B,2,FALSE)</f>
        <v>Supplier LVJUA</v>
      </c>
      <c r="R276" t="str">
        <f>VLOOKUP(VLOOKUP(B276,[1]Product!A:C,3,FALSE),[1]Supplier!A:I,9,FALSE)</f>
        <v>France</v>
      </c>
      <c r="S276" t="str">
        <f>IFERROR(IF(VLOOKUP(A276,'[1]Sales Order'!A:H,8,FALSE)&gt;100,"High Freight","Low Freight"),"Not Specified")</f>
        <v>High Freight</v>
      </c>
      <c r="T276">
        <f t="shared" si="9"/>
        <v>4005.2</v>
      </c>
    </row>
    <row r="277" spans="1:20">
      <c r="A277" s="1">
        <v>10351</v>
      </c>
      <c r="B277" s="2">
        <v>41</v>
      </c>
      <c r="C277" s="2">
        <v>7.7</v>
      </c>
      <c r="D277" s="2">
        <v>13</v>
      </c>
      <c r="E277" s="3">
        <v>0</v>
      </c>
      <c r="F277" s="2" t="str">
        <f>IFERROR(VLOOKUP(VLOOKUP(A277,'[1]Sales Order'!A:B,2,FALSE),[1]Customer!A:C,3,FALSE),"Not Specified")</f>
        <v>Kane, John</v>
      </c>
      <c r="G277" s="2" t="str">
        <f t="shared" si="8"/>
        <v>Kane John</v>
      </c>
      <c r="H277" s="8" t="str">
        <f>IFERROR(VLOOKUP(VLOOKUP(A277,'[1]Sales Order'!A:C,3,FALSE),[1]Employee!A:E,5,FALSE)&amp;" "&amp;VLOOKUP(VLOOKUP(A277,'[1]Sales Order'!A:C,3,FALSE),[1]Employee!A:C,3,FALSE)&amp;" "&amp;VLOOKUP(VLOOKUP(A277,'[1]Sales Order'!A:C,3,FALSE),[1]Employee!A:B,2,FALSE),"Not Specified")</f>
        <v>Ms. Sara Davis</v>
      </c>
      <c r="I277" t="str">
        <f>IFERROR(VLOOKUP(VLOOKUP(A277,'[1]Sales Order'!A:C,3,FALSE),[1]Employee!A:J,10,FALSE),"Not Specified")</f>
        <v>WA</v>
      </c>
      <c r="J277" t="str">
        <f>VLOOKUP(B277,[1]Product!A:B,2,FALSE)</f>
        <v>Product TTEEX</v>
      </c>
      <c r="K277" t="str">
        <f>VLOOKUP(VLOOKUP(B277,[1]Product!A:D,4,FALSE),[1]Category!A:B,2,FALSE)</f>
        <v>Seafood</v>
      </c>
      <c r="L277" s="10">
        <f>IFERROR(VLOOKUP(A277,'[1]Sales Order'!A:D,4,FALSE),"")</f>
        <v>39032</v>
      </c>
      <c r="M277" s="10">
        <f>IFERROR(VLOOKUP(A277,'[1]Sales Order'!A:F,6,FALSE),"")</f>
        <v>39041</v>
      </c>
      <c r="N277" t="str">
        <f>IFERROR(VLOOKUP(VLOOKUP(A277,'[1]Sales Order'!A:G,7,FALSE),[1]Shipper!A:B,2,FALSE),"Not Specified")</f>
        <v>Shipper GVSUA</v>
      </c>
      <c r="O277" t="str">
        <f>IFERROR(VLOOKUP(A277,'[1]Sales Order'!A:I,9,FALSE),"Not Specified")</f>
        <v>Destination RVDMF</v>
      </c>
      <c r="P277" t="str">
        <f>IFERROR(VLOOKUP(A277,'[1]Sales Order'!A:N,14,FALSE),"Not Specified")</f>
        <v>Austria</v>
      </c>
      <c r="Q277" t="str">
        <f>VLOOKUP(VLOOKUP(B277,[1]Product!A:C,3,FALSE),[1]Supplier!A:B,2,FALSE)</f>
        <v>Supplier JDNUG</v>
      </c>
      <c r="R277" t="str">
        <f>VLOOKUP(VLOOKUP(B277,[1]Product!A:C,3,FALSE),[1]Supplier!A:I,9,FALSE)</f>
        <v>USA</v>
      </c>
      <c r="S277" t="str">
        <f>IFERROR(IF(VLOOKUP(A277,'[1]Sales Order'!A:H,8,FALSE)&gt;100,"High Freight","Low Freight"),"Not Specified")</f>
        <v>High Freight</v>
      </c>
      <c r="T277">
        <f t="shared" si="9"/>
        <v>100.10000000000001</v>
      </c>
    </row>
    <row r="278" spans="1:20">
      <c r="A278" s="1">
        <v>10351</v>
      </c>
      <c r="B278" s="2">
        <v>44</v>
      </c>
      <c r="C278" s="2">
        <v>15.5</v>
      </c>
      <c r="D278" s="2">
        <v>77</v>
      </c>
      <c r="E278" s="3">
        <v>0.05</v>
      </c>
      <c r="F278" s="2" t="str">
        <f>IFERROR(VLOOKUP(VLOOKUP(A278,'[1]Sales Order'!A:B,2,FALSE),[1]Customer!A:C,3,FALSE),"Not Specified")</f>
        <v>Kane, John</v>
      </c>
      <c r="G278" s="2" t="str">
        <f t="shared" si="8"/>
        <v>Kane John</v>
      </c>
      <c r="H278" s="8" t="str">
        <f>IFERROR(VLOOKUP(VLOOKUP(A278,'[1]Sales Order'!A:C,3,FALSE),[1]Employee!A:E,5,FALSE)&amp;" "&amp;VLOOKUP(VLOOKUP(A278,'[1]Sales Order'!A:C,3,FALSE),[1]Employee!A:C,3,FALSE)&amp;" "&amp;VLOOKUP(VLOOKUP(A278,'[1]Sales Order'!A:C,3,FALSE),[1]Employee!A:B,2,FALSE),"Not Specified")</f>
        <v>Ms. Sara Davis</v>
      </c>
      <c r="I278" t="str">
        <f>IFERROR(VLOOKUP(VLOOKUP(A278,'[1]Sales Order'!A:C,3,FALSE),[1]Employee!A:J,10,FALSE),"Not Specified")</f>
        <v>WA</v>
      </c>
      <c r="J278" t="str">
        <f>VLOOKUP(B278,[1]Product!A:B,2,FALSE)</f>
        <v>Product VJIEO</v>
      </c>
      <c r="K278" t="str">
        <f>VLOOKUP(VLOOKUP(B278,[1]Product!A:D,4,FALSE),[1]Category!A:B,2,FALSE)</f>
        <v>Condiments</v>
      </c>
      <c r="L278" s="10">
        <f>IFERROR(VLOOKUP(A278,'[1]Sales Order'!A:D,4,FALSE),"")</f>
        <v>39032</v>
      </c>
      <c r="M278" s="10">
        <f>IFERROR(VLOOKUP(A278,'[1]Sales Order'!A:F,6,FALSE),"")</f>
        <v>39041</v>
      </c>
      <c r="N278" t="str">
        <f>IFERROR(VLOOKUP(VLOOKUP(A278,'[1]Sales Order'!A:G,7,FALSE),[1]Shipper!A:B,2,FALSE),"Not Specified")</f>
        <v>Shipper GVSUA</v>
      </c>
      <c r="O278" t="str">
        <f>IFERROR(VLOOKUP(A278,'[1]Sales Order'!A:I,9,FALSE),"Not Specified")</f>
        <v>Destination RVDMF</v>
      </c>
      <c r="P278" t="str">
        <f>IFERROR(VLOOKUP(A278,'[1]Sales Order'!A:N,14,FALSE),"Not Specified")</f>
        <v>Austria</v>
      </c>
      <c r="Q278" t="str">
        <f>VLOOKUP(VLOOKUP(B278,[1]Product!A:C,3,FALSE),[1]Supplier!A:B,2,FALSE)</f>
        <v>Supplier CIYNM</v>
      </c>
      <c r="R278" t="str">
        <f>VLOOKUP(VLOOKUP(B278,[1]Product!A:C,3,FALSE),[1]Supplier!A:I,9,FALSE)</f>
        <v>Singapore</v>
      </c>
      <c r="S278" t="str">
        <f>IFERROR(IF(VLOOKUP(A278,'[1]Sales Order'!A:H,8,FALSE)&gt;100,"High Freight","Low Freight"),"Not Specified")</f>
        <v>High Freight</v>
      </c>
      <c r="T278">
        <f t="shared" si="9"/>
        <v>1133.825</v>
      </c>
    </row>
    <row r="279" spans="1:20">
      <c r="A279" s="1">
        <v>10351</v>
      </c>
      <c r="B279" s="2">
        <v>65</v>
      </c>
      <c r="C279" s="2">
        <v>16.8</v>
      </c>
      <c r="D279" s="2">
        <v>10</v>
      </c>
      <c r="E279" s="3">
        <v>0.05</v>
      </c>
      <c r="F279" s="2" t="str">
        <f>IFERROR(VLOOKUP(VLOOKUP(A279,'[1]Sales Order'!A:B,2,FALSE),[1]Customer!A:C,3,FALSE),"Not Specified")</f>
        <v>Kane, John</v>
      </c>
      <c r="G279" s="2" t="str">
        <f t="shared" si="8"/>
        <v>Kane John</v>
      </c>
      <c r="H279" s="8" t="str">
        <f>IFERROR(VLOOKUP(VLOOKUP(A279,'[1]Sales Order'!A:C,3,FALSE),[1]Employee!A:E,5,FALSE)&amp;" "&amp;VLOOKUP(VLOOKUP(A279,'[1]Sales Order'!A:C,3,FALSE),[1]Employee!A:C,3,FALSE)&amp;" "&amp;VLOOKUP(VLOOKUP(A279,'[1]Sales Order'!A:C,3,FALSE),[1]Employee!A:B,2,FALSE),"Not Specified")</f>
        <v>Ms. Sara Davis</v>
      </c>
      <c r="I279" t="str">
        <f>IFERROR(VLOOKUP(VLOOKUP(A279,'[1]Sales Order'!A:C,3,FALSE),[1]Employee!A:J,10,FALSE),"Not Specified")</f>
        <v>WA</v>
      </c>
      <c r="J279" t="str">
        <f>VLOOKUP(B279,[1]Product!A:B,2,FALSE)</f>
        <v>Product XYWBZ</v>
      </c>
      <c r="K279" t="str">
        <f>VLOOKUP(VLOOKUP(B279,[1]Product!A:D,4,FALSE),[1]Category!A:B,2,FALSE)</f>
        <v>Condiments</v>
      </c>
      <c r="L279" s="10">
        <f>IFERROR(VLOOKUP(A279,'[1]Sales Order'!A:D,4,FALSE),"")</f>
        <v>39032</v>
      </c>
      <c r="M279" s="10">
        <f>IFERROR(VLOOKUP(A279,'[1]Sales Order'!A:F,6,FALSE),"")</f>
        <v>39041</v>
      </c>
      <c r="N279" t="str">
        <f>IFERROR(VLOOKUP(VLOOKUP(A279,'[1]Sales Order'!A:G,7,FALSE),[1]Shipper!A:B,2,FALSE),"Not Specified")</f>
        <v>Shipper GVSUA</v>
      </c>
      <c r="O279" t="str">
        <f>IFERROR(VLOOKUP(A279,'[1]Sales Order'!A:I,9,FALSE),"Not Specified")</f>
        <v>Destination RVDMF</v>
      </c>
      <c r="P279" t="str">
        <f>IFERROR(VLOOKUP(A279,'[1]Sales Order'!A:N,14,FALSE),"Not Specified")</f>
        <v>Austria</v>
      </c>
      <c r="Q279" t="str">
        <f>VLOOKUP(VLOOKUP(B279,[1]Product!A:C,3,FALSE),[1]Supplier!A:B,2,FALSE)</f>
        <v>Supplier VHQZD</v>
      </c>
      <c r="R279" t="str">
        <f>VLOOKUP(VLOOKUP(B279,[1]Product!A:C,3,FALSE),[1]Supplier!A:I,9,FALSE)</f>
        <v>USA</v>
      </c>
      <c r="S279" t="str">
        <f>IFERROR(IF(VLOOKUP(A279,'[1]Sales Order'!A:H,8,FALSE)&gt;100,"High Freight","Low Freight"),"Not Specified")</f>
        <v>High Freight</v>
      </c>
      <c r="T279">
        <f t="shared" si="9"/>
        <v>159.6</v>
      </c>
    </row>
    <row r="280" spans="1:20">
      <c r="A280" s="1">
        <v>10352</v>
      </c>
      <c r="B280" s="2">
        <v>24</v>
      </c>
      <c r="C280" s="2">
        <v>3.6</v>
      </c>
      <c r="D280" s="2">
        <v>10</v>
      </c>
      <c r="E280" s="3">
        <v>0</v>
      </c>
      <c r="F280" s="2" t="str">
        <f>IFERROR(VLOOKUP(VLOOKUP(A280,'[1]Sales Order'!A:B,2,FALSE),[1]Customer!A:C,3,FALSE),"Not Specified")</f>
        <v>Cavaglieri, Giorgio</v>
      </c>
      <c r="G280" s="2" t="str">
        <f t="shared" si="8"/>
        <v>Cavaglieri Giorgio</v>
      </c>
      <c r="H280" s="8" t="str">
        <f>IFERROR(VLOOKUP(VLOOKUP(A280,'[1]Sales Order'!A:C,3,FALSE),[1]Employee!A:E,5,FALSE)&amp;" "&amp;VLOOKUP(VLOOKUP(A280,'[1]Sales Order'!A:C,3,FALSE),[1]Employee!A:C,3,FALSE)&amp;" "&amp;VLOOKUP(VLOOKUP(A280,'[1]Sales Order'!A:C,3,FALSE),[1]Employee!A:B,2,FALSE),"Not Specified")</f>
        <v>Ms. Judy Lew</v>
      </c>
      <c r="I280" t="str">
        <f>IFERROR(VLOOKUP(VLOOKUP(A280,'[1]Sales Order'!A:C,3,FALSE),[1]Employee!A:J,10,FALSE),"Not Specified")</f>
        <v>WA</v>
      </c>
      <c r="J280" t="str">
        <f>VLOOKUP(B280,[1]Product!A:B,2,FALSE)</f>
        <v>Product QOGNU</v>
      </c>
      <c r="K280" t="str">
        <f>VLOOKUP(VLOOKUP(B280,[1]Product!A:D,4,FALSE),[1]Category!A:B,2,FALSE)</f>
        <v>Beverages</v>
      </c>
      <c r="L280" s="10">
        <f>IFERROR(VLOOKUP(A280,'[1]Sales Order'!A:D,4,FALSE),"")</f>
        <v>39033</v>
      </c>
      <c r="M280" s="10">
        <f>IFERROR(VLOOKUP(A280,'[1]Sales Order'!A:F,6,FALSE),"")</f>
        <v>39039</v>
      </c>
      <c r="N280" t="str">
        <f>IFERROR(VLOOKUP(VLOOKUP(A280,'[1]Sales Order'!A:G,7,FALSE),[1]Shipper!A:B,2,FALSE),"Not Specified")</f>
        <v>Shipper ZHISN</v>
      </c>
      <c r="O280" t="str">
        <f>IFERROR(VLOOKUP(A280,'[1]Sales Order'!A:I,9,FALSE),"Not Specified")</f>
        <v>Destination OTSWR</v>
      </c>
      <c r="P280" t="str">
        <f>IFERROR(VLOOKUP(A280,'[1]Sales Order'!A:N,14,FALSE),"Not Specified")</f>
        <v>Portugal</v>
      </c>
      <c r="Q280" t="str">
        <f>VLOOKUP(VLOOKUP(B280,[1]Product!A:C,3,FALSE),[1]Supplier!A:B,2,FALSE)</f>
        <v>Supplier UNAHG</v>
      </c>
      <c r="R280" t="str">
        <f>VLOOKUP(VLOOKUP(B280,[1]Product!A:C,3,FALSE),[1]Supplier!A:I,9,FALSE)</f>
        <v>Brazil</v>
      </c>
      <c r="S280" t="str">
        <f>IFERROR(IF(VLOOKUP(A280,'[1]Sales Order'!A:H,8,FALSE)&gt;100,"High Freight","Low Freight"),"Not Specified")</f>
        <v>Low Freight</v>
      </c>
      <c r="T280">
        <f t="shared" si="9"/>
        <v>36</v>
      </c>
    </row>
    <row r="281" spans="1:20">
      <c r="A281" s="1">
        <v>10352</v>
      </c>
      <c r="B281" s="2">
        <v>54</v>
      </c>
      <c r="C281" s="2">
        <v>5.9</v>
      </c>
      <c r="D281" s="2">
        <v>20</v>
      </c>
      <c r="E281" s="3">
        <v>0.15</v>
      </c>
      <c r="F281" s="2" t="str">
        <f>IFERROR(VLOOKUP(VLOOKUP(A281,'[1]Sales Order'!A:B,2,FALSE),[1]Customer!A:C,3,FALSE),"Not Specified")</f>
        <v>Cavaglieri, Giorgio</v>
      </c>
      <c r="G281" s="2" t="str">
        <f t="shared" si="8"/>
        <v>Cavaglieri Giorgio</v>
      </c>
      <c r="H281" s="8" t="str">
        <f>IFERROR(VLOOKUP(VLOOKUP(A281,'[1]Sales Order'!A:C,3,FALSE),[1]Employee!A:E,5,FALSE)&amp;" "&amp;VLOOKUP(VLOOKUP(A281,'[1]Sales Order'!A:C,3,FALSE),[1]Employee!A:C,3,FALSE)&amp;" "&amp;VLOOKUP(VLOOKUP(A281,'[1]Sales Order'!A:C,3,FALSE),[1]Employee!A:B,2,FALSE),"Not Specified")</f>
        <v>Ms. Judy Lew</v>
      </c>
      <c r="I281" t="str">
        <f>IFERROR(VLOOKUP(VLOOKUP(A281,'[1]Sales Order'!A:C,3,FALSE),[1]Employee!A:J,10,FALSE),"Not Specified")</f>
        <v>WA</v>
      </c>
      <c r="J281" t="str">
        <f>VLOOKUP(B281,[1]Product!A:B,2,FALSE)</f>
        <v>Product QAQRL</v>
      </c>
      <c r="K281" t="str">
        <f>VLOOKUP(VLOOKUP(B281,[1]Product!A:D,4,FALSE),[1]Category!A:B,2,FALSE)</f>
        <v>Meat/Poultry</v>
      </c>
      <c r="L281" s="10">
        <f>IFERROR(VLOOKUP(A281,'[1]Sales Order'!A:D,4,FALSE),"")</f>
        <v>39033</v>
      </c>
      <c r="M281" s="10">
        <f>IFERROR(VLOOKUP(A281,'[1]Sales Order'!A:F,6,FALSE),"")</f>
        <v>39039</v>
      </c>
      <c r="N281" t="str">
        <f>IFERROR(VLOOKUP(VLOOKUP(A281,'[1]Sales Order'!A:G,7,FALSE),[1]Shipper!A:B,2,FALSE),"Not Specified")</f>
        <v>Shipper ZHISN</v>
      </c>
      <c r="O281" t="str">
        <f>IFERROR(VLOOKUP(A281,'[1]Sales Order'!A:I,9,FALSE),"Not Specified")</f>
        <v>Destination OTSWR</v>
      </c>
      <c r="P281" t="str">
        <f>IFERROR(VLOOKUP(A281,'[1]Sales Order'!A:N,14,FALSE),"Not Specified")</f>
        <v>Portugal</v>
      </c>
      <c r="Q281" t="str">
        <f>VLOOKUP(VLOOKUP(B281,[1]Product!A:C,3,FALSE),[1]Supplier!A:B,2,FALSE)</f>
        <v>Supplier ERVYZ</v>
      </c>
      <c r="R281" t="str">
        <f>VLOOKUP(VLOOKUP(B281,[1]Product!A:C,3,FALSE),[1]Supplier!A:I,9,FALSE)</f>
        <v>Canada</v>
      </c>
      <c r="S281" t="str">
        <f>IFERROR(IF(VLOOKUP(A281,'[1]Sales Order'!A:H,8,FALSE)&gt;100,"High Freight","Low Freight"),"Not Specified")</f>
        <v>Low Freight</v>
      </c>
      <c r="T281">
        <f t="shared" si="9"/>
        <v>100.3</v>
      </c>
    </row>
    <row r="282" spans="1:20">
      <c r="A282" s="1">
        <v>10353</v>
      </c>
      <c r="B282" s="2">
        <v>11</v>
      </c>
      <c r="C282" s="2">
        <v>16.8</v>
      </c>
      <c r="D282" s="2">
        <v>12</v>
      </c>
      <c r="E282" s="3">
        <v>0.2</v>
      </c>
      <c r="F282" s="2" t="str">
        <f>IFERROR(VLOOKUP(VLOOKUP(A282,'[1]Sales Order'!A:B,2,FALSE),[1]Customer!A:C,3,FALSE),"Not Specified")</f>
        <v>Meston, Tosh</v>
      </c>
      <c r="G282" s="2" t="str">
        <f t="shared" si="8"/>
        <v>Meston Tosh</v>
      </c>
      <c r="H282" s="8" t="str">
        <f>IFERROR(VLOOKUP(VLOOKUP(A282,'[1]Sales Order'!A:C,3,FALSE),[1]Employee!A:E,5,FALSE)&amp;" "&amp;VLOOKUP(VLOOKUP(A282,'[1]Sales Order'!A:C,3,FALSE),[1]Employee!A:C,3,FALSE)&amp;" "&amp;VLOOKUP(VLOOKUP(A282,'[1]Sales Order'!A:C,3,FALSE),[1]Employee!A:B,2,FALSE),"Not Specified")</f>
        <v>Mr. Russell King</v>
      </c>
      <c r="I282">
        <f>IFERROR(VLOOKUP(VLOOKUP(A282,'[1]Sales Order'!A:C,3,FALSE),[1]Employee!A:J,10,FALSE),"Not Specified")</f>
        <v>0</v>
      </c>
      <c r="J282" t="str">
        <f>VLOOKUP(B282,[1]Product!A:B,2,FALSE)</f>
        <v>Product QMVUN</v>
      </c>
      <c r="K282" t="str">
        <f>VLOOKUP(VLOOKUP(B282,[1]Product!A:D,4,FALSE),[1]Category!A:B,2,FALSE)</f>
        <v>Dairy Product</v>
      </c>
      <c r="L282" s="10">
        <f>IFERROR(VLOOKUP(A282,'[1]Sales Order'!A:D,4,FALSE),"")</f>
        <v>39034</v>
      </c>
      <c r="M282" s="10">
        <f>IFERROR(VLOOKUP(A282,'[1]Sales Order'!A:F,6,FALSE),"")</f>
        <v>39046</v>
      </c>
      <c r="N282" t="str">
        <f>IFERROR(VLOOKUP(VLOOKUP(A282,'[1]Sales Order'!A:G,7,FALSE),[1]Shipper!A:B,2,FALSE),"Not Specified")</f>
        <v>Shipper ZHISN</v>
      </c>
      <c r="O282" t="str">
        <f>IFERROR(VLOOKUP(A282,'[1]Sales Order'!A:I,9,FALSE),"Not Specified")</f>
        <v>Ship to 59-B</v>
      </c>
      <c r="P282" t="str">
        <f>IFERROR(VLOOKUP(A282,'[1]Sales Order'!A:N,14,FALSE),"Not Specified")</f>
        <v>Austria</v>
      </c>
      <c r="Q282" t="str">
        <f>VLOOKUP(VLOOKUP(B282,[1]Product!A:C,3,FALSE),[1]Supplier!A:B,2,FALSE)</f>
        <v>Supplier EQPNC</v>
      </c>
      <c r="R282" t="str">
        <f>VLOOKUP(VLOOKUP(B282,[1]Product!A:C,3,FALSE),[1]Supplier!A:I,9,FALSE)</f>
        <v>Spain</v>
      </c>
      <c r="S282" t="str">
        <f>IFERROR(IF(VLOOKUP(A282,'[1]Sales Order'!A:H,8,FALSE)&gt;100,"High Freight","Low Freight"),"Not Specified")</f>
        <v>High Freight</v>
      </c>
      <c r="T282">
        <f t="shared" si="9"/>
        <v>161.28000000000003</v>
      </c>
    </row>
    <row r="283" spans="1:20">
      <c r="A283" s="1">
        <v>10353</v>
      </c>
      <c r="B283" s="2">
        <v>38</v>
      </c>
      <c r="C283" s="2">
        <v>210.8</v>
      </c>
      <c r="D283" s="2">
        <v>50</v>
      </c>
      <c r="E283" s="3">
        <v>0.2</v>
      </c>
      <c r="F283" s="2" t="str">
        <f>IFERROR(VLOOKUP(VLOOKUP(A283,'[1]Sales Order'!A:B,2,FALSE),[1]Customer!A:C,3,FALSE),"Not Specified")</f>
        <v>Meston, Tosh</v>
      </c>
      <c r="G283" s="2" t="str">
        <f t="shared" si="8"/>
        <v>Meston Tosh</v>
      </c>
      <c r="H283" s="8" t="str">
        <f>IFERROR(VLOOKUP(VLOOKUP(A283,'[1]Sales Order'!A:C,3,FALSE),[1]Employee!A:E,5,FALSE)&amp;" "&amp;VLOOKUP(VLOOKUP(A283,'[1]Sales Order'!A:C,3,FALSE),[1]Employee!A:C,3,FALSE)&amp;" "&amp;VLOOKUP(VLOOKUP(A283,'[1]Sales Order'!A:C,3,FALSE),[1]Employee!A:B,2,FALSE),"Not Specified")</f>
        <v>Mr. Russell King</v>
      </c>
      <c r="I283">
        <f>IFERROR(VLOOKUP(VLOOKUP(A283,'[1]Sales Order'!A:C,3,FALSE),[1]Employee!A:J,10,FALSE),"Not Specified")</f>
        <v>0</v>
      </c>
      <c r="J283" t="str">
        <f>VLOOKUP(B283,[1]Product!A:B,2,FALSE)</f>
        <v>Product QDOMO</v>
      </c>
      <c r="K283" t="str">
        <f>VLOOKUP(VLOOKUP(B283,[1]Product!A:D,4,FALSE),[1]Category!A:B,2,FALSE)</f>
        <v>Beverages</v>
      </c>
      <c r="L283" s="10">
        <f>IFERROR(VLOOKUP(A283,'[1]Sales Order'!A:D,4,FALSE),"")</f>
        <v>39034</v>
      </c>
      <c r="M283" s="10">
        <f>IFERROR(VLOOKUP(A283,'[1]Sales Order'!A:F,6,FALSE),"")</f>
        <v>39046</v>
      </c>
      <c r="N283" t="str">
        <f>IFERROR(VLOOKUP(VLOOKUP(A283,'[1]Sales Order'!A:G,7,FALSE),[1]Shipper!A:B,2,FALSE),"Not Specified")</f>
        <v>Shipper ZHISN</v>
      </c>
      <c r="O283" t="str">
        <f>IFERROR(VLOOKUP(A283,'[1]Sales Order'!A:I,9,FALSE),"Not Specified")</f>
        <v>Ship to 59-B</v>
      </c>
      <c r="P283" t="str">
        <f>IFERROR(VLOOKUP(A283,'[1]Sales Order'!A:N,14,FALSE),"Not Specified")</f>
        <v>Austria</v>
      </c>
      <c r="Q283" t="str">
        <f>VLOOKUP(VLOOKUP(B283,[1]Product!A:C,3,FALSE),[1]Supplier!A:B,2,FALSE)</f>
        <v>Supplier LVJUA</v>
      </c>
      <c r="R283" t="str">
        <f>VLOOKUP(VLOOKUP(B283,[1]Product!A:C,3,FALSE),[1]Supplier!A:I,9,FALSE)</f>
        <v>France</v>
      </c>
      <c r="S283" t="str">
        <f>IFERROR(IF(VLOOKUP(A283,'[1]Sales Order'!A:H,8,FALSE)&gt;100,"High Freight","Low Freight"),"Not Specified")</f>
        <v>High Freight</v>
      </c>
      <c r="T283">
        <f t="shared" si="9"/>
        <v>8432</v>
      </c>
    </row>
    <row r="284" spans="1:20">
      <c r="A284" s="1">
        <v>10354</v>
      </c>
      <c r="B284" s="2">
        <v>1</v>
      </c>
      <c r="C284" s="2">
        <v>14.4</v>
      </c>
      <c r="D284" s="2">
        <v>12</v>
      </c>
      <c r="E284" s="3">
        <v>0</v>
      </c>
      <c r="F284" s="2" t="str">
        <f>IFERROR(VLOOKUP(VLOOKUP(A284,'[1]Sales Order'!A:B,2,FALSE),[1]Customer!A:C,3,FALSE),"Not Specified")</f>
        <v>Fakhouri, Fadi</v>
      </c>
      <c r="G284" s="2" t="str">
        <f t="shared" si="8"/>
        <v>Fakhouri Fadi</v>
      </c>
      <c r="H284" s="8" t="str">
        <f>IFERROR(VLOOKUP(VLOOKUP(A284,'[1]Sales Order'!A:C,3,FALSE),[1]Employee!A:E,5,FALSE)&amp;" "&amp;VLOOKUP(VLOOKUP(A284,'[1]Sales Order'!A:C,3,FALSE),[1]Employee!A:C,3,FALSE)&amp;" "&amp;VLOOKUP(VLOOKUP(A284,'[1]Sales Order'!A:C,3,FALSE),[1]Employee!A:B,2,FALSE),"Not Specified")</f>
        <v>Ms. Maria Cameron</v>
      </c>
      <c r="I284" t="str">
        <f>IFERROR(VLOOKUP(VLOOKUP(A284,'[1]Sales Order'!A:C,3,FALSE),[1]Employee!A:J,10,FALSE),"Not Specified")</f>
        <v>WA</v>
      </c>
      <c r="J284" t="str">
        <f>VLOOKUP(B284,[1]Product!A:B,2,FALSE)</f>
        <v>Product HHYDP</v>
      </c>
      <c r="K284" t="str">
        <f>VLOOKUP(VLOOKUP(B284,[1]Product!A:D,4,FALSE),[1]Category!A:B,2,FALSE)</f>
        <v>Beverages</v>
      </c>
      <c r="L284" s="10">
        <f>IFERROR(VLOOKUP(A284,'[1]Sales Order'!A:D,4,FALSE),"")</f>
        <v>39035</v>
      </c>
      <c r="M284" s="10">
        <f>IFERROR(VLOOKUP(A284,'[1]Sales Order'!A:F,6,FALSE),"")</f>
        <v>39041</v>
      </c>
      <c r="N284" t="str">
        <f>IFERROR(VLOOKUP(VLOOKUP(A284,'[1]Sales Order'!A:G,7,FALSE),[1]Shipper!A:B,2,FALSE),"Not Specified")</f>
        <v>Shipper ZHISN</v>
      </c>
      <c r="O284" t="str">
        <f>IFERROR(VLOOKUP(A284,'[1]Sales Order'!A:I,9,FALSE),"Not Specified")</f>
        <v>Ship to 58-C</v>
      </c>
      <c r="P284" t="str">
        <f>IFERROR(VLOOKUP(A284,'[1]Sales Order'!A:N,14,FALSE),"Not Specified")</f>
        <v>Mexico</v>
      </c>
      <c r="Q284" t="str">
        <f>VLOOKUP(VLOOKUP(B284,[1]Product!A:C,3,FALSE),[1]Supplier!A:B,2,FALSE)</f>
        <v>Supplier SWRXU</v>
      </c>
      <c r="R284" t="str">
        <f>VLOOKUP(VLOOKUP(B284,[1]Product!A:C,3,FALSE),[1]Supplier!A:I,9,FALSE)</f>
        <v>UK</v>
      </c>
      <c r="S284" t="str">
        <f>IFERROR(IF(VLOOKUP(A284,'[1]Sales Order'!A:H,8,FALSE)&gt;100,"High Freight","Low Freight"),"Not Specified")</f>
        <v>Low Freight</v>
      </c>
      <c r="T284">
        <f t="shared" si="9"/>
        <v>172.8</v>
      </c>
    </row>
    <row r="285" spans="1:20">
      <c r="A285" s="1">
        <v>10354</v>
      </c>
      <c r="B285" s="2">
        <v>29</v>
      </c>
      <c r="C285" s="2">
        <v>99</v>
      </c>
      <c r="D285" s="2">
        <v>4</v>
      </c>
      <c r="E285" s="3">
        <v>0</v>
      </c>
      <c r="F285" s="2" t="str">
        <f>IFERROR(VLOOKUP(VLOOKUP(A285,'[1]Sales Order'!A:B,2,FALSE),[1]Customer!A:C,3,FALSE),"Not Specified")</f>
        <v>Fakhouri, Fadi</v>
      </c>
      <c r="G285" s="2" t="str">
        <f t="shared" si="8"/>
        <v>Fakhouri Fadi</v>
      </c>
      <c r="H285" s="8" t="str">
        <f>IFERROR(VLOOKUP(VLOOKUP(A285,'[1]Sales Order'!A:C,3,FALSE),[1]Employee!A:E,5,FALSE)&amp;" "&amp;VLOOKUP(VLOOKUP(A285,'[1]Sales Order'!A:C,3,FALSE),[1]Employee!A:C,3,FALSE)&amp;" "&amp;VLOOKUP(VLOOKUP(A285,'[1]Sales Order'!A:C,3,FALSE),[1]Employee!A:B,2,FALSE),"Not Specified")</f>
        <v>Ms. Maria Cameron</v>
      </c>
      <c r="I285" t="str">
        <f>IFERROR(VLOOKUP(VLOOKUP(A285,'[1]Sales Order'!A:C,3,FALSE),[1]Employee!A:J,10,FALSE),"Not Specified")</f>
        <v>WA</v>
      </c>
      <c r="J285" t="str">
        <f>VLOOKUP(B285,[1]Product!A:B,2,FALSE)</f>
        <v>Product VJXYN</v>
      </c>
      <c r="K285" t="str">
        <f>VLOOKUP(VLOOKUP(B285,[1]Product!A:D,4,FALSE),[1]Category!A:B,2,FALSE)</f>
        <v>Meat/Poultry</v>
      </c>
      <c r="L285" s="10">
        <f>IFERROR(VLOOKUP(A285,'[1]Sales Order'!A:D,4,FALSE),"")</f>
        <v>39035</v>
      </c>
      <c r="M285" s="10">
        <f>IFERROR(VLOOKUP(A285,'[1]Sales Order'!A:F,6,FALSE),"")</f>
        <v>39041</v>
      </c>
      <c r="N285" t="str">
        <f>IFERROR(VLOOKUP(VLOOKUP(A285,'[1]Sales Order'!A:G,7,FALSE),[1]Shipper!A:B,2,FALSE),"Not Specified")</f>
        <v>Shipper ZHISN</v>
      </c>
      <c r="O285" t="str">
        <f>IFERROR(VLOOKUP(A285,'[1]Sales Order'!A:I,9,FALSE),"Not Specified")</f>
        <v>Ship to 58-C</v>
      </c>
      <c r="P285" t="str">
        <f>IFERROR(VLOOKUP(A285,'[1]Sales Order'!A:N,14,FALSE),"Not Specified")</f>
        <v>Mexico</v>
      </c>
      <c r="Q285" t="str">
        <f>VLOOKUP(VLOOKUP(B285,[1]Product!A:C,3,FALSE),[1]Supplier!A:B,2,FALSE)</f>
        <v>Supplier SVIYA</v>
      </c>
      <c r="R285" t="str">
        <f>VLOOKUP(VLOOKUP(B285,[1]Product!A:C,3,FALSE),[1]Supplier!A:I,9,FALSE)</f>
        <v>Germany</v>
      </c>
      <c r="S285" t="str">
        <f>IFERROR(IF(VLOOKUP(A285,'[1]Sales Order'!A:H,8,FALSE)&gt;100,"High Freight","Low Freight"),"Not Specified")</f>
        <v>Low Freight</v>
      </c>
      <c r="T285">
        <f t="shared" si="9"/>
        <v>396</v>
      </c>
    </row>
    <row r="286" spans="1:20">
      <c r="A286" s="1">
        <v>10355</v>
      </c>
      <c r="B286" s="2">
        <v>24</v>
      </c>
      <c r="C286" s="2">
        <v>3.6</v>
      </c>
      <c r="D286" s="2">
        <v>25</v>
      </c>
      <c r="E286" s="3">
        <v>0</v>
      </c>
      <c r="F286" s="2" t="str">
        <f>IFERROR(VLOOKUP(VLOOKUP(A286,'[1]Sales Order'!A:B,2,FALSE),[1]Customer!A:C,3,FALSE),"Not Specified")</f>
        <v>Arndt, Torsten</v>
      </c>
      <c r="G286" s="2" t="str">
        <f t="shared" si="8"/>
        <v>Arndt Torsten</v>
      </c>
      <c r="H286" s="8" t="str">
        <f>IFERROR(VLOOKUP(VLOOKUP(A286,'[1]Sales Order'!A:C,3,FALSE),[1]Employee!A:E,5,FALSE)&amp;" "&amp;VLOOKUP(VLOOKUP(A286,'[1]Sales Order'!A:C,3,FALSE),[1]Employee!A:C,3,FALSE)&amp;" "&amp;VLOOKUP(VLOOKUP(A286,'[1]Sales Order'!A:C,3,FALSE),[1]Employee!A:B,2,FALSE),"Not Specified")</f>
        <v>Mr. Paul Suurs</v>
      </c>
      <c r="I286">
        <f>IFERROR(VLOOKUP(VLOOKUP(A286,'[1]Sales Order'!A:C,3,FALSE),[1]Employee!A:J,10,FALSE),"Not Specified")</f>
        <v>0</v>
      </c>
      <c r="J286" t="str">
        <f>VLOOKUP(B286,[1]Product!A:B,2,FALSE)</f>
        <v>Product QOGNU</v>
      </c>
      <c r="K286" t="str">
        <f>VLOOKUP(VLOOKUP(B286,[1]Product!A:D,4,FALSE),[1]Category!A:B,2,FALSE)</f>
        <v>Beverages</v>
      </c>
      <c r="L286" s="10">
        <f>IFERROR(VLOOKUP(A286,'[1]Sales Order'!A:D,4,FALSE),"")</f>
        <v>39036</v>
      </c>
      <c r="M286" s="10">
        <f>IFERROR(VLOOKUP(A286,'[1]Sales Order'!A:F,6,FALSE),"")</f>
        <v>39041</v>
      </c>
      <c r="N286" t="str">
        <f>IFERROR(VLOOKUP(VLOOKUP(A286,'[1]Sales Order'!A:G,7,FALSE),[1]Shipper!A:B,2,FALSE),"Not Specified")</f>
        <v>Shipper GVSUA</v>
      </c>
      <c r="O286" t="str">
        <f>IFERROR(VLOOKUP(A286,'[1]Sales Order'!A:I,9,FALSE),"Not Specified")</f>
        <v>Ship to 4-A</v>
      </c>
      <c r="P286" t="str">
        <f>IFERROR(VLOOKUP(A286,'[1]Sales Order'!A:N,14,FALSE),"Not Specified")</f>
        <v>UK</v>
      </c>
      <c r="Q286" t="str">
        <f>VLOOKUP(VLOOKUP(B286,[1]Product!A:C,3,FALSE),[1]Supplier!A:B,2,FALSE)</f>
        <v>Supplier UNAHG</v>
      </c>
      <c r="R286" t="str">
        <f>VLOOKUP(VLOOKUP(B286,[1]Product!A:C,3,FALSE),[1]Supplier!A:I,9,FALSE)</f>
        <v>Brazil</v>
      </c>
      <c r="S286" t="str">
        <f>IFERROR(IF(VLOOKUP(A286,'[1]Sales Order'!A:H,8,FALSE)&gt;100,"High Freight","Low Freight"),"Not Specified")</f>
        <v>Low Freight</v>
      </c>
      <c r="T286">
        <f t="shared" si="9"/>
        <v>90</v>
      </c>
    </row>
    <row r="287" spans="1:20">
      <c r="A287" s="1">
        <v>10355</v>
      </c>
      <c r="B287" s="2">
        <v>57</v>
      </c>
      <c r="C287" s="2">
        <v>15.6</v>
      </c>
      <c r="D287" s="2">
        <v>25</v>
      </c>
      <c r="E287" s="3">
        <v>0</v>
      </c>
      <c r="F287" s="2" t="str">
        <f>IFERROR(VLOOKUP(VLOOKUP(A287,'[1]Sales Order'!A:B,2,FALSE),[1]Customer!A:C,3,FALSE),"Not Specified")</f>
        <v>Arndt, Torsten</v>
      </c>
      <c r="G287" s="2" t="str">
        <f t="shared" si="8"/>
        <v>Arndt Torsten</v>
      </c>
      <c r="H287" s="8" t="str">
        <f>IFERROR(VLOOKUP(VLOOKUP(A287,'[1]Sales Order'!A:C,3,FALSE),[1]Employee!A:E,5,FALSE)&amp;" "&amp;VLOOKUP(VLOOKUP(A287,'[1]Sales Order'!A:C,3,FALSE),[1]Employee!A:C,3,FALSE)&amp;" "&amp;VLOOKUP(VLOOKUP(A287,'[1]Sales Order'!A:C,3,FALSE),[1]Employee!A:B,2,FALSE),"Not Specified")</f>
        <v>Mr. Paul Suurs</v>
      </c>
      <c r="I287">
        <f>IFERROR(VLOOKUP(VLOOKUP(A287,'[1]Sales Order'!A:C,3,FALSE),[1]Employee!A:J,10,FALSE),"Not Specified")</f>
        <v>0</v>
      </c>
      <c r="J287" t="str">
        <f>VLOOKUP(B287,[1]Product!A:B,2,FALSE)</f>
        <v>Product OVLQI</v>
      </c>
      <c r="K287" t="str">
        <f>VLOOKUP(VLOOKUP(B287,[1]Product!A:D,4,FALSE),[1]Category!A:B,2,FALSE)</f>
        <v>Grains/Cereals</v>
      </c>
      <c r="L287" s="10">
        <f>IFERROR(VLOOKUP(A287,'[1]Sales Order'!A:D,4,FALSE),"")</f>
        <v>39036</v>
      </c>
      <c r="M287" s="10">
        <f>IFERROR(VLOOKUP(A287,'[1]Sales Order'!A:F,6,FALSE),"")</f>
        <v>39041</v>
      </c>
      <c r="N287" t="str">
        <f>IFERROR(VLOOKUP(VLOOKUP(A287,'[1]Sales Order'!A:G,7,FALSE),[1]Shipper!A:B,2,FALSE),"Not Specified")</f>
        <v>Shipper GVSUA</v>
      </c>
      <c r="O287" t="str">
        <f>IFERROR(VLOOKUP(A287,'[1]Sales Order'!A:I,9,FALSE),"Not Specified")</f>
        <v>Ship to 4-A</v>
      </c>
      <c r="P287" t="str">
        <f>IFERROR(VLOOKUP(A287,'[1]Sales Order'!A:N,14,FALSE),"Not Specified")</f>
        <v>UK</v>
      </c>
      <c r="Q287" t="str">
        <f>VLOOKUP(VLOOKUP(B287,[1]Product!A:C,3,FALSE),[1]Supplier!A:B,2,FALSE)</f>
        <v>Supplier ZWZDM</v>
      </c>
      <c r="R287" t="str">
        <f>VLOOKUP(VLOOKUP(B287,[1]Product!A:C,3,FALSE),[1]Supplier!A:I,9,FALSE)</f>
        <v>Italy</v>
      </c>
      <c r="S287" t="str">
        <f>IFERROR(IF(VLOOKUP(A287,'[1]Sales Order'!A:H,8,FALSE)&gt;100,"High Freight","Low Freight"),"Not Specified")</f>
        <v>Low Freight</v>
      </c>
      <c r="T287">
        <f t="shared" si="9"/>
        <v>390</v>
      </c>
    </row>
    <row r="288" spans="1:20">
      <c r="A288" s="1">
        <v>10356</v>
      </c>
      <c r="B288" s="2">
        <v>31</v>
      </c>
      <c r="C288" s="2">
        <v>10</v>
      </c>
      <c r="D288" s="2">
        <v>30</v>
      </c>
      <c r="E288" s="3">
        <v>0</v>
      </c>
      <c r="F288" s="2" t="str">
        <f>IFERROR(VLOOKUP(VLOOKUP(A288,'[1]Sales Order'!A:B,2,FALSE),[1]Customer!A:C,3,FALSE),"Not Specified")</f>
        <v>Syamala, Manoj</v>
      </c>
      <c r="G288" s="2" t="str">
        <f t="shared" si="8"/>
        <v>Syamala Manoj</v>
      </c>
      <c r="H288" s="8" t="str">
        <f>IFERROR(VLOOKUP(VLOOKUP(A288,'[1]Sales Order'!A:C,3,FALSE),[1]Employee!A:E,5,FALSE)&amp;" "&amp;VLOOKUP(VLOOKUP(A288,'[1]Sales Order'!A:C,3,FALSE),[1]Employee!A:C,3,FALSE)&amp;" "&amp;VLOOKUP(VLOOKUP(A288,'[1]Sales Order'!A:C,3,FALSE),[1]Employee!A:B,2,FALSE),"Not Specified")</f>
        <v>Mr. Paul Suurs</v>
      </c>
      <c r="I288">
        <f>IFERROR(VLOOKUP(VLOOKUP(A288,'[1]Sales Order'!A:C,3,FALSE),[1]Employee!A:J,10,FALSE),"Not Specified")</f>
        <v>0</v>
      </c>
      <c r="J288" t="str">
        <f>VLOOKUP(B288,[1]Product!A:B,2,FALSE)</f>
        <v>Product XWOXC</v>
      </c>
      <c r="K288" t="str">
        <f>VLOOKUP(VLOOKUP(B288,[1]Product!A:D,4,FALSE),[1]Category!A:B,2,FALSE)</f>
        <v>Dairy Product</v>
      </c>
      <c r="L288" s="10">
        <f>IFERROR(VLOOKUP(A288,'[1]Sales Order'!A:D,4,FALSE),"")</f>
        <v>39039</v>
      </c>
      <c r="M288" s="10">
        <f>IFERROR(VLOOKUP(A288,'[1]Sales Order'!A:F,6,FALSE),"")</f>
        <v>39048</v>
      </c>
      <c r="N288" t="str">
        <f>IFERROR(VLOOKUP(VLOOKUP(A288,'[1]Sales Order'!A:G,7,FALSE),[1]Shipper!A:B,2,FALSE),"Not Specified")</f>
        <v>Shipper ETYNR</v>
      </c>
      <c r="O288" t="str">
        <f>IFERROR(VLOOKUP(A288,'[1]Sales Order'!A:I,9,FALSE),"Not Specified")</f>
        <v>Ship to 86-A</v>
      </c>
      <c r="P288" t="str">
        <f>IFERROR(VLOOKUP(A288,'[1]Sales Order'!A:N,14,FALSE),"Not Specified")</f>
        <v>Germany</v>
      </c>
      <c r="Q288" t="str">
        <f>VLOOKUP(VLOOKUP(B288,[1]Product!A:C,3,FALSE),[1]Supplier!A:B,2,FALSE)</f>
        <v>Supplier KEREV</v>
      </c>
      <c r="R288" t="str">
        <f>VLOOKUP(VLOOKUP(B288,[1]Product!A:C,3,FALSE),[1]Supplier!A:I,9,FALSE)</f>
        <v>Italy</v>
      </c>
      <c r="S288" t="str">
        <f>IFERROR(IF(VLOOKUP(A288,'[1]Sales Order'!A:H,8,FALSE)&gt;100,"High Freight","Low Freight"),"Not Specified")</f>
        <v>Low Freight</v>
      </c>
      <c r="T288">
        <f t="shared" si="9"/>
        <v>300</v>
      </c>
    </row>
    <row r="289" spans="1:20">
      <c r="A289" s="1">
        <v>10356</v>
      </c>
      <c r="B289" s="2">
        <v>55</v>
      </c>
      <c r="C289" s="2">
        <v>19.2</v>
      </c>
      <c r="D289" s="2">
        <v>12</v>
      </c>
      <c r="E289" s="3">
        <v>0</v>
      </c>
      <c r="F289" s="2" t="str">
        <f>IFERROR(VLOOKUP(VLOOKUP(A289,'[1]Sales Order'!A:B,2,FALSE),[1]Customer!A:C,3,FALSE),"Not Specified")</f>
        <v>Syamala, Manoj</v>
      </c>
      <c r="G289" s="2" t="str">
        <f t="shared" si="8"/>
        <v>Syamala Manoj</v>
      </c>
      <c r="H289" s="8" t="str">
        <f>IFERROR(VLOOKUP(VLOOKUP(A289,'[1]Sales Order'!A:C,3,FALSE),[1]Employee!A:E,5,FALSE)&amp;" "&amp;VLOOKUP(VLOOKUP(A289,'[1]Sales Order'!A:C,3,FALSE),[1]Employee!A:C,3,FALSE)&amp;" "&amp;VLOOKUP(VLOOKUP(A289,'[1]Sales Order'!A:C,3,FALSE),[1]Employee!A:B,2,FALSE),"Not Specified")</f>
        <v>Mr. Paul Suurs</v>
      </c>
      <c r="I289">
        <f>IFERROR(VLOOKUP(VLOOKUP(A289,'[1]Sales Order'!A:C,3,FALSE),[1]Employee!A:J,10,FALSE),"Not Specified")</f>
        <v>0</v>
      </c>
      <c r="J289" t="str">
        <f>VLOOKUP(B289,[1]Product!A:B,2,FALSE)</f>
        <v>Product YYWRT</v>
      </c>
      <c r="K289" t="str">
        <f>VLOOKUP(VLOOKUP(B289,[1]Product!A:D,4,FALSE),[1]Category!A:B,2,FALSE)</f>
        <v>Meat/Poultry</v>
      </c>
      <c r="L289" s="10">
        <f>IFERROR(VLOOKUP(A289,'[1]Sales Order'!A:D,4,FALSE),"")</f>
        <v>39039</v>
      </c>
      <c r="M289" s="10">
        <f>IFERROR(VLOOKUP(A289,'[1]Sales Order'!A:F,6,FALSE),"")</f>
        <v>39048</v>
      </c>
      <c r="N289" t="str">
        <f>IFERROR(VLOOKUP(VLOOKUP(A289,'[1]Sales Order'!A:G,7,FALSE),[1]Shipper!A:B,2,FALSE),"Not Specified")</f>
        <v>Shipper ETYNR</v>
      </c>
      <c r="O289" t="str">
        <f>IFERROR(VLOOKUP(A289,'[1]Sales Order'!A:I,9,FALSE),"Not Specified")</f>
        <v>Ship to 86-A</v>
      </c>
      <c r="P289" t="str">
        <f>IFERROR(VLOOKUP(A289,'[1]Sales Order'!A:N,14,FALSE),"Not Specified")</f>
        <v>Germany</v>
      </c>
      <c r="Q289" t="str">
        <f>VLOOKUP(VLOOKUP(B289,[1]Product!A:C,3,FALSE),[1]Supplier!A:B,2,FALSE)</f>
        <v>Supplier ERVYZ</v>
      </c>
      <c r="R289" t="str">
        <f>VLOOKUP(VLOOKUP(B289,[1]Product!A:C,3,FALSE),[1]Supplier!A:I,9,FALSE)</f>
        <v>Canada</v>
      </c>
      <c r="S289" t="str">
        <f>IFERROR(IF(VLOOKUP(A289,'[1]Sales Order'!A:H,8,FALSE)&gt;100,"High Freight","Low Freight"),"Not Specified")</f>
        <v>Low Freight</v>
      </c>
      <c r="T289">
        <f t="shared" si="9"/>
        <v>230.39999999999998</v>
      </c>
    </row>
    <row r="290" spans="1:20">
      <c r="A290" s="1">
        <v>10356</v>
      </c>
      <c r="B290" s="2">
        <v>69</v>
      </c>
      <c r="C290" s="2">
        <v>28.8</v>
      </c>
      <c r="D290" s="2">
        <v>20</v>
      </c>
      <c r="E290" s="3">
        <v>0</v>
      </c>
      <c r="F290" s="2" t="str">
        <f>IFERROR(VLOOKUP(VLOOKUP(A290,'[1]Sales Order'!A:B,2,FALSE),[1]Customer!A:C,3,FALSE),"Not Specified")</f>
        <v>Syamala, Manoj</v>
      </c>
      <c r="G290" s="2" t="str">
        <f t="shared" si="8"/>
        <v>Syamala Manoj</v>
      </c>
      <c r="H290" s="8" t="str">
        <f>IFERROR(VLOOKUP(VLOOKUP(A290,'[1]Sales Order'!A:C,3,FALSE),[1]Employee!A:E,5,FALSE)&amp;" "&amp;VLOOKUP(VLOOKUP(A290,'[1]Sales Order'!A:C,3,FALSE),[1]Employee!A:C,3,FALSE)&amp;" "&amp;VLOOKUP(VLOOKUP(A290,'[1]Sales Order'!A:C,3,FALSE),[1]Employee!A:B,2,FALSE),"Not Specified")</f>
        <v>Mr. Paul Suurs</v>
      </c>
      <c r="I290">
        <f>IFERROR(VLOOKUP(VLOOKUP(A290,'[1]Sales Order'!A:C,3,FALSE),[1]Employee!A:J,10,FALSE),"Not Specified")</f>
        <v>0</v>
      </c>
      <c r="J290" t="str">
        <f>VLOOKUP(B290,[1]Product!A:B,2,FALSE)</f>
        <v>Product COAXA</v>
      </c>
      <c r="K290" t="str">
        <f>VLOOKUP(VLOOKUP(B290,[1]Product!A:D,4,FALSE),[1]Category!A:B,2,FALSE)</f>
        <v>Dairy Product</v>
      </c>
      <c r="L290" s="10">
        <f>IFERROR(VLOOKUP(A290,'[1]Sales Order'!A:D,4,FALSE),"")</f>
        <v>39039</v>
      </c>
      <c r="M290" s="10">
        <f>IFERROR(VLOOKUP(A290,'[1]Sales Order'!A:F,6,FALSE),"")</f>
        <v>39048</v>
      </c>
      <c r="N290" t="str">
        <f>IFERROR(VLOOKUP(VLOOKUP(A290,'[1]Sales Order'!A:G,7,FALSE),[1]Shipper!A:B,2,FALSE),"Not Specified")</f>
        <v>Shipper ETYNR</v>
      </c>
      <c r="O290" t="str">
        <f>IFERROR(VLOOKUP(A290,'[1]Sales Order'!A:I,9,FALSE),"Not Specified")</f>
        <v>Ship to 86-A</v>
      </c>
      <c r="P290" t="str">
        <f>IFERROR(VLOOKUP(A290,'[1]Sales Order'!A:N,14,FALSE),"Not Specified")</f>
        <v>Germany</v>
      </c>
      <c r="Q290" t="str">
        <f>VLOOKUP(VLOOKUP(B290,[1]Product!A:C,3,FALSE),[1]Supplier!A:B,2,FALSE)</f>
        <v>Supplier NZLIF</v>
      </c>
      <c r="R290" t="str">
        <f>VLOOKUP(VLOOKUP(B290,[1]Product!A:C,3,FALSE),[1]Supplier!A:I,9,FALSE)</f>
        <v>Norway</v>
      </c>
      <c r="S290" t="str">
        <f>IFERROR(IF(VLOOKUP(A290,'[1]Sales Order'!A:H,8,FALSE)&gt;100,"High Freight","Low Freight"),"Not Specified")</f>
        <v>Low Freight</v>
      </c>
      <c r="T290">
        <f t="shared" si="9"/>
        <v>576</v>
      </c>
    </row>
    <row r="291" spans="1:20">
      <c r="A291" s="1">
        <v>10357</v>
      </c>
      <c r="B291" s="2">
        <v>10</v>
      </c>
      <c r="C291" s="2">
        <v>24.8</v>
      </c>
      <c r="D291" s="2">
        <v>30</v>
      </c>
      <c r="E291" s="3">
        <v>0.2</v>
      </c>
      <c r="F291" s="2" t="str">
        <f>IFERROR(VLOOKUP(VLOOKUP(A291,'[1]Sales Order'!A:B,2,FALSE),[1]Customer!A:C,3,FALSE),"Not Specified")</f>
        <v>Dressler, Marlies</v>
      </c>
      <c r="G291" s="2" t="str">
        <f t="shared" si="8"/>
        <v>Dressler Marlies</v>
      </c>
      <c r="H291" s="8" t="str">
        <f>IFERROR(VLOOKUP(VLOOKUP(A291,'[1]Sales Order'!A:C,3,FALSE),[1]Employee!A:E,5,FALSE)&amp;" "&amp;VLOOKUP(VLOOKUP(A291,'[1]Sales Order'!A:C,3,FALSE),[1]Employee!A:C,3,FALSE)&amp;" "&amp;VLOOKUP(VLOOKUP(A291,'[1]Sales Order'!A:C,3,FALSE),[1]Employee!A:B,2,FALSE),"Not Specified")</f>
        <v>Ms. Sara Davis</v>
      </c>
      <c r="I291" t="str">
        <f>IFERROR(VLOOKUP(VLOOKUP(A291,'[1]Sales Order'!A:C,3,FALSE),[1]Employee!A:J,10,FALSE),"Not Specified")</f>
        <v>WA</v>
      </c>
      <c r="J291" t="str">
        <f>VLOOKUP(B291,[1]Product!A:B,2,FALSE)</f>
        <v>Product YHXGE</v>
      </c>
      <c r="K291" t="str">
        <f>VLOOKUP(VLOOKUP(B291,[1]Product!A:D,4,FALSE),[1]Category!A:B,2,FALSE)</f>
        <v>Seafood</v>
      </c>
      <c r="L291" s="10">
        <f>IFERROR(VLOOKUP(A291,'[1]Sales Order'!A:D,4,FALSE),"")</f>
        <v>39040</v>
      </c>
      <c r="M291" s="10">
        <f>IFERROR(VLOOKUP(A291,'[1]Sales Order'!A:F,6,FALSE),"")</f>
        <v>39053</v>
      </c>
      <c r="N291" t="str">
        <f>IFERROR(VLOOKUP(VLOOKUP(A291,'[1]Sales Order'!A:G,7,FALSE),[1]Shipper!A:B,2,FALSE),"Not Specified")</f>
        <v>Shipper ZHISN</v>
      </c>
      <c r="O291" t="str">
        <f>IFERROR(VLOOKUP(A291,'[1]Sales Order'!A:I,9,FALSE),"Not Specified")</f>
        <v>Ship to 46-B</v>
      </c>
      <c r="P291" t="str">
        <f>IFERROR(VLOOKUP(A291,'[1]Sales Order'!A:N,14,FALSE),"Not Specified")</f>
        <v>Venezuela</v>
      </c>
      <c r="Q291" t="str">
        <f>VLOOKUP(VLOOKUP(B291,[1]Product!A:C,3,FALSE),[1]Supplier!A:B,2,FALSE)</f>
        <v>Supplier QOVFD</v>
      </c>
      <c r="R291" t="str">
        <f>VLOOKUP(VLOOKUP(B291,[1]Product!A:C,3,FALSE),[1]Supplier!A:I,9,FALSE)</f>
        <v>Japan</v>
      </c>
      <c r="S291" t="str">
        <f>IFERROR(IF(VLOOKUP(A291,'[1]Sales Order'!A:H,8,FALSE)&gt;100,"High Freight","Low Freight"),"Not Specified")</f>
        <v>Low Freight</v>
      </c>
      <c r="T291">
        <f t="shared" si="9"/>
        <v>595.20000000000005</v>
      </c>
    </row>
    <row r="292" spans="1:20">
      <c r="A292" s="1">
        <v>10357</v>
      </c>
      <c r="B292" s="2">
        <v>26</v>
      </c>
      <c r="C292" s="2">
        <v>24.9</v>
      </c>
      <c r="D292" s="2">
        <v>16</v>
      </c>
      <c r="E292" s="3">
        <v>0</v>
      </c>
      <c r="F292" s="2" t="str">
        <f>IFERROR(VLOOKUP(VLOOKUP(A292,'[1]Sales Order'!A:B,2,FALSE),[1]Customer!A:C,3,FALSE),"Not Specified")</f>
        <v>Dressler, Marlies</v>
      </c>
      <c r="G292" s="2" t="str">
        <f t="shared" si="8"/>
        <v>Dressler Marlies</v>
      </c>
      <c r="H292" s="8" t="str">
        <f>IFERROR(VLOOKUP(VLOOKUP(A292,'[1]Sales Order'!A:C,3,FALSE),[1]Employee!A:E,5,FALSE)&amp;" "&amp;VLOOKUP(VLOOKUP(A292,'[1]Sales Order'!A:C,3,FALSE),[1]Employee!A:C,3,FALSE)&amp;" "&amp;VLOOKUP(VLOOKUP(A292,'[1]Sales Order'!A:C,3,FALSE),[1]Employee!A:B,2,FALSE),"Not Specified")</f>
        <v>Ms. Sara Davis</v>
      </c>
      <c r="I292" t="str">
        <f>IFERROR(VLOOKUP(VLOOKUP(A292,'[1]Sales Order'!A:C,3,FALSE),[1]Employee!A:J,10,FALSE),"Not Specified")</f>
        <v>WA</v>
      </c>
      <c r="J292" t="str">
        <f>VLOOKUP(B292,[1]Product!A:B,2,FALSE)</f>
        <v>Product HLGZA</v>
      </c>
      <c r="K292" t="str">
        <f>VLOOKUP(VLOOKUP(B292,[1]Product!A:D,4,FALSE),[1]Category!A:B,2,FALSE)</f>
        <v>Confections</v>
      </c>
      <c r="L292" s="10">
        <f>IFERROR(VLOOKUP(A292,'[1]Sales Order'!A:D,4,FALSE),"")</f>
        <v>39040</v>
      </c>
      <c r="M292" s="10">
        <f>IFERROR(VLOOKUP(A292,'[1]Sales Order'!A:F,6,FALSE),"")</f>
        <v>39053</v>
      </c>
      <c r="N292" t="str">
        <f>IFERROR(VLOOKUP(VLOOKUP(A292,'[1]Sales Order'!A:G,7,FALSE),[1]Shipper!A:B,2,FALSE),"Not Specified")</f>
        <v>Shipper ZHISN</v>
      </c>
      <c r="O292" t="str">
        <f>IFERROR(VLOOKUP(A292,'[1]Sales Order'!A:I,9,FALSE),"Not Specified")</f>
        <v>Ship to 46-B</v>
      </c>
      <c r="P292" t="str">
        <f>IFERROR(VLOOKUP(A292,'[1]Sales Order'!A:N,14,FALSE),"Not Specified")</f>
        <v>Venezuela</v>
      </c>
      <c r="Q292" t="str">
        <f>VLOOKUP(VLOOKUP(B292,[1]Product!A:C,3,FALSE),[1]Supplier!A:B,2,FALSE)</f>
        <v>Supplier ZPYVS</v>
      </c>
      <c r="R292" t="str">
        <f>VLOOKUP(VLOOKUP(B292,[1]Product!A:C,3,FALSE),[1]Supplier!A:I,9,FALSE)</f>
        <v>Germany</v>
      </c>
      <c r="S292" t="str">
        <f>IFERROR(IF(VLOOKUP(A292,'[1]Sales Order'!A:H,8,FALSE)&gt;100,"High Freight","Low Freight"),"Not Specified")</f>
        <v>Low Freight</v>
      </c>
      <c r="T292">
        <f t="shared" si="9"/>
        <v>398.4</v>
      </c>
    </row>
    <row r="293" spans="1:20">
      <c r="A293" s="1">
        <v>10357</v>
      </c>
      <c r="B293" s="2">
        <v>60</v>
      </c>
      <c r="C293" s="2">
        <v>27.2</v>
      </c>
      <c r="D293" s="2">
        <v>8</v>
      </c>
      <c r="E293" s="3">
        <v>0.2</v>
      </c>
      <c r="F293" s="2" t="str">
        <f>IFERROR(VLOOKUP(VLOOKUP(A293,'[1]Sales Order'!A:B,2,FALSE),[1]Customer!A:C,3,FALSE),"Not Specified")</f>
        <v>Dressler, Marlies</v>
      </c>
      <c r="G293" s="2" t="str">
        <f t="shared" si="8"/>
        <v>Dressler Marlies</v>
      </c>
      <c r="H293" s="8" t="str">
        <f>IFERROR(VLOOKUP(VLOOKUP(A293,'[1]Sales Order'!A:C,3,FALSE),[1]Employee!A:E,5,FALSE)&amp;" "&amp;VLOOKUP(VLOOKUP(A293,'[1]Sales Order'!A:C,3,FALSE),[1]Employee!A:C,3,FALSE)&amp;" "&amp;VLOOKUP(VLOOKUP(A293,'[1]Sales Order'!A:C,3,FALSE),[1]Employee!A:B,2,FALSE),"Not Specified")</f>
        <v>Ms. Sara Davis</v>
      </c>
      <c r="I293" t="str">
        <f>IFERROR(VLOOKUP(VLOOKUP(A293,'[1]Sales Order'!A:C,3,FALSE),[1]Employee!A:J,10,FALSE),"Not Specified")</f>
        <v>WA</v>
      </c>
      <c r="J293" t="str">
        <f>VLOOKUP(B293,[1]Product!A:B,2,FALSE)</f>
        <v>Product WHBYK</v>
      </c>
      <c r="K293" t="str">
        <f>VLOOKUP(VLOOKUP(B293,[1]Product!A:D,4,FALSE),[1]Category!A:B,2,FALSE)</f>
        <v>Dairy Product</v>
      </c>
      <c r="L293" s="10">
        <f>IFERROR(VLOOKUP(A293,'[1]Sales Order'!A:D,4,FALSE),"")</f>
        <v>39040</v>
      </c>
      <c r="M293" s="10">
        <f>IFERROR(VLOOKUP(A293,'[1]Sales Order'!A:F,6,FALSE),"")</f>
        <v>39053</v>
      </c>
      <c r="N293" t="str">
        <f>IFERROR(VLOOKUP(VLOOKUP(A293,'[1]Sales Order'!A:G,7,FALSE),[1]Shipper!A:B,2,FALSE),"Not Specified")</f>
        <v>Shipper ZHISN</v>
      </c>
      <c r="O293" t="str">
        <f>IFERROR(VLOOKUP(A293,'[1]Sales Order'!A:I,9,FALSE),"Not Specified")</f>
        <v>Ship to 46-B</v>
      </c>
      <c r="P293" t="str">
        <f>IFERROR(VLOOKUP(A293,'[1]Sales Order'!A:N,14,FALSE),"Not Specified")</f>
        <v>Venezuela</v>
      </c>
      <c r="Q293" t="str">
        <f>VLOOKUP(VLOOKUP(B293,[1]Product!A:C,3,FALSE),[1]Supplier!A:B,2,FALSE)</f>
        <v>Supplier OAVQT</v>
      </c>
      <c r="R293" t="str">
        <f>VLOOKUP(VLOOKUP(B293,[1]Product!A:C,3,FALSE),[1]Supplier!A:I,9,FALSE)</f>
        <v>France</v>
      </c>
      <c r="S293" t="str">
        <f>IFERROR(IF(VLOOKUP(A293,'[1]Sales Order'!A:H,8,FALSE)&gt;100,"High Freight","Low Freight"),"Not Specified")</f>
        <v>Low Freight</v>
      </c>
      <c r="T293">
        <f t="shared" si="9"/>
        <v>174.08</v>
      </c>
    </row>
    <row r="294" spans="1:20">
      <c r="A294" s="1">
        <v>10358</v>
      </c>
      <c r="B294" s="2">
        <v>24</v>
      </c>
      <c r="C294" s="2">
        <v>3.6</v>
      </c>
      <c r="D294" s="2">
        <v>10</v>
      </c>
      <c r="E294" s="3">
        <v>0.05</v>
      </c>
      <c r="F294" s="2" t="str">
        <f>IFERROR(VLOOKUP(VLOOKUP(A294,'[1]Sales Order'!A:B,2,FALSE),[1]Customer!A:C,3,FALSE),"Not Specified")</f>
        <v>Litton, Tim</v>
      </c>
      <c r="G294" s="2" t="str">
        <f t="shared" si="8"/>
        <v>Litton Tim</v>
      </c>
      <c r="H294" s="8" t="str">
        <f>IFERROR(VLOOKUP(VLOOKUP(A294,'[1]Sales Order'!A:C,3,FALSE),[1]Employee!A:E,5,FALSE)&amp;" "&amp;VLOOKUP(VLOOKUP(A294,'[1]Sales Order'!A:C,3,FALSE),[1]Employee!A:C,3,FALSE)&amp;" "&amp;VLOOKUP(VLOOKUP(A294,'[1]Sales Order'!A:C,3,FALSE),[1]Employee!A:B,2,FALSE),"Not Specified")</f>
        <v>Mr. Sven Buck</v>
      </c>
      <c r="I294">
        <f>IFERROR(VLOOKUP(VLOOKUP(A294,'[1]Sales Order'!A:C,3,FALSE),[1]Employee!A:J,10,FALSE),"Not Specified")</f>
        <v>0</v>
      </c>
      <c r="J294" t="str">
        <f>VLOOKUP(B294,[1]Product!A:B,2,FALSE)</f>
        <v>Product QOGNU</v>
      </c>
      <c r="K294" t="str">
        <f>VLOOKUP(VLOOKUP(B294,[1]Product!A:D,4,FALSE),[1]Category!A:B,2,FALSE)</f>
        <v>Beverages</v>
      </c>
      <c r="L294" s="10">
        <f>IFERROR(VLOOKUP(A294,'[1]Sales Order'!A:D,4,FALSE),"")</f>
        <v>39041</v>
      </c>
      <c r="M294" s="10">
        <f>IFERROR(VLOOKUP(A294,'[1]Sales Order'!A:F,6,FALSE),"")</f>
        <v>39048</v>
      </c>
      <c r="N294" t="str">
        <f>IFERROR(VLOOKUP(VLOOKUP(A294,'[1]Sales Order'!A:G,7,FALSE),[1]Shipper!A:B,2,FALSE),"Not Specified")</f>
        <v>Shipper GVSUA</v>
      </c>
      <c r="O294" t="str">
        <f>IFERROR(VLOOKUP(A294,'[1]Sales Order'!A:I,9,FALSE),"Not Specified")</f>
        <v>Ship to 41-C</v>
      </c>
      <c r="P294" t="str">
        <f>IFERROR(VLOOKUP(A294,'[1]Sales Order'!A:N,14,FALSE),"Not Specified")</f>
        <v>France</v>
      </c>
      <c r="Q294" t="str">
        <f>VLOOKUP(VLOOKUP(B294,[1]Product!A:C,3,FALSE),[1]Supplier!A:B,2,FALSE)</f>
        <v>Supplier UNAHG</v>
      </c>
      <c r="R294" t="str">
        <f>VLOOKUP(VLOOKUP(B294,[1]Product!A:C,3,FALSE),[1]Supplier!A:I,9,FALSE)</f>
        <v>Brazil</v>
      </c>
      <c r="S294" t="str">
        <f>IFERROR(IF(VLOOKUP(A294,'[1]Sales Order'!A:H,8,FALSE)&gt;100,"High Freight","Low Freight"),"Not Specified")</f>
        <v>Low Freight</v>
      </c>
      <c r="T294">
        <f t="shared" si="9"/>
        <v>34.199999999999996</v>
      </c>
    </row>
    <row r="295" spans="1:20">
      <c r="A295" s="1">
        <v>10358</v>
      </c>
      <c r="B295" s="2">
        <v>34</v>
      </c>
      <c r="C295" s="2">
        <v>11.2</v>
      </c>
      <c r="D295" s="2">
        <v>10</v>
      </c>
      <c r="E295" s="3">
        <v>0.05</v>
      </c>
      <c r="F295" s="2" t="str">
        <f>IFERROR(VLOOKUP(VLOOKUP(A295,'[1]Sales Order'!A:B,2,FALSE),[1]Customer!A:C,3,FALSE),"Not Specified")</f>
        <v>Litton, Tim</v>
      </c>
      <c r="G295" s="2" t="str">
        <f t="shared" si="8"/>
        <v>Litton Tim</v>
      </c>
      <c r="H295" s="8" t="str">
        <f>IFERROR(VLOOKUP(VLOOKUP(A295,'[1]Sales Order'!A:C,3,FALSE),[1]Employee!A:E,5,FALSE)&amp;" "&amp;VLOOKUP(VLOOKUP(A295,'[1]Sales Order'!A:C,3,FALSE),[1]Employee!A:C,3,FALSE)&amp;" "&amp;VLOOKUP(VLOOKUP(A295,'[1]Sales Order'!A:C,3,FALSE),[1]Employee!A:B,2,FALSE),"Not Specified")</f>
        <v>Mr. Sven Buck</v>
      </c>
      <c r="I295">
        <f>IFERROR(VLOOKUP(VLOOKUP(A295,'[1]Sales Order'!A:C,3,FALSE),[1]Employee!A:J,10,FALSE),"Not Specified")</f>
        <v>0</v>
      </c>
      <c r="J295" t="str">
        <f>VLOOKUP(B295,[1]Product!A:B,2,FALSE)</f>
        <v>Product SWNJY</v>
      </c>
      <c r="K295" t="str">
        <f>VLOOKUP(VLOOKUP(B295,[1]Product!A:D,4,FALSE),[1]Category!A:B,2,FALSE)</f>
        <v>Beverages</v>
      </c>
      <c r="L295" s="10">
        <f>IFERROR(VLOOKUP(A295,'[1]Sales Order'!A:D,4,FALSE),"")</f>
        <v>39041</v>
      </c>
      <c r="M295" s="10">
        <f>IFERROR(VLOOKUP(A295,'[1]Sales Order'!A:F,6,FALSE),"")</f>
        <v>39048</v>
      </c>
      <c r="N295" t="str">
        <f>IFERROR(VLOOKUP(VLOOKUP(A295,'[1]Sales Order'!A:G,7,FALSE),[1]Shipper!A:B,2,FALSE),"Not Specified")</f>
        <v>Shipper GVSUA</v>
      </c>
      <c r="O295" t="str">
        <f>IFERROR(VLOOKUP(A295,'[1]Sales Order'!A:I,9,FALSE),"Not Specified")</f>
        <v>Ship to 41-C</v>
      </c>
      <c r="P295" t="str">
        <f>IFERROR(VLOOKUP(A295,'[1]Sales Order'!A:N,14,FALSE),"Not Specified")</f>
        <v>France</v>
      </c>
      <c r="Q295" t="str">
        <f>VLOOKUP(VLOOKUP(B295,[1]Product!A:C,3,FALSE),[1]Supplier!A:B,2,FALSE)</f>
        <v>Supplier UHZRG</v>
      </c>
      <c r="R295" t="str">
        <f>VLOOKUP(VLOOKUP(B295,[1]Product!A:C,3,FALSE),[1]Supplier!A:I,9,FALSE)</f>
        <v>USA</v>
      </c>
      <c r="S295" t="str">
        <f>IFERROR(IF(VLOOKUP(A295,'[1]Sales Order'!A:H,8,FALSE)&gt;100,"High Freight","Low Freight"),"Not Specified")</f>
        <v>Low Freight</v>
      </c>
      <c r="T295">
        <f t="shared" si="9"/>
        <v>106.39999999999999</v>
      </c>
    </row>
    <row r="296" spans="1:20">
      <c r="A296" s="1">
        <v>10358</v>
      </c>
      <c r="B296" s="2">
        <v>36</v>
      </c>
      <c r="C296" s="2">
        <v>15.2</v>
      </c>
      <c r="D296" s="2">
        <v>20</v>
      </c>
      <c r="E296" s="3">
        <v>0.05</v>
      </c>
      <c r="F296" s="2" t="str">
        <f>IFERROR(VLOOKUP(VLOOKUP(A296,'[1]Sales Order'!A:B,2,FALSE),[1]Customer!A:C,3,FALSE),"Not Specified")</f>
        <v>Litton, Tim</v>
      </c>
      <c r="G296" s="2" t="str">
        <f t="shared" si="8"/>
        <v>Litton Tim</v>
      </c>
      <c r="H296" s="8" t="str">
        <f>IFERROR(VLOOKUP(VLOOKUP(A296,'[1]Sales Order'!A:C,3,FALSE),[1]Employee!A:E,5,FALSE)&amp;" "&amp;VLOOKUP(VLOOKUP(A296,'[1]Sales Order'!A:C,3,FALSE),[1]Employee!A:C,3,FALSE)&amp;" "&amp;VLOOKUP(VLOOKUP(A296,'[1]Sales Order'!A:C,3,FALSE),[1]Employee!A:B,2,FALSE),"Not Specified")</f>
        <v>Mr. Sven Buck</v>
      </c>
      <c r="I296">
        <f>IFERROR(VLOOKUP(VLOOKUP(A296,'[1]Sales Order'!A:C,3,FALSE),[1]Employee!A:J,10,FALSE),"Not Specified")</f>
        <v>0</v>
      </c>
      <c r="J296" t="str">
        <f>VLOOKUP(B296,[1]Product!A:B,2,FALSE)</f>
        <v>Product GMKIJ</v>
      </c>
      <c r="K296" t="str">
        <f>VLOOKUP(VLOOKUP(B296,[1]Product!A:D,4,FALSE),[1]Category!A:B,2,FALSE)</f>
        <v>Seafood</v>
      </c>
      <c r="L296" s="10">
        <f>IFERROR(VLOOKUP(A296,'[1]Sales Order'!A:D,4,FALSE),"")</f>
        <v>39041</v>
      </c>
      <c r="M296" s="10">
        <f>IFERROR(VLOOKUP(A296,'[1]Sales Order'!A:F,6,FALSE),"")</f>
        <v>39048</v>
      </c>
      <c r="N296" t="str">
        <f>IFERROR(VLOOKUP(VLOOKUP(A296,'[1]Sales Order'!A:G,7,FALSE),[1]Shipper!A:B,2,FALSE),"Not Specified")</f>
        <v>Shipper GVSUA</v>
      </c>
      <c r="O296" t="str">
        <f>IFERROR(VLOOKUP(A296,'[1]Sales Order'!A:I,9,FALSE),"Not Specified")</f>
        <v>Ship to 41-C</v>
      </c>
      <c r="P296" t="str">
        <f>IFERROR(VLOOKUP(A296,'[1]Sales Order'!A:N,14,FALSE),"Not Specified")</f>
        <v>France</v>
      </c>
      <c r="Q296" t="str">
        <f>VLOOKUP(VLOOKUP(B296,[1]Product!A:C,3,FALSE),[1]Supplier!A:B,2,FALSE)</f>
        <v>Supplier QZGUF</v>
      </c>
      <c r="R296" t="str">
        <f>VLOOKUP(VLOOKUP(B296,[1]Product!A:C,3,FALSE),[1]Supplier!A:I,9,FALSE)</f>
        <v>Sweden</v>
      </c>
      <c r="S296" t="str">
        <f>IFERROR(IF(VLOOKUP(A296,'[1]Sales Order'!A:H,8,FALSE)&gt;100,"High Freight","Low Freight"),"Not Specified")</f>
        <v>Low Freight</v>
      </c>
      <c r="T296">
        <f t="shared" si="9"/>
        <v>288.8</v>
      </c>
    </row>
    <row r="297" spans="1:20">
      <c r="A297" s="1">
        <v>10359</v>
      </c>
      <c r="B297" s="2">
        <v>16</v>
      </c>
      <c r="C297" s="2">
        <v>13.9</v>
      </c>
      <c r="D297" s="2">
        <v>56</v>
      </c>
      <c r="E297" s="3">
        <v>0.05</v>
      </c>
      <c r="F297" s="2" t="str">
        <f>IFERROR(VLOOKUP(VLOOKUP(A297,'[1]Sales Order'!A:B,2,FALSE),[1]Customer!A:C,3,FALSE),"Not Specified")</f>
        <v>Welcker, Brian</v>
      </c>
      <c r="G297" s="2" t="str">
        <f t="shared" si="8"/>
        <v>Welcker Brian</v>
      </c>
      <c r="H297" s="8" t="str">
        <f>IFERROR(VLOOKUP(VLOOKUP(A297,'[1]Sales Order'!A:C,3,FALSE),[1]Employee!A:E,5,FALSE)&amp;" "&amp;VLOOKUP(VLOOKUP(A297,'[1]Sales Order'!A:C,3,FALSE),[1]Employee!A:C,3,FALSE)&amp;" "&amp;VLOOKUP(VLOOKUP(A297,'[1]Sales Order'!A:C,3,FALSE),[1]Employee!A:B,2,FALSE),"Not Specified")</f>
        <v>Mr. Sven Buck</v>
      </c>
      <c r="I297">
        <f>IFERROR(VLOOKUP(VLOOKUP(A297,'[1]Sales Order'!A:C,3,FALSE),[1]Employee!A:J,10,FALSE),"Not Specified")</f>
        <v>0</v>
      </c>
      <c r="J297" t="str">
        <f>VLOOKUP(B297,[1]Product!A:B,2,FALSE)</f>
        <v>Product PAFRH</v>
      </c>
      <c r="K297" t="str">
        <f>VLOOKUP(VLOOKUP(B297,[1]Product!A:D,4,FALSE),[1]Category!A:B,2,FALSE)</f>
        <v>Confections</v>
      </c>
      <c r="L297" s="10">
        <f>IFERROR(VLOOKUP(A297,'[1]Sales Order'!A:D,4,FALSE),"")</f>
        <v>39042</v>
      </c>
      <c r="M297" s="10">
        <f>IFERROR(VLOOKUP(A297,'[1]Sales Order'!A:F,6,FALSE),"")</f>
        <v>39047</v>
      </c>
      <c r="N297" t="str">
        <f>IFERROR(VLOOKUP(VLOOKUP(A297,'[1]Sales Order'!A:G,7,FALSE),[1]Shipper!A:B,2,FALSE),"Not Specified")</f>
        <v>Shipper ZHISN</v>
      </c>
      <c r="O297" t="str">
        <f>IFERROR(VLOOKUP(A297,'[1]Sales Order'!A:I,9,FALSE),"Not Specified")</f>
        <v>Ship to 72-C</v>
      </c>
      <c r="P297" t="str">
        <f>IFERROR(VLOOKUP(A297,'[1]Sales Order'!A:N,14,FALSE),"Not Specified")</f>
        <v>UK</v>
      </c>
      <c r="Q297" t="str">
        <f>VLOOKUP(VLOOKUP(B297,[1]Product!A:C,3,FALSE),[1]Supplier!A:B,2,FALSE)</f>
        <v>Supplier GQRCV</v>
      </c>
      <c r="R297" t="str">
        <f>VLOOKUP(VLOOKUP(B297,[1]Product!A:C,3,FALSE),[1]Supplier!A:I,9,FALSE)</f>
        <v>Australia</v>
      </c>
      <c r="S297" t="str">
        <f>IFERROR(IF(VLOOKUP(A297,'[1]Sales Order'!A:H,8,FALSE)&gt;100,"High Freight","Low Freight"),"Not Specified")</f>
        <v>High Freight</v>
      </c>
      <c r="T297">
        <f t="shared" si="9"/>
        <v>739.4799999999999</v>
      </c>
    </row>
    <row r="298" spans="1:20">
      <c r="A298" s="1">
        <v>10359</v>
      </c>
      <c r="B298" s="2">
        <v>31</v>
      </c>
      <c r="C298" s="2">
        <v>10</v>
      </c>
      <c r="D298" s="2">
        <v>70</v>
      </c>
      <c r="E298" s="3">
        <v>0.05</v>
      </c>
      <c r="F298" s="2" t="str">
        <f>IFERROR(VLOOKUP(VLOOKUP(A298,'[1]Sales Order'!A:B,2,FALSE),[1]Customer!A:C,3,FALSE),"Not Specified")</f>
        <v>Welcker, Brian</v>
      </c>
      <c r="G298" s="2" t="str">
        <f t="shared" si="8"/>
        <v>Welcker Brian</v>
      </c>
      <c r="H298" s="8" t="str">
        <f>IFERROR(VLOOKUP(VLOOKUP(A298,'[1]Sales Order'!A:C,3,FALSE),[1]Employee!A:E,5,FALSE)&amp;" "&amp;VLOOKUP(VLOOKUP(A298,'[1]Sales Order'!A:C,3,FALSE),[1]Employee!A:C,3,FALSE)&amp;" "&amp;VLOOKUP(VLOOKUP(A298,'[1]Sales Order'!A:C,3,FALSE),[1]Employee!A:B,2,FALSE),"Not Specified")</f>
        <v>Mr. Sven Buck</v>
      </c>
      <c r="I298">
        <f>IFERROR(VLOOKUP(VLOOKUP(A298,'[1]Sales Order'!A:C,3,FALSE),[1]Employee!A:J,10,FALSE),"Not Specified")</f>
        <v>0</v>
      </c>
      <c r="J298" t="str">
        <f>VLOOKUP(B298,[1]Product!A:B,2,FALSE)</f>
        <v>Product XWOXC</v>
      </c>
      <c r="K298" t="str">
        <f>VLOOKUP(VLOOKUP(B298,[1]Product!A:D,4,FALSE),[1]Category!A:B,2,FALSE)</f>
        <v>Dairy Product</v>
      </c>
      <c r="L298" s="10">
        <f>IFERROR(VLOOKUP(A298,'[1]Sales Order'!A:D,4,FALSE),"")</f>
        <v>39042</v>
      </c>
      <c r="M298" s="10">
        <f>IFERROR(VLOOKUP(A298,'[1]Sales Order'!A:F,6,FALSE),"")</f>
        <v>39047</v>
      </c>
      <c r="N298" t="str">
        <f>IFERROR(VLOOKUP(VLOOKUP(A298,'[1]Sales Order'!A:G,7,FALSE),[1]Shipper!A:B,2,FALSE),"Not Specified")</f>
        <v>Shipper ZHISN</v>
      </c>
      <c r="O298" t="str">
        <f>IFERROR(VLOOKUP(A298,'[1]Sales Order'!A:I,9,FALSE),"Not Specified")</f>
        <v>Ship to 72-C</v>
      </c>
      <c r="P298" t="str">
        <f>IFERROR(VLOOKUP(A298,'[1]Sales Order'!A:N,14,FALSE),"Not Specified")</f>
        <v>UK</v>
      </c>
      <c r="Q298" t="str">
        <f>VLOOKUP(VLOOKUP(B298,[1]Product!A:C,3,FALSE),[1]Supplier!A:B,2,FALSE)</f>
        <v>Supplier KEREV</v>
      </c>
      <c r="R298" t="str">
        <f>VLOOKUP(VLOOKUP(B298,[1]Product!A:C,3,FALSE),[1]Supplier!A:I,9,FALSE)</f>
        <v>Italy</v>
      </c>
      <c r="S298" t="str">
        <f>IFERROR(IF(VLOOKUP(A298,'[1]Sales Order'!A:H,8,FALSE)&gt;100,"High Freight","Low Freight"),"Not Specified")</f>
        <v>High Freight</v>
      </c>
      <c r="T298">
        <f t="shared" si="9"/>
        <v>665</v>
      </c>
    </row>
    <row r="299" spans="1:20">
      <c r="A299" s="1">
        <v>10359</v>
      </c>
      <c r="B299" s="2">
        <v>60</v>
      </c>
      <c r="C299" s="2">
        <v>27.2</v>
      </c>
      <c r="D299" s="2">
        <v>80</v>
      </c>
      <c r="E299" s="3">
        <v>0.05</v>
      </c>
      <c r="F299" s="2" t="str">
        <f>IFERROR(VLOOKUP(VLOOKUP(A299,'[1]Sales Order'!A:B,2,FALSE),[1]Customer!A:C,3,FALSE),"Not Specified")</f>
        <v>Welcker, Brian</v>
      </c>
      <c r="G299" s="2" t="str">
        <f t="shared" si="8"/>
        <v>Welcker Brian</v>
      </c>
      <c r="H299" s="8" t="str">
        <f>IFERROR(VLOOKUP(VLOOKUP(A299,'[1]Sales Order'!A:C,3,FALSE),[1]Employee!A:E,5,FALSE)&amp;" "&amp;VLOOKUP(VLOOKUP(A299,'[1]Sales Order'!A:C,3,FALSE),[1]Employee!A:C,3,FALSE)&amp;" "&amp;VLOOKUP(VLOOKUP(A299,'[1]Sales Order'!A:C,3,FALSE),[1]Employee!A:B,2,FALSE),"Not Specified")</f>
        <v>Mr. Sven Buck</v>
      </c>
      <c r="I299">
        <f>IFERROR(VLOOKUP(VLOOKUP(A299,'[1]Sales Order'!A:C,3,FALSE),[1]Employee!A:J,10,FALSE),"Not Specified")</f>
        <v>0</v>
      </c>
      <c r="J299" t="str">
        <f>VLOOKUP(B299,[1]Product!A:B,2,FALSE)</f>
        <v>Product WHBYK</v>
      </c>
      <c r="K299" t="str">
        <f>VLOOKUP(VLOOKUP(B299,[1]Product!A:D,4,FALSE),[1]Category!A:B,2,FALSE)</f>
        <v>Dairy Product</v>
      </c>
      <c r="L299" s="10">
        <f>IFERROR(VLOOKUP(A299,'[1]Sales Order'!A:D,4,FALSE),"")</f>
        <v>39042</v>
      </c>
      <c r="M299" s="10">
        <f>IFERROR(VLOOKUP(A299,'[1]Sales Order'!A:F,6,FALSE),"")</f>
        <v>39047</v>
      </c>
      <c r="N299" t="str">
        <f>IFERROR(VLOOKUP(VLOOKUP(A299,'[1]Sales Order'!A:G,7,FALSE),[1]Shipper!A:B,2,FALSE),"Not Specified")</f>
        <v>Shipper ZHISN</v>
      </c>
      <c r="O299" t="str">
        <f>IFERROR(VLOOKUP(A299,'[1]Sales Order'!A:I,9,FALSE),"Not Specified")</f>
        <v>Ship to 72-C</v>
      </c>
      <c r="P299" t="str">
        <f>IFERROR(VLOOKUP(A299,'[1]Sales Order'!A:N,14,FALSE),"Not Specified")</f>
        <v>UK</v>
      </c>
      <c r="Q299" t="str">
        <f>VLOOKUP(VLOOKUP(B299,[1]Product!A:C,3,FALSE),[1]Supplier!A:B,2,FALSE)</f>
        <v>Supplier OAVQT</v>
      </c>
      <c r="R299" t="str">
        <f>VLOOKUP(VLOOKUP(B299,[1]Product!A:C,3,FALSE),[1]Supplier!A:I,9,FALSE)</f>
        <v>France</v>
      </c>
      <c r="S299" t="str">
        <f>IFERROR(IF(VLOOKUP(A299,'[1]Sales Order'!A:H,8,FALSE)&gt;100,"High Freight","Low Freight"),"Not Specified")</f>
        <v>High Freight</v>
      </c>
      <c r="T299">
        <f t="shared" si="9"/>
        <v>2067.1999999999998</v>
      </c>
    </row>
    <row r="300" spans="1:20">
      <c r="A300" s="1">
        <v>10360</v>
      </c>
      <c r="B300" s="2">
        <v>28</v>
      </c>
      <c r="C300" s="2">
        <v>36.4</v>
      </c>
      <c r="D300" s="2">
        <v>30</v>
      </c>
      <c r="E300" s="3">
        <v>0</v>
      </c>
      <c r="F300" s="2" t="str">
        <f>IFERROR(VLOOKUP(VLOOKUP(A300,'[1]Sales Order'!A:B,2,FALSE),[1]Customer!A:C,3,FALSE),"Not Specified")</f>
        <v>Bansal, Dushyant</v>
      </c>
      <c r="G300" s="2" t="str">
        <f t="shared" si="8"/>
        <v>Bansal Dushyant</v>
      </c>
      <c r="H300" s="8" t="str">
        <f>IFERROR(VLOOKUP(VLOOKUP(A300,'[1]Sales Order'!A:C,3,FALSE),[1]Employee!A:E,5,FALSE)&amp;" "&amp;VLOOKUP(VLOOKUP(A300,'[1]Sales Order'!A:C,3,FALSE),[1]Employee!A:C,3,FALSE)&amp;" "&amp;VLOOKUP(VLOOKUP(A300,'[1]Sales Order'!A:C,3,FALSE),[1]Employee!A:B,2,FALSE),"Not Specified")</f>
        <v>Mrs. Yael Peled</v>
      </c>
      <c r="I300" t="str">
        <f>IFERROR(VLOOKUP(VLOOKUP(A300,'[1]Sales Order'!A:C,3,FALSE),[1]Employee!A:J,10,FALSE),"Not Specified")</f>
        <v>WA</v>
      </c>
      <c r="J300" t="str">
        <f>VLOOKUP(B300,[1]Product!A:B,2,FALSE)</f>
        <v>Product OFBNT</v>
      </c>
      <c r="K300" t="str">
        <f>VLOOKUP(VLOOKUP(B300,[1]Product!A:D,4,FALSE),[1]Category!A:B,2,FALSE)</f>
        <v>Produce</v>
      </c>
      <c r="L300" s="10">
        <f>IFERROR(VLOOKUP(A300,'[1]Sales Order'!A:D,4,FALSE),"")</f>
        <v>39043</v>
      </c>
      <c r="M300" s="10">
        <f>IFERROR(VLOOKUP(A300,'[1]Sales Order'!A:F,6,FALSE),"")</f>
        <v>39053</v>
      </c>
      <c r="N300" t="str">
        <f>IFERROR(VLOOKUP(VLOOKUP(A300,'[1]Sales Order'!A:G,7,FALSE),[1]Shipper!A:B,2,FALSE),"Not Specified")</f>
        <v>Shipper ZHISN</v>
      </c>
      <c r="O300" t="str">
        <f>IFERROR(VLOOKUP(A300,'[1]Sales Order'!A:I,9,FALSE),"Not Specified")</f>
        <v>Ship to 7-C</v>
      </c>
      <c r="P300" t="str">
        <f>IFERROR(VLOOKUP(A300,'[1]Sales Order'!A:N,14,FALSE),"Not Specified")</f>
        <v>France</v>
      </c>
      <c r="Q300" t="str">
        <f>VLOOKUP(VLOOKUP(B300,[1]Product!A:C,3,FALSE),[1]Supplier!A:B,2,FALSE)</f>
        <v>Supplier SVIYA</v>
      </c>
      <c r="R300" t="str">
        <f>VLOOKUP(VLOOKUP(B300,[1]Product!A:C,3,FALSE),[1]Supplier!A:I,9,FALSE)</f>
        <v>Germany</v>
      </c>
      <c r="S300" t="str">
        <f>IFERROR(IF(VLOOKUP(A300,'[1]Sales Order'!A:H,8,FALSE)&gt;100,"High Freight","Low Freight"),"Not Specified")</f>
        <v>High Freight</v>
      </c>
      <c r="T300">
        <f t="shared" si="9"/>
        <v>1092</v>
      </c>
    </row>
    <row r="301" spans="1:20">
      <c r="A301" s="1">
        <v>10360</v>
      </c>
      <c r="B301" s="2">
        <v>29</v>
      </c>
      <c r="C301" s="2">
        <v>99</v>
      </c>
      <c r="D301" s="2">
        <v>35</v>
      </c>
      <c r="E301" s="3">
        <v>0</v>
      </c>
      <c r="F301" s="2" t="str">
        <f>IFERROR(VLOOKUP(VLOOKUP(A301,'[1]Sales Order'!A:B,2,FALSE),[1]Customer!A:C,3,FALSE),"Not Specified")</f>
        <v>Bansal, Dushyant</v>
      </c>
      <c r="G301" s="2" t="str">
        <f t="shared" si="8"/>
        <v>Bansal Dushyant</v>
      </c>
      <c r="H301" s="8" t="str">
        <f>IFERROR(VLOOKUP(VLOOKUP(A301,'[1]Sales Order'!A:C,3,FALSE),[1]Employee!A:E,5,FALSE)&amp;" "&amp;VLOOKUP(VLOOKUP(A301,'[1]Sales Order'!A:C,3,FALSE),[1]Employee!A:C,3,FALSE)&amp;" "&amp;VLOOKUP(VLOOKUP(A301,'[1]Sales Order'!A:C,3,FALSE),[1]Employee!A:B,2,FALSE),"Not Specified")</f>
        <v>Mrs. Yael Peled</v>
      </c>
      <c r="I301" t="str">
        <f>IFERROR(VLOOKUP(VLOOKUP(A301,'[1]Sales Order'!A:C,3,FALSE),[1]Employee!A:J,10,FALSE),"Not Specified")</f>
        <v>WA</v>
      </c>
      <c r="J301" t="str">
        <f>VLOOKUP(B301,[1]Product!A:B,2,FALSE)</f>
        <v>Product VJXYN</v>
      </c>
      <c r="K301" t="str">
        <f>VLOOKUP(VLOOKUP(B301,[1]Product!A:D,4,FALSE),[1]Category!A:B,2,FALSE)</f>
        <v>Meat/Poultry</v>
      </c>
      <c r="L301" s="10">
        <f>IFERROR(VLOOKUP(A301,'[1]Sales Order'!A:D,4,FALSE),"")</f>
        <v>39043</v>
      </c>
      <c r="M301" s="10">
        <f>IFERROR(VLOOKUP(A301,'[1]Sales Order'!A:F,6,FALSE),"")</f>
        <v>39053</v>
      </c>
      <c r="N301" t="str">
        <f>IFERROR(VLOOKUP(VLOOKUP(A301,'[1]Sales Order'!A:G,7,FALSE),[1]Shipper!A:B,2,FALSE),"Not Specified")</f>
        <v>Shipper ZHISN</v>
      </c>
      <c r="O301" t="str">
        <f>IFERROR(VLOOKUP(A301,'[1]Sales Order'!A:I,9,FALSE),"Not Specified")</f>
        <v>Ship to 7-C</v>
      </c>
      <c r="P301" t="str">
        <f>IFERROR(VLOOKUP(A301,'[1]Sales Order'!A:N,14,FALSE),"Not Specified")</f>
        <v>France</v>
      </c>
      <c r="Q301" t="str">
        <f>VLOOKUP(VLOOKUP(B301,[1]Product!A:C,3,FALSE),[1]Supplier!A:B,2,FALSE)</f>
        <v>Supplier SVIYA</v>
      </c>
      <c r="R301" t="str">
        <f>VLOOKUP(VLOOKUP(B301,[1]Product!A:C,3,FALSE),[1]Supplier!A:I,9,FALSE)</f>
        <v>Germany</v>
      </c>
      <c r="S301" t="str">
        <f>IFERROR(IF(VLOOKUP(A301,'[1]Sales Order'!A:H,8,FALSE)&gt;100,"High Freight","Low Freight"),"Not Specified")</f>
        <v>High Freight</v>
      </c>
      <c r="T301">
        <f t="shared" si="9"/>
        <v>3465</v>
      </c>
    </row>
    <row r="302" spans="1:20">
      <c r="A302" s="1">
        <v>10360</v>
      </c>
      <c r="B302" s="2">
        <v>38</v>
      </c>
      <c r="C302" s="2">
        <v>210.8</v>
      </c>
      <c r="D302" s="2">
        <v>10</v>
      </c>
      <c r="E302" s="3">
        <v>0</v>
      </c>
      <c r="F302" s="2" t="str">
        <f>IFERROR(VLOOKUP(VLOOKUP(A302,'[1]Sales Order'!A:B,2,FALSE),[1]Customer!A:C,3,FALSE),"Not Specified")</f>
        <v>Bansal, Dushyant</v>
      </c>
      <c r="G302" s="2" t="str">
        <f t="shared" si="8"/>
        <v>Bansal Dushyant</v>
      </c>
      <c r="H302" s="8" t="str">
        <f>IFERROR(VLOOKUP(VLOOKUP(A302,'[1]Sales Order'!A:C,3,FALSE),[1]Employee!A:E,5,FALSE)&amp;" "&amp;VLOOKUP(VLOOKUP(A302,'[1]Sales Order'!A:C,3,FALSE),[1]Employee!A:C,3,FALSE)&amp;" "&amp;VLOOKUP(VLOOKUP(A302,'[1]Sales Order'!A:C,3,FALSE),[1]Employee!A:B,2,FALSE),"Not Specified")</f>
        <v>Mrs. Yael Peled</v>
      </c>
      <c r="I302" t="str">
        <f>IFERROR(VLOOKUP(VLOOKUP(A302,'[1]Sales Order'!A:C,3,FALSE),[1]Employee!A:J,10,FALSE),"Not Specified")</f>
        <v>WA</v>
      </c>
      <c r="J302" t="str">
        <f>VLOOKUP(B302,[1]Product!A:B,2,FALSE)</f>
        <v>Product QDOMO</v>
      </c>
      <c r="K302" t="str">
        <f>VLOOKUP(VLOOKUP(B302,[1]Product!A:D,4,FALSE),[1]Category!A:B,2,FALSE)</f>
        <v>Beverages</v>
      </c>
      <c r="L302" s="10">
        <f>IFERROR(VLOOKUP(A302,'[1]Sales Order'!A:D,4,FALSE),"")</f>
        <v>39043</v>
      </c>
      <c r="M302" s="10">
        <f>IFERROR(VLOOKUP(A302,'[1]Sales Order'!A:F,6,FALSE),"")</f>
        <v>39053</v>
      </c>
      <c r="N302" t="str">
        <f>IFERROR(VLOOKUP(VLOOKUP(A302,'[1]Sales Order'!A:G,7,FALSE),[1]Shipper!A:B,2,FALSE),"Not Specified")</f>
        <v>Shipper ZHISN</v>
      </c>
      <c r="O302" t="str">
        <f>IFERROR(VLOOKUP(A302,'[1]Sales Order'!A:I,9,FALSE),"Not Specified")</f>
        <v>Ship to 7-C</v>
      </c>
      <c r="P302" t="str">
        <f>IFERROR(VLOOKUP(A302,'[1]Sales Order'!A:N,14,FALSE),"Not Specified")</f>
        <v>France</v>
      </c>
      <c r="Q302" t="str">
        <f>VLOOKUP(VLOOKUP(B302,[1]Product!A:C,3,FALSE),[1]Supplier!A:B,2,FALSE)</f>
        <v>Supplier LVJUA</v>
      </c>
      <c r="R302" t="str">
        <f>VLOOKUP(VLOOKUP(B302,[1]Product!A:C,3,FALSE),[1]Supplier!A:I,9,FALSE)</f>
        <v>France</v>
      </c>
      <c r="S302" t="str">
        <f>IFERROR(IF(VLOOKUP(A302,'[1]Sales Order'!A:H,8,FALSE)&gt;100,"High Freight","Low Freight"),"Not Specified")</f>
        <v>High Freight</v>
      </c>
      <c r="T302">
        <f t="shared" si="9"/>
        <v>2108</v>
      </c>
    </row>
    <row r="303" spans="1:20">
      <c r="A303" s="1">
        <v>10360</v>
      </c>
      <c r="B303" s="2">
        <v>49</v>
      </c>
      <c r="C303" s="2">
        <v>16</v>
      </c>
      <c r="D303" s="2">
        <v>35</v>
      </c>
      <c r="E303" s="3">
        <v>0</v>
      </c>
      <c r="F303" s="2" t="str">
        <f>IFERROR(VLOOKUP(VLOOKUP(A303,'[1]Sales Order'!A:B,2,FALSE),[1]Customer!A:C,3,FALSE),"Not Specified")</f>
        <v>Bansal, Dushyant</v>
      </c>
      <c r="G303" s="2" t="str">
        <f t="shared" si="8"/>
        <v>Bansal Dushyant</v>
      </c>
      <c r="H303" s="8" t="str">
        <f>IFERROR(VLOOKUP(VLOOKUP(A303,'[1]Sales Order'!A:C,3,FALSE),[1]Employee!A:E,5,FALSE)&amp;" "&amp;VLOOKUP(VLOOKUP(A303,'[1]Sales Order'!A:C,3,FALSE),[1]Employee!A:C,3,FALSE)&amp;" "&amp;VLOOKUP(VLOOKUP(A303,'[1]Sales Order'!A:C,3,FALSE),[1]Employee!A:B,2,FALSE),"Not Specified")</f>
        <v>Mrs. Yael Peled</v>
      </c>
      <c r="I303" t="str">
        <f>IFERROR(VLOOKUP(VLOOKUP(A303,'[1]Sales Order'!A:C,3,FALSE),[1]Employee!A:J,10,FALSE),"Not Specified")</f>
        <v>WA</v>
      </c>
      <c r="J303" t="str">
        <f>VLOOKUP(B303,[1]Product!A:B,2,FALSE)</f>
        <v>Product FPYPN</v>
      </c>
      <c r="K303" t="str">
        <f>VLOOKUP(VLOOKUP(B303,[1]Product!A:D,4,FALSE),[1]Category!A:B,2,FALSE)</f>
        <v>Confections</v>
      </c>
      <c r="L303" s="10">
        <f>IFERROR(VLOOKUP(A303,'[1]Sales Order'!A:D,4,FALSE),"")</f>
        <v>39043</v>
      </c>
      <c r="M303" s="10">
        <f>IFERROR(VLOOKUP(A303,'[1]Sales Order'!A:F,6,FALSE),"")</f>
        <v>39053</v>
      </c>
      <c r="N303" t="str">
        <f>IFERROR(VLOOKUP(VLOOKUP(A303,'[1]Sales Order'!A:G,7,FALSE),[1]Shipper!A:B,2,FALSE),"Not Specified")</f>
        <v>Shipper ZHISN</v>
      </c>
      <c r="O303" t="str">
        <f>IFERROR(VLOOKUP(A303,'[1]Sales Order'!A:I,9,FALSE),"Not Specified")</f>
        <v>Ship to 7-C</v>
      </c>
      <c r="P303" t="str">
        <f>IFERROR(VLOOKUP(A303,'[1]Sales Order'!A:N,14,FALSE),"Not Specified")</f>
        <v>France</v>
      </c>
      <c r="Q303" t="str">
        <f>VLOOKUP(VLOOKUP(B303,[1]Product!A:C,3,FALSE),[1]Supplier!A:B,2,FALSE)</f>
        <v>Supplier ELCRN</v>
      </c>
      <c r="R303" t="str">
        <f>VLOOKUP(VLOOKUP(B303,[1]Product!A:C,3,FALSE),[1]Supplier!A:I,9,FALSE)</f>
        <v>Finland</v>
      </c>
      <c r="S303" t="str">
        <f>IFERROR(IF(VLOOKUP(A303,'[1]Sales Order'!A:H,8,FALSE)&gt;100,"High Freight","Low Freight"),"Not Specified")</f>
        <v>High Freight</v>
      </c>
      <c r="T303">
        <f t="shared" si="9"/>
        <v>560</v>
      </c>
    </row>
    <row r="304" spans="1:20">
      <c r="A304" s="1">
        <v>10360</v>
      </c>
      <c r="B304" s="2">
        <v>54</v>
      </c>
      <c r="C304" s="2">
        <v>5.9</v>
      </c>
      <c r="D304" s="2">
        <v>28</v>
      </c>
      <c r="E304" s="3">
        <v>0</v>
      </c>
      <c r="F304" s="2" t="str">
        <f>IFERROR(VLOOKUP(VLOOKUP(A304,'[1]Sales Order'!A:B,2,FALSE),[1]Customer!A:C,3,FALSE),"Not Specified")</f>
        <v>Bansal, Dushyant</v>
      </c>
      <c r="G304" s="2" t="str">
        <f t="shared" si="8"/>
        <v>Bansal Dushyant</v>
      </c>
      <c r="H304" s="8" t="str">
        <f>IFERROR(VLOOKUP(VLOOKUP(A304,'[1]Sales Order'!A:C,3,FALSE),[1]Employee!A:E,5,FALSE)&amp;" "&amp;VLOOKUP(VLOOKUP(A304,'[1]Sales Order'!A:C,3,FALSE),[1]Employee!A:C,3,FALSE)&amp;" "&amp;VLOOKUP(VLOOKUP(A304,'[1]Sales Order'!A:C,3,FALSE),[1]Employee!A:B,2,FALSE),"Not Specified")</f>
        <v>Mrs. Yael Peled</v>
      </c>
      <c r="I304" t="str">
        <f>IFERROR(VLOOKUP(VLOOKUP(A304,'[1]Sales Order'!A:C,3,FALSE),[1]Employee!A:J,10,FALSE),"Not Specified")</f>
        <v>WA</v>
      </c>
      <c r="J304" t="str">
        <f>VLOOKUP(B304,[1]Product!A:B,2,FALSE)</f>
        <v>Product QAQRL</v>
      </c>
      <c r="K304" t="str">
        <f>VLOOKUP(VLOOKUP(B304,[1]Product!A:D,4,FALSE),[1]Category!A:B,2,FALSE)</f>
        <v>Meat/Poultry</v>
      </c>
      <c r="L304" s="10">
        <f>IFERROR(VLOOKUP(A304,'[1]Sales Order'!A:D,4,FALSE),"")</f>
        <v>39043</v>
      </c>
      <c r="M304" s="10">
        <f>IFERROR(VLOOKUP(A304,'[1]Sales Order'!A:F,6,FALSE),"")</f>
        <v>39053</v>
      </c>
      <c r="N304" t="str">
        <f>IFERROR(VLOOKUP(VLOOKUP(A304,'[1]Sales Order'!A:G,7,FALSE),[1]Shipper!A:B,2,FALSE),"Not Specified")</f>
        <v>Shipper ZHISN</v>
      </c>
      <c r="O304" t="str">
        <f>IFERROR(VLOOKUP(A304,'[1]Sales Order'!A:I,9,FALSE),"Not Specified")</f>
        <v>Ship to 7-C</v>
      </c>
      <c r="P304" t="str">
        <f>IFERROR(VLOOKUP(A304,'[1]Sales Order'!A:N,14,FALSE),"Not Specified")</f>
        <v>France</v>
      </c>
      <c r="Q304" t="str">
        <f>VLOOKUP(VLOOKUP(B304,[1]Product!A:C,3,FALSE),[1]Supplier!A:B,2,FALSE)</f>
        <v>Supplier ERVYZ</v>
      </c>
      <c r="R304" t="str">
        <f>VLOOKUP(VLOOKUP(B304,[1]Product!A:C,3,FALSE),[1]Supplier!A:I,9,FALSE)</f>
        <v>Canada</v>
      </c>
      <c r="S304" t="str">
        <f>IFERROR(IF(VLOOKUP(A304,'[1]Sales Order'!A:H,8,FALSE)&gt;100,"High Freight","Low Freight"),"Not Specified")</f>
        <v>High Freight</v>
      </c>
      <c r="T304">
        <f t="shared" si="9"/>
        <v>165.20000000000002</v>
      </c>
    </row>
    <row r="305" spans="1:20">
      <c r="A305" s="1">
        <v>10361</v>
      </c>
      <c r="B305" s="2">
        <v>39</v>
      </c>
      <c r="C305" s="2">
        <v>14.4</v>
      </c>
      <c r="D305" s="2">
        <v>54</v>
      </c>
      <c r="E305" s="3">
        <v>0.1</v>
      </c>
      <c r="F305" s="2" t="str">
        <f>IFERROR(VLOOKUP(VLOOKUP(A305,'[1]Sales Order'!A:B,2,FALSE),[1]Customer!A:C,3,FALSE),"Not Specified")</f>
        <v>Veronesi, Giorgio</v>
      </c>
      <c r="G305" s="2" t="str">
        <f t="shared" si="8"/>
        <v>Veronesi Giorgio</v>
      </c>
      <c r="H305" s="8" t="str">
        <f>IFERROR(VLOOKUP(VLOOKUP(A305,'[1]Sales Order'!A:C,3,FALSE),[1]Employee!A:E,5,FALSE)&amp;" "&amp;VLOOKUP(VLOOKUP(A305,'[1]Sales Order'!A:C,3,FALSE),[1]Employee!A:C,3,FALSE)&amp;" "&amp;VLOOKUP(VLOOKUP(A305,'[1]Sales Order'!A:C,3,FALSE),[1]Employee!A:B,2,FALSE),"Not Specified")</f>
        <v>Ms. Sara Davis</v>
      </c>
      <c r="I305" t="str">
        <f>IFERROR(VLOOKUP(VLOOKUP(A305,'[1]Sales Order'!A:C,3,FALSE),[1]Employee!A:J,10,FALSE),"Not Specified")</f>
        <v>WA</v>
      </c>
      <c r="J305" t="str">
        <f>VLOOKUP(B305,[1]Product!A:B,2,FALSE)</f>
        <v>Product LSOFL</v>
      </c>
      <c r="K305" t="str">
        <f>VLOOKUP(VLOOKUP(B305,[1]Product!A:D,4,FALSE),[1]Category!A:B,2,FALSE)</f>
        <v>Beverages</v>
      </c>
      <c r="L305" s="10">
        <f>IFERROR(VLOOKUP(A305,'[1]Sales Order'!A:D,4,FALSE),"")</f>
        <v>39043</v>
      </c>
      <c r="M305" s="10">
        <f>IFERROR(VLOOKUP(A305,'[1]Sales Order'!A:F,6,FALSE),"")</f>
        <v>39054</v>
      </c>
      <c r="N305" t="str">
        <f>IFERROR(VLOOKUP(VLOOKUP(A305,'[1]Sales Order'!A:G,7,FALSE),[1]Shipper!A:B,2,FALSE),"Not Specified")</f>
        <v>Shipper ETYNR</v>
      </c>
      <c r="O305" t="str">
        <f>IFERROR(VLOOKUP(A305,'[1]Sales Order'!A:I,9,FALSE),"Not Specified")</f>
        <v>Ship to 63-C</v>
      </c>
      <c r="P305" t="str">
        <f>IFERROR(VLOOKUP(A305,'[1]Sales Order'!A:N,14,FALSE),"Not Specified")</f>
        <v>Germany</v>
      </c>
      <c r="Q305" t="str">
        <f>VLOOKUP(VLOOKUP(B305,[1]Product!A:C,3,FALSE),[1]Supplier!A:B,2,FALSE)</f>
        <v>Supplier LVJUA</v>
      </c>
      <c r="R305" t="str">
        <f>VLOOKUP(VLOOKUP(B305,[1]Product!A:C,3,FALSE),[1]Supplier!A:I,9,FALSE)</f>
        <v>France</v>
      </c>
      <c r="S305" t="str">
        <f>IFERROR(IF(VLOOKUP(A305,'[1]Sales Order'!A:H,8,FALSE)&gt;100,"High Freight","Low Freight"),"Not Specified")</f>
        <v>High Freight</v>
      </c>
      <c r="T305">
        <f t="shared" si="9"/>
        <v>699.84</v>
      </c>
    </row>
    <row r="306" spans="1:20">
      <c r="A306" s="1">
        <v>10361</v>
      </c>
      <c r="B306" s="2">
        <v>60</v>
      </c>
      <c r="C306" s="2">
        <v>27.2</v>
      </c>
      <c r="D306" s="2">
        <v>55</v>
      </c>
      <c r="E306" s="3">
        <v>0.1</v>
      </c>
      <c r="F306" s="2" t="str">
        <f>IFERROR(VLOOKUP(VLOOKUP(A306,'[1]Sales Order'!A:B,2,FALSE),[1]Customer!A:C,3,FALSE),"Not Specified")</f>
        <v>Veronesi, Giorgio</v>
      </c>
      <c r="G306" s="2" t="str">
        <f t="shared" si="8"/>
        <v>Veronesi Giorgio</v>
      </c>
      <c r="H306" s="8" t="str">
        <f>IFERROR(VLOOKUP(VLOOKUP(A306,'[1]Sales Order'!A:C,3,FALSE),[1]Employee!A:E,5,FALSE)&amp;" "&amp;VLOOKUP(VLOOKUP(A306,'[1]Sales Order'!A:C,3,FALSE),[1]Employee!A:C,3,FALSE)&amp;" "&amp;VLOOKUP(VLOOKUP(A306,'[1]Sales Order'!A:C,3,FALSE),[1]Employee!A:B,2,FALSE),"Not Specified")</f>
        <v>Ms. Sara Davis</v>
      </c>
      <c r="I306" t="str">
        <f>IFERROR(VLOOKUP(VLOOKUP(A306,'[1]Sales Order'!A:C,3,FALSE),[1]Employee!A:J,10,FALSE),"Not Specified")</f>
        <v>WA</v>
      </c>
      <c r="J306" t="str">
        <f>VLOOKUP(B306,[1]Product!A:B,2,FALSE)</f>
        <v>Product WHBYK</v>
      </c>
      <c r="K306" t="str">
        <f>VLOOKUP(VLOOKUP(B306,[1]Product!A:D,4,FALSE),[1]Category!A:B,2,FALSE)</f>
        <v>Dairy Product</v>
      </c>
      <c r="L306" s="10">
        <f>IFERROR(VLOOKUP(A306,'[1]Sales Order'!A:D,4,FALSE),"")</f>
        <v>39043</v>
      </c>
      <c r="M306" s="10">
        <f>IFERROR(VLOOKUP(A306,'[1]Sales Order'!A:F,6,FALSE),"")</f>
        <v>39054</v>
      </c>
      <c r="N306" t="str">
        <f>IFERROR(VLOOKUP(VLOOKUP(A306,'[1]Sales Order'!A:G,7,FALSE),[1]Shipper!A:B,2,FALSE),"Not Specified")</f>
        <v>Shipper ETYNR</v>
      </c>
      <c r="O306" t="str">
        <f>IFERROR(VLOOKUP(A306,'[1]Sales Order'!A:I,9,FALSE),"Not Specified")</f>
        <v>Ship to 63-C</v>
      </c>
      <c r="P306" t="str">
        <f>IFERROR(VLOOKUP(A306,'[1]Sales Order'!A:N,14,FALSE),"Not Specified")</f>
        <v>Germany</v>
      </c>
      <c r="Q306" t="str">
        <f>VLOOKUP(VLOOKUP(B306,[1]Product!A:C,3,FALSE),[1]Supplier!A:B,2,FALSE)</f>
        <v>Supplier OAVQT</v>
      </c>
      <c r="R306" t="str">
        <f>VLOOKUP(VLOOKUP(B306,[1]Product!A:C,3,FALSE),[1]Supplier!A:I,9,FALSE)</f>
        <v>France</v>
      </c>
      <c r="S306" t="str">
        <f>IFERROR(IF(VLOOKUP(A306,'[1]Sales Order'!A:H,8,FALSE)&gt;100,"High Freight","Low Freight"),"Not Specified")</f>
        <v>High Freight</v>
      </c>
      <c r="T306">
        <f t="shared" si="9"/>
        <v>1346.4</v>
      </c>
    </row>
    <row r="307" spans="1:20">
      <c r="A307" s="1">
        <v>10362</v>
      </c>
      <c r="B307" s="2">
        <v>25</v>
      </c>
      <c r="C307" s="2">
        <v>11.2</v>
      </c>
      <c r="D307" s="2">
        <v>50</v>
      </c>
      <c r="E307" s="3">
        <v>0</v>
      </c>
      <c r="F307" s="2" t="str">
        <f>IFERROR(VLOOKUP(VLOOKUP(A307,'[1]Sales Order'!A:B,2,FALSE),[1]Customer!A:C,3,FALSE),"Not Specified")</f>
        <v>Raghav, Amritansh</v>
      </c>
      <c r="G307" s="2" t="str">
        <f t="shared" si="8"/>
        <v>Raghav Amritansh</v>
      </c>
      <c r="H307" s="8" t="str">
        <f>IFERROR(VLOOKUP(VLOOKUP(A307,'[1]Sales Order'!A:C,3,FALSE),[1]Employee!A:E,5,FALSE)&amp;" "&amp;VLOOKUP(VLOOKUP(A307,'[1]Sales Order'!A:C,3,FALSE),[1]Employee!A:C,3,FALSE)&amp;" "&amp;VLOOKUP(VLOOKUP(A307,'[1]Sales Order'!A:C,3,FALSE),[1]Employee!A:B,2,FALSE),"Not Specified")</f>
        <v>Ms. Judy Lew</v>
      </c>
      <c r="I307" t="str">
        <f>IFERROR(VLOOKUP(VLOOKUP(A307,'[1]Sales Order'!A:C,3,FALSE),[1]Employee!A:J,10,FALSE),"Not Specified")</f>
        <v>WA</v>
      </c>
      <c r="J307" t="str">
        <f>VLOOKUP(B307,[1]Product!A:B,2,FALSE)</f>
        <v>Product LYLNI</v>
      </c>
      <c r="K307" t="str">
        <f>VLOOKUP(VLOOKUP(B307,[1]Product!A:D,4,FALSE),[1]Category!A:B,2,FALSE)</f>
        <v>Confections</v>
      </c>
      <c r="L307" s="10">
        <f>IFERROR(VLOOKUP(A307,'[1]Sales Order'!A:D,4,FALSE),"")</f>
        <v>39046</v>
      </c>
      <c r="M307" s="10">
        <f>IFERROR(VLOOKUP(A307,'[1]Sales Order'!A:F,6,FALSE),"")</f>
        <v>39049</v>
      </c>
      <c r="N307" t="str">
        <f>IFERROR(VLOOKUP(VLOOKUP(A307,'[1]Sales Order'!A:G,7,FALSE),[1]Shipper!A:B,2,FALSE),"Not Specified")</f>
        <v>Shipper GVSUA</v>
      </c>
      <c r="O307" t="str">
        <f>IFERROR(VLOOKUP(A307,'[1]Sales Order'!A:I,9,FALSE),"Not Specified")</f>
        <v>Ship to 9-B</v>
      </c>
      <c r="P307" t="str">
        <f>IFERROR(VLOOKUP(A307,'[1]Sales Order'!A:N,14,FALSE),"Not Specified")</f>
        <v>France</v>
      </c>
      <c r="Q307" t="str">
        <f>VLOOKUP(VLOOKUP(B307,[1]Product!A:C,3,FALSE),[1]Supplier!A:B,2,FALSE)</f>
        <v>Supplier ZPYVS</v>
      </c>
      <c r="R307" t="str">
        <f>VLOOKUP(VLOOKUP(B307,[1]Product!A:C,3,FALSE),[1]Supplier!A:I,9,FALSE)</f>
        <v>Germany</v>
      </c>
      <c r="S307" t="str">
        <f>IFERROR(IF(VLOOKUP(A307,'[1]Sales Order'!A:H,8,FALSE)&gt;100,"High Freight","Low Freight"),"Not Specified")</f>
        <v>Low Freight</v>
      </c>
      <c r="T307">
        <f t="shared" si="9"/>
        <v>560</v>
      </c>
    </row>
    <row r="308" spans="1:20">
      <c r="A308" s="1">
        <v>10362</v>
      </c>
      <c r="B308" s="2">
        <v>51</v>
      </c>
      <c r="C308" s="2">
        <v>42.4</v>
      </c>
      <c r="D308" s="2">
        <v>20</v>
      </c>
      <c r="E308" s="3">
        <v>0</v>
      </c>
      <c r="F308" s="2" t="str">
        <f>IFERROR(VLOOKUP(VLOOKUP(A308,'[1]Sales Order'!A:B,2,FALSE),[1]Customer!A:C,3,FALSE),"Not Specified")</f>
        <v>Raghav, Amritansh</v>
      </c>
      <c r="G308" s="2" t="str">
        <f t="shared" si="8"/>
        <v>Raghav Amritansh</v>
      </c>
      <c r="H308" s="8" t="str">
        <f>IFERROR(VLOOKUP(VLOOKUP(A308,'[1]Sales Order'!A:C,3,FALSE),[1]Employee!A:E,5,FALSE)&amp;" "&amp;VLOOKUP(VLOOKUP(A308,'[1]Sales Order'!A:C,3,FALSE),[1]Employee!A:C,3,FALSE)&amp;" "&amp;VLOOKUP(VLOOKUP(A308,'[1]Sales Order'!A:C,3,FALSE),[1]Employee!A:B,2,FALSE),"Not Specified")</f>
        <v>Ms. Judy Lew</v>
      </c>
      <c r="I308" t="str">
        <f>IFERROR(VLOOKUP(VLOOKUP(A308,'[1]Sales Order'!A:C,3,FALSE),[1]Employee!A:J,10,FALSE),"Not Specified")</f>
        <v>WA</v>
      </c>
      <c r="J308" t="str">
        <f>VLOOKUP(B308,[1]Product!A:B,2,FALSE)</f>
        <v>Product APITJ</v>
      </c>
      <c r="K308" t="str">
        <f>VLOOKUP(VLOOKUP(B308,[1]Product!A:D,4,FALSE),[1]Category!A:B,2,FALSE)</f>
        <v>Produce</v>
      </c>
      <c r="L308" s="10">
        <f>IFERROR(VLOOKUP(A308,'[1]Sales Order'!A:D,4,FALSE),"")</f>
        <v>39046</v>
      </c>
      <c r="M308" s="10">
        <f>IFERROR(VLOOKUP(A308,'[1]Sales Order'!A:F,6,FALSE),"")</f>
        <v>39049</v>
      </c>
      <c r="N308" t="str">
        <f>IFERROR(VLOOKUP(VLOOKUP(A308,'[1]Sales Order'!A:G,7,FALSE),[1]Shipper!A:B,2,FALSE),"Not Specified")</f>
        <v>Shipper GVSUA</v>
      </c>
      <c r="O308" t="str">
        <f>IFERROR(VLOOKUP(A308,'[1]Sales Order'!A:I,9,FALSE),"Not Specified")</f>
        <v>Ship to 9-B</v>
      </c>
      <c r="P308" t="str">
        <f>IFERROR(VLOOKUP(A308,'[1]Sales Order'!A:N,14,FALSE),"Not Specified")</f>
        <v>France</v>
      </c>
      <c r="Q308" t="str">
        <f>VLOOKUP(VLOOKUP(B308,[1]Product!A:C,3,FALSE),[1]Supplier!A:B,2,FALSE)</f>
        <v>Supplier JNNES</v>
      </c>
      <c r="R308" t="str">
        <f>VLOOKUP(VLOOKUP(B308,[1]Product!A:C,3,FALSE),[1]Supplier!A:I,9,FALSE)</f>
        <v>Australia</v>
      </c>
      <c r="S308" t="str">
        <f>IFERROR(IF(VLOOKUP(A308,'[1]Sales Order'!A:H,8,FALSE)&gt;100,"High Freight","Low Freight"),"Not Specified")</f>
        <v>Low Freight</v>
      </c>
      <c r="T308">
        <f t="shared" si="9"/>
        <v>848</v>
      </c>
    </row>
    <row r="309" spans="1:20">
      <c r="A309" s="1">
        <v>10362</v>
      </c>
      <c r="B309" s="2">
        <v>54</v>
      </c>
      <c r="C309" s="2">
        <v>5.9</v>
      </c>
      <c r="D309" s="2">
        <v>24</v>
      </c>
      <c r="E309" s="3">
        <v>0</v>
      </c>
      <c r="F309" s="2" t="str">
        <f>IFERROR(VLOOKUP(VLOOKUP(A309,'[1]Sales Order'!A:B,2,FALSE),[1]Customer!A:C,3,FALSE),"Not Specified")</f>
        <v>Raghav, Amritansh</v>
      </c>
      <c r="G309" s="2" t="str">
        <f t="shared" si="8"/>
        <v>Raghav Amritansh</v>
      </c>
      <c r="H309" s="8" t="str">
        <f>IFERROR(VLOOKUP(VLOOKUP(A309,'[1]Sales Order'!A:C,3,FALSE),[1]Employee!A:E,5,FALSE)&amp;" "&amp;VLOOKUP(VLOOKUP(A309,'[1]Sales Order'!A:C,3,FALSE),[1]Employee!A:C,3,FALSE)&amp;" "&amp;VLOOKUP(VLOOKUP(A309,'[1]Sales Order'!A:C,3,FALSE),[1]Employee!A:B,2,FALSE),"Not Specified")</f>
        <v>Ms. Judy Lew</v>
      </c>
      <c r="I309" t="str">
        <f>IFERROR(VLOOKUP(VLOOKUP(A309,'[1]Sales Order'!A:C,3,FALSE),[1]Employee!A:J,10,FALSE),"Not Specified")</f>
        <v>WA</v>
      </c>
      <c r="J309" t="str">
        <f>VLOOKUP(B309,[1]Product!A:B,2,FALSE)</f>
        <v>Product QAQRL</v>
      </c>
      <c r="K309" t="str">
        <f>VLOOKUP(VLOOKUP(B309,[1]Product!A:D,4,FALSE),[1]Category!A:B,2,FALSE)</f>
        <v>Meat/Poultry</v>
      </c>
      <c r="L309" s="10">
        <f>IFERROR(VLOOKUP(A309,'[1]Sales Order'!A:D,4,FALSE),"")</f>
        <v>39046</v>
      </c>
      <c r="M309" s="10">
        <f>IFERROR(VLOOKUP(A309,'[1]Sales Order'!A:F,6,FALSE),"")</f>
        <v>39049</v>
      </c>
      <c r="N309" t="str">
        <f>IFERROR(VLOOKUP(VLOOKUP(A309,'[1]Sales Order'!A:G,7,FALSE),[1]Shipper!A:B,2,FALSE),"Not Specified")</f>
        <v>Shipper GVSUA</v>
      </c>
      <c r="O309" t="str">
        <f>IFERROR(VLOOKUP(A309,'[1]Sales Order'!A:I,9,FALSE),"Not Specified")</f>
        <v>Ship to 9-B</v>
      </c>
      <c r="P309" t="str">
        <f>IFERROR(VLOOKUP(A309,'[1]Sales Order'!A:N,14,FALSE),"Not Specified")</f>
        <v>France</v>
      </c>
      <c r="Q309" t="str">
        <f>VLOOKUP(VLOOKUP(B309,[1]Product!A:C,3,FALSE),[1]Supplier!A:B,2,FALSE)</f>
        <v>Supplier ERVYZ</v>
      </c>
      <c r="R309" t="str">
        <f>VLOOKUP(VLOOKUP(B309,[1]Product!A:C,3,FALSE),[1]Supplier!A:I,9,FALSE)</f>
        <v>Canada</v>
      </c>
      <c r="S309" t="str">
        <f>IFERROR(IF(VLOOKUP(A309,'[1]Sales Order'!A:H,8,FALSE)&gt;100,"High Freight","Low Freight"),"Not Specified")</f>
        <v>Low Freight</v>
      </c>
      <c r="T309">
        <f t="shared" si="9"/>
        <v>141.60000000000002</v>
      </c>
    </row>
    <row r="310" spans="1:20">
      <c r="A310" s="1">
        <v>10363</v>
      </c>
      <c r="B310" s="2">
        <v>31</v>
      </c>
      <c r="C310" s="2">
        <v>10</v>
      </c>
      <c r="D310" s="2">
        <v>20</v>
      </c>
      <c r="E310" s="3">
        <v>0</v>
      </c>
      <c r="F310" s="2" t="str">
        <f>IFERROR(VLOOKUP(VLOOKUP(A310,'[1]Sales Order'!A:B,2,FALSE),[1]Customer!A:C,3,FALSE),"Not Specified")</f>
        <v>Jones, TiAnna</v>
      </c>
      <c r="G310" s="2" t="str">
        <f t="shared" si="8"/>
        <v>Jones TiAnna</v>
      </c>
      <c r="H310" s="8" t="str">
        <f>IFERROR(VLOOKUP(VLOOKUP(A310,'[1]Sales Order'!A:C,3,FALSE),[1]Employee!A:E,5,FALSE)&amp;" "&amp;VLOOKUP(VLOOKUP(A310,'[1]Sales Order'!A:C,3,FALSE),[1]Employee!A:C,3,FALSE)&amp;" "&amp;VLOOKUP(VLOOKUP(A310,'[1]Sales Order'!A:C,3,FALSE),[1]Employee!A:B,2,FALSE),"Not Specified")</f>
        <v>Mrs. Yael Peled</v>
      </c>
      <c r="I310" t="str">
        <f>IFERROR(VLOOKUP(VLOOKUP(A310,'[1]Sales Order'!A:C,3,FALSE),[1]Employee!A:J,10,FALSE),"Not Specified")</f>
        <v>WA</v>
      </c>
      <c r="J310" t="str">
        <f>VLOOKUP(B310,[1]Product!A:B,2,FALSE)</f>
        <v>Product XWOXC</v>
      </c>
      <c r="K310" t="str">
        <f>VLOOKUP(VLOOKUP(B310,[1]Product!A:D,4,FALSE),[1]Category!A:B,2,FALSE)</f>
        <v>Dairy Product</v>
      </c>
      <c r="L310" s="10">
        <f>IFERROR(VLOOKUP(A310,'[1]Sales Order'!A:D,4,FALSE),"")</f>
        <v>39047</v>
      </c>
      <c r="M310" s="10">
        <f>IFERROR(VLOOKUP(A310,'[1]Sales Order'!A:F,6,FALSE),"")</f>
        <v>39055</v>
      </c>
      <c r="N310" t="str">
        <f>IFERROR(VLOOKUP(VLOOKUP(A310,'[1]Sales Order'!A:G,7,FALSE),[1]Shipper!A:B,2,FALSE),"Not Specified")</f>
        <v>Shipper ZHISN</v>
      </c>
      <c r="O310" t="str">
        <f>IFERROR(VLOOKUP(A310,'[1]Sales Order'!A:I,9,FALSE),"Not Specified")</f>
        <v>Destination BJCXA</v>
      </c>
      <c r="P310" t="str">
        <f>IFERROR(VLOOKUP(A310,'[1]Sales Order'!A:N,14,FALSE),"Not Specified")</f>
        <v>Germany</v>
      </c>
      <c r="Q310" t="str">
        <f>VLOOKUP(VLOOKUP(B310,[1]Product!A:C,3,FALSE),[1]Supplier!A:B,2,FALSE)</f>
        <v>Supplier KEREV</v>
      </c>
      <c r="R310" t="str">
        <f>VLOOKUP(VLOOKUP(B310,[1]Product!A:C,3,FALSE),[1]Supplier!A:I,9,FALSE)</f>
        <v>Italy</v>
      </c>
      <c r="S310" t="str">
        <f>IFERROR(IF(VLOOKUP(A310,'[1]Sales Order'!A:H,8,FALSE)&gt;100,"High Freight","Low Freight"),"Not Specified")</f>
        <v>Low Freight</v>
      </c>
      <c r="T310">
        <f t="shared" si="9"/>
        <v>200</v>
      </c>
    </row>
    <row r="311" spans="1:20">
      <c r="A311" s="1">
        <v>10363</v>
      </c>
      <c r="B311" s="2">
        <v>75</v>
      </c>
      <c r="C311" s="2">
        <v>6.2</v>
      </c>
      <c r="D311" s="2">
        <v>12</v>
      </c>
      <c r="E311" s="3">
        <v>0</v>
      </c>
      <c r="F311" s="2" t="str">
        <f>IFERROR(VLOOKUP(VLOOKUP(A311,'[1]Sales Order'!A:B,2,FALSE),[1]Customer!A:C,3,FALSE),"Not Specified")</f>
        <v>Jones, TiAnna</v>
      </c>
      <c r="G311" s="2" t="str">
        <f t="shared" si="8"/>
        <v>Jones TiAnna</v>
      </c>
      <c r="H311" s="8" t="str">
        <f>IFERROR(VLOOKUP(VLOOKUP(A311,'[1]Sales Order'!A:C,3,FALSE),[1]Employee!A:E,5,FALSE)&amp;" "&amp;VLOOKUP(VLOOKUP(A311,'[1]Sales Order'!A:C,3,FALSE),[1]Employee!A:C,3,FALSE)&amp;" "&amp;VLOOKUP(VLOOKUP(A311,'[1]Sales Order'!A:C,3,FALSE),[1]Employee!A:B,2,FALSE),"Not Specified")</f>
        <v>Mrs. Yael Peled</v>
      </c>
      <c r="I311" t="str">
        <f>IFERROR(VLOOKUP(VLOOKUP(A311,'[1]Sales Order'!A:C,3,FALSE),[1]Employee!A:J,10,FALSE),"Not Specified")</f>
        <v>WA</v>
      </c>
      <c r="J311" t="str">
        <f>VLOOKUP(B311,[1]Product!A:B,2,FALSE)</f>
        <v>Product BWRLG</v>
      </c>
      <c r="K311" t="str">
        <f>VLOOKUP(VLOOKUP(B311,[1]Product!A:D,4,FALSE),[1]Category!A:B,2,FALSE)</f>
        <v>Beverages</v>
      </c>
      <c r="L311" s="10">
        <f>IFERROR(VLOOKUP(A311,'[1]Sales Order'!A:D,4,FALSE),"")</f>
        <v>39047</v>
      </c>
      <c r="M311" s="10">
        <f>IFERROR(VLOOKUP(A311,'[1]Sales Order'!A:F,6,FALSE),"")</f>
        <v>39055</v>
      </c>
      <c r="N311" t="str">
        <f>IFERROR(VLOOKUP(VLOOKUP(A311,'[1]Sales Order'!A:G,7,FALSE),[1]Shipper!A:B,2,FALSE),"Not Specified")</f>
        <v>Shipper ZHISN</v>
      </c>
      <c r="O311" t="str">
        <f>IFERROR(VLOOKUP(A311,'[1]Sales Order'!A:I,9,FALSE),"Not Specified")</f>
        <v>Destination BJCXA</v>
      </c>
      <c r="P311" t="str">
        <f>IFERROR(VLOOKUP(A311,'[1]Sales Order'!A:N,14,FALSE),"Not Specified")</f>
        <v>Germany</v>
      </c>
      <c r="Q311" t="str">
        <f>VLOOKUP(VLOOKUP(B311,[1]Product!A:C,3,FALSE),[1]Supplier!A:B,2,FALSE)</f>
        <v>Supplier SVIYA</v>
      </c>
      <c r="R311" t="str">
        <f>VLOOKUP(VLOOKUP(B311,[1]Product!A:C,3,FALSE),[1]Supplier!A:I,9,FALSE)</f>
        <v>Germany</v>
      </c>
      <c r="S311" t="str">
        <f>IFERROR(IF(VLOOKUP(A311,'[1]Sales Order'!A:H,8,FALSE)&gt;100,"High Freight","Low Freight"),"Not Specified")</f>
        <v>Low Freight</v>
      </c>
      <c r="T311">
        <f t="shared" si="9"/>
        <v>74.400000000000006</v>
      </c>
    </row>
    <row r="312" spans="1:20">
      <c r="A312" s="1">
        <v>10363</v>
      </c>
      <c r="B312" s="2">
        <v>76</v>
      </c>
      <c r="C312" s="2">
        <v>14.4</v>
      </c>
      <c r="D312" s="2">
        <v>12</v>
      </c>
      <c r="E312" s="3">
        <v>0</v>
      </c>
      <c r="F312" s="2" t="str">
        <f>IFERROR(VLOOKUP(VLOOKUP(A312,'[1]Sales Order'!A:B,2,FALSE),[1]Customer!A:C,3,FALSE),"Not Specified")</f>
        <v>Jones, TiAnna</v>
      </c>
      <c r="G312" s="2" t="str">
        <f t="shared" si="8"/>
        <v>Jones TiAnna</v>
      </c>
      <c r="H312" s="8" t="str">
        <f>IFERROR(VLOOKUP(VLOOKUP(A312,'[1]Sales Order'!A:C,3,FALSE),[1]Employee!A:E,5,FALSE)&amp;" "&amp;VLOOKUP(VLOOKUP(A312,'[1]Sales Order'!A:C,3,FALSE),[1]Employee!A:C,3,FALSE)&amp;" "&amp;VLOOKUP(VLOOKUP(A312,'[1]Sales Order'!A:C,3,FALSE),[1]Employee!A:B,2,FALSE),"Not Specified")</f>
        <v>Mrs. Yael Peled</v>
      </c>
      <c r="I312" t="str">
        <f>IFERROR(VLOOKUP(VLOOKUP(A312,'[1]Sales Order'!A:C,3,FALSE),[1]Employee!A:J,10,FALSE),"Not Specified")</f>
        <v>WA</v>
      </c>
      <c r="J312" t="str">
        <f>VLOOKUP(B312,[1]Product!A:B,2,FALSE)</f>
        <v>Product JYGFE</v>
      </c>
      <c r="K312" t="str">
        <f>VLOOKUP(VLOOKUP(B312,[1]Product!A:D,4,FALSE),[1]Category!A:B,2,FALSE)</f>
        <v>Beverages</v>
      </c>
      <c r="L312" s="10">
        <f>IFERROR(VLOOKUP(A312,'[1]Sales Order'!A:D,4,FALSE),"")</f>
        <v>39047</v>
      </c>
      <c r="M312" s="10">
        <f>IFERROR(VLOOKUP(A312,'[1]Sales Order'!A:F,6,FALSE),"")</f>
        <v>39055</v>
      </c>
      <c r="N312" t="str">
        <f>IFERROR(VLOOKUP(VLOOKUP(A312,'[1]Sales Order'!A:G,7,FALSE),[1]Shipper!A:B,2,FALSE),"Not Specified")</f>
        <v>Shipper ZHISN</v>
      </c>
      <c r="O312" t="str">
        <f>IFERROR(VLOOKUP(A312,'[1]Sales Order'!A:I,9,FALSE),"Not Specified")</f>
        <v>Destination BJCXA</v>
      </c>
      <c r="P312" t="str">
        <f>IFERROR(VLOOKUP(A312,'[1]Sales Order'!A:N,14,FALSE),"Not Specified")</f>
        <v>Germany</v>
      </c>
      <c r="Q312" t="str">
        <f>VLOOKUP(VLOOKUP(B312,[1]Product!A:C,3,FALSE),[1]Supplier!A:B,2,FALSE)</f>
        <v>Supplier ELCRN</v>
      </c>
      <c r="R312" t="str">
        <f>VLOOKUP(VLOOKUP(B312,[1]Product!A:C,3,FALSE),[1]Supplier!A:I,9,FALSE)</f>
        <v>Finland</v>
      </c>
      <c r="S312" t="str">
        <f>IFERROR(IF(VLOOKUP(A312,'[1]Sales Order'!A:H,8,FALSE)&gt;100,"High Freight","Low Freight"),"Not Specified")</f>
        <v>Low Freight</v>
      </c>
      <c r="T312">
        <f t="shared" si="9"/>
        <v>172.8</v>
      </c>
    </row>
    <row r="313" spans="1:20">
      <c r="A313" s="1">
        <v>10364</v>
      </c>
      <c r="B313" s="2">
        <v>69</v>
      </c>
      <c r="C313" s="2">
        <v>28.8</v>
      </c>
      <c r="D313" s="2">
        <v>30</v>
      </c>
      <c r="E313" s="3">
        <v>0</v>
      </c>
      <c r="F313" s="2" t="str">
        <f>IFERROR(VLOOKUP(VLOOKUP(A313,'[1]Sales Order'!A:B,2,FALSE),[1]Customer!A:C,3,FALSE),"Not Specified")</f>
        <v>Boseman, Randall</v>
      </c>
      <c r="G313" s="2" t="str">
        <f t="shared" si="8"/>
        <v>Boseman Randall</v>
      </c>
      <c r="H313" s="8" t="str">
        <f>IFERROR(VLOOKUP(VLOOKUP(A313,'[1]Sales Order'!A:C,3,FALSE),[1]Employee!A:E,5,FALSE)&amp;" "&amp;VLOOKUP(VLOOKUP(A313,'[1]Sales Order'!A:C,3,FALSE),[1]Employee!A:C,3,FALSE)&amp;" "&amp;VLOOKUP(VLOOKUP(A313,'[1]Sales Order'!A:C,3,FALSE),[1]Employee!A:B,2,FALSE),"Not Specified")</f>
        <v>Ms. Sara Davis</v>
      </c>
      <c r="I313" t="str">
        <f>IFERROR(VLOOKUP(VLOOKUP(A313,'[1]Sales Order'!A:C,3,FALSE),[1]Employee!A:J,10,FALSE),"Not Specified")</f>
        <v>WA</v>
      </c>
      <c r="J313" t="str">
        <f>VLOOKUP(B313,[1]Product!A:B,2,FALSE)</f>
        <v>Product COAXA</v>
      </c>
      <c r="K313" t="str">
        <f>VLOOKUP(VLOOKUP(B313,[1]Product!A:D,4,FALSE),[1]Category!A:B,2,FALSE)</f>
        <v>Dairy Product</v>
      </c>
      <c r="L313" s="10">
        <f>IFERROR(VLOOKUP(A313,'[1]Sales Order'!A:D,4,FALSE),"")</f>
        <v>39047</v>
      </c>
      <c r="M313" s="10">
        <f>IFERROR(VLOOKUP(A313,'[1]Sales Order'!A:F,6,FALSE),"")</f>
        <v>39055</v>
      </c>
      <c r="N313" t="str">
        <f>IFERROR(VLOOKUP(VLOOKUP(A313,'[1]Sales Order'!A:G,7,FALSE),[1]Shipper!A:B,2,FALSE),"Not Specified")</f>
        <v>Shipper GVSUA</v>
      </c>
      <c r="O313" t="str">
        <f>IFERROR(VLOOKUP(A313,'[1]Sales Order'!A:I,9,FALSE),"Not Specified")</f>
        <v>Destination QTKCU</v>
      </c>
      <c r="P313" t="str">
        <f>IFERROR(VLOOKUP(A313,'[1]Sales Order'!A:N,14,FALSE),"Not Specified")</f>
        <v>UK</v>
      </c>
      <c r="Q313" t="str">
        <f>VLOOKUP(VLOOKUP(B313,[1]Product!A:C,3,FALSE),[1]Supplier!A:B,2,FALSE)</f>
        <v>Supplier NZLIF</v>
      </c>
      <c r="R313" t="str">
        <f>VLOOKUP(VLOOKUP(B313,[1]Product!A:C,3,FALSE),[1]Supplier!A:I,9,FALSE)</f>
        <v>Norway</v>
      </c>
      <c r="S313" t="str">
        <f>IFERROR(IF(VLOOKUP(A313,'[1]Sales Order'!A:H,8,FALSE)&gt;100,"High Freight","Low Freight"),"Not Specified")</f>
        <v>Low Freight</v>
      </c>
      <c r="T313">
        <f t="shared" si="9"/>
        <v>864</v>
      </c>
    </row>
    <row r="314" spans="1:20">
      <c r="A314" s="1">
        <v>10364</v>
      </c>
      <c r="B314" s="2">
        <v>71</v>
      </c>
      <c r="C314" s="2">
        <v>17.2</v>
      </c>
      <c r="D314" s="2">
        <v>5</v>
      </c>
      <c r="E314" s="3">
        <v>0</v>
      </c>
      <c r="F314" s="2" t="str">
        <f>IFERROR(VLOOKUP(VLOOKUP(A314,'[1]Sales Order'!A:B,2,FALSE),[1]Customer!A:C,3,FALSE),"Not Specified")</f>
        <v>Boseman, Randall</v>
      </c>
      <c r="G314" s="2" t="str">
        <f t="shared" si="8"/>
        <v>Boseman Randall</v>
      </c>
      <c r="H314" s="8" t="str">
        <f>IFERROR(VLOOKUP(VLOOKUP(A314,'[1]Sales Order'!A:C,3,FALSE),[1]Employee!A:E,5,FALSE)&amp;" "&amp;VLOOKUP(VLOOKUP(A314,'[1]Sales Order'!A:C,3,FALSE),[1]Employee!A:C,3,FALSE)&amp;" "&amp;VLOOKUP(VLOOKUP(A314,'[1]Sales Order'!A:C,3,FALSE),[1]Employee!A:B,2,FALSE),"Not Specified")</f>
        <v>Ms. Sara Davis</v>
      </c>
      <c r="I314" t="str">
        <f>IFERROR(VLOOKUP(VLOOKUP(A314,'[1]Sales Order'!A:C,3,FALSE),[1]Employee!A:J,10,FALSE),"Not Specified")</f>
        <v>WA</v>
      </c>
      <c r="J314" t="str">
        <f>VLOOKUP(B314,[1]Product!A:B,2,FALSE)</f>
        <v>Product MYMOI</v>
      </c>
      <c r="K314" t="str">
        <f>VLOOKUP(VLOOKUP(B314,[1]Product!A:D,4,FALSE),[1]Category!A:B,2,FALSE)</f>
        <v>Dairy Product</v>
      </c>
      <c r="L314" s="10">
        <f>IFERROR(VLOOKUP(A314,'[1]Sales Order'!A:D,4,FALSE),"")</f>
        <v>39047</v>
      </c>
      <c r="M314" s="10">
        <f>IFERROR(VLOOKUP(A314,'[1]Sales Order'!A:F,6,FALSE),"")</f>
        <v>39055</v>
      </c>
      <c r="N314" t="str">
        <f>IFERROR(VLOOKUP(VLOOKUP(A314,'[1]Sales Order'!A:G,7,FALSE),[1]Shipper!A:B,2,FALSE),"Not Specified")</f>
        <v>Shipper GVSUA</v>
      </c>
      <c r="O314" t="str">
        <f>IFERROR(VLOOKUP(A314,'[1]Sales Order'!A:I,9,FALSE),"Not Specified")</f>
        <v>Destination QTKCU</v>
      </c>
      <c r="P314" t="str">
        <f>IFERROR(VLOOKUP(A314,'[1]Sales Order'!A:N,14,FALSE),"Not Specified")</f>
        <v>UK</v>
      </c>
      <c r="Q314" t="str">
        <f>VLOOKUP(VLOOKUP(B314,[1]Product!A:C,3,FALSE),[1]Supplier!A:B,2,FALSE)</f>
        <v>Supplier NZLIF</v>
      </c>
      <c r="R314" t="str">
        <f>VLOOKUP(VLOOKUP(B314,[1]Product!A:C,3,FALSE),[1]Supplier!A:I,9,FALSE)</f>
        <v>Norway</v>
      </c>
      <c r="S314" t="str">
        <f>IFERROR(IF(VLOOKUP(A314,'[1]Sales Order'!A:H,8,FALSE)&gt;100,"High Freight","Low Freight"),"Not Specified")</f>
        <v>Low Freight</v>
      </c>
      <c r="T314">
        <f t="shared" si="9"/>
        <v>86</v>
      </c>
    </row>
    <row r="315" spans="1:20">
      <c r="A315" s="1">
        <v>10365</v>
      </c>
      <c r="B315" s="2">
        <v>11</v>
      </c>
      <c r="C315" s="2">
        <v>16.8</v>
      </c>
      <c r="D315" s="2">
        <v>24</v>
      </c>
      <c r="E315" s="3">
        <v>0</v>
      </c>
      <c r="F315" s="2" t="str">
        <f>IFERROR(VLOOKUP(VLOOKUP(A315,'[1]Sales Order'!A:B,2,FALSE),[1]Customer!A:C,3,FALSE),"Not Specified")</f>
        <v>Peoples, John</v>
      </c>
      <c r="G315" s="2" t="str">
        <f t="shared" si="8"/>
        <v>Peoples John</v>
      </c>
      <c r="H315" s="8" t="str">
        <f>IFERROR(VLOOKUP(VLOOKUP(A315,'[1]Sales Order'!A:C,3,FALSE),[1]Employee!A:E,5,FALSE)&amp;" "&amp;VLOOKUP(VLOOKUP(A315,'[1]Sales Order'!A:C,3,FALSE),[1]Employee!A:C,3,FALSE)&amp;" "&amp;VLOOKUP(VLOOKUP(A315,'[1]Sales Order'!A:C,3,FALSE),[1]Employee!A:B,2,FALSE),"Not Specified")</f>
        <v>Ms. Judy Lew</v>
      </c>
      <c r="I315" t="str">
        <f>IFERROR(VLOOKUP(VLOOKUP(A315,'[1]Sales Order'!A:C,3,FALSE),[1]Employee!A:J,10,FALSE),"Not Specified")</f>
        <v>WA</v>
      </c>
      <c r="J315" t="str">
        <f>VLOOKUP(B315,[1]Product!A:B,2,FALSE)</f>
        <v>Product QMVUN</v>
      </c>
      <c r="K315" t="str">
        <f>VLOOKUP(VLOOKUP(B315,[1]Product!A:D,4,FALSE),[1]Category!A:B,2,FALSE)</f>
        <v>Dairy Product</v>
      </c>
      <c r="L315" s="10">
        <f>IFERROR(VLOOKUP(A315,'[1]Sales Order'!A:D,4,FALSE),"")</f>
        <v>39048</v>
      </c>
      <c r="M315" s="10">
        <f>IFERROR(VLOOKUP(A315,'[1]Sales Order'!A:F,6,FALSE),"")</f>
        <v>39053</v>
      </c>
      <c r="N315" t="str">
        <f>IFERROR(VLOOKUP(VLOOKUP(A315,'[1]Sales Order'!A:G,7,FALSE),[1]Shipper!A:B,2,FALSE),"Not Specified")</f>
        <v>Shipper ETYNR</v>
      </c>
      <c r="O315" t="str">
        <f>IFERROR(VLOOKUP(A315,'[1]Sales Order'!A:I,9,FALSE),"Not Specified")</f>
        <v>Destination FQFLS</v>
      </c>
      <c r="P315" t="str">
        <f>IFERROR(VLOOKUP(A315,'[1]Sales Order'!A:N,14,FALSE),"Not Specified")</f>
        <v>Mexico</v>
      </c>
      <c r="Q315" t="str">
        <f>VLOOKUP(VLOOKUP(B315,[1]Product!A:C,3,FALSE),[1]Supplier!A:B,2,FALSE)</f>
        <v>Supplier EQPNC</v>
      </c>
      <c r="R315" t="str">
        <f>VLOOKUP(VLOOKUP(B315,[1]Product!A:C,3,FALSE),[1]Supplier!A:I,9,FALSE)</f>
        <v>Spain</v>
      </c>
      <c r="S315" t="str">
        <f>IFERROR(IF(VLOOKUP(A315,'[1]Sales Order'!A:H,8,FALSE)&gt;100,"High Freight","Low Freight"),"Not Specified")</f>
        <v>Low Freight</v>
      </c>
      <c r="T315">
        <f t="shared" si="9"/>
        <v>403.20000000000005</v>
      </c>
    </row>
    <row r="316" spans="1:20">
      <c r="A316" s="1">
        <v>10366</v>
      </c>
      <c r="B316" s="2">
        <v>65</v>
      </c>
      <c r="C316" s="2">
        <v>16.8</v>
      </c>
      <c r="D316" s="2">
        <v>5</v>
      </c>
      <c r="E316" s="3">
        <v>0</v>
      </c>
      <c r="F316" s="2" t="str">
        <f>IFERROR(VLOOKUP(VLOOKUP(A316,'[1]Sales Order'!A:B,2,FALSE),[1]Customer!A:C,3,FALSE),"Not Specified")</f>
        <v>Kolesnikova, Katerina</v>
      </c>
      <c r="G316" s="2" t="str">
        <f t="shared" si="8"/>
        <v>Kolesnikova Katerina</v>
      </c>
      <c r="H316" s="8" t="str">
        <f>IFERROR(VLOOKUP(VLOOKUP(A316,'[1]Sales Order'!A:C,3,FALSE),[1]Employee!A:E,5,FALSE)&amp;" "&amp;VLOOKUP(VLOOKUP(A316,'[1]Sales Order'!A:C,3,FALSE),[1]Employee!A:C,3,FALSE)&amp;" "&amp;VLOOKUP(VLOOKUP(A316,'[1]Sales Order'!A:C,3,FALSE),[1]Employee!A:B,2,FALSE),"Not Specified")</f>
        <v>Ms. Maria Cameron</v>
      </c>
      <c r="I316" t="str">
        <f>IFERROR(VLOOKUP(VLOOKUP(A316,'[1]Sales Order'!A:C,3,FALSE),[1]Employee!A:J,10,FALSE),"Not Specified")</f>
        <v>WA</v>
      </c>
      <c r="J316" t="str">
        <f>VLOOKUP(B316,[1]Product!A:B,2,FALSE)</f>
        <v>Product XYWBZ</v>
      </c>
      <c r="K316" t="str">
        <f>VLOOKUP(VLOOKUP(B316,[1]Product!A:D,4,FALSE),[1]Category!A:B,2,FALSE)</f>
        <v>Condiments</v>
      </c>
      <c r="L316" s="10">
        <f>IFERROR(VLOOKUP(A316,'[1]Sales Order'!A:D,4,FALSE),"")</f>
        <v>39049</v>
      </c>
      <c r="M316" s="10">
        <f>IFERROR(VLOOKUP(A316,'[1]Sales Order'!A:F,6,FALSE),"")</f>
        <v>39081</v>
      </c>
      <c r="N316" t="str">
        <f>IFERROR(VLOOKUP(VLOOKUP(A316,'[1]Sales Order'!A:G,7,FALSE),[1]Shipper!A:B,2,FALSE),"Not Specified")</f>
        <v>Shipper ETYNR</v>
      </c>
      <c r="O316" t="str">
        <f>IFERROR(VLOOKUP(A316,'[1]Sales Order'!A:I,9,FALSE),"Not Specified")</f>
        <v>Destination VPNNG</v>
      </c>
      <c r="P316" t="str">
        <f>IFERROR(VLOOKUP(A316,'[1]Sales Order'!A:N,14,FALSE),"Not Specified")</f>
        <v>Spain</v>
      </c>
      <c r="Q316" t="str">
        <f>VLOOKUP(VLOOKUP(B316,[1]Product!A:C,3,FALSE),[1]Supplier!A:B,2,FALSE)</f>
        <v>Supplier VHQZD</v>
      </c>
      <c r="R316" t="str">
        <f>VLOOKUP(VLOOKUP(B316,[1]Product!A:C,3,FALSE),[1]Supplier!A:I,9,FALSE)</f>
        <v>USA</v>
      </c>
      <c r="S316" t="str">
        <f>IFERROR(IF(VLOOKUP(A316,'[1]Sales Order'!A:H,8,FALSE)&gt;100,"High Freight","Low Freight"),"Not Specified")</f>
        <v>Low Freight</v>
      </c>
      <c r="T316">
        <f t="shared" si="9"/>
        <v>84</v>
      </c>
    </row>
    <row r="317" spans="1:20">
      <c r="A317" s="1">
        <v>10366</v>
      </c>
      <c r="B317" s="2">
        <v>77</v>
      </c>
      <c r="C317" s="2">
        <v>10.4</v>
      </c>
      <c r="D317" s="2">
        <v>5</v>
      </c>
      <c r="E317" s="3">
        <v>0</v>
      </c>
      <c r="F317" s="2" t="str">
        <f>IFERROR(VLOOKUP(VLOOKUP(A317,'[1]Sales Order'!A:B,2,FALSE),[1]Customer!A:C,3,FALSE),"Not Specified")</f>
        <v>Kolesnikova, Katerina</v>
      </c>
      <c r="G317" s="2" t="str">
        <f t="shared" si="8"/>
        <v>Kolesnikova Katerina</v>
      </c>
      <c r="H317" s="8" t="str">
        <f>IFERROR(VLOOKUP(VLOOKUP(A317,'[1]Sales Order'!A:C,3,FALSE),[1]Employee!A:E,5,FALSE)&amp;" "&amp;VLOOKUP(VLOOKUP(A317,'[1]Sales Order'!A:C,3,FALSE),[1]Employee!A:C,3,FALSE)&amp;" "&amp;VLOOKUP(VLOOKUP(A317,'[1]Sales Order'!A:C,3,FALSE),[1]Employee!A:B,2,FALSE),"Not Specified")</f>
        <v>Ms. Maria Cameron</v>
      </c>
      <c r="I317" t="str">
        <f>IFERROR(VLOOKUP(VLOOKUP(A317,'[1]Sales Order'!A:C,3,FALSE),[1]Employee!A:J,10,FALSE),"Not Specified")</f>
        <v>WA</v>
      </c>
      <c r="J317" t="str">
        <f>VLOOKUP(B317,[1]Product!A:B,2,FALSE)</f>
        <v>Product LUNZZ</v>
      </c>
      <c r="K317" t="str">
        <f>VLOOKUP(VLOOKUP(B317,[1]Product!A:D,4,FALSE),[1]Category!A:B,2,FALSE)</f>
        <v>Condiments</v>
      </c>
      <c r="L317" s="10">
        <f>IFERROR(VLOOKUP(A317,'[1]Sales Order'!A:D,4,FALSE),"")</f>
        <v>39049</v>
      </c>
      <c r="M317" s="10">
        <f>IFERROR(VLOOKUP(A317,'[1]Sales Order'!A:F,6,FALSE),"")</f>
        <v>39081</v>
      </c>
      <c r="N317" t="str">
        <f>IFERROR(VLOOKUP(VLOOKUP(A317,'[1]Sales Order'!A:G,7,FALSE),[1]Shipper!A:B,2,FALSE),"Not Specified")</f>
        <v>Shipper ETYNR</v>
      </c>
      <c r="O317" t="str">
        <f>IFERROR(VLOOKUP(A317,'[1]Sales Order'!A:I,9,FALSE),"Not Specified")</f>
        <v>Destination VPNNG</v>
      </c>
      <c r="P317" t="str">
        <f>IFERROR(VLOOKUP(A317,'[1]Sales Order'!A:N,14,FALSE),"Not Specified")</f>
        <v>Spain</v>
      </c>
      <c r="Q317" t="str">
        <f>VLOOKUP(VLOOKUP(B317,[1]Product!A:C,3,FALSE),[1]Supplier!A:B,2,FALSE)</f>
        <v>Supplier SVIYA</v>
      </c>
      <c r="R317" t="str">
        <f>VLOOKUP(VLOOKUP(B317,[1]Product!A:C,3,FALSE),[1]Supplier!A:I,9,FALSE)</f>
        <v>Germany</v>
      </c>
      <c r="S317" t="str">
        <f>IFERROR(IF(VLOOKUP(A317,'[1]Sales Order'!A:H,8,FALSE)&gt;100,"High Freight","Low Freight"),"Not Specified")</f>
        <v>Low Freight</v>
      </c>
      <c r="T317">
        <f t="shared" si="9"/>
        <v>52</v>
      </c>
    </row>
    <row r="318" spans="1:20">
      <c r="A318" s="1">
        <v>10367</v>
      </c>
      <c r="B318" s="2">
        <v>34</v>
      </c>
      <c r="C318" s="2">
        <v>11.2</v>
      </c>
      <c r="D318" s="2">
        <v>36</v>
      </c>
      <c r="E318" s="3">
        <v>0</v>
      </c>
      <c r="F318" s="2" t="str">
        <f>IFERROR(VLOOKUP(VLOOKUP(A318,'[1]Sales Order'!A:B,2,FALSE),[1]Customer!A:C,3,FALSE),"Not Specified")</f>
        <v>Fonteneau, Karl</v>
      </c>
      <c r="G318" s="2" t="str">
        <f t="shared" si="8"/>
        <v>Fonteneau Karl</v>
      </c>
      <c r="H318" s="8" t="str">
        <f>IFERROR(VLOOKUP(VLOOKUP(A318,'[1]Sales Order'!A:C,3,FALSE),[1]Employee!A:E,5,FALSE)&amp;" "&amp;VLOOKUP(VLOOKUP(A318,'[1]Sales Order'!A:C,3,FALSE),[1]Employee!A:C,3,FALSE)&amp;" "&amp;VLOOKUP(VLOOKUP(A318,'[1]Sales Order'!A:C,3,FALSE),[1]Employee!A:B,2,FALSE),"Not Specified")</f>
        <v>Mr. Russell King</v>
      </c>
      <c r="I318">
        <f>IFERROR(VLOOKUP(VLOOKUP(A318,'[1]Sales Order'!A:C,3,FALSE),[1]Employee!A:J,10,FALSE),"Not Specified")</f>
        <v>0</v>
      </c>
      <c r="J318" t="str">
        <f>VLOOKUP(B318,[1]Product!A:B,2,FALSE)</f>
        <v>Product SWNJY</v>
      </c>
      <c r="K318" t="str">
        <f>VLOOKUP(VLOOKUP(B318,[1]Product!A:D,4,FALSE),[1]Category!A:B,2,FALSE)</f>
        <v>Beverages</v>
      </c>
      <c r="L318" s="10">
        <f>IFERROR(VLOOKUP(A318,'[1]Sales Order'!A:D,4,FALSE),"")</f>
        <v>39049</v>
      </c>
      <c r="M318" s="10">
        <f>IFERROR(VLOOKUP(A318,'[1]Sales Order'!A:F,6,FALSE),"")</f>
        <v>39053</v>
      </c>
      <c r="N318" t="str">
        <f>IFERROR(VLOOKUP(VLOOKUP(A318,'[1]Sales Order'!A:G,7,FALSE),[1]Shipper!A:B,2,FALSE),"Not Specified")</f>
        <v>Shipper ZHISN</v>
      </c>
      <c r="O318" t="str">
        <f>IFERROR(VLOOKUP(A318,'[1]Sales Order'!A:I,9,FALSE),"Not Specified")</f>
        <v>Ship to 83-B</v>
      </c>
      <c r="P318" t="str">
        <f>IFERROR(VLOOKUP(A318,'[1]Sales Order'!A:N,14,FALSE),"Not Specified")</f>
        <v>Denmark</v>
      </c>
      <c r="Q318" t="str">
        <f>VLOOKUP(VLOOKUP(B318,[1]Product!A:C,3,FALSE),[1]Supplier!A:B,2,FALSE)</f>
        <v>Supplier UHZRG</v>
      </c>
      <c r="R318" t="str">
        <f>VLOOKUP(VLOOKUP(B318,[1]Product!A:C,3,FALSE),[1]Supplier!A:I,9,FALSE)</f>
        <v>USA</v>
      </c>
      <c r="S318" t="str">
        <f>IFERROR(IF(VLOOKUP(A318,'[1]Sales Order'!A:H,8,FALSE)&gt;100,"High Freight","Low Freight"),"Not Specified")</f>
        <v>Low Freight</v>
      </c>
      <c r="T318">
        <f t="shared" si="9"/>
        <v>403.2</v>
      </c>
    </row>
    <row r="319" spans="1:20">
      <c r="A319" s="1">
        <v>10367</v>
      </c>
      <c r="B319" s="2">
        <v>54</v>
      </c>
      <c r="C319" s="2">
        <v>5.9</v>
      </c>
      <c r="D319" s="2">
        <v>18</v>
      </c>
      <c r="E319" s="3">
        <v>0</v>
      </c>
      <c r="F319" s="2" t="str">
        <f>IFERROR(VLOOKUP(VLOOKUP(A319,'[1]Sales Order'!A:B,2,FALSE),[1]Customer!A:C,3,FALSE),"Not Specified")</f>
        <v>Fonteneau, Karl</v>
      </c>
      <c r="G319" s="2" t="str">
        <f t="shared" si="8"/>
        <v>Fonteneau Karl</v>
      </c>
      <c r="H319" s="8" t="str">
        <f>IFERROR(VLOOKUP(VLOOKUP(A319,'[1]Sales Order'!A:C,3,FALSE),[1]Employee!A:E,5,FALSE)&amp;" "&amp;VLOOKUP(VLOOKUP(A319,'[1]Sales Order'!A:C,3,FALSE),[1]Employee!A:C,3,FALSE)&amp;" "&amp;VLOOKUP(VLOOKUP(A319,'[1]Sales Order'!A:C,3,FALSE),[1]Employee!A:B,2,FALSE),"Not Specified")</f>
        <v>Mr. Russell King</v>
      </c>
      <c r="I319">
        <f>IFERROR(VLOOKUP(VLOOKUP(A319,'[1]Sales Order'!A:C,3,FALSE),[1]Employee!A:J,10,FALSE),"Not Specified")</f>
        <v>0</v>
      </c>
      <c r="J319" t="str">
        <f>VLOOKUP(B319,[1]Product!A:B,2,FALSE)</f>
        <v>Product QAQRL</v>
      </c>
      <c r="K319" t="str">
        <f>VLOOKUP(VLOOKUP(B319,[1]Product!A:D,4,FALSE),[1]Category!A:B,2,FALSE)</f>
        <v>Meat/Poultry</v>
      </c>
      <c r="L319" s="10">
        <f>IFERROR(VLOOKUP(A319,'[1]Sales Order'!A:D,4,FALSE),"")</f>
        <v>39049</v>
      </c>
      <c r="M319" s="10">
        <f>IFERROR(VLOOKUP(A319,'[1]Sales Order'!A:F,6,FALSE),"")</f>
        <v>39053</v>
      </c>
      <c r="N319" t="str">
        <f>IFERROR(VLOOKUP(VLOOKUP(A319,'[1]Sales Order'!A:G,7,FALSE),[1]Shipper!A:B,2,FALSE),"Not Specified")</f>
        <v>Shipper ZHISN</v>
      </c>
      <c r="O319" t="str">
        <f>IFERROR(VLOOKUP(A319,'[1]Sales Order'!A:I,9,FALSE),"Not Specified")</f>
        <v>Ship to 83-B</v>
      </c>
      <c r="P319" t="str">
        <f>IFERROR(VLOOKUP(A319,'[1]Sales Order'!A:N,14,FALSE),"Not Specified")</f>
        <v>Denmark</v>
      </c>
      <c r="Q319" t="str">
        <f>VLOOKUP(VLOOKUP(B319,[1]Product!A:C,3,FALSE),[1]Supplier!A:B,2,FALSE)</f>
        <v>Supplier ERVYZ</v>
      </c>
      <c r="R319" t="str">
        <f>VLOOKUP(VLOOKUP(B319,[1]Product!A:C,3,FALSE),[1]Supplier!A:I,9,FALSE)</f>
        <v>Canada</v>
      </c>
      <c r="S319" t="str">
        <f>IFERROR(IF(VLOOKUP(A319,'[1]Sales Order'!A:H,8,FALSE)&gt;100,"High Freight","Low Freight"),"Not Specified")</f>
        <v>Low Freight</v>
      </c>
      <c r="T319">
        <f t="shared" si="9"/>
        <v>106.2</v>
      </c>
    </row>
    <row r="320" spans="1:20">
      <c r="A320" s="1">
        <v>10367</v>
      </c>
      <c r="B320" s="2">
        <v>65</v>
      </c>
      <c r="C320" s="2">
        <v>16.8</v>
      </c>
      <c r="D320" s="2">
        <v>15</v>
      </c>
      <c r="E320" s="3">
        <v>0</v>
      </c>
      <c r="F320" s="2" t="str">
        <f>IFERROR(VLOOKUP(VLOOKUP(A320,'[1]Sales Order'!A:B,2,FALSE),[1]Customer!A:C,3,FALSE),"Not Specified")</f>
        <v>Fonteneau, Karl</v>
      </c>
      <c r="G320" s="2" t="str">
        <f t="shared" si="8"/>
        <v>Fonteneau Karl</v>
      </c>
      <c r="H320" s="8" t="str">
        <f>IFERROR(VLOOKUP(VLOOKUP(A320,'[1]Sales Order'!A:C,3,FALSE),[1]Employee!A:E,5,FALSE)&amp;" "&amp;VLOOKUP(VLOOKUP(A320,'[1]Sales Order'!A:C,3,FALSE),[1]Employee!A:C,3,FALSE)&amp;" "&amp;VLOOKUP(VLOOKUP(A320,'[1]Sales Order'!A:C,3,FALSE),[1]Employee!A:B,2,FALSE),"Not Specified")</f>
        <v>Mr. Russell King</v>
      </c>
      <c r="I320">
        <f>IFERROR(VLOOKUP(VLOOKUP(A320,'[1]Sales Order'!A:C,3,FALSE),[1]Employee!A:J,10,FALSE),"Not Specified")</f>
        <v>0</v>
      </c>
      <c r="J320" t="str">
        <f>VLOOKUP(B320,[1]Product!A:B,2,FALSE)</f>
        <v>Product XYWBZ</v>
      </c>
      <c r="K320" t="str">
        <f>VLOOKUP(VLOOKUP(B320,[1]Product!A:D,4,FALSE),[1]Category!A:B,2,FALSE)</f>
        <v>Condiments</v>
      </c>
      <c r="L320" s="10">
        <f>IFERROR(VLOOKUP(A320,'[1]Sales Order'!A:D,4,FALSE),"")</f>
        <v>39049</v>
      </c>
      <c r="M320" s="10">
        <f>IFERROR(VLOOKUP(A320,'[1]Sales Order'!A:F,6,FALSE),"")</f>
        <v>39053</v>
      </c>
      <c r="N320" t="str">
        <f>IFERROR(VLOOKUP(VLOOKUP(A320,'[1]Sales Order'!A:G,7,FALSE),[1]Shipper!A:B,2,FALSE),"Not Specified")</f>
        <v>Shipper ZHISN</v>
      </c>
      <c r="O320" t="str">
        <f>IFERROR(VLOOKUP(A320,'[1]Sales Order'!A:I,9,FALSE),"Not Specified")</f>
        <v>Ship to 83-B</v>
      </c>
      <c r="P320" t="str">
        <f>IFERROR(VLOOKUP(A320,'[1]Sales Order'!A:N,14,FALSE),"Not Specified")</f>
        <v>Denmark</v>
      </c>
      <c r="Q320" t="str">
        <f>VLOOKUP(VLOOKUP(B320,[1]Product!A:C,3,FALSE),[1]Supplier!A:B,2,FALSE)</f>
        <v>Supplier VHQZD</v>
      </c>
      <c r="R320" t="str">
        <f>VLOOKUP(VLOOKUP(B320,[1]Product!A:C,3,FALSE),[1]Supplier!A:I,9,FALSE)</f>
        <v>USA</v>
      </c>
      <c r="S320" t="str">
        <f>IFERROR(IF(VLOOKUP(A320,'[1]Sales Order'!A:H,8,FALSE)&gt;100,"High Freight","Low Freight"),"Not Specified")</f>
        <v>Low Freight</v>
      </c>
      <c r="T320">
        <f t="shared" si="9"/>
        <v>252</v>
      </c>
    </row>
    <row r="321" spans="1:20">
      <c r="A321" s="1">
        <v>10367</v>
      </c>
      <c r="B321" s="2">
        <v>77</v>
      </c>
      <c r="C321" s="2">
        <v>10.4</v>
      </c>
      <c r="D321" s="2">
        <v>7</v>
      </c>
      <c r="E321" s="3">
        <v>0</v>
      </c>
      <c r="F321" s="2" t="str">
        <f>IFERROR(VLOOKUP(VLOOKUP(A321,'[1]Sales Order'!A:B,2,FALSE),[1]Customer!A:C,3,FALSE),"Not Specified")</f>
        <v>Fonteneau, Karl</v>
      </c>
      <c r="G321" s="2" t="str">
        <f t="shared" si="8"/>
        <v>Fonteneau Karl</v>
      </c>
      <c r="H321" s="8" t="str">
        <f>IFERROR(VLOOKUP(VLOOKUP(A321,'[1]Sales Order'!A:C,3,FALSE),[1]Employee!A:E,5,FALSE)&amp;" "&amp;VLOOKUP(VLOOKUP(A321,'[1]Sales Order'!A:C,3,FALSE),[1]Employee!A:C,3,FALSE)&amp;" "&amp;VLOOKUP(VLOOKUP(A321,'[1]Sales Order'!A:C,3,FALSE),[1]Employee!A:B,2,FALSE),"Not Specified")</f>
        <v>Mr. Russell King</v>
      </c>
      <c r="I321">
        <f>IFERROR(VLOOKUP(VLOOKUP(A321,'[1]Sales Order'!A:C,3,FALSE),[1]Employee!A:J,10,FALSE),"Not Specified")</f>
        <v>0</v>
      </c>
      <c r="J321" t="str">
        <f>VLOOKUP(B321,[1]Product!A:B,2,FALSE)</f>
        <v>Product LUNZZ</v>
      </c>
      <c r="K321" t="str">
        <f>VLOOKUP(VLOOKUP(B321,[1]Product!A:D,4,FALSE),[1]Category!A:B,2,FALSE)</f>
        <v>Condiments</v>
      </c>
      <c r="L321" s="10">
        <f>IFERROR(VLOOKUP(A321,'[1]Sales Order'!A:D,4,FALSE),"")</f>
        <v>39049</v>
      </c>
      <c r="M321" s="10">
        <f>IFERROR(VLOOKUP(A321,'[1]Sales Order'!A:F,6,FALSE),"")</f>
        <v>39053</v>
      </c>
      <c r="N321" t="str">
        <f>IFERROR(VLOOKUP(VLOOKUP(A321,'[1]Sales Order'!A:G,7,FALSE),[1]Shipper!A:B,2,FALSE),"Not Specified")</f>
        <v>Shipper ZHISN</v>
      </c>
      <c r="O321" t="str">
        <f>IFERROR(VLOOKUP(A321,'[1]Sales Order'!A:I,9,FALSE),"Not Specified")</f>
        <v>Ship to 83-B</v>
      </c>
      <c r="P321" t="str">
        <f>IFERROR(VLOOKUP(A321,'[1]Sales Order'!A:N,14,FALSE),"Not Specified")</f>
        <v>Denmark</v>
      </c>
      <c r="Q321" t="str">
        <f>VLOOKUP(VLOOKUP(B321,[1]Product!A:C,3,FALSE),[1]Supplier!A:B,2,FALSE)</f>
        <v>Supplier SVIYA</v>
      </c>
      <c r="R321" t="str">
        <f>VLOOKUP(VLOOKUP(B321,[1]Product!A:C,3,FALSE),[1]Supplier!A:I,9,FALSE)</f>
        <v>Germany</v>
      </c>
      <c r="S321" t="str">
        <f>IFERROR(IF(VLOOKUP(A321,'[1]Sales Order'!A:H,8,FALSE)&gt;100,"High Freight","Low Freight"),"Not Specified")</f>
        <v>Low Freight</v>
      </c>
      <c r="T321">
        <f t="shared" si="9"/>
        <v>72.8</v>
      </c>
    </row>
    <row r="322" spans="1:20">
      <c r="A322" s="1">
        <v>10368</v>
      </c>
      <c r="B322" s="2">
        <v>21</v>
      </c>
      <c r="C322" s="2">
        <v>8</v>
      </c>
      <c r="D322" s="2">
        <v>5</v>
      </c>
      <c r="E322" s="3">
        <v>0.1</v>
      </c>
      <c r="F322" s="2" t="str">
        <f>IFERROR(VLOOKUP(VLOOKUP(A322,'[1]Sales Order'!A:B,2,FALSE),[1]Customer!A:C,3,FALSE),"Not Specified")</f>
        <v>Kane, John</v>
      </c>
      <c r="G322" s="2" t="str">
        <f t="shared" si="8"/>
        <v>Kane John</v>
      </c>
      <c r="H322" s="8" t="str">
        <f>IFERROR(VLOOKUP(VLOOKUP(A322,'[1]Sales Order'!A:C,3,FALSE),[1]Employee!A:E,5,FALSE)&amp;" "&amp;VLOOKUP(VLOOKUP(A322,'[1]Sales Order'!A:C,3,FALSE),[1]Employee!A:C,3,FALSE)&amp;" "&amp;VLOOKUP(VLOOKUP(A322,'[1]Sales Order'!A:C,3,FALSE),[1]Employee!A:B,2,FALSE),"Not Specified")</f>
        <v>Dr. Don Funk</v>
      </c>
      <c r="I322" t="str">
        <f>IFERROR(VLOOKUP(VLOOKUP(A322,'[1]Sales Order'!A:C,3,FALSE),[1]Employee!A:J,10,FALSE),"Not Specified")</f>
        <v>WA</v>
      </c>
      <c r="J322" t="str">
        <f>VLOOKUP(B322,[1]Product!A:B,2,FALSE)</f>
        <v>Product VJZZH</v>
      </c>
      <c r="K322" t="str">
        <f>VLOOKUP(VLOOKUP(B322,[1]Product!A:D,4,FALSE),[1]Category!A:B,2,FALSE)</f>
        <v>Confections</v>
      </c>
      <c r="L322" s="10">
        <f>IFERROR(VLOOKUP(A322,'[1]Sales Order'!A:D,4,FALSE),"")</f>
        <v>39050</v>
      </c>
      <c r="M322" s="10">
        <f>IFERROR(VLOOKUP(A322,'[1]Sales Order'!A:F,6,FALSE),"")</f>
        <v>39053</v>
      </c>
      <c r="N322" t="str">
        <f>IFERROR(VLOOKUP(VLOOKUP(A322,'[1]Sales Order'!A:G,7,FALSE),[1]Shipper!A:B,2,FALSE),"Not Specified")</f>
        <v>Shipper ETYNR</v>
      </c>
      <c r="O322" t="str">
        <f>IFERROR(VLOOKUP(A322,'[1]Sales Order'!A:I,9,FALSE),"Not Specified")</f>
        <v>Destination RVDMF</v>
      </c>
      <c r="P322" t="str">
        <f>IFERROR(VLOOKUP(A322,'[1]Sales Order'!A:N,14,FALSE),"Not Specified")</f>
        <v>Austria</v>
      </c>
      <c r="Q322" t="str">
        <f>VLOOKUP(VLOOKUP(B322,[1]Product!A:C,3,FALSE),[1]Supplier!A:B,2,FALSE)</f>
        <v>Supplier BWGYE</v>
      </c>
      <c r="R322" t="str">
        <f>VLOOKUP(VLOOKUP(B322,[1]Product!A:C,3,FALSE),[1]Supplier!A:I,9,FALSE)</f>
        <v>UK</v>
      </c>
      <c r="S322" t="str">
        <f>IFERROR(IF(VLOOKUP(A322,'[1]Sales Order'!A:H,8,FALSE)&gt;100,"High Freight","Low Freight"),"Not Specified")</f>
        <v>High Freight</v>
      </c>
      <c r="T322">
        <f t="shared" si="9"/>
        <v>36</v>
      </c>
    </row>
    <row r="323" spans="1:20">
      <c r="A323" s="1">
        <v>10368</v>
      </c>
      <c r="B323" s="2">
        <v>28</v>
      </c>
      <c r="C323" s="2">
        <v>36.4</v>
      </c>
      <c r="D323" s="2">
        <v>13</v>
      </c>
      <c r="E323" s="3">
        <v>0.1</v>
      </c>
      <c r="F323" s="2" t="str">
        <f>IFERROR(VLOOKUP(VLOOKUP(A323,'[1]Sales Order'!A:B,2,FALSE),[1]Customer!A:C,3,FALSE),"Not Specified")</f>
        <v>Kane, John</v>
      </c>
      <c r="G323" s="2" t="str">
        <f t="shared" ref="G323:G386" si="10">SUBSTITUTE(F323,",","",1)</f>
        <v>Kane John</v>
      </c>
      <c r="H323" s="8" t="str">
        <f>IFERROR(VLOOKUP(VLOOKUP(A323,'[1]Sales Order'!A:C,3,FALSE),[1]Employee!A:E,5,FALSE)&amp;" "&amp;VLOOKUP(VLOOKUP(A323,'[1]Sales Order'!A:C,3,FALSE),[1]Employee!A:C,3,FALSE)&amp;" "&amp;VLOOKUP(VLOOKUP(A323,'[1]Sales Order'!A:C,3,FALSE),[1]Employee!A:B,2,FALSE),"Not Specified")</f>
        <v>Dr. Don Funk</v>
      </c>
      <c r="I323" t="str">
        <f>IFERROR(VLOOKUP(VLOOKUP(A323,'[1]Sales Order'!A:C,3,FALSE),[1]Employee!A:J,10,FALSE),"Not Specified")</f>
        <v>WA</v>
      </c>
      <c r="J323" t="str">
        <f>VLOOKUP(B323,[1]Product!A:B,2,FALSE)</f>
        <v>Product OFBNT</v>
      </c>
      <c r="K323" t="str">
        <f>VLOOKUP(VLOOKUP(B323,[1]Product!A:D,4,FALSE),[1]Category!A:B,2,FALSE)</f>
        <v>Produce</v>
      </c>
      <c r="L323" s="10">
        <f>IFERROR(VLOOKUP(A323,'[1]Sales Order'!A:D,4,FALSE),"")</f>
        <v>39050</v>
      </c>
      <c r="M323" s="10">
        <f>IFERROR(VLOOKUP(A323,'[1]Sales Order'!A:F,6,FALSE),"")</f>
        <v>39053</v>
      </c>
      <c r="N323" t="str">
        <f>IFERROR(VLOOKUP(VLOOKUP(A323,'[1]Sales Order'!A:G,7,FALSE),[1]Shipper!A:B,2,FALSE),"Not Specified")</f>
        <v>Shipper ETYNR</v>
      </c>
      <c r="O323" t="str">
        <f>IFERROR(VLOOKUP(A323,'[1]Sales Order'!A:I,9,FALSE),"Not Specified")</f>
        <v>Destination RVDMF</v>
      </c>
      <c r="P323" t="str">
        <f>IFERROR(VLOOKUP(A323,'[1]Sales Order'!A:N,14,FALSE),"Not Specified")</f>
        <v>Austria</v>
      </c>
      <c r="Q323" t="str">
        <f>VLOOKUP(VLOOKUP(B323,[1]Product!A:C,3,FALSE),[1]Supplier!A:B,2,FALSE)</f>
        <v>Supplier SVIYA</v>
      </c>
      <c r="R323" t="str">
        <f>VLOOKUP(VLOOKUP(B323,[1]Product!A:C,3,FALSE),[1]Supplier!A:I,9,FALSE)</f>
        <v>Germany</v>
      </c>
      <c r="S323" t="str">
        <f>IFERROR(IF(VLOOKUP(A323,'[1]Sales Order'!A:H,8,FALSE)&gt;100,"High Freight","Low Freight"),"Not Specified")</f>
        <v>High Freight</v>
      </c>
      <c r="T323">
        <f t="shared" ref="T323:T386" si="11">C323*D323*(1-E323)</f>
        <v>425.88</v>
      </c>
    </row>
    <row r="324" spans="1:20">
      <c r="A324" s="1">
        <v>10368</v>
      </c>
      <c r="B324" s="2">
        <v>57</v>
      </c>
      <c r="C324" s="2">
        <v>15.6</v>
      </c>
      <c r="D324" s="2">
        <v>25</v>
      </c>
      <c r="E324" s="3">
        <v>0</v>
      </c>
      <c r="F324" s="2" t="str">
        <f>IFERROR(VLOOKUP(VLOOKUP(A324,'[1]Sales Order'!A:B,2,FALSE),[1]Customer!A:C,3,FALSE),"Not Specified")</f>
        <v>Kane, John</v>
      </c>
      <c r="G324" s="2" t="str">
        <f t="shared" si="10"/>
        <v>Kane John</v>
      </c>
      <c r="H324" s="8" t="str">
        <f>IFERROR(VLOOKUP(VLOOKUP(A324,'[1]Sales Order'!A:C,3,FALSE),[1]Employee!A:E,5,FALSE)&amp;" "&amp;VLOOKUP(VLOOKUP(A324,'[1]Sales Order'!A:C,3,FALSE),[1]Employee!A:C,3,FALSE)&amp;" "&amp;VLOOKUP(VLOOKUP(A324,'[1]Sales Order'!A:C,3,FALSE),[1]Employee!A:B,2,FALSE),"Not Specified")</f>
        <v>Dr. Don Funk</v>
      </c>
      <c r="I324" t="str">
        <f>IFERROR(VLOOKUP(VLOOKUP(A324,'[1]Sales Order'!A:C,3,FALSE),[1]Employee!A:J,10,FALSE),"Not Specified")</f>
        <v>WA</v>
      </c>
      <c r="J324" t="str">
        <f>VLOOKUP(B324,[1]Product!A:B,2,FALSE)</f>
        <v>Product OVLQI</v>
      </c>
      <c r="K324" t="str">
        <f>VLOOKUP(VLOOKUP(B324,[1]Product!A:D,4,FALSE),[1]Category!A:B,2,FALSE)</f>
        <v>Grains/Cereals</v>
      </c>
      <c r="L324" s="10">
        <f>IFERROR(VLOOKUP(A324,'[1]Sales Order'!A:D,4,FALSE),"")</f>
        <v>39050</v>
      </c>
      <c r="M324" s="10">
        <f>IFERROR(VLOOKUP(A324,'[1]Sales Order'!A:F,6,FALSE),"")</f>
        <v>39053</v>
      </c>
      <c r="N324" t="str">
        <f>IFERROR(VLOOKUP(VLOOKUP(A324,'[1]Sales Order'!A:G,7,FALSE),[1]Shipper!A:B,2,FALSE),"Not Specified")</f>
        <v>Shipper ETYNR</v>
      </c>
      <c r="O324" t="str">
        <f>IFERROR(VLOOKUP(A324,'[1]Sales Order'!A:I,9,FALSE),"Not Specified")</f>
        <v>Destination RVDMF</v>
      </c>
      <c r="P324" t="str">
        <f>IFERROR(VLOOKUP(A324,'[1]Sales Order'!A:N,14,FALSE),"Not Specified")</f>
        <v>Austria</v>
      </c>
      <c r="Q324" t="str">
        <f>VLOOKUP(VLOOKUP(B324,[1]Product!A:C,3,FALSE),[1]Supplier!A:B,2,FALSE)</f>
        <v>Supplier ZWZDM</v>
      </c>
      <c r="R324" t="str">
        <f>VLOOKUP(VLOOKUP(B324,[1]Product!A:C,3,FALSE),[1]Supplier!A:I,9,FALSE)</f>
        <v>Italy</v>
      </c>
      <c r="S324" t="str">
        <f>IFERROR(IF(VLOOKUP(A324,'[1]Sales Order'!A:H,8,FALSE)&gt;100,"High Freight","Low Freight"),"Not Specified")</f>
        <v>High Freight</v>
      </c>
      <c r="T324">
        <f t="shared" si="11"/>
        <v>390</v>
      </c>
    </row>
    <row r="325" spans="1:20">
      <c r="A325" s="1">
        <v>10368</v>
      </c>
      <c r="B325" s="2">
        <v>64</v>
      </c>
      <c r="C325" s="2">
        <v>26.6</v>
      </c>
      <c r="D325" s="2">
        <v>35</v>
      </c>
      <c r="E325" s="3">
        <v>0.1</v>
      </c>
      <c r="F325" s="2" t="str">
        <f>IFERROR(VLOOKUP(VLOOKUP(A325,'[1]Sales Order'!A:B,2,FALSE),[1]Customer!A:C,3,FALSE),"Not Specified")</f>
        <v>Kane, John</v>
      </c>
      <c r="G325" s="2" t="str">
        <f t="shared" si="10"/>
        <v>Kane John</v>
      </c>
      <c r="H325" s="8" t="str">
        <f>IFERROR(VLOOKUP(VLOOKUP(A325,'[1]Sales Order'!A:C,3,FALSE),[1]Employee!A:E,5,FALSE)&amp;" "&amp;VLOOKUP(VLOOKUP(A325,'[1]Sales Order'!A:C,3,FALSE),[1]Employee!A:C,3,FALSE)&amp;" "&amp;VLOOKUP(VLOOKUP(A325,'[1]Sales Order'!A:C,3,FALSE),[1]Employee!A:B,2,FALSE),"Not Specified")</f>
        <v>Dr. Don Funk</v>
      </c>
      <c r="I325" t="str">
        <f>IFERROR(VLOOKUP(VLOOKUP(A325,'[1]Sales Order'!A:C,3,FALSE),[1]Employee!A:J,10,FALSE),"Not Specified")</f>
        <v>WA</v>
      </c>
      <c r="J325" t="str">
        <f>VLOOKUP(B325,[1]Product!A:B,2,FALSE)</f>
        <v>Product HCQDE</v>
      </c>
      <c r="K325" t="str">
        <f>VLOOKUP(VLOOKUP(B325,[1]Product!A:D,4,FALSE),[1]Category!A:B,2,FALSE)</f>
        <v>Grains/Cereals</v>
      </c>
      <c r="L325" s="10">
        <f>IFERROR(VLOOKUP(A325,'[1]Sales Order'!A:D,4,FALSE),"")</f>
        <v>39050</v>
      </c>
      <c r="M325" s="10">
        <f>IFERROR(VLOOKUP(A325,'[1]Sales Order'!A:F,6,FALSE),"")</f>
        <v>39053</v>
      </c>
      <c r="N325" t="str">
        <f>IFERROR(VLOOKUP(VLOOKUP(A325,'[1]Sales Order'!A:G,7,FALSE),[1]Shipper!A:B,2,FALSE),"Not Specified")</f>
        <v>Shipper ETYNR</v>
      </c>
      <c r="O325" t="str">
        <f>IFERROR(VLOOKUP(A325,'[1]Sales Order'!A:I,9,FALSE),"Not Specified")</f>
        <v>Destination RVDMF</v>
      </c>
      <c r="P325" t="str">
        <f>IFERROR(VLOOKUP(A325,'[1]Sales Order'!A:N,14,FALSE),"Not Specified")</f>
        <v>Austria</v>
      </c>
      <c r="Q325" t="str">
        <f>VLOOKUP(VLOOKUP(B325,[1]Product!A:C,3,FALSE),[1]Supplier!A:B,2,FALSE)</f>
        <v>Supplier SVIYA</v>
      </c>
      <c r="R325" t="str">
        <f>VLOOKUP(VLOOKUP(B325,[1]Product!A:C,3,FALSE),[1]Supplier!A:I,9,FALSE)</f>
        <v>Germany</v>
      </c>
      <c r="S325" t="str">
        <f>IFERROR(IF(VLOOKUP(A325,'[1]Sales Order'!A:H,8,FALSE)&gt;100,"High Freight","Low Freight"),"Not Specified")</f>
        <v>High Freight</v>
      </c>
      <c r="T325">
        <f t="shared" si="11"/>
        <v>837.9</v>
      </c>
    </row>
    <row r="326" spans="1:20">
      <c r="A326" s="1">
        <v>10369</v>
      </c>
      <c r="B326" s="2">
        <v>29</v>
      </c>
      <c r="C326" s="2">
        <v>99</v>
      </c>
      <c r="D326" s="2">
        <v>20</v>
      </c>
      <c r="E326" s="3">
        <v>0</v>
      </c>
      <c r="F326" s="2" t="str">
        <f>IFERROR(VLOOKUP(VLOOKUP(A326,'[1]Sales Order'!A:B,2,FALSE),[1]Customer!A:C,3,FALSE),"Not Specified")</f>
        <v>Wojciechowska, Agnieszka</v>
      </c>
      <c r="G326" s="2" t="str">
        <f t="shared" si="10"/>
        <v>Wojciechowska Agnieszka</v>
      </c>
      <c r="H326" s="8" t="str">
        <f>IFERROR(VLOOKUP(VLOOKUP(A326,'[1]Sales Order'!A:C,3,FALSE),[1]Employee!A:E,5,FALSE)&amp;" "&amp;VLOOKUP(VLOOKUP(A326,'[1]Sales Order'!A:C,3,FALSE),[1]Employee!A:C,3,FALSE)&amp;" "&amp;VLOOKUP(VLOOKUP(A326,'[1]Sales Order'!A:C,3,FALSE),[1]Employee!A:B,2,FALSE),"Not Specified")</f>
        <v>Ms. Maria Cameron</v>
      </c>
      <c r="I326" t="str">
        <f>IFERROR(VLOOKUP(VLOOKUP(A326,'[1]Sales Order'!A:C,3,FALSE),[1]Employee!A:J,10,FALSE),"Not Specified")</f>
        <v>WA</v>
      </c>
      <c r="J326" t="str">
        <f>VLOOKUP(B326,[1]Product!A:B,2,FALSE)</f>
        <v>Product VJXYN</v>
      </c>
      <c r="K326" t="str">
        <f>VLOOKUP(VLOOKUP(B326,[1]Product!A:D,4,FALSE),[1]Category!A:B,2,FALSE)</f>
        <v>Meat/Poultry</v>
      </c>
      <c r="L326" s="10">
        <f>IFERROR(VLOOKUP(A326,'[1]Sales Order'!A:D,4,FALSE),"")</f>
        <v>39053</v>
      </c>
      <c r="M326" s="10">
        <f>IFERROR(VLOOKUP(A326,'[1]Sales Order'!A:F,6,FALSE),"")</f>
        <v>39060</v>
      </c>
      <c r="N326" t="str">
        <f>IFERROR(VLOOKUP(VLOOKUP(A326,'[1]Sales Order'!A:G,7,FALSE),[1]Shipper!A:B,2,FALSE),"Not Specified")</f>
        <v>Shipper ETYNR</v>
      </c>
      <c r="O326" t="str">
        <f>IFERROR(VLOOKUP(A326,'[1]Sales Order'!A:I,9,FALSE),"Not Specified")</f>
        <v>Ship to 75-C</v>
      </c>
      <c r="P326" t="str">
        <f>IFERROR(VLOOKUP(A326,'[1]Sales Order'!A:N,14,FALSE),"Not Specified")</f>
        <v>USA</v>
      </c>
      <c r="Q326" t="str">
        <f>VLOOKUP(VLOOKUP(B326,[1]Product!A:C,3,FALSE),[1]Supplier!A:B,2,FALSE)</f>
        <v>Supplier SVIYA</v>
      </c>
      <c r="R326" t="str">
        <f>VLOOKUP(VLOOKUP(B326,[1]Product!A:C,3,FALSE),[1]Supplier!A:I,9,FALSE)</f>
        <v>Germany</v>
      </c>
      <c r="S326" t="str">
        <f>IFERROR(IF(VLOOKUP(A326,'[1]Sales Order'!A:H,8,FALSE)&gt;100,"High Freight","Low Freight"),"Not Specified")</f>
        <v>High Freight</v>
      </c>
      <c r="T326">
        <f t="shared" si="11"/>
        <v>1980</v>
      </c>
    </row>
    <row r="327" spans="1:20">
      <c r="A327" s="1">
        <v>10369</v>
      </c>
      <c r="B327" s="2">
        <v>56</v>
      </c>
      <c r="C327" s="2">
        <v>30.4</v>
      </c>
      <c r="D327" s="2">
        <v>18</v>
      </c>
      <c r="E327" s="3">
        <v>0.25</v>
      </c>
      <c r="F327" s="2" t="str">
        <f>IFERROR(VLOOKUP(VLOOKUP(A327,'[1]Sales Order'!A:B,2,FALSE),[1]Customer!A:C,3,FALSE),"Not Specified")</f>
        <v>Wojciechowska, Agnieszka</v>
      </c>
      <c r="G327" s="2" t="str">
        <f t="shared" si="10"/>
        <v>Wojciechowska Agnieszka</v>
      </c>
      <c r="H327" s="8" t="str">
        <f>IFERROR(VLOOKUP(VLOOKUP(A327,'[1]Sales Order'!A:C,3,FALSE),[1]Employee!A:E,5,FALSE)&amp;" "&amp;VLOOKUP(VLOOKUP(A327,'[1]Sales Order'!A:C,3,FALSE),[1]Employee!A:C,3,FALSE)&amp;" "&amp;VLOOKUP(VLOOKUP(A327,'[1]Sales Order'!A:C,3,FALSE),[1]Employee!A:B,2,FALSE),"Not Specified")</f>
        <v>Ms. Maria Cameron</v>
      </c>
      <c r="I327" t="str">
        <f>IFERROR(VLOOKUP(VLOOKUP(A327,'[1]Sales Order'!A:C,3,FALSE),[1]Employee!A:J,10,FALSE),"Not Specified")</f>
        <v>WA</v>
      </c>
      <c r="J327" t="str">
        <f>VLOOKUP(B327,[1]Product!A:B,2,FALSE)</f>
        <v>Product VKCMF</v>
      </c>
      <c r="K327" t="str">
        <f>VLOOKUP(VLOOKUP(B327,[1]Product!A:D,4,FALSE),[1]Category!A:B,2,FALSE)</f>
        <v>Grains/Cereals</v>
      </c>
      <c r="L327" s="10">
        <f>IFERROR(VLOOKUP(A327,'[1]Sales Order'!A:D,4,FALSE),"")</f>
        <v>39053</v>
      </c>
      <c r="M327" s="10">
        <f>IFERROR(VLOOKUP(A327,'[1]Sales Order'!A:F,6,FALSE),"")</f>
        <v>39060</v>
      </c>
      <c r="N327" t="str">
        <f>IFERROR(VLOOKUP(VLOOKUP(A327,'[1]Sales Order'!A:G,7,FALSE),[1]Shipper!A:B,2,FALSE),"Not Specified")</f>
        <v>Shipper ETYNR</v>
      </c>
      <c r="O327" t="str">
        <f>IFERROR(VLOOKUP(A327,'[1]Sales Order'!A:I,9,FALSE),"Not Specified")</f>
        <v>Ship to 75-C</v>
      </c>
      <c r="P327" t="str">
        <f>IFERROR(VLOOKUP(A327,'[1]Sales Order'!A:N,14,FALSE),"Not Specified")</f>
        <v>USA</v>
      </c>
      <c r="Q327" t="str">
        <f>VLOOKUP(VLOOKUP(B327,[1]Product!A:C,3,FALSE),[1]Supplier!A:B,2,FALSE)</f>
        <v>Supplier ZWZDM</v>
      </c>
      <c r="R327" t="str">
        <f>VLOOKUP(VLOOKUP(B327,[1]Product!A:C,3,FALSE),[1]Supplier!A:I,9,FALSE)</f>
        <v>Italy</v>
      </c>
      <c r="S327" t="str">
        <f>IFERROR(IF(VLOOKUP(A327,'[1]Sales Order'!A:H,8,FALSE)&gt;100,"High Freight","Low Freight"),"Not Specified")</f>
        <v>High Freight</v>
      </c>
      <c r="T327">
        <f t="shared" si="11"/>
        <v>410.4</v>
      </c>
    </row>
    <row r="328" spans="1:20">
      <c r="A328" s="1">
        <v>10370</v>
      </c>
      <c r="B328" s="2">
        <v>1</v>
      </c>
      <c r="C328" s="2">
        <v>14.4</v>
      </c>
      <c r="D328" s="2">
        <v>15</v>
      </c>
      <c r="E328" s="3">
        <v>0.15</v>
      </c>
      <c r="F328" s="2" t="str">
        <f>IFERROR(VLOOKUP(VLOOKUP(A328,'[1]Sales Order'!A:B,2,FALSE),[1]Customer!A:C,3,FALSE),"Not Specified")</f>
        <v>Jelitto, Jacek</v>
      </c>
      <c r="G328" s="2" t="str">
        <f t="shared" si="10"/>
        <v>Jelitto Jacek</v>
      </c>
      <c r="H328" s="8" t="str">
        <f>IFERROR(VLOOKUP(VLOOKUP(A328,'[1]Sales Order'!A:C,3,FALSE),[1]Employee!A:E,5,FALSE)&amp;" "&amp;VLOOKUP(VLOOKUP(A328,'[1]Sales Order'!A:C,3,FALSE),[1]Employee!A:C,3,FALSE)&amp;" "&amp;VLOOKUP(VLOOKUP(A328,'[1]Sales Order'!A:C,3,FALSE),[1]Employee!A:B,2,FALSE),"Not Specified")</f>
        <v>Mr. Paul Suurs</v>
      </c>
      <c r="I328">
        <f>IFERROR(VLOOKUP(VLOOKUP(A328,'[1]Sales Order'!A:C,3,FALSE),[1]Employee!A:J,10,FALSE),"Not Specified")</f>
        <v>0</v>
      </c>
      <c r="J328" t="str">
        <f>VLOOKUP(B328,[1]Product!A:B,2,FALSE)</f>
        <v>Product HHYDP</v>
      </c>
      <c r="K328" t="str">
        <f>VLOOKUP(VLOOKUP(B328,[1]Product!A:D,4,FALSE),[1]Category!A:B,2,FALSE)</f>
        <v>Beverages</v>
      </c>
      <c r="L328" s="10">
        <f>IFERROR(VLOOKUP(A328,'[1]Sales Order'!A:D,4,FALSE),"")</f>
        <v>39054</v>
      </c>
      <c r="M328" s="10">
        <f>IFERROR(VLOOKUP(A328,'[1]Sales Order'!A:F,6,FALSE),"")</f>
        <v>39078</v>
      </c>
      <c r="N328" t="str">
        <f>IFERROR(VLOOKUP(VLOOKUP(A328,'[1]Sales Order'!A:G,7,FALSE),[1]Shipper!A:B,2,FALSE),"Not Specified")</f>
        <v>Shipper ETYNR</v>
      </c>
      <c r="O328" t="str">
        <f>IFERROR(VLOOKUP(A328,'[1]Sales Order'!A:I,9,FALSE),"Not Specified")</f>
        <v>Destination YUJRD</v>
      </c>
      <c r="P328" t="str">
        <f>IFERROR(VLOOKUP(A328,'[1]Sales Order'!A:N,14,FALSE),"Not Specified")</f>
        <v>Switzerland</v>
      </c>
      <c r="Q328" t="str">
        <f>VLOOKUP(VLOOKUP(B328,[1]Product!A:C,3,FALSE),[1]Supplier!A:B,2,FALSE)</f>
        <v>Supplier SWRXU</v>
      </c>
      <c r="R328" t="str">
        <f>VLOOKUP(VLOOKUP(B328,[1]Product!A:C,3,FALSE),[1]Supplier!A:I,9,FALSE)</f>
        <v>UK</v>
      </c>
      <c r="S328" t="str">
        <f>IFERROR(IF(VLOOKUP(A328,'[1]Sales Order'!A:H,8,FALSE)&gt;100,"High Freight","Low Freight"),"Not Specified")</f>
        <v>Low Freight</v>
      </c>
      <c r="T328">
        <f t="shared" si="11"/>
        <v>183.6</v>
      </c>
    </row>
    <row r="329" spans="1:20">
      <c r="A329" s="1">
        <v>10370</v>
      </c>
      <c r="B329" s="2">
        <v>64</v>
      </c>
      <c r="C329" s="2">
        <v>26.6</v>
      </c>
      <c r="D329" s="2">
        <v>30</v>
      </c>
      <c r="E329" s="3">
        <v>0</v>
      </c>
      <c r="F329" s="2" t="str">
        <f>IFERROR(VLOOKUP(VLOOKUP(A329,'[1]Sales Order'!A:B,2,FALSE),[1]Customer!A:C,3,FALSE),"Not Specified")</f>
        <v>Jelitto, Jacek</v>
      </c>
      <c r="G329" s="2" t="str">
        <f t="shared" si="10"/>
        <v>Jelitto Jacek</v>
      </c>
      <c r="H329" s="8" t="str">
        <f>IFERROR(VLOOKUP(VLOOKUP(A329,'[1]Sales Order'!A:C,3,FALSE),[1]Employee!A:E,5,FALSE)&amp;" "&amp;VLOOKUP(VLOOKUP(A329,'[1]Sales Order'!A:C,3,FALSE),[1]Employee!A:C,3,FALSE)&amp;" "&amp;VLOOKUP(VLOOKUP(A329,'[1]Sales Order'!A:C,3,FALSE),[1]Employee!A:B,2,FALSE),"Not Specified")</f>
        <v>Mr. Paul Suurs</v>
      </c>
      <c r="I329">
        <f>IFERROR(VLOOKUP(VLOOKUP(A329,'[1]Sales Order'!A:C,3,FALSE),[1]Employee!A:J,10,FALSE),"Not Specified")</f>
        <v>0</v>
      </c>
      <c r="J329" t="str">
        <f>VLOOKUP(B329,[1]Product!A:B,2,FALSE)</f>
        <v>Product HCQDE</v>
      </c>
      <c r="K329" t="str">
        <f>VLOOKUP(VLOOKUP(B329,[1]Product!A:D,4,FALSE),[1]Category!A:B,2,FALSE)</f>
        <v>Grains/Cereals</v>
      </c>
      <c r="L329" s="10">
        <f>IFERROR(VLOOKUP(A329,'[1]Sales Order'!A:D,4,FALSE),"")</f>
        <v>39054</v>
      </c>
      <c r="M329" s="10">
        <f>IFERROR(VLOOKUP(A329,'[1]Sales Order'!A:F,6,FALSE),"")</f>
        <v>39078</v>
      </c>
      <c r="N329" t="str">
        <f>IFERROR(VLOOKUP(VLOOKUP(A329,'[1]Sales Order'!A:G,7,FALSE),[1]Shipper!A:B,2,FALSE),"Not Specified")</f>
        <v>Shipper ETYNR</v>
      </c>
      <c r="O329" t="str">
        <f>IFERROR(VLOOKUP(A329,'[1]Sales Order'!A:I,9,FALSE),"Not Specified")</f>
        <v>Destination YUJRD</v>
      </c>
      <c r="P329" t="str">
        <f>IFERROR(VLOOKUP(A329,'[1]Sales Order'!A:N,14,FALSE),"Not Specified")</f>
        <v>Switzerland</v>
      </c>
      <c r="Q329" t="str">
        <f>VLOOKUP(VLOOKUP(B329,[1]Product!A:C,3,FALSE),[1]Supplier!A:B,2,FALSE)</f>
        <v>Supplier SVIYA</v>
      </c>
      <c r="R329" t="str">
        <f>VLOOKUP(VLOOKUP(B329,[1]Product!A:C,3,FALSE),[1]Supplier!A:I,9,FALSE)</f>
        <v>Germany</v>
      </c>
      <c r="S329" t="str">
        <f>IFERROR(IF(VLOOKUP(A329,'[1]Sales Order'!A:H,8,FALSE)&gt;100,"High Freight","Low Freight"),"Not Specified")</f>
        <v>Low Freight</v>
      </c>
      <c r="T329">
        <f t="shared" si="11"/>
        <v>798</v>
      </c>
    </row>
    <row r="330" spans="1:20">
      <c r="A330" s="1">
        <v>10370</v>
      </c>
      <c r="B330" s="2">
        <v>74</v>
      </c>
      <c r="C330" s="2">
        <v>8</v>
      </c>
      <c r="D330" s="2">
        <v>20</v>
      </c>
      <c r="E330" s="3">
        <v>0.15</v>
      </c>
      <c r="F330" s="2" t="str">
        <f>IFERROR(VLOOKUP(VLOOKUP(A330,'[1]Sales Order'!A:B,2,FALSE),[1]Customer!A:C,3,FALSE),"Not Specified")</f>
        <v>Jelitto, Jacek</v>
      </c>
      <c r="G330" s="2" t="str">
        <f t="shared" si="10"/>
        <v>Jelitto Jacek</v>
      </c>
      <c r="H330" s="8" t="str">
        <f>IFERROR(VLOOKUP(VLOOKUP(A330,'[1]Sales Order'!A:C,3,FALSE),[1]Employee!A:E,5,FALSE)&amp;" "&amp;VLOOKUP(VLOOKUP(A330,'[1]Sales Order'!A:C,3,FALSE),[1]Employee!A:C,3,FALSE)&amp;" "&amp;VLOOKUP(VLOOKUP(A330,'[1]Sales Order'!A:C,3,FALSE),[1]Employee!A:B,2,FALSE),"Not Specified")</f>
        <v>Mr. Paul Suurs</v>
      </c>
      <c r="I330">
        <f>IFERROR(VLOOKUP(VLOOKUP(A330,'[1]Sales Order'!A:C,3,FALSE),[1]Employee!A:J,10,FALSE),"Not Specified")</f>
        <v>0</v>
      </c>
      <c r="J330" t="str">
        <f>VLOOKUP(B330,[1]Product!A:B,2,FALSE)</f>
        <v>Product BKAZJ</v>
      </c>
      <c r="K330" t="str">
        <f>VLOOKUP(VLOOKUP(B330,[1]Product!A:D,4,FALSE),[1]Category!A:B,2,FALSE)</f>
        <v>Produce</v>
      </c>
      <c r="L330" s="10">
        <f>IFERROR(VLOOKUP(A330,'[1]Sales Order'!A:D,4,FALSE),"")</f>
        <v>39054</v>
      </c>
      <c r="M330" s="10">
        <f>IFERROR(VLOOKUP(A330,'[1]Sales Order'!A:F,6,FALSE),"")</f>
        <v>39078</v>
      </c>
      <c r="N330" t="str">
        <f>IFERROR(VLOOKUP(VLOOKUP(A330,'[1]Sales Order'!A:G,7,FALSE),[1]Shipper!A:B,2,FALSE),"Not Specified")</f>
        <v>Shipper ETYNR</v>
      </c>
      <c r="O330" t="str">
        <f>IFERROR(VLOOKUP(A330,'[1]Sales Order'!A:I,9,FALSE),"Not Specified")</f>
        <v>Destination YUJRD</v>
      </c>
      <c r="P330" t="str">
        <f>IFERROR(VLOOKUP(A330,'[1]Sales Order'!A:N,14,FALSE),"Not Specified")</f>
        <v>Switzerland</v>
      </c>
      <c r="Q330" t="str">
        <f>VLOOKUP(VLOOKUP(B330,[1]Product!A:C,3,FALSE),[1]Supplier!A:B,2,FALSE)</f>
        <v>Supplier QOVFD</v>
      </c>
      <c r="R330" t="str">
        <f>VLOOKUP(VLOOKUP(B330,[1]Product!A:C,3,FALSE),[1]Supplier!A:I,9,FALSE)</f>
        <v>Japan</v>
      </c>
      <c r="S330" t="str">
        <f>IFERROR(IF(VLOOKUP(A330,'[1]Sales Order'!A:H,8,FALSE)&gt;100,"High Freight","Low Freight"),"Not Specified")</f>
        <v>Low Freight</v>
      </c>
      <c r="T330">
        <f t="shared" si="11"/>
        <v>136</v>
      </c>
    </row>
    <row r="331" spans="1:20">
      <c r="A331" s="1">
        <v>10371</v>
      </c>
      <c r="B331" s="2">
        <v>36</v>
      </c>
      <c r="C331" s="2">
        <v>15.2</v>
      </c>
      <c r="D331" s="2">
        <v>6</v>
      </c>
      <c r="E331" s="3">
        <v>0.2</v>
      </c>
      <c r="F331" s="2" t="str">
        <f>IFERROR(VLOOKUP(VLOOKUP(A331,'[1]Sales Order'!A:B,2,FALSE),[1]Customer!A:C,3,FALSE),"Not Specified")</f>
        <v>Litton, Tim</v>
      </c>
      <c r="G331" s="2" t="str">
        <f t="shared" si="10"/>
        <v>Litton Tim</v>
      </c>
      <c r="H331" s="8" t="str">
        <f>IFERROR(VLOOKUP(VLOOKUP(A331,'[1]Sales Order'!A:C,3,FALSE),[1]Employee!A:E,5,FALSE)&amp;" "&amp;VLOOKUP(VLOOKUP(A331,'[1]Sales Order'!A:C,3,FALSE),[1]Employee!A:C,3,FALSE)&amp;" "&amp;VLOOKUP(VLOOKUP(A331,'[1]Sales Order'!A:C,3,FALSE),[1]Employee!A:B,2,FALSE),"Not Specified")</f>
        <v>Ms. Sara Davis</v>
      </c>
      <c r="I331" t="str">
        <f>IFERROR(VLOOKUP(VLOOKUP(A331,'[1]Sales Order'!A:C,3,FALSE),[1]Employee!A:J,10,FALSE),"Not Specified")</f>
        <v>WA</v>
      </c>
      <c r="J331" t="str">
        <f>VLOOKUP(B331,[1]Product!A:B,2,FALSE)</f>
        <v>Product GMKIJ</v>
      </c>
      <c r="K331" t="str">
        <f>VLOOKUP(VLOOKUP(B331,[1]Product!A:D,4,FALSE),[1]Category!A:B,2,FALSE)</f>
        <v>Seafood</v>
      </c>
      <c r="L331" s="10">
        <f>IFERROR(VLOOKUP(A331,'[1]Sales Order'!A:D,4,FALSE),"")</f>
        <v>39054</v>
      </c>
      <c r="M331" s="10">
        <f>IFERROR(VLOOKUP(A331,'[1]Sales Order'!A:F,6,FALSE),"")</f>
        <v>39075</v>
      </c>
      <c r="N331" t="str">
        <f>IFERROR(VLOOKUP(VLOOKUP(A331,'[1]Sales Order'!A:G,7,FALSE),[1]Shipper!A:B,2,FALSE),"Not Specified")</f>
        <v>Shipper GVSUA</v>
      </c>
      <c r="O331" t="str">
        <f>IFERROR(VLOOKUP(A331,'[1]Sales Order'!A:I,9,FALSE),"Not Specified")</f>
        <v>Ship to 41-C</v>
      </c>
      <c r="P331" t="str">
        <f>IFERROR(VLOOKUP(A331,'[1]Sales Order'!A:N,14,FALSE),"Not Specified")</f>
        <v>France</v>
      </c>
      <c r="Q331" t="str">
        <f>VLOOKUP(VLOOKUP(B331,[1]Product!A:C,3,FALSE),[1]Supplier!A:B,2,FALSE)</f>
        <v>Supplier QZGUF</v>
      </c>
      <c r="R331" t="str">
        <f>VLOOKUP(VLOOKUP(B331,[1]Product!A:C,3,FALSE),[1]Supplier!A:I,9,FALSE)</f>
        <v>Sweden</v>
      </c>
      <c r="S331" t="str">
        <f>IFERROR(IF(VLOOKUP(A331,'[1]Sales Order'!A:H,8,FALSE)&gt;100,"High Freight","Low Freight"),"Not Specified")</f>
        <v>Low Freight</v>
      </c>
      <c r="T331">
        <f t="shared" si="11"/>
        <v>72.959999999999994</v>
      </c>
    </row>
    <row r="332" spans="1:20">
      <c r="A332" s="1">
        <v>10372</v>
      </c>
      <c r="B332" s="2">
        <v>20</v>
      </c>
      <c r="C332" s="2">
        <v>64.8</v>
      </c>
      <c r="D332" s="2">
        <v>12</v>
      </c>
      <c r="E332" s="3">
        <v>0.25</v>
      </c>
      <c r="F332" s="2" t="str">
        <f>IFERROR(VLOOKUP(VLOOKUP(A332,'[1]Sales Order'!A:B,2,FALSE),[1]Customer!A:C,3,FALSE),"Not Specified")</f>
        <v>Misiec, Anna</v>
      </c>
      <c r="G332" s="2" t="str">
        <f t="shared" si="10"/>
        <v>Misiec Anna</v>
      </c>
      <c r="H332" s="8" t="str">
        <f>IFERROR(VLOOKUP(VLOOKUP(A332,'[1]Sales Order'!A:C,3,FALSE),[1]Employee!A:E,5,FALSE)&amp;" "&amp;VLOOKUP(VLOOKUP(A332,'[1]Sales Order'!A:C,3,FALSE),[1]Employee!A:C,3,FALSE)&amp;" "&amp;VLOOKUP(VLOOKUP(A332,'[1]Sales Order'!A:C,3,FALSE),[1]Employee!A:B,2,FALSE),"Not Specified")</f>
        <v>Mr. Sven Buck</v>
      </c>
      <c r="I332">
        <f>IFERROR(VLOOKUP(VLOOKUP(A332,'[1]Sales Order'!A:C,3,FALSE),[1]Employee!A:J,10,FALSE),"Not Specified")</f>
        <v>0</v>
      </c>
      <c r="J332" t="str">
        <f>VLOOKUP(B332,[1]Product!A:B,2,FALSE)</f>
        <v>Product QHFFP</v>
      </c>
      <c r="K332" t="str">
        <f>VLOOKUP(VLOOKUP(B332,[1]Product!A:D,4,FALSE),[1]Category!A:B,2,FALSE)</f>
        <v>Confections</v>
      </c>
      <c r="L332" s="10">
        <f>IFERROR(VLOOKUP(A332,'[1]Sales Order'!A:D,4,FALSE),"")</f>
        <v>39055</v>
      </c>
      <c r="M332" s="10">
        <f>IFERROR(VLOOKUP(A332,'[1]Sales Order'!A:F,6,FALSE),"")</f>
        <v>39060</v>
      </c>
      <c r="N332" t="str">
        <f>IFERROR(VLOOKUP(VLOOKUP(A332,'[1]Sales Order'!A:G,7,FALSE),[1]Shipper!A:B,2,FALSE),"Not Specified")</f>
        <v>Shipper ETYNR</v>
      </c>
      <c r="O332" t="str">
        <f>IFERROR(VLOOKUP(A332,'[1]Sales Order'!A:I,9,FALSE),"Not Specified")</f>
        <v>Ship to 62-A</v>
      </c>
      <c r="P332" t="str">
        <f>IFERROR(VLOOKUP(A332,'[1]Sales Order'!A:N,14,FALSE),"Not Specified")</f>
        <v>Brazil</v>
      </c>
      <c r="Q332" t="str">
        <f>VLOOKUP(VLOOKUP(B332,[1]Product!A:C,3,FALSE),[1]Supplier!A:B,2,FALSE)</f>
        <v>Supplier BWGYE</v>
      </c>
      <c r="R332" t="str">
        <f>VLOOKUP(VLOOKUP(B332,[1]Product!A:C,3,FALSE),[1]Supplier!A:I,9,FALSE)</f>
        <v>UK</v>
      </c>
      <c r="S332" t="str">
        <f>IFERROR(IF(VLOOKUP(A332,'[1]Sales Order'!A:H,8,FALSE)&gt;100,"High Freight","Low Freight"),"Not Specified")</f>
        <v>High Freight</v>
      </c>
      <c r="T332">
        <f t="shared" si="11"/>
        <v>583.19999999999993</v>
      </c>
    </row>
    <row r="333" spans="1:20">
      <c r="A333" s="1">
        <v>10372</v>
      </c>
      <c r="B333" s="2">
        <v>38</v>
      </c>
      <c r="C333" s="2">
        <v>210.8</v>
      </c>
      <c r="D333" s="2">
        <v>40</v>
      </c>
      <c r="E333" s="3">
        <v>0.25</v>
      </c>
      <c r="F333" s="2" t="str">
        <f>IFERROR(VLOOKUP(VLOOKUP(A333,'[1]Sales Order'!A:B,2,FALSE),[1]Customer!A:C,3,FALSE),"Not Specified")</f>
        <v>Misiec, Anna</v>
      </c>
      <c r="G333" s="2" t="str">
        <f t="shared" si="10"/>
        <v>Misiec Anna</v>
      </c>
      <c r="H333" s="8" t="str">
        <f>IFERROR(VLOOKUP(VLOOKUP(A333,'[1]Sales Order'!A:C,3,FALSE),[1]Employee!A:E,5,FALSE)&amp;" "&amp;VLOOKUP(VLOOKUP(A333,'[1]Sales Order'!A:C,3,FALSE),[1]Employee!A:C,3,FALSE)&amp;" "&amp;VLOOKUP(VLOOKUP(A333,'[1]Sales Order'!A:C,3,FALSE),[1]Employee!A:B,2,FALSE),"Not Specified")</f>
        <v>Mr. Sven Buck</v>
      </c>
      <c r="I333">
        <f>IFERROR(VLOOKUP(VLOOKUP(A333,'[1]Sales Order'!A:C,3,FALSE),[1]Employee!A:J,10,FALSE),"Not Specified")</f>
        <v>0</v>
      </c>
      <c r="J333" t="str">
        <f>VLOOKUP(B333,[1]Product!A:B,2,FALSE)</f>
        <v>Product QDOMO</v>
      </c>
      <c r="K333" t="str">
        <f>VLOOKUP(VLOOKUP(B333,[1]Product!A:D,4,FALSE),[1]Category!A:B,2,FALSE)</f>
        <v>Beverages</v>
      </c>
      <c r="L333" s="10">
        <f>IFERROR(VLOOKUP(A333,'[1]Sales Order'!A:D,4,FALSE),"")</f>
        <v>39055</v>
      </c>
      <c r="M333" s="10">
        <f>IFERROR(VLOOKUP(A333,'[1]Sales Order'!A:F,6,FALSE),"")</f>
        <v>39060</v>
      </c>
      <c r="N333" t="str">
        <f>IFERROR(VLOOKUP(VLOOKUP(A333,'[1]Sales Order'!A:G,7,FALSE),[1]Shipper!A:B,2,FALSE),"Not Specified")</f>
        <v>Shipper ETYNR</v>
      </c>
      <c r="O333" t="str">
        <f>IFERROR(VLOOKUP(A333,'[1]Sales Order'!A:I,9,FALSE),"Not Specified")</f>
        <v>Ship to 62-A</v>
      </c>
      <c r="P333" t="str">
        <f>IFERROR(VLOOKUP(A333,'[1]Sales Order'!A:N,14,FALSE),"Not Specified")</f>
        <v>Brazil</v>
      </c>
      <c r="Q333" t="str">
        <f>VLOOKUP(VLOOKUP(B333,[1]Product!A:C,3,FALSE),[1]Supplier!A:B,2,FALSE)</f>
        <v>Supplier LVJUA</v>
      </c>
      <c r="R333" t="str">
        <f>VLOOKUP(VLOOKUP(B333,[1]Product!A:C,3,FALSE),[1]Supplier!A:I,9,FALSE)</f>
        <v>France</v>
      </c>
      <c r="S333" t="str">
        <f>IFERROR(IF(VLOOKUP(A333,'[1]Sales Order'!A:H,8,FALSE)&gt;100,"High Freight","Low Freight"),"Not Specified")</f>
        <v>High Freight</v>
      </c>
      <c r="T333">
        <f t="shared" si="11"/>
        <v>6324</v>
      </c>
    </row>
    <row r="334" spans="1:20">
      <c r="A334" s="1">
        <v>10372</v>
      </c>
      <c r="B334" s="2">
        <v>60</v>
      </c>
      <c r="C334" s="2">
        <v>27.2</v>
      </c>
      <c r="D334" s="2">
        <v>70</v>
      </c>
      <c r="E334" s="3">
        <v>0.25</v>
      </c>
      <c r="F334" s="2" t="str">
        <f>IFERROR(VLOOKUP(VLOOKUP(A334,'[1]Sales Order'!A:B,2,FALSE),[1]Customer!A:C,3,FALSE),"Not Specified")</f>
        <v>Misiec, Anna</v>
      </c>
      <c r="G334" s="2" t="str">
        <f t="shared" si="10"/>
        <v>Misiec Anna</v>
      </c>
      <c r="H334" s="8" t="str">
        <f>IFERROR(VLOOKUP(VLOOKUP(A334,'[1]Sales Order'!A:C,3,FALSE),[1]Employee!A:E,5,FALSE)&amp;" "&amp;VLOOKUP(VLOOKUP(A334,'[1]Sales Order'!A:C,3,FALSE),[1]Employee!A:C,3,FALSE)&amp;" "&amp;VLOOKUP(VLOOKUP(A334,'[1]Sales Order'!A:C,3,FALSE),[1]Employee!A:B,2,FALSE),"Not Specified")</f>
        <v>Mr. Sven Buck</v>
      </c>
      <c r="I334">
        <f>IFERROR(VLOOKUP(VLOOKUP(A334,'[1]Sales Order'!A:C,3,FALSE),[1]Employee!A:J,10,FALSE),"Not Specified")</f>
        <v>0</v>
      </c>
      <c r="J334" t="str">
        <f>VLOOKUP(B334,[1]Product!A:B,2,FALSE)</f>
        <v>Product WHBYK</v>
      </c>
      <c r="K334" t="str">
        <f>VLOOKUP(VLOOKUP(B334,[1]Product!A:D,4,FALSE),[1]Category!A:B,2,FALSE)</f>
        <v>Dairy Product</v>
      </c>
      <c r="L334" s="10">
        <f>IFERROR(VLOOKUP(A334,'[1]Sales Order'!A:D,4,FALSE),"")</f>
        <v>39055</v>
      </c>
      <c r="M334" s="10">
        <f>IFERROR(VLOOKUP(A334,'[1]Sales Order'!A:F,6,FALSE),"")</f>
        <v>39060</v>
      </c>
      <c r="N334" t="str">
        <f>IFERROR(VLOOKUP(VLOOKUP(A334,'[1]Sales Order'!A:G,7,FALSE),[1]Shipper!A:B,2,FALSE),"Not Specified")</f>
        <v>Shipper ETYNR</v>
      </c>
      <c r="O334" t="str">
        <f>IFERROR(VLOOKUP(A334,'[1]Sales Order'!A:I,9,FALSE),"Not Specified")</f>
        <v>Ship to 62-A</v>
      </c>
      <c r="P334" t="str">
        <f>IFERROR(VLOOKUP(A334,'[1]Sales Order'!A:N,14,FALSE),"Not Specified")</f>
        <v>Brazil</v>
      </c>
      <c r="Q334" t="str">
        <f>VLOOKUP(VLOOKUP(B334,[1]Product!A:C,3,FALSE),[1]Supplier!A:B,2,FALSE)</f>
        <v>Supplier OAVQT</v>
      </c>
      <c r="R334" t="str">
        <f>VLOOKUP(VLOOKUP(B334,[1]Product!A:C,3,FALSE),[1]Supplier!A:I,9,FALSE)</f>
        <v>France</v>
      </c>
      <c r="S334" t="str">
        <f>IFERROR(IF(VLOOKUP(A334,'[1]Sales Order'!A:H,8,FALSE)&gt;100,"High Freight","Low Freight"),"Not Specified")</f>
        <v>High Freight</v>
      </c>
      <c r="T334">
        <f t="shared" si="11"/>
        <v>1428</v>
      </c>
    </row>
    <row r="335" spans="1:20">
      <c r="A335" s="1">
        <v>10372</v>
      </c>
      <c r="B335" s="2">
        <v>72</v>
      </c>
      <c r="C335" s="2">
        <v>27.8</v>
      </c>
      <c r="D335" s="2">
        <v>42</v>
      </c>
      <c r="E335" s="3">
        <v>0.25</v>
      </c>
      <c r="F335" s="2" t="str">
        <f>IFERROR(VLOOKUP(VLOOKUP(A335,'[1]Sales Order'!A:B,2,FALSE),[1]Customer!A:C,3,FALSE),"Not Specified")</f>
        <v>Misiec, Anna</v>
      </c>
      <c r="G335" s="2" t="str">
        <f t="shared" si="10"/>
        <v>Misiec Anna</v>
      </c>
      <c r="H335" s="8" t="str">
        <f>IFERROR(VLOOKUP(VLOOKUP(A335,'[1]Sales Order'!A:C,3,FALSE),[1]Employee!A:E,5,FALSE)&amp;" "&amp;VLOOKUP(VLOOKUP(A335,'[1]Sales Order'!A:C,3,FALSE),[1]Employee!A:C,3,FALSE)&amp;" "&amp;VLOOKUP(VLOOKUP(A335,'[1]Sales Order'!A:C,3,FALSE),[1]Employee!A:B,2,FALSE),"Not Specified")</f>
        <v>Mr. Sven Buck</v>
      </c>
      <c r="I335">
        <f>IFERROR(VLOOKUP(VLOOKUP(A335,'[1]Sales Order'!A:C,3,FALSE),[1]Employee!A:J,10,FALSE),"Not Specified")</f>
        <v>0</v>
      </c>
      <c r="J335" t="str">
        <f>VLOOKUP(B335,[1]Product!A:B,2,FALSE)</f>
        <v>Product GEEOO</v>
      </c>
      <c r="K335" t="str">
        <f>VLOOKUP(VLOOKUP(B335,[1]Product!A:D,4,FALSE),[1]Category!A:B,2,FALSE)</f>
        <v>Dairy Product</v>
      </c>
      <c r="L335" s="10">
        <f>IFERROR(VLOOKUP(A335,'[1]Sales Order'!A:D,4,FALSE),"")</f>
        <v>39055</v>
      </c>
      <c r="M335" s="10">
        <f>IFERROR(VLOOKUP(A335,'[1]Sales Order'!A:F,6,FALSE),"")</f>
        <v>39060</v>
      </c>
      <c r="N335" t="str">
        <f>IFERROR(VLOOKUP(VLOOKUP(A335,'[1]Sales Order'!A:G,7,FALSE),[1]Shipper!A:B,2,FALSE),"Not Specified")</f>
        <v>Shipper ETYNR</v>
      </c>
      <c r="O335" t="str">
        <f>IFERROR(VLOOKUP(A335,'[1]Sales Order'!A:I,9,FALSE),"Not Specified")</f>
        <v>Ship to 62-A</v>
      </c>
      <c r="P335" t="str">
        <f>IFERROR(VLOOKUP(A335,'[1]Sales Order'!A:N,14,FALSE),"Not Specified")</f>
        <v>Brazil</v>
      </c>
      <c r="Q335" t="str">
        <f>VLOOKUP(VLOOKUP(B335,[1]Product!A:C,3,FALSE),[1]Supplier!A:B,2,FALSE)</f>
        <v>Supplier KEREV</v>
      </c>
      <c r="R335" t="str">
        <f>VLOOKUP(VLOOKUP(B335,[1]Product!A:C,3,FALSE),[1]Supplier!A:I,9,FALSE)</f>
        <v>Italy</v>
      </c>
      <c r="S335" t="str">
        <f>IFERROR(IF(VLOOKUP(A335,'[1]Sales Order'!A:H,8,FALSE)&gt;100,"High Freight","Low Freight"),"Not Specified")</f>
        <v>High Freight</v>
      </c>
      <c r="T335">
        <f t="shared" si="11"/>
        <v>875.7</v>
      </c>
    </row>
    <row r="336" spans="1:20">
      <c r="A336" s="1">
        <v>10373</v>
      </c>
      <c r="B336" s="2">
        <v>58</v>
      </c>
      <c r="C336" s="2">
        <v>10.6</v>
      </c>
      <c r="D336" s="2">
        <v>80</v>
      </c>
      <c r="E336" s="3">
        <v>0.2</v>
      </c>
      <c r="F336" s="2" t="str">
        <f>IFERROR(VLOOKUP(VLOOKUP(A336,'[1]Sales Order'!A:B,2,FALSE),[1]Customer!A:C,3,FALSE),"Not Specified")</f>
        <v>Crăciun, Ovidiu V.</v>
      </c>
      <c r="G336" s="2" t="str">
        <f t="shared" si="10"/>
        <v>Crăciun Ovidiu V.</v>
      </c>
      <c r="H336" s="8" t="str">
        <f>IFERROR(VLOOKUP(VLOOKUP(A336,'[1]Sales Order'!A:C,3,FALSE),[1]Employee!A:E,5,FALSE)&amp;" "&amp;VLOOKUP(VLOOKUP(A336,'[1]Sales Order'!A:C,3,FALSE),[1]Employee!A:C,3,FALSE)&amp;" "&amp;VLOOKUP(VLOOKUP(A336,'[1]Sales Order'!A:C,3,FALSE),[1]Employee!A:B,2,FALSE),"Not Specified")</f>
        <v>Mrs. Yael Peled</v>
      </c>
      <c r="I336" t="str">
        <f>IFERROR(VLOOKUP(VLOOKUP(A336,'[1]Sales Order'!A:C,3,FALSE),[1]Employee!A:J,10,FALSE),"Not Specified")</f>
        <v>WA</v>
      </c>
      <c r="J336" t="str">
        <f>VLOOKUP(B336,[1]Product!A:B,2,FALSE)</f>
        <v>Product ACRVI</v>
      </c>
      <c r="K336" t="str">
        <f>VLOOKUP(VLOOKUP(B336,[1]Product!A:D,4,FALSE),[1]Category!A:B,2,FALSE)</f>
        <v>Seafood</v>
      </c>
      <c r="L336" s="10">
        <f>IFERROR(VLOOKUP(A336,'[1]Sales Order'!A:D,4,FALSE),"")</f>
        <v>39056</v>
      </c>
      <c r="M336" s="10">
        <f>IFERROR(VLOOKUP(A336,'[1]Sales Order'!A:F,6,FALSE),"")</f>
        <v>39062</v>
      </c>
      <c r="N336" t="str">
        <f>IFERROR(VLOOKUP(VLOOKUP(A336,'[1]Sales Order'!A:G,7,FALSE),[1]Shipper!A:B,2,FALSE),"Not Specified")</f>
        <v>Shipper ZHISN</v>
      </c>
      <c r="O336" t="str">
        <f>IFERROR(VLOOKUP(A336,'[1]Sales Order'!A:I,9,FALSE),"Not Specified")</f>
        <v>Destination KPVYJ</v>
      </c>
      <c r="P336" t="str">
        <f>IFERROR(VLOOKUP(A336,'[1]Sales Order'!A:N,14,FALSE),"Not Specified")</f>
        <v>Ireland</v>
      </c>
      <c r="Q336" t="str">
        <f>VLOOKUP(VLOOKUP(B336,[1]Product!A:C,3,FALSE),[1]Supplier!A:B,2,FALSE)</f>
        <v>Supplier ZRYDZ</v>
      </c>
      <c r="R336" t="str">
        <f>VLOOKUP(VLOOKUP(B336,[1]Product!A:C,3,FALSE),[1]Supplier!A:I,9,FALSE)</f>
        <v>France</v>
      </c>
      <c r="S336" t="str">
        <f>IFERROR(IF(VLOOKUP(A336,'[1]Sales Order'!A:H,8,FALSE)&gt;100,"High Freight","Low Freight"),"Not Specified")</f>
        <v>High Freight</v>
      </c>
      <c r="T336">
        <f t="shared" si="11"/>
        <v>678.40000000000009</v>
      </c>
    </row>
    <row r="337" spans="1:20">
      <c r="A337" s="1">
        <v>10373</v>
      </c>
      <c r="B337" s="2">
        <v>71</v>
      </c>
      <c r="C337" s="2">
        <v>17.2</v>
      </c>
      <c r="D337" s="2">
        <v>50</v>
      </c>
      <c r="E337" s="3">
        <v>0.2</v>
      </c>
      <c r="F337" s="2" t="str">
        <f>IFERROR(VLOOKUP(VLOOKUP(A337,'[1]Sales Order'!A:B,2,FALSE),[1]Customer!A:C,3,FALSE),"Not Specified")</f>
        <v>Crăciun, Ovidiu V.</v>
      </c>
      <c r="G337" s="2" t="str">
        <f t="shared" si="10"/>
        <v>Crăciun Ovidiu V.</v>
      </c>
      <c r="H337" s="8" t="str">
        <f>IFERROR(VLOOKUP(VLOOKUP(A337,'[1]Sales Order'!A:C,3,FALSE),[1]Employee!A:E,5,FALSE)&amp;" "&amp;VLOOKUP(VLOOKUP(A337,'[1]Sales Order'!A:C,3,FALSE),[1]Employee!A:C,3,FALSE)&amp;" "&amp;VLOOKUP(VLOOKUP(A337,'[1]Sales Order'!A:C,3,FALSE),[1]Employee!A:B,2,FALSE),"Not Specified")</f>
        <v>Mrs. Yael Peled</v>
      </c>
      <c r="I337" t="str">
        <f>IFERROR(VLOOKUP(VLOOKUP(A337,'[1]Sales Order'!A:C,3,FALSE),[1]Employee!A:J,10,FALSE),"Not Specified")</f>
        <v>WA</v>
      </c>
      <c r="J337" t="str">
        <f>VLOOKUP(B337,[1]Product!A:B,2,FALSE)</f>
        <v>Product MYMOI</v>
      </c>
      <c r="K337" t="str">
        <f>VLOOKUP(VLOOKUP(B337,[1]Product!A:D,4,FALSE),[1]Category!A:B,2,FALSE)</f>
        <v>Dairy Product</v>
      </c>
      <c r="L337" s="10">
        <f>IFERROR(VLOOKUP(A337,'[1]Sales Order'!A:D,4,FALSE),"")</f>
        <v>39056</v>
      </c>
      <c r="M337" s="10">
        <f>IFERROR(VLOOKUP(A337,'[1]Sales Order'!A:F,6,FALSE),"")</f>
        <v>39062</v>
      </c>
      <c r="N337" t="str">
        <f>IFERROR(VLOOKUP(VLOOKUP(A337,'[1]Sales Order'!A:G,7,FALSE),[1]Shipper!A:B,2,FALSE),"Not Specified")</f>
        <v>Shipper ZHISN</v>
      </c>
      <c r="O337" t="str">
        <f>IFERROR(VLOOKUP(A337,'[1]Sales Order'!A:I,9,FALSE),"Not Specified")</f>
        <v>Destination KPVYJ</v>
      </c>
      <c r="P337" t="str">
        <f>IFERROR(VLOOKUP(A337,'[1]Sales Order'!A:N,14,FALSE),"Not Specified")</f>
        <v>Ireland</v>
      </c>
      <c r="Q337" t="str">
        <f>VLOOKUP(VLOOKUP(B337,[1]Product!A:C,3,FALSE),[1]Supplier!A:B,2,FALSE)</f>
        <v>Supplier NZLIF</v>
      </c>
      <c r="R337" t="str">
        <f>VLOOKUP(VLOOKUP(B337,[1]Product!A:C,3,FALSE),[1]Supplier!A:I,9,FALSE)</f>
        <v>Norway</v>
      </c>
      <c r="S337" t="str">
        <f>IFERROR(IF(VLOOKUP(A337,'[1]Sales Order'!A:H,8,FALSE)&gt;100,"High Freight","Low Freight"),"Not Specified")</f>
        <v>High Freight</v>
      </c>
      <c r="T337">
        <f t="shared" si="11"/>
        <v>688</v>
      </c>
    </row>
    <row r="338" spans="1:20">
      <c r="A338" s="1">
        <v>10374</v>
      </c>
      <c r="B338" s="2">
        <v>31</v>
      </c>
      <c r="C338" s="2">
        <v>10</v>
      </c>
      <c r="D338" s="2">
        <v>30</v>
      </c>
      <c r="E338" s="3">
        <v>0</v>
      </c>
      <c r="F338" s="2" t="str">
        <f>IFERROR(VLOOKUP(VLOOKUP(A338,'[1]Sales Order'!A:B,2,FALSE),[1]Customer!A:C,3,FALSE),"Not Specified")</f>
        <v>Conn, Steve</v>
      </c>
      <c r="G338" s="2" t="str">
        <f t="shared" si="10"/>
        <v>Conn Steve</v>
      </c>
      <c r="H338" s="8" t="str">
        <f>IFERROR(VLOOKUP(VLOOKUP(A338,'[1]Sales Order'!A:C,3,FALSE),[1]Employee!A:E,5,FALSE)&amp;" "&amp;VLOOKUP(VLOOKUP(A338,'[1]Sales Order'!A:C,3,FALSE),[1]Employee!A:C,3,FALSE)&amp;" "&amp;VLOOKUP(VLOOKUP(A338,'[1]Sales Order'!A:C,3,FALSE),[1]Employee!A:B,2,FALSE),"Not Specified")</f>
        <v>Ms. Sara Davis</v>
      </c>
      <c r="I338" t="str">
        <f>IFERROR(VLOOKUP(VLOOKUP(A338,'[1]Sales Order'!A:C,3,FALSE),[1]Employee!A:J,10,FALSE),"Not Specified")</f>
        <v>WA</v>
      </c>
      <c r="J338" t="str">
        <f>VLOOKUP(B338,[1]Product!A:B,2,FALSE)</f>
        <v>Product XWOXC</v>
      </c>
      <c r="K338" t="str">
        <f>VLOOKUP(VLOOKUP(B338,[1]Product!A:D,4,FALSE),[1]Category!A:B,2,FALSE)</f>
        <v>Dairy Product</v>
      </c>
      <c r="L338" s="10">
        <f>IFERROR(VLOOKUP(A338,'[1]Sales Order'!A:D,4,FALSE),"")</f>
        <v>39056</v>
      </c>
      <c r="M338" s="10">
        <f>IFERROR(VLOOKUP(A338,'[1]Sales Order'!A:F,6,FALSE),"")</f>
        <v>39060</v>
      </c>
      <c r="N338" t="str">
        <f>IFERROR(VLOOKUP(VLOOKUP(A338,'[1]Sales Order'!A:G,7,FALSE),[1]Shipper!A:B,2,FALSE),"Not Specified")</f>
        <v>Shipper ZHISN</v>
      </c>
      <c r="O338" t="str">
        <f>IFERROR(VLOOKUP(A338,'[1]Sales Order'!A:I,9,FALSE),"Not Specified")</f>
        <v>Ship to 91-A</v>
      </c>
      <c r="P338" t="str">
        <f>IFERROR(VLOOKUP(A338,'[1]Sales Order'!A:N,14,FALSE),"Not Specified")</f>
        <v>Poland</v>
      </c>
      <c r="Q338" t="str">
        <f>VLOOKUP(VLOOKUP(B338,[1]Product!A:C,3,FALSE),[1]Supplier!A:B,2,FALSE)</f>
        <v>Supplier KEREV</v>
      </c>
      <c r="R338" t="str">
        <f>VLOOKUP(VLOOKUP(B338,[1]Product!A:C,3,FALSE),[1]Supplier!A:I,9,FALSE)</f>
        <v>Italy</v>
      </c>
      <c r="S338" t="str">
        <f>IFERROR(IF(VLOOKUP(A338,'[1]Sales Order'!A:H,8,FALSE)&gt;100,"High Freight","Low Freight"),"Not Specified")</f>
        <v>Low Freight</v>
      </c>
      <c r="T338">
        <f t="shared" si="11"/>
        <v>300</v>
      </c>
    </row>
    <row r="339" spans="1:20">
      <c r="A339" s="1">
        <v>10374</v>
      </c>
      <c r="B339" s="2">
        <v>58</v>
      </c>
      <c r="C339" s="2">
        <v>10.6</v>
      </c>
      <c r="D339" s="2">
        <v>15</v>
      </c>
      <c r="E339" s="3">
        <v>0</v>
      </c>
      <c r="F339" s="2" t="str">
        <f>IFERROR(VLOOKUP(VLOOKUP(A339,'[1]Sales Order'!A:B,2,FALSE),[1]Customer!A:C,3,FALSE),"Not Specified")</f>
        <v>Conn, Steve</v>
      </c>
      <c r="G339" s="2" t="str">
        <f t="shared" si="10"/>
        <v>Conn Steve</v>
      </c>
      <c r="H339" s="8" t="str">
        <f>IFERROR(VLOOKUP(VLOOKUP(A339,'[1]Sales Order'!A:C,3,FALSE),[1]Employee!A:E,5,FALSE)&amp;" "&amp;VLOOKUP(VLOOKUP(A339,'[1]Sales Order'!A:C,3,FALSE),[1]Employee!A:C,3,FALSE)&amp;" "&amp;VLOOKUP(VLOOKUP(A339,'[1]Sales Order'!A:C,3,FALSE),[1]Employee!A:B,2,FALSE),"Not Specified")</f>
        <v>Ms. Sara Davis</v>
      </c>
      <c r="I339" t="str">
        <f>IFERROR(VLOOKUP(VLOOKUP(A339,'[1]Sales Order'!A:C,3,FALSE),[1]Employee!A:J,10,FALSE),"Not Specified")</f>
        <v>WA</v>
      </c>
      <c r="J339" t="str">
        <f>VLOOKUP(B339,[1]Product!A:B,2,FALSE)</f>
        <v>Product ACRVI</v>
      </c>
      <c r="K339" t="str">
        <f>VLOOKUP(VLOOKUP(B339,[1]Product!A:D,4,FALSE),[1]Category!A:B,2,FALSE)</f>
        <v>Seafood</v>
      </c>
      <c r="L339" s="10">
        <f>IFERROR(VLOOKUP(A339,'[1]Sales Order'!A:D,4,FALSE),"")</f>
        <v>39056</v>
      </c>
      <c r="M339" s="10">
        <f>IFERROR(VLOOKUP(A339,'[1]Sales Order'!A:F,6,FALSE),"")</f>
        <v>39060</v>
      </c>
      <c r="N339" t="str">
        <f>IFERROR(VLOOKUP(VLOOKUP(A339,'[1]Sales Order'!A:G,7,FALSE),[1]Shipper!A:B,2,FALSE),"Not Specified")</f>
        <v>Shipper ZHISN</v>
      </c>
      <c r="O339" t="str">
        <f>IFERROR(VLOOKUP(A339,'[1]Sales Order'!A:I,9,FALSE),"Not Specified")</f>
        <v>Ship to 91-A</v>
      </c>
      <c r="P339" t="str">
        <f>IFERROR(VLOOKUP(A339,'[1]Sales Order'!A:N,14,FALSE),"Not Specified")</f>
        <v>Poland</v>
      </c>
      <c r="Q339" t="str">
        <f>VLOOKUP(VLOOKUP(B339,[1]Product!A:C,3,FALSE),[1]Supplier!A:B,2,FALSE)</f>
        <v>Supplier ZRYDZ</v>
      </c>
      <c r="R339" t="str">
        <f>VLOOKUP(VLOOKUP(B339,[1]Product!A:C,3,FALSE),[1]Supplier!A:I,9,FALSE)</f>
        <v>France</v>
      </c>
      <c r="S339" t="str">
        <f>IFERROR(IF(VLOOKUP(A339,'[1]Sales Order'!A:H,8,FALSE)&gt;100,"High Freight","Low Freight"),"Not Specified")</f>
        <v>Low Freight</v>
      </c>
      <c r="T339">
        <f t="shared" si="11"/>
        <v>159</v>
      </c>
    </row>
    <row r="340" spans="1:20">
      <c r="A340" s="1">
        <v>10375</v>
      </c>
      <c r="B340" s="2">
        <v>14</v>
      </c>
      <c r="C340" s="2">
        <v>18.600000000000001</v>
      </c>
      <c r="D340" s="2">
        <v>15</v>
      </c>
      <c r="E340" s="3">
        <v>0</v>
      </c>
      <c r="F340" s="2" t="str">
        <f>IFERROR(VLOOKUP(VLOOKUP(A340,'[1]Sales Order'!A:B,2,FALSE),[1]Customer!A:C,3,FALSE),"Not Specified")</f>
        <v>Smith, Denise</v>
      </c>
      <c r="G340" s="2" t="str">
        <f t="shared" si="10"/>
        <v>Smith Denise</v>
      </c>
      <c r="H340" s="8" t="str">
        <f>IFERROR(VLOOKUP(VLOOKUP(A340,'[1]Sales Order'!A:C,3,FALSE),[1]Employee!A:E,5,FALSE)&amp;" "&amp;VLOOKUP(VLOOKUP(A340,'[1]Sales Order'!A:C,3,FALSE),[1]Employee!A:C,3,FALSE)&amp;" "&amp;VLOOKUP(VLOOKUP(A340,'[1]Sales Order'!A:C,3,FALSE),[1]Employee!A:B,2,FALSE),"Not Specified")</f>
        <v>Ms. Judy Lew</v>
      </c>
      <c r="I340" t="str">
        <f>IFERROR(VLOOKUP(VLOOKUP(A340,'[1]Sales Order'!A:C,3,FALSE),[1]Employee!A:J,10,FALSE),"Not Specified")</f>
        <v>WA</v>
      </c>
      <c r="J340" t="str">
        <f>VLOOKUP(B340,[1]Product!A:B,2,FALSE)</f>
        <v>Product PWCJB</v>
      </c>
      <c r="K340" t="str">
        <f>VLOOKUP(VLOOKUP(B340,[1]Product!A:D,4,FALSE),[1]Category!A:B,2,FALSE)</f>
        <v>Produce</v>
      </c>
      <c r="L340" s="10">
        <f>IFERROR(VLOOKUP(A340,'[1]Sales Order'!A:D,4,FALSE),"")</f>
        <v>39057</v>
      </c>
      <c r="M340" s="10">
        <f>IFERROR(VLOOKUP(A340,'[1]Sales Order'!A:F,6,FALSE),"")</f>
        <v>39060</v>
      </c>
      <c r="N340" t="str">
        <f>IFERROR(VLOOKUP(VLOOKUP(A340,'[1]Sales Order'!A:G,7,FALSE),[1]Shipper!A:B,2,FALSE),"Not Specified")</f>
        <v>Shipper ETYNR</v>
      </c>
      <c r="O340" t="str">
        <f>IFERROR(VLOOKUP(A340,'[1]Sales Order'!A:I,9,FALSE),"Not Specified")</f>
        <v>Destination HOHCR</v>
      </c>
      <c r="P340" t="str">
        <f>IFERROR(VLOOKUP(A340,'[1]Sales Order'!A:N,14,FALSE),"Not Specified")</f>
        <v>USA</v>
      </c>
      <c r="Q340" t="str">
        <f>VLOOKUP(VLOOKUP(B340,[1]Product!A:C,3,FALSE),[1]Supplier!A:B,2,FALSE)</f>
        <v>Supplier QWUSF</v>
      </c>
      <c r="R340" t="str">
        <f>VLOOKUP(VLOOKUP(B340,[1]Product!A:C,3,FALSE),[1]Supplier!A:I,9,FALSE)</f>
        <v>Japan</v>
      </c>
      <c r="S340" t="str">
        <f>IFERROR(IF(VLOOKUP(A340,'[1]Sales Order'!A:H,8,FALSE)&gt;100,"High Freight","Low Freight"),"Not Specified")</f>
        <v>Low Freight</v>
      </c>
      <c r="T340">
        <f t="shared" si="11"/>
        <v>279</v>
      </c>
    </row>
    <row r="341" spans="1:20">
      <c r="A341" s="1">
        <v>10375</v>
      </c>
      <c r="B341" s="2">
        <v>54</v>
      </c>
      <c r="C341" s="2">
        <v>5.9</v>
      </c>
      <c r="D341" s="2">
        <v>10</v>
      </c>
      <c r="E341" s="3">
        <v>0</v>
      </c>
      <c r="F341" s="2" t="str">
        <f>IFERROR(VLOOKUP(VLOOKUP(A341,'[1]Sales Order'!A:B,2,FALSE),[1]Customer!A:C,3,FALSE),"Not Specified")</f>
        <v>Smith, Denise</v>
      </c>
      <c r="G341" s="2" t="str">
        <f t="shared" si="10"/>
        <v>Smith Denise</v>
      </c>
      <c r="H341" s="8" t="str">
        <f>IFERROR(VLOOKUP(VLOOKUP(A341,'[1]Sales Order'!A:C,3,FALSE),[1]Employee!A:E,5,FALSE)&amp;" "&amp;VLOOKUP(VLOOKUP(A341,'[1]Sales Order'!A:C,3,FALSE),[1]Employee!A:C,3,FALSE)&amp;" "&amp;VLOOKUP(VLOOKUP(A341,'[1]Sales Order'!A:C,3,FALSE),[1]Employee!A:B,2,FALSE),"Not Specified")</f>
        <v>Ms. Judy Lew</v>
      </c>
      <c r="I341" t="str">
        <f>IFERROR(VLOOKUP(VLOOKUP(A341,'[1]Sales Order'!A:C,3,FALSE),[1]Employee!A:J,10,FALSE),"Not Specified")</f>
        <v>WA</v>
      </c>
      <c r="J341" t="str">
        <f>VLOOKUP(B341,[1]Product!A:B,2,FALSE)</f>
        <v>Product QAQRL</v>
      </c>
      <c r="K341" t="str">
        <f>VLOOKUP(VLOOKUP(B341,[1]Product!A:D,4,FALSE),[1]Category!A:B,2,FALSE)</f>
        <v>Meat/Poultry</v>
      </c>
      <c r="L341" s="10">
        <f>IFERROR(VLOOKUP(A341,'[1]Sales Order'!A:D,4,FALSE),"")</f>
        <v>39057</v>
      </c>
      <c r="M341" s="10">
        <f>IFERROR(VLOOKUP(A341,'[1]Sales Order'!A:F,6,FALSE),"")</f>
        <v>39060</v>
      </c>
      <c r="N341" t="str">
        <f>IFERROR(VLOOKUP(VLOOKUP(A341,'[1]Sales Order'!A:G,7,FALSE),[1]Shipper!A:B,2,FALSE),"Not Specified")</f>
        <v>Shipper ETYNR</v>
      </c>
      <c r="O341" t="str">
        <f>IFERROR(VLOOKUP(A341,'[1]Sales Order'!A:I,9,FALSE),"Not Specified")</f>
        <v>Destination HOHCR</v>
      </c>
      <c r="P341" t="str">
        <f>IFERROR(VLOOKUP(A341,'[1]Sales Order'!A:N,14,FALSE),"Not Specified")</f>
        <v>USA</v>
      </c>
      <c r="Q341" t="str">
        <f>VLOOKUP(VLOOKUP(B341,[1]Product!A:C,3,FALSE),[1]Supplier!A:B,2,FALSE)</f>
        <v>Supplier ERVYZ</v>
      </c>
      <c r="R341" t="str">
        <f>VLOOKUP(VLOOKUP(B341,[1]Product!A:C,3,FALSE),[1]Supplier!A:I,9,FALSE)</f>
        <v>Canada</v>
      </c>
      <c r="S341" t="str">
        <f>IFERROR(IF(VLOOKUP(A341,'[1]Sales Order'!A:H,8,FALSE)&gt;100,"High Freight","Low Freight"),"Not Specified")</f>
        <v>Low Freight</v>
      </c>
      <c r="T341">
        <f t="shared" si="11"/>
        <v>59</v>
      </c>
    </row>
    <row r="342" spans="1:20">
      <c r="A342" s="1">
        <v>10376</v>
      </c>
      <c r="B342" s="2">
        <v>31</v>
      </c>
      <c r="C342" s="2">
        <v>10</v>
      </c>
      <c r="D342" s="2">
        <v>42</v>
      </c>
      <c r="E342" s="3">
        <v>0.05</v>
      </c>
      <c r="F342" s="2" t="str">
        <f>IFERROR(VLOOKUP(VLOOKUP(A342,'[1]Sales Order'!A:B,2,FALSE),[1]Customer!A:C,3,FALSE),"Not Specified")</f>
        <v>Taylor, Maurice</v>
      </c>
      <c r="G342" s="2" t="str">
        <f t="shared" si="10"/>
        <v>Taylor Maurice</v>
      </c>
      <c r="H342" s="8" t="str">
        <f>IFERROR(VLOOKUP(VLOOKUP(A342,'[1]Sales Order'!A:C,3,FALSE),[1]Employee!A:E,5,FALSE)&amp;" "&amp;VLOOKUP(VLOOKUP(A342,'[1]Sales Order'!A:C,3,FALSE),[1]Employee!A:C,3,FALSE)&amp;" "&amp;VLOOKUP(VLOOKUP(A342,'[1]Sales Order'!A:C,3,FALSE),[1]Employee!A:B,2,FALSE),"Not Specified")</f>
        <v>Ms. Sara Davis</v>
      </c>
      <c r="I342" t="str">
        <f>IFERROR(VLOOKUP(VLOOKUP(A342,'[1]Sales Order'!A:C,3,FALSE),[1]Employee!A:J,10,FALSE),"Not Specified")</f>
        <v>WA</v>
      </c>
      <c r="J342" t="str">
        <f>VLOOKUP(B342,[1]Product!A:B,2,FALSE)</f>
        <v>Product XWOXC</v>
      </c>
      <c r="K342" t="str">
        <f>VLOOKUP(VLOOKUP(B342,[1]Product!A:D,4,FALSE),[1]Category!A:B,2,FALSE)</f>
        <v>Dairy Product</v>
      </c>
      <c r="L342" s="10">
        <f>IFERROR(VLOOKUP(A342,'[1]Sales Order'!A:D,4,FALSE),"")</f>
        <v>39060</v>
      </c>
      <c r="M342" s="10">
        <f>IFERROR(VLOOKUP(A342,'[1]Sales Order'!A:F,6,FALSE),"")</f>
        <v>39064</v>
      </c>
      <c r="N342" t="str">
        <f>IFERROR(VLOOKUP(VLOOKUP(A342,'[1]Sales Order'!A:G,7,FALSE),[1]Shipper!A:B,2,FALSE),"Not Specified")</f>
        <v>Shipper ETYNR</v>
      </c>
      <c r="O342" t="str">
        <f>IFERROR(VLOOKUP(A342,'[1]Sales Order'!A:I,9,FALSE),"Not Specified")</f>
        <v>Ship to 51-B</v>
      </c>
      <c r="P342" t="str">
        <f>IFERROR(VLOOKUP(A342,'[1]Sales Order'!A:N,14,FALSE),"Not Specified")</f>
        <v>Canada</v>
      </c>
      <c r="Q342" t="str">
        <f>VLOOKUP(VLOOKUP(B342,[1]Product!A:C,3,FALSE),[1]Supplier!A:B,2,FALSE)</f>
        <v>Supplier KEREV</v>
      </c>
      <c r="R342" t="str">
        <f>VLOOKUP(VLOOKUP(B342,[1]Product!A:C,3,FALSE),[1]Supplier!A:I,9,FALSE)</f>
        <v>Italy</v>
      </c>
      <c r="S342" t="str">
        <f>IFERROR(IF(VLOOKUP(A342,'[1]Sales Order'!A:H,8,FALSE)&gt;100,"High Freight","Low Freight"),"Not Specified")</f>
        <v>Low Freight</v>
      </c>
      <c r="T342">
        <f t="shared" si="11"/>
        <v>399</v>
      </c>
    </row>
    <row r="343" spans="1:20">
      <c r="A343" s="1">
        <v>10377</v>
      </c>
      <c r="B343" s="2">
        <v>28</v>
      </c>
      <c r="C343" s="2">
        <v>36.4</v>
      </c>
      <c r="D343" s="2">
        <v>20</v>
      </c>
      <c r="E343" s="3">
        <v>0.15</v>
      </c>
      <c r="F343" s="2" t="str">
        <f>IFERROR(VLOOKUP(VLOOKUP(A343,'[1]Sales Order'!A:B,2,FALSE),[1]Customer!A:C,3,FALSE),"Not Specified")</f>
        <v>Welcker, Brian</v>
      </c>
      <c r="G343" s="2" t="str">
        <f t="shared" si="10"/>
        <v>Welcker Brian</v>
      </c>
      <c r="H343" s="8" t="str">
        <f>IFERROR(VLOOKUP(VLOOKUP(A343,'[1]Sales Order'!A:C,3,FALSE),[1]Employee!A:E,5,FALSE)&amp;" "&amp;VLOOKUP(VLOOKUP(A343,'[1]Sales Order'!A:C,3,FALSE),[1]Employee!A:C,3,FALSE)&amp;" "&amp;VLOOKUP(VLOOKUP(A343,'[1]Sales Order'!A:C,3,FALSE),[1]Employee!A:B,2,FALSE),"Not Specified")</f>
        <v>Ms. Sara Davis</v>
      </c>
      <c r="I343" t="str">
        <f>IFERROR(VLOOKUP(VLOOKUP(A343,'[1]Sales Order'!A:C,3,FALSE),[1]Employee!A:J,10,FALSE),"Not Specified")</f>
        <v>WA</v>
      </c>
      <c r="J343" t="str">
        <f>VLOOKUP(B343,[1]Product!A:B,2,FALSE)</f>
        <v>Product OFBNT</v>
      </c>
      <c r="K343" t="str">
        <f>VLOOKUP(VLOOKUP(B343,[1]Product!A:D,4,FALSE),[1]Category!A:B,2,FALSE)</f>
        <v>Produce</v>
      </c>
      <c r="L343" s="10">
        <f>IFERROR(VLOOKUP(A343,'[1]Sales Order'!A:D,4,FALSE),"")</f>
        <v>39060</v>
      </c>
      <c r="M343" s="10">
        <f>IFERROR(VLOOKUP(A343,'[1]Sales Order'!A:F,6,FALSE),"")</f>
        <v>39064</v>
      </c>
      <c r="N343" t="str">
        <f>IFERROR(VLOOKUP(VLOOKUP(A343,'[1]Sales Order'!A:G,7,FALSE),[1]Shipper!A:B,2,FALSE),"Not Specified")</f>
        <v>Shipper ZHISN</v>
      </c>
      <c r="O343" t="str">
        <f>IFERROR(VLOOKUP(A343,'[1]Sales Order'!A:I,9,FALSE),"Not Specified")</f>
        <v>Ship to 72-C</v>
      </c>
      <c r="P343" t="str">
        <f>IFERROR(VLOOKUP(A343,'[1]Sales Order'!A:N,14,FALSE),"Not Specified")</f>
        <v>UK</v>
      </c>
      <c r="Q343" t="str">
        <f>VLOOKUP(VLOOKUP(B343,[1]Product!A:C,3,FALSE),[1]Supplier!A:B,2,FALSE)</f>
        <v>Supplier SVIYA</v>
      </c>
      <c r="R343" t="str">
        <f>VLOOKUP(VLOOKUP(B343,[1]Product!A:C,3,FALSE),[1]Supplier!A:I,9,FALSE)</f>
        <v>Germany</v>
      </c>
      <c r="S343" t="str">
        <f>IFERROR(IF(VLOOKUP(A343,'[1]Sales Order'!A:H,8,FALSE)&gt;100,"High Freight","Low Freight"),"Not Specified")</f>
        <v>Low Freight</v>
      </c>
      <c r="T343">
        <f t="shared" si="11"/>
        <v>618.79999999999995</v>
      </c>
    </row>
    <row r="344" spans="1:20">
      <c r="A344" s="1">
        <v>10377</v>
      </c>
      <c r="B344" s="2">
        <v>39</v>
      </c>
      <c r="C344" s="2">
        <v>14.4</v>
      </c>
      <c r="D344" s="2">
        <v>20</v>
      </c>
      <c r="E344" s="3">
        <v>0.15</v>
      </c>
      <c r="F344" s="2" t="str">
        <f>IFERROR(VLOOKUP(VLOOKUP(A344,'[1]Sales Order'!A:B,2,FALSE),[1]Customer!A:C,3,FALSE),"Not Specified")</f>
        <v>Welcker, Brian</v>
      </c>
      <c r="G344" s="2" t="str">
        <f t="shared" si="10"/>
        <v>Welcker Brian</v>
      </c>
      <c r="H344" s="8" t="str">
        <f>IFERROR(VLOOKUP(VLOOKUP(A344,'[1]Sales Order'!A:C,3,FALSE),[1]Employee!A:E,5,FALSE)&amp;" "&amp;VLOOKUP(VLOOKUP(A344,'[1]Sales Order'!A:C,3,FALSE),[1]Employee!A:C,3,FALSE)&amp;" "&amp;VLOOKUP(VLOOKUP(A344,'[1]Sales Order'!A:C,3,FALSE),[1]Employee!A:B,2,FALSE),"Not Specified")</f>
        <v>Ms. Sara Davis</v>
      </c>
      <c r="I344" t="str">
        <f>IFERROR(VLOOKUP(VLOOKUP(A344,'[1]Sales Order'!A:C,3,FALSE),[1]Employee!A:J,10,FALSE),"Not Specified")</f>
        <v>WA</v>
      </c>
      <c r="J344" t="str">
        <f>VLOOKUP(B344,[1]Product!A:B,2,FALSE)</f>
        <v>Product LSOFL</v>
      </c>
      <c r="K344" t="str">
        <f>VLOOKUP(VLOOKUP(B344,[1]Product!A:D,4,FALSE),[1]Category!A:B,2,FALSE)</f>
        <v>Beverages</v>
      </c>
      <c r="L344" s="10">
        <f>IFERROR(VLOOKUP(A344,'[1]Sales Order'!A:D,4,FALSE),"")</f>
        <v>39060</v>
      </c>
      <c r="M344" s="10">
        <f>IFERROR(VLOOKUP(A344,'[1]Sales Order'!A:F,6,FALSE),"")</f>
        <v>39064</v>
      </c>
      <c r="N344" t="str">
        <f>IFERROR(VLOOKUP(VLOOKUP(A344,'[1]Sales Order'!A:G,7,FALSE),[1]Shipper!A:B,2,FALSE),"Not Specified")</f>
        <v>Shipper ZHISN</v>
      </c>
      <c r="O344" t="str">
        <f>IFERROR(VLOOKUP(A344,'[1]Sales Order'!A:I,9,FALSE),"Not Specified")</f>
        <v>Ship to 72-C</v>
      </c>
      <c r="P344" t="str">
        <f>IFERROR(VLOOKUP(A344,'[1]Sales Order'!A:N,14,FALSE),"Not Specified")</f>
        <v>UK</v>
      </c>
      <c r="Q344" t="str">
        <f>VLOOKUP(VLOOKUP(B344,[1]Product!A:C,3,FALSE),[1]Supplier!A:B,2,FALSE)</f>
        <v>Supplier LVJUA</v>
      </c>
      <c r="R344" t="str">
        <f>VLOOKUP(VLOOKUP(B344,[1]Product!A:C,3,FALSE),[1]Supplier!A:I,9,FALSE)</f>
        <v>France</v>
      </c>
      <c r="S344" t="str">
        <f>IFERROR(IF(VLOOKUP(A344,'[1]Sales Order'!A:H,8,FALSE)&gt;100,"High Freight","Low Freight"),"Not Specified")</f>
        <v>Low Freight</v>
      </c>
      <c r="T344">
        <f t="shared" si="11"/>
        <v>244.79999999999998</v>
      </c>
    </row>
    <row r="345" spans="1:20">
      <c r="A345" s="1">
        <v>10378</v>
      </c>
      <c r="B345" s="2">
        <v>71</v>
      </c>
      <c r="C345" s="2">
        <v>17.2</v>
      </c>
      <c r="D345" s="2">
        <v>6</v>
      </c>
      <c r="E345" s="3">
        <v>0</v>
      </c>
      <c r="F345" s="2" t="str">
        <f>IFERROR(VLOOKUP(VLOOKUP(A345,'[1]Sales Order'!A:B,2,FALSE),[1]Customer!A:C,3,FALSE),"Not Specified")</f>
        <v>San Juan, Patricia</v>
      </c>
      <c r="G345" s="2" t="str">
        <f t="shared" si="10"/>
        <v>San Juan Patricia</v>
      </c>
      <c r="H345" s="8" t="str">
        <f>IFERROR(VLOOKUP(VLOOKUP(A345,'[1]Sales Order'!A:C,3,FALSE),[1]Employee!A:E,5,FALSE)&amp;" "&amp;VLOOKUP(VLOOKUP(A345,'[1]Sales Order'!A:C,3,FALSE),[1]Employee!A:C,3,FALSE)&amp;" "&amp;VLOOKUP(VLOOKUP(A345,'[1]Sales Order'!A:C,3,FALSE),[1]Employee!A:B,2,FALSE),"Not Specified")</f>
        <v>Mr. Sven Buck</v>
      </c>
      <c r="I345">
        <f>IFERROR(VLOOKUP(VLOOKUP(A345,'[1]Sales Order'!A:C,3,FALSE),[1]Employee!A:J,10,FALSE),"Not Specified")</f>
        <v>0</v>
      </c>
      <c r="J345" t="str">
        <f>VLOOKUP(B345,[1]Product!A:B,2,FALSE)</f>
        <v>Product MYMOI</v>
      </c>
      <c r="K345" t="str">
        <f>VLOOKUP(VLOOKUP(B345,[1]Product!A:D,4,FALSE),[1]Category!A:B,2,FALSE)</f>
        <v>Dairy Product</v>
      </c>
      <c r="L345" s="10">
        <f>IFERROR(VLOOKUP(A345,'[1]Sales Order'!A:D,4,FALSE),"")</f>
        <v>39061</v>
      </c>
      <c r="M345" s="10">
        <f>IFERROR(VLOOKUP(A345,'[1]Sales Order'!A:F,6,FALSE),"")</f>
        <v>39070</v>
      </c>
      <c r="N345" t="str">
        <f>IFERROR(VLOOKUP(VLOOKUP(A345,'[1]Sales Order'!A:G,7,FALSE),[1]Shipper!A:B,2,FALSE),"Not Specified")</f>
        <v>Shipper ZHISN</v>
      </c>
      <c r="O345" t="str">
        <f>IFERROR(VLOOKUP(A345,'[1]Sales Order'!A:I,9,FALSE),"Not Specified")</f>
        <v>Destination KBSBN</v>
      </c>
      <c r="P345" t="str">
        <f>IFERROR(VLOOKUP(A345,'[1]Sales Order'!A:N,14,FALSE),"Not Specified")</f>
        <v>Sweden</v>
      </c>
      <c r="Q345" t="str">
        <f>VLOOKUP(VLOOKUP(B345,[1]Product!A:C,3,FALSE),[1]Supplier!A:B,2,FALSE)</f>
        <v>Supplier NZLIF</v>
      </c>
      <c r="R345" t="str">
        <f>VLOOKUP(VLOOKUP(B345,[1]Product!A:C,3,FALSE),[1]Supplier!A:I,9,FALSE)</f>
        <v>Norway</v>
      </c>
      <c r="S345" t="str">
        <f>IFERROR(IF(VLOOKUP(A345,'[1]Sales Order'!A:H,8,FALSE)&gt;100,"High Freight","Low Freight"),"Not Specified")</f>
        <v>Low Freight</v>
      </c>
      <c r="T345">
        <f t="shared" si="11"/>
        <v>103.19999999999999</v>
      </c>
    </row>
    <row r="346" spans="1:20">
      <c r="A346" s="1">
        <v>10379</v>
      </c>
      <c r="B346" s="2">
        <v>41</v>
      </c>
      <c r="C346" s="2">
        <v>7.7</v>
      </c>
      <c r="D346" s="2">
        <v>8</v>
      </c>
      <c r="E346" s="3">
        <v>0.1</v>
      </c>
      <c r="F346" s="2" t="str">
        <f>IFERROR(VLOOKUP(VLOOKUP(A346,'[1]Sales Order'!A:B,2,FALSE),[1]Customer!A:C,3,FALSE),"Not Specified")</f>
        <v>Florczyk, Krzysztof</v>
      </c>
      <c r="G346" s="2" t="str">
        <f t="shared" si="10"/>
        <v>Florczyk Krzysztof</v>
      </c>
      <c r="H346" s="8" t="str">
        <f>IFERROR(VLOOKUP(VLOOKUP(A346,'[1]Sales Order'!A:C,3,FALSE),[1]Employee!A:E,5,FALSE)&amp;" "&amp;VLOOKUP(VLOOKUP(A346,'[1]Sales Order'!A:C,3,FALSE),[1]Employee!A:C,3,FALSE)&amp;" "&amp;VLOOKUP(VLOOKUP(A346,'[1]Sales Order'!A:C,3,FALSE),[1]Employee!A:B,2,FALSE),"Not Specified")</f>
        <v>Dr. Don Funk</v>
      </c>
      <c r="I346" t="str">
        <f>IFERROR(VLOOKUP(VLOOKUP(A346,'[1]Sales Order'!A:C,3,FALSE),[1]Employee!A:J,10,FALSE),"Not Specified")</f>
        <v>WA</v>
      </c>
      <c r="J346" t="str">
        <f>VLOOKUP(B346,[1]Product!A:B,2,FALSE)</f>
        <v>Product TTEEX</v>
      </c>
      <c r="K346" t="str">
        <f>VLOOKUP(VLOOKUP(B346,[1]Product!A:D,4,FALSE),[1]Category!A:B,2,FALSE)</f>
        <v>Seafood</v>
      </c>
      <c r="L346" s="10">
        <f>IFERROR(VLOOKUP(A346,'[1]Sales Order'!A:D,4,FALSE),"")</f>
        <v>39062</v>
      </c>
      <c r="M346" s="10">
        <f>IFERROR(VLOOKUP(A346,'[1]Sales Order'!A:F,6,FALSE),"")</f>
        <v>39064</v>
      </c>
      <c r="N346" t="str">
        <f>IFERROR(VLOOKUP(VLOOKUP(A346,'[1]Sales Order'!A:G,7,FALSE),[1]Shipper!A:B,2,FALSE),"Not Specified")</f>
        <v>Shipper GVSUA</v>
      </c>
      <c r="O346" t="str">
        <f>IFERROR(VLOOKUP(A346,'[1]Sales Order'!A:I,9,FALSE),"Not Specified")</f>
        <v>Ship to 61-B</v>
      </c>
      <c r="P346" t="str">
        <f>IFERROR(VLOOKUP(A346,'[1]Sales Order'!A:N,14,FALSE),"Not Specified")</f>
        <v>Brazil</v>
      </c>
      <c r="Q346" t="str">
        <f>VLOOKUP(VLOOKUP(B346,[1]Product!A:C,3,FALSE),[1]Supplier!A:B,2,FALSE)</f>
        <v>Supplier JDNUG</v>
      </c>
      <c r="R346" t="str">
        <f>VLOOKUP(VLOOKUP(B346,[1]Product!A:C,3,FALSE),[1]Supplier!A:I,9,FALSE)</f>
        <v>USA</v>
      </c>
      <c r="S346" t="str">
        <f>IFERROR(IF(VLOOKUP(A346,'[1]Sales Order'!A:H,8,FALSE)&gt;100,"High Freight","Low Freight"),"Not Specified")</f>
        <v>Low Freight</v>
      </c>
      <c r="T346">
        <f t="shared" si="11"/>
        <v>55.440000000000005</v>
      </c>
    </row>
    <row r="347" spans="1:20">
      <c r="A347" s="1">
        <v>10379</v>
      </c>
      <c r="B347" s="2">
        <v>63</v>
      </c>
      <c r="C347" s="2">
        <v>35.1</v>
      </c>
      <c r="D347" s="2">
        <v>16</v>
      </c>
      <c r="E347" s="3">
        <v>0.1</v>
      </c>
      <c r="F347" s="2" t="str">
        <f>IFERROR(VLOOKUP(VLOOKUP(A347,'[1]Sales Order'!A:B,2,FALSE),[1]Customer!A:C,3,FALSE),"Not Specified")</f>
        <v>Florczyk, Krzysztof</v>
      </c>
      <c r="G347" s="2" t="str">
        <f t="shared" si="10"/>
        <v>Florczyk Krzysztof</v>
      </c>
      <c r="H347" s="8" t="str">
        <f>IFERROR(VLOOKUP(VLOOKUP(A347,'[1]Sales Order'!A:C,3,FALSE),[1]Employee!A:E,5,FALSE)&amp;" "&amp;VLOOKUP(VLOOKUP(A347,'[1]Sales Order'!A:C,3,FALSE),[1]Employee!A:C,3,FALSE)&amp;" "&amp;VLOOKUP(VLOOKUP(A347,'[1]Sales Order'!A:C,3,FALSE),[1]Employee!A:B,2,FALSE),"Not Specified")</f>
        <v>Dr. Don Funk</v>
      </c>
      <c r="I347" t="str">
        <f>IFERROR(VLOOKUP(VLOOKUP(A347,'[1]Sales Order'!A:C,3,FALSE),[1]Employee!A:J,10,FALSE),"Not Specified")</f>
        <v>WA</v>
      </c>
      <c r="J347" t="str">
        <f>VLOOKUP(B347,[1]Product!A:B,2,FALSE)</f>
        <v>Product ICKNK</v>
      </c>
      <c r="K347" t="str">
        <f>VLOOKUP(VLOOKUP(B347,[1]Product!A:D,4,FALSE),[1]Category!A:B,2,FALSE)</f>
        <v>Condiments</v>
      </c>
      <c r="L347" s="10">
        <f>IFERROR(VLOOKUP(A347,'[1]Sales Order'!A:D,4,FALSE),"")</f>
        <v>39062</v>
      </c>
      <c r="M347" s="10">
        <f>IFERROR(VLOOKUP(A347,'[1]Sales Order'!A:F,6,FALSE),"")</f>
        <v>39064</v>
      </c>
      <c r="N347" t="str">
        <f>IFERROR(VLOOKUP(VLOOKUP(A347,'[1]Sales Order'!A:G,7,FALSE),[1]Shipper!A:B,2,FALSE),"Not Specified")</f>
        <v>Shipper GVSUA</v>
      </c>
      <c r="O347" t="str">
        <f>IFERROR(VLOOKUP(A347,'[1]Sales Order'!A:I,9,FALSE),"Not Specified")</f>
        <v>Ship to 61-B</v>
      </c>
      <c r="P347" t="str">
        <f>IFERROR(VLOOKUP(A347,'[1]Sales Order'!A:N,14,FALSE),"Not Specified")</f>
        <v>Brazil</v>
      </c>
      <c r="Q347" t="str">
        <f>VLOOKUP(VLOOKUP(B347,[1]Product!A:C,3,FALSE),[1]Supplier!A:B,2,FALSE)</f>
        <v>Supplier GQRCV</v>
      </c>
      <c r="R347" t="str">
        <f>VLOOKUP(VLOOKUP(B347,[1]Product!A:C,3,FALSE),[1]Supplier!A:I,9,FALSE)</f>
        <v>Australia</v>
      </c>
      <c r="S347" t="str">
        <f>IFERROR(IF(VLOOKUP(A347,'[1]Sales Order'!A:H,8,FALSE)&gt;100,"High Freight","Low Freight"),"Not Specified")</f>
        <v>Low Freight</v>
      </c>
      <c r="T347">
        <f t="shared" si="11"/>
        <v>505.44000000000005</v>
      </c>
    </row>
    <row r="348" spans="1:20">
      <c r="A348" s="1">
        <v>10379</v>
      </c>
      <c r="B348" s="2">
        <v>65</v>
      </c>
      <c r="C348" s="2">
        <v>16.8</v>
      </c>
      <c r="D348" s="2">
        <v>20</v>
      </c>
      <c r="E348" s="3">
        <v>0.1</v>
      </c>
      <c r="F348" s="2" t="str">
        <f>IFERROR(VLOOKUP(VLOOKUP(A348,'[1]Sales Order'!A:B,2,FALSE),[1]Customer!A:C,3,FALSE),"Not Specified")</f>
        <v>Florczyk, Krzysztof</v>
      </c>
      <c r="G348" s="2" t="str">
        <f t="shared" si="10"/>
        <v>Florczyk Krzysztof</v>
      </c>
      <c r="H348" s="8" t="str">
        <f>IFERROR(VLOOKUP(VLOOKUP(A348,'[1]Sales Order'!A:C,3,FALSE),[1]Employee!A:E,5,FALSE)&amp;" "&amp;VLOOKUP(VLOOKUP(A348,'[1]Sales Order'!A:C,3,FALSE),[1]Employee!A:C,3,FALSE)&amp;" "&amp;VLOOKUP(VLOOKUP(A348,'[1]Sales Order'!A:C,3,FALSE),[1]Employee!A:B,2,FALSE),"Not Specified")</f>
        <v>Dr. Don Funk</v>
      </c>
      <c r="I348" t="str">
        <f>IFERROR(VLOOKUP(VLOOKUP(A348,'[1]Sales Order'!A:C,3,FALSE),[1]Employee!A:J,10,FALSE),"Not Specified")</f>
        <v>WA</v>
      </c>
      <c r="J348" t="str">
        <f>VLOOKUP(B348,[1]Product!A:B,2,FALSE)</f>
        <v>Product XYWBZ</v>
      </c>
      <c r="K348" t="str">
        <f>VLOOKUP(VLOOKUP(B348,[1]Product!A:D,4,FALSE),[1]Category!A:B,2,FALSE)</f>
        <v>Condiments</v>
      </c>
      <c r="L348" s="10">
        <f>IFERROR(VLOOKUP(A348,'[1]Sales Order'!A:D,4,FALSE),"")</f>
        <v>39062</v>
      </c>
      <c r="M348" s="10">
        <f>IFERROR(VLOOKUP(A348,'[1]Sales Order'!A:F,6,FALSE),"")</f>
        <v>39064</v>
      </c>
      <c r="N348" t="str">
        <f>IFERROR(VLOOKUP(VLOOKUP(A348,'[1]Sales Order'!A:G,7,FALSE),[1]Shipper!A:B,2,FALSE),"Not Specified")</f>
        <v>Shipper GVSUA</v>
      </c>
      <c r="O348" t="str">
        <f>IFERROR(VLOOKUP(A348,'[1]Sales Order'!A:I,9,FALSE),"Not Specified")</f>
        <v>Ship to 61-B</v>
      </c>
      <c r="P348" t="str">
        <f>IFERROR(VLOOKUP(A348,'[1]Sales Order'!A:N,14,FALSE),"Not Specified")</f>
        <v>Brazil</v>
      </c>
      <c r="Q348" t="str">
        <f>VLOOKUP(VLOOKUP(B348,[1]Product!A:C,3,FALSE),[1]Supplier!A:B,2,FALSE)</f>
        <v>Supplier VHQZD</v>
      </c>
      <c r="R348" t="str">
        <f>VLOOKUP(VLOOKUP(B348,[1]Product!A:C,3,FALSE),[1]Supplier!A:I,9,FALSE)</f>
        <v>USA</v>
      </c>
      <c r="S348" t="str">
        <f>IFERROR(IF(VLOOKUP(A348,'[1]Sales Order'!A:H,8,FALSE)&gt;100,"High Freight","Low Freight"),"Not Specified")</f>
        <v>Low Freight</v>
      </c>
      <c r="T348">
        <f t="shared" si="11"/>
        <v>302.40000000000003</v>
      </c>
    </row>
    <row r="349" spans="1:20">
      <c r="A349" s="1">
        <v>10380</v>
      </c>
      <c r="B349" s="2">
        <v>30</v>
      </c>
      <c r="C349" s="2">
        <v>20.7</v>
      </c>
      <c r="D349" s="2">
        <v>18</v>
      </c>
      <c r="E349" s="3">
        <v>0.1</v>
      </c>
      <c r="F349" s="2" t="str">
        <f>IFERROR(VLOOKUP(VLOOKUP(A349,'[1]Sales Order'!A:B,2,FALSE),[1]Customer!A:C,3,FALSE),"Not Specified")</f>
        <v>Crăciun, Ovidiu V.</v>
      </c>
      <c r="G349" s="2" t="str">
        <f t="shared" si="10"/>
        <v>Crăciun Ovidiu V.</v>
      </c>
      <c r="H349" s="8" t="str">
        <f>IFERROR(VLOOKUP(VLOOKUP(A349,'[1]Sales Order'!A:C,3,FALSE),[1]Employee!A:E,5,FALSE)&amp;" "&amp;VLOOKUP(VLOOKUP(A349,'[1]Sales Order'!A:C,3,FALSE),[1]Employee!A:C,3,FALSE)&amp;" "&amp;VLOOKUP(VLOOKUP(A349,'[1]Sales Order'!A:C,3,FALSE),[1]Employee!A:B,2,FALSE),"Not Specified")</f>
        <v>Ms. Maria Cameron</v>
      </c>
      <c r="I349" t="str">
        <f>IFERROR(VLOOKUP(VLOOKUP(A349,'[1]Sales Order'!A:C,3,FALSE),[1]Employee!A:J,10,FALSE),"Not Specified")</f>
        <v>WA</v>
      </c>
      <c r="J349" t="str">
        <f>VLOOKUP(B349,[1]Product!A:B,2,FALSE)</f>
        <v>Product LYERX</v>
      </c>
      <c r="K349" t="str">
        <f>VLOOKUP(VLOOKUP(B349,[1]Product!A:D,4,FALSE),[1]Category!A:B,2,FALSE)</f>
        <v>Seafood</v>
      </c>
      <c r="L349" s="10">
        <f>IFERROR(VLOOKUP(A349,'[1]Sales Order'!A:D,4,FALSE),"")</f>
        <v>39063</v>
      </c>
      <c r="M349" s="10">
        <f>IFERROR(VLOOKUP(A349,'[1]Sales Order'!A:F,6,FALSE),"")</f>
        <v>39098</v>
      </c>
      <c r="N349" t="str">
        <f>IFERROR(VLOOKUP(VLOOKUP(A349,'[1]Sales Order'!A:G,7,FALSE),[1]Shipper!A:B,2,FALSE),"Not Specified")</f>
        <v>Shipper ZHISN</v>
      </c>
      <c r="O349" t="str">
        <f>IFERROR(VLOOKUP(A349,'[1]Sales Order'!A:I,9,FALSE),"Not Specified")</f>
        <v>Destination KPVYJ</v>
      </c>
      <c r="P349" t="str">
        <f>IFERROR(VLOOKUP(A349,'[1]Sales Order'!A:N,14,FALSE),"Not Specified")</f>
        <v>Ireland</v>
      </c>
      <c r="Q349" t="str">
        <f>VLOOKUP(VLOOKUP(B349,[1]Product!A:C,3,FALSE),[1]Supplier!A:B,2,FALSE)</f>
        <v>Supplier TEGSC</v>
      </c>
      <c r="R349" t="str">
        <f>VLOOKUP(VLOOKUP(B349,[1]Product!A:C,3,FALSE),[1]Supplier!A:I,9,FALSE)</f>
        <v>Germany</v>
      </c>
      <c r="S349" t="str">
        <f>IFERROR(IF(VLOOKUP(A349,'[1]Sales Order'!A:H,8,FALSE)&gt;100,"High Freight","Low Freight"),"Not Specified")</f>
        <v>Low Freight</v>
      </c>
      <c r="T349">
        <f t="shared" si="11"/>
        <v>335.34</v>
      </c>
    </row>
    <row r="350" spans="1:20">
      <c r="A350" s="1">
        <v>10380</v>
      </c>
      <c r="B350" s="2">
        <v>53</v>
      </c>
      <c r="C350" s="2">
        <v>26.2</v>
      </c>
      <c r="D350" s="2">
        <v>20</v>
      </c>
      <c r="E350" s="3">
        <v>0.1</v>
      </c>
      <c r="F350" s="2" t="str">
        <f>IFERROR(VLOOKUP(VLOOKUP(A350,'[1]Sales Order'!A:B,2,FALSE),[1]Customer!A:C,3,FALSE),"Not Specified")</f>
        <v>Crăciun, Ovidiu V.</v>
      </c>
      <c r="G350" s="2" t="str">
        <f t="shared" si="10"/>
        <v>Crăciun Ovidiu V.</v>
      </c>
      <c r="H350" s="8" t="str">
        <f>IFERROR(VLOOKUP(VLOOKUP(A350,'[1]Sales Order'!A:C,3,FALSE),[1]Employee!A:E,5,FALSE)&amp;" "&amp;VLOOKUP(VLOOKUP(A350,'[1]Sales Order'!A:C,3,FALSE),[1]Employee!A:C,3,FALSE)&amp;" "&amp;VLOOKUP(VLOOKUP(A350,'[1]Sales Order'!A:C,3,FALSE),[1]Employee!A:B,2,FALSE),"Not Specified")</f>
        <v>Ms. Maria Cameron</v>
      </c>
      <c r="I350" t="str">
        <f>IFERROR(VLOOKUP(VLOOKUP(A350,'[1]Sales Order'!A:C,3,FALSE),[1]Employee!A:J,10,FALSE),"Not Specified")</f>
        <v>WA</v>
      </c>
      <c r="J350" t="str">
        <f>VLOOKUP(B350,[1]Product!A:B,2,FALSE)</f>
        <v>Product BKGEA</v>
      </c>
      <c r="K350" t="str">
        <f>VLOOKUP(VLOOKUP(B350,[1]Product!A:D,4,FALSE),[1]Category!A:B,2,FALSE)</f>
        <v>Meat/Poultry</v>
      </c>
      <c r="L350" s="10">
        <f>IFERROR(VLOOKUP(A350,'[1]Sales Order'!A:D,4,FALSE),"")</f>
        <v>39063</v>
      </c>
      <c r="M350" s="10">
        <f>IFERROR(VLOOKUP(A350,'[1]Sales Order'!A:F,6,FALSE),"")</f>
        <v>39098</v>
      </c>
      <c r="N350" t="str">
        <f>IFERROR(VLOOKUP(VLOOKUP(A350,'[1]Sales Order'!A:G,7,FALSE),[1]Shipper!A:B,2,FALSE),"Not Specified")</f>
        <v>Shipper ZHISN</v>
      </c>
      <c r="O350" t="str">
        <f>IFERROR(VLOOKUP(A350,'[1]Sales Order'!A:I,9,FALSE),"Not Specified")</f>
        <v>Destination KPVYJ</v>
      </c>
      <c r="P350" t="str">
        <f>IFERROR(VLOOKUP(A350,'[1]Sales Order'!A:N,14,FALSE),"Not Specified")</f>
        <v>Ireland</v>
      </c>
      <c r="Q350" t="str">
        <f>VLOOKUP(VLOOKUP(B350,[1]Product!A:C,3,FALSE),[1]Supplier!A:B,2,FALSE)</f>
        <v>Supplier JNNES</v>
      </c>
      <c r="R350" t="str">
        <f>VLOOKUP(VLOOKUP(B350,[1]Product!A:C,3,FALSE),[1]Supplier!A:I,9,FALSE)</f>
        <v>Australia</v>
      </c>
      <c r="S350" t="str">
        <f>IFERROR(IF(VLOOKUP(A350,'[1]Sales Order'!A:H,8,FALSE)&gt;100,"High Freight","Low Freight"),"Not Specified")</f>
        <v>Low Freight</v>
      </c>
      <c r="T350">
        <f t="shared" si="11"/>
        <v>471.6</v>
      </c>
    </row>
    <row r="351" spans="1:20">
      <c r="A351" s="1">
        <v>10380</v>
      </c>
      <c r="B351" s="2">
        <v>60</v>
      </c>
      <c r="C351" s="2">
        <v>27.2</v>
      </c>
      <c r="D351" s="2">
        <v>6</v>
      </c>
      <c r="E351" s="3">
        <v>0.1</v>
      </c>
      <c r="F351" s="2" t="str">
        <f>IFERROR(VLOOKUP(VLOOKUP(A351,'[1]Sales Order'!A:B,2,FALSE),[1]Customer!A:C,3,FALSE),"Not Specified")</f>
        <v>Crăciun, Ovidiu V.</v>
      </c>
      <c r="G351" s="2" t="str">
        <f t="shared" si="10"/>
        <v>Crăciun Ovidiu V.</v>
      </c>
      <c r="H351" s="8" t="str">
        <f>IFERROR(VLOOKUP(VLOOKUP(A351,'[1]Sales Order'!A:C,3,FALSE),[1]Employee!A:E,5,FALSE)&amp;" "&amp;VLOOKUP(VLOOKUP(A351,'[1]Sales Order'!A:C,3,FALSE),[1]Employee!A:C,3,FALSE)&amp;" "&amp;VLOOKUP(VLOOKUP(A351,'[1]Sales Order'!A:C,3,FALSE),[1]Employee!A:B,2,FALSE),"Not Specified")</f>
        <v>Ms. Maria Cameron</v>
      </c>
      <c r="I351" t="str">
        <f>IFERROR(VLOOKUP(VLOOKUP(A351,'[1]Sales Order'!A:C,3,FALSE),[1]Employee!A:J,10,FALSE),"Not Specified")</f>
        <v>WA</v>
      </c>
      <c r="J351" t="str">
        <f>VLOOKUP(B351,[1]Product!A:B,2,FALSE)</f>
        <v>Product WHBYK</v>
      </c>
      <c r="K351" t="str">
        <f>VLOOKUP(VLOOKUP(B351,[1]Product!A:D,4,FALSE),[1]Category!A:B,2,FALSE)</f>
        <v>Dairy Product</v>
      </c>
      <c r="L351" s="10">
        <f>IFERROR(VLOOKUP(A351,'[1]Sales Order'!A:D,4,FALSE),"")</f>
        <v>39063</v>
      </c>
      <c r="M351" s="10">
        <f>IFERROR(VLOOKUP(A351,'[1]Sales Order'!A:F,6,FALSE),"")</f>
        <v>39098</v>
      </c>
      <c r="N351" t="str">
        <f>IFERROR(VLOOKUP(VLOOKUP(A351,'[1]Sales Order'!A:G,7,FALSE),[1]Shipper!A:B,2,FALSE),"Not Specified")</f>
        <v>Shipper ZHISN</v>
      </c>
      <c r="O351" t="str">
        <f>IFERROR(VLOOKUP(A351,'[1]Sales Order'!A:I,9,FALSE),"Not Specified")</f>
        <v>Destination KPVYJ</v>
      </c>
      <c r="P351" t="str">
        <f>IFERROR(VLOOKUP(A351,'[1]Sales Order'!A:N,14,FALSE),"Not Specified")</f>
        <v>Ireland</v>
      </c>
      <c r="Q351" t="str">
        <f>VLOOKUP(VLOOKUP(B351,[1]Product!A:C,3,FALSE),[1]Supplier!A:B,2,FALSE)</f>
        <v>Supplier OAVQT</v>
      </c>
      <c r="R351" t="str">
        <f>VLOOKUP(VLOOKUP(B351,[1]Product!A:C,3,FALSE),[1]Supplier!A:I,9,FALSE)</f>
        <v>France</v>
      </c>
      <c r="S351" t="str">
        <f>IFERROR(IF(VLOOKUP(A351,'[1]Sales Order'!A:H,8,FALSE)&gt;100,"High Freight","Low Freight"),"Not Specified")</f>
        <v>Low Freight</v>
      </c>
      <c r="T351">
        <f t="shared" si="11"/>
        <v>146.88</v>
      </c>
    </row>
    <row r="352" spans="1:20">
      <c r="A352" s="1">
        <v>10380</v>
      </c>
      <c r="B352" s="2">
        <v>70</v>
      </c>
      <c r="C352" s="2">
        <v>12</v>
      </c>
      <c r="D352" s="2">
        <v>30</v>
      </c>
      <c r="E352" s="3">
        <v>0</v>
      </c>
      <c r="F352" s="2" t="str">
        <f>IFERROR(VLOOKUP(VLOOKUP(A352,'[1]Sales Order'!A:B,2,FALSE),[1]Customer!A:C,3,FALSE),"Not Specified")</f>
        <v>Crăciun, Ovidiu V.</v>
      </c>
      <c r="G352" s="2" t="str">
        <f t="shared" si="10"/>
        <v>Crăciun Ovidiu V.</v>
      </c>
      <c r="H352" s="8" t="str">
        <f>IFERROR(VLOOKUP(VLOOKUP(A352,'[1]Sales Order'!A:C,3,FALSE),[1]Employee!A:E,5,FALSE)&amp;" "&amp;VLOOKUP(VLOOKUP(A352,'[1]Sales Order'!A:C,3,FALSE),[1]Employee!A:C,3,FALSE)&amp;" "&amp;VLOOKUP(VLOOKUP(A352,'[1]Sales Order'!A:C,3,FALSE),[1]Employee!A:B,2,FALSE),"Not Specified")</f>
        <v>Ms. Maria Cameron</v>
      </c>
      <c r="I352" t="str">
        <f>IFERROR(VLOOKUP(VLOOKUP(A352,'[1]Sales Order'!A:C,3,FALSE),[1]Employee!A:J,10,FALSE),"Not Specified")</f>
        <v>WA</v>
      </c>
      <c r="J352" t="str">
        <f>VLOOKUP(B352,[1]Product!A:B,2,FALSE)</f>
        <v>Product TOONT</v>
      </c>
      <c r="K352" t="str">
        <f>VLOOKUP(VLOOKUP(B352,[1]Product!A:D,4,FALSE),[1]Category!A:B,2,FALSE)</f>
        <v>Beverages</v>
      </c>
      <c r="L352" s="10">
        <f>IFERROR(VLOOKUP(A352,'[1]Sales Order'!A:D,4,FALSE),"")</f>
        <v>39063</v>
      </c>
      <c r="M352" s="10">
        <f>IFERROR(VLOOKUP(A352,'[1]Sales Order'!A:F,6,FALSE),"")</f>
        <v>39098</v>
      </c>
      <c r="N352" t="str">
        <f>IFERROR(VLOOKUP(VLOOKUP(A352,'[1]Sales Order'!A:G,7,FALSE),[1]Shipper!A:B,2,FALSE),"Not Specified")</f>
        <v>Shipper ZHISN</v>
      </c>
      <c r="O352" t="str">
        <f>IFERROR(VLOOKUP(A352,'[1]Sales Order'!A:I,9,FALSE),"Not Specified")</f>
        <v>Destination KPVYJ</v>
      </c>
      <c r="P352" t="str">
        <f>IFERROR(VLOOKUP(A352,'[1]Sales Order'!A:N,14,FALSE),"Not Specified")</f>
        <v>Ireland</v>
      </c>
      <c r="Q352" t="str">
        <f>VLOOKUP(VLOOKUP(B352,[1]Product!A:C,3,FALSE),[1]Supplier!A:B,2,FALSE)</f>
        <v>Supplier GQRCV</v>
      </c>
      <c r="R352" t="str">
        <f>VLOOKUP(VLOOKUP(B352,[1]Product!A:C,3,FALSE),[1]Supplier!A:I,9,FALSE)</f>
        <v>Australia</v>
      </c>
      <c r="S352" t="str">
        <f>IFERROR(IF(VLOOKUP(A352,'[1]Sales Order'!A:H,8,FALSE)&gt;100,"High Freight","Low Freight"),"Not Specified")</f>
        <v>Low Freight</v>
      </c>
      <c r="T352">
        <f t="shared" si="11"/>
        <v>360</v>
      </c>
    </row>
    <row r="353" spans="1:20">
      <c r="A353" s="1">
        <v>10381</v>
      </c>
      <c r="B353" s="2">
        <v>74</v>
      </c>
      <c r="C353" s="2">
        <v>8</v>
      </c>
      <c r="D353" s="2">
        <v>14</v>
      </c>
      <c r="E353" s="3">
        <v>0</v>
      </c>
      <c r="F353" s="2" t="str">
        <f>IFERROR(VLOOKUP(VLOOKUP(A353,'[1]Sales Order'!A:B,2,FALSE),[1]Customer!A:C,3,FALSE),"Not Specified")</f>
        <v>Dressler, Marlies</v>
      </c>
      <c r="G353" s="2" t="str">
        <f t="shared" si="10"/>
        <v>Dressler Marlies</v>
      </c>
      <c r="H353" s="8" t="str">
        <f>IFERROR(VLOOKUP(VLOOKUP(A353,'[1]Sales Order'!A:C,3,FALSE),[1]Employee!A:E,5,FALSE)&amp;" "&amp;VLOOKUP(VLOOKUP(A353,'[1]Sales Order'!A:C,3,FALSE),[1]Employee!A:C,3,FALSE)&amp;" "&amp;VLOOKUP(VLOOKUP(A353,'[1]Sales Order'!A:C,3,FALSE),[1]Employee!A:B,2,FALSE),"Not Specified")</f>
        <v>Ms. Judy Lew</v>
      </c>
      <c r="I353" t="str">
        <f>IFERROR(VLOOKUP(VLOOKUP(A353,'[1]Sales Order'!A:C,3,FALSE),[1]Employee!A:J,10,FALSE),"Not Specified")</f>
        <v>WA</v>
      </c>
      <c r="J353" t="str">
        <f>VLOOKUP(B353,[1]Product!A:B,2,FALSE)</f>
        <v>Product BKAZJ</v>
      </c>
      <c r="K353" t="str">
        <f>VLOOKUP(VLOOKUP(B353,[1]Product!A:D,4,FALSE),[1]Category!A:B,2,FALSE)</f>
        <v>Produce</v>
      </c>
      <c r="L353" s="10">
        <f>IFERROR(VLOOKUP(A353,'[1]Sales Order'!A:D,4,FALSE),"")</f>
        <v>39063</v>
      </c>
      <c r="M353" s="10">
        <f>IFERROR(VLOOKUP(A353,'[1]Sales Order'!A:F,6,FALSE),"")</f>
        <v>39064</v>
      </c>
      <c r="N353" t="str">
        <f>IFERROR(VLOOKUP(VLOOKUP(A353,'[1]Sales Order'!A:G,7,FALSE),[1]Shipper!A:B,2,FALSE),"Not Specified")</f>
        <v>Shipper ZHISN</v>
      </c>
      <c r="O353" t="str">
        <f>IFERROR(VLOOKUP(A353,'[1]Sales Order'!A:I,9,FALSE),"Not Specified")</f>
        <v>Ship to 46-C</v>
      </c>
      <c r="P353" t="str">
        <f>IFERROR(VLOOKUP(A353,'[1]Sales Order'!A:N,14,FALSE),"Not Specified")</f>
        <v>Venezuela</v>
      </c>
      <c r="Q353" t="str">
        <f>VLOOKUP(VLOOKUP(B353,[1]Product!A:C,3,FALSE),[1]Supplier!A:B,2,FALSE)</f>
        <v>Supplier QOVFD</v>
      </c>
      <c r="R353" t="str">
        <f>VLOOKUP(VLOOKUP(B353,[1]Product!A:C,3,FALSE),[1]Supplier!A:I,9,FALSE)</f>
        <v>Japan</v>
      </c>
      <c r="S353" t="str">
        <f>IFERROR(IF(VLOOKUP(A353,'[1]Sales Order'!A:H,8,FALSE)&gt;100,"High Freight","Low Freight"),"Not Specified")</f>
        <v>Low Freight</v>
      </c>
      <c r="T353">
        <f t="shared" si="11"/>
        <v>112</v>
      </c>
    </row>
    <row r="354" spans="1:20">
      <c r="A354" s="1">
        <v>10382</v>
      </c>
      <c r="B354" s="2">
        <v>5</v>
      </c>
      <c r="C354" s="2">
        <v>17</v>
      </c>
      <c r="D354" s="2">
        <v>32</v>
      </c>
      <c r="E354" s="3">
        <v>0</v>
      </c>
      <c r="F354" s="2" t="str">
        <f>IFERROR(VLOOKUP(VLOOKUP(A354,'[1]Sales Order'!A:B,2,FALSE),[1]Customer!A:C,3,FALSE),"Not Specified")</f>
        <v>Kane, John</v>
      </c>
      <c r="G354" s="2" t="str">
        <f t="shared" si="10"/>
        <v>Kane John</v>
      </c>
      <c r="H354" s="8" t="str">
        <f>IFERROR(VLOOKUP(VLOOKUP(A354,'[1]Sales Order'!A:C,3,FALSE),[1]Employee!A:E,5,FALSE)&amp;" "&amp;VLOOKUP(VLOOKUP(A354,'[1]Sales Order'!A:C,3,FALSE),[1]Employee!A:C,3,FALSE)&amp;" "&amp;VLOOKUP(VLOOKUP(A354,'[1]Sales Order'!A:C,3,FALSE),[1]Employee!A:B,2,FALSE),"Not Specified")</f>
        <v>Mrs. Yael Peled</v>
      </c>
      <c r="I354" t="str">
        <f>IFERROR(VLOOKUP(VLOOKUP(A354,'[1]Sales Order'!A:C,3,FALSE),[1]Employee!A:J,10,FALSE),"Not Specified")</f>
        <v>WA</v>
      </c>
      <c r="J354" t="str">
        <f>VLOOKUP(B354,[1]Product!A:B,2,FALSE)</f>
        <v>Product EPEIM</v>
      </c>
      <c r="K354" t="str">
        <f>VLOOKUP(VLOOKUP(B354,[1]Product!A:D,4,FALSE),[1]Category!A:B,2,FALSE)</f>
        <v>Condiments</v>
      </c>
      <c r="L354" s="10">
        <f>IFERROR(VLOOKUP(A354,'[1]Sales Order'!A:D,4,FALSE),"")</f>
        <v>39064</v>
      </c>
      <c r="M354" s="10">
        <f>IFERROR(VLOOKUP(A354,'[1]Sales Order'!A:F,6,FALSE),"")</f>
        <v>39067</v>
      </c>
      <c r="N354" t="str">
        <f>IFERROR(VLOOKUP(VLOOKUP(A354,'[1]Sales Order'!A:G,7,FALSE),[1]Shipper!A:B,2,FALSE),"Not Specified")</f>
        <v>Shipper GVSUA</v>
      </c>
      <c r="O354" t="str">
        <f>IFERROR(VLOOKUP(A354,'[1]Sales Order'!A:I,9,FALSE),"Not Specified")</f>
        <v>Destination FFXKT</v>
      </c>
      <c r="P354" t="str">
        <f>IFERROR(VLOOKUP(A354,'[1]Sales Order'!A:N,14,FALSE),"Not Specified")</f>
        <v>Austria</v>
      </c>
      <c r="Q354" t="str">
        <f>VLOOKUP(VLOOKUP(B354,[1]Product!A:C,3,FALSE),[1]Supplier!A:B,2,FALSE)</f>
        <v>Supplier VHQZD</v>
      </c>
      <c r="R354" t="str">
        <f>VLOOKUP(VLOOKUP(B354,[1]Product!A:C,3,FALSE),[1]Supplier!A:I,9,FALSE)</f>
        <v>USA</v>
      </c>
      <c r="S354" t="str">
        <f>IFERROR(IF(VLOOKUP(A354,'[1]Sales Order'!A:H,8,FALSE)&gt;100,"High Freight","Low Freight"),"Not Specified")</f>
        <v>Low Freight</v>
      </c>
      <c r="T354">
        <f t="shared" si="11"/>
        <v>544</v>
      </c>
    </row>
    <row r="355" spans="1:20">
      <c r="A355" s="1">
        <v>10382</v>
      </c>
      <c r="B355" s="2">
        <v>18</v>
      </c>
      <c r="C355" s="2">
        <v>50</v>
      </c>
      <c r="D355" s="2">
        <v>9</v>
      </c>
      <c r="E355" s="3">
        <v>0</v>
      </c>
      <c r="F355" s="2" t="str">
        <f>IFERROR(VLOOKUP(VLOOKUP(A355,'[1]Sales Order'!A:B,2,FALSE),[1]Customer!A:C,3,FALSE),"Not Specified")</f>
        <v>Kane, John</v>
      </c>
      <c r="G355" s="2" t="str">
        <f t="shared" si="10"/>
        <v>Kane John</v>
      </c>
      <c r="H355" s="8" t="str">
        <f>IFERROR(VLOOKUP(VLOOKUP(A355,'[1]Sales Order'!A:C,3,FALSE),[1]Employee!A:E,5,FALSE)&amp;" "&amp;VLOOKUP(VLOOKUP(A355,'[1]Sales Order'!A:C,3,FALSE),[1]Employee!A:C,3,FALSE)&amp;" "&amp;VLOOKUP(VLOOKUP(A355,'[1]Sales Order'!A:C,3,FALSE),[1]Employee!A:B,2,FALSE),"Not Specified")</f>
        <v>Mrs. Yael Peled</v>
      </c>
      <c r="I355" t="str">
        <f>IFERROR(VLOOKUP(VLOOKUP(A355,'[1]Sales Order'!A:C,3,FALSE),[1]Employee!A:J,10,FALSE),"Not Specified")</f>
        <v>WA</v>
      </c>
      <c r="J355" t="str">
        <f>VLOOKUP(B355,[1]Product!A:B,2,FALSE)</f>
        <v>Product CKEDC</v>
      </c>
      <c r="K355" t="str">
        <f>VLOOKUP(VLOOKUP(B355,[1]Product!A:D,4,FALSE),[1]Category!A:B,2,FALSE)</f>
        <v>Seafood</v>
      </c>
      <c r="L355" s="10">
        <f>IFERROR(VLOOKUP(A355,'[1]Sales Order'!A:D,4,FALSE),"")</f>
        <v>39064</v>
      </c>
      <c r="M355" s="10">
        <f>IFERROR(VLOOKUP(A355,'[1]Sales Order'!A:F,6,FALSE),"")</f>
        <v>39067</v>
      </c>
      <c r="N355" t="str">
        <f>IFERROR(VLOOKUP(VLOOKUP(A355,'[1]Sales Order'!A:G,7,FALSE),[1]Shipper!A:B,2,FALSE),"Not Specified")</f>
        <v>Shipper GVSUA</v>
      </c>
      <c r="O355" t="str">
        <f>IFERROR(VLOOKUP(A355,'[1]Sales Order'!A:I,9,FALSE),"Not Specified")</f>
        <v>Destination FFXKT</v>
      </c>
      <c r="P355" t="str">
        <f>IFERROR(VLOOKUP(A355,'[1]Sales Order'!A:N,14,FALSE),"Not Specified")</f>
        <v>Austria</v>
      </c>
      <c r="Q355" t="str">
        <f>VLOOKUP(VLOOKUP(B355,[1]Product!A:C,3,FALSE),[1]Supplier!A:B,2,FALSE)</f>
        <v>Supplier GQRCV</v>
      </c>
      <c r="R355" t="str">
        <f>VLOOKUP(VLOOKUP(B355,[1]Product!A:C,3,FALSE),[1]Supplier!A:I,9,FALSE)</f>
        <v>Australia</v>
      </c>
      <c r="S355" t="str">
        <f>IFERROR(IF(VLOOKUP(A355,'[1]Sales Order'!A:H,8,FALSE)&gt;100,"High Freight","Low Freight"),"Not Specified")</f>
        <v>Low Freight</v>
      </c>
      <c r="T355">
        <f t="shared" si="11"/>
        <v>450</v>
      </c>
    </row>
    <row r="356" spans="1:20">
      <c r="A356" s="1">
        <v>10382</v>
      </c>
      <c r="B356" s="2">
        <v>29</v>
      </c>
      <c r="C356" s="2">
        <v>99</v>
      </c>
      <c r="D356" s="2">
        <v>14</v>
      </c>
      <c r="E356" s="3">
        <v>0</v>
      </c>
      <c r="F356" s="2" t="str">
        <f>IFERROR(VLOOKUP(VLOOKUP(A356,'[1]Sales Order'!A:B,2,FALSE),[1]Customer!A:C,3,FALSE),"Not Specified")</f>
        <v>Kane, John</v>
      </c>
      <c r="G356" s="2" t="str">
        <f t="shared" si="10"/>
        <v>Kane John</v>
      </c>
      <c r="H356" s="8" t="str">
        <f>IFERROR(VLOOKUP(VLOOKUP(A356,'[1]Sales Order'!A:C,3,FALSE),[1]Employee!A:E,5,FALSE)&amp;" "&amp;VLOOKUP(VLOOKUP(A356,'[1]Sales Order'!A:C,3,FALSE),[1]Employee!A:C,3,FALSE)&amp;" "&amp;VLOOKUP(VLOOKUP(A356,'[1]Sales Order'!A:C,3,FALSE),[1]Employee!A:B,2,FALSE),"Not Specified")</f>
        <v>Mrs. Yael Peled</v>
      </c>
      <c r="I356" t="str">
        <f>IFERROR(VLOOKUP(VLOOKUP(A356,'[1]Sales Order'!A:C,3,FALSE),[1]Employee!A:J,10,FALSE),"Not Specified")</f>
        <v>WA</v>
      </c>
      <c r="J356" t="str">
        <f>VLOOKUP(B356,[1]Product!A:B,2,FALSE)</f>
        <v>Product VJXYN</v>
      </c>
      <c r="K356" t="str">
        <f>VLOOKUP(VLOOKUP(B356,[1]Product!A:D,4,FALSE),[1]Category!A:B,2,FALSE)</f>
        <v>Meat/Poultry</v>
      </c>
      <c r="L356" s="10">
        <f>IFERROR(VLOOKUP(A356,'[1]Sales Order'!A:D,4,FALSE),"")</f>
        <v>39064</v>
      </c>
      <c r="M356" s="10">
        <f>IFERROR(VLOOKUP(A356,'[1]Sales Order'!A:F,6,FALSE),"")</f>
        <v>39067</v>
      </c>
      <c r="N356" t="str">
        <f>IFERROR(VLOOKUP(VLOOKUP(A356,'[1]Sales Order'!A:G,7,FALSE),[1]Shipper!A:B,2,FALSE),"Not Specified")</f>
        <v>Shipper GVSUA</v>
      </c>
      <c r="O356" t="str">
        <f>IFERROR(VLOOKUP(A356,'[1]Sales Order'!A:I,9,FALSE),"Not Specified")</f>
        <v>Destination FFXKT</v>
      </c>
      <c r="P356" t="str">
        <f>IFERROR(VLOOKUP(A356,'[1]Sales Order'!A:N,14,FALSE),"Not Specified")</f>
        <v>Austria</v>
      </c>
      <c r="Q356" t="str">
        <f>VLOOKUP(VLOOKUP(B356,[1]Product!A:C,3,FALSE),[1]Supplier!A:B,2,FALSE)</f>
        <v>Supplier SVIYA</v>
      </c>
      <c r="R356" t="str">
        <f>VLOOKUP(VLOOKUP(B356,[1]Product!A:C,3,FALSE),[1]Supplier!A:I,9,FALSE)</f>
        <v>Germany</v>
      </c>
      <c r="S356" t="str">
        <f>IFERROR(IF(VLOOKUP(A356,'[1]Sales Order'!A:H,8,FALSE)&gt;100,"High Freight","Low Freight"),"Not Specified")</f>
        <v>Low Freight</v>
      </c>
      <c r="T356">
        <f t="shared" si="11"/>
        <v>1386</v>
      </c>
    </row>
    <row r="357" spans="1:20">
      <c r="A357" s="1">
        <v>10382</v>
      </c>
      <c r="B357" s="2">
        <v>33</v>
      </c>
      <c r="C357" s="2">
        <v>2</v>
      </c>
      <c r="D357" s="2">
        <v>60</v>
      </c>
      <c r="E357" s="3">
        <v>0</v>
      </c>
      <c r="F357" s="2" t="str">
        <f>IFERROR(VLOOKUP(VLOOKUP(A357,'[1]Sales Order'!A:B,2,FALSE),[1]Customer!A:C,3,FALSE),"Not Specified")</f>
        <v>Kane, John</v>
      </c>
      <c r="G357" s="2" t="str">
        <f t="shared" si="10"/>
        <v>Kane John</v>
      </c>
      <c r="H357" s="8" t="str">
        <f>IFERROR(VLOOKUP(VLOOKUP(A357,'[1]Sales Order'!A:C,3,FALSE),[1]Employee!A:E,5,FALSE)&amp;" "&amp;VLOOKUP(VLOOKUP(A357,'[1]Sales Order'!A:C,3,FALSE),[1]Employee!A:C,3,FALSE)&amp;" "&amp;VLOOKUP(VLOOKUP(A357,'[1]Sales Order'!A:C,3,FALSE),[1]Employee!A:B,2,FALSE),"Not Specified")</f>
        <v>Mrs. Yael Peled</v>
      </c>
      <c r="I357" t="str">
        <f>IFERROR(VLOOKUP(VLOOKUP(A357,'[1]Sales Order'!A:C,3,FALSE),[1]Employee!A:J,10,FALSE),"Not Specified")</f>
        <v>WA</v>
      </c>
      <c r="J357" t="str">
        <f>VLOOKUP(B357,[1]Product!A:B,2,FALSE)</f>
        <v>Product ASTMN</v>
      </c>
      <c r="K357" t="str">
        <f>VLOOKUP(VLOOKUP(B357,[1]Product!A:D,4,FALSE),[1]Category!A:B,2,FALSE)</f>
        <v>Dairy Product</v>
      </c>
      <c r="L357" s="10">
        <f>IFERROR(VLOOKUP(A357,'[1]Sales Order'!A:D,4,FALSE),"")</f>
        <v>39064</v>
      </c>
      <c r="M357" s="10">
        <f>IFERROR(VLOOKUP(A357,'[1]Sales Order'!A:F,6,FALSE),"")</f>
        <v>39067</v>
      </c>
      <c r="N357" t="str">
        <f>IFERROR(VLOOKUP(VLOOKUP(A357,'[1]Sales Order'!A:G,7,FALSE),[1]Shipper!A:B,2,FALSE),"Not Specified")</f>
        <v>Shipper GVSUA</v>
      </c>
      <c r="O357" t="str">
        <f>IFERROR(VLOOKUP(A357,'[1]Sales Order'!A:I,9,FALSE),"Not Specified")</f>
        <v>Destination FFXKT</v>
      </c>
      <c r="P357" t="str">
        <f>IFERROR(VLOOKUP(A357,'[1]Sales Order'!A:N,14,FALSE),"Not Specified")</f>
        <v>Austria</v>
      </c>
      <c r="Q357" t="str">
        <f>VLOOKUP(VLOOKUP(B357,[1]Product!A:C,3,FALSE),[1]Supplier!A:B,2,FALSE)</f>
        <v>Supplier NZLIF</v>
      </c>
      <c r="R357" t="str">
        <f>VLOOKUP(VLOOKUP(B357,[1]Product!A:C,3,FALSE),[1]Supplier!A:I,9,FALSE)</f>
        <v>Norway</v>
      </c>
      <c r="S357" t="str">
        <f>IFERROR(IF(VLOOKUP(A357,'[1]Sales Order'!A:H,8,FALSE)&gt;100,"High Freight","Low Freight"),"Not Specified")</f>
        <v>Low Freight</v>
      </c>
      <c r="T357">
        <f t="shared" si="11"/>
        <v>120</v>
      </c>
    </row>
    <row r="358" spans="1:20">
      <c r="A358" s="1">
        <v>10382</v>
      </c>
      <c r="B358" s="2">
        <v>74</v>
      </c>
      <c r="C358" s="2">
        <v>8</v>
      </c>
      <c r="D358" s="2">
        <v>50</v>
      </c>
      <c r="E358" s="3">
        <v>0</v>
      </c>
      <c r="F358" s="2" t="str">
        <f>IFERROR(VLOOKUP(VLOOKUP(A358,'[1]Sales Order'!A:B,2,FALSE),[1]Customer!A:C,3,FALSE),"Not Specified")</f>
        <v>Kane, John</v>
      </c>
      <c r="G358" s="2" t="str">
        <f t="shared" si="10"/>
        <v>Kane John</v>
      </c>
      <c r="H358" s="8" t="str">
        <f>IFERROR(VLOOKUP(VLOOKUP(A358,'[1]Sales Order'!A:C,3,FALSE),[1]Employee!A:E,5,FALSE)&amp;" "&amp;VLOOKUP(VLOOKUP(A358,'[1]Sales Order'!A:C,3,FALSE),[1]Employee!A:C,3,FALSE)&amp;" "&amp;VLOOKUP(VLOOKUP(A358,'[1]Sales Order'!A:C,3,FALSE),[1]Employee!A:B,2,FALSE),"Not Specified")</f>
        <v>Mrs. Yael Peled</v>
      </c>
      <c r="I358" t="str">
        <f>IFERROR(VLOOKUP(VLOOKUP(A358,'[1]Sales Order'!A:C,3,FALSE),[1]Employee!A:J,10,FALSE),"Not Specified")</f>
        <v>WA</v>
      </c>
      <c r="J358" t="str">
        <f>VLOOKUP(B358,[1]Product!A:B,2,FALSE)</f>
        <v>Product BKAZJ</v>
      </c>
      <c r="K358" t="str">
        <f>VLOOKUP(VLOOKUP(B358,[1]Product!A:D,4,FALSE),[1]Category!A:B,2,FALSE)</f>
        <v>Produce</v>
      </c>
      <c r="L358" s="10">
        <f>IFERROR(VLOOKUP(A358,'[1]Sales Order'!A:D,4,FALSE),"")</f>
        <v>39064</v>
      </c>
      <c r="M358" s="10">
        <f>IFERROR(VLOOKUP(A358,'[1]Sales Order'!A:F,6,FALSE),"")</f>
        <v>39067</v>
      </c>
      <c r="N358" t="str">
        <f>IFERROR(VLOOKUP(VLOOKUP(A358,'[1]Sales Order'!A:G,7,FALSE),[1]Shipper!A:B,2,FALSE),"Not Specified")</f>
        <v>Shipper GVSUA</v>
      </c>
      <c r="O358" t="str">
        <f>IFERROR(VLOOKUP(A358,'[1]Sales Order'!A:I,9,FALSE),"Not Specified")</f>
        <v>Destination FFXKT</v>
      </c>
      <c r="P358" t="str">
        <f>IFERROR(VLOOKUP(A358,'[1]Sales Order'!A:N,14,FALSE),"Not Specified")</f>
        <v>Austria</v>
      </c>
      <c r="Q358" t="str">
        <f>VLOOKUP(VLOOKUP(B358,[1]Product!A:C,3,FALSE),[1]Supplier!A:B,2,FALSE)</f>
        <v>Supplier QOVFD</v>
      </c>
      <c r="R358" t="str">
        <f>VLOOKUP(VLOOKUP(B358,[1]Product!A:C,3,FALSE),[1]Supplier!A:I,9,FALSE)</f>
        <v>Japan</v>
      </c>
      <c r="S358" t="str">
        <f>IFERROR(IF(VLOOKUP(A358,'[1]Sales Order'!A:H,8,FALSE)&gt;100,"High Freight","Low Freight"),"Not Specified")</f>
        <v>Low Freight</v>
      </c>
      <c r="T358">
        <f t="shared" si="11"/>
        <v>400</v>
      </c>
    </row>
    <row r="359" spans="1:20">
      <c r="A359" s="1">
        <v>10383</v>
      </c>
      <c r="B359" s="2">
        <v>13</v>
      </c>
      <c r="C359" s="2">
        <v>4.8</v>
      </c>
      <c r="D359" s="2">
        <v>20</v>
      </c>
      <c r="E359" s="3">
        <v>0</v>
      </c>
      <c r="F359" s="2" t="str">
        <f>IFERROR(VLOOKUP(VLOOKUP(A359,'[1]Sales Order'!A:B,2,FALSE),[1]Customer!A:C,3,FALSE),"Not Specified")</f>
        <v>Arndt, Torsten</v>
      </c>
      <c r="G359" s="2" t="str">
        <f t="shared" si="10"/>
        <v>Arndt Torsten</v>
      </c>
      <c r="H359" s="8" t="str">
        <f>IFERROR(VLOOKUP(VLOOKUP(A359,'[1]Sales Order'!A:C,3,FALSE),[1]Employee!A:E,5,FALSE)&amp;" "&amp;VLOOKUP(VLOOKUP(A359,'[1]Sales Order'!A:C,3,FALSE),[1]Employee!A:C,3,FALSE)&amp;" "&amp;VLOOKUP(VLOOKUP(A359,'[1]Sales Order'!A:C,3,FALSE),[1]Employee!A:B,2,FALSE),"Not Specified")</f>
        <v>Ms. Maria Cameron</v>
      </c>
      <c r="I359" t="str">
        <f>IFERROR(VLOOKUP(VLOOKUP(A359,'[1]Sales Order'!A:C,3,FALSE),[1]Employee!A:J,10,FALSE),"Not Specified")</f>
        <v>WA</v>
      </c>
      <c r="J359" t="str">
        <f>VLOOKUP(B359,[1]Product!A:B,2,FALSE)</f>
        <v>Product POXFU</v>
      </c>
      <c r="K359" t="str">
        <f>VLOOKUP(VLOOKUP(B359,[1]Product!A:D,4,FALSE),[1]Category!A:B,2,FALSE)</f>
        <v>Seafood</v>
      </c>
      <c r="L359" s="10">
        <f>IFERROR(VLOOKUP(A359,'[1]Sales Order'!A:D,4,FALSE),"")</f>
        <v>39067</v>
      </c>
      <c r="M359" s="10">
        <f>IFERROR(VLOOKUP(A359,'[1]Sales Order'!A:F,6,FALSE),"")</f>
        <v>39069</v>
      </c>
      <c r="N359" t="str">
        <f>IFERROR(VLOOKUP(VLOOKUP(A359,'[1]Sales Order'!A:G,7,FALSE),[1]Shipper!A:B,2,FALSE),"Not Specified")</f>
        <v>Shipper ZHISN</v>
      </c>
      <c r="O359" t="str">
        <f>IFERROR(VLOOKUP(A359,'[1]Sales Order'!A:I,9,FALSE),"Not Specified")</f>
        <v>Ship to 4-B</v>
      </c>
      <c r="P359" t="str">
        <f>IFERROR(VLOOKUP(A359,'[1]Sales Order'!A:N,14,FALSE),"Not Specified")</f>
        <v>UK</v>
      </c>
      <c r="Q359" t="str">
        <f>VLOOKUP(VLOOKUP(B359,[1]Product!A:C,3,FALSE),[1]Supplier!A:B,2,FALSE)</f>
        <v>Supplier QWUSF</v>
      </c>
      <c r="R359" t="str">
        <f>VLOOKUP(VLOOKUP(B359,[1]Product!A:C,3,FALSE),[1]Supplier!A:I,9,FALSE)</f>
        <v>Japan</v>
      </c>
      <c r="S359" t="str">
        <f>IFERROR(IF(VLOOKUP(A359,'[1]Sales Order'!A:H,8,FALSE)&gt;100,"High Freight","Low Freight"),"Not Specified")</f>
        <v>Low Freight</v>
      </c>
      <c r="T359">
        <f t="shared" si="11"/>
        <v>96</v>
      </c>
    </row>
    <row r="360" spans="1:20">
      <c r="A360" s="1">
        <v>10383</v>
      </c>
      <c r="B360" s="2">
        <v>50</v>
      </c>
      <c r="C360" s="2">
        <v>13</v>
      </c>
      <c r="D360" s="2">
        <v>15</v>
      </c>
      <c r="E360" s="3">
        <v>0</v>
      </c>
      <c r="F360" s="2" t="str">
        <f>IFERROR(VLOOKUP(VLOOKUP(A360,'[1]Sales Order'!A:B,2,FALSE),[1]Customer!A:C,3,FALSE),"Not Specified")</f>
        <v>Arndt, Torsten</v>
      </c>
      <c r="G360" s="2" t="str">
        <f t="shared" si="10"/>
        <v>Arndt Torsten</v>
      </c>
      <c r="H360" s="8" t="str">
        <f>IFERROR(VLOOKUP(VLOOKUP(A360,'[1]Sales Order'!A:C,3,FALSE),[1]Employee!A:E,5,FALSE)&amp;" "&amp;VLOOKUP(VLOOKUP(A360,'[1]Sales Order'!A:C,3,FALSE),[1]Employee!A:C,3,FALSE)&amp;" "&amp;VLOOKUP(VLOOKUP(A360,'[1]Sales Order'!A:C,3,FALSE),[1]Employee!A:B,2,FALSE),"Not Specified")</f>
        <v>Ms. Maria Cameron</v>
      </c>
      <c r="I360" t="str">
        <f>IFERROR(VLOOKUP(VLOOKUP(A360,'[1]Sales Order'!A:C,3,FALSE),[1]Employee!A:J,10,FALSE),"Not Specified")</f>
        <v>WA</v>
      </c>
      <c r="J360" t="str">
        <f>VLOOKUP(B360,[1]Product!A:B,2,FALSE)</f>
        <v>Product BIUDV</v>
      </c>
      <c r="K360" t="str">
        <f>VLOOKUP(VLOOKUP(B360,[1]Product!A:D,4,FALSE),[1]Category!A:B,2,FALSE)</f>
        <v>Confections</v>
      </c>
      <c r="L360" s="10">
        <f>IFERROR(VLOOKUP(A360,'[1]Sales Order'!A:D,4,FALSE),"")</f>
        <v>39067</v>
      </c>
      <c r="M360" s="10">
        <f>IFERROR(VLOOKUP(A360,'[1]Sales Order'!A:F,6,FALSE),"")</f>
        <v>39069</v>
      </c>
      <c r="N360" t="str">
        <f>IFERROR(VLOOKUP(VLOOKUP(A360,'[1]Sales Order'!A:G,7,FALSE),[1]Shipper!A:B,2,FALSE),"Not Specified")</f>
        <v>Shipper ZHISN</v>
      </c>
      <c r="O360" t="str">
        <f>IFERROR(VLOOKUP(A360,'[1]Sales Order'!A:I,9,FALSE),"Not Specified")</f>
        <v>Ship to 4-B</v>
      </c>
      <c r="P360" t="str">
        <f>IFERROR(VLOOKUP(A360,'[1]Sales Order'!A:N,14,FALSE),"Not Specified")</f>
        <v>UK</v>
      </c>
      <c r="Q360" t="str">
        <f>VLOOKUP(VLOOKUP(B360,[1]Product!A:C,3,FALSE),[1]Supplier!A:B,2,FALSE)</f>
        <v>Supplier ELCRN</v>
      </c>
      <c r="R360" t="str">
        <f>VLOOKUP(VLOOKUP(B360,[1]Product!A:C,3,FALSE),[1]Supplier!A:I,9,FALSE)</f>
        <v>Finland</v>
      </c>
      <c r="S360" t="str">
        <f>IFERROR(IF(VLOOKUP(A360,'[1]Sales Order'!A:H,8,FALSE)&gt;100,"High Freight","Low Freight"),"Not Specified")</f>
        <v>Low Freight</v>
      </c>
      <c r="T360">
        <f t="shared" si="11"/>
        <v>195</v>
      </c>
    </row>
    <row r="361" spans="1:20">
      <c r="A361" s="1">
        <v>10383</v>
      </c>
      <c r="B361" s="2">
        <v>56</v>
      </c>
      <c r="C361" s="2">
        <v>30.4</v>
      </c>
      <c r="D361" s="2">
        <v>20</v>
      </c>
      <c r="E361" s="3">
        <v>0</v>
      </c>
      <c r="F361" s="2" t="str">
        <f>IFERROR(VLOOKUP(VLOOKUP(A361,'[1]Sales Order'!A:B,2,FALSE),[1]Customer!A:C,3,FALSE),"Not Specified")</f>
        <v>Arndt, Torsten</v>
      </c>
      <c r="G361" s="2" t="str">
        <f t="shared" si="10"/>
        <v>Arndt Torsten</v>
      </c>
      <c r="H361" s="8" t="str">
        <f>IFERROR(VLOOKUP(VLOOKUP(A361,'[1]Sales Order'!A:C,3,FALSE),[1]Employee!A:E,5,FALSE)&amp;" "&amp;VLOOKUP(VLOOKUP(A361,'[1]Sales Order'!A:C,3,FALSE),[1]Employee!A:C,3,FALSE)&amp;" "&amp;VLOOKUP(VLOOKUP(A361,'[1]Sales Order'!A:C,3,FALSE),[1]Employee!A:B,2,FALSE),"Not Specified")</f>
        <v>Ms. Maria Cameron</v>
      </c>
      <c r="I361" t="str">
        <f>IFERROR(VLOOKUP(VLOOKUP(A361,'[1]Sales Order'!A:C,3,FALSE),[1]Employee!A:J,10,FALSE),"Not Specified")</f>
        <v>WA</v>
      </c>
      <c r="J361" t="str">
        <f>VLOOKUP(B361,[1]Product!A:B,2,FALSE)</f>
        <v>Product VKCMF</v>
      </c>
      <c r="K361" t="str">
        <f>VLOOKUP(VLOOKUP(B361,[1]Product!A:D,4,FALSE),[1]Category!A:B,2,FALSE)</f>
        <v>Grains/Cereals</v>
      </c>
      <c r="L361" s="10">
        <f>IFERROR(VLOOKUP(A361,'[1]Sales Order'!A:D,4,FALSE),"")</f>
        <v>39067</v>
      </c>
      <c r="M361" s="10">
        <f>IFERROR(VLOOKUP(A361,'[1]Sales Order'!A:F,6,FALSE),"")</f>
        <v>39069</v>
      </c>
      <c r="N361" t="str">
        <f>IFERROR(VLOOKUP(VLOOKUP(A361,'[1]Sales Order'!A:G,7,FALSE),[1]Shipper!A:B,2,FALSE),"Not Specified")</f>
        <v>Shipper ZHISN</v>
      </c>
      <c r="O361" t="str">
        <f>IFERROR(VLOOKUP(A361,'[1]Sales Order'!A:I,9,FALSE),"Not Specified")</f>
        <v>Ship to 4-B</v>
      </c>
      <c r="P361" t="str">
        <f>IFERROR(VLOOKUP(A361,'[1]Sales Order'!A:N,14,FALSE),"Not Specified")</f>
        <v>UK</v>
      </c>
      <c r="Q361" t="str">
        <f>VLOOKUP(VLOOKUP(B361,[1]Product!A:C,3,FALSE),[1]Supplier!A:B,2,FALSE)</f>
        <v>Supplier ZWZDM</v>
      </c>
      <c r="R361" t="str">
        <f>VLOOKUP(VLOOKUP(B361,[1]Product!A:C,3,FALSE),[1]Supplier!A:I,9,FALSE)</f>
        <v>Italy</v>
      </c>
      <c r="S361" t="str">
        <f>IFERROR(IF(VLOOKUP(A361,'[1]Sales Order'!A:H,8,FALSE)&gt;100,"High Freight","Low Freight"),"Not Specified")</f>
        <v>Low Freight</v>
      </c>
      <c r="T361">
        <f t="shared" si="11"/>
        <v>608</v>
      </c>
    </row>
    <row r="362" spans="1:20">
      <c r="A362" s="1">
        <v>10384</v>
      </c>
      <c r="B362" s="2">
        <v>20</v>
      </c>
      <c r="C362" s="2">
        <v>64.8</v>
      </c>
      <c r="D362" s="2">
        <v>28</v>
      </c>
      <c r="E362" s="3">
        <v>0</v>
      </c>
      <c r="F362" s="2" t="str">
        <f>IFERROR(VLOOKUP(VLOOKUP(A362,'[1]Sales Order'!A:B,2,FALSE),[1]Customer!A:C,3,FALSE),"Not Specified")</f>
        <v>Higginbotham, Tom</v>
      </c>
      <c r="G362" s="2" t="str">
        <f t="shared" si="10"/>
        <v>Higginbotham Tom</v>
      </c>
      <c r="H362" s="8" t="str">
        <f>IFERROR(VLOOKUP(VLOOKUP(A362,'[1]Sales Order'!A:C,3,FALSE),[1]Employee!A:E,5,FALSE)&amp;" "&amp;VLOOKUP(VLOOKUP(A362,'[1]Sales Order'!A:C,3,FALSE),[1]Employee!A:C,3,FALSE)&amp;" "&amp;VLOOKUP(VLOOKUP(A362,'[1]Sales Order'!A:C,3,FALSE),[1]Employee!A:B,2,FALSE),"Not Specified")</f>
        <v>Ms. Judy Lew</v>
      </c>
      <c r="I362" t="str">
        <f>IFERROR(VLOOKUP(VLOOKUP(A362,'[1]Sales Order'!A:C,3,FALSE),[1]Employee!A:J,10,FALSE),"Not Specified")</f>
        <v>WA</v>
      </c>
      <c r="J362" t="str">
        <f>VLOOKUP(B362,[1]Product!A:B,2,FALSE)</f>
        <v>Product QHFFP</v>
      </c>
      <c r="K362" t="str">
        <f>VLOOKUP(VLOOKUP(B362,[1]Product!A:D,4,FALSE),[1]Category!A:B,2,FALSE)</f>
        <v>Confections</v>
      </c>
      <c r="L362" s="10">
        <f>IFERROR(VLOOKUP(A362,'[1]Sales Order'!A:D,4,FALSE),"")</f>
        <v>39067</v>
      </c>
      <c r="M362" s="10">
        <f>IFERROR(VLOOKUP(A362,'[1]Sales Order'!A:F,6,FALSE),"")</f>
        <v>39071</v>
      </c>
      <c r="N362" t="str">
        <f>IFERROR(VLOOKUP(VLOOKUP(A362,'[1]Sales Order'!A:G,7,FALSE),[1]Shipper!A:B,2,FALSE),"Not Specified")</f>
        <v>Shipper ZHISN</v>
      </c>
      <c r="O362" t="str">
        <f>IFERROR(VLOOKUP(A362,'[1]Sales Order'!A:I,9,FALSE),"Not Specified")</f>
        <v>Ship to 5-C</v>
      </c>
      <c r="P362" t="str">
        <f>IFERROR(VLOOKUP(A362,'[1]Sales Order'!A:N,14,FALSE),"Not Specified")</f>
        <v>Sweden</v>
      </c>
      <c r="Q362" t="str">
        <f>VLOOKUP(VLOOKUP(B362,[1]Product!A:C,3,FALSE),[1]Supplier!A:B,2,FALSE)</f>
        <v>Supplier BWGYE</v>
      </c>
      <c r="R362" t="str">
        <f>VLOOKUP(VLOOKUP(B362,[1]Product!A:C,3,FALSE),[1]Supplier!A:I,9,FALSE)</f>
        <v>UK</v>
      </c>
      <c r="S362" t="str">
        <f>IFERROR(IF(VLOOKUP(A362,'[1]Sales Order'!A:H,8,FALSE)&gt;100,"High Freight","Low Freight"),"Not Specified")</f>
        <v>High Freight</v>
      </c>
      <c r="T362">
        <f t="shared" si="11"/>
        <v>1814.3999999999999</v>
      </c>
    </row>
    <row r="363" spans="1:20">
      <c r="A363" s="1">
        <v>10384</v>
      </c>
      <c r="B363" s="2">
        <v>60</v>
      </c>
      <c r="C363" s="2">
        <v>27.2</v>
      </c>
      <c r="D363" s="2">
        <v>15</v>
      </c>
      <c r="E363" s="3">
        <v>0</v>
      </c>
      <c r="F363" s="2" t="str">
        <f>IFERROR(VLOOKUP(VLOOKUP(A363,'[1]Sales Order'!A:B,2,FALSE),[1]Customer!A:C,3,FALSE),"Not Specified")</f>
        <v>Higginbotham, Tom</v>
      </c>
      <c r="G363" s="2" t="str">
        <f t="shared" si="10"/>
        <v>Higginbotham Tom</v>
      </c>
      <c r="H363" s="8" t="str">
        <f>IFERROR(VLOOKUP(VLOOKUP(A363,'[1]Sales Order'!A:C,3,FALSE),[1]Employee!A:E,5,FALSE)&amp;" "&amp;VLOOKUP(VLOOKUP(A363,'[1]Sales Order'!A:C,3,FALSE),[1]Employee!A:C,3,FALSE)&amp;" "&amp;VLOOKUP(VLOOKUP(A363,'[1]Sales Order'!A:C,3,FALSE),[1]Employee!A:B,2,FALSE),"Not Specified")</f>
        <v>Ms. Judy Lew</v>
      </c>
      <c r="I363" t="str">
        <f>IFERROR(VLOOKUP(VLOOKUP(A363,'[1]Sales Order'!A:C,3,FALSE),[1]Employee!A:J,10,FALSE),"Not Specified")</f>
        <v>WA</v>
      </c>
      <c r="J363" t="str">
        <f>VLOOKUP(B363,[1]Product!A:B,2,FALSE)</f>
        <v>Product WHBYK</v>
      </c>
      <c r="K363" t="str">
        <f>VLOOKUP(VLOOKUP(B363,[1]Product!A:D,4,FALSE),[1]Category!A:B,2,FALSE)</f>
        <v>Dairy Product</v>
      </c>
      <c r="L363" s="10">
        <f>IFERROR(VLOOKUP(A363,'[1]Sales Order'!A:D,4,FALSE),"")</f>
        <v>39067</v>
      </c>
      <c r="M363" s="10">
        <f>IFERROR(VLOOKUP(A363,'[1]Sales Order'!A:F,6,FALSE),"")</f>
        <v>39071</v>
      </c>
      <c r="N363" t="str">
        <f>IFERROR(VLOOKUP(VLOOKUP(A363,'[1]Sales Order'!A:G,7,FALSE),[1]Shipper!A:B,2,FALSE),"Not Specified")</f>
        <v>Shipper ZHISN</v>
      </c>
      <c r="O363" t="str">
        <f>IFERROR(VLOOKUP(A363,'[1]Sales Order'!A:I,9,FALSE),"Not Specified")</f>
        <v>Ship to 5-C</v>
      </c>
      <c r="P363" t="str">
        <f>IFERROR(VLOOKUP(A363,'[1]Sales Order'!A:N,14,FALSE),"Not Specified")</f>
        <v>Sweden</v>
      </c>
      <c r="Q363" t="str">
        <f>VLOOKUP(VLOOKUP(B363,[1]Product!A:C,3,FALSE),[1]Supplier!A:B,2,FALSE)</f>
        <v>Supplier OAVQT</v>
      </c>
      <c r="R363" t="str">
        <f>VLOOKUP(VLOOKUP(B363,[1]Product!A:C,3,FALSE),[1]Supplier!A:I,9,FALSE)</f>
        <v>France</v>
      </c>
      <c r="S363" t="str">
        <f>IFERROR(IF(VLOOKUP(A363,'[1]Sales Order'!A:H,8,FALSE)&gt;100,"High Freight","Low Freight"),"Not Specified")</f>
        <v>High Freight</v>
      </c>
      <c r="T363">
        <f t="shared" si="11"/>
        <v>408</v>
      </c>
    </row>
    <row r="364" spans="1:20">
      <c r="A364" s="1">
        <v>10385</v>
      </c>
      <c r="B364" s="2">
        <v>7</v>
      </c>
      <c r="C364" s="2">
        <v>24</v>
      </c>
      <c r="D364" s="2">
        <v>10</v>
      </c>
      <c r="E364" s="3">
        <v>0.2</v>
      </c>
      <c r="F364" s="2" t="str">
        <f>IFERROR(VLOOKUP(VLOOKUP(A364,'[1]Sales Order'!A:B,2,FALSE),[1]Customer!A:C,3,FALSE),"Not Specified")</f>
        <v>Wojciechowska, Agnieszka</v>
      </c>
      <c r="G364" s="2" t="str">
        <f t="shared" si="10"/>
        <v>Wojciechowska Agnieszka</v>
      </c>
      <c r="H364" s="8" t="str">
        <f>IFERROR(VLOOKUP(VLOOKUP(A364,'[1]Sales Order'!A:C,3,FALSE),[1]Employee!A:E,5,FALSE)&amp;" "&amp;VLOOKUP(VLOOKUP(A364,'[1]Sales Order'!A:C,3,FALSE),[1]Employee!A:C,3,FALSE)&amp;" "&amp;VLOOKUP(VLOOKUP(A364,'[1]Sales Order'!A:C,3,FALSE),[1]Employee!A:B,2,FALSE),"Not Specified")</f>
        <v>Ms. Sara Davis</v>
      </c>
      <c r="I364" t="str">
        <f>IFERROR(VLOOKUP(VLOOKUP(A364,'[1]Sales Order'!A:C,3,FALSE),[1]Employee!A:J,10,FALSE),"Not Specified")</f>
        <v>WA</v>
      </c>
      <c r="J364" t="str">
        <f>VLOOKUP(B364,[1]Product!A:B,2,FALSE)</f>
        <v>Product HMLNI</v>
      </c>
      <c r="K364" t="str">
        <f>VLOOKUP(VLOOKUP(B364,[1]Product!A:D,4,FALSE),[1]Category!A:B,2,FALSE)</f>
        <v>Produce</v>
      </c>
      <c r="L364" s="10">
        <f>IFERROR(VLOOKUP(A364,'[1]Sales Order'!A:D,4,FALSE),"")</f>
        <v>39068</v>
      </c>
      <c r="M364" s="10">
        <f>IFERROR(VLOOKUP(A364,'[1]Sales Order'!A:F,6,FALSE),"")</f>
        <v>39074</v>
      </c>
      <c r="N364" t="str">
        <f>IFERROR(VLOOKUP(VLOOKUP(A364,'[1]Sales Order'!A:G,7,FALSE),[1]Shipper!A:B,2,FALSE),"Not Specified")</f>
        <v>Shipper ETYNR</v>
      </c>
      <c r="O364" t="str">
        <f>IFERROR(VLOOKUP(A364,'[1]Sales Order'!A:I,9,FALSE),"Not Specified")</f>
        <v>Ship to 75-B</v>
      </c>
      <c r="P364" t="str">
        <f>IFERROR(VLOOKUP(A364,'[1]Sales Order'!A:N,14,FALSE),"Not Specified")</f>
        <v>USA</v>
      </c>
      <c r="Q364" t="str">
        <f>VLOOKUP(VLOOKUP(B364,[1]Product!A:C,3,FALSE),[1]Supplier!A:B,2,FALSE)</f>
        <v>Supplier STUAZ</v>
      </c>
      <c r="R364" t="str">
        <f>VLOOKUP(VLOOKUP(B364,[1]Product!A:C,3,FALSE),[1]Supplier!A:I,9,FALSE)</f>
        <v>USA</v>
      </c>
      <c r="S364" t="str">
        <f>IFERROR(IF(VLOOKUP(A364,'[1]Sales Order'!A:H,8,FALSE)&gt;100,"High Freight","Low Freight"),"Not Specified")</f>
        <v>Low Freight</v>
      </c>
      <c r="T364">
        <f t="shared" si="11"/>
        <v>192</v>
      </c>
    </row>
    <row r="365" spans="1:20">
      <c r="A365" s="1">
        <v>10385</v>
      </c>
      <c r="B365" s="2">
        <v>60</v>
      </c>
      <c r="C365" s="2">
        <v>27.2</v>
      </c>
      <c r="D365" s="2">
        <v>20</v>
      </c>
      <c r="E365" s="3">
        <v>0.2</v>
      </c>
      <c r="F365" s="2" t="str">
        <f>IFERROR(VLOOKUP(VLOOKUP(A365,'[1]Sales Order'!A:B,2,FALSE),[1]Customer!A:C,3,FALSE),"Not Specified")</f>
        <v>Wojciechowska, Agnieszka</v>
      </c>
      <c r="G365" s="2" t="str">
        <f t="shared" si="10"/>
        <v>Wojciechowska Agnieszka</v>
      </c>
      <c r="H365" s="8" t="str">
        <f>IFERROR(VLOOKUP(VLOOKUP(A365,'[1]Sales Order'!A:C,3,FALSE),[1]Employee!A:E,5,FALSE)&amp;" "&amp;VLOOKUP(VLOOKUP(A365,'[1]Sales Order'!A:C,3,FALSE),[1]Employee!A:C,3,FALSE)&amp;" "&amp;VLOOKUP(VLOOKUP(A365,'[1]Sales Order'!A:C,3,FALSE),[1]Employee!A:B,2,FALSE),"Not Specified")</f>
        <v>Ms. Sara Davis</v>
      </c>
      <c r="I365" t="str">
        <f>IFERROR(VLOOKUP(VLOOKUP(A365,'[1]Sales Order'!A:C,3,FALSE),[1]Employee!A:J,10,FALSE),"Not Specified")</f>
        <v>WA</v>
      </c>
      <c r="J365" t="str">
        <f>VLOOKUP(B365,[1]Product!A:B,2,FALSE)</f>
        <v>Product WHBYK</v>
      </c>
      <c r="K365" t="str">
        <f>VLOOKUP(VLOOKUP(B365,[1]Product!A:D,4,FALSE),[1]Category!A:B,2,FALSE)</f>
        <v>Dairy Product</v>
      </c>
      <c r="L365" s="10">
        <f>IFERROR(VLOOKUP(A365,'[1]Sales Order'!A:D,4,FALSE),"")</f>
        <v>39068</v>
      </c>
      <c r="M365" s="10">
        <f>IFERROR(VLOOKUP(A365,'[1]Sales Order'!A:F,6,FALSE),"")</f>
        <v>39074</v>
      </c>
      <c r="N365" t="str">
        <f>IFERROR(VLOOKUP(VLOOKUP(A365,'[1]Sales Order'!A:G,7,FALSE),[1]Shipper!A:B,2,FALSE),"Not Specified")</f>
        <v>Shipper ETYNR</v>
      </c>
      <c r="O365" t="str">
        <f>IFERROR(VLOOKUP(A365,'[1]Sales Order'!A:I,9,FALSE),"Not Specified")</f>
        <v>Ship to 75-B</v>
      </c>
      <c r="P365" t="str">
        <f>IFERROR(VLOOKUP(A365,'[1]Sales Order'!A:N,14,FALSE),"Not Specified")</f>
        <v>USA</v>
      </c>
      <c r="Q365" t="str">
        <f>VLOOKUP(VLOOKUP(B365,[1]Product!A:C,3,FALSE),[1]Supplier!A:B,2,FALSE)</f>
        <v>Supplier OAVQT</v>
      </c>
      <c r="R365" t="str">
        <f>VLOOKUP(VLOOKUP(B365,[1]Product!A:C,3,FALSE),[1]Supplier!A:I,9,FALSE)</f>
        <v>France</v>
      </c>
      <c r="S365" t="str">
        <f>IFERROR(IF(VLOOKUP(A365,'[1]Sales Order'!A:H,8,FALSE)&gt;100,"High Freight","Low Freight"),"Not Specified")</f>
        <v>Low Freight</v>
      </c>
      <c r="T365">
        <f t="shared" si="11"/>
        <v>435.20000000000005</v>
      </c>
    </row>
    <row r="366" spans="1:20">
      <c r="A366" s="1">
        <v>10385</v>
      </c>
      <c r="B366" s="2">
        <v>68</v>
      </c>
      <c r="C366" s="2">
        <v>10</v>
      </c>
      <c r="D366" s="2">
        <v>8</v>
      </c>
      <c r="E366" s="3">
        <v>0.2</v>
      </c>
      <c r="F366" s="2" t="str">
        <f>IFERROR(VLOOKUP(VLOOKUP(A366,'[1]Sales Order'!A:B,2,FALSE),[1]Customer!A:C,3,FALSE),"Not Specified")</f>
        <v>Wojciechowska, Agnieszka</v>
      </c>
      <c r="G366" s="2" t="str">
        <f t="shared" si="10"/>
        <v>Wojciechowska Agnieszka</v>
      </c>
      <c r="H366" s="8" t="str">
        <f>IFERROR(VLOOKUP(VLOOKUP(A366,'[1]Sales Order'!A:C,3,FALSE),[1]Employee!A:E,5,FALSE)&amp;" "&amp;VLOOKUP(VLOOKUP(A366,'[1]Sales Order'!A:C,3,FALSE),[1]Employee!A:C,3,FALSE)&amp;" "&amp;VLOOKUP(VLOOKUP(A366,'[1]Sales Order'!A:C,3,FALSE),[1]Employee!A:B,2,FALSE),"Not Specified")</f>
        <v>Ms. Sara Davis</v>
      </c>
      <c r="I366" t="str">
        <f>IFERROR(VLOOKUP(VLOOKUP(A366,'[1]Sales Order'!A:C,3,FALSE),[1]Employee!A:J,10,FALSE),"Not Specified")</f>
        <v>WA</v>
      </c>
      <c r="J366" t="str">
        <f>VLOOKUP(B366,[1]Product!A:B,2,FALSE)</f>
        <v>Product TBTBL</v>
      </c>
      <c r="K366" t="str">
        <f>VLOOKUP(VLOOKUP(B366,[1]Product!A:D,4,FALSE),[1]Category!A:B,2,FALSE)</f>
        <v>Confections</v>
      </c>
      <c r="L366" s="10">
        <f>IFERROR(VLOOKUP(A366,'[1]Sales Order'!A:D,4,FALSE),"")</f>
        <v>39068</v>
      </c>
      <c r="M366" s="10">
        <f>IFERROR(VLOOKUP(A366,'[1]Sales Order'!A:F,6,FALSE),"")</f>
        <v>39074</v>
      </c>
      <c r="N366" t="str">
        <f>IFERROR(VLOOKUP(VLOOKUP(A366,'[1]Sales Order'!A:G,7,FALSE),[1]Shipper!A:B,2,FALSE),"Not Specified")</f>
        <v>Shipper ETYNR</v>
      </c>
      <c r="O366" t="str">
        <f>IFERROR(VLOOKUP(A366,'[1]Sales Order'!A:I,9,FALSE),"Not Specified")</f>
        <v>Ship to 75-B</v>
      </c>
      <c r="P366" t="str">
        <f>IFERROR(VLOOKUP(A366,'[1]Sales Order'!A:N,14,FALSE),"Not Specified")</f>
        <v>USA</v>
      </c>
      <c r="Q366" t="str">
        <f>VLOOKUP(VLOOKUP(B366,[1]Product!A:C,3,FALSE),[1]Supplier!A:B,2,FALSE)</f>
        <v>Supplier BWGYE</v>
      </c>
      <c r="R366" t="str">
        <f>VLOOKUP(VLOOKUP(B366,[1]Product!A:C,3,FALSE),[1]Supplier!A:I,9,FALSE)</f>
        <v>UK</v>
      </c>
      <c r="S366" t="str">
        <f>IFERROR(IF(VLOOKUP(A366,'[1]Sales Order'!A:H,8,FALSE)&gt;100,"High Freight","Low Freight"),"Not Specified")</f>
        <v>Low Freight</v>
      </c>
      <c r="T366">
        <f t="shared" si="11"/>
        <v>64</v>
      </c>
    </row>
    <row r="367" spans="1:20">
      <c r="A367" s="1">
        <v>10386</v>
      </c>
      <c r="B367" s="2">
        <v>24</v>
      </c>
      <c r="C367" s="2">
        <v>3.6</v>
      </c>
      <c r="D367" s="2">
        <v>15</v>
      </c>
      <c r="E367" s="3">
        <v>0</v>
      </c>
      <c r="F367" s="2" t="str">
        <f>IFERROR(VLOOKUP(VLOOKUP(A367,'[1]Sales Order'!A:B,2,FALSE),[1]Customer!A:C,3,FALSE),"Not Specified")</f>
        <v>Russo, Giuseppe</v>
      </c>
      <c r="G367" s="2" t="str">
        <f t="shared" si="10"/>
        <v>Russo Giuseppe</v>
      </c>
      <c r="H367" s="8" t="str">
        <f>IFERROR(VLOOKUP(VLOOKUP(A367,'[1]Sales Order'!A:C,3,FALSE),[1]Employee!A:E,5,FALSE)&amp;" "&amp;VLOOKUP(VLOOKUP(A367,'[1]Sales Order'!A:C,3,FALSE),[1]Employee!A:C,3,FALSE)&amp;" "&amp;VLOOKUP(VLOOKUP(A367,'[1]Sales Order'!A:C,3,FALSE),[1]Employee!A:B,2,FALSE),"Not Specified")</f>
        <v>Ms. Zoya Dolgopyatova</v>
      </c>
      <c r="I367">
        <f>IFERROR(VLOOKUP(VLOOKUP(A367,'[1]Sales Order'!A:C,3,FALSE),[1]Employee!A:J,10,FALSE),"Not Specified")</f>
        <v>0</v>
      </c>
      <c r="J367" t="str">
        <f>VLOOKUP(B367,[1]Product!A:B,2,FALSE)</f>
        <v>Product QOGNU</v>
      </c>
      <c r="K367" t="str">
        <f>VLOOKUP(VLOOKUP(B367,[1]Product!A:D,4,FALSE),[1]Category!A:B,2,FALSE)</f>
        <v>Beverages</v>
      </c>
      <c r="L367" s="10">
        <f>IFERROR(VLOOKUP(A367,'[1]Sales Order'!A:D,4,FALSE),"")</f>
        <v>39069</v>
      </c>
      <c r="M367" s="10">
        <f>IFERROR(VLOOKUP(A367,'[1]Sales Order'!A:F,6,FALSE),"")</f>
        <v>39076</v>
      </c>
      <c r="N367" t="str">
        <f>IFERROR(VLOOKUP(VLOOKUP(A367,'[1]Sales Order'!A:G,7,FALSE),[1]Shipper!A:B,2,FALSE),"Not Specified")</f>
        <v>Shipper ZHISN</v>
      </c>
      <c r="O367" t="str">
        <f>IFERROR(VLOOKUP(A367,'[1]Sales Order'!A:I,9,FALSE),"Not Specified")</f>
        <v>Destination RNSMS</v>
      </c>
      <c r="P367" t="str">
        <f>IFERROR(VLOOKUP(A367,'[1]Sales Order'!A:N,14,FALSE),"Not Specified")</f>
        <v>Brazil</v>
      </c>
      <c r="Q367" t="str">
        <f>VLOOKUP(VLOOKUP(B367,[1]Product!A:C,3,FALSE),[1]Supplier!A:B,2,FALSE)</f>
        <v>Supplier UNAHG</v>
      </c>
      <c r="R367" t="str">
        <f>VLOOKUP(VLOOKUP(B367,[1]Product!A:C,3,FALSE),[1]Supplier!A:I,9,FALSE)</f>
        <v>Brazil</v>
      </c>
      <c r="S367" t="str">
        <f>IFERROR(IF(VLOOKUP(A367,'[1]Sales Order'!A:H,8,FALSE)&gt;100,"High Freight","Low Freight"),"Not Specified")</f>
        <v>Low Freight</v>
      </c>
      <c r="T367">
        <f t="shared" si="11"/>
        <v>54</v>
      </c>
    </row>
    <row r="368" spans="1:20">
      <c r="A368" s="1">
        <v>10386</v>
      </c>
      <c r="B368" s="2">
        <v>34</v>
      </c>
      <c r="C368" s="2">
        <v>11.2</v>
      </c>
      <c r="D368" s="2">
        <v>10</v>
      </c>
      <c r="E368" s="3">
        <v>0</v>
      </c>
      <c r="F368" s="2" t="str">
        <f>IFERROR(VLOOKUP(VLOOKUP(A368,'[1]Sales Order'!A:B,2,FALSE),[1]Customer!A:C,3,FALSE),"Not Specified")</f>
        <v>Russo, Giuseppe</v>
      </c>
      <c r="G368" s="2" t="str">
        <f t="shared" si="10"/>
        <v>Russo Giuseppe</v>
      </c>
      <c r="H368" s="8" t="str">
        <f>IFERROR(VLOOKUP(VLOOKUP(A368,'[1]Sales Order'!A:C,3,FALSE),[1]Employee!A:E,5,FALSE)&amp;" "&amp;VLOOKUP(VLOOKUP(A368,'[1]Sales Order'!A:C,3,FALSE),[1]Employee!A:C,3,FALSE)&amp;" "&amp;VLOOKUP(VLOOKUP(A368,'[1]Sales Order'!A:C,3,FALSE),[1]Employee!A:B,2,FALSE),"Not Specified")</f>
        <v>Ms. Zoya Dolgopyatova</v>
      </c>
      <c r="I368">
        <f>IFERROR(VLOOKUP(VLOOKUP(A368,'[1]Sales Order'!A:C,3,FALSE),[1]Employee!A:J,10,FALSE),"Not Specified")</f>
        <v>0</v>
      </c>
      <c r="J368" t="str">
        <f>VLOOKUP(B368,[1]Product!A:B,2,FALSE)</f>
        <v>Product SWNJY</v>
      </c>
      <c r="K368" t="str">
        <f>VLOOKUP(VLOOKUP(B368,[1]Product!A:D,4,FALSE),[1]Category!A:B,2,FALSE)</f>
        <v>Beverages</v>
      </c>
      <c r="L368" s="10">
        <f>IFERROR(VLOOKUP(A368,'[1]Sales Order'!A:D,4,FALSE),"")</f>
        <v>39069</v>
      </c>
      <c r="M368" s="10">
        <f>IFERROR(VLOOKUP(A368,'[1]Sales Order'!A:F,6,FALSE),"")</f>
        <v>39076</v>
      </c>
      <c r="N368" t="str">
        <f>IFERROR(VLOOKUP(VLOOKUP(A368,'[1]Sales Order'!A:G,7,FALSE),[1]Shipper!A:B,2,FALSE),"Not Specified")</f>
        <v>Shipper ZHISN</v>
      </c>
      <c r="O368" t="str">
        <f>IFERROR(VLOOKUP(A368,'[1]Sales Order'!A:I,9,FALSE),"Not Specified")</f>
        <v>Destination RNSMS</v>
      </c>
      <c r="P368" t="str">
        <f>IFERROR(VLOOKUP(A368,'[1]Sales Order'!A:N,14,FALSE),"Not Specified")</f>
        <v>Brazil</v>
      </c>
      <c r="Q368" t="str">
        <f>VLOOKUP(VLOOKUP(B368,[1]Product!A:C,3,FALSE),[1]Supplier!A:B,2,FALSE)</f>
        <v>Supplier UHZRG</v>
      </c>
      <c r="R368" t="str">
        <f>VLOOKUP(VLOOKUP(B368,[1]Product!A:C,3,FALSE),[1]Supplier!A:I,9,FALSE)</f>
        <v>USA</v>
      </c>
      <c r="S368" t="str">
        <f>IFERROR(IF(VLOOKUP(A368,'[1]Sales Order'!A:H,8,FALSE)&gt;100,"High Freight","Low Freight"),"Not Specified")</f>
        <v>Low Freight</v>
      </c>
      <c r="T368">
        <f t="shared" si="11"/>
        <v>112</v>
      </c>
    </row>
    <row r="369" spans="1:20">
      <c r="A369" s="1">
        <v>10387</v>
      </c>
      <c r="B369" s="2">
        <v>24</v>
      </c>
      <c r="C369" s="2">
        <v>3.6</v>
      </c>
      <c r="D369" s="2">
        <v>15</v>
      </c>
      <c r="E369" s="3">
        <v>0</v>
      </c>
      <c r="F369" s="2" t="str">
        <f>IFERROR(VLOOKUP(VLOOKUP(A369,'[1]Sales Order'!A:B,2,FALSE),[1]Customer!A:C,3,FALSE),"Not Specified")</f>
        <v>Ginters, Kaspars</v>
      </c>
      <c r="G369" s="2" t="str">
        <f t="shared" si="10"/>
        <v>Ginters Kaspars</v>
      </c>
      <c r="H369" s="8" t="str">
        <f>IFERROR(VLOOKUP(VLOOKUP(A369,'[1]Sales Order'!A:C,3,FALSE),[1]Employee!A:E,5,FALSE)&amp;" "&amp;VLOOKUP(VLOOKUP(A369,'[1]Sales Order'!A:C,3,FALSE),[1]Employee!A:C,3,FALSE)&amp;" "&amp;VLOOKUP(VLOOKUP(A369,'[1]Sales Order'!A:C,3,FALSE),[1]Employee!A:B,2,FALSE),"Not Specified")</f>
        <v>Ms. Sara Davis</v>
      </c>
      <c r="I369" t="str">
        <f>IFERROR(VLOOKUP(VLOOKUP(A369,'[1]Sales Order'!A:C,3,FALSE),[1]Employee!A:J,10,FALSE),"Not Specified")</f>
        <v>WA</v>
      </c>
      <c r="J369" t="str">
        <f>VLOOKUP(B369,[1]Product!A:B,2,FALSE)</f>
        <v>Product QOGNU</v>
      </c>
      <c r="K369" t="str">
        <f>VLOOKUP(VLOOKUP(B369,[1]Product!A:D,4,FALSE),[1]Category!A:B,2,FALSE)</f>
        <v>Beverages</v>
      </c>
      <c r="L369" s="10">
        <f>IFERROR(VLOOKUP(A369,'[1]Sales Order'!A:D,4,FALSE),"")</f>
        <v>39069</v>
      </c>
      <c r="M369" s="10">
        <f>IFERROR(VLOOKUP(A369,'[1]Sales Order'!A:F,6,FALSE),"")</f>
        <v>39071</v>
      </c>
      <c r="N369" t="str">
        <f>IFERROR(VLOOKUP(VLOOKUP(A369,'[1]Sales Order'!A:G,7,FALSE),[1]Shipper!A:B,2,FALSE),"Not Specified")</f>
        <v>Shipper ETYNR</v>
      </c>
      <c r="O369" t="str">
        <f>IFERROR(VLOOKUP(A369,'[1]Sales Order'!A:I,9,FALSE),"Not Specified")</f>
        <v>Ship to 70-B</v>
      </c>
      <c r="P369" t="str">
        <f>IFERROR(VLOOKUP(A369,'[1]Sales Order'!A:N,14,FALSE),"Not Specified")</f>
        <v>Norway</v>
      </c>
      <c r="Q369" t="str">
        <f>VLOOKUP(VLOOKUP(B369,[1]Product!A:C,3,FALSE),[1]Supplier!A:B,2,FALSE)</f>
        <v>Supplier UNAHG</v>
      </c>
      <c r="R369" t="str">
        <f>VLOOKUP(VLOOKUP(B369,[1]Product!A:C,3,FALSE),[1]Supplier!A:I,9,FALSE)</f>
        <v>Brazil</v>
      </c>
      <c r="S369" t="str">
        <f>IFERROR(IF(VLOOKUP(A369,'[1]Sales Order'!A:H,8,FALSE)&gt;100,"High Freight","Low Freight"),"Not Specified")</f>
        <v>Low Freight</v>
      </c>
      <c r="T369">
        <f t="shared" si="11"/>
        <v>54</v>
      </c>
    </row>
    <row r="370" spans="1:20">
      <c r="A370" s="1">
        <v>10387</v>
      </c>
      <c r="B370" s="2">
        <v>28</v>
      </c>
      <c r="C370" s="2">
        <v>36.4</v>
      </c>
      <c r="D370" s="2">
        <v>6</v>
      </c>
      <c r="E370" s="3">
        <v>0</v>
      </c>
      <c r="F370" s="2" t="str">
        <f>IFERROR(VLOOKUP(VLOOKUP(A370,'[1]Sales Order'!A:B,2,FALSE),[1]Customer!A:C,3,FALSE),"Not Specified")</f>
        <v>Ginters, Kaspars</v>
      </c>
      <c r="G370" s="2" t="str">
        <f t="shared" si="10"/>
        <v>Ginters Kaspars</v>
      </c>
      <c r="H370" s="8" t="str">
        <f>IFERROR(VLOOKUP(VLOOKUP(A370,'[1]Sales Order'!A:C,3,FALSE),[1]Employee!A:E,5,FALSE)&amp;" "&amp;VLOOKUP(VLOOKUP(A370,'[1]Sales Order'!A:C,3,FALSE),[1]Employee!A:C,3,FALSE)&amp;" "&amp;VLOOKUP(VLOOKUP(A370,'[1]Sales Order'!A:C,3,FALSE),[1]Employee!A:B,2,FALSE),"Not Specified")</f>
        <v>Ms. Sara Davis</v>
      </c>
      <c r="I370" t="str">
        <f>IFERROR(VLOOKUP(VLOOKUP(A370,'[1]Sales Order'!A:C,3,FALSE),[1]Employee!A:J,10,FALSE),"Not Specified")</f>
        <v>WA</v>
      </c>
      <c r="J370" t="str">
        <f>VLOOKUP(B370,[1]Product!A:B,2,FALSE)</f>
        <v>Product OFBNT</v>
      </c>
      <c r="K370" t="str">
        <f>VLOOKUP(VLOOKUP(B370,[1]Product!A:D,4,FALSE),[1]Category!A:B,2,FALSE)</f>
        <v>Produce</v>
      </c>
      <c r="L370" s="10">
        <f>IFERROR(VLOOKUP(A370,'[1]Sales Order'!A:D,4,FALSE),"")</f>
        <v>39069</v>
      </c>
      <c r="M370" s="10">
        <f>IFERROR(VLOOKUP(A370,'[1]Sales Order'!A:F,6,FALSE),"")</f>
        <v>39071</v>
      </c>
      <c r="N370" t="str">
        <f>IFERROR(VLOOKUP(VLOOKUP(A370,'[1]Sales Order'!A:G,7,FALSE),[1]Shipper!A:B,2,FALSE),"Not Specified")</f>
        <v>Shipper ETYNR</v>
      </c>
      <c r="O370" t="str">
        <f>IFERROR(VLOOKUP(A370,'[1]Sales Order'!A:I,9,FALSE),"Not Specified")</f>
        <v>Ship to 70-B</v>
      </c>
      <c r="P370" t="str">
        <f>IFERROR(VLOOKUP(A370,'[1]Sales Order'!A:N,14,FALSE),"Not Specified")</f>
        <v>Norway</v>
      </c>
      <c r="Q370" t="str">
        <f>VLOOKUP(VLOOKUP(B370,[1]Product!A:C,3,FALSE),[1]Supplier!A:B,2,FALSE)</f>
        <v>Supplier SVIYA</v>
      </c>
      <c r="R370" t="str">
        <f>VLOOKUP(VLOOKUP(B370,[1]Product!A:C,3,FALSE),[1]Supplier!A:I,9,FALSE)</f>
        <v>Germany</v>
      </c>
      <c r="S370" t="str">
        <f>IFERROR(IF(VLOOKUP(A370,'[1]Sales Order'!A:H,8,FALSE)&gt;100,"High Freight","Low Freight"),"Not Specified")</f>
        <v>Low Freight</v>
      </c>
      <c r="T370">
        <f t="shared" si="11"/>
        <v>218.39999999999998</v>
      </c>
    </row>
    <row r="371" spans="1:20">
      <c r="A371" s="1">
        <v>10387</v>
      </c>
      <c r="B371" s="2">
        <v>59</v>
      </c>
      <c r="C371" s="2">
        <v>44</v>
      </c>
      <c r="D371" s="2">
        <v>12</v>
      </c>
      <c r="E371" s="3">
        <v>0</v>
      </c>
      <c r="F371" s="2" t="str">
        <f>IFERROR(VLOOKUP(VLOOKUP(A371,'[1]Sales Order'!A:B,2,FALSE),[1]Customer!A:C,3,FALSE),"Not Specified")</f>
        <v>Ginters, Kaspars</v>
      </c>
      <c r="G371" s="2" t="str">
        <f t="shared" si="10"/>
        <v>Ginters Kaspars</v>
      </c>
      <c r="H371" s="8" t="str">
        <f>IFERROR(VLOOKUP(VLOOKUP(A371,'[1]Sales Order'!A:C,3,FALSE),[1]Employee!A:E,5,FALSE)&amp;" "&amp;VLOOKUP(VLOOKUP(A371,'[1]Sales Order'!A:C,3,FALSE),[1]Employee!A:C,3,FALSE)&amp;" "&amp;VLOOKUP(VLOOKUP(A371,'[1]Sales Order'!A:C,3,FALSE),[1]Employee!A:B,2,FALSE),"Not Specified")</f>
        <v>Ms. Sara Davis</v>
      </c>
      <c r="I371" t="str">
        <f>IFERROR(VLOOKUP(VLOOKUP(A371,'[1]Sales Order'!A:C,3,FALSE),[1]Employee!A:J,10,FALSE),"Not Specified")</f>
        <v>WA</v>
      </c>
      <c r="J371" t="str">
        <f>VLOOKUP(B371,[1]Product!A:B,2,FALSE)</f>
        <v>Product UKXRI</v>
      </c>
      <c r="K371" t="str">
        <f>VLOOKUP(VLOOKUP(B371,[1]Product!A:D,4,FALSE),[1]Category!A:B,2,FALSE)</f>
        <v>Dairy Product</v>
      </c>
      <c r="L371" s="10">
        <f>IFERROR(VLOOKUP(A371,'[1]Sales Order'!A:D,4,FALSE),"")</f>
        <v>39069</v>
      </c>
      <c r="M371" s="10">
        <f>IFERROR(VLOOKUP(A371,'[1]Sales Order'!A:F,6,FALSE),"")</f>
        <v>39071</v>
      </c>
      <c r="N371" t="str">
        <f>IFERROR(VLOOKUP(VLOOKUP(A371,'[1]Sales Order'!A:G,7,FALSE),[1]Shipper!A:B,2,FALSE),"Not Specified")</f>
        <v>Shipper ETYNR</v>
      </c>
      <c r="O371" t="str">
        <f>IFERROR(VLOOKUP(A371,'[1]Sales Order'!A:I,9,FALSE),"Not Specified")</f>
        <v>Ship to 70-B</v>
      </c>
      <c r="P371" t="str">
        <f>IFERROR(VLOOKUP(A371,'[1]Sales Order'!A:N,14,FALSE),"Not Specified")</f>
        <v>Norway</v>
      </c>
      <c r="Q371" t="str">
        <f>VLOOKUP(VLOOKUP(B371,[1]Product!A:C,3,FALSE),[1]Supplier!A:B,2,FALSE)</f>
        <v>Supplier OAVQT</v>
      </c>
      <c r="R371" t="str">
        <f>VLOOKUP(VLOOKUP(B371,[1]Product!A:C,3,FALSE),[1]Supplier!A:I,9,FALSE)</f>
        <v>France</v>
      </c>
      <c r="S371" t="str">
        <f>IFERROR(IF(VLOOKUP(A371,'[1]Sales Order'!A:H,8,FALSE)&gt;100,"High Freight","Low Freight"),"Not Specified")</f>
        <v>Low Freight</v>
      </c>
      <c r="T371">
        <f t="shared" si="11"/>
        <v>528</v>
      </c>
    </row>
    <row r="372" spans="1:20">
      <c r="A372" s="1">
        <v>10387</v>
      </c>
      <c r="B372" s="2">
        <v>71</v>
      </c>
      <c r="C372" s="2">
        <v>17.2</v>
      </c>
      <c r="D372" s="2">
        <v>15</v>
      </c>
      <c r="E372" s="3">
        <v>0</v>
      </c>
      <c r="F372" s="2" t="str">
        <f>IFERROR(VLOOKUP(VLOOKUP(A372,'[1]Sales Order'!A:B,2,FALSE),[1]Customer!A:C,3,FALSE),"Not Specified")</f>
        <v>Ginters, Kaspars</v>
      </c>
      <c r="G372" s="2" t="str">
        <f t="shared" si="10"/>
        <v>Ginters Kaspars</v>
      </c>
      <c r="H372" s="8" t="str">
        <f>IFERROR(VLOOKUP(VLOOKUP(A372,'[1]Sales Order'!A:C,3,FALSE),[1]Employee!A:E,5,FALSE)&amp;" "&amp;VLOOKUP(VLOOKUP(A372,'[1]Sales Order'!A:C,3,FALSE),[1]Employee!A:C,3,FALSE)&amp;" "&amp;VLOOKUP(VLOOKUP(A372,'[1]Sales Order'!A:C,3,FALSE),[1]Employee!A:B,2,FALSE),"Not Specified")</f>
        <v>Ms. Sara Davis</v>
      </c>
      <c r="I372" t="str">
        <f>IFERROR(VLOOKUP(VLOOKUP(A372,'[1]Sales Order'!A:C,3,FALSE),[1]Employee!A:J,10,FALSE),"Not Specified")</f>
        <v>WA</v>
      </c>
      <c r="J372" t="str">
        <f>VLOOKUP(B372,[1]Product!A:B,2,FALSE)</f>
        <v>Product MYMOI</v>
      </c>
      <c r="K372" t="str">
        <f>VLOOKUP(VLOOKUP(B372,[1]Product!A:D,4,FALSE),[1]Category!A:B,2,FALSE)</f>
        <v>Dairy Product</v>
      </c>
      <c r="L372" s="10">
        <f>IFERROR(VLOOKUP(A372,'[1]Sales Order'!A:D,4,FALSE),"")</f>
        <v>39069</v>
      </c>
      <c r="M372" s="10">
        <f>IFERROR(VLOOKUP(A372,'[1]Sales Order'!A:F,6,FALSE),"")</f>
        <v>39071</v>
      </c>
      <c r="N372" t="str">
        <f>IFERROR(VLOOKUP(VLOOKUP(A372,'[1]Sales Order'!A:G,7,FALSE),[1]Shipper!A:B,2,FALSE),"Not Specified")</f>
        <v>Shipper ETYNR</v>
      </c>
      <c r="O372" t="str">
        <f>IFERROR(VLOOKUP(A372,'[1]Sales Order'!A:I,9,FALSE),"Not Specified")</f>
        <v>Ship to 70-B</v>
      </c>
      <c r="P372" t="str">
        <f>IFERROR(VLOOKUP(A372,'[1]Sales Order'!A:N,14,FALSE),"Not Specified")</f>
        <v>Norway</v>
      </c>
      <c r="Q372" t="str">
        <f>VLOOKUP(VLOOKUP(B372,[1]Product!A:C,3,FALSE),[1]Supplier!A:B,2,FALSE)</f>
        <v>Supplier NZLIF</v>
      </c>
      <c r="R372" t="str">
        <f>VLOOKUP(VLOOKUP(B372,[1]Product!A:C,3,FALSE),[1]Supplier!A:I,9,FALSE)</f>
        <v>Norway</v>
      </c>
      <c r="S372" t="str">
        <f>IFERROR(IF(VLOOKUP(A372,'[1]Sales Order'!A:H,8,FALSE)&gt;100,"High Freight","Low Freight"),"Not Specified")</f>
        <v>Low Freight</v>
      </c>
      <c r="T372">
        <f t="shared" si="11"/>
        <v>258</v>
      </c>
    </row>
    <row r="373" spans="1:20">
      <c r="A373" s="1">
        <v>10388</v>
      </c>
      <c r="B373" s="2">
        <v>45</v>
      </c>
      <c r="C373" s="2">
        <v>7.6</v>
      </c>
      <c r="D373" s="2">
        <v>15</v>
      </c>
      <c r="E373" s="3">
        <v>0.2</v>
      </c>
      <c r="F373" s="2" t="str">
        <f>IFERROR(VLOOKUP(VLOOKUP(A373,'[1]Sales Order'!A:B,2,FALSE),[1]Customer!A:C,3,FALSE),"Not Specified")</f>
        <v>Welcker, Brian</v>
      </c>
      <c r="G373" s="2" t="str">
        <f t="shared" si="10"/>
        <v>Welcker Brian</v>
      </c>
      <c r="H373" s="8" t="str">
        <f>IFERROR(VLOOKUP(VLOOKUP(A373,'[1]Sales Order'!A:C,3,FALSE),[1]Employee!A:E,5,FALSE)&amp;" "&amp;VLOOKUP(VLOOKUP(A373,'[1]Sales Order'!A:C,3,FALSE),[1]Employee!A:C,3,FALSE)&amp;" "&amp;VLOOKUP(VLOOKUP(A373,'[1]Sales Order'!A:C,3,FALSE),[1]Employee!A:B,2,FALSE),"Not Specified")</f>
        <v>Dr. Don Funk</v>
      </c>
      <c r="I373" t="str">
        <f>IFERROR(VLOOKUP(VLOOKUP(A373,'[1]Sales Order'!A:C,3,FALSE),[1]Employee!A:J,10,FALSE),"Not Specified")</f>
        <v>WA</v>
      </c>
      <c r="J373" t="str">
        <f>VLOOKUP(B373,[1]Product!A:B,2,FALSE)</f>
        <v>Product AQOKR</v>
      </c>
      <c r="K373" t="str">
        <f>VLOOKUP(VLOOKUP(B373,[1]Product!A:D,4,FALSE),[1]Category!A:B,2,FALSE)</f>
        <v>Seafood</v>
      </c>
      <c r="L373" s="10">
        <f>IFERROR(VLOOKUP(A373,'[1]Sales Order'!A:D,4,FALSE),"")</f>
        <v>39070</v>
      </c>
      <c r="M373" s="10">
        <f>IFERROR(VLOOKUP(A373,'[1]Sales Order'!A:F,6,FALSE),"")</f>
        <v>39071</v>
      </c>
      <c r="N373" t="str">
        <f>IFERROR(VLOOKUP(VLOOKUP(A373,'[1]Sales Order'!A:G,7,FALSE),[1]Shipper!A:B,2,FALSE),"Not Specified")</f>
        <v>Shipper GVSUA</v>
      </c>
      <c r="O373" t="str">
        <f>IFERROR(VLOOKUP(A373,'[1]Sales Order'!A:I,9,FALSE),"Not Specified")</f>
        <v>Ship to 72-C</v>
      </c>
      <c r="P373" t="str">
        <f>IFERROR(VLOOKUP(A373,'[1]Sales Order'!A:N,14,FALSE),"Not Specified")</f>
        <v>UK</v>
      </c>
      <c r="Q373" t="str">
        <f>VLOOKUP(VLOOKUP(B373,[1]Product!A:C,3,FALSE),[1]Supplier!A:B,2,FALSE)</f>
        <v>Supplier XOXZA</v>
      </c>
      <c r="R373" t="str">
        <f>VLOOKUP(VLOOKUP(B373,[1]Product!A:C,3,FALSE),[1]Supplier!A:I,9,FALSE)</f>
        <v>Denmark</v>
      </c>
      <c r="S373" t="str">
        <f>IFERROR(IF(VLOOKUP(A373,'[1]Sales Order'!A:H,8,FALSE)&gt;100,"High Freight","Low Freight"),"Not Specified")</f>
        <v>Low Freight</v>
      </c>
      <c r="T373">
        <f t="shared" si="11"/>
        <v>91.2</v>
      </c>
    </row>
    <row r="374" spans="1:20">
      <c r="A374" s="1">
        <v>10388</v>
      </c>
      <c r="B374" s="2">
        <v>52</v>
      </c>
      <c r="C374" s="2">
        <v>5.6</v>
      </c>
      <c r="D374" s="2">
        <v>20</v>
      </c>
      <c r="E374" s="3">
        <v>0.2</v>
      </c>
      <c r="F374" s="2" t="str">
        <f>IFERROR(VLOOKUP(VLOOKUP(A374,'[1]Sales Order'!A:B,2,FALSE),[1]Customer!A:C,3,FALSE),"Not Specified")</f>
        <v>Welcker, Brian</v>
      </c>
      <c r="G374" s="2" t="str">
        <f t="shared" si="10"/>
        <v>Welcker Brian</v>
      </c>
      <c r="H374" s="8" t="str">
        <f>IFERROR(VLOOKUP(VLOOKUP(A374,'[1]Sales Order'!A:C,3,FALSE),[1]Employee!A:E,5,FALSE)&amp;" "&amp;VLOOKUP(VLOOKUP(A374,'[1]Sales Order'!A:C,3,FALSE),[1]Employee!A:C,3,FALSE)&amp;" "&amp;VLOOKUP(VLOOKUP(A374,'[1]Sales Order'!A:C,3,FALSE),[1]Employee!A:B,2,FALSE),"Not Specified")</f>
        <v>Dr. Don Funk</v>
      </c>
      <c r="I374" t="str">
        <f>IFERROR(VLOOKUP(VLOOKUP(A374,'[1]Sales Order'!A:C,3,FALSE),[1]Employee!A:J,10,FALSE),"Not Specified")</f>
        <v>WA</v>
      </c>
      <c r="J374" t="str">
        <f>VLOOKUP(B374,[1]Product!A:B,2,FALSE)</f>
        <v>Product QSRXF</v>
      </c>
      <c r="K374" t="str">
        <f>VLOOKUP(VLOOKUP(B374,[1]Product!A:D,4,FALSE),[1]Category!A:B,2,FALSE)</f>
        <v>Grains/Cereals</v>
      </c>
      <c r="L374" s="10">
        <f>IFERROR(VLOOKUP(A374,'[1]Sales Order'!A:D,4,FALSE),"")</f>
        <v>39070</v>
      </c>
      <c r="M374" s="10">
        <f>IFERROR(VLOOKUP(A374,'[1]Sales Order'!A:F,6,FALSE),"")</f>
        <v>39071</v>
      </c>
      <c r="N374" t="str">
        <f>IFERROR(VLOOKUP(VLOOKUP(A374,'[1]Sales Order'!A:G,7,FALSE),[1]Shipper!A:B,2,FALSE),"Not Specified")</f>
        <v>Shipper GVSUA</v>
      </c>
      <c r="O374" t="str">
        <f>IFERROR(VLOOKUP(A374,'[1]Sales Order'!A:I,9,FALSE),"Not Specified")</f>
        <v>Ship to 72-C</v>
      </c>
      <c r="P374" t="str">
        <f>IFERROR(VLOOKUP(A374,'[1]Sales Order'!A:N,14,FALSE),"Not Specified")</f>
        <v>UK</v>
      </c>
      <c r="Q374" t="str">
        <f>VLOOKUP(VLOOKUP(B374,[1]Product!A:C,3,FALSE),[1]Supplier!A:B,2,FALSE)</f>
        <v>Supplier JNNES</v>
      </c>
      <c r="R374" t="str">
        <f>VLOOKUP(VLOOKUP(B374,[1]Product!A:C,3,FALSE),[1]Supplier!A:I,9,FALSE)</f>
        <v>Australia</v>
      </c>
      <c r="S374" t="str">
        <f>IFERROR(IF(VLOOKUP(A374,'[1]Sales Order'!A:H,8,FALSE)&gt;100,"High Freight","Low Freight"),"Not Specified")</f>
        <v>Low Freight</v>
      </c>
      <c r="T374">
        <f t="shared" si="11"/>
        <v>89.600000000000009</v>
      </c>
    </row>
    <row r="375" spans="1:20">
      <c r="A375" s="1">
        <v>10388</v>
      </c>
      <c r="B375" s="2">
        <v>53</v>
      </c>
      <c r="C375" s="2">
        <v>26.2</v>
      </c>
      <c r="D375" s="2">
        <v>40</v>
      </c>
      <c r="E375" s="3">
        <v>0</v>
      </c>
      <c r="F375" s="2" t="str">
        <f>IFERROR(VLOOKUP(VLOOKUP(A375,'[1]Sales Order'!A:B,2,FALSE),[1]Customer!A:C,3,FALSE),"Not Specified")</f>
        <v>Welcker, Brian</v>
      </c>
      <c r="G375" s="2" t="str">
        <f t="shared" si="10"/>
        <v>Welcker Brian</v>
      </c>
      <c r="H375" s="8" t="str">
        <f>IFERROR(VLOOKUP(VLOOKUP(A375,'[1]Sales Order'!A:C,3,FALSE),[1]Employee!A:E,5,FALSE)&amp;" "&amp;VLOOKUP(VLOOKUP(A375,'[1]Sales Order'!A:C,3,FALSE),[1]Employee!A:C,3,FALSE)&amp;" "&amp;VLOOKUP(VLOOKUP(A375,'[1]Sales Order'!A:C,3,FALSE),[1]Employee!A:B,2,FALSE),"Not Specified")</f>
        <v>Dr. Don Funk</v>
      </c>
      <c r="I375" t="str">
        <f>IFERROR(VLOOKUP(VLOOKUP(A375,'[1]Sales Order'!A:C,3,FALSE),[1]Employee!A:J,10,FALSE),"Not Specified")</f>
        <v>WA</v>
      </c>
      <c r="J375" t="str">
        <f>VLOOKUP(B375,[1]Product!A:B,2,FALSE)</f>
        <v>Product BKGEA</v>
      </c>
      <c r="K375" t="str">
        <f>VLOOKUP(VLOOKUP(B375,[1]Product!A:D,4,FALSE),[1]Category!A:B,2,FALSE)</f>
        <v>Meat/Poultry</v>
      </c>
      <c r="L375" s="10">
        <f>IFERROR(VLOOKUP(A375,'[1]Sales Order'!A:D,4,FALSE),"")</f>
        <v>39070</v>
      </c>
      <c r="M375" s="10">
        <f>IFERROR(VLOOKUP(A375,'[1]Sales Order'!A:F,6,FALSE),"")</f>
        <v>39071</v>
      </c>
      <c r="N375" t="str">
        <f>IFERROR(VLOOKUP(VLOOKUP(A375,'[1]Sales Order'!A:G,7,FALSE),[1]Shipper!A:B,2,FALSE),"Not Specified")</f>
        <v>Shipper GVSUA</v>
      </c>
      <c r="O375" t="str">
        <f>IFERROR(VLOOKUP(A375,'[1]Sales Order'!A:I,9,FALSE),"Not Specified")</f>
        <v>Ship to 72-C</v>
      </c>
      <c r="P375" t="str">
        <f>IFERROR(VLOOKUP(A375,'[1]Sales Order'!A:N,14,FALSE),"Not Specified")</f>
        <v>UK</v>
      </c>
      <c r="Q375" t="str">
        <f>VLOOKUP(VLOOKUP(B375,[1]Product!A:C,3,FALSE),[1]Supplier!A:B,2,FALSE)</f>
        <v>Supplier JNNES</v>
      </c>
      <c r="R375" t="str">
        <f>VLOOKUP(VLOOKUP(B375,[1]Product!A:C,3,FALSE),[1]Supplier!A:I,9,FALSE)</f>
        <v>Australia</v>
      </c>
      <c r="S375" t="str">
        <f>IFERROR(IF(VLOOKUP(A375,'[1]Sales Order'!A:H,8,FALSE)&gt;100,"High Freight","Low Freight"),"Not Specified")</f>
        <v>Low Freight</v>
      </c>
      <c r="T375">
        <f t="shared" si="11"/>
        <v>1048</v>
      </c>
    </row>
    <row r="376" spans="1:20">
      <c r="A376" s="1">
        <v>10389</v>
      </c>
      <c r="B376" s="2">
        <v>10</v>
      </c>
      <c r="C376" s="2">
        <v>24.8</v>
      </c>
      <c r="D376" s="2">
        <v>16</v>
      </c>
      <c r="E376" s="3">
        <v>0</v>
      </c>
      <c r="F376" s="2" t="str">
        <f>IFERROR(VLOOKUP(VLOOKUP(A376,'[1]Sales Order'!A:B,2,FALSE),[1]Customer!A:C,3,FALSE),"Not Specified")</f>
        <v>Bassols, Pilar Colome</v>
      </c>
      <c r="G376" s="2" t="str">
        <f t="shared" si="10"/>
        <v>Bassols Pilar Colome</v>
      </c>
      <c r="H376" s="8" t="str">
        <f>IFERROR(VLOOKUP(VLOOKUP(A376,'[1]Sales Order'!A:C,3,FALSE),[1]Employee!A:E,5,FALSE)&amp;" "&amp;VLOOKUP(VLOOKUP(A376,'[1]Sales Order'!A:C,3,FALSE),[1]Employee!A:C,3,FALSE)&amp;" "&amp;VLOOKUP(VLOOKUP(A376,'[1]Sales Order'!A:C,3,FALSE),[1]Employee!A:B,2,FALSE),"Not Specified")</f>
        <v>Mrs. Yael Peled</v>
      </c>
      <c r="I376" t="str">
        <f>IFERROR(VLOOKUP(VLOOKUP(A376,'[1]Sales Order'!A:C,3,FALSE),[1]Employee!A:J,10,FALSE),"Not Specified")</f>
        <v>WA</v>
      </c>
      <c r="J376" t="str">
        <f>VLOOKUP(B376,[1]Product!A:B,2,FALSE)</f>
        <v>Product YHXGE</v>
      </c>
      <c r="K376" t="str">
        <f>VLOOKUP(VLOOKUP(B376,[1]Product!A:D,4,FALSE),[1]Category!A:B,2,FALSE)</f>
        <v>Seafood</v>
      </c>
      <c r="L376" s="10">
        <f>IFERROR(VLOOKUP(A376,'[1]Sales Order'!A:D,4,FALSE),"")</f>
        <v>39071</v>
      </c>
      <c r="M376" s="10">
        <f>IFERROR(VLOOKUP(A376,'[1]Sales Order'!A:F,6,FALSE),"")</f>
        <v>39075</v>
      </c>
      <c r="N376" t="str">
        <f>IFERROR(VLOOKUP(VLOOKUP(A376,'[1]Sales Order'!A:G,7,FALSE),[1]Shipper!A:B,2,FALSE),"Not Specified")</f>
        <v>Shipper ETYNR</v>
      </c>
      <c r="O376" t="str">
        <f>IFERROR(VLOOKUP(A376,'[1]Sales Order'!A:I,9,FALSE),"Not Specified")</f>
        <v>Destination OLSSJ</v>
      </c>
      <c r="P376" t="str">
        <f>IFERROR(VLOOKUP(A376,'[1]Sales Order'!A:N,14,FALSE),"Not Specified")</f>
        <v>Canada</v>
      </c>
      <c r="Q376" t="str">
        <f>VLOOKUP(VLOOKUP(B376,[1]Product!A:C,3,FALSE),[1]Supplier!A:B,2,FALSE)</f>
        <v>Supplier QOVFD</v>
      </c>
      <c r="R376" t="str">
        <f>VLOOKUP(VLOOKUP(B376,[1]Product!A:C,3,FALSE),[1]Supplier!A:I,9,FALSE)</f>
        <v>Japan</v>
      </c>
      <c r="S376" t="str">
        <f>IFERROR(IF(VLOOKUP(A376,'[1]Sales Order'!A:H,8,FALSE)&gt;100,"High Freight","Low Freight"),"Not Specified")</f>
        <v>Low Freight</v>
      </c>
      <c r="T376">
        <f t="shared" si="11"/>
        <v>396.8</v>
      </c>
    </row>
    <row r="377" spans="1:20">
      <c r="A377" s="1">
        <v>10389</v>
      </c>
      <c r="B377" s="2">
        <v>55</v>
      </c>
      <c r="C377" s="2">
        <v>19.2</v>
      </c>
      <c r="D377" s="2">
        <v>15</v>
      </c>
      <c r="E377" s="3">
        <v>0</v>
      </c>
      <c r="F377" s="2" t="str">
        <f>IFERROR(VLOOKUP(VLOOKUP(A377,'[1]Sales Order'!A:B,2,FALSE),[1]Customer!A:C,3,FALSE),"Not Specified")</f>
        <v>Bassols, Pilar Colome</v>
      </c>
      <c r="G377" s="2" t="str">
        <f t="shared" si="10"/>
        <v>Bassols Pilar Colome</v>
      </c>
      <c r="H377" s="8" t="str">
        <f>IFERROR(VLOOKUP(VLOOKUP(A377,'[1]Sales Order'!A:C,3,FALSE),[1]Employee!A:E,5,FALSE)&amp;" "&amp;VLOOKUP(VLOOKUP(A377,'[1]Sales Order'!A:C,3,FALSE),[1]Employee!A:C,3,FALSE)&amp;" "&amp;VLOOKUP(VLOOKUP(A377,'[1]Sales Order'!A:C,3,FALSE),[1]Employee!A:B,2,FALSE),"Not Specified")</f>
        <v>Mrs. Yael Peled</v>
      </c>
      <c r="I377" t="str">
        <f>IFERROR(VLOOKUP(VLOOKUP(A377,'[1]Sales Order'!A:C,3,FALSE),[1]Employee!A:J,10,FALSE),"Not Specified")</f>
        <v>WA</v>
      </c>
      <c r="J377" t="str">
        <f>VLOOKUP(B377,[1]Product!A:B,2,FALSE)</f>
        <v>Product YYWRT</v>
      </c>
      <c r="K377" t="str">
        <f>VLOOKUP(VLOOKUP(B377,[1]Product!A:D,4,FALSE),[1]Category!A:B,2,FALSE)</f>
        <v>Meat/Poultry</v>
      </c>
      <c r="L377" s="10">
        <f>IFERROR(VLOOKUP(A377,'[1]Sales Order'!A:D,4,FALSE),"")</f>
        <v>39071</v>
      </c>
      <c r="M377" s="10">
        <f>IFERROR(VLOOKUP(A377,'[1]Sales Order'!A:F,6,FALSE),"")</f>
        <v>39075</v>
      </c>
      <c r="N377" t="str">
        <f>IFERROR(VLOOKUP(VLOOKUP(A377,'[1]Sales Order'!A:G,7,FALSE),[1]Shipper!A:B,2,FALSE),"Not Specified")</f>
        <v>Shipper ETYNR</v>
      </c>
      <c r="O377" t="str">
        <f>IFERROR(VLOOKUP(A377,'[1]Sales Order'!A:I,9,FALSE),"Not Specified")</f>
        <v>Destination OLSSJ</v>
      </c>
      <c r="P377" t="str">
        <f>IFERROR(VLOOKUP(A377,'[1]Sales Order'!A:N,14,FALSE),"Not Specified")</f>
        <v>Canada</v>
      </c>
      <c r="Q377" t="str">
        <f>VLOOKUP(VLOOKUP(B377,[1]Product!A:C,3,FALSE),[1]Supplier!A:B,2,FALSE)</f>
        <v>Supplier ERVYZ</v>
      </c>
      <c r="R377" t="str">
        <f>VLOOKUP(VLOOKUP(B377,[1]Product!A:C,3,FALSE),[1]Supplier!A:I,9,FALSE)</f>
        <v>Canada</v>
      </c>
      <c r="S377" t="str">
        <f>IFERROR(IF(VLOOKUP(A377,'[1]Sales Order'!A:H,8,FALSE)&gt;100,"High Freight","Low Freight"),"Not Specified")</f>
        <v>Low Freight</v>
      </c>
      <c r="T377">
        <f t="shared" si="11"/>
        <v>288</v>
      </c>
    </row>
    <row r="378" spans="1:20">
      <c r="A378" s="1">
        <v>10389</v>
      </c>
      <c r="B378" s="2">
        <v>62</v>
      </c>
      <c r="C378" s="2">
        <v>39.4</v>
      </c>
      <c r="D378" s="2">
        <v>20</v>
      </c>
      <c r="E378" s="3">
        <v>0</v>
      </c>
      <c r="F378" s="2" t="str">
        <f>IFERROR(VLOOKUP(VLOOKUP(A378,'[1]Sales Order'!A:B,2,FALSE),[1]Customer!A:C,3,FALSE),"Not Specified")</f>
        <v>Bassols, Pilar Colome</v>
      </c>
      <c r="G378" s="2" t="str">
        <f t="shared" si="10"/>
        <v>Bassols Pilar Colome</v>
      </c>
      <c r="H378" s="8" t="str">
        <f>IFERROR(VLOOKUP(VLOOKUP(A378,'[1]Sales Order'!A:C,3,FALSE),[1]Employee!A:E,5,FALSE)&amp;" "&amp;VLOOKUP(VLOOKUP(A378,'[1]Sales Order'!A:C,3,FALSE),[1]Employee!A:C,3,FALSE)&amp;" "&amp;VLOOKUP(VLOOKUP(A378,'[1]Sales Order'!A:C,3,FALSE),[1]Employee!A:B,2,FALSE),"Not Specified")</f>
        <v>Mrs. Yael Peled</v>
      </c>
      <c r="I378" t="str">
        <f>IFERROR(VLOOKUP(VLOOKUP(A378,'[1]Sales Order'!A:C,3,FALSE),[1]Employee!A:J,10,FALSE),"Not Specified")</f>
        <v>WA</v>
      </c>
      <c r="J378" t="str">
        <f>VLOOKUP(B378,[1]Product!A:B,2,FALSE)</f>
        <v>Product WUXYK</v>
      </c>
      <c r="K378" t="str">
        <f>VLOOKUP(VLOOKUP(B378,[1]Product!A:D,4,FALSE),[1]Category!A:B,2,FALSE)</f>
        <v>Confections</v>
      </c>
      <c r="L378" s="10">
        <f>IFERROR(VLOOKUP(A378,'[1]Sales Order'!A:D,4,FALSE),"")</f>
        <v>39071</v>
      </c>
      <c r="M378" s="10">
        <f>IFERROR(VLOOKUP(A378,'[1]Sales Order'!A:F,6,FALSE),"")</f>
        <v>39075</v>
      </c>
      <c r="N378" t="str">
        <f>IFERROR(VLOOKUP(VLOOKUP(A378,'[1]Sales Order'!A:G,7,FALSE),[1]Shipper!A:B,2,FALSE),"Not Specified")</f>
        <v>Shipper ETYNR</v>
      </c>
      <c r="O378" t="str">
        <f>IFERROR(VLOOKUP(A378,'[1]Sales Order'!A:I,9,FALSE),"Not Specified")</f>
        <v>Destination OLSSJ</v>
      </c>
      <c r="P378" t="str">
        <f>IFERROR(VLOOKUP(A378,'[1]Sales Order'!A:N,14,FALSE),"Not Specified")</f>
        <v>Canada</v>
      </c>
      <c r="Q378" t="str">
        <f>VLOOKUP(VLOOKUP(B378,[1]Product!A:C,3,FALSE),[1]Supplier!A:B,2,FALSE)</f>
        <v>Supplier OGLRK</v>
      </c>
      <c r="R378" t="str">
        <f>VLOOKUP(VLOOKUP(B378,[1]Product!A:C,3,FALSE),[1]Supplier!A:I,9,FALSE)</f>
        <v>Canada</v>
      </c>
      <c r="S378" t="str">
        <f>IFERROR(IF(VLOOKUP(A378,'[1]Sales Order'!A:H,8,FALSE)&gt;100,"High Freight","Low Freight"),"Not Specified")</f>
        <v>Low Freight</v>
      </c>
      <c r="T378">
        <f t="shared" si="11"/>
        <v>788</v>
      </c>
    </row>
    <row r="379" spans="1:20">
      <c r="A379" s="1">
        <v>10389</v>
      </c>
      <c r="B379" s="2">
        <v>70</v>
      </c>
      <c r="C379" s="2">
        <v>12</v>
      </c>
      <c r="D379" s="2">
        <v>30</v>
      </c>
      <c r="E379" s="3">
        <v>0</v>
      </c>
      <c r="F379" s="2" t="str">
        <f>IFERROR(VLOOKUP(VLOOKUP(A379,'[1]Sales Order'!A:B,2,FALSE),[1]Customer!A:C,3,FALSE),"Not Specified")</f>
        <v>Bassols, Pilar Colome</v>
      </c>
      <c r="G379" s="2" t="str">
        <f t="shared" si="10"/>
        <v>Bassols Pilar Colome</v>
      </c>
      <c r="H379" s="8" t="str">
        <f>IFERROR(VLOOKUP(VLOOKUP(A379,'[1]Sales Order'!A:C,3,FALSE),[1]Employee!A:E,5,FALSE)&amp;" "&amp;VLOOKUP(VLOOKUP(A379,'[1]Sales Order'!A:C,3,FALSE),[1]Employee!A:C,3,FALSE)&amp;" "&amp;VLOOKUP(VLOOKUP(A379,'[1]Sales Order'!A:C,3,FALSE),[1]Employee!A:B,2,FALSE),"Not Specified")</f>
        <v>Mrs. Yael Peled</v>
      </c>
      <c r="I379" t="str">
        <f>IFERROR(VLOOKUP(VLOOKUP(A379,'[1]Sales Order'!A:C,3,FALSE),[1]Employee!A:J,10,FALSE),"Not Specified")</f>
        <v>WA</v>
      </c>
      <c r="J379" t="str">
        <f>VLOOKUP(B379,[1]Product!A:B,2,FALSE)</f>
        <v>Product TOONT</v>
      </c>
      <c r="K379" t="str">
        <f>VLOOKUP(VLOOKUP(B379,[1]Product!A:D,4,FALSE),[1]Category!A:B,2,FALSE)</f>
        <v>Beverages</v>
      </c>
      <c r="L379" s="10">
        <f>IFERROR(VLOOKUP(A379,'[1]Sales Order'!A:D,4,FALSE),"")</f>
        <v>39071</v>
      </c>
      <c r="M379" s="10">
        <f>IFERROR(VLOOKUP(A379,'[1]Sales Order'!A:F,6,FALSE),"")</f>
        <v>39075</v>
      </c>
      <c r="N379" t="str">
        <f>IFERROR(VLOOKUP(VLOOKUP(A379,'[1]Sales Order'!A:G,7,FALSE),[1]Shipper!A:B,2,FALSE),"Not Specified")</f>
        <v>Shipper ETYNR</v>
      </c>
      <c r="O379" t="str">
        <f>IFERROR(VLOOKUP(A379,'[1]Sales Order'!A:I,9,FALSE),"Not Specified")</f>
        <v>Destination OLSSJ</v>
      </c>
      <c r="P379" t="str">
        <f>IFERROR(VLOOKUP(A379,'[1]Sales Order'!A:N,14,FALSE),"Not Specified")</f>
        <v>Canada</v>
      </c>
      <c r="Q379" t="str">
        <f>VLOOKUP(VLOOKUP(B379,[1]Product!A:C,3,FALSE),[1]Supplier!A:B,2,FALSE)</f>
        <v>Supplier GQRCV</v>
      </c>
      <c r="R379" t="str">
        <f>VLOOKUP(VLOOKUP(B379,[1]Product!A:C,3,FALSE),[1]Supplier!A:I,9,FALSE)</f>
        <v>Australia</v>
      </c>
      <c r="S379" t="str">
        <f>IFERROR(IF(VLOOKUP(A379,'[1]Sales Order'!A:H,8,FALSE)&gt;100,"High Freight","Low Freight"),"Not Specified")</f>
        <v>Low Freight</v>
      </c>
      <c r="T379">
        <f t="shared" si="11"/>
        <v>360</v>
      </c>
    </row>
    <row r="380" spans="1:20">
      <c r="A380" s="1">
        <v>10390</v>
      </c>
      <c r="B380" s="2">
        <v>31</v>
      </c>
      <c r="C380" s="2">
        <v>10</v>
      </c>
      <c r="D380" s="2">
        <v>60</v>
      </c>
      <c r="E380" s="3">
        <v>0.1</v>
      </c>
      <c r="F380" s="2" t="str">
        <f>IFERROR(VLOOKUP(VLOOKUP(A380,'[1]Sales Order'!A:B,2,FALSE),[1]Customer!A:C,3,FALSE),"Not Specified")</f>
        <v>Kane, John</v>
      </c>
      <c r="G380" s="2" t="str">
        <f t="shared" si="10"/>
        <v>Kane John</v>
      </c>
      <c r="H380" s="8" t="str">
        <f>IFERROR(VLOOKUP(VLOOKUP(A380,'[1]Sales Order'!A:C,3,FALSE),[1]Employee!A:E,5,FALSE)&amp;" "&amp;VLOOKUP(VLOOKUP(A380,'[1]Sales Order'!A:C,3,FALSE),[1]Employee!A:C,3,FALSE)&amp;" "&amp;VLOOKUP(VLOOKUP(A380,'[1]Sales Order'!A:C,3,FALSE),[1]Employee!A:B,2,FALSE),"Not Specified")</f>
        <v>Mr. Paul Suurs</v>
      </c>
      <c r="I380">
        <f>IFERROR(VLOOKUP(VLOOKUP(A380,'[1]Sales Order'!A:C,3,FALSE),[1]Employee!A:J,10,FALSE),"Not Specified")</f>
        <v>0</v>
      </c>
      <c r="J380" t="str">
        <f>VLOOKUP(B380,[1]Product!A:B,2,FALSE)</f>
        <v>Product XWOXC</v>
      </c>
      <c r="K380" t="str">
        <f>VLOOKUP(VLOOKUP(B380,[1]Product!A:D,4,FALSE),[1]Category!A:B,2,FALSE)</f>
        <v>Dairy Product</v>
      </c>
      <c r="L380" s="10">
        <f>IFERROR(VLOOKUP(A380,'[1]Sales Order'!A:D,4,FALSE),"")</f>
        <v>39074</v>
      </c>
      <c r="M380" s="10">
        <f>IFERROR(VLOOKUP(A380,'[1]Sales Order'!A:F,6,FALSE),"")</f>
        <v>39077</v>
      </c>
      <c r="N380" t="str">
        <f>IFERROR(VLOOKUP(VLOOKUP(A380,'[1]Sales Order'!A:G,7,FALSE),[1]Shipper!A:B,2,FALSE),"Not Specified")</f>
        <v>Shipper GVSUA</v>
      </c>
      <c r="O380" t="str">
        <f>IFERROR(VLOOKUP(A380,'[1]Sales Order'!A:I,9,FALSE),"Not Specified")</f>
        <v>Destination RVDMF</v>
      </c>
      <c r="P380" t="str">
        <f>IFERROR(VLOOKUP(A380,'[1]Sales Order'!A:N,14,FALSE),"Not Specified")</f>
        <v>Austria</v>
      </c>
      <c r="Q380" t="str">
        <f>VLOOKUP(VLOOKUP(B380,[1]Product!A:C,3,FALSE),[1]Supplier!A:B,2,FALSE)</f>
        <v>Supplier KEREV</v>
      </c>
      <c r="R380" t="str">
        <f>VLOOKUP(VLOOKUP(B380,[1]Product!A:C,3,FALSE),[1]Supplier!A:I,9,FALSE)</f>
        <v>Italy</v>
      </c>
      <c r="S380" t="str">
        <f>IFERROR(IF(VLOOKUP(A380,'[1]Sales Order'!A:H,8,FALSE)&gt;100,"High Freight","Low Freight"),"Not Specified")</f>
        <v>High Freight</v>
      </c>
      <c r="T380">
        <f t="shared" si="11"/>
        <v>540</v>
      </c>
    </row>
    <row r="381" spans="1:20">
      <c r="A381" s="1">
        <v>10390</v>
      </c>
      <c r="B381" s="2">
        <v>35</v>
      </c>
      <c r="C381" s="2">
        <v>14.4</v>
      </c>
      <c r="D381" s="2">
        <v>40</v>
      </c>
      <c r="E381" s="3">
        <v>0.1</v>
      </c>
      <c r="F381" s="2" t="str">
        <f>IFERROR(VLOOKUP(VLOOKUP(A381,'[1]Sales Order'!A:B,2,FALSE),[1]Customer!A:C,3,FALSE),"Not Specified")</f>
        <v>Kane, John</v>
      </c>
      <c r="G381" s="2" t="str">
        <f t="shared" si="10"/>
        <v>Kane John</v>
      </c>
      <c r="H381" s="8" t="str">
        <f>IFERROR(VLOOKUP(VLOOKUP(A381,'[1]Sales Order'!A:C,3,FALSE),[1]Employee!A:E,5,FALSE)&amp;" "&amp;VLOOKUP(VLOOKUP(A381,'[1]Sales Order'!A:C,3,FALSE),[1]Employee!A:C,3,FALSE)&amp;" "&amp;VLOOKUP(VLOOKUP(A381,'[1]Sales Order'!A:C,3,FALSE),[1]Employee!A:B,2,FALSE),"Not Specified")</f>
        <v>Mr. Paul Suurs</v>
      </c>
      <c r="I381">
        <f>IFERROR(VLOOKUP(VLOOKUP(A381,'[1]Sales Order'!A:C,3,FALSE),[1]Employee!A:J,10,FALSE),"Not Specified")</f>
        <v>0</v>
      </c>
      <c r="J381" t="str">
        <f>VLOOKUP(B381,[1]Product!A:B,2,FALSE)</f>
        <v>Product NEVTJ</v>
      </c>
      <c r="K381" t="str">
        <f>VLOOKUP(VLOOKUP(B381,[1]Product!A:D,4,FALSE),[1]Category!A:B,2,FALSE)</f>
        <v>Beverages</v>
      </c>
      <c r="L381" s="10">
        <f>IFERROR(VLOOKUP(A381,'[1]Sales Order'!A:D,4,FALSE),"")</f>
        <v>39074</v>
      </c>
      <c r="M381" s="10">
        <f>IFERROR(VLOOKUP(A381,'[1]Sales Order'!A:F,6,FALSE),"")</f>
        <v>39077</v>
      </c>
      <c r="N381" t="str">
        <f>IFERROR(VLOOKUP(VLOOKUP(A381,'[1]Sales Order'!A:G,7,FALSE),[1]Shipper!A:B,2,FALSE),"Not Specified")</f>
        <v>Shipper GVSUA</v>
      </c>
      <c r="O381" t="str">
        <f>IFERROR(VLOOKUP(A381,'[1]Sales Order'!A:I,9,FALSE),"Not Specified")</f>
        <v>Destination RVDMF</v>
      </c>
      <c r="P381" t="str">
        <f>IFERROR(VLOOKUP(A381,'[1]Sales Order'!A:N,14,FALSE),"Not Specified")</f>
        <v>Austria</v>
      </c>
      <c r="Q381" t="str">
        <f>VLOOKUP(VLOOKUP(B381,[1]Product!A:C,3,FALSE),[1]Supplier!A:B,2,FALSE)</f>
        <v>Supplier UHZRG</v>
      </c>
      <c r="R381" t="str">
        <f>VLOOKUP(VLOOKUP(B381,[1]Product!A:C,3,FALSE),[1]Supplier!A:I,9,FALSE)</f>
        <v>USA</v>
      </c>
      <c r="S381" t="str">
        <f>IFERROR(IF(VLOOKUP(A381,'[1]Sales Order'!A:H,8,FALSE)&gt;100,"High Freight","Low Freight"),"Not Specified")</f>
        <v>High Freight</v>
      </c>
      <c r="T381">
        <f t="shared" si="11"/>
        <v>518.4</v>
      </c>
    </row>
    <row r="382" spans="1:20">
      <c r="A382" s="1">
        <v>10390</v>
      </c>
      <c r="B382" s="2">
        <v>46</v>
      </c>
      <c r="C382" s="2">
        <v>9.6</v>
      </c>
      <c r="D382" s="2">
        <v>45</v>
      </c>
      <c r="E382" s="3">
        <v>0</v>
      </c>
      <c r="F382" s="2" t="str">
        <f>IFERROR(VLOOKUP(VLOOKUP(A382,'[1]Sales Order'!A:B,2,FALSE),[1]Customer!A:C,3,FALSE),"Not Specified")</f>
        <v>Kane, John</v>
      </c>
      <c r="G382" s="2" t="str">
        <f t="shared" si="10"/>
        <v>Kane John</v>
      </c>
      <c r="H382" s="8" t="str">
        <f>IFERROR(VLOOKUP(VLOOKUP(A382,'[1]Sales Order'!A:C,3,FALSE),[1]Employee!A:E,5,FALSE)&amp;" "&amp;VLOOKUP(VLOOKUP(A382,'[1]Sales Order'!A:C,3,FALSE),[1]Employee!A:C,3,FALSE)&amp;" "&amp;VLOOKUP(VLOOKUP(A382,'[1]Sales Order'!A:C,3,FALSE),[1]Employee!A:B,2,FALSE),"Not Specified")</f>
        <v>Mr. Paul Suurs</v>
      </c>
      <c r="I382">
        <f>IFERROR(VLOOKUP(VLOOKUP(A382,'[1]Sales Order'!A:C,3,FALSE),[1]Employee!A:J,10,FALSE),"Not Specified")</f>
        <v>0</v>
      </c>
      <c r="J382" t="str">
        <f>VLOOKUP(B382,[1]Product!A:B,2,FALSE)</f>
        <v>Product CBRRL</v>
      </c>
      <c r="K382" t="str">
        <f>VLOOKUP(VLOOKUP(B382,[1]Product!A:D,4,FALSE),[1]Category!A:B,2,FALSE)</f>
        <v>Seafood</v>
      </c>
      <c r="L382" s="10">
        <f>IFERROR(VLOOKUP(A382,'[1]Sales Order'!A:D,4,FALSE),"")</f>
        <v>39074</v>
      </c>
      <c r="M382" s="10">
        <f>IFERROR(VLOOKUP(A382,'[1]Sales Order'!A:F,6,FALSE),"")</f>
        <v>39077</v>
      </c>
      <c r="N382" t="str">
        <f>IFERROR(VLOOKUP(VLOOKUP(A382,'[1]Sales Order'!A:G,7,FALSE),[1]Shipper!A:B,2,FALSE),"Not Specified")</f>
        <v>Shipper GVSUA</v>
      </c>
      <c r="O382" t="str">
        <f>IFERROR(VLOOKUP(A382,'[1]Sales Order'!A:I,9,FALSE),"Not Specified")</f>
        <v>Destination RVDMF</v>
      </c>
      <c r="P382" t="str">
        <f>IFERROR(VLOOKUP(A382,'[1]Sales Order'!A:N,14,FALSE),"Not Specified")</f>
        <v>Austria</v>
      </c>
      <c r="Q382" t="str">
        <f>VLOOKUP(VLOOKUP(B382,[1]Product!A:C,3,FALSE),[1]Supplier!A:B,2,FALSE)</f>
        <v>Supplier XOXZA</v>
      </c>
      <c r="R382" t="str">
        <f>VLOOKUP(VLOOKUP(B382,[1]Product!A:C,3,FALSE),[1]Supplier!A:I,9,FALSE)</f>
        <v>Denmark</v>
      </c>
      <c r="S382" t="str">
        <f>IFERROR(IF(VLOOKUP(A382,'[1]Sales Order'!A:H,8,FALSE)&gt;100,"High Freight","Low Freight"),"Not Specified")</f>
        <v>High Freight</v>
      </c>
      <c r="T382">
        <f t="shared" si="11"/>
        <v>432</v>
      </c>
    </row>
    <row r="383" spans="1:20">
      <c r="A383" s="1">
        <v>10390</v>
      </c>
      <c r="B383" s="2">
        <v>72</v>
      </c>
      <c r="C383" s="2">
        <v>27.8</v>
      </c>
      <c r="D383" s="2">
        <v>24</v>
      </c>
      <c r="E383" s="3">
        <v>0.1</v>
      </c>
      <c r="F383" s="2" t="str">
        <f>IFERROR(VLOOKUP(VLOOKUP(A383,'[1]Sales Order'!A:B,2,FALSE),[1]Customer!A:C,3,FALSE),"Not Specified")</f>
        <v>Kane, John</v>
      </c>
      <c r="G383" s="2" t="str">
        <f t="shared" si="10"/>
        <v>Kane John</v>
      </c>
      <c r="H383" s="8" t="str">
        <f>IFERROR(VLOOKUP(VLOOKUP(A383,'[1]Sales Order'!A:C,3,FALSE),[1]Employee!A:E,5,FALSE)&amp;" "&amp;VLOOKUP(VLOOKUP(A383,'[1]Sales Order'!A:C,3,FALSE),[1]Employee!A:C,3,FALSE)&amp;" "&amp;VLOOKUP(VLOOKUP(A383,'[1]Sales Order'!A:C,3,FALSE),[1]Employee!A:B,2,FALSE),"Not Specified")</f>
        <v>Mr. Paul Suurs</v>
      </c>
      <c r="I383">
        <f>IFERROR(VLOOKUP(VLOOKUP(A383,'[1]Sales Order'!A:C,3,FALSE),[1]Employee!A:J,10,FALSE),"Not Specified")</f>
        <v>0</v>
      </c>
      <c r="J383" t="str">
        <f>VLOOKUP(B383,[1]Product!A:B,2,FALSE)</f>
        <v>Product GEEOO</v>
      </c>
      <c r="K383" t="str">
        <f>VLOOKUP(VLOOKUP(B383,[1]Product!A:D,4,FALSE),[1]Category!A:B,2,FALSE)</f>
        <v>Dairy Product</v>
      </c>
      <c r="L383" s="10">
        <f>IFERROR(VLOOKUP(A383,'[1]Sales Order'!A:D,4,FALSE),"")</f>
        <v>39074</v>
      </c>
      <c r="M383" s="10">
        <f>IFERROR(VLOOKUP(A383,'[1]Sales Order'!A:F,6,FALSE),"")</f>
        <v>39077</v>
      </c>
      <c r="N383" t="str">
        <f>IFERROR(VLOOKUP(VLOOKUP(A383,'[1]Sales Order'!A:G,7,FALSE),[1]Shipper!A:B,2,FALSE),"Not Specified")</f>
        <v>Shipper GVSUA</v>
      </c>
      <c r="O383" t="str">
        <f>IFERROR(VLOOKUP(A383,'[1]Sales Order'!A:I,9,FALSE),"Not Specified")</f>
        <v>Destination RVDMF</v>
      </c>
      <c r="P383" t="str">
        <f>IFERROR(VLOOKUP(A383,'[1]Sales Order'!A:N,14,FALSE),"Not Specified")</f>
        <v>Austria</v>
      </c>
      <c r="Q383" t="str">
        <f>VLOOKUP(VLOOKUP(B383,[1]Product!A:C,3,FALSE),[1]Supplier!A:B,2,FALSE)</f>
        <v>Supplier KEREV</v>
      </c>
      <c r="R383" t="str">
        <f>VLOOKUP(VLOOKUP(B383,[1]Product!A:C,3,FALSE),[1]Supplier!A:I,9,FALSE)</f>
        <v>Italy</v>
      </c>
      <c r="S383" t="str">
        <f>IFERROR(IF(VLOOKUP(A383,'[1]Sales Order'!A:H,8,FALSE)&gt;100,"High Freight","Low Freight"),"Not Specified")</f>
        <v>High Freight</v>
      </c>
      <c r="T383">
        <f t="shared" si="11"/>
        <v>600.48</v>
      </c>
    </row>
    <row r="384" spans="1:20">
      <c r="A384" s="1">
        <v>10391</v>
      </c>
      <c r="B384" s="2">
        <v>13</v>
      </c>
      <c r="C384" s="2">
        <v>4.8</v>
      </c>
      <c r="D384" s="2">
        <v>18</v>
      </c>
      <c r="E384" s="3">
        <v>0</v>
      </c>
      <c r="F384" s="2" t="str">
        <f>IFERROR(VLOOKUP(VLOOKUP(A384,'[1]Sales Order'!A:B,2,FALSE),[1]Customer!A:C,3,FALSE),"Not Specified")</f>
        <v>Jones, TiAnna</v>
      </c>
      <c r="G384" s="2" t="str">
        <f t="shared" si="10"/>
        <v>Jones TiAnna</v>
      </c>
      <c r="H384" s="8" t="str">
        <f>IFERROR(VLOOKUP(VLOOKUP(A384,'[1]Sales Order'!A:C,3,FALSE),[1]Employee!A:E,5,FALSE)&amp;" "&amp;VLOOKUP(VLOOKUP(A384,'[1]Sales Order'!A:C,3,FALSE),[1]Employee!A:C,3,FALSE)&amp;" "&amp;VLOOKUP(VLOOKUP(A384,'[1]Sales Order'!A:C,3,FALSE),[1]Employee!A:B,2,FALSE),"Not Specified")</f>
        <v>Ms. Judy Lew</v>
      </c>
      <c r="I384" t="str">
        <f>IFERROR(VLOOKUP(VLOOKUP(A384,'[1]Sales Order'!A:C,3,FALSE),[1]Employee!A:J,10,FALSE),"Not Specified")</f>
        <v>WA</v>
      </c>
      <c r="J384" t="str">
        <f>VLOOKUP(B384,[1]Product!A:B,2,FALSE)</f>
        <v>Product POXFU</v>
      </c>
      <c r="K384" t="str">
        <f>VLOOKUP(VLOOKUP(B384,[1]Product!A:D,4,FALSE),[1]Category!A:B,2,FALSE)</f>
        <v>Seafood</v>
      </c>
      <c r="L384" s="10">
        <f>IFERROR(VLOOKUP(A384,'[1]Sales Order'!A:D,4,FALSE),"")</f>
        <v>39074</v>
      </c>
      <c r="M384" s="10">
        <f>IFERROR(VLOOKUP(A384,'[1]Sales Order'!A:F,6,FALSE),"")</f>
        <v>39082</v>
      </c>
      <c r="N384" t="str">
        <f>IFERROR(VLOOKUP(VLOOKUP(A384,'[1]Sales Order'!A:G,7,FALSE),[1]Shipper!A:B,2,FALSE),"Not Specified")</f>
        <v>Shipper ZHISN</v>
      </c>
      <c r="O384" t="str">
        <f>IFERROR(VLOOKUP(A384,'[1]Sales Order'!A:I,9,FALSE),"Not Specified")</f>
        <v>Destination AJTHX</v>
      </c>
      <c r="P384" t="str">
        <f>IFERROR(VLOOKUP(A384,'[1]Sales Order'!A:N,14,FALSE),"Not Specified")</f>
        <v>Germany</v>
      </c>
      <c r="Q384" t="str">
        <f>VLOOKUP(VLOOKUP(B384,[1]Product!A:C,3,FALSE),[1]Supplier!A:B,2,FALSE)</f>
        <v>Supplier QWUSF</v>
      </c>
      <c r="R384" t="str">
        <f>VLOOKUP(VLOOKUP(B384,[1]Product!A:C,3,FALSE),[1]Supplier!A:I,9,FALSE)</f>
        <v>Japan</v>
      </c>
      <c r="S384" t="str">
        <f>IFERROR(IF(VLOOKUP(A384,'[1]Sales Order'!A:H,8,FALSE)&gt;100,"High Freight","Low Freight"),"Not Specified")</f>
        <v>Low Freight</v>
      </c>
      <c r="T384">
        <f t="shared" si="11"/>
        <v>86.399999999999991</v>
      </c>
    </row>
    <row r="385" spans="1:20">
      <c r="A385" s="1">
        <v>10392</v>
      </c>
      <c r="B385" s="2">
        <v>69</v>
      </c>
      <c r="C385" s="2">
        <v>28.8</v>
      </c>
      <c r="D385" s="2">
        <v>50</v>
      </c>
      <c r="E385" s="3">
        <v>0</v>
      </c>
      <c r="F385" s="2" t="str">
        <f>IFERROR(VLOOKUP(VLOOKUP(A385,'[1]Sales Order'!A:B,2,FALSE),[1]Customer!A:C,3,FALSE),"Not Specified")</f>
        <v>Meston, Tosh</v>
      </c>
      <c r="G385" s="2" t="str">
        <f t="shared" si="10"/>
        <v>Meston Tosh</v>
      </c>
      <c r="H385" s="8" t="str">
        <f>IFERROR(VLOOKUP(VLOOKUP(A385,'[1]Sales Order'!A:C,3,FALSE),[1]Employee!A:E,5,FALSE)&amp;" "&amp;VLOOKUP(VLOOKUP(A385,'[1]Sales Order'!A:C,3,FALSE),[1]Employee!A:C,3,FALSE)&amp;" "&amp;VLOOKUP(VLOOKUP(A385,'[1]Sales Order'!A:C,3,FALSE),[1]Employee!A:B,2,FALSE),"Not Specified")</f>
        <v>Dr. Don Funk</v>
      </c>
      <c r="I385" t="str">
        <f>IFERROR(VLOOKUP(VLOOKUP(A385,'[1]Sales Order'!A:C,3,FALSE),[1]Employee!A:J,10,FALSE),"Not Specified")</f>
        <v>WA</v>
      </c>
      <c r="J385" t="str">
        <f>VLOOKUP(B385,[1]Product!A:B,2,FALSE)</f>
        <v>Product COAXA</v>
      </c>
      <c r="K385" t="str">
        <f>VLOOKUP(VLOOKUP(B385,[1]Product!A:D,4,FALSE),[1]Category!A:B,2,FALSE)</f>
        <v>Dairy Product</v>
      </c>
      <c r="L385" s="10">
        <f>IFERROR(VLOOKUP(A385,'[1]Sales Order'!A:D,4,FALSE),"")</f>
        <v>39075</v>
      </c>
      <c r="M385" s="10">
        <f>IFERROR(VLOOKUP(A385,'[1]Sales Order'!A:F,6,FALSE),"")</f>
        <v>39083</v>
      </c>
      <c r="N385" t="str">
        <f>IFERROR(VLOOKUP(VLOOKUP(A385,'[1]Sales Order'!A:G,7,FALSE),[1]Shipper!A:B,2,FALSE),"Not Specified")</f>
        <v>Shipper ZHISN</v>
      </c>
      <c r="O385" t="str">
        <f>IFERROR(VLOOKUP(A385,'[1]Sales Order'!A:I,9,FALSE),"Not Specified")</f>
        <v>Ship to 59-A</v>
      </c>
      <c r="P385" t="str">
        <f>IFERROR(VLOOKUP(A385,'[1]Sales Order'!A:N,14,FALSE),"Not Specified")</f>
        <v>Austria</v>
      </c>
      <c r="Q385" t="str">
        <f>VLOOKUP(VLOOKUP(B385,[1]Product!A:C,3,FALSE),[1]Supplier!A:B,2,FALSE)</f>
        <v>Supplier NZLIF</v>
      </c>
      <c r="R385" t="str">
        <f>VLOOKUP(VLOOKUP(B385,[1]Product!A:C,3,FALSE),[1]Supplier!A:I,9,FALSE)</f>
        <v>Norway</v>
      </c>
      <c r="S385" t="str">
        <f>IFERROR(IF(VLOOKUP(A385,'[1]Sales Order'!A:H,8,FALSE)&gt;100,"High Freight","Low Freight"),"Not Specified")</f>
        <v>High Freight</v>
      </c>
      <c r="T385">
        <f t="shared" si="11"/>
        <v>1440</v>
      </c>
    </row>
    <row r="386" spans="1:20">
      <c r="A386" s="1">
        <v>10393</v>
      </c>
      <c r="B386" s="2">
        <v>2</v>
      </c>
      <c r="C386" s="2">
        <v>15.2</v>
      </c>
      <c r="D386" s="2">
        <v>25</v>
      </c>
      <c r="E386" s="3">
        <v>0.25</v>
      </c>
      <c r="F386" s="2" t="str">
        <f>IFERROR(VLOOKUP(VLOOKUP(A386,'[1]Sales Order'!A:B,2,FALSE),[1]Customer!A:C,3,FALSE),"Not Specified")</f>
        <v>Navarro, Tomás</v>
      </c>
      <c r="G386" s="2" t="str">
        <f t="shared" si="10"/>
        <v>Navarro Tomás</v>
      </c>
      <c r="H386" s="8" t="str">
        <f>IFERROR(VLOOKUP(VLOOKUP(A386,'[1]Sales Order'!A:C,3,FALSE),[1]Employee!A:E,5,FALSE)&amp;" "&amp;VLOOKUP(VLOOKUP(A386,'[1]Sales Order'!A:C,3,FALSE),[1]Employee!A:C,3,FALSE)&amp;" "&amp;VLOOKUP(VLOOKUP(A386,'[1]Sales Order'!A:C,3,FALSE),[1]Employee!A:B,2,FALSE),"Not Specified")</f>
        <v>Ms. Sara Davis</v>
      </c>
      <c r="I386" t="str">
        <f>IFERROR(VLOOKUP(VLOOKUP(A386,'[1]Sales Order'!A:C,3,FALSE),[1]Employee!A:J,10,FALSE),"Not Specified")</f>
        <v>WA</v>
      </c>
      <c r="J386" t="str">
        <f>VLOOKUP(B386,[1]Product!A:B,2,FALSE)</f>
        <v>Product RECZE</v>
      </c>
      <c r="K386" t="str">
        <f>VLOOKUP(VLOOKUP(B386,[1]Product!A:D,4,FALSE),[1]Category!A:B,2,FALSE)</f>
        <v>Beverages</v>
      </c>
      <c r="L386" s="10">
        <f>IFERROR(VLOOKUP(A386,'[1]Sales Order'!A:D,4,FALSE),"")</f>
        <v>39076</v>
      </c>
      <c r="M386" s="10">
        <f>IFERROR(VLOOKUP(A386,'[1]Sales Order'!A:F,6,FALSE),"")</f>
        <v>39085</v>
      </c>
      <c r="N386" t="str">
        <f>IFERROR(VLOOKUP(VLOOKUP(A386,'[1]Sales Order'!A:G,7,FALSE),[1]Shipper!A:B,2,FALSE),"Not Specified")</f>
        <v>Shipper ZHISN</v>
      </c>
      <c r="O386" t="str">
        <f>IFERROR(VLOOKUP(A386,'[1]Sales Order'!A:I,9,FALSE),"Not Specified")</f>
        <v>Ship to 71-B</v>
      </c>
      <c r="P386" t="str">
        <f>IFERROR(VLOOKUP(A386,'[1]Sales Order'!A:N,14,FALSE),"Not Specified")</f>
        <v>USA</v>
      </c>
      <c r="Q386" t="str">
        <f>VLOOKUP(VLOOKUP(B386,[1]Product!A:C,3,FALSE),[1]Supplier!A:B,2,FALSE)</f>
        <v>Supplier SWRXU</v>
      </c>
      <c r="R386" t="str">
        <f>VLOOKUP(VLOOKUP(B386,[1]Product!A:C,3,FALSE),[1]Supplier!A:I,9,FALSE)</f>
        <v>UK</v>
      </c>
      <c r="S386" t="str">
        <f>IFERROR(IF(VLOOKUP(A386,'[1]Sales Order'!A:H,8,FALSE)&gt;100,"High Freight","Low Freight"),"Not Specified")</f>
        <v>High Freight</v>
      </c>
      <c r="T386">
        <f t="shared" si="11"/>
        <v>285</v>
      </c>
    </row>
    <row r="387" spans="1:20">
      <c r="A387" s="1">
        <v>10393</v>
      </c>
      <c r="B387" s="2">
        <v>14</v>
      </c>
      <c r="C387" s="2">
        <v>18.600000000000001</v>
      </c>
      <c r="D387" s="2">
        <v>42</v>
      </c>
      <c r="E387" s="3">
        <v>0.25</v>
      </c>
      <c r="F387" s="2" t="str">
        <f>IFERROR(VLOOKUP(VLOOKUP(A387,'[1]Sales Order'!A:B,2,FALSE),[1]Customer!A:C,3,FALSE),"Not Specified")</f>
        <v>Navarro, Tomás</v>
      </c>
      <c r="G387" s="2" t="str">
        <f t="shared" ref="G387:G450" si="12">SUBSTITUTE(F387,",","",1)</f>
        <v>Navarro Tomás</v>
      </c>
      <c r="H387" s="8" t="str">
        <f>IFERROR(VLOOKUP(VLOOKUP(A387,'[1]Sales Order'!A:C,3,FALSE),[1]Employee!A:E,5,FALSE)&amp;" "&amp;VLOOKUP(VLOOKUP(A387,'[1]Sales Order'!A:C,3,FALSE),[1]Employee!A:C,3,FALSE)&amp;" "&amp;VLOOKUP(VLOOKUP(A387,'[1]Sales Order'!A:C,3,FALSE),[1]Employee!A:B,2,FALSE),"Not Specified")</f>
        <v>Ms. Sara Davis</v>
      </c>
      <c r="I387" t="str">
        <f>IFERROR(VLOOKUP(VLOOKUP(A387,'[1]Sales Order'!A:C,3,FALSE),[1]Employee!A:J,10,FALSE),"Not Specified")</f>
        <v>WA</v>
      </c>
      <c r="J387" t="str">
        <f>VLOOKUP(B387,[1]Product!A:B,2,FALSE)</f>
        <v>Product PWCJB</v>
      </c>
      <c r="K387" t="str">
        <f>VLOOKUP(VLOOKUP(B387,[1]Product!A:D,4,FALSE),[1]Category!A:B,2,FALSE)</f>
        <v>Produce</v>
      </c>
      <c r="L387" s="10">
        <f>IFERROR(VLOOKUP(A387,'[1]Sales Order'!A:D,4,FALSE),"")</f>
        <v>39076</v>
      </c>
      <c r="M387" s="10">
        <f>IFERROR(VLOOKUP(A387,'[1]Sales Order'!A:F,6,FALSE),"")</f>
        <v>39085</v>
      </c>
      <c r="N387" t="str">
        <f>IFERROR(VLOOKUP(VLOOKUP(A387,'[1]Sales Order'!A:G,7,FALSE),[1]Shipper!A:B,2,FALSE),"Not Specified")</f>
        <v>Shipper ZHISN</v>
      </c>
      <c r="O387" t="str">
        <f>IFERROR(VLOOKUP(A387,'[1]Sales Order'!A:I,9,FALSE),"Not Specified")</f>
        <v>Ship to 71-B</v>
      </c>
      <c r="P387" t="str">
        <f>IFERROR(VLOOKUP(A387,'[1]Sales Order'!A:N,14,FALSE),"Not Specified")</f>
        <v>USA</v>
      </c>
      <c r="Q387" t="str">
        <f>VLOOKUP(VLOOKUP(B387,[1]Product!A:C,3,FALSE),[1]Supplier!A:B,2,FALSE)</f>
        <v>Supplier QWUSF</v>
      </c>
      <c r="R387" t="str">
        <f>VLOOKUP(VLOOKUP(B387,[1]Product!A:C,3,FALSE),[1]Supplier!A:I,9,FALSE)</f>
        <v>Japan</v>
      </c>
      <c r="S387" t="str">
        <f>IFERROR(IF(VLOOKUP(A387,'[1]Sales Order'!A:H,8,FALSE)&gt;100,"High Freight","Low Freight"),"Not Specified")</f>
        <v>High Freight</v>
      </c>
      <c r="T387">
        <f t="shared" ref="T387:T450" si="13">C387*D387*(1-E387)</f>
        <v>585.90000000000009</v>
      </c>
    </row>
    <row r="388" spans="1:20">
      <c r="A388" s="1">
        <v>10393</v>
      </c>
      <c r="B388" s="2">
        <v>25</v>
      </c>
      <c r="C388" s="2">
        <v>11.2</v>
      </c>
      <c r="D388" s="2">
        <v>7</v>
      </c>
      <c r="E388" s="3">
        <v>0.25</v>
      </c>
      <c r="F388" s="2" t="str">
        <f>IFERROR(VLOOKUP(VLOOKUP(A388,'[1]Sales Order'!A:B,2,FALSE),[1]Customer!A:C,3,FALSE),"Not Specified")</f>
        <v>Navarro, Tomás</v>
      </c>
      <c r="G388" s="2" t="str">
        <f t="shared" si="12"/>
        <v>Navarro Tomás</v>
      </c>
      <c r="H388" s="8" t="str">
        <f>IFERROR(VLOOKUP(VLOOKUP(A388,'[1]Sales Order'!A:C,3,FALSE),[1]Employee!A:E,5,FALSE)&amp;" "&amp;VLOOKUP(VLOOKUP(A388,'[1]Sales Order'!A:C,3,FALSE),[1]Employee!A:C,3,FALSE)&amp;" "&amp;VLOOKUP(VLOOKUP(A388,'[1]Sales Order'!A:C,3,FALSE),[1]Employee!A:B,2,FALSE),"Not Specified")</f>
        <v>Ms. Sara Davis</v>
      </c>
      <c r="I388" t="str">
        <f>IFERROR(VLOOKUP(VLOOKUP(A388,'[1]Sales Order'!A:C,3,FALSE),[1]Employee!A:J,10,FALSE),"Not Specified")</f>
        <v>WA</v>
      </c>
      <c r="J388" t="str">
        <f>VLOOKUP(B388,[1]Product!A:B,2,FALSE)</f>
        <v>Product LYLNI</v>
      </c>
      <c r="K388" t="str">
        <f>VLOOKUP(VLOOKUP(B388,[1]Product!A:D,4,FALSE),[1]Category!A:B,2,FALSE)</f>
        <v>Confections</v>
      </c>
      <c r="L388" s="10">
        <f>IFERROR(VLOOKUP(A388,'[1]Sales Order'!A:D,4,FALSE),"")</f>
        <v>39076</v>
      </c>
      <c r="M388" s="10">
        <f>IFERROR(VLOOKUP(A388,'[1]Sales Order'!A:F,6,FALSE),"")</f>
        <v>39085</v>
      </c>
      <c r="N388" t="str">
        <f>IFERROR(VLOOKUP(VLOOKUP(A388,'[1]Sales Order'!A:G,7,FALSE),[1]Shipper!A:B,2,FALSE),"Not Specified")</f>
        <v>Shipper ZHISN</v>
      </c>
      <c r="O388" t="str">
        <f>IFERROR(VLOOKUP(A388,'[1]Sales Order'!A:I,9,FALSE),"Not Specified")</f>
        <v>Ship to 71-B</v>
      </c>
      <c r="P388" t="str">
        <f>IFERROR(VLOOKUP(A388,'[1]Sales Order'!A:N,14,FALSE),"Not Specified")</f>
        <v>USA</v>
      </c>
      <c r="Q388" t="str">
        <f>VLOOKUP(VLOOKUP(B388,[1]Product!A:C,3,FALSE),[1]Supplier!A:B,2,FALSE)</f>
        <v>Supplier ZPYVS</v>
      </c>
      <c r="R388" t="str">
        <f>VLOOKUP(VLOOKUP(B388,[1]Product!A:C,3,FALSE),[1]Supplier!A:I,9,FALSE)</f>
        <v>Germany</v>
      </c>
      <c r="S388" t="str">
        <f>IFERROR(IF(VLOOKUP(A388,'[1]Sales Order'!A:H,8,FALSE)&gt;100,"High Freight","Low Freight"),"Not Specified")</f>
        <v>High Freight</v>
      </c>
      <c r="T388">
        <f t="shared" si="13"/>
        <v>58.8</v>
      </c>
    </row>
    <row r="389" spans="1:20">
      <c r="A389" s="1">
        <v>10393</v>
      </c>
      <c r="B389" s="2">
        <v>26</v>
      </c>
      <c r="C389" s="2">
        <v>24.9</v>
      </c>
      <c r="D389" s="2">
        <v>70</v>
      </c>
      <c r="E389" s="3">
        <v>0.25</v>
      </c>
      <c r="F389" s="2" t="str">
        <f>IFERROR(VLOOKUP(VLOOKUP(A389,'[1]Sales Order'!A:B,2,FALSE),[1]Customer!A:C,3,FALSE),"Not Specified")</f>
        <v>Navarro, Tomás</v>
      </c>
      <c r="G389" s="2" t="str">
        <f t="shared" si="12"/>
        <v>Navarro Tomás</v>
      </c>
      <c r="H389" s="8" t="str">
        <f>IFERROR(VLOOKUP(VLOOKUP(A389,'[1]Sales Order'!A:C,3,FALSE),[1]Employee!A:E,5,FALSE)&amp;" "&amp;VLOOKUP(VLOOKUP(A389,'[1]Sales Order'!A:C,3,FALSE),[1]Employee!A:C,3,FALSE)&amp;" "&amp;VLOOKUP(VLOOKUP(A389,'[1]Sales Order'!A:C,3,FALSE),[1]Employee!A:B,2,FALSE),"Not Specified")</f>
        <v>Ms. Sara Davis</v>
      </c>
      <c r="I389" t="str">
        <f>IFERROR(VLOOKUP(VLOOKUP(A389,'[1]Sales Order'!A:C,3,FALSE),[1]Employee!A:J,10,FALSE),"Not Specified")</f>
        <v>WA</v>
      </c>
      <c r="J389" t="str">
        <f>VLOOKUP(B389,[1]Product!A:B,2,FALSE)</f>
        <v>Product HLGZA</v>
      </c>
      <c r="K389" t="str">
        <f>VLOOKUP(VLOOKUP(B389,[1]Product!A:D,4,FALSE),[1]Category!A:B,2,FALSE)</f>
        <v>Confections</v>
      </c>
      <c r="L389" s="10">
        <f>IFERROR(VLOOKUP(A389,'[1]Sales Order'!A:D,4,FALSE),"")</f>
        <v>39076</v>
      </c>
      <c r="M389" s="10">
        <f>IFERROR(VLOOKUP(A389,'[1]Sales Order'!A:F,6,FALSE),"")</f>
        <v>39085</v>
      </c>
      <c r="N389" t="str">
        <f>IFERROR(VLOOKUP(VLOOKUP(A389,'[1]Sales Order'!A:G,7,FALSE),[1]Shipper!A:B,2,FALSE),"Not Specified")</f>
        <v>Shipper ZHISN</v>
      </c>
      <c r="O389" t="str">
        <f>IFERROR(VLOOKUP(A389,'[1]Sales Order'!A:I,9,FALSE),"Not Specified")</f>
        <v>Ship to 71-B</v>
      </c>
      <c r="P389" t="str">
        <f>IFERROR(VLOOKUP(A389,'[1]Sales Order'!A:N,14,FALSE),"Not Specified")</f>
        <v>USA</v>
      </c>
      <c r="Q389" t="str">
        <f>VLOOKUP(VLOOKUP(B389,[1]Product!A:C,3,FALSE),[1]Supplier!A:B,2,FALSE)</f>
        <v>Supplier ZPYVS</v>
      </c>
      <c r="R389" t="str">
        <f>VLOOKUP(VLOOKUP(B389,[1]Product!A:C,3,FALSE),[1]Supplier!A:I,9,FALSE)</f>
        <v>Germany</v>
      </c>
      <c r="S389" t="str">
        <f>IFERROR(IF(VLOOKUP(A389,'[1]Sales Order'!A:H,8,FALSE)&gt;100,"High Freight","Low Freight"),"Not Specified")</f>
        <v>High Freight</v>
      </c>
      <c r="T389">
        <f t="shared" si="13"/>
        <v>1307.25</v>
      </c>
    </row>
    <row r="390" spans="1:20">
      <c r="A390" s="1">
        <v>10393</v>
      </c>
      <c r="B390" s="2">
        <v>31</v>
      </c>
      <c r="C390" s="2">
        <v>10</v>
      </c>
      <c r="D390" s="2">
        <v>32</v>
      </c>
      <c r="E390" s="3">
        <v>0</v>
      </c>
      <c r="F390" s="2" t="str">
        <f>IFERROR(VLOOKUP(VLOOKUP(A390,'[1]Sales Order'!A:B,2,FALSE),[1]Customer!A:C,3,FALSE),"Not Specified")</f>
        <v>Navarro, Tomás</v>
      </c>
      <c r="G390" s="2" t="str">
        <f t="shared" si="12"/>
        <v>Navarro Tomás</v>
      </c>
      <c r="H390" s="8" t="str">
        <f>IFERROR(VLOOKUP(VLOOKUP(A390,'[1]Sales Order'!A:C,3,FALSE),[1]Employee!A:E,5,FALSE)&amp;" "&amp;VLOOKUP(VLOOKUP(A390,'[1]Sales Order'!A:C,3,FALSE),[1]Employee!A:C,3,FALSE)&amp;" "&amp;VLOOKUP(VLOOKUP(A390,'[1]Sales Order'!A:C,3,FALSE),[1]Employee!A:B,2,FALSE),"Not Specified")</f>
        <v>Ms. Sara Davis</v>
      </c>
      <c r="I390" t="str">
        <f>IFERROR(VLOOKUP(VLOOKUP(A390,'[1]Sales Order'!A:C,3,FALSE),[1]Employee!A:J,10,FALSE),"Not Specified")</f>
        <v>WA</v>
      </c>
      <c r="J390" t="str">
        <f>VLOOKUP(B390,[1]Product!A:B,2,FALSE)</f>
        <v>Product XWOXC</v>
      </c>
      <c r="K390" t="str">
        <f>VLOOKUP(VLOOKUP(B390,[1]Product!A:D,4,FALSE),[1]Category!A:B,2,FALSE)</f>
        <v>Dairy Product</v>
      </c>
      <c r="L390" s="10">
        <f>IFERROR(VLOOKUP(A390,'[1]Sales Order'!A:D,4,FALSE),"")</f>
        <v>39076</v>
      </c>
      <c r="M390" s="10">
        <f>IFERROR(VLOOKUP(A390,'[1]Sales Order'!A:F,6,FALSE),"")</f>
        <v>39085</v>
      </c>
      <c r="N390" t="str">
        <f>IFERROR(VLOOKUP(VLOOKUP(A390,'[1]Sales Order'!A:G,7,FALSE),[1]Shipper!A:B,2,FALSE),"Not Specified")</f>
        <v>Shipper ZHISN</v>
      </c>
      <c r="O390" t="str">
        <f>IFERROR(VLOOKUP(A390,'[1]Sales Order'!A:I,9,FALSE),"Not Specified")</f>
        <v>Ship to 71-B</v>
      </c>
      <c r="P390" t="str">
        <f>IFERROR(VLOOKUP(A390,'[1]Sales Order'!A:N,14,FALSE),"Not Specified")</f>
        <v>USA</v>
      </c>
      <c r="Q390" t="str">
        <f>VLOOKUP(VLOOKUP(B390,[1]Product!A:C,3,FALSE),[1]Supplier!A:B,2,FALSE)</f>
        <v>Supplier KEREV</v>
      </c>
      <c r="R390" t="str">
        <f>VLOOKUP(VLOOKUP(B390,[1]Product!A:C,3,FALSE),[1]Supplier!A:I,9,FALSE)</f>
        <v>Italy</v>
      </c>
      <c r="S390" t="str">
        <f>IFERROR(IF(VLOOKUP(A390,'[1]Sales Order'!A:H,8,FALSE)&gt;100,"High Freight","Low Freight"),"Not Specified")</f>
        <v>High Freight</v>
      </c>
      <c r="T390">
        <f t="shared" si="13"/>
        <v>320</v>
      </c>
    </row>
    <row r="391" spans="1:20">
      <c r="A391" s="1">
        <v>10394</v>
      </c>
      <c r="B391" s="2">
        <v>13</v>
      </c>
      <c r="C391" s="2">
        <v>4.8</v>
      </c>
      <c r="D391" s="2">
        <v>10</v>
      </c>
      <c r="E391" s="3">
        <v>0</v>
      </c>
      <c r="F391" s="2" t="str">
        <f>IFERROR(VLOOKUP(VLOOKUP(A391,'[1]Sales Order'!A:B,2,FALSE),[1]Customer!A:C,3,FALSE),"Not Specified")</f>
        <v>Smith, Denise</v>
      </c>
      <c r="G391" s="2" t="str">
        <f t="shared" si="12"/>
        <v>Smith Denise</v>
      </c>
      <c r="H391" s="8" t="str">
        <f>IFERROR(VLOOKUP(VLOOKUP(A391,'[1]Sales Order'!A:C,3,FALSE),[1]Employee!A:E,5,FALSE)&amp;" "&amp;VLOOKUP(VLOOKUP(A391,'[1]Sales Order'!A:C,3,FALSE),[1]Employee!A:C,3,FALSE)&amp;" "&amp;VLOOKUP(VLOOKUP(A391,'[1]Sales Order'!A:C,3,FALSE),[1]Employee!A:B,2,FALSE),"Not Specified")</f>
        <v>Ms. Sara Davis</v>
      </c>
      <c r="I391" t="str">
        <f>IFERROR(VLOOKUP(VLOOKUP(A391,'[1]Sales Order'!A:C,3,FALSE),[1]Employee!A:J,10,FALSE),"Not Specified")</f>
        <v>WA</v>
      </c>
      <c r="J391" t="str">
        <f>VLOOKUP(B391,[1]Product!A:B,2,FALSE)</f>
        <v>Product POXFU</v>
      </c>
      <c r="K391" t="str">
        <f>VLOOKUP(VLOOKUP(B391,[1]Product!A:D,4,FALSE),[1]Category!A:B,2,FALSE)</f>
        <v>Seafood</v>
      </c>
      <c r="L391" s="10">
        <f>IFERROR(VLOOKUP(A391,'[1]Sales Order'!A:D,4,FALSE),"")</f>
        <v>39076</v>
      </c>
      <c r="M391" s="10">
        <f>IFERROR(VLOOKUP(A391,'[1]Sales Order'!A:F,6,FALSE),"")</f>
        <v>39085</v>
      </c>
      <c r="N391" t="str">
        <f>IFERROR(VLOOKUP(VLOOKUP(A391,'[1]Sales Order'!A:G,7,FALSE),[1]Shipper!A:B,2,FALSE),"Not Specified")</f>
        <v>Shipper ZHISN</v>
      </c>
      <c r="O391" t="str">
        <f>IFERROR(VLOOKUP(A391,'[1]Sales Order'!A:I,9,FALSE),"Not Specified")</f>
        <v>Destination AWPJG</v>
      </c>
      <c r="P391" t="str">
        <f>IFERROR(VLOOKUP(A391,'[1]Sales Order'!A:N,14,FALSE),"Not Specified")</f>
        <v>USA</v>
      </c>
      <c r="Q391" t="str">
        <f>VLOOKUP(VLOOKUP(B391,[1]Product!A:C,3,FALSE),[1]Supplier!A:B,2,FALSE)</f>
        <v>Supplier QWUSF</v>
      </c>
      <c r="R391" t="str">
        <f>VLOOKUP(VLOOKUP(B391,[1]Product!A:C,3,FALSE),[1]Supplier!A:I,9,FALSE)</f>
        <v>Japan</v>
      </c>
      <c r="S391" t="str">
        <f>IFERROR(IF(VLOOKUP(A391,'[1]Sales Order'!A:H,8,FALSE)&gt;100,"High Freight","Low Freight"),"Not Specified")</f>
        <v>Low Freight</v>
      </c>
      <c r="T391">
        <f t="shared" si="13"/>
        <v>48</v>
      </c>
    </row>
    <row r="392" spans="1:20">
      <c r="A392" s="1">
        <v>10394</v>
      </c>
      <c r="B392" s="2">
        <v>62</v>
      </c>
      <c r="C392" s="2">
        <v>39.4</v>
      </c>
      <c r="D392" s="2">
        <v>10</v>
      </c>
      <c r="E392" s="3">
        <v>0</v>
      </c>
      <c r="F392" s="2" t="str">
        <f>IFERROR(VLOOKUP(VLOOKUP(A392,'[1]Sales Order'!A:B,2,FALSE),[1]Customer!A:C,3,FALSE),"Not Specified")</f>
        <v>Smith, Denise</v>
      </c>
      <c r="G392" s="2" t="str">
        <f t="shared" si="12"/>
        <v>Smith Denise</v>
      </c>
      <c r="H392" s="8" t="str">
        <f>IFERROR(VLOOKUP(VLOOKUP(A392,'[1]Sales Order'!A:C,3,FALSE),[1]Employee!A:E,5,FALSE)&amp;" "&amp;VLOOKUP(VLOOKUP(A392,'[1]Sales Order'!A:C,3,FALSE),[1]Employee!A:C,3,FALSE)&amp;" "&amp;VLOOKUP(VLOOKUP(A392,'[1]Sales Order'!A:C,3,FALSE),[1]Employee!A:B,2,FALSE),"Not Specified")</f>
        <v>Ms. Sara Davis</v>
      </c>
      <c r="I392" t="str">
        <f>IFERROR(VLOOKUP(VLOOKUP(A392,'[1]Sales Order'!A:C,3,FALSE),[1]Employee!A:J,10,FALSE),"Not Specified")</f>
        <v>WA</v>
      </c>
      <c r="J392" t="str">
        <f>VLOOKUP(B392,[1]Product!A:B,2,FALSE)</f>
        <v>Product WUXYK</v>
      </c>
      <c r="K392" t="str">
        <f>VLOOKUP(VLOOKUP(B392,[1]Product!A:D,4,FALSE),[1]Category!A:B,2,FALSE)</f>
        <v>Confections</v>
      </c>
      <c r="L392" s="10">
        <f>IFERROR(VLOOKUP(A392,'[1]Sales Order'!A:D,4,FALSE),"")</f>
        <v>39076</v>
      </c>
      <c r="M392" s="10">
        <f>IFERROR(VLOOKUP(A392,'[1]Sales Order'!A:F,6,FALSE),"")</f>
        <v>39085</v>
      </c>
      <c r="N392" t="str">
        <f>IFERROR(VLOOKUP(VLOOKUP(A392,'[1]Sales Order'!A:G,7,FALSE),[1]Shipper!A:B,2,FALSE),"Not Specified")</f>
        <v>Shipper ZHISN</v>
      </c>
      <c r="O392" t="str">
        <f>IFERROR(VLOOKUP(A392,'[1]Sales Order'!A:I,9,FALSE),"Not Specified")</f>
        <v>Destination AWPJG</v>
      </c>
      <c r="P392" t="str">
        <f>IFERROR(VLOOKUP(A392,'[1]Sales Order'!A:N,14,FALSE),"Not Specified")</f>
        <v>USA</v>
      </c>
      <c r="Q392" t="str">
        <f>VLOOKUP(VLOOKUP(B392,[1]Product!A:C,3,FALSE),[1]Supplier!A:B,2,FALSE)</f>
        <v>Supplier OGLRK</v>
      </c>
      <c r="R392" t="str">
        <f>VLOOKUP(VLOOKUP(B392,[1]Product!A:C,3,FALSE),[1]Supplier!A:I,9,FALSE)</f>
        <v>Canada</v>
      </c>
      <c r="S392" t="str">
        <f>IFERROR(IF(VLOOKUP(A392,'[1]Sales Order'!A:H,8,FALSE)&gt;100,"High Freight","Low Freight"),"Not Specified")</f>
        <v>Low Freight</v>
      </c>
      <c r="T392">
        <f t="shared" si="13"/>
        <v>394</v>
      </c>
    </row>
    <row r="393" spans="1:20">
      <c r="A393" s="1">
        <v>10395</v>
      </c>
      <c r="B393" s="2">
        <v>46</v>
      </c>
      <c r="C393" s="2">
        <v>9.6</v>
      </c>
      <c r="D393" s="2">
        <v>28</v>
      </c>
      <c r="E393" s="3">
        <v>0.1</v>
      </c>
      <c r="F393" s="2" t="str">
        <f>IFERROR(VLOOKUP(VLOOKUP(A393,'[1]Sales Order'!A:B,2,FALSE),[1]Customer!A:C,3,FALSE),"Not Specified")</f>
        <v>Langohr, Kris</v>
      </c>
      <c r="G393" s="2" t="str">
        <f t="shared" si="12"/>
        <v>Langohr Kris</v>
      </c>
      <c r="H393" s="8" t="str">
        <f>IFERROR(VLOOKUP(VLOOKUP(A393,'[1]Sales Order'!A:C,3,FALSE),[1]Employee!A:E,5,FALSE)&amp;" "&amp;VLOOKUP(VLOOKUP(A393,'[1]Sales Order'!A:C,3,FALSE),[1]Employee!A:C,3,FALSE)&amp;" "&amp;VLOOKUP(VLOOKUP(A393,'[1]Sales Order'!A:C,3,FALSE),[1]Employee!A:B,2,FALSE),"Not Specified")</f>
        <v>Mr. Paul Suurs</v>
      </c>
      <c r="I393">
        <f>IFERROR(VLOOKUP(VLOOKUP(A393,'[1]Sales Order'!A:C,3,FALSE),[1]Employee!A:J,10,FALSE),"Not Specified")</f>
        <v>0</v>
      </c>
      <c r="J393" t="str">
        <f>VLOOKUP(B393,[1]Product!A:B,2,FALSE)</f>
        <v>Product CBRRL</v>
      </c>
      <c r="K393" t="str">
        <f>VLOOKUP(VLOOKUP(B393,[1]Product!A:D,4,FALSE),[1]Category!A:B,2,FALSE)</f>
        <v>Seafood</v>
      </c>
      <c r="L393" s="10">
        <f>IFERROR(VLOOKUP(A393,'[1]Sales Order'!A:D,4,FALSE),"")</f>
        <v>39077</v>
      </c>
      <c r="M393" s="10">
        <f>IFERROR(VLOOKUP(A393,'[1]Sales Order'!A:F,6,FALSE),"")</f>
        <v>39085</v>
      </c>
      <c r="N393" t="str">
        <f>IFERROR(VLOOKUP(VLOOKUP(A393,'[1]Sales Order'!A:G,7,FALSE),[1]Shipper!A:B,2,FALSE),"Not Specified")</f>
        <v>Shipper GVSUA</v>
      </c>
      <c r="O393" t="str">
        <f>IFERROR(VLOOKUP(A393,'[1]Sales Order'!A:I,9,FALSE),"Not Specified")</f>
        <v>Destination JYDLM</v>
      </c>
      <c r="P393" t="str">
        <f>IFERROR(VLOOKUP(A393,'[1]Sales Order'!A:N,14,FALSE),"Not Specified")</f>
        <v>Venezuela</v>
      </c>
      <c r="Q393" t="str">
        <f>VLOOKUP(VLOOKUP(B393,[1]Product!A:C,3,FALSE),[1]Supplier!A:B,2,FALSE)</f>
        <v>Supplier XOXZA</v>
      </c>
      <c r="R393" t="str">
        <f>VLOOKUP(VLOOKUP(B393,[1]Product!A:C,3,FALSE),[1]Supplier!A:I,9,FALSE)</f>
        <v>Denmark</v>
      </c>
      <c r="S393" t="str">
        <f>IFERROR(IF(VLOOKUP(A393,'[1]Sales Order'!A:H,8,FALSE)&gt;100,"High Freight","Low Freight"),"Not Specified")</f>
        <v>High Freight</v>
      </c>
      <c r="T393">
        <f t="shared" si="13"/>
        <v>241.92000000000002</v>
      </c>
    </row>
    <row r="394" spans="1:20">
      <c r="A394" s="1">
        <v>10395</v>
      </c>
      <c r="B394" s="2">
        <v>53</v>
      </c>
      <c r="C394" s="2">
        <v>26.2</v>
      </c>
      <c r="D394" s="2">
        <v>70</v>
      </c>
      <c r="E394" s="3">
        <v>0.1</v>
      </c>
      <c r="F394" s="2" t="str">
        <f>IFERROR(VLOOKUP(VLOOKUP(A394,'[1]Sales Order'!A:B,2,FALSE),[1]Customer!A:C,3,FALSE),"Not Specified")</f>
        <v>Langohr, Kris</v>
      </c>
      <c r="G394" s="2" t="str">
        <f t="shared" si="12"/>
        <v>Langohr Kris</v>
      </c>
      <c r="H394" s="8" t="str">
        <f>IFERROR(VLOOKUP(VLOOKUP(A394,'[1]Sales Order'!A:C,3,FALSE),[1]Employee!A:E,5,FALSE)&amp;" "&amp;VLOOKUP(VLOOKUP(A394,'[1]Sales Order'!A:C,3,FALSE),[1]Employee!A:C,3,FALSE)&amp;" "&amp;VLOOKUP(VLOOKUP(A394,'[1]Sales Order'!A:C,3,FALSE),[1]Employee!A:B,2,FALSE),"Not Specified")</f>
        <v>Mr. Paul Suurs</v>
      </c>
      <c r="I394">
        <f>IFERROR(VLOOKUP(VLOOKUP(A394,'[1]Sales Order'!A:C,3,FALSE),[1]Employee!A:J,10,FALSE),"Not Specified")</f>
        <v>0</v>
      </c>
      <c r="J394" t="str">
        <f>VLOOKUP(B394,[1]Product!A:B,2,FALSE)</f>
        <v>Product BKGEA</v>
      </c>
      <c r="K394" t="str">
        <f>VLOOKUP(VLOOKUP(B394,[1]Product!A:D,4,FALSE),[1]Category!A:B,2,FALSE)</f>
        <v>Meat/Poultry</v>
      </c>
      <c r="L394" s="10">
        <f>IFERROR(VLOOKUP(A394,'[1]Sales Order'!A:D,4,FALSE),"")</f>
        <v>39077</v>
      </c>
      <c r="M394" s="10">
        <f>IFERROR(VLOOKUP(A394,'[1]Sales Order'!A:F,6,FALSE),"")</f>
        <v>39085</v>
      </c>
      <c r="N394" t="str">
        <f>IFERROR(VLOOKUP(VLOOKUP(A394,'[1]Sales Order'!A:G,7,FALSE),[1]Shipper!A:B,2,FALSE),"Not Specified")</f>
        <v>Shipper GVSUA</v>
      </c>
      <c r="O394" t="str">
        <f>IFERROR(VLOOKUP(A394,'[1]Sales Order'!A:I,9,FALSE),"Not Specified")</f>
        <v>Destination JYDLM</v>
      </c>
      <c r="P394" t="str">
        <f>IFERROR(VLOOKUP(A394,'[1]Sales Order'!A:N,14,FALSE),"Not Specified")</f>
        <v>Venezuela</v>
      </c>
      <c r="Q394" t="str">
        <f>VLOOKUP(VLOOKUP(B394,[1]Product!A:C,3,FALSE),[1]Supplier!A:B,2,FALSE)</f>
        <v>Supplier JNNES</v>
      </c>
      <c r="R394" t="str">
        <f>VLOOKUP(VLOOKUP(B394,[1]Product!A:C,3,FALSE),[1]Supplier!A:I,9,FALSE)</f>
        <v>Australia</v>
      </c>
      <c r="S394" t="str">
        <f>IFERROR(IF(VLOOKUP(A394,'[1]Sales Order'!A:H,8,FALSE)&gt;100,"High Freight","Low Freight"),"Not Specified")</f>
        <v>High Freight</v>
      </c>
      <c r="T394">
        <f t="shared" si="13"/>
        <v>1650.6000000000001</v>
      </c>
    </row>
    <row r="395" spans="1:20">
      <c r="A395" s="1">
        <v>10395</v>
      </c>
      <c r="B395" s="2">
        <v>69</v>
      </c>
      <c r="C395" s="2">
        <v>28.8</v>
      </c>
      <c r="D395" s="2">
        <v>8</v>
      </c>
      <c r="E395" s="3">
        <v>0</v>
      </c>
      <c r="F395" s="2" t="str">
        <f>IFERROR(VLOOKUP(VLOOKUP(A395,'[1]Sales Order'!A:B,2,FALSE),[1]Customer!A:C,3,FALSE),"Not Specified")</f>
        <v>Langohr, Kris</v>
      </c>
      <c r="G395" s="2" t="str">
        <f t="shared" si="12"/>
        <v>Langohr Kris</v>
      </c>
      <c r="H395" s="8" t="str">
        <f>IFERROR(VLOOKUP(VLOOKUP(A395,'[1]Sales Order'!A:C,3,FALSE),[1]Employee!A:E,5,FALSE)&amp;" "&amp;VLOOKUP(VLOOKUP(A395,'[1]Sales Order'!A:C,3,FALSE),[1]Employee!A:C,3,FALSE)&amp;" "&amp;VLOOKUP(VLOOKUP(A395,'[1]Sales Order'!A:C,3,FALSE),[1]Employee!A:B,2,FALSE),"Not Specified")</f>
        <v>Mr. Paul Suurs</v>
      </c>
      <c r="I395">
        <f>IFERROR(VLOOKUP(VLOOKUP(A395,'[1]Sales Order'!A:C,3,FALSE),[1]Employee!A:J,10,FALSE),"Not Specified")</f>
        <v>0</v>
      </c>
      <c r="J395" t="str">
        <f>VLOOKUP(B395,[1]Product!A:B,2,FALSE)</f>
        <v>Product COAXA</v>
      </c>
      <c r="K395" t="str">
        <f>VLOOKUP(VLOOKUP(B395,[1]Product!A:D,4,FALSE),[1]Category!A:B,2,FALSE)</f>
        <v>Dairy Product</v>
      </c>
      <c r="L395" s="10">
        <f>IFERROR(VLOOKUP(A395,'[1]Sales Order'!A:D,4,FALSE),"")</f>
        <v>39077</v>
      </c>
      <c r="M395" s="10">
        <f>IFERROR(VLOOKUP(A395,'[1]Sales Order'!A:F,6,FALSE),"")</f>
        <v>39085</v>
      </c>
      <c r="N395" t="str">
        <f>IFERROR(VLOOKUP(VLOOKUP(A395,'[1]Sales Order'!A:G,7,FALSE),[1]Shipper!A:B,2,FALSE),"Not Specified")</f>
        <v>Shipper GVSUA</v>
      </c>
      <c r="O395" t="str">
        <f>IFERROR(VLOOKUP(A395,'[1]Sales Order'!A:I,9,FALSE),"Not Specified")</f>
        <v>Destination JYDLM</v>
      </c>
      <c r="P395" t="str">
        <f>IFERROR(VLOOKUP(A395,'[1]Sales Order'!A:N,14,FALSE),"Not Specified")</f>
        <v>Venezuela</v>
      </c>
      <c r="Q395" t="str">
        <f>VLOOKUP(VLOOKUP(B395,[1]Product!A:C,3,FALSE),[1]Supplier!A:B,2,FALSE)</f>
        <v>Supplier NZLIF</v>
      </c>
      <c r="R395" t="str">
        <f>VLOOKUP(VLOOKUP(B395,[1]Product!A:C,3,FALSE),[1]Supplier!A:I,9,FALSE)</f>
        <v>Norway</v>
      </c>
      <c r="S395" t="str">
        <f>IFERROR(IF(VLOOKUP(A395,'[1]Sales Order'!A:H,8,FALSE)&gt;100,"High Freight","Low Freight"),"Not Specified")</f>
        <v>High Freight</v>
      </c>
      <c r="T395">
        <f t="shared" si="13"/>
        <v>230.4</v>
      </c>
    </row>
    <row r="396" spans="1:20">
      <c r="A396" s="1">
        <v>10396</v>
      </c>
      <c r="B396" s="2">
        <v>23</v>
      </c>
      <c r="C396" s="2">
        <v>7.2</v>
      </c>
      <c r="D396" s="2">
        <v>40</v>
      </c>
      <c r="E396" s="3">
        <v>0</v>
      </c>
      <c r="F396" s="2" t="str">
        <f>IFERROR(VLOOKUP(VLOOKUP(A396,'[1]Sales Order'!A:B,2,FALSE),[1]Customer!A:C,3,FALSE),"Not Specified")</f>
        <v>Carlson, Jason</v>
      </c>
      <c r="G396" s="2" t="str">
        <f t="shared" si="12"/>
        <v>Carlson Jason</v>
      </c>
      <c r="H396" s="8" t="str">
        <f>IFERROR(VLOOKUP(VLOOKUP(A396,'[1]Sales Order'!A:C,3,FALSE),[1]Employee!A:E,5,FALSE)&amp;" "&amp;VLOOKUP(VLOOKUP(A396,'[1]Sales Order'!A:C,3,FALSE),[1]Employee!A:C,3,FALSE)&amp;" "&amp;VLOOKUP(VLOOKUP(A396,'[1]Sales Order'!A:C,3,FALSE),[1]Employee!A:B,2,FALSE),"Not Specified")</f>
        <v>Ms. Sara Davis</v>
      </c>
      <c r="I396" t="str">
        <f>IFERROR(VLOOKUP(VLOOKUP(A396,'[1]Sales Order'!A:C,3,FALSE),[1]Employee!A:J,10,FALSE),"Not Specified")</f>
        <v>WA</v>
      </c>
      <c r="J396" t="str">
        <f>VLOOKUP(B396,[1]Product!A:B,2,FALSE)</f>
        <v>Product JLUDZ</v>
      </c>
      <c r="K396" t="str">
        <f>VLOOKUP(VLOOKUP(B396,[1]Product!A:D,4,FALSE),[1]Category!A:B,2,FALSE)</f>
        <v>Grains/Cereals</v>
      </c>
      <c r="L396" s="10">
        <f>IFERROR(VLOOKUP(A396,'[1]Sales Order'!A:D,4,FALSE),"")</f>
        <v>39078</v>
      </c>
      <c r="M396" s="10">
        <f>IFERROR(VLOOKUP(A396,'[1]Sales Order'!A:F,6,FALSE),"")</f>
        <v>39088</v>
      </c>
      <c r="N396" t="str">
        <f>IFERROR(VLOOKUP(VLOOKUP(A396,'[1]Sales Order'!A:G,7,FALSE),[1]Shipper!A:B,2,FALSE),"Not Specified")</f>
        <v>Shipper ZHISN</v>
      </c>
      <c r="O396" t="str">
        <f>IFERROR(VLOOKUP(A396,'[1]Sales Order'!A:I,9,FALSE),"Not Specified")</f>
        <v>Destination VAPXU</v>
      </c>
      <c r="P396" t="str">
        <f>IFERROR(VLOOKUP(A396,'[1]Sales Order'!A:N,14,FALSE),"Not Specified")</f>
        <v>Germany</v>
      </c>
      <c r="Q396" t="str">
        <f>VLOOKUP(VLOOKUP(B396,[1]Product!A:C,3,FALSE),[1]Supplier!A:B,2,FALSE)</f>
        <v>Supplier QQYEU</v>
      </c>
      <c r="R396" t="str">
        <f>VLOOKUP(VLOOKUP(B396,[1]Product!A:C,3,FALSE),[1]Supplier!A:I,9,FALSE)</f>
        <v>Sweden</v>
      </c>
      <c r="S396" t="str">
        <f>IFERROR(IF(VLOOKUP(A396,'[1]Sales Order'!A:H,8,FALSE)&gt;100,"High Freight","Low Freight"),"Not Specified")</f>
        <v>High Freight</v>
      </c>
      <c r="T396">
        <f t="shared" si="13"/>
        <v>288</v>
      </c>
    </row>
    <row r="397" spans="1:20">
      <c r="A397" s="1">
        <v>10396</v>
      </c>
      <c r="B397" s="2">
        <v>71</v>
      </c>
      <c r="C397" s="2">
        <v>17.2</v>
      </c>
      <c r="D397" s="2">
        <v>60</v>
      </c>
      <c r="E397" s="3">
        <v>0</v>
      </c>
      <c r="F397" s="2" t="str">
        <f>IFERROR(VLOOKUP(VLOOKUP(A397,'[1]Sales Order'!A:B,2,FALSE),[1]Customer!A:C,3,FALSE),"Not Specified")</f>
        <v>Carlson, Jason</v>
      </c>
      <c r="G397" s="2" t="str">
        <f t="shared" si="12"/>
        <v>Carlson Jason</v>
      </c>
      <c r="H397" s="8" t="str">
        <f>IFERROR(VLOOKUP(VLOOKUP(A397,'[1]Sales Order'!A:C,3,FALSE),[1]Employee!A:E,5,FALSE)&amp;" "&amp;VLOOKUP(VLOOKUP(A397,'[1]Sales Order'!A:C,3,FALSE),[1]Employee!A:C,3,FALSE)&amp;" "&amp;VLOOKUP(VLOOKUP(A397,'[1]Sales Order'!A:C,3,FALSE),[1]Employee!A:B,2,FALSE),"Not Specified")</f>
        <v>Ms. Sara Davis</v>
      </c>
      <c r="I397" t="str">
        <f>IFERROR(VLOOKUP(VLOOKUP(A397,'[1]Sales Order'!A:C,3,FALSE),[1]Employee!A:J,10,FALSE),"Not Specified")</f>
        <v>WA</v>
      </c>
      <c r="J397" t="str">
        <f>VLOOKUP(B397,[1]Product!A:B,2,FALSE)</f>
        <v>Product MYMOI</v>
      </c>
      <c r="K397" t="str">
        <f>VLOOKUP(VLOOKUP(B397,[1]Product!A:D,4,FALSE),[1]Category!A:B,2,FALSE)</f>
        <v>Dairy Product</v>
      </c>
      <c r="L397" s="10">
        <f>IFERROR(VLOOKUP(A397,'[1]Sales Order'!A:D,4,FALSE),"")</f>
        <v>39078</v>
      </c>
      <c r="M397" s="10">
        <f>IFERROR(VLOOKUP(A397,'[1]Sales Order'!A:F,6,FALSE),"")</f>
        <v>39088</v>
      </c>
      <c r="N397" t="str">
        <f>IFERROR(VLOOKUP(VLOOKUP(A397,'[1]Sales Order'!A:G,7,FALSE),[1]Shipper!A:B,2,FALSE),"Not Specified")</f>
        <v>Shipper ZHISN</v>
      </c>
      <c r="O397" t="str">
        <f>IFERROR(VLOOKUP(A397,'[1]Sales Order'!A:I,9,FALSE),"Not Specified")</f>
        <v>Destination VAPXU</v>
      </c>
      <c r="P397" t="str">
        <f>IFERROR(VLOOKUP(A397,'[1]Sales Order'!A:N,14,FALSE),"Not Specified")</f>
        <v>Germany</v>
      </c>
      <c r="Q397" t="str">
        <f>VLOOKUP(VLOOKUP(B397,[1]Product!A:C,3,FALSE),[1]Supplier!A:B,2,FALSE)</f>
        <v>Supplier NZLIF</v>
      </c>
      <c r="R397" t="str">
        <f>VLOOKUP(VLOOKUP(B397,[1]Product!A:C,3,FALSE),[1]Supplier!A:I,9,FALSE)</f>
        <v>Norway</v>
      </c>
      <c r="S397" t="str">
        <f>IFERROR(IF(VLOOKUP(A397,'[1]Sales Order'!A:H,8,FALSE)&gt;100,"High Freight","Low Freight"),"Not Specified")</f>
        <v>High Freight</v>
      </c>
      <c r="T397">
        <f t="shared" si="13"/>
        <v>1032</v>
      </c>
    </row>
    <row r="398" spans="1:20">
      <c r="A398" s="1">
        <v>10396</v>
      </c>
      <c r="B398" s="2">
        <v>72</v>
      </c>
      <c r="C398" s="2">
        <v>27.8</v>
      </c>
      <c r="D398" s="2">
        <v>21</v>
      </c>
      <c r="E398" s="3">
        <v>0</v>
      </c>
      <c r="F398" s="2" t="str">
        <f>IFERROR(VLOOKUP(VLOOKUP(A398,'[1]Sales Order'!A:B,2,FALSE),[1]Customer!A:C,3,FALSE),"Not Specified")</f>
        <v>Carlson, Jason</v>
      </c>
      <c r="G398" s="2" t="str">
        <f t="shared" si="12"/>
        <v>Carlson Jason</v>
      </c>
      <c r="H398" s="8" t="str">
        <f>IFERROR(VLOOKUP(VLOOKUP(A398,'[1]Sales Order'!A:C,3,FALSE),[1]Employee!A:E,5,FALSE)&amp;" "&amp;VLOOKUP(VLOOKUP(A398,'[1]Sales Order'!A:C,3,FALSE),[1]Employee!A:C,3,FALSE)&amp;" "&amp;VLOOKUP(VLOOKUP(A398,'[1]Sales Order'!A:C,3,FALSE),[1]Employee!A:B,2,FALSE),"Not Specified")</f>
        <v>Ms. Sara Davis</v>
      </c>
      <c r="I398" t="str">
        <f>IFERROR(VLOOKUP(VLOOKUP(A398,'[1]Sales Order'!A:C,3,FALSE),[1]Employee!A:J,10,FALSE),"Not Specified")</f>
        <v>WA</v>
      </c>
      <c r="J398" t="str">
        <f>VLOOKUP(B398,[1]Product!A:B,2,FALSE)</f>
        <v>Product GEEOO</v>
      </c>
      <c r="K398" t="str">
        <f>VLOOKUP(VLOOKUP(B398,[1]Product!A:D,4,FALSE),[1]Category!A:B,2,FALSE)</f>
        <v>Dairy Product</v>
      </c>
      <c r="L398" s="10">
        <f>IFERROR(VLOOKUP(A398,'[1]Sales Order'!A:D,4,FALSE),"")</f>
        <v>39078</v>
      </c>
      <c r="M398" s="10">
        <f>IFERROR(VLOOKUP(A398,'[1]Sales Order'!A:F,6,FALSE),"")</f>
        <v>39088</v>
      </c>
      <c r="N398" t="str">
        <f>IFERROR(VLOOKUP(VLOOKUP(A398,'[1]Sales Order'!A:G,7,FALSE),[1]Shipper!A:B,2,FALSE),"Not Specified")</f>
        <v>Shipper ZHISN</v>
      </c>
      <c r="O398" t="str">
        <f>IFERROR(VLOOKUP(A398,'[1]Sales Order'!A:I,9,FALSE),"Not Specified")</f>
        <v>Destination VAPXU</v>
      </c>
      <c r="P398" t="str">
        <f>IFERROR(VLOOKUP(A398,'[1]Sales Order'!A:N,14,FALSE),"Not Specified")</f>
        <v>Germany</v>
      </c>
      <c r="Q398" t="str">
        <f>VLOOKUP(VLOOKUP(B398,[1]Product!A:C,3,FALSE),[1]Supplier!A:B,2,FALSE)</f>
        <v>Supplier KEREV</v>
      </c>
      <c r="R398" t="str">
        <f>VLOOKUP(VLOOKUP(B398,[1]Product!A:C,3,FALSE),[1]Supplier!A:I,9,FALSE)</f>
        <v>Italy</v>
      </c>
      <c r="S398" t="str">
        <f>IFERROR(IF(VLOOKUP(A398,'[1]Sales Order'!A:H,8,FALSE)&gt;100,"High Freight","Low Freight"),"Not Specified")</f>
        <v>High Freight</v>
      </c>
      <c r="T398">
        <f t="shared" si="13"/>
        <v>583.80000000000007</v>
      </c>
    </row>
    <row r="399" spans="1:20">
      <c r="A399" s="1">
        <v>10397</v>
      </c>
      <c r="B399" s="2">
        <v>21</v>
      </c>
      <c r="C399" s="2">
        <v>8</v>
      </c>
      <c r="D399" s="2">
        <v>10</v>
      </c>
      <c r="E399" s="3">
        <v>0.15</v>
      </c>
      <c r="F399" s="2" t="str">
        <f>IFERROR(VLOOKUP(VLOOKUP(A399,'[1]Sales Order'!A:B,2,FALSE),[1]Customer!A:C,3,FALSE),"Not Specified")</f>
        <v>Uppal, Sunil</v>
      </c>
      <c r="G399" s="2" t="str">
        <f t="shared" si="12"/>
        <v>Uppal Sunil</v>
      </c>
      <c r="H399" s="8" t="str">
        <f>IFERROR(VLOOKUP(VLOOKUP(A399,'[1]Sales Order'!A:C,3,FALSE),[1]Employee!A:E,5,FALSE)&amp;" "&amp;VLOOKUP(VLOOKUP(A399,'[1]Sales Order'!A:C,3,FALSE),[1]Employee!A:C,3,FALSE)&amp;" "&amp;VLOOKUP(VLOOKUP(A399,'[1]Sales Order'!A:C,3,FALSE),[1]Employee!A:B,2,FALSE),"Not Specified")</f>
        <v>Mr. Sven Buck</v>
      </c>
      <c r="I399">
        <f>IFERROR(VLOOKUP(VLOOKUP(A399,'[1]Sales Order'!A:C,3,FALSE),[1]Employee!A:J,10,FALSE),"Not Specified")</f>
        <v>0</v>
      </c>
      <c r="J399" t="str">
        <f>VLOOKUP(B399,[1]Product!A:B,2,FALSE)</f>
        <v>Product VJZZH</v>
      </c>
      <c r="K399" t="str">
        <f>VLOOKUP(VLOOKUP(B399,[1]Product!A:D,4,FALSE),[1]Category!A:B,2,FALSE)</f>
        <v>Confections</v>
      </c>
      <c r="L399" s="10">
        <f>IFERROR(VLOOKUP(A399,'[1]Sales Order'!A:D,4,FALSE),"")</f>
        <v>39078</v>
      </c>
      <c r="M399" s="10">
        <f>IFERROR(VLOOKUP(A399,'[1]Sales Order'!A:F,6,FALSE),"")</f>
        <v>39084</v>
      </c>
      <c r="N399" t="str">
        <f>IFERROR(VLOOKUP(VLOOKUP(A399,'[1]Sales Order'!A:G,7,FALSE),[1]Shipper!A:B,2,FALSE),"Not Specified")</f>
        <v>Shipper GVSUA</v>
      </c>
      <c r="O399" t="str">
        <f>IFERROR(VLOOKUP(A399,'[1]Sales Order'!A:I,9,FALSE),"Not Specified")</f>
        <v>Ship to 60-A</v>
      </c>
      <c r="P399" t="str">
        <f>IFERROR(VLOOKUP(A399,'[1]Sales Order'!A:N,14,FALSE),"Not Specified")</f>
        <v>Portugal</v>
      </c>
      <c r="Q399" t="str">
        <f>VLOOKUP(VLOOKUP(B399,[1]Product!A:C,3,FALSE),[1]Supplier!A:B,2,FALSE)</f>
        <v>Supplier BWGYE</v>
      </c>
      <c r="R399" t="str">
        <f>VLOOKUP(VLOOKUP(B399,[1]Product!A:C,3,FALSE),[1]Supplier!A:I,9,FALSE)</f>
        <v>UK</v>
      </c>
      <c r="S399" t="str">
        <f>IFERROR(IF(VLOOKUP(A399,'[1]Sales Order'!A:H,8,FALSE)&gt;100,"High Freight","Low Freight"),"Not Specified")</f>
        <v>Low Freight</v>
      </c>
      <c r="T399">
        <f t="shared" si="13"/>
        <v>68</v>
      </c>
    </row>
    <row r="400" spans="1:20">
      <c r="A400" s="1">
        <v>10397</v>
      </c>
      <c r="B400" s="2">
        <v>51</v>
      </c>
      <c r="C400" s="2">
        <v>42.4</v>
      </c>
      <c r="D400" s="2">
        <v>18</v>
      </c>
      <c r="E400" s="3">
        <v>0.15</v>
      </c>
      <c r="F400" s="2" t="str">
        <f>IFERROR(VLOOKUP(VLOOKUP(A400,'[1]Sales Order'!A:B,2,FALSE),[1]Customer!A:C,3,FALSE),"Not Specified")</f>
        <v>Uppal, Sunil</v>
      </c>
      <c r="G400" s="2" t="str">
        <f t="shared" si="12"/>
        <v>Uppal Sunil</v>
      </c>
      <c r="H400" s="8" t="str">
        <f>IFERROR(VLOOKUP(VLOOKUP(A400,'[1]Sales Order'!A:C,3,FALSE),[1]Employee!A:E,5,FALSE)&amp;" "&amp;VLOOKUP(VLOOKUP(A400,'[1]Sales Order'!A:C,3,FALSE),[1]Employee!A:C,3,FALSE)&amp;" "&amp;VLOOKUP(VLOOKUP(A400,'[1]Sales Order'!A:C,3,FALSE),[1]Employee!A:B,2,FALSE),"Not Specified")</f>
        <v>Mr. Sven Buck</v>
      </c>
      <c r="I400">
        <f>IFERROR(VLOOKUP(VLOOKUP(A400,'[1]Sales Order'!A:C,3,FALSE),[1]Employee!A:J,10,FALSE),"Not Specified")</f>
        <v>0</v>
      </c>
      <c r="J400" t="str">
        <f>VLOOKUP(B400,[1]Product!A:B,2,FALSE)</f>
        <v>Product APITJ</v>
      </c>
      <c r="K400" t="str">
        <f>VLOOKUP(VLOOKUP(B400,[1]Product!A:D,4,FALSE),[1]Category!A:B,2,FALSE)</f>
        <v>Produce</v>
      </c>
      <c r="L400" s="10">
        <f>IFERROR(VLOOKUP(A400,'[1]Sales Order'!A:D,4,FALSE),"")</f>
        <v>39078</v>
      </c>
      <c r="M400" s="10">
        <f>IFERROR(VLOOKUP(A400,'[1]Sales Order'!A:F,6,FALSE),"")</f>
        <v>39084</v>
      </c>
      <c r="N400" t="str">
        <f>IFERROR(VLOOKUP(VLOOKUP(A400,'[1]Sales Order'!A:G,7,FALSE),[1]Shipper!A:B,2,FALSE),"Not Specified")</f>
        <v>Shipper GVSUA</v>
      </c>
      <c r="O400" t="str">
        <f>IFERROR(VLOOKUP(A400,'[1]Sales Order'!A:I,9,FALSE),"Not Specified")</f>
        <v>Ship to 60-A</v>
      </c>
      <c r="P400" t="str">
        <f>IFERROR(VLOOKUP(A400,'[1]Sales Order'!A:N,14,FALSE),"Not Specified")</f>
        <v>Portugal</v>
      </c>
      <c r="Q400" t="str">
        <f>VLOOKUP(VLOOKUP(B400,[1]Product!A:C,3,FALSE),[1]Supplier!A:B,2,FALSE)</f>
        <v>Supplier JNNES</v>
      </c>
      <c r="R400" t="str">
        <f>VLOOKUP(VLOOKUP(B400,[1]Product!A:C,3,FALSE),[1]Supplier!A:I,9,FALSE)</f>
        <v>Australia</v>
      </c>
      <c r="S400" t="str">
        <f>IFERROR(IF(VLOOKUP(A400,'[1]Sales Order'!A:H,8,FALSE)&gt;100,"High Freight","Low Freight"),"Not Specified")</f>
        <v>Low Freight</v>
      </c>
      <c r="T400">
        <f t="shared" si="13"/>
        <v>648.71999999999991</v>
      </c>
    </row>
    <row r="401" spans="1:20">
      <c r="A401" s="1">
        <v>10398</v>
      </c>
      <c r="B401" s="2">
        <v>35</v>
      </c>
      <c r="C401" s="2">
        <v>14.4</v>
      </c>
      <c r="D401" s="2">
        <v>30</v>
      </c>
      <c r="E401" s="3">
        <v>0</v>
      </c>
      <c r="F401" s="2" t="str">
        <f>IFERROR(VLOOKUP(VLOOKUP(A401,'[1]Sales Order'!A:B,2,FALSE),[1]Customer!A:C,3,FALSE),"Not Specified")</f>
        <v>Navarro, Tomás</v>
      </c>
      <c r="G401" s="2" t="str">
        <f t="shared" si="12"/>
        <v>Navarro Tomás</v>
      </c>
      <c r="H401" s="8" t="str">
        <f>IFERROR(VLOOKUP(VLOOKUP(A401,'[1]Sales Order'!A:C,3,FALSE),[1]Employee!A:E,5,FALSE)&amp;" "&amp;VLOOKUP(VLOOKUP(A401,'[1]Sales Order'!A:C,3,FALSE),[1]Employee!A:C,3,FALSE)&amp;" "&amp;VLOOKUP(VLOOKUP(A401,'[1]Sales Order'!A:C,3,FALSE),[1]Employee!A:B,2,FALSE),"Not Specified")</f>
        <v>Dr. Don Funk</v>
      </c>
      <c r="I401" t="str">
        <f>IFERROR(VLOOKUP(VLOOKUP(A401,'[1]Sales Order'!A:C,3,FALSE),[1]Employee!A:J,10,FALSE),"Not Specified")</f>
        <v>WA</v>
      </c>
      <c r="J401" t="str">
        <f>VLOOKUP(B401,[1]Product!A:B,2,FALSE)</f>
        <v>Product NEVTJ</v>
      </c>
      <c r="K401" t="str">
        <f>VLOOKUP(VLOOKUP(B401,[1]Product!A:D,4,FALSE),[1]Category!A:B,2,FALSE)</f>
        <v>Beverages</v>
      </c>
      <c r="L401" s="10">
        <f>IFERROR(VLOOKUP(A401,'[1]Sales Order'!A:D,4,FALSE),"")</f>
        <v>39081</v>
      </c>
      <c r="M401" s="10">
        <f>IFERROR(VLOOKUP(A401,'[1]Sales Order'!A:F,6,FALSE),"")</f>
        <v>39091</v>
      </c>
      <c r="N401" t="str">
        <f>IFERROR(VLOOKUP(VLOOKUP(A401,'[1]Sales Order'!A:G,7,FALSE),[1]Shipper!A:B,2,FALSE),"Not Specified")</f>
        <v>Shipper ZHISN</v>
      </c>
      <c r="O401" t="str">
        <f>IFERROR(VLOOKUP(A401,'[1]Sales Order'!A:I,9,FALSE),"Not Specified")</f>
        <v>Ship to 71-C</v>
      </c>
      <c r="P401" t="str">
        <f>IFERROR(VLOOKUP(A401,'[1]Sales Order'!A:N,14,FALSE),"Not Specified")</f>
        <v>USA</v>
      </c>
      <c r="Q401" t="str">
        <f>VLOOKUP(VLOOKUP(B401,[1]Product!A:C,3,FALSE),[1]Supplier!A:B,2,FALSE)</f>
        <v>Supplier UHZRG</v>
      </c>
      <c r="R401" t="str">
        <f>VLOOKUP(VLOOKUP(B401,[1]Product!A:C,3,FALSE),[1]Supplier!A:I,9,FALSE)</f>
        <v>USA</v>
      </c>
      <c r="S401" t="str">
        <f>IFERROR(IF(VLOOKUP(A401,'[1]Sales Order'!A:H,8,FALSE)&gt;100,"High Freight","Low Freight"),"Not Specified")</f>
        <v>Low Freight</v>
      </c>
      <c r="T401">
        <f t="shared" si="13"/>
        <v>432</v>
      </c>
    </row>
    <row r="402" spans="1:20">
      <c r="A402" s="1">
        <v>10398</v>
      </c>
      <c r="B402" s="2">
        <v>55</v>
      </c>
      <c r="C402" s="2">
        <v>19.2</v>
      </c>
      <c r="D402" s="2">
        <v>120</v>
      </c>
      <c r="E402" s="3">
        <v>0.1</v>
      </c>
      <c r="F402" s="2" t="str">
        <f>IFERROR(VLOOKUP(VLOOKUP(A402,'[1]Sales Order'!A:B,2,FALSE),[1]Customer!A:C,3,FALSE),"Not Specified")</f>
        <v>Navarro, Tomás</v>
      </c>
      <c r="G402" s="2" t="str">
        <f t="shared" si="12"/>
        <v>Navarro Tomás</v>
      </c>
      <c r="H402" s="8" t="str">
        <f>IFERROR(VLOOKUP(VLOOKUP(A402,'[1]Sales Order'!A:C,3,FALSE),[1]Employee!A:E,5,FALSE)&amp;" "&amp;VLOOKUP(VLOOKUP(A402,'[1]Sales Order'!A:C,3,FALSE),[1]Employee!A:C,3,FALSE)&amp;" "&amp;VLOOKUP(VLOOKUP(A402,'[1]Sales Order'!A:C,3,FALSE),[1]Employee!A:B,2,FALSE),"Not Specified")</f>
        <v>Dr. Don Funk</v>
      </c>
      <c r="I402" t="str">
        <f>IFERROR(VLOOKUP(VLOOKUP(A402,'[1]Sales Order'!A:C,3,FALSE),[1]Employee!A:J,10,FALSE),"Not Specified")</f>
        <v>WA</v>
      </c>
      <c r="J402" t="str">
        <f>VLOOKUP(B402,[1]Product!A:B,2,FALSE)</f>
        <v>Product YYWRT</v>
      </c>
      <c r="K402" t="str">
        <f>VLOOKUP(VLOOKUP(B402,[1]Product!A:D,4,FALSE),[1]Category!A:B,2,FALSE)</f>
        <v>Meat/Poultry</v>
      </c>
      <c r="L402" s="10">
        <f>IFERROR(VLOOKUP(A402,'[1]Sales Order'!A:D,4,FALSE),"")</f>
        <v>39081</v>
      </c>
      <c r="M402" s="10">
        <f>IFERROR(VLOOKUP(A402,'[1]Sales Order'!A:F,6,FALSE),"")</f>
        <v>39091</v>
      </c>
      <c r="N402" t="str">
        <f>IFERROR(VLOOKUP(VLOOKUP(A402,'[1]Sales Order'!A:G,7,FALSE),[1]Shipper!A:B,2,FALSE),"Not Specified")</f>
        <v>Shipper ZHISN</v>
      </c>
      <c r="O402" t="str">
        <f>IFERROR(VLOOKUP(A402,'[1]Sales Order'!A:I,9,FALSE),"Not Specified")</f>
        <v>Ship to 71-C</v>
      </c>
      <c r="P402" t="str">
        <f>IFERROR(VLOOKUP(A402,'[1]Sales Order'!A:N,14,FALSE),"Not Specified")</f>
        <v>USA</v>
      </c>
      <c r="Q402" t="str">
        <f>VLOOKUP(VLOOKUP(B402,[1]Product!A:C,3,FALSE),[1]Supplier!A:B,2,FALSE)</f>
        <v>Supplier ERVYZ</v>
      </c>
      <c r="R402" t="str">
        <f>VLOOKUP(VLOOKUP(B402,[1]Product!A:C,3,FALSE),[1]Supplier!A:I,9,FALSE)</f>
        <v>Canada</v>
      </c>
      <c r="S402" t="str">
        <f>IFERROR(IF(VLOOKUP(A402,'[1]Sales Order'!A:H,8,FALSE)&gt;100,"High Freight","Low Freight"),"Not Specified")</f>
        <v>Low Freight</v>
      </c>
      <c r="T402">
        <f t="shared" si="13"/>
        <v>2073.6</v>
      </c>
    </row>
    <row r="403" spans="1:20">
      <c r="A403" s="1">
        <v>10399</v>
      </c>
      <c r="B403" s="2">
        <v>68</v>
      </c>
      <c r="C403" s="2">
        <v>10</v>
      </c>
      <c r="D403" s="2">
        <v>60</v>
      </c>
      <c r="E403" s="3">
        <v>0</v>
      </c>
      <c r="F403" s="2" t="str">
        <f>IFERROR(VLOOKUP(VLOOKUP(A403,'[1]Sales Order'!A:B,2,FALSE),[1]Customer!A:C,3,FALSE),"Not Specified")</f>
        <v>Fonteneau, Karl</v>
      </c>
      <c r="G403" s="2" t="str">
        <f t="shared" si="12"/>
        <v>Fonteneau Karl</v>
      </c>
      <c r="H403" s="8" t="str">
        <f>IFERROR(VLOOKUP(VLOOKUP(A403,'[1]Sales Order'!A:C,3,FALSE),[1]Employee!A:E,5,FALSE)&amp;" "&amp;VLOOKUP(VLOOKUP(A403,'[1]Sales Order'!A:C,3,FALSE),[1]Employee!A:C,3,FALSE)&amp;" "&amp;VLOOKUP(VLOOKUP(A403,'[1]Sales Order'!A:C,3,FALSE),[1]Employee!A:B,2,FALSE),"Not Specified")</f>
        <v>Ms. Maria Cameron</v>
      </c>
      <c r="I403" t="str">
        <f>IFERROR(VLOOKUP(VLOOKUP(A403,'[1]Sales Order'!A:C,3,FALSE),[1]Employee!A:J,10,FALSE),"Not Specified")</f>
        <v>WA</v>
      </c>
      <c r="J403" t="str">
        <f>VLOOKUP(B403,[1]Product!A:B,2,FALSE)</f>
        <v>Product TBTBL</v>
      </c>
      <c r="K403" t="str">
        <f>VLOOKUP(VLOOKUP(B403,[1]Product!A:D,4,FALSE),[1]Category!A:B,2,FALSE)</f>
        <v>Confections</v>
      </c>
      <c r="L403" s="10">
        <f>IFERROR(VLOOKUP(A403,'[1]Sales Order'!A:D,4,FALSE),"")</f>
        <v>39082</v>
      </c>
      <c r="M403" s="10">
        <f>IFERROR(VLOOKUP(A403,'[1]Sales Order'!A:F,6,FALSE),"")</f>
        <v>39090</v>
      </c>
      <c r="N403" t="str">
        <f>IFERROR(VLOOKUP(VLOOKUP(A403,'[1]Sales Order'!A:G,7,FALSE),[1]Shipper!A:B,2,FALSE),"Not Specified")</f>
        <v>Shipper ZHISN</v>
      </c>
      <c r="O403" t="str">
        <f>IFERROR(VLOOKUP(A403,'[1]Sales Order'!A:I,9,FALSE),"Not Specified")</f>
        <v>Ship to 83-C</v>
      </c>
      <c r="P403" t="str">
        <f>IFERROR(VLOOKUP(A403,'[1]Sales Order'!A:N,14,FALSE),"Not Specified")</f>
        <v>Denmark</v>
      </c>
      <c r="Q403" t="str">
        <f>VLOOKUP(VLOOKUP(B403,[1]Product!A:C,3,FALSE),[1]Supplier!A:B,2,FALSE)</f>
        <v>Supplier BWGYE</v>
      </c>
      <c r="R403" t="str">
        <f>VLOOKUP(VLOOKUP(B403,[1]Product!A:C,3,FALSE),[1]Supplier!A:I,9,FALSE)</f>
        <v>UK</v>
      </c>
      <c r="S403" t="str">
        <f>IFERROR(IF(VLOOKUP(A403,'[1]Sales Order'!A:H,8,FALSE)&gt;100,"High Freight","Low Freight"),"Not Specified")</f>
        <v>Low Freight</v>
      </c>
      <c r="T403">
        <f t="shared" si="13"/>
        <v>600</v>
      </c>
    </row>
    <row r="404" spans="1:20">
      <c r="A404" s="1">
        <v>10399</v>
      </c>
      <c r="B404" s="2">
        <v>71</v>
      </c>
      <c r="C404" s="2">
        <v>17.2</v>
      </c>
      <c r="D404" s="2">
        <v>30</v>
      </c>
      <c r="E404" s="3">
        <v>0</v>
      </c>
      <c r="F404" s="2" t="str">
        <f>IFERROR(VLOOKUP(VLOOKUP(A404,'[1]Sales Order'!A:B,2,FALSE),[1]Customer!A:C,3,FALSE),"Not Specified")</f>
        <v>Fonteneau, Karl</v>
      </c>
      <c r="G404" s="2" t="str">
        <f t="shared" si="12"/>
        <v>Fonteneau Karl</v>
      </c>
      <c r="H404" s="8" t="str">
        <f>IFERROR(VLOOKUP(VLOOKUP(A404,'[1]Sales Order'!A:C,3,FALSE),[1]Employee!A:E,5,FALSE)&amp;" "&amp;VLOOKUP(VLOOKUP(A404,'[1]Sales Order'!A:C,3,FALSE),[1]Employee!A:C,3,FALSE)&amp;" "&amp;VLOOKUP(VLOOKUP(A404,'[1]Sales Order'!A:C,3,FALSE),[1]Employee!A:B,2,FALSE),"Not Specified")</f>
        <v>Ms. Maria Cameron</v>
      </c>
      <c r="I404" t="str">
        <f>IFERROR(VLOOKUP(VLOOKUP(A404,'[1]Sales Order'!A:C,3,FALSE),[1]Employee!A:J,10,FALSE),"Not Specified")</f>
        <v>WA</v>
      </c>
      <c r="J404" t="str">
        <f>VLOOKUP(B404,[1]Product!A:B,2,FALSE)</f>
        <v>Product MYMOI</v>
      </c>
      <c r="K404" t="str">
        <f>VLOOKUP(VLOOKUP(B404,[1]Product!A:D,4,FALSE),[1]Category!A:B,2,FALSE)</f>
        <v>Dairy Product</v>
      </c>
      <c r="L404" s="10">
        <f>IFERROR(VLOOKUP(A404,'[1]Sales Order'!A:D,4,FALSE),"")</f>
        <v>39082</v>
      </c>
      <c r="M404" s="10">
        <f>IFERROR(VLOOKUP(A404,'[1]Sales Order'!A:F,6,FALSE),"")</f>
        <v>39090</v>
      </c>
      <c r="N404" t="str">
        <f>IFERROR(VLOOKUP(VLOOKUP(A404,'[1]Sales Order'!A:G,7,FALSE),[1]Shipper!A:B,2,FALSE),"Not Specified")</f>
        <v>Shipper ZHISN</v>
      </c>
      <c r="O404" t="str">
        <f>IFERROR(VLOOKUP(A404,'[1]Sales Order'!A:I,9,FALSE),"Not Specified")</f>
        <v>Ship to 83-C</v>
      </c>
      <c r="P404" t="str">
        <f>IFERROR(VLOOKUP(A404,'[1]Sales Order'!A:N,14,FALSE),"Not Specified")</f>
        <v>Denmark</v>
      </c>
      <c r="Q404" t="str">
        <f>VLOOKUP(VLOOKUP(B404,[1]Product!A:C,3,FALSE),[1]Supplier!A:B,2,FALSE)</f>
        <v>Supplier NZLIF</v>
      </c>
      <c r="R404" t="str">
        <f>VLOOKUP(VLOOKUP(B404,[1]Product!A:C,3,FALSE),[1]Supplier!A:I,9,FALSE)</f>
        <v>Norway</v>
      </c>
      <c r="S404" t="str">
        <f>IFERROR(IF(VLOOKUP(A404,'[1]Sales Order'!A:H,8,FALSE)&gt;100,"High Freight","Low Freight"),"Not Specified")</f>
        <v>Low Freight</v>
      </c>
      <c r="T404">
        <f t="shared" si="13"/>
        <v>516</v>
      </c>
    </row>
    <row r="405" spans="1:20">
      <c r="A405" s="1">
        <v>10399</v>
      </c>
      <c r="B405" s="2">
        <v>76</v>
      </c>
      <c r="C405" s="2">
        <v>14.4</v>
      </c>
      <c r="D405" s="2">
        <v>35</v>
      </c>
      <c r="E405" s="3">
        <v>0</v>
      </c>
      <c r="F405" s="2" t="str">
        <f>IFERROR(VLOOKUP(VLOOKUP(A405,'[1]Sales Order'!A:B,2,FALSE),[1]Customer!A:C,3,FALSE),"Not Specified")</f>
        <v>Fonteneau, Karl</v>
      </c>
      <c r="G405" s="2" t="str">
        <f t="shared" si="12"/>
        <v>Fonteneau Karl</v>
      </c>
      <c r="H405" s="8" t="str">
        <f>IFERROR(VLOOKUP(VLOOKUP(A405,'[1]Sales Order'!A:C,3,FALSE),[1]Employee!A:E,5,FALSE)&amp;" "&amp;VLOOKUP(VLOOKUP(A405,'[1]Sales Order'!A:C,3,FALSE),[1]Employee!A:C,3,FALSE)&amp;" "&amp;VLOOKUP(VLOOKUP(A405,'[1]Sales Order'!A:C,3,FALSE),[1]Employee!A:B,2,FALSE),"Not Specified")</f>
        <v>Ms. Maria Cameron</v>
      </c>
      <c r="I405" t="str">
        <f>IFERROR(VLOOKUP(VLOOKUP(A405,'[1]Sales Order'!A:C,3,FALSE),[1]Employee!A:J,10,FALSE),"Not Specified")</f>
        <v>WA</v>
      </c>
      <c r="J405" t="str">
        <f>VLOOKUP(B405,[1]Product!A:B,2,FALSE)</f>
        <v>Product JYGFE</v>
      </c>
      <c r="K405" t="str">
        <f>VLOOKUP(VLOOKUP(B405,[1]Product!A:D,4,FALSE),[1]Category!A:B,2,FALSE)</f>
        <v>Beverages</v>
      </c>
      <c r="L405" s="10">
        <f>IFERROR(VLOOKUP(A405,'[1]Sales Order'!A:D,4,FALSE),"")</f>
        <v>39082</v>
      </c>
      <c r="M405" s="10">
        <f>IFERROR(VLOOKUP(A405,'[1]Sales Order'!A:F,6,FALSE),"")</f>
        <v>39090</v>
      </c>
      <c r="N405" t="str">
        <f>IFERROR(VLOOKUP(VLOOKUP(A405,'[1]Sales Order'!A:G,7,FALSE),[1]Shipper!A:B,2,FALSE),"Not Specified")</f>
        <v>Shipper ZHISN</v>
      </c>
      <c r="O405" t="str">
        <f>IFERROR(VLOOKUP(A405,'[1]Sales Order'!A:I,9,FALSE),"Not Specified")</f>
        <v>Ship to 83-C</v>
      </c>
      <c r="P405" t="str">
        <f>IFERROR(VLOOKUP(A405,'[1]Sales Order'!A:N,14,FALSE),"Not Specified")</f>
        <v>Denmark</v>
      </c>
      <c r="Q405" t="str">
        <f>VLOOKUP(VLOOKUP(B405,[1]Product!A:C,3,FALSE),[1]Supplier!A:B,2,FALSE)</f>
        <v>Supplier ELCRN</v>
      </c>
      <c r="R405" t="str">
        <f>VLOOKUP(VLOOKUP(B405,[1]Product!A:C,3,FALSE),[1]Supplier!A:I,9,FALSE)</f>
        <v>Finland</v>
      </c>
      <c r="S405" t="str">
        <f>IFERROR(IF(VLOOKUP(A405,'[1]Sales Order'!A:H,8,FALSE)&gt;100,"High Freight","Low Freight"),"Not Specified")</f>
        <v>Low Freight</v>
      </c>
      <c r="T405">
        <f t="shared" si="13"/>
        <v>504</v>
      </c>
    </row>
    <row r="406" spans="1:20">
      <c r="A406" s="1">
        <v>10399</v>
      </c>
      <c r="B406" s="2">
        <v>77</v>
      </c>
      <c r="C406" s="2">
        <v>10.4</v>
      </c>
      <c r="D406" s="2">
        <v>14</v>
      </c>
      <c r="E406" s="3">
        <v>0</v>
      </c>
      <c r="F406" s="2" t="str">
        <f>IFERROR(VLOOKUP(VLOOKUP(A406,'[1]Sales Order'!A:B,2,FALSE),[1]Customer!A:C,3,FALSE),"Not Specified")</f>
        <v>Fonteneau, Karl</v>
      </c>
      <c r="G406" s="2" t="str">
        <f t="shared" si="12"/>
        <v>Fonteneau Karl</v>
      </c>
      <c r="H406" s="8" t="str">
        <f>IFERROR(VLOOKUP(VLOOKUP(A406,'[1]Sales Order'!A:C,3,FALSE),[1]Employee!A:E,5,FALSE)&amp;" "&amp;VLOOKUP(VLOOKUP(A406,'[1]Sales Order'!A:C,3,FALSE),[1]Employee!A:C,3,FALSE)&amp;" "&amp;VLOOKUP(VLOOKUP(A406,'[1]Sales Order'!A:C,3,FALSE),[1]Employee!A:B,2,FALSE),"Not Specified")</f>
        <v>Ms. Maria Cameron</v>
      </c>
      <c r="I406" t="str">
        <f>IFERROR(VLOOKUP(VLOOKUP(A406,'[1]Sales Order'!A:C,3,FALSE),[1]Employee!A:J,10,FALSE),"Not Specified")</f>
        <v>WA</v>
      </c>
      <c r="J406" t="str">
        <f>VLOOKUP(B406,[1]Product!A:B,2,FALSE)</f>
        <v>Product LUNZZ</v>
      </c>
      <c r="K406" t="str">
        <f>VLOOKUP(VLOOKUP(B406,[1]Product!A:D,4,FALSE),[1]Category!A:B,2,FALSE)</f>
        <v>Condiments</v>
      </c>
      <c r="L406" s="10">
        <f>IFERROR(VLOOKUP(A406,'[1]Sales Order'!A:D,4,FALSE),"")</f>
        <v>39082</v>
      </c>
      <c r="M406" s="10">
        <f>IFERROR(VLOOKUP(A406,'[1]Sales Order'!A:F,6,FALSE),"")</f>
        <v>39090</v>
      </c>
      <c r="N406" t="str">
        <f>IFERROR(VLOOKUP(VLOOKUP(A406,'[1]Sales Order'!A:G,7,FALSE),[1]Shipper!A:B,2,FALSE),"Not Specified")</f>
        <v>Shipper ZHISN</v>
      </c>
      <c r="O406" t="str">
        <f>IFERROR(VLOOKUP(A406,'[1]Sales Order'!A:I,9,FALSE),"Not Specified")</f>
        <v>Ship to 83-C</v>
      </c>
      <c r="P406" t="str">
        <f>IFERROR(VLOOKUP(A406,'[1]Sales Order'!A:N,14,FALSE),"Not Specified")</f>
        <v>Denmark</v>
      </c>
      <c r="Q406" t="str">
        <f>VLOOKUP(VLOOKUP(B406,[1]Product!A:C,3,FALSE),[1]Supplier!A:B,2,FALSE)</f>
        <v>Supplier SVIYA</v>
      </c>
      <c r="R406" t="str">
        <f>VLOOKUP(VLOOKUP(B406,[1]Product!A:C,3,FALSE),[1]Supplier!A:I,9,FALSE)</f>
        <v>Germany</v>
      </c>
      <c r="S406" t="str">
        <f>IFERROR(IF(VLOOKUP(A406,'[1]Sales Order'!A:H,8,FALSE)&gt;100,"High Freight","Low Freight"),"Not Specified")</f>
        <v>Low Freight</v>
      </c>
      <c r="T406">
        <f t="shared" si="13"/>
        <v>145.6</v>
      </c>
    </row>
    <row r="407" spans="1:20">
      <c r="A407" s="1">
        <v>10400</v>
      </c>
      <c r="B407" s="2">
        <v>29</v>
      </c>
      <c r="C407" s="2">
        <v>99</v>
      </c>
      <c r="D407" s="2">
        <v>21</v>
      </c>
      <c r="E407" s="3">
        <v>0</v>
      </c>
      <c r="F407" s="2" t="str">
        <f>IFERROR(VLOOKUP(VLOOKUP(A407,'[1]Sales Order'!A:B,2,FALSE),[1]Customer!A:C,3,FALSE),"Not Specified")</f>
        <v>Boseman, Randall</v>
      </c>
      <c r="G407" s="2" t="str">
        <f t="shared" si="12"/>
        <v>Boseman Randall</v>
      </c>
      <c r="H407" s="8" t="str">
        <f>IFERROR(VLOOKUP(VLOOKUP(A407,'[1]Sales Order'!A:C,3,FALSE),[1]Employee!A:E,5,FALSE)&amp;" "&amp;VLOOKUP(VLOOKUP(A407,'[1]Sales Order'!A:C,3,FALSE),[1]Employee!A:C,3,FALSE)&amp;" "&amp;VLOOKUP(VLOOKUP(A407,'[1]Sales Order'!A:C,3,FALSE),[1]Employee!A:B,2,FALSE),"Not Specified")</f>
        <v>Ms. Sara Davis</v>
      </c>
      <c r="I407" t="str">
        <f>IFERROR(VLOOKUP(VLOOKUP(A407,'[1]Sales Order'!A:C,3,FALSE),[1]Employee!A:J,10,FALSE),"Not Specified")</f>
        <v>WA</v>
      </c>
      <c r="J407" t="str">
        <f>VLOOKUP(B407,[1]Product!A:B,2,FALSE)</f>
        <v>Product VJXYN</v>
      </c>
      <c r="K407" t="str">
        <f>VLOOKUP(VLOOKUP(B407,[1]Product!A:D,4,FALSE),[1]Category!A:B,2,FALSE)</f>
        <v>Meat/Poultry</v>
      </c>
      <c r="L407" s="10">
        <f>IFERROR(VLOOKUP(A407,'[1]Sales Order'!A:D,4,FALSE),"")</f>
        <v>39083</v>
      </c>
      <c r="M407" s="10">
        <f>IFERROR(VLOOKUP(A407,'[1]Sales Order'!A:F,6,FALSE),"")</f>
        <v>39098</v>
      </c>
      <c r="N407" t="str">
        <f>IFERROR(VLOOKUP(VLOOKUP(A407,'[1]Sales Order'!A:G,7,FALSE),[1]Shipper!A:B,2,FALSE),"Not Specified")</f>
        <v>Shipper ZHISN</v>
      </c>
      <c r="O407" t="str">
        <f>IFERROR(VLOOKUP(A407,'[1]Sales Order'!A:I,9,FALSE),"Not Specified")</f>
        <v>Destination BBMRT</v>
      </c>
      <c r="P407" t="str">
        <f>IFERROR(VLOOKUP(A407,'[1]Sales Order'!A:N,14,FALSE),"Not Specified")</f>
        <v>UK</v>
      </c>
      <c r="Q407" t="str">
        <f>VLOOKUP(VLOOKUP(B407,[1]Product!A:C,3,FALSE),[1]Supplier!A:B,2,FALSE)</f>
        <v>Supplier SVIYA</v>
      </c>
      <c r="R407" t="str">
        <f>VLOOKUP(VLOOKUP(B407,[1]Product!A:C,3,FALSE),[1]Supplier!A:I,9,FALSE)</f>
        <v>Germany</v>
      </c>
      <c r="S407" t="str">
        <f>IFERROR(IF(VLOOKUP(A407,'[1]Sales Order'!A:H,8,FALSE)&gt;100,"High Freight","Low Freight"),"Not Specified")</f>
        <v>Low Freight</v>
      </c>
      <c r="T407">
        <f t="shared" si="13"/>
        <v>2079</v>
      </c>
    </row>
    <row r="408" spans="1:20">
      <c r="A408" s="1">
        <v>10400</v>
      </c>
      <c r="B408" s="2">
        <v>35</v>
      </c>
      <c r="C408" s="2">
        <v>14.4</v>
      </c>
      <c r="D408" s="2">
        <v>35</v>
      </c>
      <c r="E408" s="3">
        <v>0</v>
      </c>
      <c r="F408" s="2" t="str">
        <f>IFERROR(VLOOKUP(VLOOKUP(A408,'[1]Sales Order'!A:B,2,FALSE),[1]Customer!A:C,3,FALSE),"Not Specified")</f>
        <v>Boseman, Randall</v>
      </c>
      <c r="G408" s="2" t="str">
        <f t="shared" si="12"/>
        <v>Boseman Randall</v>
      </c>
      <c r="H408" s="8" t="str">
        <f>IFERROR(VLOOKUP(VLOOKUP(A408,'[1]Sales Order'!A:C,3,FALSE),[1]Employee!A:E,5,FALSE)&amp;" "&amp;VLOOKUP(VLOOKUP(A408,'[1]Sales Order'!A:C,3,FALSE),[1]Employee!A:C,3,FALSE)&amp;" "&amp;VLOOKUP(VLOOKUP(A408,'[1]Sales Order'!A:C,3,FALSE),[1]Employee!A:B,2,FALSE),"Not Specified")</f>
        <v>Ms. Sara Davis</v>
      </c>
      <c r="I408" t="str">
        <f>IFERROR(VLOOKUP(VLOOKUP(A408,'[1]Sales Order'!A:C,3,FALSE),[1]Employee!A:J,10,FALSE),"Not Specified")</f>
        <v>WA</v>
      </c>
      <c r="J408" t="str">
        <f>VLOOKUP(B408,[1]Product!A:B,2,FALSE)</f>
        <v>Product NEVTJ</v>
      </c>
      <c r="K408" t="str">
        <f>VLOOKUP(VLOOKUP(B408,[1]Product!A:D,4,FALSE),[1]Category!A:B,2,FALSE)</f>
        <v>Beverages</v>
      </c>
      <c r="L408" s="10">
        <f>IFERROR(VLOOKUP(A408,'[1]Sales Order'!A:D,4,FALSE),"")</f>
        <v>39083</v>
      </c>
      <c r="M408" s="10">
        <f>IFERROR(VLOOKUP(A408,'[1]Sales Order'!A:F,6,FALSE),"")</f>
        <v>39098</v>
      </c>
      <c r="N408" t="str">
        <f>IFERROR(VLOOKUP(VLOOKUP(A408,'[1]Sales Order'!A:G,7,FALSE),[1]Shipper!A:B,2,FALSE),"Not Specified")</f>
        <v>Shipper ZHISN</v>
      </c>
      <c r="O408" t="str">
        <f>IFERROR(VLOOKUP(A408,'[1]Sales Order'!A:I,9,FALSE),"Not Specified")</f>
        <v>Destination BBMRT</v>
      </c>
      <c r="P408" t="str">
        <f>IFERROR(VLOOKUP(A408,'[1]Sales Order'!A:N,14,FALSE),"Not Specified")</f>
        <v>UK</v>
      </c>
      <c r="Q408" t="str">
        <f>VLOOKUP(VLOOKUP(B408,[1]Product!A:C,3,FALSE),[1]Supplier!A:B,2,FALSE)</f>
        <v>Supplier UHZRG</v>
      </c>
      <c r="R408" t="str">
        <f>VLOOKUP(VLOOKUP(B408,[1]Product!A:C,3,FALSE),[1]Supplier!A:I,9,FALSE)</f>
        <v>USA</v>
      </c>
      <c r="S408" t="str">
        <f>IFERROR(IF(VLOOKUP(A408,'[1]Sales Order'!A:H,8,FALSE)&gt;100,"High Freight","Low Freight"),"Not Specified")</f>
        <v>Low Freight</v>
      </c>
      <c r="T408">
        <f t="shared" si="13"/>
        <v>504</v>
      </c>
    </row>
    <row r="409" spans="1:20">
      <c r="A409" s="1">
        <v>10400</v>
      </c>
      <c r="B409" s="2">
        <v>49</v>
      </c>
      <c r="C409" s="2">
        <v>16</v>
      </c>
      <c r="D409" s="2">
        <v>30</v>
      </c>
      <c r="E409" s="3">
        <v>0</v>
      </c>
      <c r="F409" s="2" t="str">
        <f>IFERROR(VLOOKUP(VLOOKUP(A409,'[1]Sales Order'!A:B,2,FALSE),[1]Customer!A:C,3,FALSE),"Not Specified")</f>
        <v>Boseman, Randall</v>
      </c>
      <c r="G409" s="2" t="str">
        <f t="shared" si="12"/>
        <v>Boseman Randall</v>
      </c>
      <c r="H409" s="8" t="str">
        <f>IFERROR(VLOOKUP(VLOOKUP(A409,'[1]Sales Order'!A:C,3,FALSE),[1]Employee!A:E,5,FALSE)&amp;" "&amp;VLOOKUP(VLOOKUP(A409,'[1]Sales Order'!A:C,3,FALSE),[1]Employee!A:C,3,FALSE)&amp;" "&amp;VLOOKUP(VLOOKUP(A409,'[1]Sales Order'!A:C,3,FALSE),[1]Employee!A:B,2,FALSE),"Not Specified")</f>
        <v>Ms. Sara Davis</v>
      </c>
      <c r="I409" t="str">
        <f>IFERROR(VLOOKUP(VLOOKUP(A409,'[1]Sales Order'!A:C,3,FALSE),[1]Employee!A:J,10,FALSE),"Not Specified")</f>
        <v>WA</v>
      </c>
      <c r="J409" t="str">
        <f>VLOOKUP(B409,[1]Product!A:B,2,FALSE)</f>
        <v>Product FPYPN</v>
      </c>
      <c r="K409" t="str">
        <f>VLOOKUP(VLOOKUP(B409,[1]Product!A:D,4,FALSE),[1]Category!A:B,2,FALSE)</f>
        <v>Confections</v>
      </c>
      <c r="L409" s="10">
        <f>IFERROR(VLOOKUP(A409,'[1]Sales Order'!A:D,4,FALSE),"")</f>
        <v>39083</v>
      </c>
      <c r="M409" s="10">
        <f>IFERROR(VLOOKUP(A409,'[1]Sales Order'!A:F,6,FALSE),"")</f>
        <v>39098</v>
      </c>
      <c r="N409" t="str">
        <f>IFERROR(VLOOKUP(VLOOKUP(A409,'[1]Sales Order'!A:G,7,FALSE),[1]Shipper!A:B,2,FALSE),"Not Specified")</f>
        <v>Shipper ZHISN</v>
      </c>
      <c r="O409" t="str">
        <f>IFERROR(VLOOKUP(A409,'[1]Sales Order'!A:I,9,FALSE),"Not Specified")</f>
        <v>Destination BBMRT</v>
      </c>
      <c r="P409" t="str">
        <f>IFERROR(VLOOKUP(A409,'[1]Sales Order'!A:N,14,FALSE),"Not Specified")</f>
        <v>UK</v>
      </c>
      <c r="Q409" t="str">
        <f>VLOOKUP(VLOOKUP(B409,[1]Product!A:C,3,FALSE),[1]Supplier!A:B,2,FALSE)</f>
        <v>Supplier ELCRN</v>
      </c>
      <c r="R409" t="str">
        <f>VLOOKUP(VLOOKUP(B409,[1]Product!A:C,3,FALSE),[1]Supplier!A:I,9,FALSE)</f>
        <v>Finland</v>
      </c>
      <c r="S409" t="str">
        <f>IFERROR(IF(VLOOKUP(A409,'[1]Sales Order'!A:H,8,FALSE)&gt;100,"High Freight","Low Freight"),"Not Specified")</f>
        <v>Low Freight</v>
      </c>
      <c r="T409">
        <f t="shared" si="13"/>
        <v>480</v>
      </c>
    </row>
    <row r="410" spans="1:20">
      <c r="A410" s="1">
        <v>10401</v>
      </c>
      <c r="B410" s="2">
        <v>30</v>
      </c>
      <c r="C410" s="2">
        <v>20.7</v>
      </c>
      <c r="D410" s="2">
        <v>18</v>
      </c>
      <c r="E410" s="3">
        <v>0</v>
      </c>
      <c r="F410" s="2" t="str">
        <f>IFERROR(VLOOKUP(VLOOKUP(A410,'[1]Sales Order'!A:B,2,FALSE),[1]Customer!A:C,3,FALSE),"Not Specified")</f>
        <v>Moore, Michael</v>
      </c>
      <c r="G410" s="2" t="str">
        <f t="shared" si="12"/>
        <v>Moore Michael</v>
      </c>
      <c r="H410" s="8" t="str">
        <f>IFERROR(VLOOKUP(VLOOKUP(A410,'[1]Sales Order'!A:C,3,FALSE),[1]Employee!A:E,5,FALSE)&amp;" "&amp;VLOOKUP(VLOOKUP(A410,'[1]Sales Order'!A:C,3,FALSE),[1]Employee!A:C,3,FALSE)&amp;" "&amp;VLOOKUP(VLOOKUP(A410,'[1]Sales Order'!A:C,3,FALSE),[1]Employee!A:B,2,FALSE),"Not Specified")</f>
        <v>Ms. Sara Davis</v>
      </c>
      <c r="I410" t="str">
        <f>IFERROR(VLOOKUP(VLOOKUP(A410,'[1]Sales Order'!A:C,3,FALSE),[1]Employee!A:J,10,FALSE),"Not Specified")</f>
        <v>WA</v>
      </c>
      <c r="J410" t="str">
        <f>VLOOKUP(B410,[1]Product!A:B,2,FALSE)</f>
        <v>Product LYERX</v>
      </c>
      <c r="K410" t="str">
        <f>VLOOKUP(VLOOKUP(B410,[1]Product!A:D,4,FALSE),[1]Category!A:B,2,FALSE)</f>
        <v>Seafood</v>
      </c>
      <c r="L410" s="10">
        <f>IFERROR(VLOOKUP(A410,'[1]Sales Order'!A:D,4,FALSE),"")</f>
        <v>39083</v>
      </c>
      <c r="M410" s="10">
        <f>IFERROR(VLOOKUP(A410,'[1]Sales Order'!A:F,6,FALSE),"")</f>
        <v>39092</v>
      </c>
      <c r="N410" t="str">
        <f>IFERROR(VLOOKUP(VLOOKUP(A410,'[1]Sales Order'!A:G,7,FALSE),[1]Shipper!A:B,2,FALSE),"Not Specified")</f>
        <v>Shipper GVSUA</v>
      </c>
      <c r="O410" t="str">
        <f>IFERROR(VLOOKUP(A410,'[1]Sales Order'!A:I,9,FALSE),"Not Specified")</f>
        <v>Ship to 65-A</v>
      </c>
      <c r="P410" t="str">
        <f>IFERROR(VLOOKUP(A410,'[1]Sales Order'!A:N,14,FALSE),"Not Specified")</f>
        <v>USA</v>
      </c>
      <c r="Q410" t="str">
        <f>VLOOKUP(VLOOKUP(B410,[1]Product!A:C,3,FALSE),[1]Supplier!A:B,2,FALSE)</f>
        <v>Supplier TEGSC</v>
      </c>
      <c r="R410" t="str">
        <f>VLOOKUP(VLOOKUP(B410,[1]Product!A:C,3,FALSE),[1]Supplier!A:I,9,FALSE)</f>
        <v>Germany</v>
      </c>
      <c r="S410" t="str">
        <f>IFERROR(IF(VLOOKUP(A410,'[1]Sales Order'!A:H,8,FALSE)&gt;100,"High Freight","Low Freight"),"Not Specified")</f>
        <v>Low Freight</v>
      </c>
      <c r="T410">
        <f t="shared" si="13"/>
        <v>372.59999999999997</v>
      </c>
    </row>
    <row r="411" spans="1:20">
      <c r="A411" s="1">
        <v>10401</v>
      </c>
      <c r="B411" s="2">
        <v>56</v>
      </c>
      <c r="C411" s="2">
        <v>30.4</v>
      </c>
      <c r="D411" s="2">
        <v>70</v>
      </c>
      <c r="E411" s="3">
        <v>0</v>
      </c>
      <c r="F411" s="2" t="str">
        <f>IFERROR(VLOOKUP(VLOOKUP(A411,'[1]Sales Order'!A:B,2,FALSE),[1]Customer!A:C,3,FALSE),"Not Specified")</f>
        <v>Moore, Michael</v>
      </c>
      <c r="G411" s="2" t="str">
        <f t="shared" si="12"/>
        <v>Moore Michael</v>
      </c>
      <c r="H411" s="8" t="str">
        <f>IFERROR(VLOOKUP(VLOOKUP(A411,'[1]Sales Order'!A:C,3,FALSE),[1]Employee!A:E,5,FALSE)&amp;" "&amp;VLOOKUP(VLOOKUP(A411,'[1]Sales Order'!A:C,3,FALSE),[1]Employee!A:C,3,FALSE)&amp;" "&amp;VLOOKUP(VLOOKUP(A411,'[1]Sales Order'!A:C,3,FALSE),[1]Employee!A:B,2,FALSE),"Not Specified")</f>
        <v>Ms. Sara Davis</v>
      </c>
      <c r="I411" t="str">
        <f>IFERROR(VLOOKUP(VLOOKUP(A411,'[1]Sales Order'!A:C,3,FALSE),[1]Employee!A:J,10,FALSE),"Not Specified")</f>
        <v>WA</v>
      </c>
      <c r="J411" t="str">
        <f>VLOOKUP(B411,[1]Product!A:B,2,FALSE)</f>
        <v>Product VKCMF</v>
      </c>
      <c r="K411" t="str">
        <f>VLOOKUP(VLOOKUP(B411,[1]Product!A:D,4,FALSE),[1]Category!A:B,2,FALSE)</f>
        <v>Grains/Cereals</v>
      </c>
      <c r="L411" s="10">
        <f>IFERROR(VLOOKUP(A411,'[1]Sales Order'!A:D,4,FALSE),"")</f>
        <v>39083</v>
      </c>
      <c r="M411" s="10">
        <f>IFERROR(VLOOKUP(A411,'[1]Sales Order'!A:F,6,FALSE),"")</f>
        <v>39092</v>
      </c>
      <c r="N411" t="str">
        <f>IFERROR(VLOOKUP(VLOOKUP(A411,'[1]Sales Order'!A:G,7,FALSE),[1]Shipper!A:B,2,FALSE),"Not Specified")</f>
        <v>Shipper GVSUA</v>
      </c>
      <c r="O411" t="str">
        <f>IFERROR(VLOOKUP(A411,'[1]Sales Order'!A:I,9,FALSE),"Not Specified")</f>
        <v>Ship to 65-A</v>
      </c>
      <c r="P411" t="str">
        <f>IFERROR(VLOOKUP(A411,'[1]Sales Order'!A:N,14,FALSE),"Not Specified")</f>
        <v>USA</v>
      </c>
      <c r="Q411" t="str">
        <f>VLOOKUP(VLOOKUP(B411,[1]Product!A:C,3,FALSE),[1]Supplier!A:B,2,FALSE)</f>
        <v>Supplier ZWZDM</v>
      </c>
      <c r="R411" t="str">
        <f>VLOOKUP(VLOOKUP(B411,[1]Product!A:C,3,FALSE),[1]Supplier!A:I,9,FALSE)</f>
        <v>Italy</v>
      </c>
      <c r="S411" t="str">
        <f>IFERROR(IF(VLOOKUP(A411,'[1]Sales Order'!A:H,8,FALSE)&gt;100,"High Freight","Low Freight"),"Not Specified")</f>
        <v>Low Freight</v>
      </c>
      <c r="T411">
        <f t="shared" si="13"/>
        <v>2128</v>
      </c>
    </row>
    <row r="412" spans="1:20">
      <c r="A412" s="1">
        <v>10401</v>
      </c>
      <c r="B412" s="2">
        <v>65</v>
      </c>
      <c r="C412" s="2">
        <v>16.8</v>
      </c>
      <c r="D412" s="2">
        <v>20</v>
      </c>
      <c r="E412" s="3">
        <v>0</v>
      </c>
      <c r="F412" s="2" t="str">
        <f>IFERROR(VLOOKUP(VLOOKUP(A412,'[1]Sales Order'!A:B,2,FALSE),[1]Customer!A:C,3,FALSE),"Not Specified")</f>
        <v>Moore, Michael</v>
      </c>
      <c r="G412" s="2" t="str">
        <f t="shared" si="12"/>
        <v>Moore Michael</v>
      </c>
      <c r="H412" s="8" t="str">
        <f>IFERROR(VLOOKUP(VLOOKUP(A412,'[1]Sales Order'!A:C,3,FALSE),[1]Employee!A:E,5,FALSE)&amp;" "&amp;VLOOKUP(VLOOKUP(A412,'[1]Sales Order'!A:C,3,FALSE),[1]Employee!A:C,3,FALSE)&amp;" "&amp;VLOOKUP(VLOOKUP(A412,'[1]Sales Order'!A:C,3,FALSE),[1]Employee!A:B,2,FALSE),"Not Specified")</f>
        <v>Ms. Sara Davis</v>
      </c>
      <c r="I412" t="str">
        <f>IFERROR(VLOOKUP(VLOOKUP(A412,'[1]Sales Order'!A:C,3,FALSE),[1]Employee!A:J,10,FALSE),"Not Specified")</f>
        <v>WA</v>
      </c>
      <c r="J412" t="str">
        <f>VLOOKUP(B412,[1]Product!A:B,2,FALSE)</f>
        <v>Product XYWBZ</v>
      </c>
      <c r="K412" t="str">
        <f>VLOOKUP(VLOOKUP(B412,[1]Product!A:D,4,FALSE),[1]Category!A:B,2,FALSE)</f>
        <v>Condiments</v>
      </c>
      <c r="L412" s="10">
        <f>IFERROR(VLOOKUP(A412,'[1]Sales Order'!A:D,4,FALSE),"")</f>
        <v>39083</v>
      </c>
      <c r="M412" s="10">
        <f>IFERROR(VLOOKUP(A412,'[1]Sales Order'!A:F,6,FALSE),"")</f>
        <v>39092</v>
      </c>
      <c r="N412" t="str">
        <f>IFERROR(VLOOKUP(VLOOKUP(A412,'[1]Sales Order'!A:G,7,FALSE),[1]Shipper!A:B,2,FALSE),"Not Specified")</f>
        <v>Shipper GVSUA</v>
      </c>
      <c r="O412" t="str">
        <f>IFERROR(VLOOKUP(A412,'[1]Sales Order'!A:I,9,FALSE),"Not Specified")</f>
        <v>Ship to 65-A</v>
      </c>
      <c r="P412" t="str">
        <f>IFERROR(VLOOKUP(A412,'[1]Sales Order'!A:N,14,FALSE),"Not Specified")</f>
        <v>USA</v>
      </c>
      <c r="Q412" t="str">
        <f>VLOOKUP(VLOOKUP(B412,[1]Product!A:C,3,FALSE),[1]Supplier!A:B,2,FALSE)</f>
        <v>Supplier VHQZD</v>
      </c>
      <c r="R412" t="str">
        <f>VLOOKUP(VLOOKUP(B412,[1]Product!A:C,3,FALSE),[1]Supplier!A:I,9,FALSE)</f>
        <v>USA</v>
      </c>
      <c r="S412" t="str">
        <f>IFERROR(IF(VLOOKUP(A412,'[1]Sales Order'!A:H,8,FALSE)&gt;100,"High Freight","Low Freight"),"Not Specified")</f>
        <v>Low Freight</v>
      </c>
      <c r="T412">
        <f t="shared" si="13"/>
        <v>336</v>
      </c>
    </row>
    <row r="413" spans="1:20">
      <c r="A413" s="1">
        <v>10401</v>
      </c>
      <c r="B413" s="2">
        <v>71</v>
      </c>
      <c r="C413" s="2">
        <v>17.2</v>
      </c>
      <c r="D413" s="2">
        <v>60</v>
      </c>
      <c r="E413" s="3">
        <v>0</v>
      </c>
      <c r="F413" s="2" t="str">
        <f>IFERROR(VLOOKUP(VLOOKUP(A413,'[1]Sales Order'!A:B,2,FALSE),[1]Customer!A:C,3,FALSE),"Not Specified")</f>
        <v>Moore, Michael</v>
      </c>
      <c r="G413" s="2" t="str">
        <f t="shared" si="12"/>
        <v>Moore Michael</v>
      </c>
      <c r="H413" s="8" t="str">
        <f>IFERROR(VLOOKUP(VLOOKUP(A413,'[1]Sales Order'!A:C,3,FALSE),[1]Employee!A:E,5,FALSE)&amp;" "&amp;VLOOKUP(VLOOKUP(A413,'[1]Sales Order'!A:C,3,FALSE),[1]Employee!A:C,3,FALSE)&amp;" "&amp;VLOOKUP(VLOOKUP(A413,'[1]Sales Order'!A:C,3,FALSE),[1]Employee!A:B,2,FALSE),"Not Specified")</f>
        <v>Ms. Sara Davis</v>
      </c>
      <c r="I413" t="str">
        <f>IFERROR(VLOOKUP(VLOOKUP(A413,'[1]Sales Order'!A:C,3,FALSE),[1]Employee!A:J,10,FALSE),"Not Specified")</f>
        <v>WA</v>
      </c>
      <c r="J413" t="str">
        <f>VLOOKUP(B413,[1]Product!A:B,2,FALSE)</f>
        <v>Product MYMOI</v>
      </c>
      <c r="K413" t="str">
        <f>VLOOKUP(VLOOKUP(B413,[1]Product!A:D,4,FALSE),[1]Category!A:B,2,FALSE)</f>
        <v>Dairy Product</v>
      </c>
      <c r="L413" s="10">
        <f>IFERROR(VLOOKUP(A413,'[1]Sales Order'!A:D,4,FALSE),"")</f>
        <v>39083</v>
      </c>
      <c r="M413" s="10">
        <f>IFERROR(VLOOKUP(A413,'[1]Sales Order'!A:F,6,FALSE),"")</f>
        <v>39092</v>
      </c>
      <c r="N413" t="str">
        <f>IFERROR(VLOOKUP(VLOOKUP(A413,'[1]Sales Order'!A:G,7,FALSE),[1]Shipper!A:B,2,FALSE),"Not Specified")</f>
        <v>Shipper GVSUA</v>
      </c>
      <c r="O413" t="str">
        <f>IFERROR(VLOOKUP(A413,'[1]Sales Order'!A:I,9,FALSE),"Not Specified")</f>
        <v>Ship to 65-A</v>
      </c>
      <c r="P413" t="str">
        <f>IFERROR(VLOOKUP(A413,'[1]Sales Order'!A:N,14,FALSE),"Not Specified")</f>
        <v>USA</v>
      </c>
      <c r="Q413" t="str">
        <f>VLOOKUP(VLOOKUP(B413,[1]Product!A:C,3,FALSE),[1]Supplier!A:B,2,FALSE)</f>
        <v>Supplier NZLIF</v>
      </c>
      <c r="R413" t="str">
        <f>VLOOKUP(VLOOKUP(B413,[1]Product!A:C,3,FALSE),[1]Supplier!A:I,9,FALSE)</f>
        <v>Norway</v>
      </c>
      <c r="S413" t="str">
        <f>IFERROR(IF(VLOOKUP(A413,'[1]Sales Order'!A:H,8,FALSE)&gt;100,"High Freight","Low Freight"),"Not Specified")</f>
        <v>Low Freight</v>
      </c>
      <c r="T413">
        <f t="shared" si="13"/>
        <v>1032</v>
      </c>
    </row>
    <row r="414" spans="1:20">
      <c r="A414" s="1">
        <v>10402</v>
      </c>
      <c r="B414" s="2">
        <v>23</v>
      </c>
      <c r="C414" s="2">
        <v>7.2</v>
      </c>
      <c r="D414" s="2">
        <v>60</v>
      </c>
      <c r="E414" s="3">
        <v>0</v>
      </c>
      <c r="F414" s="2" t="str">
        <f>IFERROR(VLOOKUP(VLOOKUP(A414,'[1]Sales Order'!A:B,2,FALSE),[1]Customer!A:C,3,FALSE),"Not Specified")</f>
        <v>Kane, John</v>
      </c>
      <c r="G414" s="2" t="str">
        <f t="shared" si="12"/>
        <v>Kane John</v>
      </c>
      <c r="H414" s="8" t="str">
        <f>IFERROR(VLOOKUP(VLOOKUP(A414,'[1]Sales Order'!A:C,3,FALSE),[1]Employee!A:E,5,FALSE)&amp;" "&amp;VLOOKUP(VLOOKUP(A414,'[1]Sales Order'!A:C,3,FALSE),[1]Employee!A:C,3,FALSE)&amp;" "&amp;VLOOKUP(VLOOKUP(A414,'[1]Sales Order'!A:C,3,FALSE),[1]Employee!A:B,2,FALSE),"Not Specified")</f>
        <v>Ms. Maria Cameron</v>
      </c>
      <c r="I414" t="str">
        <f>IFERROR(VLOOKUP(VLOOKUP(A414,'[1]Sales Order'!A:C,3,FALSE),[1]Employee!A:J,10,FALSE),"Not Specified")</f>
        <v>WA</v>
      </c>
      <c r="J414" t="str">
        <f>VLOOKUP(B414,[1]Product!A:B,2,FALSE)</f>
        <v>Product JLUDZ</v>
      </c>
      <c r="K414" t="str">
        <f>VLOOKUP(VLOOKUP(B414,[1]Product!A:D,4,FALSE),[1]Category!A:B,2,FALSE)</f>
        <v>Grains/Cereals</v>
      </c>
      <c r="L414" s="10">
        <f>IFERROR(VLOOKUP(A414,'[1]Sales Order'!A:D,4,FALSE),"")</f>
        <v>39084</v>
      </c>
      <c r="M414" s="10">
        <f>IFERROR(VLOOKUP(A414,'[1]Sales Order'!A:F,6,FALSE),"")</f>
        <v>39092</v>
      </c>
      <c r="N414" t="str">
        <f>IFERROR(VLOOKUP(VLOOKUP(A414,'[1]Sales Order'!A:G,7,FALSE),[1]Shipper!A:B,2,FALSE),"Not Specified")</f>
        <v>Shipper ETYNR</v>
      </c>
      <c r="O414" t="str">
        <f>IFERROR(VLOOKUP(A414,'[1]Sales Order'!A:I,9,FALSE),"Not Specified")</f>
        <v>Destination FFXKT</v>
      </c>
      <c r="P414" t="str">
        <f>IFERROR(VLOOKUP(A414,'[1]Sales Order'!A:N,14,FALSE),"Not Specified")</f>
        <v>Austria</v>
      </c>
      <c r="Q414" t="str">
        <f>VLOOKUP(VLOOKUP(B414,[1]Product!A:C,3,FALSE),[1]Supplier!A:B,2,FALSE)</f>
        <v>Supplier QQYEU</v>
      </c>
      <c r="R414" t="str">
        <f>VLOOKUP(VLOOKUP(B414,[1]Product!A:C,3,FALSE),[1]Supplier!A:I,9,FALSE)</f>
        <v>Sweden</v>
      </c>
      <c r="S414" t="str">
        <f>IFERROR(IF(VLOOKUP(A414,'[1]Sales Order'!A:H,8,FALSE)&gt;100,"High Freight","Low Freight"),"Not Specified")</f>
        <v>Low Freight</v>
      </c>
      <c r="T414">
        <f t="shared" si="13"/>
        <v>432</v>
      </c>
    </row>
    <row r="415" spans="1:20">
      <c r="A415" s="1">
        <v>10402</v>
      </c>
      <c r="B415" s="2">
        <v>63</v>
      </c>
      <c r="C415" s="2">
        <v>35.1</v>
      </c>
      <c r="D415" s="2">
        <v>65</v>
      </c>
      <c r="E415" s="3">
        <v>0</v>
      </c>
      <c r="F415" s="2" t="str">
        <f>IFERROR(VLOOKUP(VLOOKUP(A415,'[1]Sales Order'!A:B,2,FALSE),[1]Customer!A:C,3,FALSE),"Not Specified")</f>
        <v>Kane, John</v>
      </c>
      <c r="G415" s="2" t="str">
        <f t="shared" si="12"/>
        <v>Kane John</v>
      </c>
      <c r="H415" s="8" t="str">
        <f>IFERROR(VLOOKUP(VLOOKUP(A415,'[1]Sales Order'!A:C,3,FALSE),[1]Employee!A:E,5,FALSE)&amp;" "&amp;VLOOKUP(VLOOKUP(A415,'[1]Sales Order'!A:C,3,FALSE),[1]Employee!A:C,3,FALSE)&amp;" "&amp;VLOOKUP(VLOOKUP(A415,'[1]Sales Order'!A:C,3,FALSE),[1]Employee!A:B,2,FALSE),"Not Specified")</f>
        <v>Ms. Maria Cameron</v>
      </c>
      <c r="I415" t="str">
        <f>IFERROR(VLOOKUP(VLOOKUP(A415,'[1]Sales Order'!A:C,3,FALSE),[1]Employee!A:J,10,FALSE),"Not Specified")</f>
        <v>WA</v>
      </c>
      <c r="J415" t="str">
        <f>VLOOKUP(B415,[1]Product!A:B,2,FALSE)</f>
        <v>Product ICKNK</v>
      </c>
      <c r="K415" t="str">
        <f>VLOOKUP(VLOOKUP(B415,[1]Product!A:D,4,FALSE),[1]Category!A:B,2,FALSE)</f>
        <v>Condiments</v>
      </c>
      <c r="L415" s="10">
        <f>IFERROR(VLOOKUP(A415,'[1]Sales Order'!A:D,4,FALSE),"")</f>
        <v>39084</v>
      </c>
      <c r="M415" s="10">
        <f>IFERROR(VLOOKUP(A415,'[1]Sales Order'!A:F,6,FALSE),"")</f>
        <v>39092</v>
      </c>
      <c r="N415" t="str">
        <f>IFERROR(VLOOKUP(VLOOKUP(A415,'[1]Sales Order'!A:G,7,FALSE),[1]Shipper!A:B,2,FALSE),"Not Specified")</f>
        <v>Shipper ETYNR</v>
      </c>
      <c r="O415" t="str">
        <f>IFERROR(VLOOKUP(A415,'[1]Sales Order'!A:I,9,FALSE),"Not Specified")</f>
        <v>Destination FFXKT</v>
      </c>
      <c r="P415" t="str">
        <f>IFERROR(VLOOKUP(A415,'[1]Sales Order'!A:N,14,FALSE),"Not Specified")</f>
        <v>Austria</v>
      </c>
      <c r="Q415" t="str">
        <f>VLOOKUP(VLOOKUP(B415,[1]Product!A:C,3,FALSE),[1]Supplier!A:B,2,FALSE)</f>
        <v>Supplier GQRCV</v>
      </c>
      <c r="R415" t="str">
        <f>VLOOKUP(VLOOKUP(B415,[1]Product!A:C,3,FALSE),[1]Supplier!A:I,9,FALSE)</f>
        <v>Australia</v>
      </c>
      <c r="S415" t="str">
        <f>IFERROR(IF(VLOOKUP(A415,'[1]Sales Order'!A:H,8,FALSE)&gt;100,"High Freight","Low Freight"),"Not Specified")</f>
        <v>Low Freight</v>
      </c>
      <c r="T415">
        <f t="shared" si="13"/>
        <v>2281.5</v>
      </c>
    </row>
    <row r="416" spans="1:20">
      <c r="A416" s="1">
        <v>10403</v>
      </c>
      <c r="B416" s="2">
        <v>16</v>
      </c>
      <c r="C416" s="2">
        <v>13.9</v>
      </c>
      <c r="D416" s="2">
        <v>21</v>
      </c>
      <c r="E416" s="3">
        <v>0.15</v>
      </c>
      <c r="F416" s="2" t="str">
        <f>IFERROR(VLOOKUP(VLOOKUP(A416,'[1]Sales Order'!A:B,2,FALSE),[1]Customer!A:C,3,FALSE),"Not Specified")</f>
        <v>Kane, John</v>
      </c>
      <c r="G416" s="2" t="str">
        <f t="shared" si="12"/>
        <v>Kane John</v>
      </c>
      <c r="H416" s="8" t="str">
        <f>IFERROR(VLOOKUP(VLOOKUP(A416,'[1]Sales Order'!A:C,3,FALSE),[1]Employee!A:E,5,FALSE)&amp;" "&amp;VLOOKUP(VLOOKUP(A416,'[1]Sales Order'!A:C,3,FALSE),[1]Employee!A:C,3,FALSE)&amp;" "&amp;VLOOKUP(VLOOKUP(A416,'[1]Sales Order'!A:C,3,FALSE),[1]Employee!A:B,2,FALSE),"Not Specified")</f>
        <v>Mrs. Yael Peled</v>
      </c>
      <c r="I416" t="str">
        <f>IFERROR(VLOOKUP(VLOOKUP(A416,'[1]Sales Order'!A:C,3,FALSE),[1]Employee!A:J,10,FALSE),"Not Specified")</f>
        <v>WA</v>
      </c>
      <c r="J416" t="str">
        <f>VLOOKUP(B416,[1]Product!A:B,2,FALSE)</f>
        <v>Product PAFRH</v>
      </c>
      <c r="K416" t="str">
        <f>VLOOKUP(VLOOKUP(B416,[1]Product!A:D,4,FALSE),[1]Category!A:B,2,FALSE)</f>
        <v>Confections</v>
      </c>
      <c r="L416" s="10">
        <f>IFERROR(VLOOKUP(A416,'[1]Sales Order'!A:D,4,FALSE),"")</f>
        <v>39085</v>
      </c>
      <c r="M416" s="10">
        <f>IFERROR(VLOOKUP(A416,'[1]Sales Order'!A:F,6,FALSE),"")</f>
        <v>39091</v>
      </c>
      <c r="N416" t="str">
        <f>IFERROR(VLOOKUP(VLOOKUP(A416,'[1]Sales Order'!A:G,7,FALSE),[1]Shipper!A:B,2,FALSE),"Not Specified")</f>
        <v>Shipper ZHISN</v>
      </c>
      <c r="O416" t="str">
        <f>IFERROR(VLOOKUP(A416,'[1]Sales Order'!A:I,9,FALSE),"Not Specified")</f>
        <v>Destination RVDMF</v>
      </c>
      <c r="P416" t="str">
        <f>IFERROR(VLOOKUP(A416,'[1]Sales Order'!A:N,14,FALSE),"Not Specified")</f>
        <v>Austria</v>
      </c>
      <c r="Q416" t="str">
        <f>VLOOKUP(VLOOKUP(B416,[1]Product!A:C,3,FALSE),[1]Supplier!A:B,2,FALSE)</f>
        <v>Supplier GQRCV</v>
      </c>
      <c r="R416" t="str">
        <f>VLOOKUP(VLOOKUP(B416,[1]Product!A:C,3,FALSE),[1]Supplier!A:I,9,FALSE)</f>
        <v>Australia</v>
      </c>
      <c r="S416" t="str">
        <f>IFERROR(IF(VLOOKUP(A416,'[1]Sales Order'!A:H,8,FALSE)&gt;100,"High Freight","Low Freight"),"Not Specified")</f>
        <v>Low Freight</v>
      </c>
      <c r="T416">
        <f t="shared" si="13"/>
        <v>248.11500000000001</v>
      </c>
    </row>
    <row r="417" spans="1:20">
      <c r="A417" s="1">
        <v>10403</v>
      </c>
      <c r="B417" s="2">
        <v>48</v>
      </c>
      <c r="C417" s="2">
        <v>10.199999999999999</v>
      </c>
      <c r="D417" s="2">
        <v>70</v>
      </c>
      <c r="E417" s="3">
        <v>0.15</v>
      </c>
      <c r="F417" s="2" t="str">
        <f>IFERROR(VLOOKUP(VLOOKUP(A417,'[1]Sales Order'!A:B,2,FALSE),[1]Customer!A:C,3,FALSE),"Not Specified")</f>
        <v>Kane, John</v>
      </c>
      <c r="G417" s="2" t="str">
        <f t="shared" si="12"/>
        <v>Kane John</v>
      </c>
      <c r="H417" s="8" t="str">
        <f>IFERROR(VLOOKUP(VLOOKUP(A417,'[1]Sales Order'!A:C,3,FALSE),[1]Employee!A:E,5,FALSE)&amp;" "&amp;VLOOKUP(VLOOKUP(A417,'[1]Sales Order'!A:C,3,FALSE),[1]Employee!A:C,3,FALSE)&amp;" "&amp;VLOOKUP(VLOOKUP(A417,'[1]Sales Order'!A:C,3,FALSE),[1]Employee!A:B,2,FALSE),"Not Specified")</f>
        <v>Mrs. Yael Peled</v>
      </c>
      <c r="I417" t="str">
        <f>IFERROR(VLOOKUP(VLOOKUP(A417,'[1]Sales Order'!A:C,3,FALSE),[1]Employee!A:J,10,FALSE),"Not Specified")</f>
        <v>WA</v>
      </c>
      <c r="J417" t="str">
        <f>VLOOKUP(B417,[1]Product!A:B,2,FALSE)</f>
        <v>Product MYNXN</v>
      </c>
      <c r="K417" t="str">
        <f>VLOOKUP(VLOOKUP(B417,[1]Product!A:D,4,FALSE),[1]Category!A:B,2,FALSE)</f>
        <v>Confections</v>
      </c>
      <c r="L417" s="10">
        <f>IFERROR(VLOOKUP(A417,'[1]Sales Order'!A:D,4,FALSE),"")</f>
        <v>39085</v>
      </c>
      <c r="M417" s="10">
        <f>IFERROR(VLOOKUP(A417,'[1]Sales Order'!A:F,6,FALSE),"")</f>
        <v>39091</v>
      </c>
      <c r="N417" t="str">
        <f>IFERROR(VLOOKUP(VLOOKUP(A417,'[1]Sales Order'!A:G,7,FALSE),[1]Shipper!A:B,2,FALSE),"Not Specified")</f>
        <v>Shipper ZHISN</v>
      </c>
      <c r="O417" t="str">
        <f>IFERROR(VLOOKUP(A417,'[1]Sales Order'!A:I,9,FALSE),"Not Specified")</f>
        <v>Destination RVDMF</v>
      </c>
      <c r="P417" t="str">
        <f>IFERROR(VLOOKUP(A417,'[1]Sales Order'!A:N,14,FALSE),"Not Specified")</f>
        <v>Austria</v>
      </c>
      <c r="Q417" t="str">
        <f>VLOOKUP(VLOOKUP(B417,[1]Product!A:C,3,FALSE),[1]Supplier!A:B,2,FALSE)</f>
        <v>Supplier FNUXM</v>
      </c>
      <c r="R417" t="str">
        <f>VLOOKUP(VLOOKUP(B417,[1]Product!A:C,3,FALSE),[1]Supplier!A:I,9,FALSE)</f>
        <v>Netherlands</v>
      </c>
      <c r="S417" t="str">
        <f>IFERROR(IF(VLOOKUP(A417,'[1]Sales Order'!A:H,8,FALSE)&gt;100,"High Freight","Low Freight"),"Not Specified")</f>
        <v>Low Freight</v>
      </c>
      <c r="T417">
        <f t="shared" si="13"/>
        <v>606.9</v>
      </c>
    </row>
    <row r="418" spans="1:20">
      <c r="A418" s="1">
        <v>10404</v>
      </c>
      <c r="B418" s="2">
        <v>26</v>
      </c>
      <c r="C418" s="2">
        <v>24.9</v>
      </c>
      <c r="D418" s="2">
        <v>30</v>
      </c>
      <c r="E418" s="3">
        <v>0.05</v>
      </c>
      <c r="F418" s="2" t="str">
        <f>IFERROR(VLOOKUP(VLOOKUP(A418,'[1]Sales Order'!A:B,2,FALSE),[1]Customer!A:C,3,FALSE),"Not Specified")</f>
        <v>Duerr, Bernard</v>
      </c>
      <c r="G418" s="2" t="str">
        <f t="shared" si="12"/>
        <v>Duerr Bernard</v>
      </c>
      <c r="H418" s="8" t="str">
        <f>IFERROR(VLOOKUP(VLOOKUP(A418,'[1]Sales Order'!A:C,3,FALSE),[1]Employee!A:E,5,FALSE)&amp;" "&amp;VLOOKUP(VLOOKUP(A418,'[1]Sales Order'!A:C,3,FALSE),[1]Employee!A:C,3,FALSE)&amp;" "&amp;VLOOKUP(VLOOKUP(A418,'[1]Sales Order'!A:C,3,FALSE),[1]Employee!A:B,2,FALSE),"Not Specified")</f>
        <v>Dr. Don Funk</v>
      </c>
      <c r="I418" t="str">
        <f>IFERROR(VLOOKUP(VLOOKUP(A418,'[1]Sales Order'!A:C,3,FALSE),[1]Employee!A:J,10,FALSE),"Not Specified")</f>
        <v>WA</v>
      </c>
      <c r="J418" t="str">
        <f>VLOOKUP(B418,[1]Product!A:B,2,FALSE)</f>
        <v>Product HLGZA</v>
      </c>
      <c r="K418" t="str">
        <f>VLOOKUP(VLOOKUP(B418,[1]Product!A:D,4,FALSE),[1]Category!A:B,2,FALSE)</f>
        <v>Confections</v>
      </c>
      <c r="L418" s="10">
        <f>IFERROR(VLOOKUP(A418,'[1]Sales Order'!A:D,4,FALSE),"")</f>
        <v>39085</v>
      </c>
      <c r="M418" s="10">
        <f>IFERROR(VLOOKUP(A418,'[1]Sales Order'!A:F,6,FALSE),"")</f>
        <v>39090</v>
      </c>
      <c r="N418" t="str">
        <f>IFERROR(VLOOKUP(VLOOKUP(A418,'[1]Sales Order'!A:G,7,FALSE),[1]Shipper!A:B,2,FALSE),"Not Specified")</f>
        <v>Shipper GVSUA</v>
      </c>
      <c r="O418" t="str">
        <f>IFERROR(VLOOKUP(A418,'[1]Sales Order'!A:I,9,FALSE),"Not Specified")</f>
        <v>Ship to 49-B</v>
      </c>
      <c r="P418" t="str">
        <f>IFERROR(VLOOKUP(A418,'[1]Sales Order'!A:N,14,FALSE),"Not Specified")</f>
        <v>Italy</v>
      </c>
      <c r="Q418" t="str">
        <f>VLOOKUP(VLOOKUP(B418,[1]Product!A:C,3,FALSE),[1]Supplier!A:B,2,FALSE)</f>
        <v>Supplier ZPYVS</v>
      </c>
      <c r="R418" t="str">
        <f>VLOOKUP(VLOOKUP(B418,[1]Product!A:C,3,FALSE),[1]Supplier!A:I,9,FALSE)</f>
        <v>Germany</v>
      </c>
      <c r="S418" t="str">
        <f>IFERROR(IF(VLOOKUP(A418,'[1]Sales Order'!A:H,8,FALSE)&gt;100,"High Freight","Low Freight"),"Not Specified")</f>
        <v>High Freight</v>
      </c>
      <c r="T418">
        <f t="shared" si="13"/>
        <v>709.65</v>
      </c>
    </row>
    <row r="419" spans="1:20">
      <c r="A419" s="1">
        <v>10404</v>
      </c>
      <c r="B419" s="2">
        <v>42</v>
      </c>
      <c r="C419" s="2">
        <v>11.2</v>
      </c>
      <c r="D419" s="2">
        <v>40</v>
      </c>
      <c r="E419" s="3">
        <v>0.05</v>
      </c>
      <c r="F419" s="2" t="str">
        <f>IFERROR(VLOOKUP(VLOOKUP(A419,'[1]Sales Order'!A:B,2,FALSE),[1]Customer!A:C,3,FALSE),"Not Specified")</f>
        <v>Duerr, Bernard</v>
      </c>
      <c r="G419" s="2" t="str">
        <f t="shared" si="12"/>
        <v>Duerr Bernard</v>
      </c>
      <c r="H419" s="8" t="str">
        <f>IFERROR(VLOOKUP(VLOOKUP(A419,'[1]Sales Order'!A:C,3,FALSE),[1]Employee!A:E,5,FALSE)&amp;" "&amp;VLOOKUP(VLOOKUP(A419,'[1]Sales Order'!A:C,3,FALSE),[1]Employee!A:C,3,FALSE)&amp;" "&amp;VLOOKUP(VLOOKUP(A419,'[1]Sales Order'!A:C,3,FALSE),[1]Employee!A:B,2,FALSE),"Not Specified")</f>
        <v>Dr. Don Funk</v>
      </c>
      <c r="I419" t="str">
        <f>IFERROR(VLOOKUP(VLOOKUP(A419,'[1]Sales Order'!A:C,3,FALSE),[1]Employee!A:J,10,FALSE),"Not Specified")</f>
        <v>WA</v>
      </c>
      <c r="J419" t="str">
        <f>VLOOKUP(B419,[1]Product!A:B,2,FALSE)</f>
        <v>Product RJVNM</v>
      </c>
      <c r="K419" t="str">
        <f>VLOOKUP(VLOOKUP(B419,[1]Product!A:D,4,FALSE),[1]Category!A:B,2,FALSE)</f>
        <v>Grains/Cereals</v>
      </c>
      <c r="L419" s="10">
        <f>IFERROR(VLOOKUP(A419,'[1]Sales Order'!A:D,4,FALSE),"")</f>
        <v>39085</v>
      </c>
      <c r="M419" s="10">
        <f>IFERROR(VLOOKUP(A419,'[1]Sales Order'!A:F,6,FALSE),"")</f>
        <v>39090</v>
      </c>
      <c r="N419" t="str">
        <f>IFERROR(VLOOKUP(VLOOKUP(A419,'[1]Sales Order'!A:G,7,FALSE),[1]Shipper!A:B,2,FALSE),"Not Specified")</f>
        <v>Shipper GVSUA</v>
      </c>
      <c r="O419" t="str">
        <f>IFERROR(VLOOKUP(A419,'[1]Sales Order'!A:I,9,FALSE),"Not Specified")</f>
        <v>Ship to 49-B</v>
      </c>
      <c r="P419" t="str">
        <f>IFERROR(VLOOKUP(A419,'[1]Sales Order'!A:N,14,FALSE),"Not Specified")</f>
        <v>Italy</v>
      </c>
      <c r="Q419" t="str">
        <f>VLOOKUP(VLOOKUP(B419,[1]Product!A:C,3,FALSE),[1]Supplier!A:B,2,FALSE)</f>
        <v>Supplier CIYNM</v>
      </c>
      <c r="R419" t="str">
        <f>VLOOKUP(VLOOKUP(B419,[1]Product!A:C,3,FALSE),[1]Supplier!A:I,9,FALSE)</f>
        <v>Singapore</v>
      </c>
      <c r="S419" t="str">
        <f>IFERROR(IF(VLOOKUP(A419,'[1]Sales Order'!A:H,8,FALSE)&gt;100,"High Freight","Low Freight"),"Not Specified")</f>
        <v>High Freight</v>
      </c>
      <c r="T419">
        <f t="shared" si="13"/>
        <v>425.59999999999997</v>
      </c>
    </row>
    <row r="420" spans="1:20">
      <c r="A420" s="1">
        <v>10404</v>
      </c>
      <c r="B420" s="2">
        <v>49</v>
      </c>
      <c r="C420" s="2">
        <v>16</v>
      </c>
      <c r="D420" s="2">
        <v>30</v>
      </c>
      <c r="E420" s="3">
        <v>0.05</v>
      </c>
      <c r="F420" s="2" t="str">
        <f>IFERROR(VLOOKUP(VLOOKUP(A420,'[1]Sales Order'!A:B,2,FALSE),[1]Customer!A:C,3,FALSE),"Not Specified")</f>
        <v>Duerr, Bernard</v>
      </c>
      <c r="G420" s="2" t="str">
        <f t="shared" si="12"/>
        <v>Duerr Bernard</v>
      </c>
      <c r="H420" s="8" t="str">
        <f>IFERROR(VLOOKUP(VLOOKUP(A420,'[1]Sales Order'!A:C,3,FALSE),[1]Employee!A:E,5,FALSE)&amp;" "&amp;VLOOKUP(VLOOKUP(A420,'[1]Sales Order'!A:C,3,FALSE),[1]Employee!A:C,3,FALSE)&amp;" "&amp;VLOOKUP(VLOOKUP(A420,'[1]Sales Order'!A:C,3,FALSE),[1]Employee!A:B,2,FALSE),"Not Specified")</f>
        <v>Dr. Don Funk</v>
      </c>
      <c r="I420" t="str">
        <f>IFERROR(VLOOKUP(VLOOKUP(A420,'[1]Sales Order'!A:C,3,FALSE),[1]Employee!A:J,10,FALSE),"Not Specified")</f>
        <v>WA</v>
      </c>
      <c r="J420" t="str">
        <f>VLOOKUP(B420,[1]Product!A:B,2,FALSE)</f>
        <v>Product FPYPN</v>
      </c>
      <c r="K420" t="str">
        <f>VLOOKUP(VLOOKUP(B420,[1]Product!A:D,4,FALSE),[1]Category!A:B,2,FALSE)</f>
        <v>Confections</v>
      </c>
      <c r="L420" s="10">
        <f>IFERROR(VLOOKUP(A420,'[1]Sales Order'!A:D,4,FALSE),"")</f>
        <v>39085</v>
      </c>
      <c r="M420" s="10">
        <f>IFERROR(VLOOKUP(A420,'[1]Sales Order'!A:F,6,FALSE),"")</f>
        <v>39090</v>
      </c>
      <c r="N420" t="str">
        <f>IFERROR(VLOOKUP(VLOOKUP(A420,'[1]Sales Order'!A:G,7,FALSE),[1]Shipper!A:B,2,FALSE),"Not Specified")</f>
        <v>Shipper GVSUA</v>
      </c>
      <c r="O420" t="str">
        <f>IFERROR(VLOOKUP(A420,'[1]Sales Order'!A:I,9,FALSE),"Not Specified")</f>
        <v>Ship to 49-B</v>
      </c>
      <c r="P420" t="str">
        <f>IFERROR(VLOOKUP(A420,'[1]Sales Order'!A:N,14,FALSE),"Not Specified")</f>
        <v>Italy</v>
      </c>
      <c r="Q420" t="str">
        <f>VLOOKUP(VLOOKUP(B420,[1]Product!A:C,3,FALSE),[1]Supplier!A:B,2,FALSE)</f>
        <v>Supplier ELCRN</v>
      </c>
      <c r="R420" t="str">
        <f>VLOOKUP(VLOOKUP(B420,[1]Product!A:C,3,FALSE),[1]Supplier!A:I,9,FALSE)</f>
        <v>Finland</v>
      </c>
      <c r="S420" t="str">
        <f>IFERROR(IF(VLOOKUP(A420,'[1]Sales Order'!A:H,8,FALSE)&gt;100,"High Freight","Low Freight"),"Not Specified")</f>
        <v>High Freight</v>
      </c>
      <c r="T420">
        <f t="shared" si="13"/>
        <v>456</v>
      </c>
    </row>
    <row r="421" spans="1:20">
      <c r="A421" s="1">
        <v>10405</v>
      </c>
      <c r="B421" s="2">
        <v>3</v>
      </c>
      <c r="C421" s="2">
        <v>8</v>
      </c>
      <c r="D421" s="2">
        <v>50</v>
      </c>
      <c r="E421" s="3">
        <v>0</v>
      </c>
      <c r="F421" s="2" t="str">
        <f>IFERROR(VLOOKUP(VLOOKUP(A421,'[1]Sales Order'!A:B,2,FALSE),[1]Customer!A:C,3,FALSE),"Not Specified")</f>
        <v>Lupu, Cornel</v>
      </c>
      <c r="G421" s="2" t="str">
        <f t="shared" si="12"/>
        <v>Lupu Cornel</v>
      </c>
      <c r="H421" s="8" t="str">
        <f>IFERROR(VLOOKUP(VLOOKUP(A421,'[1]Sales Order'!A:C,3,FALSE),[1]Employee!A:E,5,FALSE)&amp;" "&amp;VLOOKUP(VLOOKUP(A421,'[1]Sales Order'!A:C,3,FALSE),[1]Employee!A:C,3,FALSE)&amp;" "&amp;VLOOKUP(VLOOKUP(A421,'[1]Sales Order'!A:C,3,FALSE),[1]Employee!A:B,2,FALSE),"Not Specified")</f>
        <v>Ms. Sara Davis</v>
      </c>
      <c r="I421" t="str">
        <f>IFERROR(VLOOKUP(VLOOKUP(A421,'[1]Sales Order'!A:C,3,FALSE),[1]Employee!A:J,10,FALSE),"Not Specified")</f>
        <v>WA</v>
      </c>
      <c r="J421" t="str">
        <f>VLOOKUP(B421,[1]Product!A:B,2,FALSE)</f>
        <v>Product IMEHJ</v>
      </c>
      <c r="K421" t="str">
        <f>VLOOKUP(VLOOKUP(B421,[1]Product!A:D,4,FALSE),[1]Category!A:B,2,FALSE)</f>
        <v>Condiments</v>
      </c>
      <c r="L421" s="10">
        <f>IFERROR(VLOOKUP(A421,'[1]Sales Order'!A:D,4,FALSE),"")</f>
        <v>39088</v>
      </c>
      <c r="M421" s="10">
        <f>IFERROR(VLOOKUP(A421,'[1]Sales Order'!A:F,6,FALSE),"")</f>
        <v>39104</v>
      </c>
      <c r="N421" t="str">
        <f>IFERROR(VLOOKUP(VLOOKUP(A421,'[1]Sales Order'!A:G,7,FALSE),[1]Shipper!A:B,2,FALSE),"Not Specified")</f>
        <v>Shipper GVSUA</v>
      </c>
      <c r="O421" t="str">
        <f>IFERROR(VLOOKUP(A421,'[1]Sales Order'!A:I,9,FALSE),"Not Specified")</f>
        <v>Ship to 47-B</v>
      </c>
      <c r="P421" t="str">
        <f>IFERROR(VLOOKUP(A421,'[1]Sales Order'!A:N,14,FALSE),"Not Specified")</f>
        <v>Venezuela</v>
      </c>
      <c r="Q421" t="str">
        <f>VLOOKUP(VLOOKUP(B421,[1]Product!A:C,3,FALSE),[1]Supplier!A:B,2,FALSE)</f>
        <v>Supplier SWRXU</v>
      </c>
      <c r="R421" t="str">
        <f>VLOOKUP(VLOOKUP(B421,[1]Product!A:C,3,FALSE),[1]Supplier!A:I,9,FALSE)</f>
        <v>UK</v>
      </c>
      <c r="S421" t="str">
        <f>IFERROR(IF(VLOOKUP(A421,'[1]Sales Order'!A:H,8,FALSE)&gt;100,"High Freight","Low Freight"),"Not Specified")</f>
        <v>Low Freight</v>
      </c>
      <c r="T421">
        <f t="shared" si="13"/>
        <v>400</v>
      </c>
    </row>
    <row r="422" spans="1:20">
      <c r="A422" s="1">
        <v>10406</v>
      </c>
      <c r="B422" s="2">
        <v>1</v>
      </c>
      <c r="C422" s="2">
        <v>14.4</v>
      </c>
      <c r="D422" s="2">
        <v>10</v>
      </c>
      <c r="E422" s="3">
        <v>0</v>
      </c>
      <c r="F422" s="2" t="str">
        <f>IFERROR(VLOOKUP(VLOOKUP(A422,'[1]Sales Order'!A:B,2,FALSE),[1]Customer!A:C,3,FALSE),"Not Specified")</f>
        <v>Misiec, Anna</v>
      </c>
      <c r="G422" s="2" t="str">
        <f t="shared" si="12"/>
        <v>Misiec Anna</v>
      </c>
      <c r="H422" s="8" t="str">
        <f>IFERROR(VLOOKUP(VLOOKUP(A422,'[1]Sales Order'!A:C,3,FALSE),[1]Employee!A:E,5,FALSE)&amp;" "&amp;VLOOKUP(VLOOKUP(A422,'[1]Sales Order'!A:C,3,FALSE),[1]Employee!A:C,3,FALSE)&amp;" "&amp;VLOOKUP(VLOOKUP(A422,'[1]Sales Order'!A:C,3,FALSE),[1]Employee!A:B,2,FALSE),"Not Specified")</f>
        <v>Mr. Russell King</v>
      </c>
      <c r="I422">
        <f>IFERROR(VLOOKUP(VLOOKUP(A422,'[1]Sales Order'!A:C,3,FALSE),[1]Employee!A:J,10,FALSE),"Not Specified")</f>
        <v>0</v>
      </c>
      <c r="J422" t="str">
        <f>VLOOKUP(B422,[1]Product!A:B,2,FALSE)</f>
        <v>Product HHYDP</v>
      </c>
      <c r="K422" t="str">
        <f>VLOOKUP(VLOOKUP(B422,[1]Product!A:D,4,FALSE),[1]Category!A:B,2,FALSE)</f>
        <v>Beverages</v>
      </c>
      <c r="L422" s="10">
        <f>IFERROR(VLOOKUP(A422,'[1]Sales Order'!A:D,4,FALSE),"")</f>
        <v>39089</v>
      </c>
      <c r="M422" s="10">
        <f>IFERROR(VLOOKUP(A422,'[1]Sales Order'!A:F,6,FALSE),"")</f>
        <v>39095</v>
      </c>
      <c r="N422" t="str">
        <f>IFERROR(VLOOKUP(VLOOKUP(A422,'[1]Sales Order'!A:G,7,FALSE),[1]Shipper!A:B,2,FALSE),"Not Specified")</f>
        <v>Shipper GVSUA</v>
      </c>
      <c r="O422" t="str">
        <f>IFERROR(VLOOKUP(A422,'[1]Sales Order'!A:I,9,FALSE),"Not Specified")</f>
        <v>Ship to 62-A</v>
      </c>
      <c r="P422" t="str">
        <f>IFERROR(VLOOKUP(A422,'[1]Sales Order'!A:N,14,FALSE),"Not Specified")</f>
        <v>Brazil</v>
      </c>
      <c r="Q422" t="str">
        <f>VLOOKUP(VLOOKUP(B422,[1]Product!A:C,3,FALSE),[1]Supplier!A:B,2,FALSE)</f>
        <v>Supplier SWRXU</v>
      </c>
      <c r="R422" t="str">
        <f>VLOOKUP(VLOOKUP(B422,[1]Product!A:C,3,FALSE),[1]Supplier!A:I,9,FALSE)</f>
        <v>UK</v>
      </c>
      <c r="S422" t="str">
        <f>IFERROR(IF(VLOOKUP(A422,'[1]Sales Order'!A:H,8,FALSE)&gt;100,"High Freight","Low Freight"),"Not Specified")</f>
        <v>High Freight</v>
      </c>
      <c r="T422">
        <f t="shared" si="13"/>
        <v>144</v>
      </c>
    </row>
    <row r="423" spans="1:20">
      <c r="A423" s="1">
        <v>10406</v>
      </c>
      <c r="B423" s="2">
        <v>21</v>
      </c>
      <c r="C423" s="2">
        <v>8</v>
      </c>
      <c r="D423" s="2">
        <v>30</v>
      </c>
      <c r="E423" s="3">
        <v>0.1</v>
      </c>
      <c r="F423" s="2" t="str">
        <f>IFERROR(VLOOKUP(VLOOKUP(A423,'[1]Sales Order'!A:B,2,FALSE),[1]Customer!A:C,3,FALSE),"Not Specified")</f>
        <v>Misiec, Anna</v>
      </c>
      <c r="G423" s="2" t="str">
        <f t="shared" si="12"/>
        <v>Misiec Anna</v>
      </c>
      <c r="H423" s="8" t="str">
        <f>IFERROR(VLOOKUP(VLOOKUP(A423,'[1]Sales Order'!A:C,3,FALSE),[1]Employee!A:E,5,FALSE)&amp;" "&amp;VLOOKUP(VLOOKUP(A423,'[1]Sales Order'!A:C,3,FALSE),[1]Employee!A:C,3,FALSE)&amp;" "&amp;VLOOKUP(VLOOKUP(A423,'[1]Sales Order'!A:C,3,FALSE),[1]Employee!A:B,2,FALSE),"Not Specified")</f>
        <v>Mr. Russell King</v>
      </c>
      <c r="I423">
        <f>IFERROR(VLOOKUP(VLOOKUP(A423,'[1]Sales Order'!A:C,3,FALSE),[1]Employee!A:J,10,FALSE),"Not Specified")</f>
        <v>0</v>
      </c>
      <c r="J423" t="str">
        <f>VLOOKUP(B423,[1]Product!A:B,2,FALSE)</f>
        <v>Product VJZZH</v>
      </c>
      <c r="K423" t="str">
        <f>VLOOKUP(VLOOKUP(B423,[1]Product!A:D,4,FALSE),[1]Category!A:B,2,FALSE)</f>
        <v>Confections</v>
      </c>
      <c r="L423" s="10">
        <f>IFERROR(VLOOKUP(A423,'[1]Sales Order'!A:D,4,FALSE),"")</f>
        <v>39089</v>
      </c>
      <c r="M423" s="10">
        <f>IFERROR(VLOOKUP(A423,'[1]Sales Order'!A:F,6,FALSE),"")</f>
        <v>39095</v>
      </c>
      <c r="N423" t="str">
        <f>IFERROR(VLOOKUP(VLOOKUP(A423,'[1]Sales Order'!A:G,7,FALSE),[1]Shipper!A:B,2,FALSE),"Not Specified")</f>
        <v>Shipper GVSUA</v>
      </c>
      <c r="O423" t="str">
        <f>IFERROR(VLOOKUP(A423,'[1]Sales Order'!A:I,9,FALSE),"Not Specified")</f>
        <v>Ship to 62-A</v>
      </c>
      <c r="P423" t="str">
        <f>IFERROR(VLOOKUP(A423,'[1]Sales Order'!A:N,14,FALSE),"Not Specified")</f>
        <v>Brazil</v>
      </c>
      <c r="Q423" t="str">
        <f>VLOOKUP(VLOOKUP(B423,[1]Product!A:C,3,FALSE),[1]Supplier!A:B,2,FALSE)</f>
        <v>Supplier BWGYE</v>
      </c>
      <c r="R423" t="str">
        <f>VLOOKUP(VLOOKUP(B423,[1]Product!A:C,3,FALSE),[1]Supplier!A:I,9,FALSE)</f>
        <v>UK</v>
      </c>
      <c r="S423" t="str">
        <f>IFERROR(IF(VLOOKUP(A423,'[1]Sales Order'!A:H,8,FALSE)&gt;100,"High Freight","Low Freight"),"Not Specified")</f>
        <v>High Freight</v>
      </c>
      <c r="T423">
        <f t="shared" si="13"/>
        <v>216</v>
      </c>
    </row>
    <row r="424" spans="1:20">
      <c r="A424" s="1">
        <v>10406</v>
      </c>
      <c r="B424" s="2">
        <v>28</v>
      </c>
      <c r="C424" s="2">
        <v>36.4</v>
      </c>
      <c r="D424" s="2">
        <v>42</v>
      </c>
      <c r="E424" s="3">
        <v>0.1</v>
      </c>
      <c r="F424" s="2" t="str">
        <f>IFERROR(VLOOKUP(VLOOKUP(A424,'[1]Sales Order'!A:B,2,FALSE),[1]Customer!A:C,3,FALSE),"Not Specified")</f>
        <v>Misiec, Anna</v>
      </c>
      <c r="G424" s="2" t="str">
        <f t="shared" si="12"/>
        <v>Misiec Anna</v>
      </c>
      <c r="H424" s="8" t="str">
        <f>IFERROR(VLOOKUP(VLOOKUP(A424,'[1]Sales Order'!A:C,3,FALSE),[1]Employee!A:E,5,FALSE)&amp;" "&amp;VLOOKUP(VLOOKUP(A424,'[1]Sales Order'!A:C,3,FALSE),[1]Employee!A:C,3,FALSE)&amp;" "&amp;VLOOKUP(VLOOKUP(A424,'[1]Sales Order'!A:C,3,FALSE),[1]Employee!A:B,2,FALSE),"Not Specified")</f>
        <v>Mr. Russell King</v>
      </c>
      <c r="I424">
        <f>IFERROR(VLOOKUP(VLOOKUP(A424,'[1]Sales Order'!A:C,3,FALSE),[1]Employee!A:J,10,FALSE),"Not Specified")</f>
        <v>0</v>
      </c>
      <c r="J424" t="str">
        <f>VLOOKUP(B424,[1]Product!A:B,2,FALSE)</f>
        <v>Product OFBNT</v>
      </c>
      <c r="K424" t="str">
        <f>VLOOKUP(VLOOKUP(B424,[1]Product!A:D,4,FALSE),[1]Category!A:B,2,FALSE)</f>
        <v>Produce</v>
      </c>
      <c r="L424" s="10">
        <f>IFERROR(VLOOKUP(A424,'[1]Sales Order'!A:D,4,FALSE),"")</f>
        <v>39089</v>
      </c>
      <c r="M424" s="10">
        <f>IFERROR(VLOOKUP(A424,'[1]Sales Order'!A:F,6,FALSE),"")</f>
        <v>39095</v>
      </c>
      <c r="N424" t="str">
        <f>IFERROR(VLOOKUP(VLOOKUP(A424,'[1]Sales Order'!A:G,7,FALSE),[1]Shipper!A:B,2,FALSE),"Not Specified")</f>
        <v>Shipper GVSUA</v>
      </c>
      <c r="O424" t="str">
        <f>IFERROR(VLOOKUP(A424,'[1]Sales Order'!A:I,9,FALSE),"Not Specified")</f>
        <v>Ship to 62-A</v>
      </c>
      <c r="P424" t="str">
        <f>IFERROR(VLOOKUP(A424,'[1]Sales Order'!A:N,14,FALSE),"Not Specified")</f>
        <v>Brazil</v>
      </c>
      <c r="Q424" t="str">
        <f>VLOOKUP(VLOOKUP(B424,[1]Product!A:C,3,FALSE),[1]Supplier!A:B,2,FALSE)</f>
        <v>Supplier SVIYA</v>
      </c>
      <c r="R424" t="str">
        <f>VLOOKUP(VLOOKUP(B424,[1]Product!A:C,3,FALSE),[1]Supplier!A:I,9,FALSE)</f>
        <v>Germany</v>
      </c>
      <c r="S424" t="str">
        <f>IFERROR(IF(VLOOKUP(A424,'[1]Sales Order'!A:H,8,FALSE)&gt;100,"High Freight","Low Freight"),"Not Specified")</f>
        <v>High Freight</v>
      </c>
      <c r="T424">
        <f t="shared" si="13"/>
        <v>1375.92</v>
      </c>
    </row>
    <row r="425" spans="1:20">
      <c r="A425" s="1">
        <v>10406</v>
      </c>
      <c r="B425" s="2">
        <v>36</v>
      </c>
      <c r="C425" s="2">
        <v>15.2</v>
      </c>
      <c r="D425" s="2">
        <v>5</v>
      </c>
      <c r="E425" s="3">
        <v>0.1</v>
      </c>
      <c r="F425" s="2" t="str">
        <f>IFERROR(VLOOKUP(VLOOKUP(A425,'[1]Sales Order'!A:B,2,FALSE),[1]Customer!A:C,3,FALSE),"Not Specified")</f>
        <v>Misiec, Anna</v>
      </c>
      <c r="G425" s="2" t="str">
        <f t="shared" si="12"/>
        <v>Misiec Anna</v>
      </c>
      <c r="H425" s="8" t="str">
        <f>IFERROR(VLOOKUP(VLOOKUP(A425,'[1]Sales Order'!A:C,3,FALSE),[1]Employee!A:E,5,FALSE)&amp;" "&amp;VLOOKUP(VLOOKUP(A425,'[1]Sales Order'!A:C,3,FALSE),[1]Employee!A:C,3,FALSE)&amp;" "&amp;VLOOKUP(VLOOKUP(A425,'[1]Sales Order'!A:C,3,FALSE),[1]Employee!A:B,2,FALSE),"Not Specified")</f>
        <v>Mr. Russell King</v>
      </c>
      <c r="I425">
        <f>IFERROR(VLOOKUP(VLOOKUP(A425,'[1]Sales Order'!A:C,3,FALSE),[1]Employee!A:J,10,FALSE),"Not Specified")</f>
        <v>0</v>
      </c>
      <c r="J425" t="str">
        <f>VLOOKUP(B425,[1]Product!A:B,2,FALSE)</f>
        <v>Product GMKIJ</v>
      </c>
      <c r="K425" t="str">
        <f>VLOOKUP(VLOOKUP(B425,[1]Product!A:D,4,FALSE),[1]Category!A:B,2,FALSE)</f>
        <v>Seafood</v>
      </c>
      <c r="L425" s="10">
        <f>IFERROR(VLOOKUP(A425,'[1]Sales Order'!A:D,4,FALSE),"")</f>
        <v>39089</v>
      </c>
      <c r="M425" s="10">
        <f>IFERROR(VLOOKUP(A425,'[1]Sales Order'!A:F,6,FALSE),"")</f>
        <v>39095</v>
      </c>
      <c r="N425" t="str">
        <f>IFERROR(VLOOKUP(VLOOKUP(A425,'[1]Sales Order'!A:G,7,FALSE),[1]Shipper!A:B,2,FALSE),"Not Specified")</f>
        <v>Shipper GVSUA</v>
      </c>
      <c r="O425" t="str">
        <f>IFERROR(VLOOKUP(A425,'[1]Sales Order'!A:I,9,FALSE),"Not Specified")</f>
        <v>Ship to 62-A</v>
      </c>
      <c r="P425" t="str">
        <f>IFERROR(VLOOKUP(A425,'[1]Sales Order'!A:N,14,FALSE),"Not Specified")</f>
        <v>Brazil</v>
      </c>
      <c r="Q425" t="str">
        <f>VLOOKUP(VLOOKUP(B425,[1]Product!A:C,3,FALSE),[1]Supplier!A:B,2,FALSE)</f>
        <v>Supplier QZGUF</v>
      </c>
      <c r="R425" t="str">
        <f>VLOOKUP(VLOOKUP(B425,[1]Product!A:C,3,FALSE),[1]Supplier!A:I,9,FALSE)</f>
        <v>Sweden</v>
      </c>
      <c r="S425" t="str">
        <f>IFERROR(IF(VLOOKUP(A425,'[1]Sales Order'!A:H,8,FALSE)&gt;100,"High Freight","Low Freight"),"Not Specified")</f>
        <v>High Freight</v>
      </c>
      <c r="T425">
        <f t="shared" si="13"/>
        <v>68.400000000000006</v>
      </c>
    </row>
    <row r="426" spans="1:20">
      <c r="A426" s="1">
        <v>10406</v>
      </c>
      <c r="B426" s="2">
        <v>40</v>
      </c>
      <c r="C426" s="2">
        <v>14.7</v>
      </c>
      <c r="D426" s="2">
        <v>2</v>
      </c>
      <c r="E426" s="3">
        <v>0.1</v>
      </c>
      <c r="F426" s="2" t="str">
        <f>IFERROR(VLOOKUP(VLOOKUP(A426,'[1]Sales Order'!A:B,2,FALSE),[1]Customer!A:C,3,FALSE),"Not Specified")</f>
        <v>Misiec, Anna</v>
      </c>
      <c r="G426" s="2" t="str">
        <f t="shared" si="12"/>
        <v>Misiec Anna</v>
      </c>
      <c r="H426" s="8" t="str">
        <f>IFERROR(VLOOKUP(VLOOKUP(A426,'[1]Sales Order'!A:C,3,FALSE),[1]Employee!A:E,5,FALSE)&amp;" "&amp;VLOOKUP(VLOOKUP(A426,'[1]Sales Order'!A:C,3,FALSE),[1]Employee!A:C,3,FALSE)&amp;" "&amp;VLOOKUP(VLOOKUP(A426,'[1]Sales Order'!A:C,3,FALSE),[1]Employee!A:B,2,FALSE),"Not Specified")</f>
        <v>Mr. Russell King</v>
      </c>
      <c r="I426">
        <f>IFERROR(VLOOKUP(VLOOKUP(A426,'[1]Sales Order'!A:C,3,FALSE),[1]Employee!A:J,10,FALSE),"Not Specified")</f>
        <v>0</v>
      </c>
      <c r="J426" t="str">
        <f>VLOOKUP(B426,[1]Product!A:B,2,FALSE)</f>
        <v>Product YZIXQ</v>
      </c>
      <c r="K426" t="str">
        <f>VLOOKUP(VLOOKUP(B426,[1]Product!A:D,4,FALSE),[1]Category!A:B,2,FALSE)</f>
        <v>Seafood</v>
      </c>
      <c r="L426" s="10">
        <f>IFERROR(VLOOKUP(A426,'[1]Sales Order'!A:D,4,FALSE),"")</f>
        <v>39089</v>
      </c>
      <c r="M426" s="10">
        <f>IFERROR(VLOOKUP(A426,'[1]Sales Order'!A:F,6,FALSE),"")</f>
        <v>39095</v>
      </c>
      <c r="N426" t="str">
        <f>IFERROR(VLOOKUP(VLOOKUP(A426,'[1]Sales Order'!A:G,7,FALSE),[1]Shipper!A:B,2,FALSE),"Not Specified")</f>
        <v>Shipper GVSUA</v>
      </c>
      <c r="O426" t="str">
        <f>IFERROR(VLOOKUP(A426,'[1]Sales Order'!A:I,9,FALSE),"Not Specified")</f>
        <v>Ship to 62-A</v>
      </c>
      <c r="P426" t="str">
        <f>IFERROR(VLOOKUP(A426,'[1]Sales Order'!A:N,14,FALSE),"Not Specified")</f>
        <v>Brazil</v>
      </c>
      <c r="Q426" t="str">
        <f>VLOOKUP(VLOOKUP(B426,[1]Product!A:C,3,FALSE),[1]Supplier!A:B,2,FALSE)</f>
        <v>Supplier JDNUG</v>
      </c>
      <c r="R426" t="str">
        <f>VLOOKUP(VLOOKUP(B426,[1]Product!A:C,3,FALSE),[1]Supplier!A:I,9,FALSE)</f>
        <v>USA</v>
      </c>
      <c r="S426" t="str">
        <f>IFERROR(IF(VLOOKUP(A426,'[1]Sales Order'!A:H,8,FALSE)&gt;100,"High Freight","Low Freight"),"Not Specified")</f>
        <v>High Freight</v>
      </c>
      <c r="T426">
        <f t="shared" si="13"/>
        <v>26.46</v>
      </c>
    </row>
    <row r="427" spans="1:20">
      <c r="A427" s="1">
        <v>10407</v>
      </c>
      <c r="B427" s="2">
        <v>11</v>
      </c>
      <c r="C427" s="2">
        <v>16.8</v>
      </c>
      <c r="D427" s="2">
        <v>30</v>
      </c>
      <c r="E427" s="3">
        <v>0</v>
      </c>
      <c r="F427" s="2" t="str">
        <f>IFERROR(VLOOKUP(VLOOKUP(A427,'[1]Sales Order'!A:B,2,FALSE),[1]Customer!A:C,3,FALSE),"Not Specified")</f>
        <v>Marinova, Nadejda</v>
      </c>
      <c r="G427" s="2" t="str">
        <f t="shared" si="12"/>
        <v>Marinova Nadejda</v>
      </c>
      <c r="H427" s="8" t="str">
        <f>IFERROR(VLOOKUP(VLOOKUP(A427,'[1]Sales Order'!A:C,3,FALSE),[1]Employee!A:E,5,FALSE)&amp;" "&amp;VLOOKUP(VLOOKUP(A427,'[1]Sales Order'!A:C,3,FALSE),[1]Employee!A:C,3,FALSE)&amp;" "&amp;VLOOKUP(VLOOKUP(A427,'[1]Sales Order'!A:C,3,FALSE),[1]Employee!A:B,2,FALSE),"Not Specified")</f>
        <v>Dr. Don Funk</v>
      </c>
      <c r="I427" t="str">
        <f>IFERROR(VLOOKUP(VLOOKUP(A427,'[1]Sales Order'!A:C,3,FALSE),[1]Employee!A:J,10,FALSE),"Not Specified")</f>
        <v>WA</v>
      </c>
      <c r="J427" t="str">
        <f>VLOOKUP(B427,[1]Product!A:B,2,FALSE)</f>
        <v>Product QMVUN</v>
      </c>
      <c r="K427" t="str">
        <f>VLOOKUP(VLOOKUP(B427,[1]Product!A:D,4,FALSE),[1]Category!A:B,2,FALSE)</f>
        <v>Dairy Product</v>
      </c>
      <c r="L427" s="10">
        <f>IFERROR(VLOOKUP(A427,'[1]Sales Order'!A:D,4,FALSE),"")</f>
        <v>39089</v>
      </c>
      <c r="M427" s="10">
        <f>IFERROR(VLOOKUP(A427,'[1]Sales Order'!A:F,6,FALSE),"")</f>
        <v>39112</v>
      </c>
      <c r="N427" t="str">
        <f>IFERROR(VLOOKUP(VLOOKUP(A427,'[1]Sales Order'!A:G,7,FALSE),[1]Shipper!A:B,2,FALSE),"Not Specified")</f>
        <v>Shipper ETYNR</v>
      </c>
      <c r="O427" t="str">
        <f>IFERROR(VLOOKUP(A427,'[1]Sales Order'!A:I,9,FALSE),"Not Specified")</f>
        <v>Ship to 56-B</v>
      </c>
      <c r="P427" t="str">
        <f>IFERROR(VLOOKUP(A427,'[1]Sales Order'!A:N,14,FALSE),"Not Specified")</f>
        <v>Germany</v>
      </c>
      <c r="Q427" t="str">
        <f>VLOOKUP(VLOOKUP(B427,[1]Product!A:C,3,FALSE),[1]Supplier!A:B,2,FALSE)</f>
        <v>Supplier EQPNC</v>
      </c>
      <c r="R427" t="str">
        <f>VLOOKUP(VLOOKUP(B427,[1]Product!A:C,3,FALSE),[1]Supplier!A:I,9,FALSE)</f>
        <v>Spain</v>
      </c>
      <c r="S427" t="str">
        <f>IFERROR(IF(VLOOKUP(A427,'[1]Sales Order'!A:H,8,FALSE)&gt;100,"High Freight","Low Freight"),"Not Specified")</f>
        <v>Low Freight</v>
      </c>
      <c r="T427">
        <f t="shared" si="13"/>
        <v>504</v>
      </c>
    </row>
    <row r="428" spans="1:20">
      <c r="A428" s="1">
        <v>10407</v>
      </c>
      <c r="B428" s="2">
        <v>69</v>
      </c>
      <c r="C428" s="2">
        <v>28.8</v>
      </c>
      <c r="D428" s="2">
        <v>15</v>
      </c>
      <c r="E428" s="3">
        <v>0</v>
      </c>
      <c r="F428" s="2" t="str">
        <f>IFERROR(VLOOKUP(VLOOKUP(A428,'[1]Sales Order'!A:B,2,FALSE),[1]Customer!A:C,3,FALSE),"Not Specified")</f>
        <v>Marinova, Nadejda</v>
      </c>
      <c r="G428" s="2" t="str">
        <f t="shared" si="12"/>
        <v>Marinova Nadejda</v>
      </c>
      <c r="H428" s="8" t="str">
        <f>IFERROR(VLOOKUP(VLOOKUP(A428,'[1]Sales Order'!A:C,3,FALSE),[1]Employee!A:E,5,FALSE)&amp;" "&amp;VLOOKUP(VLOOKUP(A428,'[1]Sales Order'!A:C,3,FALSE),[1]Employee!A:C,3,FALSE)&amp;" "&amp;VLOOKUP(VLOOKUP(A428,'[1]Sales Order'!A:C,3,FALSE),[1]Employee!A:B,2,FALSE),"Not Specified")</f>
        <v>Dr. Don Funk</v>
      </c>
      <c r="I428" t="str">
        <f>IFERROR(VLOOKUP(VLOOKUP(A428,'[1]Sales Order'!A:C,3,FALSE),[1]Employee!A:J,10,FALSE),"Not Specified")</f>
        <v>WA</v>
      </c>
      <c r="J428" t="str">
        <f>VLOOKUP(B428,[1]Product!A:B,2,FALSE)</f>
        <v>Product COAXA</v>
      </c>
      <c r="K428" t="str">
        <f>VLOOKUP(VLOOKUP(B428,[1]Product!A:D,4,FALSE),[1]Category!A:B,2,FALSE)</f>
        <v>Dairy Product</v>
      </c>
      <c r="L428" s="10">
        <f>IFERROR(VLOOKUP(A428,'[1]Sales Order'!A:D,4,FALSE),"")</f>
        <v>39089</v>
      </c>
      <c r="M428" s="10">
        <f>IFERROR(VLOOKUP(A428,'[1]Sales Order'!A:F,6,FALSE),"")</f>
        <v>39112</v>
      </c>
      <c r="N428" t="str">
        <f>IFERROR(VLOOKUP(VLOOKUP(A428,'[1]Sales Order'!A:G,7,FALSE),[1]Shipper!A:B,2,FALSE),"Not Specified")</f>
        <v>Shipper ETYNR</v>
      </c>
      <c r="O428" t="str">
        <f>IFERROR(VLOOKUP(A428,'[1]Sales Order'!A:I,9,FALSE),"Not Specified")</f>
        <v>Ship to 56-B</v>
      </c>
      <c r="P428" t="str">
        <f>IFERROR(VLOOKUP(A428,'[1]Sales Order'!A:N,14,FALSE),"Not Specified")</f>
        <v>Germany</v>
      </c>
      <c r="Q428" t="str">
        <f>VLOOKUP(VLOOKUP(B428,[1]Product!A:C,3,FALSE),[1]Supplier!A:B,2,FALSE)</f>
        <v>Supplier NZLIF</v>
      </c>
      <c r="R428" t="str">
        <f>VLOOKUP(VLOOKUP(B428,[1]Product!A:C,3,FALSE),[1]Supplier!A:I,9,FALSE)</f>
        <v>Norway</v>
      </c>
      <c r="S428" t="str">
        <f>IFERROR(IF(VLOOKUP(A428,'[1]Sales Order'!A:H,8,FALSE)&gt;100,"High Freight","Low Freight"),"Not Specified")</f>
        <v>Low Freight</v>
      </c>
      <c r="T428">
        <f t="shared" si="13"/>
        <v>432</v>
      </c>
    </row>
    <row r="429" spans="1:20">
      <c r="A429" s="1">
        <v>10407</v>
      </c>
      <c r="B429" s="2">
        <v>71</v>
      </c>
      <c r="C429" s="2">
        <v>17.2</v>
      </c>
      <c r="D429" s="2">
        <v>15</v>
      </c>
      <c r="E429" s="3">
        <v>0</v>
      </c>
      <c r="F429" s="2" t="str">
        <f>IFERROR(VLOOKUP(VLOOKUP(A429,'[1]Sales Order'!A:B,2,FALSE),[1]Customer!A:C,3,FALSE),"Not Specified")</f>
        <v>Marinova, Nadejda</v>
      </c>
      <c r="G429" s="2" t="str">
        <f t="shared" si="12"/>
        <v>Marinova Nadejda</v>
      </c>
      <c r="H429" s="8" t="str">
        <f>IFERROR(VLOOKUP(VLOOKUP(A429,'[1]Sales Order'!A:C,3,FALSE),[1]Employee!A:E,5,FALSE)&amp;" "&amp;VLOOKUP(VLOOKUP(A429,'[1]Sales Order'!A:C,3,FALSE),[1]Employee!A:C,3,FALSE)&amp;" "&amp;VLOOKUP(VLOOKUP(A429,'[1]Sales Order'!A:C,3,FALSE),[1]Employee!A:B,2,FALSE),"Not Specified")</f>
        <v>Dr. Don Funk</v>
      </c>
      <c r="I429" t="str">
        <f>IFERROR(VLOOKUP(VLOOKUP(A429,'[1]Sales Order'!A:C,3,FALSE),[1]Employee!A:J,10,FALSE),"Not Specified")</f>
        <v>WA</v>
      </c>
      <c r="J429" t="str">
        <f>VLOOKUP(B429,[1]Product!A:B,2,FALSE)</f>
        <v>Product MYMOI</v>
      </c>
      <c r="K429" t="str">
        <f>VLOOKUP(VLOOKUP(B429,[1]Product!A:D,4,FALSE),[1]Category!A:B,2,FALSE)</f>
        <v>Dairy Product</v>
      </c>
      <c r="L429" s="10">
        <f>IFERROR(VLOOKUP(A429,'[1]Sales Order'!A:D,4,FALSE),"")</f>
        <v>39089</v>
      </c>
      <c r="M429" s="10">
        <f>IFERROR(VLOOKUP(A429,'[1]Sales Order'!A:F,6,FALSE),"")</f>
        <v>39112</v>
      </c>
      <c r="N429" t="str">
        <f>IFERROR(VLOOKUP(VLOOKUP(A429,'[1]Sales Order'!A:G,7,FALSE),[1]Shipper!A:B,2,FALSE),"Not Specified")</f>
        <v>Shipper ETYNR</v>
      </c>
      <c r="O429" t="str">
        <f>IFERROR(VLOOKUP(A429,'[1]Sales Order'!A:I,9,FALSE),"Not Specified")</f>
        <v>Ship to 56-B</v>
      </c>
      <c r="P429" t="str">
        <f>IFERROR(VLOOKUP(A429,'[1]Sales Order'!A:N,14,FALSE),"Not Specified")</f>
        <v>Germany</v>
      </c>
      <c r="Q429" t="str">
        <f>VLOOKUP(VLOOKUP(B429,[1]Product!A:C,3,FALSE),[1]Supplier!A:B,2,FALSE)</f>
        <v>Supplier NZLIF</v>
      </c>
      <c r="R429" t="str">
        <f>VLOOKUP(VLOOKUP(B429,[1]Product!A:C,3,FALSE),[1]Supplier!A:I,9,FALSE)</f>
        <v>Norway</v>
      </c>
      <c r="S429" t="str">
        <f>IFERROR(IF(VLOOKUP(A429,'[1]Sales Order'!A:H,8,FALSE)&gt;100,"High Freight","Low Freight"),"Not Specified")</f>
        <v>Low Freight</v>
      </c>
      <c r="T429">
        <f t="shared" si="13"/>
        <v>258</v>
      </c>
    </row>
    <row r="430" spans="1:20">
      <c r="A430" s="1">
        <v>10408</v>
      </c>
      <c r="B430" s="2">
        <v>37</v>
      </c>
      <c r="C430" s="2">
        <v>20.8</v>
      </c>
      <c r="D430" s="2">
        <v>10</v>
      </c>
      <c r="E430" s="3">
        <v>0</v>
      </c>
      <c r="F430" s="2" t="str">
        <f>IFERROR(VLOOKUP(VLOOKUP(A430,'[1]Sales Order'!A:B,2,FALSE),[1]Customer!A:C,3,FALSE),"Not Specified")</f>
        <v>Khanna, Karan</v>
      </c>
      <c r="G430" s="2" t="str">
        <f t="shared" si="12"/>
        <v>Khanna Karan</v>
      </c>
      <c r="H430" s="8" t="str">
        <f>IFERROR(VLOOKUP(VLOOKUP(A430,'[1]Sales Order'!A:C,3,FALSE),[1]Employee!A:E,5,FALSE)&amp;" "&amp;VLOOKUP(VLOOKUP(A430,'[1]Sales Order'!A:C,3,FALSE),[1]Employee!A:C,3,FALSE)&amp;" "&amp;VLOOKUP(VLOOKUP(A430,'[1]Sales Order'!A:C,3,FALSE),[1]Employee!A:B,2,FALSE),"Not Specified")</f>
        <v>Ms. Maria Cameron</v>
      </c>
      <c r="I430" t="str">
        <f>IFERROR(VLOOKUP(VLOOKUP(A430,'[1]Sales Order'!A:C,3,FALSE),[1]Employee!A:J,10,FALSE),"Not Specified")</f>
        <v>WA</v>
      </c>
      <c r="J430" t="str">
        <f>VLOOKUP(B430,[1]Product!A:B,2,FALSE)</f>
        <v>Product EVFFA</v>
      </c>
      <c r="K430" t="str">
        <f>VLOOKUP(VLOOKUP(B430,[1]Product!A:D,4,FALSE),[1]Category!A:B,2,FALSE)</f>
        <v>Seafood</v>
      </c>
      <c r="L430" s="10">
        <f>IFERROR(VLOOKUP(A430,'[1]Sales Order'!A:D,4,FALSE),"")</f>
        <v>39090</v>
      </c>
      <c r="M430" s="10">
        <f>IFERROR(VLOOKUP(A430,'[1]Sales Order'!A:F,6,FALSE),"")</f>
        <v>39096</v>
      </c>
      <c r="N430" t="str">
        <f>IFERROR(VLOOKUP(VLOOKUP(A430,'[1]Sales Order'!A:G,7,FALSE),[1]Shipper!A:B,2,FALSE),"Not Specified")</f>
        <v>Shipper GVSUA</v>
      </c>
      <c r="O430" t="str">
        <f>IFERROR(VLOOKUP(A430,'[1]Sales Order'!A:I,9,FALSE),"Not Specified")</f>
        <v>Destination PXQRR</v>
      </c>
      <c r="P430" t="str">
        <f>IFERROR(VLOOKUP(A430,'[1]Sales Order'!A:N,14,FALSE),"Not Specified")</f>
        <v>France</v>
      </c>
      <c r="Q430" t="str">
        <f>VLOOKUP(VLOOKUP(B430,[1]Product!A:C,3,FALSE),[1]Supplier!A:B,2,FALSE)</f>
        <v>Supplier QZGUF</v>
      </c>
      <c r="R430" t="str">
        <f>VLOOKUP(VLOOKUP(B430,[1]Product!A:C,3,FALSE),[1]Supplier!A:I,9,FALSE)</f>
        <v>Sweden</v>
      </c>
      <c r="S430" t="str">
        <f>IFERROR(IF(VLOOKUP(A430,'[1]Sales Order'!A:H,8,FALSE)&gt;100,"High Freight","Low Freight"),"Not Specified")</f>
        <v>Low Freight</v>
      </c>
      <c r="T430">
        <f t="shared" si="13"/>
        <v>208</v>
      </c>
    </row>
    <row r="431" spans="1:20">
      <c r="A431" s="1">
        <v>10408</v>
      </c>
      <c r="B431" s="2">
        <v>54</v>
      </c>
      <c r="C431" s="2">
        <v>5.9</v>
      </c>
      <c r="D431" s="2">
        <v>6</v>
      </c>
      <c r="E431" s="3">
        <v>0</v>
      </c>
      <c r="F431" s="2" t="str">
        <f>IFERROR(VLOOKUP(VLOOKUP(A431,'[1]Sales Order'!A:B,2,FALSE),[1]Customer!A:C,3,FALSE),"Not Specified")</f>
        <v>Khanna, Karan</v>
      </c>
      <c r="G431" s="2" t="str">
        <f t="shared" si="12"/>
        <v>Khanna Karan</v>
      </c>
      <c r="H431" s="8" t="str">
        <f>IFERROR(VLOOKUP(VLOOKUP(A431,'[1]Sales Order'!A:C,3,FALSE),[1]Employee!A:E,5,FALSE)&amp;" "&amp;VLOOKUP(VLOOKUP(A431,'[1]Sales Order'!A:C,3,FALSE),[1]Employee!A:C,3,FALSE)&amp;" "&amp;VLOOKUP(VLOOKUP(A431,'[1]Sales Order'!A:C,3,FALSE),[1]Employee!A:B,2,FALSE),"Not Specified")</f>
        <v>Ms. Maria Cameron</v>
      </c>
      <c r="I431" t="str">
        <f>IFERROR(VLOOKUP(VLOOKUP(A431,'[1]Sales Order'!A:C,3,FALSE),[1]Employee!A:J,10,FALSE),"Not Specified")</f>
        <v>WA</v>
      </c>
      <c r="J431" t="str">
        <f>VLOOKUP(B431,[1]Product!A:B,2,FALSE)</f>
        <v>Product QAQRL</v>
      </c>
      <c r="K431" t="str">
        <f>VLOOKUP(VLOOKUP(B431,[1]Product!A:D,4,FALSE),[1]Category!A:B,2,FALSE)</f>
        <v>Meat/Poultry</v>
      </c>
      <c r="L431" s="10">
        <f>IFERROR(VLOOKUP(A431,'[1]Sales Order'!A:D,4,FALSE),"")</f>
        <v>39090</v>
      </c>
      <c r="M431" s="10">
        <f>IFERROR(VLOOKUP(A431,'[1]Sales Order'!A:F,6,FALSE),"")</f>
        <v>39096</v>
      </c>
      <c r="N431" t="str">
        <f>IFERROR(VLOOKUP(VLOOKUP(A431,'[1]Sales Order'!A:G,7,FALSE),[1]Shipper!A:B,2,FALSE),"Not Specified")</f>
        <v>Shipper GVSUA</v>
      </c>
      <c r="O431" t="str">
        <f>IFERROR(VLOOKUP(A431,'[1]Sales Order'!A:I,9,FALSE),"Not Specified")</f>
        <v>Destination PXQRR</v>
      </c>
      <c r="P431" t="str">
        <f>IFERROR(VLOOKUP(A431,'[1]Sales Order'!A:N,14,FALSE),"Not Specified")</f>
        <v>France</v>
      </c>
      <c r="Q431" t="str">
        <f>VLOOKUP(VLOOKUP(B431,[1]Product!A:C,3,FALSE),[1]Supplier!A:B,2,FALSE)</f>
        <v>Supplier ERVYZ</v>
      </c>
      <c r="R431" t="str">
        <f>VLOOKUP(VLOOKUP(B431,[1]Product!A:C,3,FALSE),[1]Supplier!A:I,9,FALSE)</f>
        <v>Canada</v>
      </c>
      <c r="S431" t="str">
        <f>IFERROR(IF(VLOOKUP(A431,'[1]Sales Order'!A:H,8,FALSE)&gt;100,"High Freight","Low Freight"),"Not Specified")</f>
        <v>Low Freight</v>
      </c>
      <c r="T431">
        <f t="shared" si="13"/>
        <v>35.400000000000006</v>
      </c>
    </row>
    <row r="432" spans="1:20">
      <c r="A432" s="1">
        <v>10408</v>
      </c>
      <c r="B432" s="2">
        <v>62</v>
      </c>
      <c r="C432" s="2">
        <v>39.4</v>
      </c>
      <c r="D432" s="2">
        <v>35</v>
      </c>
      <c r="E432" s="3">
        <v>0</v>
      </c>
      <c r="F432" s="2" t="str">
        <f>IFERROR(VLOOKUP(VLOOKUP(A432,'[1]Sales Order'!A:B,2,FALSE),[1]Customer!A:C,3,FALSE),"Not Specified")</f>
        <v>Khanna, Karan</v>
      </c>
      <c r="G432" s="2" t="str">
        <f t="shared" si="12"/>
        <v>Khanna Karan</v>
      </c>
      <c r="H432" s="8" t="str">
        <f>IFERROR(VLOOKUP(VLOOKUP(A432,'[1]Sales Order'!A:C,3,FALSE),[1]Employee!A:E,5,FALSE)&amp;" "&amp;VLOOKUP(VLOOKUP(A432,'[1]Sales Order'!A:C,3,FALSE),[1]Employee!A:C,3,FALSE)&amp;" "&amp;VLOOKUP(VLOOKUP(A432,'[1]Sales Order'!A:C,3,FALSE),[1]Employee!A:B,2,FALSE),"Not Specified")</f>
        <v>Ms. Maria Cameron</v>
      </c>
      <c r="I432" t="str">
        <f>IFERROR(VLOOKUP(VLOOKUP(A432,'[1]Sales Order'!A:C,3,FALSE),[1]Employee!A:J,10,FALSE),"Not Specified")</f>
        <v>WA</v>
      </c>
      <c r="J432" t="str">
        <f>VLOOKUP(B432,[1]Product!A:B,2,FALSE)</f>
        <v>Product WUXYK</v>
      </c>
      <c r="K432" t="str">
        <f>VLOOKUP(VLOOKUP(B432,[1]Product!A:D,4,FALSE),[1]Category!A:B,2,FALSE)</f>
        <v>Confections</v>
      </c>
      <c r="L432" s="10">
        <f>IFERROR(VLOOKUP(A432,'[1]Sales Order'!A:D,4,FALSE),"")</f>
        <v>39090</v>
      </c>
      <c r="M432" s="10">
        <f>IFERROR(VLOOKUP(A432,'[1]Sales Order'!A:F,6,FALSE),"")</f>
        <v>39096</v>
      </c>
      <c r="N432" t="str">
        <f>IFERROR(VLOOKUP(VLOOKUP(A432,'[1]Sales Order'!A:G,7,FALSE),[1]Shipper!A:B,2,FALSE),"Not Specified")</f>
        <v>Shipper GVSUA</v>
      </c>
      <c r="O432" t="str">
        <f>IFERROR(VLOOKUP(A432,'[1]Sales Order'!A:I,9,FALSE),"Not Specified")</f>
        <v>Destination PXQRR</v>
      </c>
      <c r="P432" t="str">
        <f>IFERROR(VLOOKUP(A432,'[1]Sales Order'!A:N,14,FALSE),"Not Specified")</f>
        <v>France</v>
      </c>
      <c r="Q432" t="str">
        <f>VLOOKUP(VLOOKUP(B432,[1]Product!A:C,3,FALSE),[1]Supplier!A:B,2,FALSE)</f>
        <v>Supplier OGLRK</v>
      </c>
      <c r="R432" t="str">
        <f>VLOOKUP(VLOOKUP(B432,[1]Product!A:C,3,FALSE),[1]Supplier!A:I,9,FALSE)</f>
        <v>Canada</v>
      </c>
      <c r="S432" t="str">
        <f>IFERROR(IF(VLOOKUP(A432,'[1]Sales Order'!A:H,8,FALSE)&gt;100,"High Freight","Low Freight"),"Not Specified")</f>
        <v>Low Freight</v>
      </c>
      <c r="T432">
        <f t="shared" si="13"/>
        <v>1379</v>
      </c>
    </row>
    <row r="433" spans="1:20">
      <c r="A433" s="1">
        <v>10409</v>
      </c>
      <c r="B433" s="2">
        <v>14</v>
      </c>
      <c r="C433" s="2">
        <v>18.600000000000001</v>
      </c>
      <c r="D433" s="2">
        <v>12</v>
      </c>
      <c r="E433" s="3">
        <v>0</v>
      </c>
      <c r="F433" s="2" t="str">
        <f>IFERROR(VLOOKUP(VLOOKUP(A433,'[1]Sales Order'!A:B,2,FALSE),[1]Customer!A:C,3,FALSE),"Not Specified")</f>
        <v>Tiano, Mike</v>
      </c>
      <c r="G433" s="2" t="str">
        <f t="shared" si="12"/>
        <v>Tiano Mike</v>
      </c>
      <c r="H433" s="8" t="str">
        <f>IFERROR(VLOOKUP(VLOOKUP(A433,'[1]Sales Order'!A:C,3,FALSE),[1]Employee!A:E,5,FALSE)&amp;" "&amp;VLOOKUP(VLOOKUP(A433,'[1]Sales Order'!A:C,3,FALSE),[1]Employee!A:C,3,FALSE)&amp;" "&amp;VLOOKUP(VLOOKUP(A433,'[1]Sales Order'!A:C,3,FALSE),[1]Employee!A:B,2,FALSE),"Not Specified")</f>
        <v>Ms. Judy Lew</v>
      </c>
      <c r="I433" t="str">
        <f>IFERROR(VLOOKUP(VLOOKUP(A433,'[1]Sales Order'!A:C,3,FALSE),[1]Employee!A:J,10,FALSE),"Not Specified")</f>
        <v>WA</v>
      </c>
      <c r="J433" t="str">
        <f>VLOOKUP(B433,[1]Product!A:B,2,FALSE)</f>
        <v>Product PWCJB</v>
      </c>
      <c r="K433" t="str">
        <f>VLOOKUP(VLOOKUP(B433,[1]Product!A:D,4,FALSE),[1]Category!A:B,2,FALSE)</f>
        <v>Produce</v>
      </c>
      <c r="L433" s="10">
        <f>IFERROR(VLOOKUP(A433,'[1]Sales Order'!A:D,4,FALSE),"")</f>
        <v>39091</v>
      </c>
      <c r="M433" s="10">
        <f>IFERROR(VLOOKUP(A433,'[1]Sales Order'!A:F,6,FALSE),"")</f>
        <v>39096</v>
      </c>
      <c r="N433" t="str">
        <f>IFERROR(VLOOKUP(VLOOKUP(A433,'[1]Sales Order'!A:G,7,FALSE),[1]Shipper!A:B,2,FALSE),"Not Specified")</f>
        <v>Shipper GVSUA</v>
      </c>
      <c r="O433" t="str">
        <f>IFERROR(VLOOKUP(A433,'[1]Sales Order'!A:I,9,FALSE),"Not Specified")</f>
        <v>Ship to 54-C</v>
      </c>
      <c r="P433" t="str">
        <f>IFERROR(VLOOKUP(A433,'[1]Sales Order'!A:N,14,FALSE),"Not Specified")</f>
        <v>Argentina</v>
      </c>
      <c r="Q433" t="str">
        <f>VLOOKUP(VLOOKUP(B433,[1]Product!A:C,3,FALSE),[1]Supplier!A:B,2,FALSE)</f>
        <v>Supplier QWUSF</v>
      </c>
      <c r="R433" t="str">
        <f>VLOOKUP(VLOOKUP(B433,[1]Product!A:C,3,FALSE),[1]Supplier!A:I,9,FALSE)</f>
        <v>Japan</v>
      </c>
      <c r="S433" t="str">
        <f>IFERROR(IF(VLOOKUP(A433,'[1]Sales Order'!A:H,8,FALSE)&gt;100,"High Freight","Low Freight"),"Not Specified")</f>
        <v>Low Freight</v>
      </c>
      <c r="T433">
        <f t="shared" si="13"/>
        <v>223.20000000000002</v>
      </c>
    </row>
    <row r="434" spans="1:20">
      <c r="A434" s="1">
        <v>10409</v>
      </c>
      <c r="B434" s="2">
        <v>21</v>
      </c>
      <c r="C434" s="2">
        <v>8</v>
      </c>
      <c r="D434" s="2">
        <v>12</v>
      </c>
      <c r="E434" s="3">
        <v>0</v>
      </c>
      <c r="F434" s="2" t="str">
        <f>IFERROR(VLOOKUP(VLOOKUP(A434,'[1]Sales Order'!A:B,2,FALSE),[1]Customer!A:C,3,FALSE),"Not Specified")</f>
        <v>Tiano, Mike</v>
      </c>
      <c r="G434" s="2" t="str">
        <f t="shared" si="12"/>
        <v>Tiano Mike</v>
      </c>
      <c r="H434" s="8" t="str">
        <f>IFERROR(VLOOKUP(VLOOKUP(A434,'[1]Sales Order'!A:C,3,FALSE),[1]Employee!A:E,5,FALSE)&amp;" "&amp;VLOOKUP(VLOOKUP(A434,'[1]Sales Order'!A:C,3,FALSE),[1]Employee!A:C,3,FALSE)&amp;" "&amp;VLOOKUP(VLOOKUP(A434,'[1]Sales Order'!A:C,3,FALSE),[1]Employee!A:B,2,FALSE),"Not Specified")</f>
        <v>Ms. Judy Lew</v>
      </c>
      <c r="I434" t="str">
        <f>IFERROR(VLOOKUP(VLOOKUP(A434,'[1]Sales Order'!A:C,3,FALSE),[1]Employee!A:J,10,FALSE),"Not Specified")</f>
        <v>WA</v>
      </c>
      <c r="J434" t="str">
        <f>VLOOKUP(B434,[1]Product!A:B,2,FALSE)</f>
        <v>Product VJZZH</v>
      </c>
      <c r="K434" t="str">
        <f>VLOOKUP(VLOOKUP(B434,[1]Product!A:D,4,FALSE),[1]Category!A:B,2,FALSE)</f>
        <v>Confections</v>
      </c>
      <c r="L434" s="10">
        <f>IFERROR(VLOOKUP(A434,'[1]Sales Order'!A:D,4,FALSE),"")</f>
        <v>39091</v>
      </c>
      <c r="M434" s="10">
        <f>IFERROR(VLOOKUP(A434,'[1]Sales Order'!A:F,6,FALSE),"")</f>
        <v>39096</v>
      </c>
      <c r="N434" t="str">
        <f>IFERROR(VLOOKUP(VLOOKUP(A434,'[1]Sales Order'!A:G,7,FALSE),[1]Shipper!A:B,2,FALSE),"Not Specified")</f>
        <v>Shipper GVSUA</v>
      </c>
      <c r="O434" t="str">
        <f>IFERROR(VLOOKUP(A434,'[1]Sales Order'!A:I,9,FALSE),"Not Specified")</f>
        <v>Ship to 54-C</v>
      </c>
      <c r="P434" t="str">
        <f>IFERROR(VLOOKUP(A434,'[1]Sales Order'!A:N,14,FALSE),"Not Specified")</f>
        <v>Argentina</v>
      </c>
      <c r="Q434" t="str">
        <f>VLOOKUP(VLOOKUP(B434,[1]Product!A:C,3,FALSE),[1]Supplier!A:B,2,FALSE)</f>
        <v>Supplier BWGYE</v>
      </c>
      <c r="R434" t="str">
        <f>VLOOKUP(VLOOKUP(B434,[1]Product!A:C,3,FALSE),[1]Supplier!A:I,9,FALSE)</f>
        <v>UK</v>
      </c>
      <c r="S434" t="str">
        <f>IFERROR(IF(VLOOKUP(A434,'[1]Sales Order'!A:H,8,FALSE)&gt;100,"High Freight","Low Freight"),"Not Specified")</f>
        <v>Low Freight</v>
      </c>
      <c r="T434">
        <f t="shared" si="13"/>
        <v>96</v>
      </c>
    </row>
    <row r="435" spans="1:20">
      <c r="A435" s="1">
        <v>10410</v>
      </c>
      <c r="B435" s="2">
        <v>33</v>
      </c>
      <c r="C435" s="2">
        <v>2</v>
      </c>
      <c r="D435" s="2">
        <v>49</v>
      </c>
      <c r="E435" s="3">
        <v>0</v>
      </c>
      <c r="F435" s="2" t="str">
        <f>IFERROR(VLOOKUP(VLOOKUP(A435,'[1]Sales Order'!A:B,2,FALSE),[1]Customer!A:C,3,FALSE),"Not Specified")</f>
        <v>Bassols, Pilar Colome</v>
      </c>
      <c r="G435" s="2" t="str">
        <f t="shared" si="12"/>
        <v>Bassols Pilar Colome</v>
      </c>
      <c r="H435" s="8" t="str">
        <f>IFERROR(VLOOKUP(VLOOKUP(A435,'[1]Sales Order'!A:C,3,FALSE),[1]Employee!A:E,5,FALSE)&amp;" "&amp;VLOOKUP(VLOOKUP(A435,'[1]Sales Order'!A:C,3,FALSE),[1]Employee!A:C,3,FALSE)&amp;" "&amp;VLOOKUP(VLOOKUP(A435,'[1]Sales Order'!A:C,3,FALSE),[1]Employee!A:B,2,FALSE),"Not Specified")</f>
        <v>Ms. Judy Lew</v>
      </c>
      <c r="I435" t="str">
        <f>IFERROR(VLOOKUP(VLOOKUP(A435,'[1]Sales Order'!A:C,3,FALSE),[1]Employee!A:J,10,FALSE),"Not Specified")</f>
        <v>WA</v>
      </c>
      <c r="J435" t="str">
        <f>VLOOKUP(B435,[1]Product!A:B,2,FALSE)</f>
        <v>Product ASTMN</v>
      </c>
      <c r="K435" t="str">
        <f>VLOOKUP(VLOOKUP(B435,[1]Product!A:D,4,FALSE),[1]Category!A:B,2,FALSE)</f>
        <v>Dairy Product</v>
      </c>
      <c r="L435" s="10">
        <f>IFERROR(VLOOKUP(A435,'[1]Sales Order'!A:D,4,FALSE),"")</f>
        <v>39092</v>
      </c>
      <c r="M435" s="10">
        <f>IFERROR(VLOOKUP(A435,'[1]Sales Order'!A:F,6,FALSE),"")</f>
        <v>39097</v>
      </c>
      <c r="N435" t="str">
        <f>IFERROR(VLOOKUP(VLOOKUP(A435,'[1]Sales Order'!A:G,7,FALSE),[1]Shipper!A:B,2,FALSE),"Not Specified")</f>
        <v>Shipper ZHISN</v>
      </c>
      <c r="O435" t="str">
        <f>IFERROR(VLOOKUP(A435,'[1]Sales Order'!A:I,9,FALSE),"Not Specified")</f>
        <v>Destination OLSSJ</v>
      </c>
      <c r="P435" t="str">
        <f>IFERROR(VLOOKUP(A435,'[1]Sales Order'!A:N,14,FALSE),"Not Specified")</f>
        <v>Canada</v>
      </c>
      <c r="Q435" t="str">
        <f>VLOOKUP(VLOOKUP(B435,[1]Product!A:C,3,FALSE),[1]Supplier!A:B,2,FALSE)</f>
        <v>Supplier NZLIF</v>
      </c>
      <c r="R435" t="str">
        <f>VLOOKUP(VLOOKUP(B435,[1]Product!A:C,3,FALSE),[1]Supplier!A:I,9,FALSE)</f>
        <v>Norway</v>
      </c>
      <c r="S435" t="str">
        <f>IFERROR(IF(VLOOKUP(A435,'[1]Sales Order'!A:H,8,FALSE)&gt;100,"High Freight","Low Freight"),"Not Specified")</f>
        <v>Low Freight</v>
      </c>
      <c r="T435">
        <f t="shared" si="13"/>
        <v>98</v>
      </c>
    </row>
    <row r="436" spans="1:20">
      <c r="A436" s="1">
        <v>10410</v>
      </c>
      <c r="B436" s="2">
        <v>59</v>
      </c>
      <c r="C436" s="2">
        <v>44</v>
      </c>
      <c r="D436" s="2">
        <v>16</v>
      </c>
      <c r="E436" s="3">
        <v>0</v>
      </c>
      <c r="F436" s="2" t="str">
        <f>IFERROR(VLOOKUP(VLOOKUP(A436,'[1]Sales Order'!A:B,2,FALSE),[1]Customer!A:C,3,FALSE),"Not Specified")</f>
        <v>Bassols, Pilar Colome</v>
      </c>
      <c r="G436" s="2" t="str">
        <f t="shared" si="12"/>
        <v>Bassols Pilar Colome</v>
      </c>
      <c r="H436" s="8" t="str">
        <f>IFERROR(VLOOKUP(VLOOKUP(A436,'[1]Sales Order'!A:C,3,FALSE),[1]Employee!A:E,5,FALSE)&amp;" "&amp;VLOOKUP(VLOOKUP(A436,'[1]Sales Order'!A:C,3,FALSE),[1]Employee!A:C,3,FALSE)&amp;" "&amp;VLOOKUP(VLOOKUP(A436,'[1]Sales Order'!A:C,3,FALSE),[1]Employee!A:B,2,FALSE),"Not Specified")</f>
        <v>Ms. Judy Lew</v>
      </c>
      <c r="I436" t="str">
        <f>IFERROR(VLOOKUP(VLOOKUP(A436,'[1]Sales Order'!A:C,3,FALSE),[1]Employee!A:J,10,FALSE),"Not Specified")</f>
        <v>WA</v>
      </c>
      <c r="J436" t="str">
        <f>VLOOKUP(B436,[1]Product!A:B,2,FALSE)</f>
        <v>Product UKXRI</v>
      </c>
      <c r="K436" t="str">
        <f>VLOOKUP(VLOOKUP(B436,[1]Product!A:D,4,FALSE),[1]Category!A:B,2,FALSE)</f>
        <v>Dairy Product</v>
      </c>
      <c r="L436" s="10">
        <f>IFERROR(VLOOKUP(A436,'[1]Sales Order'!A:D,4,FALSE),"")</f>
        <v>39092</v>
      </c>
      <c r="M436" s="10">
        <f>IFERROR(VLOOKUP(A436,'[1]Sales Order'!A:F,6,FALSE),"")</f>
        <v>39097</v>
      </c>
      <c r="N436" t="str">
        <f>IFERROR(VLOOKUP(VLOOKUP(A436,'[1]Sales Order'!A:G,7,FALSE),[1]Shipper!A:B,2,FALSE),"Not Specified")</f>
        <v>Shipper ZHISN</v>
      </c>
      <c r="O436" t="str">
        <f>IFERROR(VLOOKUP(A436,'[1]Sales Order'!A:I,9,FALSE),"Not Specified")</f>
        <v>Destination OLSSJ</v>
      </c>
      <c r="P436" t="str">
        <f>IFERROR(VLOOKUP(A436,'[1]Sales Order'!A:N,14,FALSE),"Not Specified")</f>
        <v>Canada</v>
      </c>
      <c r="Q436" t="str">
        <f>VLOOKUP(VLOOKUP(B436,[1]Product!A:C,3,FALSE),[1]Supplier!A:B,2,FALSE)</f>
        <v>Supplier OAVQT</v>
      </c>
      <c r="R436" t="str">
        <f>VLOOKUP(VLOOKUP(B436,[1]Product!A:C,3,FALSE),[1]Supplier!A:I,9,FALSE)</f>
        <v>France</v>
      </c>
      <c r="S436" t="str">
        <f>IFERROR(IF(VLOOKUP(A436,'[1]Sales Order'!A:H,8,FALSE)&gt;100,"High Freight","Low Freight"),"Not Specified")</f>
        <v>Low Freight</v>
      </c>
      <c r="T436">
        <f t="shared" si="13"/>
        <v>704</v>
      </c>
    </row>
    <row r="437" spans="1:20">
      <c r="A437" s="1">
        <v>10411</v>
      </c>
      <c r="B437" s="2">
        <v>41</v>
      </c>
      <c r="C437" s="2">
        <v>7.7</v>
      </c>
      <c r="D437" s="2">
        <v>25</v>
      </c>
      <c r="E437" s="3">
        <v>0.2</v>
      </c>
      <c r="F437" s="2" t="str">
        <f>IFERROR(VLOOKUP(VLOOKUP(A437,'[1]Sales Order'!A:B,2,FALSE),[1]Customer!A:C,3,FALSE),"Not Specified")</f>
        <v>Bassols, Pilar Colome</v>
      </c>
      <c r="G437" s="2" t="str">
        <f t="shared" si="12"/>
        <v>Bassols Pilar Colome</v>
      </c>
      <c r="H437" s="8" t="str">
        <f>IFERROR(VLOOKUP(VLOOKUP(A437,'[1]Sales Order'!A:C,3,FALSE),[1]Employee!A:E,5,FALSE)&amp;" "&amp;VLOOKUP(VLOOKUP(A437,'[1]Sales Order'!A:C,3,FALSE),[1]Employee!A:C,3,FALSE)&amp;" "&amp;VLOOKUP(VLOOKUP(A437,'[1]Sales Order'!A:C,3,FALSE),[1]Employee!A:B,2,FALSE),"Not Specified")</f>
        <v>Ms. Zoya Dolgopyatova</v>
      </c>
      <c r="I437">
        <f>IFERROR(VLOOKUP(VLOOKUP(A437,'[1]Sales Order'!A:C,3,FALSE),[1]Employee!A:J,10,FALSE),"Not Specified")</f>
        <v>0</v>
      </c>
      <c r="J437" t="str">
        <f>VLOOKUP(B437,[1]Product!A:B,2,FALSE)</f>
        <v>Product TTEEX</v>
      </c>
      <c r="K437" t="str">
        <f>VLOOKUP(VLOOKUP(B437,[1]Product!A:D,4,FALSE),[1]Category!A:B,2,FALSE)</f>
        <v>Seafood</v>
      </c>
      <c r="L437" s="10">
        <f>IFERROR(VLOOKUP(A437,'[1]Sales Order'!A:D,4,FALSE),"")</f>
        <v>39092</v>
      </c>
      <c r="M437" s="10">
        <f>IFERROR(VLOOKUP(A437,'[1]Sales Order'!A:F,6,FALSE),"")</f>
        <v>39103</v>
      </c>
      <c r="N437" t="str">
        <f>IFERROR(VLOOKUP(VLOOKUP(A437,'[1]Sales Order'!A:G,7,FALSE),[1]Shipper!A:B,2,FALSE),"Not Specified")</f>
        <v>Shipper ZHISN</v>
      </c>
      <c r="O437" t="str">
        <f>IFERROR(VLOOKUP(A437,'[1]Sales Order'!A:I,9,FALSE),"Not Specified")</f>
        <v>Destination XJIBQ</v>
      </c>
      <c r="P437" t="str">
        <f>IFERROR(VLOOKUP(A437,'[1]Sales Order'!A:N,14,FALSE),"Not Specified")</f>
        <v>Canada</v>
      </c>
      <c r="Q437" t="str">
        <f>VLOOKUP(VLOOKUP(B437,[1]Product!A:C,3,FALSE),[1]Supplier!A:B,2,FALSE)</f>
        <v>Supplier JDNUG</v>
      </c>
      <c r="R437" t="str">
        <f>VLOOKUP(VLOOKUP(B437,[1]Product!A:C,3,FALSE),[1]Supplier!A:I,9,FALSE)</f>
        <v>USA</v>
      </c>
      <c r="S437" t="str">
        <f>IFERROR(IF(VLOOKUP(A437,'[1]Sales Order'!A:H,8,FALSE)&gt;100,"High Freight","Low Freight"),"Not Specified")</f>
        <v>Low Freight</v>
      </c>
      <c r="T437">
        <f t="shared" si="13"/>
        <v>154</v>
      </c>
    </row>
    <row r="438" spans="1:20">
      <c r="A438" s="1">
        <v>10411</v>
      </c>
      <c r="B438" s="2">
        <v>44</v>
      </c>
      <c r="C438" s="2">
        <v>15.5</v>
      </c>
      <c r="D438" s="2">
        <v>40</v>
      </c>
      <c r="E438" s="3">
        <v>0.2</v>
      </c>
      <c r="F438" s="2" t="str">
        <f>IFERROR(VLOOKUP(VLOOKUP(A438,'[1]Sales Order'!A:B,2,FALSE),[1]Customer!A:C,3,FALSE),"Not Specified")</f>
        <v>Bassols, Pilar Colome</v>
      </c>
      <c r="G438" s="2" t="str">
        <f t="shared" si="12"/>
        <v>Bassols Pilar Colome</v>
      </c>
      <c r="H438" s="8" t="str">
        <f>IFERROR(VLOOKUP(VLOOKUP(A438,'[1]Sales Order'!A:C,3,FALSE),[1]Employee!A:E,5,FALSE)&amp;" "&amp;VLOOKUP(VLOOKUP(A438,'[1]Sales Order'!A:C,3,FALSE),[1]Employee!A:C,3,FALSE)&amp;" "&amp;VLOOKUP(VLOOKUP(A438,'[1]Sales Order'!A:C,3,FALSE),[1]Employee!A:B,2,FALSE),"Not Specified")</f>
        <v>Ms. Zoya Dolgopyatova</v>
      </c>
      <c r="I438">
        <f>IFERROR(VLOOKUP(VLOOKUP(A438,'[1]Sales Order'!A:C,3,FALSE),[1]Employee!A:J,10,FALSE),"Not Specified")</f>
        <v>0</v>
      </c>
      <c r="J438" t="str">
        <f>VLOOKUP(B438,[1]Product!A:B,2,FALSE)</f>
        <v>Product VJIEO</v>
      </c>
      <c r="K438" t="str">
        <f>VLOOKUP(VLOOKUP(B438,[1]Product!A:D,4,FALSE),[1]Category!A:B,2,FALSE)</f>
        <v>Condiments</v>
      </c>
      <c r="L438" s="10">
        <f>IFERROR(VLOOKUP(A438,'[1]Sales Order'!A:D,4,FALSE),"")</f>
        <v>39092</v>
      </c>
      <c r="M438" s="10">
        <f>IFERROR(VLOOKUP(A438,'[1]Sales Order'!A:F,6,FALSE),"")</f>
        <v>39103</v>
      </c>
      <c r="N438" t="str">
        <f>IFERROR(VLOOKUP(VLOOKUP(A438,'[1]Sales Order'!A:G,7,FALSE),[1]Shipper!A:B,2,FALSE),"Not Specified")</f>
        <v>Shipper ZHISN</v>
      </c>
      <c r="O438" t="str">
        <f>IFERROR(VLOOKUP(A438,'[1]Sales Order'!A:I,9,FALSE),"Not Specified")</f>
        <v>Destination XJIBQ</v>
      </c>
      <c r="P438" t="str">
        <f>IFERROR(VLOOKUP(A438,'[1]Sales Order'!A:N,14,FALSE),"Not Specified")</f>
        <v>Canada</v>
      </c>
      <c r="Q438" t="str">
        <f>VLOOKUP(VLOOKUP(B438,[1]Product!A:C,3,FALSE),[1]Supplier!A:B,2,FALSE)</f>
        <v>Supplier CIYNM</v>
      </c>
      <c r="R438" t="str">
        <f>VLOOKUP(VLOOKUP(B438,[1]Product!A:C,3,FALSE),[1]Supplier!A:I,9,FALSE)</f>
        <v>Singapore</v>
      </c>
      <c r="S438" t="str">
        <f>IFERROR(IF(VLOOKUP(A438,'[1]Sales Order'!A:H,8,FALSE)&gt;100,"High Freight","Low Freight"),"Not Specified")</f>
        <v>Low Freight</v>
      </c>
      <c r="T438">
        <f t="shared" si="13"/>
        <v>496</v>
      </c>
    </row>
    <row r="439" spans="1:20">
      <c r="A439" s="1">
        <v>10411</v>
      </c>
      <c r="B439" s="2">
        <v>59</v>
      </c>
      <c r="C439" s="2">
        <v>44</v>
      </c>
      <c r="D439" s="2">
        <v>9</v>
      </c>
      <c r="E439" s="3">
        <v>0.2</v>
      </c>
      <c r="F439" s="2" t="str">
        <f>IFERROR(VLOOKUP(VLOOKUP(A439,'[1]Sales Order'!A:B,2,FALSE),[1]Customer!A:C,3,FALSE),"Not Specified")</f>
        <v>Bassols, Pilar Colome</v>
      </c>
      <c r="G439" s="2" t="str">
        <f t="shared" si="12"/>
        <v>Bassols Pilar Colome</v>
      </c>
      <c r="H439" s="8" t="str">
        <f>IFERROR(VLOOKUP(VLOOKUP(A439,'[1]Sales Order'!A:C,3,FALSE),[1]Employee!A:E,5,FALSE)&amp;" "&amp;VLOOKUP(VLOOKUP(A439,'[1]Sales Order'!A:C,3,FALSE),[1]Employee!A:C,3,FALSE)&amp;" "&amp;VLOOKUP(VLOOKUP(A439,'[1]Sales Order'!A:C,3,FALSE),[1]Employee!A:B,2,FALSE),"Not Specified")</f>
        <v>Ms. Zoya Dolgopyatova</v>
      </c>
      <c r="I439">
        <f>IFERROR(VLOOKUP(VLOOKUP(A439,'[1]Sales Order'!A:C,3,FALSE),[1]Employee!A:J,10,FALSE),"Not Specified")</f>
        <v>0</v>
      </c>
      <c r="J439" t="str">
        <f>VLOOKUP(B439,[1]Product!A:B,2,FALSE)</f>
        <v>Product UKXRI</v>
      </c>
      <c r="K439" t="str">
        <f>VLOOKUP(VLOOKUP(B439,[1]Product!A:D,4,FALSE),[1]Category!A:B,2,FALSE)</f>
        <v>Dairy Product</v>
      </c>
      <c r="L439" s="10">
        <f>IFERROR(VLOOKUP(A439,'[1]Sales Order'!A:D,4,FALSE),"")</f>
        <v>39092</v>
      </c>
      <c r="M439" s="10">
        <f>IFERROR(VLOOKUP(A439,'[1]Sales Order'!A:F,6,FALSE),"")</f>
        <v>39103</v>
      </c>
      <c r="N439" t="str">
        <f>IFERROR(VLOOKUP(VLOOKUP(A439,'[1]Sales Order'!A:G,7,FALSE),[1]Shipper!A:B,2,FALSE),"Not Specified")</f>
        <v>Shipper ZHISN</v>
      </c>
      <c r="O439" t="str">
        <f>IFERROR(VLOOKUP(A439,'[1]Sales Order'!A:I,9,FALSE),"Not Specified")</f>
        <v>Destination XJIBQ</v>
      </c>
      <c r="P439" t="str">
        <f>IFERROR(VLOOKUP(A439,'[1]Sales Order'!A:N,14,FALSE),"Not Specified")</f>
        <v>Canada</v>
      </c>
      <c r="Q439" t="str">
        <f>VLOOKUP(VLOOKUP(B439,[1]Product!A:C,3,FALSE),[1]Supplier!A:B,2,FALSE)</f>
        <v>Supplier OAVQT</v>
      </c>
      <c r="R439" t="str">
        <f>VLOOKUP(VLOOKUP(B439,[1]Product!A:C,3,FALSE),[1]Supplier!A:I,9,FALSE)</f>
        <v>France</v>
      </c>
      <c r="S439" t="str">
        <f>IFERROR(IF(VLOOKUP(A439,'[1]Sales Order'!A:H,8,FALSE)&gt;100,"High Freight","Low Freight"),"Not Specified")</f>
        <v>Low Freight</v>
      </c>
      <c r="T439">
        <f t="shared" si="13"/>
        <v>316.8</v>
      </c>
    </row>
    <row r="440" spans="1:20">
      <c r="A440" s="1">
        <v>10412</v>
      </c>
      <c r="B440" s="2">
        <v>14</v>
      </c>
      <c r="C440" s="2">
        <v>18.600000000000001</v>
      </c>
      <c r="D440" s="2">
        <v>20</v>
      </c>
      <c r="E440" s="3">
        <v>0.1</v>
      </c>
      <c r="F440" s="2" t="str">
        <f>IFERROR(VLOOKUP(VLOOKUP(A440,'[1]Sales Order'!A:B,2,FALSE),[1]Customer!A:C,3,FALSE),"Not Specified")</f>
        <v>Ludwig, Michael</v>
      </c>
      <c r="G440" s="2" t="str">
        <f t="shared" si="12"/>
        <v>Ludwig Michael</v>
      </c>
      <c r="H440" s="8" t="str">
        <f>IFERROR(VLOOKUP(VLOOKUP(A440,'[1]Sales Order'!A:C,3,FALSE),[1]Employee!A:E,5,FALSE)&amp;" "&amp;VLOOKUP(VLOOKUP(A440,'[1]Sales Order'!A:C,3,FALSE),[1]Employee!A:C,3,FALSE)&amp;" "&amp;VLOOKUP(VLOOKUP(A440,'[1]Sales Order'!A:C,3,FALSE),[1]Employee!A:B,2,FALSE),"Not Specified")</f>
        <v>Ms. Maria Cameron</v>
      </c>
      <c r="I440" t="str">
        <f>IFERROR(VLOOKUP(VLOOKUP(A440,'[1]Sales Order'!A:C,3,FALSE),[1]Employee!A:J,10,FALSE),"Not Specified")</f>
        <v>WA</v>
      </c>
      <c r="J440" t="str">
        <f>VLOOKUP(B440,[1]Product!A:B,2,FALSE)</f>
        <v>Product PWCJB</v>
      </c>
      <c r="K440" t="str">
        <f>VLOOKUP(VLOOKUP(B440,[1]Product!A:D,4,FALSE),[1]Category!A:B,2,FALSE)</f>
        <v>Produce</v>
      </c>
      <c r="L440" s="10">
        <f>IFERROR(VLOOKUP(A440,'[1]Sales Order'!A:D,4,FALSE),"")</f>
        <v>39095</v>
      </c>
      <c r="M440" s="10">
        <f>IFERROR(VLOOKUP(A440,'[1]Sales Order'!A:F,6,FALSE),"")</f>
        <v>39097</v>
      </c>
      <c r="N440" t="str">
        <f>IFERROR(VLOOKUP(VLOOKUP(A440,'[1]Sales Order'!A:G,7,FALSE),[1]Shipper!A:B,2,FALSE),"Not Specified")</f>
        <v>Shipper ETYNR</v>
      </c>
      <c r="O440" t="str">
        <f>IFERROR(VLOOKUP(A440,'[1]Sales Order'!A:I,9,FALSE),"Not Specified")</f>
        <v>Ship to 87-C</v>
      </c>
      <c r="P440" t="str">
        <f>IFERROR(VLOOKUP(A440,'[1]Sales Order'!A:N,14,FALSE),"Not Specified")</f>
        <v>Finland</v>
      </c>
      <c r="Q440" t="str">
        <f>VLOOKUP(VLOOKUP(B440,[1]Product!A:C,3,FALSE),[1]Supplier!A:B,2,FALSE)</f>
        <v>Supplier QWUSF</v>
      </c>
      <c r="R440" t="str">
        <f>VLOOKUP(VLOOKUP(B440,[1]Product!A:C,3,FALSE),[1]Supplier!A:I,9,FALSE)</f>
        <v>Japan</v>
      </c>
      <c r="S440" t="str">
        <f>IFERROR(IF(VLOOKUP(A440,'[1]Sales Order'!A:H,8,FALSE)&gt;100,"High Freight","Low Freight"),"Not Specified")</f>
        <v>Low Freight</v>
      </c>
      <c r="T440">
        <f t="shared" si="13"/>
        <v>334.8</v>
      </c>
    </row>
    <row r="441" spans="1:20">
      <c r="A441" s="1">
        <v>10413</v>
      </c>
      <c r="B441" s="2">
        <v>1</v>
      </c>
      <c r="C441" s="2">
        <v>14.4</v>
      </c>
      <c r="D441" s="2">
        <v>24</v>
      </c>
      <c r="E441" s="3">
        <v>0</v>
      </c>
      <c r="F441" s="2" t="str">
        <f>IFERROR(VLOOKUP(VLOOKUP(A441,'[1]Sales Order'!A:B,2,FALSE),[1]Customer!A:C,3,FALSE),"Not Specified")</f>
        <v>Litton, Tim</v>
      </c>
      <c r="G441" s="2" t="str">
        <f t="shared" si="12"/>
        <v>Litton Tim</v>
      </c>
      <c r="H441" s="8" t="str">
        <f>IFERROR(VLOOKUP(VLOOKUP(A441,'[1]Sales Order'!A:C,3,FALSE),[1]Employee!A:E,5,FALSE)&amp;" "&amp;VLOOKUP(VLOOKUP(A441,'[1]Sales Order'!A:C,3,FALSE),[1]Employee!A:C,3,FALSE)&amp;" "&amp;VLOOKUP(VLOOKUP(A441,'[1]Sales Order'!A:C,3,FALSE),[1]Employee!A:B,2,FALSE),"Not Specified")</f>
        <v>Ms. Judy Lew</v>
      </c>
      <c r="I441" t="str">
        <f>IFERROR(VLOOKUP(VLOOKUP(A441,'[1]Sales Order'!A:C,3,FALSE),[1]Employee!A:J,10,FALSE),"Not Specified")</f>
        <v>WA</v>
      </c>
      <c r="J441" t="str">
        <f>VLOOKUP(B441,[1]Product!A:B,2,FALSE)</f>
        <v>Product HHYDP</v>
      </c>
      <c r="K441" t="str">
        <f>VLOOKUP(VLOOKUP(B441,[1]Product!A:D,4,FALSE),[1]Category!A:B,2,FALSE)</f>
        <v>Beverages</v>
      </c>
      <c r="L441" s="10">
        <f>IFERROR(VLOOKUP(A441,'[1]Sales Order'!A:D,4,FALSE),"")</f>
        <v>39096</v>
      </c>
      <c r="M441" s="10">
        <f>IFERROR(VLOOKUP(A441,'[1]Sales Order'!A:F,6,FALSE),"")</f>
        <v>39098</v>
      </c>
      <c r="N441" t="str">
        <f>IFERROR(VLOOKUP(VLOOKUP(A441,'[1]Sales Order'!A:G,7,FALSE),[1]Shipper!A:B,2,FALSE),"Not Specified")</f>
        <v>Shipper ETYNR</v>
      </c>
      <c r="O441" t="str">
        <f>IFERROR(VLOOKUP(A441,'[1]Sales Order'!A:I,9,FALSE),"Not Specified")</f>
        <v>Destination DWJIO</v>
      </c>
      <c r="P441" t="str">
        <f>IFERROR(VLOOKUP(A441,'[1]Sales Order'!A:N,14,FALSE),"Not Specified")</f>
        <v>France</v>
      </c>
      <c r="Q441" t="str">
        <f>VLOOKUP(VLOOKUP(B441,[1]Product!A:C,3,FALSE),[1]Supplier!A:B,2,FALSE)</f>
        <v>Supplier SWRXU</v>
      </c>
      <c r="R441" t="str">
        <f>VLOOKUP(VLOOKUP(B441,[1]Product!A:C,3,FALSE),[1]Supplier!A:I,9,FALSE)</f>
        <v>UK</v>
      </c>
      <c r="S441" t="str">
        <f>IFERROR(IF(VLOOKUP(A441,'[1]Sales Order'!A:H,8,FALSE)&gt;100,"High Freight","Low Freight"),"Not Specified")</f>
        <v>Low Freight</v>
      </c>
      <c r="T441">
        <f t="shared" si="13"/>
        <v>345.6</v>
      </c>
    </row>
    <row r="442" spans="1:20">
      <c r="A442" s="1">
        <v>10413</v>
      </c>
      <c r="B442" s="2">
        <v>62</v>
      </c>
      <c r="C442" s="2">
        <v>39.4</v>
      </c>
      <c r="D442" s="2">
        <v>40</v>
      </c>
      <c r="E442" s="3">
        <v>0</v>
      </c>
      <c r="F442" s="2" t="str">
        <f>IFERROR(VLOOKUP(VLOOKUP(A442,'[1]Sales Order'!A:B,2,FALSE),[1]Customer!A:C,3,FALSE),"Not Specified")</f>
        <v>Litton, Tim</v>
      </c>
      <c r="G442" s="2" t="str">
        <f t="shared" si="12"/>
        <v>Litton Tim</v>
      </c>
      <c r="H442" s="8" t="str">
        <f>IFERROR(VLOOKUP(VLOOKUP(A442,'[1]Sales Order'!A:C,3,FALSE),[1]Employee!A:E,5,FALSE)&amp;" "&amp;VLOOKUP(VLOOKUP(A442,'[1]Sales Order'!A:C,3,FALSE),[1]Employee!A:C,3,FALSE)&amp;" "&amp;VLOOKUP(VLOOKUP(A442,'[1]Sales Order'!A:C,3,FALSE),[1]Employee!A:B,2,FALSE),"Not Specified")</f>
        <v>Ms. Judy Lew</v>
      </c>
      <c r="I442" t="str">
        <f>IFERROR(VLOOKUP(VLOOKUP(A442,'[1]Sales Order'!A:C,3,FALSE),[1]Employee!A:J,10,FALSE),"Not Specified")</f>
        <v>WA</v>
      </c>
      <c r="J442" t="str">
        <f>VLOOKUP(B442,[1]Product!A:B,2,FALSE)</f>
        <v>Product WUXYK</v>
      </c>
      <c r="K442" t="str">
        <f>VLOOKUP(VLOOKUP(B442,[1]Product!A:D,4,FALSE),[1]Category!A:B,2,FALSE)</f>
        <v>Confections</v>
      </c>
      <c r="L442" s="10">
        <f>IFERROR(VLOOKUP(A442,'[1]Sales Order'!A:D,4,FALSE),"")</f>
        <v>39096</v>
      </c>
      <c r="M442" s="10">
        <f>IFERROR(VLOOKUP(A442,'[1]Sales Order'!A:F,6,FALSE),"")</f>
        <v>39098</v>
      </c>
      <c r="N442" t="str">
        <f>IFERROR(VLOOKUP(VLOOKUP(A442,'[1]Sales Order'!A:G,7,FALSE),[1]Shipper!A:B,2,FALSE),"Not Specified")</f>
        <v>Shipper ETYNR</v>
      </c>
      <c r="O442" t="str">
        <f>IFERROR(VLOOKUP(A442,'[1]Sales Order'!A:I,9,FALSE),"Not Specified")</f>
        <v>Destination DWJIO</v>
      </c>
      <c r="P442" t="str">
        <f>IFERROR(VLOOKUP(A442,'[1]Sales Order'!A:N,14,FALSE),"Not Specified")</f>
        <v>France</v>
      </c>
      <c r="Q442" t="str">
        <f>VLOOKUP(VLOOKUP(B442,[1]Product!A:C,3,FALSE),[1]Supplier!A:B,2,FALSE)</f>
        <v>Supplier OGLRK</v>
      </c>
      <c r="R442" t="str">
        <f>VLOOKUP(VLOOKUP(B442,[1]Product!A:C,3,FALSE),[1]Supplier!A:I,9,FALSE)</f>
        <v>Canada</v>
      </c>
      <c r="S442" t="str">
        <f>IFERROR(IF(VLOOKUP(A442,'[1]Sales Order'!A:H,8,FALSE)&gt;100,"High Freight","Low Freight"),"Not Specified")</f>
        <v>Low Freight</v>
      </c>
      <c r="T442">
        <f t="shared" si="13"/>
        <v>1576</v>
      </c>
    </row>
    <row r="443" spans="1:20">
      <c r="A443" s="1">
        <v>10413</v>
      </c>
      <c r="B443" s="2">
        <v>76</v>
      </c>
      <c r="C443" s="2">
        <v>14.4</v>
      </c>
      <c r="D443" s="2">
        <v>14</v>
      </c>
      <c r="E443" s="3">
        <v>0</v>
      </c>
      <c r="F443" s="2" t="str">
        <f>IFERROR(VLOOKUP(VLOOKUP(A443,'[1]Sales Order'!A:B,2,FALSE),[1]Customer!A:C,3,FALSE),"Not Specified")</f>
        <v>Litton, Tim</v>
      </c>
      <c r="G443" s="2" t="str">
        <f t="shared" si="12"/>
        <v>Litton Tim</v>
      </c>
      <c r="H443" s="8" t="str">
        <f>IFERROR(VLOOKUP(VLOOKUP(A443,'[1]Sales Order'!A:C,3,FALSE),[1]Employee!A:E,5,FALSE)&amp;" "&amp;VLOOKUP(VLOOKUP(A443,'[1]Sales Order'!A:C,3,FALSE),[1]Employee!A:C,3,FALSE)&amp;" "&amp;VLOOKUP(VLOOKUP(A443,'[1]Sales Order'!A:C,3,FALSE),[1]Employee!A:B,2,FALSE),"Not Specified")</f>
        <v>Ms. Judy Lew</v>
      </c>
      <c r="I443" t="str">
        <f>IFERROR(VLOOKUP(VLOOKUP(A443,'[1]Sales Order'!A:C,3,FALSE),[1]Employee!A:J,10,FALSE),"Not Specified")</f>
        <v>WA</v>
      </c>
      <c r="J443" t="str">
        <f>VLOOKUP(B443,[1]Product!A:B,2,FALSE)</f>
        <v>Product JYGFE</v>
      </c>
      <c r="K443" t="str">
        <f>VLOOKUP(VLOOKUP(B443,[1]Product!A:D,4,FALSE),[1]Category!A:B,2,FALSE)</f>
        <v>Beverages</v>
      </c>
      <c r="L443" s="10">
        <f>IFERROR(VLOOKUP(A443,'[1]Sales Order'!A:D,4,FALSE),"")</f>
        <v>39096</v>
      </c>
      <c r="M443" s="10">
        <f>IFERROR(VLOOKUP(A443,'[1]Sales Order'!A:F,6,FALSE),"")</f>
        <v>39098</v>
      </c>
      <c r="N443" t="str">
        <f>IFERROR(VLOOKUP(VLOOKUP(A443,'[1]Sales Order'!A:G,7,FALSE),[1]Shipper!A:B,2,FALSE),"Not Specified")</f>
        <v>Shipper ETYNR</v>
      </c>
      <c r="O443" t="str">
        <f>IFERROR(VLOOKUP(A443,'[1]Sales Order'!A:I,9,FALSE),"Not Specified")</f>
        <v>Destination DWJIO</v>
      </c>
      <c r="P443" t="str">
        <f>IFERROR(VLOOKUP(A443,'[1]Sales Order'!A:N,14,FALSE),"Not Specified")</f>
        <v>France</v>
      </c>
      <c r="Q443" t="str">
        <f>VLOOKUP(VLOOKUP(B443,[1]Product!A:C,3,FALSE),[1]Supplier!A:B,2,FALSE)</f>
        <v>Supplier ELCRN</v>
      </c>
      <c r="R443" t="str">
        <f>VLOOKUP(VLOOKUP(B443,[1]Product!A:C,3,FALSE),[1]Supplier!A:I,9,FALSE)</f>
        <v>Finland</v>
      </c>
      <c r="S443" t="str">
        <f>IFERROR(IF(VLOOKUP(A443,'[1]Sales Order'!A:H,8,FALSE)&gt;100,"High Freight","Low Freight"),"Not Specified")</f>
        <v>Low Freight</v>
      </c>
      <c r="T443">
        <f t="shared" si="13"/>
        <v>201.6</v>
      </c>
    </row>
    <row r="444" spans="1:20">
      <c r="A444" s="1">
        <v>10414</v>
      </c>
      <c r="B444" s="2">
        <v>19</v>
      </c>
      <c r="C444" s="2">
        <v>7.3</v>
      </c>
      <c r="D444" s="2">
        <v>18</v>
      </c>
      <c r="E444" s="3">
        <v>0.05</v>
      </c>
      <c r="F444" s="2" t="str">
        <f>IFERROR(VLOOKUP(VLOOKUP(A444,'[1]Sales Order'!A:B,2,FALSE),[1]Customer!A:C,3,FALSE),"Not Specified")</f>
        <v>Russo, Giuseppe</v>
      </c>
      <c r="G444" s="2" t="str">
        <f t="shared" si="12"/>
        <v>Russo Giuseppe</v>
      </c>
      <c r="H444" s="8" t="str">
        <f>IFERROR(VLOOKUP(VLOOKUP(A444,'[1]Sales Order'!A:C,3,FALSE),[1]Employee!A:E,5,FALSE)&amp;" "&amp;VLOOKUP(VLOOKUP(A444,'[1]Sales Order'!A:C,3,FALSE),[1]Employee!A:C,3,FALSE)&amp;" "&amp;VLOOKUP(VLOOKUP(A444,'[1]Sales Order'!A:C,3,FALSE),[1]Employee!A:B,2,FALSE),"Not Specified")</f>
        <v>Dr. Don Funk</v>
      </c>
      <c r="I444" t="str">
        <f>IFERROR(VLOOKUP(VLOOKUP(A444,'[1]Sales Order'!A:C,3,FALSE),[1]Employee!A:J,10,FALSE),"Not Specified")</f>
        <v>WA</v>
      </c>
      <c r="J444" t="str">
        <f>VLOOKUP(B444,[1]Product!A:B,2,FALSE)</f>
        <v>Product XKXDO</v>
      </c>
      <c r="K444" t="str">
        <f>VLOOKUP(VLOOKUP(B444,[1]Product!A:D,4,FALSE),[1]Category!A:B,2,FALSE)</f>
        <v>Confections</v>
      </c>
      <c r="L444" s="10">
        <f>IFERROR(VLOOKUP(A444,'[1]Sales Order'!A:D,4,FALSE),"")</f>
        <v>39096</v>
      </c>
      <c r="M444" s="10">
        <f>IFERROR(VLOOKUP(A444,'[1]Sales Order'!A:F,6,FALSE),"")</f>
        <v>39099</v>
      </c>
      <c r="N444" t="str">
        <f>IFERROR(VLOOKUP(VLOOKUP(A444,'[1]Sales Order'!A:G,7,FALSE),[1]Shipper!A:B,2,FALSE),"Not Specified")</f>
        <v>Shipper ZHISN</v>
      </c>
      <c r="O444" t="str">
        <f>IFERROR(VLOOKUP(A444,'[1]Sales Order'!A:I,9,FALSE),"Not Specified")</f>
        <v>Destination SSYXZ</v>
      </c>
      <c r="P444" t="str">
        <f>IFERROR(VLOOKUP(A444,'[1]Sales Order'!A:N,14,FALSE),"Not Specified")</f>
        <v>Brazil</v>
      </c>
      <c r="Q444" t="str">
        <f>VLOOKUP(VLOOKUP(B444,[1]Product!A:C,3,FALSE),[1]Supplier!A:B,2,FALSE)</f>
        <v>Supplier BWGYE</v>
      </c>
      <c r="R444" t="str">
        <f>VLOOKUP(VLOOKUP(B444,[1]Product!A:C,3,FALSE),[1]Supplier!A:I,9,FALSE)</f>
        <v>UK</v>
      </c>
      <c r="S444" t="str">
        <f>IFERROR(IF(VLOOKUP(A444,'[1]Sales Order'!A:H,8,FALSE)&gt;100,"High Freight","Low Freight"),"Not Specified")</f>
        <v>Low Freight</v>
      </c>
      <c r="T444">
        <f t="shared" si="13"/>
        <v>124.83</v>
      </c>
    </row>
    <row r="445" spans="1:20">
      <c r="A445" s="1">
        <v>10414</v>
      </c>
      <c r="B445" s="2">
        <v>33</v>
      </c>
      <c r="C445" s="2">
        <v>2</v>
      </c>
      <c r="D445" s="2">
        <v>50</v>
      </c>
      <c r="E445" s="3">
        <v>0</v>
      </c>
      <c r="F445" s="2" t="str">
        <f>IFERROR(VLOOKUP(VLOOKUP(A445,'[1]Sales Order'!A:B,2,FALSE),[1]Customer!A:C,3,FALSE),"Not Specified")</f>
        <v>Russo, Giuseppe</v>
      </c>
      <c r="G445" s="2" t="str">
        <f t="shared" si="12"/>
        <v>Russo Giuseppe</v>
      </c>
      <c r="H445" s="8" t="str">
        <f>IFERROR(VLOOKUP(VLOOKUP(A445,'[1]Sales Order'!A:C,3,FALSE),[1]Employee!A:E,5,FALSE)&amp;" "&amp;VLOOKUP(VLOOKUP(A445,'[1]Sales Order'!A:C,3,FALSE),[1]Employee!A:C,3,FALSE)&amp;" "&amp;VLOOKUP(VLOOKUP(A445,'[1]Sales Order'!A:C,3,FALSE),[1]Employee!A:B,2,FALSE),"Not Specified")</f>
        <v>Dr. Don Funk</v>
      </c>
      <c r="I445" t="str">
        <f>IFERROR(VLOOKUP(VLOOKUP(A445,'[1]Sales Order'!A:C,3,FALSE),[1]Employee!A:J,10,FALSE),"Not Specified")</f>
        <v>WA</v>
      </c>
      <c r="J445" t="str">
        <f>VLOOKUP(B445,[1]Product!A:B,2,FALSE)</f>
        <v>Product ASTMN</v>
      </c>
      <c r="K445" t="str">
        <f>VLOOKUP(VLOOKUP(B445,[1]Product!A:D,4,FALSE),[1]Category!A:B,2,FALSE)</f>
        <v>Dairy Product</v>
      </c>
      <c r="L445" s="10">
        <f>IFERROR(VLOOKUP(A445,'[1]Sales Order'!A:D,4,FALSE),"")</f>
        <v>39096</v>
      </c>
      <c r="M445" s="10">
        <f>IFERROR(VLOOKUP(A445,'[1]Sales Order'!A:F,6,FALSE),"")</f>
        <v>39099</v>
      </c>
      <c r="N445" t="str">
        <f>IFERROR(VLOOKUP(VLOOKUP(A445,'[1]Sales Order'!A:G,7,FALSE),[1]Shipper!A:B,2,FALSE),"Not Specified")</f>
        <v>Shipper ZHISN</v>
      </c>
      <c r="O445" t="str">
        <f>IFERROR(VLOOKUP(A445,'[1]Sales Order'!A:I,9,FALSE),"Not Specified")</f>
        <v>Destination SSYXZ</v>
      </c>
      <c r="P445" t="str">
        <f>IFERROR(VLOOKUP(A445,'[1]Sales Order'!A:N,14,FALSE),"Not Specified")</f>
        <v>Brazil</v>
      </c>
      <c r="Q445" t="str">
        <f>VLOOKUP(VLOOKUP(B445,[1]Product!A:C,3,FALSE),[1]Supplier!A:B,2,FALSE)</f>
        <v>Supplier NZLIF</v>
      </c>
      <c r="R445" t="str">
        <f>VLOOKUP(VLOOKUP(B445,[1]Product!A:C,3,FALSE),[1]Supplier!A:I,9,FALSE)</f>
        <v>Norway</v>
      </c>
      <c r="S445" t="str">
        <f>IFERROR(IF(VLOOKUP(A445,'[1]Sales Order'!A:H,8,FALSE)&gt;100,"High Freight","Low Freight"),"Not Specified")</f>
        <v>Low Freight</v>
      </c>
      <c r="T445">
        <f t="shared" si="13"/>
        <v>100</v>
      </c>
    </row>
    <row r="446" spans="1:20">
      <c r="A446" s="1">
        <v>10415</v>
      </c>
      <c r="B446" s="2">
        <v>17</v>
      </c>
      <c r="C446" s="2">
        <v>31.2</v>
      </c>
      <c r="D446" s="2">
        <v>2</v>
      </c>
      <c r="E446" s="3">
        <v>0</v>
      </c>
      <c r="F446" s="2" t="str">
        <f>IFERROR(VLOOKUP(VLOOKUP(A446,'[1]Sales Order'!A:B,2,FALSE),[1]Customer!A:C,3,FALSE),"Not Specified")</f>
        <v>Smith, Denise</v>
      </c>
      <c r="G446" s="2" t="str">
        <f t="shared" si="12"/>
        <v>Smith Denise</v>
      </c>
      <c r="H446" s="8" t="str">
        <f>IFERROR(VLOOKUP(VLOOKUP(A446,'[1]Sales Order'!A:C,3,FALSE),[1]Employee!A:E,5,FALSE)&amp;" "&amp;VLOOKUP(VLOOKUP(A446,'[1]Sales Order'!A:C,3,FALSE),[1]Employee!A:C,3,FALSE)&amp;" "&amp;VLOOKUP(VLOOKUP(A446,'[1]Sales Order'!A:C,3,FALSE),[1]Employee!A:B,2,FALSE),"Not Specified")</f>
        <v>Ms. Judy Lew</v>
      </c>
      <c r="I446" t="str">
        <f>IFERROR(VLOOKUP(VLOOKUP(A446,'[1]Sales Order'!A:C,3,FALSE),[1]Employee!A:J,10,FALSE),"Not Specified")</f>
        <v>WA</v>
      </c>
      <c r="J446" t="str">
        <f>VLOOKUP(B446,[1]Product!A:B,2,FALSE)</f>
        <v>Product BLCAX</v>
      </c>
      <c r="K446" t="str">
        <f>VLOOKUP(VLOOKUP(B446,[1]Product!A:D,4,FALSE),[1]Category!A:B,2,FALSE)</f>
        <v>Meat/Poultry</v>
      </c>
      <c r="L446" s="10">
        <f>IFERROR(VLOOKUP(A446,'[1]Sales Order'!A:D,4,FALSE),"")</f>
        <v>39097</v>
      </c>
      <c r="M446" s="10">
        <f>IFERROR(VLOOKUP(A446,'[1]Sales Order'!A:F,6,FALSE),"")</f>
        <v>39106</v>
      </c>
      <c r="N446" t="str">
        <f>IFERROR(VLOOKUP(VLOOKUP(A446,'[1]Sales Order'!A:G,7,FALSE),[1]Shipper!A:B,2,FALSE),"Not Specified")</f>
        <v>Shipper GVSUA</v>
      </c>
      <c r="O446" t="str">
        <f>IFERROR(VLOOKUP(A446,'[1]Sales Order'!A:I,9,FALSE),"Not Specified")</f>
        <v>Destination AWPJG</v>
      </c>
      <c r="P446" t="str">
        <f>IFERROR(VLOOKUP(A446,'[1]Sales Order'!A:N,14,FALSE),"Not Specified")</f>
        <v>USA</v>
      </c>
      <c r="Q446" t="str">
        <f>VLOOKUP(VLOOKUP(B446,[1]Product!A:C,3,FALSE),[1]Supplier!A:B,2,FALSE)</f>
        <v>Supplier GQRCV</v>
      </c>
      <c r="R446" t="str">
        <f>VLOOKUP(VLOOKUP(B446,[1]Product!A:C,3,FALSE),[1]Supplier!A:I,9,FALSE)</f>
        <v>Australia</v>
      </c>
      <c r="S446" t="str">
        <f>IFERROR(IF(VLOOKUP(A446,'[1]Sales Order'!A:H,8,FALSE)&gt;100,"High Freight","Low Freight"),"Not Specified")</f>
        <v>Low Freight</v>
      </c>
      <c r="T446">
        <f t="shared" si="13"/>
        <v>62.4</v>
      </c>
    </row>
    <row r="447" spans="1:20">
      <c r="A447" s="1">
        <v>10415</v>
      </c>
      <c r="B447" s="2">
        <v>33</v>
      </c>
      <c r="C447" s="2">
        <v>2</v>
      </c>
      <c r="D447" s="2">
        <v>20</v>
      </c>
      <c r="E447" s="3">
        <v>0</v>
      </c>
      <c r="F447" s="2" t="str">
        <f>IFERROR(VLOOKUP(VLOOKUP(A447,'[1]Sales Order'!A:B,2,FALSE),[1]Customer!A:C,3,FALSE),"Not Specified")</f>
        <v>Smith, Denise</v>
      </c>
      <c r="G447" s="2" t="str">
        <f t="shared" si="12"/>
        <v>Smith Denise</v>
      </c>
      <c r="H447" s="8" t="str">
        <f>IFERROR(VLOOKUP(VLOOKUP(A447,'[1]Sales Order'!A:C,3,FALSE),[1]Employee!A:E,5,FALSE)&amp;" "&amp;VLOOKUP(VLOOKUP(A447,'[1]Sales Order'!A:C,3,FALSE),[1]Employee!A:C,3,FALSE)&amp;" "&amp;VLOOKUP(VLOOKUP(A447,'[1]Sales Order'!A:C,3,FALSE),[1]Employee!A:B,2,FALSE),"Not Specified")</f>
        <v>Ms. Judy Lew</v>
      </c>
      <c r="I447" t="str">
        <f>IFERROR(VLOOKUP(VLOOKUP(A447,'[1]Sales Order'!A:C,3,FALSE),[1]Employee!A:J,10,FALSE),"Not Specified")</f>
        <v>WA</v>
      </c>
      <c r="J447" t="str">
        <f>VLOOKUP(B447,[1]Product!A:B,2,FALSE)</f>
        <v>Product ASTMN</v>
      </c>
      <c r="K447" t="str">
        <f>VLOOKUP(VLOOKUP(B447,[1]Product!A:D,4,FALSE),[1]Category!A:B,2,FALSE)</f>
        <v>Dairy Product</v>
      </c>
      <c r="L447" s="10">
        <f>IFERROR(VLOOKUP(A447,'[1]Sales Order'!A:D,4,FALSE),"")</f>
        <v>39097</v>
      </c>
      <c r="M447" s="10">
        <f>IFERROR(VLOOKUP(A447,'[1]Sales Order'!A:F,6,FALSE),"")</f>
        <v>39106</v>
      </c>
      <c r="N447" t="str">
        <f>IFERROR(VLOOKUP(VLOOKUP(A447,'[1]Sales Order'!A:G,7,FALSE),[1]Shipper!A:B,2,FALSE),"Not Specified")</f>
        <v>Shipper GVSUA</v>
      </c>
      <c r="O447" t="str">
        <f>IFERROR(VLOOKUP(A447,'[1]Sales Order'!A:I,9,FALSE),"Not Specified")</f>
        <v>Destination AWPJG</v>
      </c>
      <c r="P447" t="str">
        <f>IFERROR(VLOOKUP(A447,'[1]Sales Order'!A:N,14,FALSE),"Not Specified")</f>
        <v>USA</v>
      </c>
      <c r="Q447" t="str">
        <f>VLOOKUP(VLOOKUP(B447,[1]Product!A:C,3,FALSE),[1]Supplier!A:B,2,FALSE)</f>
        <v>Supplier NZLIF</v>
      </c>
      <c r="R447" t="str">
        <f>VLOOKUP(VLOOKUP(B447,[1]Product!A:C,3,FALSE),[1]Supplier!A:I,9,FALSE)</f>
        <v>Norway</v>
      </c>
      <c r="S447" t="str">
        <f>IFERROR(IF(VLOOKUP(A447,'[1]Sales Order'!A:H,8,FALSE)&gt;100,"High Freight","Low Freight"),"Not Specified")</f>
        <v>Low Freight</v>
      </c>
      <c r="T447">
        <f t="shared" si="13"/>
        <v>40</v>
      </c>
    </row>
    <row r="448" spans="1:20">
      <c r="A448" s="1">
        <v>10416</v>
      </c>
      <c r="B448" s="2">
        <v>19</v>
      </c>
      <c r="C448" s="2">
        <v>7.3</v>
      </c>
      <c r="D448" s="2">
        <v>20</v>
      </c>
      <c r="E448" s="3">
        <v>0</v>
      </c>
      <c r="F448" s="2" t="str">
        <f>IFERROR(VLOOKUP(VLOOKUP(A448,'[1]Sales Order'!A:B,2,FALSE),[1]Customer!A:C,3,FALSE),"Not Specified")</f>
        <v>Ludwig, Michael</v>
      </c>
      <c r="G448" s="2" t="str">
        <f t="shared" si="12"/>
        <v>Ludwig Michael</v>
      </c>
      <c r="H448" s="8" t="str">
        <f>IFERROR(VLOOKUP(VLOOKUP(A448,'[1]Sales Order'!A:C,3,FALSE),[1]Employee!A:E,5,FALSE)&amp;" "&amp;VLOOKUP(VLOOKUP(A448,'[1]Sales Order'!A:C,3,FALSE),[1]Employee!A:C,3,FALSE)&amp;" "&amp;VLOOKUP(VLOOKUP(A448,'[1]Sales Order'!A:C,3,FALSE),[1]Employee!A:B,2,FALSE),"Not Specified")</f>
        <v>Ms. Maria Cameron</v>
      </c>
      <c r="I448" t="str">
        <f>IFERROR(VLOOKUP(VLOOKUP(A448,'[1]Sales Order'!A:C,3,FALSE),[1]Employee!A:J,10,FALSE),"Not Specified")</f>
        <v>WA</v>
      </c>
      <c r="J448" t="str">
        <f>VLOOKUP(B448,[1]Product!A:B,2,FALSE)</f>
        <v>Product XKXDO</v>
      </c>
      <c r="K448" t="str">
        <f>VLOOKUP(VLOOKUP(B448,[1]Product!A:D,4,FALSE),[1]Category!A:B,2,FALSE)</f>
        <v>Confections</v>
      </c>
      <c r="L448" s="10">
        <f>IFERROR(VLOOKUP(A448,'[1]Sales Order'!A:D,4,FALSE),"")</f>
        <v>39098</v>
      </c>
      <c r="M448" s="10">
        <f>IFERROR(VLOOKUP(A448,'[1]Sales Order'!A:F,6,FALSE),"")</f>
        <v>39109</v>
      </c>
      <c r="N448" t="str">
        <f>IFERROR(VLOOKUP(VLOOKUP(A448,'[1]Sales Order'!A:G,7,FALSE),[1]Shipper!A:B,2,FALSE),"Not Specified")</f>
        <v>Shipper ZHISN</v>
      </c>
      <c r="O448" t="str">
        <f>IFERROR(VLOOKUP(A448,'[1]Sales Order'!A:I,9,FALSE),"Not Specified")</f>
        <v>Ship to 87-A</v>
      </c>
      <c r="P448" t="str">
        <f>IFERROR(VLOOKUP(A448,'[1]Sales Order'!A:N,14,FALSE),"Not Specified")</f>
        <v>Finland</v>
      </c>
      <c r="Q448" t="str">
        <f>VLOOKUP(VLOOKUP(B448,[1]Product!A:C,3,FALSE),[1]Supplier!A:B,2,FALSE)</f>
        <v>Supplier BWGYE</v>
      </c>
      <c r="R448" t="str">
        <f>VLOOKUP(VLOOKUP(B448,[1]Product!A:C,3,FALSE),[1]Supplier!A:I,9,FALSE)</f>
        <v>UK</v>
      </c>
      <c r="S448" t="str">
        <f>IFERROR(IF(VLOOKUP(A448,'[1]Sales Order'!A:H,8,FALSE)&gt;100,"High Freight","Low Freight"),"Not Specified")</f>
        <v>Low Freight</v>
      </c>
      <c r="T448">
        <f t="shared" si="13"/>
        <v>146</v>
      </c>
    </row>
    <row r="449" spans="1:20">
      <c r="A449" s="1">
        <v>10416</v>
      </c>
      <c r="B449" s="2">
        <v>53</v>
      </c>
      <c r="C449" s="2">
        <v>26.2</v>
      </c>
      <c r="D449" s="2">
        <v>10</v>
      </c>
      <c r="E449" s="3">
        <v>0</v>
      </c>
      <c r="F449" s="2" t="str">
        <f>IFERROR(VLOOKUP(VLOOKUP(A449,'[1]Sales Order'!A:B,2,FALSE),[1]Customer!A:C,3,FALSE),"Not Specified")</f>
        <v>Ludwig, Michael</v>
      </c>
      <c r="G449" s="2" t="str">
        <f t="shared" si="12"/>
        <v>Ludwig Michael</v>
      </c>
      <c r="H449" s="8" t="str">
        <f>IFERROR(VLOOKUP(VLOOKUP(A449,'[1]Sales Order'!A:C,3,FALSE),[1]Employee!A:E,5,FALSE)&amp;" "&amp;VLOOKUP(VLOOKUP(A449,'[1]Sales Order'!A:C,3,FALSE),[1]Employee!A:C,3,FALSE)&amp;" "&amp;VLOOKUP(VLOOKUP(A449,'[1]Sales Order'!A:C,3,FALSE),[1]Employee!A:B,2,FALSE),"Not Specified")</f>
        <v>Ms. Maria Cameron</v>
      </c>
      <c r="I449" t="str">
        <f>IFERROR(VLOOKUP(VLOOKUP(A449,'[1]Sales Order'!A:C,3,FALSE),[1]Employee!A:J,10,FALSE),"Not Specified")</f>
        <v>WA</v>
      </c>
      <c r="J449" t="str">
        <f>VLOOKUP(B449,[1]Product!A:B,2,FALSE)</f>
        <v>Product BKGEA</v>
      </c>
      <c r="K449" t="str">
        <f>VLOOKUP(VLOOKUP(B449,[1]Product!A:D,4,FALSE),[1]Category!A:B,2,FALSE)</f>
        <v>Meat/Poultry</v>
      </c>
      <c r="L449" s="10">
        <f>IFERROR(VLOOKUP(A449,'[1]Sales Order'!A:D,4,FALSE),"")</f>
        <v>39098</v>
      </c>
      <c r="M449" s="10">
        <f>IFERROR(VLOOKUP(A449,'[1]Sales Order'!A:F,6,FALSE),"")</f>
        <v>39109</v>
      </c>
      <c r="N449" t="str">
        <f>IFERROR(VLOOKUP(VLOOKUP(A449,'[1]Sales Order'!A:G,7,FALSE),[1]Shipper!A:B,2,FALSE),"Not Specified")</f>
        <v>Shipper ZHISN</v>
      </c>
      <c r="O449" t="str">
        <f>IFERROR(VLOOKUP(A449,'[1]Sales Order'!A:I,9,FALSE),"Not Specified")</f>
        <v>Ship to 87-A</v>
      </c>
      <c r="P449" t="str">
        <f>IFERROR(VLOOKUP(A449,'[1]Sales Order'!A:N,14,FALSE),"Not Specified")</f>
        <v>Finland</v>
      </c>
      <c r="Q449" t="str">
        <f>VLOOKUP(VLOOKUP(B449,[1]Product!A:C,3,FALSE),[1]Supplier!A:B,2,FALSE)</f>
        <v>Supplier JNNES</v>
      </c>
      <c r="R449" t="str">
        <f>VLOOKUP(VLOOKUP(B449,[1]Product!A:C,3,FALSE),[1]Supplier!A:I,9,FALSE)</f>
        <v>Australia</v>
      </c>
      <c r="S449" t="str">
        <f>IFERROR(IF(VLOOKUP(A449,'[1]Sales Order'!A:H,8,FALSE)&gt;100,"High Freight","Low Freight"),"Not Specified")</f>
        <v>Low Freight</v>
      </c>
      <c r="T449">
        <f t="shared" si="13"/>
        <v>262</v>
      </c>
    </row>
    <row r="450" spans="1:20">
      <c r="A450" s="1">
        <v>10416</v>
      </c>
      <c r="B450" s="2">
        <v>57</v>
      </c>
      <c r="C450" s="2">
        <v>15.6</v>
      </c>
      <c r="D450" s="2">
        <v>20</v>
      </c>
      <c r="E450" s="3">
        <v>0</v>
      </c>
      <c r="F450" s="2" t="str">
        <f>IFERROR(VLOOKUP(VLOOKUP(A450,'[1]Sales Order'!A:B,2,FALSE),[1]Customer!A:C,3,FALSE),"Not Specified")</f>
        <v>Ludwig, Michael</v>
      </c>
      <c r="G450" s="2" t="str">
        <f t="shared" si="12"/>
        <v>Ludwig Michael</v>
      </c>
      <c r="H450" s="8" t="str">
        <f>IFERROR(VLOOKUP(VLOOKUP(A450,'[1]Sales Order'!A:C,3,FALSE),[1]Employee!A:E,5,FALSE)&amp;" "&amp;VLOOKUP(VLOOKUP(A450,'[1]Sales Order'!A:C,3,FALSE),[1]Employee!A:C,3,FALSE)&amp;" "&amp;VLOOKUP(VLOOKUP(A450,'[1]Sales Order'!A:C,3,FALSE),[1]Employee!A:B,2,FALSE),"Not Specified")</f>
        <v>Ms. Maria Cameron</v>
      </c>
      <c r="I450" t="str">
        <f>IFERROR(VLOOKUP(VLOOKUP(A450,'[1]Sales Order'!A:C,3,FALSE),[1]Employee!A:J,10,FALSE),"Not Specified")</f>
        <v>WA</v>
      </c>
      <c r="J450" t="str">
        <f>VLOOKUP(B450,[1]Product!A:B,2,FALSE)</f>
        <v>Product OVLQI</v>
      </c>
      <c r="K450" t="str">
        <f>VLOOKUP(VLOOKUP(B450,[1]Product!A:D,4,FALSE),[1]Category!A:B,2,FALSE)</f>
        <v>Grains/Cereals</v>
      </c>
      <c r="L450" s="10">
        <f>IFERROR(VLOOKUP(A450,'[1]Sales Order'!A:D,4,FALSE),"")</f>
        <v>39098</v>
      </c>
      <c r="M450" s="10">
        <f>IFERROR(VLOOKUP(A450,'[1]Sales Order'!A:F,6,FALSE),"")</f>
        <v>39109</v>
      </c>
      <c r="N450" t="str">
        <f>IFERROR(VLOOKUP(VLOOKUP(A450,'[1]Sales Order'!A:G,7,FALSE),[1]Shipper!A:B,2,FALSE),"Not Specified")</f>
        <v>Shipper ZHISN</v>
      </c>
      <c r="O450" t="str">
        <f>IFERROR(VLOOKUP(A450,'[1]Sales Order'!A:I,9,FALSE),"Not Specified")</f>
        <v>Ship to 87-A</v>
      </c>
      <c r="P450" t="str">
        <f>IFERROR(VLOOKUP(A450,'[1]Sales Order'!A:N,14,FALSE),"Not Specified")</f>
        <v>Finland</v>
      </c>
      <c r="Q450" t="str">
        <f>VLOOKUP(VLOOKUP(B450,[1]Product!A:C,3,FALSE),[1]Supplier!A:B,2,FALSE)</f>
        <v>Supplier ZWZDM</v>
      </c>
      <c r="R450" t="str">
        <f>VLOOKUP(VLOOKUP(B450,[1]Product!A:C,3,FALSE),[1]Supplier!A:I,9,FALSE)</f>
        <v>Italy</v>
      </c>
      <c r="S450" t="str">
        <f>IFERROR(IF(VLOOKUP(A450,'[1]Sales Order'!A:H,8,FALSE)&gt;100,"High Freight","Low Freight"),"Not Specified")</f>
        <v>Low Freight</v>
      </c>
      <c r="T450">
        <f t="shared" si="13"/>
        <v>312</v>
      </c>
    </row>
    <row r="451" spans="1:20">
      <c r="A451" s="1">
        <v>10417</v>
      </c>
      <c r="B451" s="2">
        <v>38</v>
      </c>
      <c r="C451" s="2">
        <v>210.8</v>
      </c>
      <c r="D451" s="2">
        <v>50</v>
      </c>
      <c r="E451" s="3">
        <v>0</v>
      </c>
      <c r="F451" s="2" t="str">
        <f>IFERROR(VLOOKUP(VLOOKUP(A451,'[1]Sales Order'!A:B,2,FALSE),[1]Customer!A:C,3,FALSE),"Not Specified")</f>
        <v>Gonzalez, Nuria</v>
      </c>
      <c r="G451" s="2" t="str">
        <f t="shared" ref="G451:G514" si="14">SUBSTITUTE(F451,",","",1)</f>
        <v>Gonzalez Nuria</v>
      </c>
      <c r="H451" s="8" t="str">
        <f>IFERROR(VLOOKUP(VLOOKUP(A451,'[1]Sales Order'!A:C,3,FALSE),[1]Employee!A:E,5,FALSE)&amp;" "&amp;VLOOKUP(VLOOKUP(A451,'[1]Sales Order'!A:C,3,FALSE),[1]Employee!A:C,3,FALSE)&amp;" "&amp;VLOOKUP(VLOOKUP(A451,'[1]Sales Order'!A:C,3,FALSE),[1]Employee!A:B,2,FALSE),"Not Specified")</f>
        <v>Mrs. Yael Peled</v>
      </c>
      <c r="I451" t="str">
        <f>IFERROR(VLOOKUP(VLOOKUP(A451,'[1]Sales Order'!A:C,3,FALSE),[1]Employee!A:J,10,FALSE),"Not Specified")</f>
        <v>WA</v>
      </c>
      <c r="J451" t="str">
        <f>VLOOKUP(B451,[1]Product!A:B,2,FALSE)</f>
        <v>Product QDOMO</v>
      </c>
      <c r="K451" t="str">
        <f>VLOOKUP(VLOOKUP(B451,[1]Product!A:D,4,FALSE),[1]Category!A:B,2,FALSE)</f>
        <v>Beverages</v>
      </c>
      <c r="L451" s="10">
        <f>IFERROR(VLOOKUP(A451,'[1]Sales Order'!A:D,4,FALSE),"")</f>
        <v>39098</v>
      </c>
      <c r="M451" s="10">
        <f>IFERROR(VLOOKUP(A451,'[1]Sales Order'!A:F,6,FALSE),"")</f>
        <v>39110</v>
      </c>
      <c r="N451" t="str">
        <f>IFERROR(VLOOKUP(VLOOKUP(A451,'[1]Sales Order'!A:G,7,FALSE),[1]Shipper!A:B,2,FALSE),"Not Specified")</f>
        <v>Shipper ZHISN</v>
      </c>
      <c r="O451" t="str">
        <f>IFERROR(VLOOKUP(A451,'[1]Sales Order'!A:I,9,FALSE),"Not Specified")</f>
        <v>Ship to 73-C</v>
      </c>
      <c r="P451" t="str">
        <f>IFERROR(VLOOKUP(A451,'[1]Sales Order'!A:N,14,FALSE),"Not Specified")</f>
        <v>Denmark</v>
      </c>
      <c r="Q451" t="str">
        <f>VLOOKUP(VLOOKUP(B451,[1]Product!A:C,3,FALSE),[1]Supplier!A:B,2,FALSE)</f>
        <v>Supplier LVJUA</v>
      </c>
      <c r="R451" t="str">
        <f>VLOOKUP(VLOOKUP(B451,[1]Product!A:C,3,FALSE),[1]Supplier!A:I,9,FALSE)</f>
        <v>France</v>
      </c>
      <c r="S451" t="str">
        <f>IFERROR(IF(VLOOKUP(A451,'[1]Sales Order'!A:H,8,FALSE)&gt;100,"High Freight","Low Freight"),"Not Specified")</f>
        <v>Low Freight</v>
      </c>
      <c r="T451">
        <f t="shared" ref="T451:T514" si="15">C451*D451*(1-E451)</f>
        <v>10540</v>
      </c>
    </row>
    <row r="452" spans="1:20">
      <c r="A452" s="1">
        <v>10417</v>
      </c>
      <c r="B452" s="2">
        <v>46</v>
      </c>
      <c r="C452" s="2">
        <v>9.6</v>
      </c>
      <c r="D452" s="2">
        <v>2</v>
      </c>
      <c r="E452" s="3">
        <v>0.25</v>
      </c>
      <c r="F452" s="2" t="str">
        <f>IFERROR(VLOOKUP(VLOOKUP(A452,'[1]Sales Order'!A:B,2,FALSE),[1]Customer!A:C,3,FALSE),"Not Specified")</f>
        <v>Gonzalez, Nuria</v>
      </c>
      <c r="G452" s="2" t="str">
        <f t="shared" si="14"/>
        <v>Gonzalez Nuria</v>
      </c>
      <c r="H452" s="8" t="str">
        <f>IFERROR(VLOOKUP(VLOOKUP(A452,'[1]Sales Order'!A:C,3,FALSE),[1]Employee!A:E,5,FALSE)&amp;" "&amp;VLOOKUP(VLOOKUP(A452,'[1]Sales Order'!A:C,3,FALSE),[1]Employee!A:C,3,FALSE)&amp;" "&amp;VLOOKUP(VLOOKUP(A452,'[1]Sales Order'!A:C,3,FALSE),[1]Employee!A:B,2,FALSE),"Not Specified")</f>
        <v>Mrs. Yael Peled</v>
      </c>
      <c r="I452" t="str">
        <f>IFERROR(VLOOKUP(VLOOKUP(A452,'[1]Sales Order'!A:C,3,FALSE),[1]Employee!A:J,10,FALSE),"Not Specified")</f>
        <v>WA</v>
      </c>
      <c r="J452" t="str">
        <f>VLOOKUP(B452,[1]Product!A:B,2,FALSE)</f>
        <v>Product CBRRL</v>
      </c>
      <c r="K452" t="str">
        <f>VLOOKUP(VLOOKUP(B452,[1]Product!A:D,4,FALSE),[1]Category!A:B,2,FALSE)</f>
        <v>Seafood</v>
      </c>
      <c r="L452" s="10">
        <f>IFERROR(VLOOKUP(A452,'[1]Sales Order'!A:D,4,FALSE),"")</f>
        <v>39098</v>
      </c>
      <c r="M452" s="10">
        <f>IFERROR(VLOOKUP(A452,'[1]Sales Order'!A:F,6,FALSE),"")</f>
        <v>39110</v>
      </c>
      <c r="N452" t="str">
        <f>IFERROR(VLOOKUP(VLOOKUP(A452,'[1]Sales Order'!A:G,7,FALSE),[1]Shipper!A:B,2,FALSE),"Not Specified")</f>
        <v>Shipper ZHISN</v>
      </c>
      <c r="O452" t="str">
        <f>IFERROR(VLOOKUP(A452,'[1]Sales Order'!A:I,9,FALSE),"Not Specified")</f>
        <v>Ship to 73-C</v>
      </c>
      <c r="P452" t="str">
        <f>IFERROR(VLOOKUP(A452,'[1]Sales Order'!A:N,14,FALSE),"Not Specified")</f>
        <v>Denmark</v>
      </c>
      <c r="Q452" t="str">
        <f>VLOOKUP(VLOOKUP(B452,[1]Product!A:C,3,FALSE),[1]Supplier!A:B,2,FALSE)</f>
        <v>Supplier XOXZA</v>
      </c>
      <c r="R452" t="str">
        <f>VLOOKUP(VLOOKUP(B452,[1]Product!A:C,3,FALSE),[1]Supplier!A:I,9,FALSE)</f>
        <v>Denmark</v>
      </c>
      <c r="S452" t="str">
        <f>IFERROR(IF(VLOOKUP(A452,'[1]Sales Order'!A:H,8,FALSE)&gt;100,"High Freight","Low Freight"),"Not Specified")</f>
        <v>Low Freight</v>
      </c>
      <c r="T452">
        <f t="shared" si="15"/>
        <v>14.399999999999999</v>
      </c>
    </row>
    <row r="453" spans="1:20">
      <c r="A453" s="1">
        <v>10417</v>
      </c>
      <c r="B453" s="2">
        <v>68</v>
      </c>
      <c r="C453" s="2">
        <v>10</v>
      </c>
      <c r="D453" s="2">
        <v>36</v>
      </c>
      <c r="E453" s="3">
        <v>0.25</v>
      </c>
      <c r="F453" s="2" t="str">
        <f>IFERROR(VLOOKUP(VLOOKUP(A453,'[1]Sales Order'!A:B,2,FALSE),[1]Customer!A:C,3,FALSE),"Not Specified")</f>
        <v>Gonzalez, Nuria</v>
      </c>
      <c r="G453" s="2" t="str">
        <f t="shared" si="14"/>
        <v>Gonzalez Nuria</v>
      </c>
      <c r="H453" s="8" t="str">
        <f>IFERROR(VLOOKUP(VLOOKUP(A453,'[1]Sales Order'!A:C,3,FALSE),[1]Employee!A:E,5,FALSE)&amp;" "&amp;VLOOKUP(VLOOKUP(A453,'[1]Sales Order'!A:C,3,FALSE),[1]Employee!A:C,3,FALSE)&amp;" "&amp;VLOOKUP(VLOOKUP(A453,'[1]Sales Order'!A:C,3,FALSE),[1]Employee!A:B,2,FALSE),"Not Specified")</f>
        <v>Mrs. Yael Peled</v>
      </c>
      <c r="I453" t="str">
        <f>IFERROR(VLOOKUP(VLOOKUP(A453,'[1]Sales Order'!A:C,3,FALSE),[1]Employee!A:J,10,FALSE),"Not Specified")</f>
        <v>WA</v>
      </c>
      <c r="J453" t="str">
        <f>VLOOKUP(B453,[1]Product!A:B,2,FALSE)</f>
        <v>Product TBTBL</v>
      </c>
      <c r="K453" t="str">
        <f>VLOOKUP(VLOOKUP(B453,[1]Product!A:D,4,FALSE),[1]Category!A:B,2,FALSE)</f>
        <v>Confections</v>
      </c>
      <c r="L453" s="10">
        <f>IFERROR(VLOOKUP(A453,'[1]Sales Order'!A:D,4,FALSE),"")</f>
        <v>39098</v>
      </c>
      <c r="M453" s="10">
        <f>IFERROR(VLOOKUP(A453,'[1]Sales Order'!A:F,6,FALSE),"")</f>
        <v>39110</v>
      </c>
      <c r="N453" t="str">
        <f>IFERROR(VLOOKUP(VLOOKUP(A453,'[1]Sales Order'!A:G,7,FALSE),[1]Shipper!A:B,2,FALSE),"Not Specified")</f>
        <v>Shipper ZHISN</v>
      </c>
      <c r="O453" t="str">
        <f>IFERROR(VLOOKUP(A453,'[1]Sales Order'!A:I,9,FALSE),"Not Specified")</f>
        <v>Ship to 73-C</v>
      </c>
      <c r="P453" t="str">
        <f>IFERROR(VLOOKUP(A453,'[1]Sales Order'!A:N,14,FALSE),"Not Specified")</f>
        <v>Denmark</v>
      </c>
      <c r="Q453" t="str">
        <f>VLOOKUP(VLOOKUP(B453,[1]Product!A:C,3,FALSE),[1]Supplier!A:B,2,FALSE)</f>
        <v>Supplier BWGYE</v>
      </c>
      <c r="R453" t="str">
        <f>VLOOKUP(VLOOKUP(B453,[1]Product!A:C,3,FALSE),[1]Supplier!A:I,9,FALSE)</f>
        <v>UK</v>
      </c>
      <c r="S453" t="str">
        <f>IFERROR(IF(VLOOKUP(A453,'[1]Sales Order'!A:H,8,FALSE)&gt;100,"High Freight","Low Freight"),"Not Specified")</f>
        <v>Low Freight</v>
      </c>
      <c r="T453">
        <f t="shared" si="15"/>
        <v>270</v>
      </c>
    </row>
    <row r="454" spans="1:20">
      <c r="A454" s="1">
        <v>10417</v>
      </c>
      <c r="B454" s="2">
        <v>77</v>
      </c>
      <c r="C454" s="2">
        <v>10.4</v>
      </c>
      <c r="D454" s="2">
        <v>35</v>
      </c>
      <c r="E454" s="3">
        <v>0</v>
      </c>
      <c r="F454" s="2" t="str">
        <f>IFERROR(VLOOKUP(VLOOKUP(A454,'[1]Sales Order'!A:B,2,FALSE),[1]Customer!A:C,3,FALSE),"Not Specified")</f>
        <v>Gonzalez, Nuria</v>
      </c>
      <c r="G454" s="2" t="str">
        <f t="shared" si="14"/>
        <v>Gonzalez Nuria</v>
      </c>
      <c r="H454" s="8" t="str">
        <f>IFERROR(VLOOKUP(VLOOKUP(A454,'[1]Sales Order'!A:C,3,FALSE),[1]Employee!A:E,5,FALSE)&amp;" "&amp;VLOOKUP(VLOOKUP(A454,'[1]Sales Order'!A:C,3,FALSE),[1]Employee!A:C,3,FALSE)&amp;" "&amp;VLOOKUP(VLOOKUP(A454,'[1]Sales Order'!A:C,3,FALSE),[1]Employee!A:B,2,FALSE),"Not Specified")</f>
        <v>Mrs. Yael Peled</v>
      </c>
      <c r="I454" t="str">
        <f>IFERROR(VLOOKUP(VLOOKUP(A454,'[1]Sales Order'!A:C,3,FALSE),[1]Employee!A:J,10,FALSE),"Not Specified")</f>
        <v>WA</v>
      </c>
      <c r="J454" t="str">
        <f>VLOOKUP(B454,[1]Product!A:B,2,FALSE)</f>
        <v>Product LUNZZ</v>
      </c>
      <c r="K454" t="str">
        <f>VLOOKUP(VLOOKUP(B454,[1]Product!A:D,4,FALSE),[1]Category!A:B,2,FALSE)</f>
        <v>Condiments</v>
      </c>
      <c r="L454" s="10">
        <f>IFERROR(VLOOKUP(A454,'[1]Sales Order'!A:D,4,FALSE),"")</f>
        <v>39098</v>
      </c>
      <c r="M454" s="10">
        <f>IFERROR(VLOOKUP(A454,'[1]Sales Order'!A:F,6,FALSE),"")</f>
        <v>39110</v>
      </c>
      <c r="N454" t="str">
        <f>IFERROR(VLOOKUP(VLOOKUP(A454,'[1]Sales Order'!A:G,7,FALSE),[1]Shipper!A:B,2,FALSE),"Not Specified")</f>
        <v>Shipper ZHISN</v>
      </c>
      <c r="O454" t="str">
        <f>IFERROR(VLOOKUP(A454,'[1]Sales Order'!A:I,9,FALSE),"Not Specified")</f>
        <v>Ship to 73-C</v>
      </c>
      <c r="P454" t="str">
        <f>IFERROR(VLOOKUP(A454,'[1]Sales Order'!A:N,14,FALSE),"Not Specified")</f>
        <v>Denmark</v>
      </c>
      <c r="Q454" t="str">
        <f>VLOOKUP(VLOOKUP(B454,[1]Product!A:C,3,FALSE),[1]Supplier!A:B,2,FALSE)</f>
        <v>Supplier SVIYA</v>
      </c>
      <c r="R454" t="str">
        <f>VLOOKUP(VLOOKUP(B454,[1]Product!A:C,3,FALSE),[1]Supplier!A:I,9,FALSE)</f>
        <v>Germany</v>
      </c>
      <c r="S454" t="str">
        <f>IFERROR(IF(VLOOKUP(A454,'[1]Sales Order'!A:H,8,FALSE)&gt;100,"High Freight","Low Freight"),"Not Specified")</f>
        <v>Low Freight</v>
      </c>
      <c r="T454">
        <f t="shared" si="15"/>
        <v>364</v>
      </c>
    </row>
    <row r="455" spans="1:20">
      <c r="A455" s="1">
        <v>10418</v>
      </c>
      <c r="B455" s="2">
        <v>2</v>
      </c>
      <c r="C455" s="2">
        <v>15.2</v>
      </c>
      <c r="D455" s="2">
        <v>60</v>
      </c>
      <c r="E455" s="3">
        <v>0</v>
      </c>
      <c r="F455" s="2" t="str">
        <f>IFERROR(VLOOKUP(VLOOKUP(A455,'[1]Sales Order'!A:B,2,FALSE),[1]Customer!A:C,3,FALSE),"Not Specified")</f>
        <v>Veronesi, Giorgio</v>
      </c>
      <c r="G455" s="2" t="str">
        <f t="shared" si="14"/>
        <v>Veronesi Giorgio</v>
      </c>
      <c r="H455" s="8" t="str">
        <f>IFERROR(VLOOKUP(VLOOKUP(A455,'[1]Sales Order'!A:C,3,FALSE),[1]Employee!A:E,5,FALSE)&amp;" "&amp;VLOOKUP(VLOOKUP(A455,'[1]Sales Order'!A:C,3,FALSE),[1]Employee!A:C,3,FALSE)&amp;" "&amp;VLOOKUP(VLOOKUP(A455,'[1]Sales Order'!A:C,3,FALSE),[1]Employee!A:B,2,FALSE),"Not Specified")</f>
        <v>Mrs. Yael Peled</v>
      </c>
      <c r="I455" t="str">
        <f>IFERROR(VLOOKUP(VLOOKUP(A455,'[1]Sales Order'!A:C,3,FALSE),[1]Employee!A:J,10,FALSE),"Not Specified")</f>
        <v>WA</v>
      </c>
      <c r="J455" t="str">
        <f>VLOOKUP(B455,[1]Product!A:B,2,FALSE)</f>
        <v>Product RECZE</v>
      </c>
      <c r="K455" t="str">
        <f>VLOOKUP(VLOOKUP(B455,[1]Product!A:D,4,FALSE),[1]Category!A:B,2,FALSE)</f>
        <v>Beverages</v>
      </c>
      <c r="L455" s="10">
        <f>IFERROR(VLOOKUP(A455,'[1]Sales Order'!A:D,4,FALSE),"")</f>
        <v>39099</v>
      </c>
      <c r="M455" s="10">
        <f>IFERROR(VLOOKUP(A455,'[1]Sales Order'!A:F,6,FALSE),"")</f>
        <v>39106</v>
      </c>
      <c r="N455" t="str">
        <f>IFERROR(VLOOKUP(VLOOKUP(A455,'[1]Sales Order'!A:G,7,FALSE),[1]Shipper!A:B,2,FALSE),"Not Specified")</f>
        <v>Shipper GVSUA</v>
      </c>
      <c r="O455" t="str">
        <f>IFERROR(VLOOKUP(A455,'[1]Sales Order'!A:I,9,FALSE),"Not Specified")</f>
        <v>Ship to 63-B</v>
      </c>
      <c r="P455" t="str">
        <f>IFERROR(VLOOKUP(A455,'[1]Sales Order'!A:N,14,FALSE),"Not Specified")</f>
        <v>Germany</v>
      </c>
      <c r="Q455" t="str">
        <f>VLOOKUP(VLOOKUP(B455,[1]Product!A:C,3,FALSE),[1]Supplier!A:B,2,FALSE)</f>
        <v>Supplier SWRXU</v>
      </c>
      <c r="R455" t="str">
        <f>VLOOKUP(VLOOKUP(B455,[1]Product!A:C,3,FALSE),[1]Supplier!A:I,9,FALSE)</f>
        <v>UK</v>
      </c>
      <c r="S455" t="str">
        <f>IFERROR(IF(VLOOKUP(A455,'[1]Sales Order'!A:H,8,FALSE)&gt;100,"High Freight","Low Freight"),"Not Specified")</f>
        <v>Low Freight</v>
      </c>
      <c r="T455">
        <f t="shared" si="15"/>
        <v>912</v>
      </c>
    </row>
    <row r="456" spans="1:20">
      <c r="A456" s="1">
        <v>10418</v>
      </c>
      <c r="B456" s="2">
        <v>47</v>
      </c>
      <c r="C456" s="2">
        <v>7.6</v>
      </c>
      <c r="D456" s="2">
        <v>55</v>
      </c>
      <c r="E456" s="3">
        <v>0</v>
      </c>
      <c r="F456" s="2" t="str">
        <f>IFERROR(VLOOKUP(VLOOKUP(A456,'[1]Sales Order'!A:B,2,FALSE),[1]Customer!A:C,3,FALSE),"Not Specified")</f>
        <v>Veronesi, Giorgio</v>
      </c>
      <c r="G456" s="2" t="str">
        <f t="shared" si="14"/>
        <v>Veronesi Giorgio</v>
      </c>
      <c r="H456" s="8" t="str">
        <f>IFERROR(VLOOKUP(VLOOKUP(A456,'[1]Sales Order'!A:C,3,FALSE),[1]Employee!A:E,5,FALSE)&amp;" "&amp;VLOOKUP(VLOOKUP(A456,'[1]Sales Order'!A:C,3,FALSE),[1]Employee!A:C,3,FALSE)&amp;" "&amp;VLOOKUP(VLOOKUP(A456,'[1]Sales Order'!A:C,3,FALSE),[1]Employee!A:B,2,FALSE),"Not Specified")</f>
        <v>Mrs. Yael Peled</v>
      </c>
      <c r="I456" t="str">
        <f>IFERROR(VLOOKUP(VLOOKUP(A456,'[1]Sales Order'!A:C,3,FALSE),[1]Employee!A:J,10,FALSE),"Not Specified")</f>
        <v>WA</v>
      </c>
      <c r="J456" t="str">
        <f>VLOOKUP(B456,[1]Product!A:B,2,FALSE)</f>
        <v>Product EZZPR</v>
      </c>
      <c r="K456" t="str">
        <f>VLOOKUP(VLOOKUP(B456,[1]Product!A:D,4,FALSE),[1]Category!A:B,2,FALSE)</f>
        <v>Confections</v>
      </c>
      <c r="L456" s="10">
        <f>IFERROR(VLOOKUP(A456,'[1]Sales Order'!A:D,4,FALSE),"")</f>
        <v>39099</v>
      </c>
      <c r="M456" s="10">
        <f>IFERROR(VLOOKUP(A456,'[1]Sales Order'!A:F,6,FALSE),"")</f>
        <v>39106</v>
      </c>
      <c r="N456" t="str">
        <f>IFERROR(VLOOKUP(VLOOKUP(A456,'[1]Sales Order'!A:G,7,FALSE),[1]Shipper!A:B,2,FALSE),"Not Specified")</f>
        <v>Shipper GVSUA</v>
      </c>
      <c r="O456" t="str">
        <f>IFERROR(VLOOKUP(A456,'[1]Sales Order'!A:I,9,FALSE),"Not Specified")</f>
        <v>Ship to 63-B</v>
      </c>
      <c r="P456" t="str">
        <f>IFERROR(VLOOKUP(A456,'[1]Sales Order'!A:N,14,FALSE),"Not Specified")</f>
        <v>Germany</v>
      </c>
      <c r="Q456" t="str">
        <f>VLOOKUP(VLOOKUP(B456,[1]Product!A:C,3,FALSE),[1]Supplier!A:B,2,FALSE)</f>
        <v>Supplier FNUXM</v>
      </c>
      <c r="R456" t="str">
        <f>VLOOKUP(VLOOKUP(B456,[1]Product!A:C,3,FALSE),[1]Supplier!A:I,9,FALSE)</f>
        <v>Netherlands</v>
      </c>
      <c r="S456" t="str">
        <f>IFERROR(IF(VLOOKUP(A456,'[1]Sales Order'!A:H,8,FALSE)&gt;100,"High Freight","Low Freight"),"Not Specified")</f>
        <v>Low Freight</v>
      </c>
      <c r="T456">
        <f t="shared" si="15"/>
        <v>418</v>
      </c>
    </row>
    <row r="457" spans="1:20">
      <c r="A457" s="1">
        <v>10418</v>
      </c>
      <c r="B457" s="2">
        <v>61</v>
      </c>
      <c r="C457" s="2">
        <v>22.8</v>
      </c>
      <c r="D457" s="2">
        <v>16</v>
      </c>
      <c r="E457" s="3">
        <v>0</v>
      </c>
      <c r="F457" s="2" t="str">
        <f>IFERROR(VLOOKUP(VLOOKUP(A457,'[1]Sales Order'!A:B,2,FALSE),[1]Customer!A:C,3,FALSE),"Not Specified")</f>
        <v>Veronesi, Giorgio</v>
      </c>
      <c r="G457" s="2" t="str">
        <f t="shared" si="14"/>
        <v>Veronesi Giorgio</v>
      </c>
      <c r="H457" s="8" t="str">
        <f>IFERROR(VLOOKUP(VLOOKUP(A457,'[1]Sales Order'!A:C,3,FALSE),[1]Employee!A:E,5,FALSE)&amp;" "&amp;VLOOKUP(VLOOKUP(A457,'[1]Sales Order'!A:C,3,FALSE),[1]Employee!A:C,3,FALSE)&amp;" "&amp;VLOOKUP(VLOOKUP(A457,'[1]Sales Order'!A:C,3,FALSE),[1]Employee!A:B,2,FALSE),"Not Specified")</f>
        <v>Mrs. Yael Peled</v>
      </c>
      <c r="I457" t="str">
        <f>IFERROR(VLOOKUP(VLOOKUP(A457,'[1]Sales Order'!A:C,3,FALSE),[1]Employee!A:J,10,FALSE),"Not Specified")</f>
        <v>WA</v>
      </c>
      <c r="J457" t="str">
        <f>VLOOKUP(B457,[1]Product!A:B,2,FALSE)</f>
        <v>Product XYZPE</v>
      </c>
      <c r="K457" t="str">
        <f>VLOOKUP(VLOOKUP(B457,[1]Product!A:D,4,FALSE),[1]Category!A:B,2,FALSE)</f>
        <v>Condiments</v>
      </c>
      <c r="L457" s="10">
        <f>IFERROR(VLOOKUP(A457,'[1]Sales Order'!A:D,4,FALSE),"")</f>
        <v>39099</v>
      </c>
      <c r="M457" s="10">
        <f>IFERROR(VLOOKUP(A457,'[1]Sales Order'!A:F,6,FALSE),"")</f>
        <v>39106</v>
      </c>
      <c r="N457" t="str">
        <f>IFERROR(VLOOKUP(VLOOKUP(A457,'[1]Sales Order'!A:G,7,FALSE),[1]Shipper!A:B,2,FALSE),"Not Specified")</f>
        <v>Shipper GVSUA</v>
      </c>
      <c r="O457" t="str">
        <f>IFERROR(VLOOKUP(A457,'[1]Sales Order'!A:I,9,FALSE),"Not Specified")</f>
        <v>Ship to 63-B</v>
      </c>
      <c r="P457" t="str">
        <f>IFERROR(VLOOKUP(A457,'[1]Sales Order'!A:N,14,FALSE),"Not Specified")</f>
        <v>Germany</v>
      </c>
      <c r="Q457" t="str">
        <f>VLOOKUP(VLOOKUP(B457,[1]Product!A:C,3,FALSE),[1]Supplier!A:B,2,FALSE)</f>
        <v>Supplier OGLRK</v>
      </c>
      <c r="R457" t="str">
        <f>VLOOKUP(VLOOKUP(B457,[1]Product!A:C,3,FALSE),[1]Supplier!A:I,9,FALSE)</f>
        <v>Canada</v>
      </c>
      <c r="S457" t="str">
        <f>IFERROR(IF(VLOOKUP(A457,'[1]Sales Order'!A:H,8,FALSE)&gt;100,"High Freight","Low Freight"),"Not Specified")</f>
        <v>Low Freight</v>
      </c>
      <c r="T457">
        <f t="shared" si="15"/>
        <v>364.8</v>
      </c>
    </row>
    <row r="458" spans="1:20">
      <c r="A458" s="1">
        <v>10418</v>
      </c>
      <c r="B458" s="2">
        <v>74</v>
      </c>
      <c r="C458" s="2">
        <v>8</v>
      </c>
      <c r="D458" s="2">
        <v>15</v>
      </c>
      <c r="E458" s="3">
        <v>0</v>
      </c>
      <c r="F458" s="2" t="str">
        <f>IFERROR(VLOOKUP(VLOOKUP(A458,'[1]Sales Order'!A:B,2,FALSE),[1]Customer!A:C,3,FALSE),"Not Specified")</f>
        <v>Veronesi, Giorgio</v>
      </c>
      <c r="G458" s="2" t="str">
        <f t="shared" si="14"/>
        <v>Veronesi Giorgio</v>
      </c>
      <c r="H458" s="8" t="str">
        <f>IFERROR(VLOOKUP(VLOOKUP(A458,'[1]Sales Order'!A:C,3,FALSE),[1]Employee!A:E,5,FALSE)&amp;" "&amp;VLOOKUP(VLOOKUP(A458,'[1]Sales Order'!A:C,3,FALSE),[1]Employee!A:C,3,FALSE)&amp;" "&amp;VLOOKUP(VLOOKUP(A458,'[1]Sales Order'!A:C,3,FALSE),[1]Employee!A:B,2,FALSE),"Not Specified")</f>
        <v>Mrs. Yael Peled</v>
      </c>
      <c r="I458" t="str">
        <f>IFERROR(VLOOKUP(VLOOKUP(A458,'[1]Sales Order'!A:C,3,FALSE),[1]Employee!A:J,10,FALSE),"Not Specified")</f>
        <v>WA</v>
      </c>
      <c r="J458" t="str">
        <f>VLOOKUP(B458,[1]Product!A:B,2,FALSE)</f>
        <v>Product BKAZJ</v>
      </c>
      <c r="K458" t="str">
        <f>VLOOKUP(VLOOKUP(B458,[1]Product!A:D,4,FALSE),[1]Category!A:B,2,FALSE)</f>
        <v>Produce</v>
      </c>
      <c r="L458" s="10">
        <f>IFERROR(VLOOKUP(A458,'[1]Sales Order'!A:D,4,FALSE),"")</f>
        <v>39099</v>
      </c>
      <c r="M458" s="10">
        <f>IFERROR(VLOOKUP(A458,'[1]Sales Order'!A:F,6,FALSE),"")</f>
        <v>39106</v>
      </c>
      <c r="N458" t="str">
        <f>IFERROR(VLOOKUP(VLOOKUP(A458,'[1]Sales Order'!A:G,7,FALSE),[1]Shipper!A:B,2,FALSE),"Not Specified")</f>
        <v>Shipper GVSUA</v>
      </c>
      <c r="O458" t="str">
        <f>IFERROR(VLOOKUP(A458,'[1]Sales Order'!A:I,9,FALSE),"Not Specified")</f>
        <v>Ship to 63-B</v>
      </c>
      <c r="P458" t="str">
        <f>IFERROR(VLOOKUP(A458,'[1]Sales Order'!A:N,14,FALSE),"Not Specified")</f>
        <v>Germany</v>
      </c>
      <c r="Q458" t="str">
        <f>VLOOKUP(VLOOKUP(B458,[1]Product!A:C,3,FALSE),[1]Supplier!A:B,2,FALSE)</f>
        <v>Supplier QOVFD</v>
      </c>
      <c r="R458" t="str">
        <f>VLOOKUP(VLOOKUP(B458,[1]Product!A:C,3,FALSE),[1]Supplier!A:I,9,FALSE)</f>
        <v>Japan</v>
      </c>
      <c r="S458" t="str">
        <f>IFERROR(IF(VLOOKUP(A458,'[1]Sales Order'!A:H,8,FALSE)&gt;100,"High Freight","Low Freight"),"Not Specified")</f>
        <v>Low Freight</v>
      </c>
      <c r="T458">
        <f t="shared" si="15"/>
        <v>120</v>
      </c>
    </row>
    <row r="459" spans="1:20">
      <c r="A459" s="1">
        <v>10419</v>
      </c>
      <c r="B459" s="2">
        <v>60</v>
      </c>
      <c r="C459" s="2">
        <v>27.2</v>
      </c>
      <c r="D459" s="2">
        <v>60</v>
      </c>
      <c r="E459" s="3">
        <v>0.05</v>
      </c>
      <c r="F459" s="2" t="str">
        <f>IFERROR(VLOOKUP(VLOOKUP(A459,'[1]Sales Order'!A:B,2,FALSE),[1]Customer!A:C,3,FALSE),"Not Specified")</f>
        <v>Myrcha, Jacek</v>
      </c>
      <c r="G459" s="2" t="str">
        <f t="shared" si="14"/>
        <v>Myrcha Jacek</v>
      </c>
      <c r="H459" s="8" t="str">
        <f>IFERROR(VLOOKUP(VLOOKUP(A459,'[1]Sales Order'!A:C,3,FALSE),[1]Employee!A:E,5,FALSE)&amp;" "&amp;VLOOKUP(VLOOKUP(A459,'[1]Sales Order'!A:C,3,FALSE),[1]Employee!A:C,3,FALSE)&amp;" "&amp;VLOOKUP(VLOOKUP(A459,'[1]Sales Order'!A:C,3,FALSE),[1]Employee!A:B,2,FALSE),"Not Specified")</f>
        <v>Mrs. Yael Peled</v>
      </c>
      <c r="I459" t="str">
        <f>IFERROR(VLOOKUP(VLOOKUP(A459,'[1]Sales Order'!A:C,3,FALSE),[1]Employee!A:J,10,FALSE),"Not Specified")</f>
        <v>WA</v>
      </c>
      <c r="J459" t="str">
        <f>VLOOKUP(B459,[1]Product!A:B,2,FALSE)</f>
        <v>Product WHBYK</v>
      </c>
      <c r="K459" t="str">
        <f>VLOOKUP(VLOOKUP(B459,[1]Product!A:D,4,FALSE),[1]Category!A:B,2,FALSE)</f>
        <v>Dairy Product</v>
      </c>
      <c r="L459" s="10">
        <f>IFERROR(VLOOKUP(A459,'[1]Sales Order'!A:D,4,FALSE),"")</f>
        <v>39102</v>
      </c>
      <c r="M459" s="10">
        <f>IFERROR(VLOOKUP(A459,'[1]Sales Order'!A:F,6,FALSE),"")</f>
        <v>39112</v>
      </c>
      <c r="N459" t="str">
        <f>IFERROR(VLOOKUP(VLOOKUP(A459,'[1]Sales Order'!A:G,7,FALSE),[1]Shipper!A:B,2,FALSE),"Not Specified")</f>
        <v>Shipper ETYNR</v>
      </c>
      <c r="O459" t="str">
        <f>IFERROR(VLOOKUP(A459,'[1]Sales Order'!A:I,9,FALSE),"Not Specified")</f>
        <v>Ship to 68-A</v>
      </c>
      <c r="P459" t="str">
        <f>IFERROR(VLOOKUP(A459,'[1]Sales Order'!A:N,14,FALSE),"Not Specified")</f>
        <v>Switzerland</v>
      </c>
      <c r="Q459" t="str">
        <f>VLOOKUP(VLOOKUP(B459,[1]Product!A:C,3,FALSE),[1]Supplier!A:B,2,FALSE)</f>
        <v>Supplier OAVQT</v>
      </c>
      <c r="R459" t="str">
        <f>VLOOKUP(VLOOKUP(B459,[1]Product!A:C,3,FALSE),[1]Supplier!A:I,9,FALSE)</f>
        <v>France</v>
      </c>
      <c r="S459" t="str">
        <f>IFERROR(IF(VLOOKUP(A459,'[1]Sales Order'!A:H,8,FALSE)&gt;100,"High Freight","Low Freight"),"Not Specified")</f>
        <v>High Freight</v>
      </c>
      <c r="T459">
        <f t="shared" si="15"/>
        <v>1550.3999999999999</v>
      </c>
    </row>
    <row r="460" spans="1:20">
      <c r="A460" s="1">
        <v>10419</v>
      </c>
      <c r="B460" s="2">
        <v>69</v>
      </c>
      <c r="C460" s="2">
        <v>28.8</v>
      </c>
      <c r="D460" s="2">
        <v>20</v>
      </c>
      <c r="E460" s="3">
        <v>0.05</v>
      </c>
      <c r="F460" s="2" t="str">
        <f>IFERROR(VLOOKUP(VLOOKUP(A460,'[1]Sales Order'!A:B,2,FALSE),[1]Customer!A:C,3,FALSE),"Not Specified")</f>
        <v>Myrcha, Jacek</v>
      </c>
      <c r="G460" s="2" t="str">
        <f t="shared" si="14"/>
        <v>Myrcha Jacek</v>
      </c>
      <c r="H460" s="8" t="str">
        <f>IFERROR(VLOOKUP(VLOOKUP(A460,'[1]Sales Order'!A:C,3,FALSE),[1]Employee!A:E,5,FALSE)&amp;" "&amp;VLOOKUP(VLOOKUP(A460,'[1]Sales Order'!A:C,3,FALSE),[1]Employee!A:C,3,FALSE)&amp;" "&amp;VLOOKUP(VLOOKUP(A460,'[1]Sales Order'!A:C,3,FALSE),[1]Employee!A:B,2,FALSE),"Not Specified")</f>
        <v>Mrs. Yael Peled</v>
      </c>
      <c r="I460" t="str">
        <f>IFERROR(VLOOKUP(VLOOKUP(A460,'[1]Sales Order'!A:C,3,FALSE),[1]Employee!A:J,10,FALSE),"Not Specified")</f>
        <v>WA</v>
      </c>
      <c r="J460" t="str">
        <f>VLOOKUP(B460,[1]Product!A:B,2,FALSE)</f>
        <v>Product COAXA</v>
      </c>
      <c r="K460" t="str">
        <f>VLOOKUP(VLOOKUP(B460,[1]Product!A:D,4,FALSE),[1]Category!A:B,2,FALSE)</f>
        <v>Dairy Product</v>
      </c>
      <c r="L460" s="10">
        <f>IFERROR(VLOOKUP(A460,'[1]Sales Order'!A:D,4,FALSE),"")</f>
        <v>39102</v>
      </c>
      <c r="M460" s="10">
        <f>IFERROR(VLOOKUP(A460,'[1]Sales Order'!A:F,6,FALSE),"")</f>
        <v>39112</v>
      </c>
      <c r="N460" t="str">
        <f>IFERROR(VLOOKUP(VLOOKUP(A460,'[1]Sales Order'!A:G,7,FALSE),[1]Shipper!A:B,2,FALSE),"Not Specified")</f>
        <v>Shipper ETYNR</v>
      </c>
      <c r="O460" t="str">
        <f>IFERROR(VLOOKUP(A460,'[1]Sales Order'!A:I,9,FALSE),"Not Specified")</f>
        <v>Ship to 68-A</v>
      </c>
      <c r="P460" t="str">
        <f>IFERROR(VLOOKUP(A460,'[1]Sales Order'!A:N,14,FALSE),"Not Specified")</f>
        <v>Switzerland</v>
      </c>
      <c r="Q460" t="str">
        <f>VLOOKUP(VLOOKUP(B460,[1]Product!A:C,3,FALSE),[1]Supplier!A:B,2,FALSE)</f>
        <v>Supplier NZLIF</v>
      </c>
      <c r="R460" t="str">
        <f>VLOOKUP(VLOOKUP(B460,[1]Product!A:C,3,FALSE),[1]Supplier!A:I,9,FALSE)</f>
        <v>Norway</v>
      </c>
      <c r="S460" t="str">
        <f>IFERROR(IF(VLOOKUP(A460,'[1]Sales Order'!A:H,8,FALSE)&gt;100,"High Freight","Low Freight"),"Not Specified")</f>
        <v>High Freight</v>
      </c>
      <c r="T460">
        <f t="shared" si="15"/>
        <v>547.19999999999993</v>
      </c>
    </row>
    <row r="461" spans="1:20">
      <c r="A461" s="1">
        <v>10420</v>
      </c>
      <c r="B461" s="2">
        <v>9</v>
      </c>
      <c r="C461" s="2">
        <v>77.599999999999994</v>
      </c>
      <c r="D461" s="2">
        <v>20</v>
      </c>
      <c r="E461" s="3">
        <v>0.1</v>
      </c>
      <c r="F461" s="2" t="str">
        <f>IFERROR(VLOOKUP(VLOOKUP(A461,'[1]Sales Order'!A:B,2,FALSE),[1]Customer!A:C,3,FALSE),"Not Specified")</f>
        <v>Li, Yan</v>
      </c>
      <c r="G461" s="2" t="str">
        <f t="shared" si="14"/>
        <v>Li Yan</v>
      </c>
      <c r="H461" s="8" t="str">
        <f>IFERROR(VLOOKUP(VLOOKUP(A461,'[1]Sales Order'!A:C,3,FALSE),[1]Employee!A:E,5,FALSE)&amp;" "&amp;VLOOKUP(VLOOKUP(A461,'[1]Sales Order'!A:C,3,FALSE),[1]Employee!A:C,3,FALSE)&amp;" "&amp;VLOOKUP(VLOOKUP(A461,'[1]Sales Order'!A:C,3,FALSE),[1]Employee!A:B,2,FALSE),"Not Specified")</f>
        <v>Ms. Judy Lew</v>
      </c>
      <c r="I461" t="str">
        <f>IFERROR(VLOOKUP(VLOOKUP(A461,'[1]Sales Order'!A:C,3,FALSE),[1]Employee!A:J,10,FALSE),"Not Specified")</f>
        <v>WA</v>
      </c>
      <c r="J461" t="str">
        <f>VLOOKUP(B461,[1]Product!A:B,2,FALSE)</f>
        <v>Product AOZBW</v>
      </c>
      <c r="K461" t="str">
        <f>VLOOKUP(VLOOKUP(B461,[1]Product!A:D,4,FALSE),[1]Category!A:B,2,FALSE)</f>
        <v>Meat/Poultry</v>
      </c>
      <c r="L461" s="10">
        <f>IFERROR(VLOOKUP(A461,'[1]Sales Order'!A:D,4,FALSE),"")</f>
        <v>39103</v>
      </c>
      <c r="M461" s="10">
        <f>IFERROR(VLOOKUP(A461,'[1]Sales Order'!A:F,6,FALSE),"")</f>
        <v>39109</v>
      </c>
      <c r="N461" t="str">
        <f>IFERROR(VLOOKUP(VLOOKUP(A461,'[1]Sales Order'!A:G,7,FALSE),[1]Shipper!A:B,2,FALSE),"Not Specified")</f>
        <v>Shipper GVSUA</v>
      </c>
      <c r="O461" t="str">
        <f>IFERROR(VLOOKUP(A461,'[1]Sales Order'!A:I,9,FALSE),"Not Specified")</f>
        <v>Ship to 88-C</v>
      </c>
      <c r="P461" t="str">
        <f>IFERROR(VLOOKUP(A461,'[1]Sales Order'!A:N,14,FALSE),"Not Specified")</f>
        <v>Brazil</v>
      </c>
      <c r="Q461" t="str">
        <f>VLOOKUP(VLOOKUP(B461,[1]Product!A:C,3,FALSE),[1]Supplier!A:B,2,FALSE)</f>
        <v>Supplier QOVFD</v>
      </c>
      <c r="R461" t="str">
        <f>VLOOKUP(VLOOKUP(B461,[1]Product!A:C,3,FALSE),[1]Supplier!A:I,9,FALSE)</f>
        <v>Japan</v>
      </c>
      <c r="S461" t="str">
        <f>IFERROR(IF(VLOOKUP(A461,'[1]Sales Order'!A:H,8,FALSE)&gt;100,"High Freight","Low Freight"),"Not Specified")</f>
        <v>Low Freight</v>
      </c>
      <c r="T461">
        <f t="shared" si="15"/>
        <v>1396.8</v>
      </c>
    </row>
    <row r="462" spans="1:20">
      <c r="A462" s="1">
        <v>10420</v>
      </c>
      <c r="B462" s="2">
        <v>13</v>
      </c>
      <c r="C462" s="2">
        <v>4.8</v>
      </c>
      <c r="D462" s="2">
        <v>2</v>
      </c>
      <c r="E462" s="3">
        <v>0.1</v>
      </c>
      <c r="F462" s="2" t="str">
        <f>IFERROR(VLOOKUP(VLOOKUP(A462,'[1]Sales Order'!A:B,2,FALSE),[1]Customer!A:C,3,FALSE),"Not Specified")</f>
        <v>Li, Yan</v>
      </c>
      <c r="G462" s="2" t="str">
        <f t="shared" si="14"/>
        <v>Li Yan</v>
      </c>
      <c r="H462" s="8" t="str">
        <f>IFERROR(VLOOKUP(VLOOKUP(A462,'[1]Sales Order'!A:C,3,FALSE),[1]Employee!A:E,5,FALSE)&amp;" "&amp;VLOOKUP(VLOOKUP(A462,'[1]Sales Order'!A:C,3,FALSE),[1]Employee!A:C,3,FALSE)&amp;" "&amp;VLOOKUP(VLOOKUP(A462,'[1]Sales Order'!A:C,3,FALSE),[1]Employee!A:B,2,FALSE),"Not Specified")</f>
        <v>Ms. Judy Lew</v>
      </c>
      <c r="I462" t="str">
        <f>IFERROR(VLOOKUP(VLOOKUP(A462,'[1]Sales Order'!A:C,3,FALSE),[1]Employee!A:J,10,FALSE),"Not Specified")</f>
        <v>WA</v>
      </c>
      <c r="J462" t="str">
        <f>VLOOKUP(B462,[1]Product!A:B,2,FALSE)</f>
        <v>Product POXFU</v>
      </c>
      <c r="K462" t="str">
        <f>VLOOKUP(VLOOKUP(B462,[1]Product!A:D,4,FALSE),[1]Category!A:B,2,FALSE)</f>
        <v>Seafood</v>
      </c>
      <c r="L462" s="10">
        <f>IFERROR(VLOOKUP(A462,'[1]Sales Order'!A:D,4,FALSE),"")</f>
        <v>39103</v>
      </c>
      <c r="M462" s="10">
        <f>IFERROR(VLOOKUP(A462,'[1]Sales Order'!A:F,6,FALSE),"")</f>
        <v>39109</v>
      </c>
      <c r="N462" t="str">
        <f>IFERROR(VLOOKUP(VLOOKUP(A462,'[1]Sales Order'!A:G,7,FALSE),[1]Shipper!A:B,2,FALSE),"Not Specified")</f>
        <v>Shipper GVSUA</v>
      </c>
      <c r="O462" t="str">
        <f>IFERROR(VLOOKUP(A462,'[1]Sales Order'!A:I,9,FALSE),"Not Specified")</f>
        <v>Ship to 88-C</v>
      </c>
      <c r="P462" t="str">
        <f>IFERROR(VLOOKUP(A462,'[1]Sales Order'!A:N,14,FALSE),"Not Specified")</f>
        <v>Brazil</v>
      </c>
      <c r="Q462" t="str">
        <f>VLOOKUP(VLOOKUP(B462,[1]Product!A:C,3,FALSE),[1]Supplier!A:B,2,FALSE)</f>
        <v>Supplier QWUSF</v>
      </c>
      <c r="R462" t="str">
        <f>VLOOKUP(VLOOKUP(B462,[1]Product!A:C,3,FALSE),[1]Supplier!A:I,9,FALSE)</f>
        <v>Japan</v>
      </c>
      <c r="S462" t="str">
        <f>IFERROR(IF(VLOOKUP(A462,'[1]Sales Order'!A:H,8,FALSE)&gt;100,"High Freight","Low Freight"),"Not Specified")</f>
        <v>Low Freight</v>
      </c>
      <c r="T462">
        <f t="shared" si="15"/>
        <v>8.64</v>
      </c>
    </row>
    <row r="463" spans="1:20">
      <c r="A463" s="1">
        <v>10420</v>
      </c>
      <c r="B463" s="2">
        <v>70</v>
      </c>
      <c r="C463" s="2">
        <v>12</v>
      </c>
      <c r="D463" s="2">
        <v>8</v>
      </c>
      <c r="E463" s="3">
        <v>0.1</v>
      </c>
      <c r="F463" s="2" t="str">
        <f>IFERROR(VLOOKUP(VLOOKUP(A463,'[1]Sales Order'!A:B,2,FALSE),[1]Customer!A:C,3,FALSE),"Not Specified")</f>
        <v>Li, Yan</v>
      </c>
      <c r="G463" s="2" t="str">
        <f t="shared" si="14"/>
        <v>Li Yan</v>
      </c>
      <c r="H463" s="8" t="str">
        <f>IFERROR(VLOOKUP(VLOOKUP(A463,'[1]Sales Order'!A:C,3,FALSE),[1]Employee!A:E,5,FALSE)&amp;" "&amp;VLOOKUP(VLOOKUP(A463,'[1]Sales Order'!A:C,3,FALSE),[1]Employee!A:C,3,FALSE)&amp;" "&amp;VLOOKUP(VLOOKUP(A463,'[1]Sales Order'!A:C,3,FALSE),[1]Employee!A:B,2,FALSE),"Not Specified")</f>
        <v>Ms. Judy Lew</v>
      </c>
      <c r="I463" t="str">
        <f>IFERROR(VLOOKUP(VLOOKUP(A463,'[1]Sales Order'!A:C,3,FALSE),[1]Employee!A:J,10,FALSE),"Not Specified")</f>
        <v>WA</v>
      </c>
      <c r="J463" t="str">
        <f>VLOOKUP(B463,[1]Product!A:B,2,FALSE)</f>
        <v>Product TOONT</v>
      </c>
      <c r="K463" t="str">
        <f>VLOOKUP(VLOOKUP(B463,[1]Product!A:D,4,FALSE),[1]Category!A:B,2,FALSE)</f>
        <v>Beverages</v>
      </c>
      <c r="L463" s="10">
        <f>IFERROR(VLOOKUP(A463,'[1]Sales Order'!A:D,4,FALSE),"")</f>
        <v>39103</v>
      </c>
      <c r="M463" s="10">
        <f>IFERROR(VLOOKUP(A463,'[1]Sales Order'!A:F,6,FALSE),"")</f>
        <v>39109</v>
      </c>
      <c r="N463" t="str">
        <f>IFERROR(VLOOKUP(VLOOKUP(A463,'[1]Sales Order'!A:G,7,FALSE),[1]Shipper!A:B,2,FALSE),"Not Specified")</f>
        <v>Shipper GVSUA</v>
      </c>
      <c r="O463" t="str">
        <f>IFERROR(VLOOKUP(A463,'[1]Sales Order'!A:I,9,FALSE),"Not Specified")</f>
        <v>Ship to 88-C</v>
      </c>
      <c r="P463" t="str">
        <f>IFERROR(VLOOKUP(A463,'[1]Sales Order'!A:N,14,FALSE),"Not Specified")</f>
        <v>Brazil</v>
      </c>
      <c r="Q463" t="str">
        <f>VLOOKUP(VLOOKUP(B463,[1]Product!A:C,3,FALSE),[1]Supplier!A:B,2,FALSE)</f>
        <v>Supplier GQRCV</v>
      </c>
      <c r="R463" t="str">
        <f>VLOOKUP(VLOOKUP(B463,[1]Product!A:C,3,FALSE),[1]Supplier!A:I,9,FALSE)</f>
        <v>Australia</v>
      </c>
      <c r="S463" t="str">
        <f>IFERROR(IF(VLOOKUP(A463,'[1]Sales Order'!A:H,8,FALSE)&gt;100,"High Freight","Low Freight"),"Not Specified")</f>
        <v>Low Freight</v>
      </c>
      <c r="T463">
        <f t="shared" si="15"/>
        <v>86.4</v>
      </c>
    </row>
    <row r="464" spans="1:20">
      <c r="A464" s="1">
        <v>10420</v>
      </c>
      <c r="B464" s="2">
        <v>73</v>
      </c>
      <c r="C464" s="2">
        <v>12</v>
      </c>
      <c r="D464" s="2">
        <v>20</v>
      </c>
      <c r="E464" s="3">
        <v>0.1</v>
      </c>
      <c r="F464" s="2" t="str">
        <f>IFERROR(VLOOKUP(VLOOKUP(A464,'[1]Sales Order'!A:B,2,FALSE),[1]Customer!A:C,3,FALSE),"Not Specified")</f>
        <v>Li, Yan</v>
      </c>
      <c r="G464" s="2" t="str">
        <f t="shared" si="14"/>
        <v>Li Yan</v>
      </c>
      <c r="H464" s="8" t="str">
        <f>IFERROR(VLOOKUP(VLOOKUP(A464,'[1]Sales Order'!A:C,3,FALSE),[1]Employee!A:E,5,FALSE)&amp;" "&amp;VLOOKUP(VLOOKUP(A464,'[1]Sales Order'!A:C,3,FALSE),[1]Employee!A:C,3,FALSE)&amp;" "&amp;VLOOKUP(VLOOKUP(A464,'[1]Sales Order'!A:C,3,FALSE),[1]Employee!A:B,2,FALSE),"Not Specified")</f>
        <v>Ms. Judy Lew</v>
      </c>
      <c r="I464" t="str">
        <f>IFERROR(VLOOKUP(VLOOKUP(A464,'[1]Sales Order'!A:C,3,FALSE),[1]Employee!A:J,10,FALSE),"Not Specified")</f>
        <v>WA</v>
      </c>
      <c r="J464" t="str">
        <f>VLOOKUP(B464,[1]Product!A:B,2,FALSE)</f>
        <v>Product WEUJZ</v>
      </c>
      <c r="K464" t="str">
        <f>VLOOKUP(VLOOKUP(B464,[1]Product!A:D,4,FALSE),[1]Category!A:B,2,FALSE)</f>
        <v>Seafood</v>
      </c>
      <c r="L464" s="10">
        <f>IFERROR(VLOOKUP(A464,'[1]Sales Order'!A:D,4,FALSE),"")</f>
        <v>39103</v>
      </c>
      <c r="M464" s="10">
        <f>IFERROR(VLOOKUP(A464,'[1]Sales Order'!A:F,6,FALSE),"")</f>
        <v>39109</v>
      </c>
      <c r="N464" t="str">
        <f>IFERROR(VLOOKUP(VLOOKUP(A464,'[1]Sales Order'!A:G,7,FALSE),[1]Shipper!A:B,2,FALSE),"Not Specified")</f>
        <v>Shipper GVSUA</v>
      </c>
      <c r="O464" t="str">
        <f>IFERROR(VLOOKUP(A464,'[1]Sales Order'!A:I,9,FALSE),"Not Specified")</f>
        <v>Ship to 88-C</v>
      </c>
      <c r="P464" t="str">
        <f>IFERROR(VLOOKUP(A464,'[1]Sales Order'!A:N,14,FALSE),"Not Specified")</f>
        <v>Brazil</v>
      </c>
      <c r="Q464" t="str">
        <f>VLOOKUP(VLOOKUP(B464,[1]Product!A:C,3,FALSE),[1]Supplier!A:B,2,FALSE)</f>
        <v>Supplier QZGUF</v>
      </c>
      <c r="R464" t="str">
        <f>VLOOKUP(VLOOKUP(B464,[1]Product!A:C,3,FALSE),[1]Supplier!A:I,9,FALSE)</f>
        <v>Sweden</v>
      </c>
      <c r="S464" t="str">
        <f>IFERROR(IF(VLOOKUP(A464,'[1]Sales Order'!A:H,8,FALSE)&gt;100,"High Freight","Low Freight"),"Not Specified")</f>
        <v>Low Freight</v>
      </c>
      <c r="T464">
        <f t="shared" si="15"/>
        <v>216</v>
      </c>
    </row>
    <row r="465" spans="1:20">
      <c r="A465" s="1">
        <v>10421</v>
      </c>
      <c r="B465" s="2">
        <v>19</v>
      </c>
      <c r="C465" s="2">
        <v>7.3</v>
      </c>
      <c r="D465" s="2">
        <v>4</v>
      </c>
      <c r="E465" s="3">
        <v>0.15</v>
      </c>
      <c r="F465" s="2" t="str">
        <f>IFERROR(VLOOKUP(VLOOKUP(A465,'[1]Sales Order'!A:B,2,FALSE),[1]Customer!A:C,3,FALSE),"Not Specified")</f>
        <v>Florczyk, Krzysztof</v>
      </c>
      <c r="G465" s="2" t="str">
        <f t="shared" si="14"/>
        <v>Florczyk Krzysztof</v>
      </c>
      <c r="H465" s="8" t="str">
        <f>IFERROR(VLOOKUP(VLOOKUP(A465,'[1]Sales Order'!A:C,3,FALSE),[1]Employee!A:E,5,FALSE)&amp;" "&amp;VLOOKUP(VLOOKUP(A465,'[1]Sales Order'!A:C,3,FALSE),[1]Employee!A:C,3,FALSE)&amp;" "&amp;VLOOKUP(VLOOKUP(A465,'[1]Sales Order'!A:C,3,FALSE),[1]Employee!A:B,2,FALSE),"Not Specified")</f>
        <v>Ms. Maria Cameron</v>
      </c>
      <c r="I465" t="str">
        <f>IFERROR(VLOOKUP(VLOOKUP(A465,'[1]Sales Order'!A:C,3,FALSE),[1]Employee!A:J,10,FALSE),"Not Specified")</f>
        <v>WA</v>
      </c>
      <c r="J465" t="str">
        <f>VLOOKUP(B465,[1]Product!A:B,2,FALSE)</f>
        <v>Product XKXDO</v>
      </c>
      <c r="K465" t="str">
        <f>VLOOKUP(VLOOKUP(B465,[1]Product!A:D,4,FALSE),[1]Category!A:B,2,FALSE)</f>
        <v>Confections</v>
      </c>
      <c r="L465" s="10">
        <f>IFERROR(VLOOKUP(A465,'[1]Sales Order'!A:D,4,FALSE),"")</f>
        <v>39103</v>
      </c>
      <c r="M465" s="10">
        <f>IFERROR(VLOOKUP(A465,'[1]Sales Order'!A:F,6,FALSE),"")</f>
        <v>39109</v>
      </c>
      <c r="N465" t="str">
        <f>IFERROR(VLOOKUP(VLOOKUP(A465,'[1]Sales Order'!A:G,7,FALSE),[1]Shipper!A:B,2,FALSE),"Not Specified")</f>
        <v>Shipper GVSUA</v>
      </c>
      <c r="O465" t="str">
        <f>IFERROR(VLOOKUP(A465,'[1]Sales Order'!A:I,9,FALSE),"Not Specified")</f>
        <v>Ship to 61-C</v>
      </c>
      <c r="P465" t="str">
        <f>IFERROR(VLOOKUP(A465,'[1]Sales Order'!A:N,14,FALSE),"Not Specified")</f>
        <v>Brazil</v>
      </c>
      <c r="Q465" t="str">
        <f>VLOOKUP(VLOOKUP(B465,[1]Product!A:C,3,FALSE),[1]Supplier!A:B,2,FALSE)</f>
        <v>Supplier BWGYE</v>
      </c>
      <c r="R465" t="str">
        <f>VLOOKUP(VLOOKUP(B465,[1]Product!A:C,3,FALSE),[1]Supplier!A:I,9,FALSE)</f>
        <v>UK</v>
      </c>
      <c r="S465" t="str">
        <f>IFERROR(IF(VLOOKUP(A465,'[1]Sales Order'!A:H,8,FALSE)&gt;100,"High Freight","Low Freight"),"Not Specified")</f>
        <v>Low Freight</v>
      </c>
      <c r="T465">
        <f t="shared" si="15"/>
        <v>24.82</v>
      </c>
    </row>
    <row r="466" spans="1:20">
      <c r="A466" s="1">
        <v>10421</v>
      </c>
      <c r="B466" s="2">
        <v>26</v>
      </c>
      <c r="C466" s="2">
        <v>24.9</v>
      </c>
      <c r="D466" s="2">
        <v>30</v>
      </c>
      <c r="E466" s="3">
        <v>0</v>
      </c>
      <c r="F466" s="2" t="str">
        <f>IFERROR(VLOOKUP(VLOOKUP(A466,'[1]Sales Order'!A:B,2,FALSE),[1]Customer!A:C,3,FALSE),"Not Specified")</f>
        <v>Florczyk, Krzysztof</v>
      </c>
      <c r="G466" s="2" t="str">
        <f t="shared" si="14"/>
        <v>Florczyk Krzysztof</v>
      </c>
      <c r="H466" s="8" t="str">
        <f>IFERROR(VLOOKUP(VLOOKUP(A466,'[1]Sales Order'!A:C,3,FALSE),[1]Employee!A:E,5,FALSE)&amp;" "&amp;VLOOKUP(VLOOKUP(A466,'[1]Sales Order'!A:C,3,FALSE),[1]Employee!A:C,3,FALSE)&amp;" "&amp;VLOOKUP(VLOOKUP(A466,'[1]Sales Order'!A:C,3,FALSE),[1]Employee!A:B,2,FALSE),"Not Specified")</f>
        <v>Ms. Maria Cameron</v>
      </c>
      <c r="I466" t="str">
        <f>IFERROR(VLOOKUP(VLOOKUP(A466,'[1]Sales Order'!A:C,3,FALSE),[1]Employee!A:J,10,FALSE),"Not Specified")</f>
        <v>WA</v>
      </c>
      <c r="J466" t="str">
        <f>VLOOKUP(B466,[1]Product!A:B,2,FALSE)</f>
        <v>Product HLGZA</v>
      </c>
      <c r="K466" t="str">
        <f>VLOOKUP(VLOOKUP(B466,[1]Product!A:D,4,FALSE),[1]Category!A:B,2,FALSE)</f>
        <v>Confections</v>
      </c>
      <c r="L466" s="10">
        <f>IFERROR(VLOOKUP(A466,'[1]Sales Order'!A:D,4,FALSE),"")</f>
        <v>39103</v>
      </c>
      <c r="M466" s="10">
        <f>IFERROR(VLOOKUP(A466,'[1]Sales Order'!A:F,6,FALSE),"")</f>
        <v>39109</v>
      </c>
      <c r="N466" t="str">
        <f>IFERROR(VLOOKUP(VLOOKUP(A466,'[1]Sales Order'!A:G,7,FALSE),[1]Shipper!A:B,2,FALSE),"Not Specified")</f>
        <v>Shipper GVSUA</v>
      </c>
      <c r="O466" t="str">
        <f>IFERROR(VLOOKUP(A466,'[1]Sales Order'!A:I,9,FALSE),"Not Specified")</f>
        <v>Ship to 61-C</v>
      </c>
      <c r="P466" t="str">
        <f>IFERROR(VLOOKUP(A466,'[1]Sales Order'!A:N,14,FALSE),"Not Specified")</f>
        <v>Brazil</v>
      </c>
      <c r="Q466" t="str">
        <f>VLOOKUP(VLOOKUP(B466,[1]Product!A:C,3,FALSE),[1]Supplier!A:B,2,FALSE)</f>
        <v>Supplier ZPYVS</v>
      </c>
      <c r="R466" t="str">
        <f>VLOOKUP(VLOOKUP(B466,[1]Product!A:C,3,FALSE),[1]Supplier!A:I,9,FALSE)</f>
        <v>Germany</v>
      </c>
      <c r="S466" t="str">
        <f>IFERROR(IF(VLOOKUP(A466,'[1]Sales Order'!A:H,8,FALSE)&gt;100,"High Freight","Low Freight"),"Not Specified")</f>
        <v>Low Freight</v>
      </c>
      <c r="T466">
        <f t="shared" si="15"/>
        <v>747</v>
      </c>
    </row>
    <row r="467" spans="1:20">
      <c r="A467" s="1">
        <v>10421</v>
      </c>
      <c r="B467" s="2">
        <v>53</v>
      </c>
      <c r="C467" s="2">
        <v>26.2</v>
      </c>
      <c r="D467" s="2">
        <v>15</v>
      </c>
      <c r="E467" s="3">
        <v>0.15</v>
      </c>
      <c r="F467" s="2" t="str">
        <f>IFERROR(VLOOKUP(VLOOKUP(A467,'[1]Sales Order'!A:B,2,FALSE),[1]Customer!A:C,3,FALSE),"Not Specified")</f>
        <v>Florczyk, Krzysztof</v>
      </c>
      <c r="G467" s="2" t="str">
        <f t="shared" si="14"/>
        <v>Florczyk Krzysztof</v>
      </c>
      <c r="H467" s="8" t="str">
        <f>IFERROR(VLOOKUP(VLOOKUP(A467,'[1]Sales Order'!A:C,3,FALSE),[1]Employee!A:E,5,FALSE)&amp;" "&amp;VLOOKUP(VLOOKUP(A467,'[1]Sales Order'!A:C,3,FALSE),[1]Employee!A:C,3,FALSE)&amp;" "&amp;VLOOKUP(VLOOKUP(A467,'[1]Sales Order'!A:C,3,FALSE),[1]Employee!A:B,2,FALSE),"Not Specified")</f>
        <v>Ms. Maria Cameron</v>
      </c>
      <c r="I467" t="str">
        <f>IFERROR(VLOOKUP(VLOOKUP(A467,'[1]Sales Order'!A:C,3,FALSE),[1]Employee!A:J,10,FALSE),"Not Specified")</f>
        <v>WA</v>
      </c>
      <c r="J467" t="str">
        <f>VLOOKUP(B467,[1]Product!A:B,2,FALSE)</f>
        <v>Product BKGEA</v>
      </c>
      <c r="K467" t="str">
        <f>VLOOKUP(VLOOKUP(B467,[1]Product!A:D,4,FALSE),[1]Category!A:B,2,FALSE)</f>
        <v>Meat/Poultry</v>
      </c>
      <c r="L467" s="10">
        <f>IFERROR(VLOOKUP(A467,'[1]Sales Order'!A:D,4,FALSE),"")</f>
        <v>39103</v>
      </c>
      <c r="M467" s="10">
        <f>IFERROR(VLOOKUP(A467,'[1]Sales Order'!A:F,6,FALSE),"")</f>
        <v>39109</v>
      </c>
      <c r="N467" t="str">
        <f>IFERROR(VLOOKUP(VLOOKUP(A467,'[1]Sales Order'!A:G,7,FALSE),[1]Shipper!A:B,2,FALSE),"Not Specified")</f>
        <v>Shipper GVSUA</v>
      </c>
      <c r="O467" t="str">
        <f>IFERROR(VLOOKUP(A467,'[1]Sales Order'!A:I,9,FALSE),"Not Specified")</f>
        <v>Ship to 61-C</v>
      </c>
      <c r="P467" t="str">
        <f>IFERROR(VLOOKUP(A467,'[1]Sales Order'!A:N,14,FALSE),"Not Specified")</f>
        <v>Brazil</v>
      </c>
      <c r="Q467" t="str">
        <f>VLOOKUP(VLOOKUP(B467,[1]Product!A:C,3,FALSE),[1]Supplier!A:B,2,FALSE)</f>
        <v>Supplier JNNES</v>
      </c>
      <c r="R467" t="str">
        <f>VLOOKUP(VLOOKUP(B467,[1]Product!A:C,3,FALSE),[1]Supplier!A:I,9,FALSE)</f>
        <v>Australia</v>
      </c>
      <c r="S467" t="str">
        <f>IFERROR(IF(VLOOKUP(A467,'[1]Sales Order'!A:H,8,FALSE)&gt;100,"High Freight","Low Freight"),"Not Specified")</f>
        <v>Low Freight</v>
      </c>
      <c r="T467">
        <f t="shared" si="15"/>
        <v>334.05</v>
      </c>
    </row>
    <row r="468" spans="1:20">
      <c r="A468" s="1">
        <v>10421</v>
      </c>
      <c r="B468" s="2">
        <v>77</v>
      </c>
      <c r="C468" s="2">
        <v>10.4</v>
      </c>
      <c r="D468" s="2">
        <v>10</v>
      </c>
      <c r="E468" s="3">
        <v>0.15</v>
      </c>
      <c r="F468" s="2" t="str">
        <f>IFERROR(VLOOKUP(VLOOKUP(A468,'[1]Sales Order'!A:B,2,FALSE),[1]Customer!A:C,3,FALSE),"Not Specified")</f>
        <v>Florczyk, Krzysztof</v>
      </c>
      <c r="G468" s="2" t="str">
        <f t="shared" si="14"/>
        <v>Florczyk Krzysztof</v>
      </c>
      <c r="H468" s="8" t="str">
        <f>IFERROR(VLOOKUP(VLOOKUP(A468,'[1]Sales Order'!A:C,3,FALSE),[1]Employee!A:E,5,FALSE)&amp;" "&amp;VLOOKUP(VLOOKUP(A468,'[1]Sales Order'!A:C,3,FALSE),[1]Employee!A:C,3,FALSE)&amp;" "&amp;VLOOKUP(VLOOKUP(A468,'[1]Sales Order'!A:C,3,FALSE),[1]Employee!A:B,2,FALSE),"Not Specified")</f>
        <v>Ms. Maria Cameron</v>
      </c>
      <c r="I468" t="str">
        <f>IFERROR(VLOOKUP(VLOOKUP(A468,'[1]Sales Order'!A:C,3,FALSE),[1]Employee!A:J,10,FALSE),"Not Specified")</f>
        <v>WA</v>
      </c>
      <c r="J468" t="str">
        <f>VLOOKUP(B468,[1]Product!A:B,2,FALSE)</f>
        <v>Product LUNZZ</v>
      </c>
      <c r="K468" t="str">
        <f>VLOOKUP(VLOOKUP(B468,[1]Product!A:D,4,FALSE),[1]Category!A:B,2,FALSE)</f>
        <v>Condiments</v>
      </c>
      <c r="L468" s="10">
        <f>IFERROR(VLOOKUP(A468,'[1]Sales Order'!A:D,4,FALSE),"")</f>
        <v>39103</v>
      </c>
      <c r="M468" s="10">
        <f>IFERROR(VLOOKUP(A468,'[1]Sales Order'!A:F,6,FALSE),"")</f>
        <v>39109</v>
      </c>
      <c r="N468" t="str">
        <f>IFERROR(VLOOKUP(VLOOKUP(A468,'[1]Sales Order'!A:G,7,FALSE),[1]Shipper!A:B,2,FALSE),"Not Specified")</f>
        <v>Shipper GVSUA</v>
      </c>
      <c r="O468" t="str">
        <f>IFERROR(VLOOKUP(A468,'[1]Sales Order'!A:I,9,FALSE),"Not Specified")</f>
        <v>Ship to 61-C</v>
      </c>
      <c r="P468" t="str">
        <f>IFERROR(VLOOKUP(A468,'[1]Sales Order'!A:N,14,FALSE),"Not Specified")</f>
        <v>Brazil</v>
      </c>
      <c r="Q468" t="str">
        <f>VLOOKUP(VLOOKUP(B468,[1]Product!A:C,3,FALSE),[1]Supplier!A:B,2,FALSE)</f>
        <v>Supplier SVIYA</v>
      </c>
      <c r="R468" t="str">
        <f>VLOOKUP(VLOOKUP(B468,[1]Product!A:C,3,FALSE),[1]Supplier!A:I,9,FALSE)</f>
        <v>Germany</v>
      </c>
      <c r="S468" t="str">
        <f>IFERROR(IF(VLOOKUP(A468,'[1]Sales Order'!A:H,8,FALSE)&gt;100,"High Freight","Low Freight"),"Not Specified")</f>
        <v>Low Freight</v>
      </c>
      <c r="T468">
        <f t="shared" si="15"/>
        <v>88.399999999999991</v>
      </c>
    </row>
    <row r="469" spans="1:20">
      <c r="A469" s="1">
        <v>10422</v>
      </c>
      <c r="B469" s="2">
        <v>26</v>
      </c>
      <c r="C469" s="2">
        <v>24.9</v>
      </c>
      <c r="D469" s="2">
        <v>2</v>
      </c>
      <c r="E469" s="3">
        <v>0</v>
      </c>
      <c r="F469" s="2" t="str">
        <f>IFERROR(VLOOKUP(VLOOKUP(A469,'[1]Sales Order'!A:B,2,FALSE),[1]Customer!A:C,3,FALSE),"Not Specified")</f>
        <v>Schmöllerl, Martin</v>
      </c>
      <c r="G469" s="2" t="str">
        <f t="shared" si="14"/>
        <v>Schmöllerl Martin</v>
      </c>
      <c r="H469" s="8" t="str">
        <f>IFERROR(VLOOKUP(VLOOKUP(A469,'[1]Sales Order'!A:C,3,FALSE),[1]Employee!A:E,5,FALSE)&amp;" "&amp;VLOOKUP(VLOOKUP(A469,'[1]Sales Order'!A:C,3,FALSE),[1]Employee!A:C,3,FALSE)&amp;" "&amp;VLOOKUP(VLOOKUP(A469,'[1]Sales Order'!A:C,3,FALSE),[1]Employee!A:B,2,FALSE),"Not Specified")</f>
        <v>Dr. Don Funk</v>
      </c>
      <c r="I469" t="str">
        <f>IFERROR(VLOOKUP(VLOOKUP(A469,'[1]Sales Order'!A:C,3,FALSE),[1]Employee!A:J,10,FALSE),"Not Specified")</f>
        <v>WA</v>
      </c>
      <c r="J469" t="str">
        <f>VLOOKUP(B469,[1]Product!A:B,2,FALSE)</f>
        <v>Product HLGZA</v>
      </c>
      <c r="K469" t="str">
        <f>VLOOKUP(VLOOKUP(B469,[1]Product!A:D,4,FALSE),[1]Category!A:B,2,FALSE)</f>
        <v>Confections</v>
      </c>
      <c r="L469" s="10">
        <f>IFERROR(VLOOKUP(A469,'[1]Sales Order'!A:D,4,FALSE),"")</f>
        <v>39104</v>
      </c>
      <c r="M469" s="10">
        <f>IFERROR(VLOOKUP(A469,'[1]Sales Order'!A:F,6,FALSE),"")</f>
        <v>39113</v>
      </c>
      <c r="N469" t="str">
        <f>IFERROR(VLOOKUP(VLOOKUP(A469,'[1]Sales Order'!A:G,7,FALSE),[1]Shipper!A:B,2,FALSE),"Not Specified")</f>
        <v>Shipper GVSUA</v>
      </c>
      <c r="O469" t="str">
        <f>IFERROR(VLOOKUP(A469,'[1]Sales Order'!A:I,9,FALSE),"Not Specified")</f>
        <v>Destination FFLQT</v>
      </c>
      <c r="P469" t="str">
        <f>IFERROR(VLOOKUP(A469,'[1]Sales Order'!A:N,14,FALSE),"Not Specified")</f>
        <v>Italy</v>
      </c>
      <c r="Q469" t="str">
        <f>VLOOKUP(VLOOKUP(B469,[1]Product!A:C,3,FALSE),[1]Supplier!A:B,2,FALSE)</f>
        <v>Supplier ZPYVS</v>
      </c>
      <c r="R469" t="str">
        <f>VLOOKUP(VLOOKUP(B469,[1]Product!A:C,3,FALSE),[1]Supplier!A:I,9,FALSE)</f>
        <v>Germany</v>
      </c>
      <c r="S469" t="str">
        <f>IFERROR(IF(VLOOKUP(A469,'[1]Sales Order'!A:H,8,FALSE)&gt;100,"High Freight","Low Freight"),"Not Specified")</f>
        <v>Low Freight</v>
      </c>
      <c r="T469">
        <f t="shared" si="15"/>
        <v>49.8</v>
      </c>
    </row>
    <row r="470" spans="1:20">
      <c r="A470" s="1">
        <v>10423</v>
      </c>
      <c r="B470" s="2">
        <v>31</v>
      </c>
      <c r="C470" s="2">
        <v>10</v>
      </c>
      <c r="D470" s="2">
        <v>14</v>
      </c>
      <c r="E470" s="3">
        <v>0</v>
      </c>
      <c r="F470" s="2" t="str">
        <f>IFERROR(VLOOKUP(VLOOKUP(A470,'[1]Sales Order'!A:B,2,FALSE),[1]Customer!A:C,3,FALSE),"Not Specified")</f>
        <v>Cheng, Yao-Qiang</v>
      </c>
      <c r="G470" s="2" t="str">
        <f t="shared" si="14"/>
        <v>Cheng Yao-Qiang</v>
      </c>
      <c r="H470" s="8" t="str">
        <f>IFERROR(VLOOKUP(VLOOKUP(A470,'[1]Sales Order'!A:C,3,FALSE),[1]Employee!A:E,5,FALSE)&amp;" "&amp;VLOOKUP(VLOOKUP(A470,'[1]Sales Order'!A:C,3,FALSE),[1]Employee!A:C,3,FALSE)&amp;" "&amp;VLOOKUP(VLOOKUP(A470,'[1]Sales Order'!A:C,3,FALSE),[1]Employee!A:B,2,FALSE),"Not Specified")</f>
        <v>Mr. Paul Suurs</v>
      </c>
      <c r="I470">
        <f>IFERROR(VLOOKUP(VLOOKUP(A470,'[1]Sales Order'!A:C,3,FALSE),[1]Employee!A:J,10,FALSE),"Not Specified")</f>
        <v>0</v>
      </c>
      <c r="J470" t="str">
        <f>VLOOKUP(B470,[1]Product!A:B,2,FALSE)</f>
        <v>Product XWOXC</v>
      </c>
      <c r="K470" t="str">
        <f>VLOOKUP(VLOOKUP(B470,[1]Product!A:D,4,FALSE),[1]Category!A:B,2,FALSE)</f>
        <v>Dairy Product</v>
      </c>
      <c r="L470" s="10">
        <f>IFERROR(VLOOKUP(A470,'[1]Sales Order'!A:D,4,FALSE),"")</f>
        <v>39105</v>
      </c>
      <c r="M470" s="10">
        <f>IFERROR(VLOOKUP(A470,'[1]Sales Order'!A:F,6,FALSE),"")</f>
        <v>39137</v>
      </c>
      <c r="N470" t="str">
        <f>IFERROR(VLOOKUP(VLOOKUP(A470,'[1]Sales Order'!A:G,7,FALSE),[1]Shipper!A:B,2,FALSE),"Not Specified")</f>
        <v>Shipper ZHISN</v>
      </c>
      <c r="O470" t="str">
        <f>IFERROR(VLOOKUP(A470,'[1]Sales Order'!A:I,9,FALSE),"Not Specified")</f>
        <v>Destination VNIAG</v>
      </c>
      <c r="P470" t="str">
        <f>IFERROR(VLOOKUP(A470,'[1]Sales Order'!A:N,14,FALSE),"Not Specified")</f>
        <v>Brazil</v>
      </c>
      <c r="Q470" t="str">
        <f>VLOOKUP(VLOOKUP(B470,[1]Product!A:C,3,FALSE),[1]Supplier!A:B,2,FALSE)</f>
        <v>Supplier KEREV</v>
      </c>
      <c r="R470" t="str">
        <f>VLOOKUP(VLOOKUP(B470,[1]Product!A:C,3,FALSE),[1]Supplier!A:I,9,FALSE)</f>
        <v>Italy</v>
      </c>
      <c r="S470" t="str">
        <f>IFERROR(IF(VLOOKUP(A470,'[1]Sales Order'!A:H,8,FALSE)&gt;100,"High Freight","Low Freight"),"Not Specified")</f>
        <v>Low Freight</v>
      </c>
      <c r="T470">
        <f t="shared" si="15"/>
        <v>140</v>
      </c>
    </row>
    <row r="471" spans="1:20">
      <c r="A471" s="1">
        <v>10423</v>
      </c>
      <c r="B471" s="2">
        <v>59</v>
      </c>
      <c r="C471" s="2">
        <v>44</v>
      </c>
      <c r="D471" s="2">
        <v>20</v>
      </c>
      <c r="E471" s="3">
        <v>0</v>
      </c>
      <c r="F471" s="2" t="str">
        <f>IFERROR(VLOOKUP(VLOOKUP(A471,'[1]Sales Order'!A:B,2,FALSE),[1]Customer!A:C,3,FALSE),"Not Specified")</f>
        <v>Cheng, Yao-Qiang</v>
      </c>
      <c r="G471" s="2" t="str">
        <f t="shared" si="14"/>
        <v>Cheng Yao-Qiang</v>
      </c>
      <c r="H471" s="8" t="str">
        <f>IFERROR(VLOOKUP(VLOOKUP(A471,'[1]Sales Order'!A:C,3,FALSE),[1]Employee!A:E,5,FALSE)&amp;" "&amp;VLOOKUP(VLOOKUP(A471,'[1]Sales Order'!A:C,3,FALSE),[1]Employee!A:C,3,FALSE)&amp;" "&amp;VLOOKUP(VLOOKUP(A471,'[1]Sales Order'!A:C,3,FALSE),[1]Employee!A:B,2,FALSE),"Not Specified")</f>
        <v>Mr. Paul Suurs</v>
      </c>
      <c r="I471">
        <f>IFERROR(VLOOKUP(VLOOKUP(A471,'[1]Sales Order'!A:C,3,FALSE),[1]Employee!A:J,10,FALSE),"Not Specified")</f>
        <v>0</v>
      </c>
      <c r="J471" t="str">
        <f>VLOOKUP(B471,[1]Product!A:B,2,FALSE)</f>
        <v>Product UKXRI</v>
      </c>
      <c r="K471" t="str">
        <f>VLOOKUP(VLOOKUP(B471,[1]Product!A:D,4,FALSE),[1]Category!A:B,2,FALSE)</f>
        <v>Dairy Product</v>
      </c>
      <c r="L471" s="10">
        <f>IFERROR(VLOOKUP(A471,'[1]Sales Order'!A:D,4,FALSE),"")</f>
        <v>39105</v>
      </c>
      <c r="M471" s="10">
        <f>IFERROR(VLOOKUP(A471,'[1]Sales Order'!A:F,6,FALSE),"")</f>
        <v>39137</v>
      </c>
      <c r="N471" t="str">
        <f>IFERROR(VLOOKUP(VLOOKUP(A471,'[1]Sales Order'!A:G,7,FALSE),[1]Shipper!A:B,2,FALSE),"Not Specified")</f>
        <v>Shipper ZHISN</v>
      </c>
      <c r="O471" t="str">
        <f>IFERROR(VLOOKUP(A471,'[1]Sales Order'!A:I,9,FALSE),"Not Specified")</f>
        <v>Destination VNIAG</v>
      </c>
      <c r="P471" t="str">
        <f>IFERROR(VLOOKUP(A471,'[1]Sales Order'!A:N,14,FALSE),"Not Specified")</f>
        <v>Brazil</v>
      </c>
      <c r="Q471" t="str">
        <f>VLOOKUP(VLOOKUP(B471,[1]Product!A:C,3,FALSE),[1]Supplier!A:B,2,FALSE)</f>
        <v>Supplier OAVQT</v>
      </c>
      <c r="R471" t="str">
        <f>VLOOKUP(VLOOKUP(B471,[1]Product!A:C,3,FALSE),[1]Supplier!A:I,9,FALSE)</f>
        <v>France</v>
      </c>
      <c r="S471" t="str">
        <f>IFERROR(IF(VLOOKUP(A471,'[1]Sales Order'!A:H,8,FALSE)&gt;100,"High Freight","Low Freight"),"Not Specified")</f>
        <v>Low Freight</v>
      </c>
      <c r="T471">
        <f t="shared" si="15"/>
        <v>880</v>
      </c>
    </row>
    <row r="472" spans="1:20">
      <c r="A472" s="1">
        <v>10424</v>
      </c>
      <c r="B472" s="2">
        <v>35</v>
      </c>
      <c r="C472" s="2">
        <v>14.4</v>
      </c>
      <c r="D472" s="2">
        <v>60</v>
      </c>
      <c r="E472" s="3">
        <v>0.2</v>
      </c>
      <c r="F472" s="2" t="str">
        <f>IFERROR(VLOOKUP(VLOOKUP(A472,'[1]Sales Order'!A:B,2,FALSE),[1]Customer!A:C,3,FALSE),"Not Specified")</f>
        <v>Taylor, Maurice</v>
      </c>
      <c r="G472" s="2" t="str">
        <f t="shared" si="14"/>
        <v>Taylor Maurice</v>
      </c>
      <c r="H472" s="8" t="str">
        <f>IFERROR(VLOOKUP(VLOOKUP(A472,'[1]Sales Order'!A:C,3,FALSE),[1]Employee!A:E,5,FALSE)&amp;" "&amp;VLOOKUP(VLOOKUP(A472,'[1]Sales Order'!A:C,3,FALSE),[1]Employee!A:C,3,FALSE)&amp;" "&amp;VLOOKUP(VLOOKUP(A472,'[1]Sales Order'!A:C,3,FALSE),[1]Employee!A:B,2,FALSE),"Not Specified")</f>
        <v>Mr. Russell King</v>
      </c>
      <c r="I472">
        <f>IFERROR(VLOOKUP(VLOOKUP(A472,'[1]Sales Order'!A:C,3,FALSE),[1]Employee!A:J,10,FALSE),"Not Specified")</f>
        <v>0</v>
      </c>
      <c r="J472" t="str">
        <f>VLOOKUP(B472,[1]Product!A:B,2,FALSE)</f>
        <v>Product NEVTJ</v>
      </c>
      <c r="K472" t="str">
        <f>VLOOKUP(VLOOKUP(B472,[1]Product!A:D,4,FALSE),[1]Category!A:B,2,FALSE)</f>
        <v>Beverages</v>
      </c>
      <c r="L472" s="10">
        <f>IFERROR(VLOOKUP(A472,'[1]Sales Order'!A:D,4,FALSE),"")</f>
        <v>39105</v>
      </c>
      <c r="M472" s="10">
        <f>IFERROR(VLOOKUP(A472,'[1]Sales Order'!A:F,6,FALSE),"")</f>
        <v>39109</v>
      </c>
      <c r="N472" t="str">
        <f>IFERROR(VLOOKUP(VLOOKUP(A472,'[1]Sales Order'!A:G,7,FALSE),[1]Shipper!A:B,2,FALSE),"Not Specified")</f>
        <v>Shipper ETYNR</v>
      </c>
      <c r="O472" t="str">
        <f>IFERROR(VLOOKUP(A472,'[1]Sales Order'!A:I,9,FALSE),"Not Specified")</f>
        <v>Ship to 51-C</v>
      </c>
      <c r="P472" t="str">
        <f>IFERROR(VLOOKUP(A472,'[1]Sales Order'!A:N,14,FALSE),"Not Specified")</f>
        <v>Canada</v>
      </c>
      <c r="Q472" t="str">
        <f>VLOOKUP(VLOOKUP(B472,[1]Product!A:C,3,FALSE),[1]Supplier!A:B,2,FALSE)</f>
        <v>Supplier UHZRG</v>
      </c>
      <c r="R472" t="str">
        <f>VLOOKUP(VLOOKUP(B472,[1]Product!A:C,3,FALSE),[1]Supplier!A:I,9,FALSE)</f>
        <v>USA</v>
      </c>
      <c r="S472" t="str">
        <f>IFERROR(IF(VLOOKUP(A472,'[1]Sales Order'!A:H,8,FALSE)&gt;100,"High Freight","Low Freight"),"Not Specified")</f>
        <v>High Freight</v>
      </c>
      <c r="T472">
        <f t="shared" si="15"/>
        <v>691.2</v>
      </c>
    </row>
    <row r="473" spans="1:20">
      <c r="A473" s="1">
        <v>10424</v>
      </c>
      <c r="B473" s="2">
        <v>38</v>
      </c>
      <c r="C473" s="2">
        <v>210.8</v>
      </c>
      <c r="D473" s="2">
        <v>49</v>
      </c>
      <c r="E473" s="3">
        <v>0.2</v>
      </c>
      <c r="F473" s="2" t="str">
        <f>IFERROR(VLOOKUP(VLOOKUP(A473,'[1]Sales Order'!A:B,2,FALSE),[1]Customer!A:C,3,FALSE),"Not Specified")</f>
        <v>Taylor, Maurice</v>
      </c>
      <c r="G473" s="2" t="str">
        <f t="shared" si="14"/>
        <v>Taylor Maurice</v>
      </c>
      <c r="H473" s="8" t="str">
        <f>IFERROR(VLOOKUP(VLOOKUP(A473,'[1]Sales Order'!A:C,3,FALSE),[1]Employee!A:E,5,FALSE)&amp;" "&amp;VLOOKUP(VLOOKUP(A473,'[1]Sales Order'!A:C,3,FALSE),[1]Employee!A:C,3,FALSE)&amp;" "&amp;VLOOKUP(VLOOKUP(A473,'[1]Sales Order'!A:C,3,FALSE),[1]Employee!A:B,2,FALSE),"Not Specified")</f>
        <v>Mr. Russell King</v>
      </c>
      <c r="I473">
        <f>IFERROR(VLOOKUP(VLOOKUP(A473,'[1]Sales Order'!A:C,3,FALSE),[1]Employee!A:J,10,FALSE),"Not Specified")</f>
        <v>0</v>
      </c>
      <c r="J473" t="str">
        <f>VLOOKUP(B473,[1]Product!A:B,2,FALSE)</f>
        <v>Product QDOMO</v>
      </c>
      <c r="K473" t="str">
        <f>VLOOKUP(VLOOKUP(B473,[1]Product!A:D,4,FALSE),[1]Category!A:B,2,FALSE)</f>
        <v>Beverages</v>
      </c>
      <c r="L473" s="10">
        <f>IFERROR(VLOOKUP(A473,'[1]Sales Order'!A:D,4,FALSE),"")</f>
        <v>39105</v>
      </c>
      <c r="M473" s="10">
        <f>IFERROR(VLOOKUP(A473,'[1]Sales Order'!A:F,6,FALSE),"")</f>
        <v>39109</v>
      </c>
      <c r="N473" t="str">
        <f>IFERROR(VLOOKUP(VLOOKUP(A473,'[1]Sales Order'!A:G,7,FALSE),[1]Shipper!A:B,2,FALSE),"Not Specified")</f>
        <v>Shipper ETYNR</v>
      </c>
      <c r="O473" t="str">
        <f>IFERROR(VLOOKUP(A473,'[1]Sales Order'!A:I,9,FALSE),"Not Specified")</f>
        <v>Ship to 51-C</v>
      </c>
      <c r="P473" t="str">
        <f>IFERROR(VLOOKUP(A473,'[1]Sales Order'!A:N,14,FALSE),"Not Specified")</f>
        <v>Canada</v>
      </c>
      <c r="Q473" t="str">
        <f>VLOOKUP(VLOOKUP(B473,[1]Product!A:C,3,FALSE),[1]Supplier!A:B,2,FALSE)</f>
        <v>Supplier LVJUA</v>
      </c>
      <c r="R473" t="str">
        <f>VLOOKUP(VLOOKUP(B473,[1]Product!A:C,3,FALSE),[1]Supplier!A:I,9,FALSE)</f>
        <v>France</v>
      </c>
      <c r="S473" t="str">
        <f>IFERROR(IF(VLOOKUP(A473,'[1]Sales Order'!A:H,8,FALSE)&gt;100,"High Freight","Low Freight"),"Not Specified")</f>
        <v>High Freight</v>
      </c>
      <c r="T473">
        <f t="shared" si="15"/>
        <v>8263.36</v>
      </c>
    </row>
    <row r="474" spans="1:20">
      <c r="A474" s="1">
        <v>10424</v>
      </c>
      <c r="B474" s="2">
        <v>68</v>
      </c>
      <c r="C474" s="2">
        <v>10</v>
      </c>
      <c r="D474" s="2">
        <v>30</v>
      </c>
      <c r="E474" s="3">
        <v>0.2</v>
      </c>
      <c r="F474" s="2" t="str">
        <f>IFERROR(VLOOKUP(VLOOKUP(A474,'[1]Sales Order'!A:B,2,FALSE),[1]Customer!A:C,3,FALSE),"Not Specified")</f>
        <v>Taylor, Maurice</v>
      </c>
      <c r="G474" s="2" t="str">
        <f t="shared" si="14"/>
        <v>Taylor Maurice</v>
      </c>
      <c r="H474" s="8" t="str">
        <f>IFERROR(VLOOKUP(VLOOKUP(A474,'[1]Sales Order'!A:C,3,FALSE),[1]Employee!A:E,5,FALSE)&amp;" "&amp;VLOOKUP(VLOOKUP(A474,'[1]Sales Order'!A:C,3,FALSE),[1]Employee!A:C,3,FALSE)&amp;" "&amp;VLOOKUP(VLOOKUP(A474,'[1]Sales Order'!A:C,3,FALSE),[1]Employee!A:B,2,FALSE),"Not Specified")</f>
        <v>Mr. Russell King</v>
      </c>
      <c r="I474">
        <f>IFERROR(VLOOKUP(VLOOKUP(A474,'[1]Sales Order'!A:C,3,FALSE),[1]Employee!A:J,10,FALSE),"Not Specified")</f>
        <v>0</v>
      </c>
      <c r="J474" t="str">
        <f>VLOOKUP(B474,[1]Product!A:B,2,FALSE)</f>
        <v>Product TBTBL</v>
      </c>
      <c r="K474" t="str">
        <f>VLOOKUP(VLOOKUP(B474,[1]Product!A:D,4,FALSE),[1]Category!A:B,2,FALSE)</f>
        <v>Confections</v>
      </c>
      <c r="L474" s="10">
        <f>IFERROR(VLOOKUP(A474,'[1]Sales Order'!A:D,4,FALSE),"")</f>
        <v>39105</v>
      </c>
      <c r="M474" s="10">
        <f>IFERROR(VLOOKUP(A474,'[1]Sales Order'!A:F,6,FALSE),"")</f>
        <v>39109</v>
      </c>
      <c r="N474" t="str">
        <f>IFERROR(VLOOKUP(VLOOKUP(A474,'[1]Sales Order'!A:G,7,FALSE),[1]Shipper!A:B,2,FALSE),"Not Specified")</f>
        <v>Shipper ETYNR</v>
      </c>
      <c r="O474" t="str">
        <f>IFERROR(VLOOKUP(A474,'[1]Sales Order'!A:I,9,FALSE),"Not Specified")</f>
        <v>Ship to 51-C</v>
      </c>
      <c r="P474" t="str">
        <f>IFERROR(VLOOKUP(A474,'[1]Sales Order'!A:N,14,FALSE),"Not Specified")</f>
        <v>Canada</v>
      </c>
      <c r="Q474" t="str">
        <f>VLOOKUP(VLOOKUP(B474,[1]Product!A:C,3,FALSE),[1]Supplier!A:B,2,FALSE)</f>
        <v>Supplier BWGYE</v>
      </c>
      <c r="R474" t="str">
        <f>VLOOKUP(VLOOKUP(B474,[1]Product!A:C,3,FALSE),[1]Supplier!A:I,9,FALSE)</f>
        <v>UK</v>
      </c>
      <c r="S474" t="str">
        <f>IFERROR(IF(VLOOKUP(A474,'[1]Sales Order'!A:H,8,FALSE)&gt;100,"High Freight","Low Freight"),"Not Specified")</f>
        <v>High Freight</v>
      </c>
      <c r="T474">
        <f t="shared" si="15"/>
        <v>240</v>
      </c>
    </row>
    <row r="475" spans="1:20">
      <c r="A475" s="1">
        <v>10425</v>
      </c>
      <c r="B475" s="2">
        <v>55</v>
      </c>
      <c r="C475" s="2">
        <v>19.2</v>
      </c>
      <c r="D475" s="2">
        <v>10</v>
      </c>
      <c r="E475" s="3">
        <v>0.25</v>
      </c>
      <c r="F475" s="2" t="str">
        <f>IFERROR(VLOOKUP(VLOOKUP(A475,'[1]Sales Order'!A:B,2,FALSE),[1]Customer!A:C,3,FALSE),"Not Specified")</f>
        <v>Litton, Tim</v>
      </c>
      <c r="G475" s="2" t="str">
        <f t="shared" si="14"/>
        <v>Litton Tim</v>
      </c>
      <c r="H475" s="8" t="str">
        <f>IFERROR(VLOOKUP(VLOOKUP(A475,'[1]Sales Order'!A:C,3,FALSE),[1]Employee!A:E,5,FALSE)&amp;" "&amp;VLOOKUP(VLOOKUP(A475,'[1]Sales Order'!A:C,3,FALSE),[1]Employee!A:C,3,FALSE)&amp;" "&amp;VLOOKUP(VLOOKUP(A475,'[1]Sales Order'!A:C,3,FALSE),[1]Employee!A:B,2,FALSE),"Not Specified")</f>
        <v>Mr. Paul Suurs</v>
      </c>
      <c r="I475">
        <f>IFERROR(VLOOKUP(VLOOKUP(A475,'[1]Sales Order'!A:C,3,FALSE),[1]Employee!A:J,10,FALSE),"Not Specified")</f>
        <v>0</v>
      </c>
      <c r="J475" t="str">
        <f>VLOOKUP(B475,[1]Product!A:B,2,FALSE)</f>
        <v>Product YYWRT</v>
      </c>
      <c r="K475" t="str">
        <f>VLOOKUP(VLOOKUP(B475,[1]Product!A:D,4,FALSE),[1]Category!A:B,2,FALSE)</f>
        <v>Meat/Poultry</v>
      </c>
      <c r="L475" s="10">
        <f>IFERROR(VLOOKUP(A475,'[1]Sales Order'!A:D,4,FALSE),"")</f>
        <v>39106</v>
      </c>
      <c r="M475" s="10">
        <f>IFERROR(VLOOKUP(A475,'[1]Sales Order'!A:F,6,FALSE),"")</f>
        <v>39127</v>
      </c>
      <c r="N475" t="str">
        <f>IFERROR(VLOOKUP(VLOOKUP(A475,'[1]Sales Order'!A:G,7,FALSE),[1]Shipper!A:B,2,FALSE),"Not Specified")</f>
        <v>Shipper ETYNR</v>
      </c>
      <c r="O475" t="str">
        <f>IFERROR(VLOOKUP(A475,'[1]Sales Order'!A:I,9,FALSE),"Not Specified")</f>
        <v>Destination DWJIO</v>
      </c>
      <c r="P475" t="str">
        <f>IFERROR(VLOOKUP(A475,'[1]Sales Order'!A:N,14,FALSE),"Not Specified")</f>
        <v>France</v>
      </c>
      <c r="Q475" t="str">
        <f>VLOOKUP(VLOOKUP(B475,[1]Product!A:C,3,FALSE),[1]Supplier!A:B,2,FALSE)</f>
        <v>Supplier ERVYZ</v>
      </c>
      <c r="R475" t="str">
        <f>VLOOKUP(VLOOKUP(B475,[1]Product!A:C,3,FALSE),[1]Supplier!A:I,9,FALSE)</f>
        <v>Canada</v>
      </c>
      <c r="S475" t="str">
        <f>IFERROR(IF(VLOOKUP(A475,'[1]Sales Order'!A:H,8,FALSE)&gt;100,"High Freight","Low Freight"),"Not Specified")</f>
        <v>Low Freight</v>
      </c>
      <c r="T475">
        <f t="shared" si="15"/>
        <v>144</v>
      </c>
    </row>
    <row r="476" spans="1:20">
      <c r="A476" s="1">
        <v>10425</v>
      </c>
      <c r="B476" s="2">
        <v>76</v>
      </c>
      <c r="C476" s="2">
        <v>14.4</v>
      </c>
      <c r="D476" s="2">
        <v>20</v>
      </c>
      <c r="E476" s="3">
        <v>0.25</v>
      </c>
      <c r="F476" s="2" t="str">
        <f>IFERROR(VLOOKUP(VLOOKUP(A476,'[1]Sales Order'!A:B,2,FALSE),[1]Customer!A:C,3,FALSE),"Not Specified")</f>
        <v>Litton, Tim</v>
      </c>
      <c r="G476" s="2" t="str">
        <f t="shared" si="14"/>
        <v>Litton Tim</v>
      </c>
      <c r="H476" s="8" t="str">
        <f>IFERROR(VLOOKUP(VLOOKUP(A476,'[1]Sales Order'!A:C,3,FALSE),[1]Employee!A:E,5,FALSE)&amp;" "&amp;VLOOKUP(VLOOKUP(A476,'[1]Sales Order'!A:C,3,FALSE),[1]Employee!A:C,3,FALSE)&amp;" "&amp;VLOOKUP(VLOOKUP(A476,'[1]Sales Order'!A:C,3,FALSE),[1]Employee!A:B,2,FALSE),"Not Specified")</f>
        <v>Mr. Paul Suurs</v>
      </c>
      <c r="I476">
        <f>IFERROR(VLOOKUP(VLOOKUP(A476,'[1]Sales Order'!A:C,3,FALSE),[1]Employee!A:J,10,FALSE),"Not Specified")</f>
        <v>0</v>
      </c>
      <c r="J476" t="str">
        <f>VLOOKUP(B476,[1]Product!A:B,2,FALSE)</f>
        <v>Product JYGFE</v>
      </c>
      <c r="K476" t="str">
        <f>VLOOKUP(VLOOKUP(B476,[1]Product!A:D,4,FALSE),[1]Category!A:B,2,FALSE)</f>
        <v>Beverages</v>
      </c>
      <c r="L476" s="10">
        <f>IFERROR(VLOOKUP(A476,'[1]Sales Order'!A:D,4,FALSE),"")</f>
        <v>39106</v>
      </c>
      <c r="M476" s="10">
        <f>IFERROR(VLOOKUP(A476,'[1]Sales Order'!A:F,6,FALSE),"")</f>
        <v>39127</v>
      </c>
      <c r="N476" t="str">
        <f>IFERROR(VLOOKUP(VLOOKUP(A476,'[1]Sales Order'!A:G,7,FALSE),[1]Shipper!A:B,2,FALSE),"Not Specified")</f>
        <v>Shipper ETYNR</v>
      </c>
      <c r="O476" t="str">
        <f>IFERROR(VLOOKUP(A476,'[1]Sales Order'!A:I,9,FALSE),"Not Specified")</f>
        <v>Destination DWJIO</v>
      </c>
      <c r="P476" t="str">
        <f>IFERROR(VLOOKUP(A476,'[1]Sales Order'!A:N,14,FALSE),"Not Specified")</f>
        <v>France</v>
      </c>
      <c r="Q476" t="str">
        <f>VLOOKUP(VLOOKUP(B476,[1]Product!A:C,3,FALSE),[1]Supplier!A:B,2,FALSE)</f>
        <v>Supplier ELCRN</v>
      </c>
      <c r="R476" t="str">
        <f>VLOOKUP(VLOOKUP(B476,[1]Product!A:C,3,FALSE),[1]Supplier!A:I,9,FALSE)</f>
        <v>Finland</v>
      </c>
      <c r="S476" t="str">
        <f>IFERROR(IF(VLOOKUP(A476,'[1]Sales Order'!A:H,8,FALSE)&gt;100,"High Freight","Low Freight"),"Not Specified")</f>
        <v>Low Freight</v>
      </c>
      <c r="T476">
        <f t="shared" si="15"/>
        <v>216</v>
      </c>
    </row>
    <row r="477" spans="1:20">
      <c r="A477" s="1">
        <v>10426</v>
      </c>
      <c r="B477" s="2">
        <v>56</v>
      </c>
      <c r="C477" s="2">
        <v>30.4</v>
      </c>
      <c r="D477" s="2">
        <v>5</v>
      </c>
      <c r="E477" s="3">
        <v>0</v>
      </c>
      <c r="F477" s="2" t="str">
        <f>IFERROR(VLOOKUP(VLOOKUP(A477,'[1]Sales Order'!A:B,2,FALSE),[1]Customer!A:C,3,FALSE),"Not Specified")</f>
        <v>Kolesnikova, Katerina</v>
      </c>
      <c r="G477" s="2" t="str">
        <f t="shared" si="14"/>
        <v>Kolesnikova Katerina</v>
      </c>
      <c r="H477" s="8" t="str">
        <f>IFERROR(VLOOKUP(VLOOKUP(A477,'[1]Sales Order'!A:C,3,FALSE),[1]Employee!A:E,5,FALSE)&amp;" "&amp;VLOOKUP(VLOOKUP(A477,'[1]Sales Order'!A:C,3,FALSE),[1]Employee!A:C,3,FALSE)&amp;" "&amp;VLOOKUP(VLOOKUP(A477,'[1]Sales Order'!A:C,3,FALSE),[1]Employee!A:B,2,FALSE),"Not Specified")</f>
        <v>Mrs. Yael Peled</v>
      </c>
      <c r="I477" t="str">
        <f>IFERROR(VLOOKUP(VLOOKUP(A477,'[1]Sales Order'!A:C,3,FALSE),[1]Employee!A:J,10,FALSE),"Not Specified")</f>
        <v>WA</v>
      </c>
      <c r="J477" t="str">
        <f>VLOOKUP(B477,[1]Product!A:B,2,FALSE)</f>
        <v>Product VKCMF</v>
      </c>
      <c r="K477" t="str">
        <f>VLOOKUP(VLOOKUP(B477,[1]Product!A:D,4,FALSE),[1]Category!A:B,2,FALSE)</f>
        <v>Grains/Cereals</v>
      </c>
      <c r="L477" s="10">
        <f>IFERROR(VLOOKUP(A477,'[1]Sales Order'!A:D,4,FALSE),"")</f>
        <v>39109</v>
      </c>
      <c r="M477" s="10">
        <f>IFERROR(VLOOKUP(A477,'[1]Sales Order'!A:F,6,FALSE),"")</f>
        <v>39119</v>
      </c>
      <c r="N477" t="str">
        <f>IFERROR(VLOOKUP(VLOOKUP(A477,'[1]Sales Order'!A:G,7,FALSE),[1]Shipper!A:B,2,FALSE),"Not Specified")</f>
        <v>Shipper GVSUA</v>
      </c>
      <c r="O477" t="str">
        <f>IFERROR(VLOOKUP(A477,'[1]Sales Order'!A:I,9,FALSE),"Not Specified")</f>
        <v>Destination WOFLH</v>
      </c>
      <c r="P477" t="str">
        <f>IFERROR(VLOOKUP(A477,'[1]Sales Order'!A:N,14,FALSE),"Not Specified")</f>
        <v>Spain</v>
      </c>
      <c r="Q477" t="str">
        <f>VLOOKUP(VLOOKUP(B477,[1]Product!A:C,3,FALSE),[1]Supplier!A:B,2,FALSE)</f>
        <v>Supplier ZWZDM</v>
      </c>
      <c r="R477" t="str">
        <f>VLOOKUP(VLOOKUP(B477,[1]Product!A:C,3,FALSE),[1]Supplier!A:I,9,FALSE)</f>
        <v>Italy</v>
      </c>
      <c r="S477" t="str">
        <f>IFERROR(IF(VLOOKUP(A477,'[1]Sales Order'!A:H,8,FALSE)&gt;100,"High Freight","Low Freight"),"Not Specified")</f>
        <v>Low Freight</v>
      </c>
      <c r="T477">
        <f t="shared" si="15"/>
        <v>152</v>
      </c>
    </row>
    <row r="478" spans="1:20">
      <c r="A478" s="1">
        <v>10426</v>
      </c>
      <c r="B478" s="2">
        <v>64</v>
      </c>
      <c r="C478" s="2">
        <v>26.6</v>
      </c>
      <c r="D478" s="2">
        <v>7</v>
      </c>
      <c r="E478" s="3">
        <v>0</v>
      </c>
      <c r="F478" s="2" t="str">
        <f>IFERROR(VLOOKUP(VLOOKUP(A478,'[1]Sales Order'!A:B,2,FALSE),[1]Customer!A:C,3,FALSE),"Not Specified")</f>
        <v>Kolesnikova, Katerina</v>
      </c>
      <c r="G478" s="2" t="str">
        <f t="shared" si="14"/>
        <v>Kolesnikova Katerina</v>
      </c>
      <c r="H478" s="8" t="str">
        <f>IFERROR(VLOOKUP(VLOOKUP(A478,'[1]Sales Order'!A:C,3,FALSE),[1]Employee!A:E,5,FALSE)&amp;" "&amp;VLOOKUP(VLOOKUP(A478,'[1]Sales Order'!A:C,3,FALSE),[1]Employee!A:C,3,FALSE)&amp;" "&amp;VLOOKUP(VLOOKUP(A478,'[1]Sales Order'!A:C,3,FALSE),[1]Employee!A:B,2,FALSE),"Not Specified")</f>
        <v>Mrs. Yael Peled</v>
      </c>
      <c r="I478" t="str">
        <f>IFERROR(VLOOKUP(VLOOKUP(A478,'[1]Sales Order'!A:C,3,FALSE),[1]Employee!A:J,10,FALSE),"Not Specified")</f>
        <v>WA</v>
      </c>
      <c r="J478" t="str">
        <f>VLOOKUP(B478,[1]Product!A:B,2,FALSE)</f>
        <v>Product HCQDE</v>
      </c>
      <c r="K478" t="str">
        <f>VLOOKUP(VLOOKUP(B478,[1]Product!A:D,4,FALSE),[1]Category!A:B,2,FALSE)</f>
        <v>Grains/Cereals</v>
      </c>
      <c r="L478" s="10">
        <f>IFERROR(VLOOKUP(A478,'[1]Sales Order'!A:D,4,FALSE),"")</f>
        <v>39109</v>
      </c>
      <c r="M478" s="10">
        <f>IFERROR(VLOOKUP(A478,'[1]Sales Order'!A:F,6,FALSE),"")</f>
        <v>39119</v>
      </c>
      <c r="N478" t="str">
        <f>IFERROR(VLOOKUP(VLOOKUP(A478,'[1]Sales Order'!A:G,7,FALSE),[1]Shipper!A:B,2,FALSE),"Not Specified")</f>
        <v>Shipper GVSUA</v>
      </c>
      <c r="O478" t="str">
        <f>IFERROR(VLOOKUP(A478,'[1]Sales Order'!A:I,9,FALSE),"Not Specified")</f>
        <v>Destination WOFLH</v>
      </c>
      <c r="P478" t="str">
        <f>IFERROR(VLOOKUP(A478,'[1]Sales Order'!A:N,14,FALSE),"Not Specified")</f>
        <v>Spain</v>
      </c>
      <c r="Q478" t="str">
        <f>VLOOKUP(VLOOKUP(B478,[1]Product!A:C,3,FALSE),[1]Supplier!A:B,2,FALSE)</f>
        <v>Supplier SVIYA</v>
      </c>
      <c r="R478" t="str">
        <f>VLOOKUP(VLOOKUP(B478,[1]Product!A:C,3,FALSE),[1]Supplier!A:I,9,FALSE)</f>
        <v>Germany</v>
      </c>
      <c r="S478" t="str">
        <f>IFERROR(IF(VLOOKUP(A478,'[1]Sales Order'!A:H,8,FALSE)&gt;100,"High Freight","Low Freight"),"Not Specified")</f>
        <v>Low Freight</v>
      </c>
      <c r="T478">
        <f t="shared" si="15"/>
        <v>186.20000000000002</v>
      </c>
    </row>
    <row r="479" spans="1:20">
      <c r="A479" s="1">
        <v>10427</v>
      </c>
      <c r="B479" s="2">
        <v>14</v>
      </c>
      <c r="C479" s="2">
        <v>18.600000000000001</v>
      </c>
      <c r="D479" s="2">
        <v>35</v>
      </c>
      <c r="E479" s="3">
        <v>0</v>
      </c>
      <c r="F479" s="2" t="str">
        <f>IFERROR(VLOOKUP(VLOOKUP(A479,'[1]Sales Order'!A:B,2,FALSE),[1]Customer!A:C,3,FALSE),"Not Specified")</f>
        <v>Meston, Tosh</v>
      </c>
      <c r="G479" s="2" t="str">
        <f t="shared" si="14"/>
        <v>Meston Tosh</v>
      </c>
      <c r="H479" s="8" t="str">
        <f>IFERROR(VLOOKUP(VLOOKUP(A479,'[1]Sales Order'!A:C,3,FALSE),[1]Employee!A:E,5,FALSE)&amp;" "&amp;VLOOKUP(VLOOKUP(A479,'[1]Sales Order'!A:C,3,FALSE),[1]Employee!A:C,3,FALSE)&amp;" "&amp;VLOOKUP(VLOOKUP(A479,'[1]Sales Order'!A:C,3,FALSE),[1]Employee!A:B,2,FALSE),"Not Specified")</f>
        <v>Mrs. Yael Peled</v>
      </c>
      <c r="I479" t="str">
        <f>IFERROR(VLOOKUP(VLOOKUP(A479,'[1]Sales Order'!A:C,3,FALSE),[1]Employee!A:J,10,FALSE),"Not Specified")</f>
        <v>WA</v>
      </c>
      <c r="J479" t="str">
        <f>VLOOKUP(B479,[1]Product!A:B,2,FALSE)</f>
        <v>Product PWCJB</v>
      </c>
      <c r="K479" t="str">
        <f>VLOOKUP(VLOOKUP(B479,[1]Product!A:D,4,FALSE),[1]Category!A:B,2,FALSE)</f>
        <v>Produce</v>
      </c>
      <c r="L479" s="10">
        <f>IFERROR(VLOOKUP(A479,'[1]Sales Order'!A:D,4,FALSE),"")</f>
        <v>39109</v>
      </c>
      <c r="M479" s="10">
        <f>IFERROR(VLOOKUP(A479,'[1]Sales Order'!A:F,6,FALSE),"")</f>
        <v>39144</v>
      </c>
      <c r="N479" t="str">
        <f>IFERROR(VLOOKUP(VLOOKUP(A479,'[1]Sales Order'!A:G,7,FALSE),[1]Shipper!A:B,2,FALSE),"Not Specified")</f>
        <v>Shipper ETYNR</v>
      </c>
      <c r="O479" t="str">
        <f>IFERROR(VLOOKUP(A479,'[1]Sales Order'!A:I,9,FALSE),"Not Specified")</f>
        <v>Ship to 59-C</v>
      </c>
      <c r="P479" t="str">
        <f>IFERROR(VLOOKUP(A479,'[1]Sales Order'!A:N,14,FALSE),"Not Specified")</f>
        <v>Austria</v>
      </c>
      <c r="Q479" t="str">
        <f>VLOOKUP(VLOOKUP(B479,[1]Product!A:C,3,FALSE),[1]Supplier!A:B,2,FALSE)</f>
        <v>Supplier QWUSF</v>
      </c>
      <c r="R479" t="str">
        <f>VLOOKUP(VLOOKUP(B479,[1]Product!A:C,3,FALSE),[1]Supplier!A:I,9,FALSE)</f>
        <v>Japan</v>
      </c>
      <c r="S479" t="str">
        <f>IFERROR(IF(VLOOKUP(A479,'[1]Sales Order'!A:H,8,FALSE)&gt;100,"High Freight","Low Freight"),"Not Specified")</f>
        <v>Low Freight</v>
      </c>
      <c r="T479">
        <f t="shared" si="15"/>
        <v>651</v>
      </c>
    </row>
    <row r="480" spans="1:20">
      <c r="A480" s="1">
        <v>10428</v>
      </c>
      <c r="B480" s="2">
        <v>46</v>
      </c>
      <c r="C480" s="2">
        <v>9.6</v>
      </c>
      <c r="D480" s="2">
        <v>20</v>
      </c>
      <c r="E480" s="3">
        <v>0</v>
      </c>
      <c r="F480" s="2" t="str">
        <f>IFERROR(VLOOKUP(VLOOKUP(A480,'[1]Sales Order'!A:B,2,FALSE),[1]Customer!A:C,3,FALSE),"Not Specified")</f>
        <v>Voss, Florian</v>
      </c>
      <c r="G480" s="2" t="str">
        <f t="shared" si="14"/>
        <v>Voss Florian</v>
      </c>
      <c r="H480" s="8" t="str">
        <f>IFERROR(VLOOKUP(VLOOKUP(A480,'[1]Sales Order'!A:C,3,FALSE),[1]Employee!A:E,5,FALSE)&amp;" "&amp;VLOOKUP(VLOOKUP(A480,'[1]Sales Order'!A:C,3,FALSE),[1]Employee!A:C,3,FALSE)&amp;" "&amp;VLOOKUP(VLOOKUP(A480,'[1]Sales Order'!A:C,3,FALSE),[1]Employee!A:B,2,FALSE),"Not Specified")</f>
        <v>Mr. Russell King</v>
      </c>
      <c r="I480">
        <f>IFERROR(VLOOKUP(VLOOKUP(A480,'[1]Sales Order'!A:C,3,FALSE),[1]Employee!A:J,10,FALSE),"Not Specified")</f>
        <v>0</v>
      </c>
      <c r="J480" t="str">
        <f>VLOOKUP(B480,[1]Product!A:B,2,FALSE)</f>
        <v>Product CBRRL</v>
      </c>
      <c r="K480" t="str">
        <f>VLOOKUP(VLOOKUP(B480,[1]Product!A:D,4,FALSE),[1]Category!A:B,2,FALSE)</f>
        <v>Seafood</v>
      </c>
      <c r="L480" s="10">
        <f>IFERROR(VLOOKUP(A480,'[1]Sales Order'!A:D,4,FALSE),"")</f>
        <v>39110</v>
      </c>
      <c r="M480" s="10">
        <f>IFERROR(VLOOKUP(A480,'[1]Sales Order'!A:F,6,FALSE),"")</f>
        <v>39117</v>
      </c>
      <c r="N480" t="str">
        <f>IFERROR(VLOOKUP(VLOOKUP(A480,'[1]Sales Order'!A:G,7,FALSE),[1]Shipper!A:B,2,FALSE),"Not Specified")</f>
        <v>Shipper GVSUA</v>
      </c>
      <c r="O480" t="str">
        <f>IFERROR(VLOOKUP(A480,'[1]Sales Order'!A:I,9,FALSE),"Not Specified")</f>
        <v>Ship to 66-C</v>
      </c>
      <c r="P480" t="str">
        <f>IFERROR(VLOOKUP(A480,'[1]Sales Order'!A:N,14,FALSE),"Not Specified")</f>
        <v>Italy</v>
      </c>
      <c r="Q480" t="str">
        <f>VLOOKUP(VLOOKUP(B480,[1]Product!A:C,3,FALSE),[1]Supplier!A:B,2,FALSE)</f>
        <v>Supplier XOXZA</v>
      </c>
      <c r="R480" t="str">
        <f>VLOOKUP(VLOOKUP(B480,[1]Product!A:C,3,FALSE),[1]Supplier!A:I,9,FALSE)</f>
        <v>Denmark</v>
      </c>
      <c r="S480" t="str">
        <f>IFERROR(IF(VLOOKUP(A480,'[1]Sales Order'!A:H,8,FALSE)&gt;100,"High Freight","Low Freight"),"Not Specified")</f>
        <v>Low Freight</v>
      </c>
      <c r="T480">
        <f t="shared" si="15"/>
        <v>192</v>
      </c>
    </row>
    <row r="481" spans="1:20">
      <c r="A481" s="1">
        <v>10429</v>
      </c>
      <c r="B481" s="2">
        <v>50</v>
      </c>
      <c r="C481" s="2">
        <v>13</v>
      </c>
      <c r="D481" s="2">
        <v>40</v>
      </c>
      <c r="E481" s="3">
        <v>0</v>
      </c>
      <c r="F481" s="2" t="str">
        <f>IFERROR(VLOOKUP(VLOOKUP(A481,'[1]Sales Order'!A:B,2,FALSE),[1]Customer!A:C,3,FALSE),"Not Specified")</f>
        <v>Crăciun, Ovidiu V.</v>
      </c>
      <c r="G481" s="2" t="str">
        <f t="shared" si="14"/>
        <v>Crăciun Ovidiu V.</v>
      </c>
      <c r="H481" s="8" t="str">
        <f>IFERROR(VLOOKUP(VLOOKUP(A481,'[1]Sales Order'!A:C,3,FALSE),[1]Employee!A:E,5,FALSE)&amp;" "&amp;VLOOKUP(VLOOKUP(A481,'[1]Sales Order'!A:C,3,FALSE),[1]Employee!A:C,3,FALSE)&amp;" "&amp;VLOOKUP(VLOOKUP(A481,'[1]Sales Order'!A:C,3,FALSE),[1]Employee!A:B,2,FALSE),"Not Specified")</f>
        <v>Ms. Judy Lew</v>
      </c>
      <c r="I481" t="str">
        <f>IFERROR(VLOOKUP(VLOOKUP(A481,'[1]Sales Order'!A:C,3,FALSE),[1]Employee!A:J,10,FALSE),"Not Specified")</f>
        <v>WA</v>
      </c>
      <c r="J481" t="str">
        <f>VLOOKUP(B481,[1]Product!A:B,2,FALSE)</f>
        <v>Product BIUDV</v>
      </c>
      <c r="K481" t="str">
        <f>VLOOKUP(VLOOKUP(B481,[1]Product!A:D,4,FALSE),[1]Category!A:B,2,FALSE)</f>
        <v>Confections</v>
      </c>
      <c r="L481" s="10">
        <f>IFERROR(VLOOKUP(A481,'[1]Sales Order'!A:D,4,FALSE),"")</f>
        <v>39111</v>
      </c>
      <c r="M481" s="10">
        <f>IFERROR(VLOOKUP(A481,'[1]Sales Order'!A:F,6,FALSE),"")</f>
        <v>39120</v>
      </c>
      <c r="N481" t="str">
        <f>IFERROR(VLOOKUP(VLOOKUP(A481,'[1]Sales Order'!A:G,7,FALSE),[1]Shipper!A:B,2,FALSE),"Not Specified")</f>
        <v>Shipper ETYNR</v>
      </c>
      <c r="O481" t="str">
        <f>IFERROR(VLOOKUP(A481,'[1]Sales Order'!A:I,9,FALSE),"Not Specified")</f>
        <v>Destination DGKOU</v>
      </c>
      <c r="P481" t="str">
        <f>IFERROR(VLOOKUP(A481,'[1]Sales Order'!A:N,14,FALSE),"Not Specified")</f>
        <v>Ireland</v>
      </c>
      <c r="Q481" t="str">
        <f>VLOOKUP(VLOOKUP(B481,[1]Product!A:C,3,FALSE),[1]Supplier!A:B,2,FALSE)</f>
        <v>Supplier ELCRN</v>
      </c>
      <c r="R481" t="str">
        <f>VLOOKUP(VLOOKUP(B481,[1]Product!A:C,3,FALSE),[1]Supplier!A:I,9,FALSE)</f>
        <v>Finland</v>
      </c>
      <c r="S481" t="str">
        <f>IFERROR(IF(VLOOKUP(A481,'[1]Sales Order'!A:H,8,FALSE)&gt;100,"High Freight","Low Freight"),"Not Specified")</f>
        <v>Low Freight</v>
      </c>
      <c r="T481">
        <f t="shared" si="15"/>
        <v>520</v>
      </c>
    </row>
    <row r="482" spans="1:20">
      <c r="A482" s="1">
        <v>10429</v>
      </c>
      <c r="B482" s="2">
        <v>63</v>
      </c>
      <c r="C482" s="2">
        <v>35.1</v>
      </c>
      <c r="D482" s="2">
        <v>35</v>
      </c>
      <c r="E482" s="3">
        <v>0.25</v>
      </c>
      <c r="F482" s="2" t="str">
        <f>IFERROR(VLOOKUP(VLOOKUP(A482,'[1]Sales Order'!A:B,2,FALSE),[1]Customer!A:C,3,FALSE),"Not Specified")</f>
        <v>Crăciun, Ovidiu V.</v>
      </c>
      <c r="G482" s="2" t="str">
        <f t="shared" si="14"/>
        <v>Crăciun Ovidiu V.</v>
      </c>
      <c r="H482" s="8" t="str">
        <f>IFERROR(VLOOKUP(VLOOKUP(A482,'[1]Sales Order'!A:C,3,FALSE),[1]Employee!A:E,5,FALSE)&amp;" "&amp;VLOOKUP(VLOOKUP(A482,'[1]Sales Order'!A:C,3,FALSE),[1]Employee!A:C,3,FALSE)&amp;" "&amp;VLOOKUP(VLOOKUP(A482,'[1]Sales Order'!A:C,3,FALSE),[1]Employee!A:B,2,FALSE),"Not Specified")</f>
        <v>Ms. Judy Lew</v>
      </c>
      <c r="I482" t="str">
        <f>IFERROR(VLOOKUP(VLOOKUP(A482,'[1]Sales Order'!A:C,3,FALSE),[1]Employee!A:J,10,FALSE),"Not Specified")</f>
        <v>WA</v>
      </c>
      <c r="J482" t="str">
        <f>VLOOKUP(B482,[1]Product!A:B,2,FALSE)</f>
        <v>Product ICKNK</v>
      </c>
      <c r="K482" t="str">
        <f>VLOOKUP(VLOOKUP(B482,[1]Product!A:D,4,FALSE),[1]Category!A:B,2,FALSE)</f>
        <v>Condiments</v>
      </c>
      <c r="L482" s="10">
        <f>IFERROR(VLOOKUP(A482,'[1]Sales Order'!A:D,4,FALSE),"")</f>
        <v>39111</v>
      </c>
      <c r="M482" s="10">
        <f>IFERROR(VLOOKUP(A482,'[1]Sales Order'!A:F,6,FALSE),"")</f>
        <v>39120</v>
      </c>
      <c r="N482" t="str">
        <f>IFERROR(VLOOKUP(VLOOKUP(A482,'[1]Sales Order'!A:G,7,FALSE),[1]Shipper!A:B,2,FALSE),"Not Specified")</f>
        <v>Shipper ETYNR</v>
      </c>
      <c r="O482" t="str">
        <f>IFERROR(VLOOKUP(A482,'[1]Sales Order'!A:I,9,FALSE),"Not Specified")</f>
        <v>Destination DGKOU</v>
      </c>
      <c r="P482" t="str">
        <f>IFERROR(VLOOKUP(A482,'[1]Sales Order'!A:N,14,FALSE),"Not Specified")</f>
        <v>Ireland</v>
      </c>
      <c r="Q482" t="str">
        <f>VLOOKUP(VLOOKUP(B482,[1]Product!A:C,3,FALSE),[1]Supplier!A:B,2,FALSE)</f>
        <v>Supplier GQRCV</v>
      </c>
      <c r="R482" t="str">
        <f>VLOOKUP(VLOOKUP(B482,[1]Product!A:C,3,FALSE),[1]Supplier!A:I,9,FALSE)</f>
        <v>Australia</v>
      </c>
      <c r="S482" t="str">
        <f>IFERROR(IF(VLOOKUP(A482,'[1]Sales Order'!A:H,8,FALSE)&gt;100,"High Freight","Low Freight"),"Not Specified")</f>
        <v>Low Freight</v>
      </c>
      <c r="T482">
        <f t="shared" si="15"/>
        <v>921.375</v>
      </c>
    </row>
    <row r="483" spans="1:20">
      <c r="A483" s="1">
        <v>10430</v>
      </c>
      <c r="B483" s="2">
        <v>17</v>
      </c>
      <c r="C483" s="2">
        <v>31.2</v>
      </c>
      <c r="D483" s="2">
        <v>45</v>
      </c>
      <c r="E483" s="3">
        <v>0.2</v>
      </c>
      <c r="F483" s="2" t="str">
        <f>IFERROR(VLOOKUP(VLOOKUP(A483,'[1]Sales Order'!A:B,2,FALSE),[1]Customer!A:C,3,FALSE),"Not Specified")</f>
        <v>Kane, John</v>
      </c>
      <c r="G483" s="2" t="str">
        <f t="shared" si="14"/>
        <v>Kane John</v>
      </c>
      <c r="H483" s="8" t="str">
        <f>IFERROR(VLOOKUP(VLOOKUP(A483,'[1]Sales Order'!A:C,3,FALSE),[1]Employee!A:E,5,FALSE)&amp;" "&amp;VLOOKUP(VLOOKUP(A483,'[1]Sales Order'!A:C,3,FALSE),[1]Employee!A:C,3,FALSE)&amp;" "&amp;VLOOKUP(VLOOKUP(A483,'[1]Sales Order'!A:C,3,FALSE),[1]Employee!A:B,2,FALSE),"Not Specified")</f>
        <v>Mrs. Yael Peled</v>
      </c>
      <c r="I483" t="str">
        <f>IFERROR(VLOOKUP(VLOOKUP(A483,'[1]Sales Order'!A:C,3,FALSE),[1]Employee!A:J,10,FALSE),"Not Specified")</f>
        <v>WA</v>
      </c>
      <c r="J483" t="str">
        <f>VLOOKUP(B483,[1]Product!A:B,2,FALSE)</f>
        <v>Product BLCAX</v>
      </c>
      <c r="K483" t="str">
        <f>VLOOKUP(VLOOKUP(B483,[1]Product!A:D,4,FALSE),[1]Category!A:B,2,FALSE)</f>
        <v>Meat/Poultry</v>
      </c>
      <c r="L483" s="10">
        <f>IFERROR(VLOOKUP(A483,'[1]Sales Order'!A:D,4,FALSE),"")</f>
        <v>39112</v>
      </c>
      <c r="M483" s="10">
        <f>IFERROR(VLOOKUP(A483,'[1]Sales Order'!A:F,6,FALSE),"")</f>
        <v>39116</v>
      </c>
      <c r="N483" t="str">
        <f>IFERROR(VLOOKUP(VLOOKUP(A483,'[1]Sales Order'!A:G,7,FALSE),[1]Shipper!A:B,2,FALSE),"Not Specified")</f>
        <v>Shipper GVSUA</v>
      </c>
      <c r="O483" t="str">
        <f>IFERROR(VLOOKUP(A483,'[1]Sales Order'!A:I,9,FALSE),"Not Specified")</f>
        <v>Destination CUVPF</v>
      </c>
      <c r="P483" t="str">
        <f>IFERROR(VLOOKUP(A483,'[1]Sales Order'!A:N,14,FALSE),"Not Specified")</f>
        <v>Austria</v>
      </c>
      <c r="Q483" t="str">
        <f>VLOOKUP(VLOOKUP(B483,[1]Product!A:C,3,FALSE),[1]Supplier!A:B,2,FALSE)</f>
        <v>Supplier GQRCV</v>
      </c>
      <c r="R483" t="str">
        <f>VLOOKUP(VLOOKUP(B483,[1]Product!A:C,3,FALSE),[1]Supplier!A:I,9,FALSE)</f>
        <v>Australia</v>
      </c>
      <c r="S483" t="str">
        <f>IFERROR(IF(VLOOKUP(A483,'[1]Sales Order'!A:H,8,FALSE)&gt;100,"High Freight","Low Freight"),"Not Specified")</f>
        <v>High Freight</v>
      </c>
      <c r="T483">
        <f t="shared" si="15"/>
        <v>1123.2</v>
      </c>
    </row>
    <row r="484" spans="1:20">
      <c r="A484" s="1">
        <v>10430</v>
      </c>
      <c r="B484" s="2">
        <v>21</v>
      </c>
      <c r="C484" s="2">
        <v>8</v>
      </c>
      <c r="D484" s="2">
        <v>50</v>
      </c>
      <c r="E484" s="3">
        <v>0</v>
      </c>
      <c r="F484" s="2" t="str">
        <f>IFERROR(VLOOKUP(VLOOKUP(A484,'[1]Sales Order'!A:B,2,FALSE),[1]Customer!A:C,3,FALSE),"Not Specified")</f>
        <v>Kane, John</v>
      </c>
      <c r="G484" s="2" t="str">
        <f t="shared" si="14"/>
        <v>Kane John</v>
      </c>
      <c r="H484" s="8" t="str">
        <f>IFERROR(VLOOKUP(VLOOKUP(A484,'[1]Sales Order'!A:C,3,FALSE),[1]Employee!A:E,5,FALSE)&amp;" "&amp;VLOOKUP(VLOOKUP(A484,'[1]Sales Order'!A:C,3,FALSE),[1]Employee!A:C,3,FALSE)&amp;" "&amp;VLOOKUP(VLOOKUP(A484,'[1]Sales Order'!A:C,3,FALSE),[1]Employee!A:B,2,FALSE),"Not Specified")</f>
        <v>Mrs. Yael Peled</v>
      </c>
      <c r="I484" t="str">
        <f>IFERROR(VLOOKUP(VLOOKUP(A484,'[1]Sales Order'!A:C,3,FALSE),[1]Employee!A:J,10,FALSE),"Not Specified")</f>
        <v>WA</v>
      </c>
      <c r="J484" t="str">
        <f>VLOOKUP(B484,[1]Product!A:B,2,FALSE)</f>
        <v>Product VJZZH</v>
      </c>
      <c r="K484" t="str">
        <f>VLOOKUP(VLOOKUP(B484,[1]Product!A:D,4,FALSE),[1]Category!A:B,2,FALSE)</f>
        <v>Confections</v>
      </c>
      <c r="L484" s="10">
        <f>IFERROR(VLOOKUP(A484,'[1]Sales Order'!A:D,4,FALSE),"")</f>
        <v>39112</v>
      </c>
      <c r="M484" s="10">
        <f>IFERROR(VLOOKUP(A484,'[1]Sales Order'!A:F,6,FALSE),"")</f>
        <v>39116</v>
      </c>
      <c r="N484" t="str">
        <f>IFERROR(VLOOKUP(VLOOKUP(A484,'[1]Sales Order'!A:G,7,FALSE),[1]Shipper!A:B,2,FALSE),"Not Specified")</f>
        <v>Shipper GVSUA</v>
      </c>
      <c r="O484" t="str">
        <f>IFERROR(VLOOKUP(A484,'[1]Sales Order'!A:I,9,FALSE),"Not Specified")</f>
        <v>Destination CUVPF</v>
      </c>
      <c r="P484" t="str">
        <f>IFERROR(VLOOKUP(A484,'[1]Sales Order'!A:N,14,FALSE),"Not Specified")</f>
        <v>Austria</v>
      </c>
      <c r="Q484" t="str">
        <f>VLOOKUP(VLOOKUP(B484,[1]Product!A:C,3,FALSE),[1]Supplier!A:B,2,FALSE)</f>
        <v>Supplier BWGYE</v>
      </c>
      <c r="R484" t="str">
        <f>VLOOKUP(VLOOKUP(B484,[1]Product!A:C,3,FALSE),[1]Supplier!A:I,9,FALSE)</f>
        <v>UK</v>
      </c>
      <c r="S484" t="str">
        <f>IFERROR(IF(VLOOKUP(A484,'[1]Sales Order'!A:H,8,FALSE)&gt;100,"High Freight","Low Freight"),"Not Specified")</f>
        <v>High Freight</v>
      </c>
      <c r="T484">
        <f t="shared" si="15"/>
        <v>400</v>
      </c>
    </row>
    <row r="485" spans="1:20">
      <c r="A485" s="1">
        <v>10430</v>
      </c>
      <c r="B485" s="2">
        <v>56</v>
      </c>
      <c r="C485" s="2">
        <v>30.4</v>
      </c>
      <c r="D485" s="2">
        <v>30</v>
      </c>
      <c r="E485" s="3">
        <v>0</v>
      </c>
      <c r="F485" s="2" t="str">
        <f>IFERROR(VLOOKUP(VLOOKUP(A485,'[1]Sales Order'!A:B,2,FALSE),[1]Customer!A:C,3,FALSE),"Not Specified")</f>
        <v>Kane, John</v>
      </c>
      <c r="G485" s="2" t="str">
        <f t="shared" si="14"/>
        <v>Kane John</v>
      </c>
      <c r="H485" s="8" t="str">
        <f>IFERROR(VLOOKUP(VLOOKUP(A485,'[1]Sales Order'!A:C,3,FALSE),[1]Employee!A:E,5,FALSE)&amp;" "&amp;VLOOKUP(VLOOKUP(A485,'[1]Sales Order'!A:C,3,FALSE),[1]Employee!A:C,3,FALSE)&amp;" "&amp;VLOOKUP(VLOOKUP(A485,'[1]Sales Order'!A:C,3,FALSE),[1]Employee!A:B,2,FALSE),"Not Specified")</f>
        <v>Mrs. Yael Peled</v>
      </c>
      <c r="I485" t="str">
        <f>IFERROR(VLOOKUP(VLOOKUP(A485,'[1]Sales Order'!A:C,3,FALSE),[1]Employee!A:J,10,FALSE),"Not Specified")</f>
        <v>WA</v>
      </c>
      <c r="J485" t="str">
        <f>VLOOKUP(B485,[1]Product!A:B,2,FALSE)</f>
        <v>Product VKCMF</v>
      </c>
      <c r="K485" t="str">
        <f>VLOOKUP(VLOOKUP(B485,[1]Product!A:D,4,FALSE),[1]Category!A:B,2,FALSE)</f>
        <v>Grains/Cereals</v>
      </c>
      <c r="L485" s="10">
        <f>IFERROR(VLOOKUP(A485,'[1]Sales Order'!A:D,4,FALSE),"")</f>
        <v>39112</v>
      </c>
      <c r="M485" s="10">
        <f>IFERROR(VLOOKUP(A485,'[1]Sales Order'!A:F,6,FALSE),"")</f>
        <v>39116</v>
      </c>
      <c r="N485" t="str">
        <f>IFERROR(VLOOKUP(VLOOKUP(A485,'[1]Sales Order'!A:G,7,FALSE),[1]Shipper!A:B,2,FALSE),"Not Specified")</f>
        <v>Shipper GVSUA</v>
      </c>
      <c r="O485" t="str">
        <f>IFERROR(VLOOKUP(A485,'[1]Sales Order'!A:I,9,FALSE),"Not Specified")</f>
        <v>Destination CUVPF</v>
      </c>
      <c r="P485" t="str">
        <f>IFERROR(VLOOKUP(A485,'[1]Sales Order'!A:N,14,FALSE),"Not Specified")</f>
        <v>Austria</v>
      </c>
      <c r="Q485" t="str">
        <f>VLOOKUP(VLOOKUP(B485,[1]Product!A:C,3,FALSE),[1]Supplier!A:B,2,FALSE)</f>
        <v>Supplier ZWZDM</v>
      </c>
      <c r="R485" t="str">
        <f>VLOOKUP(VLOOKUP(B485,[1]Product!A:C,3,FALSE),[1]Supplier!A:I,9,FALSE)</f>
        <v>Italy</v>
      </c>
      <c r="S485" t="str">
        <f>IFERROR(IF(VLOOKUP(A485,'[1]Sales Order'!A:H,8,FALSE)&gt;100,"High Freight","Low Freight"),"Not Specified")</f>
        <v>High Freight</v>
      </c>
      <c r="T485">
        <f t="shared" si="15"/>
        <v>912</v>
      </c>
    </row>
    <row r="486" spans="1:20">
      <c r="A486" s="1">
        <v>10430</v>
      </c>
      <c r="B486" s="2">
        <v>59</v>
      </c>
      <c r="C486" s="2">
        <v>44</v>
      </c>
      <c r="D486" s="2">
        <v>70</v>
      </c>
      <c r="E486" s="3">
        <v>0.2</v>
      </c>
      <c r="F486" s="2" t="str">
        <f>IFERROR(VLOOKUP(VLOOKUP(A486,'[1]Sales Order'!A:B,2,FALSE),[1]Customer!A:C,3,FALSE),"Not Specified")</f>
        <v>Kane, John</v>
      </c>
      <c r="G486" s="2" t="str">
        <f t="shared" si="14"/>
        <v>Kane John</v>
      </c>
      <c r="H486" s="8" t="str">
        <f>IFERROR(VLOOKUP(VLOOKUP(A486,'[1]Sales Order'!A:C,3,FALSE),[1]Employee!A:E,5,FALSE)&amp;" "&amp;VLOOKUP(VLOOKUP(A486,'[1]Sales Order'!A:C,3,FALSE),[1]Employee!A:C,3,FALSE)&amp;" "&amp;VLOOKUP(VLOOKUP(A486,'[1]Sales Order'!A:C,3,FALSE),[1]Employee!A:B,2,FALSE),"Not Specified")</f>
        <v>Mrs. Yael Peled</v>
      </c>
      <c r="I486" t="str">
        <f>IFERROR(VLOOKUP(VLOOKUP(A486,'[1]Sales Order'!A:C,3,FALSE),[1]Employee!A:J,10,FALSE),"Not Specified")</f>
        <v>WA</v>
      </c>
      <c r="J486" t="str">
        <f>VLOOKUP(B486,[1]Product!A:B,2,FALSE)</f>
        <v>Product UKXRI</v>
      </c>
      <c r="K486" t="str">
        <f>VLOOKUP(VLOOKUP(B486,[1]Product!A:D,4,FALSE),[1]Category!A:B,2,FALSE)</f>
        <v>Dairy Product</v>
      </c>
      <c r="L486" s="10">
        <f>IFERROR(VLOOKUP(A486,'[1]Sales Order'!A:D,4,FALSE),"")</f>
        <v>39112</v>
      </c>
      <c r="M486" s="10">
        <f>IFERROR(VLOOKUP(A486,'[1]Sales Order'!A:F,6,FALSE),"")</f>
        <v>39116</v>
      </c>
      <c r="N486" t="str">
        <f>IFERROR(VLOOKUP(VLOOKUP(A486,'[1]Sales Order'!A:G,7,FALSE),[1]Shipper!A:B,2,FALSE),"Not Specified")</f>
        <v>Shipper GVSUA</v>
      </c>
      <c r="O486" t="str">
        <f>IFERROR(VLOOKUP(A486,'[1]Sales Order'!A:I,9,FALSE),"Not Specified")</f>
        <v>Destination CUVPF</v>
      </c>
      <c r="P486" t="str">
        <f>IFERROR(VLOOKUP(A486,'[1]Sales Order'!A:N,14,FALSE),"Not Specified")</f>
        <v>Austria</v>
      </c>
      <c r="Q486" t="str">
        <f>VLOOKUP(VLOOKUP(B486,[1]Product!A:C,3,FALSE),[1]Supplier!A:B,2,FALSE)</f>
        <v>Supplier OAVQT</v>
      </c>
      <c r="R486" t="str">
        <f>VLOOKUP(VLOOKUP(B486,[1]Product!A:C,3,FALSE),[1]Supplier!A:I,9,FALSE)</f>
        <v>France</v>
      </c>
      <c r="S486" t="str">
        <f>IFERROR(IF(VLOOKUP(A486,'[1]Sales Order'!A:H,8,FALSE)&gt;100,"High Freight","Low Freight"),"Not Specified")</f>
        <v>High Freight</v>
      </c>
      <c r="T486">
        <f t="shared" si="15"/>
        <v>2464</v>
      </c>
    </row>
    <row r="487" spans="1:20">
      <c r="A487" s="1">
        <v>10431</v>
      </c>
      <c r="B487" s="2">
        <v>17</v>
      </c>
      <c r="C487" s="2">
        <v>31.2</v>
      </c>
      <c r="D487" s="2">
        <v>50</v>
      </c>
      <c r="E487" s="3">
        <v>0.25</v>
      </c>
      <c r="F487" s="2" t="str">
        <f>IFERROR(VLOOKUP(VLOOKUP(A487,'[1]Sales Order'!A:B,2,FALSE),[1]Customer!A:C,3,FALSE),"Not Specified")</f>
        <v>Bassols, Pilar Colome</v>
      </c>
      <c r="G487" s="2" t="str">
        <f t="shared" si="14"/>
        <v>Bassols Pilar Colome</v>
      </c>
      <c r="H487" s="8" t="str">
        <f>IFERROR(VLOOKUP(VLOOKUP(A487,'[1]Sales Order'!A:C,3,FALSE),[1]Employee!A:E,5,FALSE)&amp;" "&amp;VLOOKUP(VLOOKUP(A487,'[1]Sales Order'!A:C,3,FALSE),[1]Employee!A:C,3,FALSE)&amp;" "&amp;VLOOKUP(VLOOKUP(A487,'[1]Sales Order'!A:C,3,FALSE),[1]Employee!A:B,2,FALSE),"Not Specified")</f>
        <v>Mrs. Yael Peled</v>
      </c>
      <c r="I487" t="str">
        <f>IFERROR(VLOOKUP(VLOOKUP(A487,'[1]Sales Order'!A:C,3,FALSE),[1]Employee!A:J,10,FALSE),"Not Specified")</f>
        <v>WA</v>
      </c>
      <c r="J487" t="str">
        <f>VLOOKUP(B487,[1]Product!A:B,2,FALSE)</f>
        <v>Product BLCAX</v>
      </c>
      <c r="K487" t="str">
        <f>VLOOKUP(VLOOKUP(B487,[1]Product!A:D,4,FALSE),[1]Category!A:B,2,FALSE)</f>
        <v>Meat/Poultry</v>
      </c>
      <c r="L487" s="10">
        <f>IFERROR(VLOOKUP(A487,'[1]Sales Order'!A:D,4,FALSE),"")</f>
        <v>39112</v>
      </c>
      <c r="M487" s="10">
        <f>IFERROR(VLOOKUP(A487,'[1]Sales Order'!A:F,6,FALSE),"")</f>
        <v>39120</v>
      </c>
      <c r="N487" t="str">
        <f>IFERROR(VLOOKUP(VLOOKUP(A487,'[1]Sales Order'!A:G,7,FALSE),[1]Shipper!A:B,2,FALSE),"Not Specified")</f>
        <v>Shipper ETYNR</v>
      </c>
      <c r="O487" t="str">
        <f>IFERROR(VLOOKUP(A487,'[1]Sales Order'!A:I,9,FALSE),"Not Specified")</f>
        <v>Destination OLSSJ</v>
      </c>
      <c r="P487" t="str">
        <f>IFERROR(VLOOKUP(A487,'[1]Sales Order'!A:N,14,FALSE),"Not Specified")</f>
        <v>Canada</v>
      </c>
      <c r="Q487" t="str">
        <f>VLOOKUP(VLOOKUP(B487,[1]Product!A:C,3,FALSE),[1]Supplier!A:B,2,FALSE)</f>
        <v>Supplier GQRCV</v>
      </c>
      <c r="R487" t="str">
        <f>VLOOKUP(VLOOKUP(B487,[1]Product!A:C,3,FALSE),[1]Supplier!A:I,9,FALSE)</f>
        <v>Australia</v>
      </c>
      <c r="S487" t="str">
        <f>IFERROR(IF(VLOOKUP(A487,'[1]Sales Order'!A:H,8,FALSE)&gt;100,"High Freight","Low Freight"),"Not Specified")</f>
        <v>Low Freight</v>
      </c>
      <c r="T487">
        <f t="shared" si="15"/>
        <v>1170</v>
      </c>
    </row>
    <row r="488" spans="1:20">
      <c r="A488" s="1">
        <v>10431</v>
      </c>
      <c r="B488" s="2">
        <v>40</v>
      </c>
      <c r="C488" s="2">
        <v>14.7</v>
      </c>
      <c r="D488" s="2">
        <v>50</v>
      </c>
      <c r="E488" s="3">
        <v>0.25</v>
      </c>
      <c r="F488" s="2" t="str">
        <f>IFERROR(VLOOKUP(VLOOKUP(A488,'[1]Sales Order'!A:B,2,FALSE),[1]Customer!A:C,3,FALSE),"Not Specified")</f>
        <v>Bassols, Pilar Colome</v>
      </c>
      <c r="G488" s="2" t="str">
        <f t="shared" si="14"/>
        <v>Bassols Pilar Colome</v>
      </c>
      <c r="H488" s="8" t="str">
        <f>IFERROR(VLOOKUP(VLOOKUP(A488,'[1]Sales Order'!A:C,3,FALSE),[1]Employee!A:E,5,FALSE)&amp;" "&amp;VLOOKUP(VLOOKUP(A488,'[1]Sales Order'!A:C,3,FALSE),[1]Employee!A:C,3,FALSE)&amp;" "&amp;VLOOKUP(VLOOKUP(A488,'[1]Sales Order'!A:C,3,FALSE),[1]Employee!A:B,2,FALSE),"Not Specified")</f>
        <v>Mrs. Yael Peled</v>
      </c>
      <c r="I488" t="str">
        <f>IFERROR(VLOOKUP(VLOOKUP(A488,'[1]Sales Order'!A:C,3,FALSE),[1]Employee!A:J,10,FALSE),"Not Specified")</f>
        <v>WA</v>
      </c>
      <c r="J488" t="str">
        <f>VLOOKUP(B488,[1]Product!A:B,2,FALSE)</f>
        <v>Product YZIXQ</v>
      </c>
      <c r="K488" t="str">
        <f>VLOOKUP(VLOOKUP(B488,[1]Product!A:D,4,FALSE),[1]Category!A:B,2,FALSE)</f>
        <v>Seafood</v>
      </c>
      <c r="L488" s="10">
        <f>IFERROR(VLOOKUP(A488,'[1]Sales Order'!A:D,4,FALSE),"")</f>
        <v>39112</v>
      </c>
      <c r="M488" s="10">
        <f>IFERROR(VLOOKUP(A488,'[1]Sales Order'!A:F,6,FALSE),"")</f>
        <v>39120</v>
      </c>
      <c r="N488" t="str">
        <f>IFERROR(VLOOKUP(VLOOKUP(A488,'[1]Sales Order'!A:G,7,FALSE),[1]Shipper!A:B,2,FALSE),"Not Specified")</f>
        <v>Shipper ETYNR</v>
      </c>
      <c r="O488" t="str">
        <f>IFERROR(VLOOKUP(A488,'[1]Sales Order'!A:I,9,FALSE),"Not Specified")</f>
        <v>Destination OLSSJ</v>
      </c>
      <c r="P488" t="str">
        <f>IFERROR(VLOOKUP(A488,'[1]Sales Order'!A:N,14,FALSE),"Not Specified")</f>
        <v>Canada</v>
      </c>
      <c r="Q488" t="str">
        <f>VLOOKUP(VLOOKUP(B488,[1]Product!A:C,3,FALSE),[1]Supplier!A:B,2,FALSE)</f>
        <v>Supplier JDNUG</v>
      </c>
      <c r="R488" t="str">
        <f>VLOOKUP(VLOOKUP(B488,[1]Product!A:C,3,FALSE),[1]Supplier!A:I,9,FALSE)</f>
        <v>USA</v>
      </c>
      <c r="S488" t="str">
        <f>IFERROR(IF(VLOOKUP(A488,'[1]Sales Order'!A:H,8,FALSE)&gt;100,"High Freight","Low Freight"),"Not Specified")</f>
        <v>Low Freight</v>
      </c>
      <c r="T488">
        <f t="shared" si="15"/>
        <v>551.25</v>
      </c>
    </row>
    <row r="489" spans="1:20">
      <c r="A489" s="1">
        <v>10431</v>
      </c>
      <c r="B489" s="2">
        <v>47</v>
      </c>
      <c r="C489" s="2">
        <v>7.6</v>
      </c>
      <c r="D489" s="2">
        <v>30</v>
      </c>
      <c r="E489" s="3">
        <v>0.25</v>
      </c>
      <c r="F489" s="2" t="str">
        <f>IFERROR(VLOOKUP(VLOOKUP(A489,'[1]Sales Order'!A:B,2,FALSE),[1]Customer!A:C,3,FALSE),"Not Specified")</f>
        <v>Bassols, Pilar Colome</v>
      </c>
      <c r="G489" s="2" t="str">
        <f t="shared" si="14"/>
        <v>Bassols Pilar Colome</v>
      </c>
      <c r="H489" s="8" t="str">
        <f>IFERROR(VLOOKUP(VLOOKUP(A489,'[1]Sales Order'!A:C,3,FALSE),[1]Employee!A:E,5,FALSE)&amp;" "&amp;VLOOKUP(VLOOKUP(A489,'[1]Sales Order'!A:C,3,FALSE),[1]Employee!A:C,3,FALSE)&amp;" "&amp;VLOOKUP(VLOOKUP(A489,'[1]Sales Order'!A:C,3,FALSE),[1]Employee!A:B,2,FALSE),"Not Specified")</f>
        <v>Mrs. Yael Peled</v>
      </c>
      <c r="I489" t="str">
        <f>IFERROR(VLOOKUP(VLOOKUP(A489,'[1]Sales Order'!A:C,3,FALSE),[1]Employee!A:J,10,FALSE),"Not Specified")</f>
        <v>WA</v>
      </c>
      <c r="J489" t="str">
        <f>VLOOKUP(B489,[1]Product!A:B,2,FALSE)</f>
        <v>Product EZZPR</v>
      </c>
      <c r="K489" t="str">
        <f>VLOOKUP(VLOOKUP(B489,[1]Product!A:D,4,FALSE),[1]Category!A:B,2,FALSE)</f>
        <v>Confections</v>
      </c>
      <c r="L489" s="10">
        <f>IFERROR(VLOOKUP(A489,'[1]Sales Order'!A:D,4,FALSE),"")</f>
        <v>39112</v>
      </c>
      <c r="M489" s="10">
        <f>IFERROR(VLOOKUP(A489,'[1]Sales Order'!A:F,6,FALSE),"")</f>
        <v>39120</v>
      </c>
      <c r="N489" t="str">
        <f>IFERROR(VLOOKUP(VLOOKUP(A489,'[1]Sales Order'!A:G,7,FALSE),[1]Shipper!A:B,2,FALSE),"Not Specified")</f>
        <v>Shipper ETYNR</v>
      </c>
      <c r="O489" t="str">
        <f>IFERROR(VLOOKUP(A489,'[1]Sales Order'!A:I,9,FALSE),"Not Specified")</f>
        <v>Destination OLSSJ</v>
      </c>
      <c r="P489" t="str">
        <f>IFERROR(VLOOKUP(A489,'[1]Sales Order'!A:N,14,FALSE),"Not Specified")</f>
        <v>Canada</v>
      </c>
      <c r="Q489" t="str">
        <f>VLOOKUP(VLOOKUP(B489,[1]Product!A:C,3,FALSE),[1]Supplier!A:B,2,FALSE)</f>
        <v>Supplier FNUXM</v>
      </c>
      <c r="R489" t="str">
        <f>VLOOKUP(VLOOKUP(B489,[1]Product!A:C,3,FALSE),[1]Supplier!A:I,9,FALSE)</f>
        <v>Netherlands</v>
      </c>
      <c r="S489" t="str">
        <f>IFERROR(IF(VLOOKUP(A489,'[1]Sales Order'!A:H,8,FALSE)&gt;100,"High Freight","Low Freight"),"Not Specified")</f>
        <v>Low Freight</v>
      </c>
      <c r="T489">
        <f t="shared" si="15"/>
        <v>171</v>
      </c>
    </row>
    <row r="490" spans="1:20">
      <c r="A490" s="1">
        <v>10432</v>
      </c>
      <c r="B490" s="2">
        <v>26</v>
      </c>
      <c r="C490" s="2">
        <v>24.9</v>
      </c>
      <c r="D490" s="2">
        <v>10</v>
      </c>
      <c r="E490" s="3">
        <v>0</v>
      </c>
      <c r="F490" s="2" t="str">
        <f>IFERROR(VLOOKUP(VLOOKUP(A490,'[1]Sales Order'!A:B,2,FALSE),[1]Customer!A:C,3,FALSE),"Not Specified")</f>
        <v>Wojciechowska, Agnieszka</v>
      </c>
      <c r="G490" s="2" t="str">
        <f t="shared" si="14"/>
        <v>Wojciechowska Agnieszka</v>
      </c>
      <c r="H490" s="8" t="str">
        <f>IFERROR(VLOOKUP(VLOOKUP(A490,'[1]Sales Order'!A:C,3,FALSE),[1]Employee!A:E,5,FALSE)&amp;" "&amp;VLOOKUP(VLOOKUP(A490,'[1]Sales Order'!A:C,3,FALSE),[1]Employee!A:C,3,FALSE)&amp;" "&amp;VLOOKUP(VLOOKUP(A490,'[1]Sales Order'!A:C,3,FALSE),[1]Employee!A:B,2,FALSE),"Not Specified")</f>
        <v>Ms. Judy Lew</v>
      </c>
      <c r="I490" t="str">
        <f>IFERROR(VLOOKUP(VLOOKUP(A490,'[1]Sales Order'!A:C,3,FALSE),[1]Employee!A:J,10,FALSE),"Not Specified")</f>
        <v>WA</v>
      </c>
      <c r="J490" t="str">
        <f>VLOOKUP(B490,[1]Product!A:B,2,FALSE)</f>
        <v>Product HLGZA</v>
      </c>
      <c r="K490" t="str">
        <f>VLOOKUP(VLOOKUP(B490,[1]Product!A:D,4,FALSE),[1]Category!A:B,2,FALSE)</f>
        <v>Confections</v>
      </c>
      <c r="L490" s="10">
        <f>IFERROR(VLOOKUP(A490,'[1]Sales Order'!A:D,4,FALSE),"")</f>
        <v>39113</v>
      </c>
      <c r="M490" s="10">
        <f>IFERROR(VLOOKUP(A490,'[1]Sales Order'!A:F,6,FALSE),"")</f>
        <v>39120</v>
      </c>
      <c r="N490" t="str">
        <f>IFERROR(VLOOKUP(VLOOKUP(A490,'[1]Sales Order'!A:G,7,FALSE),[1]Shipper!A:B,2,FALSE),"Not Specified")</f>
        <v>Shipper ETYNR</v>
      </c>
      <c r="O490" t="str">
        <f>IFERROR(VLOOKUP(A490,'[1]Sales Order'!A:I,9,FALSE),"Not Specified")</f>
        <v>Ship to 75-A</v>
      </c>
      <c r="P490" t="str">
        <f>IFERROR(VLOOKUP(A490,'[1]Sales Order'!A:N,14,FALSE),"Not Specified")</f>
        <v>USA</v>
      </c>
      <c r="Q490" t="str">
        <f>VLOOKUP(VLOOKUP(B490,[1]Product!A:C,3,FALSE),[1]Supplier!A:B,2,FALSE)</f>
        <v>Supplier ZPYVS</v>
      </c>
      <c r="R490" t="str">
        <f>VLOOKUP(VLOOKUP(B490,[1]Product!A:C,3,FALSE),[1]Supplier!A:I,9,FALSE)</f>
        <v>Germany</v>
      </c>
      <c r="S490" t="str">
        <f>IFERROR(IF(VLOOKUP(A490,'[1]Sales Order'!A:H,8,FALSE)&gt;100,"High Freight","Low Freight"),"Not Specified")</f>
        <v>Low Freight</v>
      </c>
      <c r="T490">
        <f t="shared" si="15"/>
        <v>249</v>
      </c>
    </row>
    <row r="491" spans="1:20">
      <c r="A491" s="1">
        <v>10432</v>
      </c>
      <c r="B491" s="2">
        <v>54</v>
      </c>
      <c r="C491" s="2">
        <v>5.9</v>
      </c>
      <c r="D491" s="2">
        <v>40</v>
      </c>
      <c r="E491" s="3">
        <v>0</v>
      </c>
      <c r="F491" s="2" t="str">
        <f>IFERROR(VLOOKUP(VLOOKUP(A491,'[1]Sales Order'!A:B,2,FALSE),[1]Customer!A:C,3,FALSE),"Not Specified")</f>
        <v>Wojciechowska, Agnieszka</v>
      </c>
      <c r="G491" s="2" t="str">
        <f t="shared" si="14"/>
        <v>Wojciechowska Agnieszka</v>
      </c>
      <c r="H491" s="8" t="str">
        <f>IFERROR(VLOOKUP(VLOOKUP(A491,'[1]Sales Order'!A:C,3,FALSE),[1]Employee!A:E,5,FALSE)&amp;" "&amp;VLOOKUP(VLOOKUP(A491,'[1]Sales Order'!A:C,3,FALSE),[1]Employee!A:C,3,FALSE)&amp;" "&amp;VLOOKUP(VLOOKUP(A491,'[1]Sales Order'!A:C,3,FALSE),[1]Employee!A:B,2,FALSE),"Not Specified")</f>
        <v>Ms. Judy Lew</v>
      </c>
      <c r="I491" t="str">
        <f>IFERROR(VLOOKUP(VLOOKUP(A491,'[1]Sales Order'!A:C,3,FALSE),[1]Employee!A:J,10,FALSE),"Not Specified")</f>
        <v>WA</v>
      </c>
      <c r="J491" t="str">
        <f>VLOOKUP(B491,[1]Product!A:B,2,FALSE)</f>
        <v>Product QAQRL</v>
      </c>
      <c r="K491" t="str">
        <f>VLOOKUP(VLOOKUP(B491,[1]Product!A:D,4,FALSE),[1]Category!A:B,2,FALSE)</f>
        <v>Meat/Poultry</v>
      </c>
      <c r="L491" s="10">
        <f>IFERROR(VLOOKUP(A491,'[1]Sales Order'!A:D,4,FALSE),"")</f>
        <v>39113</v>
      </c>
      <c r="M491" s="10">
        <f>IFERROR(VLOOKUP(A491,'[1]Sales Order'!A:F,6,FALSE),"")</f>
        <v>39120</v>
      </c>
      <c r="N491" t="str">
        <f>IFERROR(VLOOKUP(VLOOKUP(A491,'[1]Sales Order'!A:G,7,FALSE),[1]Shipper!A:B,2,FALSE),"Not Specified")</f>
        <v>Shipper ETYNR</v>
      </c>
      <c r="O491" t="str">
        <f>IFERROR(VLOOKUP(A491,'[1]Sales Order'!A:I,9,FALSE),"Not Specified")</f>
        <v>Ship to 75-A</v>
      </c>
      <c r="P491" t="str">
        <f>IFERROR(VLOOKUP(A491,'[1]Sales Order'!A:N,14,FALSE),"Not Specified")</f>
        <v>USA</v>
      </c>
      <c r="Q491" t="str">
        <f>VLOOKUP(VLOOKUP(B491,[1]Product!A:C,3,FALSE),[1]Supplier!A:B,2,FALSE)</f>
        <v>Supplier ERVYZ</v>
      </c>
      <c r="R491" t="str">
        <f>VLOOKUP(VLOOKUP(B491,[1]Product!A:C,3,FALSE),[1]Supplier!A:I,9,FALSE)</f>
        <v>Canada</v>
      </c>
      <c r="S491" t="str">
        <f>IFERROR(IF(VLOOKUP(A491,'[1]Sales Order'!A:H,8,FALSE)&gt;100,"High Freight","Low Freight"),"Not Specified")</f>
        <v>Low Freight</v>
      </c>
      <c r="T491">
        <f t="shared" si="15"/>
        <v>236</v>
      </c>
    </row>
    <row r="492" spans="1:20">
      <c r="A492" s="1">
        <v>10433</v>
      </c>
      <c r="B492" s="2">
        <v>56</v>
      </c>
      <c r="C492" s="2">
        <v>30.4</v>
      </c>
      <c r="D492" s="2">
        <v>28</v>
      </c>
      <c r="E492" s="3">
        <v>0</v>
      </c>
      <c r="F492" s="2" t="str">
        <f>IFERROR(VLOOKUP(VLOOKUP(A492,'[1]Sales Order'!A:B,2,FALSE),[1]Customer!A:C,3,FALSE),"Not Specified")</f>
        <v>Uppal, Sunil</v>
      </c>
      <c r="G492" s="2" t="str">
        <f t="shared" si="14"/>
        <v>Uppal Sunil</v>
      </c>
      <c r="H492" s="8" t="str">
        <f>IFERROR(VLOOKUP(VLOOKUP(A492,'[1]Sales Order'!A:C,3,FALSE),[1]Employee!A:E,5,FALSE)&amp;" "&amp;VLOOKUP(VLOOKUP(A492,'[1]Sales Order'!A:C,3,FALSE),[1]Employee!A:C,3,FALSE)&amp;" "&amp;VLOOKUP(VLOOKUP(A492,'[1]Sales Order'!A:C,3,FALSE),[1]Employee!A:B,2,FALSE),"Not Specified")</f>
        <v>Ms. Judy Lew</v>
      </c>
      <c r="I492" t="str">
        <f>IFERROR(VLOOKUP(VLOOKUP(A492,'[1]Sales Order'!A:C,3,FALSE),[1]Employee!A:J,10,FALSE),"Not Specified")</f>
        <v>WA</v>
      </c>
      <c r="J492" t="str">
        <f>VLOOKUP(B492,[1]Product!A:B,2,FALSE)</f>
        <v>Product VKCMF</v>
      </c>
      <c r="K492" t="str">
        <f>VLOOKUP(VLOOKUP(B492,[1]Product!A:D,4,FALSE),[1]Category!A:B,2,FALSE)</f>
        <v>Grains/Cereals</v>
      </c>
      <c r="L492" s="10">
        <f>IFERROR(VLOOKUP(A492,'[1]Sales Order'!A:D,4,FALSE),"")</f>
        <v>39116</v>
      </c>
      <c r="M492" s="10">
        <f>IFERROR(VLOOKUP(A492,'[1]Sales Order'!A:F,6,FALSE),"")</f>
        <v>39145</v>
      </c>
      <c r="N492" t="str">
        <f>IFERROR(VLOOKUP(VLOOKUP(A492,'[1]Sales Order'!A:G,7,FALSE),[1]Shipper!A:B,2,FALSE),"Not Specified")</f>
        <v>Shipper ZHISN</v>
      </c>
      <c r="O492" t="str">
        <f>IFERROR(VLOOKUP(A492,'[1]Sales Order'!A:I,9,FALSE),"Not Specified")</f>
        <v>Ship to 60-A</v>
      </c>
      <c r="P492" t="str">
        <f>IFERROR(VLOOKUP(A492,'[1]Sales Order'!A:N,14,FALSE),"Not Specified")</f>
        <v>Portugal</v>
      </c>
      <c r="Q492" t="str">
        <f>VLOOKUP(VLOOKUP(B492,[1]Product!A:C,3,FALSE),[1]Supplier!A:B,2,FALSE)</f>
        <v>Supplier ZWZDM</v>
      </c>
      <c r="R492" t="str">
        <f>VLOOKUP(VLOOKUP(B492,[1]Product!A:C,3,FALSE),[1]Supplier!A:I,9,FALSE)</f>
        <v>Italy</v>
      </c>
      <c r="S492" t="str">
        <f>IFERROR(IF(VLOOKUP(A492,'[1]Sales Order'!A:H,8,FALSE)&gt;100,"High Freight","Low Freight"),"Not Specified")</f>
        <v>Low Freight</v>
      </c>
      <c r="T492">
        <f t="shared" si="15"/>
        <v>851.19999999999993</v>
      </c>
    </row>
    <row r="493" spans="1:20">
      <c r="A493" s="1">
        <v>10434</v>
      </c>
      <c r="B493" s="2">
        <v>11</v>
      </c>
      <c r="C493" s="2">
        <v>16.8</v>
      </c>
      <c r="D493" s="2">
        <v>6</v>
      </c>
      <c r="E493" s="3">
        <v>0</v>
      </c>
      <c r="F493" s="2" t="str">
        <f>IFERROR(VLOOKUP(VLOOKUP(A493,'[1]Sales Order'!A:B,2,FALSE),[1]Customer!A:C,3,FALSE),"Not Specified")</f>
        <v>San Juan, Patricia</v>
      </c>
      <c r="G493" s="2" t="str">
        <f t="shared" si="14"/>
        <v>San Juan Patricia</v>
      </c>
      <c r="H493" s="8" t="str">
        <f>IFERROR(VLOOKUP(VLOOKUP(A493,'[1]Sales Order'!A:C,3,FALSE),[1]Employee!A:E,5,FALSE)&amp;" "&amp;VLOOKUP(VLOOKUP(A493,'[1]Sales Order'!A:C,3,FALSE),[1]Employee!A:C,3,FALSE)&amp;" "&amp;VLOOKUP(VLOOKUP(A493,'[1]Sales Order'!A:C,3,FALSE),[1]Employee!A:B,2,FALSE),"Not Specified")</f>
        <v>Ms. Judy Lew</v>
      </c>
      <c r="I493" t="str">
        <f>IFERROR(VLOOKUP(VLOOKUP(A493,'[1]Sales Order'!A:C,3,FALSE),[1]Employee!A:J,10,FALSE),"Not Specified")</f>
        <v>WA</v>
      </c>
      <c r="J493" t="str">
        <f>VLOOKUP(B493,[1]Product!A:B,2,FALSE)</f>
        <v>Product QMVUN</v>
      </c>
      <c r="K493" t="str">
        <f>VLOOKUP(VLOOKUP(B493,[1]Product!A:D,4,FALSE),[1]Category!A:B,2,FALSE)</f>
        <v>Dairy Product</v>
      </c>
      <c r="L493" s="10">
        <f>IFERROR(VLOOKUP(A493,'[1]Sales Order'!A:D,4,FALSE),"")</f>
        <v>39116</v>
      </c>
      <c r="M493" s="10">
        <f>IFERROR(VLOOKUP(A493,'[1]Sales Order'!A:F,6,FALSE),"")</f>
        <v>39126</v>
      </c>
      <c r="N493" t="str">
        <f>IFERROR(VLOOKUP(VLOOKUP(A493,'[1]Sales Order'!A:G,7,FALSE),[1]Shipper!A:B,2,FALSE),"Not Specified")</f>
        <v>Shipper ETYNR</v>
      </c>
      <c r="O493" t="str">
        <f>IFERROR(VLOOKUP(A493,'[1]Sales Order'!A:I,9,FALSE),"Not Specified")</f>
        <v>Destination NCKKO</v>
      </c>
      <c r="P493" t="str">
        <f>IFERROR(VLOOKUP(A493,'[1]Sales Order'!A:N,14,FALSE),"Not Specified")</f>
        <v>Sweden</v>
      </c>
      <c r="Q493" t="str">
        <f>VLOOKUP(VLOOKUP(B493,[1]Product!A:C,3,FALSE),[1]Supplier!A:B,2,FALSE)</f>
        <v>Supplier EQPNC</v>
      </c>
      <c r="R493" t="str">
        <f>VLOOKUP(VLOOKUP(B493,[1]Product!A:C,3,FALSE),[1]Supplier!A:I,9,FALSE)</f>
        <v>Spain</v>
      </c>
      <c r="S493" t="str">
        <f>IFERROR(IF(VLOOKUP(A493,'[1]Sales Order'!A:H,8,FALSE)&gt;100,"High Freight","Low Freight"),"Not Specified")</f>
        <v>Low Freight</v>
      </c>
      <c r="T493">
        <f t="shared" si="15"/>
        <v>100.80000000000001</v>
      </c>
    </row>
    <row r="494" spans="1:20">
      <c r="A494" s="1">
        <v>10434</v>
      </c>
      <c r="B494" s="2">
        <v>76</v>
      </c>
      <c r="C494" s="2">
        <v>14.4</v>
      </c>
      <c r="D494" s="2">
        <v>18</v>
      </c>
      <c r="E494" s="3">
        <v>0.15</v>
      </c>
      <c r="F494" s="2" t="str">
        <f>IFERROR(VLOOKUP(VLOOKUP(A494,'[1]Sales Order'!A:B,2,FALSE),[1]Customer!A:C,3,FALSE),"Not Specified")</f>
        <v>San Juan, Patricia</v>
      </c>
      <c r="G494" s="2" t="str">
        <f t="shared" si="14"/>
        <v>San Juan Patricia</v>
      </c>
      <c r="H494" s="8" t="str">
        <f>IFERROR(VLOOKUP(VLOOKUP(A494,'[1]Sales Order'!A:C,3,FALSE),[1]Employee!A:E,5,FALSE)&amp;" "&amp;VLOOKUP(VLOOKUP(A494,'[1]Sales Order'!A:C,3,FALSE),[1]Employee!A:C,3,FALSE)&amp;" "&amp;VLOOKUP(VLOOKUP(A494,'[1]Sales Order'!A:C,3,FALSE),[1]Employee!A:B,2,FALSE),"Not Specified")</f>
        <v>Ms. Judy Lew</v>
      </c>
      <c r="I494" t="str">
        <f>IFERROR(VLOOKUP(VLOOKUP(A494,'[1]Sales Order'!A:C,3,FALSE),[1]Employee!A:J,10,FALSE),"Not Specified")</f>
        <v>WA</v>
      </c>
      <c r="J494" t="str">
        <f>VLOOKUP(B494,[1]Product!A:B,2,FALSE)</f>
        <v>Product JYGFE</v>
      </c>
      <c r="K494" t="str">
        <f>VLOOKUP(VLOOKUP(B494,[1]Product!A:D,4,FALSE),[1]Category!A:B,2,FALSE)</f>
        <v>Beverages</v>
      </c>
      <c r="L494" s="10">
        <f>IFERROR(VLOOKUP(A494,'[1]Sales Order'!A:D,4,FALSE),"")</f>
        <v>39116</v>
      </c>
      <c r="M494" s="10">
        <f>IFERROR(VLOOKUP(A494,'[1]Sales Order'!A:F,6,FALSE),"")</f>
        <v>39126</v>
      </c>
      <c r="N494" t="str">
        <f>IFERROR(VLOOKUP(VLOOKUP(A494,'[1]Sales Order'!A:G,7,FALSE),[1]Shipper!A:B,2,FALSE),"Not Specified")</f>
        <v>Shipper ETYNR</v>
      </c>
      <c r="O494" t="str">
        <f>IFERROR(VLOOKUP(A494,'[1]Sales Order'!A:I,9,FALSE),"Not Specified")</f>
        <v>Destination NCKKO</v>
      </c>
      <c r="P494" t="str">
        <f>IFERROR(VLOOKUP(A494,'[1]Sales Order'!A:N,14,FALSE),"Not Specified")</f>
        <v>Sweden</v>
      </c>
      <c r="Q494" t="str">
        <f>VLOOKUP(VLOOKUP(B494,[1]Product!A:C,3,FALSE),[1]Supplier!A:B,2,FALSE)</f>
        <v>Supplier ELCRN</v>
      </c>
      <c r="R494" t="str">
        <f>VLOOKUP(VLOOKUP(B494,[1]Product!A:C,3,FALSE),[1]Supplier!A:I,9,FALSE)</f>
        <v>Finland</v>
      </c>
      <c r="S494" t="str">
        <f>IFERROR(IF(VLOOKUP(A494,'[1]Sales Order'!A:H,8,FALSE)&gt;100,"High Freight","Low Freight"),"Not Specified")</f>
        <v>Low Freight</v>
      </c>
      <c r="T494">
        <f t="shared" si="15"/>
        <v>220.32</v>
      </c>
    </row>
    <row r="495" spans="1:20">
      <c r="A495" s="1">
        <v>10435</v>
      </c>
      <c r="B495" s="2">
        <v>2</v>
      </c>
      <c r="C495" s="2">
        <v>15.2</v>
      </c>
      <c r="D495" s="2">
        <v>10</v>
      </c>
      <c r="E495" s="3">
        <v>0</v>
      </c>
      <c r="F495" s="2" t="str">
        <f>IFERROR(VLOOKUP(VLOOKUP(A495,'[1]Sales Order'!A:B,2,FALSE),[1]Customer!A:C,3,FALSE),"Not Specified")</f>
        <v>Birkby, Dana</v>
      </c>
      <c r="G495" s="2" t="str">
        <f t="shared" si="14"/>
        <v>Birkby Dana</v>
      </c>
      <c r="H495" s="8" t="str">
        <f>IFERROR(VLOOKUP(VLOOKUP(A495,'[1]Sales Order'!A:C,3,FALSE),[1]Employee!A:E,5,FALSE)&amp;" "&amp;VLOOKUP(VLOOKUP(A495,'[1]Sales Order'!A:C,3,FALSE),[1]Employee!A:C,3,FALSE)&amp;" "&amp;VLOOKUP(VLOOKUP(A495,'[1]Sales Order'!A:C,3,FALSE),[1]Employee!A:B,2,FALSE),"Not Specified")</f>
        <v>Ms. Maria Cameron</v>
      </c>
      <c r="I495" t="str">
        <f>IFERROR(VLOOKUP(VLOOKUP(A495,'[1]Sales Order'!A:C,3,FALSE),[1]Employee!A:J,10,FALSE),"Not Specified")</f>
        <v>WA</v>
      </c>
      <c r="J495" t="str">
        <f>VLOOKUP(B495,[1]Product!A:B,2,FALSE)</f>
        <v>Product RECZE</v>
      </c>
      <c r="K495" t="str">
        <f>VLOOKUP(VLOOKUP(B495,[1]Product!A:D,4,FALSE),[1]Category!A:B,2,FALSE)</f>
        <v>Beverages</v>
      </c>
      <c r="L495" s="10">
        <f>IFERROR(VLOOKUP(A495,'[1]Sales Order'!A:D,4,FALSE),"")</f>
        <v>39117</v>
      </c>
      <c r="M495" s="10">
        <f>IFERROR(VLOOKUP(A495,'[1]Sales Order'!A:F,6,FALSE),"")</f>
        <v>39120</v>
      </c>
      <c r="N495" t="str">
        <f>IFERROR(VLOOKUP(VLOOKUP(A495,'[1]Sales Order'!A:G,7,FALSE),[1]Shipper!A:B,2,FALSE),"Not Specified")</f>
        <v>Shipper ETYNR</v>
      </c>
      <c r="O495" t="str">
        <f>IFERROR(VLOOKUP(A495,'[1]Sales Order'!A:I,9,FALSE),"Not Specified")</f>
        <v>Destination QKQNB</v>
      </c>
      <c r="P495" t="str">
        <f>IFERROR(VLOOKUP(A495,'[1]Sales Order'!A:N,14,FALSE),"Not Specified")</f>
        <v>UK</v>
      </c>
      <c r="Q495" t="str">
        <f>VLOOKUP(VLOOKUP(B495,[1]Product!A:C,3,FALSE),[1]Supplier!A:B,2,FALSE)</f>
        <v>Supplier SWRXU</v>
      </c>
      <c r="R495" t="str">
        <f>VLOOKUP(VLOOKUP(B495,[1]Product!A:C,3,FALSE),[1]Supplier!A:I,9,FALSE)</f>
        <v>UK</v>
      </c>
      <c r="S495" t="str">
        <f>IFERROR(IF(VLOOKUP(A495,'[1]Sales Order'!A:H,8,FALSE)&gt;100,"High Freight","Low Freight"),"Not Specified")</f>
        <v>Low Freight</v>
      </c>
      <c r="T495">
        <f t="shared" si="15"/>
        <v>152</v>
      </c>
    </row>
    <row r="496" spans="1:20">
      <c r="A496" s="1">
        <v>10435</v>
      </c>
      <c r="B496" s="2">
        <v>22</v>
      </c>
      <c r="C496" s="2">
        <v>16.8</v>
      </c>
      <c r="D496" s="2">
        <v>12</v>
      </c>
      <c r="E496" s="3">
        <v>0</v>
      </c>
      <c r="F496" s="2" t="str">
        <f>IFERROR(VLOOKUP(VLOOKUP(A496,'[1]Sales Order'!A:B,2,FALSE),[1]Customer!A:C,3,FALSE),"Not Specified")</f>
        <v>Birkby, Dana</v>
      </c>
      <c r="G496" s="2" t="str">
        <f t="shared" si="14"/>
        <v>Birkby Dana</v>
      </c>
      <c r="H496" s="8" t="str">
        <f>IFERROR(VLOOKUP(VLOOKUP(A496,'[1]Sales Order'!A:C,3,FALSE),[1]Employee!A:E,5,FALSE)&amp;" "&amp;VLOOKUP(VLOOKUP(A496,'[1]Sales Order'!A:C,3,FALSE),[1]Employee!A:C,3,FALSE)&amp;" "&amp;VLOOKUP(VLOOKUP(A496,'[1]Sales Order'!A:C,3,FALSE),[1]Employee!A:B,2,FALSE),"Not Specified")</f>
        <v>Ms. Maria Cameron</v>
      </c>
      <c r="I496" t="str">
        <f>IFERROR(VLOOKUP(VLOOKUP(A496,'[1]Sales Order'!A:C,3,FALSE),[1]Employee!A:J,10,FALSE),"Not Specified")</f>
        <v>WA</v>
      </c>
      <c r="J496" t="str">
        <f>VLOOKUP(B496,[1]Product!A:B,2,FALSE)</f>
        <v>Product CPHFY</v>
      </c>
      <c r="K496" t="str">
        <f>VLOOKUP(VLOOKUP(B496,[1]Product!A:D,4,FALSE),[1]Category!A:B,2,FALSE)</f>
        <v>Grains/Cereals</v>
      </c>
      <c r="L496" s="10">
        <f>IFERROR(VLOOKUP(A496,'[1]Sales Order'!A:D,4,FALSE),"")</f>
        <v>39117</v>
      </c>
      <c r="M496" s="10">
        <f>IFERROR(VLOOKUP(A496,'[1]Sales Order'!A:F,6,FALSE),"")</f>
        <v>39120</v>
      </c>
      <c r="N496" t="str">
        <f>IFERROR(VLOOKUP(VLOOKUP(A496,'[1]Sales Order'!A:G,7,FALSE),[1]Shipper!A:B,2,FALSE),"Not Specified")</f>
        <v>Shipper ETYNR</v>
      </c>
      <c r="O496" t="str">
        <f>IFERROR(VLOOKUP(A496,'[1]Sales Order'!A:I,9,FALSE),"Not Specified")</f>
        <v>Destination QKQNB</v>
      </c>
      <c r="P496" t="str">
        <f>IFERROR(VLOOKUP(A496,'[1]Sales Order'!A:N,14,FALSE),"Not Specified")</f>
        <v>UK</v>
      </c>
      <c r="Q496" t="str">
        <f>VLOOKUP(VLOOKUP(B496,[1]Product!A:C,3,FALSE),[1]Supplier!A:B,2,FALSE)</f>
        <v>Supplier QQYEU</v>
      </c>
      <c r="R496" t="str">
        <f>VLOOKUP(VLOOKUP(B496,[1]Product!A:C,3,FALSE),[1]Supplier!A:I,9,FALSE)</f>
        <v>Sweden</v>
      </c>
      <c r="S496" t="str">
        <f>IFERROR(IF(VLOOKUP(A496,'[1]Sales Order'!A:H,8,FALSE)&gt;100,"High Freight","Low Freight"),"Not Specified")</f>
        <v>Low Freight</v>
      </c>
      <c r="T496">
        <f t="shared" si="15"/>
        <v>201.60000000000002</v>
      </c>
    </row>
    <row r="497" spans="1:20">
      <c r="A497" s="1">
        <v>10435</v>
      </c>
      <c r="B497" s="2">
        <v>72</v>
      </c>
      <c r="C497" s="2">
        <v>27.8</v>
      </c>
      <c r="D497" s="2">
        <v>10</v>
      </c>
      <c r="E497" s="3">
        <v>0</v>
      </c>
      <c r="F497" s="2" t="str">
        <f>IFERROR(VLOOKUP(VLOOKUP(A497,'[1]Sales Order'!A:B,2,FALSE),[1]Customer!A:C,3,FALSE),"Not Specified")</f>
        <v>Birkby, Dana</v>
      </c>
      <c r="G497" s="2" t="str">
        <f t="shared" si="14"/>
        <v>Birkby Dana</v>
      </c>
      <c r="H497" s="8" t="str">
        <f>IFERROR(VLOOKUP(VLOOKUP(A497,'[1]Sales Order'!A:C,3,FALSE),[1]Employee!A:E,5,FALSE)&amp;" "&amp;VLOOKUP(VLOOKUP(A497,'[1]Sales Order'!A:C,3,FALSE),[1]Employee!A:C,3,FALSE)&amp;" "&amp;VLOOKUP(VLOOKUP(A497,'[1]Sales Order'!A:C,3,FALSE),[1]Employee!A:B,2,FALSE),"Not Specified")</f>
        <v>Ms. Maria Cameron</v>
      </c>
      <c r="I497" t="str">
        <f>IFERROR(VLOOKUP(VLOOKUP(A497,'[1]Sales Order'!A:C,3,FALSE),[1]Employee!A:J,10,FALSE),"Not Specified")</f>
        <v>WA</v>
      </c>
      <c r="J497" t="str">
        <f>VLOOKUP(B497,[1]Product!A:B,2,FALSE)</f>
        <v>Product GEEOO</v>
      </c>
      <c r="K497" t="str">
        <f>VLOOKUP(VLOOKUP(B497,[1]Product!A:D,4,FALSE),[1]Category!A:B,2,FALSE)</f>
        <v>Dairy Product</v>
      </c>
      <c r="L497" s="10">
        <f>IFERROR(VLOOKUP(A497,'[1]Sales Order'!A:D,4,FALSE),"")</f>
        <v>39117</v>
      </c>
      <c r="M497" s="10">
        <f>IFERROR(VLOOKUP(A497,'[1]Sales Order'!A:F,6,FALSE),"")</f>
        <v>39120</v>
      </c>
      <c r="N497" t="str">
        <f>IFERROR(VLOOKUP(VLOOKUP(A497,'[1]Sales Order'!A:G,7,FALSE),[1]Shipper!A:B,2,FALSE),"Not Specified")</f>
        <v>Shipper ETYNR</v>
      </c>
      <c r="O497" t="str">
        <f>IFERROR(VLOOKUP(A497,'[1]Sales Order'!A:I,9,FALSE),"Not Specified")</f>
        <v>Destination QKQNB</v>
      </c>
      <c r="P497" t="str">
        <f>IFERROR(VLOOKUP(A497,'[1]Sales Order'!A:N,14,FALSE),"Not Specified")</f>
        <v>UK</v>
      </c>
      <c r="Q497" t="str">
        <f>VLOOKUP(VLOOKUP(B497,[1]Product!A:C,3,FALSE),[1]Supplier!A:B,2,FALSE)</f>
        <v>Supplier KEREV</v>
      </c>
      <c r="R497" t="str">
        <f>VLOOKUP(VLOOKUP(B497,[1]Product!A:C,3,FALSE),[1]Supplier!A:I,9,FALSE)</f>
        <v>Italy</v>
      </c>
      <c r="S497" t="str">
        <f>IFERROR(IF(VLOOKUP(A497,'[1]Sales Order'!A:H,8,FALSE)&gt;100,"High Freight","Low Freight"),"Not Specified")</f>
        <v>Low Freight</v>
      </c>
      <c r="T497">
        <f t="shared" si="15"/>
        <v>278</v>
      </c>
    </row>
    <row r="498" spans="1:20">
      <c r="A498" s="1">
        <v>10436</v>
      </c>
      <c r="B498" s="2">
        <v>46</v>
      </c>
      <c r="C498" s="2">
        <v>9.6</v>
      </c>
      <c r="D498" s="2">
        <v>5</v>
      </c>
      <c r="E498" s="3">
        <v>0</v>
      </c>
      <c r="F498" s="2" t="str">
        <f>IFERROR(VLOOKUP(VLOOKUP(A498,'[1]Sales Order'!A:B,2,FALSE),[1]Customer!A:C,3,FALSE),"Not Specified")</f>
        <v>Bansal, Dushyant</v>
      </c>
      <c r="G498" s="2" t="str">
        <f t="shared" si="14"/>
        <v>Bansal Dushyant</v>
      </c>
      <c r="H498" s="8" t="str">
        <f>IFERROR(VLOOKUP(VLOOKUP(A498,'[1]Sales Order'!A:C,3,FALSE),[1]Employee!A:E,5,FALSE)&amp;" "&amp;VLOOKUP(VLOOKUP(A498,'[1]Sales Order'!A:C,3,FALSE),[1]Employee!A:C,3,FALSE)&amp;" "&amp;VLOOKUP(VLOOKUP(A498,'[1]Sales Order'!A:C,3,FALSE),[1]Employee!A:B,2,FALSE),"Not Specified")</f>
        <v>Ms. Judy Lew</v>
      </c>
      <c r="I498" t="str">
        <f>IFERROR(VLOOKUP(VLOOKUP(A498,'[1]Sales Order'!A:C,3,FALSE),[1]Employee!A:J,10,FALSE),"Not Specified")</f>
        <v>WA</v>
      </c>
      <c r="J498" t="str">
        <f>VLOOKUP(B498,[1]Product!A:B,2,FALSE)</f>
        <v>Product CBRRL</v>
      </c>
      <c r="K498" t="str">
        <f>VLOOKUP(VLOOKUP(B498,[1]Product!A:D,4,FALSE),[1]Category!A:B,2,FALSE)</f>
        <v>Seafood</v>
      </c>
      <c r="L498" s="10">
        <f>IFERROR(VLOOKUP(A498,'[1]Sales Order'!A:D,4,FALSE),"")</f>
        <v>39118</v>
      </c>
      <c r="M498" s="10">
        <f>IFERROR(VLOOKUP(A498,'[1]Sales Order'!A:F,6,FALSE),"")</f>
        <v>39124</v>
      </c>
      <c r="N498" t="str">
        <f>IFERROR(VLOOKUP(VLOOKUP(A498,'[1]Sales Order'!A:G,7,FALSE),[1]Shipper!A:B,2,FALSE),"Not Specified")</f>
        <v>Shipper ETYNR</v>
      </c>
      <c r="O498" t="str">
        <f>IFERROR(VLOOKUP(A498,'[1]Sales Order'!A:I,9,FALSE),"Not Specified")</f>
        <v>Ship to 7-C</v>
      </c>
      <c r="P498" t="str">
        <f>IFERROR(VLOOKUP(A498,'[1]Sales Order'!A:N,14,FALSE),"Not Specified")</f>
        <v>France</v>
      </c>
      <c r="Q498" t="str">
        <f>VLOOKUP(VLOOKUP(B498,[1]Product!A:C,3,FALSE),[1]Supplier!A:B,2,FALSE)</f>
        <v>Supplier XOXZA</v>
      </c>
      <c r="R498" t="str">
        <f>VLOOKUP(VLOOKUP(B498,[1]Product!A:C,3,FALSE),[1]Supplier!A:I,9,FALSE)</f>
        <v>Denmark</v>
      </c>
      <c r="S498" t="str">
        <f>IFERROR(IF(VLOOKUP(A498,'[1]Sales Order'!A:H,8,FALSE)&gt;100,"High Freight","Low Freight"),"Not Specified")</f>
        <v>High Freight</v>
      </c>
      <c r="T498">
        <f t="shared" si="15"/>
        <v>48</v>
      </c>
    </row>
    <row r="499" spans="1:20">
      <c r="A499" s="1">
        <v>10436</v>
      </c>
      <c r="B499" s="2">
        <v>56</v>
      </c>
      <c r="C499" s="2">
        <v>30.4</v>
      </c>
      <c r="D499" s="2">
        <v>40</v>
      </c>
      <c r="E499" s="3">
        <v>0.1</v>
      </c>
      <c r="F499" s="2" t="str">
        <f>IFERROR(VLOOKUP(VLOOKUP(A499,'[1]Sales Order'!A:B,2,FALSE),[1]Customer!A:C,3,FALSE),"Not Specified")</f>
        <v>Bansal, Dushyant</v>
      </c>
      <c r="G499" s="2" t="str">
        <f t="shared" si="14"/>
        <v>Bansal Dushyant</v>
      </c>
      <c r="H499" s="8" t="str">
        <f>IFERROR(VLOOKUP(VLOOKUP(A499,'[1]Sales Order'!A:C,3,FALSE),[1]Employee!A:E,5,FALSE)&amp;" "&amp;VLOOKUP(VLOOKUP(A499,'[1]Sales Order'!A:C,3,FALSE),[1]Employee!A:C,3,FALSE)&amp;" "&amp;VLOOKUP(VLOOKUP(A499,'[1]Sales Order'!A:C,3,FALSE),[1]Employee!A:B,2,FALSE),"Not Specified")</f>
        <v>Ms. Judy Lew</v>
      </c>
      <c r="I499" t="str">
        <f>IFERROR(VLOOKUP(VLOOKUP(A499,'[1]Sales Order'!A:C,3,FALSE),[1]Employee!A:J,10,FALSE),"Not Specified")</f>
        <v>WA</v>
      </c>
      <c r="J499" t="str">
        <f>VLOOKUP(B499,[1]Product!A:B,2,FALSE)</f>
        <v>Product VKCMF</v>
      </c>
      <c r="K499" t="str">
        <f>VLOOKUP(VLOOKUP(B499,[1]Product!A:D,4,FALSE),[1]Category!A:B,2,FALSE)</f>
        <v>Grains/Cereals</v>
      </c>
      <c r="L499" s="10">
        <f>IFERROR(VLOOKUP(A499,'[1]Sales Order'!A:D,4,FALSE),"")</f>
        <v>39118</v>
      </c>
      <c r="M499" s="10">
        <f>IFERROR(VLOOKUP(A499,'[1]Sales Order'!A:F,6,FALSE),"")</f>
        <v>39124</v>
      </c>
      <c r="N499" t="str">
        <f>IFERROR(VLOOKUP(VLOOKUP(A499,'[1]Sales Order'!A:G,7,FALSE),[1]Shipper!A:B,2,FALSE),"Not Specified")</f>
        <v>Shipper ETYNR</v>
      </c>
      <c r="O499" t="str">
        <f>IFERROR(VLOOKUP(A499,'[1]Sales Order'!A:I,9,FALSE),"Not Specified")</f>
        <v>Ship to 7-C</v>
      </c>
      <c r="P499" t="str">
        <f>IFERROR(VLOOKUP(A499,'[1]Sales Order'!A:N,14,FALSE),"Not Specified")</f>
        <v>France</v>
      </c>
      <c r="Q499" t="str">
        <f>VLOOKUP(VLOOKUP(B499,[1]Product!A:C,3,FALSE),[1]Supplier!A:B,2,FALSE)</f>
        <v>Supplier ZWZDM</v>
      </c>
      <c r="R499" t="str">
        <f>VLOOKUP(VLOOKUP(B499,[1]Product!A:C,3,FALSE),[1]Supplier!A:I,9,FALSE)</f>
        <v>Italy</v>
      </c>
      <c r="S499" t="str">
        <f>IFERROR(IF(VLOOKUP(A499,'[1]Sales Order'!A:H,8,FALSE)&gt;100,"High Freight","Low Freight"),"Not Specified")</f>
        <v>High Freight</v>
      </c>
      <c r="T499">
        <f t="shared" si="15"/>
        <v>1094.4000000000001</v>
      </c>
    </row>
    <row r="500" spans="1:20">
      <c r="A500" s="1">
        <v>10436</v>
      </c>
      <c r="B500" s="2">
        <v>64</v>
      </c>
      <c r="C500" s="2">
        <v>26.6</v>
      </c>
      <c r="D500" s="2">
        <v>30</v>
      </c>
      <c r="E500" s="3">
        <v>0.1</v>
      </c>
      <c r="F500" s="2" t="str">
        <f>IFERROR(VLOOKUP(VLOOKUP(A500,'[1]Sales Order'!A:B,2,FALSE),[1]Customer!A:C,3,FALSE),"Not Specified")</f>
        <v>Bansal, Dushyant</v>
      </c>
      <c r="G500" s="2" t="str">
        <f t="shared" si="14"/>
        <v>Bansal Dushyant</v>
      </c>
      <c r="H500" s="8" t="str">
        <f>IFERROR(VLOOKUP(VLOOKUP(A500,'[1]Sales Order'!A:C,3,FALSE),[1]Employee!A:E,5,FALSE)&amp;" "&amp;VLOOKUP(VLOOKUP(A500,'[1]Sales Order'!A:C,3,FALSE),[1]Employee!A:C,3,FALSE)&amp;" "&amp;VLOOKUP(VLOOKUP(A500,'[1]Sales Order'!A:C,3,FALSE),[1]Employee!A:B,2,FALSE),"Not Specified")</f>
        <v>Ms. Judy Lew</v>
      </c>
      <c r="I500" t="str">
        <f>IFERROR(VLOOKUP(VLOOKUP(A500,'[1]Sales Order'!A:C,3,FALSE),[1]Employee!A:J,10,FALSE),"Not Specified")</f>
        <v>WA</v>
      </c>
      <c r="J500" t="str">
        <f>VLOOKUP(B500,[1]Product!A:B,2,FALSE)</f>
        <v>Product HCQDE</v>
      </c>
      <c r="K500" t="str">
        <f>VLOOKUP(VLOOKUP(B500,[1]Product!A:D,4,FALSE),[1]Category!A:B,2,FALSE)</f>
        <v>Grains/Cereals</v>
      </c>
      <c r="L500" s="10">
        <f>IFERROR(VLOOKUP(A500,'[1]Sales Order'!A:D,4,FALSE),"")</f>
        <v>39118</v>
      </c>
      <c r="M500" s="10">
        <f>IFERROR(VLOOKUP(A500,'[1]Sales Order'!A:F,6,FALSE),"")</f>
        <v>39124</v>
      </c>
      <c r="N500" t="str">
        <f>IFERROR(VLOOKUP(VLOOKUP(A500,'[1]Sales Order'!A:G,7,FALSE),[1]Shipper!A:B,2,FALSE),"Not Specified")</f>
        <v>Shipper ETYNR</v>
      </c>
      <c r="O500" t="str">
        <f>IFERROR(VLOOKUP(A500,'[1]Sales Order'!A:I,9,FALSE),"Not Specified")</f>
        <v>Ship to 7-C</v>
      </c>
      <c r="P500" t="str">
        <f>IFERROR(VLOOKUP(A500,'[1]Sales Order'!A:N,14,FALSE),"Not Specified")</f>
        <v>France</v>
      </c>
      <c r="Q500" t="str">
        <f>VLOOKUP(VLOOKUP(B500,[1]Product!A:C,3,FALSE),[1]Supplier!A:B,2,FALSE)</f>
        <v>Supplier SVIYA</v>
      </c>
      <c r="R500" t="str">
        <f>VLOOKUP(VLOOKUP(B500,[1]Product!A:C,3,FALSE),[1]Supplier!A:I,9,FALSE)</f>
        <v>Germany</v>
      </c>
      <c r="S500" t="str">
        <f>IFERROR(IF(VLOOKUP(A500,'[1]Sales Order'!A:H,8,FALSE)&gt;100,"High Freight","Low Freight"),"Not Specified")</f>
        <v>High Freight</v>
      </c>
      <c r="T500">
        <f t="shared" si="15"/>
        <v>718.2</v>
      </c>
    </row>
    <row r="501" spans="1:20">
      <c r="A501" s="1">
        <v>10436</v>
      </c>
      <c r="B501" s="2">
        <v>75</v>
      </c>
      <c r="C501" s="2">
        <v>6.2</v>
      </c>
      <c r="D501" s="2">
        <v>24</v>
      </c>
      <c r="E501" s="3">
        <v>0.1</v>
      </c>
      <c r="F501" s="2" t="str">
        <f>IFERROR(VLOOKUP(VLOOKUP(A501,'[1]Sales Order'!A:B,2,FALSE),[1]Customer!A:C,3,FALSE),"Not Specified")</f>
        <v>Bansal, Dushyant</v>
      </c>
      <c r="G501" s="2" t="str">
        <f t="shared" si="14"/>
        <v>Bansal Dushyant</v>
      </c>
      <c r="H501" s="8" t="str">
        <f>IFERROR(VLOOKUP(VLOOKUP(A501,'[1]Sales Order'!A:C,3,FALSE),[1]Employee!A:E,5,FALSE)&amp;" "&amp;VLOOKUP(VLOOKUP(A501,'[1]Sales Order'!A:C,3,FALSE),[1]Employee!A:C,3,FALSE)&amp;" "&amp;VLOOKUP(VLOOKUP(A501,'[1]Sales Order'!A:C,3,FALSE),[1]Employee!A:B,2,FALSE),"Not Specified")</f>
        <v>Ms. Judy Lew</v>
      </c>
      <c r="I501" t="str">
        <f>IFERROR(VLOOKUP(VLOOKUP(A501,'[1]Sales Order'!A:C,3,FALSE),[1]Employee!A:J,10,FALSE),"Not Specified")</f>
        <v>WA</v>
      </c>
      <c r="J501" t="str">
        <f>VLOOKUP(B501,[1]Product!A:B,2,FALSE)</f>
        <v>Product BWRLG</v>
      </c>
      <c r="K501" t="str">
        <f>VLOOKUP(VLOOKUP(B501,[1]Product!A:D,4,FALSE),[1]Category!A:B,2,FALSE)</f>
        <v>Beverages</v>
      </c>
      <c r="L501" s="10">
        <f>IFERROR(VLOOKUP(A501,'[1]Sales Order'!A:D,4,FALSE),"")</f>
        <v>39118</v>
      </c>
      <c r="M501" s="10">
        <f>IFERROR(VLOOKUP(A501,'[1]Sales Order'!A:F,6,FALSE),"")</f>
        <v>39124</v>
      </c>
      <c r="N501" t="str">
        <f>IFERROR(VLOOKUP(VLOOKUP(A501,'[1]Sales Order'!A:G,7,FALSE),[1]Shipper!A:B,2,FALSE),"Not Specified")</f>
        <v>Shipper ETYNR</v>
      </c>
      <c r="O501" t="str">
        <f>IFERROR(VLOOKUP(A501,'[1]Sales Order'!A:I,9,FALSE),"Not Specified")</f>
        <v>Ship to 7-C</v>
      </c>
      <c r="P501" t="str">
        <f>IFERROR(VLOOKUP(A501,'[1]Sales Order'!A:N,14,FALSE),"Not Specified")</f>
        <v>France</v>
      </c>
      <c r="Q501" t="str">
        <f>VLOOKUP(VLOOKUP(B501,[1]Product!A:C,3,FALSE),[1]Supplier!A:B,2,FALSE)</f>
        <v>Supplier SVIYA</v>
      </c>
      <c r="R501" t="str">
        <f>VLOOKUP(VLOOKUP(B501,[1]Product!A:C,3,FALSE),[1]Supplier!A:I,9,FALSE)</f>
        <v>Germany</v>
      </c>
      <c r="S501" t="str">
        <f>IFERROR(IF(VLOOKUP(A501,'[1]Sales Order'!A:H,8,FALSE)&gt;100,"High Freight","Low Freight"),"Not Specified")</f>
        <v>High Freight</v>
      </c>
      <c r="T501">
        <f t="shared" si="15"/>
        <v>133.92000000000002</v>
      </c>
    </row>
    <row r="502" spans="1:20">
      <c r="A502" s="1">
        <v>10437</v>
      </c>
      <c r="B502" s="2">
        <v>53</v>
      </c>
      <c r="C502" s="2">
        <v>26.2</v>
      </c>
      <c r="D502" s="2">
        <v>15</v>
      </c>
      <c r="E502" s="3">
        <v>0</v>
      </c>
      <c r="F502" s="2" t="str">
        <f>IFERROR(VLOOKUP(VLOOKUP(A502,'[1]Sales Order'!A:B,2,FALSE),[1]Customer!A:C,3,FALSE),"Not Specified")</f>
        <v>Ludwig, Michael</v>
      </c>
      <c r="G502" s="2" t="str">
        <f t="shared" si="14"/>
        <v>Ludwig Michael</v>
      </c>
      <c r="H502" s="8" t="str">
        <f>IFERROR(VLOOKUP(VLOOKUP(A502,'[1]Sales Order'!A:C,3,FALSE),[1]Employee!A:E,5,FALSE)&amp;" "&amp;VLOOKUP(VLOOKUP(A502,'[1]Sales Order'!A:C,3,FALSE),[1]Employee!A:C,3,FALSE)&amp;" "&amp;VLOOKUP(VLOOKUP(A502,'[1]Sales Order'!A:C,3,FALSE),[1]Employee!A:B,2,FALSE),"Not Specified")</f>
        <v>Ms. Maria Cameron</v>
      </c>
      <c r="I502" t="str">
        <f>IFERROR(VLOOKUP(VLOOKUP(A502,'[1]Sales Order'!A:C,3,FALSE),[1]Employee!A:J,10,FALSE),"Not Specified")</f>
        <v>WA</v>
      </c>
      <c r="J502" t="str">
        <f>VLOOKUP(B502,[1]Product!A:B,2,FALSE)</f>
        <v>Product BKGEA</v>
      </c>
      <c r="K502" t="str">
        <f>VLOOKUP(VLOOKUP(B502,[1]Product!A:D,4,FALSE),[1]Category!A:B,2,FALSE)</f>
        <v>Meat/Poultry</v>
      </c>
      <c r="L502" s="10">
        <f>IFERROR(VLOOKUP(A502,'[1]Sales Order'!A:D,4,FALSE),"")</f>
        <v>39118</v>
      </c>
      <c r="M502" s="10">
        <f>IFERROR(VLOOKUP(A502,'[1]Sales Order'!A:F,6,FALSE),"")</f>
        <v>39125</v>
      </c>
      <c r="N502" t="str">
        <f>IFERROR(VLOOKUP(VLOOKUP(A502,'[1]Sales Order'!A:G,7,FALSE),[1]Shipper!A:B,2,FALSE),"Not Specified")</f>
        <v>Shipper GVSUA</v>
      </c>
      <c r="O502" t="str">
        <f>IFERROR(VLOOKUP(A502,'[1]Sales Order'!A:I,9,FALSE),"Not Specified")</f>
        <v>Ship to 87-A</v>
      </c>
      <c r="P502" t="str">
        <f>IFERROR(VLOOKUP(A502,'[1]Sales Order'!A:N,14,FALSE),"Not Specified")</f>
        <v>Finland</v>
      </c>
      <c r="Q502" t="str">
        <f>VLOOKUP(VLOOKUP(B502,[1]Product!A:C,3,FALSE),[1]Supplier!A:B,2,FALSE)</f>
        <v>Supplier JNNES</v>
      </c>
      <c r="R502" t="str">
        <f>VLOOKUP(VLOOKUP(B502,[1]Product!A:C,3,FALSE),[1]Supplier!A:I,9,FALSE)</f>
        <v>Australia</v>
      </c>
      <c r="S502" t="str">
        <f>IFERROR(IF(VLOOKUP(A502,'[1]Sales Order'!A:H,8,FALSE)&gt;100,"High Freight","Low Freight"),"Not Specified")</f>
        <v>Low Freight</v>
      </c>
      <c r="T502">
        <f t="shared" si="15"/>
        <v>393</v>
      </c>
    </row>
    <row r="503" spans="1:20">
      <c r="A503" s="1">
        <v>10438</v>
      </c>
      <c r="B503" s="2">
        <v>19</v>
      </c>
      <c r="C503" s="2">
        <v>7.3</v>
      </c>
      <c r="D503" s="2">
        <v>15</v>
      </c>
      <c r="E503" s="3">
        <v>0.2</v>
      </c>
      <c r="F503" s="2" t="str">
        <f>IFERROR(VLOOKUP(VLOOKUP(A503,'[1]Sales Order'!A:B,2,FALSE),[1]Customer!A:C,3,FALSE),"Not Specified")</f>
        <v>Wickham, Jim</v>
      </c>
      <c r="G503" s="2" t="str">
        <f t="shared" si="14"/>
        <v>Wickham Jim</v>
      </c>
      <c r="H503" s="8" t="str">
        <f>IFERROR(VLOOKUP(VLOOKUP(A503,'[1]Sales Order'!A:C,3,FALSE),[1]Employee!A:E,5,FALSE)&amp;" "&amp;VLOOKUP(VLOOKUP(A503,'[1]Sales Order'!A:C,3,FALSE),[1]Employee!A:C,3,FALSE)&amp;" "&amp;VLOOKUP(VLOOKUP(A503,'[1]Sales Order'!A:C,3,FALSE),[1]Employee!A:B,2,FALSE),"Not Specified")</f>
        <v>Ms. Judy Lew</v>
      </c>
      <c r="I503" t="str">
        <f>IFERROR(VLOOKUP(VLOOKUP(A503,'[1]Sales Order'!A:C,3,FALSE),[1]Employee!A:J,10,FALSE),"Not Specified")</f>
        <v>WA</v>
      </c>
      <c r="J503" t="str">
        <f>VLOOKUP(B503,[1]Product!A:B,2,FALSE)</f>
        <v>Product XKXDO</v>
      </c>
      <c r="K503" t="str">
        <f>VLOOKUP(VLOOKUP(B503,[1]Product!A:D,4,FALSE),[1]Category!A:B,2,FALSE)</f>
        <v>Confections</v>
      </c>
      <c r="L503" s="10">
        <f>IFERROR(VLOOKUP(A503,'[1]Sales Order'!A:D,4,FALSE),"")</f>
        <v>39119</v>
      </c>
      <c r="M503" s="10">
        <f>IFERROR(VLOOKUP(A503,'[1]Sales Order'!A:F,6,FALSE),"")</f>
        <v>39127</v>
      </c>
      <c r="N503" t="str">
        <f>IFERROR(VLOOKUP(VLOOKUP(A503,'[1]Sales Order'!A:G,7,FALSE),[1]Shipper!A:B,2,FALSE),"Not Specified")</f>
        <v>Shipper ETYNR</v>
      </c>
      <c r="O503" t="str">
        <f>IFERROR(VLOOKUP(A503,'[1]Sales Order'!A:I,9,FALSE),"Not Specified")</f>
        <v>Ship to 79-A</v>
      </c>
      <c r="P503" t="str">
        <f>IFERROR(VLOOKUP(A503,'[1]Sales Order'!A:N,14,FALSE),"Not Specified")</f>
        <v>Germany</v>
      </c>
      <c r="Q503" t="str">
        <f>VLOOKUP(VLOOKUP(B503,[1]Product!A:C,3,FALSE),[1]Supplier!A:B,2,FALSE)</f>
        <v>Supplier BWGYE</v>
      </c>
      <c r="R503" t="str">
        <f>VLOOKUP(VLOOKUP(B503,[1]Product!A:C,3,FALSE),[1]Supplier!A:I,9,FALSE)</f>
        <v>UK</v>
      </c>
      <c r="S503" t="str">
        <f>IFERROR(IF(VLOOKUP(A503,'[1]Sales Order'!A:H,8,FALSE)&gt;100,"High Freight","Low Freight"),"Not Specified")</f>
        <v>Low Freight</v>
      </c>
      <c r="T503">
        <f t="shared" si="15"/>
        <v>87.600000000000009</v>
      </c>
    </row>
    <row r="504" spans="1:20">
      <c r="A504" s="1">
        <v>10438</v>
      </c>
      <c r="B504" s="2">
        <v>34</v>
      </c>
      <c r="C504" s="2">
        <v>11.2</v>
      </c>
      <c r="D504" s="2">
        <v>20</v>
      </c>
      <c r="E504" s="3">
        <v>0.2</v>
      </c>
      <c r="F504" s="2" t="str">
        <f>IFERROR(VLOOKUP(VLOOKUP(A504,'[1]Sales Order'!A:B,2,FALSE),[1]Customer!A:C,3,FALSE),"Not Specified")</f>
        <v>Wickham, Jim</v>
      </c>
      <c r="G504" s="2" t="str">
        <f t="shared" si="14"/>
        <v>Wickham Jim</v>
      </c>
      <c r="H504" s="8" t="str">
        <f>IFERROR(VLOOKUP(VLOOKUP(A504,'[1]Sales Order'!A:C,3,FALSE),[1]Employee!A:E,5,FALSE)&amp;" "&amp;VLOOKUP(VLOOKUP(A504,'[1]Sales Order'!A:C,3,FALSE),[1]Employee!A:C,3,FALSE)&amp;" "&amp;VLOOKUP(VLOOKUP(A504,'[1]Sales Order'!A:C,3,FALSE),[1]Employee!A:B,2,FALSE),"Not Specified")</f>
        <v>Ms. Judy Lew</v>
      </c>
      <c r="I504" t="str">
        <f>IFERROR(VLOOKUP(VLOOKUP(A504,'[1]Sales Order'!A:C,3,FALSE),[1]Employee!A:J,10,FALSE),"Not Specified")</f>
        <v>WA</v>
      </c>
      <c r="J504" t="str">
        <f>VLOOKUP(B504,[1]Product!A:B,2,FALSE)</f>
        <v>Product SWNJY</v>
      </c>
      <c r="K504" t="str">
        <f>VLOOKUP(VLOOKUP(B504,[1]Product!A:D,4,FALSE),[1]Category!A:B,2,FALSE)</f>
        <v>Beverages</v>
      </c>
      <c r="L504" s="10">
        <f>IFERROR(VLOOKUP(A504,'[1]Sales Order'!A:D,4,FALSE),"")</f>
        <v>39119</v>
      </c>
      <c r="M504" s="10">
        <f>IFERROR(VLOOKUP(A504,'[1]Sales Order'!A:F,6,FALSE),"")</f>
        <v>39127</v>
      </c>
      <c r="N504" t="str">
        <f>IFERROR(VLOOKUP(VLOOKUP(A504,'[1]Sales Order'!A:G,7,FALSE),[1]Shipper!A:B,2,FALSE),"Not Specified")</f>
        <v>Shipper ETYNR</v>
      </c>
      <c r="O504" t="str">
        <f>IFERROR(VLOOKUP(A504,'[1]Sales Order'!A:I,9,FALSE),"Not Specified")</f>
        <v>Ship to 79-A</v>
      </c>
      <c r="P504" t="str">
        <f>IFERROR(VLOOKUP(A504,'[1]Sales Order'!A:N,14,FALSE),"Not Specified")</f>
        <v>Germany</v>
      </c>
      <c r="Q504" t="str">
        <f>VLOOKUP(VLOOKUP(B504,[1]Product!A:C,3,FALSE),[1]Supplier!A:B,2,FALSE)</f>
        <v>Supplier UHZRG</v>
      </c>
      <c r="R504" t="str">
        <f>VLOOKUP(VLOOKUP(B504,[1]Product!A:C,3,FALSE),[1]Supplier!A:I,9,FALSE)</f>
        <v>USA</v>
      </c>
      <c r="S504" t="str">
        <f>IFERROR(IF(VLOOKUP(A504,'[1]Sales Order'!A:H,8,FALSE)&gt;100,"High Freight","Low Freight"),"Not Specified")</f>
        <v>Low Freight</v>
      </c>
      <c r="T504">
        <f t="shared" si="15"/>
        <v>179.20000000000002</v>
      </c>
    </row>
    <row r="505" spans="1:20">
      <c r="A505" s="1">
        <v>10438</v>
      </c>
      <c r="B505" s="2">
        <v>57</v>
      </c>
      <c r="C505" s="2">
        <v>15.6</v>
      </c>
      <c r="D505" s="2">
        <v>15</v>
      </c>
      <c r="E505" s="3">
        <v>0.2</v>
      </c>
      <c r="F505" s="2" t="str">
        <f>IFERROR(VLOOKUP(VLOOKUP(A505,'[1]Sales Order'!A:B,2,FALSE),[1]Customer!A:C,3,FALSE),"Not Specified")</f>
        <v>Wickham, Jim</v>
      </c>
      <c r="G505" s="2" t="str">
        <f t="shared" si="14"/>
        <v>Wickham Jim</v>
      </c>
      <c r="H505" s="8" t="str">
        <f>IFERROR(VLOOKUP(VLOOKUP(A505,'[1]Sales Order'!A:C,3,FALSE),[1]Employee!A:E,5,FALSE)&amp;" "&amp;VLOOKUP(VLOOKUP(A505,'[1]Sales Order'!A:C,3,FALSE),[1]Employee!A:C,3,FALSE)&amp;" "&amp;VLOOKUP(VLOOKUP(A505,'[1]Sales Order'!A:C,3,FALSE),[1]Employee!A:B,2,FALSE),"Not Specified")</f>
        <v>Ms. Judy Lew</v>
      </c>
      <c r="I505" t="str">
        <f>IFERROR(VLOOKUP(VLOOKUP(A505,'[1]Sales Order'!A:C,3,FALSE),[1]Employee!A:J,10,FALSE),"Not Specified")</f>
        <v>WA</v>
      </c>
      <c r="J505" t="str">
        <f>VLOOKUP(B505,[1]Product!A:B,2,FALSE)</f>
        <v>Product OVLQI</v>
      </c>
      <c r="K505" t="str">
        <f>VLOOKUP(VLOOKUP(B505,[1]Product!A:D,4,FALSE),[1]Category!A:B,2,FALSE)</f>
        <v>Grains/Cereals</v>
      </c>
      <c r="L505" s="10">
        <f>IFERROR(VLOOKUP(A505,'[1]Sales Order'!A:D,4,FALSE),"")</f>
        <v>39119</v>
      </c>
      <c r="M505" s="10">
        <f>IFERROR(VLOOKUP(A505,'[1]Sales Order'!A:F,6,FALSE),"")</f>
        <v>39127</v>
      </c>
      <c r="N505" t="str">
        <f>IFERROR(VLOOKUP(VLOOKUP(A505,'[1]Sales Order'!A:G,7,FALSE),[1]Shipper!A:B,2,FALSE),"Not Specified")</f>
        <v>Shipper ETYNR</v>
      </c>
      <c r="O505" t="str">
        <f>IFERROR(VLOOKUP(A505,'[1]Sales Order'!A:I,9,FALSE),"Not Specified")</f>
        <v>Ship to 79-A</v>
      </c>
      <c r="P505" t="str">
        <f>IFERROR(VLOOKUP(A505,'[1]Sales Order'!A:N,14,FALSE),"Not Specified")</f>
        <v>Germany</v>
      </c>
      <c r="Q505" t="str">
        <f>VLOOKUP(VLOOKUP(B505,[1]Product!A:C,3,FALSE),[1]Supplier!A:B,2,FALSE)</f>
        <v>Supplier ZWZDM</v>
      </c>
      <c r="R505" t="str">
        <f>VLOOKUP(VLOOKUP(B505,[1]Product!A:C,3,FALSE),[1]Supplier!A:I,9,FALSE)</f>
        <v>Italy</v>
      </c>
      <c r="S505" t="str">
        <f>IFERROR(IF(VLOOKUP(A505,'[1]Sales Order'!A:H,8,FALSE)&gt;100,"High Freight","Low Freight"),"Not Specified")</f>
        <v>Low Freight</v>
      </c>
      <c r="T505">
        <f t="shared" si="15"/>
        <v>187.20000000000002</v>
      </c>
    </row>
    <row r="506" spans="1:20">
      <c r="A506" s="1">
        <v>10439</v>
      </c>
      <c r="B506" s="2">
        <v>12</v>
      </c>
      <c r="C506" s="2">
        <v>30.4</v>
      </c>
      <c r="D506" s="2">
        <v>15</v>
      </c>
      <c r="E506" s="3">
        <v>0</v>
      </c>
      <c r="F506" s="2" t="str">
        <f>IFERROR(VLOOKUP(VLOOKUP(A506,'[1]Sales Order'!A:B,2,FALSE),[1]Customer!A:C,3,FALSE),"Not Specified")</f>
        <v>Taylor, Maurice</v>
      </c>
      <c r="G506" s="2" t="str">
        <f t="shared" si="14"/>
        <v>Taylor Maurice</v>
      </c>
      <c r="H506" s="8" t="str">
        <f>IFERROR(VLOOKUP(VLOOKUP(A506,'[1]Sales Order'!A:C,3,FALSE),[1]Employee!A:E,5,FALSE)&amp;" "&amp;VLOOKUP(VLOOKUP(A506,'[1]Sales Order'!A:C,3,FALSE),[1]Employee!A:C,3,FALSE)&amp;" "&amp;VLOOKUP(VLOOKUP(A506,'[1]Sales Order'!A:C,3,FALSE),[1]Employee!A:B,2,FALSE),"Not Specified")</f>
        <v>Mr. Paul Suurs</v>
      </c>
      <c r="I506">
        <f>IFERROR(VLOOKUP(VLOOKUP(A506,'[1]Sales Order'!A:C,3,FALSE),[1]Employee!A:J,10,FALSE),"Not Specified")</f>
        <v>0</v>
      </c>
      <c r="J506" t="str">
        <f>VLOOKUP(B506,[1]Product!A:B,2,FALSE)</f>
        <v>Product OSFNS</v>
      </c>
      <c r="K506" t="str">
        <f>VLOOKUP(VLOOKUP(B506,[1]Product!A:D,4,FALSE),[1]Category!A:B,2,FALSE)</f>
        <v>Dairy Product</v>
      </c>
      <c r="L506" s="10">
        <f>IFERROR(VLOOKUP(A506,'[1]Sales Order'!A:D,4,FALSE),"")</f>
        <v>39120</v>
      </c>
      <c r="M506" s="10">
        <f>IFERROR(VLOOKUP(A506,'[1]Sales Order'!A:F,6,FALSE),"")</f>
        <v>39123</v>
      </c>
      <c r="N506" t="str">
        <f>IFERROR(VLOOKUP(VLOOKUP(A506,'[1]Sales Order'!A:G,7,FALSE),[1]Shipper!A:B,2,FALSE),"Not Specified")</f>
        <v>Shipper ZHISN</v>
      </c>
      <c r="O506" t="str">
        <f>IFERROR(VLOOKUP(A506,'[1]Sales Order'!A:I,9,FALSE),"Not Specified")</f>
        <v>Ship to 51-C</v>
      </c>
      <c r="P506" t="str">
        <f>IFERROR(VLOOKUP(A506,'[1]Sales Order'!A:N,14,FALSE),"Not Specified")</f>
        <v>Canada</v>
      </c>
      <c r="Q506" t="str">
        <f>VLOOKUP(VLOOKUP(B506,[1]Product!A:C,3,FALSE),[1]Supplier!A:B,2,FALSE)</f>
        <v>Supplier EQPNC</v>
      </c>
      <c r="R506" t="str">
        <f>VLOOKUP(VLOOKUP(B506,[1]Product!A:C,3,FALSE),[1]Supplier!A:I,9,FALSE)</f>
        <v>Spain</v>
      </c>
      <c r="S506" t="str">
        <f>IFERROR(IF(VLOOKUP(A506,'[1]Sales Order'!A:H,8,FALSE)&gt;100,"High Freight","Low Freight"),"Not Specified")</f>
        <v>Low Freight</v>
      </c>
      <c r="T506">
        <f t="shared" si="15"/>
        <v>456</v>
      </c>
    </row>
    <row r="507" spans="1:20">
      <c r="A507" s="1">
        <v>10439</v>
      </c>
      <c r="B507" s="2">
        <v>16</v>
      </c>
      <c r="C507" s="2">
        <v>13.9</v>
      </c>
      <c r="D507" s="2">
        <v>16</v>
      </c>
      <c r="E507" s="3">
        <v>0</v>
      </c>
      <c r="F507" s="2" t="str">
        <f>IFERROR(VLOOKUP(VLOOKUP(A507,'[1]Sales Order'!A:B,2,FALSE),[1]Customer!A:C,3,FALSE),"Not Specified")</f>
        <v>Taylor, Maurice</v>
      </c>
      <c r="G507" s="2" t="str">
        <f t="shared" si="14"/>
        <v>Taylor Maurice</v>
      </c>
      <c r="H507" s="8" t="str">
        <f>IFERROR(VLOOKUP(VLOOKUP(A507,'[1]Sales Order'!A:C,3,FALSE),[1]Employee!A:E,5,FALSE)&amp;" "&amp;VLOOKUP(VLOOKUP(A507,'[1]Sales Order'!A:C,3,FALSE),[1]Employee!A:C,3,FALSE)&amp;" "&amp;VLOOKUP(VLOOKUP(A507,'[1]Sales Order'!A:C,3,FALSE),[1]Employee!A:B,2,FALSE),"Not Specified")</f>
        <v>Mr. Paul Suurs</v>
      </c>
      <c r="I507">
        <f>IFERROR(VLOOKUP(VLOOKUP(A507,'[1]Sales Order'!A:C,3,FALSE),[1]Employee!A:J,10,FALSE),"Not Specified")</f>
        <v>0</v>
      </c>
      <c r="J507" t="str">
        <f>VLOOKUP(B507,[1]Product!A:B,2,FALSE)</f>
        <v>Product PAFRH</v>
      </c>
      <c r="K507" t="str">
        <f>VLOOKUP(VLOOKUP(B507,[1]Product!A:D,4,FALSE),[1]Category!A:B,2,FALSE)</f>
        <v>Confections</v>
      </c>
      <c r="L507" s="10">
        <f>IFERROR(VLOOKUP(A507,'[1]Sales Order'!A:D,4,FALSE),"")</f>
        <v>39120</v>
      </c>
      <c r="M507" s="10">
        <f>IFERROR(VLOOKUP(A507,'[1]Sales Order'!A:F,6,FALSE),"")</f>
        <v>39123</v>
      </c>
      <c r="N507" t="str">
        <f>IFERROR(VLOOKUP(VLOOKUP(A507,'[1]Sales Order'!A:G,7,FALSE),[1]Shipper!A:B,2,FALSE),"Not Specified")</f>
        <v>Shipper ZHISN</v>
      </c>
      <c r="O507" t="str">
        <f>IFERROR(VLOOKUP(A507,'[1]Sales Order'!A:I,9,FALSE),"Not Specified")</f>
        <v>Ship to 51-C</v>
      </c>
      <c r="P507" t="str">
        <f>IFERROR(VLOOKUP(A507,'[1]Sales Order'!A:N,14,FALSE),"Not Specified")</f>
        <v>Canada</v>
      </c>
      <c r="Q507" t="str">
        <f>VLOOKUP(VLOOKUP(B507,[1]Product!A:C,3,FALSE),[1]Supplier!A:B,2,FALSE)</f>
        <v>Supplier GQRCV</v>
      </c>
      <c r="R507" t="str">
        <f>VLOOKUP(VLOOKUP(B507,[1]Product!A:C,3,FALSE),[1]Supplier!A:I,9,FALSE)</f>
        <v>Australia</v>
      </c>
      <c r="S507" t="str">
        <f>IFERROR(IF(VLOOKUP(A507,'[1]Sales Order'!A:H,8,FALSE)&gt;100,"High Freight","Low Freight"),"Not Specified")</f>
        <v>Low Freight</v>
      </c>
      <c r="T507">
        <f t="shared" si="15"/>
        <v>222.4</v>
      </c>
    </row>
    <row r="508" spans="1:20">
      <c r="A508" s="1">
        <v>10439</v>
      </c>
      <c r="B508" s="2">
        <v>64</v>
      </c>
      <c r="C508" s="2">
        <v>26.6</v>
      </c>
      <c r="D508" s="2">
        <v>6</v>
      </c>
      <c r="E508" s="3">
        <v>0</v>
      </c>
      <c r="F508" s="2" t="str">
        <f>IFERROR(VLOOKUP(VLOOKUP(A508,'[1]Sales Order'!A:B,2,FALSE),[1]Customer!A:C,3,FALSE),"Not Specified")</f>
        <v>Taylor, Maurice</v>
      </c>
      <c r="G508" s="2" t="str">
        <f t="shared" si="14"/>
        <v>Taylor Maurice</v>
      </c>
      <c r="H508" s="8" t="str">
        <f>IFERROR(VLOOKUP(VLOOKUP(A508,'[1]Sales Order'!A:C,3,FALSE),[1]Employee!A:E,5,FALSE)&amp;" "&amp;VLOOKUP(VLOOKUP(A508,'[1]Sales Order'!A:C,3,FALSE),[1]Employee!A:C,3,FALSE)&amp;" "&amp;VLOOKUP(VLOOKUP(A508,'[1]Sales Order'!A:C,3,FALSE),[1]Employee!A:B,2,FALSE),"Not Specified")</f>
        <v>Mr. Paul Suurs</v>
      </c>
      <c r="I508">
        <f>IFERROR(VLOOKUP(VLOOKUP(A508,'[1]Sales Order'!A:C,3,FALSE),[1]Employee!A:J,10,FALSE),"Not Specified")</f>
        <v>0</v>
      </c>
      <c r="J508" t="str">
        <f>VLOOKUP(B508,[1]Product!A:B,2,FALSE)</f>
        <v>Product HCQDE</v>
      </c>
      <c r="K508" t="str">
        <f>VLOOKUP(VLOOKUP(B508,[1]Product!A:D,4,FALSE),[1]Category!A:B,2,FALSE)</f>
        <v>Grains/Cereals</v>
      </c>
      <c r="L508" s="10">
        <f>IFERROR(VLOOKUP(A508,'[1]Sales Order'!A:D,4,FALSE),"")</f>
        <v>39120</v>
      </c>
      <c r="M508" s="10">
        <f>IFERROR(VLOOKUP(A508,'[1]Sales Order'!A:F,6,FALSE),"")</f>
        <v>39123</v>
      </c>
      <c r="N508" t="str">
        <f>IFERROR(VLOOKUP(VLOOKUP(A508,'[1]Sales Order'!A:G,7,FALSE),[1]Shipper!A:B,2,FALSE),"Not Specified")</f>
        <v>Shipper ZHISN</v>
      </c>
      <c r="O508" t="str">
        <f>IFERROR(VLOOKUP(A508,'[1]Sales Order'!A:I,9,FALSE),"Not Specified")</f>
        <v>Ship to 51-C</v>
      </c>
      <c r="P508" t="str">
        <f>IFERROR(VLOOKUP(A508,'[1]Sales Order'!A:N,14,FALSE),"Not Specified")</f>
        <v>Canada</v>
      </c>
      <c r="Q508" t="str">
        <f>VLOOKUP(VLOOKUP(B508,[1]Product!A:C,3,FALSE),[1]Supplier!A:B,2,FALSE)</f>
        <v>Supplier SVIYA</v>
      </c>
      <c r="R508" t="str">
        <f>VLOOKUP(VLOOKUP(B508,[1]Product!A:C,3,FALSE),[1]Supplier!A:I,9,FALSE)</f>
        <v>Germany</v>
      </c>
      <c r="S508" t="str">
        <f>IFERROR(IF(VLOOKUP(A508,'[1]Sales Order'!A:H,8,FALSE)&gt;100,"High Freight","Low Freight"),"Not Specified")</f>
        <v>Low Freight</v>
      </c>
      <c r="T508">
        <f t="shared" si="15"/>
        <v>159.60000000000002</v>
      </c>
    </row>
    <row r="509" spans="1:20">
      <c r="A509" s="1">
        <v>10439</v>
      </c>
      <c r="B509" s="2">
        <v>74</v>
      </c>
      <c r="C509" s="2">
        <v>8</v>
      </c>
      <c r="D509" s="2">
        <v>30</v>
      </c>
      <c r="E509" s="3">
        <v>0</v>
      </c>
      <c r="F509" s="2" t="str">
        <f>IFERROR(VLOOKUP(VLOOKUP(A509,'[1]Sales Order'!A:B,2,FALSE),[1]Customer!A:C,3,FALSE),"Not Specified")</f>
        <v>Taylor, Maurice</v>
      </c>
      <c r="G509" s="2" t="str">
        <f t="shared" si="14"/>
        <v>Taylor Maurice</v>
      </c>
      <c r="H509" s="8" t="str">
        <f>IFERROR(VLOOKUP(VLOOKUP(A509,'[1]Sales Order'!A:C,3,FALSE),[1]Employee!A:E,5,FALSE)&amp;" "&amp;VLOOKUP(VLOOKUP(A509,'[1]Sales Order'!A:C,3,FALSE),[1]Employee!A:C,3,FALSE)&amp;" "&amp;VLOOKUP(VLOOKUP(A509,'[1]Sales Order'!A:C,3,FALSE),[1]Employee!A:B,2,FALSE),"Not Specified")</f>
        <v>Mr. Paul Suurs</v>
      </c>
      <c r="I509">
        <f>IFERROR(VLOOKUP(VLOOKUP(A509,'[1]Sales Order'!A:C,3,FALSE),[1]Employee!A:J,10,FALSE),"Not Specified")</f>
        <v>0</v>
      </c>
      <c r="J509" t="str">
        <f>VLOOKUP(B509,[1]Product!A:B,2,FALSE)</f>
        <v>Product BKAZJ</v>
      </c>
      <c r="K509" t="str">
        <f>VLOOKUP(VLOOKUP(B509,[1]Product!A:D,4,FALSE),[1]Category!A:B,2,FALSE)</f>
        <v>Produce</v>
      </c>
      <c r="L509" s="10">
        <f>IFERROR(VLOOKUP(A509,'[1]Sales Order'!A:D,4,FALSE),"")</f>
        <v>39120</v>
      </c>
      <c r="M509" s="10">
        <f>IFERROR(VLOOKUP(A509,'[1]Sales Order'!A:F,6,FALSE),"")</f>
        <v>39123</v>
      </c>
      <c r="N509" t="str">
        <f>IFERROR(VLOOKUP(VLOOKUP(A509,'[1]Sales Order'!A:G,7,FALSE),[1]Shipper!A:B,2,FALSE),"Not Specified")</f>
        <v>Shipper ZHISN</v>
      </c>
      <c r="O509" t="str">
        <f>IFERROR(VLOOKUP(A509,'[1]Sales Order'!A:I,9,FALSE),"Not Specified")</f>
        <v>Ship to 51-C</v>
      </c>
      <c r="P509" t="str">
        <f>IFERROR(VLOOKUP(A509,'[1]Sales Order'!A:N,14,FALSE),"Not Specified")</f>
        <v>Canada</v>
      </c>
      <c r="Q509" t="str">
        <f>VLOOKUP(VLOOKUP(B509,[1]Product!A:C,3,FALSE),[1]Supplier!A:B,2,FALSE)</f>
        <v>Supplier QOVFD</v>
      </c>
      <c r="R509" t="str">
        <f>VLOOKUP(VLOOKUP(B509,[1]Product!A:C,3,FALSE),[1]Supplier!A:I,9,FALSE)</f>
        <v>Japan</v>
      </c>
      <c r="S509" t="str">
        <f>IFERROR(IF(VLOOKUP(A509,'[1]Sales Order'!A:H,8,FALSE)&gt;100,"High Freight","Low Freight"),"Not Specified")</f>
        <v>Low Freight</v>
      </c>
      <c r="T509">
        <f t="shared" si="15"/>
        <v>240</v>
      </c>
    </row>
    <row r="510" spans="1:20">
      <c r="A510" s="1">
        <v>10440</v>
      </c>
      <c r="B510" s="2">
        <v>2</v>
      </c>
      <c r="C510" s="2">
        <v>15.2</v>
      </c>
      <c r="D510" s="2">
        <v>45</v>
      </c>
      <c r="E510" s="3">
        <v>0.15</v>
      </c>
      <c r="F510" s="2" t="str">
        <f>IFERROR(VLOOKUP(VLOOKUP(A510,'[1]Sales Order'!A:B,2,FALSE),[1]Customer!A:C,3,FALSE),"Not Specified")</f>
        <v>Navarro, Tomás</v>
      </c>
      <c r="G510" s="2" t="str">
        <f t="shared" si="14"/>
        <v>Navarro Tomás</v>
      </c>
      <c r="H510" s="8" t="str">
        <f>IFERROR(VLOOKUP(VLOOKUP(A510,'[1]Sales Order'!A:C,3,FALSE),[1]Employee!A:E,5,FALSE)&amp;" "&amp;VLOOKUP(VLOOKUP(A510,'[1]Sales Order'!A:C,3,FALSE),[1]Employee!A:C,3,FALSE)&amp;" "&amp;VLOOKUP(VLOOKUP(A510,'[1]Sales Order'!A:C,3,FALSE),[1]Employee!A:B,2,FALSE),"Not Specified")</f>
        <v>Mrs. Yael Peled</v>
      </c>
      <c r="I510" t="str">
        <f>IFERROR(VLOOKUP(VLOOKUP(A510,'[1]Sales Order'!A:C,3,FALSE),[1]Employee!A:J,10,FALSE),"Not Specified")</f>
        <v>WA</v>
      </c>
      <c r="J510" t="str">
        <f>VLOOKUP(B510,[1]Product!A:B,2,FALSE)</f>
        <v>Product RECZE</v>
      </c>
      <c r="K510" t="str">
        <f>VLOOKUP(VLOOKUP(B510,[1]Product!A:D,4,FALSE),[1]Category!A:B,2,FALSE)</f>
        <v>Beverages</v>
      </c>
      <c r="L510" s="10">
        <f>IFERROR(VLOOKUP(A510,'[1]Sales Order'!A:D,4,FALSE),"")</f>
        <v>39123</v>
      </c>
      <c r="M510" s="10">
        <f>IFERROR(VLOOKUP(A510,'[1]Sales Order'!A:F,6,FALSE),"")</f>
        <v>39141</v>
      </c>
      <c r="N510" t="str">
        <f>IFERROR(VLOOKUP(VLOOKUP(A510,'[1]Sales Order'!A:G,7,FALSE),[1]Shipper!A:B,2,FALSE),"Not Specified")</f>
        <v>Shipper ETYNR</v>
      </c>
      <c r="O510" t="str">
        <f>IFERROR(VLOOKUP(A510,'[1]Sales Order'!A:I,9,FALSE),"Not Specified")</f>
        <v>Ship to 71-B</v>
      </c>
      <c r="P510" t="str">
        <f>IFERROR(VLOOKUP(A510,'[1]Sales Order'!A:N,14,FALSE),"Not Specified")</f>
        <v>USA</v>
      </c>
      <c r="Q510" t="str">
        <f>VLOOKUP(VLOOKUP(B510,[1]Product!A:C,3,FALSE),[1]Supplier!A:B,2,FALSE)</f>
        <v>Supplier SWRXU</v>
      </c>
      <c r="R510" t="str">
        <f>VLOOKUP(VLOOKUP(B510,[1]Product!A:C,3,FALSE),[1]Supplier!A:I,9,FALSE)</f>
        <v>UK</v>
      </c>
      <c r="S510" t="str">
        <f>IFERROR(IF(VLOOKUP(A510,'[1]Sales Order'!A:H,8,FALSE)&gt;100,"High Freight","Low Freight"),"Not Specified")</f>
        <v>Low Freight</v>
      </c>
      <c r="T510">
        <f t="shared" si="15"/>
        <v>581.4</v>
      </c>
    </row>
    <row r="511" spans="1:20">
      <c r="A511" s="1">
        <v>10440</v>
      </c>
      <c r="B511" s="2">
        <v>16</v>
      </c>
      <c r="C511" s="2">
        <v>13.9</v>
      </c>
      <c r="D511" s="2">
        <v>49</v>
      </c>
      <c r="E511" s="3">
        <v>0.15</v>
      </c>
      <c r="F511" s="2" t="str">
        <f>IFERROR(VLOOKUP(VLOOKUP(A511,'[1]Sales Order'!A:B,2,FALSE),[1]Customer!A:C,3,FALSE),"Not Specified")</f>
        <v>Navarro, Tomás</v>
      </c>
      <c r="G511" s="2" t="str">
        <f t="shared" si="14"/>
        <v>Navarro Tomás</v>
      </c>
      <c r="H511" s="8" t="str">
        <f>IFERROR(VLOOKUP(VLOOKUP(A511,'[1]Sales Order'!A:C,3,FALSE),[1]Employee!A:E,5,FALSE)&amp;" "&amp;VLOOKUP(VLOOKUP(A511,'[1]Sales Order'!A:C,3,FALSE),[1]Employee!A:C,3,FALSE)&amp;" "&amp;VLOOKUP(VLOOKUP(A511,'[1]Sales Order'!A:C,3,FALSE),[1]Employee!A:B,2,FALSE),"Not Specified")</f>
        <v>Mrs. Yael Peled</v>
      </c>
      <c r="I511" t="str">
        <f>IFERROR(VLOOKUP(VLOOKUP(A511,'[1]Sales Order'!A:C,3,FALSE),[1]Employee!A:J,10,FALSE),"Not Specified")</f>
        <v>WA</v>
      </c>
      <c r="J511" t="str">
        <f>VLOOKUP(B511,[1]Product!A:B,2,FALSE)</f>
        <v>Product PAFRH</v>
      </c>
      <c r="K511" t="str">
        <f>VLOOKUP(VLOOKUP(B511,[1]Product!A:D,4,FALSE),[1]Category!A:B,2,FALSE)</f>
        <v>Confections</v>
      </c>
      <c r="L511" s="10">
        <f>IFERROR(VLOOKUP(A511,'[1]Sales Order'!A:D,4,FALSE),"")</f>
        <v>39123</v>
      </c>
      <c r="M511" s="10">
        <f>IFERROR(VLOOKUP(A511,'[1]Sales Order'!A:F,6,FALSE),"")</f>
        <v>39141</v>
      </c>
      <c r="N511" t="str">
        <f>IFERROR(VLOOKUP(VLOOKUP(A511,'[1]Sales Order'!A:G,7,FALSE),[1]Shipper!A:B,2,FALSE),"Not Specified")</f>
        <v>Shipper ETYNR</v>
      </c>
      <c r="O511" t="str">
        <f>IFERROR(VLOOKUP(A511,'[1]Sales Order'!A:I,9,FALSE),"Not Specified")</f>
        <v>Ship to 71-B</v>
      </c>
      <c r="P511" t="str">
        <f>IFERROR(VLOOKUP(A511,'[1]Sales Order'!A:N,14,FALSE),"Not Specified")</f>
        <v>USA</v>
      </c>
      <c r="Q511" t="str">
        <f>VLOOKUP(VLOOKUP(B511,[1]Product!A:C,3,FALSE),[1]Supplier!A:B,2,FALSE)</f>
        <v>Supplier GQRCV</v>
      </c>
      <c r="R511" t="str">
        <f>VLOOKUP(VLOOKUP(B511,[1]Product!A:C,3,FALSE),[1]Supplier!A:I,9,FALSE)</f>
        <v>Australia</v>
      </c>
      <c r="S511" t="str">
        <f>IFERROR(IF(VLOOKUP(A511,'[1]Sales Order'!A:H,8,FALSE)&gt;100,"High Freight","Low Freight"),"Not Specified")</f>
        <v>Low Freight</v>
      </c>
      <c r="T511">
        <f t="shared" si="15"/>
        <v>578.93500000000006</v>
      </c>
    </row>
    <row r="512" spans="1:20">
      <c r="A512" s="1">
        <v>10440</v>
      </c>
      <c r="B512" s="2">
        <v>29</v>
      </c>
      <c r="C512" s="2">
        <v>99</v>
      </c>
      <c r="D512" s="2">
        <v>24</v>
      </c>
      <c r="E512" s="3">
        <v>0.15</v>
      </c>
      <c r="F512" s="2" t="str">
        <f>IFERROR(VLOOKUP(VLOOKUP(A512,'[1]Sales Order'!A:B,2,FALSE),[1]Customer!A:C,3,FALSE),"Not Specified")</f>
        <v>Navarro, Tomás</v>
      </c>
      <c r="G512" s="2" t="str">
        <f t="shared" si="14"/>
        <v>Navarro Tomás</v>
      </c>
      <c r="H512" s="8" t="str">
        <f>IFERROR(VLOOKUP(VLOOKUP(A512,'[1]Sales Order'!A:C,3,FALSE),[1]Employee!A:E,5,FALSE)&amp;" "&amp;VLOOKUP(VLOOKUP(A512,'[1]Sales Order'!A:C,3,FALSE),[1]Employee!A:C,3,FALSE)&amp;" "&amp;VLOOKUP(VLOOKUP(A512,'[1]Sales Order'!A:C,3,FALSE),[1]Employee!A:B,2,FALSE),"Not Specified")</f>
        <v>Mrs. Yael Peled</v>
      </c>
      <c r="I512" t="str">
        <f>IFERROR(VLOOKUP(VLOOKUP(A512,'[1]Sales Order'!A:C,3,FALSE),[1]Employee!A:J,10,FALSE),"Not Specified")</f>
        <v>WA</v>
      </c>
      <c r="J512" t="str">
        <f>VLOOKUP(B512,[1]Product!A:B,2,FALSE)</f>
        <v>Product VJXYN</v>
      </c>
      <c r="K512" t="str">
        <f>VLOOKUP(VLOOKUP(B512,[1]Product!A:D,4,FALSE),[1]Category!A:B,2,FALSE)</f>
        <v>Meat/Poultry</v>
      </c>
      <c r="L512" s="10">
        <f>IFERROR(VLOOKUP(A512,'[1]Sales Order'!A:D,4,FALSE),"")</f>
        <v>39123</v>
      </c>
      <c r="M512" s="10">
        <f>IFERROR(VLOOKUP(A512,'[1]Sales Order'!A:F,6,FALSE),"")</f>
        <v>39141</v>
      </c>
      <c r="N512" t="str">
        <f>IFERROR(VLOOKUP(VLOOKUP(A512,'[1]Sales Order'!A:G,7,FALSE),[1]Shipper!A:B,2,FALSE),"Not Specified")</f>
        <v>Shipper ETYNR</v>
      </c>
      <c r="O512" t="str">
        <f>IFERROR(VLOOKUP(A512,'[1]Sales Order'!A:I,9,FALSE),"Not Specified")</f>
        <v>Ship to 71-B</v>
      </c>
      <c r="P512" t="str">
        <f>IFERROR(VLOOKUP(A512,'[1]Sales Order'!A:N,14,FALSE),"Not Specified")</f>
        <v>USA</v>
      </c>
      <c r="Q512" t="str">
        <f>VLOOKUP(VLOOKUP(B512,[1]Product!A:C,3,FALSE),[1]Supplier!A:B,2,FALSE)</f>
        <v>Supplier SVIYA</v>
      </c>
      <c r="R512" t="str">
        <f>VLOOKUP(VLOOKUP(B512,[1]Product!A:C,3,FALSE),[1]Supplier!A:I,9,FALSE)</f>
        <v>Germany</v>
      </c>
      <c r="S512" t="str">
        <f>IFERROR(IF(VLOOKUP(A512,'[1]Sales Order'!A:H,8,FALSE)&gt;100,"High Freight","Low Freight"),"Not Specified")</f>
        <v>Low Freight</v>
      </c>
      <c r="T512">
        <f t="shared" si="15"/>
        <v>2019.6</v>
      </c>
    </row>
    <row r="513" spans="1:20">
      <c r="A513" s="1">
        <v>10440</v>
      </c>
      <c r="B513" s="2">
        <v>61</v>
      </c>
      <c r="C513" s="2">
        <v>22.8</v>
      </c>
      <c r="D513" s="2">
        <v>90</v>
      </c>
      <c r="E513" s="3">
        <v>0.15</v>
      </c>
      <c r="F513" s="2" t="str">
        <f>IFERROR(VLOOKUP(VLOOKUP(A513,'[1]Sales Order'!A:B,2,FALSE),[1]Customer!A:C,3,FALSE),"Not Specified")</f>
        <v>Navarro, Tomás</v>
      </c>
      <c r="G513" s="2" t="str">
        <f t="shared" si="14"/>
        <v>Navarro Tomás</v>
      </c>
      <c r="H513" s="8" t="str">
        <f>IFERROR(VLOOKUP(VLOOKUP(A513,'[1]Sales Order'!A:C,3,FALSE),[1]Employee!A:E,5,FALSE)&amp;" "&amp;VLOOKUP(VLOOKUP(A513,'[1]Sales Order'!A:C,3,FALSE),[1]Employee!A:C,3,FALSE)&amp;" "&amp;VLOOKUP(VLOOKUP(A513,'[1]Sales Order'!A:C,3,FALSE),[1]Employee!A:B,2,FALSE),"Not Specified")</f>
        <v>Mrs. Yael Peled</v>
      </c>
      <c r="I513" t="str">
        <f>IFERROR(VLOOKUP(VLOOKUP(A513,'[1]Sales Order'!A:C,3,FALSE),[1]Employee!A:J,10,FALSE),"Not Specified")</f>
        <v>WA</v>
      </c>
      <c r="J513" t="str">
        <f>VLOOKUP(B513,[1]Product!A:B,2,FALSE)</f>
        <v>Product XYZPE</v>
      </c>
      <c r="K513" t="str">
        <f>VLOOKUP(VLOOKUP(B513,[1]Product!A:D,4,FALSE),[1]Category!A:B,2,FALSE)</f>
        <v>Condiments</v>
      </c>
      <c r="L513" s="10">
        <f>IFERROR(VLOOKUP(A513,'[1]Sales Order'!A:D,4,FALSE),"")</f>
        <v>39123</v>
      </c>
      <c r="M513" s="10">
        <f>IFERROR(VLOOKUP(A513,'[1]Sales Order'!A:F,6,FALSE),"")</f>
        <v>39141</v>
      </c>
      <c r="N513" t="str">
        <f>IFERROR(VLOOKUP(VLOOKUP(A513,'[1]Sales Order'!A:G,7,FALSE),[1]Shipper!A:B,2,FALSE),"Not Specified")</f>
        <v>Shipper ETYNR</v>
      </c>
      <c r="O513" t="str">
        <f>IFERROR(VLOOKUP(A513,'[1]Sales Order'!A:I,9,FALSE),"Not Specified")</f>
        <v>Ship to 71-B</v>
      </c>
      <c r="P513" t="str">
        <f>IFERROR(VLOOKUP(A513,'[1]Sales Order'!A:N,14,FALSE),"Not Specified")</f>
        <v>USA</v>
      </c>
      <c r="Q513" t="str">
        <f>VLOOKUP(VLOOKUP(B513,[1]Product!A:C,3,FALSE),[1]Supplier!A:B,2,FALSE)</f>
        <v>Supplier OGLRK</v>
      </c>
      <c r="R513" t="str">
        <f>VLOOKUP(VLOOKUP(B513,[1]Product!A:C,3,FALSE),[1]Supplier!A:I,9,FALSE)</f>
        <v>Canada</v>
      </c>
      <c r="S513" t="str">
        <f>IFERROR(IF(VLOOKUP(A513,'[1]Sales Order'!A:H,8,FALSE)&gt;100,"High Freight","Low Freight"),"Not Specified")</f>
        <v>Low Freight</v>
      </c>
      <c r="T513">
        <f t="shared" si="15"/>
        <v>1744.2</v>
      </c>
    </row>
    <row r="514" spans="1:20">
      <c r="A514" s="1">
        <v>10441</v>
      </c>
      <c r="B514" s="2">
        <v>27</v>
      </c>
      <c r="C514" s="2">
        <v>35.1</v>
      </c>
      <c r="D514" s="2">
        <v>50</v>
      </c>
      <c r="E514" s="3">
        <v>0</v>
      </c>
      <c r="F514" s="2" t="str">
        <f>IFERROR(VLOOKUP(VLOOKUP(A514,'[1]Sales Order'!A:B,2,FALSE),[1]Customer!A:C,3,FALSE),"Not Specified")</f>
        <v>Egelund-Muller, Anja</v>
      </c>
      <c r="G514" s="2" t="str">
        <f t="shared" si="14"/>
        <v>Egelund-Muller Anja</v>
      </c>
      <c r="H514" s="8" t="str">
        <f>IFERROR(VLOOKUP(VLOOKUP(A514,'[1]Sales Order'!A:C,3,FALSE),[1]Employee!A:E,5,FALSE)&amp;" "&amp;VLOOKUP(VLOOKUP(A514,'[1]Sales Order'!A:C,3,FALSE),[1]Employee!A:C,3,FALSE)&amp;" "&amp;VLOOKUP(VLOOKUP(A514,'[1]Sales Order'!A:C,3,FALSE),[1]Employee!A:B,2,FALSE),"Not Specified")</f>
        <v>Ms. Judy Lew</v>
      </c>
      <c r="I514" t="str">
        <f>IFERROR(VLOOKUP(VLOOKUP(A514,'[1]Sales Order'!A:C,3,FALSE),[1]Employee!A:J,10,FALSE),"Not Specified")</f>
        <v>WA</v>
      </c>
      <c r="J514" t="str">
        <f>VLOOKUP(B514,[1]Product!A:B,2,FALSE)</f>
        <v>Product SMIOH</v>
      </c>
      <c r="K514" t="str">
        <f>VLOOKUP(VLOOKUP(B514,[1]Product!A:D,4,FALSE),[1]Category!A:B,2,FALSE)</f>
        <v>Confections</v>
      </c>
      <c r="L514" s="10">
        <f>IFERROR(VLOOKUP(A514,'[1]Sales Order'!A:D,4,FALSE),"")</f>
        <v>39123</v>
      </c>
      <c r="M514" s="10">
        <f>IFERROR(VLOOKUP(A514,'[1]Sales Order'!A:F,6,FALSE),"")</f>
        <v>39155</v>
      </c>
      <c r="N514" t="str">
        <f>IFERROR(VLOOKUP(VLOOKUP(A514,'[1]Sales Order'!A:G,7,FALSE),[1]Shipper!A:B,2,FALSE),"Not Specified")</f>
        <v>Shipper ETYNR</v>
      </c>
      <c r="O514" t="str">
        <f>IFERROR(VLOOKUP(A514,'[1]Sales Order'!A:I,9,FALSE),"Not Specified")</f>
        <v>Ship to 55-C</v>
      </c>
      <c r="P514" t="str">
        <f>IFERROR(VLOOKUP(A514,'[1]Sales Order'!A:N,14,FALSE),"Not Specified")</f>
        <v>USA</v>
      </c>
      <c r="Q514" t="str">
        <f>VLOOKUP(VLOOKUP(B514,[1]Product!A:C,3,FALSE),[1]Supplier!A:B,2,FALSE)</f>
        <v>Supplier ZPYVS</v>
      </c>
      <c r="R514" t="str">
        <f>VLOOKUP(VLOOKUP(B514,[1]Product!A:C,3,FALSE),[1]Supplier!A:I,9,FALSE)</f>
        <v>Germany</v>
      </c>
      <c r="S514" t="str">
        <f>IFERROR(IF(VLOOKUP(A514,'[1]Sales Order'!A:H,8,FALSE)&gt;100,"High Freight","Low Freight"),"Not Specified")</f>
        <v>Low Freight</v>
      </c>
      <c r="T514">
        <f t="shared" si="15"/>
        <v>1755</v>
      </c>
    </row>
    <row r="515" spans="1:20">
      <c r="A515" s="1">
        <v>10442</v>
      </c>
      <c r="B515" s="2">
        <v>11</v>
      </c>
      <c r="C515" s="2">
        <v>16.8</v>
      </c>
      <c r="D515" s="2">
        <v>30</v>
      </c>
      <c r="E515" s="3">
        <v>0</v>
      </c>
      <c r="F515" s="2" t="str">
        <f>IFERROR(VLOOKUP(VLOOKUP(A515,'[1]Sales Order'!A:B,2,FALSE),[1]Customer!A:C,3,FALSE),"Not Specified")</f>
        <v>Kane, John</v>
      </c>
      <c r="G515" s="2" t="str">
        <f t="shared" ref="G515:G578" si="16">SUBSTITUTE(F515,",","",1)</f>
        <v>Kane John</v>
      </c>
      <c r="H515" s="8" t="str">
        <f>IFERROR(VLOOKUP(VLOOKUP(A515,'[1]Sales Order'!A:C,3,FALSE),[1]Employee!A:E,5,FALSE)&amp;" "&amp;VLOOKUP(VLOOKUP(A515,'[1]Sales Order'!A:C,3,FALSE),[1]Employee!A:C,3,FALSE)&amp;" "&amp;VLOOKUP(VLOOKUP(A515,'[1]Sales Order'!A:C,3,FALSE),[1]Employee!A:B,2,FALSE),"Not Specified")</f>
        <v>Ms. Judy Lew</v>
      </c>
      <c r="I515" t="str">
        <f>IFERROR(VLOOKUP(VLOOKUP(A515,'[1]Sales Order'!A:C,3,FALSE),[1]Employee!A:J,10,FALSE),"Not Specified")</f>
        <v>WA</v>
      </c>
      <c r="J515" t="str">
        <f>VLOOKUP(B515,[1]Product!A:B,2,FALSE)</f>
        <v>Product QMVUN</v>
      </c>
      <c r="K515" t="str">
        <f>VLOOKUP(VLOOKUP(B515,[1]Product!A:D,4,FALSE),[1]Category!A:B,2,FALSE)</f>
        <v>Dairy Product</v>
      </c>
      <c r="L515" s="10">
        <f>IFERROR(VLOOKUP(A515,'[1]Sales Order'!A:D,4,FALSE),"")</f>
        <v>39124</v>
      </c>
      <c r="M515" s="10">
        <f>IFERROR(VLOOKUP(A515,'[1]Sales Order'!A:F,6,FALSE),"")</f>
        <v>39131</v>
      </c>
      <c r="N515" t="str">
        <f>IFERROR(VLOOKUP(VLOOKUP(A515,'[1]Sales Order'!A:G,7,FALSE),[1]Shipper!A:B,2,FALSE),"Not Specified")</f>
        <v>Shipper ETYNR</v>
      </c>
      <c r="O515" t="str">
        <f>IFERROR(VLOOKUP(A515,'[1]Sales Order'!A:I,9,FALSE),"Not Specified")</f>
        <v>Destination RVDMF</v>
      </c>
      <c r="P515" t="str">
        <f>IFERROR(VLOOKUP(A515,'[1]Sales Order'!A:N,14,FALSE),"Not Specified")</f>
        <v>Austria</v>
      </c>
      <c r="Q515" t="str">
        <f>VLOOKUP(VLOOKUP(B515,[1]Product!A:C,3,FALSE),[1]Supplier!A:B,2,FALSE)</f>
        <v>Supplier EQPNC</v>
      </c>
      <c r="R515" t="str">
        <f>VLOOKUP(VLOOKUP(B515,[1]Product!A:C,3,FALSE),[1]Supplier!A:I,9,FALSE)</f>
        <v>Spain</v>
      </c>
      <c r="S515" t="str">
        <f>IFERROR(IF(VLOOKUP(A515,'[1]Sales Order'!A:H,8,FALSE)&gt;100,"High Freight","Low Freight"),"Not Specified")</f>
        <v>Low Freight</v>
      </c>
      <c r="T515">
        <f t="shared" ref="T515:T578" si="17">C515*D515*(1-E515)</f>
        <v>504</v>
      </c>
    </row>
    <row r="516" spans="1:20">
      <c r="A516" s="1">
        <v>10442</v>
      </c>
      <c r="B516" s="2">
        <v>54</v>
      </c>
      <c r="C516" s="2">
        <v>5.9</v>
      </c>
      <c r="D516" s="2">
        <v>80</v>
      </c>
      <c r="E516" s="3">
        <v>0</v>
      </c>
      <c r="F516" s="2" t="str">
        <f>IFERROR(VLOOKUP(VLOOKUP(A516,'[1]Sales Order'!A:B,2,FALSE),[1]Customer!A:C,3,FALSE),"Not Specified")</f>
        <v>Kane, John</v>
      </c>
      <c r="G516" s="2" t="str">
        <f t="shared" si="16"/>
        <v>Kane John</v>
      </c>
      <c r="H516" s="8" t="str">
        <f>IFERROR(VLOOKUP(VLOOKUP(A516,'[1]Sales Order'!A:C,3,FALSE),[1]Employee!A:E,5,FALSE)&amp;" "&amp;VLOOKUP(VLOOKUP(A516,'[1]Sales Order'!A:C,3,FALSE),[1]Employee!A:C,3,FALSE)&amp;" "&amp;VLOOKUP(VLOOKUP(A516,'[1]Sales Order'!A:C,3,FALSE),[1]Employee!A:B,2,FALSE),"Not Specified")</f>
        <v>Ms. Judy Lew</v>
      </c>
      <c r="I516" t="str">
        <f>IFERROR(VLOOKUP(VLOOKUP(A516,'[1]Sales Order'!A:C,3,FALSE),[1]Employee!A:J,10,FALSE),"Not Specified")</f>
        <v>WA</v>
      </c>
      <c r="J516" t="str">
        <f>VLOOKUP(B516,[1]Product!A:B,2,FALSE)</f>
        <v>Product QAQRL</v>
      </c>
      <c r="K516" t="str">
        <f>VLOOKUP(VLOOKUP(B516,[1]Product!A:D,4,FALSE),[1]Category!A:B,2,FALSE)</f>
        <v>Meat/Poultry</v>
      </c>
      <c r="L516" s="10">
        <f>IFERROR(VLOOKUP(A516,'[1]Sales Order'!A:D,4,FALSE),"")</f>
        <v>39124</v>
      </c>
      <c r="M516" s="10">
        <f>IFERROR(VLOOKUP(A516,'[1]Sales Order'!A:F,6,FALSE),"")</f>
        <v>39131</v>
      </c>
      <c r="N516" t="str">
        <f>IFERROR(VLOOKUP(VLOOKUP(A516,'[1]Sales Order'!A:G,7,FALSE),[1]Shipper!A:B,2,FALSE),"Not Specified")</f>
        <v>Shipper ETYNR</v>
      </c>
      <c r="O516" t="str">
        <f>IFERROR(VLOOKUP(A516,'[1]Sales Order'!A:I,9,FALSE),"Not Specified")</f>
        <v>Destination RVDMF</v>
      </c>
      <c r="P516" t="str">
        <f>IFERROR(VLOOKUP(A516,'[1]Sales Order'!A:N,14,FALSE),"Not Specified")</f>
        <v>Austria</v>
      </c>
      <c r="Q516" t="str">
        <f>VLOOKUP(VLOOKUP(B516,[1]Product!A:C,3,FALSE),[1]Supplier!A:B,2,FALSE)</f>
        <v>Supplier ERVYZ</v>
      </c>
      <c r="R516" t="str">
        <f>VLOOKUP(VLOOKUP(B516,[1]Product!A:C,3,FALSE),[1]Supplier!A:I,9,FALSE)</f>
        <v>Canada</v>
      </c>
      <c r="S516" t="str">
        <f>IFERROR(IF(VLOOKUP(A516,'[1]Sales Order'!A:H,8,FALSE)&gt;100,"High Freight","Low Freight"),"Not Specified")</f>
        <v>Low Freight</v>
      </c>
      <c r="T516">
        <f t="shared" si="17"/>
        <v>472</v>
      </c>
    </row>
    <row r="517" spans="1:20">
      <c r="A517" s="1">
        <v>10442</v>
      </c>
      <c r="B517" s="2">
        <v>66</v>
      </c>
      <c r="C517" s="2">
        <v>13.6</v>
      </c>
      <c r="D517" s="2">
        <v>60</v>
      </c>
      <c r="E517" s="3">
        <v>0</v>
      </c>
      <c r="F517" s="2" t="str">
        <f>IFERROR(VLOOKUP(VLOOKUP(A517,'[1]Sales Order'!A:B,2,FALSE),[1]Customer!A:C,3,FALSE),"Not Specified")</f>
        <v>Kane, John</v>
      </c>
      <c r="G517" s="2" t="str">
        <f t="shared" si="16"/>
        <v>Kane John</v>
      </c>
      <c r="H517" s="8" t="str">
        <f>IFERROR(VLOOKUP(VLOOKUP(A517,'[1]Sales Order'!A:C,3,FALSE),[1]Employee!A:E,5,FALSE)&amp;" "&amp;VLOOKUP(VLOOKUP(A517,'[1]Sales Order'!A:C,3,FALSE),[1]Employee!A:C,3,FALSE)&amp;" "&amp;VLOOKUP(VLOOKUP(A517,'[1]Sales Order'!A:C,3,FALSE),[1]Employee!A:B,2,FALSE),"Not Specified")</f>
        <v>Ms. Judy Lew</v>
      </c>
      <c r="I517" t="str">
        <f>IFERROR(VLOOKUP(VLOOKUP(A517,'[1]Sales Order'!A:C,3,FALSE),[1]Employee!A:J,10,FALSE),"Not Specified")</f>
        <v>WA</v>
      </c>
      <c r="J517" t="str">
        <f>VLOOKUP(B517,[1]Product!A:B,2,FALSE)</f>
        <v>Product LQMGN</v>
      </c>
      <c r="K517" t="str">
        <f>VLOOKUP(VLOOKUP(B517,[1]Product!A:D,4,FALSE),[1]Category!A:B,2,FALSE)</f>
        <v>Condiments</v>
      </c>
      <c r="L517" s="10">
        <f>IFERROR(VLOOKUP(A517,'[1]Sales Order'!A:D,4,FALSE),"")</f>
        <v>39124</v>
      </c>
      <c r="M517" s="10">
        <f>IFERROR(VLOOKUP(A517,'[1]Sales Order'!A:F,6,FALSE),"")</f>
        <v>39131</v>
      </c>
      <c r="N517" t="str">
        <f>IFERROR(VLOOKUP(VLOOKUP(A517,'[1]Sales Order'!A:G,7,FALSE),[1]Shipper!A:B,2,FALSE),"Not Specified")</f>
        <v>Shipper ETYNR</v>
      </c>
      <c r="O517" t="str">
        <f>IFERROR(VLOOKUP(A517,'[1]Sales Order'!A:I,9,FALSE),"Not Specified")</f>
        <v>Destination RVDMF</v>
      </c>
      <c r="P517" t="str">
        <f>IFERROR(VLOOKUP(A517,'[1]Sales Order'!A:N,14,FALSE),"Not Specified")</f>
        <v>Austria</v>
      </c>
      <c r="Q517" t="str">
        <f>VLOOKUP(VLOOKUP(B517,[1]Product!A:C,3,FALSE),[1]Supplier!A:B,2,FALSE)</f>
        <v>Supplier VHQZD</v>
      </c>
      <c r="R517" t="str">
        <f>VLOOKUP(VLOOKUP(B517,[1]Product!A:C,3,FALSE),[1]Supplier!A:I,9,FALSE)</f>
        <v>USA</v>
      </c>
      <c r="S517" t="str">
        <f>IFERROR(IF(VLOOKUP(A517,'[1]Sales Order'!A:H,8,FALSE)&gt;100,"High Freight","Low Freight"),"Not Specified")</f>
        <v>Low Freight</v>
      </c>
      <c r="T517">
        <f t="shared" si="17"/>
        <v>816</v>
      </c>
    </row>
    <row r="518" spans="1:20">
      <c r="A518" s="1">
        <v>10443</v>
      </c>
      <c r="B518" s="2">
        <v>11</v>
      </c>
      <c r="C518" s="2">
        <v>16.8</v>
      </c>
      <c r="D518" s="2">
        <v>6</v>
      </c>
      <c r="E518" s="3">
        <v>0.2</v>
      </c>
      <c r="F518" s="2" t="str">
        <f>IFERROR(VLOOKUP(VLOOKUP(A518,'[1]Sales Order'!A:B,2,FALSE),[1]Customer!A:C,3,FALSE),"Not Specified")</f>
        <v>Voss, Florian</v>
      </c>
      <c r="G518" s="2" t="str">
        <f t="shared" si="16"/>
        <v>Voss Florian</v>
      </c>
      <c r="H518" s="8" t="str">
        <f>IFERROR(VLOOKUP(VLOOKUP(A518,'[1]Sales Order'!A:C,3,FALSE),[1]Employee!A:E,5,FALSE)&amp;" "&amp;VLOOKUP(VLOOKUP(A518,'[1]Sales Order'!A:C,3,FALSE),[1]Employee!A:C,3,FALSE)&amp;" "&amp;VLOOKUP(VLOOKUP(A518,'[1]Sales Order'!A:C,3,FALSE),[1]Employee!A:B,2,FALSE),"Not Specified")</f>
        <v>Ms. Maria Cameron</v>
      </c>
      <c r="I518" t="str">
        <f>IFERROR(VLOOKUP(VLOOKUP(A518,'[1]Sales Order'!A:C,3,FALSE),[1]Employee!A:J,10,FALSE),"Not Specified")</f>
        <v>WA</v>
      </c>
      <c r="J518" t="str">
        <f>VLOOKUP(B518,[1]Product!A:B,2,FALSE)</f>
        <v>Product QMVUN</v>
      </c>
      <c r="K518" t="str">
        <f>VLOOKUP(VLOOKUP(B518,[1]Product!A:D,4,FALSE),[1]Category!A:B,2,FALSE)</f>
        <v>Dairy Product</v>
      </c>
      <c r="L518" s="10">
        <f>IFERROR(VLOOKUP(A518,'[1]Sales Order'!A:D,4,FALSE),"")</f>
        <v>39125</v>
      </c>
      <c r="M518" s="10">
        <f>IFERROR(VLOOKUP(A518,'[1]Sales Order'!A:F,6,FALSE),"")</f>
        <v>39127</v>
      </c>
      <c r="N518" t="str">
        <f>IFERROR(VLOOKUP(VLOOKUP(A518,'[1]Sales Order'!A:G,7,FALSE),[1]Shipper!A:B,2,FALSE),"Not Specified")</f>
        <v>Shipper GVSUA</v>
      </c>
      <c r="O518" t="str">
        <f>IFERROR(VLOOKUP(A518,'[1]Sales Order'!A:I,9,FALSE),"Not Specified")</f>
        <v>Ship to 66-C</v>
      </c>
      <c r="P518" t="str">
        <f>IFERROR(VLOOKUP(A518,'[1]Sales Order'!A:N,14,FALSE),"Not Specified")</f>
        <v>Italy</v>
      </c>
      <c r="Q518" t="str">
        <f>VLOOKUP(VLOOKUP(B518,[1]Product!A:C,3,FALSE),[1]Supplier!A:B,2,FALSE)</f>
        <v>Supplier EQPNC</v>
      </c>
      <c r="R518" t="str">
        <f>VLOOKUP(VLOOKUP(B518,[1]Product!A:C,3,FALSE),[1]Supplier!A:I,9,FALSE)</f>
        <v>Spain</v>
      </c>
      <c r="S518" t="str">
        <f>IFERROR(IF(VLOOKUP(A518,'[1]Sales Order'!A:H,8,FALSE)&gt;100,"High Freight","Low Freight"),"Not Specified")</f>
        <v>Low Freight</v>
      </c>
      <c r="T518">
        <f t="shared" si="17"/>
        <v>80.640000000000015</v>
      </c>
    </row>
    <row r="519" spans="1:20">
      <c r="A519" s="1">
        <v>10443</v>
      </c>
      <c r="B519" s="2">
        <v>28</v>
      </c>
      <c r="C519" s="2">
        <v>36.4</v>
      </c>
      <c r="D519" s="2">
        <v>12</v>
      </c>
      <c r="E519" s="3">
        <v>0</v>
      </c>
      <c r="F519" s="2" t="str">
        <f>IFERROR(VLOOKUP(VLOOKUP(A519,'[1]Sales Order'!A:B,2,FALSE),[1]Customer!A:C,3,FALSE),"Not Specified")</f>
        <v>Voss, Florian</v>
      </c>
      <c r="G519" s="2" t="str">
        <f t="shared" si="16"/>
        <v>Voss Florian</v>
      </c>
      <c r="H519" s="8" t="str">
        <f>IFERROR(VLOOKUP(VLOOKUP(A519,'[1]Sales Order'!A:C,3,FALSE),[1]Employee!A:E,5,FALSE)&amp;" "&amp;VLOOKUP(VLOOKUP(A519,'[1]Sales Order'!A:C,3,FALSE),[1]Employee!A:C,3,FALSE)&amp;" "&amp;VLOOKUP(VLOOKUP(A519,'[1]Sales Order'!A:C,3,FALSE),[1]Employee!A:B,2,FALSE),"Not Specified")</f>
        <v>Ms. Maria Cameron</v>
      </c>
      <c r="I519" t="str">
        <f>IFERROR(VLOOKUP(VLOOKUP(A519,'[1]Sales Order'!A:C,3,FALSE),[1]Employee!A:J,10,FALSE),"Not Specified")</f>
        <v>WA</v>
      </c>
      <c r="J519" t="str">
        <f>VLOOKUP(B519,[1]Product!A:B,2,FALSE)</f>
        <v>Product OFBNT</v>
      </c>
      <c r="K519" t="str">
        <f>VLOOKUP(VLOOKUP(B519,[1]Product!A:D,4,FALSE),[1]Category!A:B,2,FALSE)</f>
        <v>Produce</v>
      </c>
      <c r="L519" s="10">
        <f>IFERROR(VLOOKUP(A519,'[1]Sales Order'!A:D,4,FALSE),"")</f>
        <v>39125</v>
      </c>
      <c r="M519" s="10">
        <f>IFERROR(VLOOKUP(A519,'[1]Sales Order'!A:F,6,FALSE),"")</f>
        <v>39127</v>
      </c>
      <c r="N519" t="str">
        <f>IFERROR(VLOOKUP(VLOOKUP(A519,'[1]Sales Order'!A:G,7,FALSE),[1]Shipper!A:B,2,FALSE),"Not Specified")</f>
        <v>Shipper GVSUA</v>
      </c>
      <c r="O519" t="str">
        <f>IFERROR(VLOOKUP(A519,'[1]Sales Order'!A:I,9,FALSE),"Not Specified")</f>
        <v>Ship to 66-C</v>
      </c>
      <c r="P519" t="str">
        <f>IFERROR(VLOOKUP(A519,'[1]Sales Order'!A:N,14,FALSE),"Not Specified")</f>
        <v>Italy</v>
      </c>
      <c r="Q519" t="str">
        <f>VLOOKUP(VLOOKUP(B519,[1]Product!A:C,3,FALSE),[1]Supplier!A:B,2,FALSE)</f>
        <v>Supplier SVIYA</v>
      </c>
      <c r="R519" t="str">
        <f>VLOOKUP(VLOOKUP(B519,[1]Product!A:C,3,FALSE),[1]Supplier!A:I,9,FALSE)</f>
        <v>Germany</v>
      </c>
      <c r="S519" t="str">
        <f>IFERROR(IF(VLOOKUP(A519,'[1]Sales Order'!A:H,8,FALSE)&gt;100,"High Freight","Low Freight"),"Not Specified")</f>
        <v>Low Freight</v>
      </c>
      <c r="T519">
        <f t="shared" si="17"/>
        <v>436.79999999999995</v>
      </c>
    </row>
    <row r="520" spans="1:20">
      <c r="A520" s="1">
        <v>10444</v>
      </c>
      <c r="B520" s="2">
        <v>17</v>
      </c>
      <c r="C520" s="2">
        <v>31.2</v>
      </c>
      <c r="D520" s="2">
        <v>10</v>
      </c>
      <c r="E520" s="3">
        <v>0</v>
      </c>
      <c r="F520" s="2" t="str">
        <f>IFERROR(VLOOKUP(VLOOKUP(A520,'[1]Sales Order'!A:B,2,FALSE),[1]Customer!A:C,3,FALSE),"Not Specified")</f>
        <v>Higginbotham, Tom</v>
      </c>
      <c r="G520" s="2" t="str">
        <f t="shared" si="16"/>
        <v>Higginbotham Tom</v>
      </c>
      <c r="H520" s="8" t="str">
        <f>IFERROR(VLOOKUP(VLOOKUP(A520,'[1]Sales Order'!A:C,3,FALSE),[1]Employee!A:E,5,FALSE)&amp;" "&amp;VLOOKUP(VLOOKUP(A520,'[1]Sales Order'!A:C,3,FALSE),[1]Employee!A:C,3,FALSE)&amp;" "&amp;VLOOKUP(VLOOKUP(A520,'[1]Sales Order'!A:C,3,FALSE),[1]Employee!A:B,2,FALSE),"Not Specified")</f>
        <v>Ms. Judy Lew</v>
      </c>
      <c r="I520" t="str">
        <f>IFERROR(VLOOKUP(VLOOKUP(A520,'[1]Sales Order'!A:C,3,FALSE),[1]Employee!A:J,10,FALSE),"Not Specified")</f>
        <v>WA</v>
      </c>
      <c r="J520" t="str">
        <f>VLOOKUP(B520,[1]Product!A:B,2,FALSE)</f>
        <v>Product BLCAX</v>
      </c>
      <c r="K520" t="str">
        <f>VLOOKUP(VLOOKUP(B520,[1]Product!A:D,4,FALSE),[1]Category!A:B,2,FALSE)</f>
        <v>Meat/Poultry</v>
      </c>
      <c r="L520" s="10">
        <f>IFERROR(VLOOKUP(A520,'[1]Sales Order'!A:D,4,FALSE),"")</f>
        <v>39125</v>
      </c>
      <c r="M520" s="10">
        <f>IFERROR(VLOOKUP(A520,'[1]Sales Order'!A:F,6,FALSE),"")</f>
        <v>39134</v>
      </c>
      <c r="N520" t="str">
        <f>IFERROR(VLOOKUP(VLOOKUP(A520,'[1]Sales Order'!A:G,7,FALSE),[1]Shipper!A:B,2,FALSE),"Not Specified")</f>
        <v>Shipper ZHISN</v>
      </c>
      <c r="O520" t="str">
        <f>IFERROR(VLOOKUP(A520,'[1]Sales Order'!A:I,9,FALSE),"Not Specified")</f>
        <v>Ship to 5-B</v>
      </c>
      <c r="P520" t="str">
        <f>IFERROR(VLOOKUP(A520,'[1]Sales Order'!A:N,14,FALSE),"Not Specified")</f>
        <v>Sweden</v>
      </c>
      <c r="Q520" t="str">
        <f>VLOOKUP(VLOOKUP(B520,[1]Product!A:C,3,FALSE),[1]Supplier!A:B,2,FALSE)</f>
        <v>Supplier GQRCV</v>
      </c>
      <c r="R520" t="str">
        <f>VLOOKUP(VLOOKUP(B520,[1]Product!A:C,3,FALSE),[1]Supplier!A:I,9,FALSE)</f>
        <v>Australia</v>
      </c>
      <c r="S520" t="str">
        <f>IFERROR(IF(VLOOKUP(A520,'[1]Sales Order'!A:H,8,FALSE)&gt;100,"High Freight","Low Freight"),"Not Specified")</f>
        <v>Low Freight</v>
      </c>
      <c r="T520">
        <f t="shared" si="17"/>
        <v>312</v>
      </c>
    </row>
    <row r="521" spans="1:20">
      <c r="A521" s="1">
        <v>10444</v>
      </c>
      <c r="B521" s="2">
        <v>26</v>
      </c>
      <c r="C521" s="2">
        <v>24.9</v>
      </c>
      <c r="D521" s="2">
        <v>15</v>
      </c>
      <c r="E521" s="3">
        <v>0</v>
      </c>
      <c r="F521" s="2" t="str">
        <f>IFERROR(VLOOKUP(VLOOKUP(A521,'[1]Sales Order'!A:B,2,FALSE),[1]Customer!A:C,3,FALSE),"Not Specified")</f>
        <v>Higginbotham, Tom</v>
      </c>
      <c r="G521" s="2" t="str">
        <f t="shared" si="16"/>
        <v>Higginbotham Tom</v>
      </c>
      <c r="H521" s="8" t="str">
        <f>IFERROR(VLOOKUP(VLOOKUP(A521,'[1]Sales Order'!A:C,3,FALSE),[1]Employee!A:E,5,FALSE)&amp;" "&amp;VLOOKUP(VLOOKUP(A521,'[1]Sales Order'!A:C,3,FALSE),[1]Employee!A:C,3,FALSE)&amp;" "&amp;VLOOKUP(VLOOKUP(A521,'[1]Sales Order'!A:C,3,FALSE),[1]Employee!A:B,2,FALSE),"Not Specified")</f>
        <v>Ms. Judy Lew</v>
      </c>
      <c r="I521" t="str">
        <f>IFERROR(VLOOKUP(VLOOKUP(A521,'[1]Sales Order'!A:C,3,FALSE),[1]Employee!A:J,10,FALSE),"Not Specified")</f>
        <v>WA</v>
      </c>
      <c r="J521" t="str">
        <f>VLOOKUP(B521,[1]Product!A:B,2,FALSE)</f>
        <v>Product HLGZA</v>
      </c>
      <c r="K521" t="str">
        <f>VLOOKUP(VLOOKUP(B521,[1]Product!A:D,4,FALSE),[1]Category!A:B,2,FALSE)</f>
        <v>Confections</v>
      </c>
      <c r="L521" s="10">
        <f>IFERROR(VLOOKUP(A521,'[1]Sales Order'!A:D,4,FALSE),"")</f>
        <v>39125</v>
      </c>
      <c r="M521" s="10">
        <f>IFERROR(VLOOKUP(A521,'[1]Sales Order'!A:F,6,FALSE),"")</f>
        <v>39134</v>
      </c>
      <c r="N521" t="str">
        <f>IFERROR(VLOOKUP(VLOOKUP(A521,'[1]Sales Order'!A:G,7,FALSE),[1]Shipper!A:B,2,FALSE),"Not Specified")</f>
        <v>Shipper ZHISN</v>
      </c>
      <c r="O521" t="str">
        <f>IFERROR(VLOOKUP(A521,'[1]Sales Order'!A:I,9,FALSE),"Not Specified")</f>
        <v>Ship to 5-B</v>
      </c>
      <c r="P521" t="str">
        <f>IFERROR(VLOOKUP(A521,'[1]Sales Order'!A:N,14,FALSE),"Not Specified")</f>
        <v>Sweden</v>
      </c>
      <c r="Q521" t="str">
        <f>VLOOKUP(VLOOKUP(B521,[1]Product!A:C,3,FALSE),[1]Supplier!A:B,2,FALSE)</f>
        <v>Supplier ZPYVS</v>
      </c>
      <c r="R521" t="str">
        <f>VLOOKUP(VLOOKUP(B521,[1]Product!A:C,3,FALSE),[1]Supplier!A:I,9,FALSE)</f>
        <v>Germany</v>
      </c>
      <c r="S521" t="str">
        <f>IFERROR(IF(VLOOKUP(A521,'[1]Sales Order'!A:H,8,FALSE)&gt;100,"High Freight","Low Freight"),"Not Specified")</f>
        <v>Low Freight</v>
      </c>
      <c r="T521">
        <f t="shared" si="17"/>
        <v>373.5</v>
      </c>
    </row>
    <row r="522" spans="1:20">
      <c r="A522" s="1">
        <v>10444</v>
      </c>
      <c r="B522" s="2">
        <v>35</v>
      </c>
      <c r="C522" s="2">
        <v>14.4</v>
      </c>
      <c r="D522" s="2">
        <v>8</v>
      </c>
      <c r="E522" s="3">
        <v>0</v>
      </c>
      <c r="F522" s="2" t="str">
        <f>IFERROR(VLOOKUP(VLOOKUP(A522,'[1]Sales Order'!A:B,2,FALSE),[1]Customer!A:C,3,FALSE),"Not Specified")</f>
        <v>Higginbotham, Tom</v>
      </c>
      <c r="G522" s="2" t="str">
        <f t="shared" si="16"/>
        <v>Higginbotham Tom</v>
      </c>
      <c r="H522" s="8" t="str">
        <f>IFERROR(VLOOKUP(VLOOKUP(A522,'[1]Sales Order'!A:C,3,FALSE),[1]Employee!A:E,5,FALSE)&amp;" "&amp;VLOOKUP(VLOOKUP(A522,'[1]Sales Order'!A:C,3,FALSE),[1]Employee!A:C,3,FALSE)&amp;" "&amp;VLOOKUP(VLOOKUP(A522,'[1]Sales Order'!A:C,3,FALSE),[1]Employee!A:B,2,FALSE),"Not Specified")</f>
        <v>Ms. Judy Lew</v>
      </c>
      <c r="I522" t="str">
        <f>IFERROR(VLOOKUP(VLOOKUP(A522,'[1]Sales Order'!A:C,3,FALSE),[1]Employee!A:J,10,FALSE),"Not Specified")</f>
        <v>WA</v>
      </c>
      <c r="J522" t="str">
        <f>VLOOKUP(B522,[1]Product!A:B,2,FALSE)</f>
        <v>Product NEVTJ</v>
      </c>
      <c r="K522" t="str">
        <f>VLOOKUP(VLOOKUP(B522,[1]Product!A:D,4,FALSE),[1]Category!A:B,2,FALSE)</f>
        <v>Beverages</v>
      </c>
      <c r="L522" s="10">
        <f>IFERROR(VLOOKUP(A522,'[1]Sales Order'!A:D,4,FALSE),"")</f>
        <v>39125</v>
      </c>
      <c r="M522" s="10">
        <f>IFERROR(VLOOKUP(A522,'[1]Sales Order'!A:F,6,FALSE),"")</f>
        <v>39134</v>
      </c>
      <c r="N522" t="str">
        <f>IFERROR(VLOOKUP(VLOOKUP(A522,'[1]Sales Order'!A:G,7,FALSE),[1]Shipper!A:B,2,FALSE),"Not Specified")</f>
        <v>Shipper ZHISN</v>
      </c>
      <c r="O522" t="str">
        <f>IFERROR(VLOOKUP(A522,'[1]Sales Order'!A:I,9,FALSE),"Not Specified")</f>
        <v>Ship to 5-B</v>
      </c>
      <c r="P522" t="str">
        <f>IFERROR(VLOOKUP(A522,'[1]Sales Order'!A:N,14,FALSE),"Not Specified")</f>
        <v>Sweden</v>
      </c>
      <c r="Q522" t="str">
        <f>VLOOKUP(VLOOKUP(B522,[1]Product!A:C,3,FALSE),[1]Supplier!A:B,2,FALSE)</f>
        <v>Supplier UHZRG</v>
      </c>
      <c r="R522" t="str">
        <f>VLOOKUP(VLOOKUP(B522,[1]Product!A:C,3,FALSE),[1]Supplier!A:I,9,FALSE)</f>
        <v>USA</v>
      </c>
      <c r="S522" t="str">
        <f>IFERROR(IF(VLOOKUP(A522,'[1]Sales Order'!A:H,8,FALSE)&gt;100,"High Freight","Low Freight"),"Not Specified")</f>
        <v>Low Freight</v>
      </c>
      <c r="T522">
        <f t="shared" si="17"/>
        <v>115.2</v>
      </c>
    </row>
    <row r="523" spans="1:20">
      <c r="A523" s="1">
        <v>10444</v>
      </c>
      <c r="B523" s="2">
        <v>41</v>
      </c>
      <c r="C523" s="2">
        <v>7.7</v>
      </c>
      <c r="D523" s="2">
        <v>30</v>
      </c>
      <c r="E523" s="3">
        <v>0</v>
      </c>
      <c r="F523" s="2" t="str">
        <f>IFERROR(VLOOKUP(VLOOKUP(A523,'[1]Sales Order'!A:B,2,FALSE),[1]Customer!A:C,3,FALSE),"Not Specified")</f>
        <v>Higginbotham, Tom</v>
      </c>
      <c r="G523" s="2" t="str">
        <f t="shared" si="16"/>
        <v>Higginbotham Tom</v>
      </c>
      <c r="H523" s="8" t="str">
        <f>IFERROR(VLOOKUP(VLOOKUP(A523,'[1]Sales Order'!A:C,3,FALSE),[1]Employee!A:E,5,FALSE)&amp;" "&amp;VLOOKUP(VLOOKUP(A523,'[1]Sales Order'!A:C,3,FALSE),[1]Employee!A:C,3,FALSE)&amp;" "&amp;VLOOKUP(VLOOKUP(A523,'[1]Sales Order'!A:C,3,FALSE),[1]Employee!A:B,2,FALSE),"Not Specified")</f>
        <v>Ms. Judy Lew</v>
      </c>
      <c r="I523" t="str">
        <f>IFERROR(VLOOKUP(VLOOKUP(A523,'[1]Sales Order'!A:C,3,FALSE),[1]Employee!A:J,10,FALSE),"Not Specified")</f>
        <v>WA</v>
      </c>
      <c r="J523" t="str">
        <f>VLOOKUP(B523,[1]Product!A:B,2,FALSE)</f>
        <v>Product TTEEX</v>
      </c>
      <c r="K523" t="str">
        <f>VLOOKUP(VLOOKUP(B523,[1]Product!A:D,4,FALSE),[1]Category!A:B,2,FALSE)</f>
        <v>Seafood</v>
      </c>
      <c r="L523" s="10">
        <f>IFERROR(VLOOKUP(A523,'[1]Sales Order'!A:D,4,FALSE),"")</f>
        <v>39125</v>
      </c>
      <c r="M523" s="10">
        <f>IFERROR(VLOOKUP(A523,'[1]Sales Order'!A:F,6,FALSE),"")</f>
        <v>39134</v>
      </c>
      <c r="N523" t="str">
        <f>IFERROR(VLOOKUP(VLOOKUP(A523,'[1]Sales Order'!A:G,7,FALSE),[1]Shipper!A:B,2,FALSE),"Not Specified")</f>
        <v>Shipper ZHISN</v>
      </c>
      <c r="O523" t="str">
        <f>IFERROR(VLOOKUP(A523,'[1]Sales Order'!A:I,9,FALSE),"Not Specified")</f>
        <v>Ship to 5-B</v>
      </c>
      <c r="P523" t="str">
        <f>IFERROR(VLOOKUP(A523,'[1]Sales Order'!A:N,14,FALSE),"Not Specified")</f>
        <v>Sweden</v>
      </c>
      <c r="Q523" t="str">
        <f>VLOOKUP(VLOOKUP(B523,[1]Product!A:C,3,FALSE),[1]Supplier!A:B,2,FALSE)</f>
        <v>Supplier JDNUG</v>
      </c>
      <c r="R523" t="str">
        <f>VLOOKUP(VLOOKUP(B523,[1]Product!A:C,3,FALSE),[1]Supplier!A:I,9,FALSE)</f>
        <v>USA</v>
      </c>
      <c r="S523" t="str">
        <f>IFERROR(IF(VLOOKUP(A523,'[1]Sales Order'!A:H,8,FALSE)&gt;100,"High Freight","Low Freight"),"Not Specified")</f>
        <v>Low Freight</v>
      </c>
      <c r="T523">
        <f t="shared" si="17"/>
        <v>231</v>
      </c>
    </row>
    <row r="524" spans="1:20">
      <c r="A524" s="1">
        <v>10445</v>
      </c>
      <c r="B524" s="2">
        <v>39</v>
      </c>
      <c r="C524" s="2">
        <v>14.4</v>
      </c>
      <c r="D524" s="2">
        <v>6</v>
      </c>
      <c r="E524" s="3">
        <v>0</v>
      </c>
      <c r="F524" s="2" t="str">
        <f>IFERROR(VLOOKUP(VLOOKUP(A524,'[1]Sales Order'!A:B,2,FALSE),[1]Customer!A:C,3,FALSE),"Not Specified")</f>
        <v>Higginbotham, Tom</v>
      </c>
      <c r="G524" s="2" t="str">
        <f t="shared" si="16"/>
        <v>Higginbotham Tom</v>
      </c>
      <c r="H524" s="8" t="str">
        <f>IFERROR(VLOOKUP(VLOOKUP(A524,'[1]Sales Order'!A:C,3,FALSE),[1]Employee!A:E,5,FALSE)&amp;" "&amp;VLOOKUP(VLOOKUP(A524,'[1]Sales Order'!A:C,3,FALSE),[1]Employee!A:C,3,FALSE)&amp;" "&amp;VLOOKUP(VLOOKUP(A524,'[1]Sales Order'!A:C,3,FALSE),[1]Employee!A:B,2,FALSE),"Not Specified")</f>
        <v>Ms. Judy Lew</v>
      </c>
      <c r="I524" t="str">
        <f>IFERROR(VLOOKUP(VLOOKUP(A524,'[1]Sales Order'!A:C,3,FALSE),[1]Employee!A:J,10,FALSE),"Not Specified")</f>
        <v>WA</v>
      </c>
      <c r="J524" t="str">
        <f>VLOOKUP(B524,[1]Product!A:B,2,FALSE)</f>
        <v>Product LSOFL</v>
      </c>
      <c r="K524" t="str">
        <f>VLOOKUP(VLOOKUP(B524,[1]Product!A:D,4,FALSE),[1]Category!A:B,2,FALSE)</f>
        <v>Beverages</v>
      </c>
      <c r="L524" s="10">
        <f>IFERROR(VLOOKUP(A524,'[1]Sales Order'!A:D,4,FALSE),"")</f>
        <v>39126</v>
      </c>
      <c r="M524" s="10">
        <f>IFERROR(VLOOKUP(A524,'[1]Sales Order'!A:F,6,FALSE),"")</f>
        <v>39133</v>
      </c>
      <c r="N524" t="str">
        <f>IFERROR(VLOOKUP(VLOOKUP(A524,'[1]Sales Order'!A:G,7,FALSE),[1]Shipper!A:B,2,FALSE),"Not Specified")</f>
        <v>Shipper GVSUA</v>
      </c>
      <c r="O524" t="str">
        <f>IFERROR(VLOOKUP(A524,'[1]Sales Order'!A:I,9,FALSE),"Not Specified")</f>
        <v>Ship to 5-A</v>
      </c>
      <c r="P524" t="str">
        <f>IFERROR(VLOOKUP(A524,'[1]Sales Order'!A:N,14,FALSE),"Not Specified")</f>
        <v>Sweden</v>
      </c>
      <c r="Q524" t="str">
        <f>VLOOKUP(VLOOKUP(B524,[1]Product!A:C,3,FALSE),[1]Supplier!A:B,2,FALSE)</f>
        <v>Supplier LVJUA</v>
      </c>
      <c r="R524" t="str">
        <f>VLOOKUP(VLOOKUP(B524,[1]Product!A:C,3,FALSE),[1]Supplier!A:I,9,FALSE)</f>
        <v>France</v>
      </c>
      <c r="S524" t="str">
        <f>IFERROR(IF(VLOOKUP(A524,'[1]Sales Order'!A:H,8,FALSE)&gt;100,"High Freight","Low Freight"),"Not Specified")</f>
        <v>Low Freight</v>
      </c>
      <c r="T524">
        <f t="shared" si="17"/>
        <v>86.4</v>
      </c>
    </row>
    <row r="525" spans="1:20">
      <c r="A525" s="1">
        <v>10445</v>
      </c>
      <c r="B525" s="2">
        <v>54</v>
      </c>
      <c r="C525" s="2">
        <v>5.9</v>
      </c>
      <c r="D525" s="2">
        <v>15</v>
      </c>
      <c r="E525" s="3">
        <v>0</v>
      </c>
      <c r="F525" s="2" t="str">
        <f>IFERROR(VLOOKUP(VLOOKUP(A525,'[1]Sales Order'!A:B,2,FALSE),[1]Customer!A:C,3,FALSE),"Not Specified")</f>
        <v>Higginbotham, Tom</v>
      </c>
      <c r="G525" s="2" t="str">
        <f t="shared" si="16"/>
        <v>Higginbotham Tom</v>
      </c>
      <c r="H525" s="8" t="str">
        <f>IFERROR(VLOOKUP(VLOOKUP(A525,'[1]Sales Order'!A:C,3,FALSE),[1]Employee!A:E,5,FALSE)&amp;" "&amp;VLOOKUP(VLOOKUP(A525,'[1]Sales Order'!A:C,3,FALSE),[1]Employee!A:C,3,FALSE)&amp;" "&amp;VLOOKUP(VLOOKUP(A525,'[1]Sales Order'!A:C,3,FALSE),[1]Employee!A:B,2,FALSE),"Not Specified")</f>
        <v>Ms. Judy Lew</v>
      </c>
      <c r="I525" t="str">
        <f>IFERROR(VLOOKUP(VLOOKUP(A525,'[1]Sales Order'!A:C,3,FALSE),[1]Employee!A:J,10,FALSE),"Not Specified")</f>
        <v>WA</v>
      </c>
      <c r="J525" t="str">
        <f>VLOOKUP(B525,[1]Product!A:B,2,FALSE)</f>
        <v>Product QAQRL</v>
      </c>
      <c r="K525" t="str">
        <f>VLOOKUP(VLOOKUP(B525,[1]Product!A:D,4,FALSE),[1]Category!A:B,2,FALSE)</f>
        <v>Meat/Poultry</v>
      </c>
      <c r="L525" s="10">
        <f>IFERROR(VLOOKUP(A525,'[1]Sales Order'!A:D,4,FALSE),"")</f>
        <v>39126</v>
      </c>
      <c r="M525" s="10">
        <f>IFERROR(VLOOKUP(A525,'[1]Sales Order'!A:F,6,FALSE),"")</f>
        <v>39133</v>
      </c>
      <c r="N525" t="str">
        <f>IFERROR(VLOOKUP(VLOOKUP(A525,'[1]Sales Order'!A:G,7,FALSE),[1]Shipper!A:B,2,FALSE),"Not Specified")</f>
        <v>Shipper GVSUA</v>
      </c>
      <c r="O525" t="str">
        <f>IFERROR(VLOOKUP(A525,'[1]Sales Order'!A:I,9,FALSE),"Not Specified")</f>
        <v>Ship to 5-A</v>
      </c>
      <c r="P525" t="str">
        <f>IFERROR(VLOOKUP(A525,'[1]Sales Order'!A:N,14,FALSE),"Not Specified")</f>
        <v>Sweden</v>
      </c>
      <c r="Q525" t="str">
        <f>VLOOKUP(VLOOKUP(B525,[1]Product!A:C,3,FALSE),[1]Supplier!A:B,2,FALSE)</f>
        <v>Supplier ERVYZ</v>
      </c>
      <c r="R525" t="str">
        <f>VLOOKUP(VLOOKUP(B525,[1]Product!A:C,3,FALSE),[1]Supplier!A:I,9,FALSE)</f>
        <v>Canada</v>
      </c>
      <c r="S525" t="str">
        <f>IFERROR(IF(VLOOKUP(A525,'[1]Sales Order'!A:H,8,FALSE)&gt;100,"High Freight","Low Freight"),"Not Specified")</f>
        <v>Low Freight</v>
      </c>
      <c r="T525">
        <f t="shared" si="17"/>
        <v>88.5</v>
      </c>
    </row>
    <row r="526" spans="1:20">
      <c r="A526" s="1">
        <v>10446</v>
      </c>
      <c r="B526" s="2">
        <v>19</v>
      </c>
      <c r="C526" s="2">
        <v>7.3</v>
      </c>
      <c r="D526" s="2">
        <v>12</v>
      </c>
      <c r="E526" s="3">
        <v>0.1</v>
      </c>
      <c r="F526" s="2" t="str">
        <f>IFERROR(VLOOKUP(VLOOKUP(A526,'[1]Sales Order'!A:B,2,FALSE),[1]Customer!A:C,3,FALSE),"Not Specified")</f>
        <v>Wickham, Jim</v>
      </c>
      <c r="G526" s="2" t="str">
        <f t="shared" si="16"/>
        <v>Wickham Jim</v>
      </c>
      <c r="H526" s="8" t="str">
        <f>IFERROR(VLOOKUP(VLOOKUP(A526,'[1]Sales Order'!A:C,3,FALSE),[1]Employee!A:E,5,FALSE)&amp;" "&amp;VLOOKUP(VLOOKUP(A526,'[1]Sales Order'!A:C,3,FALSE),[1]Employee!A:C,3,FALSE)&amp;" "&amp;VLOOKUP(VLOOKUP(A526,'[1]Sales Order'!A:C,3,FALSE),[1]Employee!A:B,2,FALSE),"Not Specified")</f>
        <v>Mr. Paul Suurs</v>
      </c>
      <c r="I526">
        <f>IFERROR(VLOOKUP(VLOOKUP(A526,'[1]Sales Order'!A:C,3,FALSE),[1]Employee!A:J,10,FALSE),"Not Specified")</f>
        <v>0</v>
      </c>
      <c r="J526" t="str">
        <f>VLOOKUP(B526,[1]Product!A:B,2,FALSE)</f>
        <v>Product XKXDO</v>
      </c>
      <c r="K526" t="str">
        <f>VLOOKUP(VLOOKUP(B526,[1]Product!A:D,4,FALSE),[1]Category!A:B,2,FALSE)</f>
        <v>Confections</v>
      </c>
      <c r="L526" s="10">
        <f>IFERROR(VLOOKUP(A526,'[1]Sales Order'!A:D,4,FALSE),"")</f>
        <v>39127</v>
      </c>
      <c r="M526" s="10">
        <f>IFERROR(VLOOKUP(A526,'[1]Sales Order'!A:F,6,FALSE),"")</f>
        <v>39132</v>
      </c>
      <c r="N526" t="str">
        <f>IFERROR(VLOOKUP(VLOOKUP(A526,'[1]Sales Order'!A:G,7,FALSE),[1]Shipper!A:B,2,FALSE),"Not Specified")</f>
        <v>Shipper GVSUA</v>
      </c>
      <c r="O526" t="str">
        <f>IFERROR(VLOOKUP(A526,'[1]Sales Order'!A:I,9,FALSE),"Not Specified")</f>
        <v>Ship to 79-C</v>
      </c>
      <c r="P526" t="str">
        <f>IFERROR(VLOOKUP(A526,'[1]Sales Order'!A:N,14,FALSE),"Not Specified")</f>
        <v>Germany</v>
      </c>
      <c r="Q526" t="str">
        <f>VLOOKUP(VLOOKUP(B526,[1]Product!A:C,3,FALSE),[1]Supplier!A:B,2,FALSE)</f>
        <v>Supplier BWGYE</v>
      </c>
      <c r="R526" t="str">
        <f>VLOOKUP(VLOOKUP(B526,[1]Product!A:C,3,FALSE),[1]Supplier!A:I,9,FALSE)</f>
        <v>UK</v>
      </c>
      <c r="S526" t="str">
        <f>IFERROR(IF(VLOOKUP(A526,'[1]Sales Order'!A:H,8,FALSE)&gt;100,"High Freight","Low Freight"),"Not Specified")</f>
        <v>Low Freight</v>
      </c>
      <c r="T526">
        <f t="shared" si="17"/>
        <v>78.84</v>
      </c>
    </row>
    <row r="527" spans="1:20">
      <c r="A527" s="1">
        <v>10446</v>
      </c>
      <c r="B527" s="2">
        <v>24</v>
      </c>
      <c r="C527" s="2">
        <v>3.6</v>
      </c>
      <c r="D527" s="2">
        <v>20</v>
      </c>
      <c r="E527" s="3">
        <v>0.1</v>
      </c>
      <c r="F527" s="2" t="str">
        <f>IFERROR(VLOOKUP(VLOOKUP(A527,'[1]Sales Order'!A:B,2,FALSE),[1]Customer!A:C,3,FALSE),"Not Specified")</f>
        <v>Wickham, Jim</v>
      </c>
      <c r="G527" s="2" t="str">
        <f t="shared" si="16"/>
        <v>Wickham Jim</v>
      </c>
      <c r="H527" s="8" t="str">
        <f>IFERROR(VLOOKUP(VLOOKUP(A527,'[1]Sales Order'!A:C,3,FALSE),[1]Employee!A:E,5,FALSE)&amp;" "&amp;VLOOKUP(VLOOKUP(A527,'[1]Sales Order'!A:C,3,FALSE),[1]Employee!A:C,3,FALSE)&amp;" "&amp;VLOOKUP(VLOOKUP(A527,'[1]Sales Order'!A:C,3,FALSE),[1]Employee!A:B,2,FALSE),"Not Specified")</f>
        <v>Mr. Paul Suurs</v>
      </c>
      <c r="I527">
        <f>IFERROR(VLOOKUP(VLOOKUP(A527,'[1]Sales Order'!A:C,3,FALSE),[1]Employee!A:J,10,FALSE),"Not Specified")</f>
        <v>0</v>
      </c>
      <c r="J527" t="str">
        <f>VLOOKUP(B527,[1]Product!A:B,2,FALSE)</f>
        <v>Product QOGNU</v>
      </c>
      <c r="K527" t="str">
        <f>VLOOKUP(VLOOKUP(B527,[1]Product!A:D,4,FALSE),[1]Category!A:B,2,FALSE)</f>
        <v>Beverages</v>
      </c>
      <c r="L527" s="10">
        <f>IFERROR(VLOOKUP(A527,'[1]Sales Order'!A:D,4,FALSE),"")</f>
        <v>39127</v>
      </c>
      <c r="M527" s="10">
        <f>IFERROR(VLOOKUP(A527,'[1]Sales Order'!A:F,6,FALSE),"")</f>
        <v>39132</v>
      </c>
      <c r="N527" t="str">
        <f>IFERROR(VLOOKUP(VLOOKUP(A527,'[1]Sales Order'!A:G,7,FALSE),[1]Shipper!A:B,2,FALSE),"Not Specified")</f>
        <v>Shipper GVSUA</v>
      </c>
      <c r="O527" t="str">
        <f>IFERROR(VLOOKUP(A527,'[1]Sales Order'!A:I,9,FALSE),"Not Specified")</f>
        <v>Ship to 79-C</v>
      </c>
      <c r="P527" t="str">
        <f>IFERROR(VLOOKUP(A527,'[1]Sales Order'!A:N,14,FALSE),"Not Specified")</f>
        <v>Germany</v>
      </c>
      <c r="Q527" t="str">
        <f>VLOOKUP(VLOOKUP(B527,[1]Product!A:C,3,FALSE),[1]Supplier!A:B,2,FALSE)</f>
        <v>Supplier UNAHG</v>
      </c>
      <c r="R527" t="str">
        <f>VLOOKUP(VLOOKUP(B527,[1]Product!A:C,3,FALSE),[1]Supplier!A:I,9,FALSE)</f>
        <v>Brazil</v>
      </c>
      <c r="S527" t="str">
        <f>IFERROR(IF(VLOOKUP(A527,'[1]Sales Order'!A:H,8,FALSE)&gt;100,"High Freight","Low Freight"),"Not Specified")</f>
        <v>Low Freight</v>
      </c>
      <c r="T527">
        <f t="shared" si="17"/>
        <v>64.8</v>
      </c>
    </row>
    <row r="528" spans="1:20">
      <c r="A528" s="1">
        <v>10446</v>
      </c>
      <c r="B528" s="2">
        <v>31</v>
      </c>
      <c r="C528" s="2">
        <v>10</v>
      </c>
      <c r="D528" s="2">
        <v>3</v>
      </c>
      <c r="E528" s="3">
        <v>0.1</v>
      </c>
      <c r="F528" s="2" t="str">
        <f>IFERROR(VLOOKUP(VLOOKUP(A528,'[1]Sales Order'!A:B,2,FALSE),[1]Customer!A:C,3,FALSE),"Not Specified")</f>
        <v>Wickham, Jim</v>
      </c>
      <c r="G528" s="2" t="str">
        <f t="shared" si="16"/>
        <v>Wickham Jim</v>
      </c>
      <c r="H528" s="8" t="str">
        <f>IFERROR(VLOOKUP(VLOOKUP(A528,'[1]Sales Order'!A:C,3,FALSE),[1]Employee!A:E,5,FALSE)&amp;" "&amp;VLOOKUP(VLOOKUP(A528,'[1]Sales Order'!A:C,3,FALSE),[1]Employee!A:C,3,FALSE)&amp;" "&amp;VLOOKUP(VLOOKUP(A528,'[1]Sales Order'!A:C,3,FALSE),[1]Employee!A:B,2,FALSE),"Not Specified")</f>
        <v>Mr. Paul Suurs</v>
      </c>
      <c r="I528">
        <f>IFERROR(VLOOKUP(VLOOKUP(A528,'[1]Sales Order'!A:C,3,FALSE),[1]Employee!A:J,10,FALSE),"Not Specified")</f>
        <v>0</v>
      </c>
      <c r="J528" t="str">
        <f>VLOOKUP(B528,[1]Product!A:B,2,FALSE)</f>
        <v>Product XWOXC</v>
      </c>
      <c r="K528" t="str">
        <f>VLOOKUP(VLOOKUP(B528,[1]Product!A:D,4,FALSE),[1]Category!A:B,2,FALSE)</f>
        <v>Dairy Product</v>
      </c>
      <c r="L528" s="10">
        <f>IFERROR(VLOOKUP(A528,'[1]Sales Order'!A:D,4,FALSE),"")</f>
        <v>39127</v>
      </c>
      <c r="M528" s="10">
        <f>IFERROR(VLOOKUP(A528,'[1]Sales Order'!A:F,6,FALSE),"")</f>
        <v>39132</v>
      </c>
      <c r="N528" t="str">
        <f>IFERROR(VLOOKUP(VLOOKUP(A528,'[1]Sales Order'!A:G,7,FALSE),[1]Shipper!A:B,2,FALSE),"Not Specified")</f>
        <v>Shipper GVSUA</v>
      </c>
      <c r="O528" t="str">
        <f>IFERROR(VLOOKUP(A528,'[1]Sales Order'!A:I,9,FALSE),"Not Specified")</f>
        <v>Ship to 79-C</v>
      </c>
      <c r="P528" t="str">
        <f>IFERROR(VLOOKUP(A528,'[1]Sales Order'!A:N,14,FALSE),"Not Specified")</f>
        <v>Germany</v>
      </c>
      <c r="Q528" t="str">
        <f>VLOOKUP(VLOOKUP(B528,[1]Product!A:C,3,FALSE),[1]Supplier!A:B,2,FALSE)</f>
        <v>Supplier KEREV</v>
      </c>
      <c r="R528" t="str">
        <f>VLOOKUP(VLOOKUP(B528,[1]Product!A:C,3,FALSE),[1]Supplier!A:I,9,FALSE)</f>
        <v>Italy</v>
      </c>
      <c r="S528" t="str">
        <f>IFERROR(IF(VLOOKUP(A528,'[1]Sales Order'!A:H,8,FALSE)&gt;100,"High Freight","Low Freight"),"Not Specified")</f>
        <v>Low Freight</v>
      </c>
      <c r="T528">
        <f t="shared" si="17"/>
        <v>27</v>
      </c>
    </row>
    <row r="529" spans="1:20">
      <c r="A529" s="1">
        <v>10446</v>
      </c>
      <c r="B529" s="2">
        <v>52</v>
      </c>
      <c r="C529" s="2">
        <v>5.6</v>
      </c>
      <c r="D529" s="2">
        <v>15</v>
      </c>
      <c r="E529" s="3">
        <v>0.1</v>
      </c>
      <c r="F529" s="2" t="str">
        <f>IFERROR(VLOOKUP(VLOOKUP(A529,'[1]Sales Order'!A:B,2,FALSE),[1]Customer!A:C,3,FALSE),"Not Specified")</f>
        <v>Wickham, Jim</v>
      </c>
      <c r="G529" s="2" t="str">
        <f t="shared" si="16"/>
        <v>Wickham Jim</v>
      </c>
      <c r="H529" s="8" t="str">
        <f>IFERROR(VLOOKUP(VLOOKUP(A529,'[1]Sales Order'!A:C,3,FALSE),[1]Employee!A:E,5,FALSE)&amp;" "&amp;VLOOKUP(VLOOKUP(A529,'[1]Sales Order'!A:C,3,FALSE),[1]Employee!A:C,3,FALSE)&amp;" "&amp;VLOOKUP(VLOOKUP(A529,'[1]Sales Order'!A:C,3,FALSE),[1]Employee!A:B,2,FALSE),"Not Specified")</f>
        <v>Mr. Paul Suurs</v>
      </c>
      <c r="I529">
        <f>IFERROR(VLOOKUP(VLOOKUP(A529,'[1]Sales Order'!A:C,3,FALSE),[1]Employee!A:J,10,FALSE),"Not Specified")</f>
        <v>0</v>
      </c>
      <c r="J529" t="str">
        <f>VLOOKUP(B529,[1]Product!A:B,2,FALSE)</f>
        <v>Product QSRXF</v>
      </c>
      <c r="K529" t="str">
        <f>VLOOKUP(VLOOKUP(B529,[1]Product!A:D,4,FALSE),[1]Category!A:B,2,FALSE)</f>
        <v>Grains/Cereals</v>
      </c>
      <c r="L529" s="10">
        <f>IFERROR(VLOOKUP(A529,'[1]Sales Order'!A:D,4,FALSE),"")</f>
        <v>39127</v>
      </c>
      <c r="M529" s="10">
        <f>IFERROR(VLOOKUP(A529,'[1]Sales Order'!A:F,6,FALSE),"")</f>
        <v>39132</v>
      </c>
      <c r="N529" t="str">
        <f>IFERROR(VLOOKUP(VLOOKUP(A529,'[1]Sales Order'!A:G,7,FALSE),[1]Shipper!A:B,2,FALSE),"Not Specified")</f>
        <v>Shipper GVSUA</v>
      </c>
      <c r="O529" t="str">
        <f>IFERROR(VLOOKUP(A529,'[1]Sales Order'!A:I,9,FALSE),"Not Specified")</f>
        <v>Ship to 79-C</v>
      </c>
      <c r="P529" t="str">
        <f>IFERROR(VLOOKUP(A529,'[1]Sales Order'!A:N,14,FALSE),"Not Specified")</f>
        <v>Germany</v>
      </c>
      <c r="Q529" t="str">
        <f>VLOOKUP(VLOOKUP(B529,[1]Product!A:C,3,FALSE),[1]Supplier!A:B,2,FALSE)</f>
        <v>Supplier JNNES</v>
      </c>
      <c r="R529" t="str">
        <f>VLOOKUP(VLOOKUP(B529,[1]Product!A:C,3,FALSE),[1]Supplier!A:I,9,FALSE)</f>
        <v>Australia</v>
      </c>
      <c r="S529" t="str">
        <f>IFERROR(IF(VLOOKUP(A529,'[1]Sales Order'!A:H,8,FALSE)&gt;100,"High Freight","Low Freight"),"Not Specified")</f>
        <v>Low Freight</v>
      </c>
      <c r="T529">
        <f t="shared" si="17"/>
        <v>75.600000000000009</v>
      </c>
    </row>
    <row r="530" spans="1:20">
      <c r="A530" s="1">
        <v>10447</v>
      </c>
      <c r="B530" s="2">
        <v>19</v>
      </c>
      <c r="C530" s="2">
        <v>7.3</v>
      </c>
      <c r="D530" s="2">
        <v>40</v>
      </c>
      <c r="E530" s="3">
        <v>0</v>
      </c>
      <c r="F530" s="2" t="str">
        <f>IFERROR(VLOOKUP(VLOOKUP(A530,'[1]Sales Order'!A:B,2,FALSE),[1]Customer!A:C,3,FALSE),"Not Specified")</f>
        <v>Garden, Euan</v>
      </c>
      <c r="G530" s="2" t="str">
        <f t="shared" si="16"/>
        <v>Garden Euan</v>
      </c>
      <c r="H530" s="8" t="str">
        <f>IFERROR(VLOOKUP(VLOOKUP(A530,'[1]Sales Order'!A:C,3,FALSE),[1]Employee!A:E,5,FALSE)&amp;" "&amp;VLOOKUP(VLOOKUP(A530,'[1]Sales Order'!A:C,3,FALSE),[1]Employee!A:C,3,FALSE)&amp;" "&amp;VLOOKUP(VLOOKUP(A530,'[1]Sales Order'!A:C,3,FALSE),[1]Employee!A:B,2,FALSE),"Not Specified")</f>
        <v>Mrs. Yael Peled</v>
      </c>
      <c r="I530" t="str">
        <f>IFERROR(VLOOKUP(VLOOKUP(A530,'[1]Sales Order'!A:C,3,FALSE),[1]Employee!A:J,10,FALSE),"Not Specified")</f>
        <v>WA</v>
      </c>
      <c r="J530" t="str">
        <f>VLOOKUP(B530,[1]Product!A:B,2,FALSE)</f>
        <v>Product XKXDO</v>
      </c>
      <c r="K530" t="str">
        <f>VLOOKUP(VLOOKUP(B530,[1]Product!A:D,4,FALSE),[1]Category!A:B,2,FALSE)</f>
        <v>Confections</v>
      </c>
      <c r="L530" s="10">
        <f>IFERROR(VLOOKUP(A530,'[1]Sales Order'!A:D,4,FALSE),"")</f>
        <v>39127</v>
      </c>
      <c r="M530" s="10">
        <f>IFERROR(VLOOKUP(A530,'[1]Sales Order'!A:F,6,FALSE),"")</f>
        <v>39148</v>
      </c>
      <c r="N530" t="str">
        <f>IFERROR(VLOOKUP(VLOOKUP(A530,'[1]Sales Order'!A:G,7,FALSE),[1]Shipper!A:B,2,FALSE),"Not Specified")</f>
        <v>Shipper ETYNR</v>
      </c>
      <c r="O530" t="str">
        <f>IFERROR(VLOOKUP(A530,'[1]Sales Order'!A:I,9,FALSE),"Not Specified")</f>
        <v>Ship to 67-C</v>
      </c>
      <c r="P530" t="str">
        <f>IFERROR(VLOOKUP(A530,'[1]Sales Order'!A:N,14,FALSE),"Not Specified")</f>
        <v>Brazil</v>
      </c>
      <c r="Q530" t="str">
        <f>VLOOKUP(VLOOKUP(B530,[1]Product!A:C,3,FALSE),[1]Supplier!A:B,2,FALSE)</f>
        <v>Supplier BWGYE</v>
      </c>
      <c r="R530" t="str">
        <f>VLOOKUP(VLOOKUP(B530,[1]Product!A:C,3,FALSE),[1]Supplier!A:I,9,FALSE)</f>
        <v>UK</v>
      </c>
      <c r="S530" t="str">
        <f>IFERROR(IF(VLOOKUP(A530,'[1]Sales Order'!A:H,8,FALSE)&gt;100,"High Freight","Low Freight"),"Not Specified")</f>
        <v>Low Freight</v>
      </c>
      <c r="T530">
        <f t="shared" si="17"/>
        <v>292</v>
      </c>
    </row>
    <row r="531" spans="1:20">
      <c r="A531" s="1">
        <v>10447</v>
      </c>
      <c r="B531" s="2">
        <v>65</v>
      </c>
      <c r="C531" s="2">
        <v>16.8</v>
      </c>
      <c r="D531" s="2">
        <v>35</v>
      </c>
      <c r="E531" s="3">
        <v>0</v>
      </c>
      <c r="F531" s="2" t="str">
        <f>IFERROR(VLOOKUP(VLOOKUP(A531,'[1]Sales Order'!A:B,2,FALSE),[1]Customer!A:C,3,FALSE),"Not Specified")</f>
        <v>Garden, Euan</v>
      </c>
      <c r="G531" s="2" t="str">
        <f t="shared" si="16"/>
        <v>Garden Euan</v>
      </c>
      <c r="H531" s="8" t="str">
        <f>IFERROR(VLOOKUP(VLOOKUP(A531,'[1]Sales Order'!A:C,3,FALSE),[1]Employee!A:E,5,FALSE)&amp;" "&amp;VLOOKUP(VLOOKUP(A531,'[1]Sales Order'!A:C,3,FALSE),[1]Employee!A:C,3,FALSE)&amp;" "&amp;VLOOKUP(VLOOKUP(A531,'[1]Sales Order'!A:C,3,FALSE),[1]Employee!A:B,2,FALSE),"Not Specified")</f>
        <v>Mrs. Yael Peled</v>
      </c>
      <c r="I531" t="str">
        <f>IFERROR(VLOOKUP(VLOOKUP(A531,'[1]Sales Order'!A:C,3,FALSE),[1]Employee!A:J,10,FALSE),"Not Specified")</f>
        <v>WA</v>
      </c>
      <c r="J531" t="str">
        <f>VLOOKUP(B531,[1]Product!A:B,2,FALSE)</f>
        <v>Product XYWBZ</v>
      </c>
      <c r="K531" t="str">
        <f>VLOOKUP(VLOOKUP(B531,[1]Product!A:D,4,FALSE),[1]Category!A:B,2,FALSE)</f>
        <v>Condiments</v>
      </c>
      <c r="L531" s="10">
        <f>IFERROR(VLOOKUP(A531,'[1]Sales Order'!A:D,4,FALSE),"")</f>
        <v>39127</v>
      </c>
      <c r="M531" s="10">
        <f>IFERROR(VLOOKUP(A531,'[1]Sales Order'!A:F,6,FALSE),"")</f>
        <v>39148</v>
      </c>
      <c r="N531" t="str">
        <f>IFERROR(VLOOKUP(VLOOKUP(A531,'[1]Sales Order'!A:G,7,FALSE),[1]Shipper!A:B,2,FALSE),"Not Specified")</f>
        <v>Shipper ETYNR</v>
      </c>
      <c r="O531" t="str">
        <f>IFERROR(VLOOKUP(A531,'[1]Sales Order'!A:I,9,FALSE),"Not Specified")</f>
        <v>Ship to 67-C</v>
      </c>
      <c r="P531" t="str">
        <f>IFERROR(VLOOKUP(A531,'[1]Sales Order'!A:N,14,FALSE),"Not Specified")</f>
        <v>Brazil</v>
      </c>
      <c r="Q531" t="str">
        <f>VLOOKUP(VLOOKUP(B531,[1]Product!A:C,3,FALSE),[1]Supplier!A:B,2,FALSE)</f>
        <v>Supplier VHQZD</v>
      </c>
      <c r="R531" t="str">
        <f>VLOOKUP(VLOOKUP(B531,[1]Product!A:C,3,FALSE),[1]Supplier!A:I,9,FALSE)</f>
        <v>USA</v>
      </c>
      <c r="S531" t="str">
        <f>IFERROR(IF(VLOOKUP(A531,'[1]Sales Order'!A:H,8,FALSE)&gt;100,"High Freight","Low Freight"),"Not Specified")</f>
        <v>Low Freight</v>
      </c>
      <c r="T531">
        <f t="shared" si="17"/>
        <v>588</v>
      </c>
    </row>
    <row r="532" spans="1:20">
      <c r="A532" s="1">
        <v>10447</v>
      </c>
      <c r="B532" s="2">
        <v>71</v>
      </c>
      <c r="C532" s="2">
        <v>17.2</v>
      </c>
      <c r="D532" s="2">
        <v>2</v>
      </c>
      <c r="E532" s="3">
        <v>0</v>
      </c>
      <c r="F532" s="2" t="str">
        <f>IFERROR(VLOOKUP(VLOOKUP(A532,'[1]Sales Order'!A:B,2,FALSE),[1]Customer!A:C,3,FALSE),"Not Specified")</f>
        <v>Garden, Euan</v>
      </c>
      <c r="G532" s="2" t="str">
        <f t="shared" si="16"/>
        <v>Garden Euan</v>
      </c>
      <c r="H532" s="8" t="str">
        <f>IFERROR(VLOOKUP(VLOOKUP(A532,'[1]Sales Order'!A:C,3,FALSE),[1]Employee!A:E,5,FALSE)&amp;" "&amp;VLOOKUP(VLOOKUP(A532,'[1]Sales Order'!A:C,3,FALSE),[1]Employee!A:C,3,FALSE)&amp;" "&amp;VLOOKUP(VLOOKUP(A532,'[1]Sales Order'!A:C,3,FALSE),[1]Employee!A:B,2,FALSE),"Not Specified")</f>
        <v>Mrs. Yael Peled</v>
      </c>
      <c r="I532" t="str">
        <f>IFERROR(VLOOKUP(VLOOKUP(A532,'[1]Sales Order'!A:C,3,FALSE),[1]Employee!A:J,10,FALSE),"Not Specified")</f>
        <v>WA</v>
      </c>
      <c r="J532" t="str">
        <f>VLOOKUP(B532,[1]Product!A:B,2,FALSE)</f>
        <v>Product MYMOI</v>
      </c>
      <c r="K532" t="str">
        <f>VLOOKUP(VLOOKUP(B532,[1]Product!A:D,4,FALSE),[1]Category!A:B,2,FALSE)</f>
        <v>Dairy Product</v>
      </c>
      <c r="L532" s="10">
        <f>IFERROR(VLOOKUP(A532,'[1]Sales Order'!A:D,4,FALSE),"")</f>
        <v>39127</v>
      </c>
      <c r="M532" s="10">
        <f>IFERROR(VLOOKUP(A532,'[1]Sales Order'!A:F,6,FALSE),"")</f>
        <v>39148</v>
      </c>
      <c r="N532" t="str">
        <f>IFERROR(VLOOKUP(VLOOKUP(A532,'[1]Sales Order'!A:G,7,FALSE),[1]Shipper!A:B,2,FALSE),"Not Specified")</f>
        <v>Shipper ETYNR</v>
      </c>
      <c r="O532" t="str">
        <f>IFERROR(VLOOKUP(A532,'[1]Sales Order'!A:I,9,FALSE),"Not Specified")</f>
        <v>Ship to 67-C</v>
      </c>
      <c r="P532" t="str">
        <f>IFERROR(VLOOKUP(A532,'[1]Sales Order'!A:N,14,FALSE),"Not Specified")</f>
        <v>Brazil</v>
      </c>
      <c r="Q532" t="str">
        <f>VLOOKUP(VLOOKUP(B532,[1]Product!A:C,3,FALSE),[1]Supplier!A:B,2,FALSE)</f>
        <v>Supplier NZLIF</v>
      </c>
      <c r="R532" t="str">
        <f>VLOOKUP(VLOOKUP(B532,[1]Product!A:C,3,FALSE),[1]Supplier!A:I,9,FALSE)</f>
        <v>Norway</v>
      </c>
      <c r="S532" t="str">
        <f>IFERROR(IF(VLOOKUP(A532,'[1]Sales Order'!A:H,8,FALSE)&gt;100,"High Freight","Low Freight"),"Not Specified")</f>
        <v>Low Freight</v>
      </c>
      <c r="T532">
        <f t="shared" si="17"/>
        <v>34.4</v>
      </c>
    </row>
    <row r="533" spans="1:20">
      <c r="A533" s="1">
        <v>10448</v>
      </c>
      <c r="B533" s="2">
        <v>26</v>
      </c>
      <c r="C533" s="2">
        <v>24.9</v>
      </c>
      <c r="D533" s="2">
        <v>6</v>
      </c>
      <c r="E533" s="3">
        <v>0</v>
      </c>
      <c r="F533" s="2" t="str">
        <f>IFERROR(VLOOKUP(VLOOKUP(A533,'[1]Sales Order'!A:B,2,FALSE),[1]Customer!A:C,3,FALSE),"Not Specified")</f>
        <v>Gaffney, Lawrie</v>
      </c>
      <c r="G533" s="2" t="str">
        <f t="shared" si="16"/>
        <v>Gaffney Lawrie</v>
      </c>
      <c r="H533" s="8" t="str">
        <f>IFERROR(VLOOKUP(VLOOKUP(A533,'[1]Sales Order'!A:C,3,FALSE),[1]Employee!A:E,5,FALSE)&amp;" "&amp;VLOOKUP(VLOOKUP(A533,'[1]Sales Order'!A:C,3,FALSE),[1]Employee!A:C,3,FALSE)&amp;" "&amp;VLOOKUP(VLOOKUP(A533,'[1]Sales Order'!A:C,3,FALSE),[1]Employee!A:B,2,FALSE),"Not Specified")</f>
        <v>Mrs. Yael Peled</v>
      </c>
      <c r="I533" t="str">
        <f>IFERROR(VLOOKUP(VLOOKUP(A533,'[1]Sales Order'!A:C,3,FALSE),[1]Employee!A:J,10,FALSE),"Not Specified")</f>
        <v>WA</v>
      </c>
      <c r="J533" t="str">
        <f>VLOOKUP(B533,[1]Product!A:B,2,FALSE)</f>
        <v>Product HLGZA</v>
      </c>
      <c r="K533" t="str">
        <f>VLOOKUP(VLOOKUP(B533,[1]Product!A:D,4,FALSE),[1]Category!A:B,2,FALSE)</f>
        <v>Confections</v>
      </c>
      <c r="L533" s="10">
        <f>IFERROR(VLOOKUP(A533,'[1]Sales Order'!A:D,4,FALSE),"")</f>
        <v>39130</v>
      </c>
      <c r="M533" s="10">
        <f>IFERROR(VLOOKUP(A533,'[1]Sales Order'!A:F,6,FALSE),"")</f>
        <v>39137</v>
      </c>
      <c r="N533" t="str">
        <f>IFERROR(VLOOKUP(VLOOKUP(A533,'[1]Sales Order'!A:G,7,FALSE),[1]Shipper!A:B,2,FALSE),"Not Specified")</f>
        <v>Shipper ETYNR</v>
      </c>
      <c r="O533" t="str">
        <f>IFERROR(VLOOKUP(A533,'[1]Sales Order'!A:I,9,FALSE),"Not Specified")</f>
        <v>Ship to 64-A</v>
      </c>
      <c r="P533" t="str">
        <f>IFERROR(VLOOKUP(A533,'[1]Sales Order'!A:N,14,FALSE),"Not Specified")</f>
        <v>Argentina</v>
      </c>
      <c r="Q533" t="str">
        <f>VLOOKUP(VLOOKUP(B533,[1]Product!A:C,3,FALSE),[1]Supplier!A:B,2,FALSE)</f>
        <v>Supplier ZPYVS</v>
      </c>
      <c r="R533" t="str">
        <f>VLOOKUP(VLOOKUP(B533,[1]Product!A:C,3,FALSE),[1]Supplier!A:I,9,FALSE)</f>
        <v>Germany</v>
      </c>
      <c r="S533" t="str">
        <f>IFERROR(IF(VLOOKUP(A533,'[1]Sales Order'!A:H,8,FALSE)&gt;100,"High Freight","Low Freight"),"Not Specified")</f>
        <v>Low Freight</v>
      </c>
      <c r="T533">
        <f t="shared" si="17"/>
        <v>149.39999999999998</v>
      </c>
    </row>
    <row r="534" spans="1:20">
      <c r="A534" s="1">
        <v>10448</v>
      </c>
      <c r="B534" s="2">
        <v>40</v>
      </c>
      <c r="C534" s="2">
        <v>14.7</v>
      </c>
      <c r="D534" s="2">
        <v>20</v>
      </c>
      <c r="E534" s="3">
        <v>0</v>
      </c>
      <c r="F534" s="2" t="str">
        <f>IFERROR(VLOOKUP(VLOOKUP(A534,'[1]Sales Order'!A:B,2,FALSE),[1]Customer!A:C,3,FALSE),"Not Specified")</f>
        <v>Gaffney, Lawrie</v>
      </c>
      <c r="G534" s="2" t="str">
        <f t="shared" si="16"/>
        <v>Gaffney Lawrie</v>
      </c>
      <c r="H534" s="8" t="str">
        <f>IFERROR(VLOOKUP(VLOOKUP(A534,'[1]Sales Order'!A:C,3,FALSE),[1]Employee!A:E,5,FALSE)&amp;" "&amp;VLOOKUP(VLOOKUP(A534,'[1]Sales Order'!A:C,3,FALSE),[1]Employee!A:C,3,FALSE)&amp;" "&amp;VLOOKUP(VLOOKUP(A534,'[1]Sales Order'!A:C,3,FALSE),[1]Employee!A:B,2,FALSE),"Not Specified")</f>
        <v>Mrs. Yael Peled</v>
      </c>
      <c r="I534" t="str">
        <f>IFERROR(VLOOKUP(VLOOKUP(A534,'[1]Sales Order'!A:C,3,FALSE),[1]Employee!A:J,10,FALSE),"Not Specified")</f>
        <v>WA</v>
      </c>
      <c r="J534" t="str">
        <f>VLOOKUP(B534,[1]Product!A:B,2,FALSE)</f>
        <v>Product YZIXQ</v>
      </c>
      <c r="K534" t="str">
        <f>VLOOKUP(VLOOKUP(B534,[1]Product!A:D,4,FALSE),[1]Category!A:B,2,FALSE)</f>
        <v>Seafood</v>
      </c>
      <c r="L534" s="10">
        <f>IFERROR(VLOOKUP(A534,'[1]Sales Order'!A:D,4,FALSE),"")</f>
        <v>39130</v>
      </c>
      <c r="M534" s="10">
        <f>IFERROR(VLOOKUP(A534,'[1]Sales Order'!A:F,6,FALSE),"")</f>
        <v>39137</v>
      </c>
      <c r="N534" t="str">
        <f>IFERROR(VLOOKUP(VLOOKUP(A534,'[1]Sales Order'!A:G,7,FALSE),[1]Shipper!A:B,2,FALSE),"Not Specified")</f>
        <v>Shipper ETYNR</v>
      </c>
      <c r="O534" t="str">
        <f>IFERROR(VLOOKUP(A534,'[1]Sales Order'!A:I,9,FALSE),"Not Specified")</f>
        <v>Ship to 64-A</v>
      </c>
      <c r="P534" t="str">
        <f>IFERROR(VLOOKUP(A534,'[1]Sales Order'!A:N,14,FALSE),"Not Specified")</f>
        <v>Argentina</v>
      </c>
      <c r="Q534" t="str">
        <f>VLOOKUP(VLOOKUP(B534,[1]Product!A:C,3,FALSE),[1]Supplier!A:B,2,FALSE)</f>
        <v>Supplier JDNUG</v>
      </c>
      <c r="R534" t="str">
        <f>VLOOKUP(VLOOKUP(B534,[1]Product!A:C,3,FALSE),[1]Supplier!A:I,9,FALSE)</f>
        <v>USA</v>
      </c>
      <c r="S534" t="str">
        <f>IFERROR(IF(VLOOKUP(A534,'[1]Sales Order'!A:H,8,FALSE)&gt;100,"High Freight","Low Freight"),"Not Specified")</f>
        <v>Low Freight</v>
      </c>
      <c r="T534">
        <f t="shared" si="17"/>
        <v>294</v>
      </c>
    </row>
    <row r="535" spans="1:20">
      <c r="A535" s="1">
        <v>10449</v>
      </c>
      <c r="B535" s="2">
        <v>10</v>
      </c>
      <c r="C535" s="2">
        <v>24.8</v>
      </c>
      <c r="D535" s="2">
        <v>14</v>
      </c>
      <c r="E535" s="3">
        <v>0</v>
      </c>
      <c r="F535" s="2" t="str">
        <f>IFERROR(VLOOKUP(VLOOKUP(A535,'[1]Sales Order'!A:B,2,FALSE),[1]Customer!A:C,3,FALSE),"Not Specified")</f>
        <v>Bansal, Dushyant</v>
      </c>
      <c r="G535" s="2" t="str">
        <f t="shared" si="16"/>
        <v>Bansal Dushyant</v>
      </c>
      <c r="H535" s="8" t="str">
        <f>IFERROR(VLOOKUP(VLOOKUP(A535,'[1]Sales Order'!A:C,3,FALSE),[1]Employee!A:E,5,FALSE)&amp;" "&amp;VLOOKUP(VLOOKUP(A535,'[1]Sales Order'!A:C,3,FALSE),[1]Employee!A:C,3,FALSE)&amp;" "&amp;VLOOKUP(VLOOKUP(A535,'[1]Sales Order'!A:C,3,FALSE),[1]Employee!A:B,2,FALSE),"Not Specified")</f>
        <v>Ms. Judy Lew</v>
      </c>
      <c r="I535" t="str">
        <f>IFERROR(VLOOKUP(VLOOKUP(A535,'[1]Sales Order'!A:C,3,FALSE),[1]Employee!A:J,10,FALSE),"Not Specified")</f>
        <v>WA</v>
      </c>
      <c r="J535" t="str">
        <f>VLOOKUP(B535,[1]Product!A:B,2,FALSE)</f>
        <v>Product YHXGE</v>
      </c>
      <c r="K535" t="str">
        <f>VLOOKUP(VLOOKUP(B535,[1]Product!A:D,4,FALSE),[1]Category!A:B,2,FALSE)</f>
        <v>Seafood</v>
      </c>
      <c r="L535" s="10">
        <f>IFERROR(VLOOKUP(A535,'[1]Sales Order'!A:D,4,FALSE),"")</f>
        <v>39131</v>
      </c>
      <c r="M535" s="10">
        <f>IFERROR(VLOOKUP(A535,'[1]Sales Order'!A:F,6,FALSE),"")</f>
        <v>39140</v>
      </c>
      <c r="N535" t="str">
        <f>IFERROR(VLOOKUP(VLOOKUP(A535,'[1]Sales Order'!A:G,7,FALSE),[1]Shipper!A:B,2,FALSE),"Not Specified")</f>
        <v>Shipper ETYNR</v>
      </c>
      <c r="O535" t="str">
        <f>IFERROR(VLOOKUP(A535,'[1]Sales Order'!A:I,9,FALSE),"Not Specified")</f>
        <v>Ship to 7-C</v>
      </c>
      <c r="P535" t="str">
        <f>IFERROR(VLOOKUP(A535,'[1]Sales Order'!A:N,14,FALSE),"Not Specified")</f>
        <v>France</v>
      </c>
      <c r="Q535" t="str">
        <f>VLOOKUP(VLOOKUP(B535,[1]Product!A:C,3,FALSE),[1]Supplier!A:B,2,FALSE)</f>
        <v>Supplier QOVFD</v>
      </c>
      <c r="R535" t="str">
        <f>VLOOKUP(VLOOKUP(B535,[1]Product!A:C,3,FALSE),[1]Supplier!A:I,9,FALSE)</f>
        <v>Japan</v>
      </c>
      <c r="S535" t="str">
        <f>IFERROR(IF(VLOOKUP(A535,'[1]Sales Order'!A:H,8,FALSE)&gt;100,"High Freight","Low Freight"),"Not Specified")</f>
        <v>Low Freight</v>
      </c>
      <c r="T535">
        <f t="shared" si="17"/>
        <v>347.2</v>
      </c>
    </row>
    <row r="536" spans="1:20">
      <c r="A536" s="1">
        <v>10449</v>
      </c>
      <c r="B536" s="2">
        <v>52</v>
      </c>
      <c r="C536" s="2">
        <v>5.6</v>
      </c>
      <c r="D536" s="2">
        <v>20</v>
      </c>
      <c r="E536" s="3">
        <v>0</v>
      </c>
      <c r="F536" s="2" t="str">
        <f>IFERROR(VLOOKUP(VLOOKUP(A536,'[1]Sales Order'!A:B,2,FALSE),[1]Customer!A:C,3,FALSE),"Not Specified")</f>
        <v>Bansal, Dushyant</v>
      </c>
      <c r="G536" s="2" t="str">
        <f t="shared" si="16"/>
        <v>Bansal Dushyant</v>
      </c>
      <c r="H536" s="8" t="str">
        <f>IFERROR(VLOOKUP(VLOOKUP(A536,'[1]Sales Order'!A:C,3,FALSE),[1]Employee!A:E,5,FALSE)&amp;" "&amp;VLOOKUP(VLOOKUP(A536,'[1]Sales Order'!A:C,3,FALSE),[1]Employee!A:C,3,FALSE)&amp;" "&amp;VLOOKUP(VLOOKUP(A536,'[1]Sales Order'!A:C,3,FALSE),[1]Employee!A:B,2,FALSE),"Not Specified")</f>
        <v>Ms. Judy Lew</v>
      </c>
      <c r="I536" t="str">
        <f>IFERROR(VLOOKUP(VLOOKUP(A536,'[1]Sales Order'!A:C,3,FALSE),[1]Employee!A:J,10,FALSE),"Not Specified")</f>
        <v>WA</v>
      </c>
      <c r="J536" t="str">
        <f>VLOOKUP(B536,[1]Product!A:B,2,FALSE)</f>
        <v>Product QSRXF</v>
      </c>
      <c r="K536" t="str">
        <f>VLOOKUP(VLOOKUP(B536,[1]Product!A:D,4,FALSE),[1]Category!A:B,2,FALSE)</f>
        <v>Grains/Cereals</v>
      </c>
      <c r="L536" s="10">
        <f>IFERROR(VLOOKUP(A536,'[1]Sales Order'!A:D,4,FALSE),"")</f>
        <v>39131</v>
      </c>
      <c r="M536" s="10">
        <f>IFERROR(VLOOKUP(A536,'[1]Sales Order'!A:F,6,FALSE),"")</f>
        <v>39140</v>
      </c>
      <c r="N536" t="str">
        <f>IFERROR(VLOOKUP(VLOOKUP(A536,'[1]Sales Order'!A:G,7,FALSE),[1]Shipper!A:B,2,FALSE),"Not Specified")</f>
        <v>Shipper ETYNR</v>
      </c>
      <c r="O536" t="str">
        <f>IFERROR(VLOOKUP(A536,'[1]Sales Order'!A:I,9,FALSE),"Not Specified")</f>
        <v>Ship to 7-C</v>
      </c>
      <c r="P536" t="str">
        <f>IFERROR(VLOOKUP(A536,'[1]Sales Order'!A:N,14,FALSE),"Not Specified")</f>
        <v>France</v>
      </c>
      <c r="Q536" t="str">
        <f>VLOOKUP(VLOOKUP(B536,[1]Product!A:C,3,FALSE),[1]Supplier!A:B,2,FALSE)</f>
        <v>Supplier JNNES</v>
      </c>
      <c r="R536" t="str">
        <f>VLOOKUP(VLOOKUP(B536,[1]Product!A:C,3,FALSE),[1]Supplier!A:I,9,FALSE)</f>
        <v>Australia</v>
      </c>
      <c r="S536" t="str">
        <f>IFERROR(IF(VLOOKUP(A536,'[1]Sales Order'!A:H,8,FALSE)&gt;100,"High Freight","Low Freight"),"Not Specified")</f>
        <v>Low Freight</v>
      </c>
      <c r="T536">
        <f t="shared" si="17"/>
        <v>112</v>
      </c>
    </row>
    <row r="537" spans="1:20">
      <c r="A537" s="1">
        <v>10449</v>
      </c>
      <c r="B537" s="2">
        <v>62</v>
      </c>
      <c r="C537" s="2">
        <v>39.4</v>
      </c>
      <c r="D537" s="2">
        <v>35</v>
      </c>
      <c r="E537" s="3">
        <v>0</v>
      </c>
      <c r="F537" s="2" t="str">
        <f>IFERROR(VLOOKUP(VLOOKUP(A537,'[1]Sales Order'!A:B,2,FALSE),[1]Customer!A:C,3,FALSE),"Not Specified")</f>
        <v>Bansal, Dushyant</v>
      </c>
      <c r="G537" s="2" t="str">
        <f t="shared" si="16"/>
        <v>Bansal Dushyant</v>
      </c>
      <c r="H537" s="8" t="str">
        <f>IFERROR(VLOOKUP(VLOOKUP(A537,'[1]Sales Order'!A:C,3,FALSE),[1]Employee!A:E,5,FALSE)&amp;" "&amp;VLOOKUP(VLOOKUP(A537,'[1]Sales Order'!A:C,3,FALSE),[1]Employee!A:C,3,FALSE)&amp;" "&amp;VLOOKUP(VLOOKUP(A537,'[1]Sales Order'!A:C,3,FALSE),[1]Employee!A:B,2,FALSE),"Not Specified")</f>
        <v>Ms. Judy Lew</v>
      </c>
      <c r="I537" t="str">
        <f>IFERROR(VLOOKUP(VLOOKUP(A537,'[1]Sales Order'!A:C,3,FALSE),[1]Employee!A:J,10,FALSE),"Not Specified")</f>
        <v>WA</v>
      </c>
      <c r="J537" t="str">
        <f>VLOOKUP(B537,[1]Product!A:B,2,FALSE)</f>
        <v>Product WUXYK</v>
      </c>
      <c r="K537" t="str">
        <f>VLOOKUP(VLOOKUP(B537,[1]Product!A:D,4,FALSE),[1]Category!A:B,2,FALSE)</f>
        <v>Confections</v>
      </c>
      <c r="L537" s="10">
        <f>IFERROR(VLOOKUP(A537,'[1]Sales Order'!A:D,4,FALSE),"")</f>
        <v>39131</v>
      </c>
      <c r="M537" s="10">
        <f>IFERROR(VLOOKUP(A537,'[1]Sales Order'!A:F,6,FALSE),"")</f>
        <v>39140</v>
      </c>
      <c r="N537" t="str">
        <f>IFERROR(VLOOKUP(VLOOKUP(A537,'[1]Sales Order'!A:G,7,FALSE),[1]Shipper!A:B,2,FALSE),"Not Specified")</f>
        <v>Shipper ETYNR</v>
      </c>
      <c r="O537" t="str">
        <f>IFERROR(VLOOKUP(A537,'[1]Sales Order'!A:I,9,FALSE),"Not Specified")</f>
        <v>Ship to 7-C</v>
      </c>
      <c r="P537" t="str">
        <f>IFERROR(VLOOKUP(A537,'[1]Sales Order'!A:N,14,FALSE),"Not Specified")</f>
        <v>France</v>
      </c>
      <c r="Q537" t="str">
        <f>VLOOKUP(VLOOKUP(B537,[1]Product!A:C,3,FALSE),[1]Supplier!A:B,2,FALSE)</f>
        <v>Supplier OGLRK</v>
      </c>
      <c r="R537" t="str">
        <f>VLOOKUP(VLOOKUP(B537,[1]Product!A:C,3,FALSE),[1]Supplier!A:I,9,FALSE)</f>
        <v>Canada</v>
      </c>
      <c r="S537" t="str">
        <f>IFERROR(IF(VLOOKUP(A537,'[1]Sales Order'!A:H,8,FALSE)&gt;100,"High Freight","Low Freight"),"Not Specified")</f>
        <v>Low Freight</v>
      </c>
      <c r="T537">
        <f t="shared" si="17"/>
        <v>1379</v>
      </c>
    </row>
    <row r="538" spans="1:20">
      <c r="A538" s="1">
        <v>10450</v>
      </c>
      <c r="B538" s="2">
        <v>10</v>
      </c>
      <c r="C538" s="2">
        <v>24.8</v>
      </c>
      <c r="D538" s="2">
        <v>20</v>
      </c>
      <c r="E538" s="3">
        <v>0.2</v>
      </c>
      <c r="F538" s="2" t="str">
        <f>IFERROR(VLOOKUP(VLOOKUP(A538,'[1]Sales Order'!A:B,2,FALSE),[1]Customer!A:C,3,FALSE),"Not Specified")</f>
        <v>Tuntisangaroon, Sittichai</v>
      </c>
      <c r="G538" s="2" t="str">
        <f t="shared" si="16"/>
        <v>Tuntisangaroon Sittichai</v>
      </c>
      <c r="H538" s="8" t="str">
        <f>IFERROR(VLOOKUP(VLOOKUP(A538,'[1]Sales Order'!A:C,3,FALSE),[1]Employee!A:E,5,FALSE)&amp;" "&amp;VLOOKUP(VLOOKUP(A538,'[1]Sales Order'!A:C,3,FALSE),[1]Employee!A:C,3,FALSE)&amp;" "&amp;VLOOKUP(VLOOKUP(A538,'[1]Sales Order'!A:C,3,FALSE),[1]Employee!A:B,2,FALSE),"Not Specified")</f>
        <v>Ms. Maria Cameron</v>
      </c>
      <c r="I538" t="str">
        <f>IFERROR(VLOOKUP(VLOOKUP(A538,'[1]Sales Order'!A:C,3,FALSE),[1]Employee!A:J,10,FALSE),"Not Specified")</f>
        <v>WA</v>
      </c>
      <c r="J538" t="str">
        <f>VLOOKUP(B538,[1]Product!A:B,2,FALSE)</f>
        <v>Product YHXGE</v>
      </c>
      <c r="K538" t="str">
        <f>VLOOKUP(VLOOKUP(B538,[1]Product!A:D,4,FALSE),[1]Category!A:B,2,FALSE)</f>
        <v>Seafood</v>
      </c>
      <c r="L538" s="10">
        <f>IFERROR(VLOOKUP(A538,'[1]Sales Order'!A:D,4,FALSE),"")</f>
        <v>39132</v>
      </c>
      <c r="M538" s="10">
        <f>IFERROR(VLOOKUP(A538,'[1]Sales Order'!A:F,6,FALSE),"")</f>
        <v>39152</v>
      </c>
      <c r="N538" t="str">
        <f>IFERROR(VLOOKUP(VLOOKUP(A538,'[1]Sales Order'!A:G,7,FALSE),[1]Shipper!A:B,2,FALSE),"Not Specified")</f>
        <v>Shipper ETYNR</v>
      </c>
      <c r="O538" t="str">
        <f>IFERROR(VLOOKUP(A538,'[1]Sales Order'!A:I,9,FALSE),"Not Specified")</f>
        <v>Ship to 84-C</v>
      </c>
      <c r="P538" t="str">
        <f>IFERROR(VLOOKUP(A538,'[1]Sales Order'!A:N,14,FALSE),"Not Specified")</f>
        <v>France</v>
      </c>
      <c r="Q538" t="str">
        <f>VLOOKUP(VLOOKUP(B538,[1]Product!A:C,3,FALSE),[1]Supplier!A:B,2,FALSE)</f>
        <v>Supplier QOVFD</v>
      </c>
      <c r="R538" t="str">
        <f>VLOOKUP(VLOOKUP(B538,[1]Product!A:C,3,FALSE),[1]Supplier!A:I,9,FALSE)</f>
        <v>Japan</v>
      </c>
      <c r="S538" t="str">
        <f>IFERROR(IF(VLOOKUP(A538,'[1]Sales Order'!A:H,8,FALSE)&gt;100,"High Freight","Low Freight"),"Not Specified")</f>
        <v>Low Freight</v>
      </c>
      <c r="T538">
        <f t="shared" si="17"/>
        <v>396.8</v>
      </c>
    </row>
    <row r="539" spans="1:20">
      <c r="A539" s="1">
        <v>10450</v>
      </c>
      <c r="B539" s="2">
        <v>54</v>
      </c>
      <c r="C539" s="2">
        <v>5.9</v>
      </c>
      <c r="D539" s="2">
        <v>6</v>
      </c>
      <c r="E539" s="3">
        <v>0.2</v>
      </c>
      <c r="F539" s="2" t="str">
        <f>IFERROR(VLOOKUP(VLOOKUP(A539,'[1]Sales Order'!A:B,2,FALSE),[1]Customer!A:C,3,FALSE),"Not Specified")</f>
        <v>Tuntisangaroon, Sittichai</v>
      </c>
      <c r="G539" s="2" t="str">
        <f t="shared" si="16"/>
        <v>Tuntisangaroon Sittichai</v>
      </c>
      <c r="H539" s="8" t="str">
        <f>IFERROR(VLOOKUP(VLOOKUP(A539,'[1]Sales Order'!A:C,3,FALSE),[1]Employee!A:E,5,FALSE)&amp;" "&amp;VLOOKUP(VLOOKUP(A539,'[1]Sales Order'!A:C,3,FALSE),[1]Employee!A:C,3,FALSE)&amp;" "&amp;VLOOKUP(VLOOKUP(A539,'[1]Sales Order'!A:C,3,FALSE),[1]Employee!A:B,2,FALSE),"Not Specified")</f>
        <v>Ms. Maria Cameron</v>
      </c>
      <c r="I539" t="str">
        <f>IFERROR(VLOOKUP(VLOOKUP(A539,'[1]Sales Order'!A:C,3,FALSE),[1]Employee!A:J,10,FALSE),"Not Specified")</f>
        <v>WA</v>
      </c>
      <c r="J539" t="str">
        <f>VLOOKUP(B539,[1]Product!A:B,2,FALSE)</f>
        <v>Product QAQRL</v>
      </c>
      <c r="K539" t="str">
        <f>VLOOKUP(VLOOKUP(B539,[1]Product!A:D,4,FALSE),[1]Category!A:B,2,FALSE)</f>
        <v>Meat/Poultry</v>
      </c>
      <c r="L539" s="10">
        <f>IFERROR(VLOOKUP(A539,'[1]Sales Order'!A:D,4,FALSE),"")</f>
        <v>39132</v>
      </c>
      <c r="M539" s="10">
        <f>IFERROR(VLOOKUP(A539,'[1]Sales Order'!A:F,6,FALSE),"")</f>
        <v>39152</v>
      </c>
      <c r="N539" t="str">
        <f>IFERROR(VLOOKUP(VLOOKUP(A539,'[1]Sales Order'!A:G,7,FALSE),[1]Shipper!A:B,2,FALSE),"Not Specified")</f>
        <v>Shipper ETYNR</v>
      </c>
      <c r="O539" t="str">
        <f>IFERROR(VLOOKUP(A539,'[1]Sales Order'!A:I,9,FALSE),"Not Specified")</f>
        <v>Ship to 84-C</v>
      </c>
      <c r="P539" t="str">
        <f>IFERROR(VLOOKUP(A539,'[1]Sales Order'!A:N,14,FALSE),"Not Specified")</f>
        <v>France</v>
      </c>
      <c r="Q539" t="str">
        <f>VLOOKUP(VLOOKUP(B539,[1]Product!A:C,3,FALSE),[1]Supplier!A:B,2,FALSE)</f>
        <v>Supplier ERVYZ</v>
      </c>
      <c r="R539" t="str">
        <f>VLOOKUP(VLOOKUP(B539,[1]Product!A:C,3,FALSE),[1]Supplier!A:I,9,FALSE)</f>
        <v>Canada</v>
      </c>
      <c r="S539" t="str">
        <f>IFERROR(IF(VLOOKUP(A539,'[1]Sales Order'!A:H,8,FALSE)&gt;100,"High Freight","Low Freight"),"Not Specified")</f>
        <v>Low Freight</v>
      </c>
      <c r="T539">
        <f t="shared" si="17"/>
        <v>28.320000000000007</v>
      </c>
    </row>
    <row r="540" spans="1:20">
      <c r="A540" s="1">
        <v>10451</v>
      </c>
      <c r="B540" s="2">
        <v>55</v>
      </c>
      <c r="C540" s="2">
        <v>19.2</v>
      </c>
      <c r="D540" s="2">
        <v>120</v>
      </c>
      <c r="E540" s="3">
        <v>0.1</v>
      </c>
      <c r="F540" s="2" t="str">
        <f>IFERROR(VLOOKUP(VLOOKUP(A540,'[1]Sales Order'!A:B,2,FALSE),[1]Customer!A:C,3,FALSE),"Not Specified")</f>
        <v>Veronesi, Giorgio</v>
      </c>
      <c r="G540" s="2" t="str">
        <f t="shared" si="16"/>
        <v>Veronesi Giorgio</v>
      </c>
      <c r="H540" s="8" t="str">
        <f>IFERROR(VLOOKUP(VLOOKUP(A540,'[1]Sales Order'!A:C,3,FALSE),[1]Employee!A:E,5,FALSE)&amp;" "&amp;VLOOKUP(VLOOKUP(A540,'[1]Sales Order'!A:C,3,FALSE),[1]Employee!A:C,3,FALSE)&amp;" "&amp;VLOOKUP(VLOOKUP(A540,'[1]Sales Order'!A:C,3,FALSE),[1]Employee!A:B,2,FALSE),"Not Specified")</f>
        <v>Mrs. Yael Peled</v>
      </c>
      <c r="I540" t="str">
        <f>IFERROR(VLOOKUP(VLOOKUP(A540,'[1]Sales Order'!A:C,3,FALSE),[1]Employee!A:J,10,FALSE),"Not Specified")</f>
        <v>WA</v>
      </c>
      <c r="J540" t="str">
        <f>VLOOKUP(B540,[1]Product!A:B,2,FALSE)</f>
        <v>Product YYWRT</v>
      </c>
      <c r="K540" t="str">
        <f>VLOOKUP(VLOOKUP(B540,[1]Product!A:D,4,FALSE),[1]Category!A:B,2,FALSE)</f>
        <v>Meat/Poultry</v>
      </c>
      <c r="L540" s="10">
        <f>IFERROR(VLOOKUP(A540,'[1]Sales Order'!A:D,4,FALSE),"")</f>
        <v>39132</v>
      </c>
      <c r="M540" s="10">
        <f>IFERROR(VLOOKUP(A540,'[1]Sales Order'!A:F,6,FALSE),"")</f>
        <v>39153</v>
      </c>
      <c r="N540" t="str">
        <f>IFERROR(VLOOKUP(VLOOKUP(A540,'[1]Sales Order'!A:G,7,FALSE),[1]Shipper!A:B,2,FALSE),"Not Specified")</f>
        <v>Shipper ZHISN</v>
      </c>
      <c r="O540" t="str">
        <f>IFERROR(VLOOKUP(A540,'[1]Sales Order'!A:I,9,FALSE),"Not Specified")</f>
        <v>Ship to 63-C</v>
      </c>
      <c r="P540" t="str">
        <f>IFERROR(VLOOKUP(A540,'[1]Sales Order'!A:N,14,FALSE),"Not Specified")</f>
        <v>Germany</v>
      </c>
      <c r="Q540" t="str">
        <f>VLOOKUP(VLOOKUP(B540,[1]Product!A:C,3,FALSE),[1]Supplier!A:B,2,FALSE)</f>
        <v>Supplier ERVYZ</v>
      </c>
      <c r="R540" t="str">
        <f>VLOOKUP(VLOOKUP(B540,[1]Product!A:C,3,FALSE),[1]Supplier!A:I,9,FALSE)</f>
        <v>Canada</v>
      </c>
      <c r="S540" t="str">
        <f>IFERROR(IF(VLOOKUP(A540,'[1]Sales Order'!A:H,8,FALSE)&gt;100,"High Freight","Low Freight"),"Not Specified")</f>
        <v>High Freight</v>
      </c>
      <c r="T540">
        <f t="shared" si="17"/>
        <v>2073.6</v>
      </c>
    </row>
    <row r="541" spans="1:20">
      <c r="A541" s="1">
        <v>10451</v>
      </c>
      <c r="B541" s="2">
        <v>64</v>
      </c>
      <c r="C541" s="2">
        <v>26.6</v>
      </c>
      <c r="D541" s="2">
        <v>35</v>
      </c>
      <c r="E541" s="3">
        <v>0.1</v>
      </c>
      <c r="F541" s="2" t="str">
        <f>IFERROR(VLOOKUP(VLOOKUP(A541,'[1]Sales Order'!A:B,2,FALSE),[1]Customer!A:C,3,FALSE),"Not Specified")</f>
        <v>Veronesi, Giorgio</v>
      </c>
      <c r="G541" s="2" t="str">
        <f t="shared" si="16"/>
        <v>Veronesi Giorgio</v>
      </c>
      <c r="H541" s="8" t="str">
        <f>IFERROR(VLOOKUP(VLOOKUP(A541,'[1]Sales Order'!A:C,3,FALSE),[1]Employee!A:E,5,FALSE)&amp;" "&amp;VLOOKUP(VLOOKUP(A541,'[1]Sales Order'!A:C,3,FALSE),[1]Employee!A:C,3,FALSE)&amp;" "&amp;VLOOKUP(VLOOKUP(A541,'[1]Sales Order'!A:C,3,FALSE),[1]Employee!A:B,2,FALSE),"Not Specified")</f>
        <v>Mrs. Yael Peled</v>
      </c>
      <c r="I541" t="str">
        <f>IFERROR(VLOOKUP(VLOOKUP(A541,'[1]Sales Order'!A:C,3,FALSE),[1]Employee!A:J,10,FALSE),"Not Specified")</f>
        <v>WA</v>
      </c>
      <c r="J541" t="str">
        <f>VLOOKUP(B541,[1]Product!A:B,2,FALSE)</f>
        <v>Product HCQDE</v>
      </c>
      <c r="K541" t="str">
        <f>VLOOKUP(VLOOKUP(B541,[1]Product!A:D,4,FALSE),[1]Category!A:B,2,FALSE)</f>
        <v>Grains/Cereals</v>
      </c>
      <c r="L541" s="10">
        <f>IFERROR(VLOOKUP(A541,'[1]Sales Order'!A:D,4,FALSE),"")</f>
        <v>39132</v>
      </c>
      <c r="M541" s="10">
        <f>IFERROR(VLOOKUP(A541,'[1]Sales Order'!A:F,6,FALSE),"")</f>
        <v>39153</v>
      </c>
      <c r="N541" t="str">
        <f>IFERROR(VLOOKUP(VLOOKUP(A541,'[1]Sales Order'!A:G,7,FALSE),[1]Shipper!A:B,2,FALSE),"Not Specified")</f>
        <v>Shipper ZHISN</v>
      </c>
      <c r="O541" t="str">
        <f>IFERROR(VLOOKUP(A541,'[1]Sales Order'!A:I,9,FALSE),"Not Specified")</f>
        <v>Ship to 63-C</v>
      </c>
      <c r="P541" t="str">
        <f>IFERROR(VLOOKUP(A541,'[1]Sales Order'!A:N,14,FALSE),"Not Specified")</f>
        <v>Germany</v>
      </c>
      <c r="Q541" t="str">
        <f>VLOOKUP(VLOOKUP(B541,[1]Product!A:C,3,FALSE),[1]Supplier!A:B,2,FALSE)</f>
        <v>Supplier SVIYA</v>
      </c>
      <c r="R541" t="str">
        <f>VLOOKUP(VLOOKUP(B541,[1]Product!A:C,3,FALSE),[1]Supplier!A:I,9,FALSE)</f>
        <v>Germany</v>
      </c>
      <c r="S541" t="str">
        <f>IFERROR(IF(VLOOKUP(A541,'[1]Sales Order'!A:H,8,FALSE)&gt;100,"High Freight","Low Freight"),"Not Specified")</f>
        <v>High Freight</v>
      </c>
      <c r="T541">
        <f t="shared" si="17"/>
        <v>837.9</v>
      </c>
    </row>
    <row r="542" spans="1:20">
      <c r="A542" s="1">
        <v>10451</v>
      </c>
      <c r="B542" s="2">
        <v>65</v>
      </c>
      <c r="C542" s="2">
        <v>16.8</v>
      </c>
      <c r="D542" s="2">
        <v>28</v>
      </c>
      <c r="E542" s="3">
        <v>0.1</v>
      </c>
      <c r="F542" s="2" t="str">
        <f>IFERROR(VLOOKUP(VLOOKUP(A542,'[1]Sales Order'!A:B,2,FALSE),[1]Customer!A:C,3,FALSE),"Not Specified")</f>
        <v>Veronesi, Giorgio</v>
      </c>
      <c r="G542" s="2" t="str">
        <f t="shared" si="16"/>
        <v>Veronesi Giorgio</v>
      </c>
      <c r="H542" s="8" t="str">
        <f>IFERROR(VLOOKUP(VLOOKUP(A542,'[1]Sales Order'!A:C,3,FALSE),[1]Employee!A:E,5,FALSE)&amp;" "&amp;VLOOKUP(VLOOKUP(A542,'[1]Sales Order'!A:C,3,FALSE),[1]Employee!A:C,3,FALSE)&amp;" "&amp;VLOOKUP(VLOOKUP(A542,'[1]Sales Order'!A:C,3,FALSE),[1]Employee!A:B,2,FALSE),"Not Specified")</f>
        <v>Mrs. Yael Peled</v>
      </c>
      <c r="I542" t="str">
        <f>IFERROR(VLOOKUP(VLOOKUP(A542,'[1]Sales Order'!A:C,3,FALSE),[1]Employee!A:J,10,FALSE),"Not Specified")</f>
        <v>WA</v>
      </c>
      <c r="J542" t="str">
        <f>VLOOKUP(B542,[1]Product!A:B,2,FALSE)</f>
        <v>Product XYWBZ</v>
      </c>
      <c r="K542" t="str">
        <f>VLOOKUP(VLOOKUP(B542,[1]Product!A:D,4,FALSE),[1]Category!A:B,2,FALSE)</f>
        <v>Condiments</v>
      </c>
      <c r="L542" s="10">
        <f>IFERROR(VLOOKUP(A542,'[1]Sales Order'!A:D,4,FALSE),"")</f>
        <v>39132</v>
      </c>
      <c r="M542" s="10">
        <f>IFERROR(VLOOKUP(A542,'[1]Sales Order'!A:F,6,FALSE),"")</f>
        <v>39153</v>
      </c>
      <c r="N542" t="str">
        <f>IFERROR(VLOOKUP(VLOOKUP(A542,'[1]Sales Order'!A:G,7,FALSE),[1]Shipper!A:B,2,FALSE),"Not Specified")</f>
        <v>Shipper ZHISN</v>
      </c>
      <c r="O542" t="str">
        <f>IFERROR(VLOOKUP(A542,'[1]Sales Order'!A:I,9,FALSE),"Not Specified")</f>
        <v>Ship to 63-C</v>
      </c>
      <c r="P542" t="str">
        <f>IFERROR(VLOOKUP(A542,'[1]Sales Order'!A:N,14,FALSE),"Not Specified")</f>
        <v>Germany</v>
      </c>
      <c r="Q542" t="str">
        <f>VLOOKUP(VLOOKUP(B542,[1]Product!A:C,3,FALSE),[1]Supplier!A:B,2,FALSE)</f>
        <v>Supplier VHQZD</v>
      </c>
      <c r="R542" t="str">
        <f>VLOOKUP(VLOOKUP(B542,[1]Product!A:C,3,FALSE),[1]Supplier!A:I,9,FALSE)</f>
        <v>USA</v>
      </c>
      <c r="S542" t="str">
        <f>IFERROR(IF(VLOOKUP(A542,'[1]Sales Order'!A:H,8,FALSE)&gt;100,"High Freight","Low Freight"),"Not Specified")</f>
        <v>High Freight</v>
      </c>
      <c r="T542">
        <f t="shared" si="17"/>
        <v>423.36</v>
      </c>
    </row>
    <row r="543" spans="1:20">
      <c r="A543" s="1">
        <v>10451</v>
      </c>
      <c r="B543" s="2">
        <v>77</v>
      </c>
      <c r="C543" s="2">
        <v>10.4</v>
      </c>
      <c r="D543" s="2">
        <v>55</v>
      </c>
      <c r="E543" s="3">
        <v>0.1</v>
      </c>
      <c r="F543" s="2" t="str">
        <f>IFERROR(VLOOKUP(VLOOKUP(A543,'[1]Sales Order'!A:B,2,FALSE),[1]Customer!A:C,3,FALSE),"Not Specified")</f>
        <v>Veronesi, Giorgio</v>
      </c>
      <c r="G543" s="2" t="str">
        <f t="shared" si="16"/>
        <v>Veronesi Giorgio</v>
      </c>
      <c r="H543" s="8" t="str">
        <f>IFERROR(VLOOKUP(VLOOKUP(A543,'[1]Sales Order'!A:C,3,FALSE),[1]Employee!A:E,5,FALSE)&amp;" "&amp;VLOOKUP(VLOOKUP(A543,'[1]Sales Order'!A:C,3,FALSE),[1]Employee!A:C,3,FALSE)&amp;" "&amp;VLOOKUP(VLOOKUP(A543,'[1]Sales Order'!A:C,3,FALSE),[1]Employee!A:B,2,FALSE),"Not Specified")</f>
        <v>Mrs. Yael Peled</v>
      </c>
      <c r="I543" t="str">
        <f>IFERROR(VLOOKUP(VLOOKUP(A543,'[1]Sales Order'!A:C,3,FALSE),[1]Employee!A:J,10,FALSE),"Not Specified")</f>
        <v>WA</v>
      </c>
      <c r="J543" t="str">
        <f>VLOOKUP(B543,[1]Product!A:B,2,FALSE)</f>
        <v>Product LUNZZ</v>
      </c>
      <c r="K543" t="str">
        <f>VLOOKUP(VLOOKUP(B543,[1]Product!A:D,4,FALSE),[1]Category!A:B,2,FALSE)</f>
        <v>Condiments</v>
      </c>
      <c r="L543" s="10">
        <f>IFERROR(VLOOKUP(A543,'[1]Sales Order'!A:D,4,FALSE),"")</f>
        <v>39132</v>
      </c>
      <c r="M543" s="10">
        <f>IFERROR(VLOOKUP(A543,'[1]Sales Order'!A:F,6,FALSE),"")</f>
        <v>39153</v>
      </c>
      <c r="N543" t="str">
        <f>IFERROR(VLOOKUP(VLOOKUP(A543,'[1]Sales Order'!A:G,7,FALSE),[1]Shipper!A:B,2,FALSE),"Not Specified")</f>
        <v>Shipper ZHISN</v>
      </c>
      <c r="O543" t="str">
        <f>IFERROR(VLOOKUP(A543,'[1]Sales Order'!A:I,9,FALSE),"Not Specified")</f>
        <v>Ship to 63-C</v>
      </c>
      <c r="P543" t="str">
        <f>IFERROR(VLOOKUP(A543,'[1]Sales Order'!A:N,14,FALSE),"Not Specified")</f>
        <v>Germany</v>
      </c>
      <c r="Q543" t="str">
        <f>VLOOKUP(VLOOKUP(B543,[1]Product!A:C,3,FALSE),[1]Supplier!A:B,2,FALSE)</f>
        <v>Supplier SVIYA</v>
      </c>
      <c r="R543" t="str">
        <f>VLOOKUP(VLOOKUP(B543,[1]Product!A:C,3,FALSE),[1]Supplier!A:I,9,FALSE)</f>
        <v>Germany</v>
      </c>
      <c r="S543" t="str">
        <f>IFERROR(IF(VLOOKUP(A543,'[1]Sales Order'!A:H,8,FALSE)&gt;100,"High Freight","Low Freight"),"Not Specified")</f>
        <v>High Freight</v>
      </c>
      <c r="T543">
        <f t="shared" si="17"/>
        <v>514.80000000000007</v>
      </c>
    </row>
    <row r="544" spans="1:20">
      <c r="A544" s="1">
        <v>10452</v>
      </c>
      <c r="B544" s="2">
        <v>28</v>
      </c>
      <c r="C544" s="2">
        <v>36.4</v>
      </c>
      <c r="D544" s="2">
        <v>15</v>
      </c>
      <c r="E544" s="3">
        <v>0</v>
      </c>
      <c r="F544" s="2" t="str">
        <f>IFERROR(VLOOKUP(VLOOKUP(A544,'[1]Sales Order'!A:B,2,FALSE),[1]Customer!A:C,3,FALSE),"Not Specified")</f>
        <v>Navarro, Tomás</v>
      </c>
      <c r="G544" s="2" t="str">
        <f t="shared" si="16"/>
        <v>Navarro Tomás</v>
      </c>
      <c r="H544" s="8" t="str">
        <f>IFERROR(VLOOKUP(VLOOKUP(A544,'[1]Sales Order'!A:C,3,FALSE),[1]Employee!A:E,5,FALSE)&amp;" "&amp;VLOOKUP(VLOOKUP(A544,'[1]Sales Order'!A:C,3,FALSE),[1]Employee!A:C,3,FALSE)&amp;" "&amp;VLOOKUP(VLOOKUP(A544,'[1]Sales Order'!A:C,3,FALSE),[1]Employee!A:B,2,FALSE),"Not Specified")</f>
        <v>Ms. Maria Cameron</v>
      </c>
      <c r="I544" t="str">
        <f>IFERROR(VLOOKUP(VLOOKUP(A544,'[1]Sales Order'!A:C,3,FALSE),[1]Employee!A:J,10,FALSE),"Not Specified")</f>
        <v>WA</v>
      </c>
      <c r="J544" t="str">
        <f>VLOOKUP(B544,[1]Product!A:B,2,FALSE)</f>
        <v>Product OFBNT</v>
      </c>
      <c r="K544" t="str">
        <f>VLOOKUP(VLOOKUP(B544,[1]Product!A:D,4,FALSE),[1]Category!A:B,2,FALSE)</f>
        <v>Produce</v>
      </c>
      <c r="L544" s="10">
        <f>IFERROR(VLOOKUP(A544,'[1]Sales Order'!A:D,4,FALSE),"")</f>
        <v>39133</v>
      </c>
      <c r="M544" s="10">
        <f>IFERROR(VLOOKUP(A544,'[1]Sales Order'!A:F,6,FALSE),"")</f>
        <v>39139</v>
      </c>
      <c r="N544" t="str">
        <f>IFERROR(VLOOKUP(VLOOKUP(A544,'[1]Sales Order'!A:G,7,FALSE),[1]Shipper!A:B,2,FALSE),"Not Specified")</f>
        <v>Shipper GVSUA</v>
      </c>
      <c r="O544" t="str">
        <f>IFERROR(VLOOKUP(A544,'[1]Sales Order'!A:I,9,FALSE),"Not Specified")</f>
        <v>Ship to 71-B</v>
      </c>
      <c r="P544" t="str">
        <f>IFERROR(VLOOKUP(A544,'[1]Sales Order'!A:N,14,FALSE),"Not Specified")</f>
        <v>USA</v>
      </c>
      <c r="Q544" t="str">
        <f>VLOOKUP(VLOOKUP(B544,[1]Product!A:C,3,FALSE),[1]Supplier!A:B,2,FALSE)</f>
        <v>Supplier SVIYA</v>
      </c>
      <c r="R544" t="str">
        <f>VLOOKUP(VLOOKUP(B544,[1]Product!A:C,3,FALSE),[1]Supplier!A:I,9,FALSE)</f>
        <v>Germany</v>
      </c>
      <c r="S544" t="str">
        <f>IFERROR(IF(VLOOKUP(A544,'[1]Sales Order'!A:H,8,FALSE)&gt;100,"High Freight","Low Freight"),"Not Specified")</f>
        <v>High Freight</v>
      </c>
      <c r="T544">
        <f t="shared" si="17"/>
        <v>546</v>
      </c>
    </row>
    <row r="545" spans="1:20">
      <c r="A545" s="1">
        <v>10452</v>
      </c>
      <c r="B545" s="2">
        <v>44</v>
      </c>
      <c r="C545" s="2">
        <v>15.5</v>
      </c>
      <c r="D545" s="2">
        <v>100</v>
      </c>
      <c r="E545" s="3">
        <v>0.05</v>
      </c>
      <c r="F545" s="2" t="str">
        <f>IFERROR(VLOOKUP(VLOOKUP(A545,'[1]Sales Order'!A:B,2,FALSE),[1]Customer!A:C,3,FALSE),"Not Specified")</f>
        <v>Navarro, Tomás</v>
      </c>
      <c r="G545" s="2" t="str">
        <f t="shared" si="16"/>
        <v>Navarro Tomás</v>
      </c>
      <c r="H545" s="8" t="str">
        <f>IFERROR(VLOOKUP(VLOOKUP(A545,'[1]Sales Order'!A:C,3,FALSE),[1]Employee!A:E,5,FALSE)&amp;" "&amp;VLOOKUP(VLOOKUP(A545,'[1]Sales Order'!A:C,3,FALSE),[1]Employee!A:C,3,FALSE)&amp;" "&amp;VLOOKUP(VLOOKUP(A545,'[1]Sales Order'!A:C,3,FALSE),[1]Employee!A:B,2,FALSE),"Not Specified")</f>
        <v>Ms. Maria Cameron</v>
      </c>
      <c r="I545" t="str">
        <f>IFERROR(VLOOKUP(VLOOKUP(A545,'[1]Sales Order'!A:C,3,FALSE),[1]Employee!A:J,10,FALSE),"Not Specified")</f>
        <v>WA</v>
      </c>
      <c r="J545" t="str">
        <f>VLOOKUP(B545,[1]Product!A:B,2,FALSE)</f>
        <v>Product VJIEO</v>
      </c>
      <c r="K545" t="str">
        <f>VLOOKUP(VLOOKUP(B545,[1]Product!A:D,4,FALSE),[1]Category!A:B,2,FALSE)</f>
        <v>Condiments</v>
      </c>
      <c r="L545" s="10">
        <f>IFERROR(VLOOKUP(A545,'[1]Sales Order'!A:D,4,FALSE),"")</f>
        <v>39133</v>
      </c>
      <c r="M545" s="10">
        <f>IFERROR(VLOOKUP(A545,'[1]Sales Order'!A:F,6,FALSE),"")</f>
        <v>39139</v>
      </c>
      <c r="N545" t="str">
        <f>IFERROR(VLOOKUP(VLOOKUP(A545,'[1]Sales Order'!A:G,7,FALSE),[1]Shipper!A:B,2,FALSE),"Not Specified")</f>
        <v>Shipper GVSUA</v>
      </c>
      <c r="O545" t="str">
        <f>IFERROR(VLOOKUP(A545,'[1]Sales Order'!A:I,9,FALSE),"Not Specified")</f>
        <v>Ship to 71-B</v>
      </c>
      <c r="P545" t="str">
        <f>IFERROR(VLOOKUP(A545,'[1]Sales Order'!A:N,14,FALSE),"Not Specified")</f>
        <v>USA</v>
      </c>
      <c r="Q545" t="str">
        <f>VLOOKUP(VLOOKUP(B545,[1]Product!A:C,3,FALSE),[1]Supplier!A:B,2,FALSE)</f>
        <v>Supplier CIYNM</v>
      </c>
      <c r="R545" t="str">
        <f>VLOOKUP(VLOOKUP(B545,[1]Product!A:C,3,FALSE),[1]Supplier!A:I,9,FALSE)</f>
        <v>Singapore</v>
      </c>
      <c r="S545" t="str">
        <f>IFERROR(IF(VLOOKUP(A545,'[1]Sales Order'!A:H,8,FALSE)&gt;100,"High Freight","Low Freight"),"Not Specified")</f>
        <v>High Freight</v>
      </c>
      <c r="T545">
        <f t="shared" si="17"/>
        <v>1472.5</v>
      </c>
    </row>
    <row r="546" spans="1:20">
      <c r="A546" s="1">
        <v>10453</v>
      </c>
      <c r="B546" s="2">
        <v>48</v>
      </c>
      <c r="C546" s="2">
        <v>10.199999999999999</v>
      </c>
      <c r="D546" s="2">
        <v>15</v>
      </c>
      <c r="E546" s="3">
        <v>0.1</v>
      </c>
      <c r="F546" s="2" t="str">
        <f>IFERROR(VLOOKUP(VLOOKUP(A546,'[1]Sales Order'!A:B,2,FALSE),[1]Customer!A:C,3,FALSE),"Not Specified")</f>
        <v>Arndt, Torsten</v>
      </c>
      <c r="G546" s="2" t="str">
        <f t="shared" si="16"/>
        <v>Arndt Torsten</v>
      </c>
      <c r="H546" s="8" t="str">
        <f>IFERROR(VLOOKUP(VLOOKUP(A546,'[1]Sales Order'!A:C,3,FALSE),[1]Employee!A:E,5,FALSE)&amp;" "&amp;VLOOKUP(VLOOKUP(A546,'[1]Sales Order'!A:C,3,FALSE),[1]Employee!A:C,3,FALSE)&amp;" "&amp;VLOOKUP(VLOOKUP(A546,'[1]Sales Order'!A:C,3,FALSE),[1]Employee!A:B,2,FALSE),"Not Specified")</f>
        <v>Ms. Sara Davis</v>
      </c>
      <c r="I546" t="str">
        <f>IFERROR(VLOOKUP(VLOOKUP(A546,'[1]Sales Order'!A:C,3,FALSE),[1]Employee!A:J,10,FALSE),"Not Specified")</f>
        <v>WA</v>
      </c>
      <c r="J546" t="str">
        <f>VLOOKUP(B546,[1]Product!A:B,2,FALSE)</f>
        <v>Product MYNXN</v>
      </c>
      <c r="K546" t="str">
        <f>VLOOKUP(VLOOKUP(B546,[1]Product!A:D,4,FALSE),[1]Category!A:B,2,FALSE)</f>
        <v>Confections</v>
      </c>
      <c r="L546" s="10">
        <f>IFERROR(VLOOKUP(A546,'[1]Sales Order'!A:D,4,FALSE),"")</f>
        <v>39134</v>
      </c>
      <c r="M546" s="10">
        <f>IFERROR(VLOOKUP(A546,'[1]Sales Order'!A:F,6,FALSE),"")</f>
        <v>39139</v>
      </c>
      <c r="N546" t="str">
        <f>IFERROR(VLOOKUP(VLOOKUP(A546,'[1]Sales Order'!A:G,7,FALSE),[1]Shipper!A:B,2,FALSE),"Not Specified")</f>
        <v>Shipper ETYNR</v>
      </c>
      <c r="O546" t="str">
        <f>IFERROR(VLOOKUP(A546,'[1]Sales Order'!A:I,9,FALSE),"Not Specified")</f>
        <v>Ship to 4-C</v>
      </c>
      <c r="P546" t="str">
        <f>IFERROR(VLOOKUP(A546,'[1]Sales Order'!A:N,14,FALSE),"Not Specified")</f>
        <v>UK</v>
      </c>
      <c r="Q546" t="str">
        <f>VLOOKUP(VLOOKUP(B546,[1]Product!A:C,3,FALSE),[1]Supplier!A:B,2,FALSE)</f>
        <v>Supplier FNUXM</v>
      </c>
      <c r="R546" t="str">
        <f>VLOOKUP(VLOOKUP(B546,[1]Product!A:C,3,FALSE),[1]Supplier!A:I,9,FALSE)</f>
        <v>Netherlands</v>
      </c>
      <c r="S546" t="str">
        <f>IFERROR(IF(VLOOKUP(A546,'[1]Sales Order'!A:H,8,FALSE)&gt;100,"High Freight","Low Freight"),"Not Specified")</f>
        <v>Low Freight</v>
      </c>
      <c r="T546">
        <f t="shared" si="17"/>
        <v>137.70000000000002</v>
      </c>
    </row>
    <row r="547" spans="1:20">
      <c r="A547" s="1">
        <v>10453</v>
      </c>
      <c r="B547" s="2">
        <v>70</v>
      </c>
      <c r="C547" s="2">
        <v>12</v>
      </c>
      <c r="D547" s="2">
        <v>25</v>
      </c>
      <c r="E547" s="3">
        <v>0.1</v>
      </c>
      <c r="F547" s="2" t="str">
        <f>IFERROR(VLOOKUP(VLOOKUP(A547,'[1]Sales Order'!A:B,2,FALSE),[1]Customer!A:C,3,FALSE),"Not Specified")</f>
        <v>Arndt, Torsten</v>
      </c>
      <c r="G547" s="2" t="str">
        <f t="shared" si="16"/>
        <v>Arndt Torsten</v>
      </c>
      <c r="H547" s="8" t="str">
        <f>IFERROR(VLOOKUP(VLOOKUP(A547,'[1]Sales Order'!A:C,3,FALSE),[1]Employee!A:E,5,FALSE)&amp;" "&amp;VLOOKUP(VLOOKUP(A547,'[1]Sales Order'!A:C,3,FALSE),[1]Employee!A:C,3,FALSE)&amp;" "&amp;VLOOKUP(VLOOKUP(A547,'[1]Sales Order'!A:C,3,FALSE),[1]Employee!A:B,2,FALSE),"Not Specified")</f>
        <v>Ms. Sara Davis</v>
      </c>
      <c r="I547" t="str">
        <f>IFERROR(VLOOKUP(VLOOKUP(A547,'[1]Sales Order'!A:C,3,FALSE),[1]Employee!A:J,10,FALSE),"Not Specified")</f>
        <v>WA</v>
      </c>
      <c r="J547" t="str">
        <f>VLOOKUP(B547,[1]Product!A:B,2,FALSE)</f>
        <v>Product TOONT</v>
      </c>
      <c r="K547" t="str">
        <f>VLOOKUP(VLOOKUP(B547,[1]Product!A:D,4,FALSE),[1]Category!A:B,2,FALSE)</f>
        <v>Beverages</v>
      </c>
      <c r="L547" s="10">
        <f>IFERROR(VLOOKUP(A547,'[1]Sales Order'!A:D,4,FALSE),"")</f>
        <v>39134</v>
      </c>
      <c r="M547" s="10">
        <f>IFERROR(VLOOKUP(A547,'[1]Sales Order'!A:F,6,FALSE),"")</f>
        <v>39139</v>
      </c>
      <c r="N547" t="str">
        <f>IFERROR(VLOOKUP(VLOOKUP(A547,'[1]Sales Order'!A:G,7,FALSE),[1]Shipper!A:B,2,FALSE),"Not Specified")</f>
        <v>Shipper ETYNR</v>
      </c>
      <c r="O547" t="str">
        <f>IFERROR(VLOOKUP(A547,'[1]Sales Order'!A:I,9,FALSE),"Not Specified")</f>
        <v>Ship to 4-C</v>
      </c>
      <c r="P547" t="str">
        <f>IFERROR(VLOOKUP(A547,'[1]Sales Order'!A:N,14,FALSE),"Not Specified")</f>
        <v>UK</v>
      </c>
      <c r="Q547" t="str">
        <f>VLOOKUP(VLOOKUP(B547,[1]Product!A:C,3,FALSE),[1]Supplier!A:B,2,FALSE)</f>
        <v>Supplier GQRCV</v>
      </c>
      <c r="R547" t="str">
        <f>VLOOKUP(VLOOKUP(B547,[1]Product!A:C,3,FALSE),[1]Supplier!A:I,9,FALSE)</f>
        <v>Australia</v>
      </c>
      <c r="S547" t="str">
        <f>IFERROR(IF(VLOOKUP(A547,'[1]Sales Order'!A:H,8,FALSE)&gt;100,"High Freight","Low Freight"),"Not Specified")</f>
        <v>Low Freight</v>
      </c>
      <c r="T547">
        <f t="shared" si="17"/>
        <v>270</v>
      </c>
    </row>
    <row r="548" spans="1:20">
      <c r="A548" s="1">
        <v>10454</v>
      </c>
      <c r="B548" s="2">
        <v>16</v>
      </c>
      <c r="C548" s="2">
        <v>13.9</v>
      </c>
      <c r="D548" s="2">
        <v>20</v>
      </c>
      <c r="E548" s="3">
        <v>0.2</v>
      </c>
      <c r="F548" s="2" t="str">
        <f>IFERROR(VLOOKUP(VLOOKUP(A548,'[1]Sales Order'!A:B,2,FALSE),[1]Customer!A:C,3,FALSE),"Not Specified")</f>
        <v>Litton, Tim</v>
      </c>
      <c r="G548" s="2" t="str">
        <f t="shared" si="16"/>
        <v>Litton Tim</v>
      </c>
      <c r="H548" s="8" t="str">
        <f>IFERROR(VLOOKUP(VLOOKUP(A548,'[1]Sales Order'!A:C,3,FALSE),[1]Employee!A:E,5,FALSE)&amp;" "&amp;VLOOKUP(VLOOKUP(A548,'[1]Sales Order'!A:C,3,FALSE),[1]Employee!A:C,3,FALSE)&amp;" "&amp;VLOOKUP(VLOOKUP(A548,'[1]Sales Order'!A:C,3,FALSE),[1]Employee!A:B,2,FALSE),"Not Specified")</f>
        <v>Mrs. Yael Peled</v>
      </c>
      <c r="I548" t="str">
        <f>IFERROR(VLOOKUP(VLOOKUP(A548,'[1]Sales Order'!A:C,3,FALSE),[1]Employee!A:J,10,FALSE),"Not Specified")</f>
        <v>WA</v>
      </c>
      <c r="J548" t="str">
        <f>VLOOKUP(B548,[1]Product!A:B,2,FALSE)</f>
        <v>Product PAFRH</v>
      </c>
      <c r="K548" t="str">
        <f>VLOOKUP(VLOOKUP(B548,[1]Product!A:D,4,FALSE),[1]Category!A:B,2,FALSE)</f>
        <v>Confections</v>
      </c>
      <c r="L548" s="10">
        <f>IFERROR(VLOOKUP(A548,'[1]Sales Order'!A:D,4,FALSE),"")</f>
        <v>39134</v>
      </c>
      <c r="M548" s="10">
        <f>IFERROR(VLOOKUP(A548,'[1]Sales Order'!A:F,6,FALSE),"")</f>
        <v>39138</v>
      </c>
      <c r="N548" t="str">
        <f>IFERROR(VLOOKUP(VLOOKUP(A548,'[1]Sales Order'!A:G,7,FALSE),[1]Shipper!A:B,2,FALSE),"Not Specified")</f>
        <v>Shipper ZHISN</v>
      </c>
      <c r="O548" t="str">
        <f>IFERROR(VLOOKUP(A548,'[1]Sales Order'!A:I,9,FALSE),"Not Specified")</f>
        <v>Ship to 41-C</v>
      </c>
      <c r="P548" t="str">
        <f>IFERROR(VLOOKUP(A548,'[1]Sales Order'!A:N,14,FALSE),"Not Specified")</f>
        <v>France</v>
      </c>
      <c r="Q548" t="str">
        <f>VLOOKUP(VLOOKUP(B548,[1]Product!A:C,3,FALSE),[1]Supplier!A:B,2,FALSE)</f>
        <v>Supplier GQRCV</v>
      </c>
      <c r="R548" t="str">
        <f>VLOOKUP(VLOOKUP(B548,[1]Product!A:C,3,FALSE),[1]Supplier!A:I,9,FALSE)</f>
        <v>Australia</v>
      </c>
      <c r="S548" t="str">
        <f>IFERROR(IF(VLOOKUP(A548,'[1]Sales Order'!A:H,8,FALSE)&gt;100,"High Freight","Low Freight"),"Not Specified")</f>
        <v>Low Freight</v>
      </c>
      <c r="T548">
        <f t="shared" si="17"/>
        <v>222.4</v>
      </c>
    </row>
    <row r="549" spans="1:20">
      <c r="A549" s="1">
        <v>10454</v>
      </c>
      <c r="B549" s="2">
        <v>33</v>
      </c>
      <c r="C549" s="2">
        <v>2</v>
      </c>
      <c r="D549" s="2">
        <v>20</v>
      </c>
      <c r="E549" s="3">
        <v>0.2</v>
      </c>
      <c r="F549" s="2" t="str">
        <f>IFERROR(VLOOKUP(VLOOKUP(A549,'[1]Sales Order'!A:B,2,FALSE),[1]Customer!A:C,3,FALSE),"Not Specified")</f>
        <v>Litton, Tim</v>
      </c>
      <c r="G549" s="2" t="str">
        <f t="shared" si="16"/>
        <v>Litton Tim</v>
      </c>
      <c r="H549" s="8" t="str">
        <f>IFERROR(VLOOKUP(VLOOKUP(A549,'[1]Sales Order'!A:C,3,FALSE),[1]Employee!A:E,5,FALSE)&amp;" "&amp;VLOOKUP(VLOOKUP(A549,'[1]Sales Order'!A:C,3,FALSE),[1]Employee!A:C,3,FALSE)&amp;" "&amp;VLOOKUP(VLOOKUP(A549,'[1]Sales Order'!A:C,3,FALSE),[1]Employee!A:B,2,FALSE),"Not Specified")</f>
        <v>Mrs. Yael Peled</v>
      </c>
      <c r="I549" t="str">
        <f>IFERROR(VLOOKUP(VLOOKUP(A549,'[1]Sales Order'!A:C,3,FALSE),[1]Employee!A:J,10,FALSE),"Not Specified")</f>
        <v>WA</v>
      </c>
      <c r="J549" t="str">
        <f>VLOOKUP(B549,[1]Product!A:B,2,FALSE)</f>
        <v>Product ASTMN</v>
      </c>
      <c r="K549" t="str">
        <f>VLOOKUP(VLOOKUP(B549,[1]Product!A:D,4,FALSE),[1]Category!A:B,2,FALSE)</f>
        <v>Dairy Product</v>
      </c>
      <c r="L549" s="10">
        <f>IFERROR(VLOOKUP(A549,'[1]Sales Order'!A:D,4,FALSE),"")</f>
        <v>39134</v>
      </c>
      <c r="M549" s="10">
        <f>IFERROR(VLOOKUP(A549,'[1]Sales Order'!A:F,6,FALSE),"")</f>
        <v>39138</v>
      </c>
      <c r="N549" t="str">
        <f>IFERROR(VLOOKUP(VLOOKUP(A549,'[1]Sales Order'!A:G,7,FALSE),[1]Shipper!A:B,2,FALSE),"Not Specified")</f>
        <v>Shipper ZHISN</v>
      </c>
      <c r="O549" t="str">
        <f>IFERROR(VLOOKUP(A549,'[1]Sales Order'!A:I,9,FALSE),"Not Specified")</f>
        <v>Ship to 41-C</v>
      </c>
      <c r="P549" t="str">
        <f>IFERROR(VLOOKUP(A549,'[1]Sales Order'!A:N,14,FALSE),"Not Specified")</f>
        <v>France</v>
      </c>
      <c r="Q549" t="str">
        <f>VLOOKUP(VLOOKUP(B549,[1]Product!A:C,3,FALSE),[1]Supplier!A:B,2,FALSE)</f>
        <v>Supplier NZLIF</v>
      </c>
      <c r="R549" t="str">
        <f>VLOOKUP(VLOOKUP(B549,[1]Product!A:C,3,FALSE),[1]Supplier!A:I,9,FALSE)</f>
        <v>Norway</v>
      </c>
      <c r="S549" t="str">
        <f>IFERROR(IF(VLOOKUP(A549,'[1]Sales Order'!A:H,8,FALSE)&gt;100,"High Freight","Low Freight"),"Not Specified")</f>
        <v>Low Freight</v>
      </c>
      <c r="T549">
        <f t="shared" si="17"/>
        <v>32</v>
      </c>
    </row>
    <row r="550" spans="1:20">
      <c r="A550" s="1">
        <v>10454</v>
      </c>
      <c r="B550" s="2">
        <v>46</v>
      </c>
      <c r="C550" s="2">
        <v>9.6</v>
      </c>
      <c r="D550" s="2">
        <v>10</v>
      </c>
      <c r="E550" s="3">
        <v>0.2</v>
      </c>
      <c r="F550" s="2" t="str">
        <f>IFERROR(VLOOKUP(VLOOKUP(A550,'[1]Sales Order'!A:B,2,FALSE),[1]Customer!A:C,3,FALSE),"Not Specified")</f>
        <v>Litton, Tim</v>
      </c>
      <c r="G550" s="2" t="str">
        <f t="shared" si="16"/>
        <v>Litton Tim</v>
      </c>
      <c r="H550" s="8" t="str">
        <f>IFERROR(VLOOKUP(VLOOKUP(A550,'[1]Sales Order'!A:C,3,FALSE),[1]Employee!A:E,5,FALSE)&amp;" "&amp;VLOOKUP(VLOOKUP(A550,'[1]Sales Order'!A:C,3,FALSE),[1]Employee!A:C,3,FALSE)&amp;" "&amp;VLOOKUP(VLOOKUP(A550,'[1]Sales Order'!A:C,3,FALSE),[1]Employee!A:B,2,FALSE),"Not Specified")</f>
        <v>Mrs. Yael Peled</v>
      </c>
      <c r="I550" t="str">
        <f>IFERROR(VLOOKUP(VLOOKUP(A550,'[1]Sales Order'!A:C,3,FALSE),[1]Employee!A:J,10,FALSE),"Not Specified")</f>
        <v>WA</v>
      </c>
      <c r="J550" t="str">
        <f>VLOOKUP(B550,[1]Product!A:B,2,FALSE)</f>
        <v>Product CBRRL</v>
      </c>
      <c r="K550" t="str">
        <f>VLOOKUP(VLOOKUP(B550,[1]Product!A:D,4,FALSE),[1]Category!A:B,2,FALSE)</f>
        <v>Seafood</v>
      </c>
      <c r="L550" s="10">
        <f>IFERROR(VLOOKUP(A550,'[1]Sales Order'!A:D,4,FALSE),"")</f>
        <v>39134</v>
      </c>
      <c r="M550" s="10">
        <f>IFERROR(VLOOKUP(A550,'[1]Sales Order'!A:F,6,FALSE),"")</f>
        <v>39138</v>
      </c>
      <c r="N550" t="str">
        <f>IFERROR(VLOOKUP(VLOOKUP(A550,'[1]Sales Order'!A:G,7,FALSE),[1]Shipper!A:B,2,FALSE),"Not Specified")</f>
        <v>Shipper ZHISN</v>
      </c>
      <c r="O550" t="str">
        <f>IFERROR(VLOOKUP(A550,'[1]Sales Order'!A:I,9,FALSE),"Not Specified")</f>
        <v>Ship to 41-C</v>
      </c>
      <c r="P550" t="str">
        <f>IFERROR(VLOOKUP(A550,'[1]Sales Order'!A:N,14,FALSE),"Not Specified")</f>
        <v>France</v>
      </c>
      <c r="Q550" t="str">
        <f>VLOOKUP(VLOOKUP(B550,[1]Product!A:C,3,FALSE),[1]Supplier!A:B,2,FALSE)</f>
        <v>Supplier XOXZA</v>
      </c>
      <c r="R550" t="str">
        <f>VLOOKUP(VLOOKUP(B550,[1]Product!A:C,3,FALSE),[1]Supplier!A:I,9,FALSE)</f>
        <v>Denmark</v>
      </c>
      <c r="S550" t="str">
        <f>IFERROR(IF(VLOOKUP(A550,'[1]Sales Order'!A:H,8,FALSE)&gt;100,"High Freight","Low Freight"),"Not Specified")</f>
        <v>Low Freight</v>
      </c>
      <c r="T550">
        <f t="shared" si="17"/>
        <v>76.800000000000011</v>
      </c>
    </row>
    <row r="551" spans="1:20">
      <c r="A551" s="1">
        <v>10455</v>
      </c>
      <c r="B551" s="2">
        <v>39</v>
      </c>
      <c r="C551" s="2">
        <v>14.4</v>
      </c>
      <c r="D551" s="2">
        <v>20</v>
      </c>
      <c r="E551" s="3">
        <v>0</v>
      </c>
      <c r="F551" s="2" t="str">
        <f>IFERROR(VLOOKUP(VLOOKUP(A551,'[1]Sales Order'!A:B,2,FALSE),[1]Customer!A:C,3,FALSE),"Not Specified")</f>
        <v>Ludwig, Michael</v>
      </c>
      <c r="G551" s="2" t="str">
        <f t="shared" si="16"/>
        <v>Ludwig Michael</v>
      </c>
      <c r="H551" s="8" t="str">
        <f>IFERROR(VLOOKUP(VLOOKUP(A551,'[1]Sales Order'!A:C,3,FALSE),[1]Employee!A:E,5,FALSE)&amp;" "&amp;VLOOKUP(VLOOKUP(A551,'[1]Sales Order'!A:C,3,FALSE),[1]Employee!A:C,3,FALSE)&amp;" "&amp;VLOOKUP(VLOOKUP(A551,'[1]Sales Order'!A:C,3,FALSE),[1]Employee!A:B,2,FALSE),"Not Specified")</f>
        <v>Ms. Maria Cameron</v>
      </c>
      <c r="I551" t="str">
        <f>IFERROR(VLOOKUP(VLOOKUP(A551,'[1]Sales Order'!A:C,3,FALSE),[1]Employee!A:J,10,FALSE),"Not Specified")</f>
        <v>WA</v>
      </c>
      <c r="J551" t="str">
        <f>VLOOKUP(B551,[1]Product!A:B,2,FALSE)</f>
        <v>Product LSOFL</v>
      </c>
      <c r="K551" t="str">
        <f>VLOOKUP(VLOOKUP(B551,[1]Product!A:D,4,FALSE),[1]Category!A:B,2,FALSE)</f>
        <v>Beverages</v>
      </c>
      <c r="L551" s="10">
        <f>IFERROR(VLOOKUP(A551,'[1]Sales Order'!A:D,4,FALSE),"")</f>
        <v>39137</v>
      </c>
      <c r="M551" s="10">
        <f>IFERROR(VLOOKUP(A551,'[1]Sales Order'!A:F,6,FALSE),"")</f>
        <v>39144</v>
      </c>
      <c r="N551" t="str">
        <f>IFERROR(VLOOKUP(VLOOKUP(A551,'[1]Sales Order'!A:G,7,FALSE),[1]Shipper!A:B,2,FALSE),"Not Specified")</f>
        <v>Shipper ETYNR</v>
      </c>
      <c r="O551" t="str">
        <f>IFERROR(VLOOKUP(A551,'[1]Sales Order'!A:I,9,FALSE),"Not Specified")</f>
        <v>Ship to 87-B</v>
      </c>
      <c r="P551" t="str">
        <f>IFERROR(VLOOKUP(A551,'[1]Sales Order'!A:N,14,FALSE),"Not Specified")</f>
        <v>Finland</v>
      </c>
      <c r="Q551" t="str">
        <f>VLOOKUP(VLOOKUP(B551,[1]Product!A:C,3,FALSE),[1]Supplier!A:B,2,FALSE)</f>
        <v>Supplier LVJUA</v>
      </c>
      <c r="R551" t="str">
        <f>VLOOKUP(VLOOKUP(B551,[1]Product!A:C,3,FALSE),[1]Supplier!A:I,9,FALSE)</f>
        <v>France</v>
      </c>
      <c r="S551" t="str">
        <f>IFERROR(IF(VLOOKUP(A551,'[1]Sales Order'!A:H,8,FALSE)&gt;100,"High Freight","Low Freight"),"Not Specified")</f>
        <v>High Freight</v>
      </c>
      <c r="T551">
        <f t="shared" si="17"/>
        <v>288</v>
      </c>
    </row>
    <row r="552" spans="1:20">
      <c r="A552" s="1">
        <v>10455</v>
      </c>
      <c r="B552" s="2">
        <v>53</v>
      </c>
      <c r="C552" s="2">
        <v>26.2</v>
      </c>
      <c r="D552" s="2">
        <v>50</v>
      </c>
      <c r="E552" s="3">
        <v>0</v>
      </c>
      <c r="F552" s="2" t="str">
        <f>IFERROR(VLOOKUP(VLOOKUP(A552,'[1]Sales Order'!A:B,2,FALSE),[1]Customer!A:C,3,FALSE),"Not Specified")</f>
        <v>Ludwig, Michael</v>
      </c>
      <c r="G552" s="2" t="str">
        <f t="shared" si="16"/>
        <v>Ludwig Michael</v>
      </c>
      <c r="H552" s="8" t="str">
        <f>IFERROR(VLOOKUP(VLOOKUP(A552,'[1]Sales Order'!A:C,3,FALSE),[1]Employee!A:E,5,FALSE)&amp;" "&amp;VLOOKUP(VLOOKUP(A552,'[1]Sales Order'!A:C,3,FALSE),[1]Employee!A:C,3,FALSE)&amp;" "&amp;VLOOKUP(VLOOKUP(A552,'[1]Sales Order'!A:C,3,FALSE),[1]Employee!A:B,2,FALSE),"Not Specified")</f>
        <v>Ms. Maria Cameron</v>
      </c>
      <c r="I552" t="str">
        <f>IFERROR(VLOOKUP(VLOOKUP(A552,'[1]Sales Order'!A:C,3,FALSE),[1]Employee!A:J,10,FALSE),"Not Specified")</f>
        <v>WA</v>
      </c>
      <c r="J552" t="str">
        <f>VLOOKUP(B552,[1]Product!A:B,2,FALSE)</f>
        <v>Product BKGEA</v>
      </c>
      <c r="K552" t="str">
        <f>VLOOKUP(VLOOKUP(B552,[1]Product!A:D,4,FALSE),[1]Category!A:B,2,FALSE)</f>
        <v>Meat/Poultry</v>
      </c>
      <c r="L552" s="10">
        <f>IFERROR(VLOOKUP(A552,'[1]Sales Order'!A:D,4,FALSE),"")</f>
        <v>39137</v>
      </c>
      <c r="M552" s="10">
        <f>IFERROR(VLOOKUP(A552,'[1]Sales Order'!A:F,6,FALSE),"")</f>
        <v>39144</v>
      </c>
      <c r="N552" t="str">
        <f>IFERROR(VLOOKUP(VLOOKUP(A552,'[1]Sales Order'!A:G,7,FALSE),[1]Shipper!A:B,2,FALSE),"Not Specified")</f>
        <v>Shipper ETYNR</v>
      </c>
      <c r="O552" t="str">
        <f>IFERROR(VLOOKUP(A552,'[1]Sales Order'!A:I,9,FALSE),"Not Specified")</f>
        <v>Ship to 87-B</v>
      </c>
      <c r="P552" t="str">
        <f>IFERROR(VLOOKUP(A552,'[1]Sales Order'!A:N,14,FALSE),"Not Specified")</f>
        <v>Finland</v>
      </c>
      <c r="Q552" t="str">
        <f>VLOOKUP(VLOOKUP(B552,[1]Product!A:C,3,FALSE),[1]Supplier!A:B,2,FALSE)</f>
        <v>Supplier JNNES</v>
      </c>
      <c r="R552" t="str">
        <f>VLOOKUP(VLOOKUP(B552,[1]Product!A:C,3,FALSE),[1]Supplier!A:I,9,FALSE)</f>
        <v>Australia</v>
      </c>
      <c r="S552" t="str">
        <f>IFERROR(IF(VLOOKUP(A552,'[1]Sales Order'!A:H,8,FALSE)&gt;100,"High Freight","Low Freight"),"Not Specified")</f>
        <v>High Freight</v>
      </c>
      <c r="T552">
        <f t="shared" si="17"/>
        <v>1310</v>
      </c>
    </row>
    <row r="553" spans="1:20">
      <c r="A553" s="1">
        <v>10455</v>
      </c>
      <c r="B553" s="2">
        <v>61</v>
      </c>
      <c r="C553" s="2">
        <v>22.8</v>
      </c>
      <c r="D553" s="2">
        <v>25</v>
      </c>
      <c r="E553" s="3">
        <v>0</v>
      </c>
      <c r="F553" s="2" t="str">
        <f>IFERROR(VLOOKUP(VLOOKUP(A553,'[1]Sales Order'!A:B,2,FALSE),[1]Customer!A:C,3,FALSE),"Not Specified")</f>
        <v>Ludwig, Michael</v>
      </c>
      <c r="G553" s="2" t="str">
        <f t="shared" si="16"/>
        <v>Ludwig Michael</v>
      </c>
      <c r="H553" s="8" t="str">
        <f>IFERROR(VLOOKUP(VLOOKUP(A553,'[1]Sales Order'!A:C,3,FALSE),[1]Employee!A:E,5,FALSE)&amp;" "&amp;VLOOKUP(VLOOKUP(A553,'[1]Sales Order'!A:C,3,FALSE),[1]Employee!A:C,3,FALSE)&amp;" "&amp;VLOOKUP(VLOOKUP(A553,'[1]Sales Order'!A:C,3,FALSE),[1]Employee!A:B,2,FALSE),"Not Specified")</f>
        <v>Ms. Maria Cameron</v>
      </c>
      <c r="I553" t="str">
        <f>IFERROR(VLOOKUP(VLOOKUP(A553,'[1]Sales Order'!A:C,3,FALSE),[1]Employee!A:J,10,FALSE),"Not Specified")</f>
        <v>WA</v>
      </c>
      <c r="J553" t="str">
        <f>VLOOKUP(B553,[1]Product!A:B,2,FALSE)</f>
        <v>Product XYZPE</v>
      </c>
      <c r="K553" t="str">
        <f>VLOOKUP(VLOOKUP(B553,[1]Product!A:D,4,FALSE),[1]Category!A:B,2,FALSE)</f>
        <v>Condiments</v>
      </c>
      <c r="L553" s="10">
        <f>IFERROR(VLOOKUP(A553,'[1]Sales Order'!A:D,4,FALSE),"")</f>
        <v>39137</v>
      </c>
      <c r="M553" s="10">
        <f>IFERROR(VLOOKUP(A553,'[1]Sales Order'!A:F,6,FALSE),"")</f>
        <v>39144</v>
      </c>
      <c r="N553" t="str">
        <f>IFERROR(VLOOKUP(VLOOKUP(A553,'[1]Sales Order'!A:G,7,FALSE),[1]Shipper!A:B,2,FALSE),"Not Specified")</f>
        <v>Shipper ETYNR</v>
      </c>
      <c r="O553" t="str">
        <f>IFERROR(VLOOKUP(A553,'[1]Sales Order'!A:I,9,FALSE),"Not Specified")</f>
        <v>Ship to 87-B</v>
      </c>
      <c r="P553" t="str">
        <f>IFERROR(VLOOKUP(A553,'[1]Sales Order'!A:N,14,FALSE),"Not Specified")</f>
        <v>Finland</v>
      </c>
      <c r="Q553" t="str">
        <f>VLOOKUP(VLOOKUP(B553,[1]Product!A:C,3,FALSE),[1]Supplier!A:B,2,FALSE)</f>
        <v>Supplier OGLRK</v>
      </c>
      <c r="R553" t="str">
        <f>VLOOKUP(VLOOKUP(B553,[1]Product!A:C,3,FALSE),[1]Supplier!A:I,9,FALSE)</f>
        <v>Canada</v>
      </c>
      <c r="S553" t="str">
        <f>IFERROR(IF(VLOOKUP(A553,'[1]Sales Order'!A:H,8,FALSE)&gt;100,"High Freight","Low Freight"),"Not Specified")</f>
        <v>High Freight</v>
      </c>
      <c r="T553">
        <f t="shared" si="17"/>
        <v>570</v>
      </c>
    </row>
    <row r="554" spans="1:20">
      <c r="A554" s="1">
        <v>10455</v>
      </c>
      <c r="B554" s="2">
        <v>71</v>
      </c>
      <c r="C554" s="2">
        <v>17.2</v>
      </c>
      <c r="D554" s="2">
        <v>30</v>
      </c>
      <c r="E554" s="3">
        <v>0</v>
      </c>
      <c r="F554" s="2" t="str">
        <f>IFERROR(VLOOKUP(VLOOKUP(A554,'[1]Sales Order'!A:B,2,FALSE),[1]Customer!A:C,3,FALSE),"Not Specified")</f>
        <v>Ludwig, Michael</v>
      </c>
      <c r="G554" s="2" t="str">
        <f t="shared" si="16"/>
        <v>Ludwig Michael</v>
      </c>
      <c r="H554" s="8" t="str">
        <f>IFERROR(VLOOKUP(VLOOKUP(A554,'[1]Sales Order'!A:C,3,FALSE),[1]Employee!A:E,5,FALSE)&amp;" "&amp;VLOOKUP(VLOOKUP(A554,'[1]Sales Order'!A:C,3,FALSE),[1]Employee!A:C,3,FALSE)&amp;" "&amp;VLOOKUP(VLOOKUP(A554,'[1]Sales Order'!A:C,3,FALSE),[1]Employee!A:B,2,FALSE),"Not Specified")</f>
        <v>Ms. Maria Cameron</v>
      </c>
      <c r="I554" t="str">
        <f>IFERROR(VLOOKUP(VLOOKUP(A554,'[1]Sales Order'!A:C,3,FALSE),[1]Employee!A:J,10,FALSE),"Not Specified")</f>
        <v>WA</v>
      </c>
      <c r="J554" t="str">
        <f>VLOOKUP(B554,[1]Product!A:B,2,FALSE)</f>
        <v>Product MYMOI</v>
      </c>
      <c r="K554" t="str">
        <f>VLOOKUP(VLOOKUP(B554,[1]Product!A:D,4,FALSE),[1]Category!A:B,2,FALSE)</f>
        <v>Dairy Product</v>
      </c>
      <c r="L554" s="10">
        <f>IFERROR(VLOOKUP(A554,'[1]Sales Order'!A:D,4,FALSE),"")</f>
        <v>39137</v>
      </c>
      <c r="M554" s="10">
        <f>IFERROR(VLOOKUP(A554,'[1]Sales Order'!A:F,6,FALSE),"")</f>
        <v>39144</v>
      </c>
      <c r="N554" t="str">
        <f>IFERROR(VLOOKUP(VLOOKUP(A554,'[1]Sales Order'!A:G,7,FALSE),[1]Shipper!A:B,2,FALSE),"Not Specified")</f>
        <v>Shipper ETYNR</v>
      </c>
      <c r="O554" t="str">
        <f>IFERROR(VLOOKUP(A554,'[1]Sales Order'!A:I,9,FALSE),"Not Specified")</f>
        <v>Ship to 87-B</v>
      </c>
      <c r="P554" t="str">
        <f>IFERROR(VLOOKUP(A554,'[1]Sales Order'!A:N,14,FALSE),"Not Specified")</f>
        <v>Finland</v>
      </c>
      <c r="Q554" t="str">
        <f>VLOOKUP(VLOOKUP(B554,[1]Product!A:C,3,FALSE),[1]Supplier!A:B,2,FALSE)</f>
        <v>Supplier NZLIF</v>
      </c>
      <c r="R554" t="str">
        <f>VLOOKUP(VLOOKUP(B554,[1]Product!A:C,3,FALSE),[1]Supplier!A:I,9,FALSE)</f>
        <v>Norway</v>
      </c>
      <c r="S554" t="str">
        <f>IFERROR(IF(VLOOKUP(A554,'[1]Sales Order'!A:H,8,FALSE)&gt;100,"High Freight","Low Freight"),"Not Specified")</f>
        <v>High Freight</v>
      </c>
      <c r="T554">
        <f t="shared" si="17"/>
        <v>516</v>
      </c>
    </row>
    <row r="555" spans="1:20">
      <c r="A555" s="1">
        <v>10456</v>
      </c>
      <c r="B555" s="2">
        <v>21</v>
      </c>
      <c r="C555" s="2">
        <v>8</v>
      </c>
      <c r="D555" s="2">
        <v>40</v>
      </c>
      <c r="E555" s="3">
        <v>0.15</v>
      </c>
      <c r="F555" s="2" t="str">
        <f>IFERROR(VLOOKUP(VLOOKUP(A555,'[1]Sales Order'!A:B,2,FALSE),[1]Customer!A:C,3,FALSE),"Not Specified")</f>
        <v>Song, Lolan</v>
      </c>
      <c r="G555" s="2" t="str">
        <f t="shared" si="16"/>
        <v>Song Lolan</v>
      </c>
      <c r="H555" s="8" t="str">
        <f>IFERROR(VLOOKUP(VLOOKUP(A555,'[1]Sales Order'!A:C,3,FALSE),[1]Employee!A:E,5,FALSE)&amp;" "&amp;VLOOKUP(VLOOKUP(A555,'[1]Sales Order'!A:C,3,FALSE),[1]Employee!A:C,3,FALSE)&amp;" "&amp;VLOOKUP(VLOOKUP(A555,'[1]Sales Order'!A:C,3,FALSE),[1]Employee!A:B,2,FALSE),"Not Specified")</f>
        <v>Ms. Maria Cameron</v>
      </c>
      <c r="I555" t="str">
        <f>IFERROR(VLOOKUP(VLOOKUP(A555,'[1]Sales Order'!A:C,3,FALSE),[1]Employee!A:J,10,FALSE),"Not Specified")</f>
        <v>WA</v>
      </c>
      <c r="J555" t="str">
        <f>VLOOKUP(B555,[1]Product!A:B,2,FALSE)</f>
        <v>Product VJZZH</v>
      </c>
      <c r="K555" t="str">
        <f>VLOOKUP(VLOOKUP(B555,[1]Product!A:D,4,FALSE),[1]Category!A:B,2,FALSE)</f>
        <v>Confections</v>
      </c>
      <c r="L555" s="10">
        <f>IFERROR(VLOOKUP(A555,'[1]Sales Order'!A:D,4,FALSE),"")</f>
        <v>39138</v>
      </c>
      <c r="M555" s="10">
        <f>IFERROR(VLOOKUP(A555,'[1]Sales Order'!A:F,6,FALSE),"")</f>
        <v>39141</v>
      </c>
      <c r="N555" t="str">
        <f>IFERROR(VLOOKUP(VLOOKUP(A555,'[1]Sales Order'!A:G,7,FALSE),[1]Shipper!A:B,2,FALSE),"Not Specified")</f>
        <v>Shipper ETYNR</v>
      </c>
      <c r="O555" t="str">
        <f>IFERROR(VLOOKUP(A555,'[1]Sales Order'!A:I,9,FALSE),"Not Specified")</f>
        <v>Destination DKMQA</v>
      </c>
      <c r="P555" t="str">
        <f>IFERROR(VLOOKUP(A555,'[1]Sales Order'!A:N,14,FALSE),"Not Specified")</f>
        <v>Germany</v>
      </c>
      <c r="Q555" t="str">
        <f>VLOOKUP(VLOOKUP(B555,[1]Product!A:C,3,FALSE),[1]Supplier!A:B,2,FALSE)</f>
        <v>Supplier BWGYE</v>
      </c>
      <c r="R555" t="str">
        <f>VLOOKUP(VLOOKUP(B555,[1]Product!A:C,3,FALSE),[1]Supplier!A:I,9,FALSE)</f>
        <v>UK</v>
      </c>
      <c r="S555" t="str">
        <f>IFERROR(IF(VLOOKUP(A555,'[1]Sales Order'!A:H,8,FALSE)&gt;100,"High Freight","Low Freight"),"Not Specified")</f>
        <v>Low Freight</v>
      </c>
      <c r="T555">
        <f t="shared" si="17"/>
        <v>272</v>
      </c>
    </row>
    <row r="556" spans="1:20">
      <c r="A556" s="1">
        <v>10456</v>
      </c>
      <c r="B556" s="2">
        <v>49</v>
      </c>
      <c r="C556" s="2">
        <v>16</v>
      </c>
      <c r="D556" s="2">
        <v>21</v>
      </c>
      <c r="E556" s="3">
        <v>0.15</v>
      </c>
      <c r="F556" s="2" t="str">
        <f>IFERROR(VLOOKUP(VLOOKUP(A556,'[1]Sales Order'!A:B,2,FALSE),[1]Customer!A:C,3,FALSE),"Not Specified")</f>
        <v>Song, Lolan</v>
      </c>
      <c r="G556" s="2" t="str">
        <f t="shared" si="16"/>
        <v>Song Lolan</v>
      </c>
      <c r="H556" s="8" t="str">
        <f>IFERROR(VLOOKUP(VLOOKUP(A556,'[1]Sales Order'!A:C,3,FALSE),[1]Employee!A:E,5,FALSE)&amp;" "&amp;VLOOKUP(VLOOKUP(A556,'[1]Sales Order'!A:C,3,FALSE),[1]Employee!A:C,3,FALSE)&amp;" "&amp;VLOOKUP(VLOOKUP(A556,'[1]Sales Order'!A:C,3,FALSE),[1]Employee!A:B,2,FALSE),"Not Specified")</f>
        <v>Ms. Maria Cameron</v>
      </c>
      <c r="I556" t="str">
        <f>IFERROR(VLOOKUP(VLOOKUP(A556,'[1]Sales Order'!A:C,3,FALSE),[1]Employee!A:J,10,FALSE),"Not Specified")</f>
        <v>WA</v>
      </c>
      <c r="J556" t="str">
        <f>VLOOKUP(B556,[1]Product!A:B,2,FALSE)</f>
        <v>Product FPYPN</v>
      </c>
      <c r="K556" t="str">
        <f>VLOOKUP(VLOOKUP(B556,[1]Product!A:D,4,FALSE),[1]Category!A:B,2,FALSE)</f>
        <v>Confections</v>
      </c>
      <c r="L556" s="10">
        <f>IFERROR(VLOOKUP(A556,'[1]Sales Order'!A:D,4,FALSE),"")</f>
        <v>39138</v>
      </c>
      <c r="M556" s="10">
        <f>IFERROR(VLOOKUP(A556,'[1]Sales Order'!A:F,6,FALSE),"")</f>
        <v>39141</v>
      </c>
      <c r="N556" t="str">
        <f>IFERROR(VLOOKUP(VLOOKUP(A556,'[1]Sales Order'!A:G,7,FALSE),[1]Shipper!A:B,2,FALSE),"Not Specified")</f>
        <v>Shipper ETYNR</v>
      </c>
      <c r="O556" t="str">
        <f>IFERROR(VLOOKUP(A556,'[1]Sales Order'!A:I,9,FALSE),"Not Specified")</f>
        <v>Destination DKMQA</v>
      </c>
      <c r="P556" t="str">
        <f>IFERROR(VLOOKUP(A556,'[1]Sales Order'!A:N,14,FALSE),"Not Specified")</f>
        <v>Germany</v>
      </c>
      <c r="Q556" t="str">
        <f>VLOOKUP(VLOOKUP(B556,[1]Product!A:C,3,FALSE),[1]Supplier!A:B,2,FALSE)</f>
        <v>Supplier ELCRN</v>
      </c>
      <c r="R556" t="str">
        <f>VLOOKUP(VLOOKUP(B556,[1]Product!A:C,3,FALSE),[1]Supplier!A:I,9,FALSE)</f>
        <v>Finland</v>
      </c>
      <c r="S556" t="str">
        <f>IFERROR(IF(VLOOKUP(A556,'[1]Sales Order'!A:H,8,FALSE)&gt;100,"High Freight","Low Freight"),"Not Specified")</f>
        <v>Low Freight</v>
      </c>
      <c r="T556">
        <f t="shared" si="17"/>
        <v>285.59999999999997</v>
      </c>
    </row>
    <row r="557" spans="1:20">
      <c r="A557" s="1">
        <v>10457</v>
      </c>
      <c r="B557" s="2">
        <v>59</v>
      </c>
      <c r="C557" s="2">
        <v>44</v>
      </c>
      <c r="D557" s="2">
        <v>36</v>
      </c>
      <c r="E557" s="3">
        <v>0</v>
      </c>
      <c r="F557" s="2" t="str">
        <f>IFERROR(VLOOKUP(VLOOKUP(A557,'[1]Sales Order'!A:B,2,FALSE),[1]Customer!A:C,3,FALSE),"Not Specified")</f>
        <v>Song, Lolan</v>
      </c>
      <c r="G557" s="2" t="str">
        <f t="shared" si="16"/>
        <v>Song Lolan</v>
      </c>
      <c r="H557" s="8" t="str">
        <f>IFERROR(VLOOKUP(VLOOKUP(A557,'[1]Sales Order'!A:C,3,FALSE),[1]Employee!A:E,5,FALSE)&amp;" "&amp;VLOOKUP(VLOOKUP(A557,'[1]Sales Order'!A:C,3,FALSE),[1]Employee!A:C,3,FALSE)&amp;" "&amp;VLOOKUP(VLOOKUP(A557,'[1]Sales Order'!A:C,3,FALSE),[1]Employee!A:B,2,FALSE),"Not Specified")</f>
        <v>Dr. Don Funk</v>
      </c>
      <c r="I557" t="str">
        <f>IFERROR(VLOOKUP(VLOOKUP(A557,'[1]Sales Order'!A:C,3,FALSE),[1]Employee!A:J,10,FALSE),"Not Specified")</f>
        <v>WA</v>
      </c>
      <c r="J557" t="str">
        <f>VLOOKUP(B557,[1]Product!A:B,2,FALSE)</f>
        <v>Product UKXRI</v>
      </c>
      <c r="K557" t="str">
        <f>VLOOKUP(VLOOKUP(B557,[1]Product!A:D,4,FALSE),[1]Category!A:B,2,FALSE)</f>
        <v>Dairy Product</v>
      </c>
      <c r="L557" s="10">
        <f>IFERROR(VLOOKUP(A557,'[1]Sales Order'!A:D,4,FALSE),"")</f>
        <v>39138</v>
      </c>
      <c r="M557" s="10">
        <f>IFERROR(VLOOKUP(A557,'[1]Sales Order'!A:F,6,FALSE),"")</f>
        <v>39144</v>
      </c>
      <c r="N557" t="str">
        <f>IFERROR(VLOOKUP(VLOOKUP(A557,'[1]Sales Order'!A:G,7,FALSE),[1]Shipper!A:B,2,FALSE),"Not Specified")</f>
        <v>Shipper GVSUA</v>
      </c>
      <c r="O557" t="str">
        <f>IFERROR(VLOOKUP(A557,'[1]Sales Order'!A:I,9,FALSE),"Not Specified")</f>
        <v>Destination RMBHM</v>
      </c>
      <c r="P557" t="str">
        <f>IFERROR(VLOOKUP(A557,'[1]Sales Order'!A:N,14,FALSE),"Not Specified")</f>
        <v>Germany</v>
      </c>
      <c r="Q557" t="str">
        <f>VLOOKUP(VLOOKUP(B557,[1]Product!A:C,3,FALSE),[1]Supplier!A:B,2,FALSE)</f>
        <v>Supplier OAVQT</v>
      </c>
      <c r="R557" t="str">
        <f>VLOOKUP(VLOOKUP(B557,[1]Product!A:C,3,FALSE),[1]Supplier!A:I,9,FALSE)</f>
        <v>France</v>
      </c>
      <c r="S557" t="str">
        <f>IFERROR(IF(VLOOKUP(A557,'[1]Sales Order'!A:H,8,FALSE)&gt;100,"High Freight","Low Freight"),"Not Specified")</f>
        <v>Low Freight</v>
      </c>
      <c r="T557">
        <f t="shared" si="17"/>
        <v>1584</v>
      </c>
    </row>
    <row r="558" spans="1:20">
      <c r="A558" s="1">
        <v>10458</v>
      </c>
      <c r="B558" s="2">
        <v>26</v>
      </c>
      <c r="C558" s="2">
        <v>24.9</v>
      </c>
      <c r="D558" s="2">
        <v>30</v>
      </c>
      <c r="E558" s="3">
        <v>0</v>
      </c>
      <c r="F558" s="2" t="str">
        <f>IFERROR(VLOOKUP(VLOOKUP(A558,'[1]Sales Order'!A:B,2,FALSE),[1]Customer!A:C,3,FALSE),"Not Specified")</f>
        <v>Gulbis, Katrin</v>
      </c>
      <c r="G558" s="2" t="str">
        <f t="shared" si="16"/>
        <v>Gulbis Katrin</v>
      </c>
      <c r="H558" s="8" t="str">
        <f>IFERROR(VLOOKUP(VLOOKUP(A558,'[1]Sales Order'!A:C,3,FALSE),[1]Employee!A:E,5,FALSE)&amp;" "&amp;VLOOKUP(VLOOKUP(A558,'[1]Sales Order'!A:C,3,FALSE),[1]Employee!A:C,3,FALSE)&amp;" "&amp;VLOOKUP(VLOOKUP(A558,'[1]Sales Order'!A:C,3,FALSE),[1]Employee!A:B,2,FALSE),"Not Specified")</f>
        <v>Mr. Russell King</v>
      </c>
      <c r="I558">
        <f>IFERROR(VLOOKUP(VLOOKUP(A558,'[1]Sales Order'!A:C,3,FALSE),[1]Employee!A:J,10,FALSE),"Not Specified")</f>
        <v>0</v>
      </c>
      <c r="J558" t="str">
        <f>VLOOKUP(B558,[1]Product!A:B,2,FALSE)</f>
        <v>Product HLGZA</v>
      </c>
      <c r="K558" t="str">
        <f>VLOOKUP(VLOOKUP(B558,[1]Product!A:D,4,FALSE),[1]Category!A:B,2,FALSE)</f>
        <v>Confections</v>
      </c>
      <c r="L558" s="10">
        <f>IFERROR(VLOOKUP(A558,'[1]Sales Order'!A:D,4,FALSE),"")</f>
        <v>39139</v>
      </c>
      <c r="M558" s="10">
        <f>IFERROR(VLOOKUP(A558,'[1]Sales Order'!A:F,6,FALSE),"")</f>
        <v>39145</v>
      </c>
      <c r="N558" t="str">
        <f>IFERROR(VLOOKUP(VLOOKUP(A558,'[1]Sales Order'!A:G,7,FALSE),[1]Shipper!A:B,2,FALSE),"Not Specified")</f>
        <v>Shipper ZHISN</v>
      </c>
      <c r="O558" t="str">
        <f>IFERROR(VLOOKUP(A558,'[1]Sales Order'!A:I,9,FALSE),"Not Specified")</f>
        <v>Ship to 76-A</v>
      </c>
      <c r="P558" t="str">
        <f>IFERROR(VLOOKUP(A558,'[1]Sales Order'!A:N,14,FALSE),"Not Specified")</f>
        <v>Belgium</v>
      </c>
      <c r="Q558" t="str">
        <f>VLOOKUP(VLOOKUP(B558,[1]Product!A:C,3,FALSE),[1]Supplier!A:B,2,FALSE)</f>
        <v>Supplier ZPYVS</v>
      </c>
      <c r="R558" t="str">
        <f>VLOOKUP(VLOOKUP(B558,[1]Product!A:C,3,FALSE),[1]Supplier!A:I,9,FALSE)</f>
        <v>Germany</v>
      </c>
      <c r="S558" t="str">
        <f>IFERROR(IF(VLOOKUP(A558,'[1]Sales Order'!A:H,8,FALSE)&gt;100,"High Freight","Low Freight"),"Not Specified")</f>
        <v>High Freight</v>
      </c>
      <c r="T558">
        <f t="shared" si="17"/>
        <v>747</v>
      </c>
    </row>
    <row r="559" spans="1:20">
      <c r="A559" s="1">
        <v>10458</v>
      </c>
      <c r="B559" s="2">
        <v>28</v>
      </c>
      <c r="C559" s="2">
        <v>36.4</v>
      </c>
      <c r="D559" s="2">
        <v>30</v>
      </c>
      <c r="E559" s="3">
        <v>0</v>
      </c>
      <c r="F559" s="2" t="str">
        <f>IFERROR(VLOOKUP(VLOOKUP(A559,'[1]Sales Order'!A:B,2,FALSE),[1]Customer!A:C,3,FALSE),"Not Specified")</f>
        <v>Gulbis, Katrin</v>
      </c>
      <c r="G559" s="2" t="str">
        <f t="shared" si="16"/>
        <v>Gulbis Katrin</v>
      </c>
      <c r="H559" s="8" t="str">
        <f>IFERROR(VLOOKUP(VLOOKUP(A559,'[1]Sales Order'!A:C,3,FALSE),[1]Employee!A:E,5,FALSE)&amp;" "&amp;VLOOKUP(VLOOKUP(A559,'[1]Sales Order'!A:C,3,FALSE),[1]Employee!A:C,3,FALSE)&amp;" "&amp;VLOOKUP(VLOOKUP(A559,'[1]Sales Order'!A:C,3,FALSE),[1]Employee!A:B,2,FALSE),"Not Specified")</f>
        <v>Mr. Russell King</v>
      </c>
      <c r="I559">
        <f>IFERROR(VLOOKUP(VLOOKUP(A559,'[1]Sales Order'!A:C,3,FALSE),[1]Employee!A:J,10,FALSE),"Not Specified")</f>
        <v>0</v>
      </c>
      <c r="J559" t="str">
        <f>VLOOKUP(B559,[1]Product!A:B,2,FALSE)</f>
        <v>Product OFBNT</v>
      </c>
      <c r="K559" t="str">
        <f>VLOOKUP(VLOOKUP(B559,[1]Product!A:D,4,FALSE),[1]Category!A:B,2,FALSE)</f>
        <v>Produce</v>
      </c>
      <c r="L559" s="10">
        <f>IFERROR(VLOOKUP(A559,'[1]Sales Order'!A:D,4,FALSE),"")</f>
        <v>39139</v>
      </c>
      <c r="M559" s="10">
        <f>IFERROR(VLOOKUP(A559,'[1]Sales Order'!A:F,6,FALSE),"")</f>
        <v>39145</v>
      </c>
      <c r="N559" t="str">
        <f>IFERROR(VLOOKUP(VLOOKUP(A559,'[1]Sales Order'!A:G,7,FALSE),[1]Shipper!A:B,2,FALSE),"Not Specified")</f>
        <v>Shipper ZHISN</v>
      </c>
      <c r="O559" t="str">
        <f>IFERROR(VLOOKUP(A559,'[1]Sales Order'!A:I,9,FALSE),"Not Specified")</f>
        <v>Ship to 76-A</v>
      </c>
      <c r="P559" t="str">
        <f>IFERROR(VLOOKUP(A559,'[1]Sales Order'!A:N,14,FALSE),"Not Specified")</f>
        <v>Belgium</v>
      </c>
      <c r="Q559" t="str">
        <f>VLOOKUP(VLOOKUP(B559,[1]Product!A:C,3,FALSE),[1]Supplier!A:B,2,FALSE)</f>
        <v>Supplier SVIYA</v>
      </c>
      <c r="R559" t="str">
        <f>VLOOKUP(VLOOKUP(B559,[1]Product!A:C,3,FALSE),[1]Supplier!A:I,9,FALSE)</f>
        <v>Germany</v>
      </c>
      <c r="S559" t="str">
        <f>IFERROR(IF(VLOOKUP(A559,'[1]Sales Order'!A:H,8,FALSE)&gt;100,"High Freight","Low Freight"),"Not Specified")</f>
        <v>High Freight</v>
      </c>
      <c r="T559">
        <f t="shared" si="17"/>
        <v>1092</v>
      </c>
    </row>
    <row r="560" spans="1:20">
      <c r="A560" s="1">
        <v>10458</v>
      </c>
      <c r="B560" s="2">
        <v>43</v>
      </c>
      <c r="C560" s="2">
        <v>36.799999999999997</v>
      </c>
      <c r="D560" s="2">
        <v>20</v>
      </c>
      <c r="E560" s="3">
        <v>0</v>
      </c>
      <c r="F560" s="2" t="str">
        <f>IFERROR(VLOOKUP(VLOOKUP(A560,'[1]Sales Order'!A:B,2,FALSE),[1]Customer!A:C,3,FALSE),"Not Specified")</f>
        <v>Gulbis, Katrin</v>
      </c>
      <c r="G560" s="2" t="str">
        <f t="shared" si="16"/>
        <v>Gulbis Katrin</v>
      </c>
      <c r="H560" s="8" t="str">
        <f>IFERROR(VLOOKUP(VLOOKUP(A560,'[1]Sales Order'!A:C,3,FALSE),[1]Employee!A:E,5,FALSE)&amp;" "&amp;VLOOKUP(VLOOKUP(A560,'[1]Sales Order'!A:C,3,FALSE),[1]Employee!A:C,3,FALSE)&amp;" "&amp;VLOOKUP(VLOOKUP(A560,'[1]Sales Order'!A:C,3,FALSE),[1]Employee!A:B,2,FALSE),"Not Specified")</f>
        <v>Mr. Russell King</v>
      </c>
      <c r="I560">
        <f>IFERROR(VLOOKUP(VLOOKUP(A560,'[1]Sales Order'!A:C,3,FALSE),[1]Employee!A:J,10,FALSE),"Not Specified")</f>
        <v>0</v>
      </c>
      <c r="J560" t="str">
        <f>VLOOKUP(B560,[1]Product!A:B,2,FALSE)</f>
        <v>Product ZZZHR</v>
      </c>
      <c r="K560" t="str">
        <f>VLOOKUP(VLOOKUP(B560,[1]Product!A:D,4,FALSE),[1]Category!A:B,2,FALSE)</f>
        <v>Beverages</v>
      </c>
      <c r="L560" s="10">
        <f>IFERROR(VLOOKUP(A560,'[1]Sales Order'!A:D,4,FALSE),"")</f>
        <v>39139</v>
      </c>
      <c r="M560" s="10">
        <f>IFERROR(VLOOKUP(A560,'[1]Sales Order'!A:F,6,FALSE),"")</f>
        <v>39145</v>
      </c>
      <c r="N560" t="str">
        <f>IFERROR(VLOOKUP(VLOOKUP(A560,'[1]Sales Order'!A:G,7,FALSE),[1]Shipper!A:B,2,FALSE),"Not Specified")</f>
        <v>Shipper ZHISN</v>
      </c>
      <c r="O560" t="str">
        <f>IFERROR(VLOOKUP(A560,'[1]Sales Order'!A:I,9,FALSE),"Not Specified")</f>
        <v>Ship to 76-A</v>
      </c>
      <c r="P560" t="str">
        <f>IFERROR(VLOOKUP(A560,'[1]Sales Order'!A:N,14,FALSE),"Not Specified")</f>
        <v>Belgium</v>
      </c>
      <c r="Q560" t="str">
        <f>VLOOKUP(VLOOKUP(B560,[1]Product!A:C,3,FALSE),[1]Supplier!A:B,2,FALSE)</f>
        <v>Supplier CIYNM</v>
      </c>
      <c r="R560" t="str">
        <f>VLOOKUP(VLOOKUP(B560,[1]Product!A:C,3,FALSE),[1]Supplier!A:I,9,FALSE)</f>
        <v>Singapore</v>
      </c>
      <c r="S560" t="str">
        <f>IFERROR(IF(VLOOKUP(A560,'[1]Sales Order'!A:H,8,FALSE)&gt;100,"High Freight","Low Freight"),"Not Specified")</f>
        <v>High Freight</v>
      </c>
      <c r="T560">
        <f t="shared" si="17"/>
        <v>736</v>
      </c>
    </row>
    <row r="561" spans="1:20">
      <c r="A561" s="1">
        <v>10458</v>
      </c>
      <c r="B561" s="2">
        <v>56</v>
      </c>
      <c r="C561" s="2">
        <v>30.4</v>
      </c>
      <c r="D561" s="2">
        <v>15</v>
      </c>
      <c r="E561" s="3">
        <v>0</v>
      </c>
      <c r="F561" s="2" t="str">
        <f>IFERROR(VLOOKUP(VLOOKUP(A561,'[1]Sales Order'!A:B,2,FALSE),[1]Customer!A:C,3,FALSE),"Not Specified")</f>
        <v>Gulbis, Katrin</v>
      </c>
      <c r="G561" s="2" t="str">
        <f t="shared" si="16"/>
        <v>Gulbis Katrin</v>
      </c>
      <c r="H561" s="8" t="str">
        <f>IFERROR(VLOOKUP(VLOOKUP(A561,'[1]Sales Order'!A:C,3,FALSE),[1]Employee!A:E,5,FALSE)&amp;" "&amp;VLOOKUP(VLOOKUP(A561,'[1]Sales Order'!A:C,3,FALSE),[1]Employee!A:C,3,FALSE)&amp;" "&amp;VLOOKUP(VLOOKUP(A561,'[1]Sales Order'!A:C,3,FALSE),[1]Employee!A:B,2,FALSE),"Not Specified")</f>
        <v>Mr. Russell King</v>
      </c>
      <c r="I561">
        <f>IFERROR(VLOOKUP(VLOOKUP(A561,'[1]Sales Order'!A:C,3,FALSE),[1]Employee!A:J,10,FALSE),"Not Specified")</f>
        <v>0</v>
      </c>
      <c r="J561" t="str">
        <f>VLOOKUP(B561,[1]Product!A:B,2,FALSE)</f>
        <v>Product VKCMF</v>
      </c>
      <c r="K561" t="str">
        <f>VLOOKUP(VLOOKUP(B561,[1]Product!A:D,4,FALSE),[1]Category!A:B,2,FALSE)</f>
        <v>Grains/Cereals</v>
      </c>
      <c r="L561" s="10">
        <f>IFERROR(VLOOKUP(A561,'[1]Sales Order'!A:D,4,FALSE),"")</f>
        <v>39139</v>
      </c>
      <c r="M561" s="10">
        <f>IFERROR(VLOOKUP(A561,'[1]Sales Order'!A:F,6,FALSE),"")</f>
        <v>39145</v>
      </c>
      <c r="N561" t="str">
        <f>IFERROR(VLOOKUP(VLOOKUP(A561,'[1]Sales Order'!A:G,7,FALSE),[1]Shipper!A:B,2,FALSE),"Not Specified")</f>
        <v>Shipper ZHISN</v>
      </c>
      <c r="O561" t="str">
        <f>IFERROR(VLOOKUP(A561,'[1]Sales Order'!A:I,9,FALSE),"Not Specified")</f>
        <v>Ship to 76-A</v>
      </c>
      <c r="P561" t="str">
        <f>IFERROR(VLOOKUP(A561,'[1]Sales Order'!A:N,14,FALSE),"Not Specified")</f>
        <v>Belgium</v>
      </c>
      <c r="Q561" t="str">
        <f>VLOOKUP(VLOOKUP(B561,[1]Product!A:C,3,FALSE),[1]Supplier!A:B,2,FALSE)</f>
        <v>Supplier ZWZDM</v>
      </c>
      <c r="R561" t="str">
        <f>VLOOKUP(VLOOKUP(B561,[1]Product!A:C,3,FALSE),[1]Supplier!A:I,9,FALSE)</f>
        <v>Italy</v>
      </c>
      <c r="S561" t="str">
        <f>IFERROR(IF(VLOOKUP(A561,'[1]Sales Order'!A:H,8,FALSE)&gt;100,"High Freight","Low Freight"),"Not Specified")</f>
        <v>High Freight</v>
      </c>
      <c r="T561">
        <f t="shared" si="17"/>
        <v>456</v>
      </c>
    </row>
    <row r="562" spans="1:20">
      <c r="A562" s="1">
        <v>10458</v>
      </c>
      <c r="B562" s="2">
        <v>71</v>
      </c>
      <c r="C562" s="2">
        <v>17.2</v>
      </c>
      <c r="D562" s="2">
        <v>50</v>
      </c>
      <c r="E562" s="3">
        <v>0</v>
      </c>
      <c r="F562" s="2" t="str">
        <f>IFERROR(VLOOKUP(VLOOKUP(A562,'[1]Sales Order'!A:B,2,FALSE),[1]Customer!A:C,3,FALSE),"Not Specified")</f>
        <v>Gulbis, Katrin</v>
      </c>
      <c r="G562" s="2" t="str">
        <f t="shared" si="16"/>
        <v>Gulbis Katrin</v>
      </c>
      <c r="H562" s="8" t="str">
        <f>IFERROR(VLOOKUP(VLOOKUP(A562,'[1]Sales Order'!A:C,3,FALSE),[1]Employee!A:E,5,FALSE)&amp;" "&amp;VLOOKUP(VLOOKUP(A562,'[1]Sales Order'!A:C,3,FALSE),[1]Employee!A:C,3,FALSE)&amp;" "&amp;VLOOKUP(VLOOKUP(A562,'[1]Sales Order'!A:C,3,FALSE),[1]Employee!A:B,2,FALSE),"Not Specified")</f>
        <v>Mr. Russell King</v>
      </c>
      <c r="I562">
        <f>IFERROR(VLOOKUP(VLOOKUP(A562,'[1]Sales Order'!A:C,3,FALSE),[1]Employee!A:J,10,FALSE),"Not Specified")</f>
        <v>0</v>
      </c>
      <c r="J562" t="str">
        <f>VLOOKUP(B562,[1]Product!A:B,2,FALSE)</f>
        <v>Product MYMOI</v>
      </c>
      <c r="K562" t="str">
        <f>VLOOKUP(VLOOKUP(B562,[1]Product!A:D,4,FALSE),[1]Category!A:B,2,FALSE)</f>
        <v>Dairy Product</v>
      </c>
      <c r="L562" s="10">
        <f>IFERROR(VLOOKUP(A562,'[1]Sales Order'!A:D,4,FALSE),"")</f>
        <v>39139</v>
      </c>
      <c r="M562" s="10">
        <f>IFERROR(VLOOKUP(A562,'[1]Sales Order'!A:F,6,FALSE),"")</f>
        <v>39145</v>
      </c>
      <c r="N562" t="str">
        <f>IFERROR(VLOOKUP(VLOOKUP(A562,'[1]Sales Order'!A:G,7,FALSE),[1]Shipper!A:B,2,FALSE),"Not Specified")</f>
        <v>Shipper ZHISN</v>
      </c>
      <c r="O562" t="str">
        <f>IFERROR(VLOOKUP(A562,'[1]Sales Order'!A:I,9,FALSE),"Not Specified")</f>
        <v>Ship to 76-A</v>
      </c>
      <c r="P562" t="str">
        <f>IFERROR(VLOOKUP(A562,'[1]Sales Order'!A:N,14,FALSE),"Not Specified")</f>
        <v>Belgium</v>
      </c>
      <c r="Q562" t="str">
        <f>VLOOKUP(VLOOKUP(B562,[1]Product!A:C,3,FALSE),[1]Supplier!A:B,2,FALSE)</f>
        <v>Supplier NZLIF</v>
      </c>
      <c r="R562" t="str">
        <f>VLOOKUP(VLOOKUP(B562,[1]Product!A:C,3,FALSE),[1]Supplier!A:I,9,FALSE)</f>
        <v>Norway</v>
      </c>
      <c r="S562" t="str">
        <f>IFERROR(IF(VLOOKUP(A562,'[1]Sales Order'!A:H,8,FALSE)&gt;100,"High Freight","Low Freight"),"Not Specified")</f>
        <v>High Freight</v>
      </c>
      <c r="T562">
        <f t="shared" si="17"/>
        <v>860</v>
      </c>
    </row>
    <row r="563" spans="1:20">
      <c r="A563" s="1">
        <v>10459</v>
      </c>
      <c r="B563" s="2">
        <v>7</v>
      </c>
      <c r="C563" s="2">
        <v>24</v>
      </c>
      <c r="D563" s="2">
        <v>16</v>
      </c>
      <c r="E563" s="3">
        <v>0.05</v>
      </c>
      <c r="F563" s="2" t="str">
        <f>IFERROR(VLOOKUP(VLOOKUP(A563,'[1]Sales Order'!A:B,2,FALSE),[1]Customer!A:C,3,FALSE),"Not Specified")</f>
        <v>Tuntisangaroon, Sittichai</v>
      </c>
      <c r="G563" s="2" t="str">
        <f t="shared" si="16"/>
        <v>Tuntisangaroon Sittichai</v>
      </c>
      <c r="H563" s="8" t="str">
        <f>IFERROR(VLOOKUP(VLOOKUP(A563,'[1]Sales Order'!A:C,3,FALSE),[1]Employee!A:E,5,FALSE)&amp;" "&amp;VLOOKUP(VLOOKUP(A563,'[1]Sales Order'!A:C,3,FALSE),[1]Employee!A:C,3,FALSE)&amp;" "&amp;VLOOKUP(VLOOKUP(A563,'[1]Sales Order'!A:C,3,FALSE),[1]Employee!A:B,2,FALSE),"Not Specified")</f>
        <v>Mrs. Yael Peled</v>
      </c>
      <c r="I563" t="str">
        <f>IFERROR(VLOOKUP(VLOOKUP(A563,'[1]Sales Order'!A:C,3,FALSE),[1]Employee!A:J,10,FALSE),"Not Specified")</f>
        <v>WA</v>
      </c>
      <c r="J563" t="str">
        <f>VLOOKUP(B563,[1]Product!A:B,2,FALSE)</f>
        <v>Product HMLNI</v>
      </c>
      <c r="K563" t="str">
        <f>VLOOKUP(VLOOKUP(B563,[1]Product!A:D,4,FALSE),[1]Category!A:B,2,FALSE)</f>
        <v>Produce</v>
      </c>
      <c r="L563" s="10">
        <f>IFERROR(VLOOKUP(A563,'[1]Sales Order'!A:D,4,FALSE),"")</f>
        <v>39140</v>
      </c>
      <c r="M563" s="10">
        <f>IFERROR(VLOOKUP(A563,'[1]Sales Order'!A:F,6,FALSE),"")</f>
        <v>39141</v>
      </c>
      <c r="N563" t="str">
        <f>IFERROR(VLOOKUP(VLOOKUP(A563,'[1]Sales Order'!A:G,7,FALSE),[1]Shipper!A:B,2,FALSE),"Not Specified")</f>
        <v>Shipper ETYNR</v>
      </c>
      <c r="O563" t="str">
        <f>IFERROR(VLOOKUP(A563,'[1]Sales Order'!A:I,9,FALSE),"Not Specified")</f>
        <v>Ship to 84-B</v>
      </c>
      <c r="P563" t="str">
        <f>IFERROR(VLOOKUP(A563,'[1]Sales Order'!A:N,14,FALSE),"Not Specified")</f>
        <v>France</v>
      </c>
      <c r="Q563" t="str">
        <f>VLOOKUP(VLOOKUP(B563,[1]Product!A:C,3,FALSE),[1]Supplier!A:B,2,FALSE)</f>
        <v>Supplier STUAZ</v>
      </c>
      <c r="R563" t="str">
        <f>VLOOKUP(VLOOKUP(B563,[1]Product!A:C,3,FALSE),[1]Supplier!A:I,9,FALSE)</f>
        <v>USA</v>
      </c>
      <c r="S563" t="str">
        <f>IFERROR(IF(VLOOKUP(A563,'[1]Sales Order'!A:H,8,FALSE)&gt;100,"High Freight","Low Freight"),"Not Specified")</f>
        <v>Low Freight</v>
      </c>
      <c r="T563">
        <f t="shared" si="17"/>
        <v>364.79999999999995</v>
      </c>
    </row>
    <row r="564" spans="1:20">
      <c r="A564" s="1">
        <v>10459</v>
      </c>
      <c r="B564" s="2">
        <v>46</v>
      </c>
      <c r="C564" s="2">
        <v>9.6</v>
      </c>
      <c r="D564" s="2">
        <v>20</v>
      </c>
      <c r="E564" s="3">
        <v>0.05</v>
      </c>
      <c r="F564" s="2" t="str">
        <f>IFERROR(VLOOKUP(VLOOKUP(A564,'[1]Sales Order'!A:B,2,FALSE),[1]Customer!A:C,3,FALSE),"Not Specified")</f>
        <v>Tuntisangaroon, Sittichai</v>
      </c>
      <c r="G564" s="2" t="str">
        <f t="shared" si="16"/>
        <v>Tuntisangaroon Sittichai</v>
      </c>
      <c r="H564" s="8" t="str">
        <f>IFERROR(VLOOKUP(VLOOKUP(A564,'[1]Sales Order'!A:C,3,FALSE),[1]Employee!A:E,5,FALSE)&amp;" "&amp;VLOOKUP(VLOOKUP(A564,'[1]Sales Order'!A:C,3,FALSE),[1]Employee!A:C,3,FALSE)&amp;" "&amp;VLOOKUP(VLOOKUP(A564,'[1]Sales Order'!A:C,3,FALSE),[1]Employee!A:B,2,FALSE),"Not Specified")</f>
        <v>Mrs. Yael Peled</v>
      </c>
      <c r="I564" t="str">
        <f>IFERROR(VLOOKUP(VLOOKUP(A564,'[1]Sales Order'!A:C,3,FALSE),[1]Employee!A:J,10,FALSE),"Not Specified")</f>
        <v>WA</v>
      </c>
      <c r="J564" t="str">
        <f>VLOOKUP(B564,[1]Product!A:B,2,FALSE)</f>
        <v>Product CBRRL</v>
      </c>
      <c r="K564" t="str">
        <f>VLOOKUP(VLOOKUP(B564,[1]Product!A:D,4,FALSE),[1]Category!A:B,2,FALSE)</f>
        <v>Seafood</v>
      </c>
      <c r="L564" s="10">
        <f>IFERROR(VLOOKUP(A564,'[1]Sales Order'!A:D,4,FALSE),"")</f>
        <v>39140</v>
      </c>
      <c r="M564" s="10">
        <f>IFERROR(VLOOKUP(A564,'[1]Sales Order'!A:F,6,FALSE),"")</f>
        <v>39141</v>
      </c>
      <c r="N564" t="str">
        <f>IFERROR(VLOOKUP(VLOOKUP(A564,'[1]Sales Order'!A:G,7,FALSE),[1]Shipper!A:B,2,FALSE),"Not Specified")</f>
        <v>Shipper ETYNR</v>
      </c>
      <c r="O564" t="str">
        <f>IFERROR(VLOOKUP(A564,'[1]Sales Order'!A:I,9,FALSE),"Not Specified")</f>
        <v>Ship to 84-B</v>
      </c>
      <c r="P564" t="str">
        <f>IFERROR(VLOOKUP(A564,'[1]Sales Order'!A:N,14,FALSE),"Not Specified")</f>
        <v>France</v>
      </c>
      <c r="Q564" t="str">
        <f>VLOOKUP(VLOOKUP(B564,[1]Product!A:C,3,FALSE),[1]Supplier!A:B,2,FALSE)</f>
        <v>Supplier XOXZA</v>
      </c>
      <c r="R564" t="str">
        <f>VLOOKUP(VLOOKUP(B564,[1]Product!A:C,3,FALSE),[1]Supplier!A:I,9,FALSE)</f>
        <v>Denmark</v>
      </c>
      <c r="S564" t="str">
        <f>IFERROR(IF(VLOOKUP(A564,'[1]Sales Order'!A:H,8,FALSE)&gt;100,"High Freight","Low Freight"),"Not Specified")</f>
        <v>Low Freight</v>
      </c>
      <c r="T564">
        <f t="shared" si="17"/>
        <v>182.39999999999998</v>
      </c>
    </row>
    <row r="565" spans="1:20">
      <c r="A565" s="1">
        <v>10459</v>
      </c>
      <c r="B565" s="2">
        <v>72</v>
      </c>
      <c r="C565" s="2">
        <v>27.8</v>
      </c>
      <c r="D565" s="2">
        <v>40</v>
      </c>
      <c r="E565" s="3">
        <v>0</v>
      </c>
      <c r="F565" s="2" t="str">
        <f>IFERROR(VLOOKUP(VLOOKUP(A565,'[1]Sales Order'!A:B,2,FALSE),[1]Customer!A:C,3,FALSE),"Not Specified")</f>
        <v>Tuntisangaroon, Sittichai</v>
      </c>
      <c r="G565" s="2" t="str">
        <f t="shared" si="16"/>
        <v>Tuntisangaroon Sittichai</v>
      </c>
      <c r="H565" s="8" t="str">
        <f>IFERROR(VLOOKUP(VLOOKUP(A565,'[1]Sales Order'!A:C,3,FALSE),[1]Employee!A:E,5,FALSE)&amp;" "&amp;VLOOKUP(VLOOKUP(A565,'[1]Sales Order'!A:C,3,FALSE),[1]Employee!A:C,3,FALSE)&amp;" "&amp;VLOOKUP(VLOOKUP(A565,'[1]Sales Order'!A:C,3,FALSE),[1]Employee!A:B,2,FALSE),"Not Specified")</f>
        <v>Mrs. Yael Peled</v>
      </c>
      <c r="I565" t="str">
        <f>IFERROR(VLOOKUP(VLOOKUP(A565,'[1]Sales Order'!A:C,3,FALSE),[1]Employee!A:J,10,FALSE),"Not Specified")</f>
        <v>WA</v>
      </c>
      <c r="J565" t="str">
        <f>VLOOKUP(B565,[1]Product!A:B,2,FALSE)</f>
        <v>Product GEEOO</v>
      </c>
      <c r="K565" t="str">
        <f>VLOOKUP(VLOOKUP(B565,[1]Product!A:D,4,FALSE),[1]Category!A:B,2,FALSE)</f>
        <v>Dairy Product</v>
      </c>
      <c r="L565" s="10">
        <f>IFERROR(VLOOKUP(A565,'[1]Sales Order'!A:D,4,FALSE),"")</f>
        <v>39140</v>
      </c>
      <c r="M565" s="10">
        <f>IFERROR(VLOOKUP(A565,'[1]Sales Order'!A:F,6,FALSE),"")</f>
        <v>39141</v>
      </c>
      <c r="N565" t="str">
        <f>IFERROR(VLOOKUP(VLOOKUP(A565,'[1]Sales Order'!A:G,7,FALSE),[1]Shipper!A:B,2,FALSE),"Not Specified")</f>
        <v>Shipper ETYNR</v>
      </c>
      <c r="O565" t="str">
        <f>IFERROR(VLOOKUP(A565,'[1]Sales Order'!A:I,9,FALSE),"Not Specified")</f>
        <v>Ship to 84-B</v>
      </c>
      <c r="P565" t="str">
        <f>IFERROR(VLOOKUP(A565,'[1]Sales Order'!A:N,14,FALSE),"Not Specified")</f>
        <v>France</v>
      </c>
      <c r="Q565" t="str">
        <f>VLOOKUP(VLOOKUP(B565,[1]Product!A:C,3,FALSE),[1]Supplier!A:B,2,FALSE)</f>
        <v>Supplier KEREV</v>
      </c>
      <c r="R565" t="str">
        <f>VLOOKUP(VLOOKUP(B565,[1]Product!A:C,3,FALSE),[1]Supplier!A:I,9,FALSE)</f>
        <v>Italy</v>
      </c>
      <c r="S565" t="str">
        <f>IFERROR(IF(VLOOKUP(A565,'[1]Sales Order'!A:H,8,FALSE)&gt;100,"High Freight","Low Freight"),"Not Specified")</f>
        <v>Low Freight</v>
      </c>
      <c r="T565">
        <f t="shared" si="17"/>
        <v>1112</v>
      </c>
    </row>
    <row r="566" spans="1:20">
      <c r="A566" s="1">
        <v>10460</v>
      </c>
      <c r="B566" s="2">
        <v>68</v>
      </c>
      <c r="C566" s="2">
        <v>10</v>
      </c>
      <c r="D566" s="2">
        <v>21</v>
      </c>
      <c r="E566" s="3">
        <v>0.25</v>
      </c>
      <c r="F566" s="2" t="str">
        <f>IFERROR(VLOOKUP(VLOOKUP(A566,'[1]Sales Order'!A:B,2,FALSE),[1]Customer!A:C,3,FALSE),"Not Specified")</f>
        <v>San Juan, Patricia</v>
      </c>
      <c r="G566" s="2" t="str">
        <f t="shared" si="16"/>
        <v>San Juan Patricia</v>
      </c>
      <c r="H566" s="8" t="str">
        <f>IFERROR(VLOOKUP(VLOOKUP(A566,'[1]Sales Order'!A:C,3,FALSE),[1]Employee!A:E,5,FALSE)&amp;" "&amp;VLOOKUP(VLOOKUP(A566,'[1]Sales Order'!A:C,3,FALSE),[1]Employee!A:C,3,FALSE)&amp;" "&amp;VLOOKUP(VLOOKUP(A566,'[1]Sales Order'!A:C,3,FALSE),[1]Employee!A:B,2,FALSE),"Not Specified")</f>
        <v>Ms. Maria Cameron</v>
      </c>
      <c r="I566" t="str">
        <f>IFERROR(VLOOKUP(VLOOKUP(A566,'[1]Sales Order'!A:C,3,FALSE),[1]Employee!A:J,10,FALSE),"Not Specified")</f>
        <v>WA</v>
      </c>
      <c r="J566" t="str">
        <f>VLOOKUP(B566,[1]Product!A:B,2,FALSE)</f>
        <v>Product TBTBL</v>
      </c>
      <c r="K566" t="str">
        <f>VLOOKUP(VLOOKUP(B566,[1]Product!A:D,4,FALSE),[1]Category!A:B,2,FALSE)</f>
        <v>Confections</v>
      </c>
      <c r="L566" s="10">
        <f>IFERROR(VLOOKUP(A566,'[1]Sales Order'!A:D,4,FALSE),"")</f>
        <v>39141</v>
      </c>
      <c r="M566" s="10">
        <f>IFERROR(VLOOKUP(A566,'[1]Sales Order'!A:F,6,FALSE),"")</f>
        <v>39144</v>
      </c>
      <c r="N566" t="str">
        <f>IFERROR(VLOOKUP(VLOOKUP(A566,'[1]Sales Order'!A:G,7,FALSE),[1]Shipper!A:B,2,FALSE),"Not Specified")</f>
        <v>Shipper GVSUA</v>
      </c>
      <c r="O566" t="str">
        <f>IFERROR(VLOOKUP(A566,'[1]Sales Order'!A:I,9,FALSE),"Not Specified")</f>
        <v>Destination YCMPK</v>
      </c>
      <c r="P566" t="str">
        <f>IFERROR(VLOOKUP(A566,'[1]Sales Order'!A:N,14,FALSE),"Not Specified")</f>
        <v>Sweden</v>
      </c>
      <c r="Q566" t="str">
        <f>VLOOKUP(VLOOKUP(B566,[1]Product!A:C,3,FALSE),[1]Supplier!A:B,2,FALSE)</f>
        <v>Supplier BWGYE</v>
      </c>
      <c r="R566" t="str">
        <f>VLOOKUP(VLOOKUP(B566,[1]Product!A:C,3,FALSE),[1]Supplier!A:I,9,FALSE)</f>
        <v>UK</v>
      </c>
      <c r="S566" t="str">
        <f>IFERROR(IF(VLOOKUP(A566,'[1]Sales Order'!A:H,8,FALSE)&gt;100,"High Freight","Low Freight"),"Not Specified")</f>
        <v>Low Freight</v>
      </c>
      <c r="T566">
        <f t="shared" si="17"/>
        <v>157.5</v>
      </c>
    </row>
    <row r="567" spans="1:20">
      <c r="A567" s="1">
        <v>10460</v>
      </c>
      <c r="B567" s="2">
        <v>75</v>
      </c>
      <c r="C567" s="2">
        <v>6.2</v>
      </c>
      <c r="D567" s="2">
        <v>4</v>
      </c>
      <c r="E567" s="3">
        <v>0.25</v>
      </c>
      <c r="F567" s="2" t="str">
        <f>IFERROR(VLOOKUP(VLOOKUP(A567,'[1]Sales Order'!A:B,2,FALSE),[1]Customer!A:C,3,FALSE),"Not Specified")</f>
        <v>San Juan, Patricia</v>
      </c>
      <c r="G567" s="2" t="str">
        <f t="shared" si="16"/>
        <v>San Juan Patricia</v>
      </c>
      <c r="H567" s="8" t="str">
        <f>IFERROR(VLOOKUP(VLOOKUP(A567,'[1]Sales Order'!A:C,3,FALSE),[1]Employee!A:E,5,FALSE)&amp;" "&amp;VLOOKUP(VLOOKUP(A567,'[1]Sales Order'!A:C,3,FALSE),[1]Employee!A:C,3,FALSE)&amp;" "&amp;VLOOKUP(VLOOKUP(A567,'[1]Sales Order'!A:C,3,FALSE),[1]Employee!A:B,2,FALSE),"Not Specified")</f>
        <v>Ms. Maria Cameron</v>
      </c>
      <c r="I567" t="str">
        <f>IFERROR(VLOOKUP(VLOOKUP(A567,'[1]Sales Order'!A:C,3,FALSE),[1]Employee!A:J,10,FALSE),"Not Specified")</f>
        <v>WA</v>
      </c>
      <c r="J567" t="str">
        <f>VLOOKUP(B567,[1]Product!A:B,2,FALSE)</f>
        <v>Product BWRLG</v>
      </c>
      <c r="K567" t="str">
        <f>VLOOKUP(VLOOKUP(B567,[1]Product!A:D,4,FALSE),[1]Category!A:B,2,FALSE)</f>
        <v>Beverages</v>
      </c>
      <c r="L567" s="10">
        <f>IFERROR(VLOOKUP(A567,'[1]Sales Order'!A:D,4,FALSE),"")</f>
        <v>39141</v>
      </c>
      <c r="M567" s="10">
        <f>IFERROR(VLOOKUP(A567,'[1]Sales Order'!A:F,6,FALSE),"")</f>
        <v>39144</v>
      </c>
      <c r="N567" t="str">
        <f>IFERROR(VLOOKUP(VLOOKUP(A567,'[1]Sales Order'!A:G,7,FALSE),[1]Shipper!A:B,2,FALSE),"Not Specified")</f>
        <v>Shipper GVSUA</v>
      </c>
      <c r="O567" t="str">
        <f>IFERROR(VLOOKUP(A567,'[1]Sales Order'!A:I,9,FALSE),"Not Specified")</f>
        <v>Destination YCMPK</v>
      </c>
      <c r="P567" t="str">
        <f>IFERROR(VLOOKUP(A567,'[1]Sales Order'!A:N,14,FALSE),"Not Specified")</f>
        <v>Sweden</v>
      </c>
      <c r="Q567" t="str">
        <f>VLOOKUP(VLOOKUP(B567,[1]Product!A:C,3,FALSE),[1]Supplier!A:B,2,FALSE)</f>
        <v>Supplier SVIYA</v>
      </c>
      <c r="R567" t="str">
        <f>VLOOKUP(VLOOKUP(B567,[1]Product!A:C,3,FALSE),[1]Supplier!A:I,9,FALSE)</f>
        <v>Germany</v>
      </c>
      <c r="S567" t="str">
        <f>IFERROR(IF(VLOOKUP(A567,'[1]Sales Order'!A:H,8,FALSE)&gt;100,"High Freight","Low Freight"),"Not Specified")</f>
        <v>Low Freight</v>
      </c>
      <c r="T567">
        <f t="shared" si="17"/>
        <v>18.600000000000001</v>
      </c>
    </row>
    <row r="568" spans="1:20">
      <c r="A568" s="1">
        <v>10461</v>
      </c>
      <c r="B568" s="2">
        <v>21</v>
      </c>
      <c r="C568" s="2">
        <v>8</v>
      </c>
      <c r="D568" s="2">
        <v>40</v>
      </c>
      <c r="E568" s="3">
        <v>0.25</v>
      </c>
      <c r="F568" s="2" t="str">
        <f>IFERROR(VLOOKUP(VLOOKUP(A568,'[1]Sales Order'!A:B,2,FALSE),[1]Customer!A:C,3,FALSE),"Not Specified")</f>
        <v>Dressler, Marlies</v>
      </c>
      <c r="G568" s="2" t="str">
        <f t="shared" si="16"/>
        <v>Dressler Marlies</v>
      </c>
      <c r="H568" s="8" t="str">
        <f>IFERROR(VLOOKUP(VLOOKUP(A568,'[1]Sales Order'!A:C,3,FALSE),[1]Employee!A:E,5,FALSE)&amp;" "&amp;VLOOKUP(VLOOKUP(A568,'[1]Sales Order'!A:C,3,FALSE),[1]Employee!A:C,3,FALSE)&amp;" "&amp;VLOOKUP(VLOOKUP(A568,'[1]Sales Order'!A:C,3,FALSE),[1]Employee!A:B,2,FALSE),"Not Specified")</f>
        <v>Ms. Sara Davis</v>
      </c>
      <c r="I568" t="str">
        <f>IFERROR(VLOOKUP(VLOOKUP(A568,'[1]Sales Order'!A:C,3,FALSE),[1]Employee!A:J,10,FALSE),"Not Specified")</f>
        <v>WA</v>
      </c>
      <c r="J568" t="str">
        <f>VLOOKUP(B568,[1]Product!A:B,2,FALSE)</f>
        <v>Product VJZZH</v>
      </c>
      <c r="K568" t="str">
        <f>VLOOKUP(VLOOKUP(B568,[1]Product!A:D,4,FALSE),[1]Category!A:B,2,FALSE)</f>
        <v>Confections</v>
      </c>
      <c r="L568" s="10">
        <f>IFERROR(VLOOKUP(A568,'[1]Sales Order'!A:D,4,FALSE),"")</f>
        <v>39141</v>
      </c>
      <c r="M568" s="10">
        <f>IFERROR(VLOOKUP(A568,'[1]Sales Order'!A:F,6,FALSE),"")</f>
        <v>39146</v>
      </c>
      <c r="N568" t="str">
        <f>IFERROR(VLOOKUP(VLOOKUP(A568,'[1]Sales Order'!A:G,7,FALSE),[1]Shipper!A:B,2,FALSE),"Not Specified")</f>
        <v>Shipper ZHISN</v>
      </c>
      <c r="O568" t="str">
        <f>IFERROR(VLOOKUP(A568,'[1]Sales Order'!A:I,9,FALSE),"Not Specified")</f>
        <v>Ship to 46-A</v>
      </c>
      <c r="P568" t="str">
        <f>IFERROR(VLOOKUP(A568,'[1]Sales Order'!A:N,14,FALSE),"Not Specified")</f>
        <v>Venezuela</v>
      </c>
      <c r="Q568" t="str">
        <f>VLOOKUP(VLOOKUP(B568,[1]Product!A:C,3,FALSE),[1]Supplier!A:B,2,FALSE)</f>
        <v>Supplier BWGYE</v>
      </c>
      <c r="R568" t="str">
        <f>VLOOKUP(VLOOKUP(B568,[1]Product!A:C,3,FALSE),[1]Supplier!A:I,9,FALSE)</f>
        <v>UK</v>
      </c>
      <c r="S568" t="str">
        <f>IFERROR(IF(VLOOKUP(A568,'[1]Sales Order'!A:H,8,FALSE)&gt;100,"High Freight","Low Freight"),"Not Specified")</f>
        <v>High Freight</v>
      </c>
      <c r="T568">
        <f t="shared" si="17"/>
        <v>240</v>
      </c>
    </row>
    <row r="569" spans="1:20">
      <c r="A569" s="1">
        <v>10461</v>
      </c>
      <c r="B569" s="2">
        <v>30</v>
      </c>
      <c r="C569" s="2">
        <v>20.7</v>
      </c>
      <c r="D569" s="2">
        <v>28</v>
      </c>
      <c r="E569" s="3">
        <v>0.25</v>
      </c>
      <c r="F569" s="2" t="str">
        <f>IFERROR(VLOOKUP(VLOOKUP(A569,'[1]Sales Order'!A:B,2,FALSE),[1]Customer!A:C,3,FALSE),"Not Specified")</f>
        <v>Dressler, Marlies</v>
      </c>
      <c r="G569" s="2" t="str">
        <f t="shared" si="16"/>
        <v>Dressler Marlies</v>
      </c>
      <c r="H569" s="8" t="str">
        <f>IFERROR(VLOOKUP(VLOOKUP(A569,'[1]Sales Order'!A:C,3,FALSE),[1]Employee!A:E,5,FALSE)&amp;" "&amp;VLOOKUP(VLOOKUP(A569,'[1]Sales Order'!A:C,3,FALSE),[1]Employee!A:C,3,FALSE)&amp;" "&amp;VLOOKUP(VLOOKUP(A569,'[1]Sales Order'!A:C,3,FALSE),[1]Employee!A:B,2,FALSE),"Not Specified")</f>
        <v>Ms. Sara Davis</v>
      </c>
      <c r="I569" t="str">
        <f>IFERROR(VLOOKUP(VLOOKUP(A569,'[1]Sales Order'!A:C,3,FALSE),[1]Employee!A:J,10,FALSE),"Not Specified")</f>
        <v>WA</v>
      </c>
      <c r="J569" t="str">
        <f>VLOOKUP(B569,[1]Product!A:B,2,FALSE)</f>
        <v>Product LYERX</v>
      </c>
      <c r="K569" t="str">
        <f>VLOOKUP(VLOOKUP(B569,[1]Product!A:D,4,FALSE),[1]Category!A:B,2,FALSE)</f>
        <v>Seafood</v>
      </c>
      <c r="L569" s="10">
        <f>IFERROR(VLOOKUP(A569,'[1]Sales Order'!A:D,4,FALSE),"")</f>
        <v>39141</v>
      </c>
      <c r="M569" s="10">
        <f>IFERROR(VLOOKUP(A569,'[1]Sales Order'!A:F,6,FALSE),"")</f>
        <v>39146</v>
      </c>
      <c r="N569" t="str">
        <f>IFERROR(VLOOKUP(VLOOKUP(A569,'[1]Sales Order'!A:G,7,FALSE),[1]Shipper!A:B,2,FALSE),"Not Specified")</f>
        <v>Shipper ZHISN</v>
      </c>
      <c r="O569" t="str">
        <f>IFERROR(VLOOKUP(A569,'[1]Sales Order'!A:I,9,FALSE),"Not Specified")</f>
        <v>Ship to 46-A</v>
      </c>
      <c r="P569" t="str">
        <f>IFERROR(VLOOKUP(A569,'[1]Sales Order'!A:N,14,FALSE),"Not Specified")</f>
        <v>Venezuela</v>
      </c>
      <c r="Q569" t="str">
        <f>VLOOKUP(VLOOKUP(B569,[1]Product!A:C,3,FALSE),[1]Supplier!A:B,2,FALSE)</f>
        <v>Supplier TEGSC</v>
      </c>
      <c r="R569" t="str">
        <f>VLOOKUP(VLOOKUP(B569,[1]Product!A:C,3,FALSE),[1]Supplier!A:I,9,FALSE)</f>
        <v>Germany</v>
      </c>
      <c r="S569" t="str">
        <f>IFERROR(IF(VLOOKUP(A569,'[1]Sales Order'!A:H,8,FALSE)&gt;100,"High Freight","Low Freight"),"Not Specified")</f>
        <v>High Freight</v>
      </c>
      <c r="T569">
        <f t="shared" si="17"/>
        <v>434.70000000000005</v>
      </c>
    </row>
    <row r="570" spans="1:20">
      <c r="A570" s="1">
        <v>10461</v>
      </c>
      <c r="B570" s="2">
        <v>55</v>
      </c>
      <c r="C570" s="2">
        <v>19.2</v>
      </c>
      <c r="D570" s="2">
        <v>60</v>
      </c>
      <c r="E570" s="3">
        <v>0.25</v>
      </c>
      <c r="F570" s="2" t="str">
        <f>IFERROR(VLOOKUP(VLOOKUP(A570,'[1]Sales Order'!A:B,2,FALSE),[1]Customer!A:C,3,FALSE),"Not Specified")</f>
        <v>Dressler, Marlies</v>
      </c>
      <c r="G570" s="2" t="str">
        <f t="shared" si="16"/>
        <v>Dressler Marlies</v>
      </c>
      <c r="H570" s="8" t="str">
        <f>IFERROR(VLOOKUP(VLOOKUP(A570,'[1]Sales Order'!A:C,3,FALSE),[1]Employee!A:E,5,FALSE)&amp;" "&amp;VLOOKUP(VLOOKUP(A570,'[1]Sales Order'!A:C,3,FALSE),[1]Employee!A:C,3,FALSE)&amp;" "&amp;VLOOKUP(VLOOKUP(A570,'[1]Sales Order'!A:C,3,FALSE),[1]Employee!A:B,2,FALSE),"Not Specified")</f>
        <v>Ms. Sara Davis</v>
      </c>
      <c r="I570" t="str">
        <f>IFERROR(VLOOKUP(VLOOKUP(A570,'[1]Sales Order'!A:C,3,FALSE),[1]Employee!A:J,10,FALSE),"Not Specified")</f>
        <v>WA</v>
      </c>
      <c r="J570" t="str">
        <f>VLOOKUP(B570,[1]Product!A:B,2,FALSE)</f>
        <v>Product YYWRT</v>
      </c>
      <c r="K570" t="str">
        <f>VLOOKUP(VLOOKUP(B570,[1]Product!A:D,4,FALSE),[1]Category!A:B,2,FALSE)</f>
        <v>Meat/Poultry</v>
      </c>
      <c r="L570" s="10">
        <f>IFERROR(VLOOKUP(A570,'[1]Sales Order'!A:D,4,FALSE),"")</f>
        <v>39141</v>
      </c>
      <c r="M570" s="10">
        <f>IFERROR(VLOOKUP(A570,'[1]Sales Order'!A:F,6,FALSE),"")</f>
        <v>39146</v>
      </c>
      <c r="N570" t="str">
        <f>IFERROR(VLOOKUP(VLOOKUP(A570,'[1]Sales Order'!A:G,7,FALSE),[1]Shipper!A:B,2,FALSE),"Not Specified")</f>
        <v>Shipper ZHISN</v>
      </c>
      <c r="O570" t="str">
        <f>IFERROR(VLOOKUP(A570,'[1]Sales Order'!A:I,9,FALSE),"Not Specified")</f>
        <v>Ship to 46-A</v>
      </c>
      <c r="P570" t="str">
        <f>IFERROR(VLOOKUP(A570,'[1]Sales Order'!A:N,14,FALSE),"Not Specified")</f>
        <v>Venezuela</v>
      </c>
      <c r="Q570" t="str">
        <f>VLOOKUP(VLOOKUP(B570,[1]Product!A:C,3,FALSE),[1]Supplier!A:B,2,FALSE)</f>
        <v>Supplier ERVYZ</v>
      </c>
      <c r="R570" t="str">
        <f>VLOOKUP(VLOOKUP(B570,[1]Product!A:C,3,FALSE),[1]Supplier!A:I,9,FALSE)</f>
        <v>Canada</v>
      </c>
      <c r="S570" t="str">
        <f>IFERROR(IF(VLOOKUP(A570,'[1]Sales Order'!A:H,8,FALSE)&gt;100,"High Freight","Low Freight"),"Not Specified")</f>
        <v>High Freight</v>
      </c>
      <c r="T570">
        <f t="shared" si="17"/>
        <v>864</v>
      </c>
    </row>
    <row r="571" spans="1:20">
      <c r="A571" s="1">
        <v>10462</v>
      </c>
      <c r="B571" s="2">
        <v>13</v>
      </c>
      <c r="C571" s="2">
        <v>4.8</v>
      </c>
      <c r="D571" s="2">
        <v>1</v>
      </c>
      <c r="E571" s="3">
        <v>0</v>
      </c>
      <c r="F571" s="2" t="str">
        <f>IFERROR(VLOOKUP(VLOOKUP(A571,'[1]Sales Order'!A:B,2,FALSE),[1]Customer!A:C,3,FALSE),"Not Specified")</f>
        <v>Birkby, Dana</v>
      </c>
      <c r="G571" s="2" t="str">
        <f t="shared" si="16"/>
        <v>Birkby Dana</v>
      </c>
      <c r="H571" s="8" t="str">
        <f>IFERROR(VLOOKUP(VLOOKUP(A571,'[1]Sales Order'!A:C,3,FALSE),[1]Employee!A:E,5,FALSE)&amp;" "&amp;VLOOKUP(VLOOKUP(A571,'[1]Sales Order'!A:C,3,FALSE),[1]Employee!A:C,3,FALSE)&amp;" "&amp;VLOOKUP(VLOOKUP(A571,'[1]Sales Order'!A:C,3,FALSE),[1]Employee!A:B,2,FALSE),"Not Specified")</f>
        <v>Dr. Don Funk</v>
      </c>
      <c r="I571" t="str">
        <f>IFERROR(VLOOKUP(VLOOKUP(A571,'[1]Sales Order'!A:C,3,FALSE),[1]Employee!A:J,10,FALSE),"Not Specified")</f>
        <v>WA</v>
      </c>
      <c r="J571" t="str">
        <f>VLOOKUP(B571,[1]Product!A:B,2,FALSE)</f>
        <v>Product POXFU</v>
      </c>
      <c r="K571" t="str">
        <f>VLOOKUP(VLOOKUP(B571,[1]Product!A:D,4,FALSE),[1]Category!A:B,2,FALSE)</f>
        <v>Seafood</v>
      </c>
      <c r="L571" s="10">
        <f>IFERROR(VLOOKUP(A571,'[1]Sales Order'!A:D,4,FALSE),"")</f>
        <v>39144</v>
      </c>
      <c r="M571" s="10">
        <f>IFERROR(VLOOKUP(A571,'[1]Sales Order'!A:F,6,FALSE),"")</f>
        <v>39159</v>
      </c>
      <c r="N571" t="str">
        <f>IFERROR(VLOOKUP(VLOOKUP(A571,'[1]Sales Order'!A:G,7,FALSE),[1]Shipper!A:B,2,FALSE),"Not Specified")</f>
        <v>Shipper GVSUA</v>
      </c>
      <c r="O571" t="str">
        <f>IFERROR(VLOOKUP(A571,'[1]Sales Order'!A:I,9,FALSE),"Not Specified")</f>
        <v>Destination ARRMM</v>
      </c>
      <c r="P571" t="str">
        <f>IFERROR(VLOOKUP(A571,'[1]Sales Order'!A:N,14,FALSE),"Not Specified")</f>
        <v>UK</v>
      </c>
      <c r="Q571" t="str">
        <f>VLOOKUP(VLOOKUP(B571,[1]Product!A:C,3,FALSE),[1]Supplier!A:B,2,FALSE)</f>
        <v>Supplier QWUSF</v>
      </c>
      <c r="R571" t="str">
        <f>VLOOKUP(VLOOKUP(B571,[1]Product!A:C,3,FALSE),[1]Supplier!A:I,9,FALSE)</f>
        <v>Japan</v>
      </c>
      <c r="S571" t="str">
        <f>IFERROR(IF(VLOOKUP(A571,'[1]Sales Order'!A:H,8,FALSE)&gt;100,"High Freight","Low Freight"),"Not Specified")</f>
        <v>Low Freight</v>
      </c>
      <c r="T571">
        <f t="shared" si="17"/>
        <v>4.8</v>
      </c>
    </row>
    <row r="572" spans="1:20">
      <c r="A572" s="1">
        <v>10462</v>
      </c>
      <c r="B572" s="2">
        <v>23</v>
      </c>
      <c r="C572" s="2">
        <v>7.2</v>
      </c>
      <c r="D572" s="2">
        <v>21</v>
      </c>
      <c r="E572" s="3">
        <v>0</v>
      </c>
      <c r="F572" s="2" t="str">
        <f>IFERROR(VLOOKUP(VLOOKUP(A572,'[1]Sales Order'!A:B,2,FALSE),[1]Customer!A:C,3,FALSE),"Not Specified")</f>
        <v>Birkby, Dana</v>
      </c>
      <c r="G572" s="2" t="str">
        <f t="shared" si="16"/>
        <v>Birkby Dana</v>
      </c>
      <c r="H572" s="8" t="str">
        <f>IFERROR(VLOOKUP(VLOOKUP(A572,'[1]Sales Order'!A:C,3,FALSE),[1]Employee!A:E,5,FALSE)&amp;" "&amp;VLOOKUP(VLOOKUP(A572,'[1]Sales Order'!A:C,3,FALSE),[1]Employee!A:C,3,FALSE)&amp;" "&amp;VLOOKUP(VLOOKUP(A572,'[1]Sales Order'!A:C,3,FALSE),[1]Employee!A:B,2,FALSE),"Not Specified")</f>
        <v>Dr. Don Funk</v>
      </c>
      <c r="I572" t="str">
        <f>IFERROR(VLOOKUP(VLOOKUP(A572,'[1]Sales Order'!A:C,3,FALSE),[1]Employee!A:J,10,FALSE),"Not Specified")</f>
        <v>WA</v>
      </c>
      <c r="J572" t="str">
        <f>VLOOKUP(B572,[1]Product!A:B,2,FALSE)</f>
        <v>Product JLUDZ</v>
      </c>
      <c r="K572" t="str">
        <f>VLOOKUP(VLOOKUP(B572,[1]Product!A:D,4,FALSE),[1]Category!A:B,2,FALSE)</f>
        <v>Grains/Cereals</v>
      </c>
      <c r="L572" s="10">
        <f>IFERROR(VLOOKUP(A572,'[1]Sales Order'!A:D,4,FALSE),"")</f>
        <v>39144</v>
      </c>
      <c r="M572" s="10">
        <f>IFERROR(VLOOKUP(A572,'[1]Sales Order'!A:F,6,FALSE),"")</f>
        <v>39159</v>
      </c>
      <c r="N572" t="str">
        <f>IFERROR(VLOOKUP(VLOOKUP(A572,'[1]Sales Order'!A:G,7,FALSE),[1]Shipper!A:B,2,FALSE),"Not Specified")</f>
        <v>Shipper GVSUA</v>
      </c>
      <c r="O572" t="str">
        <f>IFERROR(VLOOKUP(A572,'[1]Sales Order'!A:I,9,FALSE),"Not Specified")</f>
        <v>Destination ARRMM</v>
      </c>
      <c r="P572" t="str">
        <f>IFERROR(VLOOKUP(A572,'[1]Sales Order'!A:N,14,FALSE),"Not Specified")</f>
        <v>UK</v>
      </c>
      <c r="Q572" t="str">
        <f>VLOOKUP(VLOOKUP(B572,[1]Product!A:C,3,FALSE),[1]Supplier!A:B,2,FALSE)</f>
        <v>Supplier QQYEU</v>
      </c>
      <c r="R572" t="str">
        <f>VLOOKUP(VLOOKUP(B572,[1]Product!A:C,3,FALSE),[1]Supplier!A:I,9,FALSE)</f>
        <v>Sweden</v>
      </c>
      <c r="S572" t="str">
        <f>IFERROR(IF(VLOOKUP(A572,'[1]Sales Order'!A:H,8,FALSE)&gt;100,"High Freight","Low Freight"),"Not Specified")</f>
        <v>Low Freight</v>
      </c>
      <c r="T572">
        <f t="shared" si="17"/>
        <v>151.20000000000002</v>
      </c>
    </row>
    <row r="573" spans="1:20">
      <c r="A573" s="1">
        <v>10463</v>
      </c>
      <c r="B573" s="2">
        <v>19</v>
      </c>
      <c r="C573" s="2">
        <v>7.3</v>
      </c>
      <c r="D573" s="2">
        <v>21</v>
      </c>
      <c r="E573" s="3">
        <v>0</v>
      </c>
      <c r="F573" s="2" t="str">
        <f>IFERROR(VLOOKUP(VLOOKUP(A573,'[1]Sales Order'!A:B,2,FALSE),[1]Customer!A:C,3,FALSE),"Not Specified")</f>
        <v>Gulbis, Katrin</v>
      </c>
      <c r="G573" s="2" t="str">
        <f t="shared" si="16"/>
        <v>Gulbis Katrin</v>
      </c>
      <c r="H573" s="8" t="str">
        <f>IFERROR(VLOOKUP(VLOOKUP(A573,'[1]Sales Order'!A:C,3,FALSE),[1]Employee!A:E,5,FALSE)&amp;" "&amp;VLOOKUP(VLOOKUP(A573,'[1]Sales Order'!A:C,3,FALSE),[1]Employee!A:C,3,FALSE)&amp;" "&amp;VLOOKUP(VLOOKUP(A573,'[1]Sales Order'!A:C,3,FALSE),[1]Employee!A:B,2,FALSE),"Not Specified")</f>
        <v>Mr. Sven Buck</v>
      </c>
      <c r="I573">
        <f>IFERROR(VLOOKUP(VLOOKUP(A573,'[1]Sales Order'!A:C,3,FALSE),[1]Employee!A:J,10,FALSE),"Not Specified")</f>
        <v>0</v>
      </c>
      <c r="J573" t="str">
        <f>VLOOKUP(B573,[1]Product!A:B,2,FALSE)</f>
        <v>Product XKXDO</v>
      </c>
      <c r="K573" t="str">
        <f>VLOOKUP(VLOOKUP(B573,[1]Product!A:D,4,FALSE),[1]Category!A:B,2,FALSE)</f>
        <v>Confections</v>
      </c>
      <c r="L573" s="10">
        <f>IFERROR(VLOOKUP(A573,'[1]Sales Order'!A:D,4,FALSE),"")</f>
        <v>39145</v>
      </c>
      <c r="M573" s="10">
        <f>IFERROR(VLOOKUP(A573,'[1]Sales Order'!A:F,6,FALSE),"")</f>
        <v>39147</v>
      </c>
      <c r="N573" t="str">
        <f>IFERROR(VLOOKUP(VLOOKUP(A573,'[1]Sales Order'!A:G,7,FALSE),[1]Shipper!A:B,2,FALSE),"Not Specified")</f>
        <v>Shipper ZHISN</v>
      </c>
      <c r="O573" t="str">
        <f>IFERROR(VLOOKUP(A573,'[1]Sales Order'!A:I,9,FALSE),"Not Specified")</f>
        <v>Ship to 76-B</v>
      </c>
      <c r="P573" t="str">
        <f>IFERROR(VLOOKUP(A573,'[1]Sales Order'!A:N,14,FALSE),"Not Specified")</f>
        <v>Belgium</v>
      </c>
      <c r="Q573" t="str">
        <f>VLOOKUP(VLOOKUP(B573,[1]Product!A:C,3,FALSE),[1]Supplier!A:B,2,FALSE)</f>
        <v>Supplier BWGYE</v>
      </c>
      <c r="R573" t="str">
        <f>VLOOKUP(VLOOKUP(B573,[1]Product!A:C,3,FALSE),[1]Supplier!A:I,9,FALSE)</f>
        <v>UK</v>
      </c>
      <c r="S573" t="str">
        <f>IFERROR(IF(VLOOKUP(A573,'[1]Sales Order'!A:H,8,FALSE)&gt;100,"High Freight","Low Freight"),"Not Specified")</f>
        <v>Low Freight</v>
      </c>
      <c r="T573">
        <f t="shared" si="17"/>
        <v>153.29999999999998</v>
      </c>
    </row>
    <row r="574" spans="1:20">
      <c r="A574" s="1">
        <v>10463</v>
      </c>
      <c r="B574" s="2">
        <v>42</v>
      </c>
      <c r="C574" s="2">
        <v>11.2</v>
      </c>
      <c r="D574" s="2">
        <v>50</v>
      </c>
      <c r="E574" s="3">
        <v>0</v>
      </c>
      <c r="F574" s="2" t="str">
        <f>IFERROR(VLOOKUP(VLOOKUP(A574,'[1]Sales Order'!A:B,2,FALSE),[1]Customer!A:C,3,FALSE),"Not Specified")</f>
        <v>Gulbis, Katrin</v>
      </c>
      <c r="G574" s="2" t="str">
        <f t="shared" si="16"/>
        <v>Gulbis Katrin</v>
      </c>
      <c r="H574" s="8" t="str">
        <f>IFERROR(VLOOKUP(VLOOKUP(A574,'[1]Sales Order'!A:C,3,FALSE),[1]Employee!A:E,5,FALSE)&amp;" "&amp;VLOOKUP(VLOOKUP(A574,'[1]Sales Order'!A:C,3,FALSE),[1]Employee!A:C,3,FALSE)&amp;" "&amp;VLOOKUP(VLOOKUP(A574,'[1]Sales Order'!A:C,3,FALSE),[1]Employee!A:B,2,FALSE),"Not Specified")</f>
        <v>Mr. Sven Buck</v>
      </c>
      <c r="I574">
        <f>IFERROR(VLOOKUP(VLOOKUP(A574,'[1]Sales Order'!A:C,3,FALSE),[1]Employee!A:J,10,FALSE),"Not Specified")</f>
        <v>0</v>
      </c>
      <c r="J574" t="str">
        <f>VLOOKUP(B574,[1]Product!A:B,2,FALSE)</f>
        <v>Product RJVNM</v>
      </c>
      <c r="K574" t="str">
        <f>VLOOKUP(VLOOKUP(B574,[1]Product!A:D,4,FALSE),[1]Category!A:B,2,FALSE)</f>
        <v>Grains/Cereals</v>
      </c>
      <c r="L574" s="10">
        <f>IFERROR(VLOOKUP(A574,'[1]Sales Order'!A:D,4,FALSE),"")</f>
        <v>39145</v>
      </c>
      <c r="M574" s="10">
        <f>IFERROR(VLOOKUP(A574,'[1]Sales Order'!A:F,6,FALSE),"")</f>
        <v>39147</v>
      </c>
      <c r="N574" t="str">
        <f>IFERROR(VLOOKUP(VLOOKUP(A574,'[1]Sales Order'!A:G,7,FALSE),[1]Shipper!A:B,2,FALSE),"Not Specified")</f>
        <v>Shipper ZHISN</v>
      </c>
      <c r="O574" t="str">
        <f>IFERROR(VLOOKUP(A574,'[1]Sales Order'!A:I,9,FALSE),"Not Specified")</f>
        <v>Ship to 76-B</v>
      </c>
      <c r="P574" t="str">
        <f>IFERROR(VLOOKUP(A574,'[1]Sales Order'!A:N,14,FALSE),"Not Specified")</f>
        <v>Belgium</v>
      </c>
      <c r="Q574" t="str">
        <f>VLOOKUP(VLOOKUP(B574,[1]Product!A:C,3,FALSE),[1]Supplier!A:B,2,FALSE)</f>
        <v>Supplier CIYNM</v>
      </c>
      <c r="R574" t="str">
        <f>VLOOKUP(VLOOKUP(B574,[1]Product!A:C,3,FALSE),[1]Supplier!A:I,9,FALSE)</f>
        <v>Singapore</v>
      </c>
      <c r="S574" t="str">
        <f>IFERROR(IF(VLOOKUP(A574,'[1]Sales Order'!A:H,8,FALSE)&gt;100,"High Freight","Low Freight"),"Not Specified")</f>
        <v>Low Freight</v>
      </c>
      <c r="T574">
        <f t="shared" si="17"/>
        <v>560</v>
      </c>
    </row>
    <row r="575" spans="1:20">
      <c r="A575" s="1">
        <v>10464</v>
      </c>
      <c r="B575" s="2">
        <v>4</v>
      </c>
      <c r="C575" s="2">
        <v>17.600000000000001</v>
      </c>
      <c r="D575" s="2">
        <v>16</v>
      </c>
      <c r="E575" s="3">
        <v>0.2</v>
      </c>
      <c r="F575" s="2" t="str">
        <f>IFERROR(VLOOKUP(VLOOKUP(A575,'[1]Sales Order'!A:B,2,FALSE),[1]Customer!A:C,3,FALSE),"Not Specified")</f>
        <v>Cavaglieri, Giorgio</v>
      </c>
      <c r="G575" s="2" t="str">
        <f t="shared" si="16"/>
        <v>Cavaglieri Giorgio</v>
      </c>
      <c r="H575" s="8" t="str">
        <f>IFERROR(VLOOKUP(VLOOKUP(A575,'[1]Sales Order'!A:C,3,FALSE),[1]Employee!A:E,5,FALSE)&amp;" "&amp;VLOOKUP(VLOOKUP(A575,'[1]Sales Order'!A:C,3,FALSE),[1]Employee!A:C,3,FALSE)&amp;" "&amp;VLOOKUP(VLOOKUP(A575,'[1]Sales Order'!A:C,3,FALSE),[1]Employee!A:B,2,FALSE),"Not Specified")</f>
        <v>Mrs. Yael Peled</v>
      </c>
      <c r="I575" t="str">
        <f>IFERROR(VLOOKUP(VLOOKUP(A575,'[1]Sales Order'!A:C,3,FALSE),[1]Employee!A:J,10,FALSE),"Not Specified")</f>
        <v>WA</v>
      </c>
      <c r="J575" t="str">
        <f>VLOOKUP(B575,[1]Product!A:B,2,FALSE)</f>
        <v>Product KSBRM</v>
      </c>
      <c r="K575" t="str">
        <f>VLOOKUP(VLOOKUP(B575,[1]Product!A:D,4,FALSE),[1]Category!A:B,2,FALSE)</f>
        <v>Condiments</v>
      </c>
      <c r="L575" s="10">
        <f>IFERROR(VLOOKUP(A575,'[1]Sales Order'!A:D,4,FALSE),"")</f>
        <v>39145</v>
      </c>
      <c r="M575" s="10">
        <f>IFERROR(VLOOKUP(A575,'[1]Sales Order'!A:F,6,FALSE),"")</f>
        <v>39155</v>
      </c>
      <c r="N575" t="str">
        <f>IFERROR(VLOOKUP(VLOOKUP(A575,'[1]Sales Order'!A:G,7,FALSE),[1]Shipper!A:B,2,FALSE),"Not Specified")</f>
        <v>Shipper ETYNR</v>
      </c>
      <c r="O575" t="str">
        <f>IFERROR(VLOOKUP(A575,'[1]Sales Order'!A:I,9,FALSE),"Not Specified")</f>
        <v>Destination OTSWR</v>
      </c>
      <c r="P575" t="str">
        <f>IFERROR(VLOOKUP(A575,'[1]Sales Order'!A:N,14,FALSE),"Not Specified")</f>
        <v>Portugal</v>
      </c>
      <c r="Q575" t="str">
        <f>VLOOKUP(VLOOKUP(B575,[1]Product!A:C,3,FALSE),[1]Supplier!A:B,2,FALSE)</f>
        <v>Supplier VHQZD</v>
      </c>
      <c r="R575" t="str">
        <f>VLOOKUP(VLOOKUP(B575,[1]Product!A:C,3,FALSE),[1]Supplier!A:I,9,FALSE)</f>
        <v>USA</v>
      </c>
      <c r="S575" t="str">
        <f>IFERROR(IF(VLOOKUP(A575,'[1]Sales Order'!A:H,8,FALSE)&gt;100,"High Freight","Low Freight"),"Not Specified")</f>
        <v>Low Freight</v>
      </c>
      <c r="T575">
        <f t="shared" si="17"/>
        <v>225.28000000000003</v>
      </c>
    </row>
    <row r="576" spans="1:20">
      <c r="A576" s="1">
        <v>10464</v>
      </c>
      <c r="B576" s="2">
        <v>43</v>
      </c>
      <c r="C576" s="2">
        <v>36.799999999999997</v>
      </c>
      <c r="D576" s="2">
        <v>3</v>
      </c>
      <c r="E576" s="3">
        <v>0</v>
      </c>
      <c r="F576" s="2" t="str">
        <f>IFERROR(VLOOKUP(VLOOKUP(A576,'[1]Sales Order'!A:B,2,FALSE),[1]Customer!A:C,3,FALSE),"Not Specified")</f>
        <v>Cavaglieri, Giorgio</v>
      </c>
      <c r="G576" s="2" t="str">
        <f t="shared" si="16"/>
        <v>Cavaglieri Giorgio</v>
      </c>
      <c r="H576" s="8" t="str">
        <f>IFERROR(VLOOKUP(VLOOKUP(A576,'[1]Sales Order'!A:C,3,FALSE),[1]Employee!A:E,5,FALSE)&amp;" "&amp;VLOOKUP(VLOOKUP(A576,'[1]Sales Order'!A:C,3,FALSE),[1]Employee!A:C,3,FALSE)&amp;" "&amp;VLOOKUP(VLOOKUP(A576,'[1]Sales Order'!A:C,3,FALSE),[1]Employee!A:B,2,FALSE),"Not Specified")</f>
        <v>Mrs. Yael Peled</v>
      </c>
      <c r="I576" t="str">
        <f>IFERROR(VLOOKUP(VLOOKUP(A576,'[1]Sales Order'!A:C,3,FALSE),[1]Employee!A:J,10,FALSE),"Not Specified")</f>
        <v>WA</v>
      </c>
      <c r="J576" t="str">
        <f>VLOOKUP(B576,[1]Product!A:B,2,FALSE)</f>
        <v>Product ZZZHR</v>
      </c>
      <c r="K576" t="str">
        <f>VLOOKUP(VLOOKUP(B576,[1]Product!A:D,4,FALSE),[1]Category!A:B,2,FALSE)</f>
        <v>Beverages</v>
      </c>
      <c r="L576" s="10">
        <f>IFERROR(VLOOKUP(A576,'[1]Sales Order'!A:D,4,FALSE),"")</f>
        <v>39145</v>
      </c>
      <c r="M576" s="10">
        <f>IFERROR(VLOOKUP(A576,'[1]Sales Order'!A:F,6,FALSE),"")</f>
        <v>39155</v>
      </c>
      <c r="N576" t="str">
        <f>IFERROR(VLOOKUP(VLOOKUP(A576,'[1]Sales Order'!A:G,7,FALSE),[1]Shipper!A:B,2,FALSE),"Not Specified")</f>
        <v>Shipper ETYNR</v>
      </c>
      <c r="O576" t="str">
        <f>IFERROR(VLOOKUP(A576,'[1]Sales Order'!A:I,9,FALSE),"Not Specified")</f>
        <v>Destination OTSWR</v>
      </c>
      <c r="P576" t="str">
        <f>IFERROR(VLOOKUP(A576,'[1]Sales Order'!A:N,14,FALSE),"Not Specified")</f>
        <v>Portugal</v>
      </c>
      <c r="Q576" t="str">
        <f>VLOOKUP(VLOOKUP(B576,[1]Product!A:C,3,FALSE),[1]Supplier!A:B,2,FALSE)</f>
        <v>Supplier CIYNM</v>
      </c>
      <c r="R576" t="str">
        <f>VLOOKUP(VLOOKUP(B576,[1]Product!A:C,3,FALSE),[1]Supplier!A:I,9,FALSE)</f>
        <v>Singapore</v>
      </c>
      <c r="S576" t="str">
        <f>IFERROR(IF(VLOOKUP(A576,'[1]Sales Order'!A:H,8,FALSE)&gt;100,"High Freight","Low Freight"),"Not Specified")</f>
        <v>Low Freight</v>
      </c>
      <c r="T576">
        <f t="shared" si="17"/>
        <v>110.39999999999999</v>
      </c>
    </row>
    <row r="577" spans="1:20">
      <c r="A577" s="1">
        <v>10464</v>
      </c>
      <c r="B577" s="2">
        <v>56</v>
      </c>
      <c r="C577" s="2">
        <v>30.4</v>
      </c>
      <c r="D577" s="2">
        <v>30</v>
      </c>
      <c r="E577" s="3">
        <v>0.2</v>
      </c>
      <c r="F577" s="2" t="str">
        <f>IFERROR(VLOOKUP(VLOOKUP(A577,'[1]Sales Order'!A:B,2,FALSE),[1]Customer!A:C,3,FALSE),"Not Specified")</f>
        <v>Cavaglieri, Giorgio</v>
      </c>
      <c r="G577" s="2" t="str">
        <f t="shared" si="16"/>
        <v>Cavaglieri Giorgio</v>
      </c>
      <c r="H577" s="8" t="str">
        <f>IFERROR(VLOOKUP(VLOOKUP(A577,'[1]Sales Order'!A:C,3,FALSE),[1]Employee!A:E,5,FALSE)&amp;" "&amp;VLOOKUP(VLOOKUP(A577,'[1]Sales Order'!A:C,3,FALSE),[1]Employee!A:C,3,FALSE)&amp;" "&amp;VLOOKUP(VLOOKUP(A577,'[1]Sales Order'!A:C,3,FALSE),[1]Employee!A:B,2,FALSE),"Not Specified")</f>
        <v>Mrs. Yael Peled</v>
      </c>
      <c r="I577" t="str">
        <f>IFERROR(VLOOKUP(VLOOKUP(A577,'[1]Sales Order'!A:C,3,FALSE),[1]Employee!A:J,10,FALSE),"Not Specified")</f>
        <v>WA</v>
      </c>
      <c r="J577" t="str">
        <f>VLOOKUP(B577,[1]Product!A:B,2,FALSE)</f>
        <v>Product VKCMF</v>
      </c>
      <c r="K577" t="str">
        <f>VLOOKUP(VLOOKUP(B577,[1]Product!A:D,4,FALSE),[1]Category!A:B,2,FALSE)</f>
        <v>Grains/Cereals</v>
      </c>
      <c r="L577" s="10">
        <f>IFERROR(VLOOKUP(A577,'[1]Sales Order'!A:D,4,FALSE),"")</f>
        <v>39145</v>
      </c>
      <c r="M577" s="10">
        <f>IFERROR(VLOOKUP(A577,'[1]Sales Order'!A:F,6,FALSE),"")</f>
        <v>39155</v>
      </c>
      <c r="N577" t="str">
        <f>IFERROR(VLOOKUP(VLOOKUP(A577,'[1]Sales Order'!A:G,7,FALSE),[1]Shipper!A:B,2,FALSE),"Not Specified")</f>
        <v>Shipper ETYNR</v>
      </c>
      <c r="O577" t="str">
        <f>IFERROR(VLOOKUP(A577,'[1]Sales Order'!A:I,9,FALSE),"Not Specified")</f>
        <v>Destination OTSWR</v>
      </c>
      <c r="P577" t="str">
        <f>IFERROR(VLOOKUP(A577,'[1]Sales Order'!A:N,14,FALSE),"Not Specified")</f>
        <v>Portugal</v>
      </c>
      <c r="Q577" t="str">
        <f>VLOOKUP(VLOOKUP(B577,[1]Product!A:C,3,FALSE),[1]Supplier!A:B,2,FALSE)</f>
        <v>Supplier ZWZDM</v>
      </c>
      <c r="R577" t="str">
        <f>VLOOKUP(VLOOKUP(B577,[1]Product!A:C,3,FALSE),[1]Supplier!A:I,9,FALSE)</f>
        <v>Italy</v>
      </c>
      <c r="S577" t="str">
        <f>IFERROR(IF(VLOOKUP(A577,'[1]Sales Order'!A:H,8,FALSE)&gt;100,"High Freight","Low Freight"),"Not Specified")</f>
        <v>Low Freight</v>
      </c>
      <c r="T577">
        <f t="shared" si="17"/>
        <v>729.6</v>
      </c>
    </row>
    <row r="578" spans="1:20">
      <c r="A578" s="1">
        <v>10464</v>
      </c>
      <c r="B578" s="2">
        <v>60</v>
      </c>
      <c r="C578" s="2">
        <v>27.2</v>
      </c>
      <c r="D578" s="2">
        <v>20</v>
      </c>
      <c r="E578" s="3">
        <v>0</v>
      </c>
      <c r="F578" s="2" t="str">
        <f>IFERROR(VLOOKUP(VLOOKUP(A578,'[1]Sales Order'!A:B,2,FALSE),[1]Customer!A:C,3,FALSE),"Not Specified")</f>
        <v>Cavaglieri, Giorgio</v>
      </c>
      <c r="G578" s="2" t="str">
        <f t="shared" si="16"/>
        <v>Cavaglieri Giorgio</v>
      </c>
      <c r="H578" s="8" t="str">
        <f>IFERROR(VLOOKUP(VLOOKUP(A578,'[1]Sales Order'!A:C,3,FALSE),[1]Employee!A:E,5,FALSE)&amp;" "&amp;VLOOKUP(VLOOKUP(A578,'[1]Sales Order'!A:C,3,FALSE),[1]Employee!A:C,3,FALSE)&amp;" "&amp;VLOOKUP(VLOOKUP(A578,'[1]Sales Order'!A:C,3,FALSE),[1]Employee!A:B,2,FALSE),"Not Specified")</f>
        <v>Mrs. Yael Peled</v>
      </c>
      <c r="I578" t="str">
        <f>IFERROR(VLOOKUP(VLOOKUP(A578,'[1]Sales Order'!A:C,3,FALSE),[1]Employee!A:J,10,FALSE),"Not Specified")</f>
        <v>WA</v>
      </c>
      <c r="J578" t="str">
        <f>VLOOKUP(B578,[1]Product!A:B,2,FALSE)</f>
        <v>Product WHBYK</v>
      </c>
      <c r="K578" t="str">
        <f>VLOOKUP(VLOOKUP(B578,[1]Product!A:D,4,FALSE),[1]Category!A:B,2,FALSE)</f>
        <v>Dairy Product</v>
      </c>
      <c r="L578" s="10">
        <f>IFERROR(VLOOKUP(A578,'[1]Sales Order'!A:D,4,FALSE),"")</f>
        <v>39145</v>
      </c>
      <c r="M578" s="10">
        <f>IFERROR(VLOOKUP(A578,'[1]Sales Order'!A:F,6,FALSE),"")</f>
        <v>39155</v>
      </c>
      <c r="N578" t="str">
        <f>IFERROR(VLOOKUP(VLOOKUP(A578,'[1]Sales Order'!A:G,7,FALSE),[1]Shipper!A:B,2,FALSE),"Not Specified")</f>
        <v>Shipper ETYNR</v>
      </c>
      <c r="O578" t="str">
        <f>IFERROR(VLOOKUP(A578,'[1]Sales Order'!A:I,9,FALSE),"Not Specified")</f>
        <v>Destination OTSWR</v>
      </c>
      <c r="P578" t="str">
        <f>IFERROR(VLOOKUP(A578,'[1]Sales Order'!A:N,14,FALSE),"Not Specified")</f>
        <v>Portugal</v>
      </c>
      <c r="Q578" t="str">
        <f>VLOOKUP(VLOOKUP(B578,[1]Product!A:C,3,FALSE),[1]Supplier!A:B,2,FALSE)</f>
        <v>Supplier OAVQT</v>
      </c>
      <c r="R578" t="str">
        <f>VLOOKUP(VLOOKUP(B578,[1]Product!A:C,3,FALSE),[1]Supplier!A:I,9,FALSE)</f>
        <v>France</v>
      </c>
      <c r="S578" t="str">
        <f>IFERROR(IF(VLOOKUP(A578,'[1]Sales Order'!A:H,8,FALSE)&gt;100,"High Freight","Low Freight"),"Not Specified")</f>
        <v>Low Freight</v>
      </c>
      <c r="T578">
        <f t="shared" si="17"/>
        <v>544</v>
      </c>
    </row>
    <row r="579" spans="1:20">
      <c r="A579" s="1">
        <v>10465</v>
      </c>
      <c r="B579" s="2">
        <v>24</v>
      </c>
      <c r="C579" s="2">
        <v>3.6</v>
      </c>
      <c r="D579" s="2">
        <v>25</v>
      </c>
      <c r="E579" s="3">
        <v>0</v>
      </c>
      <c r="F579" s="2" t="str">
        <f>IFERROR(VLOOKUP(VLOOKUP(A579,'[1]Sales Order'!A:B,2,FALSE),[1]Customer!A:C,3,FALSE),"Not Specified")</f>
        <v>Fonteneau, Karl</v>
      </c>
      <c r="G579" s="2" t="str">
        <f t="shared" ref="G579:G642" si="18">SUBSTITUTE(F579,",","",1)</f>
        <v>Fonteneau Karl</v>
      </c>
      <c r="H579" s="8" t="str">
        <f>IFERROR(VLOOKUP(VLOOKUP(A579,'[1]Sales Order'!A:C,3,FALSE),[1]Employee!A:E,5,FALSE)&amp;" "&amp;VLOOKUP(VLOOKUP(A579,'[1]Sales Order'!A:C,3,FALSE),[1]Employee!A:C,3,FALSE)&amp;" "&amp;VLOOKUP(VLOOKUP(A579,'[1]Sales Order'!A:C,3,FALSE),[1]Employee!A:B,2,FALSE),"Not Specified")</f>
        <v>Ms. Sara Davis</v>
      </c>
      <c r="I579" t="str">
        <f>IFERROR(VLOOKUP(VLOOKUP(A579,'[1]Sales Order'!A:C,3,FALSE),[1]Employee!A:J,10,FALSE),"Not Specified")</f>
        <v>WA</v>
      </c>
      <c r="J579" t="str">
        <f>VLOOKUP(B579,[1]Product!A:B,2,FALSE)</f>
        <v>Product QOGNU</v>
      </c>
      <c r="K579" t="str">
        <f>VLOOKUP(VLOOKUP(B579,[1]Product!A:D,4,FALSE),[1]Category!A:B,2,FALSE)</f>
        <v>Beverages</v>
      </c>
      <c r="L579" s="10">
        <f>IFERROR(VLOOKUP(A579,'[1]Sales Order'!A:D,4,FALSE),"")</f>
        <v>39146</v>
      </c>
      <c r="M579" s="10">
        <f>IFERROR(VLOOKUP(A579,'[1]Sales Order'!A:F,6,FALSE),"")</f>
        <v>39155</v>
      </c>
      <c r="N579" t="str">
        <f>IFERROR(VLOOKUP(VLOOKUP(A579,'[1]Sales Order'!A:G,7,FALSE),[1]Shipper!A:B,2,FALSE),"Not Specified")</f>
        <v>Shipper ZHISN</v>
      </c>
      <c r="O579" t="str">
        <f>IFERROR(VLOOKUP(A579,'[1]Sales Order'!A:I,9,FALSE),"Not Specified")</f>
        <v>Ship to 83-A</v>
      </c>
      <c r="P579" t="str">
        <f>IFERROR(VLOOKUP(A579,'[1]Sales Order'!A:N,14,FALSE),"Not Specified")</f>
        <v>Denmark</v>
      </c>
      <c r="Q579" t="str">
        <f>VLOOKUP(VLOOKUP(B579,[1]Product!A:C,3,FALSE),[1]Supplier!A:B,2,FALSE)</f>
        <v>Supplier UNAHG</v>
      </c>
      <c r="R579" t="str">
        <f>VLOOKUP(VLOOKUP(B579,[1]Product!A:C,3,FALSE),[1]Supplier!A:I,9,FALSE)</f>
        <v>Brazil</v>
      </c>
      <c r="S579" t="str">
        <f>IFERROR(IF(VLOOKUP(A579,'[1]Sales Order'!A:H,8,FALSE)&gt;100,"High Freight","Low Freight"),"Not Specified")</f>
        <v>High Freight</v>
      </c>
      <c r="T579">
        <f t="shared" ref="T579:T642" si="19">C579*D579*(1-E579)</f>
        <v>90</v>
      </c>
    </row>
    <row r="580" spans="1:20">
      <c r="A580" s="1">
        <v>10465</v>
      </c>
      <c r="B580" s="2">
        <v>29</v>
      </c>
      <c r="C580" s="2">
        <v>99</v>
      </c>
      <c r="D580" s="2">
        <v>18</v>
      </c>
      <c r="E580" s="3">
        <v>0.1</v>
      </c>
      <c r="F580" s="2" t="str">
        <f>IFERROR(VLOOKUP(VLOOKUP(A580,'[1]Sales Order'!A:B,2,FALSE),[1]Customer!A:C,3,FALSE),"Not Specified")</f>
        <v>Fonteneau, Karl</v>
      </c>
      <c r="G580" s="2" t="str">
        <f t="shared" si="18"/>
        <v>Fonteneau Karl</v>
      </c>
      <c r="H580" s="8" t="str">
        <f>IFERROR(VLOOKUP(VLOOKUP(A580,'[1]Sales Order'!A:C,3,FALSE),[1]Employee!A:E,5,FALSE)&amp;" "&amp;VLOOKUP(VLOOKUP(A580,'[1]Sales Order'!A:C,3,FALSE),[1]Employee!A:C,3,FALSE)&amp;" "&amp;VLOOKUP(VLOOKUP(A580,'[1]Sales Order'!A:C,3,FALSE),[1]Employee!A:B,2,FALSE),"Not Specified")</f>
        <v>Ms. Sara Davis</v>
      </c>
      <c r="I580" t="str">
        <f>IFERROR(VLOOKUP(VLOOKUP(A580,'[1]Sales Order'!A:C,3,FALSE),[1]Employee!A:J,10,FALSE),"Not Specified")</f>
        <v>WA</v>
      </c>
      <c r="J580" t="str">
        <f>VLOOKUP(B580,[1]Product!A:B,2,FALSE)</f>
        <v>Product VJXYN</v>
      </c>
      <c r="K580" t="str">
        <f>VLOOKUP(VLOOKUP(B580,[1]Product!A:D,4,FALSE),[1]Category!A:B,2,FALSE)</f>
        <v>Meat/Poultry</v>
      </c>
      <c r="L580" s="10">
        <f>IFERROR(VLOOKUP(A580,'[1]Sales Order'!A:D,4,FALSE),"")</f>
        <v>39146</v>
      </c>
      <c r="M580" s="10">
        <f>IFERROR(VLOOKUP(A580,'[1]Sales Order'!A:F,6,FALSE),"")</f>
        <v>39155</v>
      </c>
      <c r="N580" t="str">
        <f>IFERROR(VLOOKUP(VLOOKUP(A580,'[1]Sales Order'!A:G,7,FALSE),[1]Shipper!A:B,2,FALSE),"Not Specified")</f>
        <v>Shipper ZHISN</v>
      </c>
      <c r="O580" t="str">
        <f>IFERROR(VLOOKUP(A580,'[1]Sales Order'!A:I,9,FALSE),"Not Specified")</f>
        <v>Ship to 83-A</v>
      </c>
      <c r="P580" t="str">
        <f>IFERROR(VLOOKUP(A580,'[1]Sales Order'!A:N,14,FALSE),"Not Specified")</f>
        <v>Denmark</v>
      </c>
      <c r="Q580" t="str">
        <f>VLOOKUP(VLOOKUP(B580,[1]Product!A:C,3,FALSE),[1]Supplier!A:B,2,FALSE)</f>
        <v>Supplier SVIYA</v>
      </c>
      <c r="R580" t="str">
        <f>VLOOKUP(VLOOKUP(B580,[1]Product!A:C,3,FALSE),[1]Supplier!A:I,9,FALSE)</f>
        <v>Germany</v>
      </c>
      <c r="S580" t="str">
        <f>IFERROR(IF(VLOOKUP(A580,'[1]Sales Order'!A:H,8,FALSE)&gt;100,"High Freight","Low Freight"),"Not Specified")</f>
        <v>High Freight</v>
      </c>
      <c r="T580">
        <f t="shared" si="19"/>
        <v>1603.8</v>
      </c>
    </row>
    <row r="581" spans="1:20">
      <c r="A581" s="1">
        <v>10465</v>
      </c>
      <c r="B581" s="2">
        <v>40</v>
      </c>
      <c r="C581" s="2">
        <v>14.7</v>
      </c>
      <c r="D581" s="2">
        <v>20</v>
      </c>
      <c r="E581" s="3">
        <v>0</v>
      </c>
      <c r="F581" s="2" t="str">
        <f>IFERROR(VLOOKUP(VLOOKUP(A581,'[1]Sales Order'!A:B,2,FALSE),[1]Customer!A:C,3,FALSE),"Not Specified")</f>
        <v>Fonteneau, Karl</v>
      </c>
      <c r="G581" s="2" t="str">
        <f t="shared" si="18"/>
        <v>Fonteneau Karl</v>
      </c>
      <c r="H581" s="8" t="str">
        <f>IFERROR(VLOOKUP(VLOOKUP(A581,'[1]Sales Order'!A:C,3,FALSE),[1]Employee!A:E,5,FALSE)&amp;" "&amp;VLOOKUP(VLOOKUP(A581,'[1]Sales Order'!A:C,3,FALSE),[1]Employee!A:C,3,FALSE)&amp;" "&amp;VLOOKUP(VLOOKUP(A581,'[1]Sales Order'!A:C,3,FALSE),[1]Employee!A:B,2,FALSE),"Not Specified")</f>
        <v>Ms. Sara Davis</v>
      </c>
      <c r="I581" t="str">
        <f>IFERROR(VLOOKUP(VLOOKUP(A581,'[1]Sales Order'!A:C,3,FALSE),[1]Employee!A:J,10,FALSE),"Not Specified")</f>
        <v>WA</v>
      </c>
      <c r="J581" t="str">
        <f>VLOOKUP(B581,[1]Product!A:B,2,FALSE)</f>
        <v>Product YZIXQ</v>
      </c>
      <c r="K581" t="str">
        <f>VLOOKUP(VLOOKUP(B581,[1]Product!A:D,4,FALSE),[1]Category!A:B,2,FALSE)</f>
        <v>Seafood</v>
      </c>
      <c r="L581" s="10">
        <f>IFERROR(VLOOKUP(A581,'[1]Sales Order'!A:D,4,FALSE),"")</f>
        <v>39146</v>
      </c>
      <c r="M581" s="10">
        <f>IFERROR(VLOOKUP(A581,'[1]Sales Order'!A:F,6,FALSE),"")</f>
        <v>39155</v>
      </c>
      <c r="N581" t="str">
        <f>IFERROR(VLOOKUP(VLOOKUP(A581,'[1]Sales Order'!A:G,7,FALSE),[1]Shipper!A:B,2,FALSE),"Not Specified")</f>
        <v>Shipper ZHISN</v>
      </c>
      <c r="O581" t="str">
        <f>IFERROR(VLOOKUP(A581,'[1]Sales Order'!A:I,9,FALSE),"Not Specified")</f>
        <v>Ship to 83-A</v>
      </c>
      <c r="P581" t="str">
        <f>IFERROR(VLOOKUP(A581,'[1]Sales Order'!A:N,14,FALSE),"Not Specified")</f>
        <v>Denmark</v>
      </c>
      <c r="Q581" t="str">
        <f>VLOOKUP(VLOOKUP(B581,[1]Product!A:C,3,FALSE),[1]Supplier!A:B,2,FALSE)</f>
        <v>Supplier JDNUG</v>
      </c>
      <c r="R581" t="str">
        <f>VLOOKUP(VLOOKUP(B581,[1]Product!A:C,3,FALSE),[1]Supplier!A:I,9,FALSE)</f>
        <v>USA</v>
      </c>
      <c r="S581" t="str">
        <f>IFERROR(IF(VLOOKUP(A581,'[1]Sales Order'!A:H,8,FALSE)&gt;100,"High Freight","Low Freight"),"Not Specified")</f>
        <v>High Freight</v>
      </c>
      <c r="T581">
        <f t="shared" si="19"/>
        <v>294</v>
      </c>
    </row>
    <row r="582" spans="1:20">
      <c r="A582" s="1">
        <v>10465</v>
      </c>
      <c r="B582" s="2">
        <v>45</v>
      </c>
      <c r="C582" s="2">
        <v>7.6</v>
      </c>
      <c r="D582" s="2">
        <v>30</v>
      </c>
      <c r="E582" s="3">
        <v>0.1</v>
      </c>
      <c r="F582" s="2" t="str">
        <f>IFERROR(VLOOKUP(VLOOKUP(A582,'[1]Sales Order'!A:B,2,FALSE),[1]Customer!A:C,3,FALSE),"Not Specified")</f>
        <v>Fonteneau, Karl</v>
      </c>
      <c r="G582" s="2" t="str">
        <f t="shared" si="18"/>
        <v>Fonteneau Karl</v>
      </c>
      <c r="H582" s="8" t="str">
        <f>IFERROR(VLOOKUP(VLOOKUP(A582,'[1]Sales Order'!A:C,3,FALSE),[1]Employee!A:E,5,FALSE)&amp;" "&amp;VLOOKUP(VLOOKUP(A582,'[1]Sales Order'!A:C,3,FALSE),[1]Employee!A:C,3,FALSE)&amp;" "&amp;VLOOKUP(VLOOKUP(A582,'[1]Sales Order'!A:C,3,FALSE),[1]Employee!A:B,2,FALSE),"Not Specified")</f>
        <v>Ms. Sara Davis</v>
      </c>
      <c r="I582" t="str">
        <f>IFERROR(VLOOKUP(VLOOKUP(A582,'[1]Sales Order'!A:C,3,FALSE),[1]Employee!A:J,10,FALSE),"Not Specified")</f>
        <v>WA</v>
      </c>
      <c r="J582" t="str">
        <f>VLOOKUP(B582,[1]Product!A:B,2,FALSE)</f>
        <v>Product AQOKR</v>
      </c>
      <c r="K582" t="str">
        <f>VLOOKUP(VLOOKUP(B582,[1]Product!A:D,4,FALSE),[1]Category!A:B,2,FALSE)</f>
        <v>Seafood</v>
      </c>
      <c r="L582" s="10">
        <f>IFERROR(VLOOKUP(A582,'[1]Sales Order'!A:D,4,FALSE),"")</f>
        <v>39146</v>
      </c>
      <c r="M582" s="10">
        <f>IFERROR(VLOOKUP(A582,'[1]Sales Order'!A:F,6,FALSE),"")</f>
        <v>39155</v>
      </c>
      <c r="N582" t="str">
        <f>IFERROR(VLOOKUP(VLOOKUP(A582,'[1]Sales Order'!A:G,7,FALSE),[1]Shipper!A:B,2,FALSE),"Not Specified")</f>
        <v>Shipper ZHISN</v>
      </c>
      <c r="O582" t="str">
        <f>IFERROR(VLOOKUP(A582,'[1]Sales Order'!A:I,9,FALSE),"Not Specified")</f>
        <v>Ship to 83-A</v>
      </c>
      <c r="P582" t="str">
        <f>IFERROR(VLOOKUP(A582,'[1]Sales Order'!A:N,14,FALSE),"Not Specified")</f>
        <v>Denmark</v>
      </c>
      <c r="Q582" t="str">
        <f>VLOOKUP(VLOOKUP(B582,[1]Product!A:C,3,FALSE),[1]Supplier!A:B,2,FALSE)</f>
        <v>Supplier XOXZA</v>
      </c>
      <c r="R582" t="str">
        <f>VLOOKUP(VLOOKUP(B582,[1]Product!A:C,3,FALSE),[1]Supplier!A:I,9,FALSE)</f>
        <v>Denmark</v>
      </c>
      <c r="S582" t="str">
        <f>IFERROR(IF(VLOOKUP(A582,'[1]Sales Order'!A:H,8,FALSE)&gt;100,"High Freight","Low Freight"),"Not Specified")</f>
        <v>High Freight</v>
      </c>
      <c r="T582">
        <f t="shared" si="19"/>
        <v>205.20000000000002</v>
      </c>
    </row>
    <row r="583" spans="1:20">
      <c r="A583" s="1">
        <v>10465</v>
      </c>
      <c r="B583" s="2">
        <v>50</v>
      </c>
      <c r="C583" s="2">
        <v>13</v>
      </c>
      <c r="D583" s="2">
        <v>25</v>
      </c>
      <c r="E583" s="3">
        <v>0</v>
      </c>
      <c r="F583" s="2" t="str">
        <f>IFERROR(VLOOKUP(VLOOKUP(A583,'[1]Sales Order'!A:B,2,FALSE),[1]Customer!A:C,3,FALSE),"Not Specified")</f>
        <v>Fonteneau, Karl</v>
      </c>
      <c r="G583" s="2" t="str">
        <f t="shared" si="18"/>
        <v>Fonteneau Karl</v>
      </c>
      <c r="H583" s="8" t="str">
        <f>IFERROR(VLOOKUP(VLOOKUP(A583,'[1]Sales Order'!A:C,3,FALSE),[1]Employee!A:E,5,FALSE)&amp;" "&amp;VLOOKUP(VLOOKUP(A583,'[1]Sales Order'!A:C,3,FALSE),[1]Employee!A:C,3,FALSE)&amp;" "&amp;VLOOKUP(VLOOKUP(A583,'[1]Sales Order'!A:C,3,FALSE),[1]Employee!A:B,2,FALSE),"Not Specified")</f>
        <v>Ms. Sara Davis</v>
      </c>
      <c r="I583" t="str">
        <f>IFERROR(VLOOKUP(VLOOKUP(A583,'[1]Sales Order'!A:C,3,FALSE),[1]Employee!A:J,10,FALSE),"Not Specified")</f>
        <v>WA</v>
      </c>
      <c r="J583" t="str">
        <f>VLOOKUP(B583,[1]Product!A:B,2,FALSE)</f>
        <v>Product BIUDV</v>
      </c>
      <c r="K583" t="str">
        <f>VLOOKUP(VLOOKUP(B583,[1]Product!A:D,4,FALSE),[1]Category!A:B,2,FALSE)</f>
        <v>Confections</v>
      </c>
      <c r="L583" s="10">
        <f>IFERROR(VLOOKUP(A583,'[1]Sales Order'!A:D,4,FALSE),"")</f>
        <v>39146</v>
      </c>
      <c r="M583" s="10">
        <f>IFERROR(VLOOKUP(A583,'[1]Sales Order'!A:F,6,FALSE),"")</f>
        <v>39155</v>
      </c>
      <c r="N583" t="str">
        <f>IFERROR(VLOOKUP(VLOOKUP(A583,'[1]Sales Order'!A:G,7,FALSE),[1]Shipper!A:B,2,FALSE),"Not Specified")</f>
        <v>Shipper ZHISN</v>
      </c>
      <c r="O583" t="str">
        <f>IFERROR(VLOOKUP(A583,'[1]Sales Order'!A:I,9,FALSE),"Not Specified")</f>
        <v>Ship to 83-A</v>
      </c>
      <c r="P583" t="str">
        <f>IFERROR(VLOOKUP(A583,'[1]Sales Order'!A:N,14,FALSE),"Not Specified")</f>
        <v>Denmark</v>
      </c>
      <c r="Q583" t="str">
        <f>VLOOKUP(VLOOKUP(B583,[1]Product!A:C,3,FALSE),[1]Supplier!A:B,2,FALSE)</f>
        <v>Supplier ELCRN</v>
      </c>
      <c r="R583" t="str">
        <f>VLOOKUP(VLOOKUP(B583,[1]Product!A:C,3,FALSE),[1]Supplier!A:I,9,FALSE)</f>
        <v>Finland</v>
      </c>
      <c r="S583" t="str">
        <f>IFERROR(IF(VLOOKUP(A583,'[1]Sales Order'!A:H,8,FALSE)&gt;100,"High Freight","Low Freight"),"Not Specified")</f>
        <v>High Freight</v>
      </c>
      <c r="T583">
        <f t="shared" si="19"/>
        <v>325</v>
      </c>
    </row>
    <row r="584" spans="1:20">
      <c r="A584" s="1">
        <v>10466</v>
      </c>
      <c r="B584" s="2">
        <v>11</v>
      </c>
      <c r="C584" s="2">
        <v>16.8</v>
      </c>
      <c r="D584" s="2">
        <v>10</v>
      </c>
      <c r="E584" s="3">
        <v>0</v>
      </c>
      <c r="F584" s="2" t="str">
        <f>IFERROR(VLOOKUP(VLOOKUP(A584,'[1]Sales Order'!A:B,2,FALSE),[1]Customer!A:C,3,FALSE),"Not Specified")</f>
        <v>Richardson, Shawn</v>
      </c>
      <c r="G584" s="2" t="str">
        <f t="shared" si="18"/>
        <v>Richardson Shawn</v>
      </c>
      <c r="H584" s="8" t="str">
        <f>IFERROR(VLOOKUP(VLOOKUP(A584,'[1]Sales Order'!A:C,3,FALSE),[1]Employee!A:E,5,FALSE)&amp;" "&amp;VLOOKUP(VLOOKUP(A584,'[1]Sales Order'!A:C,3,FALSE),[1]Employee!A:C,3,FALSE)&amp;" "&amp;VLOOKUP(VLOOKUP(A584,'[1]Sales Order'!A:C,3,FALSE),[1]Employee!A:B,2,FALSE),"Not Specified")</f>
        <v>Mrs. Yael Peled</v>
      </c>
      <c r="I584" t="str">
        <f>IFERROR(VLOOKUP(VLOOKUP(A584,'[1]Sales Order'!A:C,3,FALSE),[1]Employee!A:J,10,FALSE),"Not Specified")</f>
        <v>WA</v>
      </c>
      <c r="J584" t="str">
        <f>VLOOKUP(B584,[1]Product!A:B,2,FALSE)</f>
        <v>Product QMVUN</v>
      </c>
      <c r="K584" t="str">
        <f>VLOOKUP(VLOOKUP(B584,[1]Product!A:D,4,FALSE),[1]Category!A:B,2,FALSE)</f>
        <v>Dairy Product</v>
      </c>
      <c r="L584" s="10">
        <f>IFERROR(VLOOKUP(A584,'[1]Sales Order'!A:D,4,FALSE),"")</f>
        <v>39147</v>
      </c>
      <c r="M584" s="10">
        <f>IFERROR(VLOOKUP(A584,'[1]Sales Order'!A:F,6,FALSE),"")</f>
        <v>39154</v>
      </c>
      <c r="N584" t="str">
        <f>IFERROR(VLOOKUP(VLOOKUP(A584,'[1]Sales Order'!A:G,7,FALSE),[1]Shipper!A:B,2,FALSE),"Not Specified")</f>
        <v>Shipper GVSUA</v>
      </c>
      <c r="O584" t="str">
        <f>IFERROR(VLOOKUP(A584,'[1]Sales Order'!A:I,9,FALSE),"Not Specified")</f>
        <v>Destination GGSQD</v>
      </c>
      <c r="P584" t="str">
        <f>IFERROR(VLOOKUP(A584,'[1]Sales Order'!A:N,14,FALSE),"Not Specified")</f>
        <v>Brazil</v>
      </c>
      <c r="Q584" t="str">
        <f>VLOOKUP(VLOOKUP(B584,[1]Product!A:C,3,FALSE),[1]Supplier!A:B,2,FALSE)</f>
        <v>Supplier EQPNC</v>
      </c>
      <c r="R584" t="str">
        <f>VLOOKUP(VLOOKUP(B584,[1]Product!A:C,3,FALSE),[1]Supplier!A:I,9,FALSE)</f>
        <v>Spain</v>
      </c>
      <c r="S584" t="str">
        <f>IFERROR(IF(VLOOKUP(A584,'[1]Sales Order'!A:H,8,FALSE)&gt;100,"High Freight","Low Freight"),"Not Specified")</f>
        <v>Low Freight</v>
      </c>
      <c r="T584">
        <f t="shared" si="19"/>
        <v>168</v>
      </c>
    </row>
    <row r="585" spans="1:20">
      <c r="A585" s="1">
        <v>10466</v>
      </c>
      <c r="B585" s="2">
        <v>46</v>
      </c>
      <c r="C585" s="2">
        <v>9.6</v>
      </c>
      <c r="D585" s="2">
        <v>5</v>
      </c>
      <c r="E585" s="3">
        <v>0</v>
      </c>
      <c r="F585" s="2" t="str">
        <f>IFERROR(VLOOKUP(VLOOKUP(A585,'[1]Sales Order'!A:B,2,FALSE),[1]Customer!A:C,3,FALSE),"Not Specified")</f>
        <v>Richardson, Shawn</v>
      </c>
      <c r="G585" s="2" t="str">
        <f t="shared" si="18"/>
        <v>Richardson Shawn</v>
      </c>
      <c r="H585" s="8" t="str">
        <f>IFERROR(VLOOKUP(VLOOKUP(A585,'[1]Sales Order'!A:C,3,FALSE),[1]Employee!A:E,5,FALSE)&amp;" "&amp;VLOOKUP(VLOOKUP(A585,'[1]Sales Order'!A:C,3,FALSE),[1]Employee!A:C,3,FALSE)&amp;" "&amp;VLOOKUP(VLOOKUP(A585,'[1]Sales Order'!A:C,3,FALSE),[1]Employee!A:B,2,FALSE),"Not Specified")</f>
        <v>Mrs. Yael Peled</v>
      </c>
      <c r="I585" t="str">
        <f>IFERROR(VLOOKUP(VLOOKUP(A585,'[1]Sales Order'!A:C,3,FALSE),[1]Employee!A:J,10,FALSE),"Not Specified")</f>
        <v>WA</v>
      </c>
      <c r="J585" t="str">
        <f>VLOOKUP(B585,[1]Product!A:B,2,FALSE)</f>
        <v>Product CBRRL</v>
      </c>
      <c r="K585" t="str">
        <f>VLOOKUP(VLOOKUP(B585,[1]Product!A:D,4,FALSE),[1]Category!A:B,2,FALSE)</f>
        <v>Seafood</v>
      </c>
      <c r="L585" s="10">
        <f>IFERROR(VLOOKUP(A585,'[1]Sales Order'!A:D,4,FALSE),"")</f>
        <v>39147</v>
      </c>
      <c r="M585" s="10">
        <f>IFERROR(VLOOKUP(A585,'[1]Sales Order'!A:F,6,FALSE),"")</f>
        <v>39154</v>
      </c>
      <c r="N585" t="str">
        <f>IFERROR(VLOOKUP(VLOOKUP(A585,'[1]Sales Order'!A:G,7,FALSE),[1]Shipper!A:B,2,FALSE),"Not Specified")</f>
        <v>Shipper GVSUA</v>
      </c>
      <c r="O585" t="str">
        <f>IFERROR(VLOOKUP(A585,'[1]Sales Order'!A:I,9,FALSE),"Not Specified")</f>
        <v>Destination GGSQD</v>
      </c>
      <c r="P585" t="str">
        <f>IFERROR(VLOOKUP(A585,'[1]Sales Order'!A:N,14,FALSE),"Not Specified")</f>
        <v>Brazil</v>
      </c>
      <c r="Q585" t="str">
        <f>VLOOKUP(VLOOKUP(B585,[1]Product!A:C,3,FALSE),[1]Supplier!A:B,2,FALSE)</f>
        <v>Supplier XOXZA</v>
      </c>
      <c r="R585" t="str">
        <f>VLOOKUP(VLOOKUP(B585,[1]Product!A:C,3,FALSE),[1]Supplier!A:I,9,FALSE)</f>
        <v>Denmark</v>
      </c>
      <c r="S585" t="str">
        <f>IFERROR(IF(VLOOKUP(A585,'[1]Sales Order'!A:H,8,FALSE)&gt;100,"High Freight","Low Freight"),"Not Specified")</f>
        <v>Low Freight</v>
      </c>
      <c r="T585">
        <f t="shared" si="19"/>
        <v>48</v>
      </c>
    </row>
    <row r="586" spans="1:20">
      <c r="A586" s="1">
        <v>10467</v>
      </c>
      <c r="B586" s="2">
        <v>24</v>
      </c>
      <c r="C586" s="2">
        <v>3.6</v>
      </c>
      <c r="D586" s="2">
        <v>28</v>
      </c>
      <c r="E586" s="3">
        <v>0</v>
      </c>
      <c r="F586" s="2" t="str">
        <f>IFERROR(VLOOKUP(VLOOKUP(A586,'[1]Sales Order'!A:B,2,FALSE),[1]Customer!A:C,3,FALSE),"Not Specified")</f>
        <v>Duerr, Bernard</v>
      </c>
      <c r="G586" s="2" t="str">
        <f t="shared" si="18"/>
        <v>Duerr Bernard</v>
      </c>
      <c r="H586" s="8" t="str">
        <f>IFERROR(VLOOKUP(VLOOKUP(A586,'[1]Sales Order'!A:C,3,FALSE),[1]Employee!A:E,5,FALSE)&amp;" "&amp;VLOOKUP(VLOOKUP(A586,'[1]Sales Order'!A:C,3,FALSE),[1]Employee!A:C,3,FALSE)&amp;" "&amp;VLOOKUP(VLOOKUP(A586,'[1]Sales Order'!A:C,3,FALSE),[1]Employee!A:B,2,FALSE),"Not Specified")</f>
        <v>Ms. Maria Cameron</v>
      </c>
      <c r="I586" t="str">
        <f>IFERROR(VLOOKUP(VLOOKUP(A586,'[1]Sales Order'!A:C,3,FALSE),[1]Employee!A:J,10,FALSE),"Not Specified")</f>
        <v>WA</v>
      </c>
      <c r="J586" t="str">
        <f>VLOOKUP(B586,[1]Product!A:B,2,FALSE)</f>
        <v>Product QOGNU</v>
      </c>
      <c r="K586" t="str">
        <f>VLOOKUP(VLOOKUP(B586,[1]Product!A:D,4,FALSE),[1]Category!A:B,2,FALSE)</f>
        <v>Beverages</v>
      </c>
      <c r="L586" s="10">
        <f>IFERROR(VLOOKUP(A586,'[1]Sales Order'!A:D,4,FALSE),"")</f>
        <v>39147</v>
      </c>
      <c r="M586" s="10">
        <f>IFERROR(VLOOKUP(A586,'[1]Sales Order'!A:F,6,FALSE),"")</f>
        <v>39152</v>
      </c>
      <c r="N586" t="str">
        <f>IFERROR(VLOOKUP(VLOOKUP(A586,'[1]Sales Order'!A:G,7,FALSE),[1]Shipper!A:B,2,FALSE),"Not Specified")</f>
        <v>Shipper ETYNR</v>
      </c>
      <c r="O586" t="str">
        <f>IFERROR(VLOOKUP(A586,'[1]Sales Order'!A:I,9,FALSE),"Not Specified")</f>
        <v>Ship to 49-C</v>
      </c>
      <c r="P586" t="str">
        <f>IFERROR(VLOOKUP(A586,'[1]Sales Order'!A:N,14,FALSE),"Not Specified")</f>
        <v>Italy</v>
      </c>
      <c r="Q586" t="str">
        <f>VLOOKUP(VLOOKUP(B586,[1]Product!A:C,3,FALSE),[1]Supplier!A:B,2,FALSE)</f>
        <v>Supplier UNAHG</v>
      </c>
      <c r="R586" t="str">
        <f>VLOOKUP(VLOOKUP(B586,[1]Product!A:C,3,FALSE),[1]Supplier!A:I,9,FALSE)</f>
        <v>Brazil</v>
      </c>
      <c r="S586" t="str">
        <f>IFERROR(IF(VLOOKUP(A586,'[1]Sales Order'!A:H,8,FALSE)&gt;100,"High Freight","Low Freight"),"Not Specified")</f>
        <v>Low Freight</v>
      </c>
      <c r="T586">
        <f t="shared" si="19"/>
        <v>100.8</v>
      </c>
    </row>
    <row r="587" spans="1:20">
      <c r="A587" s="1">
        <v>10467</v>
      </c>
      <c r="B587" s="2">
        <v>25</v>
      </c>
      <c r="C587" s="2">
        <v>11.2</v>
      </c>
      <c r="D587" s="2">
        <v>12</v>
      </c>
      <c r="E587" s="3">
        <v>0</v>
      </c>
      <c r="F587" s="2" t="str">
        <f>IFERROR(VLOOKUP(VLOOKUP(A587,'[1]Sales Order'!A:B,2,FALSE),[1]Customer!A:C,3,FALSE),"Not Specified")</f>
        <v>Duerr, Bernard</v>
      </c>
      <c r="G587" s="2" t="str">
        <f t="shared" si="18"/>
        <v>Duerr Bernard</v>
      </c>
      <c r="H587" s="8" t="str">
        <f>IFERROR(VLOOKUP(VLOOKUP(A587,'[1]Sales Order'!A:C,3,FALSE),[1]Employee!A:E,5,FALSE)&amp;" "&amp;VLOOKUP(VLOOKUP(A587,'[1]Sales Order'!A:C,3,FALSE),[1]Employee!A:C,3,FALSE)&amp;" "&amp;VLOOKUP(VLOOKUP(A587,'[1]Sales Order'!A:C,3,FALSE),[1]Employee!A:B,2,FALSE),"Not Specified")</f>
        <v>Ms. Maria Cameron</v>
      </c>
      <c r="I587" t="str">
        <f>IFERROR(VLOOKUP(VLOOKUP(A587,'[1]Sales Order'!A:C,3,FALSE),[1]Employee!A:J,10,FALSE),"Not Specified")</f>
        <v>WA</v>
      </c>
      <c r="J587" t="str">
        <f>VLOOKUP(B587,[1]Product!A:B,2,FALSE)</f>
        <v>Product LYLNI</v>
      </c>
      <c r="K587" t="str">
        <f>VLOOKUP(VLOOKUP(B587,[1]Product!A:D,4,FALSE),[1]Category!A:B,2,FALSE)</f>
        <v>Confections</v>
      </c>
      <c r="L587" s="10">
        <f>IFERROR(VLOOKUP(A587,'[1]Sales Order'!A:D,4,FALSE),"")</f>
        <v>39147</v>
      </c>
      <c r="M587" s="10">
        <f>IFERROR(VLOOKUP(A587,'[1]Sales Order'!A:F,6,FALSE),"")</f>
        <v>39152</v>
      </c>
      <c r="N587" t="str">
        <f>IFERROR(VLOOKUP(VLOOKUP(A587,'[1]Sales Order'!A:G,7,FALSE),[1]Shipper!A:B,2,FALSE),"Not Specified")</f>
        <v>Shipper ETYNR</v>
      </c>
      <c r="O587" t="str">
        <f>IFERROR(VLOOKUP(A587,'[1]Sales Order'!A:I,9,FALSE),"Not Specified")</f>
        <v>Ship to 49-C</v>
      </c>
      <c r="P587" t="str">
        <f>IFERROR(VLOOKUP(A587,'[1]Sales Order'!A:N,14,FALSE),"Not Specified")</f>
        <v>Italy</v>
      </c>
      <c r="Q587" t="str">
        <f>VLOOKUP(VLOOKUP(B587,[1]Product!A:C,3,FALSE),[1]Supplier!A:B,2,FALSE)</f>
        <v>Supplier ZPYVS</v>
      </c>
      <c r="R587" t="str">
        <f>VLOOKUP(VLOOKUP(B587,[1]Product!A:C,3,FALSE),[1]Supplier!A:I,9,FALSE)</f>
        <v>Germany</v>
      </c>
      <c r="S587" t="str">
        <f>IFERROR(IF(VLOOKUP(A587,'[1]Sales Order'!A:H,8,FALSE)&gt;100,"High Freight","Low Freight"),"Not Specified")</f>
        <v>Low Freight</v>
      </c>
      <c r="T587">
        <f t="shared" si="19"/>
        <v>134.39999999999998</v>
      </c>
    </row>
    <row r="588" spans="1:20">
      <c r="A588" s="1">
        <v>10468</v>
      </c>
      <c r="B588" s="2">
        <v>30</v>
      </c>
      <c r="C588" s="2">
        <v>20.7</v>
      </c>
      <c r="D588" s="2">
        <v>8</v>
      </c>
      <c r="E588" s="3">
        <v>0</v>
      </c>
      <c r="F588" s="2" t="str">
        <f>IFERROR(VLOOKUP(VLOOKUP(A588,'[1]Sales Order'!A:B,2,FALSE),[1]Customer!A:C,3,FALSE),"Not Specified")</f>
        <v>Song, Lolan</v>
      </c>
      <c r="G588" s="2" t="str">
        <f t="shared" si="18"/>
        <v>Song Lolan</v>
      </c>
      <c r="H588" s="8" t="str">
        <f>IFERROR(VLOOKUP(VLOOKUP(A588,'[1]Sales Order'!A:C,3,FALSE),[1]Employee!A:E,5,FALSE)&amp;" "&amp;VLOOKUP(VLOOKUP(A588,'[1]Sales Order'!A:C,3,FALSE),[1]Employee!A:C,3,FALSE)&amp;" "&amp;VLOOKUP(VLOOKUP(A588,'[1]Sales Order'!A:C,3,FALSE),[1]Employee!A:B,2,FALSE),"Not Specified")</f>
        <v>Ms. Judy Lew</v>
      </c>
      <c r="I588" t="str">
        <f>IFERROR(VLOOKUP(VLOOKUP(A588,'[1]Sales Order'!A:C,3,FALSE),[1]Employee!A:J,10,FALSE),"Not Specified")</f>
        <v>WA</v>
      </c>
      <c r="J588" t="str">
        <f>VLOOKUP(B588,[1]Product!A:B,2,FALSE)</f>
        <v>Product LYERX</v>
      </c>
      <c r="K588" t="str">
        <f>VLOOKUP(VLOOKUP(B588,[1]Product!A:D,4,FALSE),[1]Category!A:B,2,FALSE)</f>
        <v>Seafood</v>
      </c>
      <c r="L588" s="10">
        <f>IFERROR(VLOOKUP(A588,'[1]Sales Order'!A:D,4,FALSE),"")</f>
        <v>39148</v>
      </c>
      <c r="M588" s="10">
        <f>IFERROR(VLOOKUP(A588,'[1]Sales Order'!A:F,6,FALSE),"")</f>
        <v>39153</v>
      </c>
      <c r="N588" t="str">
        <f>IFERROR(VLOOKUP(VLOOKUP(A588,'[1]Sales Order'!A:G,7,FALSE),[1]Shipper!A:B,2,FALSE),"Not Specified")</f>
        <v>Shipper ZHISN</v>
      </c>
      <c r="O588" t="str">
        <f>IFERROR(VLOOKUP(A588,'[1]Sales Order'!A:I,9,FALSE),"Not Specified")</f>
        <v>Destination RMBHM</v>
      </c>
      <c r="P588" t="str">
        <f>IFERROR(VLOOKUP(A588,'[1]Sales Order'!A:N,14,FALSE),"Not Specified")</f>
        <v>Germany</v>
      </c>
      <c r="Q588" t="str">
        <f>VLOOKUP(VLOOKUP(B588,[1]Product!A:C,3,FALSE),[1]Supplier!A:B,2,FALSE)</f>
        <v>Supplier TEGSC</v>
      </c>
      <c r="R588" t="str">
        <f>VLOOKUP(VLOOKUP(B588,[1]Product!A:C,3,FALSE),[1]Supplier!A:I,9,FALSE)</f>
        <v>Germany</v>
      </c>
      <c r="S588" t="str">
        <f>IFERROR(IF(VLOOKUP(A588,'[1]Sales Order'!A:H,8,FALSE)&gt;100,"High Freight","Low Freight"),"Not Specified")</f>
        <v>Low Freight</v>
      </c>
      <c r="T588">
        <f t="shared" si="19"/>
        <v>165.6</v>
      </c>
    </row>
    <row r="589" spans="1:20">
      <c r="A589" s="1">
        <v>10468</v>
      </c>
      <c r="B589" s="2">
        <v>43</v>
      </c>
      <c r="C589" s="2">
        <v>36.799999999999997</v>
      </c>
      <c r="D589" s="2">
        <v>15</v>
      </c>
      <c r="E589" s="3">
        <v>0</v>
      </c>
      <c r="F589" s="2" t="str">
        <f>IFERROR(VLOOKUP(VLOOKUP(A589,'[1]Sales Order'!A:B,2,FALSE),[1]Customer!A:C,3,FALSE),"Not Specified")</f>
        <v>Song, Lolan</v>
      </c>
      <c r="G589" s="2" t="str">
        <f t="shared" si="18"/>
        <v>Song Lolan</v>
      </c>
      <c r="H589" s="8" t="str">
        <f>IFERROR(VLOOKUP(VLOOKUP(A589,'[1]Sales Order'!A:C,3,FALSE),[1]Employee!A:E,5,FALSE)&amp;" "&amp;VLOOKUP(VLOOKUP(A589,'[1]Sales Order'!A:C,3,FALSE),[1]Employee!A:C,3,FALSE)&amp;" "&amp;VLOOKUP(VLOOKUP(A589,'[1]Sales Order'!A:C,3,FALSE),[1]Employee!A:B,2,FALSE),"Not Specified")</f>
        <v>Ms. Judy Lew</v>
      </c>
      <c r="I589" t="str">
        <f>IFERROR(VLOOKUP(VLOOKUP(A589,'[1]Sales Order'!A:C,3,FALSE),[1]Employee!A:J,10,FALSE),"Not Specified")</f>
        <v>WA</v>
      </c>
      <c r="J589" t="str">
        <f>VLOOKUP(B589,[1]Product!A:B,2,FALSE)</f>
        <v>Product ZZZHR</v>
      </c>
      <c r="K589" t="str">
        <f>VLOOKUP(VLOOKUP(B589,[1]Product!A:D,4,FALSE),[1]Category!A:B,2,FALSE)</f>
        <v>Beverages</v>
      </c>
      <c r="L589" s="10">
        <f>IFERROR(VLOOKUP(A589,'[1]Sales Order'!A:D,4,FALSE),"")</f>
        <v>39148</v>
      </c>
      <c r="M589" s="10">
        <f>IFERROR(VLOOKUP(A589,'[1]Sales Order'!A:F,6,FALSE),"")</f>
        <v>39153</v>
      </c>
      <c r="N589" t="str">
        <f>IFERROR(VLOOKUP(VLOOKUP(A589,'[1]Sales Order'!A:G,7,FALSE),[1]Shipper!A:B,2,FALSE),"Not Specified")</f>
        <v>Shipper ZHISN</v>
      </c>
      <c r="O589" t="str">
        <f>IFERROR(VLOOKUP(A589,'[1]Sales Order'!A:I,9,FALSE),"Not Specified")</f>
        <v>Destination RMBHM</v>
      </c>
      <c r="P589" t="str">
        <f>IFERROR(VLOOKUP(A589,'[1]Sales Order'!A:N,14,FALSE),"Not Specified")</f>
        <v>Germany</v>
      </c>
      <c r="Q589" t="str">
        <f>VLOOKUP(VLOOKUP(B589,[1]Product!A:C,3,FALSE),[1]Supplier!A:B,2,FALSE)</f>
        <v>Supplier CIYNM</v>
      </c>
      <c r="R589" t="str">
        <f>VLOOKUP(VLOOKUP(B589,[1]Product!A:C,3,FALSE),[1]Supplier!A:I,9,FALSE)</f>
        <v>Singapore</v>
      </c>
      <c r="S589" t="str">
        <f>IFERROR(IF(VLOOKUP(A589,'[1]Sales Order'!A:H,8,FALSE)&gt;100,"High Freight","Low Freight"),"Not Specified")</f>
        <v>Low Freight</v>
      </c>
      <c r="T589">
        <f t="shared" si="19"/>
        <v>552</v>
      </c>
    </row>
    <row r="590" spans="1:20">
      <c r="A590" s="1">
        <v>10469</v>
      </c>
      <c r="B590" s="2">
        <v>2</v>
      </c>
      <c r="C590" s="2">
        <v>15.2</v>
      </c>
      <c r="D590" s="2">
        <v>40</v>
      </c>
      <c r="E590" s="3">
        <v>0.15</v>
      </c>
      <c r="F590" s="2" t="str">
        <f>IFERROR(VLOOKUP(VLOOKUP(A590,'[1]Sales Order'!A:B,2,FALSE),[1]Customer!A:C,3,FALSE),"Not Specified")</f>
        <v>Smith Jr., Ronaldo</v>
      </c>
      <c r="G590" s="2" t="str">
        <f t="shared" si="18"/>
        <v>Smith Jr. Ronaldo</v>
      </c>
      <c r="H590" s="8" t="str">
        <f>IFERROR(VLOOKUP(VLOOKUP(A590,'[1]Sales Order'!A:C,3,FALSE),[1]Employee!A:E,5,FALSE)&amp;" "&amp;VLOOKUP(VLOOKUP(A590,'[1]Sales Order'!A:C,3,FALSE),[1]Employee!A:C,3,FALSE)&amp;" "&amp;VLOOKUP(VLOOKUP(A590,'[1]Sales Order'!A:C,3,FALSE),[1]Employee!A:B,2,FALSE),"Not Specified")</f>
        <v>Ms. Sara Davis</v>
      </c>
      <c r="I590" t="str">
        <f>IFERROR(VLOOKUP(VLOOKUP(A590,'[1]Sales Order'!A:C,3,FALSE),[1]Employee!A:J,10,FALSE),"Not Specified")</f>
        <v>WA</v>
      </c>
      <c r="J590" t="str">
        <f>VLOOKUP(B590,[1]Product!A:B,2,FALSE)</f>
        <v>Product RECZE</v>
      </c>
      <c r="K590" t="str">
        <f>VLOOKUP(VLOOKUP(B590,[1]Product!A:D,4,FALSE),[1]Category!A:B,2,FALSE)</f>
        <v>Beverages</v>
      </c>
      <c r="L590" s="10">
        <f>IFERROR(VLOOKUP(A590,'[1]Sales Order'!A:D,4,FALSE),"")</f>
        <v>39151</v>
      </c>
      <c r="M590" s="10">
        <f>IFERROR(VLOOKUP(A590,'[1]Sales Order'!A:F,6,FALSE),"")</f>
        <v>39155</v>
      </c>
      <c r="N590" t="str">
        <f>IFERROR(VLOOKUP(VLOOKUP(A590,'[1]Sales Order'!A:G,7,FALSE),[1]Shipper!A:B,2,FALSE),"Not Specified")</f>
        <v>Shipper GVSUA</v>
      </c>
      <c r="O590" t="str">
        <f>IFERROR(VLOOKUP(A590,'[1]Sales Order'!A:I,9,FALSE),"Not Specified")</f>
        <v>Ship to 89-C</v>
      </c>
      <c r="P590" t="str">
        <f>IFERROR(VLOOKUP(A590,'[1]Sales Order'!A:N,14,FALSE),"Not Specified")</f>
        <v>USA</v>
      </c>
      <c r="Q590" t="str">
        <f>VLOOKUP(VLOOKUP(B590,[1]Product!A:C,3,FALSE),[1]Supplier!A:B,2,FALSE)</f>
        <v>Supplier SWRXU</v>
      </c>
      <c r="R590" t="str">
        <f>VLOOKUP(VLOOKUP(B590,[1]Product!A:C,3,FALSE),[1]Supplier!A:I,9,FALSE)</f>
        <v>UK</v>
      </c>
      <c r="S590" t="str">
        <f>IFERROR(IF(VLOOKUP(A590,'[1]Sales Order'!A:H,8,FALSE)&gt;100,"High Freight","Low Freight"),"Not Specified")</f>
        <v>Low Freight</v>
      </c>
      <c r="T590">
        <f t="shared" si="19"/>
        <v>516.79999999999995</v>
      </c>
    </row>
    <row r="591" spans="1:20">
      <c r="A591" s="1">
        <v>10469</v>
      </c>
      <c r="B591" s="2">
        <v>16</v>
      </c>
      <c r="C591" s="2">
        <v>13.9</v>
      </c>
      <c r="D591" s="2">
        <v>35</v>
      </c>
      <c r="E591" s="3">
        <v>0.15</v>
      </c>
      <c r="F591" s="2" t="str">
        <f>IFERROR(VLOOKUP(VLOOKUP(A591,'[1]Sales Order'!A:B,2,FALSE),[1]Customer!A:C,3,FALSE),"Not Specified")</f>
        <v>Smith Jr., Ronaldo</v>
      </c>
      <c r="G591" s="2" t="str">
        <f t="shared" si="18"/>
        <v>Smith Jr. Ronaldo</v>
      </c>
      <c r="H591" s="8" t="str">
        <f>IFERROR(VLOOKUP(VLOOKUP(A591,'[1]Sales Order'!A:C,3,FALSE),[1]Employee!A:E,5,FALSE)&amp;" "&amp;VLOOKUP(VLOOKUP(A591,'[1]Sales Order'!A:C,3,FALSE),[1]Employee!A:C,3,FALSE)&amp;" "&amp;VLOOKUP(VLOOKUP(A591,'[1]Sales Order'!A:C,3,FALSE),[1]Employee!A:B,2,FALSE),"Not Specified")</f>
        <v>Ms. Sara Davis</v>
      </c>
      <c r="I591" t="str">
        <f>IFERROR(VLOOKUP(VLOOKUP(A591,'[1]Sales Order'!A:C,3,FALSE),[1]Employee!A:J,10,FALSE),"Not Specified")</f>
        <v>WA</v>
      </c>
      <c r="J591" t="str">
        <f>VLOOKUP(B591,[1]Product!A:B,2,FALSE)</f>
        <v>Product PAFRH</v>
      </c>
      <c r="K591" t="str">
        <f>VLOOKUP(VLOOKUP(B591,[1]Product!A:D,4,FALSE),[1]Category!A:B,2,FALSE)</f>
        <v>Confections</v>
      </c>
      <c r="L591" s="10">
        <f>IFERROR(VLOOKUP(A591,'[1]Sales Order'!A:D,4,FALSE),"")</f>
        <v>39151</v>
      </c>
      <c r="M591" s="10">
        <f>IFERROR(VLOOKUP(A591,'[1]Sales Order'!A:F,6,FALSE),"")</f>
        <v>39155</v>
      </c>
      <c r="N591" t="str">
        <f>IFERROR(VLOOKUP(VLOOKUP(A591,'[1]Sales Order'!A:G,7,FALSE),[1]Shipper!A:B,2,FALSE),"Not Specified")</f>
        <v>Shipper GVSUA</v>
      </c>
      <c r="O591" t="str">
        <f>IFERROR(VLOOKUP(A591,'[1]Sales Order'!A:I,9,FALSE),"Not Specified")</f>
        <v>Ship to 89-C</v>
      </c>
      <c r="P591" t="str">
        <f>IFERROR(VLOOKUP(A591,'[1]Sales Order'!A:N,14,FALSE),"Not Specified")</f>
        <v>USA</v>
      </c>
      <c r="Q591" t="str">
        <f>VLOOKUP(VLOOKUP(B591,[1]Product!A:C,3,FALSE),[1]Supplier!A:B,2,FALSE)</f>
        <v>Supplier GQRCV</v>
      </c>
      <c r="R591" t="str">
        <f>VLOOKUP(VLOOKUP(B591,[1]Product!A:C,3,FALSE),[1]Supplier!A:I,9,FALSE)</f>
        <v>Australia</v>
      </c>
      <c r="S591" t="str">
        <f>IFERROR(IF(VLOOKUP(A591,'[1]Sales Order'!A:H,8,FALSE)&gt;100,"High Freight","Low Freight"),"Not Specified")</f>
        <v>Low Freight</v>
      </c>
      <c r="T591">
        <f t="shared" si="19"/>
        <v>413.52499999999998</v>
      </c>
    </row>
    <row r="592" spans="1:20">
      <c r="A592" s="1">
        <v>10469</v>
      </c>
      <c r="B592" s="2">
        <v>44</v>
      </c>
      <c r="C592" s="2">
        <v>15.5</v>
      </c>
      <c r="D592" s="2">
        <v>2</v>
      </c>
      <c r="E592" s="3">
        <v>0.15</v>
      </c>
      <c r="F592" s="2" t="str">
        <f>IFERROR(VLOOKUP(VLOOKUP(A592,'[1]Sales Order'!A:B,2,FALSE),[1]Customer!A:C,3,FALSE),"Not Specified")</f>
        <v>Smith Jr., Ronaldo</v>
      </c>
      <c r="G592" s="2" t="str">
        <f t="shared" si="18"/>
        <v>Smith Jr. Ronaldo</v>
      </c>
      <c r="H592" s="8" t="str">
        <f>IFERROR(VLOOKUP(VLOOKUP(A592,'[1]Sales Order'!A:C,3,FALSE),[1]Employee!A:E,5,FALSE)&amp;" "&amp;VLOOKUP(VLOOKUP(A592,'[1]Sales Order'!A:C,3,FALSE),[1]Employee!A:C,3,FALSE)&amp;" "&amp;VLOOKUP(VLOOKUP(A592,'[1]Sales Order'!A:C,3,FALSE),[1]Employee!A:B,2,FALSE),"Not Specified")</f>
        <v>Ms. Sara Davis</v>
      </c>
      <c r="I592" t="str">
        <f>IFERROR(VLOOKUP(VLOOKUP(A592,'[1]Sales Order'!A:C,3,FALSE),[1]Employee!A:J,10,FALSE),"Not Specified")</f>
        <v>WA</v>
      </c>
      <c r="J592" t="str">
        <f>VLOOKUP(B592,[1]Product!A:B,2,FALSE)</f>
        <v>Product VJIEO</v>
      </c>
      <c r="K592" t="str">
        <f>VLOOKUP(VLOOKUP(B592,[1]Product!A:D,4,FALSE),[1]Category!A:B,2,FALSE)</f>
        <v>Condiments</v>
      </c>
      <c r="L592" s="10">
        <f>IFERROR(VLOOKUP(A592,'[1]Sales Order'!A:D,4,FALSE),"")</f>
        <v>39151</v>
      </c>
      <c r="M592" s="10">
        <f>IFERROR(VLOOKUP(A592,'[1]Sales Order'!A:F,6,FALSE),"")</f>
        <v>39155</v>
      </c>
      <c r="N592" t="str">
        <f>IFERROR(VLOOKUP(VLOOKUP(A592,'[1]Sales Order'!A:G,7,FALSE),[1]Shipper!A:B,2,FALSE),"Not Specified")</f>
        <v>Shipper GVSUA</v>
      </c>
      <c r="O592" t="str">
        <f>IFERROR(VLOOKUP(A592,'[1]Sales Order'!A:I,9,FALSE),"Not Specified")</f>
        <v>Ship to 89-C</v>
      </c>
      <c r="P592" t="str">
        <f>IFERROR(VLOOKUP(A592,'[1]Sales Order'!A:N,14,FALSE),"Not Specified")</f>
        <v>USA</v>
      </c>
      <c r="Q592" t="str">
        <f>VLOOKUP(VLOOKUP(B592,[1]Product!A:C,3,FALSE),[1]Supplier!A:B,2,FALSE)</f>
        <v>Supplier CIYNM</v>
      </c>
      <c r="R592" t="str">
        <f>VLOOKUP(VLOOKUP(B592,[1]Product!A:C,3,FALSE),[1]Supplier!A:I,9,FALSE)</f>
        <v>Singapore</v>
      </c>
      <c r="S592" t="str">
        <f>IFERROR(IF(VLOOKUP(A592,'[1]Sales Order'!A:H,8,FALSE)&gt;100,"High Freight","Low Freight"),"Not Specified")</f>
        <v>Low Freight</v>
      </c>
      <c r="T592">
        <f t="shared" si="19"/>
        <v>26.349999999999998</v>
      </c>
    </row>
    <row r="593" spans="1:20">
      <c r="A593" s="1">
        <v>10470</v>
      </c>
      <c r="B593" s="2">
        <v>18</v>
      </c>
      <c r="C593" s="2">
        <v>50</v>
      </c>
      <c r="D593" s="2">
        <v>30</v>
      </c>
      <c r="E593" s="3">
        <v>0</v>
      </c>
      <c r="F593" s="2" t="str">
        <f>IFERROR(VLOOKUP(VLOOKUP(A593,'[1]Sales Order'!A:B,2,FALSE),[1]Customer!A:C,3,FALSE),"Not Specified")</f>
        <v>Raghav, Amritansh</v>
      </c>
      <c r="G593" s="2" t="str">
        <f t="shared" si="18"/>
        <v>Raghav Amritansh</v>
      </c>
      <c r="H593" s="8" t="str">
        <f>IFERROR(VLOOKUP(VLOOKUP(A593,'[1]Sales Order'!A:C,3,FALSE),[1]Employee!A:E,5,FALSE)&amp;" "&amp;VLOOKUP(VLOOKUP(A593,'[1]Sales Order'!A:C,3,FALSE),[1]Employee!A:C,3,FALSE)&amp;" "&amp;VLOOKUP(VLOOKUP(A593,'[1]Sales Order'!A:C,3,FALSE),[1]Employee!A:B,2,FALSE),"Not Specified")</f>
        <v>Mrs. Yael Peled</v>
      </c>
      <c r="I593" t="str">
        <f>IFERROR(VLOOKUP(VLOOKUP(A593,'[1]Sales Order'!A:C,3,FALSE),[1]Employee!A:J,10,FALSE),"Not Specified")</f>
        <v>WA</v>
      </c>
      <c r="J593" t="str">
        <f>VLOOKUP(B593,[1]Product!A:B,2,FALSE)</f>
        <v>Product CKEDC</v>
      </c>
      <c r="K593" t="str">
        <f>VLOOKUP(VLOOKUP(B593,[1]Product!A:D,4,FALSE),[1]Category!A:B,2,FALSE)</f>
        <v>Seafood</v>
      </c>
      <c r="L593" s="10">
        <f>IFERROR(VLOOKUP(A593,'[1]Sales Order'!A:D,4,FALSE),"")</f>
        <v>39152</v>
      </c>
      <c r="M593" s="10">
        <f>IFERROR(VLOOKUP(A593,'[1]Sales Order'!A:F,6,FALSE),"")</f>
        <v>39155</v>
      </c>
      <c r="N593" t="str">
        <f>IFERROR(VLOOKUP(VLOOKUP(A593,'[1]Sales Order'!A:G,7,FALSE),[1]Shipper!A:B,2,FALSE),"Not Specified")</f>
        <v>Shipper ETYNR</v>
      </c>
      <c r="O593" t="str">
        <f>IFERROR(VLOOKUP(A593,'[1]Sales Order'!A:I,9,FALSE),"Not Specified")</f>
        <v>Ship to 9-C</v>
      </c>
      <c r="P593" t="str">
        <f>IFERROR(VLOOKUP(A593,'[1]Sales Order'!A:N,14,FALSE),"Not Specified")</f>
        <v>France</v>
      </c>
      <c r="Q593" t="str">
        <f>VLOOKUP(VLOOKUP(B593,[1]Product!A:C,3,FALSE),[1]Supplier!A:B,2,FALSE)</f>
        <v>Supplier GQRCV</v>
      </c>
      <c r="R593" t="str">
        <f>VLOOKUP(VLOOKUP(B593,[1]Product!A:C,3,FALSE),[1]Supplier!A:I,9,FALSE)</f>
        <v>Australia</v>
      </c>
      <c r="S593" t="str">
        <f>IFERROR(IF(VLOOKUP(A593,'[1]Sales Order'!A:H,8,FALSE)&gt;100,"High Freight","Low Freight"),"Not Specified")</f>
        <v>Low Freight</v>
      </c>
      <c r="T593">
        <f t="shared" si="19"/>
        <v>1500</v>
      </c>
    </row>
    <row r="594" spans="1:20">
      <c r="A594" s="1">
        <v>10470</v>
      </c>
      <c r="B594" s="2">
        <v>23</v>
      </c>
      <c r="C594" s="2">
        <v>7.2</v>
      </c>
      <c r="D594" s="2">
        <v>15</v>
      </c>
      <c r="E594" s="3">
        <v>0</v>
      </c>
      <c r="F594" s="2" t="str">
        <f>IFERROR(VLOOKUP(VLOOKUP(A594,'[1]Sales Order'!A:B,2,FALSE),[1]Customer!A:C,3,FALSE),"Not Specified")</f>
        <v>Raghav, Amritansh</v>
      </c>
      <c r="G594" s="2" t="str">
        <f t="shared" si="18"/>
        <v>Raghav Amritansh</v>
      </c>
      <c r="H594" s="8" t="str">
        <f>IFERROR(VLOOKUP(VLOOKUP(A594,'[1]Sales Order'!A:C,3,FALSE),[1]Employee!A:E,5,FALSE)&amp;" "&amp;VLOOKUP(VLOOKUP(A594,'[1]Sales Order'!A:C,3,FALSE),[1]Employee!A:C,3,FALSE)&amp;" "&amp;VLOOKUP(VLOOKUP(A594,'[1]Sales Order'!A:C,3,FALSE),[1]Employee!A:B,2,FALSE),"Not Specified")</f>
        <v>Mrs. Yael Peled</v>
      </c>
      <c r="I594" t="str">
        <f>IFERROR(VLOOKUP(VLOOKUP(A594,'[1]Sales Order'!A:C,3,FALSE),[1]Employee!A:J,10,FALSE),"Not Specified")</f>
        <v>WA</v>
      </c>
      <c r="J594" t="str">
        <f>VLOOKUP(B594,[1]Product!A:B,2,FALSE)</f>
        <v>Product JLUDZ</v>
      </c>
      <c r="K594" t="str">
        <f>VLOOKUP(VLOOKUP(B594,[1]Product!A:D,4,FALSE),[1]Category!A:B,2,FALSE)</f>
        <v>Grains/Cereals</v>
      </c>
      <c r="L594" s="10">
        <f>IFERROR(VLOOKUP(A594,'[1]Sales Order'!A:D,4,FALSE),"")</f>
        <v>39152</v>
      </c>
      <c r="M594" s="10">
        <f>IFERROR(VLOOKUP(A594,'[1]Sales Order'!A:F,6,FALSE),"")</f>
        <v>39155</v>
      </c>
      <c r="N594" t="str">
        <f>IFERROR(VLOOKUP(VLOOKUP(A594,'[1]Sales Order'!A:G,7,FALSE),[1]Shipper!A:B,2,FALSE),"Not Specified")</f>
        <v>Shipper ETYNR</v>
      </c>
      <c r="O594" t="str">
        <f>IFERROR(VLOOKUP(A594,'[1]Sales Order'!A:I,9,FALSE),"Not Specified")</f>
        <v>Ship to 9-C</v>
      </c>
      <c r="P594" t="str">
        <f>IFERROR(VLOOKUP(A594,'[1]Sales Order'!A:N,14,FALSE),"Not Specified")</f>
        <v>France</v>
      </c>
      <c r="Q594" t="str">
        <f>VLOOKUP(VLOOKUP(B594,[1]Product!A:C,3,FALSE),[1]Supplier!A:B,2,FALSE)</f>
        <v>Supplier QQYEU</v>
      </c>
      <c r="R594" t="str">
        <f>VLOOKUP(VLOOKUP(B594,[1]Product!A:C,3,FALSE),[1]Supplier!A:I,9,FALSE)</f>
        <v>Sweden</v>
      </c>
      <c r="S594" t="str">
        <f>IFERROR(IF(VLOOKUP(A594,'[1]Sales Order'!A:H,8,FALSE)&gt;100,"High Freight","Low Freight"),"Not Specified")</f>
        <v>Low Freight</v>
      </c>
      <c r="T594">
        <f t="shared" si="19"/>
        <v>108</v>
      </c>
    </row>
    <row r="595" spans="1:20">
      <c r="A595" s="1">
        <v>10470</v>
      </c>
      <c r="B595" s="2">
        <v>64</v>
      </c>
      <c r="C595" s="2">
        <v>26.6</v>
      </c>
      <c r="D595" s="2">
        <v>8</v>
      </c>
      <c r="E595" s="3">
        <v>0</v>
      </c>
      <c r="F595" s="2" t="str">
        <f>IFERROR(VLOOKUP(VLOOKUP(A595,'[1]Sales Order'!A:B,2,FALSE),[1]Customer!A:C,3,FALSE),"Not Specified")</f>
        <v>Raghav, Amritansh</v>
      </c>
      <c r="G595" s="2" t="str">
        <f t="shared" si="18"/>
        <v>Raghav Amritansh</v>
      </c>
      <c r="H595" s="8" t="str">
        <f>IFERROR(VLOOKUP(VLOOKUP(A595,'[1]Sales Order'!A:C,3,FALSE),[1]Employee!A:E,5,FALSE)&amp;" "&amp;VLOOKUP(VLOOKUP(A595,'[1]Sales Order'!A:C,3,FALSE),[1]Employee!A:C,3,FALSE)&amp;" "&amp;VLOOKUP(VLOOKUP(A595,'[1]Sales Order'!A:C,3,FALSE),[1]Employee!A:B,2,FALSE),"Not Specified")</f>
        <v>Mrs. Yael Peled</v>
      </c>
      <c r="I595" t="str">
        <f>IFERROR(VLOOKUP(VLOOKUP(A595,'[1]Sales Order'!A:C,3,FALSE),[1]Employee!A:J,10,FALSE),"Not Specified")</f>
        <v>WA</v>
      </c>
      <c r="J595" t="str">
        <f>VLOOKUP(B595,[1]Product!A:B,2,FALSE)</f>
        <v>Product HCQDE</v>
      </c>
      <c r="K595" t="str">
        <f>VLOOKUP(VLOOKUP(B595,[1]Product!A:D,4,FALSE),[1]Category!A:B,2,FALSE)</f>
        <v>Grains/Cereals</v>
      </c>
      <c r="L595" s="10">
        <f>IFERROR(VLOOKUP(A595,'[1]Sales Order'!A:D,4,FALSE),"")</f>
        <v>39152</v>
      </c>
      <c r="M595" s="10">
        <f>IFERROR(VLOOKUP(A595,'[1]Sales Order'!A:F,6,FALSE),"")</f>
        <v>39155</v>
      </c>
      <c r="N595" t="str">
        <f>IFERROR(VLOOKUP(VLOOKUP(A595,'[1]Sales Order'!A:G,7,FALSE),[1]Shipper!A:B,2,FALSE),"Not Specified")</f>
        <v>Shipper ETYNR</v>
      </c>
      <c r="O595" t="str">
        <f>IFERROR(VLOOKUP(A595,'[1]Sales Order'!A:I,9,FALSE),"Not Specified")</f>
        <v>Ship to 9-C</v>
      </c>
      <c r="P595" t="str">
        <f>IFERROR(VLOOKUP(A595,'[1]Sales Order'!A:N,14,FALSE),"Not Specified")</f>
        <v>France</v>
      </c>
      <c r="Q595" t="str">
        <f>VLOOKUP(VLOOKUP(B595,[1]Product!A:C,3,FALSE),[1]Supplier!A:B,2,FALSE)</f>
        <v>Supplier SVIYA</v>
      </c>
      <c r="R595" t="str">
        <f>VLOOKUP(VLOOKUP(B595,[1]Product!A:C,3,FALSE),[1]Supplier!A:I,9,FALSE)</f>
        <v>Germany</v>
      </c>
      <c r="S595" t="str">
        <f>IFERROR(IF(VLOOKUP(A595,'[1]Sales Order'!A:H,8,FALSE)&gt;100,"High Freight","Low Freight"),"Not Specified")</f>
        <v>Low Freight</v>
      </c>
      <c r="T595">
        <f t="shared" si="19"/>
        <v>212.8</v>
      </c>
    </row>
    <row r="596" spans="1:20">
      <c r="A596" s="1">
        <v>10471</v>
      </c>
      <c r="B596" s="2">
        <v>7</v>
      </c>
      <c r="C596" s="2">
        <v>24</v>
      </c>
      <c r="D596" s="2">
        <v>30</v>
      </c>
      <c r="E596" s="3">
        <v>0</v>
      </c>
      <c r="F596" s="2" t="str">
        <f>IFERROR(VLOOKUP(VLOOKUP(A596,'[1]Sales Order'!A:B,2,FALSE),[1]Customer!A:C,3,FALSE),"Not Specified")</f>
        <v>Jaffe, David</v>
      </c>
      <c r="G596" s="2" t="str">
        <f t="shared" si="18"/>
        <v>Jaffe David</v>
      </c>
      <c r="H596" s="8" t="str">
        <f>IFERROR(VLOOKUP(VLOOKUP(A596,'[1]Sales Order'!A:C,3,FALSE),[1]Employee!A:E,5,FALSE)&amp;" "&amp;VLOOKUP(VLOOKUP(A596,'[1]Sales Order'!A:C,3,FALSE),[1]Employee!A:C,3,FALSE)&amp;" "&amp;VLOOKUP(VLOOKUP(A596,'[1]Sales Order'!A:C,3,FALSE),[1]Employee!A:B,2,FALSE),"Not Specified")</f>
        <v>Dr. Don Funk</v>
      </c>
      <c r="I596" t="str">
        <f>IFERROR(VLOOKUP(VLOOKUP(A596,'[1]Sales Order'!A:C,3,FALSE),[1]Employee!A:J,10,FALSE),"Not Specified")</f>
        <v>WA</v>
      </c>
      <c r="J596" t="str">
        <f>VLOOKUP(B596,[1]Product!A:B,2,FALSE)</f>
        <v>Product HMLNI</v>
      </c>
      <c r="K596" t="str">
        <f>VLOOKUP(VLOOKUP(B596,[1]Product!A:D,4,FALSE),[1]Category!A:B,2,FALSE)</f>
        <v>Produce</v>
      </c>
      <c r="L596" s="10">
        <f>IFERROR(VLOOKUP(A596,'[1]Sales Order'!A:D,4,FALSE),"")</f>
        <v>39152</v>
      </c>
      <c r="M596" s="10">
        <f>IFERROR(VLOOKUP(A596,'[1]Sales Order'!A:F,6,FALSE),"")</f>
        <v>39159</v>
      </c>
      <c r="N596" t="str">
        <f>IFERROR(VLOOKUP(VLOOKUP(A596,'[1]Sales Order'!A:G,7,FALSE),[1]Shipper!A:B,2,FALSE),"Not Specified")</f>
        <v>Shipper ZHISN</v>
      </c>
      <c r="O596" t="str">
        <f>IFERROR(VLOOKUP(A596,'[1]Sales Order'!A:I,9,FALSE),"Not Specified")</f>
        <v>Destination NZASL</v>
      </c>
      <c r="P596" t="str">
        <f>IFERROR(VLOOKUP(A596,'[1]Sales Order'!A:N,14,FALSE),"Not Specified")</f>
        <v>UK</v>
      </c>
      <c r="Q596" t="str">
        <f>VLOOKUP(VLOOKUP(B596,[1]Product!A:C,3,FALSE),[1]Supplier!A:B,2,FALSE)</f>
        <v>Supplier STUAZ</v>
      </c>
      <c r="R596" t="str">
        <f>VLOOKUP(VLOOKUP(B596,[1]Product!A:C,3,FALSE),[1]Supplier!A:I,9,FALSE)</f>
        <v>USA</v>
      </c>
      <c r="S596" t="str">
        <f>IFERROR(IF(VLOOKUP(A596,'[1]Sales Order'!A:H,8,FALSE)&gt;100,"High Freight","Low Freight"),"Not Specified")</f>
        <v>Low Freight</v>
      </c>
      <c r="T596">
        <f t="shared" si="19"/>
        <v>720</v>
      </c>
    </row>
    <row r="597" spans="1:20">
      <c r="A597" s="1">
        <v>10471</v>
      </c>
      <c r="B597" s="2">
        <v>56</v>
      </c>
      <c r="C597" s="2">
        <v>30.4</v>
      </c>
      <c r="D597" s="2">
        <v>20</v>
      </c>
      <c r="E597" s="3">
        <v>0</v>
      </c>
      <c r="F597" s="2" t="str">
        <f>IFERROR(VLOOKUP(VLOOKUP(A597,'[1]Sales Order'!A:B,2,FALSE),[1]Customer!A:C,3,FALSE),"Not Specified")</f>
        <v>Jaffe, David</v>
      </c>
      <c r="G597" s="2" t="str">
        <f t="shared" si="18"/>
        <v>Jaffe David</v>
      </c>
      <c r="H597" s="8" t="str">
        <f>IFERROR(VLOOKUP(VLOOKUP(A597,'[1]Sales Order'!A:C,3,FALSE),[1]Employee!A:E,5,FALSE)&amp;" "&amp;VLOOKUP(VLOOKUP(A597,'[1]Sales Order'!A:C,3,FALSE),[1]Employee!A:C,3,FALSE)&amp;" "&amp;VLOOKUP(VLOOKUP(A597,'[1]Sales Order'!A:C,3,FALSE),[1]Employee!A:B,2,FALSE),"Not Specified")</f>
        <v>Dr. Don Funk</v>
      </c>
      <c r="I597" t="str">
        <f>IFERROR(VLOOKUP(VLOOKUP(A597,'[1]Sales Order'!A:C,3,FALSE),[1]Employee!A:J,10,FALSE),"Not Specified")</f>
        <v>WA</v>
      </c>
      <c r="J597" t="str">
        <f>VLOOKUP(B597,[1]Product!A:B,2,FALSE)</f>
        <v>Product VKCMF</v>
      </c>
      <c r="K597" t="str">
        <f>VLOOKUP(VLOOKUP(B597,[1]Product!A:D,4,FALSE),[1]Category!A:B,2,FALSE)</f>
        <v>Grains/Cereals</v>
      </c>
      <c r="L597" s="10">
        <f>IFERROR(VLOOKUP(A597,'[1]Sales Order'!A:D,4,FALSE),"")</f>
        <v>39152</v>
      </c>
      <c r="M597" s="10">
        <f>IFERROR(VLOOKUP(A597,'[1]Sales Order'!A:F,6,FALSE),"")</f>
        <v>39159</v>
      </c>
      <c r="N597" t="str">
        <f>IFERROR(VLOOKUP(VLOOKUP(A597,'[1]Sales Order'!A:G,7,FALSE),[1]Shipper!A:B,2,FALSE),"Not Specified")</f>
        <v>Shipper ZHISN</v>
      </c>
      <c r="O597" t="str">
        <f>IFERROR(VLOOKUP(A597,'[1]Sales Order'!A:I,9,FALSE),"Not Specified")</f>
        <v>Destination NZASL</v>
      </c>
      <c r="P597" t="str">
        <f>IFERROR(VLOOKUP(A597,'[1]Sales Order'!A:N,14,FALSE),"Not Specified")</f>
        <v>UK</v>
      </c>
      <c r="Q597" t="str">
        <f>VLOOKUP(VLOOKUP(B597,[1]Product!A:C,3,FALSE),[1]Supplier!A:B,2,FALSE)</f>
        <v>Supplier ZWZDM</v>
      </c>
      <c r="R597" t="str">
        <f>VLOOKUP(VLOOKUP(B597,[1]Product!A:C,3,FALSE),[1]Supplier!A:I,9,FALSE)</f>
        <v>Italy</v>
      </c>
      <c r="S597" t="str">
        <f>IFERROR(IF(VLOOKUP(A597,'[1]Sales Order'!A:H,8,FALSE)&gt;100,"High Freight","Low Freight"),"Not Specified")</f>
        <v>Low Freight</v>
      </c>
      <c r="T597">
        <f t="shared" si="19"/>
        <v>608</v>
      </c>
    </row>
    <row r="598" spans="1:20">
      <c r="A598" s="1">
        <v>10472</v>
      </c>
      <c r="B598" s="2">
        <v>24</v>
      </c>
      <c r="C598" s="2">
        <v>3.6</v>
      </c>
      <c r="D598" s="2">
        <v>80</v>
      </c>
      <c r="E598" s="3">
        <v>0.05</v>
      </c>
      <c r="F598" s="2" t="str">
        <f>IFERROR(VLOOKUP(VLOOKUP(A598,'[1]Sales Order'!A:B,2,FALSE),[1]Customer!A:C,3,FALSE),"Not Specified")</f>
        <v>Welcker, Brian</v>
      </c>
      <c r="G598" s="2" t="str">
        <f t="shared" si="18"/>
        <v>Welcker Brian</v>
      </c>
      <c r="H598" s="8" t="str">
        <f>IFERROR(VLOOKUP(VLOOKUP(A598,'[1]Sales Order'!A:C,3,FALSE),[1]Employee!A:E,5,FALSE)&amp;" "&amp;VLOOKUP(VLOOKUP(A598,'[1]Sales Order'!A:C,3,FALSE),[1]Employee!A:C,3,FALSE)&amp;" "&amp;VLOOKUP(VLOOKUP(A598,'[1]Sales Order'!A:C,3,FALSE),[1]Employee!A:B,2,FALSE),"Not Specified")</f>
        <v>Ms. Maria Cameron</v>
      </c>
      <c r="I598" t="str">
        <f>IFERROR(VLOOKUP(VLOOKUP(A598,'[1]Sales Order'!A:C,3,FALSE),[1]Employee!A:J,10,FALSE),"Not Specified")</f>
        <v>WA</v>
      </c>
      <c r="J598" t="str">
        <f>VLOOKUP(B598,[1]Product!A:B,2,FALSE)</f>
        <v>Product QOGNU</v>
      </c>
      <c r="K598" t="str">
        <f>VLOOKUP(VLOOKUP(B598,[1]Product!A:D,4,FALSE),[1]Category!A:B,2,FALSE)</f>
        <v>Beverages</v>
      </c>
      <c r="L598" s="10">
        <f>IFERROR(VLOOKUP(A598,'[1]Sales Order'!A:D,4,FALSE),"")</f>
        <v>39153</v>
      </c>
      <c r="M598" s="10">
        <f>IFERROR(VLOOKUP(A598,'[1]Sales Order'!A:F,6,FALSE),"")</f>
        <v>39160</v>
      </c>
      <c r="N598" t="str">
        <f>IFERROR(VLOOKUP(VLOOKUP(A598,'[1]Sales Order'!A:G,7,FALSE),[1]Shipper!A:B,2,FALSE),"Not Specified")</f>
        <v>Shipper GVSUA</v>
      </c>
      <c r="O598" t="str">
        <f>IFERROR(VLOOKUP(A598,'[1]Sales Order'!A:I,9,FALSE),"Not Specified")</f>
        <v>Ship to 72-A</v>
      </c>
      <c r="P598" t="str">
        <f>IFERROR(VLOOKUP(A598,'[1]Sales Order'!A:N,14,FALSE),"Not Specified")</f>
        <v>UK</v>
      </c>
      <c r="Q598" t="str">
        <f>VLOOKUP(VLOOKUP(B598,[1]Product!A:C,3,FALSE),[1]Supplier!A:B,2,FALSE)</f>
        <v>Supplier UNAHG</v>
      </c>
      <c r="R598" t="str">
        <f>VLOOKUP(VLOOKUP(B598,[1]Product!A:C,3,FALSE),[1]Supplier!A:I,9,FALSE)</f>
        <v>Brazil</v>
      </c>
      <c r="S598" t="str">
        <f>IFERROR(IF(VLOOKUP(A598,'[1]Sales Order'!A:H,8,FALSE)&gt;100,"High Freight","Low Freight"),"Not Specified")</f>
        <v>Low Freight</v>
      </c>
      <c r="T598">
        <f t="shared" si="19"/>
        <v>273.59999999999997</v>
      </c>
    </row>
    <row r="599" spans="1:20">
      <c r="A599" s="1">
        <v>10472</v>
      </c>
      <c r="B599" s="2">
        <v>51</v>
      </c>
      <c r="C599" s="2">
        <v>42.4</v>
      </c>
      <c r="D599" s="2">
        <v>18</v>
      </c>
      <c r="E599" s="3">
        <v>0</v>
      </c>
      <c r="F599" s="2" t="str">
        <f>IFERROR(VLOOKUP(VLOOKUP(A599,'[1]Sales Order'!A:B,2,FALSE),[1]Customer!A:C,3,FALSE),"Not Specified")</f>
        <v>Welcker, Brian</v>
      </c>
      <c r="G599" s="2" t="str">
        <f t="shared" si="18"/>
        <v>Welcker Brian</v>
      </c>
      <c r="H599" s="8" t="str">
        <f>IFERROR(VLOOKUP(VLOOKUP(A599,'[1]Sales Order'!A:C,3,FALSE),[1]Employee!A:E,5,FALSE)&amp;" "&amp;VLOOKUP(VLOOKUP(A599,'[1]Sales Order'!A:C,3,FALSE),[1]Employee!A:C,3,FALSE)&amp;" "&amp;VLOOKUP(VLOOKUP(A599,'[1]Sales Order'!A:C,3,FALSE),[1]Employee!A:B,2,FALSE),"Not Specified")</f>
        <v>Ms. Maria Cameron</v>
      </c>
      <c r="I599" t="str">
        <f>IFERROR(VLOOKUP(VLOOKUP(A599,'[1]Sales Order'!A:C,3,FALSE),[1]Employee!A:J,10,FALSE),"Not Specified")</f>
        <v>WA</v>
      </c>
      <c r="J599" t="str">
        <f>VLOOKUP(B599,[1]Product!A:B,2,FALSE)</f>
        <v>Product APITJ</v>
      </c>
      <c r="K599" t="str">
        <f>VLOOKUP(VLOOKUP(B599,[1]Product!A:D,4,FALSE),[1]Category!A:B,2,FALSE)</f>
        <v>Produce</v>
      </c>
      <c r="L599" s="10">
        <f>IFERROR(VLOOKUP(A599,'[1]Sales Order'!A:D,4,FALSE),"")</f>
        <v>39153</v>
      </c>
      <c r="M599" s="10">
        <f>IFERROR(VLOOKUP(A599,'[1]Sales Order'!A:F,6,FALSE),"")</f>
        <v>39160</v>
      </c>
      <c r="N599" t="str">
        <f>IFERROR(VLOOKUP(VLOOKUP(A599,'[1]Sales Order'!A:G,7,FALSE),[1]Shipper!A:B,2,FALSE),"Not Specified")</f>
        <v>Shipper GVSUA</v>
      </c>
      <c r="O599" t="str">
        <f>IFERROR(VLOOKUP(A599,'[1]Sales Order'!A:I,9,FALSE),"Not Specified")</f>
        <v>Ship to 72-A</v>
      </c>
      <c r="P599" t="str">
        <f>IFERROR(VLOOKUP(A599,'[1]Sales Order'!A:N,14,FALSE),"Not Specified")</f>
        <v>UK</v>
      </c>
      <c r="Q599" t="str">
        <f>VLOOKUP(VLOOKUP(B599,[1]Product!A:C,3,FALSE),[1]Supplier!A:B,2,FALSE)</f>
        <v>Supplier JNNES</v>
      </c>
      <c r="R599" t="str">
        <f>VLOOKUP(VLOOKUP(B599,[1]Product!A:C,3,FALSE),[1]Supplier!A:I,9,FALSE)</f>
        <v>Australia</v>
      </c>
      <c r="S599" t="str">
        <f>IFERROR(IF(VLOOKUP(A599,'[1]Sales Order'!A:H,8,FALSE)&gt;100,"High Freight","Low Freight"),"Not Specified")</f>
        <v>Low Freight</v>
      </c>
      <c r="T599">
        <f t="shared" si="19"/>
        <v>763.19999999999993</v>
      </c>
    </row>
    <row r="600" spans="1:20">
      <c r="A600" s="1">
        <v>10473</v>
      </c>
      <c r="B600" s="2">
        <v>33</v>
      </c>
      <c r="C600" s="2">
        <v>2</v>
      </c>
      <c r="D600" s="2">
        <v>12</v>
      </c>
      <c r="E600" s="3">
        <v>0</v>
      </c>
      <c r="F600" s="2" t="str">
        <f>IFERROR(VLOOKUP(VLOOKUP(A600,'[1]Sales Order'!A:B,2,FALSE),[1]Customer!A:C,3,FALSE),"Not Specified")</f>
        <v>Lee, Frank</v>
      </c>
      <c r="G600" s="2" t="str">
        <f t="shared" si="18"/>
        <v>Lee Frank</v>
      </c>
      <c r="H600" s="8" t="str">
        <f>IFERROR(VLOOKUP(VLOOKUP(A600,'[1]Sales Order'!A:C,3,FALSE),[1]Employee!A:E,5,FALSE)&amp;" "&amp;VLOOKUP(VLOOKUP(A600,'[1]Sales Order'!A:C,3,FALSE),[1]Employee!A:C,3,FALSE)&amp;" "&amp;VLOOKUP(VLOOKUP(A600,'[1]Sales Order'!A:C,3,FALSE),[1]Employee!A:B,2,FALSE),"Not Specified")</f>
        <v>Ms. Sara Davis</v>
      </c>
      <c r="I600" t="str">
        <f>IFERROR(VLOOKUP(VLOOKUP(A600,'[1]Sales Order'!A:C,3,FALSE),[1]Employee!A:J,10,FALSE),"Not Specified")</f>
        <v>WA</v>
      </c>
      <c r="J600" t="str">
        <f>VLOOKUP(B600,[1]Product!A:B,2,FALSE)</f>
        <v>Product ASTMN</v>
      </c>
      <c r="K600" t="str">
        <f>VLOOKUP(VLOOKUP(B600,[1]Product!A:D,4,FALSE),[1]Category!A:B,2,FALSE)</f>
        <v>Dairy Product</v>
      </c>
      <c r="L600" s="10">
        <f>IFERROR(VLOOKUP(A600,'[1]Sales Order'!A:D,4,FALSE),"")</f>
        <v>39154</v>
      </c>
      <c r="M600" s="10">
        <f>IFERROR(VLOOKUP(A600,'[1]Sales Order'!A:F,6,FALSE),"")</f>
        <v>39162</v>
      </c>
      <c r="N600" t="str">
        <f>IFERROR(VLOOKUP(VLOOKUP(A600,'[1]Sales Order'!A:G,7,FALSE),[1]Shipper!A:B,2,FALSE),"Not Specified")</f>
        <v>Shipper ZHISN</v>
      </c>
      <c r="O600" t="str">
        <f>IFERROR(VLOOKUP(A600,'[1]Sales Order'!A:I,9,FALSE),"Not Specified")</f>
        <v>Destination AXVHD</v>
      </c>
      <c r="P600" t="str">
        <f>IFERROR(VLOOKUP(A600,'[1]Sales Order'!A:N,14,FALSE),"Not Specified")</f>
        <v>UK</v>
      </c>
      <c r="Q600" t="str">
        <f>VLOOKUP(VLOOKUP(B600,[1]Product!A:C,3,FALSE),[1]Supplier!A:B,2,FALSE)</f>
        <v>Supplier NZLIF</v>
      </c>
      <c r="R600" t="str">
        <f>VLOOKUP(VLOOKUP(B600,[1]Product!A:C,3,FALSE),[1]Supplier!A:I,9,FALSE)</f>
        <v>Norway</v>
      </c>
      <c r="S600" t="str">
        <f>IFERROR(IF(VLOOKUP(A600,'[1]Sales Order'!A:H,8,FALSE)&gt;100,"High Freight","Low Freight"),"Not Specified")</f>
        <v>Low Freight</v>
      </c>
      <c r="T600">
        <f t="shared" si="19"/>
        <v>24</v>
      </c>
    </row>
    <row r="601" spans="1:20">
      <c r="A601" s="1">
        <v>10473</v>
      </c>
      <c r="B601" s="2">
        <v>71</v>
      </c>
      <c r="C601" s="2">
        <v>17.2</v>
      </c>
      <c r="D601" s="2">
        <v>12</v>
      </c>
      <c r="E601" s="3">
        <v>0</v>
      </c>
      <c r="F601" s="2" t="str">
        <f>IFERROR(VLOOKUP(VLOOKUP(A601,'[1]Sales Order'!A:B,2,FALSE),[1]Customer!A:C,3,FALSE),"Not Specified")</f>
        <v>Lee, Frank</v>
      </c>
      <c r="G601" s="2" t="str">
        <f t="shared" si="18"/>
        <v>Lee Frank</v>
      </c>
      <c r="H601" s="8" t="str">
        <f>IFERROR(VLOOKUP(VLOOKUP(A601,'[1]Sales Order'!A:C,3,FALSE),[1]Employee!A:E,5,FALSE)&amp;" "&amp;VLOOKUP(VLOOKUP(A601,'[1]Sales Order'!A:C,3,FALSE),[1]Employee!A:C,3,FALSE)&amp;" "&amp;VLOOKUP(VLOOKUP(A601,'[1]Sales Order'!A:C,3,FALSE),[1]Employee!A:B,2,FALSE),"Not Specified")</f>
        <v>Ms. Sara Davis</v>
      </c>
      <c r="I601" t="str">
        <f>IFERROR(VLOOKUP(VLOOKUP(A601,'[1]Sales Order'!A:C,3,FALSE),[1]Employee!A:J,10,FALSE),"Not Specified")</f>
        <v>WA</v>
      </c>
      <c r="J601" t="str">
        <f>VLOOKUP(B601,[1]Product!A:B,2,FALSE)</f>
        <v>Product MYMOI</v>
      </c>
      <c r="K601" t="str">
        <f>VLOOKUP(VLOOKUP(B601,[1]Product!A:D,4,FALSE),[1]Category!A:B,2,FALSE)</f>
        <v>Dairy Product</v>
      </c>
      <c r="L601" s="10">
        <f>IFERROR(VLOOKUP(A601,'[1]Sales Order'!A:D,4,FALSE),"")</f>
        <v>39154</v>
      </c>
      <c r="M601" s="10">
        <f>IFERROR(VLOOKUP(A601,'[1]Sales Order'!A:F,6,FALSE),"")</f>
        <v>39162</v>
      </c>
      <c r="N601" t="str">
        <f>IFERROR(VLOOKUP(VLOOKUP(A601,'[1]Sales Order'!A:G,7,FALSE),[1]Shipper!A:B,2,FALSE),"Not Specified")</f>
        <v>Shipper ZHISN</v>
      </c>
      <c r="O601" t="str">
        <f>IFERROR(VLOOKUP(A601,'[1]Sales Order'!A:I,9,FALSE),"Not Specified")</f>
        <v>Destination AXVHD</v>
      </c>
      <c r="P601" t="str">
        <f>IFERROR(VLOOKUP(A601,'[1]Sales Order'!A:N,14,FALSE),"Not Specified")</f>
        <v>UK</v>
      </c>
      <c r="Q601" t="str">
        <f>VLOOKUP(VLOOKUP(B601,[1]Product!A:C,3,FALSE),[1]Supplier!A:B,2,FALSE)</f>
        <v>Supplier NZLIF</v>
      </c>
      <c r="R601" t="str">
        <f>VLOOKUP(VLOOKUP(B601,[1]Product!A:C,3,FALSE),[1]Supplier!A:I,9,FALSE)</f>
        <v>Norway</v>
      </c>
      <c r="S601" t="str">
        <f>IFERROR(IF(VLOOKUP(A601,'[1]Sales Order'!A:H,8,FALSE)&gt;100,"High Freight","Low Freight"),"Not Specified")</f>
        <v>Low Freight</v>
      </c>
      <c r="T601">
        <f t="shared" si="19"/>
        <v>206.39999999999998</v>
      </c>
    </row>
    <row r="602" spans="1:20">
      <c r="A602" s="1">
        <v>10474</v>
      </c>
      <c r="B602" s="2">
        <v>14</v>
      </c>
      <c r="C602" s="2">
        <v>18.600000000000001</v>
      </c>
      <c r="D602" s="2">
        <v>12</v>
      </c>
      <c r="E602" s="3">
        <v>0</v>
      </c>
      <c r="F602" s="2" t="str">
        <f>IFERROR(VLOOKUP(VLOOKUP(A602,'[1]Sales Order'!A:B,2,FALSE),[1]Customer!A:C,3,FALSE),"Not Specified")</f>
        <v>Fakhouri, Fadi</v>
      </c>
      <c r="G602" s="2" t="str">
        <f t="shared" si="18"/>
        <v>Fakhouri Fadi</v>
      </c>
      <c r="H602" s="8" t="str">
        <f>IFERROR(VLOOKUP(VLOOKUP(A602,'[1]Sales Order'!A:C,3,FALSE),[1]Employee!A:E,5,FALSE)&amp;" "&amp;VLOOKUP(VLOOKUP(A602,'[1]Sales Order'!A:C,3,FALSE),[1]Employee!A:C,3,FALSE)&amp;" "&amp;VLOOKUP(VLOOKUP(A602,'[1]Sales Order'!A:C,3,FALSE),[1]Employee!A:B,2,FALSE),"Not Specified")</f>
        <v>Mr. Sven Buck</v>
      </c>
      <c r="I602">
        <f>IFERROR(VLOOKUP(VLOOKUP(A602,'[1]Sales Order'!A:C,3,FALSE),[1]Employee!A:J,10,FALSE),"Not Specified")</f>
        <v>0</v>
      </c>
      <c r="J602" t="str">
        <f>VLOOKUP(B602,[1]Product!A:B,2,FALSE)</f>
        <v>Product PWCJB</v>
      </c>
      <c r="K602" t="str">
        <f>VLOOKUP(VLOOKUP(B602,[1]Product!A:D,4,FALSE),[1]Category!A:B,2,FALSE)</f>
        <v>Produce</v>
      </c>
      <c r="L602" s="10">
        <f>IFERROR(VLOOKUP(A602,'[1]Sales Order'!A:D,4,FALSE),"")</f>
        <v>39154</v>
      </c>
      <c r="M602" s="10">
        <f>IFERROR(VLOOKUP(A602,'[1]Sales Order'!A:F,6,FALSE),"")</f>
        <v>39162</v>
      </c>
      <c r="N602" t="str">
        <f>IFERROR(VLOOKUP(VLOOKUP(A602,'[1]Sales Order'!A:G,7,FALSE),[1]Shipper!A:B,2,FALSE),"Not Specified")</f>
        <v>Shipper ETYNR</v>
      </c>
      <c r="O602" t="str">
        <f>IFERROR(VLOOKUP(A602,'[1]Sales Order'!A:I,9,FALSE),"Not Specified")</f>
        <v>Ship to 58-C</v>
      </c>
      <c r="P602" t="str">
        <f>IFERROR(VLOOKUP(A602,'[1]Sales Order'!A:N,14,FALSE),"Not Specified")</f>
        <v>Mexico</v>
      </c>
      <c r="Q602" t="str">
        <f>VLOOKUP(VLOOKUP(B602,[1]Product!A:C,3,FALSE),[1]Supplier!A:B,2,FALSE)</f>
        <v>Supplier QWUSF</v>
      </c>
      <c r="R602" t="str">
        <f>VLOOKUP(VLOOKUP(B602,[1]Product!A:C,3,FALSE),[1]Supplier!A:I,9,FALSE)</f>
        <v>Japan</v>
      </c>
      <c r="S602" t="str">
        <f>IFERROR(IF(VLOOKUP(A602,'[1]Sales Order'!A:H,8,FALSE)&gt;100,"High Freight","Low Freight"),"Not Specified")</f>
        <v>Low Freight</v>
      </c>
      <c r="T602">
        <f t="shared" si="19"/>
        <v>223.20000000000002</v>
      </c>
    </row>
    <row r="603" spans="1:20">
      <c r="A603" s="1">
        <v>10474</v>
      </c>
      <c r="B603" s="2">
        <v>28</v>
      </c>
      <c r="C603" s="2">
        <v>36.4</v>
      </c>
      <c r="D603" s="2">
        <v>18</v>
      </c>
      <c r="E603" s="3">
        <v>0</v>
      </c>
      <c r="F603" s="2" t="str">
        <f>IFERROR(VLOOKUP(VLOOKUP(A603,'[1]Sales Order'!A:B,2,FALSE),[1]Customer!A:C,3,FALSE),"Not Specified")</f>
        <v>Fakhouri, Fadi</v>
      </c>
      <c r="G603" s="2" t="str">
        <f t="shared" si="18"/>
        <v>Fakhouri Fadi</v>
      </c>
      <c r="H603" s="8" t="str">
        <f>IFERROR(VLOOKUP(VLOOKUP(A603,'[1]Sales Order'!A:C,3,FALSE),[1]Employee!A:E,5,FALSE)&amp;" "&amp;VLOOKUP(VLOOKUP(A603,'[1]Sales Order'!A:C,3,FALSE),[1]Employee!A:C,3,FALSE)&amp;" "&amp;VLOOKUP(VLOOKUP(A603,'[1]Sales Order'!A:C,3,FALSE),[1]Employee!A:B,2,FALSE),"Not Specified")</f>
        <v>Mr. Sven Buck</v>
      </c>
      <c r="I603">
        <f>IFERROR(VLOOKUP(VLOOKUP(A603,'[1]Sales Order'!A:C,3,FALSE),[1]Employee!A:J,10,FALSE),"Not Specified")</f>
        <v>0</v>
      </c>
      <c r="J603" t="str">
        <f>VLOOKUP(B603,[1]Product!A:B,2,FALSE)</f>
        <v>Product OFBNT</v>
      </c>
      <c r="K603" t="str">
        <f>VLOOKUP(VLOOKUP(B603,[1]Product!A:D,4,FALSE),[1]Category!A:B,2,FALSE)</f>
        <v>Produce</v>
      </c>
      <c r="L603" s="10">
        <f>IFERROR(VLOOKUP(A603,'[1]Sales Order'!A:D,4,FALSE),"")</f>
        <v>39154</v>
      </c>
      <c r="M603" s="10">
        <f>IFERROR(VLOOKUP(A603,'[1]Sales Order'!A:F,6,FALSE),"")</f>
        <v>39162</v>
      </c>
      <c r="N603" t="str">
        <f>IFERROR(VLOOKUP(VLOOKUP(A603,'[1]Sales Order'!A:G,7,FALSE),[1]Shipper!A:B,2,FALSE),"Not Specified")</f>
        <v>Shipper ETYNR</v>
      </c>
      <c r="O603" t="str">
        <f>IFERROR(VLOOKUP(A603,'[1]Sales Order'!A:I,9,FALSE),"Not Specified")</f>
        <v>Ship to 58-C</v>
      </c>
      <c r="P603" t="str">
        <f>IFERROR(VLOOKUP(A603,'[1]Sales Order'!A:N,14,FALSE),"Not Specified")</f>
        <v>Mexico</v>
      </c>
      <c r="Q603" t="str">
        <f>VLOOKUP(VLOOKUP(B603,[1]Product!A:C,3,FALSE),[1]Supplier!A:B,2,FALSE)</f>
        <v>Supplier SVIYA</v>
      </c>
      <c r="R603" t="str">
        <f>VLOOKUP(VLOOKUP(B603,[1]Product!A:C,3,FALSE),[1]Supplier!A:I,9,FALSE)</f>
        <v>Germany</v>
      </c>
      <c r="S603" t="str">
        <f>IFERROR(IF(VLOOKUP(A603,'[1]Sales Order'!A:H,8,FALSE)&gt;100,"High Freight","Low Freight"),"Not Specified")</f>
        <v>Low Freight</v>
      </c>
      <c r="T603">
        <f t="shared" si="19"/>
        <v>655.19999999999993</v>
      </c>
    </row>
    <row r="604" spans="1:20">
      <c r="A604" s="1">
        <v>10474</v>
      </c>
      <c r="B604" s="2">
        <v>40</v>
      </c>
      <c r="C604" s="2">
        <v>14.7</v>
      </c>
      <c r="D604" s="2">
        <v>21</v>
      </c>
      <c r="E604" s="3">
        <v>0</v>
      </c>
      <c r="F604" s="2" t="str">
        <f>IFERROR(VLOOKUP(VLOOKUP(A604,'[1]Sales Order'!A:B,2,FALSE),[1]Customer!A:C,3,FALSE),"Not Specified")</f>
        <v>Fakhouri, Fadi</v>
      </c>
      <c r="G604" s="2" t="str">
        <f t="shared" si="18"/>
        <v>Fakhouri Fadi</v>
      </c>
      <c r="H604" s="8" t="str">
        <f>IFERROR(VLOOKUP(VLOOKUP(A604,'[1]Sales Order'!A:C,3,FALSE),[1]Employee!A:E,5,FALSE)&amp;" "&amp;VLOOKUP(VLOOKUP(A604,'[1]Sales Order'!A:C,3,FALSE),[1]Employee!A:C,3,FALSE)&amp;" "&amp;VLOOKUP(VLOOKUP(A604,'[1]Sales Order'!A:C,3,FALSE),[1]Employee!A:B,2,FALSE),"Not Specified")</f>
        <v>Mr. Sven Buck</v>
      </c>
      <c r="I604">
        <f>IFERROR(VLOOKUP(VLOOKUP(A604,'[1]Sales Order'!A:C,3,FALSE),[1]Employee!A:J,10,FALSE),"Not Specified")</f>
        <v>0</v>
      </c>
      <c r="J604" t="str">
        <f>VLOOKUP(B604,[1]Product!A:B,2,FALSE)</f>
        <v>Product YZIXQ</v>
      </c>
      <c r="K604" t="str">
        <f>VLOOKUP(VLOOKUP(B604,[1]Product!A:D,4,FALSE),[1]Category!A:B,2,FALSE)</f>
        <v>Seafood</v>
      </c>
      <c r="L604" s="10">
        <f>IFERROR(VLOOKUP(A604,'[1]Sales Order'!A:D,4,FALSE),"")</f>
        <v>39154</v>
      </c>
      <c r="M604" s="10">
        <f>IFERROR(VLOOKUP(A604,'[1]Sales Order'!A:F,6,FALSE),"")</f>
        <v>39162</v>
      </c>
      <c r="N604" t="str">
        <f>IFERROR(VLOOKUP(VLOOKUP(A604,'[1]Sales Order'!A:G,7,FALSE),[1]Shipper!A:B,2,FALSE),"Not Specified")</f>
        <v>Shipper ETYNR</v>
      </c>
      <c r="O604" t="str">
        <f>IFERROR(VLOOKUP(A604,'[1]Sales Order'!A:I,9,FALSE),"Not Specified")</f>
        <v>Ship to 58-C</v>
      </c>
      <c r="P604" t="str">
        <f>IFERROR(VLOOKUP(A604,'[1]Sales Order'!A:N,14,FALSE),"Not Specified")</f>
        <v>Mexico</v>
      </c>
      <c r="Q604" t="str">
        <f>VLOOKUP(VLOOKUP(B604,[1]Product!A:C,3,FALSE),[1]Supplier!A:B,2,FALSE)</f>
        <v>Supplier JDNUG</v>
      </c>
      <c r="R604" t="str">
        <f>VLOOKUP(VLOOKUP(B604,[1]Product!A:C,3,FALSE),[1]Supplier!A:I,9,FALSE)</f>
        <v>USA</v>
      </c>
      <c r="S604" t="str">
        <f>IFERROR(IF(VLOOKUP(A604,'[1]Sales Order'!A:H,8,FALSE)&gt;100,"High Freight","Low Freight"),"Not Specified")</f>
        <v>Low Freight</v>
      </c>
      <c r="T604">
        <f t="shared" si="19"/>
        <v>308.7</v>
      </c>
    </row>
    <row r="605" spans="1:20">
      <c r="A605" s="1">
        <v>10474</v>
      </c>
      <c r="B605" s="2">
        <v>75</v>
      </c>
      <c r="C605" s="2">
        <v>6.2</v>
      </c>
      <c r="D605" s="2">
        <v>10</v>
      </c>
      <c r="E605" s="3">
        <v>0</v>
      </c>
      <c r="F605" s="2" t="str">
        <f>IFERROR(VLOOKUP(VLOOKUP(A605,'[1]Sales Order'!A:B,2,FALSE),[1]Customer!A:C,3,FALSE),"Not Specified")</f>
        <v>Fakhouri, Fadi</v>
      </c>
      <c r="G605" s="2" t="str">
        <f t="shared" si="18"/>
        <v>Fakhouri Fadi</v>
      </c>
      <c r="H605" s="8" t="str">
        <f>IFERROR(VLOOKUP(VLOOKUP(A605,'[1]Sales Order'!A:C,3,FALSE),[1]Employee!A:E,5,FALSE)&amp;" "&amp;VLOOKUP(VLOOKUP(A605,'[1]Sales Order'!A:C,3,FALSE),[1]Employee!A:C,3,FALSE)&amp;" "&amp;VLOOKUP(VLOOKUP(A605,'[1]Sales Order'!A:C,3,FALSE),[1]Employee!A:B,2,FALSE),"Not Specified")</f>
        <v>Mr. Sven Buck</v>
      </c>
      <c r="I605">
        <f>IFERROR(VLOOKUP(VLOOKUP(A605,'[1]Sales Order'!A:C,3,FALSE),[1]Employee!A:J,10,FALSE),"Not Specified")</f>
        <v>0</v>
      </c>
      <c r="J605" t="str">
        <f>VLOOKUP(B605,[1]Product!A:B,2,FALSE)</f>
        <v>Product BWRLG</v>
      </c>
      <c r="K605" t="str">
        <f>VLOOKUP(VLOOKUP(B605,[1]Product!A:D,4,FALSE),[1]Category!A:B,2,FALSE)</f>
        <v>Beverages</v>
      </c>
      <c r="L605" s="10">
        <f>IFERROR(VLOOKUP(A605,'[1]Sales Order'!A:D,4,FALSE),"")</f>
        <v>39154</v>
      </c>
      <c r="M605" s="10">
        <f>IFERROR(VLOOKUP(A605,'[1]Sales Order'!A:F,6,FALSE),"")</f>
        <v>39162</v>
      </c>
      <c r="N605" t="str">
        <f>IFERROR(VLOOKUP(VLOOKUP(A605,'[1]Sales Order'!A:G,7,FALSE),[1]Shipper!A:B,2,FALSE),"Not Specified")</f>
        <v>Shipper ETYNR</v>
      </c>
      <c r="O605" t="str">
        <f>IFERROR(VLOOKUP(A605,'[1]Sales Order'!A:I,9,FALSE),"Not Specified")</f>
        <v>Ship to 58-C</v>
      </c>
      <c r="P605" t="str">
        <f>IFERROR(VLOOKUP(A605,'[1]Sales Order'!A:N,14,FALSE),"Not Specified")</f>
        <v>Mexico</v>
      </c>
      <c r="Q605" t="str">
        <f>VLOOKUP(VLOOKUP(B605,[1]Product!A:C,3,FALSE),[1]Supplier!A:B,2,FALSE)</f>
        <v>Supplier SVIYA</v>
      </c>
      <c r="R605" t="str">
        <f>VLOOKUP(VLOOKUP(B605,[1]Product!A:C,3,FALSE),[1]Supplier!A:I,9,FALSE)</f>
        <v>Germany</v>
      </c>
      <c r="S605" t="str">
        <f>IFERROR(IF(VLOOKUP(A605,'[1]Sales Order'!A:H,8,FALSE)&gt;100,"High Freight","Low Freight"),"Not Specified")</f>
        <v>Low Freight</v>
      </c>
      <c r="T605">
        <f t="shared" si="19"/>
        <v>62</v>
      </c>
    </row>
    <row r="606" spans="1:20">
      <c r="A606" s="1">
        <v>10475</v>
      </c>
      <c r="B606" s="2">
        <v>31</v>
      </c>
      <c r="C606" s="2">
        <v>10</v>
      </c>
      <c r="D606" s="2">
        <v>35</v>
      </c>
      <c r="E606" s="3">
        <v>0.15</v>
      </c>
      <c r="F606" s="2" t="str">
        <f>IFERROR(VLOOKUP(VLOOKUP(A606,'[1]Sales Order'!A:B,2,FALSE),[1]Customer!A:C,3,FALSE),"Not Specified")</f>
        <v>Gulbis, Katrin</v>
      </c>
      <c r="G606" s="2" t="str">
        <f t="shared" si="18"/>
        <v>Gulbis Katrin</v>
      </c>
      <c r="H606" s="8" t="str">
        <f>IFERROR(VLOOKUP(VLOOKUP(A606,'[1]Sales Order'!A:C,3,FALSE),[1]Employee!A:E,5,FALSE)&amp;" "&amp;VLOOKUP(VLOOKUP(A606,'[1]Sales Order'!A:C,3,FALSE),[1]Employee!A:C,3,FALSE)&amp;" "&amp;VLOOKUP(VLOOKUP(A606,'[1]Sales Order'!A:C,3,FALSE),[1]Employee!A:B,2,FALSE),"Not Specified")</f>
        <v>Ms. Zoya Dolgopyatova</v>
      </c>
      <c r="I606">
        <f>IFERROR(VLOOKUP(VLOOKUP(A606,'[1]Sales Order'!A:C,3,FALSE),[1]Employee!A:J,10,FALSE),"Not Specified")</f>
        <v>0</v>
      </c>
      <c r="J606" t="str">
        <f>VLOOKUP(B606,[1]Product!A:B,2,FALSE)</f>
        <v>Product XWOXC</v>
      </c>
      <c r="K606" t="str">
        <f>VLOOKUP(VLOOKUP(B606,[1]Product!A:D,4,FALSE),[1]Category!A:B,2,FALSE)</f>
        <v>Dairy Product</v>
      </c>
      <c r="L606" s="10">
        <f>IFERROR(VLOOKUP(A606,'[1]Sales Order'!A:D,4,FALSE),"")</f>
        <v>39155</v>
      </c>
      <c r="M606" s="10">
        <f>IFERROR(VLOOKUP(A606,'[1]Sales Order'!A:F,6,FALSE),"")</f>
        <v>39176</v>
      </c>
      <c r="N606" t="str">
        <f>IFERROR(VLOOKUP(VLOOKUP(A606,'[1]Sales Order'!A:G,7,FALSE),[1]Shipper!A:B,2,FALSE),"Not Specified")</f>
        <v>Shipper GVSUA</v>
      </c>
      <c r="O606" t="str">
        <f>IFERROR(VLOOKUP(A606,'[1]Sales Order'!A:I,9,FALSE),"Not Specified")</f>
        <v>Ship to 76-C</v>
      </c>
      <c r="P606" t="str">
        <f>IFERROR(VLOOKUP(A606,'[1]Sales Order'!A:N,14,FALSE),"Not Specified")</f>
        <v>Belgium</v>
      </c>
      <c r="Q606" t="str">
        <f>VLOOKUP(VLOOKUP(B606,[1]Product!A:C,3,FALSE),[1]Supplier!A:B,2,FALSE)</f>
        <v>Supplier KEREV</v>
      </c>
      <c r="R606" t="str">
        <f>VLOOKUP(VLOOKUP(B606,[1]Product!A:C,3,FALSE),[1]Supplier!A:I,9,FALSE)</f>
        <v>Italy</v>
      </c>
      <c r="S606" t="str">
        <f>IFERROR(IF(VLOOKUP(A606,'[1]Sales Order'!A:H,8,FALSE)&gt;100,"High Freight","Low Freight"),"Not Specified")</f>
        <v>Low Freight</v>
      </c>
      <c r="T606">
        <f t="shared" si="19"/>
        <v>297.5</v>
      </c>
    </row>
    <row r="607" spans="1:20">
      <c r="A607" s="1">
        <v>10475</v>
      </c>
      <c r="B607" s="2">
        <v>66</v>
      </c>
      <c r="C607" s="2">
        <v>13.6</v>
      </c>
      <c r="D607" s="2">
        <v>60</v>
      </c>
      <c r="E607" s="3">
        <v>0.15</v>
      </c>
      <c r="F607" s="2" t="str">
        <f>IFERROR(VLOOKUP(VLOOKUP(A607,'[1]Sales Order'!A:B,2,FALSE),[1]Customer!A:C,3,FALSE),"Not Specified")</f>
        <v>Gulbis, Katrin</v>
      </c>
      <c r="G607" s="2" t="str">
        <f t="shared" si="18"/>
        <v>Gulbis Katrin</v>
      </c>
      <c r="H607" s="8" t="str">
        <f>IFERROR(VLOOKUP(VLOOKUP(A607,'[1]Sales Order'!A:C,3,FALSE),[1]Employee!A:E,5,FALSE)&amp;" "&amp;VLOOKUP(VLOOKUP(A607,'[1]Sales Order'!A:C,3,FALSE),[1]Employee!A:C,3,FALSE)&amp;" "&amp;VLOOKUP(VLOOKUP(A607,'[1]Sales Order'!A:C,3,FALSE),[1]Employee!A:B,2,FALSE),"Not Specified")</f>
        <v>Ms. Zoya Dolgopyatova</v>
      </c>
      <c r="I607">
        <f>IFERROR(VLOOKUP(VLOOKUP(A607,'[1]Sales Order'!A:C,3,FALSE),[1]Employee!A:J,10,FALSE),"Not Specified")</f>
        <v>0</v>
      </c>
      <c r="J607" t="str">
        <f>VLOOKUP(B607,[1]Product!A:B,2,FALSE)</f>
        <v>Product LQMGN</v>
      </c>
      <c r="K607" t="str">
        <f>VLOOKUP(VLOOKUP(B607,[1]Product!A:D,4,FALSE),[1]Category!A:B,2,FALSE)</f>
        <v>Condiments</v>
      </c>
      <c r="L607" s="10">
        <f>IFERROR(VLOOKUP(A607,'[1]Sales Order'!A:D,4,FALSE),"")</f>
        <v>39155</v>
      </c>
      <c r="M607" s="10">
        <f>IFERROR(VLOOKUP(A607,'[1]Sales Order'!A:F,6,FALSE),"")</f>
        <v>39176</v>
      </c>
      <c r="N607" t="str">
        <f>IFERROR(VLOOKUP(VLOOKUP(A607,'[1]Sales Order'!A:G,7,FALSE),[1]Shipper!A:B,2,FALSE),"Not Specified")</f>
        <v>Shipper GVSUA</v>
      </c>
      <c r="O607" t="str">
        <f>IFERROR(VLOOKUP(A607,'[1]Sales Order'!A:I,9,FALSE),"Not Specified")</f>
        <v>Ship to 76-C</v>
      </c>
      <c r="P607" t="str">
        <f>IFERROR(VLOOKUP(A607,'[1]Sales Order'!A:N,14,FALSE),"Not Specified")</f>
        <v>Belgium</v>
      </c>
      <c r="Q607" t="str">
        <f>VLOOKUP(VLOOKUP(B607,[1]Product!A:C,3,FALSE),[1]Supplier!A:B,2,FALSE)</f>
        <v>Supplier VHQZD</v>
      </c>
      <c r="R607" t="str">
        <f>VLOOKUP(VLOOKUP(B607,[1]Product!A:C,3,FALSE),[1]Supplier!A:I,9,FALSE)</f>
        <v>USA</v>
      </c>
      <c r="S607" t="str">
        <f>IFERROR(IF(VLOOKUP(A607,'[1]Sales Order'!A:H,8,FALSE)&gt;100,"High Freight","Low Freight"),"Not Specified")</f>
        <v>Low Freight</v>
      </c>
      <c r="T607">
        <f t="shared" si="19"/>
        <v>693.6</v>
      </c>
    </row>
    <row r="608" spans="1:20">
      <c r="A608" s="1">
        <v>10475</v>
      </c>
      <c r="B608" s="2">
        <v>76</v>
      </c>
      <c r="C608" s="2">
        <v>14.4</v>
      </c>
      <c r="D608" s="2">
        <v>42</v>
      </c>
      <c r="E608" s="3">
        <v>0.15</v>
      </c>
      <c r="F608" s="2" t="str">
        <f>IFERROR(VLOOKUP(VLOOKUP(A608,'[1]Sales Order'!A:B,2,FALSE),[1]Customer!A:C,3,FALSE),"Not Specified")</f>
        <v>Gulbis, Katrin</v>
      </c>
      <c r="G608" s="2" t="str">
        <f t="shared" si="18"/>
        <v>Gulbis Katrin</v>
      </c>
      <c r="H608" s="8" t="str">
        <f>IFERROR(VLOOKUP(VLOOKUP(A608,'[1]Sales Order'!A:C,3,FALSE),[1]Employee!A:E,5,FALSE)&amp;" "&amp;VLOOKUP(VLOOKUP(A608,'[1]Sales Order'!A:C,3,FALSE),[1]Employee!A:C,3,FALSE)&amp;" "&amp;VLOOKUP(VLOOKUP(A608,'[1]Sales Order'!A:C,3,FALSE),[1]Employee!A:B,2,FALSE),"Not Specified")</f>
        <v>Ms. Zoya Dolgopyatova</v>
      </c>
      <c r="I608">
        <f>IFERROR(VLOOKUP(VLOOKUP(A608,'[1]Sales Order'!A:C,3,FALSE),[1]Employee!A:J,10,FALSE),"Not Specified")</f>
        <v>0</v>
      </c>
      <c r="J608" t="str">
        <f>VLOOKUP(B608,[1]Product!A:B,2,FALSE)</f>
        <v>Product JYGFE</v>
      </c>
      <c r="K608" t="str">
        <f>VLOOKUP(VLOOKUP(B608,[1]Product!A:D,4,FALSE),[1]Category!A:B,2,FALSE)</f>
        <v>Beverages</v>
      </c>
      <c r="L608" s="10">
        <f>IFERROR(VLOOKUP(A608,'[1]Sales Order'!A:D,4,FALSE),"")</f>
        <v>39155</v>
      </c>
      <c r="M608" s="10">
        <f>IFERROR(VLOOKUP(A608,'[1]Sales Order'!A:F,6,FALSE),"")</f>
        <v>39176</v>
      </c>
      <c r="N608" t="str">
        <f>IFERROR(VLOOKUP(VLOOKUP(A608,'[1]Sales Order'!A:G,7,FALSE),[1]Shipper!A:B,2,FALSE),"Not Specified")</f>
        <v>Shipper GVSUA</v>
      </c>
      <c r="O608" t="str">
        <f>IFERROR(VLOOKUP(A608,'[1]Sales Order'!A:I,9,FALSE),"Not Specified")</f>
        <v>Ship to 76-C</v>
      </c>
      <c r="P608" t="str">
        <f>IFERROR(VLOOKUP(A608,'[1]Sales Order'!A:N,14,FALSE),"Not Specified")</f>
        <v>Belgium</v>
      </c>
      <c r="Q608" t="str">
        <f>VLOOKUP(VLOOKUP(B608,[1]Product!A:C,3,FALSE),[1]Supplier!A:B,2,FALSE)</f>
        <v>Supplier ELCRN</v>
      </c>
      <c r="R608" t="str">
        <f>VLOOKUP(VLOOKUP(B608,[1]Product!A:C,3,FALSE),[1]Supplier!A:I,9,FALSE)</f>
        <v>Finland</v>
      </c>
      <c r="S608" t="str">
        <f>IFERROR(IF(VLOOKUP(A608,'[1]Sales Order'!A:H,8,FALSE)&gt;100,"High Freight","Low Freight"),"Not Specified")</f>
        <v>Low Freight</v>
      </c>
      <c r="T608">
        <f t="shared" si="19"/>
        <v>514.08000000000004</v>
      </c>
    </row>
    <row r="609" spans="1:20">
      <c r="A609" s="1">
        <v>10476</v>
      </c>
      <c r="B609" s="2">
        <v>55</v>
      </c>
      <c r="C609" s="2">
        <v>19.2</v>
      </c>
      <c r="D609" s="2">
        <v>2</v>
      </c>
      <c r="E609" s="3">
        <v>0.05</v>
      </c>
      <c r="F609" s="2" t="str">
        <f>IFERROR(VLOOKUP(VLOOKUP(A609,'[1]Sales Order'!A:B,2,FALSE),[1]Customer!A:C,3,FALSE),"Not Specified")</f>
        <v>Langohr, Kris</v>
      </c>
      <c r="G609" s="2" t="str">
        <f t="shared" si="18"/>
        <v>Langohr Kris</v>
      </c>
      <c r="H609" s="8" t="str">
        <f>IFERROR(VLOOKUP(VLOOKUP(A609,'[1]Sales Order'!A:C,3,FALSE),[1]Employee!A:E,5,FALSE)&amp;" "&amp;VLOOKUP(VLOOKUP(A609,'[1]Sales Order'!A:C,3,FALSE),[1]Employee!A:C,3,FALSE)&amp;" "&amp;VLOOKUP(VLOOKUP(A609,'[1]Sales Order'!A:C,3,FALSE),[1]Employee!A:B,2,FALSE),"Not Specified")</f>
        <v>Ms. Maria Cameron</v>
      </c>
      <c r="I609" t="str">
        <f>IFERROR(VLOOKUP(VLOOKUP(A609,'[1]Sales Order'!A:C,3,FALSE),[1]Employee!A:J,10,FALSE),"Not Specified")</f>
        <v>WA</v>
      </c>
      <c r="J609" t="str">
        <f>VLOOKUP(B609,[1]Product!A:B,2,FALSE)</f>
        <v>Product YYWRT</v>
      </c>
      <c r="K609" t="str">
        <f>VLOOKUP(VLOOKUP(B609,[1]Product!A:D,4,FALSE),[1]Category!A:B,2,FALSE)</f>
        <v>Meat/Poultry</v>
      </c>
      <c r="L609" s="10">
        <f>IFERROR(VLOOKUP(A609,'[1]Sales Order'!A:D,4,FALSE),"")</f>
        <v>39158</v>
      </c>
      <c r="M609" s="10">
        <f>IFERROR(VLOOKUP(A609,'[1]Sales Order'!A:F,6,FALSE),"")</f>
        <v>39165</v>
      </c>
      <c r="N609" t="str">
        <f>IFERROR(VLOOKUP(VLOOKUP(A609,'[1]Sales Order'!A:G,7,FALSE),[1]Shipper!A:B,2,FALSE),"Not Specified")</f>
        <v>Shipper ZHISN</v>
      </c>
      <c r="O609" t="str">
        <f>IFERROR(VLOOKUP(A609,'[1]Sales Order'!A:I,9,FALSE),"Not Specified")</f>
        <v>Destination SXYQX</v>
      </c>
      <c r="P609" t="str">
        <f>IFERROR(VLOOKUP(A609,'[1]Sales Order'!A:N,14,FALSE),"Not Specified")</f>
        <v>Venezuela</v>
      </c>
      <c r="Q609" t="str">
        <f>VLOOKUP(VLOOKUP(B609,[1]Product!A:C,3,FALSE),[1]Supplier!A:B,2,FALSE)</f>
        <v>Supplier ERVYZ</v>
      </c>
      <c r="R609" t="str">
        <f>VLOOKUP(VLOOKUP(B609,[1]Product!A:C,3,FALSE),[1]Supplier!A:I,9,FALSE)</f>
        <v>Canada</v>
      </c>
      <c r="S609" t="str">
        <f>IFERROR(IF(VLOOKUP(A609,'[1]Sales Order'!A:H,8,FALSE)&gt;100,"High Freight","Low Freight"),"Not Specified")</f>
        <v>Low Freight</v>
      </c>
      <c r="T609">
        <f t="shared" si="19"/>
        <v>36.479999999999997</v>
      </c>
    </row>
    <row r="610" spans="1:20">
      <c r="A610" s="1">
        <v>10476</v>
      </c>
      <c r="B610" s="2">
        <v>70</v>
      </c>
      <c r="C610" s="2">
        <v>12</v>
      </c>
      <c r="D610" s="2">
        <v>12</v>
      </c>
      <c r="E610" s="3">
        <v>0</v>
      </c>
      <c r="F610" s="2" t="str">
        <f>IFERROR(VLOOKUP(VLOOKUP(A610,'[1]Sales Order'!A:B,2,FALSE),[1]Customer!A:C,3,FALSE),"Not Specified")</f>
        <v>Langohr, Kris</v>
      </c>
      <c r="G610" s="2" t="str">
        <f t="shared" si="18"/>
        <v>Langohr Kris</v>
      </c>
      <c r="H610" s="8" t="str">
        <f>IFERROR(VLOOKUP(VLOOKUP(A610,'[1]Sales Order'!A:C,3,FALSE),[1]Employee!A:E,5,FALSE)&amp;" "&amp;VLOOKUP(VLOOKUP(A610,'[1]Sales Order'!A:C,3,FALSE),[1]Employee!A:C,3,FALSE)&amp;" "&amp;VLOOKUP(VLOOKUP(A610,'[1]Sales Order'!A:C,3,FALSE),[1]Employee!A:B,2,FALSE),"Not Specified")</f>
        <v>Ms. Maria Cameron</v>
      </c>
      <c r="I610" t="str">
        <f>IFERROR(VLOOKUP(VLOOKUP(A610,'[1]Sales Order'!A:C,3,FALSE),[1]Employee!A:J,10,FALSE),"Not Specified")</f>
        <v>WA</v>
      </c>
      <c r="J610" t="str">
        <f>VLOOKUP(B610,[1]Product!A:B,2,FALSE)</f>
        <v>Product TOONT</v>
      </c>
      <c r="K610" t="str">
        <f>VLOOKUP(VLOOKUP(B610,[1]Product!A:D,4,FALSE),[1]Category!A:B,2,FALSE)</f>
        <v>Beverages</v>
      </c>
      <c r="L610" s="10">
        <f>IFERROR(VLOOKUP(A610,'[1]Sales Order'!A:D,4,FALSE),"")</f>
        <v>39158</v>
      </c>
      <c r="M610" s="10">
        <f>IFERROR(VLOOKUP(A610,'[1]Sales Order'!A:F,6,FALSE),"")</f>
        <v>39165</v>
      </c>
      <c r="N610" t="str">
        <f>IFERROR(VLOOKUP(VLOOKUP(A610,'[1]Sales Order'!A:G,7,FALSE),[1]Shipper!A:B,2,FALSE),"Not Specified")</f>
        <v>Shipper ZHISN</v>
      </c>
      <c r="O610" t="str">
        <f>IFERROR(VLOOKUP(A610,'[1]Sales Order'!A:I,9,FALSE),"Not Specified")</f>
        <v>Destination SXYQX</v>
      </c>
      <c r="P610" t="str">
        <f>IFERROR(VLOOKUP(A610,'[1]Sales Order'!A:N,14,FALSE),"Not Specified")</f>
        <v>Venezuela</v>
      </c>
      <c r="Q610" t="str">
        <f>VLOOKUP(VLOOKUP(B610,[1]Product!A:C,3,FALSE),[1]Supplier!A:B,2,FALSE)</f>
        <v>Supplier GQRCV</v>
      </c>
      <c r="R610" t="str">
        <f>VLOOKUP(VLOOKUP(B610,[1]Product!A:C,3,FALSE),[1]Supplier!A:I,9,FALSE)</f>
        <v>Australia</v>
      </c>
      <c r="S610" t="str">
        <f>IFERROR(IF(VLOOKUP(A610,'[1]Sales Order'!A:H,8,FALSE)&gt;100,"High Freight","Low Freight"),"Not Specified")</f>
        <v>Low Freight</v>
      </c>
      <c r="T610">
        <f t="shared" si="19"/>
        <v>144</v>
      </c>
    </row>
    <row r="611" spans="1:20">
      <c r="A611" s="1">
        <v>10477</v>
      </c>
      <c r="B611" s="2">
        <v>1</v>
      </c>
      <c r="C611" s="2">
        <v>14.4</v>
      </c>
      <c r="D611" s="2">
        <v>15</v>
      </c>
      <c r="E611" s="3">
        <v>0</v>
      </c>
      <c r="F611" s="2" t="str">
        <f>IFERROR(VLOOKUP(VLOOKUP(A611,'[1]Sales Order'!A:B,2,FALSE),[1]Customer!A:C,3,FALSE),"Not Specified")</f>
        <v>Uppal, Sunil</v>
      </c>
      <c r="G611" s="2" t="str">
        <f t="shared" si="18"/>
        <v>Uppal Sunil</v>
      </c>
      <c r="H611" s="8" t="str">
        <f>IFERROR(VLOOKUP(VLOOKUP(A611,'[1]Sales Order'!A:C,3,FALSE),[1]Employee!A:E,5,FALSE)&amp;" "&amp;VLOOKUP(VLOOKUP(A611,'[1]Sales Order'!A:C,3,FALSE),[1]Employee!A:C,3,FALSE)&amp;" "&amp;VLOOKUP(VLOOKUP(A611,'[1]Sales Order'!A:C,3,FALSE),[1]Employee!A:B,2,FALSE),"Not Specified")</f>
        <v>Mr. Sven Buck</v>
      </c>
      <c r="I611">
        <f>IFERROR(VLOOKUP(VLOOKUP(A611,'[1]Sales Order'!A:C,3,FALSE),[1]Employee!A:J,10,FALSE),"Not Specified")</f>
        <v>0</v>
      </c>
      <c r="J611" t="str">
        <f>VLOOKUP(B611,[1]Product!A:B,2,FALSE)</f>
        <v>Product HHYDP</v>
      </c>
      <c r="K611" t="str">
        <f>VLOOKUP(VLOOKUP(B611,[1]Product!A:D,4,FALSE),[1]Category!A:B,2,FALSE)</f>
        <v>Beverages</v>
      </c>
      <c r="L611" s="10">
        <f>IFERROR(VLOOKUP(A611,'[1]Sales Order'!A:D,4,FALSE),"")</f>
        <v>39158</v>
      </c>
      <c r="M611" s="10">
        <f>IFERROR(VLOOKUP(A611,'[1]Sales Order'!A:F,6,FALSE),"")</f>
        <v>39166</v>
      </c>
      <c r="N611" t="str">
        <f>IFERROR(VLOOKUP(VLOOKUP(A611,'[1]Sales Order'!A:G,7,FALSE),[1]Shipper!A:B,2,FALSE),"Not Specified")</f>
        <v>Shipper ETYNR</v>
      </c>
      <c r="O611" t="str">
        <f>IFERROR(VLOOKUP(A611,'[1]Sales Order'!A:I,9,FALSE),"Not Specified")</f>
        <v>Ship to 60-A</v>
      </c>
      <c r="P611" t="str">
        <f>IFERROR(VLOOKUP(A611,'[1]Sales Order'!A:N,14,FALSE),"Not Specified")</f>
        <v>Portugal</v>
      </c>
      <c r="Q611" t="str">
        <f>VLOOKUP(VLOOKUP(B611,[1]Product!A:C,3,FALSE),[1]Supplier!A:B,2,FALSE)</f>
        <v>Supplier SWRXU</v>
      </c>
      <c r="R611" t="str">
        <f>VLOOKUP(VLOOKUP(B611,[1]Product!A:C,3,FALSE),[1]Supplier!A:I,9,FALSE)</f>
        <v>UK</v>
      </c>
      <c r="S611" t="str">
        <f>IFERROR(IF(VLOOKUP(A611,'[1]Sales Order'!A:H,8,FALSE)&gt;100,"High Freight","Low Freight"),"Not Specified")</f>
        <v>Low Freight</v>
      </c>
      <c r="T611">
        <f t="shared" si="19"/>
        <v>216</v>
      </c>
    </row>
    <row r="612" spans="1:20">
      <c r="A612" s="1">
        <v>10477</v>
      </c>
      <c r="B612" s="2">
        <v>21</v>
      </c>
      <c r="C612" s="2">
        <v>8</v>
      </c>
      <c r="D612" s="2">
        <v>21</v>
      </c>
      <c r="E612" s="3">
        <v>0.25</v>
      </c>
      <c r="F612" s="2" t="str">
        <f>IFERROR(VLOOKUP(VLOOKUP(A612,'[1]Sales Order'!A:B,2,FALSE),[1]Customer!A:C,3,FALSE),"Not Specified")</f>
        <v>Uppal, Sunil</v>
      </c>
      <c r="G612" s="2" t="str">
        <f t="shared" si="18"/>
        <v>Uppal Sunil</v>
      </c>
      <c r="H612" s="8" t="str">
        <f>IFERROR(VLOOKUP(VLOOKUP(A612,'[1]Sales Order'!A:C,3,FALSE),[1]Employee!A:E,5,FALSE)&amp;" "&amp;VLOOKUP(VLOOKUP(A612,'[1]Sales Order'!A:C,3,FALSE),[1]Employee!A:C,3,FALSE)&amp;" "&amp;VLOOKUP(VLOOKUP(A612,'[1]Sales Order'!A:C,3,FALSE),[1]Employee!A:B,2,FALSE),"Not Specified")</f>
        <v>Mr. Sven Buck</v>
      </c>
      <c r="I612">
        <f>IFERROR(VLOOKUP(VLOOKUP(A612,'[1]Sales Order'!A:C,3,FALSE),[1]Employee!A:J,10,FALSE),"Not Specified")</f>
        <v>0</v>
      </c>
      <c r="J612" t="str">
        <f>VLOOKUP(B612,[1]Product!A:B,2,FALSE)</f>
        <v>Product VJZZH</v>
      </c>
      <c r="K612" t="str">
        <f>VLOOKUP(VLOOKUP(B612,[1]Product!A:D,4,FALSE),[1]Category!A:B,2,FALSE)</f>
        <v>Confections</v>
      </c>
      <c r="L612" s="10">
        <f>IFERROR(VLOOKUP(A612,'[1]Sales Order'!A:D,4,FALSE),"")</f>
        <v>39158</v>
      </c>
      <c r="M612" s="10">
        <f>IFERROR(VLOOKUP(A612,'[1]Sales Order'!A:F,6,FALSE),"")</f>
        <v>39166</v>
      </c>
      <c r="N612" t="str">
        <f>IFERROR(VLOOKUP(VLOOKUP(A612,'[1]Sales Order'!A:G,7,FALSE),[1]Shipper!A:B,2,FALSE),"Not Specified")</f>
        <v>Shipper ETYNR</v>
      </c>
      <c r="O612" t="str">
        <f>IFERROR(VLOOKUP(A612,'[1]Sales Order'!A:I,9,FALSE),"Not Specified")</f>
        <v>Ship to 60-A</v>
      </c>
      <c r="P612" t="str">
        <f>IFERROR(VLOOKUP(A612,'[1]Sales Order'!A:N,14,FALSE),"Not Specified")</f>
        <v>Portugal</v>
      </c>
      <c r="Q612" t="str">
        <f>VLOOKUP(VLOOKUP(B612,[1]Product!A:C,3,FALSE),[1]Supplier!A:B,2,FALSE)</f>
        <v>Supplier BWGYE</v>
      </c>
      <c r="R612" t="str">
        <f>VLOOKUP(VLOOKUP(B612,[1]Product!A:C,3,FALSE),[1]Supplier!A:I,9,FALSE)</f>
        <v>UK</v>
      </c>
      <c r="S612" t="str">
        <f>IFERROR(IF(VLOOKUP(A612,'[1]Sales Order'!A:H,8,FALSE)&gt;100,"High Freight","Low Freight"),"Not Specified")</f>
        <v>Low Freight</v>
      </c>
      <c r="T612">
        <f t="shared" si="19"/>
        <v>126</v>
      </c>
    </row>
    <row r="613" spans="1:20">
      <c r="A613" s="1">
        <v>10477</v>
      </c>
      <c r="B613" s="2">
        <v>39</v>
      </c>
      <c r="C613" s="2">
        <v>14.4</v>
      </c>
      <c r="D613" s="2">
        <v>20</v>
      </c>
      <c r="E613" s="3">
        <v>0.25</v>
      </c>
      <c r="F613" s="2" t="str">
        <f>IFERROR(VLOOKUP(VLOOKUP(A613,'[1]Sales Order'!A:B,2,FALSE),[1]Customer!A:C,3,FALSE),"Not Specified")</f>
        <v>Uppal, Sunil</v>
      </c>
      <c r="G613" s="2" t="str">
        <f t="shared" si="18"/>
        <v>Uppal Sunil</v>
      </c>
      <c r="H613" s="8" t="str">
        <f>IFERROR(VLOOKUP(VLOOKUP(A613,'[1]Sales Order'!A:C,3,FALSE),[1]Employee!A:E,5,FALSE)&amp;" "&amp;VLOOKUP(VLOOKUP(A613,'[1]Sales Order'!A:C,3,FALSE),[1]Employee!A:C,3,FALSE)&amp;" "&amp;VLOOKUP(VLOOKUP(A613,'[1]Sales Order'!A:C,3,FALSE),[1]Employee!A:B,2,FALSE),"Not Specified")</f>
        <v>Mr. Sven Buck</v>
      </c>
      <c r="I613">
        <f>IFERROR(VLOOKUP(VLOOKUP(A613,'[1]Sales Order'!A:C,3,FALSE),[1]Employee!A:J,10,FALSE),"Not Specified")</f>
        <v>0</v>
      </c>
      <c r="J613" t="str">
        <f>VLOOKUP(B613,[1]Product!A:B,2,FALSE)</f>
        <v>Product LSOFL</v>
      </c>
      <c r="K613" t="str">
        <f>VLOOKUP(VLOOKUP(B613,[1]Product!A:D,4,FALSE),[1]Category!A:B,2,FALSE)</f>
        <v>Beverages</v>
      </c>
      <c r="L613" s="10">
        <f>IFERROR(VLOOKUP(A613,'[1]Sales Order'!A:D,4,FALSE),"")</f>
        <v>39158</v>
      </c>
      <c r="M613" s="10">
        <f>IFERROR(VLOOKUP(A613,'[1]Sales Order'!A:F,6,FALSE),"")</f>
        <v>39166</v>
      </c>
      <c r="N613" t="str">
        <f>IFERROR(VLOOKUP(VLOOKUP(A613,'[1]Sales Order'!A:G,7,FALSE),[1]Shipper!A:B,2,FALSE),"Not Specified")</f>
        <v>Shipper ETYNR</v>
      </c>
      <c r="O613" t="str">
        <f>IFERROR(VLOOKUP(A613,'[1]Sales Order'!A:I,9,FALSE),"Not Specified")</f>
        <v>Ship to 60-A</v>
      </c>
      <c r="P613" t="str">
        <f>IFERROR(VLOOKUP(A613,'[1]Sales Order'!A:N,14,FALSE),"Not Specified")</f>
        <v>Portugal</v>
      </c>
      <c r="Q613" t="str">
        <f>VLOOKUP(VLOOKUP(B613,[1]Product!A:C,3,FALSE),[1]Supplier!A:B,2,FALSE)</f>
        <v>Supplier LVJUA</v>
      </c>
      <c r="R613" t="str">
        <f>VLOOKUP(VLOOKUP(B613,[1]Product!A:C,3,FALSE),[1]Supplier!A:I,9,FALSE)</f>
        <v>France</v>
      </c>
      <c r="S613" t="str">
        <f>IFERROR(IF(VLOOKUP(A613,'[1]Sales Order'!A:H,8,FALSE)&gt;100,"High Freight","Low Freight"),"Not Specified")</f>
        <v>Low Freight</v>
      </c>
      <c r="T613">
        <f t="shared" si="19"/>
        <v>216</v>
      </c>
    </row>
    <row r="614" spans="1:20">
      <c r="A614" s="1">
        <v>10478</v>
      </c>
      <c r="B614" s="2">
        <v>10</v>
      </c>
      <c r="C614" s="2">
        <v>24.8</v>
      </c>
      <c r="D614" s="2">
        <v>20</v>
      </c>
      <c r="E614" s="3">
        <v>0.05</v>
      </c>
      <c r="F614" s="2" t="str">
        <f>IFERROR(VLOOKUP(VLOOKUP(A614,'[1]Sales Order'!A:B,2,FALSE),[1]Customer!A:C,3,FALSE),"Not Specified")</f>
        <v>Tuntisangaroon, Sittichai</v>
      </c>
      <c r="G614" s="2" t="str">
        <f t="shared" si="18"/>
        <v>Tuntisangaroon Sittichai</v>
      </c>
      <c r="H614" s="8" t="str">
        <f>IFERROR(VLOOKUP(VLOOKUP(A614,'[1]Sales Order'!A:C,3,FALSE),[1]Employee!A:E,5,FALSE)&amp;" "&amp;VLOOKUP(VLOOKUP(A614,'[1]Sales Order'!A:C,3,FALSE),[1]Employee!A:C,3,FALSE)&amp;" "&amp;VLOOKUP(VLOOKUP(A614,'[1]Sales Order'!A:C,3,FALSE),[1]Employee!A:B,2,FALSE),"Not Specified")</f>
        <v>Dr. Don Funk</v>
      </c>
      <c r="I614" t="str">
        <f>IFERROR(VLOOKUP(VLOOKUP(A614,'[1]Sales Order'!A:C,3,FALSE),[1]Employee!A:J,10,FALSE),"Not Specified")</f>
        <v>WA</v>
      </c>
      <c r="J614" t="str">
        <f>VLOOKUP(B614,[1]Product!A:B,2,FALSE)</f>
        <v>Product YHXGE</v>
      </c>
      <c r="K614" t="str">
        <f>VLOOKUP(VLOOKUP(B614,[1]Product!A:D,4,FALSE),[1]Category!A:B,2,FALSE)</f>
        <v>Seafood</v>
      </c>
      <c r="L614" s="10">
        <f>IFERROR(VLOOKUP(A614,'[1]Sales Order'!A:D,4,FALSE),"")</f>
        <v>39159</v>
      </c>
      <c r="M614" s="10">
        <f>IFERROR(VLOOKUP(A614,'[1]Sales Order'!A:F,6,FALSE),"")</f>
        <v>39167</v>
      </c>
      <c r="N614" t="str">
        <f>IFERROR(VLOOKUP(VLOOKUP(A614,'[1]Sales Order'!A:G,7,FALSE),[1]Shipper!A:B,2,FALSE),"Not Specified")</f>
        <v>Shipper ZHISN</v>
      </c>
      <c r="O614" t="str">
        <f>IFERROR(VLOOKUP(A614,'[1]Sales Order'!A:I,9,FALSE),"Not Specified")</f>
        <v>Ship to 84-C</v>
      </c>
      <c r="P614" t="str">
        <f>IFERROR(VLOOKUP(A614,'[1]Sales Order'!A:N,14,FALSE),"Not Specified")</f>
        <v>France</v>
      </c>
      <c r="Q614" t="str">
        <f>VLOOKUP(VLOOKUP(B614,[1]Product!A:C,3,FALSE),[1]Supplier!A:B,2,FALSE)</f>
        <v>Supplier QOVFD</v>
      </c>
      <c r="R614" t="str">
        <f>VLOOKUP(VLOOKUP(B614,[1]Product!A:C,3,FALSE),[1]Supplier!A:I,9,FALSE)</f>
        <v>Japan</v>
      </c>
      <c r="S614" t="str">
        <f>IFERROR(IF(VLOOKUP(A614,'[1]Sales Order'!A:H,8,FALSE)&gt;100,"High Freight","Low Freight"),"Not Specified")</f>
        <v>Low Freight</v>
      </c>
      <c r="T614">
        <f t="shared" si="19"/>
        <v>471.2</v>
      </c>
    </row>
    <row r="615" spans="1:20">
      <c r="A615" s="1">
        <v>10479</v>
      </c>
      <c r="B615" s="2">
        <v>38</v>
      </c>
      <c r="C615" s="2">
        <v>210.8</v>
      </c>
      <c r="D615" s="2">
        <v>30</v>
      </c>
      <c r="E615" s="3">
        <v>0</v>
      </c>
      <c r="F615" s="2" t="str">
        <f>IFERROR(VLOOKUP(VLOOKUP(A615,'[1]Sales Order'!A:B,2,FALSE),[1]Customer!A:C,3,FALSE),"Not Specified")</f>
        <v>Moore, Michael</v>
      </c>
      <c r="G615" s="2" t="str">
        <f t="shared" si="18"/>
        <v>Moore Michael</v>
      </c>
      <c r="H615" s="8" t="str">
        <f>IFERROR(VLOOKUP(VLOOKUP(A615,'[1]Sales Order'!A:C,3,FALSE),[1]Employee!A:E,5,FALSE)&amp;" "&amp;VLOOKUP(VLOOKUP(A615,'[1]Sales Order'!A:C,3,FALSE),[1]Employee!A:C,3,FALSE)&amp;" "&amp;VLOOKUP(VLOOKUP(A615,'[1]Sales Order'!A:C,3,FALSE),[1]Employee!A:B,2,FALSE),"Not Specified")</f>
        <v>Ms. Judy Lew</v>
      </c>
      <c r="I615" t="str">
        <f>IFERROR(VLOOKUP(VLOOKUP(A615,'[1]Sales Order'!A:C,3,FALSE),[1]Employee!A:J,10,FALSE),"Not Specified")</f>
        <v>WA</v>
      </c>
      <c r="J615" t="str">
        <f>VLOOKUP(B615,[1]Product!A:B,2,FALSE)</f>
        <v>Product QDOMO</v>
      </c>
      <c r="K615" t="str">
        <f>VLOOKUP(VLOOKUP(B615,[1]Product!A:D,4,FALSE),[1]Category!A:B,2,FALSE)</f>
        <v>Beverages</v>
      </c>
      <c r="L615" s="10">
        <f>IFERROR(VLOOKUP(A615,'[1]Sales Order'!A:D,4,FALSE),"")</f>
        <v>39160</v>
      </c>
      <c r="M615" s="10">
        <f>IFERROR(VLOOKUP(A615,'[1]Sales Order'!A:F,6,FALSE),"")</f>
        <v>39162</v>
      </c>
      <c r="N615" t="str">
        <f>IFERROR(VLOOKUP(VLOOKUP(A615,'[1]Sales Order'!A:G,7,FALSE),[1]Shipper!A:B,2,FALSE),"Not Specified")</f>
        <v>Shipper ZHISN</v>
      </c>
      <c r="O615" t="str">
        <f>IFERROR(VLOOKUP(A615,'[1]Sales Order'!A:I,9,FALSE),"Not Specified")</f>
        <v>Ship to 65-C</v>
      </c>
      <c r="P615" t="str">
        <f>IFERROR(VLOOKUP(A615,'[1]Sales Order'!A:N,14,FALSE),"Not Specified")</f>
        <v>USA</v>
      </c>
      <c r="Q615" t="str">
        <f>VLOOKUP(VLOOKUP(B615,[1]Product!A:C,3,FALSE),[1]Supplier!A:B,2,FALSE)</f>
        <v>Supplier LVJUA</v>
      </c>
      <c r="R615" t="str">
        <f>VLOOKUP(VLOOKUP(B615,[1]Product!A:C,3,FALSE),[1]Supplier!A:I,9,FALSE)</f>
        <v>France</v>
      </c>
      <c r="S615" t="str">
        <f>IFERROR(IF(VLOOKUP(A615,'[1]Sales Order'!A:H,8,FALSE)&gt;100,"High Freight","Low Freight"),"Not Specified")</f>
        <v>High Freight</v>
      </c>
      <c r="T615">
        <f t="shared" si="19"/>
        <v>6324</v>
      </c>
    </row>
    <row r="616" spans="1:20">
      <c r="A616" s="1">
        <v>10479</v>
      </c>
      <c r="B616" s="2">
        <v>53</v>
      </c>
      <c r="C616" s="2">
        <v>26.2</v>
      </c>
      <c r="D616" s="2">
        <v>28</v>
      </c>
      <c r="E616" s="3">
        <v>0</v>
      </c>
      <c r="F616" s="2" t="str">
        <f>IFERROR(VLOOKUP(VLOOKUP(A616,'[1]Sales Order'!A:B,2,FALSE),[1]Customer!A:C,3,FALSE),"Not Specified")</f>
        <v>Moore, Michael</v>
      </c>
      <c r="G616" s="2" t="str">
        <f t="shared" si="18"/>
        <v>Moore Michael</v>
      </c>
      <c r="H616" s="8" t="str">
        <f>IFERROR(VLOOKUP(VLOOKUP(A616,'[1]Sales Order'!A:C,3,FALSE),[1]Employee!A:E,5,FALSE)&amp;" "&amp;VLOOKUP(VLOOKUP(A616,'[1]Sales Order'!A:C,3,FALSE),[1]Employee!A:C,3,FALSE)&amp;" "&amp;VLOOKUP(VLOOKUP(A616,'[1]Sales Order'!A:C,3,FALSE),[1]Employee!A:B,2,FALSE),"Not Specified")</f>
        <v>Ms. Judy Lew</v>
      </c>
      <c r="I616" t="str">
        <f>IFERROR(VLOOKUP(VLOOKUP(A616,'[1]Sales Order'!A:C,3,FALSE),[1]Employee!A:J,10,FALSE),"Not Specified")</f>
        <v>WA</v>
      </c>
      <c r="J616" t="str">
        <f>VLOOKUP(B616,[1]Product!A:B,2,FALSE)</f>
        <v>Product BKGEA</v>
      </c>
      <c r="K616" t="str">
        <f>VLOOKUP(VLOOKUP(B616,[1]Product!A:D,4,FALSE),[1]Category!A:B,2,FALSE)</f>
        <v>Meat/Poultry</v>
      </c>
      <c r="L616" s="10">
        <f>IFERROR(VLOOKUP(A616,'[1]Sales Order'!A:D,4,FALSE),"")</f>
        <v>39160</v>
      </c>
      <c r="M616" s="10">
        <f>IFERROR(VLOOKUP(A616,'[1]Sales Order'!A:F,6,FALSE),"")</f>
        <v>39162</v>
      </c>
      <c r="N616" t="str">
        <f>IFERROR(VLOOKUP(VLOOKUP(A616,'[1]Sales Order'!A:G,7,FALSE),[1]Shipper!A:B,2,FALSE),"Not Specified")</f>
        <v>Shipper ZHISN</v>
      </c>
      <c r="O616" t="str">
        <f>IFERROR(VLOOKUP(A616,'[1]Sales Order'!A:I,9,FALSE),"Not Specified")</f>
        <v>Ship to 65-C</v>
      </c>
      <c r="P616" t="str">
        <f>IFERROR(VLOOKUP(A616,'[1]Sales Order'!A:N,14,FALSE),"Not Specified")</f>
        <v>USA</v>
      </c>
      <c r="Q616" t="str">
        <f>VLOOKUP(VLOOKUP(B616,[1]Product!A:C,3,FALSE),[1]Supplier!A:B,2,FALSE)</f>
        <v>Supplier JNNES</v>
      </c>
      <c r="R616" t="str">
        <f>VLOOKUP(VLOOKUP(B616,[1]Product!A:C,3,FALSE),[1]Supplier!A:I,9,FALSE)</f>
        <v>Australia</v>
      </c>
      <c r="S616" t="str">
        <f>IFERROR(IF(VLOOKUP(A616,'[1]Sales Order'!A:H,8,FALSE)&gt;100,"High Freight","Low Freight"),"Not Specified")</f>
        <v>High Freight</v>
      </c>
      <c r="T616">
        <f t="shared" si="19"/>
        <v>733.6</v>
      </c>
    </row>
    <row r="617" spans="1:20">
      <c r="A617" s="1">
        <v>10479</v>
      </c>
      <c r="B617" s="2">
        <v>59</v>
      </c>
      <c r="C617" s="2">
        <v>44</v>
      </c>
      <c r="D617" s="2">
        <v>60</v>
      </c>
      <c r="E617" s="3">
        <v>0</v>
      </c>
      <c r="F617" s="2" t="str">
        <f>IFERROR(VLOOKUP(VLOOKUP(A617,'[1]Sales Order'!A:B,2,FALSE),[1]Customer!A:C,3,FALSE),"Not Specified")</f>
        <v>Moore, Michael</v>
      </c>
      <c r="G617" s="2" t="str">
        <f t="shared" si="18"/>
        <v>Moore Michael</v>
      </c>
      <c r="H617" s="8" t="str">
        <f>IFERROR(VLOOKUP(VLOOKUP(A617,'[1]Sales Order'!A:C,3,FALSE),[1]Employee!A:E,5,FALSE)&amp;" "&amp;VLOOKUP(VLOOKUP(A617,'[1]Sales Order'!A:C,3,FALSE),[1]Employee!A:C,3,FALSE)&amp;" "&amp;VLOOKUP(VLOOKUP(A617,'[1]Sales Order'!A:C,3,FALSE),[1]Employee!A:B,2,FALSE),"Not Specified")</f>
        <v>Ms. Judy Lew</v>
      </c>
      <c r="I617" t="str">
        <f>IFERROR(VLOOKUP(VLOOKUP(A617,'[1]Sales Order'!A:C,3,FALSE),[1]Employee!A:J,10,FALSE),"Not Specified")</f>
        <v>WA</v>
      </c>
      <c r="J617" t="str">
        <f>VLOOKUP(B617,[1]Product!A:B,2,FALSE)</f>
        <v>Product UKXRI</v>
      </c>
      <c r="K617" t="str">
        <f>VLOOKUP(VLOOKUP(B617,[1]Product!A:D,4,FALSE),[1]Category!A:B,2,FALSE)</f>
        <v>Dairy Product</v>
      </c>
      <c r="L617" s="10">
        <f>IFERROR(VLOOKUP(A617,'[1]Sales Order'!A:D,4,FALSE),"")</f>
        <v>39160</v>
      </c>
      <c r="M617" s="10">
        <f>IFERROR(VLOOKUP(A617,'[1]Sales Order'!A:F,6,FALSE),"")</f>
        <v>39162</v>
      </c>
      <c r="N617" t="str">
        <f>IFERROR(VLOOKUP(VLOOKUP(A617,'[1]Sales Order'!A:G,7,FALSE),[1]Shipper!A:B,2,FALSE),"Not Specified")</f>
        <v>Shipper ZHISN</v>
      </c>
      <c r="O617" t="str">
        <f>IFERROR(VLOOKUP(A617,'[1]Sales Order'!A:I,9,FALSE),"Not Specified")</f>
        <v>Ship to 65-C</v>
      </c>
      <c r="P617" t="str">
        <f>IFERROR(VLOOKUP(A617,'[1]Sales Order'!A:N,14,FALSE),"Not Specified")</f>
        <v>USA</v>
      </c>
      <c r="Q617" t="str">
        <f>VLOOKUP(VLOOKUP(B617,[1]Product!A:C,3,FALSE),[1]Supplier!A:B,2,FALSE)</f>
        <v>Supplier OAVQT</v>
      </c>
      <c r="R617" t="str">
        <f>VLOOKUP(VLOOKUP(B617,[1]Product!A:C,3,FALSE),[1]Supplier!A:I,9,FALSE)</f>
        <v>France</v>
      </c>
      <c r="S617" t="str">
        <f>IFERROR(IF(VLOOKUP(A617,'[1]Sales Order'!A:H,8,FALSE)&gt;100,"High Freight","Low Freight"),"Not Specified")</f>
        <v>High Freight</v>
      </c>
      <c r="T617">
        <f t="shared" si="19"/>
        <v>2640</v>
      </c>
    </row>
    <row r="618" spans="1:20">
      <c r="A618" s="1">
        <v>10479</v>
      </c>
      <c r="B618" s="2">
        <v>64</v>
      </c>
      <c r="C618" s="2">
        <v>26.6</v>
      </c>
      <c r="D618" s="2">
        <v>30</v>
      </c>
      <c r="E618" s="3">
        <v>0</v>
      </c>
      <c r="F618" s="2" t="str">
        <f>IFERROR(VLOOKUP(VLOOKUP(A618,'[1]Sales Order'!A:B,2,FALSE),[1]Customer!A:C,3,FALSE),"Not Specified")</f>
        <v>Moore, Michael</v>
      </c>
      <c r="G618" s="2" t="str">
        <f t="shared" si="18"/>
        <v>Moore Michael</v>
      </c>
      <c r="H618" s="8" t="str">
        <f>IFERROR(VLOOKUP(VLOOKUP(A618,'[1]Sales Order'!A:C,3,FALSE),[1]Employee!A:E,5,FALSE)&amp;" "&amp;VLOOKUP(VLOOKUP(A618,'[1]Sales Order'!A:C,3,FALSE),[1]Employee!A:C,3,FALSE)&amp;" "&amp;VLOOKUP(VLOOKUP(A618,'[1]Sales Order'!A:C,3,FALSE),[1]Employee!A:B,2,FALSE),"Not Specified")</f>
        <v>Ms. Judy Lew</v>
      </c>
      <c r="I618" t="str">
        <f>IFERROR(VLOOKUP(VLOOKUP(A618,'[1]Sales Order'!A:C,3,FALSE),[1]Employee!A:J,10,FALSE),"Not Specified")</f>
        <v>WA</v>
      </c>
      <c r="J618" t="str">
        <f>VLOOKUP(B618,[1]Product!A:B,2,FALSE)</f>
        <v>Product HCQDE</v>
      </c>
      <c r="K618" t="str">
        <f>VLOOKUP(VLOOKUP(B618,[1]Product!A:D,4,FALSE),[1]Category!A:B,2,FALSE)</f>
        <v>Grains/Cereals</v>
      </c>
      <c r="L618" s="10">
        <f>IFERROR(VLOOKUP(A618,'[1]Sales Order'!A:D,4,FALSE),"")</f>
        <v>39160</v>
      </c>
      <c r="M618" s="10">
        <f>IFERROR(VLOOKUP(A618,'[1]Sales Order'!A:F,6,FALSE),"")</f>
        <v>39162</v>
      </c>
      <c r="N618" t="str">
        <f>IFERROR(VLOOKUP(VLOOKUP(A618,'[1]Sales Order'!A:G,7,FALSE),[1]Shipper!A:B,2,FALSE),"Not Specified")</f>
        <v>Shipper ZHISN</v>
      </c>
      <c r="O618" t="str">
        <f>IFERROR(VLOOKUP(A618,'[1]Sales Order'!A:I,9,FALSE),"Not Specified")</f>
        <v>Ship to 65-C</v>
      </c>
      <c r="P618" t="str">
        <f>IFERROR(VLOOKUP(A618,'[1]Sales Order'!A:N,14,FALSE),"Not Specified")</f>
        <v>USA</v>
      </c>
      <c r="Q618" t="str">
        <f>VLOOKUP(VLOOKUP(B618,[1]Product!A:C,3,FALSE),[1]Supplier!A:B,2,FALSE)</f>
        <v>Supplier SVIYA</v>
      </c>
      <c r="R618" t="str">
        <f>VLOOKUP(VLOOKUP(B618,[1]Product!A:C,3,FALSE),[1]Supplier!A:I,9,FALSE)</f>
        <v>Germany</v>
      </c>
      <c r="S618" t="str">
        <f>IFERROR(IF(VLOOKUP(A618,'[1]Sales Order'!A:H,8,FALSE)&gt;100,"High Freight","Low Freight"),"Not Specified")</f>
        <v>High Freight</v>
      </c>
      <c r="T618">
        <f t="shared" si="19"/>
        <v>798</v>
      </c>
    </row>
    <row r="619" spans="1:20">
      <c r="A619" s="1">
        <v>10480</v>
      </c>
      <c r="B619" s="2">
        <v>47</v>
      </c>
      <c r="C619" s="2">
        <v>7.6</v>
      </c>
      <c r="D619" s="2">
        <v>30</v>
      </c>
      <c r="E619" s="3">
        <v>0</v>
      </c>
      <c r="F619" s="2" t="str">
        <f>IFERROR(VLOOKUP(VLOOKUP(A619,'[1]Sales Order'!A:B,2,FALSE),[1]Customer!A:C,3,FALSE),"Not Specified")</f>
        <v>Khanna, Karan</v>
      </c>
      <c r="G619" s="2" t="str">
        <f t="shared" si="18"/>
        <v>Khanna Karan</v>
      </c>
      <c r="H619" s="8" t="str">
        <f>IFERROR(VLOOKUP(VLOOKUP(A619,'[1]Sales Order'!A:C,3,FALSE),[1]Employee!A:E,5,FALSE)&amp;" "&amp;VLOOKUP(VLOOKUP(A619,'[1]Sales Order'!A:C,3,FALSE),[1]Employee!A:C,3,FALSE)&amp;" "&amp;VLOOKUP(VLOOKUP(A619,'[1]Sales Order'!A:C,3,FALSE),[1]Employee!A:B,2,FALSE),"Not Specified")</f>
        <v>Mr. Paul Suurs</v>
      </c>
      <c r="I619">
        <f>IFERROR(VLOOKUP(VLOOKUP(A619,'[1]Sales Order'!A:C,3,FALSE),[1]Employee!A:J,10,FALSE),"Not Specified")</f>
        <v>0</v>
      </c>
      <c r="J619" t="str">
        <f>VLOOKUP(B619,[1]Product!A:B,2,FALSE)</f>
        <v>Product EZZPR</v>
      </c>
      <c r="K619" t="str">
        <f>VLOOKUP(VLOOKUP(B619,[1]Product!A:D,4,FALSE),[1]Category!A:B,2,FALSE)</f>
        <v>Confections</v>
      </c>
      <c r="L619" s="10">
        <f>IFERROR(VLOOKUP(A619,'[1]Sales Order'!A:D,4,FALSE),"")</f>
        <v>39161</v>
      </c>
      <c r="M619" s="10">
        <f>IFERROR(VLOOKUP(A619,'[1]Sales Order'!A:F,6,FALSE),"")</f>
        <v>39165</v>
      </c>
      <c r="N619" t="str">
        <f>IFERROR(VLOOKUP(VLOOKUP(A619,'[1]Sales Order'!A:G,7,FALSE),[1]Shipper!A:B,2,FALSE),"Not Specified")</f>
        <v>Shipper ETYNR</v>
      </c>
      <c r="O619" t="str">
        <f>IFERROR(VLOOKUP(A619,'[1]Sales Order'!A:I,9,FALSE),"Not Specified")</f>
        <v>Destination AGPCO</v>
      </c>
      <c r="P619" t="str">
        <f>IFERROR(VLOOKUP(A619,'[1]Sales Order'!A:N,14,FALSE),"Not Specified")</f>
        <v>France</v>
      </c>
      <c r="Q619" t="str">
        <f>VLOOKUP(VLOOKUP(B619,[1]Product!A:C,3,FALSE),[1]Supplier!A:B,2,FALSE)</f>
        <v>Supplier FNUXM</v>
      </c>
      <c r="R619" t="str">
        <f>VLOOKUP(VLOOKUP(B619,[1]Product!A:C,3,FALSE),[1]Supplier!A:I,9,FALSE)</f>
        <v>Netherlands</v>
      </c>
      <c r="S619" t="str">
        <f>IFERROR(IF(VLOOKUP(A619,'[1]Sales Order'!A:H,8,FALSE)&gt;100,"High Freight","Low Freight"),"Not Specified")</f>
        <v>Low Freight</v>
      </c>
      <c r="T619">
        <f t="shared" si="19"/>
        <v>228</v>
      </c>
    </row>
    <row r="620" spans="1:20">
      <c r="A620" s="1">
        <v>10480</v>
      </c>
      <c r="B620" s="2">
        <v>59</v>
      </c>
      <c r="C620" s="2">
        <v>44</v>
      </c>
      <c r="D620" s="2">
        <v>12</v>
      </c>
      <c r="E620" s="3">
        <v>0</v>
      </c>
      <c r="F620" s="2" t="str">
        <f>IFERROR(VLOOKUP(VLOOKUP(A620,'[1]Sales Order'!A:B,2,FALSE),[1]Customer!A:C,3,FALSE),"Not Specified")</f>
        <v>Khanna, Karan</v>
      </c>
      <c r="G620" s="2" t="str">
        <f t="shared" si="18"/>
        <v>Khanna Karan</v>
      </c>
      <c r="H620" s="8" t="str">
        <f>IFERROR(VLOOKUP(VLOOKUP(A620,'[1]Sales Order'!A:C,3,FALSE),[1]Employee!A:E,5,FALSE)&amp;" "&amp;VLOOKUP(VLOOKUP(A620,'[1]Sales Order'!A:C,3,FALSE),[1]Employee!A:C,3,FALSE)&amp;" "&amp;VLOOKUP(VLOOKUP(A620,'[1]Sales Order'!A:C,3,FALSE),[1]Employee!A:B,2,FALSE),"Not Specified")</f>
        <v>Mr. Paul Suurs</v>
      </c>
      <c r="I620">
        <f>IFERROR(VLOOKUP(VLOOKUP(A620,'[1]Sales Order'!A:C,3,FALSE),[1]Employee!A:J,10,FALSE),"Not Specified")</f>
        <v>0</v>
      </c>
      <c r="J620" t="str">
        <f>VLOOKUP(B620,[1]Product!A:B,2,FALSE)</f>
        <v>Product UKXRI</v>
      </c>
      <c r="K620" t="str">
        <f>VLOOKUP(VLOOKUP(B620,[1]Product!A:D,4,FALSE),[1]Category!A:B,2,FALSE)</f>
        <v>Dairy Product</v>
      </c>
      <c r="L620" s="10">
        <f>IFERROR(VLOOKUP(A620,'[1]Sales Order'!A:D,4,FALSE),"")</f>
        <v>39161</v>
      </c>
      <c r="M620" s="10">
        <f>IFERROR(VLOOKUP(A620,'[1]Sales Order'!A:F,6,FALSE),"")</f>
        <v>39165</v>
      </c>
      <c r="N620" t="str">
        <f>IFERROR(VLOOKUP(VLOOKUP(A620,'[1]Sales Order'!A:G,7,FALSE),[1]Shipper!A:B,2,FALSE),"Not Specified")</f>
        <v>Shipper ETYNR</v>
      </c>
      <c r="O620" t="str">
        <f>IFERROR(VLOOKUP(A620,'[1]Sales Order'!A:I,9,FALSE),"Not Specified")</f>
        <v>Destination AGPCO</v>
      </c>
      <c r="P620" t="str">
        <f>IFERROR(VLOOKUP(A620,'[1]Sales Order'!A:N,14,FALSE),"Not Specified")</f>
        <v>France</v>
      </c>
      <c r="Q620" t="str">
        <f>VLOOKUP(VLOOKUP(B620,[1]Product!A:C,3,FALSE),[1]Supplier!A:B,2,FALSE)</f>
        <v>Supplier OAVQT</v>
      </c>
      <c r="R620" t="str">
        <f>VLOOKUP(VLOOKUP(B620,[1]Product!A:C,3,FALSE),[1]Supplier!A:I,9,FALSE)</f>
        <v>France</v>
      </c>
      <c r="S620" t="str">
        <f>IFERROR(IF(VLOOKUP(A620,'[1]Sales Order'!A:H,8,FALSE)&gt;100,"High Freight","Low Freight"),"Not Specified")</f>
        <v>Low Freight</v>
      </c>
      <c r="T620">
        <f t="shared" si="19"/>
        <v>528</v>
      </c>
    </row>
    <row r="621" spans="1:20">
      <c r="A621" s="1">
        <v>10481</v>
      </c>
      <c r="B621" s="2">
        <v>49</v>
      </c>
      <c r="C621" s="2">
        <v>16</v>
      </c>
      <c r="D621" s="2">
        <v>24</v>
      </c>
      <c r="E621" s="3">
        <v>0</v>
      </c>
      <c r="F621" s="2" t="str">
        <f>IFERROR(VLOOKUP(VLOOKUP(A621,'[1]Sales Order'!A:B,2,FALSE),[1]Customer!A:C,3,FALSE),"Not Specified")</f>
        <v>Garden, Euan</v>
      </c>
      <c r="G621" s="2" t="str">
        <f t="shared" si="18"/>
        <v>Garden Euan</v>
      </c>
      <c r="H621" s="8" t="str">
        <f>IFERROR(VLOOKUP(VLOOKUP(A621,'[1]Sales Order'!A:C,3,FALSE),[1]Employee!A:E,5,FALSE)&amp;" "&amp;VLOOKUP(VLOOKUP(A621,'[1]Sales Order'!A:C,3,FALSE),[1]Employee!A:C,3,FALSE)&amp;" "&amp;VLOOKUP(VLOOKUP(A621,'[1]Sales Order'!A:C,3,FALSE),[1]Employee!A:B,2,FALSE),"Not Specified")</f>
        <v>Ms. Maria Cameron</v>
      </c>
      <c r="I621" t="str">
        <f>IFERROR(VLOOKUP(VLOOKUP(A621,'[1]Sales Order'!A:C,3,FALSE),[1]Employee!A:J,10,FALSE),"Not Specified")</f>
        <v>WA</v>
      </c>
      <c r="J621" t="str">
        <f>VLOOKUP(B621,[1]Product!A:B,2,FALSE)</f>
        <v>Product FPYPN</v>
      </c>
      <c r="K621" t="str">
        <f>VLOOKUP(VLOOKUP(B621,[1]Product!A:D,4,FALSE),[1]Category!A:B,2,FALSE)</f>
        <v>Confections</v>
      </c>
      <c r="L621" s="10">
        <f>IFERROR(VLOOKUP(A621,'[1]Sales Order'!A:D,4,FALSE),"")</f>
        <v>39161</v>
      </c>
      <c r="M621" s="10">
        <f>IFERROR(VLOOKUP(A621,'[1]Sales Order'!A:F,6,FALSE),"")</f>
        <v>39166</v>
      </c>
      <c r="N621" t="str">
        <f>IFERROR(VLOOKUP(VLOOKUP(A621,'[1]Sales Order'!A:G,7,FALSE),[1]Shipper!A:B,2,FALSE),"Not Specified")</f>
        <v>Shipper ETYNR</v>
      </c>
      <c r="O621" t="str">
        <f>IFERROR(VLOOKUP(A621,'[1]Sales Order'!A:I,9,FALSE),"Not Specified")</f>
        <v>Ship to 67-A</v>
      </c>
      <c r="P621" t="str">
        <f>IFERROR(VLOOKUP(A621,'[1]Sales Order'!A:N,14,FALSE),"Not Specified")</f>
        <v>Brazil</v>
      </c>
      <c r="Q621" t="str">
        <f>VLOOKUP(VLOOKUP(B621,[1]Product!A:C,3,FALSE),[1]Supplier!A:B,2,FALSE)</f>
        <v>Supplier ELCRN</v>
      </c>
      <c r="R621" t="str">
        <f>VLOOKUP(VLOOKUP(B621,[1]Product!A:C,3,FALSE),[1]Supplier!A:I,9,FALSE)</f>
        <v>Finland</v>
      </c>
      <c r="S621" t="str">
        <f>IFERROR(IF(VLOOKUP(A621,'[1]Sales Order'!A:H,8,FALSE)&gt;100,"High Freight","Low Freight"),"Not Specified")</f>
        <v>Low Freight</v>
      </c>
      <c r="T621">
        <f t="shared" si="19"/>
        <v>384</v>
      </c>
    </row>
    <row r="622" spans="1:20">
      <c r="A622" s="1">
        <v>10481</v>
      </c>
      <c r="B622" s="2">
        <v>60</v>
      </c>
      <c r="C622" s="2">
        <v>27.2</v>
      </c>
      <c r="D622" s="2">
        <v>40</v>
      </c>
      <c r="E622" s="3">
        <v>0</v>
      </c>
      <c r="F622" s="2" t="str">
        <f>IFERROR(VLOOKUP(VLOOKUP(A622,'[1]Sales Order'!A:B,2,FALSE),[1]Customer!A:C,3,FALSE),"Not Specified")</f>
        <v>Garden, Euan</v>
      </c>
      <c r="G622" s="2" t="str">
        <f t="shared" si="18"/>
        <v>Garden Euan</v>
      </c>
      <c r="H622" s="8" t="str">
        <f>IFERROR(VLOOKUP(VLOOKUP(A622,'[1]Sales Order'!A:C,3,FALSE),[1]Employee!A:E,5,FALSE)&amp;" "&amp;VLOOKUP(VLOOKUP(A622,'[1]Sales Order'!A:C,3,FALSE),[1]Employee!A:C,3,FALSE)&amp;" "&amp;VLOOKUP(VLOOKUP(A622,'[1]Sales Order'!A:C,3,FALSE),[1]Employee!A:B,2,FALSE),"Not Specified")</f>
        <v>Ms. Maria Cameron</v>
      </c>
      <c r="I622" t="str">
        <f>IFERROR(VLOOKUP(VLOOKUP(A622,'[1]Sales Order'!A:C,3,FALSE),[1]Employee!A:J,10,FALSE),"Not Specified")</f>
        <v>WA</v>
      </c>
      <c r="J622" t="str">
        <f>VLOOKUP(B622,[1]Product!A:B,2,FALSE)</f>
        <v>Product WHBYK</v>
      </c>
      <c r="K622" t="str">
        <f>VLOOKUP(VLOOKUP(B622,[1]Product!A:D,4,FALSE),[1]Category!A:B,2,FALSE)</f>
        <v>Dairy Product</v>
      </c>
      <c r="L622" s="10">
        <f>IFERROR(VLOOKUP(A622,'[1]Sales Order'!A:D,4,FALSE),"")</f>
        <v>39161</v>
      </c>
      <c r="M622" s="10">
        <f>IFERROR(VLOOKUP(A622,'[1]Sales Order'!A:F,6,FALSE),"")</f>
        <v>39166</v>
      </c>
      <c r="N622" t="str">
        <f>IFERROR(VLOOKUP(VLOOKUP(A622,'[1]Sales Order'!A:G,7,FALSE),[1]Shipper!A:B,2,FALSE),"Not Specified")</f>
        <v>Shipper ETYNR</v>
      </c>
      <c r="O622" t="str">
        <f>IFERROR(VLOOKUP(A622,'[1]Sales Order'!A:I,9,FALSE),"Not Specified")</f>
        <v>Ship to 67-A</v>
      </c>
      <c r="P622" t="str">
        <f>IFERROR(VLOOKUP(A622,'[1]Sales Order'!A:N,14,FALSE),"Not Specified")</f>
        <v>Brazil</v>
      </c>
      <c r="Q622" t="str">
        <f>VLOOKUP(VLOOKUP(B622,[1]Product!A:C,3,FALSE),[1]Supplier!A:B,2,FALSE)</f>
        <v>Supplier OAVQT</v>
      </c>
      <c r="R622" t="str">
        <f>VLOOKUP(VLOOKUP(B622,[1]Product!A:C,3,FALSE),[1]Supplier!A:I,9,FALSE)</f>
        <v>France</v>
      </c>
      <c r="S622" t="str">
        <f>IFERROR(IF(VLOOKUP(A622,'[1]Sales Order'!A:H,8,FALSE)&gt;100,"High Freight","Low Freight"),"Not Specified")</f>
        <v>Low Freight</v>
      </c>
      <c r="T622">
        <f t="shared" si="19"/>
        <v>1088</v>
      </c>
    </row>
    <row r="623" spans="1:20">
      <c r="A623" s="1">
        <v>10482</v>
      </c>
      <c r="B623" s="2">
        <v>40</v>
      </c>
      <c r="C623" s="2">
        <v>14.7</v>
      </c>
      <c r="D623" s="2">
        <v>10</v>
      </c>
      <c r="E623" s="3">
        <v>0</v>
      </c>
      <c r="F623" s="2" t="str">
        <f>IFERROR(VLOOKUP(VLOOKUP(A623,'[1]Sales Order'!A:B,2,FALSE),[1]Customer!A:C,3,FALSE),"Not Specified")</f>
        <v>Deshpande, Anu</v>
      </c>
      <c r="G623" s="2" t="str">
        <f t="shared" si="18"/>
        <v>Deshpande Anu</v>
      </c>
      <c r="H623" s="8" t="str">
        <f>IFERROR(VLOOKUP(VLOOKUP(A623,'[1]Sales Order'!A:C,3,FALSE),[1]Employee!A:E,5,FALSE)&amp;" "&amp;VLOOKUP(VLOOKUP(A623,'[1]Sales Order'!A:C,3,FALSE),[1]Employee!A:C,3,FALSE)&amp;" "&amp;VLOOKUP(VLOOKUP(A623,'[1]Sales Order'!A:C,3,FALSE),[1]Employee!A:B,2,FALSE),"Not Specified")</f>
        <v>Ms. Sara Davis</v>
      </c>
      <c r="I623" t="str">
        <f>IFERROR(VLOOKUP(VLOOKUP(A623,'[1]Sales Order'!A:C,3,FALSE),[1]Employee!A:J,10,FALSE),"Not Specified")</f>
        <v>WA</v>
      </c>
      <c r="J623" t="str">
        <f>VLOOKUP(B623,[1]Product!A:B,2,FALSE)</f>
        <v>Product YZIXQ</v>
      </c>
      <c r="K623" t="str">
        <f>VLOOKUP(VLOOKUP(B623,[1]Product!A:D,4,FALSE),[1]Category!A:B,2,FALSE)</f>
        <v>Seafood</v>
      </c>
      <c r="L623" s="10">
        <f>IFERROR(VLOOKUP(A623,'[1]Sales Order'!A:D,4,FALSE),"")</f>
        <v>39162</v>
      </c>
      <c r="M623" s="10">
        <f>IFERROR(VLOOKUP(A623,'[1]Sales Order'!A:F,6,FALSE),"")</f>
        <v>39182</v>
      </c>
      <c r="N623" t="str">
        <f>IFERROR(VLOOKUP(VLOOKUP(A623,'[1]Sales Order'!A:G,7,FALSE),[1]Shipper!A:B,2,FALSE),"Not Specified")</f>
        <v>Shipper ZHISN</v>
      </c>
      <c r="O623" t="str">
        <f>IFERROR(VLOOKUP(A623,'[1]Sales Order'!A:I,9,FALSE),"Not Specified")</f>
        <v>Ship to 43-B</v>
      </c>
      <c r="P623" t="str">
        <f>IFERROR(VLOOKUP(A623,'[1]Sales Order'!A:N,14,FALSE),"Not Specified")</f>
        <v>USA</v>
      </c>
      <c r="Q623" t="str">
        <f>VLOOKUP(VLOOKUP(B623,[1]Product!A:C,3,FALSE),[1]Supplier!A:B,2,FALSE)</f>
        <v>Supplier JDNUG</v>
      </c>
      <c r="R623" t="str">
        <f>VLOOKUP(VLOOKUP(B623,[1]Product!A:C,3,FALSE),[1]Supplier!A:I,9,FALSE)</f>
        <v>USA</v>
      </c>
      <c r="S623" t="str">
        <f>IFERROR(IF(VLOOKUP(A623,'[1]Sales Order'!A:H,8,FALSE)&gt;100,"High Freight","Low Freight"),"Not Specified")</f>
        <v>Low Freight</v>
      </c>
      <c r="T623">
        <f t="shared" si="19"/>
        <v>147</v>
      </c>
    </row>
    <row r="624" spans="1:20">
      <c r="A624" s="1">
        <v>10483</v>
      </c>
      <c r="B624" s="2">
        <v>34</v>
      </c>
      <c r="C624" s="2">
        <v>11.2</v>
      </c>
      <c r="D624" s="2">
        <v>35</v>
      </c>
      <c r="E624" s="3">
        <v>0.05</v>
      </c>
      <c r="F624" s="2" t="str">
        <f>IFERROR(VLOOKUP(VLOOKUP(A624,'[1]Sales Order'!A:B,2,FALSE),[1]Customer!A:C,3,FALSE),"Not Specified")</f>
        <v>Smith Jr., Ronaldo</v>
      </c>
      <c r="G624" s="2" t="str">
        <f t="shared" si="18"/>
        <v>Smith Jr. Ronaldo</v>
      </c>
      <c r="H624" s="8" t="str">
        <f>IFERROR(VLOOKUP(VLOOKUP(A624,'[1]Sales Order'!A:C,3,FALSE),[1]Employee!A:E,5,FALSE)&amp;" "&amp;VLOOKUP(VLOOKUP(A624,'[1]Sales Order'!A:C,3,FALSE),[1]Employee!A:C,3,FALSE)&amp;" "&amp;VLOOKUP(VLOOKUP(A624,'[1]Sales Order'!A:C,3,FALSE),[1]Employee!A:B,2,FALSE),"Not Specified")</f>
        <v>Mr. Russell King</v>
      </c>
      <c r="I624">
        <f>IFERROR(VLOOKUP(VLOOKUP(A624,'[1]Sales Order'!A:C,3,FALSE),[1]Employee!A:J,10,FALSE),"Not Specified")</f>
        <v>0</v>
      </c>
      <c r="J624" t="str">
        <f>VLOOKUP(B624,[1]Product!A:B,2,FALSE)</f>
        <v>Product SWNJY</v>
      </c>
      <c r="K624" t="str">
        <f>VLOOKUP(VLOOKUP(B624,[1]Product!A:D,4,FALSE),[1]Category!A:B,2,FALSE)</f>
        <v>Beverages</v>
      </c>
      <c r="L624" s="10">
        <f>IFERROR(VLOOKUP(A624,'[1]Sales Order'!A:D,4,FALSE),"")</f>
        <v>39165</v>
      </c>
      <c r="M624" s="10">
        <f>IFERROR(VLOOKUP(A624,'[1]Sales Order'!A:F,6,FALSE),"")</f>
        <v>39197</v>
      </c>
      <c r="N624" t="str">
        <f>IFERROR(VLOOKUP(VLOOKUP(A624,'[1]Sales Order'!A:G,7,FALSE),[1]Shipper!A:B,2,FALSE),"Not Specified")</f>
        <v>Shipper ETYNR</v>
      </c>
      <c r="O624" t="str">
        <f>IFERROR(VLOOKUP(A624,'[1]Sales Order'!A:I,9,FALSE),"Not Specified")</f>
        <v>Ship to 89-A</v>
      </c>
      <c r="P624" t="str">
        <f>IFERROR(VLOOKUP(A624,'[1]Sales Order'!A:N,14,FALSE),"Not Specified")</f>
        <v>USA</v>
      </c>
      <c r="Q624" t="str">
        <f>VLOOKUP(VLOOKUP(B624,[1]Product!A:C,3,FALSE),[1]Supplier!A:B,2,FALSE)</f>
        <v>Supplier UHZRG</v>
      </c>
      <c r="R624" t="str">
        <f>VLOOKUP(VLOOKUP(B624,[1]Product!A:C,3,FALSE),[1]Supplier!A:I,9,FALSE)</f>
        <v>USA</v>
      </c>
      <c r="S624" t="str">
        <f>IFERROR(IF(VLOOKUP(A624,'[1]Sales Order'!A:H,8,FALSE)&gt;100,"High Freight","Low Freight"),"Not Specified")</f>
        <v>Low Freight</v>
      </c>
      <c r="T624">
        <f t="shared" si="19"/>
        <v>372.4</v>
      </c>
    </row>
    <row r="625" spans="1:20">
      <c r="A625" s="1">
        <v>10483</v>
      </c>
      <c r="B625" s="2">
        <v>77</v>
      </c>
      <c r="C625" s="2">
        <v>10.4</v>
      </c>
      <c r="D625" s="2">
        <v>30</v>
      </c>
      <c r="E625" s="3">
        <v>0.05</v>
      </c>
      <c r="F625" s="2" t="str">
        <f>IFERROR(VLOOKUP(VLOOKUP(A625,'[1]Sales Order'!A:B,2,FALSE),[1]Customer!A:C,3,FALSE),"Not Specified")</f>
        <v>Smith Jr., Ronaldo</v>
      </c>
      <c r="G625" s="2" t="str">
        <f t="shared" si="18"/>
        <v>Smith Jr. Ronaldo</v>
      </c>
      <c r="H625" s="8" t="str">
        <f>IFERROR(VLOOKUP(VLOOKUP(A625,'[1]Sales Order'!A:C,3,FALSE),[1]Employee!A:E,5,FALSE)&amp;" "&amp;VLOOKUP(VLOOKUP(A625,'[1]Sales Order'!A:C,3,FALSE),[1]Employee!A:C,3,FALSE)&amp;" "&amp;VLOOKUP(VLOOKUP(A625,'[1]Sales Order'!A:C,3,FALSE),[1]Employee!A:B,2,FALSE),"Not Specified")</f>
        <v>Mr. Russell King</v>
      </c>
      <c r="I625">
        <f>IFERROR(VLOOKUP(VLOOKUP(A625,'[1]Sales Order'!A:C,3,FALSE),[1]Employee!A:J,10,FALSE),"Not Specified")</f>
        <v>0</v>
      </c>
      <c r="J625" t="str">
        <f>VLOOKUP(B625,[1]Product!A:B,2,FALSE)</f>
        <v>Product LUNZZ</v>
      </c>
      <c r="K625" t="str">
        <f>VLOOKUP(VLOOKUP(B625,[1]Product!A:D,4,FALSE),[1]Category!A:B,2,FALSE)</f>
        <v>Condiments</v>
      </c>
      <c r="L625" s="10">
        <f>IFERROR(VLOOKUP(A625,'[1]Sales Order'!A:D,4,FALSE),"")</f>
        <v>39165</v>
      </c>
      <c r="M625" s="10">
        <f>IFERROR(VLOOKUP(A625,'[1]Sales Order'!A:F,6,FALSE),"")</f>
        <v>39197</v>
      </c>
      <c r="N625" t="str">
        <f>IFERROR(VLOOKUP(VLOOKUP(A625,'[1]Sales Order'!A:G,7,FALSE),[1]Shipper!A:B,2,FALSE),"Not Specified")</f>
        <v>Shipper ETYNR</v>
      </c>
      <c r="O625" t="str">
        <f>IFERROR(VLOOKUP(A625,'[1]Sales Order'!A:I,9,FALSE),"Not Specified")</f>
        <v>Ship to 89-A</v>
      </c>
      <c r="P625" t="str">
        <f>IFERROR(VLOOKUP(A625,'[1]Sales Order'!A:N,14,FALSE),"Not Specified")</f>
        <v>USA</v>
      </c>
      <c r="Q625" t="str">
        <f>VLOOKUP(VLOOKUP(B625,[1]Product!A:C,3,FALSE),[1]Supplier!A:B,2,FALSE)</f>
        <v>Supplier SVIYA</v>
      </c>
      <c r="R625" t="str">
        <f>VLOOKUP(VLOOKUP(B625,[1]Product!A:C,3,FALSE),[1]Supplier!A:I,9,FALSE)</f>
        <v>Germany</v>
      </c>
      <c r="S625" t="str">
        <f>IFERROR(IF(VLOOKUP(A625,'[1]Sales Order'!A:H,8,FALSE)&gt;100,"High Freight","Low Freight"),"Not Specified")</f>
        <v>Low Freight</v>
      </c>
      <c r="T625">
        <f t="shared" si="19"/>
        <v>296.39999999999998</v>
      </c>
    </row>
    <row r="626" spans="1:20">
      <c r="A626" s="1">
        <v>10484</v>
      </c>
      <c r="B626" s="2">
        <v>21</v>
      </c>
      <c r="C626" s="2">
        <v>8</v>
      </c>
      <c r="D626" s="2">
        <v>14</v>
      </c>
      <c r="E626" s="3">
        <v>0</v>
      </c>
      <c r="F626" s="2" t="str">
        <f>IFERROR(VLOOKUP(VLOOKUP(A626,'[1]Sales Order'!A:B,2,FALSE),[1]Customer!A:C,3,FALSE),"Not Specified")</f>
        <v>Jaffe, David</v>
      </c>
      <c r="G626" s="2" t="str">
        <f t="shared" si="18"/>
        <v>Jaffe David</v>
      </c>
      <c r="H626" s="8" t="str">
        <f>IFERROR(VLOOKUP(VLOOKUP(A626,'[1]Sales Order'!A:C,3,FALSE),[1]Employee!A:E,5,FALSE)&amp;" "&amp;VLOOKUP(VLOOKUP(A626,'[1]Sales Order'!A:C,3,FALSE),[1]Employee!A:C,3,FALSE)&amp;" "&amp;VLOOKUP(VLOOKUP(A626,'[1]Sales Order'!A:C,3,FALSE),[1]Employee!A:B,2,FALSE),"Not Specified")</f>
        <v>Ms. Judy Lew</v>
      </c>
      <c r="I626" t="str">
        <f>IFERROR(VLOOKUP(VLOOKUP(A626,'[1]Sales Order'!A:C,3,FALSE),[1]Employee!A:J,10,FALSE),"Not Specified")</f>
        <v>WA</v>
      </c>
      <c r="J626" t="str">
        <f>VLOOKUP(B626,[1]Product!A:B,2,FALSE)</f>
        <v>Product VJZZH</v>
      </c>
      <c r="K626" t="str">
        <f>VLOOKUP(VLOOKUP(B626,[1]Product!A:D,4,FALSE),[1]Category!A:B,2,FALSE)</f>
        <v>Confections</v>
      </c>
      <c r="L626" s="10">
        <f>IFERROR(VLOOKUP(A626,'[1]Sales Order'!A:D,4,FALSE),"")</f>
        <v>39165</v>
      </c>
      <c r="M626" s="10">
        <f>IFERROR(VLOOKUP(A626,'[1]Sales Order'!A:F,6,FALSE),"")</f>
        <v>39173</v>
      </c>
      <c r="N626" t="str">
        <f>IFERROR(VLOOKUP(VLOOKUP(A626,'[1]Sales Order'!A:G,7,FALSE),[1]Shipper!A:B,2,FALSE),"Not Specified")</f>
        <v>Shipper ZHISN</v>
      </c>
      <c r="O626" t="str">
        <f>IFERROR(VLOOKUP(A626,'[1]Sales Order'!A:I,9,FALSE),"Not Specified")</f>
        <v>Destination DLEUN</v>
      </c>
      <c r="P626" t="str">
        <f>IFERROR(VLOOKUP(A626,'[1]Sales Order'!A:N,14,FALSE),"Not Specified")</f>
        <v>UK</v>
      </c>
      <c r="Q626" t="str">
        <f>VLOOKUP(VLOOKUP(B626,[1]Product!A:C,3,FALSE),[1]Supplier!A:B,2,FALSE)</f>
        <v>Supplier BWGYE</v>
      </c>
      <c r="R626" t="str">
        <f>VLOOKUP(VLOOKUP(B626,[1]Product!A:C,3,FALSE),[1]Supplier!A:I,9,FALSE)</f>
        <v>UK</v>
      </c>
      <c r="S626" t="str">
        <f>IFERROR(IF(VLOOKUP(A626,'[1]Sales Order'!A:H,8,FALSE)&gt;100,"High Freight","Low Freight"),"Not Specified")</f>
        <v>Low Freight</v>
      </c>
      <c r="T626">
        <f t="shared" si="19"/>
        <v>112</v>
      </c>
    </row>
    <row r="627" spans="1:20">
      <c r="A627" s="1">
        <v>10484</v>
      </c>
      <c r="B627" s="2">
        <v>40</v>
      </c>
      <c r="C627" s="2">
        <v>14.7</v>
      </c>
      <c r="D627" s="2">
        <v>10</v>
      </c>
      <c r="E627" s="3">
        <v>0</v>
      </c>
      <c r="F627" s="2" t="str">
        <f>IFERROR(VLOOKUP(VLOOKUP(A627,'[1]Sales Order'!A:B,2,FALSE),[1]Customer!A:C,3,FALSE),"Not Specified")</f>
        <v>Jaffe, David</v>
      </c>
      <c r="G627" s="2" t="str">
        <f t="shared" si="18"/>
        <v>Jaffe David</v>
      </c>
      <c r="H627" s="8" t="str">
        <f>IFERROR(VLOOKUP(VLOOKUP(A627,'[1]Sales Order'!A:C,3,FALSE),[1]Employee!A:E,5,FALSE)&amp;" "&amp;VLOOKUP(VLOOKUP(A627,'[1]Sales Order'!A:C,3,FALSE),[1]Employee!A:C,3,FALSE)&amp;" "&amp;VLOOKUP(VLOOKUP(A627,'[1]Sales Order'!A:C,3,FALSE),[1]Employee!A:B,2,FALSE),"Not Specified")</f>
        <v>Ms. Judy Lew</v>
      </c>
      <c r="I627" t="str">
        <f>IFERROR(VLOOKUP(VLOOKUP(A627,'[1]Sales Order'!A:C,3,FALSE),[1]Employee!A:J,10,FALSE),"Not Specified")</f>
        <v>WA</v>
      </c>
      <c r="J627" t="str">
        <f>VLOOKUP(B627,[1]Product!A:B,2,FALSE)</f>
        <v>Product YZIXQ</v>
      </c>
      <c r="K627" t="str">
        <f>VLOOKUP(VLOOKUP(B627,[1]Product!A:D,4,FALSE),[1]Category!A:B,2,FALSE)</f>
        <v>Seafood</v>
      </c>
      <c r="L627" s="10">
        <f>IFERROR(VLOOKUP(A627,'[1]Sales Order'!A:D,4,FALSE),"")</f>
        <v>39165</v>
      </c>
      <c r="M627" s="10">
        <f>IFERROR(VLOOKUP(A627,'[1]Sales Order'!A:F,6,FALSE),"")</f>
        <v>39173</v>
      </c>
      <c r="N627" t="str">
        <f>IFERROR(VLOOKUP(VLOOKUP(A627,'[1]Sales Order'!A:G,7,FALSE),[1]Shipper!A:B,2,FALSE),"Not Specified")</f>
        <v>Shipper ZHISN</v>
      </c>
      <c r="O627" t="str">
        <f>IFERROR(VLOOKUP(A627,'[1]Sales Order'!A:I,9,FALSE),"Not Specified")</f>
        <v>Destination DLEUN</v>
      </c>
      <c r="P627" t="str">
        <f>IFERROR(VLOOKUP(A627,'[1]Sales Order'!A:N,14,FALSE),"Not Specified")</f>
        <v>UK</v>
      </c>
      <c r="Q627" t="str">
        <f>VLOOKUP(VLOOKUP(B627,[1]Product!A:C,3,FALSE),[1]Supplier!A:B,2,FALSE)</f>
        <v>Supplier JDNUG</v>
      </c>
      <c r="R627" t="str">
        <f>VLOOKUP(VLOOKUP(B627,[1]Product!A:C,3,FALSE),[1]Supplier!A:I,9,FALSE)</f>
        <v>USA</v>
      </c>
      <c r="S627" t="str">
        <f>IFERROR(IF(VLOOKUP(A627,'[1]Sales Order'!A:H,8,FALSE)&gt;100,"High Freight","Low Freight"),"Not Specified")</f>
        <v>Low Freight</v>
      </c>
      <c r="T627">
        <f t="shared" si="19"/>
        <v>147</v>
      </c>
    </row>
    <row r="628" spans="1:20">
      <c r="A628" s="1">
        <v>10484</v>
      </c>
      <c r="B628" s="2">
        <v>51</v>
      </c>
      <c r="C628" s="2">
        <v>42.4</v>
      </c>
      <c r="D628" s="2">
        <v>3</v>
      </c>
      <c r="E628" s="3">
        <v>0</v>
      </c>
      <c r="F628" s="2" t="str">
        <f>IFERROR(VLOOKUP(VLOOKUP(A628,'[1]Sales Order'!A:B,2,FALSE),[1]Customer!A:C,3,FALSE),"Not Specified")</f>
        <v>Jaffe, David</v>
      </c>
      <c r="G628" s="2" t="str">
        <f t="shared" si="18"/>
        <v>Jaffe David</v>
      </c>
      <c r="H628" s="8" t="str">
        <f>IFERROR(VLOOKUP(VLOOKUP(A628,'[1]Sales Order'!A:C,3,FALSE),[1]Employee!A:E,5,FALSE)&amp;" "&amp;VLOOKUP(VLOOKUP(A628,'[1]Sales Order'!A:C,3,FALSE),[1]Employee!A:C,3,FALSE)&amp;" "&amp;VLOOKUP(VLOOKUP(A628,'[1]Sales Order'!A:C,3,FALSE),[1]Employee!A:B,2,FALSE),"Not Specified")</f>
        <v>Ms. Judy Lew</v>
      </c>
      <c r="I628" t="str">
        <f>IFERROR(VLOOKUP(VLOOKUP(A628,'[1]Sales Order'!A:C,3,FALSE),[1]Employee!A:J,10,FALSE),"Not Specified")</f>
        <v>WA</v>
      </c>
      <c r="J628" t="str">
        <f>VLOOKUP(B628,[1]Product!A:B,2,FALSE)</f>
        <v>Product APITJ</v>
      </c>
      <c r="K628" t="str">
        <f>VLOOKUP(VLOOKUP(B628,[1]Product!A:D,4,FALSE),[1]Category!A:B,2,FALSE)</f>
        <v>Produce</v>
      </c>
      <c r="L628" s="10">
        <f>IFERROR(VLOOKUP(A628,'[1]Sales Order'!A:D,4,FALSE),"")</f>
        <v>39165</v>
      </c>
      <c r="M628" s="10">
        <f>IFERROR(VLOOKUP(A628,'[1]Sales Order'!A:F,6,FALSE),"")</f>
        <v>39173</v>
      </c>
      <c r="N628" t="str">
        <f>IFERROR(VLOOKUP(VLOOKUP(A628,'[1]Sales Order'!A:G,7,FALSE),[1]Shipper!A:B,2,FALSE),"Not Specified")</f>
        <v>Shipper ZHISN</v>
      </c>
      <c r="O628" t="str">
        <f>IFERROR(VLOOKUP(A628,'[1]Sales Order'!A:I,9,FALSE),"Not Specified")</f>
        <v>Destination DLEUN</v>
      </c>
      <c r="P628" t="str">
        <f>IFERROR(VLOOKUP(A628,'[1]Sales Order'!A:N,14,FALSE),"Not Specified")</f>
        <v>UK</v>
      </c>
      <c r="Q628" t="str">
        <f>VLOOKUP(VLOOKUP(B628,[1]Product!A:C,3,FALSE),[1]Supplier!A:B,2,FALSE)</f>
        <v>Supplier JNNES</v>
      </c>
      <c r="R628" t="str">
        <f>VLOOKUP(VLOOKUP(B628,[1]Product!A:C,3,FALSE),[1]Supplier!A:I,9,FALSE)</f>
        <v>Australia</v>
      </c>
      <c r="S628" t="str">
        <f>IFERROR(IF(VLOOKUP(A628,'[1]Sales Order'!A:H,8,FALSE)&gt;100,"High Freight","Low Freight"),"Not Specified")</f>
        <v>Low Freight</v>
      </c>
      <c r="T628">
        <f t="shared" si="19"/>
        <v>127.19999999999999</v>
      </c>
    </row>
    <row r="629" spans="1:20">
      <c r="A629" s="1">
        <v>10485</v>
      </c>
      <c r="B629" s="2">
        <v>2</v>
      </c>
      <c r="C629" s="2">
        <v>15.2</v>
      </c>
      <c r="D629" s="2">
        <v>20</v>
      </c>
      <c r="E629" s="3">
        <v>0.1</v>
      </c>
      <c r="F629" s="2" t="str">
        <f>IFERROR(VLOOKUP(VLOOKUP(A629,'[1]Sales Order'!A:B,2,FALSE),[1]Customer!A:C,3,FALSE),"Not Specified")</f>
        <v>Lupu, Cornel</v>
      </c>
      <c r="G629" s="2" t="str">
        <f t="shared" si="18"/>
        <v>Lupu Cornel</v>
      </c>
      <c r="H629" s="8" t="str">
        <f>IFERROR(VLOOKUP(VLOOKUP(A629,'[1]Sales Order'!A:C,3,FALSE),[1]Employee!A:E,5,FALSE)&amp;" "&amp;VLOOKUP(VLOOKUP(A629,'[1]Sales Order'!A:C,3,FALSE),[1]Employee!A:C,3,FALSE)&amp;" "&amp;VLOOKUP(VLOOKUP(A629,'[1]Sales Order'!A:C,3,FALSE),[1]Employee!A:B,2,FALSE),"Not Specified")</f>
        <v>Mrs. Yael Peled</v>
      </c>
      <c r="I629" t="str">
        <f>IFERROR(VLOOKUP(VLOOKUP(A629,'[1]Sales Order'!A:C,3,FALSE),[1]Employee!A:J,10,FALSE),"Not Specified")</f>
        <v>WA</v>
      </c>
      <c r="J629" t="str">
        <f>VLOOKUP(B629,[1]Product!A:B,2,FALSE)</f>
        <v>Product RECZE</v>
      </c>
      <c r="K629" t="str">
        <f>VLOOKUP(VLOOKUP(B629,[1]Product!A:D,4,FALSE),[1]Category!A:B,2,FALSE)</f>
        <v>Beverages</v>
      </c>
      <c r="L629" s="10">
        <f>IFERROR(VLOOKUP(A629,'[1]Sales Order'!A:D,4,FALSE),"")</f>
        <v>39166</v>
      </c>
      <c r="M629" s="10">
        <f>IFERROR(VLOOKUP(A629,'[1]Sales Order'!A:F,6,FALSE),"")</f>
        <v>39172</v>
      </c>
      <c r="N629" t="str">
        <f>IFERROR(VLOOKUP(VLOOKUP(A629,'[1]Sales Order'!A:G,7,FALSE),[1]Shipper!A:B,2,FALSE),"Not Specified")</f>
        <v>Shipper ETYNR</v>
      </c>
      <c r="O629" t="str">
        <f>IFERROR(VLOOKUP(A629,'[1]Sales Order'!A:I,9,FALSE),"Not Specified")</f>
        <v>Ship to 47-B</v>
      </c>
      <c r="P629" t="str">
        <f>IFERROR(VLOOKUP(A629,'[1]Sales Order'!A:N,14,FALSE),"Not Specified")</f>
        <v>Venezuela</v>
      </c>
      <c r="Q629" t="str">
        <f>VLOOKUP(VLOOKUP(B629,[1]Product!A:C,3,FALSE),[1]Supplier!A:B,2,FALSE)</f>
        <v>Supplier SWRXU</v>
      </c>
      <c r="R629" t="str">
        <f>VLOOKUP(VLOOKUP(B629,[1]Product!A:C,3,FALSE),[1]Supplier!A:I,9,FALSE)</f>
        <v>UK</v>
      </c>
      <c r="S629" t="str">
        <f>IFERROR(IF(VLOOKUP(A629,'[1]Sales Order'!A:H,8,FALSE)&gt;100,"High Freight","Low Freight"),"Not Specified")</f>
        <v>Low Freight</v>
      </c>
      <c r="T629">
        <f t="shared" si="19"/>
        <v>273.60000000000002</v>
      </c>
    </row>
    <row r="630" spans="1:20">
      <c r="A630" s="1">
        <v>10485</v>
      </c>
      <c r="B630" s="2">
        <v>3</v>
      </c>
      <c r="C630" s="2">
        <v>8</v>
      </c>
      <c r="D630" s="2">
        <v>20</v>
      </c>
      <c r="E630" s="3">
        <v>0.1</v>
      </c>
      <c r="F630" s="2" t="str">
        <f>IFERROR(VLOOKUP(VLOOKUP(A630,'[1]Sales Order'!A:B,2,FALSE),[1]Customer!A:C,3,FALSE),"Not Specified")</f>
        <v>Lupu, Cornel</v>
      </c>
      <c r="G630" s="2" t="str">
        <f t="shared" si="18"/>
        <v>Lupu Cornel</v>
      </c>
      <c r="H630" s="8" t="str">
        <f>IFERROR(VLOOKUP(VLOOKUP(A630,'[1]Sales Order'!A:C,3,FALSE),[1]Employee!A:E,5,FALSE)&amp;" "&amp;VLOOKUP(VLOOKUP(A630,'[1]Sales Order'!A:C,3,FALSE),[1]Employee!A:C,3,FALSE)&amp;" "&amp;VLOOKUP(VLOOKUP(A630,'[1]Sales Order'!A:C,3,FALSE),[1]Employee!A:B,2,FALSE),"Not Specified")</f>
        <v>Mrs. Yael Peled</v>
      </c>
      <c r="I630" t="str">
        <f>IFERROR(VLOOKUP(VLOOKUP(A630,'[1]Sales Order'!A:C,3,FALSE),[1]Employee!A:J,10,FALSE),"Not Specified")</f>
        <v>WA</v>
      </c>
      <c r="J630" t="str">
        <f>VLOOKUP(B630,[1]Product!A:B,2,FALSE)</f>
        <v>Product IMEHJ</v>
      </c>
      <c r="K630" t="str">
        <f>VLOOKUP(VLOOKUP(B630,[1]Product!A:D,4,FALSE),[1]Category!A:B,2,FALSE)</f>
        <v>Condiments</v>
      </c>
      <c r="L630" s="10">
        <f>IFERROR(VLOOKUP(A630,'[1]Sales Order'!A:D,4,FALSE),"")</f>
        <v>39166</v>
      </c>
      <c r="M630" s="10">
        <f>IFERROR(VLOOKUP(A630,'[1]Sales Order'!A:F,6,FALSE),"")</f>
        <v>39172</v>
      </c>
      <c r="N630" t="str">
        <f>IFERROR(VLOOKUP(VLOOKUP(A630,'[1]Sales Order'!A:G,7,FALSE),[1]Shipper!A:B,2,FALSE),"Not Specified")</f>
        <v>Shipper ETYNR</v>
      </c>
      <c r="O630" t="str">
        <f>IFERROR(VLOOKUP(A630,'[1]Sales Order'!A:I,9,FALSE),"Not Specified")</f>
        <v>Ship to 47-B</v>
      </c>
      <c r="P630" t="str">
        <f>IFERROR(VLOOKUP(A630,'[1]Sales Order'!A:N,14,FALSE),"Not Specified")</f>
        <v>Venezuela</v>
      </c>
      <c r="Q630" t="str">
        <f>VLOOKUP(VLOOKUP(B630,[1]Product!A:C,3,FALSE),[1]Supplier!A:B,2,FALSE)</f>
        <v>Supplier SWRXU</v>
      </c>
      <c r="R630" t="str">
        <f>VLOOKUP(VLOOKUP(B630,[1]Product!A:C,3,FALSE),[1]Supplier!A:I,9,FALSE)</f>
        <v>UK</v>
      </c>
      <c r="S630" t="str">
        <f>IFERROR(IF(VLOOKUP(A630,'[1]Sales Order'!A:H,8,FALSE)&gt;100,"High Freight","Low Freight"),"Not Specified")</f>
        <v>Low Freight</v>
      </c>
      <c r="T630">
        <f t="shared" si="19"/>
        <v>144</v>
      </c>
    </row>
    <row r="631" spans="1:20">
      <c r="A631" s="1">
        <v>10485</v>
      </c>
      <c r="B631" s="2">
        <v>55</v>
      </c>
      <c r="C631" s="2">
        <v>19.2</v>
      </c>
      <c r="D631" s="2">
        <v>30</v>
      </c>
      <c r="E631" s="3">
        <v>0.1</v>
      </c>
      <c r="F631" s="2" t="str">
        <f>IFERROR(VLOOKUP(VLOOKUP(A631,'[1]Sales Order'!A:B,2,FALSE),[1]Customer!A:C,3,FALSE),"Not Specified")</f>
        <v>Lupu, Cornel</v>
      </c>
      <c r="G631" s="2" t="str">
        <f t="shared" si="18"/>
        <v>Lupu Cornel</v>
      </c>
      <c r="H631" s="8" t="str">
        <f>IFERROR(VLOOKUP(VLOOKUP(A631,'[1]Sales Order'!A:C,3,FALSE),[1]Employee!A:E,5,FALSE)&amp;" "&amp;VLOOKUP(VLOOKUP(A631,'[1]Sales Order'!A:C,3,FALSE),[1]Employee!A:C,3,FALSE)&amp;" "&amp;VLOOKUP(VLOOKUP(A631,'[1]Sales Order'!A:C,3,FALSE),[1]Employee!A:B,2,FALSE),"Not Specified")</f>
        <v>Mrs. Yael Peled</v>
      </c>
      <c r="I631" t="str">
        <f>IFERROR(VLOOKUP(VLOOKUP(A631,'[1]Sales Order'!A:C,3,FALSE),[1]Employee!A:J,10,FALSE),"Not Specified")</f>
        <v>WA</v>
      </c>
      <c r="J631" t="str">
        <f>VLOOKUP(B631,[1]Product!A:B,2,FALSE)</f>
        <v>Product YYWRT</v>
      </c>
      <c r="K631" t="str">
        <f>VLOOKUP(VLOOKUP(B631,[1]Product!A:D,4,FALSE),[1]Category!A:B,2,FALSE)</f>
        <v>Meat/Poultry</v>
      </c>
      <c r="L631" s="10">
        <f>IFERROR(VLOOKUP(A631,'[1]Sales Order'!A:D,4,FALSE),"")</f>
        <v>39166</v>
      </c>
      <c r="M631" s="10">
        <f>IFERROR(VLOOKUP(A631,'[1]Sales Order'!A:F,6,FALSE),"")</f>
        <v>39172</v>
      </c>
      <c r="N631" t="str">
        <f>IFERROR(VLOOKUP(VLOOKUP(A631,'[1]Sales Order'!A:G,7,FALSE),[1]Shipper!A:B,2,FALSE),"Not Specified")</f>
        <v>Shipper ETYNR</v>
      </c>
      <c r="O631" t="str">
        <f>IFERROR(VLOOKUP(A631,'[1]Sales Order'!A:I,9,FALSE),"Not Specified")</f>
        <v>Ship to 47-B</v>
      </c>
      <c r="P631" t="str">
        <f>IFERROR(VLOOKUP(A631,'[1]Sales Order'!A:N,14,FALSE),"Not Specified")</f>
        <v>Venezuela</v>
      </c>
      <c r="Q631" t="str">
        <f>VLOOKUP(VLOOKUP(B631,[1]Product!A:C,3,FALSE),[1]Supplier!A:B,2,FALSE)</f>
        <v>Supplier ERVYZ</v>
      </c>
      <c r="R631" t="str">
        <f>VLOOKUP(VLOOKUP(B631,[1]Product!A:C,3,FALSE),[1]Supplier!A:I,9,FALSE)</f>
        <v>Canada</v>
      </c>
      <c r="S631" t="str">
        <f>IFERROR(IF(VLOOKUP(A631,'[1]Sales Order'!A:H,8,FALSE)&gt;100,"High Freight","Low Freight"),"Not Specified")</f>
        <v>Low Freight</v>
      </c>
      <c r="T631">
        <f t="shared" si="19"/>
        <v>518.4</v>
      </c>
    </row>
    <row r="632" spans="1:20">
      <c r="A632" s="1">
        <v>10485</v>
      </c>
      <c r="B632" s="2">
        <v>70</v>
      </c>
      <c r="C632" s="2">
        <v>12</v>
      </c>
      <c r="D632" s="2">
        <v>60</v>
      </c>
      <c r="E632" s="3">
        <v>0.1</v>
      </c>
      <c r="F632" s="2" t="str">
        <f>IFERROR(VLOOKUP(VLOOKUP(A632,'[1]Sales Order'!A:B,2,FALSE),[1]Customer!A:C,3,FALSE),"Not Specified")</f>
        <v>Lupu, Cornel</v>
      </c>
      <c r="G632" s="2" t="str">
        <f t="shared" si="18"/>
        <v>Lupu Cornel</v>
      </c>
      <c r="H632" s="8" t="str">
        <f>IFERROR(VLOOKUP(VLOOKUP(A632,'[1]Sales Order'!A:C,3,FALSE),[1]Employee!A:E,5,FALSE)&amp;" "&amp;VLOOKUP(VLOOKUP(A632,'[1]Sales Order'!A:C,3,FALSE),[1]Employee!A:C,3,FALSE)&amp;" "&amp;VLOOKUP(VLOOKUP(A632,'[1]Sales Order'!A:C,3,FALSE),[1]Employee!A:B,2,FALSE),"Not Specified")</f>
        <v>Mrs. Yael Peled</v>
      </c>
      <c r="I632" t="str">
        <f>IFERROR(VLOOKUP(VLOOKUP(A632,'[1]Sales Order'!A:C,3,FALSE),[1]Employee!A:J,10,FALSE),"Not Specified")</f>
        <v>WA</v>
      </c>
      <c r="J632" t="str">
        <f>VLOOKUP(B632,[1]Product!A:B,2,FALSE)</f>
        <v>Product TOONT</v>
      </c>
      <c r="K632" t="str">
        <f>VLOOKUP(VLOOKUP(B632,[1]Product!A:D,4,FALSE),[1]Category!A:B,2,FALSE)</f>
        <v>Beverages</v>
      </c>
      <c r="L632" s="10">
        <f>IFERROR(VLOOKUP(A632,'[1]Sales Order'!A:D,4,FALSE),"")</f>
        <v>39166</v>
      </c>
      <c r="M632" s="10">
        <f>IFERROR(VLOOKUP(A632,'[1]Sales Order'!A:F,6,FALSE),"")</f>
        <v>39172</v>
      </c>
      <c r="N632" t="str">
        <f>IFERROR(VLOOKUP(VLOOKUP(A632,'[1]Sales Order'!A:G,7,FALSE),[1]Shipper!A:B,2,FALSE),"Not Specified")</f>
        <v>Shipper ETYNR</v>
      </c>
      <c r="O632" t="str">
        <f>IFERROR(VLOOKUP(A632,'[1]Sales Order'!A:I,9,FALSE),"Not Specified")</f>
        <v>Ship to 47-B</v>
      </c>
      <c r="P632" t="str">
        <f>IFERROR(VLOOKUP(A632,'[1]Sales Order'!A:N,14,FALSE),"Not Specified")</f>
        <v>Venezuela</v>
      </c>
      <c r="Q632" t="str">
        <f>VLOOKUP(VLOOKUP(B632,[1]Product!A:C,3,FALSE),[1]Supplier!A:B,2,FALSE)</f>
        <v>Supplier GQRCV</v>
      </c>
      <c r="R632" t="str">
        <f>VLOOKUP(VLOOKUP(B632,[1]Product!A:C,3,FALSE),[1]Supplier!A:I,9,FALSE)</f>
        <v>Australia</v>
      </c>
      <c r="S632" t="str">
        <f>IFERROR(IF(VLOOKUP(A632,'[1]Sales Order'!A:H,8,FALSE)&gt;100,"High Freight","Low Freight"),"Not Specified")</f>
        <v>Low Freight</v>
      </c>
      <c r="T632">
        <f t="shared" si="19"/>
        <v>648</v>
      </c>
    </row>
    <row r="633" spans="1:20">
      <c r="A633" s="1">
        <v>10486</v>
      </c>
      <c r="B633" s="2">
        <v>11</v>
      </c>
      <c r="C633" s="2">
        <v>16.8</v>
      </c>
      <c r="D633" s="2">
        <v>5</v>
      </c>
      <c r="E633" s="3">
        <v>0</v>
      </c>
      <c r="F633" s="2" t="str">
        <f>IFERROR(VLOOKUP(VLOOKUP(A633,'[1]Sales Order'!A:B,2,FALSE),[1]Customer!A:C,3,FALSE),"Not Specified")</f>
        <v>Langohr, Kris</v>
      </c>
      <c r="G633" s="2" t="str">
        <f t="shared" si="18"/>
        <v>Langohr Kris</v>
      </c>
      <c r="H633" s="8" t="str">
        <f>IFERROR(VLOOKUP(VLOOKUP(A633,'[1]Sales Order'!A:C,3,FALSE),[1]Employee!A:E,5,FALSE)&amp;" "&amp;VLOOKUP(VLOOKUP(A633,'[1]Sales Order'!A:C,3,FALSE),[1]Employee!A:C,3,FALSE)&amp;" "&amp;VLOOKUP(VLOOKUP(A633,'[1]Sales Order'!A:C,3,FALSE),[1]Employee!A:B,2,FALSE),"Not Specified")</f>
        <v>Ms. Sara Davis</v>
      </c>
      <c r="I633" t="str">
        <f>IFERROR(VLOOKUP(VLOOKUP(A633,'[1]Sales Order'!A:C,3,FALSE),[1]Employee!A:J,10,FALSE),"Not Specified")</f>
        <v>WA</v>
      </c>
      <c r="J633" t="str">
        <f>VLOOKUP(B633,[1]Product!A:B,2,FALSE)</f>
        <v>Product QMVUN</v>
      </c>
      <c r="K633" t="str">
        <f>VLOOKUP(VLOOKUP(B633,[1]Product!A:D,4,FALSE),[1]Category!A:B,2,FALSE)</f>
        <v>Dairy Product</v>
      </c>
      <c r="L633" s="10">
        <f>IFERROR(VLOOKUP(A633,'[1]Sales Order'!A:D,4,FALSE),"")</f>
        <v>39167</v>
      </c>
      <c r="M633" s="10">
        <f>IFERROR(VLOOKUP(A633,'[1]Sales Order'!A:F,6,FALSE),"")</f>
        <v>39174</v>
      </c>
      <c r="N633" t="str">
        <f>IFERROR(VLOOKUP(VLOOKUP(A633,'[1]Sales Order'!A:G,7,FALSE),[1]Shipper!A:B,2,FALSE),"Not Specified")</f>
        <v>Shipper ETYNR</v>
      </c>
      <c r="O633" t="str">
        <f>IFERROR(VLOOKUP(A633,'[1]Sales Order'!A:I,9,FALSE),"Not Specified")</f>
        <v>Destination UOUWK</v>
      </c>
      <c r="P633" t="str">
        <f>IFERROR(VLOOKUP(A633,'[1]Sales Order'!A:N,14,FALSE),"Not Specified")</f>
        <v>Venezuela</v>
      </c>
      <c r="Q633" t="str">
        <f>VLOOKUP(VLOOKUP(B633,[1]Product!A:C,3,FALSE),[1]Supplier!A:B,2,FALSE)</f>
        <v>Supplier EQPNC</v>
      </c>
      <c r="R633" t="str">
        <f>VLOOKUP(VLOOKUP(B633,[1]Product!A:C,3,FALSE),[1]Supplier!A:I,9,FALSE)</f>
        <v>Spain</v>
      </c>
      <c r="S633" t="str">
        <f>IFERROR(IF(VLOOKUP(A633,'[1]Sales Order'!A:H,8,FALSE)&gt;100,"High Freight","Low Freight"),"Not Specified")</f>
        <v>Low Freight</v>
      </c>
      <c r="T633">
        <f t="shared" si="19"/>
        <v>84</v>
      </c>
    </row>
    <row r="634" spans="1:20">
      <c r="A634" s="1">
        <v>10486</v>
      </c>
      <c r="B634" s="2">
        <v>51</v>
      </c>
      <c r="C634" s="2">
        <v>42.4</v>
      </c>
      <c r="D634" s="2">
        <v>25</v>
      </c>
      <c r="E634" s="3">
        <v>0</v>
      </c>
      <c r="F634" s="2" t="str">
        <f>IFERROR(VLOOKUP(VLOOKUP(A634,'[1]Sales Order'!A:B,2,FALSE),[1]Customer!A:C,3,FALSE),"Not Specified")</f>
        <v>Langohr, Kris</v>
      </c>
      <c r="G634" s="2" t="str">
        <f t="shared" si="18"/>
        <v>Langohr Kris</v>
      </c>
      <c r="H634" s="8" t="str">
        <f>IFERROR(VLOOKUP(VLOOKUP(A634,'[1]Sales Order'!A:C,3,FALSE),[1]Employee!A:E,5,FALSE)&amp;" "&amp;VLOOKUP(VLOOKUP(A634,'[1]Sales Order'!A:C,3,FALSE),[1]Employee!A:C,3,FALSE)&amp;" "&amp;VLOOKUP(VLOOKUP(A634,'[1]Sales Order'!A:C,3,FALSE),[1]Employee!A:B,2,FALSE),"Not Specified")</f>
        <v>Ms. Sara Davis</v>
      </c>
      <c r="I634" t="str">
        <f>IFERROR(VLOOKUP(VLOOKUP(A634,'[1]Sales Order'!A:C,3,FALSE),[1]Employee!A:J,10,FALSE),"Not Specified")</f>
        <v>WA</v>
      </c>
      <c r="J634" t="str">
        <f>VLOOKUP(B634,[1]Product!A:B,2,FALSE)</f>
        <v>Product APITJ</v>
      </c>
      <c r="K634" t="str">
        <f>VLOOKUP(VLOOKUP(B634,[1]Product!A:D,4,FALSE),[1]Category!A:B,2,FALSE)</f>
        <v>Produce</v>
      </c>
      <c r="L634" s="10">
        <f>IFERROR(VLOOKUP(A634,'[1]Sales Order'!A:D,4,FALSE),"")</f>
        <v>39167</v>
      </c>
      <c r="M634" s="10">
        <f>IFERROR(VLOOKUP(A634,'[1]Sales Order'!A:F,6,FALSE),"")</f>
        <v>39174</v>
      </c>
      <c r="N634" t="str">
        <f>IFERROR(VLOOKUP(VLOOKUP(A634,'[1]Sales Order'!A:G,7,FALSE),[1]Shipper!A:B,2,FALSE),"Not Specified")</f>
        <v>Shipper ETYNR</v>
      </c>
      <c r="O634" t="str">
        <f>IFERROR(VLOOKUP(A634,'[1]Sales Order'!A:I,9,FALSE),"Not Specified")</f>
        <v>Destination UOUWK</v>
      </c>
      <c r="P634" t="str">
        <f>IFERROR(VLOOKUP(A634,'[1]Sales Order'!A:N,14,FALSE),"Not Specified")</f>
        <v>Venezuela</v>
      </c>
      <c r="Q634" t="str">
        <f>VLOOKUP(VLOOKUP(B634,[1]Product!A:C,3,FALSE),[1]Supplier!A:B,2,FALSE)</f>
        <v>Supplier JNNES</v>
      </c>
      <c r="R634" t="str">
        <f>VLOOKUP(VLOOKUP(B634,[1]Product!A:C,3,FALSE),[1]Supplier!A:I,9,FALSE)</f>
        <v>Australia</v>
      </c>
      <c r="S634" t="str">
        <f>IFERROR(IF(VLOOKUP(A634,'[1]Sales Order'!A:H,8,FALSE)&gt;100,"High Freight","Low Freight"),"Not Specified")</f>
        <v>Low Freight</v>
      </c>
      <c r="T634">
        <f t="shared" si="19"/>
        <v>1060</v>
      </c>
    </row>
    <row r="635" spans="1:20">
      <c r="A635" s="1">
        <v>10486</v>
      </c>
      <c r="B635" s="2">
        <v>74</v>
      </c>
      <c r="C635" s="2">
        <v>8</v>
      </c>
      <c r="D635" s="2">
        <v>16</v>
      </c>
      <c r="E635" s="3">
        <v>0</v>
      </c>
      <c r="F635" s="2" t="str">
        <f>IFERROR(VLOOKUP(VLOOKUP(A635,'[1]Sales Order'!A:B,2,FALSE),[1]Customer!A:C,3,FALSE),"Not Specified")</f>
        <v>Langohr, Kris</v>
      </c>
      <c r="G635" s="2" t="str">
        <f t="shared" si="18"/>
        <v>Langohr Kris</v>
      </c>
      <c r="H635" s="8" t="str">
        <f>IFERROR(VLOOKUP(VLOOKUP(A635,'[1]Sales Order'!A:C,3,FALSE),[1]Employee!A:E,5,FALSE)&amp;" "&amp;VLOOKUP(VLOOKUP(A635,'[1]Sales Order'!A:C,3,FALSE),[1]Employee!A:C,3,FALSE)&amp;" "&amp;VLOOKUP(VLOOKUP(A635,'[1]Sales Order'!A:C,3,FALSE),[1]Employee!A:B,2,FALSE),"Not Specified")</f>
        <v>Ms. Sara Davis</v>
      </c>
      <c r="I635" t="str">
        <f>IFERROR(VLOOKUP(VLOOKUP(A635,'[1]Sales Order'!A:C,3,FALSE),[1]Employee!A:J,10,FALSE),"Not Specified")</f>
        <v>WA</v>
      </c>
      <c r="J635" t="str">
        <f>VLOOKUP(B635,[1]Product!A:B,2,FALSE)</f>
        <v>Product BKAZJ</v>
      </c>
      <c r="K635" t="str">
        <f>VLOOKUP(VLOOKUP(B635,[1]Product!A:D,4,FALSE),[1]Category!A:B,2,FALSE)</f>
        <v>Produce</v>
      </c>
      <c r="L635" s="10">
        <f>IFERROR(VLOOKUP(A635,'[1]Sales Order'!A:D,4,FALSE),"")</f>
        <v>39167</v>
      </c>
      <c r="M635" s="10">
        <f>IFERROR(VLOOKUP(A635,'[1]Sales Order'!A:F,6,FALSE),"")</f>
        <v>39174</v>
      </c>
      <c r="N635" t="str">
        <f>IFERROR(VLOOKUP(VLOOKUP(A635,'[1]Sales Order'!A:G,7,FALSE),[1]Shipper!A:B,2,FALSE),"Not Specified")</f>
        <v>Shipper ETYNR</v>
      </c>
      <c r="O635" t="str">
        <f>IFERROR(VLOOKUP(A635,'[1]Sales Order'!A:I,9,FALSE),"Not Specified")</f>
        <v>Destination UOUWK</v>
      </c>
      <c r="P635" t="str">
        <f>IFERROR(VLOOKUP(A635,'[1]Sales Order'!A:N,14,FALSE),"Not Specified")</f>
        <v>Venezuela</v>
      </c>
      <c r="Q635" t="str">
        <f>VLOOKUP(VLOOKUP(B635,[1]Product!A:C,3,FALSE),[1]Supplier!A:B,2,FALSE)</f>
        <v>Supplier QOVFD</v>
      </c>
      <c r="R635" t="str">
        <f>VLOOKUP(VLOOKUP(B635,[1]Product!A:C,3,FALSE),[1]Supplier!A:I,9,FALSE)</f>
        <v>Japan</v>
      </c>
      <c r="S635" t="str">
        <f>IFERROR(IF(VLOOKUP(A635,'[1]Sales Order'!A:H,8,FALSE)&gt;100,"High Freight","Low Freight"),"Not Specified")</f>
        <v>Low Freight</v>
      </c>
      <c r="T635">
        <f t="shared" si="19"/>
        <v>128</v>
      </c>
    </row>
    <row r="636" spans="1:20">
      <c r="A636" s="1">
        <v>10487</v>
      </c>
      <c r="B636" s="2">
        <v>19</v>
      </c>
      <c r="C636" s="2">
        <v>7.3</v>
      </c>
      <c r="D636" s="2">
        <v>5</v>
      </c>
      <c r="E636" s="3">
        <v>0</v>
      </c>
      <c r="F636" s="2" t="str">
        <f>IFERROR(VLOOKUP(VLOOKUP(A636,'[1]Sales Order'!A:B,2,FALSE),[1]Customer!A:C,3,FALSE),"Not Specified")</f>
        <v>Misiec, Anna</v>
      </c>
      <c r="G636" s="2" t="str">
        <f t="shared" si="18"/>
        <v>Misiec Anna</v>
      </c>
      <c r="H636" s="8" t="str">
        <f>IFERROR(VLOOKUP(VLOOKUP(A636,'[1]Sales Order'!A:C,3,FALSE),[1]Employee!A:E,5,FALSE)&amp;" "&amp;VLOOKUP(VLOOKUP(A636,'[1]Sales Order'!A:C,3,FALSE),[1]Employee!A:C,3,FALSE)&amp;" "&amp;VLOOKUP(VLOOKUP(A636,'[1]Sales Order'!A:C,3,FALSE),[1]Employee!A:B,2,FALSE),"Not Specified")</f>
        <v>Dr. Don Funk</v>
      </c>
      <c r="I636" t="str">
        <f>IFERROR(VLOOKUP(VLOOKUP(A636,'[1]Sales Order'!A:C,3,FALSE),[1]Employee!A:J,10,FALSE),"Not Specified")</f>
        <v>WA</v>
      </c>
      <c r="J636" t="str">
        <f>VLOOKUP(B636,[1]Product!A:B,2,FALSE)</f>
        <v>Product XKXDO</v>
      </c>
      <c r="K636" t="str">
        <f>VLOOKUP(VLOOKUP(B636,[1]Product!A:D,4,FALSE),[1]Category!A:B,2,FALSE)</f>
        <v>Confections</v>
      </c>
      <c r="L636" s="10">
        <f>IFERROR(VLOOKUP(A636,'[1]Sales Order'!A:D,4,FALSE),"")</f>
        <v>39167</v>
      </c>
      <c r="M636" s="10">
        <f>IFERROR(VLOOKUP(A636,'[1]Sales Order'!A:F,6,FALSE),"")</f>
        <v>39169</v>
      </c>
      <c r="N636" t="str">
        <f>IFERROR(VLOOKUP(VLOOKUP(A636,'[1]Sales Order'!A:G,7,FALSE),[1]Shipper!A:B,2,FALSE),"Not Specified")</f>
        <v>Shipper ETYNR</v>
      </c>
      <c r="O636" t="str">
        <f>IFERROR(VLOOKUP(A636,'[1]Sales Order'!A:I,9,FALSE),"Not Specified")</f>
        <v>Ship to 62-B</v>
      </c>
      <c r="P636" t="str">
        <f>IFERROR(VLOOKUP(A636,'[1]Sales Order'!A:N,14,FALSE),"Not Specified")</f>
        <v>Brazil</v>
      </c>
      <c r="Q636" t="str">
        <f>VLOOKUP(VLOOKUP(B636,[1]Product!A:C,3,FALSE),[1]Supplier!A:B,2,FALSE)</f>
        <v>Supplier BWGYE</v>
      </c>
      <c r="R636" t="str">
        <f>VLOOKUP(VLOOKUP(B636,[1]Product!A:C,3,FALSE),[1]Supplier!A:I,9,FALSE)</f>
        <v>UK</v>
      </c>
      <c r="S636" t="str">
        <f>IFERROR(IF(VLOOKUP(A636,'[1]Sales Order'!A:H,8,FALSE)&gt;100,"High Freight","Low Freight"),"Not Specified")</f>
        <v>Low Freight</v>
      </c>
      <c r="T636">
        <f t="shared" si="19"/>
        <v>36.5</v>
      </c>
    </row>
    <row r="637" spans="1:20">
      <c r="A637" s="1">
        <v>10487</v>
      </c>
      <c r="B637" s="2">
        <v>26</v>
      </c>
      <c r="C637" s="2">
        <v>24.9</v>
      </c>
      <c r="D637" s="2">
        <v>30</v>
      </c>
      <c r="E637" s="3">
        <v>0</v>
      </c>
      <c r="F637" s="2" t="str">
        <f>IFERROR(VLOOKUP(VLOOKUP(A637,'[1]Sales Order'!A:B,2,FALSE),[1]Customer!A:C,3,FALSE),"Not Specified")</f>
        <v>Misiec, Anna</v>
      </c>
      <c r="G637" s="2" t="str">
        <f t="shared" si="18"/>
        <v>Misiec Anna</v>
      </c>
      <c r="H637" s="8" t="str">
        <f>IFERROR(VLOOKUP(VLOOKUP(A637,'[1]Sales Order'!A:C,3,FALSE),[1]Employee!A:E,5,FALSE)&amp;" "&amp;VLOOKUP(VLOOKUP(A637,'[1]Sales Order'!A:C,3,FALSE),[1]Employee!A:C,3,FALSE)&amp;" "&amp;VLOOKUP(VLOOKUP(A637,'[1]Sales Order'!A:C,3,FALSE),[1]Employee!A:B,2,FALSE),"Not Specified")</f>
        <v>Dr. Don Funk</v>
      </c>
      <c r="I637" t="str">
        <f>IFERROR(VLOOKUP(VLOOKUP(A637,'[1]Sales Order'!A:C,3,FALSE),[1]Employee!A:J,10,FALSE),"Not Specified")</f>
        <v>WA</v>
      </c>
      <c r="J637" t="str">
        <f>VLOOKUP(B637,[1]Product!A:B,2,FALSE)</f>
        <v>Product HLGZA</v>
      </c>
      <c r="K637" t="str">
        <f>VLOOKUP(VLOOKUP(B637,[1]Product!A:D,4,FALSE),[1]Category!A:B,2,FALSE)</f>
        <v>Confections</v>
      </c>
      <c r="L637" s="10">
        <f>IFERROR(VLOOKUP(A637,'[1]Sales Order'!A:D,4,FALSE),"")</f>
        <v>39167</v>
      </c>
      <c r="M637" s="10">
        <f>IFERROR(VLOOKUP(A637,'[1]Sales Order'!A:F,6,FALSE),"")</f>
        <v>39169</v>
      </c>
      <c r="N637" t="str">
        <f>IFERROR(VLOOKUP(VLOOKUP(A637,'[1]Sales Order'!A:G,7,FALSE),[1]Shipper!A:B,2,FALSE),"Not Specified")</f>
        <v>Shipper ETYNR</v>
      </c>
      <c r="O637" t="str">
        <f>IFERROR(VLOOKUP(A637,'[1]Sales Order'!A:I,9,FALSE),"Not Specified")</f>
        <v>Ship to 62-B</v>
      </c>
      <c r="P637" t="str">
        <f>IFERROR(VLOOKUP(A637,'[1]Sales Order'!A:N,14,FALSE),"Not Specified")</f>
        <v>Brazil</v>
      </c>
      <c r="Q637" t="str">
        <f>VLOOKUP(VLOOKUP(B637,[1]Product!A:C,3,FALSE),[1]Supplier!A:B,2,FALSE)</f>
        <v>Supplier ZPYVS</v>
      </c>
      <c r="R637" t="str">
        <f>VLOOKUP(VLOOKUP(B637,[1]Product!A:C,3,FALSE),[1]Supplier!A:I,9,FALSE)</f>
        <v>Germany</v>
      </c>
      <c r="S637" t="str">
        <f>IFERROR(IF(VLOOKUP(A637,'[1]Sales Order'!A:H,8,FALSE)&gt;100,"High Freight","Low Freight"),"Not Specified")</f>
        <v>Low Freight</v>
      </c>
      <c r="T637">
        <f t="shared" si="19"/>
        <v>747</v>
      </c>
    </row>
    <row r="638" spans="1:20">
      <c r="A638" s="1">
        <v>10487</v>
      </c>
      <c r="B638" s="2">
        <v>54</v>
      </c>
      <c r="C638" s="2">
        <v>5.9</v>
      </c>
      <c r="D638" s="2">
        <v>24</v>
      </c>
      <c r="E638" s="3">
        <v>0.25</v>
      </c>
      <c r="F638" s="2" t="str">
        <f>IFERROR(VLOOKUP(VLOOKUP(A638,'[1]Sales Order'!A:B,2,FALSE),[1]Customer!A:C,3,FALSE),"Not Specified")</f>
        <v>Misiec, Anna</v>
      </c>
      <c r="G638" s="2" t="str">
        <f t="shared" si="18"/>
        <v>Misiec Anna</v>
      </c>
      <c r="H638" s="8" t="str">
        <f>IFERROR(VLOOKUP(VLOOKUP(A638,'[1]Sales Order'!A:C,3,FALSE),[1]Employee!A:E,5,FALSE)&amp;" "&amp;VLOOKUP(VLOOKUP(A638,'[1]Sales Order'!A:C,3,FALSE),[1]Employee!A:C,3,FALSE)&amp;" "&amp;VLOOKUP(VLOOKUP(A638,'[1]Sales Order'!A:C,3,FALSE),[1]Employee!A:B,2,FALSE),"Not Specified")</f>
        <v>Dr. Don Funk</v>
      </c>
      <c r="I638" t="str">
        <f>IFERROR(VLOOKUP(VLOOKUP(A638,'[1]Sales Order'!A:C,3,FALSE),[1]Employee!A:J,10,FALSE),"Not Specified")</f>
        <v>WA</v>
      </c>
      <c r="J638" t="str">
        <f>VLOOKUP(B638,[1]Product!A:B,2,FALSE)</f>
        <v>Product QAQRL</v>
      </c>
      <c r="K638" t="str">
        <f>VLOOKUP(VLOOKUP(B638,[1]Product!A:D,4,FALSE),[1]Category!A:B,2,FALSE)</f>
        <v>Meat/Poultry</v>
      </c>
      <c r="L638" s="10">
        <f>IFERROR(VLOOKUP(A638,'[1]Sales Order'!A:D,4,FALSE),"")</f>
        <v>39167</v>
      </c>
      <c r="M638" s="10">
        <f>IFERROR(VLOOKUP(A638,'[1]Sales Order'!A:F,6,FALSE),"")</f>
        <v>39169</v>
      </c>
      <c r="N638" t="str">
        <f>IFERROR(VLOOKUP(VLOOKUP(A638,'[1]Sales Order'!A:G,7,FALSE),[1]Shipper!A:B,2,FALSE),"Not Specified")</f>
        <v>Shipper ETYNR</v>
      </c>
      <c r="O638" t="str">
        <f>IFERROR(VLOOKUP(A638,'[1]Sales Order'!A:I,9,FALSE),"Not Specified")</f>
        <v>Ship to 62-B</v>
      </c>
      <c r="P638" t="str">
        <f>IFERROR(VLOOKUP(A638,'[1]Sales Order'!A:N,14,FALSE),"Not Specified")</f>
        <v>Brazil</v>
      </c>
      <c r="Q638" t="str">
        <f>VLOOKUP(VLOOKUP(B638,[1]Product!A:C,3,FALSE),[1]Supplier!A:B,2,FALSE)</f>
        <v>Supplier ERVYZ</v>
      </c>
      <c r="R638" t="str">
        <f>VLOOKUP(VLOOKUP(B638,[1]Product!A:C,3,FALSE),[1]Supplier!A:I,9,FALSE)</f>
        <v>Canada</v>
      </c>
      <c r="S638" t="str">
        <f>IFERROR(IF(VLOOKUP(A638,'[1]Sales Order'!A:H,8,FALSE)&gt;100,"High Freight","Low Freight"),"Not Specified")</f>
        <v>Low Freight</v>
      </c>
      <c r="T638">
        <f t="shared" si="19"/>
        <v>106.20000000000002</v>
      </c>
    </row>
    <row r="639" spans="1:20">
      <c r="A639" s="1">
        <v>10488</v>
      </c>
      <c r="B639" s="2">
        <v>59</v>
      </c>
      <c r="C639" s="2">
        <v>44</v>
      </c>
      <c r="D639" s="2">
        <v>30</v>
      </c>
      <c r="E639" s="3">
        <v>0</v>
      </c>
      <c r="F639" s="2" t="str">
        <f>IFERROR(VLOOKUP(VLOOKUP(A639,'[1]Sales Order'!A:B,2,FALSE),[1]Customer!A:C,3,FALSE),"Not Specified")</f>
        <v>Carlson, Jason</v>
      </c>
      <c r="G639" s="2" t="str">
        <f t="shared" si="18"/>
        <v>Carlson Jason</v>
      </c>
      <c r="H639" s="8" t="str">
        <f>IFERROR(VLOOKUP(VLOOKUP(A639,'[1]Sales Order'!A:C,3,FALSE),[1]Employee!A:E,5,FALSE)&amp;" "&amp;VLOOKUP(VLOOKUP(A639,'[1]Sales Order'!A:C,3,FALSE),[1]Employee!A:C,3,FALSE)&amp;" "&amp;VLOOKUP(VLOOKUP(A639,'[1]Sales Order'!A:C,3,FALSE),[1]Employee!A:B,2,FALSE),"Not Specified")</f>
        <v>Ms. Maria Cameron</v>
      </c>
      <c r="I639" t="str">
        <f>IFERROR(VLOOKUP(VLOOKUP(A639,'[1]Sales Order'!A:C,3,FALSE),[1]Employee!A:J,10,FALSE),"Not Specified")</f>
        <v>WA</v>
      </c>
      <c r="J639" t="str">
        <f>VLOOKUP(B639,[1]Product!A:B,2,FALSE)</f>
        <v>Product UKXRI</v>
      </c>
      <c r="K639" t="str">
        <f>VLOOKUP(VLOOKUP(B639,[1]Product!A:D,4,FALSE),[1]Category!A:B,2,FALSE)</f>
        <v>Dairy Product</v>
      </c>
      <c r="L639" s="10">
        <f>IFERROR(VLOOKUP(A639,'[1]Sales Order'!A:D,4,FALSE),"")</f>
        <v>39168</v>
      </c>
      <c r="M639" s="10">
        <f>IFERROR(VLOOKUP(A639,'[1]Sales Order'!A:F,6,FALSE),"")</f>
        <v>39174</v>
      </c>
      <c r="N639" t="str">
        <f>IFERROR(VLOOKUP(VLOOKUP(A639,'[1]Sales Order'!A:G,7,FALSE),[1]Shipper!A:B,2,FALSE),"Not Specified")</f>
        <v>Shipper ETYNR</v>
      </c>
      <c r="O639" t="str">
        <f>IFERROR(VLOOKUP(A639,'[1]Sales Order'!A:I,9,FALSE),"Not Specified")</f>
        <v>Destination VAPXU</v>
      </c>
      <c r="P639" t="str">
        <f>IFERROR(VLOOKUP(A639,'[1]Sales Order'!A:N,14,FALSE),"Not Specified")</f>
        <v>Germany</v>
      </c>
      <c r="Q639" t="str">
        <f>VLOOKUP(VLOOKUP(B639,[1]Product!A:C,3,FALSE),[1]Supplier!A:B,2,FALSE)</f>
        <v>Supplier OAVQT</v>
      </c>
      <c r="R639" t="str">
        <f>VLOOKUP(VLOOKUP(B639,[1]Product!A:C,3,FALSE),[1]Supplier!A:I,9,FALSE)</f>
        <v>France</v>
      </c>
      <c r="S639" t="str">
        <f>IFERROR(IF(VLOOKUP(A639,'[1]Sales Order'!A:H,8,FALSE)&gt;100,"High Freight","Low Freight"),"Not Specified")</f>
        <v>Low Freight</v>
      </c>
      <c r="T639">
        <f t="shared" si="19"/>
        <v>1320</v>
      </c>
    </row>
    <row r="640" spans="1:20">
      <c r="A640" s="1">
        <v>10488</v>
      </c>
      <c r="B640" s="2">
        <v>73</v>
      </c>
      <c r="C640" s="2">
        <v>12</v>
      </c>
      <c r="D640" s="2">
        <v>20</v>
      </c>
      <c r="E640" s="3">
        <v>0.2</v>
      </c>
      <c r="F640" s="2" t="str">
        <f>IFERROR(VLOOKUP(VLOOKUP(A640,'[1]Sales Order'!A:B,2,FALSE),[1]Customer!A:C,3,FALSE),"Not Specified")</f>
        <v>Carlson, Jason</v>
      </c>
      <c r="G640" s="2" t="str">
        <f t="shared" si="18"/>
        <v>Carlson Jason</v>
      </c>
      <c r="H640" s="8" t="str">
        <f>IFERROR(VLOOKUP(VLOOKUP(A640,'[1]Sales Order'!A:C,3,FALSE),[1]Employee!A:E,5,FALSE)&amp;" "&amp;VLOOKUP(VLOOKUP(A640,'[1]Sales Order'!A:C,3,FALSE),[1]Employee!A:C,3,FALSE)&amp;" "&amp;VLOOKUP(VLOOKUP(A640,'[1]Sales Order'!A:C,3,FALSE),[1]Employee!A:B,2,FALSE),"Not Specified")</f>
        <v>Ms. Maria Cameron</v>
      </c>
      <c r="I640" t="str">
        <f>IFERROR(VLOOKUP(VLOOKUP(A640,'[1]Sales Order'!A:C,3,FALSE),[1]Employee!A:J,10,FALSE),"Not Specified")</f>
        <v>WA</v>
      </c>
      <c r="J640" t="str">
        <f>VLOOKUP(B640,[1]Product!A:B,2,FALSE)</f>
        <v>Product WEUJZ</v>
      </c>
      <c r="K640" t="str">
        <f>VLOOKUP(VLOOKUP(B640,[1]Product!A:D,4,FALSE),[1]Category!A:B,2,FALSE)</f>
        <v>Seafood</v>
      </c>
      <c r="L640" s="10">
        <f>IFERROR(VLOOKUP(A640,'[1]Sales Order'!A:D,4,FALSE),"")</f>
        <v>39168</v>
      </c>
      <c r="M640" s="10">
        <f>IFERROR(VLOOKUP(A640,'[1]Sales Order'!A:F,6,FALSE),"")</f>
        <v>39174</v>
      </c>
      <c r="N640" t="str">
        <f>IFERROR(VLOOKUP(VLOOKUP(A640,'[1]Sales Order'!A:G,7,FALSE),[1]Shipper!A:B,2,FALSE),"Not Specified")</f>
        <v>Shipper ETYNR</v>
      </c>
      <c r="O640" t="str">
        <f>IFERROR(VLOOKUP(A640,'[1]Sales Order'!A:I,9,FALSE),"Not Specified")</f>
        <v>Destination VAPXU</v>
      </c>
      <c r="P640" t="str">
        <f>IFERROR(VLOOKUP(A640,'[1]Sales Order'!A:N,14,FALSE),"Not Specified")</f>
        <v>Germany</v>
      </c>
      <c r="Q640" t="str">
        <f>VLOOKUP(VLOOKUP(B640,[1]Product!A:C,3,FALSE),[1]Supplier!A:B,2,FALSE)</f>
        <v>Supplier QZGUF</v>
      </c>
      <c r="R640" t="str">
        <f>VLOOKUP(VLOOKUP(B640,[1]Product!A:C,3,FALSE),[1]Supplier!A:I,9,FALSE)</f>
        <v>Sweden</v>
      </c>
      <c r="S640" t="str">
        <f>IFERROR(IF(VLOOKUP(A640,'[1]Sales Order'!A:H,8,FALSE)&gt;100,"High Freight","Low Freight"),"Not Specified")</f>
        <v>Low Freight</v>
      </c>
      <c r="T640">
        <f t="shared" si="19"/>
        <v>192</v>
      </c>
    </row>
    <row r="641" spans="1:20">
      <c r="A641" s="1">
        <v>10489</v>
      </c>
      <c r="B641" s="2">
        <v>11</v>
      </c>
      <c r="C641" s="2">
        <v>16.8</v>
      </c>
      <c r="D641" s="2">
        <v>15</v>
      </c>
      <c r="E641" s="3">
        <v>0.25</v>
      </c>
      <c r="F641" s="2" t="str">
        <f>IFERROR(VLOOKUP(VLOOKUP(A641,'[1]Sales Order'!A:B,2,FALSE),[1]Customer!A:C,3,FALSE),"Not Specified")</f>
        <v>Meston, Tosh</v>
      </c>
      <c r="G641" s="2" t="str">
        <f t="shared" si="18"/>
        <v>Meston Tosh</v>
      </c>
      <c r="H641" s="8" t="str">
        <f>IFERROR(VLOOKUP(VLOOKUP(A641,'[1]Sales Order'!A:C,3,FALSE),[1]Employee!A:E,5,FALSE)&amp;" "&amp;VLOOKUP(VLOOKUP(A641,'[1]Sales Order'!A:C,3,FALSE),[1]Employee!A:C,3,FALSE)&amp;" "&amp;VLOOKUP(VLOOKUP(A641,'[1]Sales Order'!A:C,3,FALSE),[1]Employee!A:B,2,FALSE),"Not Specified")</f>
        <v>Mr. Paul Suurs</v>
      </c>
      <c r="I641">
        <f>IFERROR(VLOOKUP(VLOOKUP(A641,'[1]Sales Order'!A:C,3,FALSE),[1]Employee!A:J,10,FALSE),"Not Specified")</f>
        <v>0</v>
      </c>
      <c r="J641" t="str">
        <f>VLOOKUP(B641,[1]Product!A:B,2,FALSE)</f>
        <v>Product QMVUN</v>
      </c>
      <c r="K641" t="str">
        <f>VLOOKUP(VLOOKUP(B641,[1]Product!A:D,4,FALSE),[1]Category!A:B,2,FALSE)</f>
        <v>Dairy Product</v>
      </c>
      <c r="L641" s="10">
        <f>IFERROR(VLOOKUP(A641,'[1]Sales Order'!A:D,4,FALSE),"")</f>
        <v>39169</v>
      </c>
      <c r="M641" s="10">
        <f>IFERROR(VLOOKUP(A641,'[1]Sales Order'!A:F,6,FALSE),"")</f>
        <v>39181</v>
      </c>
      <c r="N641" t="str">
        <f>IFERROR(VLOOKUP(VLOOKUP(A641,'[1]Sales Order'!A:G,7,FALSE),[1]Shipper!A:B,2,FALSE),"Not Specified")</f>
        <v>Shipper ETYNR</v>
      </c>
      <c r="O641" t="str">
        <f>IFERROR(VLOOKUP(A641,'[1]Sales Order'!A:I,9,FALSE),"Not Specified")</f>
        <v>Ship to 59-C</v>
      </c>
      <c r="P641" t="str">
        <f>IFERROR(VLOOKUP(A641,'[1]Sales Order'!A:N,14,FALSE),"Not Specified")</f>
        <v>Austria</v>
      </c>
      <c r="Q641" t="str">
        <f>VLOOKUP(VLOOKUP(B641,[1]Product!A:C,3,FALSE),[1]Supplier!A:B,2,FALSE)</f>
        <v>Supplier EQPNC</v>
      </c>
      <c r="R641" t="str">
        <f>VLOOKUP(VLOOKUP(B641,[1]Product!A:C,3,FALSE),[1]Supplier!A:I,9,FALSE)</f>
        <v>Spain</v>
      </c>
      <c r="S641" t="str">
        <f>IFERROR(IF(VLOOKUP(A641,'[1]Sales Order'!A:H,8,FALSE)&gt;100,"High Freight","Low Freight"),"Not Specified")</f>
        <v>Low Freight</v>
      </c>
      <c r="T641">
        <f t="shared" si="19"/>
        <v>189</v>
      </c>
    </row>
    <row r="642" spans="1:20">
      <c r="A642" s="1">
        <v>10489</v>
      </c>
      <c r="B642" s="2">
        <v>16</v>
      </c>
      <c r="C642" s="2">
        <v>13.9</v>
      </c>
      <c r="D642" s="2">
        <v>18</v>
      </c>
      <c r="E642" s="3">
        <v>0</v>
      </c>
      <c r="F642" s="2" t="str">
        <f>IFERROR(VLOOKUP(VLOOKUP(A642,'[1]Sales Order'!A:B,2,FALSE),[1]Customer!A:C,3,FALSE),"Not Specified")</f>
        <v>Meston, Tosh</v>
      </c>
      <c r="G642" s="2" t="str">
        <f t="shared" si="18"/>
        <v>Meston Tosh</v>
      </c>
      <c r="H642" s="8" t="str">
        <f>IFERROR(VLOOKUP(VLOOKUP(A642,'[1]Sales Order'!A:C,3,FALSE),[1]Employee!A:E,5,FALSE)&amp;" "&amp;VLOOKUP(VLOOKUP(A642,'[1]Sales Order'!A:C,3,FALSE),[1]Employee!A:C,3,FALSE)&amp;" "&amp;VLOOKUP(VLOOKUP(A642,'[1]Sales Order'!A:C,3,FALSE),[1]Employee!A:B,2,FALSE),"Not Specified")</f>
        <v>Mr. Paul Suurs</v>
      </c>
      <c r="I642">
        <f>IFERROR(VLOOKUP(VLOOKUP(A642,'[1]Sales Order'!A:C,3,FALSE),[1]Employee!A:J,10,FALSE),"Not Specified")</f>
        <v>0</v>
      </c>
      <c r="J642" t="str">
        <f>VLOOKUP(B642,[1]Product!A:B,2,FALSE)</f>
        <v>Product PAFRH</v>
      </c>
      <c r="K642" t="str">
        <f>VLOOKUP(VLOOKUP(B642,[1]Product!A:D,4,FALSE),[1]Category!A:B,2,FALSE)</f>
        <v>Confections</v>
      </c>
      <c r="L642" s="10">
        <f>IFERROR(VLOOKUP(A642,'[1]Sales Order'!A:D,4,FALSE),"")</f>
        <v>39169</v>
      </c>
      <c r="M642" s="10">
        <f>IFERROR(VLOOKUP(A642,'[1]Sales Order'!A:F,6,FALSE),"")</f>
        <v>39181</v>
      </c>
      <c r="N642" t="str">
        <f>IFERROR(VLOOKUP(VLOOKUP(A642,'[1]Sales Order'!A:G,7,FALSE),[1]Shipper!A:B,2,FALSE),"Not Specified")</f>
        <v>Shipper ETYNR</v>
      </c>
      <c r="O642" t="str">
        <f>IFERROR(VLOOKUP(A642,'[1]Sales Order'!A:I,9,FALSE),"Not Specified")</f>
        <v>Ship to 59-C</v>
      </c>
      <c r="P642" t="str">
        <f>IFERROR(VLOOKUP(A642,'[1]Sales Order'!A:N,14,FALSE),"Not Specified")</f>
        <v>Austria</v>
      </c>
      <c r="Q642" t="str">
        <f>VLOOKUP(VLOOKUP(B642,[1]Product!A:C,3,FALSE),[1]Supplier!A:B,2,FALSE)</f>
        <v>Supplier GQRCV</v>
      </c>
      <c r="R642" t="str">
        <f>VLOOKUP(VLOOKUP(B642,[1]Product!A:C,3,FALSE),[1]Supplier!A:I,9,FALSE)</f>
        <v>Australia</v>
      </c>
      <c r="S642" t="str">
        <f>IFERROR(IF(VLOOKUP(A642,'[1]Sales Order'!A:H,8,FALSE)&gt;100,"High Freight","Low Freight"),"Not Specified")</f>
        <v>Low Freight</v>
      </c>
      <c r="T642">
        <f t="shared" si="19"/>
        <v>250.20000000000002</v>
      </c>
    </row>
    <row r="643" spans="1:20">
      <c r="A643" s="1">
        <v>10490</v>
      </c>
      <c r="B643" s="2">
        <v>59</v>
      </c>
      <c r="C643" s="2">
        <v>44</v>
      </c>
      <c r="D643" s="2">
        <v>60</v>
      </c>
      <c r="E643" s="3">
        <v>0</v>
      </c>
      <c r="F643" s="2" t="str">
        <f>IFERROR(VLOOKUP(VLOOKUP(A643,'[1]Sales Order'!A:B,2,FALSE),[1]Customer!A:C,3,FALSE),"Not Specified")</f>
        <v>Langohr, Kris</v>
      </c>
      <c r="G643" s="2" t="str">
        <f t="shared" ref="G643:G706" si="20">SUBSTITUTE(F643,",","",1)</f>
        <v>Langohr Kris</v>
      </c>
      <c r="H643" s="8" t="str">
        <f>IFERROR(VLOOKUP(VLOOKUP(A643,'[1]Sales Order'!A:C,3,FALSE),[1]Employee!A:E,5,FALSE)&amp;" "&amp;VLOOKUP(VLOOKUP(A643,'[1]Sales Order'!A:C,3,FALSE),[1]Employee!A:C,3,FALSE)&amp;" "&amp;VLOOKUP(VLOOKUP(A643,'[1]Sales Order'!A:C,3,FALSE),[1]Employee!A:B,2,FALSE),"Not Specified")</f>
        <v>Mr. Russell King</v>
      </c>
      <c r="I643">
        <f>IFERROR(VLOOKUP(VLOOKUP(A643,'[1]Sales Order'!A:C,3,FALSE),[1]Employee!A:J,10,FALSE),"Not Specified")</f>
        <v>0</v>
      </c>
      <c r="J643" t="str">
        <f>VLOOKUP(B643,[1]Product!A:B,2,FALSE)</f>
        <v>Product UKXRI</v>
      </c>
      <c r="K643" t="str">
        <f>VLOOKUP(VLOOKUP(B643,[1]Product!A:D,4,FALSE),[1]Category!A:B,2,FALSE)</f>
        <v>Dairy Product</v>
      </c>
      <c r="L643" s="10">
        <f>IFERROR(VLOOKUP(A643,'[1]Sales Order'!A:D,4,FALSE),"")</f>
        <v>39172</v>
      </c>
      <c r="M643" s="10">
        <f>IFERROR(VLOOKUP(A643,'[1]Sales Order'!A:F,6,FALSE),"")</f>
        <v>39175</v>
      </c>
      <c r="N643" t="str">
        <f>IFERROR(VLOOKUP(VLOOKUP(A643,'[1]Sales Order'!A:G,7,FALSE),[1]Shipper!A:B,2,FALSE),"Not Specified")</f>
        <v>Shipper ETYNR</v>
      </c>
      <c r="O643" t="str">
        <f>IFERROR(VLOOKUP(A643,'[1]Sales Order'!A:I,9,FALSE),"Not Specified")</f>
        <v>Destination JYDLM</v>
      </c>
      <c r="P643" t="str">
        <f>IFERROR(VLOOKUP(A643,'[1]Sales Order'!A:N,14,FALSE),"Not Specified")</f>
        <v>Venezuela</v>
      </c>
      <c r="Q643" t="str">
        <f>VLOOKUP(VLOOKUP(B643,[1]Product!A:C,3,FALSE),[1]Supplier!A:B,2,FALSE)</f>
        <v>Supplier OAVQT</v>
      </c>
      <c r="R643" t="str">
        <f>VLOOKUP(VLOOKUP(B643,[1]Product!A:C,3,FALSE),[1]Supplier!A:I,9,FALSE)</f>
        <v>France</v>
      </c>
      <c r="S643" t="str">
        <f>IFERROR(IF(VLOOKUP(A643,'[1]Sales Order'!A:H,8,FALSE)&gt;100,"High Freight","Low Freight"),"Not Specified")</f>
        <v>High Freight</v>
      </c>
      <c r="T643">
        <f t="shared" ref="T643:T706" si="21">C643*D643*(1-E643)</f>
        <v>2640</v>
      </c>
    </row>
    <row r="644" spans="1:20">
      <c r="A644" s="1">
        <v>10490</v>
      </c>
      <c r="B644" s="2">
        <v>68</v>
      </c>
      <c r="C644" s="2">
        <v>10</v>
      </c>
      <c r="D644" s="2">
        <v>30</v>
      </c>
      <c r="E644" s="3">
        <v>0</v>
      </c>
      <c r="F644" s="2" t="str">
        <f>IFERROR(VLOOKUP(VLOOKUP(A644,'[1]Sales Order'!A:B,2,FALSE),[1]Customer!A:C,3,FALSE),"Not Specified")</f>
        <v>Langohr, Kris</v>
      </c>
      <c r="G644" s="2" t="str">
        <f t="shared" si="20"/>
        <v>Langohr Kris</v>
      </c>
      <c r="H644" s="8" t="str">
        <f>IFERROR(VLOOKUP(VLOOKUP(A644,'[1]Sales Order'!A:C,3,FALSE),[1]Employee!A:E,5,FALSE)&amp;" "&amp;VLOOKUP(VLOOKUP(A644,'[1]Sales Order'!A:C,3,FALSE),[1]Employee!A:C,3,FALSE)&amp;" "&amp;VLOOKUP(VLOOKUP(A644,'[1]Sales Order'!A:C,3,FALSE),[1]Employee!A:B,2,FALSE),"Not Specified")</f>
        <v>Mr. Russell King</v>
      </c>
      <c r="I644">
        <f>IFERROR(VLOOKUP(VLOOKUP(A644,'[1]Sales Order'!A:C,3,FALSE),[1]Employee!A:J,10,FALSE),"Not Specified")</f>
        <v>0</v>
      </c>
      <c r="J644" t="str">
        <f>VLOOKUP(B644,[1]Product!A:B,2,FALSE)</f>
        <v>Product TBTBL</v>
      </c>
      <c r="K644" t="str">
        <f>VLOOKUP(VLOOKUP(B644,[1]Product!A:D,4,FALSE),[1]Category!A:B,2,FALSE)</f>
        <v>Confections</v>
      </c>
      <c r="L644" s="10">
        <f>IFERROR(VLOOKUP(A644,'[1]Sales Order'!A:D,4,FALSE),"")</f>
        <v>39172</v>
      </c>
      <c r="M644" s="10">
        <f>IFERROR(VLOOKUP(A644,'[1]Sales Order'!A:F,6,FALSE),"")</f>
        <v>39175</v>
      </c>
      <c r="N644" t="str">
        <f>IFERROR(VLOOKUP(VLOOKUP(A644,'[1]Sales Order'!A:G,7,FALSE),[1]Shipper!A:B,2,FALSE),"Not Specified")</f>
        <v>Shipper ETYNR</v>
      </c>
      <c r="O644" t="str">
        <f>IFERROR(VLOOKUP(A644,'[1]Sales Order'!A:I,9,FALSE),"Not Specified")</f>
        <v>Destination JYDLM</v>
      </c>
      <c r="P644" t="str">
        <f>IFERROR(VLOOKUP(A644,'[1]Sales Order'!A:N,14,FALSE),"Not Specified")</f>
        <v>Venezuela</v>
      </c>
      <c r="Q644" t="str">
        <f>VLOOKUP(VLOOKUP(B644,[1]Product!A:C,3,FALSE),[1]Supplier!A:B,2,FALSE)</f>
        <v>Supplier BWGYE</v>
      </c>
      <c r="R644" t="str">
        <f>VLOOKUP(VLOOKUP(B644,[1]Product!A:C,3,FALSE),[1]Supplier!A:I,9,FALSE)</f>
        <v>UK</v>
      </c>
      <c r="S644" t="str">
        <f>IFERROR(IF(VLOOKUP(A644,'[1]Sales Order'!A:H,8,FALSE)&gt;100,"High Freight","Low Freight"),"Not Specified")</f>
        <v>High Freight</v>
      </c>
      <c r="T644">
        <f t="shared" si="21"/>
        <v>300</v>
      </c>
    </row>
    <row r="645" spans="1:20">
      <c r="A645" s="1">
        <v>10490</v>
      </c>
      <c r="B645" s="2">
        <v>75</v>
      </c>
      <c r="C645" s="2">
        <v>6.2</v>
      </c>
      <c r="D645" s="2">
        <v>36</v>
      </c>
      <c r="E645" s="3">
        <v>0</v>
      </c>
      <c r="F645" s="2" t="str">
        <f>IFERROR(VLOOKUP(VLOOKUP(A645,'[1]Sales Order'!A:B,2,FALSE),[1]Customer!A:C,3,FALSE),"Not Specified")</f>
        <v>Langohr, Kris</v>
      </c>
      <c r="G645" s="2" t="str">
        <f t="shared" si="20"/>
        <v>Langohr Kris</v>
      </c>
      <c r="H645" s="8" t="str">
        <f>IFERROR(VLOOKUP(VLOOKUP(A645,'[1]Sales Order'!A:C,3,FALSE),[1]Employee!A:E,5,FALSE)&amp;" "&amp;VLOOKUP(VLOOKUP(A645,'[1]Sales Order'!A:C,3,FALSE),[1]Employee!A:C,3,FALSE)&amp;" "&amp;VLOOKUP(VLOOKUP(A645,'[1]Sales Order'!A:C,3,FALSE),[1]Employee!A:B,2,FALSE),"Not Specified")</f>
        <v>Mr. Russell King</v>
      </c>
      <c r="I645">
        <f>IFERROR(VLOOKUP(VLOOKUP(A645,'[1]Sales Order'!A:C,3,FALSE),[1]Employee!A:J,10,FALSE),"Not Specified")</f>
        <v>0</v>
      </c>
      <c r="J645" t="str">
        <f>VLOOKUP(B645,[1]Product!A:B,2,FALSE)</f>
        <v>Product BWRLG</v>
      </c>
      <c r="K645" t="str">
        <f>VLOOKUP(VLOOKUP(B645,[1]Product!A:D,4,FALSE),[1]Category!A:B,2,FALSE)</f>
        <v>Beverages</v>
      </c>
      <c r="L645" s="10">
        <f>IFERROR(VLOOKUP(A645,'[1]Sales Order'!A:D,4,FALSE),"")</f>
        <v>39172</v>
      </c>
      <c r="M645" s="10">
        <f>IFERROR(VLOOKUP(A645,'[1]Sales Order'!A:F,6,FALSE),"")</f>
        <v>39175</v>
      </c>
      <c r="N645" t="str">
        <f>IFERROR(VLOOKUP(VLOOKUP(A645,'[1]Sales Order'!A:G,7,FALSE),[1]Shipper!A:B,2,FALSE),"Not Specified")</f>
        <v>Shipper ETYNR</v>
      </c>
      <c r="O645" t="str">
        <f>IFERROR(VLOOKUP(A645,'[1]Sales Order'!A:I,9,FALSE),"Not Specified")</f>
        <v>Destination JYDLM</v>
      </c>
      <c r="P645" t="str">
        <f>IFERROR(VLOOKUP(A645,'[1]Sales Order'!A:N,14,FALSE),"Not Specified")</f>
        <v>Venezuela</v>
      </c>
      <c r="Q645" t="str">
        <f>VLOOKUP(VLOOKUP(B645,[1]Product!A:C,3,FALSE),[1]Supplier!A:B,2,FALSE)</f>
        <v>Supplier SVIYA</v>
      </c>
      <c r="R645" t="str">
        <f>VLOOKUP(VLOOKUP(B645,[1]Product!A:C,3,FALSE),[1]Supplier!A:I,9,FALSE)</f>
        <v>Germany</v>
      </c>
      <c r="S645" t="str">
        <f>IFERROR(IF(VLOOKUP(A645,'[1]Sales Order'!A:H,8,FALSE)&gt;100,"High Freight","Low Freight"),"Not Specified")</f>
        <v>High Freight</v>
      </c>
      <c r="T645">
        <f t="shared" si="21"/>
        <v>223.20000000000002</v>
      </c>
    </row>
    <row r="646" spans="1:20">
      <c r="A646" s="1">
        <v>10491</v>
      </c>
      <c r="B646" s="2">
        <v>44</v>
      </c>
      <c r="C646" s="2">
        <v>15.5</v>
      </c>
      <c r="D646" s="2">
        <v>15</v>
      </c>
      <c r="E646" s="3">
        <v>0.15</v>
      </c>
      <c r="F646" s="2" t="str">
        <f>IFERROR(VLOOKUP(VLOOKUP(A646,'[1]Sales Order'!A:B,2,FALSE),[1]Customer!A:C,3,FALSE),"Not Specified")</f>
        <v>Cavaglieri, Giorgio</v>
      </c>
      <c r="G646" s="2" t="str">
        <f t="shared" si="20"/>
        <v>Cavaglieri Giorgio</v>
      </c>
      <c r="H646" s="8" t="str">
        <f>IFERROR(VLOOKUP(VLOOKUP(A646,'[1]Sales Order'!A:C,3,FALSE),[1]Employee!A:E,5,FALSE)&amp;" "&amp;VLOOKUP(VLOOKUP(A646,'[1]Sales Order'!A:C,3,FALSE),[1]Employee!A:C,3,FALSE)&amp;" "&amp;VLOOKUP(VLOOKUP(A646,'[1]Sales Order'!A:C,3,FALSE),[1]Employee!A:B,2,FALSE),"Not Specified")</f>
        <v>Ms. Maria Cameron</v>
      </c>
      <c r="I646" t="str">
        <f>IFERROR(VLOOKUP(VLOOKUP(A646,'[1]Sales Order'!A:C,3,FALSE),[1]Employee!A:J,10,FALSE),"Not Specified")</f>
        <v>WA</v>
      </c>
      <c r="J646" t="str">
        <f>VLOOKUP(B646,[1]Product!A:B,2,FALSE)</f>
        <v>Product VJIEO</v>
      </c>
      <c r="K646" t="str">
        <f>VLOOKUP(VLOOKUP(B646,[1]Product!A:D,4,FALSE),[1]Category!A:B,2,FALSE)</f>
        <v>Condiments</v>
      </c>
      <c r="L646" s="10">
        <f>IFERROR(VLOOKUP(A646,'[1]Sales Order'!A:D,4,FALSE),"")</f>
        <v>39172</v>
      </c>
      <c r="M646" s="10">
        <f>IFERROR(VLOOKUP(A646,'[1]Sales Order'!A:F,6,FALSE),"")</f>
        <v>39180</v>
      </c>
      <c r="N646" t="str">
        <f>IFERROR(VLOOKUP(VLOOKUP(A646,'[1]Sales Order'!A:G,7,FALSE),[1]Shipper!A:B,2,FALSE),"Not Specified")</f>
        <v>Shipper ZHISN</v>
      </c>
      <c r="O646" t="str">
        <f>IFERROR(VLOOKUP(A646,'[1]Sales Order'!A:I,9,FALSE),"Not Specified")</f>
        <v>Destination OTSWR</v>
      </c>
      <c r="P646" t="str">
        <f>IFERROR(VLOOKUP(A646,'[1]Sales Order'!A:N,14,FALSE),"Not Specified")</f>
        <v>Portugal</v>
      </c>
      <c r="Q646" t="str">
        <f>VLOOKUP(VLOOKUP(B646,[1]Product!A:C,3,FALSE),[1]Supplier!A:B,2,FALSE)</f>
        <v>Supplier CIYNM</v>
      </c>
      <c r="R646" t="str">
        <f>VLOOKUP(VLOOKUP(B646,[1]Product!A:C,3,FALSE),[1]Supplier!A:I,9,FALSE)</f>
        <v>Singapore</v>
      </c>
      <c r="S646" t="str">
        <f>IFERROR(IF(VLOOKUP(A646,'[1]Sales Order'!A:H,8,FALSE)&gt;100,"High Freight","Low Freight"),"Not Specified")</f>
        <v>Low Freight</v>
      </c>
      <c r="T646">
        <f t="shared" si="21"/>
        <v>197.625</v>
      </c>
    </row>
    <row r="647" spans="1:20">
      <c r="A647" s="1">
        <v>10491</v>
      </c>
      <c r="B647" s="2">
        <v>77</v>
      </c>
      <c r="C647" s="2">
        <v>10.4</v>
      </c>
      <c r="D647" s="2">
        <v>7</v>
      </c>
      <c r="E647" s="3">
        <v>0.15</v>
      </c>
      <c r="F647" s="2" t="str">
        <f>IFERROR(VLOOKUP(VLOOKUP(A647,'[1]Sales Order'!A:B,2,FALSE),[1]Customer!A:C,3,FALSE),"Not Specified")</f>
        <v>Cavaglieri, Giorgio</v>
      </c>
      <c r="G647" s="2" t="str">
        <f t="shared" si="20"/>
        <v>Cavaglieri Giorgio</v>
      </c>
      <c r="H647" s="8" t="str">
        <f>IFERROR(VLOOKUP(VLOOKUP(A647,'[1]Sales Order'!A:C,3,FALSE),[1]Employee!A:E,5,FALSE)&amp;" "&amp;VLOOKUP(VLOOKUP(A647,'[1]Sales Order'!A:C,3,FALSE),[1]Employee!A:C,3,FALSE)&amp;" "&amp;VLOOKUP(VLOOKUP(A647,'[1]Sales Order'!A:C,3,FALSE),[1]Employee!A:B,2,FALSE),"Not Specified")</f>
        <v>Ms. Maria Cameron</v>
      </c>
      <c r="I647" t="str">
        <f>IFERROR(VLOOKUP(VLOOKUP(A647,'[1]Sales Order'!A:C,3,FALSE),[1]Employee!A:J,10,FALSE),"Not Specified")</f>
        <v>WA</v>
      </c>
      <c r="J647" t="str">
        <f>VLOOKUP(B647,[1]Product!A:B,2,FALSE)</f>
        <v>Product LUNZZ</v>
      </c>
      <c r="K647" t="str">
        <f>VLOOKUP(VLOOKUP(B647,[1]Product!A:D,4,FALSE),[1]Category!A:B,2,FALSE)</f>
        <v>Condiments</v>
      </c>
      <c r="L647" s="10">
        <f>IFERROR(VLOOKUP(A647,'[1]Sales Order'!A:D,4,FALSE),"")</f>
        <v>39172</v>
      </c>
      <c r="M647" s="10">
        <f>IFERROR(VLOOKUP(A647,'[1]Sales Order'!A:F,6,FALSE),"")</f>
        <v>39180</v>
      </c>
      <c r="N647" t="str">
        <f>IFERROR(VLOOKUP(VLOOKUP(A647,'[1]Sales Order'!A:G,7,FALSE),[1]Shipper!A:B,2,FALSE),"Not Specified")</f>
        <v>Shipper ZHISN</v>
      </c>
      <c r="O647" t="str">
        <f>IFERROR(VLOOKUP(A647,'[1]Sales Order'!A:I,9,FALSE),"Not Specified")</f>
        <v>Destination OTSWR</v>
      </c>
      <c r="P647" t="str">
        <f>IFERROR(VLOOKUP(A647,'[1]Sales Order'!A:N,14,FALSE),"Not Specified")</f>
        <v>Portugal</v>
      </c>
      <c r="Q647" t="str">
        <f>VLOOKUP(VLOOKUP(B647,[1]Product!A:C,3,FALSE),[1]Supplier!A:B,2,FALSE)</f>
        <v>Supplier SVIYA</v>
      </c>
      <c r="R647" t="str">
        <f>VLOOKUP(VLOOKUP(B647,[1]Product!A:C,3,FALSE),[1]Supplier!A:I,9,FALSE)</f>
        <v>Germany</v>
      </c>
      <c r="S647" t="str">
        <f>IFERROR(IF(VLOOKUP(A647,'[1]Sales Order'!A:H,8,FALSE)&gt;100,"High Freight","Low Freight"),"Not Specified")</f>
        <v>Low Freight</v>
      </c>
      <c r="T647">
        <f t="shared" si="21"/>
        <v>61.879999999999995</v>
      </c>
    </row>
    <row r="648" spans="1:20">
      <c r="A648" s="1">
        <v>10492</v>
      </c>
      <c r="B648" s="2">
        <v>25</v>
      </c>
      <c r="C648" s="2">
        <v>11.2</v>
      </c>
      <c r="D648" s="2">
        <v>60</v>
      </c>
      <c r="E648" s="3">
        <v>0.05</v>
      </c>
      <c r="F648" s="2" t="str">
        <f>IFERROR(VLOOKUP(VLOOKUP(A648,'[1]Sales Order'!A:B,2,FALSE),[1]Customer!A:C,3,FALSE),"Not Specified")</f>
        <v>Bassols, Pilar Colome</v>
      </c>
      <c r="G648" s="2" t="str">
        <f t="shared" si="20"/>
        <v>Bassols Pilar Colome</v>
      </c>
      <c r="H648" s="8" t="str">
        <f>IFERROR(VLOOKUP(VLOOKUP(A648,'[1]Sales Order'!A:C,3,FALSE),[1]Employee!A:E,5,FALSE)&amp;" "&amp;VLOOKUP(VLOOKUP(A648,'[1]Sales Order'!A:C,3,FALSE),[1]Employee!A:C,3,FALSE)&amp;" "&amp;VLOOKUP(VLOOKUP(A648,'[1]Sales Order'!A:C,3,FALSE),[1]Employee!A:B,2,FALSE),"Not Specified")</f>
        <v>Ms. Judy Lew</v>
      </c>
      <c r="I648" t="str">
        <f>IFERROR(VLOOKUP(VLOOKUP(A648,'[1]Sales Order'!A:C,3,FALSE),[1]Employee!A:J,10,FALSE),"Not Specified")</f>
        <v>WA</v>
      </c>
      <c r="J648" t="str">
        <f>VLOOKUP(B648,[1]Product!A:B,2,FALSE)</f>
        <v>Product LYLNI</v>
      </c>
      <c r="K648" t="str">
        <f>VLOOKUP(VLOOKUP(B648,[1]Product!A:D,4,FALSE),[1]Category!A:B,2,FALSE)</f>
        <v>Confections</v>
      </c>
      <c r="L648" s="10">
        <f>IFERROR(VLOOKUP(A648,'[1]Sales Order'!A:D,4,FALSE),"")</f>
        <v>39173</v>
      </c>
      <c r="M648" s="10">
        <f>IFERROR(VLOOKUP(A648,'[1]Sales Order'!A:F,6,FALSE),"")</f>
        <v>39183</v>
      </c>
      <c r="N648" t="str">
        <f>IFERROR(VLOOKUP(VLOOKUP(A648,'[1]Sales Order'!A:G,7,FALSE),[1]Shipper!A:B,2,FALSE),"Not Specified")</f>
        <v>Shipper GVSUA</v>
      </c>
      <c r="O648" t="str">
        <f>IFERROR(VLOOKUP(A648,'[1]Sales Order'!A:I,9,FALSE),"Not Specified")</f>
        <v>Destination XJIBQ</v>
      </c>
      <c r="P648" t="str">
        <f>IFERROR(VLOOKUP(A648,'[1]Sales Order'!A:N,14,FALSE),"Not Specified")</f>
        <v>Canada</v>
      </c>
      <c r="Q648" t="str">
        <f>VLOOKUP(VLOOKUP(B648,[1]Product!A:C,3,FALSE),[1]Supplier!A:B,2,FALSE)</f>
        <v>Supplier ZPYVS</v>
      </c>
      <c r="R648" t="str">
        <f>VLOOKUP(VLOOKUP(B648,[1]Product!A:C,3,FALSE),[1]Supplier!A:I,9,FALSE)</f>
        <v>Germany</v>
      </c>
      <c r="S648" t="str">
        <f>IFERROR(IF(VLOOKUP(A648,'[1]Sales Order'!A:H,8,FALSE)&gt;100,"High Freight","Low Freight"),"Not Specified")</f>
        <v>Low Freight</v>
      </c>
      <c r="T648">
        <f t="shared" si="21"/>
        <v>638.4</v>
      </c>
    </row>
    <row r="649" spans="1:20">
      <c r="A649" s="1">
        <v>10492</v>
      </c>
      <c r="B649" s="2">
        <v>42</v>
      </c>
      <c r="C649" s="2">
        <v>11.2</v>
      </c>
      <c r="D649" s="2">
        <v>20</v>
      </c>
      <c r="E649" s="3">
        <v>0.05</v>
      </c>
      <c r="F649" s="2" t="str">
        <f>IFERROR(VLOOKUP(VLOOKUP(A649,'[1]Sales Order'!A:B,2,FALSE),[1]Customer!A:C,3,FALSE),"Not Specified")</f>
        <v>Bassols, Pilar Colome</v>
      </c>
      <c r="G649" s="2" t="str">
        <f t="shared" si="20"/>
        <v>Bassols Pilar Colome</v>
      </c>
      <c r="H649" s="8" t="str">
        <f>IFERROR(VLOOKUP(VLOOKUP(A649,'[1]Sales Order'!A:C,3,FALSE),[1]Employee!A:E,5,FALSE)&amp;" "&amp;VLOOKUP(VLOOKUP(A649,'[1]Sales Order'!A:C,3,FALSE),[1]Employee!A:C,3,FALSE)&amp;" "&amp;VLOOKUP(VLOOKUP(A649,'[1]Sales Order'!A:C,3,FALSE),[1]Employee!A:B,2,FALSE),"Not Specified")</f>
        <v>Ms. Judy Lew</v>
      </c>
      <c r="I649" t="str">
        <f>IFERROR(VLOOKUP(VLOOKUP(A649,'[1]Sales Order'!A:C,3,FALSE),[1]Employee!A:J,10,FALSE),"Not Specified")</f>
        <v>WA</v>
      </c>
      <c r="J649" t="str">
        <f>VLOOKUP(B649,[1]Product!A:B,2,FALSE)</f>
        <v>Product RJVNM</v>
      </c>
      <c r="K649" t="str">
        <f>VLOOKUP(VLOOKUP(B649,[1]Product!A:D,4,FALSE),[1]Category!A:B,2,FALSE)</f>
        <v>Grains/Cereals</v>
      </c>
      <c r="L649" s="10">
        <f>IFERROR(VLOOKUP(A649,'[1]Sales Order'!A:D,4,FALSE),"")</f>
        <v>39173</v>
      </c>
      <c r="M649" s="10">
        <f>IFERROR(VLOOKUP(A649,'[1]Sales Order'!A:F,6,FALSE),"")</f>
        <v>39183</v>
      </c>
      <c r="N649" t="str">
        <f>IFERROR(VLOOKUP(VLOOKUP(A649,'[1]Sales Order'!A:G,7,FALSE),[1]Shipper!A:B,2,FALSE),"Not Specified")</f>
        <v>Shipper GVSUA</v>
      </c>
      <c r="O649" t="str">
        <f>IFERROR(VLOOKUP(A649,'[1]Sales Order'!A:I,9,FALSE),"Not Specified")</f>
        <v>Destination XJIBQ</v>
      </c>
      <c r="P649" t="str">
        <f>IFERROR(VLOOKUP(A649,'[1]Sales Order'!A:N,14,FALSE),"Not Specified")</f>
        <v>Canada</v>
      </c>
      <c r="Q649" t="str">
        <f>VLOOKUP(VLOOKUP(B649,[1]Product!A:C,3,FALSE),[1]Supplier!A:B,2,FALSE)</f>
        <v>Supplier CIYNM</v>
      </c>
      <c r="R649" t="str">
        <f>VLOOKUP(VLOOKUP(B649,[1]Product!A:C,3,FALSE),[1]Supplier!A:I,9,FALSE)</f>
        <v>Singapore</v>
      </c>
      <c r="S649" t="str">
        <f>IFERROR(IF(VLOOKUP(A649,'[1]Sales Order'!A:H,8,FALSE)&gt;100,"High Freight","Low Freight"),"Not Specified")</f>
        <v>Low Freight</v>
      </c>
      <c r="T649">
        <f t="shared" si="21"/>
        <v>212.79999999999998</v>
      </c>
    </row>
    <row r="650" spans="1:20">
      <c r="A650" s="1">
        <v>10493</v>
      </c>
      <c r="B650" s="2">
        <v>65</v>
      </c>
      <c r="C650" s="2">
        <v>16.8</v>
      </c>
      <c r="D650" s="2">
        <v>15</v>
      </c>
      <c r="E650" s="3">
        <v>0.1</v>
      </c>
      <c r="F650" s="2" t="str">
        <f>IFERROR(VLOOKUP(VLOOKUP(A650,'[1]Sales Order'!A:B,2,FALSE),[1]Customer!A:C,3,FALSE),"Not Specified")</f>
        <v>Litton, Tim</v>
      </c>
      <c r="G650" s="2" t="str">
        <f t="shared" si="20"/>
        <v>Litton Tim</v>
      </c>
      <c r="H650" s="8" t="str">
        <f>IFERROR(VLOOKUP(VLOOKUP(A650,'[1]Sales Order'!A:C,3,FALSE),[1]Employee!A:E,5,FALSE)&amp;" "&amp;VLOOKUP(VLOOKUP(A650,'[1]Sales Order'!A:C,3,FALSE),[1]Employee!A:C,3,FALSE)&amp;" "&amp;VLOOKUP(VLOOKUP(A650,'[1]Sales Order'!A:C,3,FALSE),[1]Employee!A:B,2,FALSE),"Not Specified")</f>
        <v>Mrs. Yael Peled</v>
      </c>
      <c r="I650" t="str">
        <f>IFERROR(VLOOKUP(VLOOKUP(A650,'[1]Sales Order'!A:C,3,FALSE),[1]Employee!A:J,10,FALSE),"Not Specified")</f>
        <v>WA</v>
      </c>
      <c r="J650" t="str">
        <f>VLOOKUP(B650,[1]Product!A:B,2,FALSE)</f>
        <v>Product XYWBZ</v>
      </c>
      <c r="K650" t="str">
        <f>VLOOKUP(VLOOKUP(B650,[1]Product!A:D,4,FALSE),[1]Category!A:B,2,FALSE)</f>
        <v>Condiments</v>
      </c>
      <c r="L650" s="10">
        <f>IFERROR(VLOOKUP(A650,'[1]Sales Order'!A:D,4,FALSE),"")</f>
        <v>39174</v>
      </c>
      <c r="M650" s="10">
        <f>IFERROR(VLOOKUP(A650,'[1]Sales Order'!A:F,6,FALSE),"")</f>
        <v>39182</v>
      </c>
      <c r="N650" t="str">
        <f>IFERROR(VLOOKUP(VLOOKUP(A650,'[1]Sales Order'!A:G,7,FALSE),[1]Shipper!A:B,2,FALSE),"Not Specified")</f>
        <v>Shipper ZHISN</v>
      </c>
      <c r="O650" t="str">
        <f>IFERROR(VLOOKUP(A650,'[1]Sales Order'!A:I,9,FALSE),"Not Specified")</f>
        <v>Destination OLJND</v>
      </c>
      <c r="P650" t="str">
        <f>IFERROR(VLOOKUP(A650,'[1]Sales Order'!A:N,14,FALSE),"Not Specified")</f>
        <v>France</v>
      </c>
      <c r="Q650" t="str">
        <f>VLOOKUP(VLOOKUP(B650,[1]Product!A:C,3,FALSE),[1]Supplier!A:B,2,FALSE)</f>
        <v>Supplier VHQZD</v>
      </c>
      <c r="R650" t="str">
        <f>VLOOKUP(VLOOKUP(B650,[1]Product!A:C,3,FALSE),[1]Supplier!A:I,9,FALSE)</f>
        <v>USA</v>
      </c>
      <c r="S650" t="str">
        <f>IFERROR(IF(VLOOKUP(A650,'[1]Sales Order'!A:H,8,FALSE)&gt;100,"High Freight","Low Freight"),"Not Specified")</f>
        <v>Low Freight</v>
      </c>
      <c r="T650">
        <f t="shared" si="21"/>
        <v>226.8</v>
      </c>
    </row>
    <row r="651" spans="1:20">
      <c r="A651" s="1">
        <v>10493</v>
      </c>
      <c r="B651" s="2">
        <v>66</v>
      </c>
      <c r="C651" s="2">
        <v>13.6</v>
      </c>
      <c r="D651" s="2">
        <v>10</v>
      </c>
      <c r="E651" s="3">
        <v>0.1</v>
      </c>
      <c r="F651" s="2" t="str">
        <f>IFERROR(VLOOKUP(VLOOKUP(A651,'[1]Sales Order'!A:B,2,FALSE),[1]Customer!A:C,3,FALSE),"Not Specified")</f>
        <v>Litton, Tim</v>
      </c>
      <c r="G651" s="2" t="str">
        <f t="shared" si="20"/>
        <v>Litton Tim</v>
      </c>
      <c r="H651" s="8" t="str">
        <f>IFERROR(VLOOKUP(VLOOKUP(A651,'[1]Sales Order'!A:C,3,FALSE),[1]Employee!A:E,5,FALSE)&amp;" "&amp;VLOOKUP(VLOOKUP(A651,'[1]Sales Order'!A:C,3,FALSE),[1]Employee!A:C,3,FALSE)&amp;" "&amp;VLOOKUP(VLOOKUP(A651,'[1]Sales Order'!A:C,3,FALSE),[1]Employee!A:B,2,FALSE),"Not Specified")</f>
        <v>Mrs. Yael Peled</v>
      </c>
      <c r="I651" t="str">
        <f>IFERROR(VLOOKUP(VLOOKUP(A651,'[1]Sales Order'!A:C,3,FALSE),[1]Employee!A:J,10,FALSE),"Not Specified")</f>
        <v>WA</v>
      </c>
      <c r="J651" t="str">
        <f>VLOOKUP(B651,[1]Product!A:B,2,FALSE)</f>
        <v>Product LQMGN</v>
      </c>
      <c r="K651" t="str">
        <f>VLOOKUP(VLOOKUP(B651,[1]Product!A:D,4,FALSE),[1]Category!A:B,2,FALSE)</f>
        <v>Condiments</v>
      </c>
      <c r="L651" s="10">
        <f>IFERROR(VLOOKUP(A651,'[1]Sales Order'!A:D,4,FALSE),"")</f>
        <v>39174</v>
      </c>
      <c r="M651" s="10">
        <f>IFERROR(VLOOKUP(A651,'[1]Sales Order'!A:F,6,FALSE),"")</f>
        <v>39182</v>
      </c>
      <c r="N651" t="str">
        <f>IFERROR(VLOOKUP(VLOOKUP(A651,'[1]Sales Order'!A:G,7,FALSE),[1]Shipper!A:B,2,FALSE),"Not Specified")</f>
        <v>Shipper ZHISN</v>
      </c>
      <c r="O651" t="str">
        <f>IFERROR(VLOOKUP(A651,'[1]Sales Order'!A:I,9,FALSE),"Not Specified")</f>
        <v>Destination OLJND</v>
      </c>
      <c r="P651" t="str">
        <f>IFERROR(VLOOKUP(A651,'[1]Sales Order'!A:N,14,FALSE),"Not Specified")</f>
        <v>France</v>
      </c>
      <c r="Q651" t="str">
        <f>VLOOKUP(VLOOKUP(B651,[1]Product!A:C,3,FALSE),[1]Supplier!A:B,2,FALSE)</f>
        <v>Supplier VHQZD</v>
      </c>
      <c r="R651" t="str">
        <f>VLOOKUP(VLOOKUP(B651,[1]Product!A:C,3,FALSE),[1]Supplier!A:I,9,FALSE)</f>
        <v>USA</v>
      </c>
      <c r="S651" t="str">
        <f>IFERROR(IF(VLOOKUP(A651,'[1]Sales Order'!A:H,8,FALSE)&gt;100,"High Freight","Low Freight"),"Not Specified")</f>
        <v>Low Freight</v>
      </c>
      <c r="T651">
        <f t="shared" si="21"/>
        <v>122.4</v>
      </c>
    </row>
    <row r="652" spans="1:20">
      <c r="A652" s="1">
        <v>10493</v>
      </c>
      <c r="B652" s="2">
        <v>69</v>
      </c>
      <c r="C652" s="2">
        <v>28.8</v>
      </c>
      <c r="D652" s="2">
        <v>10</v>
      </c>
      <c r="E652" s="3">
        <v>0.1</v>
      </c>
      <c r="F652" s="2" t="str">
        <f>IFERROR(VLOOKUP(VLOOKUP(A652,'[1]Sales Order'!A:B,2,FALSE),[1]Customer!A:C,3,FALSE),"Not Specified")</f>
        <v>Litton, Tim</v>
      </c>
      <c r="G652" s="2" t="str">
        <f t="shared" si="20"/>
        <v>Litton Tim</v>
      </c>
      <c r="H652" s="8" t="str">
        <f>IFERROR(VLOOKUP(VLOOKUP(A652,'[1]Sales Order'!A:C,3,FALSE),[1]Employee!A:E,5,FALSE)&amp;" "&amp;VLOOKUP(VLOOKUP(A652,'[1]Sales Order'!A:C,3,FALSE),[1]Employee!A:C,3,FALSE)&amp;" "&amp;VLOOKUP(VLOOKUP(A652,'[1]Sales Order'!A:C,3,FALSE),[1]Employee!A:B,2,FALSE),"Not Specified")</f>
        <v>Mrs. Yael Peled</v>
      </c>
      <c r="I652" t="str">
        <f>IFERROR(VLOOKUP(VLOOKUP(A652,'[1]Sales Order'!A:C,3,FALSE),[1]Employee!A:J,10,FALSE),"Not Specified")</f>
        <v>WA</v>
      </c>
      <c r="J652" t="str">
        <f>VLOOKUP(B652,[1]Product!A:B,2,FALSE)</f>
        <v>Product COAXA</v>
      </c>
      <c r="K652" t="str">
        <f>VLOOKUP(VLOOKUP(B652,[1]Product!A:D,4,FALSE),[1]Category!A:B,2,FALSE)</f>
        <v>Dairy Product</v>
      </c>
      <c r="L652" s="10">
        <f>IFERROR(VLOOKUP(A652,'[1]Sales Order'!A:D,4,FALSE),"")</f>
        <v>39174</v>
      </c>
      <c r="M652" s="10">
        <f>IFERROR(VLOOKUP(A652,'[1]Sales Order'!A:F,6,FALSE),"")</f>
        <v>39182</v>
      </c>
      <c r="N652" t="str">
        <f>IFERROR(VLOOKUP(VLOOKUP(A652,'[1]Sales Order'!A:G,7,FALSE),[1]Shipper!A:B,2,FALSE),"Not Specified")</f>
        <v>Shipper ZHISN</v>
      </c>
      <c r="O652" t="str">
        <f>IFERROR(VLOOKUP(A652,'[1]Sales Order'!A:I,9,FALSE),"Not Specified")</f>
        <v>Destination OLJND</v>
      </c>
      <c r="P652" t="str">
        <f>IFERROR(VLOOKUP(A652,'[1]Sales Order'!A:N,14,FALSE),"Not Specified")</f>
        <v>France</v>
      </c>
      <c r="Q652" t="str">
        <f>VLOOKUP(VLOOKUP(B652,[1]Product!A:C,3,FALSE),[1]Supplier!A:B,2,FALSE)</f>
        <v>Supplier NZLIF</v>
      </c>
      <c r="R652" t="str">
        <f>VLOOKUP(VLOOKUP(B652,[1]Product!A:C,3,FALSE),[1]Supplier!A:I,9,FALSE)</f>
        <v>Norway</v>
      </c>
      <c r="S652" t="str">
        <f>IFERROR(IF(VLOOKUP(A652,'[1]Sales Order'!A:H,8,FALSE)&gt;100,"High Freight","Low Freight"),"Not Specified")</f>
        <v>Low Freight</v>
      </c>
      <c r="T652">
        <f t="shared" si="21"/>
        <v>259.2</v>
      </c>
    </row>
    <row r="653" spans="1:20">
      <c r="A653" s="1">
        <v>10494</v>
      </c>
      <c r="B653" s="2">
        <v>56</v>
      </c>
      <c r="C653" s="2">
        <v>30.4</v>
      </c>
      <c r="D653" s="2">
        <v>30</v>
      </c>
      <c r="E653" s="3">
        <v>0</v>
      </c>
      <c r="F653" s="2" t="str">
        <f>IFERROR(VLOOKUP(VLOOKUP(A653,'[1]Sales Order'!A:B,2,FALSE),[1]Customer!A:C,3,FALSE),"Not Specified")</f>
        <v>Richardson, Shawn</v>
      </c>
      <c r="G653" s="2" t="str">
        <f t="shared" si="20"/>
        <v>Richardson Shawn</v>
      </c>
      <c r="H653" s="8" t="str">
        <f>IFERROR(VLOOKUP(VLOOKUP(A653,'[1]Sales Order'!A:C,3,FALSE),[1]Employee!A:E,5,FALSE)&amp;" "&amp;VLOOKUP(VLOOKUP(A653,'[1]Sales Order'!A:C,3,FALSE),[1]Employee!A:C,3,FALSE)&amp;" "&amp;VLOOKUP(VLOOKUP(A653,'[1]Sales Order'!A:C,3,FALSE),[1]Employee!A:B,2,FALSE),"Not Specified")</f>
        <v>Mrs. Yael Peled</v>
      </c>
      <c r="I653" t="str">
        <f>IFERROR(VLOOKUP(VLOOKUP(A653,'[1]Sales Order'!A:C,3,FALSE),[1]Employee!A:J,10,FALSE),"Not Specified")</f>
        <v>WA</v>
      </c>
      <c r="J653" t="str">
        <f>VLOOKUP(B653,[1]Product!A:B,2,FALSE)</f>
        <v>Product VKCMF</v>
      </c>
      <c r="K653" t="str">
        <f>VLOOKUP(VLOOKUP(B653,[1]Product!A:D,4,FALSE),[1]Category!A:B,2,FALSE)</f>
        <v>Grains/Cereals</v>
      </c>
      <c r="L653" s="10">
        <f>IFERROR(VLOOKUP(A653,'[1]Sales Order'!A:D,4,FALSE),"")</f>
        <v>39174</v>
      </c>
      <c r="M653" s="10">
        <f>IFERROR(VLOOKUP(A653,'[1]Sales Order'!A:F,6,FALSE),"")</f>
        <v>39181</v>
      </c>
      <c r="N653" t="str">
        <f>IFERROR(VLOOKUP(VLOOKUP(A653,'[1]Sales Order'!A:G,7,FALSE),[1]Shipper!A:B,2,FALSE),"Not Specified")</f>
        <v>Shipper ETYNR</v>
      </c>
      <c r="O653" t="str">
        <f>IFERROR(VLOOKUP(A653,'[1]Sales Order'!A:I,9,FALSE),"Not Specified")</f>
        <v>Destination EVHYA</v>
      </c>
      <c r="P653" t="str">
        <f>IFERROR(VLOOKUP(A653,'[1]Sales Order'!A:N,14,FALSE),"Not Specified")</f>
        <v>Brazil</v>
      </c>
      <c r="Q653" t="str">
        <f>VLOOKUP(VLOOKUP(B653,[1]Product!A:C,3,FALSE),[1]Supplier!A:B,2,FALSE)</f>
        <v>Supplier ZWZDM</v>
      </c>
      <c r="R653" t="str">
        <f>VLOOKUP(VLOOKUP(B653,[1]Product!A:C,3,FALSE),[1]Supplier!A:I,9,FALSE)</f>
        <v>Italy</v>
      </c>
      <c r="S653" t="str">
        <f>IFERROR(IF(VLOOKUP(A653,'[1]Sales Order'!A:H,8,FALSE)&gt;100,"High Freight","Low Freight"),"Not Specified")</f>
        <v>Low Freight</v>
      </c>
      <c r="T653">
        <f t="shared" si="21"/>
        <v>912</v>
      </c>
    </row>
    <row r="654" spans="1:20">
      <c r="A654" s="1">
        <v>10495</v>
      </c>
      <c r="B654" s="2">
        <v>23</v>
      </c>
      <c r="C654" s="2">
        <v>7.2</v>
      </c>
      <c r="D654" s="2">
        <v>10</v>
      </c>
      <c r="E654" s="3">
        <v>0</v>
      </c>
      <c r="F654" s="2" t="str">
        <f>IFERROR(VLOOKUP(VLOOKUP(A654,'[1]Sales Order'!A:B,2,FALSE),[1]Customer!A:C,3,FALSE),"Not Specified")</f>
        <v>Steiner, Dominik</v>
      </c>
      <c r="G654" s="2" t="str">
        <f t="shared" si="20"/>
        <v>Steiner Dominik</v>
      </c>
      <c r="H654" s="8" t="str">
        <f>IFERROR(VLOOKUP(VLOOKUP(A654,'[1]Sales Order'!A:C,3,FALSE),[1]Employee!A:E,5,FALSE)&amp;" "&amp;VLOOKUP(VLOOKUP(A654,'[1]Sales Order'!A:C,3,FALSE),[1]Employee!A:C,3,FALSE)&amp;" "&amp;VLOOKUP(VLOOKUP(A654,'[1]Sales Order'!A:C,3,FALSE),[1]Employee!A:B,2,FALSE),"Not Specified")</f>
        <v>Ms. Judy Lew</v>
      </c>
      <c r="I654" t="str">
        <f>IFERROR(VLOOKUP(VLOOKUP(A654,'[1]Sales Order'!A:C,3,FALSE),[1]Employee!A:J,10,FALSE),"Not Specified")</f>
        <v>WA</v>
      </c>
      <c r="J654" t="str">
        <f>VLOOKUP(B654,[1]Product!A:B,2,FALSE)</f>
        <v>Product JLUDZ</v>
      </c>
      <c r="K654" t="str">
        <f>VLOOKUP(VLOOKUP(B654,[1]Product!A:D,4,FALSE),[1]Category!A:B,2,FALSE)</f>
        <v>Grains/Cereals</v>
      </c>
      <c r="L654" s="10">
        <f>IFERROR(VLOOKUP(A654,'[1]Sales Order'!A:D,4,FALSE),"")</f>
        <v>39175</v>
      </c>
      <c r="M654" s="10">
        <f>IFERROR(VLOOKUP(A654,'[1]Sales Order'!A:F,6,FALSE),"")</f>
        <v>39183</v>
      </c>
      <c r="N654" t="str">
        <f>IFERROR(VLOOKUP(VLOOKUP(A654,'[1]Sales Order'!A:G,7,FALSE),[1]Shipper!A:B,2,FALSE),"Not Specified")</f>
        <v>Shipper ZHISN</v>
      </c>
      <c r="O654" t="str">
        <f>IFERROR(VLOOKUP(A654,'[1]Sales Order'!A:I,9,FALSE),"Not Specified")</f>
        <v>Ship to 42-C</v>
      </c>
      <c r="P654" t="str">
        <f>IFERROR(VLOOKUP(A654,'[1]Sales Order'!A:N,14,FALSE),"Not Specified")</f>
        <v>Canada</v>
      </c>
      <c r="Q654" t="str">
        <f>VLOOKUP(VLOOKUP(B654,[1]Product!A:C,3,FALSE),[1]Supplier!A:B,2,FALSE)</f>
        <v>Supplier QQYEU</v>
      </c>
      <c r="R654" t="str">
        <f>VLOOKUP(VLOOKUP(B654,[1]Product!A:C,3,FALSE),[1]Supplier!A:I,9,FALSE)</f>
        <v>Sweden</v>
      </c>
      <c r="S654" t="str">
        <f>IFERROR(IF(VLOOKUP(A654,'[1]Sales Order'!A:H,8,FALSE)&gt;100,"High Freight","Low Freight"),"Not Specified")</f>
        <v>Low Freight</v>
      </c>
      <c r="T654">
        <f t="shared" si="21"/>
        <v>72</v>
      </c>
    </row>
    <row r="655" spans="1:20">
      <c r="A655" s="1">
        <v>10495</v>
      </c>
      <c r="B655" s="2">
        <v>41</v>
      </c>
      <c r="C655" s="2">
        <v>7.7</v>
      </c>
      <c r="D655" s="2">
        <v>20</v>
      </c>
      <c r="E655" s="3">
        <v>0</v>
      </c>
      <c r="F655" s="2" t="str">
        <f>IFERROR(VLOOKUP(VLOOKUP(A655,'[1]Sales Order'!A:B,2,FALSE),[1]Customer!A:C,3,FALSE),"Not Specified")</f>
        <v>Steiner, Dominik</v>
      </c>
      <c r="G655" s="2" t="str">
        <f t="shared" si="20"/>
        <v>Steiner Dominik</v>
      </c>
      <c r="H655" s="8" t="str">
        <f>IFERROR(VLOOKUP(VLOOKUP(A655,'[1]Sales Order'!A:C,3,FALSE),[1]Employee!A:E,5,FALSE)&amp;" "&amp;VLOOKUP(VLOOKUP(A655,'[1]Sales Order'!A:C,3,FALSE),[1]Employee!A:C,3,FALSE)&amp;" "&amp;VLOOKUP(VLOOKUP(A655,'[1]Sales Order'!A:C,3,FALSE),[1]Employee!A:B,2,FALSE),"Not Specified")</f>
        <v>Ms. Judy Lew</v>
      </c>
      <c r="I655" t="str">
        <f>IFERROR(VLOOKUP(VLOOKUP(A655,'[1]Sales Order'!A:C,3,FALSE),[1]Employee!A:J,10,FALSE),"Not Specified")</f>
        <v>WA</v>
      </c>
      <c r="J655" t="str">
        <f>VLOOKUP(B655,[1]Product!A:B,2,FALSE)</f>
        <v>Product TTEEX</v>
      </c>
      <c r="K655" t="str">
        <f>VLOOKUP(VLOOKUP(B655,[1]Product!A:D,4,FALSE),[1]Category!A:B,2,FALSE)</f>
        <v>Seafood</v>
      </c>
      <c r="L655" s="10">
        <f>IFERROR(VLOOKUP(A655,'[1]Sales Order'!A:D,4,FALSE),"")</f>
        <v>39175</v>
      </c>
      <c r="M655" s="10">
        <f>IFERROR(VLOOKUP(A655,'[1]Sales Order'!A:F,6,FALSE),"")</f>
        <v>39183</v>
      </c>
      <c r="N655" t="str">
        <f>IFERROR(VLOOKUP(VLOOKUP(A655,'[1]Sales Order'!A:G,7,FALSE),[1]Shipper!A:B,2,FALSE),"Not Specified")</f>
        <v>Shipper ZHISN</v>
      </c>
      <c r="O655" t="str">
        <f>IFERROR(VLOOKUP(A655,'[1]Sales Order'!A:I,9,FALSE),"Not Specified")</f>
        <v>Ship to 42-C</v>
      </c>
      <c r="P655" t="str">
        <f>IFERROR(VLOOKUP(A655,'[1]Sales Order'!A:N,14,FALSE),"Not Specified")</f>
        <v>Canada</v>
      </c>
      <c r="Q655" t="str">
        <f>VLOOKUP(VLOOKUP(B655,[1]Product!A:C,3,FALSE),[1]Supplier!A:B,2,FALSE)</f>
        <v>Supplier JDNUG</v>
      </c>
      <c r="R655" t="str">
        <f>VLOOKUP(VLOOKUP(B655,[1]Product!A:C,3,FALSE),[1]Supplier!A:I,9,FALSE)</f>
        <v>USA</v>
      </c>
      <c r="S655" t="str">
        <f>IFERROR(IF(VLOOKUP(A655,'[1]Sales Order'!A:H,8,FALSE)&gt;100,"High Freight","Low Freight"),"Not Specified")</f>
        <v>Low Freight</v>
      </c>
      <c r="T655">
        <f t="shared" si="21"/>
        <v>154</v>
      </c>
    </row>
    <row r="656" spans="1:20">
      <c r="A656" s="1">
        <v>10495</v>
      </c>
      <c r="B656" s="2">
        <v>77</v>
      </c>
      <c r="C656" s="2">
        <v>10.4</v>
      </c>
      <c r="D656" s="2">
        <v>5</v>
      </c>
      <c r="E656" s="3">
        <v>0</v>
      </c>
      <c r="F656" s="2" t="str">
        <f>IFERROR(VLOOKUP(VLOOKUP(A656,'[1]Sales Order'!A:B,2,FALSE),[1]Customer!A:C,3,FALSE),"Not Specified")</f>
        <v>Steiner, Dominik</v>
      </c>
      <c r="G656" s="2" t="str">
        <f t="shared" si="20"/>
        <v>Steiner Dominik</v>
      </c>
      <c r="H656" s="8" t="str">
        <f>IFERROR(VLOOKUP(VLOOKUP(A656,'[1]Sales Order'!A:C,3,FALSE),[1]Employee!A:E,5,FALSE)&amp;" "&amp;VLOOKUP(VLOOKUP(A656,'[1]Sales Order'!A:C,3,FALSE),[1]Employee!A:C,3,FALSE)&amp;" "&amp;VLOOKUP(VLOOKUP(A656,'[1]Sales Order'!A:C,3,FALSE),[1]Employee!A:B,2,FALSE),"Not Specified")</f>
        <v>Ms. Judy Lew</v>
      </c>
      <c r="I656" t="str">
        <f>IFERROR(VLOOKUP(VLOOKUP(A656,'[1]Sales Order'!A:C,3,FALSE),[1]Employee!A:J,10,FALSE),"Not Specified")</f>
        <v>WA</v>
      </c>
      <c r="J656" t="str">
        <f>VLOOKUP(B656,[1]Product!A:B,2,FALSE)</f>
        <v>Product LUNZZ</v>
      </c>
      <c r="K656" t="str">
        <f>VLOOKUP(VLOOKUP(B656,[1]Product!A:D,4,FALSE),[1]Category!A:B,2,FALSE)</f>
        <v>Condiments</v>
      </c>
      <c r="L656" s="10">
        <f>IFERROR(VLOOKUP(A656,'[1]Sales Order'!A:D,4,FALSE),"")</f>
        <v>39175</v>
      </c>
      <c r="M656" s="10">
        <f>IFERROR(VLOOKUP(A656,'[1]Sales Order'!A:F,6,FALSE),"")</f>
        <v>39183</v>
      </c>
      <c r="N656" t="str">
        <f>IFERROR(VLOOKUP(VLOOKUP(A656,'[1]Sales Order'!A:G,7,FALSE),[1]Shipper!A:B,2,FALSE),"Not Specified")</f>
        <v>Shipper ZHISN</v>
      </c>
      <c r="O656" t="str">
        <f>IFERROR(VLOOKUP(A656,'[1]Sales Order'!A:I,9,FALSE),"Not Specified")</f>
        <v>Ship to 42-C</v>
      </c>
      <c r="P656" t="str">
        <f>IFERROR(VLOOKUP(A656,'[1]Sales Order'!A:N,14,FALSE),"Not Specified")</f>
        <v>Canada</v>
      </c>
      <c r="Q656" t="str">
        <f>VLOOKUP(VLOOKUP(B656,[1]Product!A:C,3,FALSE),[1]Supplier!A:B,2,FALSE)</f>
        <v>Supplier SVIYA</v>
      </c>
      <c r="R656" t="str">
        <f>VLOOKUP(VLOOKUP(B656,[1]Product!A:C,3,FALSE),[1]Supplier!A:I,9,FALSE)</f>
        <v>Germany</v>
      </c>
      <c r="S656" t="str">
        <f>IFERROR(IF(VLOOKUP(A656,'[1]Sales Order'!A:H,8,FALSE)&gt;100,"High Freight","Low Freight"),"Not Specified")</f>
        <v>Low Freight</v>
      </c>
      <c r="T656">
        <f t="shared" si="21"/>
        <v>52</v>
      </c>
    </row>
    <row r="657" spans="1:20">
      <c r="A657" s="1">
        <v>10496</v>
      </c>
      <c r="B657" s="2">
        <v>31</v>
      </c>
      <c r="C657" s="2">
        <v>10</v>
      </c>
      <c r="D657" s="2">
        <v>20</v>
      </c>
      <c r="E657" s="3">
        <v>0.05</v>
      </c>
      <c r="F657" s="2" t="str">
        <f>IFERROR(VLOOKUP(VLOOKUP(A657,'[1]Sales Order'!A:B,2,FALSE),[1]Customer!A:C,3,FALSE),"Not Specified")</f>
        <v>Nagel, Jean-Philippe</v>
      </c>
      <c r="G657" s="2" t="str">
        <f t="shared" si="20"/>
        <v>Nagel Jean-Philippe</v>
      </c>
      <c r="H657" s="8" t="str">
        <f>IFERROR(VLOOKUP(VLOOKUP(A657,'[1]Sales Order'!A:C,3,FALSE),[1]Employee!A:E,5,FALSE)&amp;" "&amp;VLOOKUP(VLOOKUP(A657,'[1]Sales Order'!A:C,3,FALSE),[1]Employee!A:C,3,FALSE)&amp;" "&amp;VLOOKUP(VLOOKUP(A657,'[1]Sales Order'!A:C,3,FALSE),[1]Employee!A:B,2,FALSE),"Not Specified")</f>
        <v>Mr. Russell King</v>
      </c>
      <c r="I657">
        <f>IFERROR(VLOOKUP(VLOOKUP(A657,'[1]Sales Order'!A:C,3,FALSE),[1]Employee!A:J,10,FALSE),"Not Specified")</f>
        <v>0</v>
      </c>
      <c r="J657" t="str">
        <f>VLOOKUP(B657,[1]Product!A:B,2,FALSE)</f>
        <v>Product XWOXC</v>
      </c>
      <c r="K657" t="str">
        <f>VLOOKUP(VLOOKUP(B657,[1]Product!A:D,4,FALSE),[1]Category!A:B,2,FALSE)</f>
        <v>Dairy Product</v>
      </c>
      <c r="L657" s="10">
        <f>IFERROR(VLOOKUP(A657,'[1]Sales Order'!A:D,4,FALSE),"")</f>
        <v>39176</v>
      </c>
      <c r="M657" s="10">
        <f>IFERROR(VLOOKUP(A657,'[1]Sales Order'!A:F,6,FALSE),"")</f>
        <v>39179</v>
      </c>
      <c r="N657" t="str">
        <f>IFERROR(VLOOKUP(VLOOKUP(A657,'[1]Sales Order'!A:G,7,FALSE),[1]Shipper!A:B,2,FALSE),"Not Specified")</f>
        <v>Shipper ETYNR</v>
      </c>
      <c r="O657" t="str">
        <f>IFERROR(VLOOKUP(A657,'[1]Sales Order'!A:I,9,FALSE),"Not Specified")</f>
        <v>Ship to 81-C</v>
      </c>
      <c r="P657" t="str">
        <f>IFERROR(VLOOKUP(A657,'[1]Sales Order'!A:N,14,FALSE),"Not Specified")</f>
        <v>Brazil</v>
      </c>
      <c r="Q657" t="str">
        <f>VLOOKUP(VLOOKUP(B657,[1]Product!A:C,3,FALSE),[1]Supplier!A:B,2,FALSE)</f>
        <v>Supplier KEREV</v>
      </c>
      <c r="R657" t="str">
        <f>VLOOKUP(VLOOKUP(B657,[1]Product!A:C,3,FALSE),[1]Supplier!A:I,9,FALSE)</f>
        <v>Italy</v>
      </c>
      <c r="S657" t="str">
        <f>IFERROR(IF(VLOOKUP(A657,'[1]Sales Order'!A:H,8,FALSE)&gt;100,"High Freight","Low Freight"),"Not Specified")</f>
        <v>Low Freight</v>
      </c>
      <c r="T657">
        <f t="shared" si="21"/>
        <v>190</v>
      </c>
    </row>
    <row r="658" spans="1:20">
      <c r="A658" s="1">
        <v>10497</v>
      </c>
      <c r="B658" s="2">
        <v>56</v>
      </c>
      <c r="C658" s="2">
        <v>30.4</v>
      </c>
      <c r="D658" s="2">
        <v>14</v>
      </c>
      <c r="E658" s="3">
        <v>0</v>
      </c>
      <c r="F658" s="2" t="str">
        <f>IFERROR(VLOOKUP(VLOOKUP(A658,'[1]Sales Order'!A:B,2,FALSE),[1]Customer!A:C,3,FALSE),"Not Specified")</f>
        <v>Louverdis, George</v>
      </c>
      <c r="G658" s="2" t="str">
        <f t="shared" si="20"/>
        <v>Louverdis George</v>
      </c>
      <c r="H658" s="8" t="str">
        <f>IFERROR(VLOOKUP(VLOOKUP(A658,'[1]Sales Order'!A:C,3,FALSE),[1]Employee!A:E,5,FALSE)&amp;" "&amp;VLOOKUP(VLOOKUP(A658,'[1]Sales Order'!A:C,3,FALSE),[1]Employee!A:C,3,FALSE)&amp;" "&amp;VLOOKUP(VLOOKUP(A658,'[1]Sales Order'!A:C,3,FALSE),[1]Employee!A:B,2,FALSE),"Not Specified")</f>
        <v>Mr. Russell King</v>
      </c>
      <c r="I658">
        <f>IFERROR(VLOOKUP(VLOOKUP(A658,'[1]Sales Order'!A:C,3,FALSE),[1]Employee!A:J,10,FALSE),"Not Specified")</f>
        <v>0</v>
      </c>
      <c r="J658" t="str">
        <f>VLOOKUP(B658,[1]Product!A:B,2,FALSE)</f>
        <v>Product VKCMF</v>
      </c>
      <c r="K658" t="str">
        <f>VLOOKUP(VLOOKUP(B658,[1]Product!A:D,4,FALSE),[1]Category!A:B,2,FALSE)</f>
        <v>Grains/Cereals</v>
      </c>
      <c r="L658" s="10">
        <f>IFERROR(VLOOKUP(A658,'[1]Sales Order'!A:D,4,FALSE),"")</f>
        <v>39176</v>
      </c>
      <c r="M658" s="10">
        <f>IFERROR(VLOOKUP(A658,'[1]Sales Order'!A:F,6,FALSE),"")</f>
        <v>39179</v>
      </c>
      <c r="N658" t="str">
        <f>IFERROR(VLOOKUP(VLOOKUP(A658,'[1]Sales Order'!A:G,7,FALSE),[1]Shipper!A:B,2,FALSE),"Not Specified")</f>
        <v>Shipper GVSUA</v>
      </c>
      <c r="O658" t="str">
        <f>IFERROR(VLOOKUP(A658,'[1]Sales Order'!A:I,9,FALSE),"Not Specified")</f>
        <v>Ship to 44-A</v>
      </c>
      <c r="P658" t="str">
        <f>IFERROR(VLOOKUP(A658,'[1]Sales Order'!A:N,14,FALSE),"Not Specified")</f>
        <v>Germany</v>
      </c>
      <c r="Q658" t="str">
        <f>VLOOKUP(VLOOKUP(B658,[1]Product!A:C,3,FALSE),[1]Supplier!A:B,2,FALSE)</f>
        <v>Supplier ZWZDM</v>
      </c>
      <c r="R658" t="str">
        <f>VLOOKUP(VLOOKUP(B658,[1]Product!A:C,3,FALSE),[1]Supplier!A:I,9,FALSE)</f>
        <v>Italy</v>
      </c>
      <c r="S658" t="str">
        <f>IFERROR(IF(VLOOKUP(A658,'[1]Sales Order'!A:H,8,FALSE)&gt;100,"High Freight","Low Freight"),"Not Specified")</f>
        <v>Low Freight</v>
      </c>
      <c r="T658">
        <f t="shared" si="21"/>
        <v>425.59999999999997</v>
      </c>
    </row>
    <row r="659" spans="1:20">
      <c r="A659" s="1">
        <v>10497</v>
      </c>
      <c r="B659" s="2">
        <v>72</v>
      </c>
      <c r="C659" s="2">
        <v>27.8</v>
      </c>
      <c r="D659" s="2">
        <v>25</v>
      </c>
      <c r="E659" s="3">
        <v>0</v>
      </c>
      <c r="F659" s="2" t="str">
        <f>IFERROR(VLOOKUP(VLOOKUP(A659,'[1]Sales Order'!A:B,2,FALSE),[1]Customer!A:C,3,FALSE),"Not Specified")</f>
        <v>Louverdis, George</v>
      </c>
      <c r="G659" s="2" t="str">
        <f t="shared" si="20"/>
        <v>Louverdis George</v>
      </c>
      <c r="H659" s="8" t="str">
        <f>IFERROR(VLOOKUP(VLOOKUP(A659,'[1]Sales Order'!A:C,3,FALSE),[1]Employee!A:E,5,FALSE)&amp;" "&amp;VLOOKUP(VLOOKUP(A659,'[1]Sales Order'!A:C,3,FALSE),[1]Employee!A:C,3,FALSE)&amp;" "&amp;VLOOKUP(VLOOKUP(A659,'[1]Sales Order'!A:C,3,FALSE),[1]Employee!A:B,2,FALSE),"Not Specified")</f>
        <v>Mr. Russell King</v>
      </c>
      <c r="I659">
        <f>IFERROR(VLOOKUP(VLOOKUP(A659,'[1]Sales Order'!A:C,3,FALSE),[1]Employee!A:J,10,FALSE),"Not Specified")</f>
        <v>0</v>
      </c>
      <c r="J659" t="str">
        <f>VLOOKUP(B659,[1]Product!A:B,2,FALSE)</f>
        <v>Product GEEOO</v>
      </c>
      <c r="K659" t="str">
        <f>VLOOKUP(VLOOKUP(B659,[1]Product!A:D,4,FALSE),[1]Category!A:B,2,FALSE)</f>
        <v>Dairy Product</v>
      </c>
      <c r="L659" s="10">
        <f>IFERROR(VLOOKUP(A659,'[1]Sales Order'!A:D,4,FALSE),"")</f>
        <v>39176</v>
      </c>
      <c r="M659" s="10">
        <f>IFERROR(VLOOKUP(A659,'[1]Sales Order'!A:F,6,FALSE),"")</f>
        <v>39179</v>
      </c>
      <c r="N659" t="str">
        <f>IFERROR(VLOOKUP(VLOOKUP(A659,'[1]Sales Order'!A:G,7,FALSE),[1]Shipper!A:B,2,FALSE),"Not Specified")</f>
        <v>Shipper GVSUA</v>
      </c>
      <c r="O659" t="str">
        <f>IFERROR(VLOOKUP(A659,'[1]Sales Order'!A:I,9,FALSE),"Not Specified")</f>
        <v>Ship to 44-A</v>
      </c>
      <c r="P659" t="str">
        <f>IFERROR(VLOOKUP(A659,'[1]Sales Order'!A:N,14,FALSE),"Not Specified")</f>
        <v>Germany</v>
      </c>
      <c r="Q659" t="str">
        <f>VLOOKUP(VLOOKUP(B659,[1]Product!A:C,3,FALSE),[1]Supplier!A:B,2,FALSE)</f>
        <v>Supplier KEREV</v>
      </c>
      <c r="R659" t="str">
        <f>VLOOKUP(VLOOKUP(B659,[1]Product!A:C,3,FALSE),[1]Supplier!A:I,9,FALSE)</f>
        <v>Italy</v>
      </c>
      <c r="S659" t="str">
        <f>IFERROR(IF(VLOOKUP(A659,'[1]Sales Order'!A:H,8,FALSE)&gt;100,"High Freight","Low Freight"),"Not Specified")</f>
        <v>Low Freight</v>
      </c>
      <c r="T659">
        <f t="shared" si="21"/>
        <v>695</v>
      </c>
    </row>
    <row r="660" spans="1:20">
      <c r="A660" s="1">
        <v>10497</v>
      </c>
      <c r="B660" s="2">
        <v>77</v>
      </c>
      <c r="C660" s="2">
        <v>10.4</v>
      </c>
      <c r="D660" s="2">
        <v>25</v>
      </c>
      <c r="E660" s="3">
        <v>0</v>
      </c>
      <c r="F660" s="2" t="str">
        <f>IFERROR(VLOOKUP(VLOOKUP(A660,'[1]Sales Order'!A:B,2,FALSE),[1]Customer!A:C,3,FALSE),"Not Specified")</f>
        <v>Louverdis, George</v>
      </c>
      <c r="G660" s="2" t="str">
        <f t="shared" si="20"/>
        <v>Louverdis George</v>
      </c>
      <c r="H660" s="8" t="str">
        <f>IFERROR(VLOOKUP(VLOOKUP(A660,'[1]Sales Order'!A:C,3,FALSE),[1]Employee!A:E,5,FALSE)&amp;" "&amp;VLOOKUP(VLOOKUP(A660,'[1]Sales Order'!A:C,3,FALSE),[1]Employee!A:C,3,FALSE)&amp;" "&amp;VLOOKUP(VLOOKUP(A660,'[1]Sales Order'!A:C,3,FALSE),[1]Employee!A:B,2,FALSE),"Not Specified")</f>
        <v>Mr. Russell King</v>
      </c>
      <c r="I660">
        <f>IFERROR(VLOOKUP(VLOOKUP(A660,'[1]Sales Order'!A:C,3,FALSE),[1]Employee!A:J,10,FALSE),"Not Specified")</f>
        <v>0</v>
      </c>
      <c r="J660" t="str">
        <f>VLOOKUP(B660,[1]Product!A:B,2,FALSE)</f>
        <v>Product LUNZZ</v>
      </c>
      <c r="K660" t="str">
        <f>VLOOKUP(VLOOKUP(B660,[1]Product!A:D,4,FALSE),[1]Category!A:B,2,FALSE)</f>
        <v>Condiments</v>
      </c>
      <c r="L660" s="10">
        <f>IFERROR(VLOOKUP(A660,'[1]Sales Order'!A:D,4,FALSE),"")</f>
        <v>39176</v>
      </c>
      <c r="M660" s="10">
        <f>IFERROR(VLOOKUP(A660,'[1]Sales Order'!A:F,6,FALSE),"")</f>
        <v>39179</v>
      </c>
      <c r="N660" t="str">
        <f>IFERROR(VLOOKUP(VLOOKUP(A660,'[1]Sales Order'!A:G,7,FALSE),[1]Shipper!A:B,2,FALSE),"Not Specified")</f>
        <v>Shipper GVSUA</v>
      </c>
      <c r="O660" t="str">
        <f>IFERROR(VLOOKUP(A660,'[1]Sales Order'!A:I,9,FALSE),"Not Specified")</f>
        <v>Ship to 44-A</v>
      </c>
      <c r="P660" t="str">
        <f>IFERROR(VLOOKUP(A660,'[1]Sales Order'!A:N,14,FALSE),"Not Specified")</f>
        <v>Germany</v>
      </c>
      <c r="Q660" t="str">
        <f>VLOOKUP(VLOOKUP(B660,[1]Product!A:C,3,FALSE),[1]Supplier!A:B,2,FALSE)</f>
        <v>Supplier SVIYA</v>
      </c>
      <c r="R660" t="str">
        <f>VLOOKUP(VLOOKUP(B660,[1]Product!A:C,3,FALSE),[1]Supplier!A:I,9,FALSE)</f>
        <v>Germany</v>
      </c>
      <c r="S660" t="str">
        <f>IFERROR(IF(VLOOKUP(A660,'[1]Sales Order'!A:H,8,FALSE)&gt;100,"High Freight","Low Freight"),"Not Specified")</f>
        <v>Low Freight</v>
      </c>
      <c r="T660">
        <f t="shared" si="21"/>
        <v>260</v>
      </c>
    </row>
    <row r="661" spans="1:20">
      <c r="A661" s="1">
        <v>10498</v>
      </c>
      <c r="B661" s="2">
        <v>24</v>
      </c>
      <c r="C661" s="2">
        <v>4.5</v>
      </c>
      <c r="D661" s="2">
        <v>14</v>
      </c>
      <c r="E661" s="3">
        <v>0</v>
      </c>
      <c r="F661" s="2" t="str">
        <f>IFERROR(VLOOKUP(VLOOKUP(A661,'[1]Sales Order'!A:B,2,FALSE),[1]Customer!A:C,3,FALSE),"Not Specified")</f>
        <v>Langohr, Kris</v>
      </c>
      <c r="G661" s="2" t="str">
        <f t="shared" si="20"/>
        <v>Langohr Kris</v>
      </c>
      <c r="H661" s="8" t="str">
        <f>IFERROR(VLOOKUP(VLOOKUP(A661,'[1]Sales Order'!A:C,3,FALSE),[1]Employee!A:E,5,FALSE)&amp;" "&amp;VLOOKUP(VLOOKUP(A661,'[1]Sales Order'!A:C,3,FALSE),[1]Employee!A:C,3,FALSE)&amp;" "&amp;VLOOKUP(VLOOKUP(A661,'[1]Sales Order'!A:C,3,FALSE),[1]Employee!A:B,2,FALSE),"Not Specified")</f>
        <v>Ms. Maria Cameron</v>
      </c>
      <c r="I661" t="str">
        <f>IFERROR(VLOOKUP(VLOOKUP(A661,'[1]Sales Order'!A:C,3,FALSE),[1]Employee!A:J,10,FALSE),"Not Specified")</f>
        <v>WA</v>
      </c>
      <c r="J661" t="str">
        <f>VLOOKUP(B661,[1]Product!A:B,2,FALSE)</f>
        <v>Product QOGNU</v>
      </c>
      <c r="K661" t="str">
        <f>VLOOKUP(VLOOKUP(B661,[1]Product!A:D,4,FALSE),[1]Category!A:B,2,FALSE)</f>
        <v>Beverages</v>
      </c>
      <c r="L661" s="10">
        <f>IFERROR(VLOOKUP(A661,'[1]Sales Order'!A:D,4,FALSE),"")</f>
        <v>39179</v>
      </c>
      <c r="M661" s="10">
        <f>IFERROR(VLOOKUP(A661,'[1]Sales Order'!A:F,6,FALSE),"")</f>
        <v>39183</v>
      </c>
      <c r="N661" t="str">
        <f>IFERROR(VLOOKUP(VLOOKUP(A661,'[1]Sales Order'!A:G,7,FALSE),[1]Shipper!A:B,2,FALSE),"Not Specified")</f>
        <v>Shipper ETYNR</v>
      </c>
      <c r="O661" t="str">
        <f>IFERROR(VLOOKUP(A661,'[1]Sales Order'!A:I,9,FALSE),"Not Specified")</f>
        <v>Destination SXYQX</v>
      </c>
      <c r="P661" t="str">
        <f>IFERROR(VLOOKUP(A661,'[1]Sales Order'!A:N,14,FALSE),"Not Specified")</f>
        <v>Venezuela</v>
      </c>
      <c r="Q661" t="str">
        <f>VLOOKUP(VLOOKUP(B661,[1]Product!A:C,3,FALSE),[1]Supplier!A:B,2,FALSE)</f>
        <v>Supplier UNAHG</v>
      </c>
      <c r="R661" t="str">
        <f>VLOOKUP(VLOOKUP(B661,[1]Product!A:C,3,FALSE),[1]Supplier!A:I,9,FALSE)</f>
        <v>Brazil</v>
      </c>
      <c r="S661" t="str">
        <f>IFERROR(IF(VLOOKUP(A661,'[1]Sales Order'!A:H,8,FALSE)&gt;100,"High Freight","Low Freight"),"Not Specified")</f>
        <v>Low Freight</v>
      </c>
      <c r="T661">
        <f t="shared" si="21"/>
        <v>63</v>
      </c>
    </row>
    <row r="662" spans="1:20">
      <c r="A662" s="1">
        <v>10498</v>
      </c>
      <c r="B662" s="2">
        <v>40</v>
      </c>
      <c r="C662" s="2">
        <v>18.399999999999999</v>
      </c>
      <c r="D662" s="2">
        <v>5</v>
      </c>
      <c r="E662" s="3">
        <v>0</v>
      </c>
      <c r="F662" s="2" t="str">
        <f>IFERROR(VLOOKUP(VLOOKUP(A662,'[1]Sales Order'!A:B,2,FALSE),[1]Customer!A:C,3,FALSE),"Not Specified")</f>
        <v>Langohr, Kris</v>
      </c>
      <c r="G662" s="2" t="str">
        <f t="shared" si="20"/>
        <v>Langohr Kris</v>
      </c>
      <c r="H662" s="8" t="str">
        <f>IFERROR(VLOOKUP(VLOOKUP(A662,'[1]Sales Order'!A:C,3,FALSE),[1]Employee!A:E,5,FALSE)&amp;" "&amp;VLOOKUP(VLOOKUP(A662,'[1]Sales Order'!A:C,3,FALSE),[1]Employee!A:C,3,FALSE)&amp;" "&amp;VLOOKUP(VLOOKUP(A662,'[1]Sales Order'!A:C,3,FALSE),[1]Employee!A:B,2,FALSE),"Not Specified")</f>
        <v>Ms. Maria Cameron</v>
      </c>
      <c r="I662" t="str">
        <f>IFERROR(VLOOKUP(VLOOKUP(A662,'[1]Sales Order'!A:C,3,FALSE),[1]Employee!A:J,10,FALSE),"Not Specified")</f>
        <v>WA</v>
      </c>
      <c r="J662" t="str">
        <f>VLOOKUP(B662,[1]Product!A:B,2,FALSE)</f>
        <v>Product YZIXQ</v>
      </c>
      <c r="K662" t="str">
        <f>VLOOKUP(VLOOKUP(B662,[1]Product!A:D,4,FALSE),[1]Category!A:B,2,FALSE)</f>
        <v>Seafood</v>
      </c>
      <c r="L662" s="10">
        <f>IFERROR(VLOOKUP(A662,'[1]Sales Order'!A:D,4,FALSE),"")</f>
        <v>39179</v>
      </c>
      <c r="M662" s="10">
        <f>IFERROR(VLOOKUP(A662,'[1]Sales Order'!A:F,6,FALSE),"")</f>
        <v>39183</v>
      </c>
      <c r="N662" t="str">
        <f>IFERROR(VLOOKUP(VLOOKUP(A662,'[1]Sales Order'!A:G,7,FALSE),[1]Shipper!A:B,2,FALSE),"Not Specified")</f>
        <v>Shipper ETYNR</v>
      </c>
      <c r="O662" t="str">
        <f>IFERROR(VLOOKUP(A662,'[1]Sales Order'!A:I,9,FALSE),"Not Specified")</f>
        <v>Destination SXYQX</v>
      </c>
      <c r="P662" t="str">
        <f>IFERROR(VLOOKUP(A662,'[1]Sales Order'!A:N,14,FALSE),"Not Specified")</f>
        <v>Venezuela</v>
      </c>
      <c r="Q662" t="str">
        <f>VLOOKUP(VLOOKUP(B662,[1]Product!A:C,3,FALSE),[1]Supplier!A:B,2,FALSE)</f>
        <v>Supplier JDNUG</v>
      </c>
      <c r="R662" t="str">
        <f>VLOOKUP(VLOOKUP(B662,[1]Product!A:C,3,FALSE),[1]Supplier!A:I,9,FALSE)</f>
        <v>USA</v>
      </c>
      <c r="S662" t="str">
        <f>IFERROR(IF(VLOOKUP(A662,'[1]Sales Order'!A:H,8,FALSE)&gt;100,"High Freight","Low Freight"),"Not Specified")</f>
        <v>Low Freight</v>
      </c>
      <c r="T662">
        <f t="shared" si="21"/>
        <v>92</v>
      </c>
    </row>
    <row r="663" spans="1:20">
      <c r="A663" s="1">
        <v>10498</v>
      </c>
      <c r="B663" s="2">
        <v>42</v>
      </c>
      <c r="C663" s="2">
        <v>14</v>
      </c>
      <c r="D663" s="2">
        <v>30</v>
      </c>
      <c r="E663" s="3">
        <v>0</v>
      </c>
      <c r="F663" s="2" t="str">
        <f>IFERROR(VLOOKUP(VLOOKUP(A663,'[1]Sales Order'!A:B,2,FALSE),[1]Customer!A:C,3,FALSE),"Not Specified")</f>
        <v>Langohr, Kris</v>
      </c>
      <c r="G663" s="2" t="str">
        <f t="shared" si="20"/>
        <v>Langohr Kris</v>
      </c>
      <c r="H663" s="8" t="str">
        <f>IFERROR(VLOOKUP(VLOOKUP(A663,'[1]Sales Order'!A:C,3,FALSE),[1]Employee!A:E,5,FALSE)&amp;" "&amp;VLOOKUP(VLOOKUP(A663,'[1]Sales Order'!A:C,3,FALSE),[1]Employee!A:C,3,FALSE)&amp;" "&amp;VLOOKUP(VLOOKUP(A663,'[1]Sales Order'!A:C,3,FALSE),[1]Employee!A:B,2,FALSE),"Not Specified")</f>
        <v>Ms. Maria Cameron</v>
      </c>
      <c r="I663" t="str">
        <f>IFERROR(VLOOKUP(VLOOKUP(A663,'[1]Sales Order'!A:C,3,FALSE),[1]Employee!A:J,10,FALSE),"Not Specified")</f>
        <v>WA</v>
      </c>
      <c r="J663" t="str">
        <f>VLOOKUP(B663,[1]Product!A:B,2,FALSE)</f>
        <v>Product RJVNM</v>
      </c>
      <c r="K663" t="str">
        <f>VLOOKUP(VLOOKUP(B663,[1]Product!A:D,4,FALSE),[1]Category!A:B,2,FALSE)</f>
        <v>Grains/Cereals</v>
      </c>
      <c r="L663" s="10">
        <f>IFERROR(VLOOKUP(A663,'[1]Sales Order'!A:D,4,FALSE),"")</f>
        <v>39179</v>
      </c>
      <c r="M663" s="10">
        <f>IFERROR(VLOOKUP(A663,'[1]Sales Order'!A:F,6,FALSE),"")</f>
        <v>39183</v>
      </c>
      <c r="N663" t="str">
        <f>IFERROR(VLOOKUP(VLOOKUP(A663,'[1]Sales Order'!A:G,7,FALSE),[1]Shipper!A:B,2,FALSE),"Not Specified")</f>
        <v>Shipper ETYNR</v>
      </c>
      <c r="O663" t="str">
        <f>IFERROR(VLOOKUP(A663,'[1]Sales Order'!A:I,9,FALSE),"Not Specified")</f>
        <v>Destination SXYQX</v>
      </c>
      <c r="P663" t="str">
        <f>IFERROR(VLOOKUP(A663,'[1]Sales Order'!A:N,14,FALSE),"Not Specified")</f>
        <v>Venezuela</v>
      </c>
      <c r="Q663" t="str">
        <f>VLOOKUP(VLOOKUP(B663,[1]Product!A:C,3,FALSE),[1]Supplier!A:B,2,FALSE)</f>
        <v>Supplier CIYNM</v>
      </c>
      <c r="R663" t="str">
        <f>VLOOKUP(VLOOKUP(B663,[1]Product!A:C,3,FALSE),[1]Supplier!A:I,9,FALSE)</f>
        <v>Singapore</v>
      </c>
      <c r="S663" t="str">
        <f>IFERROR(IF(VLOOKUP(A663,'[1]Sales Order'!A:H,8,FALSE)&gt;100,"High Freight","Low Freight"),"Not Specified")</f>
        <v>Low Freight</v>
      </c>
      <c r="T663">
        <f t="shared" si="21"/>
        <v>420</v>
      </c>
    </row>
    <row r="664" spans="1:20">
      <c r="A664" s="1">
        <v>10499</v>
      </c>
      <c r="B664" s="2">
        <v>28</v>
      </c>
      <c r="C664" s="2">
        <v>45.6</v>
      </c>
      <c r="D664" s="2">
        <v>20</v>
      </c>
      <c r="E664" s="3">
        <v>0</v>
      </c>
      <c r="F664" s="2" t="str">
        <f>IFERROR(VLOOKUP(VLOOKUP(A664,'[1]Sales Order'!A:B,2,FALSE),[1]Customer!A:C,3,FALSE),"Not Specified")</f>
        <v>Dressler, Marlies</v>
      </c>
      <c r="G664" s="2" t="str">
        <f t="shared" si="20"/>
        <v>Dressler Marlies</v>
      </c>
      <c r="H664" s="8" t="str">
        <f>IFERROR(VLOOKUP(VLOOKUP(A664,'[1]Sales Order'!A:C,3,FALSE),[1]Employee!A:E,5,FALSE)&amp;" "&amp;VLOOKUP(VLOOKUP(A664,'[1]Sales Order'!A:C,3,FALSE),[1]Employee!A:C,3,FALSE)&amp;" "&amp;VLOOKUP(VLOOKUP(A664,'[1]Sales Order'!A:C,3,FALSE),[1]Employee!A:B,2,FALSE),"Not Specified")</f>
        <v>Mrs. Yael Peled</v>
      </c>
      <c r="I664" t="str">
        <f>IFERROR(VLOOKUP(VLOOKUP(A664,'[1]Sales Order'!A:C,3,FALSE),[1]Employee!A:J,10,FALSE),"Not Specified")</f>
        <v>WA</v>
      </c>
      <c r="J664" t="str">
        <f>VLOOKUP(B664,[1]Product!A:B,2,FALSE)</f>
        <v>Product OFBNT</v>
      </c>
      <c r="K664" t="str">
        <f>VLOOKUP(VLOOKUP(B664,[1]Product!A:D,4,FALSE),[1]Category!A:B,2,FALSE)</f>
        <v>Produce</v>
      </c>
      <c r="L664" s="10">
        <f>IFERROR(VLOOKUP(A664,'[1]Sales Order'!A:D,4,FALSE),"")</f>
        <v>39180</v>
      </c>
      <c r="M664" s="10">
        <f>IFERROR(VLOOKUP(A664,'[1]Sales Order'!A:F,6,FALSE),"")</f>
        <v>39188</v>
      </c>
      <c r="N664" t="str">
        <f>IFERROR(VLOOKUP(VLOOKUP(A664,'[1]Sales Order'!A:G,7,FALSE),[1]Shipper!A:B,2,FALSE),"Not Specified")</f>
        <v>Shipper ETYNR</v>
      </c>
      <c r="O664" t="str">
        <f>IFERROR(VLOOKUP(A664,'[1]Sales Order'!A:I,9,FALSE),"Not Specified")</f>
        <v>Ship to 46-C</v>
      </c>
      <c r="P664" t="str">
        <f>IFERROR(VLOOKUP(A664,'[1]Sales Order'!A:N,14,FALSE),"Not Specified")</f>
        <v>Venezuela</v>
      </c>
      <c r="Q664" t="str">
        <f>VLOOKUP(VLOOKUP(B664,[1]Product!A:C,3,FALSE),[1]Supplier!A:B,2,FALSE)</f>
        <v>Supplier SVIYA</v>
      </c>
      <c r="R664" t="str">
        <f>VLOOKUP(VLOOKUP(B664,[1]Product!A:C,3,FALSE),[1]Supplier!A:I,9,FALSE)</f>
        <v>Germany</v>
      </c>
      <c r="S664" t="str">
        <f>IFERROR(IF(VLOOKUP(A664,'[1]Sales Order'!A:H,8,FALSE)&gt;100,"High Freight","Low Freight"),"Not Specified")</f>
        <v>High Freight</v>
      </c>
      <c r="T664">
        <f t="shared" si="21"/>
        <v>912</v>
      </c>
    </row>
    <row r="665" spans="1:20">
      <c r="A665" s="1">
        <v>10499</v>
      </c>
      <c r="B665" s="2">
        <v>49</v>
      </c>
      <c r="C665" s="2">
        <v>20</v>
      </c>
      <c r="D665" s="2">
        <v>25</v>
      </c>
      <c r="E665" s="3">
        <v>0</v>
      </c>
      <c r="F665" s="2" t="str">
        <f>IFERROR(VLOOKUP(VLOOKUP(A665,'[1]Sales Order'!A:B,2,FALSE),[1]Customer!A:C,3,FALSE),"Not Specified")</f>
        <v>Dressler, Marlies</v>
      </c>
      <c r="G665" s="2" t="str">
        <f t="shared" si="20"/>
        <v>Dressler Marlies</v>
      </c>
      <c r="H665" s="8" t="str">
        <f>IFERROR(VLOOKUP(VLOOKUP(A665,'[1]Sales Order'!A:C,3,FALSE),[1]Employee!A:E,5,FALSE)&amp;" "&amp;VLOOKUP(VLOOKUP(A665,'[1]Sales Order'!A:C,3,FALSE),[1]Employee!A:C,3,FALSE)&amp;" "&amp;VLOOKUP(VLOOKUP(A665,'[1]Sales Order'!A:C,3,FALSE),[1]Employee!A:B,2,FALSE),"Not Specified")</f>
        <v>Mrs. Yael Peled</v>
      </c>
      <c r="I665" t="str">
        <f>IFERROR(VLOOKUP(VLOOKUP(A665,'[1]Sales Order'!A:C,3,FALSE),[1]Employee!A:J,10,FALSE),"Not Specified")</f>
        <v>WA</v>
      </c>
      <c r="J665" t="str">
        <f>VLOOKUP(B665,[1]Product!A:B,2,FALSE)</f>
        <v>Product FPYPN</v>
      </c>
      <c r="K665" t="str">
        <f>VLOOKUP(VLOOKUP(B665,[1]Product!A:D,4,FALSE),[1]Category!A:B,2,FALSE)</f>
        <v>Confections</v>
      </c>
      <c r="L665" s="10">
        <f>IFERROR(VLOOKUP(A665,'[1]Sales Order'!A:D,4,FALSE),"")</f>
        <v>39180</v>
      </c>
      <c r="M665" s="10">
        <f>IFERROR(VLOOKUP(A665,'[1]Sales Order'!A:F,6,FALSE),"")</f>
        <v>39188</v>
      </c>
      <c r="N665" t="str">
        <f>IFERROR(VLOOKUP(VLOOKUP(A665,'[1]Sales Order'!A:G,7,FALSE),[1]Shipper!A:B,2,FALSE),"Not Specified")</f>
        <v>Shipper ETYNR</v>
      </c>
      <c r="O665" t="str">
        <f>IFERROR(VLOOKUP(A665,'[1]Sales Order'!A:I,9,FALSE),"Not Specified")</f>
        <v>Ship to 46-C</v>
      </c>
      <c r="P665" t="str">
        <f>IFERROR(VLOOKUP(A665,'[1]Sales Order'!A:N,14,FALSE),"Not Specified")</f>
        <v>Venezuela</v>
      </c>
      <c r="Q665" t="str">
        <f>VLOOKUP(VLOOKUP(B665,[1]Product!A:C,3,FALSE),[1]Supplier!A:B,2,FALSE)</f>
        <v>Supplier ELCRN</v>
      </c>
      <c r="R665" t="str">
        <f>VLOOKUP(VLOOKUP(B665,[1]Product!A:C,3,FALSE),[1]Supplier!A:I,9,FALSE)</f>
        <v>Finland</v>
      </c>
      <c r="S665" t="str">
        <f>IFERROR(IF(VLOOKUP(A665,'[1]Sales Order'!A:H,8,FALSE)&gt;100,"High Freight","Low Freight"),"Not Specified")</f>
        <v>High Freight</v>
      </c>
      <c r="T665">
        <f t="shared" si="21"/>
        <v>500</v>
      </c>
    </row>
    <row r="666" spans="1:20">
      <c r="A666" s="1">
        <v>10500</v>
      </c>
      <c r="B666" s="2">
        <v>15</v>
      </c>
      <c r="C666" s="2">
        <v>15.5</v>
      </c>
      <c r="D666" s="2">
        <v>12</v>
      </c>
      <c r="E666" s="3">
        <v>0.05</v>
      </c>
      <c r="F666" s="2" t="str">
        <f>IFERROR(VLOOKUP(VLOOKUP(A666,'[1]Sales Order'!A:B,2,FALSE),[1]Customer!A:C,3,FALSE),"Not Specified")</f>
        <v>Litton, Tim</v>
      </c>
      <c r="G666" s="2" t="str">
        <f t="shared" si="20"/>
        <v>Litton Tim</v>
      </c>
      <c r="H666" s="8" t="str">
        <f>IFERROR(VLOOKUP(VLOOKUP(A666,'[1]Sales Order'!A:C,3,FALSE),[1]Employee!A:E,5,FALSE)&amp;" "&amp;VLOOKUP(VLOOKUP(A666,'[1]Sales Order'!A:C,3,FALSE),[1]Employee!A:C,3,FALSE)&amp;" "&amp;VLOOKUP(VLOOKUP(A666,'[1]Sales Order'!A:C,3,FALSE),[1]Employee!A:B,2,FALSE),"Not Specified")</f>
        <v>Mr. Paul Suurs</v>
      </c>
      <c r="I666">
        <f>IFERROR(VLOOKUP(VLOOKUP(A666,'[1]Sales Order'!A:C,3,FALSE),[1]Employee!A:J,10,FALSE),"Not Specified")</f>
        <v>0</v>
      </c>
      <c r="J666" t="str">
        <f>VLOOKUP(B666,[1]Product!A:B,2,FALSE)</f>
        <v>Product KSZOI</v>
      </c>
      <c r="K666" t="str">
        <f>VLOOKUP(VLOOKUP(B666,[1]Product!A:D,4,FALSE),[1]Category!A:B,2,FALSE)</f>
        <v>Condiments</v>
      </c>
      <c r="L666" s="10">
        <f>IFERROR(VLOOKUP(A666,'[1]Sales Order'!A:D,4,FALSE),"")</f>
        <v>39181</v>
      </c>
      <c r="M666" s="10">
        <f>IFERROR(VLOOKUP(A666,'[1]Sales Order'!A:F,6,FALSE),"")</f>
        <v>39189</v>
      </c>
      <c r="N666" t="str">
        <f>IFERROR(VLOOKUP(VLOOKUP(A666,'[1]Sales Order'!A:G,7,FALSE),[1]Shipper!A:B,2,FALSE),"Not Specified")</f>
        <v>Shipper GVSUA</v>
      </c>
      <c r="O666" t="str">
        <f>IFERROR(VLOOKUP(A666,'[1]Sales Order'!A:I,9,FALSE),"Not Specified")</f>
        <v>Destination OLJND</v>
      </c>
      <c r="P666" t="str">
        <f>IFERROR(VLOOKUP(A666,'[1]Sales Order'!A:N,14,FALSE),"Not Specified")</f>
        <v>France</v>
      </c>
      <c r="Q666" t="str">
        <f>VLOOKUP(VLOOKUP(B666,[1]Product!A:C,3,FALSE),[1]Supplier!A:B,2,FALSE)</f>
        <v>Supplier QWUSF</v>
      </c>
      <c r="R666" t="str">
        <f>VLOOKUP(VLOOKUP(B666,[1]Product!A:C,3,FALSE),[1]Supplier!A:I,9,FALSE)</f>
        <v>Japan</v>
      </c>
      <c r="S666" t="str">
        <f>IFERROR(IF(VLOOKUP(A666,'[1]Sales Order'!A:H,8,FALSE)&gt;100,"High Freight","Low Freight"),"Not Specified")</f>
        <v>Low Freight</v>
      </c>
      <c r="T666">
        <f t="shared" si="21"/>
        <v>176.7</v>
      </c>
    </row>
    <row r="667" spans="1:20">
      <c r="A667" s="1">
        <v>10500</v>
      </c>
      <c r="B667" s="2">
        <v>28</v>
      </c>
      <c r="C667" s="2">
        <v>45.6</v>
      </c>
      <c r="D667" s="2">
        <v>8</v>
      </c>
      <c r="E667" s="3">
        <v>0.05</v>
      </c>
      <c r="F667" s="2" t="str">
        <f>IFERROR(VLOOKUP(VLOOKUP(A667,'[1]Sales Order'!A:B,2,FALSE),[1]Customer!A:C,3,FALSE),"Not Specified")</f>
        <v>Litton, Tim</v>
      </c>
      <c r="G667" s="2" t="str">
        <f t="shared" si="20"/>
        <v>Litton Tim</v>
      </c>
      <c r="H667" s="8" t="str">
        <f>IFERROR(VLOOKUP(VLOOKUP(A667,'[1]Sales Order'!A:C,3,FALSE),[1]Employee!A:E,5,FALSE)&amp;" "&amp;VLOOKUP(VLOOKUP(A667,'[1]Sales Order'!A:C,3,FALSE),[1]Employee!A:C,3,FALSE)&amp;" "&amp;VLOOKUP(VLOOKUP(A667,'[1]Sales Order'!A:C,3,FALSE),[1]Employee!A:B,2,FALSE),"Not Specified")</f>
        <v>Mr. Paul Suurs</v>
      </c>
      <c r="I667">
        <f>IFERROR(VLOOKUP(VLOOKUP(A667,'[1]Sales Order'!A:C,3,FALSE),[1]Employee!A:J,10,FALSE),"Not Specified")</f>
        <v>0</v>
      </c>
      <c r="J667" t="str">
        <f>VLOOKUP(B667,[1]Product!A:B,2,FALSE)</f>
        <v>Product OFBNT</v>
      </c>
      <c r="K667" t="str">
        <f>VLOOKUP(VLOOKUP(B667,[1]Product!A:D,4,FALSE),[1]Category!A:B,2,FALSE)</f>
        <v>Produce</v>
      </c>
      <c r="L667" s="10">
        <f>IFERROR(VLOOKUP(A667,'[1]Sales Order'!A:D,4,FALSE),"")</f>
        <v>39181</v>
      </c>
      <c r="M667" s="10">
        <f>IFERROR(VLOOKUP(A667,'[1]Sales Order'!A:F,6,FALSE),"")</f>
        <v>39189</v>
      </c>
      <c r="N667" t="str">
        <f>IFERROR(VLOOKUP(VLOOKUP(A667,'[1]Sales Order'!A:G,7,FALSE),[1]Shipper!A:B,2,FALSE),"Not Specified")</f>
        <v>Shipper GVSUA</v>
      </c>
      <c r="O667" t="str">
        <f>IFERROR(VLOOKUP(A667,'[1]Sales Order'!A:I,9,FALSE),"Not Specified")</f>
        <v>Destination OLJND</v>
      </c>
      <c r="P667" t="str">
        <f>IFERROR(VLOOKUP(A667,'[1]Sales Order'!A:N,14,FALSE),"Not Specified")</f>
        <v>France</v>
      </c>
      <c r="Q667" t="str">
        <f>VLOOKUP(VLOOKUP(B667,[1]Product!A:C,3,FALSE),[1]Supplier!A:B,2,FALSE)</f>
        <v>Supplier SVIYA</v>
      </c>
      <c r="R667" t="str">
        <f>VLOOKUP(VLOOKUP(B667,[1]Product!A:C,3,FALSE),[1]Supplier!A:I,9,FALSE)</f>
        <v>Germany</v>
      </c>
      <c r="S667" t="str">
        <f>IFERROR(IF(VLOOKUP(A667,'[1]Sales Order'!A:H,8,FALSE)&gt;100,"High Freight","Low Freight"),"Not Specified")</f>
        <v>Low Freight</v>
      </c>
      <c r="T667">
        <f t="shared" si="21"/>
        <v>346.56</v>
      </c>
    </row>
    <row r="668" spans="1:20">
      <c r="A668" s="1">
        <v>10501</v>
      </c>
      <c r="B668" s="2">
        <v>54</v>
      </c>
      <c r="C668" s="2">
        <v>7.45</v>
      </c>
      <c r="D668" s="2">
        <v>20</v>
      </c>
      <c r="E668" s="3">
        <v>0</v>
      </c>
      <c r="F668" s="2" t="str">
        <f>IFERROR(VLOOKUP(VLOOKUP(A668,'[1]Sales Order'!A:B,2,FALSE),[1]Customer!A:C,3,FALSE),"Not Specified")</f>
        <v>Poland, Carole</v>
      </c>
      <c r="G668" s="2" t="str">
        <f t="shared" si="20"/>
        <v>Poland Carole</v>
      </c>
      <c r="H668" s="8" t="str">
        <f>IFERROR(VLOOKUP(VLOOKUP(A668,'[1]Sales Order'!A:C,3,FALSE),[1]Employee!A:E,5,FALSE)&amp;" "&amp;VLOOKUP(VLOOKUP(A668,'[1]Sales Order'!A:C,3,FALSE),[1]Employee!A:C,3,FALSE)&amp;" "&amp;VLOOKUP(VLOOKUP(A668,'[1]Sales Order'!A:C,3,FALSE),[1]Employee!A:B,2,FALSE),"Not Specified")</f>
        <v>Ms. Zoya Dolgopyatova</v>
      </c>
      <c r="I668">
        <f>IFERROR(VLOOKUP(VLOOKUP(A668,'[1]Sales Order'!A:C,3,FALSE),[1]Employee!A:J,10,FALSE),"Not Specified")</f>
        <v>0</v>
      </c>
      <c r="J668" t="str">
        <f>VLOOKUP(B668,[1]Product!A:B,2,FALSE)</f>
        <v>Product QAQRL</v>
      </c>
      <c r="K668" t="str">
        <f>VLOOKUP(VLOOKUP(B668,[1]Product!A:D,4,FALSE),[1]Category!A:B,2,FALSE)</f>
        <v>Meat/Poultry</v>
      </c>
      <c r="L668" s="10">
        <f>IFERROR(VLOOKUP(A668,'[1]Sales Order'!A:D,4,FALSE),"")</f>
        <v>39181</v>
      </c>
      <c r="M668" s="10">
        <f>IFERROR(VLOOKUP(A668,'[1]Sales Order'!A:F,6,FALSE),"")</f>
        <v>39188</v>
      </c>
      <c r="N668" t="str">
        <f>IFERROR(VLOOKUP(VLOOKUP(A668,'[1]Sales Order'!A:G,7,FALSE),[1]Shipper!A:B,2,FALSE),"Not Specified")</f>
        <v>Shipper ZHISN</v>
      </c>
      <c r="O668" t="str">
        <f>IFERROR(VLOOKUP(A668,'[1]Sales Order'!A:I,9,FALSE),"Not Specified")</f>
        <v>Ship to 6-C</v>
      </c>
      <c r="P668" t="str">
        <f>IFERROR(VLOOKUP(A668,'[1]Sales Order'!A:N,14,FALSE),"Not Specified")</f>
        <v>Germany</v>
      </c>
      <c r="Q668" t="str">
        <f>VLOOKUP(VLOOKUP(B668,[1]Product!A:C,3,FALSE),[1]Supplier!A:B,2,FALSE)</f>
        <v>Supplier ERVYZ</v>
      </c>
      <c r="R668" t="str">
        <f>VLOOKUP(VLOOKUP(B668,[1]Product!A:C,3,FALSE),[1]Supplier!A:I,9,FALSE)</f>
        <v>Canada</v>
      </c>
      <c r="S668" t="str">
        <f>IFERROR(IF(VLOOKUP(A668,'[1]Sales Order'!A:H,8,FALSE)&gt;100,"High Freight","Low Freight"),"Not Specified")</f>
        <v>Low Freight</v>
      </c>
      <c r="T668">
        <f t="shared" si="21"/>
        <v>149</v>
      </c>
    </row>
    <row r="669" spans="1:20">
      <c r="A669" s="1">
        <v>10502</v>
      </c>
      <c r="B669" s="2">
        <v>45</v>
      </c>
      <c r="C669" s="2">
        <v>9.5</v>
      </c>
      <c r="D669" s="2">
        <v>21</v>
      </c>
      <c r="E669" s="3">
        <v>0</v>
      </c>
      <c r="F669" s="2" t="str">
        <f>IFERROR(VLOOKUP(VLOOKUP(A669,'[1]Sales Order'!A:B,2,FALSE),[1]Customer!A:C,3,FALSE),"Not Specified")</f>
        <v>Fakhouri, Fadi</v>
      </c>
      <c r="G669" s="2" t="str">
        <f t="shared" si="20"/>
        <v>Fakhouri Fadi</v>
      </c>
      <c r="H669" s="8" t="str">
        <f>IFERROR(VLOOKUP(VLOOKUP(A669,'[1]Sales Order'!A:C,3,FALSE),[1]Employee!A:E,5,FALSE)&amp;" "&amp;VLOOKUP(VLOOKUP(A669,'[1]Sales Order'!A:C,3,FALSE),[1]Employee!A:C,3,FALSE)&amp;" "&amp;VLOOKUP(VLOOKUP(A669,'[1]Sales Order'!A:C,3,FALSE),[1]Employee!A:B,2,FALSE),"Not Specified")</f>
        <v>Dr. Don Funk</v>
      </c>
      <c r="I669" t="str">
        <f>IFERROR(VLOOKUP(VLOOKUP(A669,'[1]Sales Order'!A:C,3,FALSE),[1]Employee!A:J,10,FALSE),"Not Specified")</f>
        <v>WA</v>
      </c>
      <c r="J669" t="str">
        <f>VLOOKUP(B669,[1]Product!A:B,2,FALSE)</f>
        <v>Product AQOKR</v>
      </c>
      <c r="K669" t="str">
        <f>VLOOKUP(VLOOKUP(B669,[1]Product!A:D,4,FALSE),[1]Category!A:B,2,FALSE)</f>
        <v>Seafood</v>
      </c>
      <c r="L669" s="10">
        <f>IFERROR(VLOOKUP(A669,'[1]Sales Order'!A:D,4,FALSE),"")</f>
        <v>39182</v>
      </c>
      <c r="M669" s="10">
        <f>IFERROR(VLOOKUP(A669,'[1]Sales Order'!A:F,6,FALSE),"")</f>
        <v>39201</v>
      </c>
      <c r="N669" t="str">
        <f>IFERROR(VLOOKUP(VLOOKUP(A669,'[1]Sales Order'!A:G,7,FALSE),[1]Shipper!A:B,2,FALSE),"Not Specified")</f>
        <v>Shipper GVSUA</v>
      </c>
      <c r="O669" t="str">
        <f>IFERROR(VLOOKUP(A669,'[1]Sales Order'!A:I,9,FALSE),"Not Specified")</f>
        <v>Ship to 58-B</v>
      </c>
      <c r="P669" t="str">
        <f>IFERROR(VLOOKUP(A669,'[1]Sales Order'!A:N,14,FALSE),"Not Specified")</f>
        <v>Mexico</v>
      </c>
      <c r="Q669" t="str">
        <f>VLOOKUP(VLOOKUP(B669,[1]Product!A:C,3,FALSE),[1]Supplier!A:B,2,FALSE)</f>
        <v>Supplier XOXZA</v>
      </c>
      <c r="R669" t="str">
        <f>VLOOKUP(VLOOKUP(B669,[1]Product!A:C,3,FALSE),[1]Supplier!A:I,9,FALSE)</f>
        <v>Denmark</v>
      </c>
      <c r="S669" t="str">
        <f>IFERROR(IF(VLOOKUP(A669,'[1]Sales Order'!A:H,8,FALSE)&gt;100,"High Freight","Low Freight"),"Not Specified")</f>
        <v>Low Freight</v>
      </c>
      <c r="T669">
        <f t="shared" si="21"/>
        <v>199.5</v>
      </c>
    </row>
    <row r="670" spans="1:20">
      <c r="A670" s="1">
        <v>10502</v>
      </c>
      <c r="B670" s="2">
        <v>53</v>
      </c>
      <c r="C670" s="2">
        <v>32.799999999999997</v>
      </c>
      <c r="D670" s="2">
        <v>6</v>
      </c>
      <c r="E670" s="3">
        <v>0</v>
      </c>
      <c r="F670" s="2" t="str">
        <f>IFERROR(VLOOKUP(VLOOKUP(A670,'[1]Sales Order'!A:B,2,FALSE),[1]Customer!A:C,3,FALSE),"Not Specified")</f>
        <v>Fakhouri, Fadi</v>
      </c>
      <c r="G670" s="2" t="str">
        <f t="shared" si="20"/>
        <v>Fakhouri Fadi</v>
      </c>
      <c r="H670" s="8" t="str">
        <f>IFERROR(VLOOKUP(VLOOKUP(A670,'[1]Sales Order'!A:C,3,FALSE),[1]Employee!A:E,5,FALSE)&amp;" "&amp;VLOOKUP(VLOOKUP(A670,'[1]Sales Order'!A:C,3,FALSE),[1]Employee!A:C,3,FALSE)&amp;" "&amp;VLOOKUP(VLOOKUP(A670,'[1]Sales Order'!A:C,3,FALSE),[1]Employee!A:B,2,FALSE),"Not Specified")</f>
        <v>Dr. Don Funk</v>
      </c>
      <c r="I670" t="str">
        <f>IFERROR(VLOOKUP(VLOOKUP(A670,'[1]Sales Order'!A:C,3,FALSE),[1]Employee!A:J,10,FALSE),"Not Specified")</f>
        <v>WA</v>
      </c>
      <c r="J670" t="str">
        <f>VLOOKUP(B670,[1]Product!A:B,2,FALSE)</f>
        <v>Product BKGEA</v>
      </c>
      <c r="K670" t="str">
        <f>VLOOKUP(VLOOKUP(B670,[1]Product!A:D,4,FALSE),[1]Category!A:B,2,FALSE)</f>
        <v>Meat/Poultry</v>
      </c>
      <c r="L670" s="10">
        <f>IFERROR(VLOOKUP(A670,'[1]Sales Order'!A:D,4,FALSE),"")</f>
        <v>39182</v>
      </c>
      <c r="M670" s="10">
        <f>IFERROR(VLOOKUP(A670,'[1]Sales Order'!A:F,6,FALSE),"")</f>
        <v>39201</v>
      </c>
      <c r="N670" t="str">
        <f>IFERROR(VLOOKUP(VLOOKUP(A670,'[1]Sales Order'!A:G,7,FALSE),[1]Shipper!A:B,2,FALSE),"Not Specified")</f>
        <v>Shipper GVSUA</v>
      </c>
      <c r="O670" t="str">
        <f>IFERROR(VLOOKUP(A670,'[1]Sales Order'!A:I,9,FALSE),"Not Specified")</f>
        <v>Ship to 58-B</v>
      </c>
      <c r="P670" t="str">
        <f>IFERROR(VLOOKUP(A670,'[1]Sales Order'!A:N,14,FALSE),"Not Specified")</f>
        <v>Mexico</v>
      </c>
      <c r="Q670" t="str">
        <f>VLOOKUP(VLOOKUP(B670,[1]Product!A:C,3,FALSE),[1]Supplier!A:B,2,FALSE)</f>
        <v>Supplier JNNES</v>
      </c>
      <c r="R670" t="str">
        <f>VLOOKUP(VLOOKUP(B670,[1]Product!A:C,3,FALSE),[1]Supplier!A:I,9,FALSE)</f>
        <v>Australia</v>
      </c>
      <c r="S670" t="str">
        <f>IFERROR(IF(VLOOKUP(A670,'[1]Sales Order'!A:H,8,FALSE)&gt;100,"High Freight","Low Freight"),"Not Specified")</f>
        <v>Low Freight</v>
      </c>
      <c r="T670">
        <f t="shared" si="21"/>
        <v>196.79999999999998</v>
      </c>
    </row>
    <row r="671" spans="1:20">
      <c r="A671" s="1">
        <v>10502</v>
      </c>
      <c r="B671" s="2">
        <v>67</v>
      </c>
      <c r="C671" s="2">
        <v>14</v>
      </c>
      <c r="D671" s="2">
        <v>30</v>
      </c>
      <c r="E671" s="3">
        <v>0</v>
      </c>
      <c r="F671" s="2" t="str">
        <f>IFERROR(VLOOKUP(VLOOKUP(A671,'[1]Sales Order'!A:B,2,FALSE),[1]Customer!A:C,3,FALSE),"Not Specified")</f>
        <v>Fakhouri, Fadi</v>
      </c>
      <c r="G671" s="2" t="str">
        <f t="shared" si="20"/>
        <v>Fakhouri Fadi</v>
      </c>
      <c r="H671" s="8" t="str">
        <f>IFERROR(VLOOKUP(VLOOKUP(A671,'[1]Sales Order'!A:C,3,FALSE),[1]Employee!A:E,5,FALSE)&amp;" "&amp;VLOOKUP(VLOOKUP(A671,'[1]Sales Order'!A:C,3,FALSE),[1]Employee!A:C,3,FALSE)&amp;" "&amp;VLOOKUP(VLOOKUP(A671,'[1]Sales Order'!A:C,3,FALSE),[1]Employee!A:B,2,FALSE),"Not Specified")</f>
        <v>Dr. Don Funk</v>
      </c>
      <c r="I671" t="str">
        <f>IFERROR(VLOOKUP(VLOOKUP(A671,'[1]Sales Order'!A:C,3,FALSE),[1]Employee!A:J,10,FALSE),"Not Specified")</f>
        <v>WA</v>
      </c>
      <c r="J671" t="str">
        <f>VLOOKUP(B671,[1]Product!A:B,2,FALSE)</f>
        <v>Product XLXQF</v>
      </c>
      <c r="K671" t="str">
        <f>VLOOKUP(VLOOKUP(B671,[1]Product!A:D,4,FALSE),[1]Category!A:B,2,FALSE)</f>
        <v>Beverages</v>
      </c>
      <c r="L671" s="10">
        <f>IFERROR(VLOOKUP(A671,'[1]Sales Order'!A:D,4,FALSE),"")</f>
        <v>39182</v>
      </c>
      <c r="M671" s="10">
        <f>IFERROR(VLOOKUP(A671,'[1]Sales Order'!A:F,6,FALSE),"")</f>
        <v>39201</v>
      </c>
      <c r="N671" t="str">
        <f>IFERROR(VLOOKUP(VLOOKUP(A671,'[1]Sales Order'!A:G,7,FALSE),[1]Shipper!A:B,2,FALSE),"Not Specified")</f>
        <v>Shipper GVSUA</v>
      </c>
      <c r="O671" t="str">
        <f>IFERROR(VLOOKUP(A671,'[1]Sales Order'!A:I,9,FALSE),"Not Specified")</f>
        <v>Ship to 58-B</v>
      </c>
      <c r="P671" t="str">
        <f>IFERROR(VLOOKUP(A671,'[1]Sales Order'!A:N,14,FALSE),"Not Specified")</f>
        <v>Mexico</v>
      </c>
      <c r="Q671" t="str">
        <f>VLOOKUP(VLOOKUP(B671,[1]Product!A:C,3,FALSE),[1]Supplier!A:B,2,FALSE)</f>
        <v>Supplier UHZRG</v>
      </c>
      <c r="R671" t="str">
        <f>VLOOKUP(VLOOKUP(B671,[1]Product!A:C,3,FALSE),[1]Supplier!A:I,9,FALSE)</f>
        <v>USA</v>
      </c>
      <c r="S671" t="str">
        <f>IFERROR(IF(VLOOKUP(A671,'[1]Sales Order'!A:H,8,FALSE)&gt;100,"High Freight","Low Freight"),"Not Specified")</f>
        <v>Low Freight</v>
      </c>
      <c r="T671">
        <f t="shared" si="21"/>
        <v>420</v>
      </c>
    </row>
    <row r="672" spans="1:20">
      <c r="A672" s="1">
        <v>10503</v>
      </c>
      <c r="B672" s="2">
        <v>14</v>
      </c>
      <c r="C672" s="2">
        <v>23.25</v>
      </c>
      <c r="D672" s="2">
        <v>70</v>
      </c>
      <c r="E672" s="3">
        <v>0</v>
      </c>
      <c r="F672" s="2" t="str">
        <f>IFERROR(VLOOKUP(VLOOKUP(A672,'[1]Sales Order'!A:B,2,FALSE),[1]Customer!A:C,3,FALSE),"Not Specified")</f>
        <v>Crăciun, Ovidiu V.</v>
      </c>
      <c r="G672" s="2" t="str">
        <f t="shared" si="20"/>
        <v>Crăciun Ovidiu V.</v>
      </c>
      <c r="H672" s="8" t="str">
        <f>IFERROR(VLOOKUP(VLOOKUP(A672,'[1]Sales Order'!A:C,3,FALSE),[1]Employee!A:E,5,FALSE)&amp;" "&amp;VLOOKUP(VLOOKUP(A672,'[1]Sales Order'!A:C,3,FALSE),[1]Employee!A:C,3,FALSE)&amp;" "&amp;VLOOKUP(VLOOKUP(A672,'[1]Sales Order'!A:C,3,FALSE),[1]Employee!A:B,2,FALSE),"Not Specified")</f>
        <v>Mr. Paul Suurs</v>
      </c>
      <c r="I672">
        <f>IFERROR(VLOOKUP(VLOOKUP(A672,'[1]Sales Order'!A:C,3,FALSE),[1]Employee!A:J,10,FALSE),"Not Specified")</f>
        <v>0</v>
      </c>
      <c r="J672" t="str">
        <f>VLOOKUP(B672,[1]Product!A:B,2,FALSE)</f>
        <v>Product PWCJB</v>
      </c>
      <c r="K672" t="str">
        <f>VLOOKUP(VLOOKUP(B672,[1]Product!A:D,4,FALSE),[1]Category!A:B,2,FALSE)</f>
        <v>Produce</v>
      </c>
      <c r="L672" s="10">
        <f>IFERROR(VLOOKUP(A672,'[1]Sales Order'!A:D,4,FALSE),"")</f>
        <v>39183</v>
      </c>
      <c r="M672" s="10">
        <f>IFERROR(VLOOKUP(A672,'[1]Sales Order'!A:F,6,FALSE),"")</f>
        <v>39188</v>
      </c>
      <c r="N672" t="str">
        <f>IFERROR(VLOOKUP(VLOOKUP(A672,'[1]Sales Order'!A:G,7,FALSE),[1]Shipper!A:B,2,FALSE),"Not Specified")</f>
        <v>Shipper ETYNR</v>
      </c>
      <c r="O672" t="str">
        <f>IFERROR(VLOOKUP(A672,'[1]Sales Order'!A:I,9,FALSE),"Not Specified")</f>
        <v>Destination ATSOA</v>
      </c>
      <c r="P672" t="str">
        <f>IFERROR(VLOOKUP(A672,'[1]Sales Order'!A:N,14,FALSE),"Not Specified")</f>
        <v>Ireland</v>
      </c>
      <c r="Q672" t="str">
        <f>VLOOKUP(VLOOKUP(B672,[1]Product!A:C,3,FALSE),[1]Supplier!A:B,2,FALSE)</f>
        <v>Supplier QWUSF</v>
      </c>
      <c r="R672" t="str">
        <f>VLOOKUP(VLOOKUP(B672,[1]Product!A:C,3,FALSE),[1]Supplier!A:I,9,FALSE)</f>
        <v>Japan</v>
      </c>
      <c r="S672" t="str">
        <f>IFERROR(IF(VLOOKUP(A672,'[1]Sales Order'!A:H,8,FALSE)&gt;100,"High Freight","Low Freight"),"Not Specified")</f>
        <v>Low Freight</v>
      </c>
      <c r="T672">
        <f t="shared" si="21"/>
        <v>1627.5</v>
      </c>
    </row>
    <row r="673" spans="1:20">
      <c r="A673" s="1">
        <v>10503</v>
      </c>
      <c r="B673" s="2">
        <v>65</v>
      </c>
      <c r="C673" s="2">
        <v>21.05</v>
      </c>
      <c r="D673" s="2">
        <v>20</v>
      </c>
      <c r="E673" s="3">
        <v>0</v>
      </c>
      <c r="F673" s="2" t="str">
        <f>IFERROR(VLOOKUP(VLOOKUP(A673,'[1]Sales Order'!A:B,2,FALSE),[1]Customer!A:C,3,FALSE),"Not Specified")</f>
        <v>Crăciun, Ovidiu V.</v>
      </c>
      <c r="G673" s="2" t="str">
        <f t="shared" si="20"/>
        <v>Crăciun Ovidiu V.</v>
      </c>
      <c r="H673" s="8" t="str">
        <f>IFERROR(VLOOKUP(VLOOKUP(A673,'[1]Sales Order'!A:C,3,FALSE),[1]Employee!A:E,5,FALSE)&amp;" "&amp;VLOOKUP(VLOOKUP(A673,'[1]Sales Order'!A:C,3,FALSE),[1]Employee!A:C,3,FALSE)&amp;" "&amp;VLOOKUP(VLOOKUP(A673,'[1]Sales Order'!A:C,3,FALSE),[1]Employee!A:B,2,FALSE),"Not Specified")</f>
        <v>Mr. Paul Suurs</v>
      </c>
      <c r="I673">
        <f>IFERROR(VLOOKUP(VLOOKUP(A673,'[1]Sales Order'!A:C,3,FALSE),[1]Employee!A:J,10,FALSE),"Not Specified")</f>
        <v>0</v>
      </c>
      <c r="J673" t="str">
        <f>VLOOKUP(B673,[1]Product!A:B,2,FALSE)</f>
        <v>Product XYWBZ</v>
      </c>
      <c r="K673" t="str">
        <f>VLOOKUP(VLOOKUP(B673,[1]Product!A:D,4,FALSE),[1]Category!A:B,2,FALSE)</f>
        <v>Condiments</v>
      </c>
      <c r="L673" s="10">
        <f>IFERROR(VLOOKUP(A673,'[1]Sales Order'!A:D,4,FALSE),"")</f>
        <v>39183</v>
      </c>
      <c r="M673" s="10">
        <f>IFERROR(VLOOKUP(A673,'[1]Sales Order'!A:F,6,FALSE),"")</f>
        <v>39188</v>
      </c>
      <c r="N673" t="str">
        <f>IFERROR(VLOOKUP(VLOOKUP(A673,'[1]Sales Order'!A:G,7,FALSE),[1]Shipper!A:B,2,FALSE),"Not Specified")</f>
        <v>Shipper ETYNR</v>
      </c>
      <c r="O673" t="str">
        <f>IFERROR(VLOOKUP(A673,'[1]Sales Order'!A:I,9,FALSE),"Not Specified")</f>
        <v>Destination ATSOA</v>
      </c>
      <c r="P673" t="str">
        <f>IFERROR(VLOOKUP(A673,'[1]Sales Order'!A:N,14,FALSE),"Not Specified")</f>
        <v>Ireland</v>
      </c>
      <c r="Q673" t="str">
        <f>VLOOKUP(VLOOKUP(B673,[1]Product!A:C,3,FALSE),[1]Supplier!A:B,2,FALSE)</f>
        <v>Supplier VHQZD</v>
      </c>
      <c r="R673" t="str">
        <f>VLOOKUP(VLOOKUP(B673,[1]Product!A:C,3,FALSE),[1]Supplier!A:I,9,FALSE)</f>
        <v>USA</v>
      </c>
      <c r="S673" t="str">
        <f>IFERROR(IF(VLOOKUP(A673,'[1]Sales Order'!A:H,8,FALSE)&gt;100,"High Freight","Low Freight"),"Not Specified")</f>
        <v>Low Freight</v>
      </c>
      <c r="T673">
        <f t="shared" si="21"/>
        <v>421</v>
      </c>
    </row>
    <row r="674" spans="1:20">
      <c r="A674" s="1">
        <v>10504</v>
      </c>
      <c r="B674" s="2">
        <v>2</v>
      </c>
      <c r="C674" s="2">
        <v>19</v>
      </c>
      <c r="D674" s="2">
        <v>12</v>
      </c>
      <c r="E674" s="3">
        <v>0</v>
      </c>
      <c r="F674" s="2" t="str">
        <f>IFERROR(VLOOKUP(VLOOKUP(A674,'[1]Sales Order'!A:B,2,FALSE),[1]Customer!A:C,3,FALSE),"Not Specified")</f>
        <v>Smith Jr., Ronaldo</v>
      </c>
      <c r="G674" s="2" t="str">
        <f t="shared" si="20"/>
        <v>Smith Jr. Ronaldo</v>
      </c>
      <c r="H674" s="8" t="str">
        <f>IFERROR(VLOOKUP(VLOOKUP(A674,'[1]Sales Order'!A:C,3,FALSE),[1]Employee!A:E,5,FALSE)&amp;" "&amp;VLOOKUP(VLOOKUP(A674,'[1]Sales Order'!A:C,3,FALSE),[1]Employee!A:C,3,FALSE)&amp;" "&amp;VLOOKUP(VLOOKUP(A674,'[1]Sales Order'!A:C,3,FALSE),[1]Employee!A:B,2,FALSE),"Not Specified")</f>
        <v>Mrs. Yael Peled</v>
      </c>
      <c r="I674" t="str">
        <f>IFERROR(VLOOKUP(VLOOKUP(A674,'[1]Sales Order'!A:C,3,FALSE),[1]Employee!A:J,10,FALSE),"Not Specified")</f>
        <v>WA</v>
      </c>
      <c r="J674" t="str">
        <f>VLOOKUP(B674,[1]Product!A:B,2,FALSE)</f>
        <v>Product RECZE</v>
      </c>
      <c r="K674" t="str">
        <f>VLOOKUP(VLOOKUP(B674,[1]Product!A:D,4,FALSE),[1]Category!A:B,2,FALSE)</f>
        <v>Beverages</v>
      </c>
      <c r="L674" s="10">
        <f>IFERROR(VLOOKUP(A674,'[1]Sales Order'!A:D,4,FALSE),"")</f>
        <v>39183</v>
      </c>
      <c r="M674" s="10">
        <f>IFERROR(VLOOKUP(A674,'[1]Sales Order'!A:F,6,FALSE),"")</f>
        <v>39190</v>
      </c>
      <c r="N674" t="str">
        <f>IFERROR(VLOOKUP(VLOOKUP(A674,'[1]Sales Order'!A:G,7,FALSE),[1]Shipper!A:B,2,FALSE),"Not Specified")</f>
        <v>Shipper ZHISN</v>
      </c>
      <c r="O674" t="str">
        <f>IFERROR(VLOOKUP(A674,'[1]Sales Order'!A:I,9,FALSE),"Not Specified")</f>
        <v>Ship to 89-B</v>
      </c>
      <c r="P674" t="str">
        <f>IFERROR(VLOOKUP(A674,'[1]Sales Order'!A:N,14,FALSE),"Not Specified")</f>
        <v>USA</v>
      </c>
      <c r="Q674" t="str">
        <f>VLOOKUP(VLOOKUP(B674,[1]Product!A:C,3,FALSE),[1]Supplier!A:B,2,FALSE)</f>
        <v>Supplier SWRXU</v>
      </c>
      <c r="R674" t="str">
        <f>VLOOKUP(VLOOKUP(B674,[1]Product!A:C,3,FALSE),[1]Supplier!A:I,9,FALSE)</f>
        <v>UK</v>
      </c>
      <c r="S674" t="str">
        <f>IFERROR(IF(VLOOKUP(A674,'[1]Sales Order'!A:H,8,FALSE)&gt;100,"High Freight","Low Freight"),"Not Specified")</f>
        <v>Low Freight</v>
      </c>
      <c r="T674">
        <f t="shared" si="21"/>
        <v>228</v>
      </c>
    </row>
    <row r="675" spans="1:20">
      <c r="A675" s="1">
        <v>10504</v>
      </c>
      <c r="B675" s="2">
        <v>21</v>
      </c>
      <c r="C675" s="2">
        <v>10</v>
      </c>
      <c r="D675" s="2">
        <v>12</v>
      </c>
      <c r="E675" s="3">
        <v>0</v>
      </c>
      <c r="F675" s="2" t="str">
        <f>IFERROR(VLOOKUP(VLOOKUP(A675,'[1]Sales Order'!A:B,2,FALSE),[1]Customer!A:C,3,FALSE),"Not Specified")</f>
        <v>Smith Jr., Ronaldo</v>
      </c>
      <c r="G675" s="2" t="str">
        <f t="shared" si="20"/>
        <v>Smith Jr. Ronaldo</v>
      </c>
      <c r="H675" s="8" t="str">
        <f>IFERROR(VLOOKUP(VLOOKUP(A675,'[1]Sales Order'!A:C,3,FALSE),[1]Employee!A:E,5,FALSE)&amp;" "&amp;VLOOKUP(VLOOKUP(A675,'[1]Sales Order'!A:C,3,FALSE),[1]Employee!A:C,3,FALSE)&amp;" "&amp;VLOOKUP(VLOOKUP(A675,'[1]Sales Order'!A:C,3,FALSE),[1]Employee!A:B,2,FALSE),"Not Specified")</f>
        <v>Mrs. Yael Peled</v>
      </c>
      <c r="I675" t="str">
        <f>IFERROR(VLOOKUP(VLOOKUP(A675,'[1]Sales Order'!A:C,3,FALSE),[1]Employee!A:J,10,FALSE),"Not Specified")</f>
        <v>WA</v>
      </c>
      <c r="J675" t="str">
        <f>VLOOKUP(B675,[1]Product!A:B,2,FALSE)</f>
        <v>Product VJZZH</v>
      </c>
      <c r="K675" t="str">
        <f>VLOOKUP(VLOOKUP(B675,[1]Product!A:D,4,FALSE),[1]Category!A:B,2,FALSE)</f>
        <v>Confections</v>
      </c>
      <c r="L675" s="10">
        <f>IFERROR(VLOOKUP(A675,'[1]Sales Order'!A:D,4,FALSE),"")</f>
        <v>39183</v>
      </c>
      <c r="M675" s="10">
        <f>IFERROR(VLOOKUP(A675,'[1]Sales Order'!A:F,6,FALSE),"")</f>
        <v>39190</v>
      </c>
      <c r="N675" t="str">
        <f>IFERROR(VLOOKUP(VLOOKUP(A675,'[1]Sales Order'!A:G,7,FALSE),[1]Shipper!A:B,2,FALSE),"Not Specified")</f>
        <v>Shipper ZHISN</v>
      </c>
      <c r="O675" t="str">
        <f>IFERROR(VLOOKUP(A675,'[1]Sales Order'!A:I,9,FALSE),"Not Specified")</f>
        <v>Ship to 89-B</v>
      </c>
      <c r="P675" t="str">
        <f>IFERROR(VLOOKUP(A675,'[1]Sales Order'!A:N,14,FALSE),"Not Specified")</f>
        <v>USA</v>
      </c>
      <c r="Q675" t="str">
        <f>VLOOKUP(VLOOKUP(B675,[1]Product!A:C,3,FALSE),[1]Supplier!A:B,2,FALSE)</f>
        <v>Supplier BWGYE</v>
      </c>
      <c r="R675" t="str">
        <f>VLOOKUP(VLOOKUP(B675,[1]Product!A:C,3,FALSE),[1]Supplier!A:I,9,FALSE)</f>
        <v>UK</v>
      </c>
      <c r="S675" t="str">
        <f>IFERROR(IF(VLOOKUP(A675,'[1]Sales Order'!A:H,8,FALSE)&gt;100,"High Freight","Low Freight"),"Not Specified")</f>
        <v>Low Freight</v>
      </c>
      <c r="T675">
        <f t="shared" si="21"/>
        <v>120</v>
      </c>
    </row>
    <row r="676" spans="1:20">
      <c r="A676" s="1">
        <v>10504</v>
      </c>
      <c r="B676" s="2">
        <v>53</v>
      </c>
      <c r="C676" s="2">
        <v>32.799999999999997</v>
      </c>
      <c r="D676" s="2">
        <v>10</v>
      </c>
      <c r="E676" s="3">
        <v>0</v>
      </c>
      <c r="F676" s="2" t="str">
        <f>IFERROR(VLOOKUP(VLOOKUP(A676,'[1]Sales Order'!A:B,2,FALSE),[1]Customer!A:C,3,FALSE),"Not Specified")</f>
        <v>Smith Jr., Ronaldo</v>
      </c>
      <c r="G676" s="2" t="str">
        <f t="shared" si="20"/>
        <v>Smith Jr. Ronaldo</v>
      </c>
      <c r="H676" s="8" t="str">
        <f>IFERROR(VLOOKUP(VLOOKUP(A676,'[1]Sales Order'!A:C,3,FALSE),[1]Employee!A:E,5,FALSE)&amp;" "&amp;VLOOKUP(VLOOKUP(A676,'[1]Sales Order'!A:C,3,FALSE),[1]Employee!A:C,3,FALSE)&amp;" "&amp;VLOOKUP(VLOOKUP(A676,'[1]Sales Order'!A:C,3,FALSE),[1]Employee!A:B,2,FALSE),"Not Specified")</f>
        <v>Mrs. Yael Peled</v>
      </c>
      <c r="I676" t="str">
        <f>IFERROR(VLOOKUP(VLOOKUP(A676,'[1]Sales Order'!A:C,3,FALSE),[1]Employee!A:J,10,FALSE),"Not Specified")</f>
        <v>WA</v>
      </c>
      <c r="J676" t="str">
        <f>VLOOKUP(B676,[1]Product!A:B,2,FALSE)</f>
        <v>Product BKGEA</v>
      </c>
      <c r="K676" t="str">
        <f>VLOOKUP(VLOOKUP(B676,[1]Product!A:D,4,FALSE),[1]Category!A:B,2,FALSE)</f>
        <v>Meat/Poultry</v>
      </c>
      <c r="L676" s="10">
        <f>IFERROR(VLOOKUP(A676,'[1]Sales Order'!A:D,4,FALSE),"")</f>
        <v>39183</v>
      </c>
      <c r="M676" s="10">
        <f>IFERROR(VLOOKUP(A676,'[1]Sales Order'!A:F,6,FALSE),"")</f>
        <v>39190</v>
      </c>
      <c r="N676" t="str">
        <f>IFERROR(VLOOKUP(VLOOKUP(A676,'[1]Sales Order'!A:G,7,FALSE),[1]Shipper!A:B,2,FALSE),"Not Specified")</f>
        <v>Shipper ZHISN</v>
      </c>
      <c r="O676" t="str">
        <f>IFERROR(VLOOKUP(A676,'[1]Sales Order'!A:I,9,FALSE),"Not Specified")</f>
        <v>Ship to 89-B</v>
      </c>
      <c r="P676" t="str">
        <f>IFERROR(VLOOKUP(A676,'[1]Sales Order'!A:N,14,FALSE),"Not Specified")</f>
        <v>USA</v>
      </c>
      <c r="Q676" t="str">
        <f>VLOOKUP(VLOOKUP(B676,[1]Product!A:C,3,FALSE),[1]Supplier!A:B,2,FALSE)</f>
        <v>Supplier JNNES</v>
      </c>
      <c r="R676" t="str">
        <f>VLOOKUP(VLOOKUP(B676,[1]Product!A:C,3,FALSE),[1]Supplier!A:I,9,FALSE)</f>
        <v>Australia</v>
      </c>
      <c r="S676" t="str">
        <f>IFERROR(IF(VLOOKUP(A676,'[1]Sales Order'!A:H,8,FALSE)&gt;100,"High Freight","Low Freight"),"Not Specified")</f>
        <v>Low Freight</v>
      </c>
      <c r="T676">
        <f t="shared" si="21"/>
        <v>328</v>
      </c>
    </row>
    <row r="677" spans="1:20">
      <c r="A677" s="1">
        <v>10504</v>
      </c>
      <c r="B677" s="2">
        <v>61</v>
      </c>
      <c r="C677" s="2">
        <v>28.5</v>
      </c>
      <c r="D677" s="2">
        <v>25</v>
      </c>
      <c r="E677" s="3">
        <v>0</v>
      </c>
      <c r="F677" s="2" t="str">
        <f>IFERROR(VLOOKUP(VLOOKUP(A677,'[1]Sales Order'!A:B,2,FALSE),[1]Customer!A:C,3,FALSE),"Not Specified")</f>
        <v>Smith Jr., Ronaldo</v>
      </c>
      <c r="G677" s="2" t="str">
        <f t="shared" si="20"/>
        <v>Smith Jr. Ronaldo</v>
      </c>
      <c r="H677" s="8" t="str">
        <f>IFERROR(VLOOKUP(VLOOKUP(A677,'[1]Sales Order'!A:C,3,FALSE),[1]Employee!A:E,5,FALSE)&amp;" "&amp;VLOOKUP(VLOOKUP(A677,'[1]Sales Order'!A:C,3,FALSE),[1]Employee!A:C,3,FALSE)&amp;" "&amp;VLOOKUP(VLOOKUP(A677,'[1]Sales Order'!A:C,3,FALSE),[1]Employee!A:B,2,FALSE),"Not Specified")</f>
        <v>Mrs. Yael Peled</v>
      </c>
      <c r="I677" t="str">
        <f>IFERROR(VLOOKUP(VLOOKUP(A677,'[1]Sales Order'!A:C,3,FALSE),[1]Employee!A:J,10,FALSE),"Not Specified")</f>
        <v>WA</v>
      </c>
      <c r="J677" t="str">
        <f>VLOOKUP(B677,[1]Product!A:B,2,FALSE)</f>
        <v>Product XYZPE</v>
      </c>
      <c r="K677" t="str">
        <f>VLOOKUP(VLOOKUP(B677,[1]Product!A:D,4,FALSE),[1]Category!A:B,2,FALSE)</f>
        <v>Condiments</v>
      </c>
      <c r="L677" s="10">
        <f>IFERROR(VLOOKUP(A677,'[1]Sales Order'!A:D,4,FALSE),"")</f>
        <v>39183</v>
      </c>
      <c r="M677" s="10">
        <f>IFERROR(VLOOKUP(A677,'[1]Sales Order'!A:F,6,FALSE),"")</f>
        <v>39190</v>
      </c>
      <c r="N677" t="str">
        <f>IFERROR(VLOOKUP(VLOOKUP(A677,'[1]Sales Order'!A:G,7,FALSE),[1]Shipper!A:B,2,FALSE),"Not Specified")</f>
        <v>Shipper ZHISN</v>
      </c>
      <c r="O677" t="str">
        <f>IFERROR(VLOOKUP(A677,'[1]Sales Order'!A:I,9,FALSE),"Not Specified")</f>
        <v>Ship to 89-B</v>
      </c>
      <c r="P677" t="str">
        <f>IFERROR(VLOOKUP(A677,'[1]Sales Order'!A:N,14,FALSE),"Not Specified")</f>
        <v>USA</v>
      </c>
      <c r="Q677" t="str">
        <f>VLOOKUP(VLOOKUP(B677,[1]Product!A:C,3,FALSE),[1]Supplier!A:B,2,FALSE)</f>
        <v>Supplier OGLRK</v>
      </c>
      <c r="R677" t="str">
        <f>VLOOKUP(VLOOKUP(B677,[1]Product!A:C,3,FALSE),[1]Supplier!A:I,9,FALSE)</f>
        <v>Canada</v>
      </c>
      <c r="S677" t="str">
        <f>IFERROR(IF(VLOOKUP(A677,'[1]Sales Order'!A:H,8,FALSE)&gt;100,"High Freight","Low Freight"),"Not Specified")</f>
        <v>Low Freight</v>
      </c>
      <c r="T677">
        <f t="shared" si="21"/>
        <v>712.5</v>
      </c>
    </row>
    <row r="678" spans="1:20">
      <c r="A678" s="1">
        <v>10505</v>
      </c>
      <c r="B678" s="2">
        <v>62</v>
      </c>
      <c r="C678" s="2">
        <v>49.3</v>
      </c>
      <c r="D678" s="2">
        <v>3</v>
      </c>
      <c r="E678" s="3">
        <v>0</v>
      </c>
      <c r="F678" s="2" t="str">
        <f>IFERROR(VLOOKUP(VLOOKUP(A678,'[1]Sales Order'!A:B,2,FALSE),[1]Customer!A:C,3,FALSE),"Not Specified")</f>
        <v>Taylor, Maurice</v>
      </c>
      <c r="G678" s="2" t="str">
        <f t="shared" si="20"/>
        <v>Taylor Maurice</v>
      </c>
      <c r="H678" s="8" t="str">
        <f>IFERROR(VLOOKUP(VLOOKUP(A678,'[1]Sales Order'!A:C,3,FALSE),[1]Employee!A:E,5,FALSE)&amp;" "&amp;VLOOKUP(VLOOKUP(A678,'[1]Sales Order'!A:C,3,FALSE),[1]Employee!A:C,3,FALSE)&amp;" "&amp;VLOOKUP(VLOOKUP(A678,'[1]Sales Order'!A:C,3,FALSE),[1]Employee!A:B,2,FALSE),"Not Specified")</f>
        <v>Ms. Judy Lew</v>
      </c>
      <c r="I678" t="str">
        <f>IFERROR(VLOOKUP(VLOOKUP(A678,'[1]Sales Order'!A:C,3,FALSE),[1]Employee!A:J,10,FALSE),"Not Specified")</f>
        <v>WA</v>
      </c>
      <c r="J678" t="str">
        <f>VLOOKUP(B678,[1]Product!A:B,2,FALSE)</f>
        <v>Product WUXYK</v>
      </c>
      <c r="K678" t="str">
        <f>VLOOKUP(VLOOKUP(B678,[1]Product!A:D,4,FALSE),[1]Category!A:B,2,FALSE)</f>
        <v>Confections</v>
      </c>
      <c r="L678" s="10">
        <f>IFERROR(VLOOKUP(A678,'[1]Sales Order'!A:D,4,FALSE),"")</f>
        <v>39186</v>
      </c>
      <c r="M678" s="10">
        <f>IFERROR(VLOOKUP(A678,'[1]Sales Order'!A:F,6,FALSE),"")</f>
        <v>39193</v>
      </c>
      <c r="N678" t="str">
        <f>IFERROR(VLOOKUP(VLOOKUP(A678,'[1]Sales Order'!A:G,7,FALSE),[1]Shipper!A:B,2,FALSE),"Not Specified")</f>
        <v>Shipper ZHISN</v>
      </c>
      <c r="O678" t="str">
        <f>IFERROR(VLOOKUP(A678,'[1]Sales Order'!A:I,9,FALSE),"Not Specified")</f>
        <v>Ship to 51-B</v>
      </c>
      <c r="P678" t="str">
        <f>IFERROR(VLOOKUP(A678,'[1]Sales Order'!A:N,14,FALSE),"Not Specified")</f>
        <v>Canada</v>
      </c>
      <c r="Q678" t="str">
        <f>VLOOKUP(VLOOKUP(B678,[1]Product!A:C,3,FALSE),[1]Supplier!A:B,2,FALSE)</f>
        <v>Supplier OGLRK</v>
      </c>
      <c r="R678" t="str">
        <f>VLOOKUP(VLOOKUP(B678,[1]Product!A:C,3,FALSE),[1]Supplier!A:I,9,FALSE)</f>
        <v>Canada</v>
      </c>
      <c r="S678" t="str">
        <f>IFERROR(IF(VLOOKUP(A678,'[1]Sales Order'!A:H,8,FALSE)&gt;100,"High Freight","Low Freight"),"Not Specified")</f>
        <v>Low Freight</v>
      </c>
      <c r="T678">
        <f t="shared" si="21"/>
        <v>147.89999999999998</v>
      </c>
    </row>
    <row r="679" spans="1:20">
      <c r="A679" s="1">
        <v>10506</v>
      </c>
      <c r="B679" s="2">
        <v>25</v>
      </c>
      <c r="C679" s="2">
        <v>14</v>
      </c>
      <c r="D679" s="2">
        <v>18</v>
      </c>
      <c r="E679" s="3">
        <v>0.1</v>
      </c>
      <c r="F679" s="2" t="str">
        <f>IFERROR(VLOOKUP(VLOOKUP(A679,'[1]Sales Order'!A:B,2,FALSE),[1]Customer!A:C,3,FALSE),"Not Specified")</f>
        <v>Song, Lolan</v>
      </c>
      <c r="G679" s="2" t="str">
        <f t="shared" si="20"/>
        <v>Song Lolan</v>
      </c>
      <c r="H679" s="8" t="str">
        <f>IFERROR(VLOOKUP(VLOOKUP(A679,'[1]Sales Order'!A:C,3,FALSE),[1]Employee!A:E,5,FALSE)&amp;" "&amp;VLOOKUP(VLOOKUP(A679,'[1]Sales Order'!A:C,3,FALSE),[1]Employee!A:C,3,FALSE)&amp;" "&amp;VLOOKUP(VLOOKUP(A679,'[1]Sales Order'!A:C,3,FALSE),[1]Employee!A:B,2,FALSE),"Not Specified")</f>
        <v>Ms. Zoya Dolgopyatova</v>
      </c>
      <c r="I679">
        <f>IFERROR(VLOOKUP(VLOOKUP(A679,'[1]Sales Order'!A:C,3,FALSE),[1]Employee!A:J,10,FALSE),"Not Specified")</f>
        <v>0</v>
      </c>
      <c r="J679" t="str">
        <f>VLOOKUP(B679,[1]Product!A:B,2,FALSE)</f>
        <v>Product LYLNI</v>
      </c>
      <c r="K679" t="str">
        <f>VLOOKUP(VLOOKUP(B679,[1]Product!A:D,4,FALSE),[1]Category!A:B,2,FALSE)</f>
        <v>Confections</v>
      </c>
      <c r="L679" s="10">
        <f>IFERROR(VLOOKUP(A679,'[1]Sales Order'!A:D,4,FALSE),"")</f>
        <v>39187</v>
      </c>
      <c r="M679" s="10">
        <f>IFERROR(VLOOKUP(A679,'[1]Sales Order'!A:F,6,FALSE),"")</f>
        <v>39204</v>
      </c>
      <c r="N679" t="str">
        <f>IFERROR(VLOOKUP(VLOOKUP(A679,'[1]Sales Order'!A:G,7,FALSE),[1]Shipper!A:B,2,FALSE),"Not Specified")</f>
        <v>Shipper ETYNR</v>
      </c>
      <c r="O679" t="str">
        <f>IFERROR(VLOOKUP(A679,'[1]Sales Order'!A:I,9,FALSE),"Not Specified")</f>
        <v>Destination DKMQA</v>
      </c>
      <c r="P679" t="str">
        <f>IFERROR(VLOOKUP(A679,'[1]Sales Order'!A:N,14,FALSE),"Not Specified")</f>
        <v>Germany</v>
      </c>
      <c r="Q679" t="str">
        <f>VLOOKUP(VLOOKUP(B679,[1]Product!A:C,3,FALSE),[1]Supplier!A:B,2,FALSE)</f>
        <v>Supplier ZPYVS</v>
      </c>
      <c r="R679" t="str">
        <f>VLOOKUP(VLOOKUP(B679,[1]Product!A:C,3,FALSE),[1]Supplier!A:I,9,FALSE)</f>
        <v>Germany</v>
      </c>
      <c r="S679" t="str">
        <f>IFERROR(IF(VLOOKUP(A679,'[1]Sales Order'!A:H,8,FALSE)&gt;100,"High Freight","Low Freight"),"Not Specified")</f>
        <v>Low Freight</v>
      </c>
      <c r="T679">
        <f t="shared" si="21"/>
        <v>226.8</v>
      </c>
    </row>
    <row r="680" spans="1:20">
      <c r="A680" s="1">
        <v>10506</v>
      </c>
      <c r="B680" s="2">
        <v>70</v>
      </c>
      <c r="C680" s="2">
        <v>15</v>
      </c>
      <c r="D680" s="2">
        <v>14</v>
      </c>
      <c r="E680" s="3">
        <v>0.1</v>
      </c>
      <c r="F680" s="2" t="str">
        <f>IFERROR(VLOOKUP(VLOOKUP(A680,'[1]Sales Order'!A:B,2,FALSE),[1]Customer!A:C,3,FALSE),"Not Specified")</f>
        <v>Song, Lolan</v>
      </c>
      <c r="G680" s="2" t="str">
        <f t="shared" si="20"/>
        <v>Song Lolan</v>
      </c>
      <c r="H680" s="8" t="str">
        <f>IFERROR(VLOOKUP(VLOOKUP(A680,'[1]Sales Order'!A:C,3,FALSE),[1]Employee!A:E,5,FALSE)&amp;" "&amp;VLOOKUP(VLOOKUP(A680,'[1]Sales Order'!A:C,3,FALSE),[1]Employee!A:C,3,FALSE)&amp;" "&amp;VLOOKUP(VLOOKUP(A680,'[1]Sales Order'!A:C,3,FALSE),[1]Employee!A:B,2,FALSE),"Not Specified")</f>
        <v>Ms. Zoya Dolgopyatova</v>
      </c>
      <c r="I680">
        <f>IFERROR(VLOOKUP(VLOOKUP(A680,'[1]Sales Order'!A:C,3,FALSE),[1]Employee!A:J,10,FALSE),"Not Specified")</f>
        <v>0</v>
      </c>
      <c r="J680" t="str">
        <f>VLOOKUP(B680,[1]Product!A:B,2,FALSE)</f>
        <v>Product TOONT</v>
      </c>
      <c r="K680" t="str">
        <f>VLOOKUP(VLOOKUP(B680,[1]Product!A:D,4,FALSE),[1]Category!A:B,2,FALSE)</f>
        <v>Beverages</v>
      </c>
      <c r="L680" s="10">
        <f>IFERROR(VLOOKUP(A680,'[1]Sales Order'!A:D,4,FALSE),"")</f>
        <v>39187</v>
      </c>
      <c r="M680" s="10">
        <f>IFERROR(VLOOKUP(A680,'[1]Sales Order'!A:F,6,FALSE),"")</f>
        <v>39204</v>
      </c>
      <c r="N680" t="str">
        <f>IFERROR(VLOOKUP(VLOOKUP(A680,'[1]Sales Order'!A:G,7,FALSE),[1]Shipper!A:B,2,FALSE),"Not Specified")</f>
        <v>Shipper ETYNR</v>
      </c>
      <c r="O680" t="str">
        <f>IFERROR(VLOOKUP(A680,'[1]Sales Order'!A:I,9,FALSE),"Not Specified")</f>
        <v>Destination DKMQA</v>
      </c>
      <c r="P680" t="str">
        <f>IFERROR(VLOOKUP(A680,'[1]Sales Order'!A:N,14,FALSE),"Not Specified")</f>
        <v>Germany</v>
      </c>
      <c r="Q680" t="str">
        <f>VLOOKUP(VLOOKUP(B680,[1]Product!A:C,3,FALSE),[1]Supplier!A:B,2,FALSE)</f>
        <v>Supplier GQRCV</v>
      </c>
      <c r="R680" t="str">
        <f>VLOOKUP(VLOOKUP(B680,[1]Product!A:C,3,FALSE),[1]Supplier!A:I,9,FALSE)</f>
        <v>Australia</v>
      </c>
      <c r="S680" t="str">
        <f>IFERROR(IF(VLOOKUP(A680,'[1]Sales Order'!A:H,8,FALSE)&gt;100,"High Freight","Low Freight"),"Not Specified")</f>
        <v>Low Freight</v>
      </c>
      <c r="T680">
        <f t="shared" si="21"/>
        <v>189</v>
      </c>
    </row>
    <row r="681" spans="1:20">
      <c r="A681" s="1">
        <v>10507</v>
      </c>
      <c r="B681" s="2">
        <v>43</v>
      </c>
      <c r="C681" s="2">
        <v>46</v>
      </c>
      <c r="D681" s="2">
        <v>15</v>
      </c>
      <c r="E681" s="3">
        <v>0.15</v>
      </c>
      <c r="F681" s="2" t="str">
        <f>IFERROR(VLOOKUP(VLOOKUP(A681,'[1]Sales Order'!A:B,2,FALSE),[1]Customer!A:C,3,FALSE),"Not Specified")</f>
        <v>Peoples, John</v>
      </c>
      <c r="G681" s="2" t="str">
        <f t="shared" si="20"/>
        <v>Peoples John</v>
      </c>
      <c r="H681" s="8" t="str">
        <f>IFERROR(VLOOKUP(VLOOKUP(A681,'[1]Sales Order'!A:C,3,FALSE),[1]Employee!A:E,5,FALSE)&amp;" "&amp;VLOOKUP(VLOOKUP(A681,'[1]Sales Order'!A:C,3,FALSE),[1]Employee!A:C,3,FALSE)&amp;" "&amp;VLOOKUP(VLOOKUP(A681,'[1]Sales Order'!A:C,3,FALSE),[1]Employee!A:B,2,FALSE),"Not Specified")</f>
        <v>Mr. Russell King</v>
      </c>
      <c r="I681">
        <f>IFERROR(VLOOKUP(VLOOKUP(A681,'[1]Sales Order'!A:C,3,FALSE),[1]Employee!A:J,10,FALSE),"Not Specified")</f>
        <v>0</v>
      </c>
      <c r="J681" t="str">
        <f>VLOOKUP(B681,[1]Product!A:B,2,FALSE)</f>
        <v>Product ZZZHR</v>
      </c>
      <c r="K681" t="str">
        <f>VLOOKUP(VLOOKUP(B681,[1]Product!A:D,4,FALSE),[1]Category!A:B,2,FALSE)</f>
        <v>Beverages</v>
      </c>
      <c r="L681" s="10">
        <f>IFERROR(VLOOKUP(A681,'[1]Sales Order'!A:D,4,FALSE),"")</f>
        <v>39187</v>
      </c>
      <c r="M681" s="10">
        <f>IFERROR(VLOOKUP(A681,'[1]Sales Order'!A:F,6,FALSE),"")</f>
        <v>39194</v>
      </c>
      <c r="N681" t="str">
        <f>IFERROR(VLOOKUP(VLOOKUP(A681,'[1]Sales Order'!A:G,7,FALSE),[1]Shipper!A:B,2,FALSE),"Not Specified")</f>
        <v>Shipper GVSUA</v>
      </c>
      <c r="O681" t="str">
        <f>IFERROR(VLOOKUP(A681,'[1]Sales Order'!A:I,9,FALSE),"Not Specified")</f>
        <v>Destination FQFLS</v>
      </c>
      <c r="P681" t="str">
        <f>IFERROR(VLOOKUP(A681,'[1]Sales Order'!A:N,14,FALSE),"Not Specified")</f>
        <v>Mexico</v>
      </c>
      <c r="Q681" t="str">
        <f>VLOOKUP(VLOOKUP(B681,[1]Product!A:C,3,FALSE),[1]Supplier!A:B,2,FALSE)</f>
        <v>Supplier CIYNM</v>
      </c>
      <c r="R681" t="str">
        <f>VLOOKUP(VLOOKUP(B681,[1]Product!A:C,3,FALSE),[1]Supplier!A:I,9,FALSE)</f>
        <v>Singapore</v>
      </c>
      <c r="S681" t="str">
        <f>IFERROR(IF(VLOOKUP(A681,'[1]Sales Order'!A:H,8,FALSE)&gt;100,"High Freight","Low Freight"),"Not Specified")</f>
        <v>Low Freight</v>
      </c>
      <c r="T681">
        <f t="shared" si="21"/>
        <v>586.5</v>
      </c>
    </row>
    <row r="682" spans="1:20">
      <c r="A682" s="1">
        <v>10507</v>
      </c>
      <c r="B682" s="2">
        <v>48</v>
      </c>
      <c r="C682" s="2">
        <v>12.75</v>
      </c>
      <c r="D682" s="2">
        <v>15</v>
      </c>
      <c r="E682" s="3">
        <v>0.15</v>
      </c>
      <c r="F682" s="2" t="str">
        <f>IFERROR(VLOOKUP(VLOOKUP(A682,'[1]Sales Order'!A:B,2,FALSE),[1]Customer!A:C,3,FALSE),"Not Specified")</f>
        <v>Peoples, John</v>
      </c>
      <c r="G682" s="2" t="str">
        <f t="shared" si="20"/>
        <v>Peoples John</v>
      </c>
      <c r="H682" s="8" t="str">
        <f>IFERROR(VLOOKUP(VLOOKUP(A682,'[1]Sales Order'!A:C,3,FALSE),[1]Employee!A:E,5,FALSE)&amp;" "&amp;VLOOKUP(VLOOKUP(A682,'[1]Sales Order'!A:C,3,FALSE),[1]Employee!A:C,3,FALSE)&amp;" "&amp;VLOOKUP(VLOOKUP(A682,'[1]Sales Order'!A:C,3,FALSE),[1]Employee!A:B,2,FALSE),"Not Specified")</f>
        <v>Mr. Russell King</v>
      </c>
      <c r="I682">
        <f>IFERROR(VLOOKUP(VLOOKUP(A682,'[1]Sales Order'!A:C,3,FALSE),[1]Employee!A:J,10,FALSE),"Not Specified")</f>
        <v>0</v>
      </c>
      <c r="J682" t="str">
        <f>VLOOKUP(B682,[1]Product!A:B,2,FALSE)</f>
        <v>Product MYNXN</v>
      </c>
      <c r="K682" t="str">
        <f>VLOOKUP(VLOOKUP(B682,[1]Product!A:D,4,FALSE),[1]Category!A:B,2,FALSE)</f>
        <v>Confections</v>
      </c>
      <c r="L682" s="10">
        <f>IFERROR(VLOOKUP(A682,'[1]Sales Order'!A:D,4,FALSE),"")</f>
        <v>39187</v>
      </c>
      <c r="M682" s="10">
        <f>IFERROR(VLOOKUP(A682,'[1]Sales Order'!A:F,6,FALSE),"")</f>
        <v>39194</v>
      </c>
      <c r="N682" t="str">
        <f>IFERROR(VLOOKUP(VLOOKUP(A682,'[1]Sales Order'!A:G,7,FALSE),[1]Shipper!A:B,2,FALSE),"Not Specified")</f>
        <v>Shipper GVSUA</v>
      </c>
      <c r="O682" t="str">
        <f>IFERROR(VLOOKUP(A682,'[1]Sales Order'!A:I,9,FALSE),"Not Specified")</f>
        <v>Destination FQFLS</v>
      </c>
      <c r="P682" t="str">
        <f>IFERROR(VLOOKUP(A682,'[1]Sales Order'!A:N,14,FALSE),"Not Specified")</f>
        <v>Mexico</v>
      </c>
      <c r="Q682" t="str">
        <f>VLOOKUP(VLOOKUP(B682,[1]Product!A:C,3,FALSE),[1]Supplier!A:B,2,FALSE)</f>
        <v>Supplier FNUXM</v>
      </c>
      <c r="R682" t="str">
        <f>VLOOKUP(VLOOKUP(B682,[1]Product!A:C,3,FALSE),[1]Supplier!A:I,9,FALSE)</f>
        <v>Netherlands</v>
      </c>
      <c r="S682" t="str">
        <f>IFERROR(IF(VLOOKUP(A682,'[1]Sales Order'!A:H,8,FALSE)&gt;100,"High Freight","Low Freight"),"Not Specified")</f>
        <v>Low Freight</v>
      </c>
      <c r="T682">
        <f t="shared" si="21"/>
        <v>162.5625</v>
      </c>
    </row>
    <row r="683" spans="1:20">
      <c r="A683" s="1">
        <v>10508</v>
      </c>
      <c r="B683" s="2">
        <v>13</v>
      </c>
      <c r="C683" s="2">
        <v>6</v>
      </c>
      <c r="D683" s="2">
        <v>10</v>
      </c>
      <c r="E683" s="3">
        <v>0</v>
      </c>
      <c r="F683" s="2" t="str">
        <f>IFERROR(VLOOKUP(VLOOKUP(A683,'[1]Sales Order'!A:B,2,FALSE),[1]Customer!A:C,3,FALSE),"Not Specified")</f>
        <v>Marinova, Nadejda</v>
      </c>
      <c r="G683" s="2" t="str">
        <f t="shared" si="20"/>
        <v>Marinova Nadejda</v>
      </c>
      <c r="H683" s="8" t="str">
        <f>IFERROR(VLOOKUP(VLOOKUP(A683,'[1]Sales Order'!A:C,3,FALSE),[1]Employee!A:E,5,FALSE)&amp;" "&amp;VLOOKUP(VLOOKUP(A683,'[1]Sales Order'!A:C,3,FALSE),[1]Employee!A:C,3,FALSE)&amp;" "&amp;VLOOKUP(VLOOKUP(A683,'[1]Sales Order'!A:C,3,FALSE),[1]Employee!A:B,2,FALSE),"Not Specified")</f>
        <v>Ms. Sara Davis</v>
      </c>
      <c r="I683" t="str">
        <f>IFERROR(VLOOKUP(VLOOKUP(A683,'[1]Sales Order'!A:C,3,FALSE),[1]Employee!A:J,10,FALSE),"Not Specified")</f>
        <v>WA</v>
      </c>
      <c r="J683" t="str">
        <f>VLOOKUP(B683,[1]Product!A:B,2,FALSE)</f>
        <v>Product POXFU</v>
      </c>
      <c r="K683" t="str">
        <f>VLOOKUP(VLOOKUP(B683,[1]Product!A:D,4,FALSE),[1]Category!A:B,2,FALSE)</f>
        <v>Seafood</v>
      </c>
      <c r="L683" s="10">
        <f>IFERROR(VLOOKUP(A683,'[1]Sales Order'!A:D,4,FALSE),"")</f>
        <v>39188</v>
      </c>
      <c r="M683" s="10">
        <f>IFERROR(VLOOKUP(A683,'[1]Sales Order'!A:F,6,FALSE),"")</f>
        <v>39215</v>
      </c>
      <c r="N683" t="str">
        <f>IFERROR(VLOOKUP(VLOOKUP(A683,'[1]Sales Order'!A:G,7,FALSE),[1]Shipper!A:B,2,FALSE),"Not Specified")</f>
        <v>Shipper ETYNR</v>
      </c>
      <c r="O683" t="str">
        <f>IFERROR(VLOOKUP(A683,'[1]Sales Order'!A:I,9,FALSE),"Not Specified")</f>
        <v>Ship to 56-C</v>
      </c>
      <c r="P683" t="str">
        <f>IFERROR(VLOOKUP(A683,'[1]Sales Order'!A:N,14,FALSE),"Not Specified")</f>
        <v>Germany</v>
      </c>
      <c r="Q683" t="str">
        <f>VLOOKUP(VLOOKUP(B683,[1]Product!A:C,3,FALSE),[1]Supplier!A:B,2,FALSE)</f>
        <v>Supplier QWUSF</v>
      </c>
      <c r="R683" t="str">
        <f>VLOOKUP(VLOOKUP(B683,[1]Product!A:C,3,FALSE),[1]Supplier!A:I,9,FALSE)</f>
        <v>Japan</v>
      </c>
      <c r="S683" t="str">
        <f>IFERROR(IF(VLOOKUP(A683,'[1]Sales Order'!A:H,8,FALSE)&gt;100,"High Freight","Low Freight"),"Not Specified")</f>
        <v>Low Freight</v>
      </c>
      <c r="T683">
        <f t="shared" si="21"/>
        <v>60</v>
      </c>
    </row>
    <row r="684" spans="1:20">
      <c r="A684" s="1">
        <v>10508</v>
      </c>
      <c r="B684" s="2">
        <v>39</v>
      </c>
      <c r="C684" s="2">
        <v>18</v>
      </c>
      <c r="D684" s="2">
        <v>10</v>
      </c>
      <c r="E684" s="3">
        <v>0</v>
      </c>
      <c r="F684" s="2" t="str">
        <f>IFERROR(VLOOKUP(VLOOKUP(A684,'[1]Sales Order'!A:B,2,FALSE),[1]Customer!A:C,3,FALSE),"Not Specified")</f>
        <v>Marinova, Nadejda</v>
      </c>
      <c r="G684" s="2" t="str">
        <f t="shared" si="20"/>
        <v>Marinova Nadejda</v>
      </c>
      <c r="H684" s="8" t="str">
        <f>IFERROR(VLOOKUP(VLOOKUP(A684,'[1]Sales Order'!A:C,3,FALSE),[1]Employee!A:E,5,FALSE)&amp;" "&amp;VLOOKUP(VLOOKUP(A684,'[1]Sales Order'!A:C,3,FALSE),[1]Employee!A:C,3,FALSE)&amp;" "&amp;VLOOKUP(VLOOKUP(A684,'[1]Sales Order'!A:C,3,FALSE),[1]Employee!A:B,2,FALSE),"Not Specified")</f>
        <v>Ms. Sara Davis</v>
      </c>
      <c r="I684" t="str">
        <f>IFERROR(VLOOKUP(VLOOKUP(A684,'[1]Sales Order'!A:C,3,FALSE),[1]Employee!A:J,10,FALSE),"Not Specified")</f>
        <v>WA</v>
      </c>
      <c r="J684" t="str">
        <f>VLOOKUP(B684,[1]Product!A:B,2,FALSE)</f>
        <v>Product LSOFL</v>
      </c>
      <c r="K684" t="str">
        <f>VLOOKUP(VLOOKUP(B684,[1]Product!A:D,4,FALSE),[1]Category!A:B,2,FALSE)</f>
        <v>Beverages</v>
      </c>
      <c r="L684" s="10">
        <f>IFERROR(VLOOKUP(A684,'[1]Sales Order'!A:D,4,FALSE),"")</f>
        <v>39188</v>
      </c>
      <c r="M684" s="10">
        <f>IFERROR(VLOOKUP(A684,'[1]Sales Order'!A:F,6,FALSE),"")</f>
        <v>39215</v>
      </c>
      <c r="N684" t="str">
        <f>IFERROR(VLOOKUP(VLOOKUP(A684,'[1]Sales Order'!A:G,7,FALSE),[1]Shipper!A:B,2,FALSE),"Not Specified")</f>
        <v>Shipper ETYNR</v>
      </c>
      <c r="O684" t="str">
        <f>IFERROR(VLOOKUP(A684,'[1]Sales Order'!A:I,9,FALSE),"Not Specified")</f>
        <v>Ship to 56-C</v>
      </c>
      <c r="P684" t="str">
        <f>IFERROR(VLOOKUP(A684,'[1]Sales Order'!A:N,14,FALSE),"Not Specified")</f>
        <v>Germany</v>
      </c>
      <c r="Q684" t="str">
        <f>VLOOKUP(VLOOKUP(B684,[1]Product!A:C,3,FALSE),[1]Supplier!A:B,2,FALSE)</f>
        <v>Supplier LVJUA</v>
      </c>
      <c r="R684" t="str">
        <f>VLOOKUP(VLOOKUP(B684,[1]Product!A:C,3,FALSE),[1]Supplier!A:I,9,FALSE)</f>
        <v>France</v>
      </c>
      <c r="S684" t="str">
        <f>IFERROR(IF(VLOOKUP(A684,'[1]Sales Order'!A:H,8,FALSE)&gt;100,"High Freight","Low Freight"),"Not Specified")</f>
        <v>Low Freight</v>
      </c>
      <c r="T684">
        <f t="shared" si="21"/>
        <v>180</v>
      </c>
    </row>
    <row r="685" spans="1:20">
      <c r="A685" s="1">
        <v>10509</v>
      </c>
      <c r="B685" s="2">
        <v>28</v>
      </c>
      <c r="C685" s="2">
        <v>45.6</v>
      </c>
      <c r="D685" s="2">
        <v>3</v>
      </c>
      <c r="E685" s="3">
        <v>0</v>
      </c>
      <c r="F685" s="2" t="str">
        <f>IFERROR(VLOOKUP(VLOOKUP(A685,'[1]Sales Order'!A:B,2,FALSE),[1]Customer!A:C,3,FALSE),"Not Specified")</f>
        <v>Poland, Carole</v>
      </c>
      <c r="G685" s="2" t="str">
        <f t="shared" si="20"/>
        <v>Poland Carole</v>
      </c>
      <c r="H685" s="8" t="str">
        <f>IFERROR(VLOOKUP(VLOOKUP(A685,'[1]Sales Order'!A:C,3,FALSE),[1]Employee!A:E,5,FALSE)&amp;" "&amp;VLOOKUP(VLOOKUP(A685,'[1]Sales Order'!A:C,3,FALSE),[1]Employee!A:C,3,FALSE)&amp;" "&amp;VLOOKUP(VLOOKUP(A685,'[1]Sales Order'!A:C,3,FALSE),[1]Employee!A:B,2,FALSE),"Not Specified")</f>
        <v>Mrs. Yael Peled</v>
      </c>
      <c r="I685" t="str">
        <f>IFERROR(VLOOKUP(VLOOKUP(A685,'[1]Sales Order'!A:C,3,FALSE),[1]Employee!A:J,10,FALSE),"Not Specified")</f>
        <v>WA</v>
      </c>
      <c r="J685" t="str">
        <f>VLOOKUP(B685,[1]Product!A:B,2,FALSE)</f>
        <v>Product OFBNT</v>
      </c>
      <c r="K685" t="str">
        <f>VLOOKUP(VLOOKUP(B685,[1]Product!A:D,4,FALSE),[1]Category!A:B,2,FALSE)</f>
        <v>Produce</v>
      </c>
      <c r="L685" s="10">
        <f>IFERROR(VLOOKUP(A685,'[1]Sales Order'!A:D,4,FALSE),"")</f>
        <v>39189</v>
      </c>
      <c r="M685" s="10">
        <f>IFERROR(VLOOKUP(A685,'[1]Sales Order'!A:F,6,FALSE),"")</f>
        <v>39201</v>
      </c>
      <c r="N685" t="str">
        <f>IFERROR(VLOOKUP(VLOOKUP(A685,'[1]Sales Order'!A:G,7,FALSE),[1]Shipper!A:B,2,FALSE),"Not Specified")</f>
        <v>Shipper GVSUA</v>
      </c>
      <c r="O685" t="str">
        <f>IFERROR(VLOOKUP(A685,'[1]Sales Order'!A:I,9,FALSE),"Not Specified")</f>
        <v>Ship to 6-A</v>
      </c>
      <c r="P685" t="str">
        <f>IFERROR(VLOOKUP(A685,'[1]Sales Order'!A:N,14,FALSE),"Not Specified")</f>
        <v>Germany</v>
      </c>
      <c r="Q685" t="str">
        <f>VLOOKUP(VLOOKUP(B685,[1]Product!A:C,3,FALSE),[1]Supplier!A:B,2,FALSE)</f>
        <v>Supplier SVIYA</v>
      </c>
      <c r="R685" t="str">
        <f>VLOOKUP(VLOOKUP(B685,[1]Product!A:C,3,FALSE),[1]Supplier!A:I,9,FALSE)</f>
        <v>Germany</v>
      </c>
      <c r="S685" t="str">
        <f>IFERROR(IF(VLOOKUP(A685,'[1]Sales Order'!A:H,8,FALSE)&gt;100,"High Freight","Low Freight"),"Not Specified")</f>
        <v>Low Freight</v>
      </c>
      <c r="T685">
        <f t="shared" si="21"/>
        <v>136.80000000000001</v>
      </c>
    </row>
    <row r="686" spans="1:20">
      <c r="A686" s="1">
        <v>10510</v>
      </c>
      <c r="B686" s="2">
        <v>29</v>
      </c>
      <c r="C686" s="2">
        <v>123.79</v>
      </c>
      <c r="D686" s="2">
        <v>36</v>
      </c>
      <c r="E686" s="3">
        <v>0</v>
      </c>
      <c r="F686" s="2" t="str">
        <f>IFERROR(VLOOKUP(VLOOKUP(A686,'[1]Sales Order'!A:B,2,FALSE),[1]Customer!A:C,3,FALSE),"Not Specified")</f>
        <v>Navarro, Tomás</v>
      </c>
      <c r="G686" s="2" t="str">
        <f t="shared" si="20"/>
        <v>Navarro Tomás</v>
      </c>
      <c r="H686" s="8" t="str">
        <f>IFERROR(VLOOKUP(VLOOKUP(A686,'[1]Sales Order'!A:C,3,FALSE),[1]Employee!A:E,5,FALSE)&amp;" "&amp;VLOOKUP(VLOOKUP(A686,'[1]Sales Order'!A:C,3,FALSE),[1]Employee!A:C,3,FALSE)&amp;" "&amp;VLOOKUP(VLOOKUP(A686,'[1]Sales Order'!A:C,3,FALSE),[1]Employee!A:B,2,FALSE),"Not Specified")</f>
        <v>Mr. Paul Suurs</v>
      </c>
      <c r="I686">
        <f>IFERROR(VLOOKUP(VLOOKUP(A686,'[1]Sales Order'!A:C,3,FALSE),[1]Employee!A:J,10,FALSE),"Not Specified")</f>
        <v>0</v>
      </c>
      <c r="J686" t="str">
        <f>VLOOKUP(B686,[1]Product!A:B,2,FALSE)</f>
        <v>Product VJXYN</v>
      </c>
      <c r="K686" t="str">
        <f>VLOOKUP(VLOOKUP(B686,[1]Product!A:D,4,FALSE),[1]Category!A:B,2,FALSE)</f>
        <v>Meat/Poultry</v>
      </c>
      <c r="L686" s="10">
        <f>IFERROR(VLOOKUP(A686,'[1]Sales Order'!A:D,4,FALSE),"")</f>
        <v>39190</v>
      </c>
      <c r="M686" s="10">
        <f>IFERROR(VLOOKUP(A686,'[1]Sales Order'!A:F,6,FALSE),"")</f>
        <v>39200</v>
      </c>
      <c r="N686" t="str">
        <f>IFERROR(VLOOKUP(VLOOKUP(A686,'[1]Sales Order'!A:G,7,FALSE),[1]Shipper!A:B,2,FALSE),"Not Specified")</f>
        <v>Shipper ZHISN</v>
      </c>
      <c r="O686" t="str">
        <f>IFERROR(VLOOKUP(A686,'[1]Sales Order'!A:I,9,FALSE),"Not Specified")</f>
        <v>Ship to 71-A</v>
      </c>
      <c r="P686" t="str">
        <f>IFERROR(VLOOKUP(A686,'[1]Sales Order'!A:N,14,FALSE),"Not Specified")</f>
        <v>USA</v>
      </c>
      <c r="Q686" t="str">
        <f>VLOOKUP(VLOOKUP(B686,[1]Product!A:C,3,FALSE),[1]Supplier!A:B,2,FALSE)</f>
        <v>Supplier SVIYA</v>
      </c>
      <c r="R686" t="str">
        <f>VLOOKUP(VLOOKUP(B686,[1]Product!A:C,3,FALSE),[1]Supplier!A:I,9,FALSE)</f>
        <v>Germany</v>
      </c>
      <c r="S686" t="str">
        <f>IFERROR(IF(VLOOKUP(A686,'[1]Sales Order'!A:H,8,FALSE)&gt;100,"High Freight","Low Freight"),"Not Specified")</f>
        <v>High Freight</v>
      </c>
      <c r="T686">
        <f t="shared" si="21"/>
        <v>4456.4400000000005</v>
      </c>
    </row>
    <row r="687" spans="1:20">
      <c r="A687" s="1">
        <v>10510</v>
      </c>
      <c r="B687" s="2">
        <v>75</v>
      </c>
      <c r="C687" s="2">
        <v>7.75</v>
      </c>
      <c r="D687" s="2">
        <v>36</v>
      </c>
      <c r="E687" s="3">
        <v>0.1</v>
      </c>
      <c r="F687" s="2" t="str">
        <f>IFERROR(VLOOKUP(VLOOKUP(A687,'[1]Sales Order'!A:B,2,FALSE),[1]Customer!A:C,3,FALSE),"Not Specified")</f>
        <v>Navarro, Tomás</v>
      </c>
      <c r="G687" s="2" t="str">
        <f t="shared" si="20"/>
        <v>Navarro Tomás</v>
      </c>
      <c r="H687" s="8" t="str">
        <f>IFERROR(VLOOKUP(VLOOKUP(A687,'[1]Sales Order'!A:C,3,FALSE),[1]Employee!A:E,5,FALSE)&amp;" "&amp;VLOOKUP(VLOOKUP(A687,'[1]Sales Order'!A:C,3,FALSE),[1]Employee!A:C,3,FALSE)&amp;" "&amp;VLOOKUP(VLOOKUP(A687,'[1]Sales Order'!A:C,3,FALSE),[1]Employee!A:B,2,FALSE),"Not Specified")</f>
        <v>Mr. Paul Suurs</v>
      </c>
      <c r="I687">
        <f>IFERROR(VLOOKUP(VLOOKUP(A687,'[1]Sales Order'!A:C,3,FALSE),[1]Employee!A:J,10,FALSE),"Not Specified")</f>
        <v>0</v>
      </c>
      <c r="J687" t="str">
        <f>VLOOKUP(B687,[1]Product!A:B,2,FALSE)</f>
        <v>Product BWRLG</v>
      </c>
      <c r="K687" t="str">
        <f>VLOOKUP(VLOOKUP(B687,[1]Product!A:D,4,FALSE),[1]Category!A:B,2,FALSE)</f>
        <v>Beverages</v>
      </c>
      <c r="L687" s="10">
        <f>IFERROR(VLOOKUP(A687,'[1]Sales Order'!A:D,4,FALSE),"")</f>
        <v>39190</v>
      </c>
      <c r="M687" s="10">
        <f>IFERROR(VLOOKUP(A687,'[1]Sales Order'!A:F,6,FALSE),"")</f>
        <v>39200</v>
      </c>
      <c r="N687" t="str">
        <f>IFERROR(VLOOKUP(VLOOKUP(A687,'[1]Sales Order'!A:G,7,FALSE),[1]Shipper!A:B,2,FALSE),"Not Specified")</f>
        <v>Shipper ZHISN</v>
      </c>
      <c r="O687" t="str">
        <f>IFERROR(VLOOKUP(A687,'[1]Sales Order'!A:I,9,FALSE),"Not Specified")</f>
        <v>Ship to 71-A</v>
      </c>
      <c r="P687" t="str">
        <f>IFERROR(VLOOKUP(A687,'[1]Sales Order'!A:N,14,FALSE),"Not Specified")</f>
        <v>USA</v>
      </c>
      <c r="Q687" t="str">
        <f>VLOOKUP(VLOOKUP(B687,[1]Product!A:C,3,FALSE),[1]Supplier!A:B,2,FALSE)</f>
        <v>Supplier SVIYA</v>
      </c>
      <c r="R687" t="str">
        <f>VLOOKUP(VLOOKUP(B687,[1]Product!A:C,3,FALSE),[1]Supplier!A:I,9,FALSE)</f>
        <v>Germany</v>
      </c>
      <c r="S687" t="str">
        <f>IFERROR(IF(VLOOKUP(A687,'[1]Sales Order'!A:H,8,FALSE)&gt;100,"High Freight","Low Freight"),"Not Specified")</f>
        <v>High Freight</v>
      </c>
      <c r="T687">
        <f t="shared" si="21"/>
        <v>251.1</v>
      </c>
    </row>
    <row r="688" spans="1:20">
      <c r="A688" s="1">
        <v>10511</v>
      </c>
      <c r="B688" s="2">
        <v>4</v>
      </c>
      <c r="C688" s="2">
        <v>22</v>
      </c>
      <c r="D688" s="2">
        <v>50</v>
      </c>
      <c r="E688" s="3">
        <v>0.15</v>
      </c>
      <c r="F688" s="2" t="str">
        <f>IFERROR(VLOOKUP(VLOOKUP(A688,'[1]Sales Order'!A:B,2,FALSE),[1]Customer!A:C,3,FALSE),"Not Specified")</f>
        <v>Raghav, Amritansh</v>
      </c>
      <c r="G688" s="2" t="str">
        <f t="shared" si="20"/>
        <v>Raghav Amritansh</v>
      </c>
      <c r="H688" s="8" t="str">
        <f>IFERROR(VLOOKUP(VLOOKUP(A688,'[1]Sales Order'!A:C,3,FALSE),[1]Employee!A:E,5,FALSE)&amp;" "&amp;VLOOKUP(VLOOKUP(A688,'[1]Sales Order'!A:C,3,FALSE),[1]Employee!A:C,3,FALSE)&amp;" "&amp;VLOOKUP(VLOOKUP(A688,'[1]Sales Order'!A:C,3,FALSE),[1]Employee!A:B,2,FALSE),"Not Specified")</f>
        <v>Mrs. Yael Peled</v>
      </c>
      <c r="I688" t="str">
        <f>IFERROR(VLOOKUP(VLOOKUP(A688,'[1]Sales Order'!A:C,3,FALSE),[1]Employee!A:J,10,FALSE),"Not Specified")</f>
        <v>WA</v>
      </c>
      <c r="J688" t="str">
        <f>VLOOKUP(B688,[1]Product!A:B,2,FALSE)</f>
        <v>Product KSBRM</v>
      </c>
      <c r="K688" t="str">
        <f>VLOOKUP(VLOOKUP(B688,[1]Product!A:D,4,FALSE),[1]Category!A:B,2,FALSE)</f>
        <v>Condiments</v>
      </c>
      <c r="L688" s="10">
        <f>IFERROR(VLOOKUP(A688,'[1]Sales Order'!A:D,4,FALSE),"")</f>
        <v>39190</v>
      </c>
      <c r="M688" s="10">
        <f>IFERROR(VLOOKUP(A688,'[1]Sales Order'!A:F,6,FALSE),"")</f>
        <v>39193</v>
      </c>
      <c r="N688" t="str">
        <f>IFERROR(VLOOKUP(VLOOKUP(A688,'[1]Sales Order'!A:G,7,FALSE),[1]Shipper!A:B,2,FALSE),"Not Specified")</f>
        <v>Shipper ZHISN</v>
      </c>
      <c r="O688" t="str">
        <f>IFERROR(VLOOKUP(A688,'[1]Sales Order'!A:I,9,FALSE),"Not Specified")</f>
        <v>Ship to 9-B</v>
      </c>
      <c r="P688" t="str">
        <f>IFERROR(VLOOKUP(A688,'[1]Sales Order'!A:N,14,FALSE),"Not Specified")</f>
        <v>France</v>
      </c>
      <c r="Q688" t="str">
        <f>VLOOKUP(VLOOKUP(B688,[1]Product!A:C,3,FALSE),[1]Supplier!A:B,2,FALSE)</f>
        <v>Supplier VHQZD</v>
      </c>
      <c r="R688" t="str">
        <f>VLOOKUP(VLOOKUP(B688,[1]Product!A:C,3,FALSE),[1]Supplier!A:I,9,FALSE)</f>
        <v>USA</v>
      </c>
      <c r="S688" t="str">
        <f>IFERROR(IF(VLOOKUP(A688,'[1]Sales Order'!A:H,8,FALSE)&gt;100,"High Freight","Low Freight"),"Not Specified")</f>
        <v>High Freight</v>
      </c>
      <c r="T688">
        <f t="shared" si="21"/>
        <v>935</v>
      </c>
    </row>
    <row r="689" spans="1:20">
      <c r="A689" s="1">
        <v>10511</v>
      </c>
      <c r="B689" s="2">
        <v>7</v>
      </c>
      <c r="C689" s="2">
        <v>30</v>
      </c>
      <c r="D689" s="2">
        <v>50</v>
      </c>
      <c r="E689" s="3">
        <v>0.15</v>
      </c>
      <c r="F689" s="2" t="str">
        <f>IFERROR(VLOOKUP(VLOOKUP(A689,'[1]Sales Order'!A:B,2,FALSE),[1]Customer!A:C,3,FALSE),"Not Specified")</f>
        <v>Raghav, Amritansh</v>
      </c>
      <c r="G689" s="2" t="str">
        <f t="shared" si="20"/>
        <v>Raghav Amritansh</v>
      </c>
      <c r="H689" s="8" t="str">
        <f>IFERROR(VLOOKUP(VLOOKUP(A689,'[1]Sales Order'!A:C,3,FALSE),[1]Employee!A:E,5,FALSE)&amp;" "&amp;VLOOKUP(VLOOKUP(A689,'[1]Sales Order'!A:C,3,FALSE),[1]Employee!A:C,3,FALSE)&amp;" "&amp;VLOOKUP(VLOOKUP(A689,'[1]Sales Order'!A:C,3,FALSE),[1]Employee!A:B,2,FALSE),"Not Specified")</f>
        <v>Mrs. Yael Peled</v>
      </c>
      <c r="I689" t="str">
        <f>IFERROR(VLOOKUP(VLOOKUP(A689,'[1]Sales Order'!A:C,3,FALSE),[1]Employee!A:J,10,FALSE),"Not Specified")</f>
        <v>WA</v>
      </c>
      <c r="J689" t="str">
        <f>VLOOKUP(B689,[1]Product!A:B,2,FALSE)</f>
        <v>Product HMLNI</v>
      </c>
      <c r="K689" t="str">
        <f>VLOOKUP(VLOOKUP(B689,[1]Product!A:D,4,FALSE),[1]Category!A:B,2,FALSE)</f>
        <v>Produce</v>
      </c>
      <c r="L689" s="10">
        <f>IFERROR(VLOOKUP(A689,'[1]Sales Order'!A:D,4,FALSE),"")</f>
        <v>39190</v>
      </c>
      <c r="M689" s="10">
        <f>IFERROR(VLOOKUP(A689,'[1]Sales Order'!A:F,6,FALSE),"")</f>
        <v>39193</v>
      </c>
      <c r="N689" t="str">
        <f>IFERROR(VLOOKUP(VLOOKUP(A689,'[1]Sales Order'!A:G,7,FALSE),[1]Shipper!A:B,2,FALSE),"Not Specified")</f>
        <v>Shipper ZHISN</v>
      </c>
      <c r="O689" t="str">
        <f>IFERROR(VLOOKUP(A689,'[1]Sales Order'!A:I,9,FALSE),"Not Specified")</f>
        <v>Ship to 9-B</v>
      </c>
      <c r="P689" t="str">
        <f>IFERROR(VLOOKUP(A689,'[1]Sales Order'!A:N,14,FALSE),"Not Specified")</f>
        <v>France</v>
      </c>
      <c r="Q689" t="str">
        <f>VLOOKUP(VLOOKUP(B689,[1]Product!A:C,3,FALSE),[1]Supplier!A:B,2,FALSE)</f>
        <v>Supplier STUAZ</v>
      </c>
      <c r="R689" t="str">
        <f>VLOOKUP(VLOOKUP(B689,[1]Product!A:C,3,FALSE),[1]Supplier!A:I,9,FALSE)</f>
        <v>USA</v>
      </c>
      <c r="S689" t="str">
        <f>IFERROR(IF(VLOOKUP(A689,'[1]Sales Order'!A:H,8,FALSE)&gt;100,"High Freight","Low Freight"),"Not Specified")</f>
        <v>High Freight</v>
      </c>
      <c r="T689">
        <f t="shared" si="21"/>
        <v>1275</v>
      </c>
    </row>
    <row r="690" spans="1:20">
      <c r="A690" s="1">
        <v>10511</v>
      </c>
      <c r="B690" s="2">
        <v>8</v>
      </c>
      <c r="C690" s="2">
        <v>40</v>
      </c>
      <c r="D690" s="2">
        <v>10</v>
      </c>
      <c r="E690" s="3">
        <v>0.15</v>
      </c>
      <c r="F690" s="2" t="str">
        <f>IFERROR(VLOOKUP(VLOOKUP(A690,'[1]Sales Order'!A:B,2,FALSE),[1]Customer!A:C,3,FALSE),"Not Specified")</f>
        <v>Raghav, Amritansh</v>
      </c>
      <c r="G690" s="2" t="str">
        <f t="shared" si="20"/>
        <v>Raghav Amritansh</v>
      </c>
      <c r="H690" s="8" t="str">
        <f>IFERROR(VLOOKUP(VLOOKUP(A690,'[1]Sales Order'!A:C,3,FALSE),[1]Employee!A:E,5,FALSE)&amp;" "&amp;VLOOKUP(VLOOKUP(A690,'[1]Sales Order'!A:C,3,FALSE),[1]Employee!A:C,3,FALSE)&amp;" "&amp;VLOOKUP(VLOOKUP(A690,'[1]Sales Order'!A:C,3,FALSE),[1]Employee!A:B,2,FALSE),"Not Specified")</f>
        <v>Mrs. Yael Peled</v>
      </c>
      <c r="I690" t="str">
        <f>IFERROR(VLOOKUP(VLOOKUP(A690,'[1]Sales Order'!A:C,3,FALSE),[1]Employee!A:J,10,FALSE),"Not Specified")</f>
        <v>WA</v>
      </c>
      <c r="J690" t="str">
        <f>VLOOKUP(B690,[1]Product!A:B,2,FALSE)</f>
        <v>Product WVJFP</v>
      </c>
      <c r="K690" t="str">
        <f>VLOOKUP(VLOOKUP(B690,[1]Product!A:D,4,FALSE),[1]Category!A:B,2,FALSE)</f>
        <v>Condiments</v>
      </c>
      <c r="L690" s="10">
        <f>IFERROR(VLOOKUP(A690,'[1]Sales Order'!A:D,4,FALSE),"")</f>
        <v>39190</v>
      </c>
      <c r="M690" s="10">
        <f>IFERROR(VLOOKUP(A690,'[1]Sales Order'!A:F,6,FALSE),"")</f>
        <v>39193</v>
      </c>
      <c r="N690" t="str">
        <f>IFERROR(VLOOKUP(VLOOKUP(A690,'[1]Sales Order'!A:G,7,FALSE),[1]Shipper!A:B,2,FALSE),"Not Specified")</f>
        <v>Shipper ZHISN</v>
      </c>
      <c r="O690" t="str">
        <f>IFERROR(VLOOKUP(A690,'[1]Sales Order'!A:I,9,FALSE),"Not Specified")</f>
        <v>Ship to 9-B</v>
      </c>
      <c r="P690" t="str">
        <f>IFERROR(VLOOKUP(A690,'[1]Sales Order'!A:N,14,FALSE),"Not Specified")</f>
        <v>France</v>
      </c>
      <c r="Q690" t="str">
        <f>VLOOKUP(VLOOKUP(B690,[1]Product!A:C,3,FALSE),[1]Supplier!A:B,2,FALSE)</f>
        <v>Supplier STUAZ</v>
      </c>
      <c r="R690" t="str">
        <f>VLOOKUP(VLOOKUP(B690,[1]Product!A:C,3,FALSE),[1]Supplier!A:I,9,FALSE)</f>
        <v>USA</v>
      </c>
      <c r="S690" t="str">
        <f>IFERROR(IF(VLOOKUP(A690,'[1]Sales Order'!A:H,8,FALSE)&gt;100,"High Freight","Low Freight"),"Not Specified")</f>
        <v>High Freight</v>
      </c>
      <c r="T690">
        <f t="shared" si="21"/>
        <v>340</v>
      </c>
    </row>
    <row r="691" spans="1:20">
      <c r="A691" s="1">
        <v>10512</v>
      </c>
      <c r="B691" s="2">
        <v>24</v>
      </c>
      <c r="C691" s="2">
        <v>4.5</v>
      </c>
      <c r="D691" s="2">
        <v>10</v>
      </c>
      <c r="E691" s="3">
        <v>0.15</v>
      </c>
      <c r="F691" s="2" t="str">
        <f>IFERROR(VLOOKUP(VLOOKUP(A691,'[1]Sales Order'!A:B,2,FALSE),[1]Customer!A:C,3,FALSE),"Not Specified")</f>
        <v>Russo, Giuseppe</v>
      </c>
      <c r="G691" s="2" t="str">
        <f t="shared" si="20"/>
        <v>Russo Giuseppe</v>
      </c>
      <c r="H691" s="8" t="str">
        <f>IFERROR(VLOOKUP(VLOOKUP(A691,'[1]Sales Order'!A:C,3,FALSE),[1]Employee!A:E,5,FALSE)&amp;" "&amp;VLOOKUP(VLOOKUP(A691,'[1]Sales Order'!A:C,3,FALSE),[1]Employee!A:C,3,FALSE)&amp;" "&amp;VLOOKUP(VLOOKUP(A691,'[1]Sales Order'!A:C,3,FALSE),[1]Employee!A:B,2,FALSE),"Not Specified")</f>
        <v>Mr. Russell King</v>
      </c>
      <c r="I691">
        <f>IFERROR(VLOOKUP(VLOOKUP(A691,'[1]Sales Order'!A:C,3,FALSE),[1]Employee!A:J,10,FALSE),"Not Specified")</f>
        <v>0</v>
      </c>
      <c r="J691" t="str">
        <f>VLOOKUP(B691,[1]Product!A:B,2,FALSE)</f>
        <v>Product QOGNU</v>
      </c>
      <c r="K691" t="str">
        <f>VLOOKUP(VLOOKUP(B691,[1]Product!A:D,4,FALSE),[1]Category!A:B,2,FALSE)</f>
        <v>Beverages</v>
      </c>
      <c r="L691" s="10">
        <f>IFERROR(VLOOKUP(A691,'[1]Sales Order'!A:D,4,FALSE),"")</f>
        <v>39193</v>
      </c>
      <c r="M691" s="10">
        <f>IFERROR(VLOOKUP(A691,'[1]Sales Order'!A:F,6,FALSE),"")</f>
        <v>39196</v>
      </c>
      <c r="N691" t="str">
        <f>IFERROR(VLOOKUP(VLOOKUP(A691,'[1]Sales Order'!A:G,7,FALSE),[1]Shipper!A:B,2,FALSE),"Not Specified")</f>
        <v>Shipper ETYNR</v>
      </c>
      <c r="O691" t="str">
        <f>IFERROR(VLOOKUP(A691,'[1]Sales Order'!A:I,9,FALSE),"Not Specified")</f>
        <v>Destination RNSMS</v>
      </c>
      <c r="P691" t="str">
        <f>IFERROR(VLOOKUP(A691,'[1]Sales Order'!A:N,14,FALSE),"Not Specified")</f>
        <v>Brazil</v>
      </c>
      <c r="Q691" t="str">
        <f>VLOOKUP(VLOOKUP(B691,[1]Product!A:C,3,FALSE),[1]Supplier!A:B,2,FALSE)</f>
        <v>Supplier UNAHG</v>
      </c>
      <c r="R691" t="str">
        <f>VLOOKUP(VLOOKUP(B691,[1]Product!A:C,3,FALSE),[1]Supplier!A:I,9,FALSE)</f>
        <v>Brazil</v>
      </c>
      <c r="S691" t="str">
        <f>IFERROR(IF(VLOOKUP(A691,'[1]Sales Order'!A:H,8,FALSE)&gt;100,"High Freight","Low Freight"),"Not Specified")</f>
        <v>Low Freight</v>
      </c>
      <c r="T691">
        <f t="shared" si="21"/>
        <v>38.25</v>
      </c>
    </row>
    <row r="692" spans="1:20">
      <c r="A692" s="1">
        <v>10512</v>
      </c>
      <c r="B692" s="2">
        <v>46</v>
      </c>
      <c r="C692" s="2">
        <v>12</v>
      </c>
      <c r="D692" s="2">
        <v>9</v>
      </c>
      <c r="E692" s="3">
        <v>0.15</v>
      </c>
      <c r="F692" s="2" t="str">
        <f>IFERROR(VLOOKUP(VLOOKUP(A692,'[1]Sales Order'!A:B,2,FALSE),[1]Customer!A:C,3,FALSE),"Not Specified")</f>
        <v>Russo, Giuseppe</v>
      </c>
      <c r="G692" s="2" t="str">
        <f t="shared" si="20"/>
        <v>Russo Giuseppe</v>
      </c>
      <c r="H692" s="8" t="str">
        <f>IFERROR(VLOOKUP(VLOOKUP(A692,'[1]Sales Order'!A:C,3,FALSE),[1]Employee!A:E,5,FALSE)&amp;" "&amp;VLOOKUP(VLOOKUP(A692,'[1]Sales Order'!A:C,3,FALSE),[1]Employee!A:C,3,FALSE)&amp;" "&amp;VLOOKUP(VLOOKUP(A692,'[1]Sales Order'!A:C,3,FALSE),[1]Employee!A:B,2,FALSE),"Not Specified")</f>
        <v>Mr. Russell King</v>
      </c>
      <c r="I692">
        <f>IFERROR(VLOOKUP(VLOOKUP(A692,'[1]Sales Order'!A:C,3,FALSE),[1]Employee!A:J,10,FALSE),"Not Specified")</f>
        <v>0</v>
      </c>
      <c r="J692" t="str">
        <f>VLOOKUP(B692,[1]Product!A:B,2,FALSE)</f>
        <v>Product CBRRL</v>
      </c>
      <c r="K692" t="str">
        <f>VLOOKUP(VLOOKUP(B692,[1]Product!A:D,4,FALSE),[1]Category!A:B,2,FALSE)</f>
        <v>Seafood</v>
      </c>
      <c r="L692" s="10">
        <f>IFERROR(VLOOKUP(A692,'[1]Sales Order'!A:D,4,FALSE),"")</f>
        <v>39193</v>
      </c>
      <c r="M692" s="10">
        <f>IFERROR(VLOOKUP(A692,'[1]Sales Order'!A:F,6,FALSE),"")</f>
        <v>39196</v>
      </c>
      <c r="N692" t="str">
        <f>IFERROR(VLOOKUP(VLOOKUP(A692,'[1]Sales Order'!A:G,7,FALSE),[1]Shipper!A:B,2,FALSE),"Not Specified")</f>
        <v>Shipper ETYNR</v>
      </c>
      <c r="O692" t="str">
        <f>IFERROR(VLOOKUP(A692,'[1]Sales Order'!A:I,9,FALSE),"Not Specified")</f>
        <v>Destination RNSMS</v>
      </c>
      <c r="P692" t="str">
        <f>IFERROR(VLOOKUP(A692,'[1]Sales Order'!A:N,14,FALSE),"Not Specified")</f>
        <v>Brazil</v>
      </c>
      <c r="Q692" t="str">
        <f>VLOOKUP(VLOOKUP(B692,[1]Product!A:C,3,FALSE),[1]Supplier!A:B,2,FALSE)</f>
        <v>Supplier XOXZA</v>
      </c>
      <c r="R692" t="str">
        <f>VLOOKUP(VLOOKUP(B692,[1]Product!A:C,3,FALSE),[1]Supplier!A:I,9,FALSE)</f>
        <v>Denmark</v>
      </c>
      <c r="S692" t="str">
        <f>IFERROR(IF(VLOOKUP(A692,'[1]Sales Order'!A:H,8,FALSE)&gt;100,"High Freight","Low Freight"),"Not Specified")</f>
        <v>Low Freight</v>
      </c>
      <c r="T692">
        <f t="shared" si="21"/>
        <v>91.8</v>
      </c>
    </row>
    <row r="693" spans="1:20">
      <c r="A693" s="1">
        <v>10512</v>
      </c>
      <c r="B693" s="2">
        <v>47</v>
      </c>
      <c r="C693" s="2">
        <v>9.5</v>
      </c>
      <c r="D693" s="2">
        <v>6</v>
      </c>
      <c r="E693" s="3">
        <v>0.15</v>
      </c>
      <c r="F693" s="2" t="str">
        <f>IFERROR(VLOOKUP(VLOOKUP(A693,'[1]Sales Order'!A:B,2,FALSE),[1]Customer!A:C,3,FALSE),"Not Specified")</f>
        <v>Russo, Giuseppe</v>
      </c>
      <c r="G693" s="2" t="str">
        <f t="shared" si="20"/>
        <v>Russo Giuseppe</v>
      </c>
      <c r="H693" s="8" t="str">
        <f>IFERROR(VLOOKUP(VLOOKUP(A693,'[1]Sales Order'!A:C,3,FALSE),[1]Employee!A:E,5,FALSE)&amp;" "&amp;VLOOKUP(VLOOKUP(A693,'[1]Sales Order'!A:C,3,FALSE),[1]Employee!A:C,3,FALSE)&amp;" "&amp;VLOOKUP(VLOOKUP(A693,'[1]Sales Order'!A:C,3,FALSE),[1]Employee!A:B,2,FALSE),"Not Specified")</f>
        <v>Mr. Russell King</v>
      </c>
      <c r="I693">
        <f>IFERROR(VLOOKUP(VLOOKUP(A693,'[1]Sales Order'!A:C,3,FALSE),[1]Employee!A:J,10,FALSE),"Not Specified")</f>
        <v>0</v>
      </c>
      <c r="J693" t="str">
        <f>VLOOKUP(B693,[1]Product!A:B,2,FALSE)</f>
        <v>Product EZZPR</v>
      </c>
      <c r="K693" t="str">
        <f>VLOOKUP(VLOOKUP(B693,[1]Product!A:D,4,FALSE),[1]Category!A:B,2,FALSE)</f>
        <v>Confections</v>
      </c>
      <c r="L693" s="10">
        <f>IFERROR(VLOOKUP(A693,'[1]Sales Order'!A:D,4,FALSE),"")</f>
        <v>39193</v>
      </c>
      <c r="M693" s="10">
        <f>IFERROR(VLOOKUP(A693,'[1]Sales Order'!A:F,6,FALSE),"")</f>
        <v>39196</v>
      </c>
      <c r="N693" t="str">
        <f>IFERROR(VLOOKUP(VLOOKUP(A693,'[1]Sales Order'!A:G,7,FALSE),[1]Shipper!A:B,2,FALSE),"Not Specified")</f>
        <v>Shipper ETYNR</v>
      </c>
      <c r="O693" t="str">
        <f>IFERROR(VLOOKUP(A693,'[1]Sales Order'!A:I,9,FALSE),"Not Specified")</f>
        <v>Destination RNSMS</v>
      </c>
      <c r="P693" t="str">
        <f>IFERROR(VLOOKUP(A693,'[1]Sales Order'!A:N,14,FALSE),"Not Specified")</f>
        <v>Brazil</v>
      </c>
      <c r="Q693" t="str">
        <f>VLOOKUP(VLOOKUP(B693,[1]Product!A:C,3,FALSE),[1]Supplier!A:B,2,FALSE)</f>
        <v>Supplier FNUXM</v>
      </c>
      <c r="R693" t="str">
        <f>VLOOKUP(VLOOKUP(B693,[1]Product!A:C,3,FALSE),[1]Supplier!A:I,9,FALSE)</f>
        <v>Netherlands</v>
      </c>
      <c r="S693" t="str">
        <f>IFERROR(IF(VLOOKUP(A693,'[1]Sales Order'!A:H,8,FALSE)&gt;100,"High Freight","Low Freight"),"Not Specified")</f>
        <v>Low Freight</v>
      </c>
      <c r="T693">
        <f t="shared" si="21"/>
        <v>48.449999999999996</v>
      </c>
    </row>
    <row r="694" spans="1:20">
      <c r="A694" s="1">
        <v>10512</v>
      </c>
      <c r="B694" s="2">
        <v>60</v>
      </c>
      <c r="C694" s="2">
        <v>34</v>
      </c>
      <c r="D694" s="2">
        <v>12</v>
      </c>
      <c r="E694" s="3">
        <v>0.15</v>
      </c>
      <c r="F694" s="2" t="str">
        <f>IFERROR(VLOOKUP(VLOOKUP(A694,'[1]Sales Order'!A:B,2,FALSE),[1]Customer!A:C,3,FALSE),"Not Specified")</f>
        <v>Russo, Giuseppe</v>
      </c>
      <c r="G694" s="2" t="str">
        <f t="shared" si="20"/>
        <v>Russo Giuseppe</v>
      </c>
      <c r="H694" s="8" t="str">
        <f>IFERROR(VLOOKUP(VLOOKUP(A694,'[1]Sales Order'!A:C,3,FALSE),[1]Employee!A:E,5,FALSE)&amp;" "&amp;VLOOKUP(VLOOKUP(A694,'[1]Sales Order'!A:C,3,FALSE),[1]Employee!A:C,3,FALSE)&amp;" "&amp;VLOOKUP(VLOOKUP(A694,'[1]Sales Order'!A:C,3,FALSE),[1]Employee!A:B,2,FALSE),"Not Specified")</f>
        <v>Mr. Russell King</v>
      </c>
      <c r="I694">
        <f>IFERROR(VLOOKUP(VLOOKUP(A694,'[1]Sales Order'!A:C,3,FALSE),[1]Employee!A:J,10,FALSE),"Not Specified")</f>
        <v>0</v>
      </c>
      <c r="J694" t="str">
        <f>VLOOKUP(B694,[1]Product!A:B,2,FALSE)</f>
        <v>Product WHBYK</v>
      </c>
      <c r="K694" t="str">
        <f>VLOOKUP(VLOOKUP(B694,[1]Product!A:D,4,FALSE),[1]Category!A:B,2,FALSE)</f>
        <v>Dairy Product</v>
      </c>
      <c r="L694" s="10">
        <f>IFERROR(VLOOKUP(A694,'[1]Sales Order'!A:D,4,FALSE),"")</f>
        <v>39193</v>
      </c>
      <c r="M694" s="10">
        <f>IFERROR(VLOOKUP(A694,'[1]Sales Order'!A:F,6,FALSE),"")</f>
        <v>39196</v>
      </c>
      <c r="N694" t="str">
        <f>IFERROR(VLOOKUP(VLOOKUP(A694,'[1]Sales Order'!A:G,7,FALSE),[1]Shipper!A:B,2,FALSE),"Not Specified")</f>
        <v>Shipper ETYNR</v>
      </c>
      <c r="O694" t="str">
        <f>IFERROR(VLOOKUP(A694,'[1]Sales Order'!A:I,9,FALSE),"Not Specified")</f>
        <v>Destination RNSMS</v>
      </c>
      <c r="P694" t="str">
        <f>IFERROR(VLOOKUP(A694,'[1]Sales Order'!A:N,14,FALSE),"Not Specified")</f>
        <v>Brazil</v>
      </c>
      <c r="Q694" t="str">
        <f>VLOOKUP(VLOOKUP(B694,[1]Product!A:C,3,FALSE),[1]Supplier!A:B,2,FALSE)</f>
        <v>Supplier OAVQT</v>
      </c>
      <c r="R694" t="str">
        <f>VLOOKUP(VLOOKUP(B694,[1]Product!A:C,3,FALSE),[1]Supplier!A:I,9,FALSE)</f>
        <v>France</v>
      </c>
      <c r="S694" t="str">
        <f>IFERROR(IF(VLOOKUP(A694,'[1]Sales Order'!A:H,8,FALSE)&gt;100,"High Freight","Low Freight"),"Not Specified")</f>
        <v>Low Freight</v>
      </c>
      <c r="T694">
        <f t="shared" si="21"/>
        <v>346.8</v>
      </c>
    </row>
    <row r="695" spans="1:20">
      <c r="A695" s="1">
        <v>10513</v>
      </c>
      <c r="B695" s="2">
        <v>21</v>
      </c>
      <c r="C695" s="2">
        <v>10</v>
      </c>
      <c r="D695" s="2">
        <v>40</v>
      </c>
      <c r="E695" s="3">
        <v>0.2</v>
      </c>
      <c r="F695" s="2" t="str">
        <f>IFERROR(VLOOKUP(VLOOKUP(A695,'[1]Sales Order'!A:B,2,FALSE),[1]Customer!A:C,3,FALSE),"Not Specified")</f>
        <v>Syamala, Manoj</v>
      </c>
      <c r="G695" s="2" t="str">
        <f t="shared" si="20"/>
        <v>Syamala Manoj</v>
      </c>
      <c r="H695" s="8" t="str">
        <f>IFERROR(VLOOKUP(VLOOKUP(A695,'[1]Sales Order'!A:C,3,FALSE),[1]Employee!A:E,5,FALSE)&amp;" "&amp;VLOOKUP(VLOOKUP(A695,'[1]Sales Order'!A:C,3,FALSE),[1]Employee!A:C,3,FALSE)&amp;" "&amp;VLOOKUP(VLOOKUP(A695,'[1]Sales Order'!A:C,3,FALSE),[1]Employee!A:B,2,FALSE),"Not Specified")</f>
        <v>Mr. Russell King</v>
      </c>
      <c r="I695">
        <f>IFERROR(VLOOKUP(VLOOKUP(A695,'[1]Sales Order'!A:C,3,FALSE),[1]Employee!A:J,10,FALSE),"Not Specified")</f>
        <v>0</v>
      </c>
      <c r="J695" t="str">
        <f>VLOOKUP(B695,[1]Product!A:B,2,FALSE)</f>
        <v>Product VJZZH</v>
      </c>
      <c r="K695" t="str">
        <f>VLOOKUP(VLOOKUP(B695,[1]Product!A:D,4,FALSE),[1]Category!A:B,2,FALSE)</f>
        <v>Confections</v>
      </c>
      <c r="L695" s="10">
        <f>IFERROR(VLOOKUP(A695,'[1]Sales Order'!A:D,4,FALSE),"")</f>
        <v>39194</v>
      </c>
      <c r="M695" s="10">
        <f>IFERROR(VLOOKUP(A695,'[1]Sales Order'!A:F,6,FALSE),"")</f>
        <v>39200</v>
      </c>
      <c r="N695" t="str">
        <f>IFERROR(VLOOKUP(VLOOKUP(A695,'[1]Sales Order'!A:G,7,FALSE),[1]Shipper!A:B,2,FALSE),"Not Specified")</f>
        <v>Shipper GVSUA</v>
      </c>
      <c r="O695" t="str">
        <f>IFERROR(VLOOKUP(A695,'[1]Sales Order'!A:I,9,FALSE),"Not Specified")</f>
        <v>Ship to 86-A</v>
      </c>
      <c r="P695" t="str">
        <f>IFERROR(VLOOKUP(A695,'[1]Sales Order'!A:N,14,FALSE),"Not Specified")</f>
        <v>Germany</v>
      </c>
      <c r="Q695" t="str">
        <f>VLOOKUP(VLOOKUP(B695,[1]Product!A:C,3,FALSE),[1]Supplier!A:B,2,FALSE)</f>
        <v>Supplier BWGYE</v>
      </c>
      <c r="R695" t="str">
        <f>VLOOKUP(VLOOKUP(B695,[1]Product!A:C,3,FALSE),[1]Supplier!A:I,9,FALSE)</f>
        <v>UK</v>
      </c>
      <c r="S695" t="str">
        <f>IFERROR(IF(VLOOKUP(A695,'[1]Sales Order'!A:H,8,FALSE)&gt;100,"High Freight","Low Freight"),"Not Specified")</f>
        <v>High Freight</v>
      </c>
      <c r="T695">
        <f t="shared" si="21"/>
        <v>320</v>
      </c>
    </row>
    <row r="696" spans="1:20">
      <c r="A696" s="1">
        <v>10513</v>
      </c>
      <c r="B696" s="2">
        <v>32</v>
      </c>
      <c r="C696" s="2">
        <v>32</v>
      </c>
      <c r="D696" s="2">
        <v>50</v>
      </c>
      <c r="E696" s="3">
        <v>0.2</v>
      </c>
      <c r="F696" s="2" t="str">
        <f>IFERROR(VLOOKUP(VLOOKUP(A696,'[1]Sales Order'!A:B,2,FALSE),[1]Customer!A:C,3,FALSE),"Not Specified")</f>
        <v>Syamala, Manoj</v>
      </c>
      <c r="G696" s="2" t="str">
        <f t="shared" si="20"/>
        <v>Syamala Manoj</v>
      </c>
      <c r="H696" s="8" t="str">
        <f>IFERROR(VLOOKUP(VLOOKUP(A696,'[1]Sales Order'!A:C,3,FALSE),[1]Employee!A:E,5,FALSE)&amp;" "&amp;VLOOKUP(VLOOKUP(A696,'[1]Sales Order'!A:C,3,FALSE),[1]Employee!A:C,3,FALSE)&amp;" "&amp;VLOOKUP(VLOOKUP(A696,'[1]Sales Order'!A:C,3,FALSE),[1]Employee!A:B,2,FALSE),"Not Specified")</f>
        <v>Mr. Russell King</v>
      </c>
      <c r="I696">
        <f>IFERROR(VLOOKUP(VLOOKUP(A696,'[1]Sales Order'!A:C,3,FALSE),[1]Employee!A:J,10,FALSE),"Not Specified")</f>
        <v>0</v>
      </c>
      <c r="J696" t="str">
        <f>VLOOKUP(B696,[1]Product!A:B,2,FALSE)</f>
        <v>Product NUNAW</v>
      </c>
      <c r="K696" t="str">
        <f>VLOOKUP(VLOOKUP(B696,[1]Product!A:D,4,FALSE),[1]Category!A:B,2,FALSE)</f>
        <v>Dairy Product</v>
      </c>
      <c r="L696" s="10">
        <f>IFERROR(VLOOKUP(A696,'[1]Sales Order'!A:D,4,FALSE),"")</f>
        <v>39194</v>
      </c>
      <c r="M696" s="10">
        <f>IFERROR(VLOOKUP(A696,'[1]Sales Order'!A:F,6,FALSE),"")</f>
        <v>39200</v>
      </c>
      <c r="N696" t="str">
        <f>IFERROR(VLOOKUP(VLOOKUP(A696,'[1]Sales Order'!A:G,7,FALSE),[1]Shipper!A:B,2,FALSE),"Not Specified")</f>
        <v>Shipper GVSUA</v>
      </c>
      <c r="O696" t="str">
        <f>IFERROR(VLOOKUP(A696,'[1]Sales Order'!A:I,9,FALSE),"Not Specified")</f>
        <v>Ship to 86-A</v>
      </c>
      <c r="P696" t="str">
        <f>IFERROR(VLOOKUP(A696,'[1]Sales Order'!A:N,14,FALSE),"Not Specified")</f>
        <v>Germany</v>
      </c>
      <c r="Q696" t="str">
        <f>VLOOKUP(VLOOKUP(B696,[1]Product!A:C,3,FALSE),[1]Supplier!A:B,2,FALSE)</f>
        <v>Supplier KEREV</v>
      </c>
      <c r="R696" t="str">
        <f>VLOOKUP(VLOOKUP(B696,[1]Product!A:C,3,FALSE),[1]Supplier!A:I,9,FALSE)</f>
        <v>Italy</v>
      </c>
      <c r="S696" t="str">
        <f>IFERROR(IF(VLOOKUP(A696,'[1]Sales Order'!A:H,8,FALSE)&gt;100,"High Freight","Low Freight"),"Not Specified")</f>
        <v>High Freight</v>
      </c>
      <c r="T696">
        <f t="shared" si="21"/>
        <v>1280</v>
      </c>
    </row>
    <row r="697" spans="1:20">
      <c r="A697" s="1">
        <v>10513</v>
      </c>
      <c r="B697" s="2">
        <v>61</v>
      </c>
      <c r="C697" s="2">
        <v>28.5</v>
      </c>
      <c r="D697" s="2">
        <v>15</v>
      </c>
      <c r="E697" s="3">
        <v>0.2</v>
      </c>
      <c r="F697" s="2" t="str">
        <f>IFERROR(VLOOKUP(VLOOKUP(A697,'[1]Sales Order'!A:B,2,FALSE),[1]Customer!A:C,3,FALSE),"Not Specified")</f>
        <v>Syamala, Manoj</v>
      </c>
      <c r="G697" s="2" t="str">
        <f t="shared" si="20"/>
        <v>Syamala Manoj</v>
      </c>
      <c r="H697" s="8" t="str">
        <f>IFERROR(VLOOKUP(VLOOKUP(A697,'[1]Sales Order'!A:C,3,FALSE),[1]Employee!A:E,5,FALSE)&amp;" "&amp;VLOOKUP(VLOOKUP(A697,'[1]Sales Order'!A:C,3,FALSE),[1]Employee!A:C,3,FALSE)&amp;" "&amp;VLOOKUP(VLOOKUP(A697,'[1]Sales Order'!A:C,3,FALSE),[1]Employee!A:B,2,FALSE),"Not Specified")</f>
        <v>Mr. Russell King</v>
      </c>
      <c r="I697">
        <f>IFERROR(VLOOKUP(VLOOKUP(A697,'[1]Sales Order'!A:C,3,FALSE),[1]Employee!A:J,10,FALSE),"Not Specified")</f>
        <v>0</v>
      </c>
      <c r="J697" t="str">
        <f>VLOOKUP(B697,[1]Product!A:B,2,FALSE)</f>
        <v>Product XYZPE</v>
      </c>
      <c r="K697" t="str">
        <f>VLOOKUP(VLOOKUP(B697,[1]Product!A:D,4,FALSE),[1]Category!A:B,2,FALSE)</f>
        <v>Condiments</v>
      </c>
      <c r="L697" s="10">
        <f>IFERROR(VLOOKUP(A697,'[1]Sales Order'!A:D,4,FALSE),"")</f>
        <v>39194</v>
      </c>
      <c r="M697" s="10">
        <f>IFERROR(VLOOKUP(A697,'[1]Sales Order'!A:F,6,FALSE),"")</f>
        <v>39200</v>
      </c>
      <c r="N697" t="str">
        <f>IFERROR(VLOOKUP(VLOOKUP(A697,'[1]Sales Order'!A:G,7,FALSE),[1]Shipper!A:B,2,FALSE),"Not Specified")</f>
        <v>Shipper GVSUA</v>
      </c>
      <c r="O697" t="str">
        <f>IFERROR(VLOOKUP(A697,'[1]Sales Order'!A:I,9,FALSE),"Not Specified")</f>
        <v>Ship to 86-A</v>
      </c>
      <c r="P697" t="str">
        <f>IFERROR(VLOOKUP(A697,'[1]Sales Order'!A:N,14,FALSE),"Not Specified")</f>
        <v>Germany</v>
      </c>
      <c r="Q697" t="str">
        <f>VLOOKUP(VLOOKUP(B697,[1]Product!A:C,3,FALSE),[1]Supplier!A:B,2,FALSE)</f>
        <v>Supplier OGLRK</v>
      </c>
      <c r="R697" t="str">
        <f>VLOOKUP(VLOOKUP(B697,[1]Product!A:C,3,FALSE),[1]Supplier!A:I,9,FALSE)</f>
        <v>Canada</v>
      </c>
      <c r="S697" t="str">
        <f>IFERROR(IF(VLOOKUP(A697,'[1]Sales Order'!A:H,8,FALSE)&gt;100,"High Freight","Low Freight"),"Not Specified")</f>
        <v>High Freight</v>
      </c>
      <c r="T697">
        <f t="shared" si="21"/>
        <v>342</v>
      </c>
    </row>
    <row r="698" spans="1:20">
      <c r="A698" s="1">
        <v>10514</v>
      </c>
      <c r="B698" s="2">
        <v>20</v>
      </c>
      <c r="C698" s="2">
        <v>81</v>
      </c>
      <c r="D698" s="2">
        <v>39</v>
      </c>
      <c r="E698" s="3">
        <v>0</v>
      </c>
      <c r="F698" s="2" t="str">
        <f>IFERROR(VLOOKUP(VLOOKUP(A698,'[1]Sales Order'!A:B,2,FALSE),[1]Customer!A:C,3,FALSE),"Not Specified")</f>
        <v>Kane, John</v>
      </c>
      <c r="G698" s="2" t="str">
        <f t="shared" si="20"/>
        <v>Kane John</v>
      </c>
      <c r="H698" s="8" t="str">
        <f>IFERROR(VLOOKUP(VLOOKUP(A698,'[1]Sales Order'!A:C,3,FALSE),[1]Employee!A:E,5,FALSE)&amp;" "&amp;VLOOKUP(VLOOKUP(A698,'[1]Sales Order'!A:C,3,FALSE),[1]Employee!A:C,3,FALSE)&amp;" "&amp;VLOOKUP(VLOOKUP(A698,'[1]Sales Order'!A:C,3,FALSE),[1]Employee!A:B,2,FALSE),"Not Specified")</f>
        <v>Ms. Judy Lew</v>
      </c>
      <c r="I698" t="str">
        <f>IFERROR(VLOOKUP(VLOOKUP(A698,'[1]Sales Order'!A:C,3,FALSE),[1]Employee!A:J,10,FALSE),"Not Specified")</f>
        <v>WA</v>
      </c>
      <c r="J698" t="str">
        <f>VLOOKUP(B698,[1]Product!A:B,2,FALSE)</f>
        <v>Product QHFFP</v>
      </c>
      <c r="K698" t="str">
        <f>VLOOKUP(VLOOKUP(B698,[1]Product!A:D,4,FALSE),[1]Category!A:B,2,FALSE)</f>
        <v>Confections</v>
      </c>
      <c r="L698" s="10">
        <f>IFERROR(VLOOKUP(A698,'[1]Sales Order'!A:D,4,FALSE),"")</f>
        <v>39194</v>
      </c>
      <c r="M698" s="10">
        <f>IFERROR(VLOOKUP(A698,'[1]Sales Order'!A:F,6,FALSE),"")</f>
        <v>39218</v>
      </c>
      <c r="N698" t="str">
        <f>IFERROR(VLOOKUP(VLOOKUP(A698,'[1]Sales Order'!A:G,7,FALSE),[1]Shipper!A:B,2,FALSE),"Not Specified")</f>
        <v>Shipper ETYNR</v>
      </c>
      <c r="O698" t="str">
        <f>IFERROR(VLOOKUP(A698,'[1]Sales Order'!A:I,9,FALSE),"Not Specified")</f>
        <v>Destination CUVPF</v>
      </c>
      <c r="P698" t="str">
        <f>IFERROR(VLOOKUP(A698,'[1]Sales Order'!A:N,14,FALSE),"Not Specified")</f>
        <v>Austria</v>
      </c>
      <c r="Q698" t="str">
        <f>VLOOKUP(VLOOKUP(B698,[1]Product!A:C,3,FALSE),[1]Supplier!A:B,2,FALSE)</f>
        <v>Supplier BWGYE</v>
      </c>
      <c r="R698" t="str">
        <f>VLOOKUP(VLOOKUP(B698,[1]Product!A:C,3,FALSE),[1]Supplier!A:I,9,FALSE)</f>
        <v>UK</v>
      </c>
      <c r="S698" t="str">
        <f>IFERROR(IF(VLOOKUP(A698,'[1]Sales Order'!A:H,8,FALSE)&gt;100,"High Freight","Low Freight"),"Not Specified")</f>
        <v>High Freight</v>
      </c>
      <c r="T698">
        <f t="shared" si="21"/>
        <v>3159</v>
      </c>
    </row>
    <row r="699" spans="1:20">
      <c r="A699" s="1">
        <v>10514</v>
      </c>
      <c r="B699" s="2">
        <v>28</v>
      </c>
      <c r="C699" s="2">
        <v>45.6</v>
      </c>
      <c r="D699" s="2">
        <v>35</v>
      </c>
      <c r="E699" s="3">
        <v>0</v>
      </c>
      <c r="F699" s="2" t="str">
        <f>IFERROR(VLOOKUP(VLOOKUP(A699,'[1]Sales Order'!A:B,2,FALSE),[1]Customer!A:C,3,FALSE),"Not Specified")</f>
        <v>Kane, John</v>
      </c>
      <c r="G699" s="2" t="str">
        <f t="shared" si="20"/>
        <v>Kane John</v>
      </c>
      <c r="H699" s="8" t="str">
        <f>IFERROR(VLOOKUP(VLOOKUP(A699,'[1]Sales Order'!A:C,3,FALSE),[1]Employee!A:E,5,FALSE)&amp;" "&amp;VLOOKUP(VLOOKUP(A699,'[1]Sales Order'!A:C,3,FALSE),[1]Employee!A:C,3,FALSE)&amp;" "&amp;VLOOKUP(VLOOKUP(A699,'[1]Sales Order'!A:C,3,FALSE),[1]Employee!A:B,2,FALSE),"Not Specified")</f>
        <v>Ms. Judy Lew</v>
      </c>
      <c r="I699" t="str">
        <f>IFERROR(VLOOKUP(VLOOKUP(A699,'[1]Sales Order'!A:C,3,FALSE),[1]Employee!A:J,10,FALSE),"Not Specified")</f>
        <v>WA</v>
      </c>
      <c r="J699" t="str">
        <f>VLOOKUP(B699,[1]Product!A:B,2,FALSE)</f>
        <v>Product OFBNT</v>
      </c>
      <c r="K699" t="str">
        <f>VLOOKUP(VLOOKUP(B699,[1]Product!A:D,4,FALSE),[1]Category!A:B,2,FALSE)</f>
        <v>Produce</v>
      </c>
      <c r="L699" s="10">
        <f>IFERROR(VLOOKUP(A699,'[1]Sales Order'!A:D,4,FALSE),"")</f>
        <v>39194</v>
      </c>
      <c r="M699" s="10">
        <f>IFERROR(VLOOKUP(A699,'[1]Sales Order'!A:F,6,FALSE),"")</f>
        <v>39218</v>
      </c>
      <c r="N699" t="str">
        <f>IFERROR(VLOOKUP(VLOOKUP(A699,'[1]Sales Order'!A:G,7,FALSE),[1]Shipper!A:B,2,FALSE),"Not Specified")</f>
        <v>Shipper ETYNR</v>
      </c>
      <c r="O699" t="str">
        <f>IFERROR(VLOOKUP(A699,'[1]Sales Order'!A:I,9,FALSE),"Not Specified")</f>
        <v>Destination CUVPF</v>
      </c>
      <c r="P699" t="str">
        <f>IFERROR(VLOOKUP(A699,'[1]Sales Order'!A:N,14,FALSE),"Not Specified")</f>
        <v>Austria</v>
      </c>
      <c r="Q699" t="str">
        <f>VLOOKUP(VLOOKUP(B699,[1]Product!A:C,3,FALSE),[1]Supplier!A:B,2,FALSE)</f>
        <v>Supplier SVIYA</v>
      </c>
      <c r="R699" t="str">
        <f>VLOOKUP(VLOOKUP(B699,[1]Product!A:C,3,FALSE),[1]Supplier!A:I,9,FALSE)</f>
        <v>Germany</v>
      </c>
      <c r="S699" t="str">
        <f>IFERROR(IF(VLOOKUP(A699,'[1]Sales Order'!A:H,8,FALSE)&gt;100,"High Freight","Low Freight"),"Not Specified")</f>
        <v>High Freight</v>
      </c>
      <c r="T699">
        <f t="shared" si="21"/>
        <v>1596</v>
      </c>
    </row>
    <row r="700" spans="1:20">
      <c r="A700" s="1">
        <v>10514</v>
      </c>
      <c r="B700" s="2">
        <v>56</v>
      </c>
      <c r="C700" s="2">
        <v>38</v>
      </c>
      <c r="D700" s="2">
        <v>70</v>
      </c>
      <c r="E700" s="3">
        <v>0</v>
      </c>
      <c r="F700" s="2" t="str">
        <f>IFERROR(VLOOKUP(VLOOKUP(A700,'[1]Sales Order'!A:B,2,FALSE),[1]Customer!A:C,3,FALSE),"Not Specified")</f>
        <v>Kane, John</v>
      </c>
      <c r="G700" s="2" t="str">
        <f t="shared" si="20"/>
        <v>Kane John</v>
      </c>
      <c r="H700" s="8" t="str">
        <f>IFERROR(VLOOKUP(VLOOKUP(A700,'[1]Sales Order'!A:C,3,FALSE),[1]Employee!A:E,5,FALSE)&amp;" "&amp;VLOOKUP(VLOOKUP(A700,'[1]Sales Order'!A:C,3,FALSE),[1]Employee!A:C,3,FALSE)&amp;" "&amp;VLOOKUP(VLOOKUP(A700,'[1]Sales Order'!A:C,3,FALSE),[1]Employee!A:B,2,FALSE),"Not Specified")</f>
        <v>Ms. Judy Lew</v>
      </c>
      <c r="I700" t="str">
        <f>IFERROR(VLOOKUP(VLOOKUP(A700,'[1]Sales Order'!A:C,3,FALSE),[1]Employee!A:J,10,FALSE),"Not Specified")</f>
        <v>WA</v>
      </c>
      <c r="J700" t="str">
        <f>VLOOKUP(B700,[1]Product!A:B,2,FALSE)</f>
        <v>Product VKCMF</v>
      </c>
      <c r="K700" t="str">
        <f>VLOOKUP(VLOOKUP(B700,[1]Product!A:D,4,FALSE),[1]Category!A:B,2,FALSE)</f>
        <v>Grains/Cereals</v>
      </c>
      <c r="L700" s="10">
        <f>IFERROR(VLOOKUP(A700,'[1]Sales Order'!A:D,4,FALSE),"")</f>
        <v>39194</v>
      </c>
      <c r="M700" s="10">
        <f>IFERROR(VLOOKUP(A700,'[1]Sales Order'!A:F,6,FALSE),"")</f>
        <v>39218</v>
      </c>
      <c r="N700" t="str">
        <f>IFERROR(VLOOKUP(VLOOKUP(A700,'[1]Sales Order'!A:G,7,FALSE),[1]Shipper!A:B,2,FALSE),"Not Specified")</f>
        <v>Shipper ETYNR</v>
      </c>
      <c r="O700" t="str">
        <f>IFERROR(VLOOKUP(A700,'[1]Sales Order'!A:I,9,FALSE),"Not Specified")</f>
        <v>Destination CUVPF</v>
      </c>
      <c r="P700" t="str">
        <f>IFERROR(VLOOKUP(A700,'[1]Sales Order'!A:N,14,FALSE),"Not Specified")</f>
        <v>Austria</v>
      </c>
      <c r="Q700" t="str">
        <f>VLOOKUP(VLOOKUP(B700,[1]Product!A:C,3,FALSE),[1]Supplier!A:B,2,FALSE)</f>
        <v>Supplier ZWZDM</v>
      </c>
      <c r="R700" t="str">
        <f>VLOOKUP(VLOOKUP(B700,[1]Product!A:C,3,FALSE),[1]Supplier!A:I,9,FALSE)</f>
        <v>Italy</v>
      </c>
      <c r="S700" t="str">
        <f>IFERROR(IF(VLOOKUP(A700,'[1]Sales Order'!A:H,8,FALSE)&gt;100,"High Freight","Low Freight"),"Not Specified")</f>
        <v>High Freight</v>
      </c>
      <c r="T700">
        <f t="shared" si="21"/>
        <v>2660</v>
      </c>
    </row>
    <row r="701" spans="1:20">
      <c r="A701" s="1">
        <v>10514</v>
      </c>
      <c r="B701" s="2">
        <v>65</v>
      </c>
      <c r="C701" s="2">
        <v>21.05</v>
      </c>
      <c r="D701" s="2">
        <v>39</v>
      </c>
      <c r="E701" s="3">
        <v>0</v>
      </c>
      <c r="F701" s="2" t="str">
        <f>IFERROR(VLOOKUP(VLOOKUP(A701,'[1]Sales Order'!A:B,2,FALSE),[1]Customer!A:C,3,FALSE),"Not Specified")</f>
        <v>Kane, John</v>
      </c>
      <c r="G701" s="2" t="str">
        <f t="shared" si="20"/>
        <v>Kane John</v>
      </c>
      <c r="H701" s="8" t="str">
        <f>IFERROR(VLOOKUP(VLOOKUP(A701,'[1]Sales Order'!A:C,3,FALSE),[1]Employee!A:E,5,FALSE)&amp;" "&amp;VLOOKUP(VLOOKUP(A701,'[1]Sales Order'!A:C,3,FALSE),[1]Employee!A:C,3,FALSE)&amp;" "&amp;VLOOKUP(VLOOKUP(A701,'[1]Sales Order'!A:C,3,FALSE),[1]Employee!A:B,2,FALSE),"Not Specified")</f>
        <v>Ms. Judy Lew</v>
      </c>
      <c r="I701" t="str">
        <f>IFERROR(VLOOKUP(VLOOKUP(A701,'[1]Sales Order'!A:C,3,FALSE),[1]Employee!A:J,10,FALSE),"Not Specified")</f>
        <v>WA</v>
      </c>
      <c r="J701" t="str">
        <f>VLOOKUP(B701,[1]Product!A:B,2,FALSE)</f>
        <v>Product XYWBZ</v>
      </c>
      <c r="K701" t="str">
        <f>VLOOKUP(VLOOKUP(B701,[1]Product!A:D,4,FALSE),[1]Category!A:B,2,FALSE)</f>
        <v>Condiments</v>
      </c>
      <c r="L701" s="10">
        <f>IFERROR(VLOOKUP(A701,'[1]Sales Order'!A:D,4,FALSE),"")</f>
        <v>39194</v>
      </c>
      <c r="M701" s="10">
        <f>IFERROR(VLOOKUP(A701,'[1]Sales Order'!A:F,6,FALSE),"")</f>
        <v>39218</v>
      </c>
      <c r="N701" t="str">
        <f>IFERROR(VLOOKUP(VLOOKUP(A701,'[1]Sales Order'!A:G,7,FALSE),[1]Shipper!A:B,2,FALSE),"Not Specified")</f>
        <v>Shipper ETYNR</v>
      </c>
      <c r="O701" t="str">
        <f>IFERROR(VLOOKUP(A701,'[1]Sales Order'!A:I,9,FALSE),"Not Specified")</f>
        <v>Destination CUVPF</v>
      </c>
      <c r="P701" t="str">
        <f>IFERROR(VLOOKUP(A701,'[1]Sales Order'!A:N,14,FALSE),"Not Specified")</f>
        <v>Austria</v>
      </c>
      <c r="Q701" t="str">
        <f>VLOOKUP(VLOOKUP(B701,[1]Product!A:C,3,FALSE),[1]Supplier!A:B,2,FALSE)</f>
        <v>Supplier VHQZD</v>
      </c>
      <c r="R701" t="str">
        <f>VLOOKUP(VLOOKUP(B701,[1]Product!A:C,3,FALSE),[1]Supplier!A:I,9,FALSE)</f>
        <v>USA</v>
      </c>
      <c r="S701" t="str">
        <f>IFERROR(IF(VLOOKUP(A701,'[1]Sales Order'!A:H,8,FALSE)&gt;100,"High Freight","Low Freight"),"Not Specified")</f>
        <v>High Freight</v>
      </c>
      <c r="T701">
        <f t="shared" si="21"/>
        <v>820.95</v>
      </c>
    </row>
    <row r="702" spans="1:20">
      <c r="A702" s="1">
        <v>10514</v>
      </c>
      <c r="B702" s="2">
        <v>75</v>
      </c>
      <c r="C702" s="2">
        <v>7.75</v>
      </c>
      <c r="D702" s="2">
        <v>50</v>
      </c>
      <c r="E702" s="3">
        <v>0</v>
      </c>
      <c r="F702" s="2" t="str">
        <f>IFERROR(VLOOKUP(VLOOKUP(A702,'[1]Sales Order'!A:B,2,FALSE),[1]Customer!A:C,3,FALSE),"Not Specified")</f>
        <v>Kane, John</v>
      </c>
      <c r="G702" s="2" t="str">
        <f t="shared" si="20"/>
        <v>Kane John</v>
      </c>
      <c r="H702" s="8" t="str">
        <f>IFERROR(VLOOKUP(VLOOKUP(A702,'[1]Sales Order'!A:C,3,FALSE),[1]Employee!A:E,5,FALSE)&amp;" "&amp;VLOOKUP(VLOOKUP(A702,'[1]Sales Order'!A:C,3,FALSE),[1]Employee!A:C,3,FALSE)&amp;" "&amp;VLOOKUP(VLOOKUP(A702,'[1]Sales Order'!A:C,3,FALSE),[1]Employee!A:B,2,FALSE),"Not Specified")</f>
        <v>Ms. Judy Lew</v>
      </c>
      <c r="I702" t="str">
        <f>IFERROR(VLOOKUP(VLOOKUP(A702,'[1]Sales Order'!A:C,3,FALSE),[1]Employee!A:J,10,FALSE),"Not Specified")</f>
        <v>WA</v>
      </c>
      <c r="J702" t="str">
        <f>VLOOKUP(B702,[1]Product!A:B,2,FALSE)</f>
        <v>Product BWRLG</v>
      </c>
      <c r="K702" t="str">
        <f>VLOOKUP(VLOOKUP(B702,[1]Product!A:D,4,FALSE),[1]Category!A:B,2,FALSE)</f>
        <v>Beverages</v>
      </c>
      <c r="L702" s="10">
        <f>IFERROR(VLOOKUP(A702,'[1]Sales Order'!A:D,4,FALSE),"")</f>
        <v>39194</v>
      </c>
      <c r="M702" s="10">
        <f>IFERROR(VLOOKUP(A702,'[1]Sales Order'!A:F,6,FALSE),"")</f>
        <v>39218</v>
      </c>
      <c r="N702" t="str">
        <f>IFERROR(VLOOKUP(VLOOKUP(A702,'[1]Sales Order'!A:G,7,FALSE),[1]Shipper!A:B,2,FALSE),"Not Specified")</f>
        <v>Shipper ETYNR</v>
      </c>
      <c r="O702" t="str">
        <f>IFERROR(VLOOKUP(A702,'[1]Sales Order'!A:I,9,FALSE),"Not Specified")</f>
        <v>Destination CUVPF</v>
      </c>
      <c r="P702" t="str">
        <f>IFERROR(VLOOKUP(A702,'[1]Sales Order'!A:N,14,FALSE),"Not Specified")</f>
        <v>Austria</v>
      </c>
      <c r="Q702" t="str">
        <f>VLOOKUP(VLOOKUP(B702,[1]Product!A:C,3,FALSE),[1]Supplier!A:B,2,FALSE)</f>
        <v>Supplier SVIYA</v>
      </c>
      <c r="R702" t="str">
        <f>VLOOKUP(VLOOKUP(B702,[1]Product!A:C,3,FALSE),[1]Supplier!A:I,9,FALSE)</f>
        <v>Germany</v>
      </c>
      <c r="S702" t="str">
        <f>IFERROR(IF(VLOOKUP(A702,'[1]Sales Order'!A:H,8,FALSE)&gt;100,"High Freight","Low Freight"),"Not Specified")</f>
        <v>High Freight</v>
      </c>
      <c r="T702">
        <f t="shared" si="21"/>
        <v>387.5</v>
      </c>
    </row>
    <row r="703" spans="1:20">
      <c r="A703" s="1">
        <v>10515</v>
      </c>
      <c r="B703" s="2">
        <v>9</v>
      </c>
      <c r="C703" s="2">
        <v>97</v>
      </c>
      <c r="D703" s="2">
        <v>16</v>
      </c>
      <c r="E703" s="3">
        <v>0.15</v>
      </c>
      <c r="F703" s="2" t="str">
        <f>IFERROR(VLOOKUP(VLOOKUP(A703,'[1]Sales Order'!A:B,2,FALSE),[1]Customer!A:C,3,FALSE),"Not Specified")</f>
        <v>Veronesi, Giorgio</v>
      </c>
      <c r="G703" s="2" t="str">
        <f t="shared" si="20"/>
        <v>Veronesi Giorgio</v>
      </c>
      <c r="H703" s="8" t="str">
        <f>IFERROR(VLOOKUP(VLOOKUP(A703,'[1]Sales Order'!A:C,3,FALSE),[1]Employee!A:E,5,FALSE)&amp;" "&amp;VLOOKUP(VLOOKUP(A703,'[1]Sales Order'!A:C,3,FALSE),[1]Employee!A:C,3,FALSE)&amp;" "&amp;VLOOKUP(VLOOKUP(A703,'[1]Sales Order'!A:C,3,FALSE),[1]Employee!A:B,2,FALSE),"Not Specified")</f>
        <v>Dr. Don Funk</v>
      </c>
      <c r="I703" t="str">
        <f>IFERROR(VLOOKUP(VLOOKUP(A703,'[1]Sales Order'!A:C,3,FALSE),[1]Employee!A:J,10,FALSE),"Not Specified")</f>
        <v>WA</v>
      </c>
      <c r="J703" t="str">
        <f>VLOOKUP(B703,[1]Product!A:B,2,FALSE)</f>
        <v>Product AOZBW</v>
      </c>
      <c r="K703" t="str">
        <f>VLOOKUP(VLOOKUP(B703,[1]Product!A:D,4,FALSE),[1]Category!A:B,2,FALSE)</f>
        <v>Meat/Poultry</v>
      </c>
      <c r="L703" s="10">
        <f>IFERROR(VLOOKUP(A703,'[1]Sales Order'!A:D,4,FALSE),"")</f>
        <v>39195</v>
      </c>
      <c r="M703" s="10">
        <f>IFERROR(VLOOKUP(A703,'[1]Sales Order'!A:F,6,FALSE),"")</f>
        <v>39225</v>
      </c>
      <c r="N703" t="str">
        <f>IFERROR(VLOOKUP(VLOOKUP(A703,'[1]Sales Order'!A:G,7,FALSE),[1]Shipper!A:B,2,FALSE),"Not Specified")</f>
        <v>Shipper GVSUA</v>
      </c>
      <c r="O703" t="str">
        <f>IFERROR(VLOOKUP(A703,'[1]Sales Order'!A:I,9,FALSE),"Not Specified")</f>
        <v>Ship to 63-B</v>
      </c>
      <c r="P703" t="str">
        <f>IFERROR(VLOOKUP(A703,'[1]Sales Order'!A:N,14,FALSE),"Not Specified")</f>
        <v>Germany</v>
      </c>
      <c r="Q703" t="str">
        <f>VLOOKUP(VLOOKUP(B703,[1]Product!A:C,3,FALSE),[1]Supplier!A:B,2,FALSE)</f>
        <v>Supplier QOVFD</v>
      </c>
      <c r="R703" t="str">
        <f>VLOOKUP(VLOOKUP(B703,[1]Product!A:C,3,FALSE),[1]Supplier!A:I,9,FALSE)</f>
        <v>Japan</v>
      </c>
      <c r="S703" t="str">
        <f>IFERROR(IF(VLOOKUP(A703,'[1]Sales Order'!A:H,8,FALSE)&gt;100,"High Freight","Low Freight"),"Not Specified")</f>
        <v>High Freight</v>
      </c>
      <c r="T703">
        <f t="shared" si="21"/>
        <v>1319.2</v>
      </c>
    </row>
    <row r="704" spans="1:20">
      <c r="A704" s="1">
        <v>10515</v>
      </c>
      <c r="B704" s="2">
        <v>16</v>
      </c>
      <c r="C704" s="2">
        <v>17.45</v>
      </c>
      <c r="D704" s="2">
        <v>50</v>
      </c>
      <c r="E704" s="3">
        <v>0</v>
      </c>
      <c r="F704" s="2" t="str">
        <f>IFERROR(VLOOKUP(VLOOKUP(A704,'[1]Sales Order'!A:B,2,FALSE),[1]Customer!A:C,3,FALSE),"Not Specified")</f>
        <v>Veronesi, Giorgio</v>
      </c>
      <c r="G704" s="2" t="str">
        <f t="shared" si="20"/>
        <v>Veronesi Giorgio</v>
      </c>
      <c r="H704" s="8" t="str">
        <f>IFERROR(VLOOKUP(VLOOKUP(A704,'[1]Sales Order'!A:C,3,FALSE),[1]Employee!A:E,5,FALSE)&amp;" "&amp;VLOOKUP(VLOOKUP(A704,'[1]Sales Order'!A:C,3,FALSE),[1]Employee!A:C,3,FALSE)&amp;" "&amp;VLOOKUP(VLOOKUP(A704,'[1]Sales Order'!A:C,3,FALSE),[1]Employee!A:B,2,FALSE),"Not Specified")</f>
        <v>Dr. Don Funk</v>
      </c>
      <c r="I704" t="str">
        <f>IFERROR(VLOOKUP(VLOOKUP(A704,'[1]Sales Order'!A:C,3,FALSE),[1]Employee!A:J,10,FALSE),"Not Specified")</f>
        <v>WA</v>
      </c>
      <c r="J704" t="str">
        <f>VLOOKUP(B704,[1]Product!A:B,2,FALSE)</f>
        <v>Product PAFRH</v>
      </c>
      <c r="K704" t="str">
        <f>VLOOKUP(VLOOKUP(B704,[1]Product!A:D,4,FALSE),[1]Category!A:B,2,FALSE)</f>
        <v>Confections</v>
      </c>
      <c r="L704" s="10">
        <f>IFERROR(VLOOKUP(A704,'[1]Sales Order'!A:D,4,FALSE),"")</f>
        <v>39195</v>
      </c>
      <c r="M704" s="10">
        <f>IFERROR(VLOOKUP(A704,'[1]Sales Order'!A:F,6,FALSE),"")</f>
        <v>39225</v>
      </c>
      <c r="N704" t="str">
        <f>IFERROR(VLOOKUP(VLOOKUP(A704,'[1]Sales Order'!A:G,7,FALSE),[1]Shipper!A:B,2,FALSE),"Not Specified")</f>
        <v>Shipper GVSUA</v>
      </c>
      <c r="O704" t="str">
        <f>IFERROR(VLOOKUP(A704,'[1]Sales Order'!A:I,9,FALSE),"Not Specified")</f>
        <v>Ship to 63-B</v>
      </c>
      <c r="P704" t="str">
        <f>IFERROR(VLOOKUP(A704,'[1]Sales Order'!A:N,14,FALSE),"Not Specified")</f>
        <v>Germany</v>
      </c>
      <c r="Q704" t="str">
        <f>VLOOKUP(VLOOKUP(B704,[1]Product!A:C,3,FALSE),[1]Supplier!A:B,2,FALSE)</f>
        <v>Supplier GQRCV</v>
      </c>
      <c r="R704" t="str">
        <f>VLOOKUP(VLOOKUP(B704,[1]Product!A:C,3,FALSE),[1]Supplier!A:I,9,FALSE)</f>
        <v>Australia</v>
      </c>
      <c r="S704" t="str">
        <f>IFERROR(IF(VLOOKUP(A704,'[1]Sales Order'!A:H,8,FALSE)&gt;100,"High Freight","Low Freight"),"Not Specified")</f>
        <v>High Freight</v>
      </c>
      <c r="T704">
        <f t="shared" si="21"/>
        <v>872.5</v>
      </c>
    </row>
    <row r="705" spans="1:20">
      <c r="A705" s="1">
        <v>10515</v>
      </c>
      <c r="B705" s="2">
        <v>27</v>
      </c>
      <c r="C705" s="2">
        <v>43.9</v>
      </c>
      <c r="D705" s="2">
        <v>120</v>
      </c>
      <c r="E705" s="3">
        <v>0</v>
      </c>
      <c r="F705" s="2" t="str">
        <f>IFERROR(VLOOKUP(VLOOKUP(A705,'[1]Sales Order'!A:B,2,FALSE),[1]Customer!A:C,3,FALSE),"Not Specified")</f>
        <v>Veronesi, Giorgio</v>
      </c>
      <c r="G705" s="2" t="str">
        <f t="shared" si="20"/>
        <v>Veronesi Giorgio</v>
      </c>
      <c r="H705" s="8" t="str">
        <f>IFERROR(VLOOKUP(VLOOKUP(A705,'[1]Sales Order'!A:C,3,FALSE),[1]Employee!A:E,5,FALSE)&amp;" "&amp;VLOOKUP(VLOOKUP(A705,'[1]Sales Order'!A:C,3,FALSE),[1]Employee!A:C,3,FALSE)&amp;" "&amp;VLOOKUP(VLOOKUP(A705,'[1]Sales Order'!A:C,3,FALSE),[1]Employee!A:B,2,FALSE),"Not Specified")</f>
        <v>Dr. Don Funk</v>
      </c>
      <c r="I705" t="str">
        <f>IFERROR(VLOOKUP(VLOOKUP(A705,'[1]Sales Order'!A:C,3,FALSE),[1]Employee!A:J,10,FALSE),"Not Specified")</f>
        <v>WA</v>
      </c>
      <c r="J705" t="str">
        <f>VLOOKUP(B705,[1]Product!A:B,2,FALSE)</f>
        <v>Product SMIOH</v>
      </c>
      <c r="K705" t="str">
        <f>VLOOKUP(VLOOKUP(B705,[1]Product!A:D,4,FALSE),[1]Category!A:B,2,FALSE)</f>
        <v>Confections</v>
      </c>
      <c r="L705" s="10">
        <f>IFERROR(VLOOKUP(A705,'[1]Sales Order'!A:D,4,FALSE),"")</f>
        <v>39195</v>
      </c>
      <c r="M705" s="10">
        <f>IFERROR(VLOOKUP(A705,'[1]Sales Order'!A:F,6,FALSE),"")</f>
        <v>39225</v>
      </c>
      <c r="N705" t="str">
        <f>IFERROR(VLOOKUP(VLOOKUP(A705,'[1]Sales Order'!A:G,7,FALSE),[1]Shipper!A:B,2,FALSE),"Not Specified")</f>
        <v>Shipper GVSUA</v>
      </c>
      <c r="O705" t="str">
        <f>IFERROR(VLOOKUP(A705,'[1]Sales Order'!A:I,9,FALSE),"Not Specified")</f>
        <v>Ship to 63-B</v>
      </c>
      <c r="P705" t="str">
        <f>IFERROR(VLOOKUP(A705,'[1]Sales Order'!A:N,14,FALSE),"Not Specified")</f>
        <v>Germany</v>
      </c>
      <c r="Q705" t="str">
        <f>VLOOKUP(VLOOKUP(B705,[1]Product!A:C,3,FALSE),[1]Supplier!A:B,2,FALSE)</f>
        <v>Supplier ZPYVS</v>
      </c>
      <c r="R705" t="str">
        <f>VLOOKUP(VLOOKUP(B705,[1]Product!A:C,3,FALSE),[1]Supplier!A:I,9,FALSE)</f>
        <v>Germany</v>
      </c>
      <c r="S705" t="str">
        <f>IFERROR(IF(VLOOKUP(A705,'[1]Sales Order'!A:H,8,FALSE)&gt;100,"High Freight","Low Freight"),"Not Specified")</f>
        <v>High Freight</v>
      </c>
      <c r="T705">
        <f t="shared" si="21"/>
        <v>5268</v>
      </c>
    </row>
    <row r="706" spans="1:20">
      <c r="A706" s="1">
        <v>10515</v>
      </c>
      <c r="B706" s="2">
        <v>33</v>
      </c>
      <c r="C706" s="2">
        <v>2.5</v>
      </c>
      <c r="D706" s="2">
        <v>16</v>
      </c>
      <c r="E706" s="3">
        <v>0.15</v>
      </c>
      <c r="F706" s="2" t="str">
        <f>IFERROR(VLOOKUP(VLOOKUP(A706,'[1]Sales Order'!A:B,2,FALSE),[1]Customer!A:C,3,FALSE),"Not Specified")</f>
        <v>Veronesi, Giorgio</v>
      </c>
      <c r="G706" s="2" t="str">
        <f t="shared" si="20"/>
        <v>Veronesi Giorgio</v>
      </c>
      <c r="H706" s="8" t="str">
        <f>IFERROR(VLOOKUP(VLOOKUP(A706,'[1]Sales Order'!A:C,3,FALSE),[1]Employee!A:E,5,FALSE)&amp;" "&amp;VLOOKUP(VLOOKUP(A706,'[1]Sales Order'!A:C,3,FALSE),[1]Employee!A:C,3,FALSE)&amp;" "&amp;VLOOKUP(VLOOKUP(A706,'[1]Sales Order'!A:C,3,FALSE),[1]Employee!A:B,2,FALSE),"Not Specified")</f>
        <v>Dr. Don Funk</v>
      </c>
      <c r="I706" t="str">
        <f>IFERROR(VLOOKUP(VLOOKUP(A706,'[1]Sales Order'!A:C,3,FALSE),[1]Employee!A:J,10,FALSE),"Not Specified")</f>
        <v>WA</v>
      </c>
      <c r="J706" t="str">
        <f>VLOOKUP(B706,[1]Product!A:B,2,FALSE)</f>
        <v>Product ASTMN</v>
      </c>
      <c r="K706" t="str">
        <f>VLOOKUP(VLOOKUP(B706,[1]Product!A:D,4,FALSE),[1]Category!A:B,2,FALSE)</f>
        <v>Dairy Product</v>
      </c>
      <c r="L706" s="10">
        <f>IFERROR(VLOOKUP(A706,'[1]Sales Order'!A:D,4,FALSE),"")</f>
        <v>39195</v>
      </c>
      <c r="M706" s="10">
        <f>IFERROR(VLOOKUP(A706,'[1]Sales Order'!A:F,6,FALSE),"")</f>
        <v>39225</v>
      </c>
      <c r="N706" t="str">
        <f>IFERROR(VLOOKUP(VLOOKUP(A706,'[1]Sales Order'!A:G,7,FALSE),[1]Shipper!A:B,2,FALSE),"Not Specified")</f>
        <v>Shipper GVSUA</v>
      </c>
      <c r="O706" t="str">
        <f>IFERROR(VLOOKUP(A706,'[1]Sales Order'!A:I,9,FALSE),"Not Specified")</f>
        <v>Ship to 63-B</v>
      </c>
      <c r="P706" t="str">
        <f>IFERROR(VLOOKUP(A706,'[1]Sales Order'!A:N,14,FALSE),"Not Specified")</f>
        <v>Germany</v>
      </c>
      <c r="Q706" t="str">
        <f>VLOOKUP(VLOOKUP(B706,[1]Product!A:C,3,FALSE),[1]Supplier!A:B,2,FALSE)</f>
        <v>Supplier NZLIF</v>
      </c>
      <c r="R706" t="str">
        <f>VLOOKUP(VLOOKUP(B706,[1]Product!A:C,3,FALSE),[1]Supplier!A:I,9,FALSE)</f>
        <v>Norway</v>
      </c>
      <c r="S706" t="str">
        <f>IFERROR(IF(VLOOKUP(A706,'[1]Sales Order'!A:H,8,FALSE)&gt;100,"High Freight","Low Freight"),"Not Specified")</f>
        <v>High Freight</v>
      </c>
      <c r="T706">
        <f t="shared" si="21"/>
        <v>34</v>
      </c>
    </row>
    <row r="707" spans="1:20">
      <c r="A707" s="1">
        <v>10515</v>
      </c>
      <c r="B707" s="2">
        <v>60</v>
      </c>
      <c r="C707" s="2">
        <v>34</v>
      </c>
      <c r="D707" s="2">
        <v>84</v>
      </c>
      <c r="E707" s="3">
        <v>0.15</v>
      </c>
      <c r="F707" s="2" t="str">
        <f>IFERROR(VLOOKUP(VLOOKUP(A707,'[1]Sales Order'!A:B,2,FALSE),[1]Customer!A:C,3,FALSE),"Not Specified")</f>
        <v>Veronesi, Giorgio</v>
      </c>
      <c r="G707" s="2" t="str">
        <f t="shared" ref="G707:G770" si="22">SUBSTITUTE(F707,",","",1)</f>
        <v>Veronesi Giorgio</v>
      </c>
      <c r="H707" s="8" t="str">
        <f>IFERROR(VLOOKUP(VLOOKUP(A707,'[1]Sales Order'!A:C,3,FALSE),[1]Employee!A:E,5,FALSE)&amp;" "&amp;VLOOKUP(VLOOKUP(A707,'[1]Sales Order'!A:C,3,FALSE),[1]Employee!A:C,3,FALSE)&amp;" "&amp;VLOOKUP(VLOOKUP(A707,'[1]Sales Order'!A:C,3,FALSE),[1]Employee!A:B,2,FALSE),"Not Specified")</f>
        <v>Dr. Don Funk</v>
      </c>
      <c r="I707" t="str">
        <f>IFERROR(VLOOKUP(VLOOKUP(A707,'[1]Sales Order'!A:C,3,FALSE),[1]Employee!A:J,10,FALSE),"Not Specified")</f>
        <v>WA</v>
      </c>
      <c r="J707" t="str">
        <f>VLOOKUP(B707,[1]Product!A:B,2,FALSE)</f>
        <v>Product WHBYK</v>
      </c>
      <c r="K707" t="str">
        <f>VLOOKUP(VLOOKUP(B707,[1]Product!A:D,4,FALSE),[1]Category!A:B,2,FALSE)</f>
        <v>Dairy Product</v>
      </c>
      <c r="L707" s="10">
        <f>IFERROR(VLOOKUP(A707,'[1]Sales Order'!A:D,4,FALSE),"")</f>
        <v>39195</v>
      </c>
      <c r="M707" s="10">
        <f>IFERROR(VLOOKUP(A707,'[1]Sales Order'!A:F,6,FALSE),"")</f>
        <v>39225</v>
      </c>
      <c r="N707" t="str">
        <f>IFERROR(VLOOKUP(VLOOKUP(A707,'[1]Sales Order'!A:G,7,FALSE),[1]Shipper!A:B,2,FALSE),"Not Specified")</f>
        <v>Shipper GVSUA</v>
      </c>
      <c r="O707" t="str">
        <f>IFERROR(VLOOKUP(A707,'[1]Sales Order'!A:I,9,FALSE),"Not Specified")</f>
        <v>Ship to 63-B</v>
      </c>
      <c r="P707" t="str">
        <f>IFERROR(VLOOKUP(A707,'[1]Sales Order'!A:N,14,FALSE),"Not Specified")</f>
        <v>Germany</v>
      </c>
      <c r="Q707" t="str">
        <f>VLOOKUP(VLOOKUP(B707,[1]Product!A:C,3,FALSE),[1]Supplier!A:B,2,FALSE)</f>
        <v>Supplier OAVQT</v>
      </c>
      <c r="R707" t="str">
        <f>VLOOKUP(VLOOKUP(B707,[1]Product!A:C,3,FALSE),[1]Supplier!A:I,9,FALSE)</f>
        <v>France</v>
      </c>
      <c r="S707" t="str">
        <f>IFERROR(IF(VLOOKUP(A707,'[1]Sales Order'!A:H,8,FALSE)&gt;100,"High Freight","Low Freight"),"Not Specified")</f>
        <v>High Freight</v>
      </c>
      <c r="T707">
        <f t="shared" ref="T707:T770" si="23">C707*D707*(1-E707)</f>
        <v>2427.6</v>
      </c>
    </row>
    <row r="708" spans="1:20">
      <c r="A708" s="1">
        <v>10516</v>
      </c>
      <c r="B708" s="2">
        <v>18</v>
      </c>
      <c r="C708" s="2">
        <v>62.5</v>
      </c>
      <c r="D708" s="2">
        <v>25</v>
      </c>
      <c r="E708" s="3">
        <v>0.1</v>
      </c>
      <c r="F708" s="2" t="str">
        <f>IFERROR(VLOOKUP(VLOOKUP(A708,'[1]Sales Order'!A:B,2,FALSE),[1]Customer!A:C,3,FALSE),"Not Specified")</f>
        <v>Crăciun, Ovidiu V.</v>
      </c>
      <c r="G708" s="2" t="str">
        <f t="shared" si="22"/>
        <v>Crăciun Ovidiu V.</v>
      </c>
      <c r="H708" s="8" t="str">
        <f>IFERROR(VLOOKUP(VLOOKUP(A708,'[1]Sales Order'!A:C,3,FALSE),[1]Employee!A:E,5,FALSE)&amp;" "&amp;VLOOKUP(VLOOKUP(A708,'[1]Sales Order'!A:C,3,FALSE),[1]Employee!A:C,3,FALSE)&amp;" "&amp;VLOOKUP(VLOOKUP(A708,'[1]Sales Order'!A:C,3,FALSE),[1]Employee!A:B,2,FALSE),"Not Specified")</f>
        <v>Dr. Don Funk</v>
      </c>
      <c r="I708" t="str">
        <f>IFERROR(VLOOKUP(VLOOKUP(A708,'[1]Sales Order'!A:C,3,FALSE),[1]Employee!A:J,10,FALSE),"Not Specified")</f>
        <v>WA</v>
      </c>
      <c r="J708" t="str">
        <f>VLOOKUP(B708,[1]Product!A:B,2,FALSE)</f>
        <v>Product CKEDC</v>
      </c>
      <c r="K708" t="str">
        <f>VLOOKUP(VLOOKUP(B708,[1]Product!A:D,4,FALSE),[1]Category!A:B,2,FALSE)</f>
        <v>Seafood</v>
      </c>
      <c r="L708" s="10">
        <f>IFERROR(VLOOKUP(A708,'[1]Sales Order'!A:D,4,FALSE),"")</f>
        <v>39196</v>
      </c>
      <c r="M708" s="10">
        <f>IFERROR(VLOOKUP(A708,'[1]Sales Order'!A:F,6,FALSE),"")</f>
        <v>39203</v>
      </c>
      <c r="N708" t="str">
        <f>IFERROR(VLOOKUP(VLOOKUP(A708,'[1]Sales Order'!A:G,7,FALSE),[1]Shipper!A:B,2,FALSE),"Not Specified")</f>
        <v>Shipper ZHISN</v>
      </c>
      <c r="O708" t="str">
        <f>IFERROR(VLOOKUP(A708,'[1]Sales Order'!A:I,9,FALSE),"Not Specified")</f>
        <v>Destination DGKOU</v>
      </c>
      <c r="P708" t="str">
        <f>IFERROR(VLOOKUP(A708,'[1]Sales Order'!A:N,14,FALSE),"Not Specified")</f>
        <v>Ireland</v>
      </c>
      <c r="Q708" t="str">
        <f>VLOOKUP(VLOOKUP(B708,[1]Product!A:C,3,FALSE),[1]Supplier!A:B,2,FALSE)</f>
        <v>Supplier GQRCV</v>
      </c>
      <c r="R708" t="str">
        <f>VLOOKUP(VLOOKUP(B708,[1]Product!A:C,3,FALSE),[1]Supplier!A:I,9,FALSE)</f>
        <v>Australia</v>
      </c>
      <c r="S708" t="str">
        <f>IFERROR(IF(VLOOKUP(A708,'[1]Sales Order'!A:H,8,FALSE)&gt;100,"High Freight","Low Freight"),"Not Specified")</f>
        <v>Low Freight</v>
      </c>
      <c r="T708">
        <f t="shared" si="23"/>
        <v>1406.25</v>
      </c>
    </row>
    <row r="709" spans="1:20">
      <c r="A709" s="1">
        <v>10516</v>
      </c>
      <c r="B709" s="2">
        <v>41</v>
      </c>
      <c r="C709" s="2">
        <v>9.65</v>
      </c>
      <c r="D709" s="2">
        <v>80</v>
      </c>
      <c r="E709" s="3">
        <v>0.1</v>
      </c>
      <c r="F709" s="2" t="str">
        <f>IFERROR(VLOOKUP(VLOOKUP(A709,'[1]Sales Order'!A:B,2,FALSE),[1]Customer!A:C,3,FALSE),"Not Specified")</f>
        <v>Crăciun, Ovidiu V.</v>
      </c>
      <c r="G709" s="2" t="str">
        <f t="shared" si="22"/>
        <v>Crăciun Ovidiu V.</v>
      </c>
      <c r="H709" s="8" t="str">
        <f>IFERROR(VLOOKUP(VLOOKUP(A709,'[1]Sales Order'!A:C,3,FALSE),[1]Employee!A:E,5,FALSE)&amp;" "&amp;VLOOKUP(VLOOKUP(A709,'[1]Sales Order'!A:C,3,FALSE),[1]Employee!A:C,3,FALSE)&amp;" "&amp;VLOOKUP(VLOOKUP(A709,'[1]Sales Order'!A:C,3,FALSE),[1]Employee!A:B,2,FALSE),"Not Specified")</f>
        <v>Dr. Don Funk</v>
      </c>
      <c r="I709" t="str">
        <f>IFERROR(VLOOKUP(VLOOKUP(A709,'[1]Sales Order'!A:C,3,FALSE),[1]Employee!A:J,10,FALSE),"Not Specified")</f>
        <v>WA</v>
      </c>
      <c r="J709" t="str">
        <f>VLOOKUP(B709,[1]Product!A:B,2,FALSE)</f>
        <v>Product TTEEX</v>
      </c>
      <c r="K709" t="str">
        <f>VLOOKUP(VLOOKUP(B709,[1]Product!A:D,4,FALSE),[1]Category!A:B,2,FALSE)</f>
        <v>Seafood</v>
      </c>
      <c r="L709" s="10">
        <f>IFERROR(VLOOKUP(A709,'[1]Sales Order'!A:D,4,FALSE),"")</f>
        <v>39196</v>
      </c>
      <c r="M709" s="10">
        <f>IFERROR(VLOOKUP(A709,'[1]Sales Order'!A:F,6,FALSE),"")</f>
        <v>39203</v>
      </c>
      <c r="N709" t="str">
        <f>IFERROR(VLOOKUP(VLOOKUP(A709,'[1]Sales Order'!A:G,7,FALSE),[1]Shipper!A:B,2,FALSE),"Not Specified")</f>
        <v>Shipper ZHISN</v>
      </c>
      <c r="O709" t="str">
        <f>IFERROR(VLOOKUP(A709,'[1]Sales Order'!A:I,9,FALSE),"Not Specified")</f>
        <v>Destination DGKOU</v>
      </c>
      <c r="P709" t="str">
        <f>IFERROR(VLOOKUP(A709,'[1]Sales Order'!A:N,14,FALSE),"Not Specified")</f>
        <v>Ireland</v>
      </c>
      <c r="Q709" t="str">
        <f>VLOOKUP(VLOOKUP(B709,[1]Product!A:C,3,FALSE),[1]Supplier!A:B,2,FALSE)</f>
        <v>Supplier JDNUG</v>
      </c>
      <c r="R709" t="str">
        <f>VLOOKUP(VLOOKUP(B709,[1]Product!A:C,3,FALSE),[1]Supplier!A:I,9,FALSE)</f>
        <v>USA</v>
      </c>
      <c r="S709" t="str">
        <f>IFERROR(IF(VLOOKUP(A709,'[1]Sales Order'!A:H,8,FALSE)&gt;100,"High Freight","Low Freight"),"Not Specified")</f>
        <v>Low Freight</v>
      </c>
      <c r="T709">
        <f t="shared" si="23"/>
        <v>694.80000000000007</v>
      </c>
    </row>
    <row r="710" spans="1:20">
      <c r="A710" s="1">
        <v>10516</v>
      </c>
      <c r="B710" s="2">
        <v>42</v>
      </c>
      <c r="C710" s="2">
        <v>14</v>
      </c>
      <c r="D710" s="2">
        <v>20</v>
      </c>
      <c r="E710" s="3">
        <v>0</v>
      </c>
      <c r="F710" s="2" t="str">
        <f>IFERROR(VLOOKUP(VLOOKUP(A710,'[1]Sales Order'!A:B,2,FALSE),[1]Customer!A:C,3,FALSE),"Not Specified")</f>
        <v>Crăciun, Ovidiu V.</v>
      </c>
      <c r="G710" s="2" t="str">
        <f t="shared" si="22"/>
        <v>Crăciun Ovidiu V.</v>
      </c>
      <c r="H710" s="8" t="str">
        <f>IFERROR(VLOOKUP(VLOOKUP(A710,'[1]Sales Order'!A:C,3,FALSE),[1]Employee!A:E,5,FALSE)&amp;" "&amp;VLOOKUP(VLOOKUP(A710,'[1]Sales Order'!A:C,3,FALSE),[1]Employee!A:C,3,FALSE)&amp;" "&amp;VLOOKUP(VLOOKUP(A710,'[1]Sales Order'!A:C,3,FALSE),[1]Employee!A:B,2,FALSE),"Not Specified")</f>
        <v>Dr. Don Funk</v>
      </c>
      <c r="I710" t="str">
        <f>IFERROR(VLOOKUP(VLOOKUP(A710,'[1]Sales Order'!A:C,3,FALSE),[1]Employee!A:J,10,FALSE),"Not Specified")</f>
        <v>WA</v>
      </c>
      <c r="J710" t="str">
        <f>VLOOKUP(B710,[1]Product!A:B,2,FALSE)</f>
        <v>Product RJVNM</v>
      </c>
      <c r="K710" t="str">
        <f>VLOOKUP(VLOOKUP(B710,[1]Product!A:D,4,FALSE),[1]Category!A:B,2,FALSE)</f>
        <v>Grains/Cereals</v>
      </c>
      <c r="L710" s="10">
        <f>IFERROR(VLOOKUP(A710,'[1]Sales Order'!A:D,4,FALSE),"")</f>
        <v>39196</v>
      </c>
      <c r="M710" s="10">
        <f>IFERROR(VLOOKUP(A710,'[1]Sales Order'!A:F,6,FALSE),"")</f>
        <v>39203</v>
      </c>
      <c r="N710" t="str">
        <f>IFERROR(VLOOKUP(VLOOKUP(A710,'[1]Sales Order'!A:G,7,FALSE),[1]Shipper!A:B,2,FALSE),"Not Specified")</f>
        <v>Shipper ZHISN</v>
      </c>
      <c r="O710" t="str">
        <f>IFERROR(VLOOKUP(A710,'[1]Sales Order'!A:I,9,FALSE),"Not Specified")</f>
        <v>Destination DGKOU</v>
      </c>
      <c r="P710" t="str">
        <f>IFERROR(VLOOKUP(A710,'[1]Sales Order'!A:N,14,FALSE),"Not Specified")</f>
        <v>Ireland</v>
      </c>
      <c r="Q710" t="str">
        <f>VLOOKUP(VLOOKUP(B710,[1]Product!A:C,3,FALSE),[1]Supplier!A:B,2,FALSE)</f>
        <v>Supplier CIYNM</v>
      </c>
      <c r="R710" t="str">
        <f>VLOOKUP(VLOOKUP(B710,[1]Product!A:C,3,FALSE),[1]Supplier!A:I,9,FALSE)</f>
        <v>Singapore</v>
      </c>
      <c r="S710" t="str">
        <f>IFERROR(IF(VLOOKUP(A710,'[1]Sales Order'!A:H,8,FALSE)&gt;100,"High Freight","Low Freight"),"Not Specified")</f>
        <v>Low Freight</v>
      </c>
      <c r="T710">
        <f t="shared" si="23"/>
        <v>280</v>
      </c>
    </row>
    <row r="711" spans="1:20">
      <c r="A711" s="1">
        <v>10517</v>
      </c>
      <c r="B711" s="2">
        <v>52</v>
      </c>
      <c r="C711" s="2">
        <v>7</v>
      </c>
      <c r="D711" s="2">
        <v>6</v>
      </c>
      <c r="E711" s="3">
        <v>0</v>
      </c>
      <c r="F711" s="2" t="str">
        <f>IFERROR(VLOOKUP(VLOOKUP(A711,'[1]Sales Order'!A:B,2,FALSE),[1]Customer!A:C,3,FALSE),"Not Specified")</f>
        <v>Mallit, Ken</v>
      </c>
      <c r="G711" s="2" t="str">
        <f t="shared" si="22"/>
        <v>Mallit Ken</v>
      </c>
      <c r="H711" s="8" t="str">
        <f>IFERROR(VLOOKUP(VLOOKUP(A711,'[1]Sales Order'!A:C,3,FALSE),[1]Employee!A:E,5,FALSE)&amp;" "&amp;VLOOKUP(VLOOKUP(A711,'[1]Sales Order'!A:C,3,FALSE),[1]Employee!A:C,3,FALSE)&amp;" "&amp;VLOOKUP(VLOOKUP(A711,'[1]Sales Order'!A:C,3,FALSE),[1]Employee!A:B,2,FALSE),"Not Specified")</f>
        <v>Ms. Judy Lew</v>
      </c>
      <c r="I711" t="str">
        <f>IFERROR(VLOOKUP(VLOOKUP(A711,'[1]Sales Order'!A:C,3,FALSE),[1]Employee!A:J,10,FALSE),"Not Specified")</f>
        <v>WA</v>
      </c>
      <c r="J711" t="str">
        <f>VLOOKUP(B711,[1]Product!A:B,2,FALSE)</f>
        <v>Product QSRXF</v>
      </c>
      <c r="K711" t="str">
        <f>VLOOKUP(VLOOKUP(B711,[1]Product!A:D,4,FALSE),[1]Category!A:B,2,FALSE)</f>
        <v>Grains/Cereals</v>
      </c>
      <c r="L711" s="10">
        <f>IFERROR(VLOOKUP(A711,'[1]Sales Order'!A:D,4,FALSE),"")</f>
        <v>39196</v>
      </c>
      <c r="M711" s="10">
        <f>IFERROR(VLOOKUP(A711,'[1]Sales Order'!A:F,6,FALSE),"")</f>
        <v>39201</v>
      </c>
      <c r="N711" t="str">
        <f>IFERROR(VLOOKUP(VLOOKUP(A711,'[1]Sales Order'!A:G,7,FALSE),[1]Shipper!A:B,2,FALSE),"Not Specified")</f>
        <v>Shipper ZHISN</v>
      </c>
      <c r="O711" t="str">
        <f>IFERROR(VLOOKUP(A711,'[1]Sales Order'!A:I,9,FALSE),"Not Specified")</f>
        <v>Ship to 53-A</v>
      </c>
      <c r="P711" t="str">
        <f>IFERROR(VLOOKUP(A711,'[1]Sales Order'!A:N,14,FALSE),"Not Specified")</f>
        <v>UK</v>
      </c>
      <c r="Q711" t="str">
        <f>VLOOKUP(VLOOKUP(B711,[1]Product!A:C,3,FALSE),[1]Supplier!A:B,2,FALSE)</f>
        <v>Supplier JNNES</v>
      </c>
      <c r="R711" t="str">
        <f>VLOOKUP(VLOOKUP(B711,[1]Product!A:C,3,FALSE),[1]Supplier!A:I,9,FALSE)</f>
        <v>Australia</v>
      </c>
      <c r="S711" t="str">
        <f>IFERROR(IF(VLOOKUP(A711,'[1]Sales Order'!A:H,8,FALSE)&gt;100,"High Freight","Low Freight"),"Not Specified")</f>
        <v>Low Freight</v>
      </c>
      <c r="T711">
        <f t="shared" si="23"/>
        <v>42</v>
      </c>
    </row>
    <row r="712" spans="1:20">
      <c r="A712" s="1">
        <v>10517</v>
      </c>
      <c r="B712" s="2">
        <v>59</v>
      </c>
      <c r="C712" s="2">
        <v>55</v>
      </c>
      <c r="D712" s="2">
        <v>4</v>
      </c>
      <c r="E712" s="3">
        <v>0</v>
      </c>
      <c r="F712" s="2" t="str">
        <f>IFERROR(VLOOKUP(VLOOKUP(A712,'[1]Sales Order'!A:B,2,FALSE),[1]Customer!A:C,3,FALSE),"Not Specified")</f>
        <v>Mallit, Ken</v>
      </c>
      <c r="G712" s="2" t="str">
        <f t="shared" si="22"/>
        <v>Mallit Ken</v>
      </c>
      <c r="H712" s="8" t="str">
        <f>IFERROR(VLOOKUP(VLOOKUP(A712,'[1]Sales Order'!A:C,3,FALSE),[1]Employee!A:E,5,FALSE)&amp;" "&amp;VLOOKUP(VLOOKUP(A712,'[1]Sales Order'!A:C,3,FALSE),[1]Employee!A:C,3,FALSE)&amp;" "&amp;VLOOKUP(VLOOKUP(A712,'[1]Sales Order'!A:C,3,FALSE),[1]Employee!A:B,2,FALSE),"Not Specified")</f>
        <v>Ms. Judy Lew</v>
      </c>
      <c r="I712" t="str">
        <f>IFERROR(VLOOKUP(VLOOKUP(A712,'[1]Sales Order'!A:C,3,FALSE),[1]Employee!A:J,10,FALSE),"Not Specified")</f>
        <v>WA</v>
      </c>
      <c r="J712" t="str">
        <f>VLOOKUP(B712,[1]Product!A:B,2,FALSE)</f>
        <v>Product UKXRI</v>
      </c>
      <c r="K712" t="str">
        <f>VLOOKUP(VLOOKUP(B712,[1]Product!A:D,4,FALSE),[1]Category!A:B,2,FALSE)</f>
        <v>Dairy Product</v>
      </c>
      <c r="L712" s="10">
        <f>IFERROR(VLOOKUP(A712,'[1]Sales Order'!A:D,4,FALSE),"")</f>
        <v>39196</v>
      </c>
      <c r="M712" s="10">
        <f>IFERROR(VLOOKUP(A712,'[1]Sales Order'!A:F,6,FALSE),"")</f>
        <v>39201</v>
      </c>
      <c r="N712" t="str">
        <f>IFERROR(VLOOKUP(VLOOKUP(A712,'[1]Sales Order'!A:G,7,FALSE),[1]Shipper!A:B,2,FALSE),"Not Specified")</f>
        <v>Shipper ZHISN</v>
      </c>
      <c r="O712" t="str">
        <f>IFERROR(VLOOKUP(A712,'[1]Sales Order'!A:I,9,FALSE),"Not Specified")</f>
        <v>Ship to 53-A</v>
      </c>
      <c r="P712" t="str">
        <f>IFERROR(VLOOKUP(A712,'[1]Sales Order'!A:N,14,FALSE),"Not Specified")</f>
        <v>UK</v>
      </c>
      <c r="Q712" t="str">
        <f>VLOOKUP(VLOOKUP(B712,[1]Product!A:C,3,FALSE),[1]Supplier!A:B,2,FALSE)</f>
        <v>Supplier OAVQT</v>
      </c>
      <c r="R712" t="str">
        <f>VLOOKUP(VLOOKUP(B712,[1]Product!A:C,3,FALSE),[1]Supplier!A:I,9,FALSE)</f>
        <v>France</v>
      </c>
      <c r="S712" t="str">
        <f>IFERROR(IF(VLOOKUP(A712,'[1]Sales Order'!A:H,8,FALSE)&gt;100,"High Freight","Low Freight"),"Not Specified")</f>
        <v>Low Freight</v>
      </c>
      <c r="T712">
        <f t="shared" si="23"/>
        <v>220</v>
      </c>
    </row>
    <row r="713" spans="1:20">
      <c r="A713" s="1">
        <v>10517</v>
      </c>
      <c r="B713" s="2">
        <v>70</v>
      </c>
      <c r="C713" s="2">
        <v>15</v>
      </c>
      <c r="D713" s="2">
        <v>6</v>
      </c>
      <c r="E713" s="3">
        <v>0</v>
      </c>
      <c r="F713" s="2" t="str">
        <f>IFERROR(VLOOKUP(VLOOKUP(A713,'[1]Sales Order'!A:B,2,FALSE),[1]Customer!A:C,3,FALSE),"Not Specified")</f>
        <v>Mallit, Ken</v>
      </c>
      <c r="G713" s="2" t="str">
        <f t="shared" si="22"/>
        <v>Mallit Ken</v>
      </c>
      <c r="H713" s="8" t="str">
        <f>IFERROR(VLOOKUP(VLOOKUP(A713,'[1]Sales Order'!A:C,3,FALSE),[1]Employee!A:E,5,FALSE)&amp;" "&amp;VLOOKUP(VLOOKUP(A713,'[1]Sales Order'!A:C,3,FALSE),[1]Employee!A:C,3,FALSE)&amp;" "&amp;VLOOKUP(VLOOKUP(A713,'[1]Sales Order'!A:C,3,FALSE),[1]Employee!A:B,2,FALSE),"Not Specified")</f>
        <v>Ms. Judy Lew</v>
      </c>
      <c r="I713" t="str">
        <f>IFERROR(VLOOKUP(VLOOKUP(A713,'[1]Sales Order'!A:C,3,FALSE),[1]Employee!A:J,10,FALSE),"Not Specified")</f>
        <v>WA</v>
      </c>
      <c r="J713" t="str">
        <f>VLOOKUP(B713,[1]Product!A:B,2,FALSE)</f>
        <v>Product TOONT</v>
      </c>
      <c r="K713" t="str">
        <f>VLOOKUP(VLOOKUP(B713,[1]Product!A:D,4,FALSE),[1]Category!A:B,2,FALSE)</f>
        <v>Beverages</v>
      </c>
      <c r="L713" s="10">
        <f>IFERROR(VLOOKUP(A713,'[1]Sales Order'!A:D,4,FALSE),"")</f>
        <v>39196</v>
      </c>
      <c r="M713" s="10">
        <f>IFERROR(VLOOKUP(A713,'[1]Sales Order'!A:F,6,FALSE),"")</f>
        <v>39201</v>
      </c>
      <c r="N713" t="str">
        <f>IFERROR(VLOOKUP(VLOOKUP(A713,'[1]Sales Order'!A:G,7,FALSE),[1]Shipper!A:B,2,FALSE),"Not Specified")</f>
        <v>Shipper ZHISN</v>
      </c>
      <c r="O713" t="str">
        <f>IFERROR(VLOOKUP(A713,'[1]Sales Order'!A:I,9,FALSE),"Not Specified")</f>
        <v>Ship to 53-A</v>
      </c>
      <c r="P713" t="str">
        <f>IFERROR(VLOOKUP(A713,'[1]Sales Order'!A:N,14,FALSE),"Not Specified")</f>
        <v>UK</v>
      </c>
      <c r="Q713" t="str">
        <f>VLOOKUP(VLOOKUP(B713,[1]Product!A:C,3,FALSE),[1]Supplier!A:B,2,FALSE)</f>
        <v>Supplier GQRCV</v>
      </c>
      <c r="R713" t="str">
        <f>VLOOKUP(VLOOKUP(B713,[1]Product!A:C,3,FALSE),[1]Supplier!A:I,9,FALSE)</f>
        <v>Australia</v>
      </c>
      <c r="S713" t="str">
        <f>IFERROR(IF(VLOOKUP(A713,'[1]Sales Order'!A:H,8,FALSE)&gt;100,"High Freight","Low Freight"),"Not Specified")</f>
        <v>Low Freight</v>
      </c>
      <c r="T713">
        <f t="shared" si="23"/>
        <v>90</v>
      </c>
    </row>
    <row r="714" spans="1:20">
      <c r="A714" s="1">
        <v>10518</v>
      </c>
      <c r="B714" s="2">
        <v>24</v>
      </c>
      <c r="C714" s="2">
        <v>4.5</v>
      </c>
      <c r="D714" s="2">
        <v>5</v>
      </c>
      <c r="E714" s="3">
        <v>0</v>
      </c>
      <c r="F714" s="2" t="str">
        <f>IFERROR(VLOOKUP(VLOOKUP(A714,'[1]Sales Order'!A:B,2,FALSE),[1]Customer!A:C,3,FALSE),"Not Specified")</f>
        <v>Geschwandtner, Jens</v>
      </c>
      <c r="G714" s="2" t="str">
        <f t="shared" si="22"/>
        <v>Geschwandtner Jens</v>
      </c>
      <c r="H714" s="8" t="str">
        <f>IFERROR(VLOOKUP(VLOOKUP(A714,'[1]Sales Order'!A:C,3,FALSE),[1]Employee!A:E,5,FALSE)&amp;" "&amp;VLOOKUP(VLOOKUP(A714,'[1]Sales Order'!A:C,3,FALSE),[1]Employee!A:C,3,FALSE)&amp;" "&amp;VLOOKUP(VLOOKUP(A714,'[1]Sales Order'!A:C,3,FALSE),[1]Employee!A:B,2,FALSE),"Not Specified")</f>
        <v>Mrs. Yael Peled</v>
      </c>
      <c r="I714" t="str">
        <f>IFERROR(VLOOKUP(VLOOKUP(A714,'[1]Sales Order'!A:C,3,FALSE),[1]Employee!A:J,10,FALSE),"Not Specified")</f>
        <v>WA</v>
      </c>
      <c r="J714" t="str">
        <f>VLOOKUP(B714,[1]Product!A:B,2,FALSE)</f>
        <v>Product QOGNU</v>
      </c>
      <c r="K714" t="str">
        <f>VLOOKUP(VLOOKUP(B714,[1]Product!A:D,4,FALSE),[1]Category!A:B,2,FALSE)</f>
        <v>Beverages</v>
      </c>
      <c r="L714" s="10">
        <f>IFERROR(VLOOKUP(A714,'[1]Sales Order'!A:D,4,FALSE),"")</f>
        <v>39197</v>
      </c>
      <c r="M714" s="10">
        <f>IFERROR(VLOOKUP(A714,'[1]Sales Order'!A:F,6,FALSE),"")</f>
        <v>39207</v>
      </c>
      <c r="N714" t="str">
        <f>IFERROR(VLOOKUP(VLOOKUP(A714,'[1]Sales Order'!A:G,7,FALSE),[1]Shipper!A:B,2,FALSE),"Not Specified")</f>
        <v>Shipper ETYNR</v>
      </c>
      <c r="O714" t="str">
        <f>IFERROR(VLOOKUP(A714,'[1]Sales Order'!A:I,9,FALSE),"Not Specified")</f>
        <v>Ship to 80-B</v>
      </c>
      <c r="P714" t="str">
        <f>IFERROR(VLOOKUP(A714,'[1]Sales Order'!A:N,14,FALSE),"Not Specified")</f>
        <v>Mexico</v>
      </c>
      <c r="Q714" t="str">
        <f>VLOOKUP(VLOOKUP(B714,[1]Product!A:C,3,FALSE),[1]Supplier!A:B,2,FALSE)</f>
        <v>Supplier UNAHG</v>
      </c>
      <c r="R714" t="str">
        <f>VLOOKUP(VLOOKUP(B714,[1]Product!A:C,3,FALSE),[1]Supplier!A:I,9,FALSE)</f>
        <v>Brazil</v>
      </c>
      <c r="S714" t="str">
        <f>IFERROR(IF(VLOOKUP(A714,'[1]Sales Order'!A:H,8,FALSE)&gt;100,"High Freight","Low Freight"),"Not Specified")</f>
        <v>High Freight</v>
      </c>
      <c r="T714">
        <f t="shared" si="23"/>
        <v>22.5</v>
      </c>
    </row>
    <row r="715" spans="1:20">
      <c r="A715" s="1">
        <v>10518</v>
      </c>
      <c r="B715" s="2">
        <v>38</v>
      </c>
      <c r="C715" s="2">
        <v>263.5</v>
      </c>
      <c r="D715" s="2">
        <v>15</v>
      </c>
      <c r="E715" s="3">
        <v>0</v>
      </c>
      <c r="F715" s="2" t="str">
        <f>IFERROR(VLOOKUP(VLOOKUP(A715,'[1]Sales Order'!A:B,2,FALSE),[1]Customer!A:C,3,FALSE),"Not Specified")</f>
        <v>Geschwandtner, Jens</v>
      </c>
      <c r="G715" s="2" t="str">
        <f t="shared" si="22"/>
        <v>Geschwandtner Jens</v>
      </c>
      <c r="H715" s="8" t="str">
        <f>IFERROR(VLOOKUP(VLOOKUP(A715,'[1]Sales Order'!A:C,3,FALSE),[1]Employee!A:E,5,FALSE)&amp;" "&amp;VLOOKUP(VLOOKUP(A715,'[1]Sales Order'!A:C,3,FALSE),[1]Employee!A:C,3,FALSE)&amp;" "&amp;VLOOKUP(VLOOKUP(A715,'[1]Sales Order'!A:C,3,FALSE),[1]Employee!A:B,2,FALSE),"Not Specified")</f>
        <v>Mrs. Yael Peled</v>
      </c>
      <c r="I715" t="str">
        <f>IFERROR(VLOOKUP(VLOOKUP(A715,'[1]Sales Order'!A:C,3,FALSE),[1]Employee!A:J,10,FALSE),"Not Specified")</f>
        <v>WA</v>
      </c>
      <c r="J715" t="str">
        <f>VLOOKUP(B715,[1]Product!A:B,2,FALSE)</f>
        <v>Product QDOMO</v>
      </c>
      <c r="K715" t="str">
        <f>VLOOKUP(VLOOKUP(B715,[1]Product!A:D,4,FALSE),[1]Category!A:B,2,FALSE)</f>
        <v>Beverages</v>
      </c>
      <c r="L715" s="10">
        <f>IFERROR(VLOOKUP(A715,'[1]Sales Order'!A:D,4,FALSE),"")</f>
        <v>39197</v>
      </c>
      <c r="M715" s="10">
        <f>IFERROR(VLOOKUP(A715,'[1]Sales Order'!A:F,6,FALSE),"")</f>
        <v>39207</v>
      </c>
      <c r="N715" t="str">
        <f>IFERROR(VLOOKUP(VLOOKUP(A715,'[1]Sales Order'!A:G,7,FALSE),[1]Shipper!A:B,2,FALSE),"Not Specified")</f>
        <v>Shipper ETYNR</v>
      </c>
      <c r="O715" t="str">
        <f>IFERROR(VLOOKUP(A715,'[1]Sales Order'!A:I,9,FALSE),"Not Specified")</f>
        <v>Ship to 80-B</v>
      </c>
      <c r="P715" t="str">
        <f>IFERROR(VLOOKUP(A715,'[1]Sales Order'!A:N,14,FALSE),"Not Specified")</f>
        <v>Mexico</v>
      </c>
      <c r="Q715" t="str">
        <f>VLOOKUP(VLOOKUP(B715,[1]Product!A:C,3,FALSE),[1]Supplier!A:B,2,FALSE)</f>
        <v>Supplier LVJUA</v>
      </c>
      <c r="R715" t="str">
        <f>VLOOKUP(VLOOKUP(B715,[1]Product!A:C,3,FALSE),[1]Supplier!A:I,9,FALSE)</f>
        <v>France</v>
      </c>
      <c r="S715" t="str">
        <f>IFERROR(IF(VLOOKUP(A715,'[1]Sales Order'!A:H,8,FALSE)&gt;100,"High Freight","Low Freight"),"Not Specified")</f>
        <v>High Freight</v>
      </c>
      <c r="T715">
        <f t="shared" si="23"/>
        <v>3952.5</v>
      </c>
    </row>
    <row r="716" spans="1:20">
      <c r="A716" s="1">
        <v>10518</v>
      </c>
      <c r="B716" s="2">
        <v>44</v>
      </c>
      <c r="C716" s="2">
        <v>19.45</v>
      </c>
      <c r="D716" s="2">
        <v>9</v>
      </c>
      <c r="E716" s="3">
        <v>0</v>
      </c>
      <c r="F716" s="2" t="str">
        <f>IFERROR(VLOOKUP(VLOOKUP(A716,'[1]Sales Order'!A:B,2,FALSE),[1]Customer!A:C,3,FALSE),"Not Specified")</f>
        <v>Geschwandtner, Jens</v>
      </c>
      <c r="G716" s="2" t="str">
        <f t="shared" si="22"/>
        <v>Geschwandtner Jens</v>
      </c>
      <c r="H716" s="8" t="str">
        <f>IFERROR(VLOOKUP(VLOOKUP(A716,'[1]Sales Order'!A:C,3,FALSE),[1]Employee!A:E,5,FALSE)&amp;" "&amp;VLOOKUP(VLOOKUP(A716,'[1]Sales Order'!A:C,3,FALSE),[1]Employee!A:C,3,FALSE)&amp;" "&amp;VLOOKUP(VLOOKUP(A716,'[1]Sales Order'!A:C,3,FALSE),[1]Employee!A:B,2,FALSE),"Not Specified")</f>
        <v>Mrs. Yael Peled</v>
      </c>
      <c r="I716" t="str">
        <f>IFERROR(VLOOKUP(VLOOKUP(A716,'[1]Sales Order'!A:C,3,FALSE),[1]Employee!A:J,10,FALSE),"Not Specified")</f>
        <v>WA</v>
      </c>
      <c r="J716" t="str">
        <f>VLOOKUP(B716,[1]Product!A:B,2,FALSE)</f>
        <v>Product VJIEO</v>
      </c>
      <c r="K716" t="str">
        <f>VLOOKUP(VLOOKUP(B716,[1]Product!A:D,4,FALSE),[1]Category!A:B,2,FALSE)</f>
        <v>Condiments</v>
      </c>
      <c r="L716" s="10">
        <f>IFERROR(VLOOKUP(A716,'[1]Sales Order'!A:D,4,FALSE),"")</f>
        <v>39197</v>
      </c>
      <c r="M716" s="10">
        <f>IFERROR(VLOOKUP(A716,'[1]Sales Order'!A:F,6,FALSE),"")</f>
        <v>39207</v>
      </c>
      <c r="N716" t="str">
        <f>IFERROR(VLOOKUP(VLOOKUP(A716,'[1]Sales Order'!A:G,7,FALSE),[1]Shipper!A:B,2,FALSE),"Not Specified")</f>
        <v>Shipper ETYNR</v>
      </c>
      <c r="O716" t="str">
        <f>IFERROR(VLOOKUP(A716,'[1]Sales Order'!A:I,9,FALSE),"Not Specified")</f>
        <v>Ship to 80-B</v>
      </c>
      <c r="P716" t="str">
        <f>IFERROR(VLOOKUP(A716,'[1]Sales Order'!A:N,14,FALSE),"Not Specified")</f>
        <v>Mexico</v>
      </c>
      <c r="Q716" t="str">
        <f>VLOOKUP(VLOOKUP(B716,[1]Product!A:C,3,FALSE),[1]Supplier!A:B,2,FALSE)</f>
        <v>Supplier CIYNM</v>
      </c>
      <c r="R716" t="str">
        <f>VLOOKUP(VLOOKUP(B716,[1]Product!A:C,3,FALSE),[1]Supplier!A:I,9,FALSE)</f>
        <v>Singapore</v>
      </c>
      <c r="S716" t="str">
        <f>IFERROR(IF(VLOOKUP(A716,'[1]Sales Order'!A:H,8,FALSE)&gt;100,"High Freight","Low Freight"),"Not Specified")</f>
        <v>High Freight</v>
      </c>
      <c r="T716">
        <f t="shared" si="23"/>
        <v>175.04999999999998</v>
      </c>
    </row>
    <row r="717" spans="1:20">
      <c r="A717" s="1">
        <v>10519</v>
      </c>
      <c r="B717" s="2">
        <v>10</v>
      </c>
      <c r="C717" s="2">
        <v>31</v>
      </c>
      <c r="D717" s="2">
        <v>16</v>
      </c>
      <c r="E717" s="3">
        <v>0.05</v>
      </c>
      <c r="F717" s="2" t="str">
        <f>IFERROR(VLOOKUP(VLOOKUP(A717,'[1]Sales Order'!A:B,2,FALSE),[1]Customer!A:C,3,FALSE),"Not Specified")</f>
        <v>Jelitto, Jacek</v>
      </c>
      <c r="G717" s="2" t="str">
        <f t="shared" si="22"/>
        <v>Jelitto Jacek</v>
      </c>
      <c r="H717" s="8" t="str">
        <f>IFERROR(VLOOKUP(VLOOKUP(A717,'[1]Sales Order'!A:C,3,FALSE),[1]Employee!A:E,5,FALSE)&amp;" "&amp;VLOOKUP(VLOOKUP(A717,'[1]Sales Order'!A:C,3,FALSE),[1]Employee!A:C,3,FALSE)&amp;" "&amp;VLOOKUP(VLOOKUP(A717,'[1]Sales Order'!A:C,3,FALSE),[1]Employee!A:B,2,FALSE),"Not Specified")</f>
        <v>Mr. Paul Suurs</v>
      </c>
      <c r="I717">
        <f>IFERROR(VLOOKUP(VLOOKUP(A717,'[1]Sales Order'!A:C,3,FALSE),[1]Employee!A:J,10,FALSE),"Not Specified")</f>
        <v>0</v>
      </c>
      <c r="J717" t="str">
        <f>VLOOKUP(B717,[1]Product!A:B,2,FALSE)</f>
        <v>Product YHXGE</v>
      </c>
      <c r="K717" t="str">
        <f>VLOOKUP(VLOOKUP(B717,[1]Product!A:D,4,FALSE),[1]Category!A:B,2,FALSE)</f>
        <v>Seafood</v>
      </c>
      <c r="L717" s="10">
        <f>IFERROR(VLOOKUP(A717,'[1]Sales Order'!A:D,4,FALSE),"")</f>
        <v>39200</v>
      </c>
      <c r="M717" s="10">
        <f>IFERROR(VLOOKUP(A717,'[1]Sales Order'!A:F,6,FALSE),"")</f>
        <v>39203</v>
      </c>
      <c r="N717" t="str">
        <f>IFERROR(VLOOKUP(VLOOKUP(A717,'[1]Sales Order'!A:G,7,FALSE),[1]Shipper!A:B,2,FALSE),"Not Specified")</f>
        <v>Shipper ZHISN</v>
      </c>
      <c r="O717" t="str">
        <f>IFERROR(VLOOKUP(A717,'[1]Sales Order'!A:I,9,FALSE),"Not Specified")</f>
        <v>Destination NRTZZ</v>
      </c>
      <c r="P717" t="str">
        <f>IFERROR(VLOOKUP(A717,'[1]Sales Order'!A:N,14,FALSE),"Not Specified")</f>
        <v>Switzerland</v>
      </c>
      <c r="Q717" t="str">
        <f>VLOOKUP(VLOOKUP(B717,[1]Product!A:C,3,FALSE),[1]Supplier!A:B,2,FALSE)</f>
        <v>Supplier QOVFD</v>
      </c>
      <c r="R717" t="str">
        <f>VLOOKUP(VLOOKUP(B717,[1]Product!A:C,3,FALSE),[1]Supplier!A:I,9,FALSE)</f>
        <v>Japan</v>
      </c>
      <c r="S717" t="str">
        <f>IFERROR(IF(VLOOKUP(A717,'[1]Sales Order'!A:H,8,FALSE)&gt;100,"High Freight","Low Freight"),"Not Specified")</f>
        <v>Low Freight</v>
      </c>
      <c r="T717">
        <f t="shared" si="23"/>
        <v>471.2</v>
      </c>
    </row>
    <row r="718" spans="1:20">
      <c r="A718" s="1">
        <v>10519</v>
      </c>
      <c r="B718" s="2">
        <v>56</v>
      </c>
      <c r="C718" s="2">
        <v>38</v>
      </c>
      <c r="D718" s="2">
        <v>40</v>
      </c>
      <c r="E718" s="3">
        <v>0</v>
      </c>
      <c r="F718" s="2" t="str">
        <f>IFERROR(VLOOKUP(VLOOKUP(A718,'[1]Sales Order'!A:B,2,FALSE),[1]Customer!A:C,3,FALSE),"Not Specified")</f>
        <v>Jelitto, Jacek</v>
      </c>
      <c r="G718" s="2" t="str">
        <f t="shared" si="22"/>
        <v>Jelitto Jacek</v>
      </c>
      <c r="H718" s="8" t="str">
        <f>IFERROR(VLOOKUP(VLOOKUP(A718,'[1]Sales Order'!A:C,3,FALSE),[1]Employee!A:E,5,FALSE)&amp;" "&amp;VLOOKUP(VLOOKUP(A718,'[1]Sales Order'!A:C,3,FALSE),[1]Employee!A:C,3,FALSE)&amp;" "&amp;VLOOKUP(VLOOKUP(A718,'[1]Sales Order'!A:C,3,FALSE),[1]Employee!A:B,2,FALSE),"Not Specified")</f>
        <v>Mr. Paul Suurs</v>
      </c>
      <c r="I718">
        <f>IFERROR(VLOOKUP(VLOOKUP(A718,'[1]Sales Order'!A:C,3,FALSE),[1]Employee!A:J,10,FALSE),"Not Specified")</f>
        <v>0</v>
      </c>
      <c r="J718" t="str">
        <f>VLOOKUP(B718,[1]Product!A:B,2,FALSE)</f>
        <v>Product VKCMF</v>
      </c>
      <c r="K718" t="str">
        <f>VLOOKUP(VLOOKUP(B718,[1]Product!A:D,4,FALSE),[1]Category!A:B,2,FALSE)</f>
        <v>Grains/Cereals</v>
      </c>
      <c r="L718" s="10">
        <f>IFERROR(VLOOKUP(A718,'[1]Sales Order'!A:D,4,FALSE),"")</f>
        <v>39200</v>
      </c>
      <c r="M718" s="10">
        <f>IFERROR(VLOOKUP(A718,'[1]Sales Order'!A:F,6,FALSE),"")</f>
        <v>39203</v>
      </c>
      <c r="N718" t="str">
        <f>IFERROR(VLOOKUP(VLOOKUP(A718,'[1]Sales Order'!A:G,7,FALSE),[1]Shipper!A:B,2,FALSE),"Not Specified")</f>
        <v>Shipper ZHISN</v>
      </c>
      <c r="O718" t="str">
        <f>IFERROR(VLOOKUP(A718,'[1]Sales Order'!A:I,9,FALSE),"Not Specified")</f>
        <v>Destination NRTZZ</v>
      </c>
      <c r="P718" t="str">
        <f>IFERROR(VLOOKUP(A718,'[1]Sales Order'!A:N,14,FALSE),"Not Specified")</f>
        <v>Switzerland</v>
      </c>
      <c r="Q718" t="str">
        <f>VLOOKUP(VLOOKUP(B718,[1]Product!A:C,3,FALSE),[1]Supplier!A:B,2,FALSE)</f>
        <v>Supplier ZWZDM</v>
      </c>
      <c r="R718" t="str">
        <f>VLOOKUP(VLOOKUP(B718,[1]Product!A:C,3,FALSE),[1]Supplier!A:I,9,FALSE)</f>
        <v>Italy</v>
      </c>
      <c r="S718" t="str">
        <f>IFERROR(IF(VLOOKUP(A718,'[1]Sales Order'!A:H,8,FALSE)&gt;100,"High Freight","Low Freight"),"Not Specified")</f>
        <v>Low Freight</v>
      </c>
      <c r="T718">
        <f t="shared" si="23"/>
        <v>1520</v>
      </c>
    </row>
    <row r="719" spans="1:20">
      <c r="A719" s="1">
        <v>10519</v>
      </c>
      <c r="B719" s="2">
        <v>60</v>
      </c>
      <c r="C719" s="2">
        <v>34</v>
      </c>
      <c r="D719" s="2">
        <v>10</v>
      </c>
      <c r="E719" s="3">
        <v>0.05</v>
      </c>
      <c r="F719" s="2" t="str">
        <f>IFERROR(VLOOKUP(VLOOKUP(A719,'[1]Sales Order'!A:B,2,FALSE),[1]Customer!A:C,3,FALSE),"Not Specified")</f>
        <v>Jelitto, Jacek</v>
      </c>
      <c r="G719" s="2" t="str">
        <f t="shared" si="22"/>
        <v>Jelitto Jacek</v>
      </c>
      <c r="H719" s="8" t="str">
        <f>IFERROR(VLOOKUP(VLOOKUP(A719,'[1]Sales Order'!A:C,3,FALSE),[1]Employee!A:E,5,FALSE)&amp;" "&amp;VLOOKUP(VLOOKUP(A719,'[1]Sales Order'!A:C,3,FALSE),[1]Employee!A:C,3,FALSE)&amp;" "&amp;VLOOKUP(VLOOKUP(A719,'[1]Sales Order'!A:C,3,FALSE),[1]Employee!A:B,2,FALSE),"Not Specified")</f>
        <v>Mr. Paul Suurs</v>
      </c>
      <c r="I719">
        <f>IFERROR(VLOOKUP(VLOOKUP(A719,'[1]Sales Order'!A:C,3,FALSE),[1]Employee!A:J,10,FALSE),"Not Specified")</f>
        <v>0</v>
      </c>
      <c r="J719" t="str">
        <f>VLOOKUP(B719,[1]Product!A:B,2,FALSE)</f>
        <v>Product WHBYK</v>
      </c>
      <c r="K719" t="str">
        <f>VLOOKUP(VLOOKUP(B719,[1]Product!A:D,4,FALSE),[1]Category!A:B,2,FALSE)</f>
        <v>Dairy Product</v>
      </c>
      <c r="L719" s="10">
        <f>IFERROR(VLOOKUP(A719,'[1]Sales Order'!A:D,4,FALSE),"")</f>
        <v>39200</v>
      </c>
      <c r="M719" s="10">
        <f>IFERROR(VLOOKUP(A719,'[1]Sales Order'!A:F,6,FALSE),"")</f>
        <v>39203</v>
      </c>
      <c r="N719" t="str">
        <f>IFERROR(VLOOKUP(VLOOKUP(A719,'[1]Sales Order'!A:G,7,FALSE),[1]Shipper!A:B,2,FALSE),"Not Specified")</f>
        <v>Shipper ZHISN</v>
      </c>
      <c r="O719" t="str">
        <f>IFERROR(VLOOKUP(A719,'[1]Sales Order'!A:I,9,FALSE),"Not Specified")</f>
        <v>Destination NRTZZ</v>
      </c>
      <c r="P719" t="str">
        <f>IFERROR(VLOOKUP(A719,'[1]Sales Order'!A:N,14,FALSE),"Not Specified")</f>
        <v>Switzerland</v>
      </c>
      <c r="Q719" t="str">
        <f>VLOOKUP(VLOOKUP(B719,[1]Product!A:C,3,FALSE),[1]Supplier!A:B,2,FALSE)</f>
        <v>Supplier OAVQT</v>
      </c>
      <c r="R719" t="str">
        <f>VLOOKUP(VLOOKUP(B719,[1]Product!A:C,3,FALSE),[1]Supplier!A:I,9,FALSE)</f>
        <v>France</v>
      </c>
      <c r="S719" t="str">
        <f>IFERROR(IF(VLOOKUP(A719,'[1]Sales Order'!A:H,8,FALSE)&gt;100,"High Freight","Low Freight"),"Not Specified")</f>
        <v>Low Freight</v>
      </c>
      <c r="T719">
        <f t="shared" si="23"/>
        <v>323</v>
      </c>
    </row>
    <row r="720" spans="1:20">
      <c r="A720" s="1">
        <v>10520</v>
      </c>
      <c r="B720" s="2">
        <v>24</v>
      </c>
      <c r="C720" s="2">
        <v>4.5</v>
      </c>
      <c r="D720" s="2">
        <v>8</v>
      </c>
      <c r="E720" s="3">
        <v>0</v>
      </c>
      <c r="F720" s="2" t="str">
        <f>IFERROR(VLOOKUP(VLOOKUP(A720,'[1]Sales Order'!A:B,2,FALSE),[1]Customer!A:C,3,FALSE),"Not Specified")</f>
        <v>Ginters, Kaspars</v>
      </c>
      <c r="G720" s="2" t="str">
        <f t="shared" si="22"/>
        <v>Ginters Kaspars</v>
      </c>
      <c r="H720" s="8" t="str">
        <f>IFERROR(VLOOKUP(VLOOKUP(A720,'[1]Sales Order'!A:C,3,FALSE),[1]Employee!A:E,5,FALSE)&amp;" "&amp;VLOOKUP(VLOOKUP(A720,'[1]Sales Order'!A:C,3,FALSE),[1]Employee!A:C,3,FALSE)&amp;" "&amp;VLOOKUP(VLOOKUP(A720,'[1]Sales Order'!A:C,3,FALSE),[1]Employee!A:B,2,FALSE),"Not Specified")</f>
        <v>Mr. Russell King</v>
      </c>
      <c r="I720">
        <f>IFERROR(VLOOKUP(VLOOKUP(A720,'[1]Sales Order'!A:C,3,FALSE),[1]Employee!A:J,10,FALSE),"Not Specified")</f>
        <v>0</v>
      </c>
      <c r="J720" t="str">
        <f>VLOOKUP(B720,[1]Product!A:B,2,FALSE)</f>
        <v>Product QOGNU</v>
      </c>
      <c r="K720" t="str">
        <f>VLOOKUP(VLOOKUP(B720,[1]Product!A:D,4,FALSE),[1]Category!A:B,2,FALSE)</f>
        <v>Beverages</v>
      </c>
      <c r="L720" s="10">
        <f>IFERROR(VLOOKUP(A720,'[1]Sales Order'!A:D,4,FALSE),"")</f>
        <v>39201</v>
      </c>
      <c r="M720" s="10">
        <f>IFERROR(VLOOKUP(A720,'[1]Sales Order'!A:F,6,FALSE),"")</f>
        <v>39203</v>
      </c>
      <c r="N720" t="str">
        <f>IFERROR(VLOOKUP(VLOOKUP(A720,'[1]Sales Order'!A:G,7,FALSE),[1]Shipper!A:B,2,FALSE),"Not Specified")</f>
        <v>Shipper GVSUA</v>
      </c>
      <c r="O720" t="str">
        <f>IFERROR(VLOOKUP(A720,'[1]Sales Order'!A:I,9,FALSE),"Not Specified")</f>
        <v>Ship to 70-B</v>
      </c>
      <c r="P720" t="str">
        <f>IFERROR(VLOOKUP(A720,'[1]Sales Order'!A:N,14,FALSE),"Not Specified")</f>
        <v>Norway</v>
      </c>
      <c r="Q720" t="str">
        <f>VLOOKUP(VLOOKUP(B720,[1]Product!A:C,3,FALSE),[1]Supplier!A:B,2,FALSE)</f>
        <v>Supplier UNAHG</v>
      </c>
      <c r="R720" t="str">
        <f>VLOOKUP(VLOOKUP(B720,[1]Product!A:C,3,FALSE),[1]Supplier!A:I,9,FALSE)</f>
        <v>Brazil</v>
      </c>
      <c r="S720" t="str">
        <f>IFERROR(IF(VLOOKUP(A720,'[1]Sales Order'!A:H,8,FALSE)&gt;100,"High Freight","Low Freight"),"Not Specified")</f>
        <v>Low Freight</v>
      </c>
      <c r="T720">
        <f t="shared" si="23"/>
        <v>36</v>
      </c>
    </row>
    <row r="721" spans="1:20">
      <c r="A721" s="1">
        <v>10520</v>
      </c>
      <c r="B721" s="2">
        <v>53</v>
      </c>
      <c r="C721" s="2">
        <v>32.799999999999997</v>
      </c>
      <c r="D721" s="2">
        <v>5</v>
      </c>
      <c r="E721" s="3">
        <v>0</v>
      </c>
      <c r="F721" s="2" t="str">
        <f>IFERROR(VLOOKUP(VLOOKUP(A721,'[1]Sales Order'!A:B,2,FALSE),[1]Customer!A:C,3,FALSE),"Not Specified")</f>
        <v>Ginters, Kaspars</v>
      </c>
      <c r="G721" s="2" t="str">
        <f t="shared" si="22"/>
        <v>Ginters Kaspars</v>
      </c>
      <c r="H721" s="8" t="str">
        <f>IFERROR(VLOOKUP(VLOOKUP(A721,'[1]Sales Order'!A:C,3,FALSE),[1]Employee!A:E,5,FALSE)&amp;" "&amp;VLOOKUP(VLOOKUP(A721,'[1]Sales Order'!A:C,3,FALSE),[1]Employee!A:C,3,FALSE)&amp;" "&amp;VLOOKUP(VLOOKUP(A721,'[1]Sales Order'!A:C,3,FALSE),[1]Employee!A:B,2,FALSE),"Not Specified")</f>
        <v>Mr. Russell King</v>
      </c>
      <c r="I721">
        <f>IFERROR(VLOOKUP(VLOOKUP(A721,'[1]Sales Order'!A:C,3,FALSE),[1]Employee!A:J,10,FALSE),"Not Specified")</f>
        <v>0</v>
      </c>
      <c r="J721" t="str">
        <f>VLOOKUP(B721,[1]Product!A:B,2,FALSE)</f>
        <v>Product BKGEA</v>
      </c>
      <c r="K721" t="str">
        <f>VLOOKUP(VLOOKUP(B721,[1]Product!A:D,4,FALSE),[1]Category!A:B,2,FALSE)</f>
        <v>Meat/Poultry</v>
      </c>
      <c r="L721" s="10">
        <f>IFERROR(VLOOKUP(A721,'[1]Sales Order'!A:D,4,FALSE),"")</f>
        <v>39201</v>
      </c>
      <c r="M721" s="10">
        <f>IFERROR(VLOOKUP(A721,'[1]Sales Order'!A:F,6,FALSE),"")</f>
        <v>39203</v>
      </c>
      <c r="N721" t="str">
        <f>IFERROR(VLOOKUP(VLOOKUP(A721,'[1]Sales Order'!A:G,7,FALSE),[1]Shipper!A:B,2,FALSE),"Not Specified")</f>
        <v>Shipper GVSUA</v>
      </c>
      <c r="O721" t="str">
        <f>IFERROR(VLOOKUP(A721,'[1]Sales Order'!A:I,9,FALSE),"Not Specified")</f>
        <v>Ship to 70-B</v>
      </c>
      <c r="P721" t="str">
        <f>IFERROR(VLOOKUP(A721,'[1]Sales Order'!A:N,14,FALSE),"Not Specified")</f>
        <v>Norway</v>
      </c>
      <c r="Q721" t="str">
        <f>VLOOKUP(VLOOKUP(B721,[1]Product!A:C,3,FALSE),[1]Supplier!A:B,2,FALSE)</f>
        <v>Supplier JNNES</v>
      </c>
      <c r="R721" t="str">
        <f>VLOOKUP(VLOOKUP(B721,[1]Product!A:C,3,FALSE),[1]Supplier!A:I,9,FALSE)</f>
        <v>Australia</v>
      </c>
      <c r="S721" t="str">
        <f>IFERROR(IF(VLOOKUP(A721,'[1]Sales Order'!A:H,8,FALSE)&gt;100,"High Freight","Low Freight"),"Not Specified")</f>
        <v>Low Freight</v>
      </c>
      <c r="T721">
        <f t="shared" si="23"/>
        <v>164</v>
      </c>
    </row>
    <row r="722" spans="1:20">
      <c r="A722" s="1">
        <v>10521</v>
      </c>
      <c r="B722" s="2">
        <v>35</v>
      </c>
      <c r="C722" s="2">
        <v>18</v>
      </c>
      <c r="D722" s="2">
        <v>3</v>
      </c>
      <c r="E722" s="3">
        <v>0</v>
      </c>
      <c r="F722" s="2" t="str">
        <f>IFERROR(VLOOKUP(VLOOKUP(A722,'[1]Sales Order'!A:B,2,FALSE),[1]Customer!A:C,3,FALSE),"Not Specified")</f>
        <v>Ray, Mike</v>
      </c>
      <c r="G722" s="2" t="str">
        <f t="shared" si="22"/>
        <v>Ray Mike</v>
      </c>
      <c r="H722" s="8" t="str">
        <f>IFERROR(VLOOKUP(VLOOKUP(A722,'[1]Sales Order'!A:C,3,FALSE),[1]Employee!A:E,5,FALSE)&amp;" "&amp;VLOOKUP(VLOOKUP(A722,'[1]Sales Order'!A:C,3,FALSE),[1]Employee!A:C,3,FALSE)&amp;" "&amp;VLOOKUP(VLOOKUP(A722,'[1]Sales Order'!A:C,3,FALSE),[1]Employee!A:B,2,FALSE),"Not Specified")</f>
        <v>Ms. Maria Cameron</v>
      </c>
      <c r="I722" t="str">
        <f>IFERROR(VLOOKUP(VLOOKUP(A722,'[1]Sales Order'!A:C,3,FALSE),[1]Employee!A:J,10,FALSE),"Not Specified")</f>
        <v>WA</v>
      </c>
      <c r="J722" t="str">
        <f>VLOOKUP(B722,[1]Product!A:B,2,FALSE)</f>
        <v>Product NEVTJ</v>
      </c>
      <c r="K722" t="str">
        <f>VLOOKUP(VLOOKUP(B722,[1]Product!A:D,4,FALSE),[1]Category!A:B,2,FALSE)</f>
        <v>Beverages</v>
      </c>
      <c r="L722" s="10">
        <f>IFERROR(VLOOKUP(A722,'[1]Sales Order'!A:D,4,FALSE),"")</f>
        <v>39201</v>
      </c>
      <c r="M722" s="10">
        <f>IFERROR(VLOOKUP(A722,'[1]Sales Order'!A:F,6,FALSE),"")</f>
        <v>39204</v>
      </c>
      <c r="N722" t="str">
        <f>IFERROR(VLOOKUP(VLOOKUP(A722,'[1]Sales Order'!A:G,7,FALSE),[1]Shipper!A:B,2,FALSE),"Not Specified")</f>
        <v>Shipper ETYNR</v>
      </c>
      <c r="O722" t="str">
        <f>IFERROR(VLOOKUP(A722,'[1]Sales Order'!A:I,9,FALSE),"Not Specified")</f>
        <v>Destination QTHBC</v>
      </c>
      <c r="P722" t="str">
        <f>IFERROR(VLOOKUP(A722,'[1]Sales Order'!A:N,14,FALSE),"Not Specified")</f>
        <v>Argentina</v>
      </c>
      <c r="Q722" t="str">
        <f>VLOOKUP(VLOOKUP(B722,[1]Product!A:C,3,FALSE),[1]Supplier!A:B,2,FALSE)</f>
        <v>Supplier UHZRG</v>
      </c>
      <c r="R722" t="str">
        <f>VLOOKUP(VLOOKUP(B722,[1]Product!A:C,3,FALSE),[1]Supplier!A:I,9,FALSE)</f>
        <v>USA</v>
      </c>
      <c r="S722" t="str">
        <f>IFERROR(IF(VLOOKUP(A722,'[1]Sales Order'!A:H,8,FALSE)&gt;100,"High Freight","Low Freight"),"Not Specified")</f>
        <v>Low Freight</v>
      </c>
      <c r="T722">
        <f t="shared" si="23"/>
        <v>54</v>
      </c>
    </row>
    <row r="723" spans="1:20">
      <c r="A723" s="1">
        <v>10521</v>
      </c>
      <c r="B723" s="2">
        <v>41</v>
      </c>
      <c r="C723" s="2">
        <v>9.65</v>
      </c>
      <c r="D723" s="2">
        <v>10</v>
      </c>
      <c r="E723" s="3">
        <v>0</v>
      </c>
      <c r="F723" s="2" t="str">
        <f>IFERROR(VLOOKUP(VLOOKUP(A723,'[1]Sales Order'!A:B,2,FALSE),[1]Customer!A:C,3,FALSE),"Not Specified")</f>
        <v>Ray, Mike</v>
      </c>
      <c r="G723" s="2" t="str">
        <f t="shared" si="22"/>
        <v>Ray Mike</v>
      </c>
      <c r="H723" s="8" t="str">
        <f>IFERROR(VLOOKUP(VLOOKUP(A723,'[1]Sales Order'!A:C,3,FALSE),[1]Employee!A:E,5,FALSE)&amp;" "&amp;VLOOKUP(VLOOKUP(A723,'[1]Sales Order'!A:C,3,FALSE),[1]Employee!A:C,3,FALSE)&amp;" "&amp;VLOOKUP(VLOOKUP(A723,'[1]Sales Order'!A:C,3,FALSE),[1]Employee!A:B,2,FALSE),"Not Specified")</f>
        <v>Ms. Maria Cameron</v>
      </c>
      <c r="I723" t="str">
        <f>IFERROR(VLOOKUP(VLOOKUP(A723,'[1]Sales Order'!A:C,3,FALSE),[1]Employee!A:J,10,FALSE),"Not Specified")</f>
        <v>WA</v>
      </c>
      <c r="J723" t="str">
        <f>VLOOKUP(B723,[1]Product!A:B,2,FALSE)</f>
        <v>Product TTEEX</v>
      </c>
      <c r="K723" t="str">
        <f>VLOOKUP(VLOOKUP(B723,[1]Product!A:D,4,FALSE),[1]Category!A:B,2,FALSE)</f>
        <v>Seafood</v>
      </c>
      <c r="L723" s="10">
        <f>IFERROR(VLOOKUP(A723,'[1]Sales Order'!A:D,4,FALSE),"")</f>
        <v>39201</v>
      </c>
      <c r="M723" s="10">
        <f>IFERROR(VLOOKUP(A723,'[1]Sales Order'!A:F,6,FALSE),"")</f>
        <v>39204</v>
      </c>
      <c r="N723" t="str">
        <f>IFERROR(VLOOKUP(VLOOKUP(A723,'[1]Sales Order'!A:G,7,FALSE),[1]Shipper!A:B,2,FALSE),"Not Specified")</f>
        <v>Shipper ETYNR</v>
      </c>
      <c r="O723" t="str">
        <f>IFERROR(VLOOKUP(A723,'[1]Sales Order'!A:I,9,FALSE),"Not Specified")</f>
        <v>Destination QTHBC</v>
      </c>
      <c r="P723" t="str">
        <f>IFERROR(VLOOKUP(A723,'[1]Sales Order'!A:N,14,FALSE),"Not Specified")</f>
        <v>Argentina</v>
      </c>
      <c r="Q723" t="str">
        <f>VLOOKUP(VLOOKUP(B723,[1]Product!A:C,3,FALSE),[1]Supplier!A:B,2,FALSE)</f>
        <v>Supplier JDNUG</v>
      </c>
      <c r="R723" t="str">
        <f>VLOOKUP(VLOOKUP(B723,[1]Product!A:C,3,FALSE),[1]Supplier!A:I,9,FALSE)</f>
        <v>USA</v>
      </c>
      <c r="S723" t="str">
        <f>IFERROR(IF(VLOOKUP(A723,'[1]Sales Order'!A:H,8,FALSE)&gt;100,"High Freight","Low Freight"),"Not Specified")</f>
        <v>Low Freight</v>
      </c>
      <c r="T723">
        <f t="shared" si="23"/>
        <v>96.5</v>
      </c>
    </row>
    <row r="724" spans="1:20">
      <c r="A724" s="1">
        <v>10521</v>
      </c>
      <c r="B724" s="2">
        <v>68</v>
      </c>
      <c r="C724" s="2">
        <v>12.5</v>
      </c>
      <c r="D724" s="2">
        <v>6</v>
      </c>
      <c r="E724" s="3">
        <v>0</v>
      </c>
      <c r="F724" s="2" t="str">
        <f>IFERROR(VLOOKUP(VLOOKUP(A724,'[1]Sales Order'!A:B,2,FALSE),[1]Customer!A:C,3,FALSE),"Not Specified")</f>
        <v>Ray, Mike</v>
      </c>
      <c r="G724" s="2" t="str">
        <f t="shared" si="22"/>
        <v>Ray Mike</v>
      </c>
      <c r="H724" s="8" t="str">
        <f>IFERROR(VLOOKUP(VLOOKUP(A724,'[1]Sales Order'!A:C,3,FALSE),[1]Employee!A:E,5,FALSE)&amp;" "&amp;VLOOKUP(VLOOKUP(A724,'[1]Sales Order'!A:C,3,FALSE),[1]Employee!A:C,3,FALSE)&amp;" "&amp;VLOOKUP(VLOOKUP(A724,'[1]Sales Order'!A:C,3,FALSE),[1]Employee!A:B,2,FALSE),"Not Specified")</f>
        <v>Ms. Maria Cameron</v>
      </c>
      <c r="I724" t="str">
        <f>IFERROR(VLOOKUP(VLOOKUP(A724,'[1]Sales Order'!A:C,3,FALSE),[1]Employee!A:J,10,FALSE),"Not Specified")</f>
        <v>WA</v>
      </c>
      <c r="J724" t="str">
        <f>VLOOKUP(B724,[1]Product!A:B,2,FALSE)</f>
        <v>Product TBTBL</v>
      </c>
      <c r="K724" t="str">
        <f>VLOOKUP(VLOOKUP(B724,[1]Product!A:D,4,FALSE),[1]Category!A:B,2,FALSE)</f>
        <v>Confections</v>
      </c>
      <c r="L724" s="10">
        <f>IFERROR(VLOOKUP(A724,'[1]Sales Order'!A:D,4,FALSE),"")</f>
        <v>39201</v>
      </c>
      <c r="M724" s="10">
        <f>IFERROR(VLOOKUP(A724,'[1]Sales Order'!A:F,6,FALSE),"")</f>
        <v>39204</v>
      </c>
      <c r="N724" t="str">
        <f>IFERROR(VLOOKUP(VLOOKUP(A724,'[1]Sales Order'!A:G,7,FALSE),[1]Shipper!A:B,2,FALSE),"Not Specified")</f>
        <v>Shipper ETYNR</v>
      </c>
      <c r="O724" t="str">
        <f>IFERROR(VLOOKUP(A724,'[1]Sales Order'!A:I,9,FALSE),"Not Specified")</f>
        <v>Destination QTHBC</v>
      </c>
      <c r="P724" t="str">
        <f>IFERROR(VLOOKUP(A724,'[1]Sales Order'!A:N,14,FALSE),"Not Specified")</f>
        <v>Argentina</v>
      </c>
      <c r="Q724" t="str">
        <f>VLOOKUP(VLOOKUP(B724,[1]Product!A:C,3,FALSE),[1]Supplier!A:B,2,FALSE)</f>
        <v>Supplier BWGYE</v>
      </c>
      <c r="R724" t="str">
        <f>VLOOKUP(VLOOKUP(B724,[1]Product!A:C,3,FALSE),[1]Supplier!A:I,9,FALSE)</f>
        <v>UK</v>
      </c>
      <c r="S724" t="str">
        <f>IFERROR(IF(VLOOKUP(A724,'[1]Sales Order'!A:H,8,FALSE)&gt;100,"High Freight","Low Freight"),"Not Specified")</f>
        <v>Low Freight</v>
      </c>
      <c r="T724">
        <f t="shared" si="23"/>
        <v>75</v>
      </c>
    </row>
    <row r="725" spans="1:20">
      <c r="A725" s="1">
        <v>10522</v>
      </c>
      <c r="B725" s="2">
        <v>1</v>
      </c>
      <c r="C725" s="2">
        <v>18</v>
      </c>
      <c r="D725" s="2">
        <v>40</v>
      </c>
      <c r="E725" s="3">
        <v>0.2</v>
      </c>
      <c r="F725" s="2" t="str">
        <f>IFERROR(VLOOKUP(VLOOKUP(A725,'[1]Sales Order'!A:B,2,FALSE),[1]Customer!A:C,3,FALSE),"Not Specified")</f>
        <v>Louverdis, George</v>
      </c>
      <c r="G725" s="2" t="str">
        <f t="shared" si="22"/>
        <v>Louverdis George</v>
      </c>
      <c r="H725" s="8" t="str">
        <f>IFERROR(VLOOKUP(VLOOKUP(A725,'[1]Sales Order'!A:C,3,FALSE),[1]Employee!A:E,5,FALSE)&amp;" "&amp;VLOOKUP(VLOOKUP(A725,'[1]Sales Order'!A:C,3,FALSE),[1]Employee!A:C,3,FALSE)&amp;" "&amp;VLOOKUP(VLOOKUP(A725,'[1]Sales Order'!A:C,3,FALSE),[1]Employee!A:B,2,FALSE),"Not Specified")</f>
        <v>Mrs. Yael Peled</v>
      </c>
      <c r="I725" t="str">
        <f>IFERROR(VLOOKUP(VLOOKUP(A725,'[1]Sales Order'!A:C,3,FALSE),[1]Employee!A:J,10,FALSE),"Not Specified")</f>
        <v>WA</v>
      </c>
      <c r="J725" t="str">
        <f>VLOOKUP(B725,[1]Product!A:B,2,FALSE)</f>
        <v>Product HHYDP</v>
      </c>
      <c r="K725" t="str">
        <f>VLOOKUP(VLOOKUP(B725,[1]Product!A:D,4,FALSE),[1]Category!A:B,2,FALSE)</f>
        <v>Beverages</v>
      </c>
      <c r="L725" s="10">
        <f>IFERROR(VLOOKUP(A725,'[1]Sales Order'!A:D,4,FALSE),"")</f>
        <v>39202</v>
      </c>
      <c r="M725" s="10">
        <f>IFERROR(VLOOKUP(A725,'[1]Sales Order'!A:F,6,FALSE),"")</f>
        <v>39208</v>
      </c>
      <c r="N725" t="str">
        <f>IFERROR(VLOOKUP(VLOOKUP(A725,'[1]Sales Order'!A:G,7,FALSE),[1]Shipper!A:B,2,FALSE),"Not Specified")</f>
        <v>Shipper GVSUA</v>
      </c>
      <c r="O725" t="str">
        <f>IFERROR(VLOOKUP(A725,'[1]Sales Order'!A:I,9,FALSE),"Not Specified")</f>
        <v>Ship to 44-A</v>
      </c>
      <c r="P725" t="str">
        <f>IFERROR(VLOOKUP(A725,'[1]Sales Order'!A:N,14,FALSE),"Not Specified")</f>
        <v>Germany</v>
      </c>
      <c r="Q725" t="str">
        <f>VLOOKUP(VLOOKUP(B725,[1]Product!A:C,3,FALSE),[1]Supplier!A:B,2,FALSE)</f>
        <v>Supplier SWRXU</v>
      </c>
      <c r="R725" t="str">
        <f>VLOOKUP(VLOOKUP(B725,[1]Product!A:C,3,FALSE),[1]Supplier!A:I,9,FALSE)</f>
        <v>UK</v>
      </c>
      <c r="S725" t="str">
        <f>IFERROR(IF(VLOOKUP(A725,'[1]Sales Order'!A:H,8,FALSE)&gt;100,"High Freight","Low Freight"),"Not Specified")</f>
        <v>Low Freight</v>
      </c>
      <c r="T725">
        <f t="shared" si="23"/>
        <v>576</v>
      </c>
    </row>
    <row r="726" spans="1:20">
      <c r="A726" s="1">
        <v>10522</v>
      </c>
      <c r="B726" s="2">
        <v>8</v>
      </c>
      <c r="C726" s="2">
        <v>40</v>
      </c>
      <c r="D726" s="2">
        <v>24</v>
      </c>
      <c r="E726" s="3">
        <v>0</v>
      </c>
      <c r="F726" s="2" t="str">
        <f>IFERROR(VLOOKUP(VLOOKUP(A726,'[1]Sales Order'!A:B,2,FALSE),[1]Customer!A:C,3,FALSE),"Not Specified")</f>
        <v>Louverdis, George</v>
      </c>
      <c r="G726" s="2" t="str">
        <f t="shared" si="22"/>
        <v>Louverdis George</v>
      </c>
      <c r="H726" s="8" t="str">
        <f>IFERROR(VLOOKUP(VLOOKUP(A726,'[1]Sales Order'!A:C,3,FALSE),[1]Employee!A:E,5,FALSE)&amp;" "&amp;VLOOKUP(VLOOKUP(A726,'[1]Sales Order'!A:C,3,FALSE),[1]Employee!A:C,3,FALSE)&amp;" "&amp;VLOOKUP(VLOOKUP(A726,'[1]Sales Order'!A:C,3,FALSE),[1]Employee!A:B,2,FALSE),"Not Specified")</f>
        <v>Mrs. Yael Peled</v>
      </c>
      <c r="I726" t="str">
        <f>IFERROR(VLOOKUP(VLOOKUP(A726,'[1]Sales Order'!A:C,3,FALSE),[1]Employee!A:J,10,FALSE),"Not Specified")</f>
        <v>WA</v>
      </c>
      <c r="J726" t="str">
        <f>VLOOKUP(B726,[1]Product!A:B,2,FALSE)</f>
        <v>Product WVJFP</v>
      </c>
      <c r="K726" t="str">
        <f>VLOOKUP(VLOOKUP(B726,[1]Product!A:D,4,FALSE),[1]Category!A:B,2,FALSE)</f>
        <v>Condiments</v>
      </c>
      <c r="L726" s="10">
        <f>IFERROR(VLOOKUP(A726,'[1]Sales Order'!A:D,4,FALSE),"")</f>
        <v>39202</v>
      </c>
      <c r="M726" s="10">
        <f>IFERROR(VLOOKUP(A726,'[1]Sales Order'!A:F,6,FALSE),"")</f>
        <v>39208</v>
      </c>
      <c r="N726" t="str">
        <f>IFERROR(VLOOKUP(VLOOKUP(A726,'[1]Sales Order'!A:G,7,FALSE),[1]Shipper!A:B,2,FALSE),"Not Specified")</f>
        <v>Shipper GVSUA</v>
      </c>
      <c r="O726" t="str">
        <f>IFERROR(VLOOKUP(A726,'[1]Sales Order'!A:I,9,FALSE),"Not Specified")</f>
        <v>Ship to 44-A</v>
      </c>
      <c r="P726" t="str">
        <f>IFERROR(VLOOKUP(A726,'[1]Sales Order'!A:N,14,FALSE),"Not Specified")</f>
        <v>Germany</v>
      </c>
      <c r="Q726" t="str">
        <f>VLOOKUP(VLOOKUP(B726,[1]Product!A:C,3,FALSE),[1]Supplier!A:B,2,FALSE)</f>
        <v>Supplier STUAZ</v>
      </c>
      <c r="R726" t="str">
        <f>VLOOKUP(VLOOKUP(B726,[1]Product!A:C,3,FALSE),[1]Supplier!A:I,9,FALSE)</f>
        <v>USA</v>
      </c>
      <c r="S726" t="str">
        <f>IFERROR(IF(VLOOKUP(A726,'[1]Sales Order'!A:H,8,FALSE)&gt;100,"High Freight","Low Freight"),"Not Specified")</f>
        <v>Low Freight</v>
      </c>
      <c r="T726">
        <f t="shared" si="23"/>
        <v>960</v>
      </c>
    </row>
    <row r="727" spans="1:20">
      <c r="A727" s="1">
        <v>10522</v>
      </c>
      <c r="B727" s="2">
        <v>30</v>
      </c>
      <c r="C727" s="2">
        <v>25.89</v>
      </c>
      <c r="D727" s="2">
        <v>20</v>
      </c>
      <c r="E727" s="3">
        <v>0.2</v>
      </c>
      <c r="F727" s="2" t="str">
        <f>IFERROR(VLOOKUP(VLOOKUP(A727,'[1]Sales Order'!A:B,2,FALSE),[1]Customer!A:C,3,FALSE),"Not Specified")</f>
        <v>Louverdis, George</v>
      </c>
      <c r="G727" s="2" t="str">
        <f t="shared" si="22"/>
        <v>Louverdis George</v>
      </c>
      <c r="H727" s="8" t="str">
        <f>IFERROR(VLOOKUP(VLOOKUP(A727,'[1]Sales Order'!A:C,3,FALSE),[1]Employee!A:E,5,FALSE)&amp;" "&amp;VLOOKUP(VLOOKUP(A727,'[1]Sales Order'!A:C,3,FALSE),[1]Employee!A:C,3,FALSE)&amp;" "&amp;VLOOKUP(VLOOKUP(A727,'[1]Sales Order'!A:C,3,FALSE),[1]Employee!A:B,2,FALSE),"Not Specified")</f>
        <v>Mrs. Yael Peled</v>
      </c>
      <c r="I727" t="str">
        <f>IFERROR(VLOOKUP(VLOOKUP(A727,'[1]Sales Order'!A:C,3,FALSE),[1]Employee!A:J,10,FALSE),"Not Specified")</f>
        <v>WA</v>
      </c>
      <c r="J727" t="str">
        <f>VLOOKUP(B727,[1]Product!A:B,2,FALSE)</f>
        <v>Product LYERX</v>
      </c>
      <c r="K727" t="str">
        <f>VLOOKUP(VLOOKUP(B727,[1]Product!A:D,4,FALSE),[1]Category!A:B,2,FALSE)</f>
        <v>Seafood</v>
      </c>
      <c r="L727" s="10">
        <f>IFERROR(VLOOKUP(A727,'[1]Sales Order'!A:D,4,FALSE),"")</f>
        <v>39202</v>
      </c>
      <c r="M727" s="10">
        <f>IFERROR(VLOOKUP(A727,'[1]Sales Order'!A:F,6,FALSE),"")</f>
        <v>39208</v>
      </c>
      <c r="N727" t="str">
        <f>IFERROR(VLOOKUP(VLOOKUP(A727,'[1]Sales Order'!A:G,7,FALSE),[1]Shipper!A:B,2,FALSE),"Not Specified")</f>
        <v>Shipper GVSUA</v>
      </c>
      <c r="O727" t="str">
        <f>IFERROR(VLOOKUP(A727,'[1]Sales Order'!A:I,9,FALSE),"Not Specified")</f>
        <v>Ship to 44-A</v>
      </c>
      <c r="P727" t="str">
        <f>IFERROR(VLOOKUP(A727,'[1]Sales Order'!A:N,14,FALSE),"Not Specified")</f>
        <v>Germany</v>
      </c>
      <c r="Q727" t="str">
        <f>VLOOKUP(VLOOKUP(B727,[1]Product!A:C,3,FALSE),[1]Supplier!A:B,2,FALSE)</f>
        <v>Supplier TEGSC</v>
      </c>
      <c r="R727" t="str">
        <f>VLOOKUP(VLOOKUP(B727,[1]Product!A:C,3,FALSE),[1]Supplier!A:I,9,FALSE)</f>
        <v>Germany</v>
      </c>
      <c r="S727" t="str">
        <f>IFERROR(IF(VLOOKUP(A727,'[1]Sales Order'!A:H,8,FALSE)&gt;100,"High Freight","Low Freight"),"Not Specified")</f>
        <v>Low Freight</v>
      </c>
      <c r="T727">
        <f t="shared" si="23"/>
        <v>414.24</v>
      </c>
    </row>
    <row r="728" spans="1:20">
      <c r="A728" s="1">
        <v>10522</v>
      </c>
      <c r="B728" s="2">
        <v>40</v>
      </c>
      <c r="C728" s="2">
        <v>18.399999999999999</v>
      </c>
      <c r="D728" s="2">
        <v>25</v>
      </c>
      <c r="E728" s="3">
        <v>0.2</v>
      </c>
      <c r="F728" s="2" t="str">
        <f>IFERROR(VLOOKUP(VLOOKUP(A728,'[1]Sales Order'!A:B,2,FALSE),[1]Customer!A:C,3,FALSE),"Not Specified")</f>
        <v>Louverdis, George</v>
      </c>
      <c r="G728" s="2" t="str">
        <f t="shared" si="22"/>
        <v>Louverdis George</v>
      </c>
      <c r="H728" s="8" t="str">
        <f>IFERROR(VLOOKUP(VLOOKUP(A728,'[1]Sales Order'!A:C,3,FALSE),[1]Employee!A:E,5,FALSE)&amp;" "&amp;VLOOKUP(VLOOKUP(A728,'[1]Sales Order'!A:C,3,FALSE),[1]Employee!A:C,3,FALSE)&amp;" "&amp;VLOOKUP(VLOOKUP(A728,'[1]Sales Order'!A:C,3,FALSE),[1]Employee!A:B,2,FALSE),"Not Specified")</f>
        <v>Mrs. Yael Peled</v>
      </c>
      <c r="I728" t="str">
        <f>IFERROR(VLOOKUP(VLOOKUP(A728,'[1]Sales Order'!A:C,3,FALSE),[1]Employee!A:J,10,FALSE),"Not Specified")</f>
        <v>WA</v>
      </c>
      <c r="J728" t="str">
        <f>VLOOKUP(B728,[1]Product!A:B,2,FALSE)</f>
        <v>Product YZIXQ</v>
      </c>
      <c r="K728" t="str">
        <f>VLOOKUP(VLOOKUP(B728,[1]Product!A:D,4,FALSE),[1]Category!A:B,2,FALSE)</f>
        <v>Seafood</v>
      </c>
      <c r="L728" s="10">
        <f>IFERROR(VLOOKUP(A728,'[1]Sales Order'!A:D,4,FALSE),"")</f>
        <v>39202</v>
      </c>
      <c r="M728" s="10">
        <f>IFERROR(VLOOKUP(A728,'[1]Sales Order'!A:F,6,FALSE),"")</f>
        <v>39208</v>
      </c>
      <c r="N728" t="str">
        <f>IFERROR(VLOOKUP(VLOOKUP(A728,'[1]Sales Order'!A:G,7,FALSE),[1]Shipper!A:B,2,FALSE),"Not Specified")</f>
        <v>Shipper GVSUA</v>
      </c>
      <c r="O728" t="str">
        <f>IFERROR(VLOOKUP(A728,'[1]Sales Order'!A:I,9,FALSE),"Not Specified")</f>
        <v>Ship to 44-A</v>
      </c>
      <c r="P728" t="str">
        <f>IFERROR(VLOOKUP(A728,'[1]Sales Order'!A:N,14,FALSE),"Not Specified")</f>
        <v>Germany</v>
      </c>
      <c r="Q728" t="str">
        <f>VLOOKUP(VLOOKUP(B728,[1]Product!A:C,3,FALSE),[1]Supplier!A:B,2,FALSE)</f>
        <v>Supplier JDNUG</v>
      </c>
      <c r="R728" t="str">
        <f>VLOOKUP(VLOOKUP(B728,[1]Product!A:C,3,FALSE),[1]Supplier!A:I,9,FALSE)</f>
        <v>USA</v>
      </c>
      <c r="S728" t="str">
        <f>IFERROR(IF(VLOOKUP(A728,'[1]Sales Order'!A:H,8,FALSE)&gt;100,"High Freight","Low Freight"),"Not Specified")</f>
        <v>Low Freight</v>
      </c>
      <c r="T728">
        <f t="shared" si="23"/>
        <v>368</v>
      </c>
    </row>
    <row r="729" spans="1:20">
      <c r="A729" s="1">
        <v>10523</v>
      </c>
      <c r="B729" s="2">
        <v>17</v>
      </c>
      <c r="C729" s="2">
        <v>39</v>
      </c>
      <c r="D729" s="2">
        <v>25</v>
      </c>
      <c r="E729" s="3">
        <v>0.1</v>
      </c>
      <c r="F729" s="2" t="str">
        <f>IFERROR(VLOOKUP(VLOOKUP(A729,'[1]Sales Order'!A:B,2,FALSE),[1]Customer!A:C,3,FALSE),"Not Specified")</f>
        <v>Welcker, Brian</v>
      </c>
      <c r="G729" s="2" t="str">
        <f t="shared" si="22"/>
        <v>Welcker Brian</v>
      </c>
      <c r="H729" s="8" t="str">
        <f>IFERROR(VLOOKUP(VLOOKUP(A729,'[1]Sales Order'!A:C,3,FALSE),[1]Employee!A:E,5,FALSE)&amp;" "&amp;VLOOKUP(VLOOKUP(A729,'[1]Sales Order'!A:C,3,FALSE),[1]Employee!A:C,3,FALSE)&amp;" "&amp;VLOOKUP(VLOOKUP(A729,'[1]Sales Order'!A:C,3,FALSE),[1]Employee!A:B,2,FALSE),"Not Specified")</f>
        <v>Mr. Russell King</v>
      </c>
      <c r="I729">
        <f>IFERROR(VLOOKUP(VLOOKUP(A729,'[1]Sales Order'!A:C,3,FALSE),[1]Employee!A:J,10,FALSE),"Not Specified")</f>
        <v>0</v>
      </c>
      <c r="J729" t="str">
        <f>VLOOKUP(B729,[1]Product!A:B,2,FALSE)</f>
        <v>Product BLCAX</v>
      </c>
      <c r="K729" t="str">
        <f>VLOOKUP(VLOOKUP(B729,[1]Product!A:D,4,FALSE),[1]Category!A:B,2,FALSE)</f>
        <v>Meat/Poultry</v>
      </c>
      <c r="L729" s="10">
        <f>IFERROR(VLOOKUP(A729,'[1]Sales Order'!A:D,4,FALSE),"")</f>
        <v>39203</v>
      </c>
      <c r="M729" s="10">
        <f>IFERROR(VLOOKUP(A729,'[1]Sales Order'!A:F,6,FALSE),"")</f>
        <v>39232</v>
      </c>
      <c r="N729" t="str">
        <f>IFERROR(VLOOKUP(VLOOKUP(A729,'[1]Sales Order'!A:G,7,FALSE),[1]Shipper!A:B,2,FALSE),"Not Specified")</f>
        <v>Shipper ETYNR</v>
      </c>
      <c r="O729" t="str">
        <f>IFERROR(VLOOKUP(A729,'[1]Sales Order'!A:I,9,FALSE),"Not Specified")</f>
        <v>Ship to 72-C</v>
      </c>
      <c r="P729" t="str">
        <f>IFERROR(VLOOKUP(A729,'[1]Sales Order'!A:N,14,FALSE),"Not Specified")</f>
        <v>UK</v>
      </c>
      <c r="Q729" t="str">
        <f>VLOOKUP(VLOOKUP(B729,[1]Product!A:C,3,FALSE),[1]Supplier!A:B,2,FALSE)</f>
        <v>Supplier GQRCV</v>
      </c>
      <c r="R729" t="str">
        <f>VLOOKUP(VLOOKUP(B729,[1]Product!A:C,3,FALSE),[1]Supplier!A:I,9,FALSE)</f>
        <v>Australia</v>
      </c>
      <c r="S729" t="str">
        <f>IFERROR(IF(VLOOKUP(A729,'[1]Sales Order'!A:H,8,FALSE)&gt;100,"High Freight","Low Freight"),"Not Specified")</f>
        <v>Low Freight</v>
      </c>
      <c r="T729">
        <f t="shared" si="23"/>
        <v>877.5</v>
      </c>
    </row>
    <row r="730" spans="1:20">
      <c r="A730" s="1">
        <v>10523</v>
      </c>
      <c r="B730" s="2">
        <v>20</v>
      </c>
      <c r="C730" s="2">
        <v>81</v>
      </c>
      <c r="D730" s="2">
        <v>15</v>
      </c>
      <c r="E730" s="3">
        <v>0.1</v>
      </c>
      <c r="F730" s="2" t="str">
        <f>IFERROR(VLOOKUP(VLOOKUP(A730,'[1]Sales Order'!A:B,2,FALSE),[1]Customer!A:C,3,FALSE),"Not Specified")</f>
        <v>Welcker, Brian</v>
      </c>
      <c r="G730" s="2" t="str">
        <f t="shared" si="22"/>
        <v>Welcker Brian</v>
      </c>
      <c r="H730" s="8" t="str">
        <f>IFERROR(VLOOKUP(VLOOKUP(A730,'[1]Sales Order'!A:C,3,FALSE),[1]Employee!A:E,5,FALSE)&amp;" "&amp;VLOOKUP(VLOOKUP(A730,'[1]Sales Order'!A:C,3,FALSE),[1]Employee!A:C,3,FALSE)&amp;" "&amp;VLOOKUP(VLOOKUP(A730,'[1]Sales Order'!A:C,3,FALSE),[1]Employee!A:B,2,FALSE),"Not Specified")</f>
        <v>Mr. Russell King</v>
      </c>
      <c r="I730">
        <f>IFERROR(VLOOKUP(VLOOKUP(A730,'[1]Sales Order'!A:C,3,FALSE),[1]Employee!A:J,10,FALSE),"Not Specified")</f>
        <v>0</v>
      </c>
      <c r="J730" t="str">
        <f>VLOOKUP(B730,[1]Product!A:B,2,FALSE)</f>
        <v>Product QHFFP</v>
      </c>
      <c r="K730" t="str">
        <f>VLOOKUP(VLOOKUP(B730,[1]Product!A:D,4,FALSE),[1]Category!A:B,2,FALSE)</f>
        <v>Confections</v>
      </c>
      <c r="L730" s="10">
        <f>IFERROR(VLOOKUP(A730,'[1]Sales Order'!A:D,4,FALSE),"")</f>
        <v>39203</v>
      </c>
      <c r="M730" s="10">
        <f>IFERROR(VLOOKUP(A730,'[1]Sales Order'!A:F,6,FALSE),"")</f>
        <v>39232</v>
      </c>
      <c r="N730" t="str">
        <f>IFERROR(VLOOKUP(VLOOKUP(A730,'[1]Sales Order'!A:G,7,FALSE),[1]Shipper!A:B,2,FALSE),"Not Specified")</f>
        <v>Shipper ETYNR</v>
      </c>
      <c r="O730" t="str">
        <f>IFERROR(VLOOKUP(A730,'[1]Sales Order'!A:I,9,FALSE),"Not Specified")</f>
        <v>Ship to 72-C</v>
      </c>
      <c r="P730" t="str">
        <f>IFERROR(VLOOKUP(A730,'[1]Sales Order'!A:N,14,FALSE),"Not Specified")</f>
        <v>UK</v>
      </c>
      <c r="Q730" t="str">
        <f>VLOOKUP(VLOOKUP(B730,[1]Product!A:C,3,FALSE),[1]Supplier!A:B,2,FALSE)</f>
        <v>Supplier BWGYE</v>
      </c>
      <c r="R730" t="str">
        <f>VLOOKUP(VLOOKUP(B730,[1]Product!A:C,3,FALSE),[1]Supplier!A:I,9,FALSE)</f>
        <v>UK</v>
      </c>
      <c r="S730" t="str">
        <f>IFERROR(IF(VLOOKUP(A730,'[1]Sales Order'!A:H,8,FALSE)&gt;100,"High Freight","Low Freight"),"Not Specified")</f>
        <v>Low Freight</v>
      </c>
      <c r="T730">
        <f t="shared" si="23"/>
        <v>1093.5</v>
      </c>
    </row>
    <row r="731" spans="1:20">
      <c r="A731" s="1">
        <v>10523</v>
      </c>
      <c r="B731" s="2">
        <v>37</v>
      </c>
      <c r="C731" s="2">
        <v>26</v>
      </c>
      <c r="D731" s="2">
        <v>18</v>
      </c>
      <c r="E731" s="3">
        <v>0.1</v>
      </c>
      <c r="F731" s="2" t="str">
        <f>IFERROR(VLOOKUP(VLOOKUP(A731,'[1]Sales Order'!A:B,2,FALSE),[1]Customer!A:C,3,FALSE),"Not Specified")</f>
        <v>Welcker, Brian</v>
      </c>
      <c r="G731" s="2" t="str">
        <f t="shared" si="22"/>
        <v>Welcker Brian</v>
      </c>
      <c r="H731" s="8" t="str">
        <f>IFERROR(VLOOKUP(VLOOKUP(A731,'[1]Sales Order'!A:C,3,FALSE),[1]Employee!A:E,5,FALSE)&amp;" "&amp;VLOOKUP(VLOOKUP(A731,'[1]Sales Order'!A:C,3,FALSE),[1]Employee!A:C,3,FALSE)&amp;" "&amp;VLOOKUP(VLOOKUP(A731,'[1]Sales Order'!A:C,3,FALSE),[1]Employee!A:B,2,FALSE),"Not Specified")</f>
        <v>Mr. Russell King</v>
      </c>
      <c r="I731">
        <f>IFERROR(VLOOKUP(VLOOKUP(A731,'[1]Sales Order'!A:C,3,FALSE),[1]Employee!A:J,10,FALSE),"Not Specified")</f>
        <v>0</v>
      </c>
      <c r="J731" t="str">
        <f>VLOOKUP(B731,[1]Product!A:B,2,FALSE)</f>
        <v>Product EVFFA</v>
      </c>
      <c r="K731" t="str">
        <f>VLOOKUP(VLOOKUP(B731,[1]Product!A:D,4,FALSE),[1]Category!A:B,2,FALSE)</f>
        <v>Seafood</v>
      </c>
      <c r="L731" s="10">
        <f>IFERROR(VLOOKUP(A731,'[1]Sales Order'!A:D,4,FALSE),"")</f>
        <v>39203</v>
      </c>
      <c r="M731" s="10">
        <f>IFERROR(VLOOKUP(A731,'[1]Sales Order'!A:F,6,FALSE),"")</f>
        <v>39232</v>
      </c>
      <c r="N731" t="str">
        <f>IFERROR(VLOOKUP(VLOOKUP(A731,'[1]Sales Order'!A:G,7,FALSE),[1]Shipper!A:B,2,FALSE),"Not Specified")</f>
        <v>Shipper ETYNR</v>
      </c>
      <c r="O731" t="str">
        <f>IFERROR(VLOOKUP(A731,'[1]Sales Order'!A:I,9,FALSE),"Not Specified")</f>
        <v>Ship to 72-C</v>
      </c>
      <c r="P731" t="str">
        <f>IFERROR(VLOOKUP(A731,'[1]Sales Order'!A:N,14,FALSE),"Not Specified")</f>
        <v>UK</v>
      </c>
      <c r="Q731" t="str">
        <f>VLOOKUP(VLOOKUP(B731,[1]Product!A:C,3,FALSE),[1]Supplier!A:B,2,FALSE)</f>
        <v>Supplier QZGUF</v>
      </c>
      <c r="R731" t="str">
        <f>VLOOKUP(VLOOKUP(B731,[1]Product!A:C,3,FALSE),[1]Supplier!A:I,9,FALSE)</f>
        <v>Sweden</v>
      </c>
      <c r="S731" t="str">
        <f>IFERROR(IF(VLOOKUP(A731,'[1]Sales Order'!A:H,8,FALSE)&gt;100,"High Freight","Low Freight"),"Not Specified")</f>
        <v>Low Freight</v>
      </c>
      <c r="T731">
        <f t="shared" si="23"/>
        <v>421.2</v>
      </c>
    </row>
    <row r="732" spans="1:20">
      <c r="A732" s="1">
        <v>10523</v>
      </c>
      <c r="B732" s="2">
        <v>41</v>
      </c>
      <c r="C732" s="2">
        <v>9.65</v>
      </c>
      <c r="D732" s="2">
        <v>6</v>
      </c>
      <c r="E732" s="3">
        <v>0.1</v>
      </c>
      <c r="F732" s="2" t="str">
        <f>IFERROR(VLOOKUP(VLOOKUP(A732,'[1]Sales Order'!A:B,2,FALSE),[1]Customer!A:C,3,FALSE),"Not Specified")</f>
        <v>Welcker, Brian</v>
      </c>
      <c r="G732" s="2" t="str">
        <f t="shared" si="22"/>
        <v>Welcker Brian</v>
      </c>
      <c r="H732" s="8" t="str">
        <f>IFERROR(VLOOKUP(VLOOKUP(A732,'[1]Sales Order'!A:C,3,FALSE),[1]Employee!A:E,5,FALSE)&amp;" "&amp;VLOOKUP(VLOOKUP(A732,'[1]Sales Order'!A:C,3,FALSE),[1]Employee!A:C,3,FALSE)&amp;" "&amp;VLOOKUP(VLOOKUP(A732,'[1]Sales Order'!A:C,3,FALSE),[1]Employee!A:B,2,FALSE),"Not Specified")</f>
        <v>Mr. Russell King</v>
      </c>
      <c r="I732">
        <f>IFERROR(VLOOKUP(VLOOKUP(A732,'[1]Sales Order'!A:C,3,FALSE),[1]Employee!A:J,10,FALSE),"Not Specified")</f>
        <v>0</v>
      </c>
      <c r="J732" t="str">
        <f>VLOOKUP(B732,[1]Product!A:B,2,FALSE)</f>
        <v>Product TTEEX</v>
      </c>
      <c r="K732" t="str">
        <f>VLOOKUP(VLOOKUP(B732,[1]Product!A:D,4,FALSE),[1]Category!A:B,2,FALSE)</f>
        <v>Seafood</v>
      </c>
      <c r="L732" s="10">
        <f>IFERROR(VLOOKUP(A732,'[1]Sales Order'!A:D,4,FALSE),"")</f>
        <v>39203</v>
      </c>
      <c r="M732" s="10">
        <f>IFERROR(VLOOKUP(A732,'[1]Sales Order'!A:F,6,FALSE),"")</f>
        <v>39232</v>
      </c>
      <c r="N732" t="str">
        <f>IFERROR(VLOOKUP(VLOOKUP(A732,'[1]Sales Order'!A:G,7,FALSE),[1]Shipper!A:B,2,FALSE),"Not Specified")</f>
        <v>Shipper ETYNR</v>
      </c>
      <c r="O732" t="str">
        <f>IFERROR(VLOOKUP(A732,'[1]Sales Order'!A:I,9,FALSE),"Not Specified")</f>
        <v>Ship to 72-C</v>
      </c>
      <c r="P732" t="str">
        <f>IFERROR(VLOOKUP(A732,'[1]Sales Order'!A:N,14,FALSE),"Not Specified")</f>
        <v>UK</v>
      </c>
      <c r="Q732" t="str">
        <f>VLOOKUP(VLOOKUP(B732,[1]Product!A:C,3,FALSE),[1]Supplier!A:B,2,FALSE)</f>
        <v>Supplier JDNUG</v>
      </c>
      <c r="R732" t="str">
        <f>VLOOKUP(VLOOKUP(B732,[1]Product!A:C,3,FALSE),[1]Supplier!A:I,9,FALSE)</f>
        <v>USA</v>
      </c>
      <c r="S732" t="str">
        <f>IFERROR(IF(VLOOKUP(A732,'[1]Sales Order'!A:H,8,FALSE)&gt;100,"High Freight","Low Freight"),"Not Specified")</f>
        <v>Low Freight</v>
      </c>
      <c r="T732">
        <f t="shared" si="23"/>
        <v>52.110000000000007</v>
      </c>
    </row>
    <row r="733" spans="1:20">
      <c r="A733" s="1">
        <v>10524</v>
      </c>
      <c r="B733" s="2">
        <v>10</v>
      </c>
      <c r="C733" s="2">
        <v>31</v>
      </c>
      <c r="D733" s="2">
        <v>2</v>
      </c>
      <c r="E733" s="3">
        <v>0</v>
      </c>
      <c r="F733" s="2" t="str">
        <f>IFERROR(VLOOKUP(VLOOKUP(A733,'[1]Sales Order'!A:B,2,FALSE),[1]Customer!A:C,3,FALSE),"Not Specified")</f>
        <v>Higginbotham, Tom</v>
      </c>
      <c r="G733" s="2" t="str">
        <f t="shared" si="22"/>
        <v>Higginbotham Tom</v>
      </c>
      <c r="H733" s="8" t="str">
        <f>IFERROR(VLOOKUP(VLOOKUP(A733,'[1]Sales Order'!A:C,3,FALSE),[1]Employee!A:E,5,FALSE)&amp;" "&amp;VLOOKUP(VLOOKUP(A733,'[1]Sales Order'!A:C,3,FALSE),[1]Employee!A:C,3,FALSE)&amp;" "&amp;VLOOKUP(VLOOKUP(A733,'[1]Sales Order'!A:C,3,FALSE),[1]Employee!A:B,2,FALSE),"Not Specified")</f>
        <v>Ms. Sara Davis</v>
      </c>
      <c r="I733" t="str">
        <f>IFERROR(VLOOKUP(VLOOKUP(A733,'[1]Sales Order'!A:C,3,FALSE),[1]Employee!A:J,10,FALSE),"Not Specified")</f>
        <v>WA</v>
      </c>
      <c r="J733" t="str">
        <f>VLOOKUP(B733,[1]Product!A:B,2,FALSE)</f>
        <v>Product YHXGE</v>
      </c>
      <c r="K733" t="str">
        <f>VLOOKUP(VLOOKUP(B733,[1]Product!A:D,4,FALSE),[1]Category!A:B,2,FALSE)</f>
        <v>Seafood</v>
      </c>
      <c r="L733" s="10">
        <f>IFERROR(VLOOKUP(A733,'[1]Sales Order'!A:D,4,FALSE),"")</f>
        <v>39203</v>
      </c>
      <c r="M733" s="10">
        <f>IFERROR(VLOOKUP(A733,'[1]Sales Order'!A:F,6,FALSE),"")</f>
        <v>39209</v>
      </c>
      <c r="N733" t="str">
        <f>IFERROR(VLOOKUP(VLOOKUP(A733,'[1]Sales Order'!A:G,7,FALSE),[1]Shipper!A:B,2,FALSE),"Not Specified")</f>
        <v>Shipper ETYNR</v>
      </c>
      <c r="O733" t="str">
        <f>IFERROR(VLOOKUP(A733,'[1]Sales Order'!A:I,9,FALSE),"Not Specified")</f>
        <v>Ship to 5-A</v>
      </c>
      <c r="P733" t="str">
        <f>IFERROR(VLOOKUP(A733,'[1]Sales Order'!A:N,14,FALSE),"Not Specified")</f>
        <v>Sweden</v>
      </c>
      <c r="Q733" t="str">
        <f>VLOOKUP(VLOOKUP(B733,[1]Product!A:C,3,FALSE),[1]Supplier!A:B,2,FALSE)</f>
        <v>Supplier QOVFD</v>
      </c>
      <c r="R733" t="str">
        <f>VLOOKUP(VLOOKUP(B733,[1]Product!A:C,3,FALSE),[1]Supplier!A:I,9,FALSE)</f>
        <v>Japan</v>
      </c>
      <c r="S733" t="str">
        <f>IFERROR(IF(VLOOKUP(A733,'[1]Sales Order'!A:H,8,FALSE)&gt;100,"High Freight","Low Freight"),"Not Specified")</f>
        <v>High Freight</v>
      </c>
      <c r="T733">
        <f t="shared" si="23"/>
        <v>62</v>
      </c>
    </row>
    <row r="734" spans="1:20">
      <c r="A734" s="1">
        <v>10524</v>
      </c>
      <c r="B734" s="2">
        <v>30</v>
      </c>
      <c r="C734" s="2">
        <v>25.89</v>
      </c>
      <c r="D734" s="2">
        <v>10</v>
      </c>
      <c r="E734" s="3">
        <v>0</v>
      </c>
      <c r="F734" s="2" t="str">
        <f>IFERROR(VLOOKUP(VLOOKUP(A734,'[1]Sales Order'!A:B,2,FALSE),[1]Customer!A:C,3,FALSE),"Not Specified")</f>
        <v>Higginbotham, Tom</v>
      </c>
      <c r="G734" s="2" t="str">
        <f t="shared" si="22"/>
        <v>Higginbotham Tom</v>
      </c>
      <c r="H734" s="8" t="str">
        <f>IFERROR(VLOOKUP(VLOOKUP(A734,'[1]Sales Order'!A:C,3,FALSE),[1]Employee!A:E,5,FALSE)&amp;" "&amp;VLOOKUP(VLOOKUP(A734,'[1]Sales Order'!A:C,3,FALSE),[1]Employee!A:C,3,FALSE)&amp;" "&amp;VLOOKUP(VLOOKUP(A734,'[1]Sales Order'!A:C,3,FALSE),[1]Employee!A:B,2,FALSE),"Not Specified")</f>
        <v>Ms. Sara Davis</v>
      </c>
      <c r="I734" t="str">
        <f>IFERROR(VLOOKUP(VLOOKUP(A734,'[1]Sales Order'!A:C,3,FALSE),[1]Employee!A:J,10,FALSE),"Not Specified")</f>
        <v>WA</v>
      </c>
      <c r="J734" t="str">
        <f>VLOOKUP(B734,[1]Product!A:B,2,FALSE)</f>
        <v>Product LYERX</v>
      </c>
      <c r="K734" t="str">
        <f>VLOOKUP(VLOOKUP(B734,[1]Product!A:D,4,FALSE),[1]Category!A:B,2,FALSE)</f>
        <v>Seafood</v>
      </c>
      <c r="L734" s="10">
        <f>IFERROR(VLOOKUP(A734,'[1]Sales Order'!A:D,4,FALSE),"")</f>
        <v>39203</v>
      </c>
      <c r="M734" s="10">
        <f>IFERROR(VLOOKUP(A734,'[1]Sales Order'!A:F,6,FALSE),"")</f>
        <v>39209</v>
      </c>
      <c r="N734" t="str">
        <f>IFERROR(VLOOKUP(VLOOKUP(A734,'[1]Sales Order'!A:G,7,FALSE),[1]Shipper!A:B,2,FALSE),"Not Specified")</f>
        <v>Shipper ETYNR</v>
      </c>
      <c r="O734" t="str">
        <f>IFERROR(VLOOKUP(A734,'[1]Sales Order'!A:I,9,FALSE),"Not Specified")</f>
        <v>Ship to 5-A</v>
      </c>
      <c r="P734" t="str">
        <f>IFERROR(VLOOKUP(A734,'[1]Sales Order'!A:N,14,FALSE),"Not Specified")</f>
        <v>Sweden</v>
      </c>
      <c r="Q734" t="str">
        <f>VLOOKUP(VLOOKUP(B734,[1]Product!A:C,3,FALSE),[1]Supplier!A:B,2,FALSE)</f>
        <v>Supplier TEGSC</v>
      </c>
      <c r="R734" t="str">
        <f>VLOOKUP(VLOOKUP(B734,[1]Product!A:C,3,FALSE),[1]Supplier!A:I,9,FALSE)</f>
        <v>Germany</v>
      </c>
      <c r="S734" t="str">
        <f>IFERROR(IF(VLOOKUP(A734,'[1]Sales Order'!A:H,8,FALSE)&gt;100,"High Freight","Low Freight"),"Not Specified")</f>
        <v>High Freight</v>
      </c>
      <c r="T734">
        <f t="shared" si="23"/>
        <v>258.89999999999998</v>
      </c>
    </row>
    <row r="735" spans="1:20">
      <c r="A735" s="1">
        <v>10524</v>
      </c>
      <c r="B735" s="2">
        <v>43</v>
      </c>
      <c r="C735" s="2">
        <v>46</v>
      </c>
      <c r="D735" s="2">
        <v>60</v>
      </c>
      <c r="E735" s="3">
        <v>0</v>
      </c>
      <c r="F735" s="2" t="str">
        <f>IFERROR(VLOOKUP(VLOOKUP(A735,'[1]Sales Order'!A:B,2,FALSE),[1]Customer!A:C,3,FALSE),"Not Specified")</f>
        <v>Higginbotham, Tom</v>
      </c>
      <c r="G735" s="2" t="str">
        <f t="shared" si="22"/>
        <v>Higginbotham Tom</v>
      </c>
      <c r="H735" s="8" t="str">
        <f>IFERROR(VLOOKUP(VLOOKUP(A735,'[1]Sales Order'!A:C,3,FALSE),[1]Employee!A:E,5,FALSE)&amp;" "&amp;VLOOKUP(VLOOKUP(A735,'[1]Sales Order'!A:C,3,FALSE),[1]Employee!A:C,3,FALSE)&amp;" "&amp;VLOOKUP(VLOOKUP(A735,'[1]Sales Order'!A:C,3,FALSE),[1]Employee!A:B,2,FALSE),"Not Specified")</f>
        <v>Ms. Sara Davis</v>
      </c>
      <c r="I735" t="str">
        <f>IFERROR(VLOOKUP(VLOOKUP(A735,'[1]Sales Order'!A:C,3,FALSE),[1]Employee!A:J,10,FALSE),"Not Specified")</f>
        <v>WA</v>
      </c>
      <c r="J735" t="str">
        <f>VLOOKUP(B735,[1]Product!A:B,2,FALSE)</f>
        <v>Product ZZZHR</v>
      </c>
      <c r="K735" t="str">
        <f>VLOOKUP(VLOOKUP(B735,[1]Product!A:D,4,FALSE),[1]Category!A:B,2,FALSE)</f>
        <v>Beverages</v>
      </c>
      <c r="L735" s="10">
        <f>IFERROR(VLOOKUP(A735,'[1]Sales Order'!A:D,4,FALSE),"")</f>
        <v>39203</v>
      </c>
      <c r="M735" s="10">
        <f>IFERROR(VLOOKUP(A735,'[1]Sales Order'!A:F,6,FALSE),"")</f>
        <v>39209</v>
      </c>
      <c r="N735" t="str">
        <f>IFERROR(VLOOKUP(VLOOKUP(A735,'[1]Sales Order'!A:G,7,FALSE),[1]Shipper!A:B,2,FALSE),"Not Specified")</f>
        <v>Shipper ETYNR</v>
      </c>
      <c r="O735" t="str">
        <f>IFERROR(VLOOKUP(A735,'[1]Sales Order'!A:I,9,FALSE),"Not Specified")</f>
        <v>Ship to 5-A</v>
      </c>
      <c r="P735" t="str">
        <f>IFERROR(VLOOKUP(A735,'[1]Sales Order'!A:N,14,FALSE),"Not Specified")</f>
        <v>Sweden</v>
      </c>
      <c r="Q735" t="str">
        <f>VLOOKUP(VLOOKUP(B735,[1]Product!A:C,3,FALSE),[1]Supplier!A:B,2,FALSE)</f>
        <v>Supplier CIYNM</v>
      </c>
      <c r="R735" t="str">
        <f>VLOOKUP(VLOOKUP(B735,[1]Product!A:C,3,FALSE),[1]Supplier!A:I,9,FALSE)</f>
        <v>Singapore</v>
      </c>
      <c r="S735" t="str">
        <f>IFERROR(IF(VLOOKUP(A735,'[1]Sales Order'!A:H,8,FALSE)&gt;100,"High Freight","Low Freight"),"Not Specified")</f>
        <v>High Freight</v>
      </c>
      <c r="T735">
        <f t="shared" si="23"/>
        <v>2760</v>
      </c>
    </row>
    <row r="736" spans="1:20">
      <c r="A736" s="1">
        <v>10524</v>
      </c>
      <c r="B736" s="2">
        <v>54</v>
      </c>
      <c r="C736" s="2">
        <v>7.45</v>
      </c>
      <c r="D736" s="2">
        <v>15</v>
      </c>
      <c r="E736" s="3">
        <v>0</v>
      </c>
      <c r="F736" s="2" t="str">
        <f>IFERROR(VLOOKUP(VLOOKUP(A736,'[1]Sales Order'!A:B,2,FALSE),[1]Customer!A:C,3,FALSE),"Not Specified")</f>
        <v>Higginbotham, Tom</v>
      </c>
      <c r="G736" s="2" t="str">
        <f t="shared" si="22"/>
        <v>Higginbotham Tom</v>
      </c>
      <c r="H736" s="8" t="str">
        <f>IFERROR(VLOOKUP(VLOOKUP(A736,'[1]Sales Order'!A:C,3,FALSE),[1]Employee!A:E,5,FALSE)&amp;" "&amp;VLOOKUP(VLOOKUP(A736,'[1]Sales Order'!A:C,3,FALSE),[1]Employee!A:C,3,FALSE)&amp;" "&amp;VLOOKUP(VLOOKUP(A736,'[1]Sales Order'!A:C,3,FALSE),[1]Employee!A:B,2,FALSE),"Not Specified")</f>
        <v>Ms. Sara Davis</v>
      </c>
      <c r="I736" t="str">
        <f>IFERROR(VLOOKUP(VLOOKUP(A736,'[1]Sales Order'!A:C,3,FALSE),[1]Employee!A:J,10,FALSE),"Not Specified")</f>
        <v>WA</v>
      </c>
      <c r="J736" t="str">
        <f>VLOOKUP(B736,[1]Product!A:B,2,FALSE)</f>
        <v>Product QAQRL</v>
      </c>
      <c r="K736" t="str">
        <f>VLOOKUP(VLOOKUP(B736,[1]Product!A:D,4,FALSE),[1]Category!A:B,2,FALSE)</f>
        <v>Meat/Poultry</v>
      </c>
      <c r="L736" s="10">
        <f>IFERROR(VLOOKUP(A736,'[1]Sales Order'!A:D,4,FALSE),"")</f>
        <v>39203</v>
      </c>
      <c r="M736" s="10">
        <f>IFERROR(VLOOKUP(A736,'[1]Sales Order'!A:F,6,FALSE),"")</f>
        <v>39209</v>
      </c>
      <c r="N736" t="str">
        <f>IFERROR(VLOOKUP(VLOOKUP(A736,'[1]Sales Order'!A:G,7,FALSE),[1]Shipper!A:B,2,FALSE),"Not Specified")</f>
        <v>Shipper ETYNR</v>
      </c>
      <c r="O736" t="str">
        <f>IFERROR(VLOOKUP(A736,'[1]Sales Order'!A:I,9,FALSE),"Not Specified")</f>
        <v>Ship to 5-A</v>
      </c>
      <c r="P736" t="str">
        <f>IFERROR(VLOOKUP(A736,'[1]Sales Order'!A:N,14,FALSE),"Not Specified")</f>
        <v>Sweden</v>
      </c>
      <c r="Q736" t="str">
        <f>VLOOKUP(VLOOKUP(B736,[1]Product!A:C,3,FALSE),[1]Supplier!A:B,2,FALSE)</f>
        <v>Supplier ERVYZ</v>
      </c>
      <c r="R736" t="str">
        <f>VLOOKUP(VLOOKUP(B736,[1]Product!A:C,3,FALSE),[1]Supplier!A:I,9,FALSE)</f>
        <v>Canada</v>
      </c>
      <c r="S736" t="str">
        <f>IFERROR(IF(VLOOKUP(A736,'[1]Sales Order'!A:H,8,FALSE)&gt;100,"High Freight","Low Freight"),"Not Specified")</f>
        <v>High Freight</v>
      </c>
      <c r="T736">
        <f t="shared" si="23"/>
        <v>111.75</v>
      </c>
    </row>
    <row r="737" spans="1:20">
      <c r="A737" s="1">
        <v>10525</v>
      </c>
      <c r="B737" s="2">
        <v>36</v>
      </c>
      <c r="C737" s="2">
        <v>19</v>
      </c>
      <c r="D737" s="2">
        <v>30</v>
      </c>
      <c r="E737" s="3">
        <v>0</v>
      </c>
      <c r="F737" s="2" t="str">
        <f>IFERROR(VLOOKUP(VLOOKUP(A737,'[1]Sales Order'!A:B,2,FALSE),[1]Customer!A:C,3,FALSE),"Not Specified")</f>
        <v>Raghav, Amritansh</v>
      </c>
      <c r="G737" s="2" t="str">
        <f t="shared" si="22"/>
        <v>Raghav Amritansh</v>
      </c>
      <c r="H737" s="8" t="str">
        <f>IFERROR(VLOOKUP(VLOOKUP(A737,'[1]Sales Order'!A:C,3,FALSE),[1]Employee!A:E,5,FALSE)&amp;" "&amp;VLOOKUP(VLOOKUP(A737,'[1]Sales Order'!A:C,3,FALSE),[1]Employee!A:C,3,FALSE)&amp;" "&amp;VLOOKUP(VLOOKUP(A737,'[1]Sales Order'!A:C,3,FALSE),[1]Employee!A:B,2,FALSE),"Not Specified")</f>
        <v>Ms. Sara Davis</v>
      </c>
      <c r="I737" t="str">
        <f>IFERROR(VLOOKUP(VLOOKUP(A737,'[1]Sales Order'!A:C,3,FALSE),[1]Employee!A:J,10,FALSE),"Not Specified")</f>
        <v>WA</v>
      </c>
      <c r="J737" t="str">
        <f>VLOOKUP(B737,[1]Product!A:B,2,FALSE)</f>
        <v>Product GMKIJ</v>
      </c>
      <c r="K737" t="str">
        <f>VLOOKUP(VLOOKUP(B737,[1]Product!A:D,4,FALSE),[1]Category!A:B,2,FALSE)</f>
        <v>Seafood</v>
      </c>
      <c r="L737" s="10">
        <f>IFERROR(VLOOKUP(A737,'[1]Sales Order'!A:D,4,FALSE),"")</f>
        <v>39204</v>
      </c>
      <c r="M737" s="10">
        <f>IFERROR(VLOOKUP(A737,'[1]Sales Order'!A:F,6,FALSE),"")</f>
        <v>39225</v>
      </c>
      <c r="N737" t="str">
        <f>IFERROR(VLOOKUP(VLOOKUP(A737,'[1]Sales Order'!A:G,7,FALSE),[1]Shipper!A:B,2,FALSE),"Not Specified")</f>
        <v>Shipper ETYNR</v>
      </c>
      <c r="O737" t="str">
        <f>IFERROR(VLOOKUP(A737,'[1]Sales Order'!A:I,9,FALSE),"Not Specified")</f>
        <v>Ship to 9-B</v>
      </c>
      <c r="P737" t="str">
        <f>IFERROR(VLOOKUP(A737,'[1]Sales Order'!A:N,14,FALSE),"Not Specified")</f>
        <v>France</v>
      </c>
      <c r="Q737" t="str">
        <f>VLOOKUP(VLOOKUP(B737,[1]Product!A:C,3,FALSE),[1]Supplier!A:B,2,FALSE)</f>
        <v>Supplier QZGUF</v>
      </c>
      <c r="R737" t="str">
        <f>VLOOKUP(VLOOKUP(B737,[1]Product!A:C,3,FALSE),[1]Supplier!A:I,9,FALSE)</f>
        <v>Sweden</v>
      </c>
      <c r="S737" t="str">
        <f>IFERROR(IF(VLOOKUP(A737,'[1]Sales Order'!A:H,8,FALSE)&gt;100,"High Freight","Low Freight"),"Not Specified")</f>
        <v>Low Freight</v>
      </c>
      <c r="T737">
        <f t="shared" si="23"/>
        <v>570</v>
      </c>
    </row>
    <row r="738" spans="1:20">
      <c r="A738" s="1">
        <v>10525</v>
      </c>
      <c r="B738" s="2">
        <v>40</v>
      </c>
      <c r="C738" s="2">
        <v>18.399999999999999</v>
      </c>
      <c r="D738" s="2">
        <v>15</v>
      </c>
      <c r="E738" s="3">
        <v>0.1</v>
      </c>
      <c r="F738" s="2" t="str">
        <f>IFERROR(VLOOKUP(VLOOKUP(A738,'[1]Sales Order'!A:B,2,FALSE),[1]Customer!A:C,3,FALSE),"Not Specified")</f>
        <v>Raghav, Amritansh</v>
      </c>
      <c r="G738" s="2" t="str">
        <f t="shared" si="22"/>
        <v>Raghav Amritansh</v>
      </c>
      <c r="H738" s="8" t="str">
        <f>IFERROR(VLOOKUP(VLOOKUP(A738,'[1]Sales Order'!A:C,3,FALSE),[1]Employee!A:E,5,FALSE)&amp;" "&amp;VLOOKUP(VLOOKUP(A738,'[1]Sales Order'!A:C,3,FALSE),[1]Employee!A:C,3,FALSE)&amp;" "&amp;VLOOKUP(VLOOKUP(A738,'[1]Sales Order'!A:C,3,FALSE),[1]Employee!A:B,2,FALSE),"Not Specified")</f>
        <v>Ms. Sara Davis</v>
      </c>
      <c r="I738" t="str">
        <f>IFERROR(VLOOKUP(VLOOKUP(A738,'[1]Sales Order'!A:C,3,FALSE),[1]Employee!A:J,10,FALSE),"Not Specified")</f>
        <v>WA</v>
      </c>
      <c r="J738" t="str">
        <f>VLOOKUP(B738,[1]Product!A:B,2,FALSE)</f>
        <v>Product YZIXQ</v>
      </c>
      <c r="K738" t="str">
        <f>VLOOKUP(VLOOKUP(B738,[1]Product!A:D,4,FALSE),[1]Category!A:B,2,FALSE)</f>
        <v>Seafood</v>
      </c>
      <c r="L738" s="10">
        <f>IFERROR(VLOOKUP(A738,'[1]Sales Order'!A:D,4,FALSE),"")</f>
        <v>39204</v>
      </c>
      <c r="M738" s="10">
        <f>IFERROR(VLOOKUP(A738,'[1]Sales Order'!A:F,6,FALSE),"")</f>
        <v>39225</v>
      </c>
      <c r="N738" t="str">
        <f>IFERROR(VLOOKUP(VLOOKUP(A738,'[1]Sales Order'!A:G,7,FALSE),[1]Shipper!A:B,2,FALSE),"Not Specified")</f>
        <v>Shipper ETYNR</v>
      </c>
      <c r="O738" t="str">
        <f>IFERROR(VLOOKUP(A738,'[1]Sales Order'!A:I,9,FALSE),"Not Specified")</f>
        <v>Ship to 9-B</v>
      </c>
      <c r="P738" t="str">
        <f>IFERROR(VLOOKUP(A738,'[1]Sales Order'!A:N,14,FALSE),"Not Specified")</f>
        <v>France</v>
      </c>
      <c r="Q738" t="str">
        <f>VLOOKUP(VLOOKUP(B738,[1]Product!A:C,3,FALSE),[1]Supplier!A:B,2,FALSE)</f>
        <v>Supplier JDNUG</v>
      </c>
      <c r="R738" t="str">
        <f>VLOOKUP(VLOOKUP(B738,[1]Product!A:C,3,FALSE),[1]Supplier!A:I,9,FALSE)</f>
        <v>USA</v>
      </c>
      <c r="S738" t="str">
        <f>IFERROR(IF(VLOOKUP(A738,'[1]Sales Order'!A:H,8,FALSE)&gt;100,"High Freight","Low Freight"),"Not Specified")</f>
        <v>Low Freight</v>
      </c>
      <c r="T738">
        <f t="shared" si="23"/>
        <v>248.4</v>
      </c>
    </row>
    <row r="739" spans="1:20">
      <c r="A739" s="1">
        <v>10526</v>
      </c>
      <c r="B739" s="2">
        <v>1</v>
      </c>
      <c r="C739" s="2">
        <v>18</v>
      </c>
      <c r="D739" s="2">
        <v>8</v>
      </c>
      <c r="E739" s="3">
        <v>0.15</v>
      </c>
      <c r="F739" s="2" t="str">
        <f>IFERROR(VLOOKUP(VLOOKUP(A739,'[1]Sales Order'!A:B,2,FALSE),[1]Customer!A:C,3,FALSE),"Not Specified")</f>
        <v>Ludwig, Michael</v>
      </c>
      <c r="G739" s="2" t="str">
        <f t="shared" si="22"/>
        <v>Ludwig Michael</v>
      </c>
      <c r="H739" s="8" t="str">
        <f>IFERROR(VLOOKUP(VLOOKUP(A739,'[1]Sales Order'!A:C,3,FALSE),[1]Employee!A:E,5,FALSE)&amp;" "&amp;VLOOKUP(VLOOKUP(A739,'[1]Sales Order'!A:C,3,FALSE),[1]Employee!A:C,3,FALSE)&amp;" "&amp;VLOOKUP(VLOOKUP(A739,'[1]Sales Order'!A:C,3,FALSE),[1]Employee!A:B,2,FALSE),"Not Specified")</f>
        <v>Mrs. Yael Peled</v>
      </c>
      <c r="I739" t="str">
        <f>IFERROR(VLOOKUP(VLOOKUP(A739,'[1]Sales Order'!A:C,3,FALSE),[1]Employee!A:J,10,FALSE),"Not Specified")</f>
        <v>WA</v>
      </c>
      <c r="J739" t="str">
        <f>VLOOKUP(B739,[1]Product!A:B,2,FALSE)</f>
        <v>Product HHYDP</v>
      </c>
      <c r="K739" t="str">
        <f>VLOOKUP(VLOOKUP(B739,[1]Product!A:D,4,FALSE),[1]Category!A:B,2,FALSE)</f>
        <v>Beverages</v>
      </c>
      <c r="L739" s="10">
        <f>IFERROR(VLOOKUP(A739,'[1]Sales Order'!A:D,4,FALSE),"")</f>
        <v>39207</v>
      </c>
      <c r="M739" s="10">
        <f>IFERROR(VLOOKUP(A739,'[1]Sales Order'!A:F,6,FALSE),"")</f>
        <v>39217</v>
      </c>
      <c r="N739" t="str">
        <f>IFERROR(VLOOKUP(VLOOKUP(A739,'[1]Sales Order'!A:G,7,FALSE),[1]Shipper!A:B,2,FALSE),"Not Specified")</f>
        <v>Shipper ETYNR</v>
      </c>
      <c r="O739" t="str">
        <f>IFERROR(VLOOKUP(A739,'[1]Sales Order'!A:I,9,FALSE),"Not Specified")</f>
        <v>Ship to 87-C</v>
      </c>
      <c r="P739" t="str">
        <f>IFERROR(VLOOKUP(A739,'[1]Sales Order'!A:N,14,FALSE),"Not Specified")</f>
        <v>Finland</v>
      </c>
      <c r="Q739" t="str">
        <f>VLOOKUP(VLOOKUP(B739,[1]Product!A:C,3,FALSE),[1]Supplier!A:B,2,FALSE)</f>
        <v>Supplier SWRXU</v>
      </c>
      <c r="R739" t="str">
        <f>VLOOKUP(VLOOKUP(B739,[1]Product!A:C,3,FALSE),[1]Supplier!A:I,9,FALSE)</f>
        <v>UK</v>
      </c>
      <c r="S739" t="str">
        <f>IFERROR(IF(VLOOKUP(A739,'[1]Sales Order'!A:H,8,FALSE)&gt;100,"High Freight","Low Freight"),"Not Specified")</f>
        <v>Low Freight</v>
      </c>
      <c r="T739">
        <f t="shared" si="23"/>
        <v>122.39999999999999</v>
      </c>
    </row>
    <row r="740" spans="1:20">
      <c r="A740" s="1">
        <v>10526</v>
      </c>
      <c r="B740" s="2">
        <v>13</v>
      </c>
      <c r="C740" s="2">
        <v>6</v>
      </c>
      <c r="D740" s="2">
        <v>10</v>
      </c>
      <c r="E740" s="3">
        <v>0</v>
      </c>
      <c r="F740" s="2" t="str">
        <f>IFERROR(VLOOKUP(VLOOKUP(A740,'[1]Sales Order'!A:B,2,FALSE),[1]Customer!A:C,3,FALSE),"Not Specified")</f>
        <v>Ludwig, Michael</v>
      </c>
      <c r="G740" s="2" t="str">
        <f t="shared" si="22"/>
        <v>Ludwig Michael</v>
      </c>
      <c r="H740" s="8" t="str">
        <f>IFERROR(VLOOKUP(VLOOKUP(A740,'[1]Sales Order'!A:C,3,FALSE),[1]Employee!A:E,5,FALSE)&amp;" "&amp;VLOOKUP(VLOOKUP(A740,'[1]Sales Order'!A:C,3,FALSE),[1]Employee!A:C,3,FALSE)&amp;" "&amp;VLOOKUP(VLOOKUP(A740,'[1]Sales Order'!A:C,3,FALSE),[1]Employee!A:B,2,FALSE),"Not Specified")</f>
        <v>Mrs. Yael Peled</v>
      </c>
      <c r="I740" t="str">
        <f>IFERROR(VLOOKUP(VLOOKUP(A740,'[1]Sales Order'!A:C,3,FALSE),[1]Employee!A:J,10,FALSE),"Not Specified")</f>
        <v>WA</v>
      </c>
      <c r="J740" t="str">
        <f>VLOOKUP(B740,[1]Product!A:B,2,FALSE)</f>
        <v>Product POXFU</v>
      </c>
      <c r="K740" t="str">
        <f>VLOOKUP(VLOOKUP(B740,[1]Product!A:D,4,FALSE),[1]Category!A:B,2,FALSE)</f>
        <v>Seafood</v>
      </c>
      <c r="L740" s="10">
        <f>IFERROR(VLOOKUP(A740,'[1]Sales Order'!A:D,4,FALSE),"")</f>
        <v>39207</v>
      </c>
      <c r="M740" s="10">
        <f>IFERROR(VLOOKUP(A740,'[1]Sales Order'!A:F,6,FALSE),"")</f>
        <v>39217</v>
      </c>
      <c r="N740" t="str">
        <f>IFERROR(VLOOKUP(VLOOKUP(A740,'[1]Sales Order'!A:G,7,FALSE),[1]Shipper!A:B,2,FALSE),"Not Specified")</f>
        <v>Shipper ETYNR</v>
      </c>
      <c r="O740" t="str">
        <f>IFERROR(VLOOKUP(A740,'[1]Sales Order'!A:I,9,FALSE),"Not Specified")</f>
        <v>Ship to 87-C</v>
      </c>
      <c r="P740" t="str">
        <f>IFERROR(VLOOKUP(A740,'[1]Sales Order'!A:N,14,FALSE),"Not Specified")</f>
        <v>Finland</v>
      </c>
      <c r="Q740" t="str">
        <f>VLOOKUP(VLOOKUP(B740,[1]Product!A:C,3,FALSE),[1]Supplier!A:B,2,FALSE)</f>
        <v>Supplier QWUSF</v>
      </c>
      <c r="R740" t="str">
        <f>VLOOKUP(VLOOKUP(B740,[1]Product!A:C,3,FALSE),[1]Supplier!A:I,9,FALSE)</f>
        <v>Japan</v>
      </c>
      <c r="S740" t="str">
        <f>IFERROR(IF(VLOOKUP(A740,'[1]Sales Order'!A:H,8,FALSE)&gt;100,"High Freight","Low Freight"),"Not Specified")</f>
        <v>Low Freight</v>
      </c>
      <c r="T740">
        <f t="shared" si="23"/>
        <v>60</v>
      </c>
    </row>
    <row r="741" spans="1:20">
      <c r="A741" s="1">
        <v>10526</v>
      </c>
      <c r="B741" s="2">
        <v>56</v>
      </c>
      <c r="C741" s="2">
        <v>38</v>
      </c>
      <c r="D741" s="2">
        <v>30</v>
      </c>
      <c r="E741" s="3">
        <v>0.15</v>
      </c>
      <c r="F741" s="2" t="str">
        <f>IFERROR(VLOOKUP(VLOOKUP(A741,'[1]Sales Order'!A:B,2,FALSE),[1]Customer!A:C,3,FALSE),"Not Specified")</f>
        <v>Ludwig, Michael</v>
      </c>
      <c r="G741" s="2" t="str">
        <f t="shared" si="22"/>
        <v>Ludwig Michael</v>
      </c>
      <c r="H741" s="8" t="str">
        <f>IFERROR(VLOOKUP(VLOOKUP(A741,'[1]Sales Order'!A:C,3,FALSE),[1]Employee!A:E,5,FALSE)&amp;" "&amp;VLOOKUP(VLOOKUP(A741,'[1]Sales Order'!A:C,3,FALSE),[1]Employee!A:C,3,FALSE)&amp;" "&amp;VLOOKUP(VLOOKUP(A741,'[1]Sales Order'!A:C,3,FALSE),[1]Employee!A:B,2,FALSE),"Not Specified")</f>
        <v>Mrs. Yael Peled</v>
      </c>
      <c r="I741" t="str">
        <f>IFERROR(VLOOKUP(VLOOKUP(A741,'[1]Sales Order'!A:C,3,FALSE),[1]Employee!A:J,10,FALSE),"Not Specified")</f>
        <v>WA</v>
      </c>
      <c r="J741" t="str">
        <f>VLOOKUP(B741,[1]Product!A:B,2,FALSE)</f>
        <v>Product VKCMF</v>
      </c>
      <c r="K741" t="str">
        <f>VLOOKUP(VLOOKUP(B741,[1]Product!A:D,4,FALSE),[1]Category!A:B,2,FALSE)</f>
        <v>Grains/Cereals</v>
      </c>
      <c r="L741" s="10">
        <f>IFERROR(VLOOKUP(A741,'[1]Sales Order'!A:D,4,FALSE),"")</f>
        <v>39207</v>
      </c>
      <c r="M741" s="10">
        <f>IFERROR(VLOOKUP(A741,'[1]Sales Order'!A:F,6,FALSE),"")</f>
        <v>39217</v>
      </c>
      <c r="N741" t="str">
        <f>IFERROR(VLOOKUP(VLOOKUP(A741,'[1]Sales Order'!A:G,7,FALSE),[1]Shipper!A:B,2,FALSE),"Not Specified")</f>
        <v>Shipper ETYNR</v>
      </c>
      <c r="O741" t="str">
        <f>IFERROR(VLOOKUP(A741,'[1]Sales Order'!A:I,9,FALSE),"Not Specified")</f>
        <v>Ship to 87-C</v>
      </c>
      <c r="P741" t="str">
        <f>IFERROR(VLOOKUP(A741,'[1]Sales Order'!A:N,14,FALSE),"Not Specified")</f>
        <v>Finland</v>
      </c>
      <c r="Q741" t="str">
        <f>VLOOKUP(VLOOKUP(B741,[1]Product!A:C,3,FALSE),[1]Supplier!A:B,2,FALSE)</f>
        <v>Supplier ZWZDM</v>
      </c>
      <c r="R741" t="str">
        <f>VLOOKUP(VLOOKUP(B741,[1]Product!A:C,3,FALSE),[1]Supplier!A:I,9,FALSE)</f>
        <v>Italy</v>
      </c>
      <c r="S741" t="str">
        <f>IFERROR(IF(VLOOKUP(A741,'[1]Sales Order'!A:H,8,FALSE)&gt;100,"High Freight","Low Freight"),"Not Specified")</f>
        <v>Low Freight</v>
      </c>
      <c r="T741">
        <f t="shared" si="23"/>
        <v>969</v>
      </c>
    </row>
    <row r="742" spans="1:20">
      <c r="A742" s="1">
        <v>10527</v>
      </c>
      <c r="B742" s="2">
        <v>4</v>
      </c>
      <c r="C742" s="2">
        <v>22</v>
      </c>
      <c r="D742" s="2">
        <v>50</v>
      </c>
      <c r="E742" s="3">
        <v>0.1</v>
      </c>
      <c r="F742" s="2" t="str">
        <f>IFERROR(VLOOKUP(VLOOKUP(A742,'[1]Sales Order'!A:B,2,FALSE),[1]Customer!A:C,3,FALSE),"Not Specified")</f>
        <v>Veronesi, Giorgio</v>
      </c>
      <c r="G742" s="2" t="str">
        <f t="shared" si="22"/>
        <v>Veronesi Giorgio</v>
      </c>
      <c r="H742" s="8" t="str">
        <f>IFERROR(VLOOKUP(VLOOKUP(A742,'[1]Sales Order'!A:C,3,FALSE),[1]Employee!A:E,5,FALSE)&amp;" "&amp;VLOOKUP(VLOOKUP(A742,'[1]Sales Order'!A:C,3,FALSE),[1]Employee!A:C,3,FALSE)&amp;" "&amp;VLOOKUP(VLOOKUP(A742,'[1]Sales Order'!A:C,3,FALSE),[1]Employee!A:B,2,FALSE),"Not Specified")</f>
        <v>Mr. Russell King</v>
      </c>
      <c r="I742">
        <f>IFERROR(VLOOKUP(VLOOKUP(A742,'[1]Sales Order'!A:C,3,FALSE),[1]Employee!A:J,10,FALSE),"Not Specified")</f>
        <v>0</v>
      </c>
      <c r="J742" t="str">
        <f>VLOOKUP(B742,[1]Product!A:B,2,FALSE)</f>
        <v>Product KSBRM</v>
      </c>
      <c r="K742" t="str">
        <f>VLOOKUP(VLOOKUP(B742,[1]Product!A:D,4,FALSE),[1]Category!A:B,2,FALSE)</f>
        <v>Condiments</v>
      </c>
      <c r="L742" s="10">
        <f>IFERROR(VLOOKUP(A742,'[1]Sales Order'!A:D,4,FALSE),"")</f>
        <v>39207</v>
      </c>
      <c r="M742" s="10">
        <f>IFERROR(VLOOKUP(A742,'[1]Sales Order'!A:F,6,FALSE),"")</f>
        <v>39209</v>
      </c>
      <c r="N742" t="str">
        <f>IFERROR(VLOOKUP(VLOOKUP(A742,'[1]Sales Order'!A:G,7,FALSE),[1]Shipper!A:B,2,FALSE),"Not Specified")</f>
        <v>Shipper GVSUA</v>
      </c>
      <c r="O742" t="str">
        <f>IFERROR(VLOOKUP(A742,'[1]Sales Order'!A:I,9,FALSE),"Not Specified")</f>
        <v>Ship to 63-B</v>
      </c>
      <c r="P742" t="str">
        <f>IFERROR(VLOOKUP(A742,'[1]Sales Order'!A:N,14,FALSE),"Not Specified")</f>
        <v>Germany</v>
      </c>
      <c r="Q742" t="str">
        <f>VLOOKUP(VLOOKUP(B742,[1]Product!A:C,3,FALSE),[1]Supplier!A:B,2,FALSE)</f>
        <v>Supplier VHQZD</v>
      </c>
      <c r="R742" t="str">
        <f>VLOOKUP(VLOOKUP(B742,[1]Product!A:C,3,FALSE),[1]Supplier!A:I,9,FALSE)</f>
        <v>USA</v>
      </c>
      <c r="S742" t="str">
        <f>IFERROR(IF(VLOOKUP(A742,'[1]Sales Order'!A:H,8,FALSE)&gt;100,"High Freight","Low Freight"),"Not Specified")</f>
        <v>Low Freight</v>
      </c>
      <c r="T742">
        <f t="shared" si="23"/>
        <v>990</v>
      </c>
    </row>
    <row r="743" spans="1:20">
      <c r="A743" s="1">
        <v>10527</v>
      </c>
      <c r="B743" s="2">
        <v>36</v>
      </c>
      <c r="C743" s="2">
        <v>19</v>
      </c>
      <c r="D743" s="2">
        <v>30</v>
      </c>
      <c r="E743" s="3">
        <v>0.1</v>
      </c>
      <c r="F743" s="2" t="str">
        <f>IFERROR(VLOOKUP(VLOOKUP(A743,'[1]Sales Order'!A:B,2,FALSE),[1]Customer!A:C,3,FALSE),"Not Specified")</f>
        <v>Veronesi, Giorgio</v>
      </c>
      <c r="G743" s="2" t="str">
        <f t="shared" si="22"/>
        <v>Veronesi Giorgio</v>
      </c>
      <c r="H743" s="8" t="str">
        <f>IFERROR(VLOOKUP(VLOOKUP(A743,'[1]Sales Order'!A:C,3,FALSE),[1]Employee!A:E,5,FALSE)&amp;" "&amp;VLOOKUP(VLOOKUP(A743,'[1]Sales Order'!A:C,3,FALSE),[1]Employee!A:C,3,FALSE)&amp;" "&amp;VLOOKUP(VLOOKUP(A743,'[1]Sales Order'!A:C,3,FALSE),[1]Employee!A:B,2,FALSE),"Not Specified")</f>
        <v>Mr. Russell King</v>
      </c>
      <c r="I743">
        <f>IFERROR(VLOOKUP(VLOOKUP(A743,'[1]Sales Order'!A:C,3,FALSE),[1]Employee!A:J,10,FALSE),"Not Specified")</f>
        <v>0</v>
      </c>
      <c r="J743" t="str">
        <f>VLOOKUP(B743,[1]Product!A:B,2,FALSE)</f>
        <v>Product GMKIJ</v>
      </c>
      <c r="K743" t="str">
        <f>VLOOKUP(VLOOKUP(B743,[1]Product!A:D,4,FALSE),[1]Category!A:B,2,FALSE)</f>
        <v>Seafood</v>
      </c>
      <c r="L743" s="10">
        <f>IFERROR(VLOOKUP(A743,'[1]Sales Order'!A:D,4,FALSE),"")</f>
        <v>39207</v>
      </c>
      <c r="M743" s="10">
        <f>IFERROR(VLOOKUP(A743,'[1]Sales Order'!A:F,6,FALSE),"")</f>
        <v>39209</v>
      </c>
      <c r="N743" t="str">
        <f>IFERROR(VLOOKUP(VLOOKUP(A743,'[1]Sales Order'!A:G,7,FALSE),[1]Shipper!A:B,2,FALSE),"Not Specified")</f>
        <v>Shipper GVSUA</v>
      </c>
      <c r="O743" t="str">
        <f>IFERROR(VLOOKUP(A743,'[1]Sales Order'!A:I,9,FALSE),"Not Specified")</f>
        <v>Ship to 63-B</v>
      </c>
      <c r="P743" t="str">
        <f>IFERROR(VLOOKUP(A743,'[1]Sales Order'!A:N,14,FALSE),"Not Specified")</f>
        <v>Germany</v>
      </c>
      <c r="Q743" t="str">
        <f>VLOOKUP(VLOOKUP(B743,[1]Product!A:C,3,FALSE),[1]Supplier!A:B,2,FALSE)</f>
        <v>Supplier QZGUF</v>
      </c>
      <c r="R743" t="str">
        <f>VLOOKUP(VLOOKUP(B743,[1]Product!A:C,3,FALSE),[1]Supplier!A:I,9,FALSE)</f>
        <v>Sweden</v>
      </c>
      <c r="S743" t="str">
        <f>IFERROR(IF(VLOOKUP(A743,'[1]Sales Order'!A:H,8,FALSE)&gt;100,"High Freight","Low Freight"),"Not Specified")</f>
        <v>Low Freight</v>
      </c>
      <c r="T743">
        <f t="shared" si="23"/>
        <v>513</v>
      </c>
    </row>
    <row r="744" spans="1:20">
      <c r="A744" s="1">
        <v>10528</v>
      </c>
      <c r="B744" s="2">
        <v>11</v>
      </c>
      <c r="C744" s="2">
        <v>21</v>
      </c>
      <c r="D744" s="2">
        <v>3</v>
      </c>
      <c r="E744" s="3">
        <v>0</v>
      </c>
      <c r="F744" s="2" t="str">
        <f>IFERROR(VLOOKUP(VLOOKUP(A744,'[1]Sales Order'!A:B,2,FALSE),[1]Customer!A:C,3,FALSE),"Not Specified")</f>
        <v>Krishnan, Venky</v>
      </c>
      <c r="G744" s="2" t="str">
        <f t="shared" si="22"/>
        <v>Krishnan Venky</v>
      </c>
      <c r="H744" s="8" t="str">
        <f>IFERROR(VLOOKUP(VLOOKUP(A744,'[1]Sales Order'!A:C,3,FALSE),[1]Employee!A:E,5,FALSE)&amp;" "&amp;VLOOKUP(VLOOKUP(A744,'[1]Sales Order'!A:C,3,FALSE),[1]Employee!A:C,3,FALSE)&amp;" "&amp;VLOOKUP(VLOOKUP(A744,'[1]Sales Order'!A:C,3,FALSE),[1]Employee!A:B,2,FALSE),"Not Specified")</f>
        <v>Mr. Paul Suurs</v>
      </c>
      <c r="I744">
        <f>IFERROR(VLOOKUP(VLOOKUP(A744,'[1]Sales Order'!A:C,3,FALSE),[1]Employee!A:J,10,FALSE),"Not Specified")</f>
        <v>0</v>
      </c>
      <c r="J744" t="str">
        <f>VLOOKUP(B744,[1]Product!A:B,2,FALSE)</f>
        <v>Product QMVUN</v>
      </c>
      <c r="K744" t="str">
        <f>VLOOKUP(VLOOKUP(B744,[1]Product!A:D,4,FALSE),[1]Category!A:B,2,FALSE)</f>
        <v>Dairy Product</v>
      </c>
      <c r="L744" s="10">
        <f>IFERROR(VLOOKUP(A744,'[1]Sales Order'!A:D,4,FALSE),"")</f>
        <v>39208</v>
      </c>
      <c r="M744" s="10">
        <f>IFERROR(VLOOKUP(A744,'[1]Sales Order'!A:F,6,FALSE),"")</f>
        <v>39211</v>
      </c>
      <c r="N744" t="str">
        <f>IFERROR(VLOOKUP(VLOOKUP(A744,'[1]Sales Order'!A:G,7,FALSE),[1]Shipper!A:B,2,FALSE),"Not Specified")</f>
        <v>Shipper ETYNR</v>
      </c>
      <c r="O744" t="str">
        <f>IFERROR(VLOOKUP(A744,'[1]Sales Order'!A:I,9,FALSE),"Not Specified")</f>
        <v>Destination LLUXZ</v>
      </c>
      <c r="P744" t="str">
        <f>IFERROR(VLOOKUP(A744,'[1]Sales Order'!A:N,14,FALSE),"Not Specified")</f>
        <v>USA</v>
      </c>
      <c r="Q744" t="str">
        <f>VLOOKUP(VLOOKUP(B744,[1]Product!A:C,3,FALSE),[1]Supplier!A:B,2,FALSE)</f>
        <v>Supplier EQPNC</v>
      </c>
      <c r="R744" t="str">
        <f>VLOOKUP(VLOOKUP(B744,[1]Product!A:C,3,FALSE),[1]Supplier!A:I,9,FALSE)</f>
        <v>Spain</v>
      </c>
      <c r="S744" t="str">
        <f>IFERROR(IF(VLOOKUP(A744,'[1]Sales Order'!A:H,8,FALSE)&gt;100,"High Freight","Low Freight"),"Not Specified")</f>
        <v>Low Freight</v>
      </c>
      <c r="T744">
        <f t="shared" si="23"/>
        <v>63</v>
      </c>
    </row>
    <row r="745" spans="1:20">
      <c r="A745" s="1">
        <v>10528</v>
      </c>
      <c r="B745" s="2">
        <v>33</v>
      </c>
      <c r="C745" s="2">
        <v>2.5</v>
      </c>
      <c r="D745" s="2">
        <v>8</v>
      </c>
      <c r="E745" s="3">
        <v>0.2</v>
      </c>
      <c r="F745" s="2" t="str">
        <f>IFERROR(VLOOKUP(VLOOKUP(A745,'[1]Sales Order'!A:B,2,FALSE),[1]Customer!A:C,3,FALSE),"Not Specified")</f>
        <v>Krishnan, Venky</v>
      </c>
      <c r="G745" s="2" t="str">
        <f t="shared" si="22"/>
        <v>Krishnan Venky</v>
      </c>
      <c r="H745" s="8" t="str">
        <f>IFERROR(VLOOKUP(VLOOKUP(A745,'[1]Sales Order'!A:C,3,FALSE),[1]Employee!A:E,5,FALSE)&amp;" "&amp;VLOOKUP(VLOOKUP(A745,'[1]Sales Order'!A:C,3,FALSE),[1]Employee!A:C,3,FALSE)&amp;" "&amp;VLOOKUP(VLOOKUP(A745,'[1]Sales Order'!A:C,3,FALSE),[1]Employee!A:B,2,FALSE),"Not Specified")</f>
        <v>Mr. Paul Suurs</v>
      </c>
      <c r="I745">
        <f>IFERROR(VLOOKUP(VLOOKUP(A745,'[1]Sales Order'!A:C,3,FALSE),[1]Employee!A:J,10,FALSE),"Not Specified")</f>
        <v>0</v>
      </c>
      <c r="J745" t="str">
        <f>VLOOKUP(B745,[1]Product!A:B,2,FALSE)</f>
        <v>Product ASTMN</v>
      </c>
      <c r="K745" t="str">
        <f>VLOOKUP(VLOOKUP(B745,[1]Product!A:D,4,FALSE),[1]Category!A:B,2,FALSE)</f>
        <v>Dairy Product</v>
      </c>
      <c r="L745" s="10">
        <f>IFERROR(VLOOKUP(A745,'[1]Sales Order'!A:D,4,FALSE),"")</f>
        <v>39208</v>
      </c>
      <c r="M745" s="10">
        <f>IFERROR(VLOOKUP(A745,'[1]Sales Order'!A:F,6,FALSE),"")</f>
        <v>39211</v>
      </c>
      <c r="N745" t="str">
        <f>IFERROR(VLOOKUP(VLOOKUP(A745,'[1]Sales Order'!A:G,7,FALSE),[1]Shipper!A:B,2,FALSE),"Not Specified")</f>
        <v>Shipper ETYNR</v>
      </c>
      <c r="O745" t="str">
        <f>IFERROR(VLOOKUP(A745,'[1]Sales Order'!A:I,9,FALSE),"Not Specified")</f>
        <v>Destination LLUXZ</v>
      </c>
      <c r="P745" t="str">
        <f>IFERROR(VLOOKUP(A745,'[1]Sales Order'!A:N,14,FALSE),"Not Specified")</f>
        <v>USA</v>
      </c>
      <c r="Q745" t="str">
        <f>VLOOKUP(VLOOKUP(B745,[1]Product!A:C,3,FALSE),[1]Supplier!A:B,2,FALSE)</f>
        <v>Supplier NZLIF</v>
      </c>
      <c r="R745" t="str">
        <f>VLOOKUP(VLOOKUP(B745,[1]Product!A:C,3,FALSE),[1]Supplier!A:I,9,FALSE)</f>
        <v>Norway</v>
      </c>
      <c r="S745" t="str">
        <f>IFERROR(IF(VLOOKUP(A745,'[1]Sales Order'!A:H,8,FALSE)&gt;100,"High Freight","Low Freight"),"Not Specified")</f>
        <v>Low Freight</v>
      </c>
      <c r="T745">
        <f t="shared" si="23"/>
        <v>16</v>
      </c>
    </row>
    <row r="746" spans="1:20">
      <c r="A746" s="1">
        <v>10528</v>
      </c>
      <c r="B746" s="2">
        <v>72</v>
      </c>
      <c r="C746" s="2">
        <v>34.799999999999997</v>
      </c>
      <c r="D746" s="2">
        <v>9</v>
      </c>
      <c r="E746" s="3">
        <v>0</v>
      </c>
      <c r="F746" s="2" t="str">
        <f>IFERROR(VLOOKUP(VLOOKUP(A746,'[1]Sales Order'!A:B,2,FALSE),[1]Customer!A:C,3,FALSE),"Not Specified")</f>
        <v>Krishnan, Venky</v>
      </c>
      <c r="G746" s="2" t="str">
        <f t="shared" si="22"/>
        <v>Krishnan Venky</v>
      </c>
      <c r="H746" s="8" t="str">
        <f>IFERROR(VLOOKUP(VLOOKUP(A746,'[1]Sales Order'!A:C,3,FALSE),[1]Employee!A:E,5,FALSE)&amp;" "&amp;VLOOKUP(VLOOKUP(A746,'[1]Sales Order'!A:C,3,FALSE),[1]Employee!A:C,3,FALSE)&amp;" "&amp;VLOOKUP(VLOOKUP(A746,'[1]Sales Order'!A:C,3,FALSE),[1]Employee!A:B,2,FALSE),"Not Specified")</f>
        <v>Mr. Paul Suurs</v>
      </c>
      <c r="I746">
        <f>IFERROR(VLOOKUP(VLOOKUP(A746,'[1]Sales Order'!A:C,3,FALSE),[1]Employee!A:J,10,FALSE),"Not Specified")</f>
        <v>0</v>
      </c>
      <c r="J746" t="str">
        <f>VLOOKUP(B746,[1]Product!A:B,2,FALSE)</f>
        <v>Product GEEOO</v>
      </c>
      <c r="K746" t="str">
        <f>VLOOKUP(VLOOKUP(B746,[1]Product!A:D,4,FALSE),[1]Category!A:B,2,FALSE)</f>
        <v>Dairy Product</v>
      </c>
      <c r="L746" s="10">
        <f>IFERROR(VLOOKUP(A746,'[1]Sales Order'!A:D,4,FALSE),"")</f>
        <v>39208</v>
      </c>
      <c r="M746" s="10">
        <f>IFERROR(VLOOKUP(A746,'[1]Sales Order'!A:F,6,FALSE),"")</f>
        <v>39211</v>
      </c>
      <c r="N746" t="str">
        <f>IFERROR(VLOOKUP(VLOOKUP(A746,'[1]Sales Order'!A:G,7,FALSE),[1]Shipper!A:B,2,FALSE),"Not Specified")</f>
        <v>Shipper ETYNR</v>
      </c>
      <c r="O746" t="str">
        <f>IFERROR(VLOOKUP(A746,'[1]Sales Order'!A:I,9,FALSE),"Not Specified")</f>
        <v>Destination LLUXZ</v>
      </c>
      <c r="P746" t="str">
        <f>IFERROR(VLOOKUP(A746,'[1]Sales Order'!A:N,14,FALSE),"Not Specified")</f>
        <v>USA</v>
      </c>
      <c r="Q746" t="str">
        <f>VLOOKUP(VLOOKUP(B746,[1]Product!A:C,3,FALSE),[1]Supplier!A:B,2,FALSE)</f>
        <v>Supplier KEREV</v>
      </c>
      <c r="R746" t="str">
        <f>VLOOKUP(VLOOKUP(B746,[1]Product!A:C,3,FALSE),[1]Supplier!A:I,9,FALSE)</f>
        <v>Italy</v>
      </c>
      <c r="S746" t="str">
        <f>IFERROR(IF(VLOOKUP(A746,'[1]Sales Order'!A:H,8,FALSE)&gt;100,"High Freight","Low Freight"),"Not Specified")</f>
        <v>Low Freight</v>
      </c>
      <c r="T746">
        <f t="shared" si="23"/>
        <v>313.2</v>
      </c>
    </row>
    <row r="747" spans="1:20">
      <c r="A747" s="1">
        <v>10529</v>
      </c>
      <c r="B747" s="2">
        <v>55</v>
      </c>
      <c r="C747" s="2">
        <v>24</v>
      </c>
      <c r="D747" s="2">
        <v>14</v>
      </c>
      <c r="E747" s="3">
        <v>0</v>
      </c>
      <c r="F747" s="2" t="str">
        <f>IFERROR(VLOOKUP(VLOOKUP(A747,'[1]Sales Order'!A:B,2,FALSE),[1]Customer!A:C,3,FALSE),"Not Specified")</f>
        <v>Mace, Donald</v>
      </c>
      <c r="G747" s="2" t="str">
        <f t="shared" si="22"/>
        <v>Mace Donald</v>
      </c>
      <c r="H747" s="8" t="str">
        <f>IFERROR(VLOOKUP(VLOOKUP(A747,'[1]Sales Order'!A:C,3,FALSE),[1]Employee!A:E,5,FALSE)&amp;" "&amp;VLOOKUP(VLOOKUP(A747,'[1]Sales Order'!A:C,3,FALSE),[1]Employee!A:C,3,FALSE)&amp;" "&amp;VLOOKUP(VLOOKUP(A747,'[1]Sales Order'!A:C,3,FALSE),[1]Employee!A:B,2,FALSE),"Not Specified")</f>
        <v>Mr. Sven Buck</v>
      </c>
      <c r="I747">
        <f>IFERROR(VLOOKUP(VLOOKUP(A747,'[1]Sales Order'!A:C,3,FALSE),[1]Employee!A:J,10,FALSE),"Not Specified")</f>
        <v>0</v>
      </c>
      <c r="J747" t="str">
        <f>VLOOKUP(B747,[1]Product!A:B,2,FALSE)</f>
        <v>Product YYWRT</v>
      </c>
      <c r="K747" t="str">
        <f>VLOOKUP(VLOOKUP(B747,[1]Product!A:D,4,FALSE),[1]Category!A:B,2,FALSE)</f>
        <v>Meat/Poultry</v>
      </c>
      <c r="L747" s="10">
        <f>IFERROR(VLOOKUP(A747,'[1]Sales Order'!A:D,4,FALSE),"")</f>
        <v>39209</v>
      </c>
      <c r="M747" s="10">
        <f>IFERROR(VLOOKUP(A747,'[1]Sales Order'!A:F,6,FALSE),"")</f>
        <v>39211</v>
      </c>
      <c r="N747" t="str">
        <f>IFERROR(VLOOKUP(VLOOKUP(A747,'[1]Sales Order'!A:G,7,FALSE),[1]Shipper!A:B,2,FALSE),"Not Specified")</f>
        <v>Shipper ETYNR</v>
      </c>
      <c r="O747" t="str">
        <f>IFERROR(VLOOKUP(A747,'[1]Sales Order'!A:I,9,FALSE),"Not Specified")</f>
        <v>Ship to 50-B</v>
      </c>
      <c r="P747" t="str">
        <f>IFERROR(VLOOKUP(A747,'[1]Sales Order'!A:N,14,FALSE),"Not Specified")</f>
        <v>Belgium</v>
      </c>
      <c r="Q747" t="str">
        <f>VLOOKUP(VLOOKUP(B747,[1]Product!A:C,3,FALSE),[1]Supplier!A:B,2,FALSE)</f>
        <v>Supplier ERVYZ</v>
      </c>
      <c r="R747" t="str">
        <f>VLOOKUP(VLOOKUP(B747,[1]Product!A:C,3,FALSE),[1]Supplier!A:I,9,FALSE)</f>
        <v>Canada</v>
      </c>
      <c r="S747" t="str">
        <f>IFERROR(IF(VLOOKUP(A747,'[1]Sales Order'!A:H,8,FALSE)&gt;100,"High Freight","Low Freight"),"Not Specified")</f>
        <v>Low Freight</v>
      </c>
      <c r="T747">
        <f t="shared" si="23"/>
        <v>336</v>
      </c>
    </row>
    <row r="748" spans="1:20">
      <c r="A748" s="1">
        <v>10529</v>
      </c>
      <c r="B748" s="2">
        <v>68</v>
      </c>
      <c r="C748" s="2">
        <v>12.5</v>
      </c>
      <c r="D748" s="2">
        <v>20</v>
      </c>
      <c r="E748" s="3">
        <v>0</v>
      </c>
      <c r="F748" s="2" t="str">
        <f>IFERROR(VLOOKUP(VLOOKUP(A748,'[1]Sales Order'!A:B,2,FALSE),[1]Customer!A:C,3,FALSE),"Not Specified")</f>
        <v>Mace, Donald</v>
      </c>
      <c r="G748" s="2" t="str">
        <f t="shared" si="22"/>
        <v>Mace Donald</v>
      </c>
      <c r="H748" s="8" t="str">
        <f>IFERROR(VLOOKUP(VLOOKUP(A748,'[1]Sales Order'!A:C,3,FALSE),[1]Employee!A:E,5,FALSE)&amp;" "&amp;VLOOKUP(VLOOKUP(A748,'[1]Sales Order'!A:C,3,FALSE),[1]Employee!A:C,3,FALSE)&amp;" "&amp;VLOOKUP(VLOOKUP(A748,'[1]Sales Order'!A:C,3,FALSE),[1]Employee!A:B,2,FALSE),"Not Specified")</f>
        <v>Mr. Sven Buck</v>
      </c>
      <c r="I748">
        <f>IFERROR(VLOOKUP(VLOOKUP(A748,'[1]Sales Order'!A:C,3,FALSE),[1]Employee!A:J,10,FALSE),"Not Specified")</f>
        <v>0</v>
      </c>
      <c r="J748" t="str">
        <f>VLOOKUP(B748,[1]Product!A:B,2,FALSE)</f>
        <v>Product TBTBL</v>
      </c>
      <c r="K748" t="str">
        <f>VLOOKUP(VLOOKUP(B748,[1]Product!A:D,4,FALSE),[1]Category!A:B,2,FALSE)</f>
        <v>Confections</v>
      </c>
      <c r="L748" s="10">
        <f>IFERROR(VLOOKUP(A748,'[1]Sales Order'!A:D,4,FALSE),"")</f>
        <v>39209</v>
      </c>
      <c r="M748" s="10">
        <f>IFERROR(VLOOKUP(A748,'[1]Sales Order'!A:F,6,FALSE),"")</f>
        <v>39211</v>
      </c>
      <c r="N748" t="str">
        <f>IFERROR(VLOOKUP(VLOOKUP(A748,'[1]Sales Order'!A:G,7,FALSE),[1]Shipper!A:B,2,FALSE),"Not Specified")</f>
        <v>Shipper ETYNR</v>
      </c>
      <c r="O748" t="str">
        <f>IFERROR(VLOOKUP(A748,'[1]Sales Order'!A:I,9,FALSE),"Not Specified")</f>
        <v>Ship to 50-B</v>
      </c>
      <c r="P748" t="str">
        <f>IFERROR(VLOOKUP(A748,'[1]Sales Order'!A:N,14,FALSE),"Not Specified")</f>
        <v>Belgium</v>
      </c>
      <c r="Q748" t="str">
        <f>VLOOKUP(VLOOKUP(B748,[1]Product!A:C,3,FALSE),[1]Supplier!A:B,2,FALSE)</f>
        <v>Supplier BWGYE</v>
      </c>
      <c r="R748" t="str">
        <f>VLOOKUP(VLOOKUP(B748,[1]Product!A:C,3,FALSE),[1]Supplier!A:I,9,FALSE)</f>
        <v>UK</v>
      </c>
      <c r="S748" t="str">
        <f>IFERROR(IF(VLOOKUP(A748,'[1]Sales Order'!A:H,8,FALSE)&gt;100,"High Freight","Low Freight"),"Not Specified")</f>
        <v>Low Freight</v>
      </c>
      <c r="T748">
        <f t="shared" si="23"/>
        <v>250</v>
      </c>
    </row>
    <row r="749" spans="1:20">
      <c r="A749" s="1">
        <v>10529</v>
      </c>
      <c r="B749" s="2">
        <v>69</v>
      </c>
      <c r="C749" s="2">
        <v>36</v>
      </c>
      <c r="D749" s="2">
        <v>10</v>
      </c>
      <c r="E749" s="3">
        <v>0</v>
      </c>
      <c r="F749" s="2" t="str">
        <f>IFERROR(VLOOKUP(VLOOKUP(A749,'[1]Sales Order'!A:B,2,FALSE),[1]Customer!A:C,3,FALSE),"Not Specified")</f>
        <v>Mace, Donald</v>
      </c>
      <c r="G749" s="2" t="str">
        <f t="shared" si="22"/>
        <v>Mace Donald</v>
      </c>
      <c r="H749" s="8" t="str">
        <f>IFERROR(VLOOKUP(VLOOKUP(A749,'[1]Sales Order'!A:C,3,FALSE),[1]Employee!A:E,5,FALSE)&amp;" "&amp;VLOOKUP(VLOOKUP(A749,'[1]Sales Order'!A:C,3,FALSE),[1]Employee!A:C,3,FALSE)&amp;" "&amp;VLOOKUP(VLOOKUP(A749,'[1]Sales Order'!A:C,3,FALSE),[1]Employee!A:B,2,FALSE),"Not Specified")</f>
        <v>Mr. Sven Buck</v>
      </c>
      <c r="I749">
        <f>IFERROR(VLOOKUP(VLOOKUP(A749,'[1]Sales Order'!A:C,3,FALSE),[1]Employee!A:J,10,FALSE),"Not Specified")</f>
        <v>0</v>
      </c>
      <c r="J749" t="str">
        <f>VLOOKUP(B749,[1]Product!A:B,2,FALSE)</f>
        <v>Product COAXA</v>
      </c>
      <c r="K749" t="str">
        <f>VLOOKUP(VLOOKUP(B749,[1]Product!A:D,4,FALSE),[1]Category!A:B,2,FALSE)</f>
        <v>Dairy Product</v>
      </c>
      <c r="L749" s="10">
        <f>IFERROR(VLOOKUP(A749,'[1]Sales Order'!A:D,4,FALSE),"")</f>
        <v>39209</v>
      </c>
      <c r="M749" s="10">
        <f>IFERROR(VLOOKUP(A749,'[1]Sales Order'!A:F,6,FALSE),"")</f>
        <v>39211</v>
      </c>
      <c r="N749" t="str">
        <f>IFERROR(VLOOKUP(VLOOKUP(A749,'[1]Sales Order'!A:G,7,FALSE),[1]Shipper!A:B,2,FALSE),"Not Specified")</f>
        <v>Shipper ETYNR</v>
      </c>
      <c r="O749" t="str">
        <f>IFERROR(VLOOKUP(A749,'[1]Sales Order'!A:I,9,FALSE),"Not Specified")</f>
        <v>Ship to 50-B</v>
      </c>
      <c r="P749" t="str">
        <f>IFERROR(VLOOKUP(A749,'[1]Sales Order'!A:N,14,FALSE),"Not Specified")</f>
        <v>Belgium</v>
      </c>
      <c r="Q749" t="str">
        <f>VLOOKUP(VLOOKUP(B749,[1]Product!A:C,3,FALSE),[1]Supplier!A:B,2,FALSE)</f>
        <v>Supplier NZLIF</v>
      </c>
      <c r="R749" t="str">
        <f>VLOOKUP(VLOOKUP(B749,[1]Product!A:C,3,FALSE),[1]Supplier!A:I,9,FALSE)</f>
        <v>Norway</v>
      </c>
      <c r="S749" t="str">
        <f>IFERROR(IF(VLOOKUP(A749,'[1]Sales Order'!A:H,8,FALSE)&gt;100,"High Freight","Low Freight"),"Not Specified")</f>
        <v>Low Freight</v>
      </c>
      <c r="T749">
        <f t="shared" si="23"/>
        <v>360</v>
      </c>
    </row>
    <row r="750" spans="1:20">
      <c r="A750" s="1">
        <v>10530</v>
      </c>
      <c r="B750" s="2">
        <v>17</v>
      </c>
      <c r="C750" s="2">
        <v>39</v>
      </c>
      <c r="D750" s="2">
        <v>40</v>
      </c>
      <c r="E750" s="3">
        <v>0</v>
      </c>
      <c r="F750" s="2" t="str">
        <f>IFERROR(VLOOKUP(VLOOKUP(A750,'[1]Sales Order'!A:B,2,FALSE),[1]Customer!A:C,3,FALSE),"Not Specified")</f>
        <v>Meston, Tosh</v>
      </c>
      <c r="G750" s="2" t="str">
        <f t="shared" si="22"/>
        <v>Meston Tosh</v>
      </c>
      <c r="H750" s="8" t="str">
        <f>IFERROR(VLOOKUP(VLOOKUP(A750,'[1]Sales Order'!A:C,3,FALSE),[1]Employee!A:E,5,FALSE)&amp;" "&amp;VLOOKUP(VLOOKUP(A750,'[1]Sales Order'!A:C,3,FALSE),[1]Employee!A:C,3,FALSE)&amp;" "&amp;VLOOKUP(VLOOKUP(A750,'[1]Sales Order'!A:C,3,FALSE),[1]Employee!A:B,2,FALSE),"Not Specified")</f>
        <v>Ms. Judy Lew</v>
      </c>
      <c r="I750" t="str">
        <f>IFERROR(VLOOKUP(VLOOKUP(A750,'[1]Sales Order'!A:C,3,FALSE),[1]Employee!A:J,10,FALSE),"Not Specified")</f>
        <v>WA</v>
      </c>
      <c r="J750" t="str">
        <f>VLOOKUP(B750,[1]Product!A:B,2,FALSE)</f>
        <v>Product BLCAX</v>
      </c>
      <c r="K750" t="str">
        <f>VLOOKUP(VLOOKUP(B750,[1]Product!A:D,4,FALSE),[1]Category!A:B,2,FALSE)</f>
        <v>Meat/Poultry</v>
      </c>
      <c r="L750" s="10">
        <f>IFERROR(VLOOKUP(A750,'[1]Sales Order'!A:D,4,FALSE),"")</f>
        <v>39210</v>
      </c>
      <c r="M750" s="10">
        <f>IFERROR(VLOOKUP(A750,'[1]Sales Order'!A:F,6,FALSE),"")</f>
        <v>39214</v>
      </c>
      <c r="N750" t="str">
        <f>IFERROR(VLOOKUP(VLOOKUP(A750,'[1]Sales Order'!A:G,7,FALSE),[1]Shipper!A:B,2,FALSE),"Not Specified")</f>
        <v>Shipper ETYNR</v>
      </c>
      <c r="O750" t="str">
        <f>IFERROR(VLOOKUP(A750,'[1]Sales Order'!A:I,9,FALSE),"Not Specified")</f>
        <v>Ship to 59-C</v>
      </c>
      <c r="P750" t="str">
        <f>IFERROR(VLOOKUP(A750,'[1]Sales Order'!A:N,14,FALSE),"Not Specified")</f>
        <v>Austria</v>
      </c>
      <c r="Q750" t="str">
        <f>VLOOKUP(VLOOKUP(B750,[1]Product!A:C,3,FALSE),[1]Supplier!A:B,2,FALSE)</f>
        <v>Supplier GQRCV</v>
      </c>
      <c r="R750" t="str">
        <f>VLOOKUP(VLOOKUP(B750,[1]Product!A:C,3,FALSE),[1]Supplier!A:I,9,FALSE)</f>
        <v>Australia</v>
      </c>
      <c r="S750" t="str">
        <f>IFERROR(IF(VLOOKUP(A750,'[1]Sales Order'!A:H,8,FALSE)&gt;100,"High Freight","Low Freight"),"Not Specified")</f>
        <v>High Freight</v>
      </c>
      <c r="T750">
        <f t="shared" si="23"/>
        <v>1560</v>
      </c>
    </row>
    <row r="751" spans="1:20">
      <c r="A751" s="1">
        <v>10530</v>
      </c>
      <c r="B751" s="2">
        <v>43</v>
      </c>
      <c r="C751" s="2">
        <v>46</v>
      </c>
      <c r="D751" s="2">
        <v>25</v>
      </c>
      <c r="E751" s="3">
        <v>0</v>
      </c>
      <c r="F751" s="2" t="str">
        <f>IFERROR(VLOOKUP(VLOOKUP(A751,'[1]Sales Order'!A:B,2,FALSE),[1]Customer!A:C,3,FALSE),"Not Specified")</f>
        <v>Meston, Tosh</v>
      </c>
      <c r="G751" s="2" t="str">
        <f t="shared" si="22"/>
        <v>Meston Tosh</v>
      </c>
      <c r="H751" s="8" t="str">
        <f>IFERROR(VLOOKUP(VLOOKUP(A751,'[1]Sales Order'!A:C,3,FALSE),[1]Employee!A:E,5,FALSE)&amp;" "&amp;VLOOKUP(VLOOKUP(A751,'[1]Sales Order'!A:C,3,FALSE),[1]Employee!A:C,3,FALSE)&amp;" "&amp;VLOOKUP(VLOOKUP(A751,'[1]Sales Order'!A:C,3,FALSE),[1]Employee!A:B,2,FALSE),"Not Specified")</f>
        <v>Ms. Judy Lew</v>
      </c>
      <c r="I751" t="str">
        <f>IFERROR(VLOOKUP(VLOOKUP(A751,'[1]Sales Order'!A:C,3,FALSE),[1]Employee!A:J,10,FALSE),"Not Specified")</f>
        <v>WA</v>
      </c>
      <c r="J751" t="str">
        <f>VLOOKUP(B751,[1]Product!A:B,2,FALSE)</f>
        <v>Product ZZZHR</v>
      </c>
      <c r="K751" t="str">
        <f>VLOOKUP(VLOOKUP(B751,[1]Product!A:D,4,FALSE),[1]Category!A:B,2,FALSE)</f>
        <v>Beverages</v>
      </c>
      <c r="L751" s="10">
        <f>IFERROR(VLOOKUP(A751,'[1]Sales Order'!A:D,4,FALSE),"")</f>
        <v>39210</v>
      </c>
      <c r="M751" s="10">
        <f>IFERROR(VLOOKUP(A751,'[1]Sales Order'!A:F,6,FALSE),"")</f>
        <v>39214</v>
      </c>
      <c r="N751" t="str">
        <f>IFERROR(VLOOKUP(VLOOKUP(A751,'[1]Sales Order'!A:G,7,FALSE),[1]Shipper!A:B,2,FALSE),"Not Specified")</f>
        <v>Shipper ETYNR</v>
      </c>
      <c r="O751" t="str">
        <f>IFERROR(VLOOKUP(A751,'[1]Sales Order'!A:I,9,FALSE),"Not Specified")</f>
        <v>Ship to 59-C</v>
      </c>
      <c r="P751" t="str">
        <f>IFERROR(VLOOKUP(A751,'[1]Sales Order'!A:N,14,FALSE),"Not Specified")</f>
        <v>Austria</v>
      </c>
      <c r="Q751" t="str">
        <f>VLOOKUP(VLOOKUP(B751,[1]Product!A:C,3,FALSE),[1]Supplier!A:B,2,FALSE)</f>
        <v>Supplier CIYNM</v>
      </c>
      <c r="R751" t="str">
        <f>VLOOKUP(VLOOKUP(B751,[1]Product!A:C,3,FALSE),[1]Supplier!A:I,9,FALSE)</f>
        <v>Singapore</v>
      </c>
      <c r="S751" t="str">
        <f>IFERROR(IF(VLOOKUP(A751,'[1]Sales Order'!A:H,8,FALSE)&gt;100,"High Freight","Low Freight"),"Not Specified")</f>
        <v>High Freight</v>
      </c>
      <c r="T751">
        <f t="shared" si="23"/>
        <v>1150</v>
      </c>
    </row>
    <row r="752" spans="1:20">
      <c r="A752" s="1">
        <v>10530</v>
      </c>
      <c r="B752" s="2">
        <v>61</v>
      </c>
      <c r="C752" s="2">
        <v>28.5</v>
      </c>
      <c r="D752" s="2">
        <v>20</v>
      </c>
      <c r="E752" s="3">
        <v>0</v>
      </c>
      <c r="F752" s="2" t="str">
        <f>IFERROR(VLOOKUP(VLOOKUP(A752,'[1]Sales Order'!A:B,2,FALSE),[1]Customer!A:C,3,FALSE),"Not Specified")</f>
        <v>Meston, Tosh</v>
      </c>
      <c r="G752" s="2" t="str">
        <f t="shared" si="22"/>
        <v>Meston Tosh</v>
      </c>
      <c r="H752" s="8" t="str">
        <f>IFERROR(VLOOKUP(VLOOKUP(A752,'[1]Sales Order'!A:C,3,FALSE),[1]Employee!A:E,5,FALSE)&amp;" "&amp;VLOOKUP(VLOOKUP(A752,'[1]Sales Order'!A:C,3,FALSE),[1]Employee!A:C,3,FALSE)&amp;" "&amp;VLOOKUP(VLOOKUP(A752,'[1]Sales Order'!A:C,3,FALSE),[1]Employee!A:B,2,FALSE),"Not Specified")</f>
        <v>Ms. Judy Lew</v>
      </c>
      <c r="I752" t="str">
        <f>IFERROR(VLOOKUP(VLOOKUP(A752,'[1]Sales Order'!A:C,3,FALSE),[1]Employee!A:J,10,FALSE),"Not Specified")</f>
        <v>WA</v>
      </c>
      <c r="J752" t="str">
        <f>VLOOKUP(B752,[1]Product!A:B,2,FALSE)</f>
        <v>Product XYZPE</v>
      </c>
      <c r="K752" t="str">
        <f>VLOOKUP(VLOOKUP(B752,[1]Product!A:D,4,FALSE),[1]Category!A:B,2,FALSE)</f>
        <v>Condiments</v>
      </c>
      <c r="L752" s="10">
        <f>IFERROR(VLOOKUP(A752,'[1]Sales Order'!A:D,4,FALSE),"")</f>
        <v>39210</v>
      </c>
      <c r="M752" s="10">
        <f>IFERROR(VLOOKUP(A752,'[1]Sales Order'!A:F,6,FALSE),"")</f>
        <v>39214</v>
      </c>
      <c r="N752" t="str">
        <f>IFERROR(VLOOKUP(VLOOKUP(A752,'[1]Sales Order'!A:G,7,FALSE),[1]Shipper!A:B,2,FALSE),"Not Specified")</f>
        <v>Shipper ETYNR</v>
      </c>
      <c r="O752" t="str">
        <f>IFERROR(VLOOKUP(A752,'[1]Sales Order'!A:I,9,FALSE),"Not Specified")</f>
        <v>Ship to 59-C</v>
      </c>
      <c r="P752" t="str">
        <f>IFERROR(VLOOKUP(A752,'[1]Sales Order'!A:N,14,FALSE),"Not Specified")</f>
        <v>Austria</v>
      </c>
      <c r="Q752" t="str">
        <f>VLOOKUP(VLOOKUP(B752,[1]Product!A:C,3,FALSE),[1]Supplier!A:B,2,FALSE)</f>
        <v>Supplier OGLRK</v>
      </c>
      <c r="R752" t="str">
        <f>VLOOKUP(VLOOKUP(B752,[1]Product!A:C,3,FALSE),[1]Supplier!A:I,9,FALSE)</f>
        <v>Canada</v>
      </c>
      <c r="S752" t="str">
        <f>IFERROR(IF(VLOOKUP(A752,'[1]Sales Order'!A:H,8,FALSE)&gt;100,"High Freight","Low Freight"),"Not Specified")</f>
        <v>High Freight</v>
      </c>
      <c r="T752">
        <f t="shared" si="23"/>
        <v>570</v>
      </c>
    </row>
    <row r="753" spans="1:20">
      <c r="A753" s="1">
        <v>10530</v>
      </c>
      <c r="B753" s="2">
        <v>76</v>
      </c>
      <c r="C753" s="2">
        <v>18</v>
      </c>
      <c r="D753" s="2">
        <v>50</v>
      </c>
      <c r="E753" s="3">
        <v>0</v>
      </c>
      <c r="F753" s="2" t="str">
        <f>IFERROR(VLOOKUP(VLOOKUP(A753,'[1]Sales Order'!A:B,2,FALSE),[1]Customer!A:C,3,FALSE),"Not Specified")</f>
        <v>Meston, Tosh</v>
      </c>
      <c r="G753" s="2" t="str">
        <f t="shared" si="22"/>
        <v>Meston Tosh</v>
      </c>
      <c r="H753" s="8" t="str">
        <f>IFERROR(VLOOKUP(VLOOKUP(A753,'[1]Sales Order'!A:C,3,FALSE),[1]Employee!A:E,5,FALSE)&amp;" "&amp;VLOOKUP(VLOOKUP(A753,'[1]Sales Order'!A:C,3,FALSE),[1]Employee!A:C,3,FALSE)&amp;" "&amp;VLOOKUP(VLOOKUP(A753,'[1]Sales Order'!A:C,3,FALSE),[1]Employee!A:B,2,FALSE),"Not Specified")</f>
        <v>Ms. Judy Lew</v>
      </c>
      <c r="I753" t="str">
        <f>IFERROR(VLOOKUP(VLOOKUP(A753,'[1]Sales Order'!A:C,3,FALSE),[1]Employee!A:J,10,FALSE),"Not Specified")</f>
        <v>WA</v>
      </c>
      <c r="J753" t="str">
        <f>VLOOKUP(B753,[1]Product!A:B,2,FALSE)</f>
        <v>Product JYGFE</v>
      </c>
      <c r="K753" t="str">
        <f>VLOOKUP(VLOOKUP(B753,[1]Product!A:D,4,FALSE),[1]Category!A:B,2,FALSE)</f>
        <v>Beverages</v>
      </c>
      <c r="L753" s="10">
        <f>IFERROR(VLOOKUP(A753,'[1]Sales Order'!A:D,4,FALSE),"")</f>
        <v>39210</v>
      </c>
      <c r="M753" s="10">
        <f>IFERROR(VLOOKUP(A753,'[1]Sales Order'!A:F,6,FALSE),"")</f>
        <v>39214</v>
      </c>
      <c r="N753" t="str">
        <f>IFERROR(VLOOKUP(VLOOKUP(A753,'[1]Sales Order'!A:G,7,FALSE),[1]Shipper!A:B,2,FALSE),"Not Specified")</f>
        <v>Shipper ETYNR</v>
      </c>
      <c r="O753" t="str">
        <f>IFERROR(VLOOKUP(A753,'[1]Sales Order'!A:I,9,FALSE),"Not Specified")</f>
        <v>Ship to 59-C</v>
      </c>
      <c r="P753" t="str">
        <f>IFERROR(VLOOKUP(A753,'[1]Sales Order'!A:N,14,FALSE),"Not Specified")</f>
        <v>Austria</v>
      </c>
      <c r="Q753" t="str">
        <f>VLOOKUP(VLOOKUP(B753,[1]Product!A:C,3,FALSE),[1]Supplier!A:B,2,FALSE)</f>
        <v>Supplier ELCRN</v>
      </c>
      <c r="R753" t="str">
        <f>VLOOKUP(VLOOKUP(B753,[1]Product!A:C,3,FALSE),[1]Supplier!A:I,9,FALSE)</f>
        <v>Finland</v>
      </c>
      <c r="S753" t="str">
        <f>IFERROR(IF(VLOOKUP(A753,'[1]Sales Order'!A:H,8,FALSE)&gt;100,"High Freight","Low Freight"),"Not Specified")</f>
        <v>High Freight</v>
      </c>
      <c r="T753">
        <f t="shared" si="23"/>
        <v>900</v>
      </c>
    </row>
    <row r="754" spans="1:20">
      <c r="A754" s="1">
        <v>10531</v>
      </c>
      <c r="B754" s="2">
        <v>59</v>
      </c>
      <c r="C754" s="2">
        <v>55</v>
      </c>
      <c r="D754" s="2">
        <v>2</v>
      </c>
      <c r="E754" s="3">
        <v>0</v>
      </c>
      <c r="F754" s="2" t="str">
        <f>IFERROR(VLOOKUP(VLOOKUP(A754,'[1]Sales Order'!A:B,2,FALSE),[1]Customer!A:C,3,FALSE),"Not Specified")</f>
        <v>Tiano, Mike</v>
      </c>
      <c r="G754" s="2" t="str">
        <f t="shared" si="22"/>
        <v>Tiano Mike</v>
      </c>
      <c r="H754" s="8" t="str">
        <f>IFERROR(VLOOKUP(VLOOKUP(A754,'[1]Sales Order'!A:C,3,FALSE),[1]Employee!A:E,5,FALSE)&amp;" "&amp;VLOOKUP(VLOOKUP(A754,'[1]Sales Order'!A:C,3,FALSE),[1]Employee!A:C,3,FALSE)&amp;" "&amp;VLOOKUP(VLOOKUP(A754,'[1]Sales Order'!A:C,3,FALSE),[1]Employee!A:B,2,FALSE),"Not Specified")</f>
        <v>Mr. Russell King</v>
      </c>
      <c r="I754">
        <f>IFERROR(VLOOKUP(VLOOKUP(A754,'[1]Sales Order'!A:C,3,FALSE),[1]Employee!A:J,10,FALSE),"Not Specified")</f>
        <v>0</v>
      </c>
      <c r="J754" t="str">
        <f>VLOOKUP(B754,[1]Product!A:B,2,FALSE)</f>
        <v>Product UKXRI</v>
      </c>
      <c r="K754" t="str">
        <f>VLOOKUP(VLOOKUP(B754,[1]Product!A:D,4,FALSE),[1]Category!A:B,2,FALSE)</f>
        <v>Dairy Product</v>
      </c>
      <c r="L754" s="10">
        <f>IFERROR(VLOOKUP(A754,'[1]Sales Order'!A:D,4,FALSE),"")</f>
        <v>39210</v>
      </c>
      <c r="M754" s="10">
        <f>IFERROR(VLOOKUP(A754,'[1]Sales Order'!A:F,6,FALSE),"")</f>
        <v>39221</v>
      </c>
      <c r="N754" t="str">
        <f>IFERROR(VLOOKUP(VLOOKUP(A754,'[1]Sales Order'!A:G,7,FALSE),[1]Shipper!A:B,2,FALSE),"Not Specified")</f>
        <v>Shipper GVSUA</v>
      </c>
      <c r="O754" t="str">
        <f>IFERROR(VLOOKUP(A754,'[1]Sales Order'!A:I,9,FALSE),"Not Specified")</f>
        <v>Ship to 54-A</v>
      </c>
      <c r="P754" t="str">
        <f>IFERROR(VLOOKUP(A754,'[1]Sales Order'!A:N,14,FALSE),"Not Specified")</f>
        <v>Argentina</v>
      </c>
      <c r="Q754" t="str">
        <f>VLOOKUP(VLOOKUP(B754,[1]Product!A:C,3,FALSE),[1]Supplier!A:B,2,FALSE)</f>
        <v>Supplier OAVQT</v>
      </c>
      <c r="R754" t="str">
        <f>VLOOKUP(VLOOKUP(B754,[1]Product!A:C,3,FALSE),[1]Supplier!A:I,9,FALSE)</f>
        <v>France</v>
      </c>
      <c r="S754" t="str">
        <f>IFERROR(IF(VLOOKUP(A754,'[1]Sales Order'!A:H,8,FALSE)&gt;100,"High Freight","Low Freight"),"Not Specified")</f>
        <v>Low Freight</v>
      </c>
      <c r="T754">
        <f t="shared" si="23"/>
        <v>110</v>
      </c>
    </row>
    <row r="755" spans="1:20">
      <c r="A755" s="1">
        <v>10532</v>
      </c>
      <c r="B755" s="2">
        <v>30</v>
      </c>
      <c r="C755" s="2">
        <v>25.89</v>
      </c>
      <c r="D755" s="2">
        <v>15</v>
      </c>
      <c r="E755" s="3">
        <v>0</v>
      </c>
      <c r="F755" s="2" t="str">
        <f>IFERROR(VLOOKUP(VLOOKUP(A755,'[1]Sales Order'!A:B,2,FALSE),[1]Customer!A:C,3,FALSE),"Not Specified")</f>
        <v>Boseman, Randall</v>
      </c>
      <c r="G755" s="2" t="str">
        <f t="shared" si="22"/>
        <v>Boseman Randall</v>
      </c>
      <c r="H755" s="8" t="str">
        <f>IFERROR(VLOOKUP(VLOOKUP(A755,'[1]Sales Order'!A:C,3,FALSE),[1]Employee!A:E,5,FALSE)&amp;" "&amp;VLOOKUP(VLOOKUP(A755,'[1]Sales Order'!A:C,3,FALSE),[1]Employee!A:C,3,FALSE)&amp;" "&amp;VLOOKUP(VLOOKUP(A755,'[1]Sales Order'!A:C,3,FALSE),[1]Employee!A:B,2,FALSE),"Not Specified")</f>
        <v>Mr. Russell King</v>
      </c>
      <c r="I755">
        <f>IFERROR(VLOOKUP(VLOOKUP(A755,'[1]Sales Order'!A:C,3,FALSE),[1]Employee!A:J,10,FALSE),"Not Specified")</f>
        <v>0</v>
      </c>
      <c r="J755" t="str">
        <f>VLOOKUP(B755,[1]Product!A:B,2,FALSE)</f>
        <v>Product LYERX</v>
      </c>
      <c r="K755" t="str">
        <f>VLOOKUP(VLOOKUP(B755,[1]Product!A:D,4,FALSE),[1]Category!A:B,2,FALSE)</f>
        <v>Seafood</v>
      </c>
      <c r="L755" s="10">
        <f>IFERROR(VLOOKUP(A755,'[1]Sales Order'!A:D,4,FALSE),"")</f>
        <v>39211</v>
      </c>
      <c r="M755" s="10">
        <f>IFERROR(VLOOKUP(A755,'[1]Sales Order'!A:F,6,FALSE),"")</f>
        <v>39214</v>
      </c>
      <c r="N755" t="str">
        <f>IFERROR(VLOOKUP(VLOOKUP(A755,'[1]Sales Order'!A:G,7,FALSE),[1]Shipper!A:B,2,FALSE),"Not Specified")</f>
        <v>Shipper ZHISN</v>
      </c>
      <c r="O755" t="str">
        <f>IFERROR(VLOOKUP(A755,'[1]Sales Order'!A:I,9,FALSE),"Not Specified")</f>
        <v>Destination QTKCU</v>
      </c>
      <c r="P755" t="str">
        <f>IFERROR(VLOOKUP(A755,'[1]Sales Order'!A:N,14,FALSE),"Not Specified")</f>
        <v>UK</v>
      </c>
      <c r="Q755" t="str">
        <f>VLOOKUP(VLOOKUP(B755,[1]Product!A:C,3,FALSE),[1]Supplier!A:B,2,FALSE)</f>
        <v>Supplier TEGSC</v>
      </c>
      <c r="R755" t="str">
        <f>VLOOKUP(VLOOKUP(B755,[1]Product!A:C,3,FALSE),[1]Supplier!A:I,9,FALSE)</f>
        <v>Germany</v>
      </c>
      <c r="S755" t="str">
        <f>IFERROR(IF(VLOOKUP(A755,'[1]Sales Order'!A:H,8,FALSE)&gt;100,"High Freight","Low Freight"),"Not Specified")</f>
        <v>Low Freight</v>
      </c>
      <c r="T755">
        <f t="shared" si="23"/>
        <v>388.35</v>
      </c>
    </row>
    <row r="756" spans="1:20">
      <c r="A756" s="1">
        <v>10532</v>
      </c>
      <c r="B756" s="2">
        <v>66</v>
      </c>
      <c r="C756" s="2">
        <v>17</v>
      </c>
      <c r="D756" s="2">
        <v>24</v>
      </c>
      <c r="E756" s="3">
        <v>0</v>
      </c>
      <c r="F756" s="2" t="str">
        <f>IFERROR(VLOOKUP(VLOOKUP(A756,'[1]Sales Order'!A:B,2,FALSE),[1]Customer!A:C,3,FALSE),"Not Specified")</f>
        <v>Boseman, Randall</v>
      </c>
      <c r="G756" s="2" t="str">
        <f t="shared" si="22"/>
        <v>Boseman Randall</v>
      </c>
      <c r="H756" s="8" t="str">
        <f>IFERROR(VLOOKUP(VLOOKUP(A756,'[1]Sales Order'!A:C,3,FALSE),[1]Employee!A:E,5,FALSE)&amp;" "&amp;VLOOKUP(VLOOKUP(A756,'[1]Sales Order'!A:C,3,FALSE),[1]Employee!A:C,3,FALSE)&amp;" "&amp;VLOOKUP(VLOOKUP(A756,'[1]Sales Order'!A:C,3,FALSE),[1]Employee!A:B,2,FALSE),"Not Specified")</f>
        <v>Mr. Russell King</v>
      </c>
      <c r="I756">
        <f>IFERROR(VLOOKUP(VLOOKUP(A756,'[1]Sales Order'!A:C,3,FALSE),[1]Employee!A:J,10,FALSE),"Not Specified")</f>
        <v>0</v>
      </c>
      <c r="J756" t="str">
        <f>VLOOKUP(B756,[1]Product!A:B,2,FALSE)</f>
        <v>Product LQMGN</v>
      </c>
      <c r="K756" t="str">
        <f>VLOOKUP(VLOOKUP(B756,[1]Product!A:D,4,FALSE),[1]Category!A:B,2,FALSE)</f>
        <v>Condiments</v>
      </c>
      <c r="L756" s="10">
        <f>IFERROR(VLOOKUP(A756,'[1]Sales Order'!A:D,4,FALSE),"")</f>
        <v>39211</v>
      </c>
      <c r="M756" s="10">
        <f>IFERROR(VLOOKUP(A756,'[1]Sales Order'!A:F,6,FALSE),"")</f>
        <v>39214</v>
      </c>
      <c r="N756" t="str">
        <f>IFERROR(VLOOKUP(VLOOKUP(A756,'[1]Sales Order'!A:G,7,FALSE),[1]Shipper!A:B,2,FALSE),"Not Specified")</f>
        <v>Shipper ZHISN</v>
      </c>
      <c r="O756" t="str">
        <f>IFERROR(VLOOKUP(A756,'[1]Sales Order'!A:I,9,FALSE),"Not Specified")</f>
        <v>Destination QTKCU</v>
      </c>
      <c r="P756" t="str">
        <f>IFERROR(VLOOKUP(A756,'[1]Sales Order'!A:N,14,FALSE),"Not Specified")</f>
        <v>UK</v>
      </c>
      <c r="Q756" t="str">
        <f>VLOOKUP(VLOOKUP(B756,[1]Product!A:C,3,FALSE),[1]Supplier!A:B,2,FALSE)</f>
        <v>Supplier VHQZD</v>
      </c>
      <c r="R756" t="str">
        <f>VLOOKUP(VLOOKUP(B756,[1]Product!A:C,3,FALSE),[1]Supplier!A:I,9,FALSE)</f>
        <v>USA</v>
      </c>
      <c r="S756" t="str">
        <f>IFERROR(IF(VLOOKUP(A756,'[1]Sales Order'!A:H,8,FALSE)&gt;100,"High Freight","Low Freight"),"Not Specified")</f>
        <v>Low Freight</v>
      </c>
      <c r="T756">
        <f t="shared" si="23"/>
        <v>408</v>
      </c>
    </row>
    <row r="757" spans="1:20">
      <c r="A757" s="1">
        <v>10533</v>
      </c>
      <c r="B757" s="2">
        <v>4</v>
      </c>
      <c r="C757" s="2">
        <v>22</v>
      </c>
      <c r="D757" s="2">
        <v>50</v>
      </c>
      <c r="E757" s="3">
        <v>0.05</v>
      </c>
      <c r="F757" s="2" t="str">
        <f>IFERROR(VLOOKUP(VLOOKUP(A757,'[1]Sales Order'!A:B,2,FALSE),[1]Customer!A:C,3,FALSE),"Not Specified")</f>
        <v>San Juan, Patricia</v>
      </c>
      <c r="G757" s="2" t="str">
        <f t="shared" si="22"/>
        <v>San Juan Patricia</v>
      </c>
      <c r="H757" s="8" t="str">
        <f>IFERROR(VLOOKUP(VLOOKUP(A757,'[1]Sales Order'!A:C,3,FALSE),[1]Employee!A:E,5,FALSE)&amp;" "&amp;VLOOKUP(VLOOKUP(A757,'[1]Sales Order'!A:C,3,FALSE),[1]Employee!A:C,3,FALSE)&amp;" "&amp;VLOOKUP(VLOOKUP(A757,'[1]Sales Order'!A:C,3,FALSE),[1]Employee!A:B,2,FALSE),"Not Specified")</f>
        <v>Ms. Maria Cameron</v>
      </c>
      <c r="I757" t="str">
        <f>IFERROR(VLOOKUP(VLOOKUP(A757,'[1]Sales Order'!A:C,3,FALSE),[1]Employee!A:J,10,FALSE),"Not Specified")</f>
        <v>WA</v>
      </c>
      <c r="J757" t="str">
        <f>VLOOKUP(B757,[1]Product!A:B,2,FALSE)</f>
        <v>Product KSBRM</v>
      </c>
      <c r="K757" t="str">
        <f>VLOOKUP(VLOOKUP(B757,[1]Product!A:D,4,FALSE),[1]Category!A:B,2,FALSE)</f>
        <v>Condiments</v>
      </c>
      <c r="L757" s="10">
        <f>IFERROR(VLOOKUP(A757,'[1]Sales Order'!A:D,4,FALSE),"")</f>
        <v>39214</v>
      </c>
      <c r="M757" s="10">
        <f>IFERROR(VLOOKUP(A757,'[1]Sales Order'!A:F,6,FALSE),"")</f>
        <v>39224</v>
      </c>
      <c r="N757" t="str">
        <f>IFERROR(VLOOKUP(VLOOKUP(A757,'[1]Sales Order'!A:G,7,FALSE),[1]Shipper!A:B,2,FALSE),"Not Specified")</f>
        <v>Shipper GVSUA</v>
      </c>
      <c r="O757" t="str">
        <f>IFERROR(VLOOKUP(A757,'[1]Sales Order'!A:I,9,FALSE),"Not Specified")</f>
        <v>Destination KBSBN</v>
      </c>
      <c r="P757" t="str">
        <f>IFERROR(VLOOKUP(A757,'[1]Sales Order'!A:N,14,FALSE),"Not Specified")</f>
        <v>Sweden</v>
      </c>
      <c r="Q757" t="str">
        <f>VLOOKUP(VLOOKUP(B757,[1]Product!A:C,3,FALSE),[1]Supplier!A:B,2,FALSE)</f>
        <v>Supplier VHQZD</v>
      </c>
      <c r="R757" t="str">
        <f>VLOOKUP(VLOOKUP(B757,[1]Product!A:C,3,FALSE),[1]Supplier!A:I,9,FALSE)</f>
        <v>USA</v>
      </c>
      <c r="S757" t="str">
        <f>IFERROR(IF(VLOOKUP(A757,'[1]Sales Order'!A:H,8,FALSE)&gt;100,"High Freight","Low Freight"),"Not Specified")</f>
        <v>High Freight</v>
      </c>
      <c r="T757">
        <f t="shared" si="23"/>
        <v>1045</v>
      </c>
    </row>
    <row r="758" spans="1:20">
      <c r="A758" s="1">
        <v>10533</v>
      </c>
      <c r="B758" s="2">
        <v>72</v>
      </c>
      <c r="C758" s="2">
        <v>34.799999999999997</v>
      </c>
      <c r="D758" s="2">
        <v>24</v>
      </c>
      <c r="E758" s="3">
        <v>0</v>
      </c>
      <c r="F758" s="2" t="str">
        <f>IFERROR(VLOOKUP(VLOOKUP(A758,'[1]Sales Order'!A:B,2,FALSE),[1]Customer!A:C,3,FALSE),"Not Specified")</f>
        <v>San Juan, Patricia</v>
      </c>
      <c r="G758" s="2" t="str">
        <f t="shared" si="22"/>
        <v>San Juan Patricia</v>
      </c>
      <c r="H758" s="8" t="str">
        <f>IFERROR(VLOOKUP(VLOOKUP(A758,'[1]Sales Order'!A:C,3,FALSE),[1]Employee!A:E,5,FALSE)&amp;" "&amp;VLOOKUP(VLOOKUP(A758,'[1]Sales Order'!A:C,3,FALSE),[1]Employee!A:C,3,FALSE)&amp;" "&amp;VLOOKUP(VLOOKUP(A758,'[1]Sales Order'!A:C,3,FALSE),[1]Employee!A:B,2,FALSE),"Not Specified")</f>
        <v>Ms. Maria Cameron</v>
      </c>
      <c r="I758" t="str">
        <f>IFERROR(VLOOKUP(VLOOKUP(A758,'[1]Sales Order'!A:C,3,FALSE),[1]Employee!A:J,10,FALSE),"Not Specified")</f>
        <v>WA</v>
      </c>
      <c r="J758" t="str">
        <f>VLOOKUP(B758,[1]Product!A:B,2,FALSE)</f>
        <v>Product GEEOO</v>
      </c>
      <c r="K758" t="str">
        <f>VLOOKUP(VLOOKUP(B758,[1]Product!A:D,4,FALSE),[1]Category!A:B,2,FALSE)</f>
        <v>Dairy Product</v>
      </c>
      <c r="L758" s="10">
        <f>IFERROR(VLOOKUP(A758,'[1]Sales Order'!A:D,4,FALSE),"")</f>
        <v>39214</v>
      </c>
      <c r="M758" s="10">
        <f>IFERROR(VLOOKUP(A758,'[1]Sales Order'!A:F,6,FALSE),"")</f>
        <v>39224</v>
      </c>
      <c r="N758" t="str">
        <f>IFERROR(VLOOKUP(VLOOKUP(A758,'[1]Sales Order'!A:G,7,FALSE),[1]Shipper!A:B,2,FALSE),"Not Specified")</f>
        <v>Shipper GVSUA</v>
      </c>
      <c r="O758" t="str">
        <f>IFERROR(VLOOKUP(A758,'[1]Sales Order'!A:I,9,FALSE),"Not Specified")</f>
        <v>Destination KBSBN</v>
      </c>
      <c r="P758" t="str">
        <f>IFERROR(VLOOKUP(A758,'[1]Sales Order'!A:N,14,FALSE),"Not Specified")</f>
        <v>Sweden</v>
      </c>
      <c r="Q758" t="str">
        <f>VLOOKUP(VLOOKUP(B758,[1]Product!A:C,3,FALSE),[1]Supplier!A:B,2,FALSE)</f>
        <v>Supplier KEREV</v>
      </c>
      <c r="R758" t="str">
        <f>VLOOKUP(VLOOKUP(B758,[1]Product!A:C,3,FALSE),[1]Supplier!A:I,9,FALSE)</f>
        <v>Italy</v>
      </c>
      <c r="S758" t="str">
        <f>IFERROR(IF(VLOOKUP(A758,'[1]Sales Order'!A:H,8,FALSE)&gt;100,"High Freight","Low Freight"),"Not Specified")</f>
        <v>High Freight</v>
      </c>
      <c r="T758">
        <f t="shared" si="23"/>
        <v>835.19999999999993</v>
      </c>
    </row>
    <row r="759" spans="1:20">
      <c r="A759" s="1">
        <v>10533</v>
      </c>
      <c r="B759" s="2">
        <v>73</v>
      </c>
      <c r="C759" s="2">
        <v>15</v>
      </c>
      <c r="D759" s="2">
        <v>24</v>
      </c>
      <c r="E759" s="3">
        <v>0.05</v>
      </c>
      <c r="F759" s="2" t="str">
        <f>IFERROR(VLOOKUP(VLOOKUP(A759,'[1]Sales Order'!A:B,2,FALSE),[1]Customer!A:C,3,FALSE),"Not Specified")</f>
        <v>San Juan, Patricia</v>
      </c>
      <c r="G759" s="2" t="str">
        <f t="shared" si="22"/>
        <v>San Juan Patricia</v>
      </c>
      <c r="H759" s="8" t="str">
        <f>IFERROR(VLOOKUP(VLOOKUP(A759,'[1]Sales Order'!A:C,3,FALSE),[1]Employee!A:E,5,FALSE)&amp;" "&amp;VLOOKUP(VLOOKUP(A759,'[1]Sales Order'!A:C,3,FALSE),[1]Employee!A:C,3,FALSE)&amp;" "&amp;VLOOKUP(VLOOKUP(A759,'[1]Sales Order'!A:C,3,FALSE),[1]Employee!A:B,2,FALSE),"Not Specified")</f>
        <v>Ms. Maria Cameron</v>
      </c>
      <c r="I759" t="str">
        <f>IFERROR(VLOOKUP(VLOOKUP(A759,'[1]Sales Order'!A:C,3,FALSE),[1]Employee!A:J,10,FALSE),"Not Specified")</f>
        <v>WA</v>
      </c>
      <c r="J759" t="str">
        <f>VLOOKUP(B759,[1]Product!A:B,2,FALSE)</f>
        <v>Product WEUJZ</v>
      </c>
      <c r="K759" t="str">
        <f>VLOOKUP(VLOOKUP(B759,[1]Product!A:D,4,FALSE),[1]Category!A:B,2,FALSE)</f>
        <v>Seafood</v>
      </c>
      <c r="L759" s="10">
        <f>IFERROR(VLOOKUP(A759,'[1]Sales Order'!A:D,4,FALSE),"")</f>
        <v>39214</v>
      </c>
      <c r="M759" s="10">
        <f>IFERROR(VLOOKUP(A759,'[1]Sales Order'!A:F,6,FALSE),"")</f>
        <v>39224</v>
      </c>
      <c r="N759" t="str">
        <f>IFERROR(VLOOKUP(VLOOKUP(A759,'[1]Sales Order'!A:G,7,FALSE),[1]Shipper!A:B,2,FALSE),"Not Specified")</f>
        <v>Shipper GVSUA</v>
      </c>
      <c r="O759" t="str">
        <f>IFERROR(VLOOKUP(A759,'[1]Sales Order'!A:I,9,FALSE),"Not Specified")</f>
        <v>Destination KBSBN</v>
      </c>
      <c r="P759" t="str">
        <f>IFERROR(VLOOKUP(A759,'[1]Sales Order'!A:N,14,FALSE),"Not Specified")</f>
        <v>Sweden</v>
      </c>
      <c r="Q759" t="str">
        <f>VLOOKUP(VLOOKUP(B759,[1]Product!A:C,3,FALSE),[1]Supplier!A:B,2,FALSE)</f>
        <v>Supplier QZGUF</v>
      </c>
      <c r="R759" t="str">
        <f>VLOOKUP(VLOOKUP(B759,[1]Product!A:C,3,FALSE),[1]Supplier!A:I,9,FALSE)</f>
        <v>Sweden</v>
      </c>
      <c r="S759" t="str">
        <f>IFERROR(IF(VLOOKUP(A759,'[1]Sales Order'!A:H,8,FALSE)&gt;100,"High Freight","Low Freight"),"Not Specified")</f>
        <v>High Freight</v>
      </c>
      <c r="T759">
        <f t="shared" si="23"/>
        <v>342</v>
      </c>
    </row>
    <row r="760" spans="1:20">
      <c r="A760" s="1">
        <v>10534</v>
      </c>
      <c r="B760" s="2">
        <v>30</v>
      </c>
      <c r="C760" s="2">
        <v>25.89</v>
      </c>
      <c r="D760" s="2">
        <v>10</v>
      </c>
      <c r="E760" s="3">
        <v>0</v>
      </c>
      <c r="F760" s="2" t="str">
        <f>IFERROR(VLOOKUP(VLOOKUP(A760,'[1]Sales Order'!A:B,2,FALSE),[1]Customer!A:C,3,FALSE),"Not Specified")</f>
        <v>Louverdis, George</v>
      </c>
      <c r="G760" s="2" t="str">
        <f t="shared" si="22"/>
        <v>Louverdis George</v>
      </c>
      <c r="H760" s="8" t="str">
        <f>IFERROR(VLOOKUP(VLOOKUP(A760,'[1]Sales Order'!A:C,3,FALSE),[1]Employee!A:E,5,FALSE)&amp;" "&amp;VLOOKUP(VLOOKUP(A760,'[1]Sales Order'!A:C,3,FALSE),[1]Employee!A:C,3,FALSE)&amp;" "&amp;VLOOKUP(VLOOKUP(A760,'[1]Sales Order'!A:C,3,FALSE),[1]Employee!A:B,2,FALSE),"Not Specified")</f>
        <v>Ms. Maria Cameron</v>
      </c>
      <c r="I760" t="str">
        <f>IFERROR(VLOOKUP(VLOOKUP(A760,'[1]Sales Order'!A:C,3,FALSE),[1]Employee!A:J,10,FALSE),"Not Specified")</f>
        <v>WA</v>
      </c>
      <c r="J760" t="str">
        <f>VLOOKUP(B760,[1]Product!A:B,2,FALSE)</f>
        <v>Product LYERX</v>
      </c>
      <c r="K760" t="str">
        <f>VLOOKUP(VLOOKUP(B760,[1]Product!A:D,4,FALSE),[1]Category!A:B,2,FALSE)</f>
        <v>Seafood</v>
      </c>
      <c r="L760" s="10">
        <f>IFERROR(VLOOKUP(A760,'[1]Sales Order'!A:D,4,FALSE),"")</f>
        <v>39214</v>
      </c>
      <c r="M760" s="10">
        <f>IFERROR(VLOOKUP(A760,'[1]Sales Order'!A:F,6,FALSE),"")</f>
        <v>39216</v>
      </c>
      <c r="N760" t="str">
        <f>IFERROR(VLOOKUP(VLOOKUP(A760,'[1]Sales Order'!A:G,7,FALSE),[1]Shipper!A:B,2,FALSE),"Not Specified")</f>
        <v>Shipper ETYNR</v>
      </c>
      <c r="O760" t="str">
        <f>IFERROR(VLOOKUP(A760,'[1]Sales Order'!A:I,9,FALSE),"Not Specified")</f>
        <v>Ship to 44-A</v>
      </c>
      <c r="P760" t="str">
        <f>IFERROR(VLOOKUP(A760,'[1]Sales Order'!A:N,14,FALSE),"Not Specified")</f>
        <v>Germany</v>
      </c>
      <c r="Q760" t="str">
        <f>VLOOKUP(VLOOKUP(B760,[1]Product!A:C,3,FALSE),[1]Supplier!A:B,2,FALSE)</f>
        <v>Supplier TEGSC</v>
      </c>
      <c r="R760" t="str">
        <f>VLOOKUP(VLOOKUP(B760,[1]Product!A:C,3,FALSE),[1]Supplier!A:I,9,FALSE)</f>
        <v>Germany</v>
      </c>
      <c r="S760" t="str">
        <f>IFERROR(IF(VLOOKUP(A760,'[1]Sales Order'!A:H,8,FALSE)&gt;100,"High Freight","Low Freight"),"Not Specified")</f>
        <v>Low Freight</v>
      </c>
      <c r="T760">
        <f t="shared" si="23"/>
        <v>258.89999999999998</v>
      </c>
    </row>
    <row r="761" spans="1:20">
      <c r="A761" s="1">
        <v>10534</v>
      </c>
      <c r="B761" s="2">
        <v>40</v>
      </c>
      <c r="C761" s="2">
        <v>18.399999999999999</v>
      </c>
      <c r="D761" s="2">
        <v>10</v>
      </c>
      <c r="E761" s="3">
        <v>0.2</v>
      </c>
      <c r="F761" s="2" t="str">
        <f>IFERROR(VLOOKUP(VLOOKUP(A761,'[1]Sales Order'!A:B,2,FALSE),[1]Customer!A:C,3,FALSE),"Not Specified")</f>
        <v>Louverdis, George</v>
      </c>
      <c r="G761" s="2" t="str">
        <f t="shared" si="22"/>
        <v>Louverdis George</v>
      </c>
      <c r="H761" s="8" t="str">
        <f>IFERROR(VLOOKUP(VLOOKUP(A761,'[1]Sales Order'!A:C,3,FALSE),[1]Employee!A:E,5,FALSE)&amp;" "&amp;VLOOKUP(VLOOKUP(A761,'[1]Sales Order'!A:C,3,FALSE),[1]Employee!A:C,3,FALSE)&amp;" "&amp;VLOOKUP(VLOOKUP(A761,'[1]Sales Order'!A:C,3,FALSE),[1]Employee!A:B,2,FALSE),"Not Specified")</f>
        <v>Ms. Maria Cameron</v>
      </c>
      <c r="I761" t="str">
        <f>IFERROR(VLOOKUP(VLOOKUP(A761,'[1]Sales Order'!A:C,3,FALSE),[1]Employee!A:J,10,FALSE),"Not Specified")</f>
        <v>WA</v>
      </c>
      <c r="J761" t="str">
        <f>VLOOKUP(B761,[1]Product!A:B,2,FALSE)</f>
        <v>Product YZIXQ</v>
      </c>
      <c r="K761" t="str">
        <f>VLOOKUP(VLOOKUP(B761,[1]Product!A:D,4,FALSE),[1]Category!A:B,2,FALSE)</f>
        <v>Seafood</v>
      </c>
      <c r="L761" s="10">
        <f>IFERROR(VLOOKUP(A761,'[1]Sales Order'!A:D,4,FALSE),"")</f>
        <v>39214</v>
      </c>
      <c r="M761" s="10">
        <f>IFERROR(VLOOKUP(A761,'[1]Sales Order'!A:F,6,FALSE),"")</f>
        <v>39216</v>
      </c>
      <c r="N761" t="str">
        <f>IFERROR(VLOOKUP(VLOOKUP(A761,'[1]Sales Order'!A:G,7,FALSE),[1]Shipper!A:B,2,FALSE),"Not Specified")</f>
        <v>Shipper ETYNR</v>
      </c>
      <c r="O761" t="str">
        <f>IFERROR(VLOOKUP(A761,'[1]Sales Order'!A:I,9,FALSE),"Not Specified")</f>
        <v>Ship to 44-A</v>
      </c>
      <c r="P761" t="str">
        <f>IFERROR(VLOOKUP(A761,'[1]Sales Order'!A:N,14,FALSE),"Not Specified")</f>
        <v>Germany</v>
      </c>
      <c r="Q761" t="str">
        <f>VLOOKUP(VLOOKUP(B761,[1]Product!A:C,3,FALSE),[1]Supplier!A:B,2,FALSE)</f>
        <v>Supplier JDNUG</v>
      </c>
      <c r="R761" t="str">
        <f>VLOOKUP(VLOOKUP(B761,[1]Product!A:C,3,FALSE),[1]Supplier!A:I,9,FALSE)</f>
        <v>USA</v>
      </c>
      <c r="S761" t="str">
        <f>IFERROR(IF(VLOOKUP(A761,'[1]Sales Order'!A:H,8,FALSE)&gt;100,"High Freight","Low Freight"),"Not Specified")</f>
        <v>Low Freight</v>
      </c>
      <c r="T761">
        <f t="shared" si="23"/>
        <v>147.20000000000002</v>
      </c>
    </row>
    <row r="762" spans="1:20">
      <c r="A762" s="1">
        <v>10534</v>
      </c>
      <c r="B762" s="2">
        <v>54</v>
      </c>
      <c r="C762" s="2">
        <v>7.45</v>
      </c>
      <c r="D762" s="2">
        <v>10</v>
      </c>
      <c r="E762" s="3">
        <v>0.2</v>
      </c>
      <c r="F762" s="2" t="str">
        <f>IFERROR(VLOOKUP(VLOOKUP(A762,'[1]Sales Order'!A:B,2,FALSE),[1]Customer!A:C,3,FALSE),"Not Specified")</f>
        <v>Louverdis, George</v>
      </c>
      <c r="G762" s="2" t="str">
        <f t="shared" si="22"/>
        <v>Louverdis George</v>
      </c>
      <c r="H762" s="8" t="str">
        <f>IFERROR(VLOOKUP(VLOOKUP(A762,'[1]Sales Order'!A:C,3,FALSE),[1]Employee!A:E,5,FALSE)&amp;" "&amp;VLOOKUP(VLOOKUP(A762,'[1]Sales Order'!A:C,3,FALSE),[1]Employee!A:C,3,FALSE)&amp;" "&amp;VLOOKUP(VLOOKUP(A762,'[1]Sales Order'!A:C,3,FALSE),[1]Employee!A:B,2,FALSE),"Not Specified")</f>
        <v>Ms. Maria Cameron</v>
      </c>
      <c r="I762" t="str">
        <f>IFERROR(VLOOKUP(VLOOKUP(A762,'[1]Sales Order'!A:C,3,FALSE),[1]Employee!A:J,10,FALSE),"Not Specified")</f>
        <v>WA</v>
      </c>
      <c r="J762" t="str">
        <f>VLOOKUP(B762,[1]Product!A:B,2,FALSE)</f>
        <v>Product QAQRL</v>
      </c>
      <c r="K762" t="str">
        <f>VLOOKUP(VLOOKUP(B762,[1]Product!A:D,4,FALSE),[1]Category!A:B,2,FALSE)</f>
        <v>Meat/Poultry</v>
      </c>
      <c r="L762" s="10">
        <f>IFERROR(VLOOKUP(A762,'[1]Sales Order'!A:D,4,FALSE),"")</f>
        <v>39214</v>
      </c>
      <c r="M762" s="10">
        <f>IFERROR(VLOOKUP(A762,'[1]Sales Order'!A:F,6,FALSE),"")</f>
        <v>39216</v>
      </c>
      <c r="N762" t="str">
        <f>IFERROR(VLOOKUP(VLOOKUP(A762,'[1]Sales Order'!A:G,7,FALSE),[1]Shipper!A:B,2,FALSE),"Not Specified")</f>
        <v>Shipper ETYNR</v>
      </c>
      <c r="O762" t="str">
        <f>IFERROR(VLOOKUP(A762,'[1]Sales Order'!A:I,9,FALSE),"Not Specified")</f>
        <v>Ship to 44-A</v>
      </c>
      <c r="P762" t="str">
        <f>IFERROR(VLOOKUP(A762,'[1]Sales Order'!A:N,14,FALSE),"Not Specified")</f>
        <v>Germany</v>
      </c>
      <c r="Q762" t="str">
        <f>VLOOKUP(VLOOKUP(B762,[1]Product!A:C,3,FALSE),[1]Supplier!A:B,2,FALSE)</f>
        <v>Supplier ERVYZ</v>
      </c>
      <c r="R762" t="str">
        <f>VLOOKUP(VLOOKUP(B762,[1]Product!A:C,3,FALSE),[1]Supplier!A:I,9,FALSE)</f>
        <v>Canada</v>
      </c>
      <c r="S762" t="str">
        <f>IFERROR(IF(VLOOKUP(A762,'[1]Sales Order'!A:H,8,FALSE)&gt;100,"High Freight","Low Freight"),"Not Specified")</f>
        <v>Low Freight</v>
      </c>
      <c r="T762">
        <f t="shared" si="23"/>
        <v>59.6</v>
      </c>
    </row>
    <row r="763" spans="1:20">
      <c r="A763" s="1">
        <v>10535</v>
      </c>
      <c r="B763" s="2">
        <v>11</v>
      </c>
      <c r="C763" s="2">
        <v>21</v>
      </c>
      <c r="D763" s="2">
        <v>50</v>
      </c>
      <c r="E763" s="3">
        <v>0.1</v>
      </c>
      <c r="F763" s="2" t="str">
        <f>IFERROR(VLOOKUP(VLOOKUP(A763,'[1]Sales Order'!A:B,2,FALSE),[1]Customer!A:C,3,FALSE),"Not Specified")</f>
        <v>Peoples, John</v>
      </c>
      <c r="G763" s="2" t="str">
        <f t="shared" si="22"/>
        <v>Peoples John</v>
      </c>
      <c r="H763" s="8" t="str">
        <f>IFERROR(VLOOKUP(VLOOKUP(A763,'[1]Sales Order'!A:C,3,FALSE),[1]Employee!A:E,5,FALSE)&amp;" "&amp;VLOOKUP(VLOOKUP(A763,'[1]Sales Order'!A:C,3,FALSE),[1]Employee!A:C,3,FALSE)&amp;" "&amp;VLOOKUP(VLOOKUP(A763,'[1]Sales Order'!A:C,3,FALSE),[1]Employee!A:B,2,FALSE),"Not Specified")</f>
        <v>Mrs. Yael Peled</v>
      </c>
      <c r="I763" t="str">
        <f>IFERROR(VLOOKUP(VLOOKUP(A763,'[1]Sales Order'!A:C,3,FALSE),[1]Employee!A:J,10,FALSE),"Not Specified")</f>
        <v>WA</v>
      </c>
      <c r="J763" t="str">
        <f>VLOOKUP(B763,[1]Product!A:B,2,FALSE)</f>
        <v>Product QMVUN</v>
      </c>
      <c r="K763" t="str">
        <f>VLOOKUP(VLOOKUP(B763,[1]Product!A:D,4,FALSE),[1]Category!A:B,2,FALSE)</f>
        <v>Dairy Product</v>
      </c>
      <c r="L763" s="10">
        <f>IFERROR(VLOOKUP(A763,'[1]Sales Order'!A:D,4,FALSE),"")</f>
        <v>39215</v>
      </c>
      <c r="M763" s="10">
        <f>IFERROR(VLOOKUP(A763,'[1]Sales Order'!A:F,6,FALSE),"")</f>
        <v>39223</v>
      </c>
      <c r="N763" t="str">
        <f>IFERROR(VLOOKUP(VLOOKUP(A763,'[1]Sales Order'!A:G,7,FALSE),[1]Shipper!A:B,2,FALSE),"Not Specified")</f>
        <v>Shipper GVSUA</v>
      </c>
      <c r="O763" t="str">
        <f>IFERROR(VLOOKUP(A763,'[1]Sales Order'!A:I,9,FALSE),"Not Specified")</f>
        <v>Destination FQFLS</v>
      </c>
      <c r="P763" t="str">
        <f>IFERROR(VLOOKUP(A763,'[1]Sales Order'!A:N,14,FALSE),"Not Specified")</f>
        <v>Mexico</v>
      </c>
      <c r="Q763" t="str">
        <f>VLOOKUP(VLOOKUP(B763,[1]Product!A:C,3,FALSE),[1]Supplier!A:B,2,FALSE)</f>
        <v>Supplier EQPNC</v>
      </c>
      <c r="R763" t="str">
        <f>VLOOKUP(VLOOKUP(B763,[1]Product!A:C,3,FALSE),[1]Supplier!A:I,9,FALSE)</f>
        <v>Spain</v>
      </c>
      <c r="S763" t="str">
        <f>IFERROR(IF(VLOOKUP(A763,'[1]Sales Order'!A:H,8,FALSE)&gt;100,"High Freight","Low Freight"),"Not Specified")</f>
        <v>Low Freight</v>
      </c>
      <c r="T763">
        <f t="shared" si="23"/>
        <v>945</v>
      </c>
    </row>
    <row r="764" spans="1:20">
      <c r="A764" s="1">
        <v>10535</v>
      </c>
      <c r="B764" s="2">
        <v>40</v>
      </c>
      <c r="C764" s="2">
        <v>18.399999999999999</v>
      </c>
      <c r="D764" s="2">
        <v>10</v>
      </c>
      <c r="E764" s="3">
        <v>0.1</v>
      </c>
      <c r="F764" s="2" t="str">
        <f>IFERROR(VLOOKUP(VLOOKUP(A764,'[1]Sales Order'!A:B,2,FALSE),[1]Customer!A:C,3,FALSE),"Not Specified")</f>
        <v>Peoples, John</v>
      </c>
      <c r="G764" s="2" t="str">
        <f t="shared" si="22"/>
        <v>Peoples John</v>
      </c>
      <c r="H764" s="8" t="str">
        <f>IFERROR(VLOOKUP(VLOOKUP(A764,'[1]Sales Order'!A:C,3,FALSE),[1]Employee!A:E,5,FALSE)&amp;" "&amp;VLOOKUP(VLOOKUP(A764,'[1]Sales Order'!A:C,3,FALSE),[1]Employee!A:C,3,FALSE)&amp;" "&amp;VLOOKUP(VLOOKUP(A764,'[1]Sales Order'!A:C,3,FALSE),[1]Employee!A:B,2,FALSE),"Not Specified")</f>
        <v>Mrs. Yael Peled</v>
      </c>
      <c r="I764" t="str">
        <f>IFERROR(VLOOKUP(VLOOKUP(A764,'[1]Sales Order'!A:C,3,FALSE),[1]Employee!A:J,10,FALSE),"Not Specified")</f>
        <v>WA</v>
      </c>
      <c r="J764" t="str">
        <f>VLOOKUP(B764,[1]Product!A:B,2,FALSE)</f>
        <v>Product YZIXQ</v>
      </c>
      <c r="K764" t="str">
        <f>VLOOKUP(VLOOKUP(B764,[1]Product!A:D,4,FALSE),[1]Category!A:B,2,FALSE)</f>
        <v>Seafood</v>
      </c>
      <c r="L764" s="10">
        <f>IFERROR(VLOOKUP(A764,'[1]Sales Order'!A:D,4,FALSE),"")</f>
        <v>39215</v>
      </c>
      <c r="M764" s="10">
        <f>IFERROR(VLOOKUP(A764,'[1]Sales Order'!A:F,6,FALSE),"")</f>
        <v>39223</v>
      </c>
      <c r="N764" t="str">
        <f>IFERROR(VLOOKUP(VLOOKUP(A764,'[1]Sales Order'!A:G,7,FALSE),[1]Shipper!A:B,2,FALSE),"Not Specified")</f>
        <v>Shipper GVSUA</v>
      </c>
      <c r="O764" t="str">
        <f>IFERROR(VLOOKUP(A764,'[1]Sales Order'!A:I,9,FALSE),"Not Specified")</f>
        <v>Destination FQFLS</v>
      </c>
      <c r="P764" t="str">
        <f>IFERROR(VLOOKUP(A764,'[1]Sales Order'!A:N,14,FALSE),"Not Specified")</f>
        <v>Mexico</v>
      </c>
      <c r="Q764" t="str">
        <f>VLOOKUP(VLOOKUP(B764,[1]Product!A:C,3,FALSE),[1]Supplier!A:B,2,FALSE)</f>
        <v>Supplier JDNUG</v>
      </c>
      <c r="R764" t="str">
        <f>VLOOKUP(VLOOKUP(B764,[1]Product!A:C,3,FALSE),[1]Supplier!A:I,9,FALSE)</f>
        <v>USA</v>
      </c>
      <c r="S764" t="str">
        <f>IFERROR(IF(VLOOKUP(A764,'[1]Sales Order'!A:H,8,FALSE)&gt;100,"High Freight","Low Freight"),"Not Specified")</f>
        <v>Low Freight</v>
      </c>
      <c r="T764">
        <f t="shared" si="23"/>
        <v>165.6</v>
      </c>
    </row>
    <row r="765" spans="1:20">
      <c r="A765" s="1">
        <v>10535</v>
      </c>
      <c r="B765" s="2">
        <v>57</v>
      </c>
      <c r="C765" s="2">
        <v>19.5</v>
      </c>
      <c r="D765" s="2">
        <v>5</v>
      </c>
      <c r="E765" s="3">
        <v>0.1</v>
      </c>
      <c r="F765" s="2" t="str">
        <f>IFERROR(VLOOKUP(VLOOKUP(A765,'[1]Sales Order'!A:B,2,FALSE),[1]Customer!A:C,3,FALSE),"Not Specified")</f>
        <v>Peoples, John</v>
      </c>
      <c r="G765" s="2" t="str">
        <f t="shared" si="22"/>
        <v>Peoples John</v>
      </c>
      <c r="H765" s="8" t="str">
        <f>IFERROR(VLOOKUP(VLOOKUP(A765,'[1]Sales Order'!A:C,3,FALSE),[1]Employee!A:E,5,FALSE)&amp;" "&amp;VLOOKUP(VLOOKUP(A765,'[1]Sales Order'!A:C,3,FALSE),[1]Employee!A:C,3,FALSE)&amp;" "&amp;VLOOKUP(VLOOKUP(A765,'[1]Sales Order'!A:C,3,FALSE),[1]Employee!A:B,2,FALSE),"Not Specified")</f>
        <v>Mrs. Yael Peled</v>
      </c>
      <c r="I765" t="str">
        <f>IFERROR(VLOOKUP(VLOOKUP(A765,'[1]Sales Order'!A:C,3,FALSE),[1]Employee!A:J,10,FALSE),"Not Specified")</f>
        <v>WA</v>
      </c>
      <c r="J765" t="str">
        <f>VLOOKUP(B765,[1]Product!A:B,2,FALSE)</f>
        <v>Product OVLQI</v>
      </c>
      <c r="K765" t="str">
        <f>VLOOKUP(VLOOKUP(B765,[1]Product!A:D,4,FALSE),[1]Category!A:B,2,FALSE)</f>
        <v>Grains/Cereals</v>
      </c>
      <c r="L765" s="10">
        <f>IFERROR(VLOOKUP(A765,'[1]Sales Order'!A:D,4,FALSE),"")</f>
        <v>39215</v>
      </c>
      <c r="M765" s="10">
        <f>IFERROR(VLOOKUP(A765,'[1]Sales Order'!A:F,6,FALSE),"")</f>
        <v>39223</v>
      </c>
      <c r="N765" t="str">
        <f>IFERROR(VLOOKUP(VLOOKUP(A765,'[1]Sales Order'!A:G,7,FALSE),[1]Shipper!A:B,2,FALSE),"Not Specified")</f>
        <v>Shipper GVSUA</v>
      </c>
      <c r="O765" t="str">
        <f>IFERROR(VLOOKUP(A765,'[1]Sales Order'!A:I,9,FALSE),"Not Specified")</f>
        <v>Destination FQFLS</v>
      </c>
      <c r="P765" t="str">
        <f>IFERROR(VLOOKUP(A765,'[1]Sales Order'!A:N,14,FALSE),"Not Specified")</f>
        <v>Mexico</v>
      </c>
      <c r="Q765" t="str">
        <f>VLOOKUP(VLOOKUP(B765,[1]Product!A:C,3,FALSE),[1]Supplier!A:B,2,FALSE)</f>
        <v>Supplier ZWZDM</v>
      </c>
      <c r="R765" t="str">
        <f>VLOOKUP(VLOOKUP(B765,[1]Product!A:C,3,FALSE),[1]Supplier!A:I,9,FALSE)</f>
        <v>Italy</v>
      </c>
      <c r="S765" t="str">
        <f>IFERROR(IF(VLOOKUP(A765,'[1]Sales Order'!A:H,8,FALSE)&gt;100,"High Freight","Low Freight"),"Not Specified")</f>
        <v>Low Freight</v>
      </c>
      <c r="T765">
        <f t="shared" si="23"/>
        <v>87.75</v>
      </c>
    </row>
    <row r="766" spans="1:20">
      <c r="A766" s="1">
        <v>10535</v>
      </c>
      <c r="B766" s="2">
        <v>59</v>
      </c>
      <c r="C766" s="2">
        <v>55</v>
      </c>
      <c r="D766" s="2">
        <v>15</v>
      </c>
      <c r="E766" s="3">
        <v>0.1</v>
      </c>
      <c r="F766" s="2" t="str">
        <f>IFERROR(VLOOKUP(VLOOKUP(A766,'[1]Sales Order'!A:B,2,FALSE),[1]Customer!A:C,3,FALSE),"Not Specified")</f>
        <v>Peoples, John</v>
      </c>
      <c r="G766" s="2" t="str">
        <f t="shared" si="22"/>
        <v>Peoples John</v>
      </c>
      <c r="H766" s="8" t="str">
        <f>IFERROR(VLOOKUP(VLOOKUP(A766,'[1]Sales Order'!A:C,3,FALSE),[1]Employee!A:E,5,FALSE)&amp;" "&amp;VLOOKUP(VLOOKUP(A766,'[1]Sales Order'!A:C,3,FALSE),[1]Employee!A:C,3,FALSE)&amp;" "&amp;VLOOKUP(VLOOKUP(A766,'[1]Sales Order'!A:C,3,FALSE),[1]Employee!A:B,2,FALSE),"Not Specified")</f>
        <v>Mrs. Yael Peled</v>
      </c>
      <c r="I766" t="str">
        <f>IFERROR(VLOOKUP(VLOOKUP(A766,'[1]Sales Order'!A:C,3,FALSE),[1]Employee!A:J,10,FALSE),"Not Specified")</f>
        <v>WA</v>
      </c>
      <c r="J766" t="str">
        <f>VLOOKUP(B766,[1]Product!A:B,2,FALSE)</f>
        <v>Product UKXRI</v>
      </c>
      <c r="K766" t="str">
        <f>VLOOKUP(VLOOKUP(B766,[1]Product!A:D,4,FALSE),[1]Category!A:B,2,FALSE)</f>
        <v>Dairy Product</v>
      </c>
      <c r="L766" s="10">
        <f>IFERROR(VLOOKUP(A766,'[1]Sales Order'!A:D,4,FALSE),"")</f>
        <v>39215</v>
      </c>
      <c r="M766" s="10">
        <f>IFERROR(VLOOKUP(A766,'[1]Sales Order'!A:F,6,FALSE),"")</f>
        <v>39223</v>
      </c>
      <c r="N766" t="str">
        <f>IFERROR(VLOOKUP(VLOOKUP(A766,'[1]Sales Order'!A:G,7,FALSE),[1]Shipper!A:B,2,FALSE),"Not Specified")</f>
        <v>Shipper GVSUA</v>
      </c>
      <c r="O766" t="str">
        <f>IFERROR(VLOOKUP(A766,'[1]Sales Order'!A:I,9,FALSE),"Not Specified")</f>
        <v>Destination FQFLS</v>
      </c>
      <c r="P766" t="str">
        <f>IFERROR(VLOOKUP(A766,'[1]Sales Order'!A:N,14,FALSE),"Not Specified")</f>
        <v>Mexico</v>
      </c>
      <c r="Q766" t="str">
        <f>VLOOKUP(VLOOKUP(B766,[1]Product!A:C,3,FALSE),[1]Supplier!A:B,2,FALSE)</f>
        <v>Supplier OAVQT</v>
      </c>
      <c r="R766" t="str">
        <f>VLOOKUP(VLOOKUP(B766,[1]Product!A:C,3,FALSE),[1]Supplier!A:I,9,FALSE)</f>
        <v>France</v>
      </c>
      <c r="S766" t="str">
        <f>IFERROR(IF(VLOOKUP(A766,'[1]Sales Order'!A:H,8,FALSE)&gt;100,"High Freight","Low Freight"),"Not Specified")</f>
        <v>Low Freight</v>
      </c>
      <c r="T766">
        <f t="shared" si="23"/>
        <v>742.5</v>
      </c>
    </row>
    <row r="767" spans="1:20">
      <c r="A767" s="1">
        <v>10536</v>
      </c>
      <c r="B767" s="2">
        <v>12</v>
      </c>
      <c r="C767" s="2">
        <v>38</v>
      </c>
      <c r="D767" s="2">
        <v>15</v>
      </c>
      <c r="E767" s="3">
        <v>0.25</v>
      </c>
      <c r="F767" s="2" t="str">
        <f>IFERROR(VLOOKUP(VLOOKUP(A767,'[1]Sales Order'!A:B,2,FALSE),[1]Customer!A:C,3,FALSE),"Not Specified")</f>
        <v>Louverdis, George</v>
      </c>
      <c r="G767" s="2" t="str">
        <f t="shared" si="22"/>
        <v>Louverdis George</v>
      </c>
      <c r="H767" s="8" t="str">
        <f>IFERROR(VLOOKUP(VLOOKUP(A767,'[1]Sales Order'!A:C,3,FALSE),[1]Employee!A:E,5,FALSE)&amp;" "&amp;VLOOKUP(VLOOKUP(A767,'[1]Sales Order'!A:C,3,FALSE),[1]Employee!A:C,3,FALSE)&amp;" "&amp;VLOOKUP(VLOOKUP(A767,'[1]Sales Order'!A:C,3,FALSE),[1]Employee!A:B,2,FALSE),"Not Specified")</f>
        <v>Ms. Judy Lew</v>
      </c>
      <c r="I767" t="str">
        <f>IFERROR(VLOOKUP(VLOOKUP(A767,'[1]Sales Order'!A:C,3,FALSE),[1]Employee!A:J,10,FALSE),"Not Specified")</f>
        <v>WA</v>
      </c>
      <c r="J767" t="str">
        <f>VLOOKUP(B767,[1]Product!A:B,2,FALSE)</f>
        <v>Product OSFNS</v>
      </c>
      <c r="K767" t="str">
        <f>VLOOKUP(VLOOKUP(B767,[1]Product!A:D,4,FALSE),[1]Category!A:B,2,FALSE)</f>
        <v>Dairy Product</v>
      </c>
      <c r="L767" s="10">
        <f>IFERROR(VLOOKUP(A767,'[1]Sales Order'!A:D,4,FALSE),"")</f>
        <v>39216</v>
      </c>
      <c r="M767" s="10">
        <f>IFERROR(VLOOKUP(A767,'[1]Sales Order'!A:F,6,FALSE),"")</f>
        <v>39239</v>
      </c>
      <c r="N767" t="str">
        <f>IFERROR(VLOOKUP(VLOOKUP(A767,'[1]Sales Order'!A:G,7,FALSE),[1]Shipper!A:B,2,FALSE),"Not Specified")</f>
        <v>Shipper ETYNR</v>
      </c>
      <c r="O767" t="str">
        <f>IFERROR(VLOOKUP(A767,'[1]Sales Order'!A:I,9,FALSE),"Not Specified")</f>
        <v>Ship to 44-B</v>
      </c>
      <c r="P767" t="str">
        <f>IFERROR(VLOOKUP(A767,'[1]Sales Order'!A:N,14,FALSE),"Not Specified")</f>
        <v>Germany</v>
      </c>
      <c r="Q767" t="str">
        <f>VLOOKUP(VLOOKUP(B767,[1]Product!A:C,3,FALSE),[1]Supplier!A:B,2,FALSE)</f>
        <v>Supplier EQPNC</v>
      </c>
      <c r="R767" t="str">
        <f>VLOOKUP(VLOOKUP(B767,[1]Product!A:C,3,FALSE),[1]Supplier!A:I,9,FALSE)</f>
        <v>Spain</v>
      </c>
      <c r="S767" t="str">
        <f>IFERROR(IF(VLOOKUP(A767,'[1]Sales Order'!A:H,8,FALSE)&gt;100,"High Freight","Low Freight"),"Not Specified")</f>
        <v>Low Freight</v>
      </c>
      <c r="T767">
        <f t="shared" si="23"/>
        <v>427.5</v>
      </c>
    </row>
    <row r="768" spans="1:20">
      <c r="A768" s="1">
        <v>10536</v>
      </c>
      <c r="B768" s="2">
        <v>31</v>
      </c>
      <c r="C768" s="2">
        <v>12.5</v>
      </c>
      <c r="D768" s="2">
        <v>20</v>
      </c>
      <c r="E768" s="3">
        <v>0</v>
      </c>
      <c r="F768" s="2" t="str">
        <f>IFERROR(VLOOKUP(VLOOKUP(A768,'[1]Sales Order'!A:B,2,FALSE),[1]Customer!A:C,3,FALSE),"Not Specified")</f>
        <v>Louverdis, George</v>
      </c>
      <c r="G768" s="2" t="str">
        <f t="shared" si="22"/>
        <v>Louverdis George</v>
      </c>
      <c r="H768" s="8" t="str">
        <f>IFERROR(VLOOKUP(VLOOKUP(A768,'[1]Sales Order'!A:C,3,FALSE),[1]Employee!A:E,5,FALSE)&amp;" "&amp;VLOOKUP(VLOOKUP(A768,'[1]Sales Order'!A:C,3,FALSE),[1]Employee!A:C,3,FALSE)&amp;" "&amp;VLOOKUP(VLOOKUP(A768,'[1]Sales Order'!A:C,3,FALSE),[1]Employee!A:B,2,FALSE),"Not Specified")</f>
        <v>Ms. Judy Lew</v>
      </c>
      <c r="I768" t="str">
        <f>IFERROR(VLOOKUP(VLOOKUP(A768,'[1]Sales Order'!A:C,3,FALSE),[1]Employee!A:J,10,FALSE),"Not Specified")</f>
        <v>WA</v>
      </c>
      <c r="J768" t="str">
        <f>VLOOKUP(B768,[1]Product!A:B,2,FALSE)</f>
        <v>Product XWOXC</v>
      </c>
      <c r="K768" t="str">
        <f>VLOOKUP(VLOOKUP(B768,[1]Product!A:D,4,FALSE),[1]Category!A:B,2,FALSE)</f>
        <v>Dairy Product</v>
      </c>
      <c r="L768" s="10">
        <f>IFERROR(VLOOKUP(A768,'[1]Sales Order'!A:D,4,FALSE),"")</f>
        <v>39216</v>
      </c>
      <c r="M768" s="10">
        <f>IFERROR(VLOOKUP(A768,'[1]Sales Order'!A:F,6,FALSE),"")</f>
        <v>39239</v>
      </c>
      <c r="N768" t="str">
        <f>IFERROR(VLOOKUP(VLOOKUP(A768,'[1]Sales Order'!A:G,7,FALSE),[1]Shipper!A:B,2,FALSE),"Not Specified")</f>
        <v>Shipper ETYNR</v>
      </c>
      <c r="O768" t="str">
        <f>IFERROR(VLOOKUP(A768,'[1]Sales Order'!A:I,9,FALSE),"Not Specified")</f>
        <v>Ship to 44-B</v>
      </c>
      <c r="P768" t="str">
        <f>IFERROR(VLOOKUP(A768,'[1]Sales Order'!A:N,14,FALSE),"Not Specified")</f>
        <v>Germany</v>
      </c>
      <c r="Q768" t="str">
        <f>VLOOKUP(VLOOKUP(B768,[1]Product!A:C,3,FALSE),[1]Supplier!A:B,2,FALSE)</f>
        <v>Supplier KEREV</v>
      </c>
      <c r="R768" t="str">
        <f>VLOOKUP(VLOOKUP(B768,[1]Product!A:C,3,FALSE),[1]Supplier!A:I,9,FALSE)</f>
        <v>Italy</v>
      </c>
      <c r="S768" t="str">
        <f>IFERROR(IF(VLOOKUP(A768,'[1]Sales Order'!A:H,8,FALSE)&gt;100,"High Freight","Low Freight"),"Not Specified")</f>
        <v>Low Freight</v>
      </c>
      <c r="T768">
        <f t="shared" si="23"/>
        <v>250</v>
      </c>
    </row>
    <row r="769" spans="1:20">
      <c r="A769" s="1">
        <v>10536</v>
      </c>
      <c r="B769" s="2">
        <v>33</v>
      </c>
      <c r="C769" s="2">
        <v>2.5</v>
      </c>
      <c r="D769" s="2">
        <v>30</v>
      </c>
      <c r="E769" s="3">
        <v>0</v>
      </c>
      <c r="F769" s="2" t="str">
        <f>IFERROR(VLOOKUP(VLOOKUP(A769,'[1]Sales Order'!A:B,2,FALSE),[1]Customer!A:C,3,FALSE),"Not Specified")</f>
        <v>Louverdis, George</v>
      </c>
      <c r="G769" s="2" t="str">
        <f t="shared" si="22"/>
        <v>Louverdis George</v>
      </c>
      <c r="H769" s="8" t="str">
        <f>IFERROR(VLOOKUP(VLOOKUP(A769,'[1]Sales Order'!A:C,3,FALSE),[1]Employee!A:E,5,FALSE)&amp;" "&amp;VLOOKUP(VLOOKUP(A769,'[1]Sales Order'!A:C,3,FALSE),[1]Employee!A:C,3,FALSE)&amp;" "&amp;VLOOKUP(VLOOKUP(A769,'[1]Sales Order'!A:C,3,FALSE),[1]Employee!A:B,2,FALSE),"Not Specified")</f>
        <v>Ms. Judy Lew</v>
      </c>
      <c r="I769" t="str">
        <f>IFERROR(VLOOKUP(VLOOKUP(A769,'[1]Sales Order'!A:C,3,FALSE),[1]Employee!A:J,10,FALSE),"Not Specified")</f>
        <v>WA</v>
      </c>
      <c r="J769" t="str">
        <f>VLOOKUP(B769,[1]Product!A:B,2,FALSE)</f>
        <v>Product ASTMN</v>
      </c>
      <c r="K769" t="str">
        <f>VLOOKUP(VLOOKUP(B769,[1]Product!A:D,4,FALSE),[1]Category!A:B,2,FALSE)</f>
        <v>Dairy Product</v>
      </c>
      <c r="L769" s="10">
        <f>IFERROR(VLOOKUP(A769,'[1]Sales Order'!A:D,4,FALSE),"")</f>
        <v>39216</v>
      </c>
      <c r="M769" s="10">
        <f>IFERROR(VLOOKUP(A769,'[1]Sales Order'!A:F,6,FALSE),"")</f>
        <v>39239</v>
      </c>
      <c r="N769" t="str">
        <f>IFERROR(VLOOKUP(VLOOKUP(A769,'[1]Sales Order'!A:G,7,FALSE),[1]Shipper!A:B,2,FALSE),"Not Specified")</f>
        <v>Shipper ETYNR</v>
      </c>
      <c r="O769" t="str">
        <f>IFERROR(VLOOKUP(A769,'[1]Sales Order'!A:I,9,FALSE),"Not Specified")</f>
        <v>Ship to 44-B</v>
      </c>
      <c r="P769" t="str">
        <f>IFERROR(VLOOKUP(A769,'[1]Sales Order'!A:N,14,FALSE),"Not Specified")</f>
        <v>Germany</v>
      </c>
      <c r="Q769" t="str">
        <f>VLOOKUP(VLOOKUP(B769,[1]Product!A:C,3,FALSE),[1]Supplier!A:B,2,FALSE)</f>
        <v>Supplier NZLIF</v>
      </c>
      <c r="R769" t="str">
        <f>VLOOKUP(VLOOKUP(B769,[1]Product!A:C,3,FALSE),[1]Supplier!A:I,9,FALSE)</f>
        <v>Norway</v>
      </c>
      <c r="S769" t="str">
        <f>IFERROR(IF(VLOOKUP(A769,'[1]Sales Order'!A:H,8,FALSE)&gt;100,"High Freight","Low Freight"),"Not Specified")</f>
        <v>Low Freight</v>
      </c>
      <c r="T769">
        <f t="shared" si="23"/>
        <v>75</v>
      </c>
    </row>
    <row r="770" spans="1:20">
      <c r="A770" s="1">
        <v>10536</v>
      </c>
      <c r="B770" s="2">
        <v>60</v>
      </c>
      <c r="C770" s="2">
        <v>34</v>
      </c>
      <c r="D770" s="2">
        <v>35</v>
      </c>
      <c r="E770" s="3">
        <v>0.25</v>
      </c>
      <c r="F770" s="2" t="str">
        <f>IFERROR(VLOOKUP(VLOOKUP(A770,'[1]Sales Order'!A:B,2,FALSE),[1]Customer!A:C,3,FALSE),"Not Specified")</f>
        <v>Louverdis, George</v>
      </c>
      <c r="G770" s="2" t="str">
        <f t="shared" si="22"/>
        <v>Louverdis George</v>
      </c>
      <c r="H770" s="8" t="str">
        <f>IFERROR(VLOOKUP(VLOOKUP(A770,'[1]Sales Order'!A:C,3,FALSE),[1]Employee!A:E,5,FALSE)&amp;" "&amp;VLOOKUP(VLOOKUP(A770,'[1]Sales Order'!A:C,3,FALSE),[1]Employee!A:C,3,FALSE)&amp;" "&amp;VLOOKUP(VLOOKUP(A770,'[1]Sales Order'!A:C,3,FALSE),[1]Employee!A:B,2,FALSE),"Not Specified")</f>
        <v>Ms. Judy Lew</v>
      </c>
      <c r="I770" t="str">
        <f>IFERROR(VLOOKUP(VLOOKUP(A770,'[1]Sales Order'!A:C,3,FALSE),[1]Employee!A:J,10,FALSE),"Not Specified")</f>
        <v>WA</v>
      </c>
      <c r="J770" t="str">
        <f>VLOOKUP(B770,[1]Product!A:B,2,FALSE)</f>
        <v>Product WHBYK</v>
      </c>
      <c r="K770" t="str">
        <f>VLOOKUP(VLOOKUP(B770,[1]Product!A:D,4,FALSE),[1]Category!A:B,2,FALSE)</f>
        <v>Dairy Product</v>
      </c>
      <c r="L770" s="10">
        <f>IFERROR(VLOOKUP(A770,'[1]Sales Order'!A:D,4,FALSE),"")</f>
        <v>39216</v>
      </c>
      <c r="M770" s="10">
        <f>IFERROR(VLOOKUP(A770,'[1]Sales Order'!A:F,6,FALSE),"")</f>
        <v>39239</v>
      </c>
      <c r="N770" t="str">
        <f>IFERROR(VLOOKUP(VLOOKUP(A770,'[1]Sales Order'!A:G,7,FALSE),[1]Shipper!A:B,2,FALSE),"Not Specified")</f>
        <v>Shipper ETYNR</v>
      </c>
      <c r="O770" t="str">
        <f>IFERROR(VLOOKUP(A770,'[1]Sales Order'!A:I,9,FALSE),"Not Specified")</f>
        <v>Ship to 44-B</v>
      </c>
      <c r="P770" t="str">
        <f>IFERROR(VLOOKUP(A770,'[1]Sales Order'!A:N,14,FALSE),"Not Specified")</f>
        <v>Germany</v>
      </c>
      <c r="Q770" t="str">
        <f>VLOOKUP(VLOOKUP(B770,[1]Product!A:C,3,FALSE),[1]Supplier!A:B,2,FALSE)</f>
        <v>Supplier OAVQT</v>
      </c>
      <c r="R770" t="str">
        <f>VLOOKUP(VLOOKUP(B770,[1]Product!A:C,3,FALSE),[1]Supplier!A:I,9,FALSE)</f>
        <v>France</v>
      </c>
      <c r="S770" t="str">
        <f>IFERROR(IF(VLOOKUP(A770,'[1]Sales Order'!A:H,8,FALSE)&gt;100,"High Freight","Low Freight"),"Not Specified")</f>
        <v>Low Freight</v>
      </c>
      <c r="T770">
        <f t="shared" si="23"/>
        <v>892.5</v>
      </c>
    </row>
    <row r="771" spans="1:20">
      <c r="A771" s="1">
        <v>10537</v>
      </c>
      <c r="B771" s="2">
        <v>31</v>
      </c>
      <c r="C771" s="2">
        <v>12.5</v>
      </c>
      <c r="D771" s="2">
        <v>30</v>
      </c>
      <c r="E771" s="3">
        <v>0</v>
      </c>
      <c r="F771" s="2" t="str">
        <f>IFERROR(VLOOKUP(VLOOKUP(A771,'[1]Sales Order'!A:B,2,FALSE),[1]Customer!A:C,3,FALSE),"Not Specified")</f>
        <v>Myrcha, Jacek</v>
      </c>
      <c r="G771" s="2" t="str">
        <f t="shared" ref="G771:G834" si="24">SUBSTITUTE(F771,",","",1)</f>
        <v>Myrcha Jacek</v>
      </c>
      <c r="H771" s="8" t="str">
        <f>IFERROR(VLOOKUP(VLOOKUP(A771,'[1]Sales Order'!A:C,3,FALSE),[1]Employee!A:E,5,FALSE)&amp;" "&amp;VLOOKUP(VLOOKUP(A771,'[1]Sales Order'!A:C,3,FALSE),[1]Employee!A:C,3,FALSE)&amp;" "&amp;VLOOKUP(VLOOKUP(A771,'[1]Sales Order'!A:C,3,FALSE),[1]Employee!A:B,2,FALSE),"Not Specified")</f>
        <v>Ms. Sara Davis</v>
      </c>
      <c r="I771" t="str">
        <f>IFERROR(VLOOKUP(VLOOKUP(A771,'[1]Sales Order'!A:C,3,FALSE),[1]Employee!A:J,10,FALSE),"Not Specified")</f>
        <v>WA</v>
      </c>
      <c r="J771" t="str">
        <f>VLOOKUP(B771,[1]Product!A:B,2,FALSE)</f>
        <v>Product XWOXC</v>
      </c>
      <c r="K771" t="str">
        <f>VLOOKUP(VLOOKUP(B771,[1]Product!A:D,4,FALSE),[1]Category!A:B,2,FALSE)</f>
        <v>Dairy Product</v>
      </c>
      <c r="L771" s="10">
        <f>IFERROR(VLOOKUP(A771,'[1]Sales Order'!A:D,4,FALSE),"")</f>
        <v>39216</v>
      </c>
      <c r="M771" s="10">
        <f>IFERROR(VLOOKUP(A771,'[1]Sales Order'!A:F,6,FALSE),"")</f>
        <v>39221</v>
      </c>
      <c r="N771" t="str">
        <f>IFERROR(VLOOKUP(VLOOKUP(A771,'[1]Sales Order'!A:G,7,FALSE),[1]Shipper!A:B,2,FALSE),"Not Specified")</f>
        <v>Shipper GVSUA</v>
      </c>
      <c r="O771" t="str">
        <f>IFERROR(VLOOKUP(A771,'[1]Sales Order'!A:I,9,FALSE),"Not Specified")</f>
        <v>Ship to 68-B</v>
      </c>
      <c r="P771" t="str">
        <f>IFERROR(VLOOKUP(A771,'[1]Sales Order'!A:N,14,FALSE),"Not Specified")</f>
        <v>Switzerland</v>
      </c>
      <c r="Q771" t="str">
        <f>VLOOKUP(VLOOKUP(B771,[1]Product!A:C,3,FALSE),[1]Supplier!A:B,2,FALSE)</f>
        <v>Supplier KEREV</v>
      </c>
      <c r="R771" t="str">
        <f>VLOOKUP(VLOOKUP(B771,[1]Product!A:C,3,FALSE),[1]Supplier!A:I,9,FALSE)</f>
        <v>Italy</v>
      </c>
      <c r="S771" t="str">
        <f>IFERROR(IF(VLOOKUP(A771,'[1]Sales Order'!A:H,8,FALSE)&gt;100,"High Freight","Low Freight"),"Not Specified")</f>
        <v>Low Freight</v>
      </c>
      <c r="T771">
        <f t="shared" ref="T771:T834" si="25">C771*D771*(1-E771)</f>
        <v>375</v>
      </c>
    </row>
    <row r="772" spans="1:20">
      <c r="A772" s="1">
        <v>10537</v>
      </c>
      <c r="B772" s="2">
        <v>51</v>
      </c>
      <c r="C772" s="2">
        <v>53</v>
      </c>
      <c r="D772" s="2">
        <v>6</v>
      </c>
      <c r="E772" s="3">
        <v>0</v>
      </c>
      <c r="F772" s="2" t="str">
        <f>IFERROR(VLOOKUP(VLOOKUP(A772,'[1]Sales Order'!A:B,2,FALSE),[1]Customer!A:C,3,FALSE),"Not Specified")</f>
        <v>Myrcha, Jacek</v>
      </c>
      <c r="G772" s="2" t="str">
        <f t="shared" si="24"/>
        <v>Myrcha Jacek</v>
      </c>
      <c r="H772" s="8" t="str">
        <f>IFERROR(VLOOKUP(VLOOKUP(A772,'[1]Sales Order'!A:C,3,FALSE),[1]Employee!A:E,5,FALSE)&amp;" "&amp;VLOOKUP(VLOOKUP(A772,'[1]Sales Order'!A:C,3,FALSE),[1]Employee!A:C,3,FALSE)&amp;" "&amp;VLOOKUP(VLOOKUP(A772,'[1]Sales Order'!A:C,3,FALSE),[1]Employee!A:B,2,FALSE),"Not Specified")</f>
        <v>Ms. Sara Davis</v>
      </c>
      <c r="I772" t="str">
        <f>IFERROR(VLOOKUP(VLOOKUP(A772,'[1]Sales Order'!A:C,3,FALSE),[1]Employee!A:J,10,FALSE),"Not Specified")</f>
        <v>WA</v>
      </c>
      <c r="J772" t="str">
        <f>VLOOKUP(B772,[1]Product!A:B,2,FALSE)</f>
        <v>Product APITJ</v>
      </c>
      <c r="K772" t="str">
        <f>VLOOKUP(VLOOKUP(B772,[1]Product!A:D,4,FALSE),[1]Category!A:B,2,FALSE)</f>
        <v>Produce</v>
      </c>
      <c r="L772" s="10">
        <f>IFERROR(VLOOKUP(A772,'[1]Sales Order'!A:D,4,FALSE),"")</f>
        <v>39216</v>
      </c>
      <c r="M772" s="10">
        <f>IFERROR(VLOOKUP(A772,'[1]Sales Order'!A:F,6,FALSE),"")</f>
        <v>39221</v>
      </c>
      <c r="N772" t="str">
        <f>IFERROR(VLOOKUP(VLOOKUP(A772,'[1]Sales Order'!A:G,7,FALSE),[1]Shipper!A:B,2,FALSE),"Not Specified")</f>
        <v>Shipper GVSUA</v>
      </c>
      <c r="O772" t="str">
        <f>IFERROR(VLOOKUP(A772,'[1]Sales Order'!A:I,9,FALSE),"Not Specified")</f>
        <v>Ship to 68-B</v>
      </c>
      <c r="P772" t="str">
        <f>IFERROR(VLOOKUP(A772,'[1]Sales Order'!A:N,14,FALSE),"Not Specified")</f>
        <v>Switzerland</v>
      </c>
      <c r="Q772" t="str">
        <f>VLOOKUP(VLOOKUP(B772,[1]Product!A:C,3,FALSE),[1]Supplier!A:B,2,FALSE)</f>
        <v>Supplier JNNES</v>
      </c>
      <c r="R772" t="str">
        <f>VLOOKUP(VLOOKUP(B772,[1]Product!A:C,3,FALSE),[1]Supplier!A:I,9,FALSE)</f>
        <v>Australia</v>
      </c>
      <c r="S772" t="str">
        <f>IFERROR(IF(VLOOKUP(A772,'[1]Sales Order'!A:H,8,FALSE)&gt;100,"High Freight","Low Freight"),"Not Specified")</f>
        <v>Low Freight</v>
      </c>
      <c r="T772">
        <f t="shared" si="25"/>
        <v>318</v>
      </c>
    </row>
    <row r="773" spans="1:20">
      <c r="A773" s="1">
        <v>10537</v>
      </c>
      <c r="B773" s="2">
        <v>58</v>
      </c>
      <c r="C773" s="2">
        <v>13.25</v>
      </c>
      <c r="D773" s="2">
        <v>20</v>
      </c>
      <c r="E773" s="3">
        <v>0</v>
      </c>
      <c r="F773" s="2" t="str">
        <f>IFERROR(VLOOKUP(VLOOKUP(A773,'[1]Sales Order'!A:B,2,FALSE),[1]Customer!A:C,3,FALSE),"Not Specified")</f>
        <v>Myrcha, Jacek</v>
      </c>
      <c r="G773" s="2" t="str">
        <f t="shared" si="24"/>
        <v>Myrcha Jacek</v>
      </c>
      <c r="H773" s="8" t="str">
        <f>IFERROR(VLOOKUP(VLOOKUP(A773,'[1]Sales Order'!A:C,3,FALSE),[1]Employee!A:E,5,FALSE)&amp;" "&amp;VLOOKUP(VLOOKUP(A773,'[1]Sales Order'!A:C,3,FALSE),[1]Employee!A:C,3,FALSE)&amp;" "&amp;VLOOKUP(VLOOKUP(A773,'[1]Sales Order'!A:C,3,FALSE),[1]Employee!A:B,2,FALSE),"Not Specified")</f>
        <v>Ms. Sara Davis</v>
      </c>
      <c r="I773" t="str">
        <f>IFERROR(VLOOKUP(VLOOKUP(A773,'[1]Sales Order'!A:C,3,FALSE),[1]Employee!A:J,10,FALSE),"Not Specified")</f>
        <v>WA</v>
      </c>
      <c r="J773" t="str">
        <f>VLOOKUP(B773,[1]Product!A:B,2,FALSE)</f>
        <v>Product ACRVI</v>
      </c>
      <c r="K773" t="str">
        <f>VLOOKUP(VLOOKUP(B773,[1]Product!A:D,4,FALSE),[1]Category!A:B,2,FALSE)</f>
        <v>Seafood</v>
      </c>
      <c r="L773" s="10">
        <f>IFERROR(VLOOKUP(A773,'[1]Sales Order'!A:D,4,FALSE),"")</f>
        <v>39216</v>
      </c>
      <c r="M773" s="10">
        <f>IFERROR(VLOOKUP(A773,'[1]Sales Order'!A:F,6,FALSE),"")</f>
        <v>39221</v>
      </c>
      <c r="N773" t="str">
        <f>IFERROR(VLOOKUP(VLOOKUP(A773,'[1]Sales Order'!A:G,7,FALSE),[1]Shipper!A:B,2,FALSE),"Not Specified")</f>
        <v>Shipper GVSUA</v>
      </c>
      <c r="O773" t="str">
        <f>IFERROR(VLOOKUP(A773,'[1]Sales Order'!A:I,9,FALSE),"Not Specified")</f>
        <v>Ship to 68-B</v>
      </c>
      <c r="P773" t="str">
        <f>IFERROR(VLOOKUP(A773,'[1]Sales Order'!A:N,14,FALSE),"Not Specified")</f>
        <v>Switzerland</v>
      </c>
      <c r="Q773" t="str">
        <f>VLOOKUP(VLOOKUP(B773,[1]Product!A:C,3,FALSE),[1]Supplier!A:B,2,FALSE)</f>
        <v>Supplier ZRYDZ</v>
      </c>
      <c r="R773" t="str">
        <f>VLOOKUP(VLOOKUP(B773,[1]Product!A:C,3,FALSE),[1]Supplier!A:I,9,FALSE)</f>
        <v>France</v>
      </c>
      <c r="S773" t="str">
        <f>IFERROR(IF(VLOOKUP(A773,'[1]Sales Order'!A:H,8,FALSE)&gt;100,"High Freight","Low Freight"),"Not Specified")</f>
        <v>Low Freight</v>
      </c>
      <c r="T773">
        <f t="shared" si="25"/>
        <v>265</v>
      </c>
    </row>
    <row r="774" spans="1:20">
      <c r="A774" s="1">
        <v>10537</v>
      </c>
      <c r="B774" s="2">
        <v>72</v>
      </c>
      <c r="C774" s="2">
        <v>34.799999999999997</v>
      </c>
      <c r="D774" s="2">
        <v>21</v>
      </c>
      <c r="E774" s="3">
        <v>0</v>
      </c>
      <c r="F774" s="2" t="str">
        <f>IFERROR(VLOOKUP(VLOOKUP(A774,'[1]Sales Order'!A:B,2,FALSE),[1]Customer!A:C,3,FALSE),"Not Specified")</f>
        <v>Myrcha, Jacek</v>
      </c>
      <c r="G774" s="2" t="str">
        <f t="shared" si="24"/>
        <v>Myrcha Jacek</v>
      </c>
      <c r="H774" s="8" t="str">
        <f>IFERROR(VLOOKUP(VLOOKUP(A774,'[1]Sales Order'!A:C,3,FALSE),[1]Employee!A:E,5,FALSE)&amp;" "&amp;VLOOKUP(VLOOKUP(A774,'[1]Sales Order'!A:C,3,FALSE),[1]Employee!A:C,3,FALSE)&amp;" "&amp;VLOOKUP(VLOOKUP(A774,'[1]Sales Order'!A:C,3,FALSE),[1]Employee!A:B,2,FALSE),"Not Specified")</f>
        <v>Ms. Sara Davis</v>
      </c>
      <c r="I774" t="str">
        <f>IFERROR(VLOOKUP(VLOOKUP(A774,'[1]Sales Order'!A:C,3,FALSE),[1]Employee!A:J,10,FALSE),"Not Specified")</f>
        <v>WA</v>
      </c>
      <c r="J774" t="str">
        <f>VLOOKUP(B774,[1]Product!A:B,2,FALSE)</f>
        <v>Product GEEOO</v>
      </c>
      <c r="K774" t="str">
        <f>VLOOKUP(VLOOKUP(B774,[1]Product!A:D,4,FALSE),[1]Category!A:B,2,FALSE)</f>
        <v>Dairy Product</v>
      </c>
      <c r="L774" s="10">
        <f>IFERROR(VLOOKUP(A774,'[1]Sales Order'!A:D,4,FALSE),"")</f>
        <v>39216</v>
      </c>
      <c r="M774" s="10">
        <f>IFERROR(VLOOKUP(A774,'[1]Sales Order'!A:F,6,FALSE),"")</f>
        <v>39221</v>
      </c>
      <c r="N774" t="str">
        <f>IFERROR(VLOOKUP(VLOOKUP(A774,'[1]Sales Order'!A:G,7,FALSE),[1]Shipper!A:B,2,FALSE),"Not Specified")</f>
        <v>Shipper GVSUA</v>
      </c>
      <c r="O774" t="str">
        <f>IFERROR(VLOOKUP(A774,'[1]Sales Order'!A:I,9,FALSE),"Not Specified")</f>
        <v>Ship to 68-B</v>
      </c>
      <c r="P774" t="str">
        <f>IFERROR(VLOOKUP(A774,'[1]Sales Order'!A:N,14,FALSE),"Not Specified")</f>
        <v>Switzerland</v>
      </c>
      <c r="Q774" t="str">
        <f>VLOOKUP(VLOOKUP(B774,[1]Product!A:C,3,FALSE),[1]Supplier!A:B,2,FALSE)</f>
        <v>Supplier KEREV</v>
      </c>
      <c r="R774" t="str">
        <f>VLOOKUP(VLOOKUP(B774,[1]Product!A:C,3,FALSE),[1]Supplier!A:I,9,FALSE)</f>
        <v>Italy</v>
      </c>
      <c r="S774" t="str">
        <f>IFERROR(IF(VLOOKUP(A774,'[1]Sales Order'!A:H,8,FALSE)&gt;100,"High Freight","Low Freight"),"Not Specified")</f>
        <v>Low Freight</v>
      </c>
      <c r="T774">
        <f t="shared" si="25"/>
        <v>730.8</v>
      </c>
    </row>
    <row r="775" spans="1:20">
      <c r="A775" s="1">
        <v>10537</v>
      </c>
      <c r="B775" s="2">
        <v>73</v>
      </c>
      <c r="C775" s="2">
        <v>15</v>
      </c>
      <c r="D775" s="2">
        <v>9</v>
      </c>
      <c r="E775" s="3">
        <v>0</v>
      </c>
      <c r="F775" s="2" t="str">
        <f>IFERROR(VLOOKUP(VLOOKUP(A775,'[1]Sales Order'!A:B,2,FALSE),[1]Customer!A:C,3,FALSE),"Not Specified")</f>
        <v>Myrcha, Jacek</v>
      </c>
      <c r="G775" s="2" t="str">
        <f t="shared" si="24"/>
        <v>Myrcha Jacek</v>
      </c>
      <c r="H775" s="8" t="str">
        <f>IFERROR(VLOOKUP(VLOOKUP(A775,'[1]Sales Order'!A:C,3,FALSE),[1]Employee!A:E,5,FALSE)&amp;" "&amp;VLOOKUP(VLOOKUP(A775,'[1]Sales Order'!A:C,3,FALSE),[1]Employee!A:C,3,FALSE)&amp;" "&amp;VLOOKUP(VLOOKUP(A775,'[1]Sales Order'!A:C,3,FALSE),[1]Employee!A:B,2,FALSE),"Not Specified")</f>
        <v>Ms. Sara Davis</v>
      </c>
      <c r="I775" t="str">
        <f>IFERROR(VLOOKUP(VLOOKUP(A775,'[1]Sales Order'!A:C,3,FALSE),[1]Employee!A:J,10,FALSE),"Not Specified")</f>
        <v>WA</v>
      </c>
      <c r="J775" t="str">
        <f>VLOOKUP(B775,[1]Product!A:B,2,FALSE)</f>
        <v>Product WEUJZ</v>
      </c>
      <c r="K775" t="str">
        <f>VLOOKUP(VLOOKUP(B775,[1]Product!A:D,4,FALSE),[1]Category!A:B,2,FALSE)</f>
        <v>Seafood</v>
      </c>
      <c r="L775" s="10">
        <f>IFERROR(VLOOKUP(A775,'[1]Sales Order'!A:D,4,FALSE),"")</f>
        <v>39216</v>
      </c>
      <c r="M775" s="10">
        <f>IFERROR(VLOOKUP(A775,'[1]Sales Order'!A:F,6,FALSE),"")</f>
        <v>39221</v>
      </c>
      <c r="N775" t="str">
        <f>IFERROR(VLOOKUP(VLOOKUP(A775,'[1]Sales Order'!A:G,7,FALSE),[1]Shipper!A:B,2,FALSE),"Not Specified")</f>
        <v>Shipper GVSUA</v>
      </c>
      <c r="O775" t="str">
        <f>IFERROR(VLOOKUP(A775,'[1]Sales Order'!A:I,9,FALSE),"Not Specified")</f>
        <v>Ship to 68-B</v>
      </c>
      <c r="P775" t="str">
        <f>IFERROR(VLOOKUP(A775,'[1]Sales Order'!A:N,14,FALSE),"Not Specified")</f>
        <v>Switzerland</v>
      </c>
      <c r="Q775" t="str">
        <f>VLOOKUP(VLOOKUP(B775,[1]Product!A:C,3,FALSE),[1]Supplier!A:B,2,FALSE)</f>
        <v>Supplier QZGUF</v>
      </c>
      <c r="R775" t="str">
        <f>VLOOKUP(VLOOKUP(B775,[1]Product!A:C,3,FALSE),[1]Supplier!A:I,9,FALSE)</f>
        <v>Sweden</v>
      </c>
      <c r="S775" t="str">
        <f>IFERROR(IF(VLOOKUP(A775,'[1]Sales Order'!A:H,8,FALSE)&gt;100,"High Freight","Low Freight"),"Not Specified")</f>
        <v>Low Freight</v>
      </c>
      <c r="T775">
        <f t="shared" si="25"/>
        <v>135</v>
      </c>
    </row>
    <row r="776" spans="1:20">
      <c r="A776" s="1">
        <v>10538</v>
      </c>
      <c r="B776" s="2">
        <v>70</v>
      </c>
      <c r="C776" s="2">
        <v>15</v>
      </c>
      <c r="D776" s="2">
        <v>7</v>
      </c>
      <c r="E776" s="3">
        <v>0</v>
      </c>
      <c r="F776" s="2" t="str">
        <f>IFERROR(VLOOKUP(VLOOKUP(A776,'[1]Sales Order'!A:B,2,FALSE),[1]Customer!A:C,3,FALSE),"Not Specified")</f>
        <v>Jaffe, David</v>
      </c>
      <c r="G776" s="2" t="str">
        <f t="shared" si="24"/>
        <v>Jaffe David</v>
      </c>
      <c r="H776" s="8" t="str">
        <f>IFERROR(VLOOKUP(VLOOKUP(A776,'[1]Sales Order'!A:C,3,FALSE),[1]Employee!A:E,5,FALSE)&amp;" "&amp;VLOOKUP(VLOOKUP(A776,'[1]Sales Order'!A:C,3,FALSE),[1]Employee!A:C,3,FALSE)&amp;" "&amp;VLOOKUP(VLOOKUP(A776,'[1]Sales Order'!A:C,3,FALSE),[1]Employee!A:B,2,FALSE),"Not Specified")</f>
        <v>Ms. Zoya Dolgopyatova</v>
      </c>
      <c r="I776">
        <f>IFERROR(VLOOKUP(VLOOKUP(A776,'[1]Sales Order'!A:C,3,FALSE),[1]Employee!A:J,10,FALSE),"Not Specified")</f>
        <v>0</v>
      </c>
      <c r="J776" t="str">
        <f>VLOOKUP(B776,[1]Product!A:B,2,FALSE)</f>
        <v>Product TOONT</v>
      </c>
      <c r="K776" t="str">
        <f>VLOOKUP(VLOOKUP(B776,[1]Product!A:D,4,FALSE),[1]Category!A:B,2,FALSE)</f>
        <v>Beverages</v>
      </c>
      <c r="L776" s="10">
        <f>IFERROR(VLOOKUP(A776,'[1]Sales Order'!A:D,4,FALSE),"")</f>
        <v>39217</v>
      </c>
      <c r="M776" s="10">
        <f>IFERROR(VLOOKUP(A776,'[1]Sales Order'!A:F,6,FALSE),"")</f>
        <v>39218</v>
      </c>
      <c r="N776" t="str">
        <f>IFERROR(VLOOKUP(VLOOKUP(A776,'[1]Sales Order'!A:G,7,FALSE),[1]Shipper!A:B,2,FALSE),"Not Specified")</f>
        <v>Shipper ZHISN</v>
      </c>
      <c r="O776" t="str">
        <f>IFERROR(VLOOKUP(A776,'[1]Sales Order'!A:I,9,FALSE),"Not Specified")</f>
        <v>Destination DLEUN</v>
      </c>
      <c r="P776" t="str">
        <f>IFERROR(VLOOKUP(A776,'[1]Sales Order'!A:N,14,FALSE),"Not Specified")</f>
        <v>UK</v>
      </c>
      <c r="Q776" t="str">
        <f>VLOOKUP(VLOOKUP(B776,[1]Product!A:C,3,FALSE),[1]Supplier!A:B,2,FALSE)</f>
        <v>Supplier GQRCV</v>
      </c>
      <c r="R776" t="str">
        <f>VLOOKUP(VLOOKUP(B776,[1]Product!A:C,3,FALSE),[1]Supplier!A:I,9,FALSE)</f>
        <v>Australia</v>
      </c>
      <c r="S776" t="str">
        <f>IFERROR(IF(VLOOKUP(A776,'[1]Sales Order'!A:H,8,FALSE)&gt;100,"High Freight","Low Freight"),"Not Specified")</f>
        <v>Low Freight</v>
      </c>
      <c r="T776">
        <f t="shared" si="25"/>
        <v>105</v>
      </c>
    </row>
    <row r="777" spans="1:20">
      <c r="A777" s="1">
        <v>10538</v>
      </c>
      <c r="B777" s="2">
        <v>72</v>
      </c>
      <c r="C777" s="2">
        <v>34.799999999999997</v>
      </c>
      <c r="D777" s="2">
        <v>1</v>
      </c>
      <c r="E777" s="3">
        <v>0</v>
      </c>
      <c r="F777" s="2" t="str">
        <f>IFERROR(VLOOKUP(VLOOKUP(A777,'[1]Sales Order'!A:B,2,FALSE),[1]Customer!A:C,3,FALSE),"Not Specified")</f>
        <v>Jaffe, David</v>
      </c>
      <c r="G777" s="2" t="str">
        <f t="shared" si="24"/>
        <v>Jaffe David</v>
      </c>
      <c r="H777" s="8" t="str">
        <f>IFERROR(VLOOKUP(VLOOKUP(A777,'[1]Sales Order'!A:C,3,FALSE),[1]Employee!A:E,5,FALSE)&amp;" "&amp;VLOOKUP(VLOOKUP(A777,'[1]Sales Order'!A:C,3,FALSE),[1]Employee!A:C,3,FALSE)&amp;" "&amp;VLOOKUP(VLOOKUP(A777,'[1]Sales Order'!A:C,3,FALSE),[1]Employee!A:B,2,FALSE),"Not Specified")</f>
        <v>Ms. Zoya Dolgopyatova</v>
      </c>
      <c r="I777">
        <f>IFERROR(VLOOKUP(VLOOKUP(A777,'[1]Sales Order'!A:C,3,FALSE),[1]Employee!A:J,10,FALSE),"Not Specified")</f>
        <v>0</v>
      </c>
      <c r="J777" t="str">
        <f>VLOOKUP(B777,[1]Product!A:B,2,FALSE)</f>
        <v>Product GEEOO</v>
      </c>
      <c r="K777" t="str">
        <f>VLOOKUP(VLOOKUP(B777,[1]Product!A:D,4,FALSE),[1]Category!A:B,2,FALSE)</f>
        <v>Dairy Product</v>
      </c>
      <c r="L777" s="10">
        <f>IFERROR(VLOOKUP(A777,'[1]Sales Order'!A:D,4,FALSE),"")</f>
        <v>39217</v>
      </c>
      <c r="M777" s="10">
        <f>IFERROR(VLOOKUP(A777,'[1]Sales Order'!A:F,6,FALSE),"")</f>
        <v>39218</v>
      </c>
      <c r="N777" t="str">
        <f>IFERROR(VLOOKUP(VLOOKUP(A777,'[1]Sales Order'!A:G,7,FALSE),[1]Shipper!A:B,2,FALSE),"Not Specified")</f>
        <v>Shipper ZHISN</v>
      </c>
      <c r="O777" t="str">
        <f>IFERROR(VLOOKUP(A777,'[1]Sales Order'!A:I,9,FALSE),"Not Specified")</f>
        <v>Destination DLEUN</v>
      </c>
      <c r="P777" t="str">
        <f>IFERROR(VLOOKUP(A777,'[1]Sales Order'!A:N,14,FALSE),"Not Specified")</f>
        <v>UK</v>
      </c>
      <c r="Q777" t="str">
        <f>VLOOKUP(VLOOKUP(B777,[1]Product!A:C,3,FALSE),[1]Supplier!A:B,2,FALSE)</f>
        <v>Supplier KEREV</v>
      </c>
      <c r="R777" t="str">
        <f>VLOOKUP(VLOOKUP(B777,[1]Product!A:C,3,FALSE),[1]Supplier!A:I,9,FALSE)</f>
        <v>Italy</v>
      </c>
      <c r="S777" t="str">
        <f>IFERROR(IF(VLOOKUP(A777,'[1]Sales Order'!A:H,8,FALSE)&gt;100,"High Freight","Low Freight"),"Not Specified")</f>
        <v>Low Freight</v>
      </c>
      <c r="T777">
        <f t="shared" si="25"/>
        <v>34.799999999999997</v>
      </c>
    </row>
    <row r="778" spans="1:20">
      <c r="A778" s="1">
        <v>10539</v>
      </c>
      <c r="B778" s="2">
        <v>13</v>
      </c>
      <c r="C778" s="2">
        <v>6</v>
      </c>
      <c r="D778" s="2">
        <v>8</v>
      </c>
      <c r="E778" s="3">
        <v>0</v>
      </c>
      <c r="F778" s="2" t="str">
        <f>IFERROR(VLOOKUP(VLOOKUP(A778,'[1]Sales Order'!A:B,2,FALSE),[1]Customer!A:C,3,FALSE),"Not Specified")</f>
        <v>Jaffe, David</v>
      </c>
      <c r="G778" s="2" t="str">
        <f t="shared" si="24"/>
        <v>Jaffe David</v>
      </c>
      <c r="H778" s="8" t="str">
        <f>IFERROR(VLOOKUP(VLOOKUP(A778,'[1]Sales Order'!A:C,3,FALSE),[1]Employee!A:E,5,FALSE)&amp;" "&amp;VLOOKUP(VLOOKUP(A778,'[1]Sales Order'!A:C,3,FALSE),[1]Employee!A:C,3,FALSE)&amp;" "&amp;VLOOKUP(VLOOKUP(A778,'[1]Sales Order'!A:C,3,FALSE),[1]Employee!A:B,2,FALSE),"Not Specified")</f>
        <v>Mr. Paul Suurs</v>
      </c>
      <c r="I778">
        <f>IFERROR(VLOOKUP(VLOOKUP(A778,'[1]Sales Order'!A:C,3,FALSE),[1]Employee!A:J,10,FALSE),"Not Specified")</f>
        <v>0</v>
      </c>
      <c r="J778" t="str">
        <f>VLOOKUP(B778,[1]Product!A:B,2,FALSE)</f>
        <v>Product POXFU</v>
      </c>
      <c r="K778" t="str">
        <f>VLOOKUP(VLOOKUP(B778,[1]Product!A:D,4,FALSE),[1]Category!A:B,2,FALSE)</f>
        <v>Seafood</v>
      </c>
      <c r="L778" s="10">
        <f>IFERROR(VLOOKUP(A778,'[1]Sales Order'!A:D,4,FALSE),"")</f>
        <v>39218</v>
      </c>
      <c r="M778" s="10">
        <f>IFERROR(VLOOKUP(A778,'[1]Sales Order'!A:F,6,FALSE),"")</f>
        <v>39225</v>
      </c>
      <c r="N778" t="str">
        <f>IFERROR(VLOOKUP(VLOOKUP(A778,'[1]Sales Order'!A:G,7,FALSE),[1]Shipper!A:B,2,FALSE),"Not Specified")</f>
        <v>Shipper ZHISN</v>
      </c>
      <c r="O778" t="str">
        <f>IFERROR(VLOOKUP(A778,'[1]Sales Order'!A:I,9,FALSE),"Not Specified")</f>
        <v>Destination DLEUN</v>
      </c>
      <c r="P778" t="str">
        <f>IFERROR(VLOOKUP(A778,'[1]Sales Order'!A:N,14,FALSE),"Not Specified")</f>
        <v>UK</v>
      </c>
      <c r="Q778" t="str">
        <f>VLOOKUP(VLOOKUP(B778,[1]Product!A:C,3,FALSE),[1]Supplier!A:B,2,FALSE)</f>
        <v>Supplier QWUSF</v>
      </c>
      <c r="R778" t="str">
        <f>VLOOKUP(VLOOKUP(B778,[1]Product!A:C,3,FALSE),[1]Supplier!A:I,9,FALSE)</f>
        <v>Japan</v>
      </c>
      <c r="S778" t="str">
        <f>IFERROR(IF(VLOOKUP(A778,'[1]Sales Order'!A:H,8,FALSE)&gt;100,"High Freight","Low Freight"),"Not Specified")</f>
        <v>Low Freight</v>
      </c>
      <c r="T778">
        <f t="shared" si="25"/>
        <v>48</v>
      </c>
    </row>
    <row r="779" spans="1:20">
      <c r="A779" s="1">
        <v>10539</v>
      </c>
      <c r="B779" s="2">
        <v>21</v>
      </c>
      <c r="C779" s="2">
        <v>10</v>
      </c>
      <c r="D779" s="2">
        <v>15</v>
      </c>
      <c r="E779" s="3">
        <v>0</v>
      </c>
      <c r="F779" s="2" t="str">
        <f>IFERROR(VLOOKUP(VLOOKUP(A779,'[1]Sales Order'!A:B,2,FALSE),[1]Customer!A:C,3,FALSE),"Not Specified")</f>
        <v>Jaffe, David</v>
      </c>
      <c r="G779" s="2" t="str">
        <f t="shared" si="24"/>
        <v>Jaffe David</v>
      </c>
      <c r="H779" s="8" t="str">
        <f>IFERROR(VLOOKUP(VLOOKUP(A779,'[1]Sales Order'!A:C,3,FALSE),[1]Employee!A:E,5,FALSE)&amp;" "&amp;VLOOKUP(VLOOKUP(A779,'[1]Sales Order'!A:C,3,FALSE),[1]Employee!A:C,3,FALSE)&amp;" "&amp;VLOOKUP(VLOOKUP(A779,'[1]Sales Order'!A:C,3,FALSE),[1]Employee!A:B,2,FALSE),"Not Specified")</f>
        <v>Mr. Paul Suurs</v>
      </c>
      <c r="I779">
        <f>IFERROR(VLOOKUP(VLOOKUP(A779,'[1]Sales Order'!A:C,3,FALSE),[1]Employee!A:J,10,FALSE),"Not Specified")</f>
        <v>0</v>
      </c>
      <c r="J779" t="str">
        <f>VLOOKUP(B779,[1]Product!A:B,2,FALSE)</f>
        <v>Product VJZZH</v>
      </c>
      <c r="K779" t="str">
        <f>VLOOKUP(VLOOKUP(B779,[1]Product!A:D,4,FALSE),[1]Category!A:B,2,FALSE)</f>
        <v>Confections</v>
      </c>
      <c r="L779" s="10">
        <f>IFERROR(VLOOKUP(A779,'[1]Sales Order'!A:D,4,FALSE),"")</f>
        <v>39218</v>
      </c>
      <c r="M779" s="10">
        <f>IFERROR(VLOOKUP(A779,'[1]Sales Order'!A:F,6,FALSE),"")</f>
        <v>39225</v>
      </c>
      <c r="N779" t="str">
        <f>IFERROR(VLOOKUP(VLOOKUP(A779,'[1]Sales Order'!A:G,7,FALSE),[1]Shipper!A:B,2,FALSE),"Not Specified")</f>
        <v>Shipper ZHISN</v>
      </c>
      <c r="O779" t="str">
        <f>IFERROR(VLOOKUP(A779,'[1]Sales Order'!A:I,9,FALSE),"Not Specified")</f>
        <v>Destination DLEUN</v>
      </c>
      <c r="P779" t="str">
        <f>IFERROR(VLOOKUP(A779,'[1]Sales Order'!A:N,14,FALSE),"Not Specified")</f>
        <v>UK</v>
      </c>
      <c r="Q779" t="str">
        <f>VLOOKUP(VLOOKUP(B779,[1]Product!A:C,3,FALSE),[1]Supplier!A:B,2,FALSE)</f>
        <v>Supplier BWGYE</v>
      </c>
      <c r="R779" t="str">
        <f>VLOOKUP(VLOOKUP(B779,[1]Product!A:C,3,FALSE),[1]Supplier!A:I,9,FALSE)</f>
        <v>UK</v>
      </c>
      <c r="S779" t="str">
        <f>IFERROR(IF(VLOOKUP(A779,'[1]Sales Order'!A:H,8,FALSE)&gt;100,"High Freight","Low Freight"),"Not Specified")</f>
        <v>Low Freight</v>
      </c>
      <c r="T779">
        <f t="shared" si="25"/>
        <v>150</v>
      </c>
    </row>
    <row r="780" spans="1:20">
      <c r="A780" s="1">
        <v>10539</v>
      </c>
      <c r="B780" s="2">
        <v>33</v>
      </c>
      <c r="C780" s="2">
        <v>2.5</v>
      </c>
      <c r="D780" s="2">
        <v>15</v>
      </c>
      <c r="E780" s="3">
        <v>0</v>
      </c>
      <c r="F780" s="2" t="str">
        <f>IFERROR(VLOOKUP(VLOOKUP(A780,'[1]Sales Order'!A:B,2,FALSE),[1]Customer!A:C,3,FALSE),"Not Specified")</f>
        <v>Jaffe, David</v>
      </c>
      <c r="G780" s="2" t="str">
        <f t="shared" si="24"/>
        <v>Jaffe David</v>
      </c>
      <c r="H780" s="8" t="str">
        <f>IFERROR(VLOOKUP(VLOOKUP(A780,'[1]Sales Order'!A:C,3,FALSE),[1]Employee!A:E,5,FALSE)&amp;" "&amp;VLOOKUP(VLOOKUP(A780,'[1]Sales Order'!A:C,3,FALSE),[1]Employee!A:C,3,FALSE)&amp;" "&amp;VLOOKUP(VLOOKUP(A780,'[1]Sales Order'!A:C,3,FALSE),[1]Employee!A:B,2,FALSE),"Not Specified")</f>
        <v>Mr. Paul Suurs</v>
      </c>
      <c r="I780">
        <f>IFERROR(VLOOKUP(VLOOKUP(A780,'[1]Sales Order'!A:C,3,FALSE),[1]Employee!A:J,10,FALSE),"Not Specified")</f>
        <v>0</v>
      </c>
      <c r="J780" t="str">
        <f>VLOOKUP(B780,[1]Product!A:B,2,FALSE)</f>
        <v>Product ASTMN</v>
      </c>
      <c r="K780" t="str">
        <f>VLOOKUP(VLOOKUP(B780,[1]Product!A:D,4,FALSE),[1]Category!A:B,2,FALSE)</f>
        <v>Dairy Product</v>
      </c>
      <c r="L780" s="10">
        <f>IFERROR(VLOOKUP(A780,'[1]Sales Order'!A:D,4,FALSE),"")</f>
        <v>39218</v>
      </c>
      <c r="M780" s="10">
        <f>IFERROR(VLOOKUP(A780,'[1]Sales Order'!A:F,6,FALSE),"")</f>
        <v>39225</v>
      </c>
      <c r="N780" t="str">
        <f>IFERROR(VLOOKUP(VLOOKUP(A780,'[1]Sales Order'!A:G,7,FALSE),[1]Shipper!A:B,2,FALSE),"Not Specified")</f>
        <v>Shipper ZHISN</v>
      </c>
      <c r="O780" t="str">
        <f>IFERROR(VLOOKUP(A780,'[1]Sales Order'!A:I,9,FALSE),"Not Specified")</f>
        <v>Destination DLEUN</v>
      </c>
      <c r="P780" t="str">
        <f>IFERROR(VLOOKUP(A780,'[1]Sales Order'!A:N,14,FALSE),"Not Specified")</f>
        <v>UK</v>
      </c>
      <c r="Q780" t="str">
        <f>VLOOKUP(VLOOKUP(B780,[1]Product!A:C,3,FALSE),[1]Supplier!A:B,2,FALSE)</f>
        <v>Supplier NZLIF</v>
      </c>
      <c r="R780" t="str">
        <f>VLOOKUP(VLOOKUP(B780,[1]Product!A:C,3,FALSE),[1]Supplier!A:I,9,FALSE)</f>
        <v>Norway</v>
      </c>
      <c r="S780" t="str">
        <f>IFERROR(IF(VLOOKUP(A780,'[1]Sales Order'!A:H,8,FALSE)&gt;100,"High Freight","Low Freight"),"Not Specified")</f>
        <v>Low Freight</v>
      </c>
      <c r="T780">
        <f t="shared" si="25"/>
        <v>37.5</v>
      </c>
    </row>
    <row r="781" spans="1:20">
      <c r="A781" s="1">
        <v>10539</v>
      </c>
      <c r="B781" s="2">
        <v>49</v>
      </c>
      <c r="C781" s="2">
        <v>20</v>
      </c>
      <c r="D781" s="2">
        <v>6</v>
      </c>
      <c r="E781" s="3">
        <v>0</v>
      </c>
      <c r="F781" s="2" t="str">
        <f>IFERROR(VLOOKUP(VLOOKUP(A781,'[1]Sales Order'!A:B,2,FALSE),[1]Customer!A:C,3,FALSE),"Not Specified")</f>
        <v>Jaffe, David</v>
      </c>
      <c r="G781" s="2" t="str">
        <f t="shared" si="24"/>
        <v>Jaffe David</v>
      </c>
      <c r="H781" s="8" t="str">
        <f>IFERROR(VLOOKUP(VLOOKUP(A781,'[1]Sales Order'!A:C,3,FALSE),[1]Employee!A:E,5,FALSE)&amp;" "&amp;VLOOKUP(VLOOKUP(A781,'[1]Sales Order'!A:C,3,FALSE),[1]Employee!A:C,3,FALSE)&amp;" "&amp;VLOOKUP(VLOOKUP(A781,'[1]Sales Order'!A:C,3,FALSE),[1]Employee!A:B,2,FALSE),"Not Specified")</f>
        <v>Mr. Paul Suurs</v>
      </c>
      <c r="I781">
        <f>IFERROR(VLOOKUP(VLOOKUP(A781,'[1]Sales Order'!A:C,3,FALSE),[1]Employee!A:J,10,FALSE),"Not Specified")</f>
        <v>0</v>
      </c>
      <c r="J781" t="str">
        <f>VLOOKUP(B781,[1]Product!A:B,2,FALSE)</f>
        <v>Product FPYPN</v>
      </c>
      <c r="K781" t="str">
        <f>VLOOKUP(VLOOKUP(B781,[1]Product!A:D,4,FALSE),[1]Category!A:B,2,FALSE)</f>
        <v>Confections</v>
      </c>
      <c r="L781" s="10">
        <f>IFERROR(VLOOKUP(A781,'[1]Sales Order'!A:D,4,FALSE),"")</f>
        <v>39218</v>
      </c>
      <c r="M781" s="10">
        <f>IFERROR(VLOOKUP(A781,'[1]Sales Order'!A:F,6,FALSE),"")</f>
        <v>39225</v>
      </c>
      <c r="N781" t="str">
        <f>IFERROR(VLOOKUP(VLOOKUP(A781,'[1]Sales Order'!A:G,7,FALSE),[1]Shipper!A:B,2,FALSE),"Not Specified")</f>
        <v>Shipper ZHISN</v>
      </c>
      <c r="O781" t="str">
        <f>IFERROR(VLOOKUP(A781,'[1]Sales Order'!A:I,9,FALSE),"Not Specified")</f>
        <v>Destination DLEUN</v>
      </c>
      <c r="P781" t="str">
        <f>IFERROR(VLOOKUP(A781,'[1]Sales Order'!A:N,14,FALSE),"Not Specified")</f>
        <v>UK</v>
      </c>
      <c r="Q781" t="str">
        <f>VLOOKUP(VLOOKUP(B781,[1]Product!A:C,3,FALSE),[1]Supplier!A:B,2,FALSE)</f>
        <v>Supplier ELCRN</v>
      </c>
      <c r="R781" t="str">
        <f>VLOOKUP(VLOOKUP(B781,[1]Product!A:C,3,FALSE),[1]Supplier!A:I,9,FALSE)</f>
        <v>Finland</v>
      </c>
      <c r="S781" t="str">
        <f>IFERROR(IF(VLOOKUP(A781,'[1]Sales Order'!A:H,8,FALSE)&gt;100,"High Freight","Low Freight"),"Not Specified")</f>
        <v>Low Freight</v>
      </c>
      <c r="T781">
        <f t="shared" si="25"/>
        <v>120</v>
      </c>
    </row>
    <row r="782" spans="1:20">
      <c r="A782" s="1">
        <v>10540</v>
      </c>
      <c r="B782" s="2">
        <v>3</v>
      </c>
      <c r="C782" s="2">
        <v>10</v>
      </c>
      <c r="D782" s="2">
        <v>60</v>
      </c>
      <c r="E782" s="3">
        <v>0</v>
      </c>
      <c r="F782" s="2" t="str">
        <f>IFERROR(VLOOKUP(VLOOKUP(A782,'[1]Sales Order'!A:B,2,FALSE),[1]Customer!A:C,3,FALSE),"Not Specified")</f>
        <v>Veronesi, Giorgio</v>
      </c>
      <c r="G782" s="2" t="str">
        <f t="shared" si="24"/>
        <v>Veronesi Giorgio</v>
      </c>
      <c r="H782" s="8" t="str">
        <f>IFERROR(VLOOKUP(VLOOKUP(A782,'[1]Sales Order'!A:C,3,FALSE),[1]Employee!A:E,5,FALSE)&amp;" "&amp;VLOOKUP(VLOOKUP(A782,'[1]Sales Order'!A:C,3,FALSE),[1]Employee!A:C,3,FALSE)&amp;" "&amp;VLOOKUP(VLOOKUP(A782,'[1]Sales Order'!A:C,3,FALSE),[1]Employee!A:B,2,FALSE),"Not Specified")</f>
        <v>Ms. Judy Lew</v>
      </c>
      <c r="I782" t="str">
        <f>IFERROR(VLOOKUP(VLOOKUP(A782,'[1]Sales Order'!A:C,3,FALSE),[1]Employee!A:J,10,FALSE),"Not Specified")</f>
        <v>WA</v>
      </c>
      <c r="J782" t="str">
        <f>VLOOKUP(B782,[1]Product!A:B,2,FALSE)</f>
        <v>Product IMEHJ</v>
      </c>
      <c r="K782" t="str">
        <f>VLOOKUP(VLOOKUP(B782,[1]Product!A:D,4,FALSE),[1]Category!A:B,2,FALSE)</f>
        <v>Condiments</v>
      </c>
      <c r="L782" s="10">
        <f>IFERROR(VLOOKUP(A782,'[1]Sales Order'!A:D,4,FALSE),"")</f>
        <v>39221</v>
      </c>
      <c r="M782" s="10">
        <f>IFERROR(VLOOKUP(A782,'[1]Sales Order'!A:F,6,FALSE),"")</f>
        <v>39246</v>
      </c>
      <c r="N782" t="str">
        <f>IFERROR(VLOOKUP(VLOOKUP(A782,'[1]Sales Order'!A:G,7,FALSE),[1]Shipper!A:B,2,FALSE),"Not Specified")</f>
        <v>Shipper ZHISN</v>
      </c>
      <c r="O782" t="str">
        <f>IFERROR(VLOOKUP(A782,'[1]Sales Order'!A:I,9,FALSE),"Not Specified")</f>
        <v>Ship to 63-C</v>
      </c>
      <c r="P782" t="str">
        <f>IFERROR(VLOOKUP(A782,'[1]Sales Order'!A:N,14,FALSE),"Not Specified")</f>
        <v>Germany</v>
      </c>
      <c r="Q782" t="str">
        <f>VLOOKUP(VLOOKUP(B782,[1]Product!A:C,3,FALSE),[1]Supplier!A:B,2,FALSE)</f>
        <v>Supplier SWRXU</v>
      </c>
      <c r="R782" t="str">
        <f>VLOOKUP(VLOOKUP(B782,[1]Product!A:C,3,FALSE),[1]Supplier!A:I,9,FALSE)</f>
        <v>UK</v>
      </c>
      <c r="S782" t="str">
        <f>IFERROR(IF(VLOOKUP(A782,'[1]Sales Order'!A:H,8,FALSE)&gt;100,"High Freight","Low Freight"),"Not Specified")</f>
        <v>High Freight</v>
      </c>
      <c r="T782">
        <f t="shared" si="25"/>
        <v>600</v>
      </c>
    </row>
    <row r="783" spans="1:20">
      <c r="A783" s="1">
        <v>10540</v>
      </c>
      <c r="B783" s="2">
        <v>26</v>
      </c>
      <c r="C783" s="2">
        <v>31.23</v>
      </c>
      <c r="D783" s="2">
        <v>40</v>
      </c>
      <c r="E783" s="3">
        <v>0</v>
      </c>
      <c r="F783" s="2" t="str">
        <f>IFERROR(VLOOKUP(VLOOKUP(A783,'[1]Sales Order'!A:B,2,FALSE),[1]Customer!A:C,3,FALSE),"Not Specified")</f>
        <v>Veronesi, Giorgio</v>
      </c>
      <c r="G783" s="2" t="str">
        <f t="shared" si="24"/>
        <v>Veronesi Giorgio</v>
      </c>
      <c r="H783" s="8" t="str">
        <f>IFERROR(VLOOKUP(VLOOKUP(A783,'[1]Sales Order'!A:C,3,FALSE),[1]Employee!A:E,5,FALSE)&amp;" "&amp;VLOOKUP(VLOOKUP(A783,'[1]Sales Order'!A:C,3,FALSE),[1]Employee!A:C,3,FALSE)&amp;" "&amp;VLOOKUP(VLOOKUP(A783,'[1]Sales Order'!A:C,3,FALSE),[1]Employee!A:B,2,FALSE),"Not Specified")</f>
        <v>Ms. Judy Lew</v>
      </c>
      <c r="I783" t="str">
        <f>IFERROR(VLOOKUP(VLOOKUP(A783,'[1]Sales Order'!A:C,3,FALSE),[1]Employee!A:J,10,FALSE),"Not Specified")</f>
        <v>WA</v>
      </c>
      <c r="J783" t="str">
        <f>VLOOKUP(B783,[1]Product!A:B,2,FALSE)</f>
        <v>Product HLGZA</v>
      </c>
      <c r="K783" t="str">
        <f>VLOOKUP(VLOOKUP(B783,[1]Product!A:D,4,FALSE),[1]Category!A:B,2,FALSE)</f>
        <v>Confections</v>
      </c>
      <c r="L783" s="10">
        <f>IFERROR(VLOOKUP(A783,'[1]Sales Order'!A:D,4,FALSE),"")</f>
        <v>39221</v>
      </c>
      <c r="M783" s="10">
        <f>IFERROR(VLOOKUP(A783,'[1]Sales Order'!A:F,6,FALSE),"")</f>
        <v>39246</v>
      </c>
      <c r="N783" t="str">
        <f>IFERROR(VLOOKUP(VLOOKUP(A783,'[1]Sales Order'!A:G,7,FALSE),[1]Shipper!A:B,2,FALSE),"Not Specified")</f>
        <v>Shipper ZHISN</v>
      </c>
      <c r="O783" t="str">
        <f>IFERROR(VLOOKUP(A783,'[1]Sales Order'!A:I,9,FALSE),"Not Specified")</f>
        <v>Ship to 63-C</v>
      </c>
      <c r="P783" t="str">
        <f>IFERROR(VLOOKUP(A783,'[1]Sales Order'!A:N,14,FALSE),"Not Specified")</f>
        <v>Germany</v>
      </c>
      <c r="Q783" t="str">
        <f>VLOOKUP(VLOOKUP(B783,[1]Product!A:C,3,FALSE),[1]Supplier!A:B,2,FALSE)</f>
        <v>Supplier ZPYVS</v>
      </c>
      <c r="R783" t="str">
        <f>VLOOKUP(VLOOKUP(B783,[1]Product!A:C,3,FALSE),[1]Supplier!A:I,9,FALSE)</f>
        <v>Germany</v>
      </c>
      <c r="S783" t="str">
        <f>IFERROR(IF(VLOOKUP(A783,'[1]Sales Order'!A:H,8,FALSE)&gt;100,"High Freight","Low Freight"),"Not Specified")</f>
        <v>High Freight</v>
      </c>
      <c r="T783">
        <f t="shared" si="25"/>
        <v>1249.2</v>
      </c>
    </row>
    <row r="784" spans="1:20">
      <c r="A784" s="1">
        <v>10540</v>
      </c>
      <c r="B784" s="2">
        <v>38</v>
      </c>
      <c r="C784" s="2">
        <v>263.5</v>
      </c>
      <c r="D784" s="2">
        <v>30</v>
      </c>
      <c r="E784" s="3">
        <v>0</v>
      </c>
      <c r="F784" s="2" t="str">
        <f>IFERROR(VLOOKUP(VLOOKUP(A784,'[1]Sales Order'!A:B,2,FALSE),[1]Customer!A:C,3,FALSE),"Not Specified")</f>
        <v>Veronesi, Giorgio</v>
      </c>
      <c r="G784" s="2" t="str">
        <f t="shared" si="24"/>
        <v>Veronesi Giorgio</v>
      </c>
      <c r="H784" s="8" t="str">
        <f>IFERROR(VLOOKUP(VLOOKUP(A784,'[1]Sales Order'!A:C,3,FALSE),[1]Employee!A:E,5,FALSE)&amp;" "&amp;VLOOKUP(VLOOKUP(A784,'[1]Sales Order'!A:C,3,FALSE),[1]Employee!A:C,3,FALSE)&amp;" "&amp;VLOOKUP(VLOOKUP(A784,'[1]Sales Order'!A:C,3,FALSE),[1]Employee!A:B,2,FALSE),"Not Specified")</f>
        <v>Ms. Judy Lew</v>
      </c>
      <c r="I784" t="str">
        <f>IFERROR(VLOOKUP(VLOOKUP(A784,'[1]Sales Order'!A:C,3,FALSE),[1]Employee!A:J,10,FALSE),"Not Specified")</f>
        <v>WA</v>
      </c>
      <c r="J784" t="str">
        <f>VLOOKUP(B784,[1]Product!A:B,2,FALSE)</f>
        <v>Product QDOMO</v>
      </c>
      <c r="K784" t="str">
        <f>VLOOKUP(VLOOKUP(B784,[1]Product!A:D,4,FALSE),[1]Category!A:B,2,FALSE)</f>
        <v>Beverages</v>
      </c>
      <c r="L784" s="10">
        <f>IFERROR(VLOOKUP(A784,'[1]Sales Order'!A:D,4,FALSE),"")</f>
        <v>39221</v>
      </c>
      <c r="M784" s="10">
        <f>IFERROR(VLOOKUP(A784,'[1]Sales Order'!A:F,6,FALSE),"")</f>
        <v>39246</v>
      </c>
      <c r="N784" t="str">
        <f>IFERROR(VLOOKUP(VLOOKUP(A784,'[1]Sales Order'!A:G,7,FALSE),[1]Shipper!A:B,2,FALSE),"Not Specified")</f>
        <v>Shipper ZHISN</v>
      </c>
      <c r="O784" t="str">
        <f>IFERROR(VLOOKUP(A784,'[1]Sales Order'!A:I,9,FALSE),"Not Specified")</f>
        <v>Ship to 63-C</v>
      </c>
      <c r="P784" t="str">
        <f>IFERROR(VLOOKUP(A784,'[1]Sales Order'!A:N,14,FALSE),"Not Specified")</f>
        <v>Germany</v>
      </c>
      <c r="Q784" t="str">
        <f>VLOOKUP(VLOOKUP(B784,[1]Product!A:C,3,FALSE),[1]Supplier!A:B,2,FALSE)</f>
        <v>Supplier LVJUA</v>
      </c>
      <c r="R784" t="str">
        <f>VLOOKUP(VLOOKUP(B784,[1]Product!A:C,3,FALSE),[1]Supplier!A:I,9,FALSE)</f>
        <v>France</v>
      </c>
      <c r="S784" t="str">
        <f>IFERROR(IF(VLOOKUP(A784,'[1]Sales Order'!A:H,8,FALSE)&gt;100,"High Freight","Low Freight"),"Not Specified")</f>
        <v>High Freight</v>
      </c>
      <c r="T784">
        <f t="shared" si="25"/>
        <v>7905</v>
      </c>
    </row>
    <row r="785" spans="1:20">
      <c r="A785" s="1">
        <v>10540</v>
      </c>
      <c r="B785" s="2">
        <v>68</v>
      </c>
      <c r="C785" s="2">
        <v>12.5</v>
      </c>
      <c r="D785" s="2">
        <v>35</v>
      </c>
      <c r="E785" s="3">
        <v>0</v>
      </c>
      <c r="F785" s="2" t="str">
        <f>IFERROR(VLOOKUP(VLOOKUP(A785,'[1]Sales Order'!A:B,2,FALSE),[1]Customer!A:C,3,FALSE),"Not Specified")</f>
        <v>Veronesi, Giorgio</v>
      </c>
      <c r="G785" s="2" t="str">
        <f t="shared" si="24"/>
        <v>Veronesi Giorgio</v>
      </c>
      <c r="H785" s="8" t="str">
        <f>IFERROR(VLOOKUP(VLOOKUP(A785,'[1]Sales Order'!A:C,3,FALSE),[1]Employee!A:E,5,FALSE)&amp;" "&amp;VLOOKUP(VLOOKUP(A785,'[1]Sales Order'!A:C,3,FALSE),[1]Employee!A:C,3,FALSE)&amp;" "&amp;VLOOKUP(VLOOKUP(A785,'[1]Sales Order'!A:C,3,FALSE),[1]Employee!A:B,2,FALSE),"Not Specified")</f>
        <v>Ms. Judy Lew</v>
      </c>
      <c r="I785" t="str">
        <f>IFERROR(VLOOKUP(VLOOKUP(A785,'[1]Sales Order'!A:C,3,FALSE),[1]Employee!A:J,10,FALSE),"Not Specified")</f>
        <v>WA</v>
      </c>
      <c r="J785" t="str">
        <f>VLOOKUP(B785,[1]Product!A:B,2,FALSE)</f>
        <v>Product TBTBL</v>
      </c>
      <c r="K785" t="str">
        <f>VLOOKUP(VLOOKUP(B785,[1]Product!A:D,4,FALSE),[1]Category!A:B,2,FALSE)</f>
        <v>Confections</v>
      </c>
      <c r="L785" s="10">
        <f>IFERROR(VLOOKUP(A785,'[1]Sales Order'!A:D,4,FALSE),"")</f>
        <v>39221</v>
      </c>
      <c r="M785" s="10">
        <f>IFERROR(VLOOKUP(A785,'[1]Sales Order'!A:F,6,FALSE),"")</f>
        <v>39246</v>
      </c>
      <c r="N785" t="str">
        <f>IFERROR(VLOOKUP(VLOOKUP(A785,'[1]Sales Order'!A:G,7,FALSE),[1]Shipper!A:B,2,FALSE),"Not Specified")</f>
        <v>Shipper ZHISN</v>
      </c>
      <c r="O785" t="str">
        <f>IFERROR(VLOOKUP(A785,'[1]Sales Order'!A:I,9,FALSE),"Not Specified")</f>
        <v>Ship to 63-C</v>
      </c>
      <c r="P785" t="str">
        <f>IFERROR(VLOOKUP(A785,'[1]Sales Order'!A:N,14,FALSE),"Not Specified")</f>
        <v>Germany</v>
      </c>
      <c r="Q785" t="str">
        <f>VLOOKUP(VLOOKUP(B785,[1]Product!A:C,3,FALSE),[1]Supplier!A:B,2,FALSE)</f>
        <v>Supplier BWGYE</v>
      </c>
      <c r="R785" t="str">
        <f>VLOOKUP(VLOOKUP(B785,[1]Product!A:C,3,FALSE),[1]Supplier!A:I,9,FALSE)</f>
        <v>UK</v>
      </c>
      <c r="S785" t="str">
        <f>IFERROR(IF(VLOOKUP(A785,'[1]Sales Order'!A:H,8,FALSE)&gt;100,"High Freight","Low Freight"),"Not Specified")</f>
        <v>High Freight</v>
      </c>
      <c r="T785">
        <f t="shared" si="25"/>
        <v>437.5</v>
      </c>
    </row>
    <row r="786" spans="1:20">
      <c r="A786" s="1">
        <v>10541</v>
      </c>
      <c r="B786" s="2">
        <v>24</v>
      </c>
      <c r="C786" s="2">
        <v>4.5</v>
      </c>
      <c r="D786" s="2">
        <v>35</v>
      </c>
      <c r="E786" s="3">
        <v>0.1</v>
      </c>
      <c r="F786" s="2" t="str">
        <f>IFERROR(VLOOKUP(VLOOKUP(A786,'[1]Sales Order'!A:B,2,FALSE),[1]Customer!A:C,3,FALSE),"Not Specified")</f>
        <v>Cohen, Shy</v>
      </c>
      <c r="G786" s="2" t="str">
        <f t="shared" si="24"/>
        <v>Cohen Shy</v>
      </c>
      <c r="H786" s="8" t="str">
        <f>IFERROR(VLOOKUP(VLOOKUP(A786,'[1]Sales Order'!A:C,3,FALSE),[1]Employee!A:E,5,FALSE)&amp;" "&amp;VLOOKUP(VLOOKUP(A786,'[1]Sales Order'!A:C,3,FALSE),[1]Employee!A:C,3,FALSE)&amp;" "&amp;VLOOKUP(VLOOKUP(A786,'[1]Sales Order'!A:C,3,FALSE),[1]Employee!A:B,2,FALSE),"Not Specified")</f>
        <v>Dr. Don Funk</v>
      </c>
      <c r="I786" t="str">
        <f>IFERROR(VLOOKUP(VLOOKUP(A786,'[1]Sales Order'!A:C,3,FALSE),[1]Employee!A:J,10,FALSE),"Not Specified")</f>
        <v>WA</v>
      </c>
      <c r="J786" t="str">
        <f>VLOOKUP(B786,[1]Product!A:B,2,FALSE)</f>
        <v>Product QOGNU</v>
      </c>
      <c r="K786" t="str">
        <f>VLOOKUP(VLOOKUP(B786,[1]Product!A:D,4,FALSE),[1]Category!A:B,2,FALSE)</f>
        <v>Beverages</v>
      </c>
      <c r="L786" s="10">
        <f>IFERROR(VLOOKUP(A786,'[1]Sales Order'!A:D,4,FALSE),"")</f>
        <v>39221</v>
      </c>
      <c r="M786" s="10">
        <f>IFERROR(VLOOKUP(A786,'[1]Sales Order'!A:F,6,FALSE),"")</f>
        <v>39231</v>
      </c>
      <c r="N786" t="str">
        <f>IFERROR(VLOOKUP(VLOOKUP(A786,'[1]Sales Order'!A:G,7,FALSE),[1]Shipper!A:B,2,FALSE),"Not Specified")</f>
        <v>Shipper GVSUA</v>
      </c>
      <c r="O786" t="str">
        <f>IFERROR(VLOOKUP(A786,'[1]Sales Order'!A:I,9,FALSE),"Not Specified")</f>
        <v>Destination SCQXA</v>
      </c>
      <c r="P786" t="str">
        <f>IFERROR(VLOOKUP(A786,'[1]Sales Order'!A:N,14,FALSE),"Not Specified")</f>
        <v>Brazil</v>
      </c>
      <c r="Q786" t="str">
        <f>VLOOKUP(VLOOKUP(B786,[1]Product!A:C,3,FALSE),[1]Supplier!A:B,2,FALSE)</f>
        <v>Supplier UNAHG</v>
      </c>
      <c r="R786" t="str">
        <f>VLOOKUP(VLOOKUP(B786,[1]Product!A:C,3,FALSE),[1]Supplier!A:I,9,FALSE)</f>
        <v>Brazil</v>
      </c>
      <c r="S786" t="str">
        <f>IFERROR(IF(VLOOKUP(A786,'[1]Sales Order'!A:H,8,FALSE)&gt;100,"High Freight","Low Freight"),"Not Specified")</f>
        <v>Low Freight</v>
      </c>
      <c r="T786">
        <f t="shared" si="25"/>
        <v>141.75</v>
      </c>
    </row>
    <row r="787" spans="1:20">
      <c r="A787" s="1">
        <v>10541</v>
      </c>
      <c r="B787" s="2">
        <v>38</v>
      </c>
      <c r="C787" s="2">
        <v>263.5</v>
      </c>
      <c r="D787" s="2">
        <v>4</v>
      </c>
      <c r="E787" s="3">
        <v>0.1</v>
      </c>
      <c r="F787" s="2" t="str">
        <f>IFERROR(VLOOKUP(VLOOKUP(A787,'[1]Sales Order'!A:B,2,FALSE),[1]Customer!A:C,3,FALSE),"Not Specified")</f>
        <v>Cohen, Shy</v>
      </c>
      <c r="G787" s="2" t="str">
        <f t="shared" si="24"/>
        <v>Cohen Shy</v>
      </c>
      <c r="H787" s="8" t="str">
        <f>IFERROR(VLOOKUP(VLOOKUP(A787,'[1]Sales Order'!A:C,3,FALSE),[1]Employee!A:E,5,FALSE)&amp;" "&amp;VLOOKUP(VLOOKUP(A787,'[1]Sales Order'!A:C,3,FALSE),[1]Employee!A:C,3,FALSE)&amp;" "&amp;VLOOKUP(VLOOKUP(A787,'[1]Sales Order'!A:C,3,FALSE),[1]Employee!A:B,2,FALSE),"Not Specified")</f>
        <v>Dr. Don Funk</v>
      </c>
      <c r="I787" t="str">
        <f>IFERROR(VLOOKUP(VLOOKUP(A787,'[1]Sales Order'!A:C,3,FALSE),[1]Employee!A:J,10,FALSE),"Not Specified")</f>
        <v>WA</v>
      </c>
      <c r="J787" t="str">
        <f>VLOOKUP(B787,[1]Product!A:B,2,FALSE)</f>
        <v>Product QDOMO</v>
      </c>
      <c r="K787" t="str">
        <f>VLOOKUP(VLOOKUP(B787,[1]Product!A:D,4,FALSE),[1]Category!A:B,2,FALSE)</f>
        <v>Beverages</v>
      </c>
      <c r="L787" s="10">
        <f>IFERROR(VLOOKUP(A787,'[1]Sales Order'!A:D,4,FALSE),"")</f>
        <v>39221</v>
      </c>
      <c r="M787" s="10">
        <f>IFERROR(VLOOKUP(A787,'[1]Sales Order'!A:F,6,FALSE),"")</f>
        <v>39231</v>
      </c>
      <c r="N787" t="str">
        <f>IFERROR(VLOOKUP(VLOOKUP(A787,'[1]Sales Order'!A:G,7,FALSE),[1]Shipper!A:B,2,FALSE),"Not Specified")</f>
        <v>Shipper GVSUA</v>
      </c>
      <c r="O787" t="str">
        <f>IFERROR(VLOOKUP(A787,'[1]Sales Order'!A:I,9,FALSE),"Not Specified")</f>
        <v>Destination SCQXA</v>
      </c>
      <c r="P787" t="str">
        <f>IFERROR(VLOOKUP(A787,'[1]Sales Order'!A:N,14,FALSE),"Not Specified")</f>
        <v>Brazil</v>
      </c>
      <c r="Q787" t="str">
        <f>VLOOKUP(VLOOKUP(B787,[1]Product!A:C,3,FALSE),[1]Supplier!A:B,2,FALSE)</f>
        <v>Supplier LVJUA</v>
      </c>
      <c r="R787" t="str">
        <f>VLOOKUP(VLOOKUP(B787,[1]Product!A:C,3,FALSE),[1]Supplier!A:I,9,FALSE)</f>
        <v>France</v>
      </c>
      <c r="S787" t="str">
        <f>IFERROR(IF(VLOOKUP(A787,'[1]Sales Order'!A:H,8,FALSE)&gt;100,"High Freight","Low Freight"),"Not Specified")</f>
        <v>Low Freight</v>
      </c>
      <c r="T787">
        <f t="shared" si="25"/>
        <v>948.6</v>
      </c>
    </row>
    <row r="788" spans="1:20">
      <c r="A788" s="1">
        <v>10541</v>
      </c>
      <c r="B788" s="2">
        <v>65</v>
      </c>
      <c r="C788" s="2">
        <v>21.05</v>
      </c>
      <c r="D788" s="2">
        <v>36</v>
      </c>
      <c r="E788" s="3">
        <v>0.1</v>
      </c>
      <c r="F788" s="2" t="str">
        <f>IFERROR(VLOOKUP(VLOOKUP(A788,'[1]Sales Order'!A:B,2,FALSE),[1]Customer!A:C,3,FALSE),"Not Specified")</f>
        <v>Cohen, Shy</v>
      </c>
      <c r="G788" s="2" t="str">
        <f t="shared" si="24"/>
        <v>Cohen Shy</v>
      </c>
      <c r="H788" s="8" t="str">
        <f>IFERROR(VLOOKUP(VLOOKUP(A788,'[1]Sales Order'!A:C,3,FALSE),[1]Employee!A:E,5,FALSE)&amp;" "&amp;VLOOKUP(VLOOKUP(A788,'[1]Sales Order'!A:C,3,FALSE),[1]Employee!A:C,3,FALSE)&amp;" "&amp;VLOOKUP(VLOOKUP(A788,'[1]Sales Order'!A:C,3,FALSE),[1]Employee!A:B,2,FALSE),"Not Specified")</f>
        <v>Dr. Don Funk</v>
      </c>
      <c r="I788" t="str">
        <f>IFERROR(VLOOKUP(VLOOKUP(A788,'[1]Sales Order'!A:C,3,FALSE),[1]Employee!A:J,10,FALSE),"Not Specified")</f>
        <v>WA</v>
      </c>
      <c r="J788" t="str">
        <f>VLOOKUP(B788,[1]Product!A:B,2,FALSE)</f>
        <v>Product XYWBZ</v>
      </c>
      <c r="K788" t="str">
        <f>VLOOKUP(VLOOKUP(B788,[1]Product!A:D,4,FALSE),[1]Category!A:B,2,FALSE)</f>
        <v>Condiments</v>
      </c>
      <c r="L788" s="10">
        <f>IFERROR(VLOOKUP(A788,'[1]Sales Order'!A:D,4,FALSE),"")</f>
        <v>39221</v>
      </c>
      <c r="M788" s="10">
        <f>IFERROR(VLOOKUP(A788,'[1]Sales Order'!A:F,6,FALSE),"")</f>
        <v>39231</v>
      </c>
      <c r="N788" t="str">
        <f>IFERROR(VLOOKUP(VLOOKUP(A788,'[1]Sales Order'!A:G,7,FALSE),[1]Shipper!A:B,2,FALSE),"Not Specified")</f>
        <v>Shipper GVSUA</v>
      </c>
      <c r="O788" t="str">
        <f>IFERROR(VLOOKUP(A788,'[1]Sales Order'!A:I,9,FALSE),"Not Specified")</f>
        <v>Destination SCQXA</v>
      </c>
      <c r="P788" t="str">
        <f>IFERROR(VLOOKUP(A788,'[1]Sales Order'!A:N,14,FALSE),"Not Specified")</f>
        <v>Brazil</v>
      </c>
      <c r="Q788" t="str">
        <f>VLOOKUP(VLOOKUP(B788,[1]Product!A:C,3,FALSE),[1]Supplier!A:B,2,FALSE)</f>
        <v>Supplier VHQZD</v>
      </c>
      <c r="R788" t="str">
        <f>VLOOKUP(VLOOKUP(B788,[1]Product!A:C,3,FALSE),[1]Supplier!A:I,9,FALSE)</f>
        <v>USA</v>
      </c>
      <c r="S788" t="str">
        <f>IFERROR(IF(VLOOKUP(A788,'[1]Sales Order'!A:H,8,FALSE)&gt;100,"High Freight","Low Freight"),"Not Specified")</f>
        <v>Low Freight</v>
      </c>
      <c r="T788">
        <f t="shared" si="25"/>
        <v>682.0200000000001</v>
      </c>
    </row>
    <row r="789" spans="1:20">
      <c r="A789" s="1">
        <v>10541</v>
      </c>
      <c r="B789" s="2">
        <v>71</v>
      </c>
      <c r="C789" s="2">
        <v>21.5</v>
      </c>
      <c r="D789" s="2">
        <v>9</v>
      </c>
      <c r="E789" s="3">
        <v>0.1</v>
      </c>
      <c r="F789" s="2" t="str">
        <f>IFERROR(VLOOKUP(VLOOKUP(A789,'[1]Sales Order'!A:B,2,FALSE),[1]Customer!A:C,3,FALSE),"Not Specified")</f>
        <v>Cohen, Shy</v>
      </c>
      <c r="G789" s="2" t="str">
        <f t="shared" si="24"/>
        <v>Cohen Shy</v>
      </c>
      <c r="H789" s="8" t="str">
        <f>IFERROR(VLOOKUP(VLOOKUP(A789,'[1]Sales Order'!A:C,3,FALSE),[1]Employee!A:E,5,FALSE)&amp;" "&amp;VLOOKUP(VLOOKUP(A789,'[1]Sales Order'!A:C,3,FALSE),[1]Employee!A:C,3,FALSE)&amp;" "&amp;VLOOKUP(VLOOKUP(A789,'[1]Sales Order'!A:C,3,FALSE),[1]Employee!A:B,2,FALSE),"Not Specified")</f>
        <v>Dr. Don Funk</v>
      </c>
      <c r="I789" t="str">
        <f>IFERROR(VLOOKUP(VLOOKUP(A789,'[1]Sales Order'!A:C,3,FALSE),[1]Employee!A:J,10,FALSE),"Not Specified")</f>
        <v>WA</v>
      </c>
      <c r="J789" t="str">
        <f>VLOOKUP(B789,[1]Product!A:B,2,FALSE)</f>
        <v>Product MYMOI</v>
      </c>
      <c r="K789" t="str">
        <f>VLOOKUP(VLOOKUP(B789,[1]Product!A:D,4,FALSE),[1]Category!A:B,2,FALSE)</f>
        <v>Dairy Product</v>
      </c>
      <c r="L789" s="10">
        <f>IFERROR(VLOOKUP(A789,'[1]Sales Order'!A:D,4,FALSE),"")</f>
        <v>39221</v>
      </c>
      <c r="M789" s="10">
        <f>IFERROR(VLOOKUP(A789,'[1]Sales Order'!A:F,6,FALSE),"")</f>
        <v>39231</v>
      </c>
      <c r="N789" t="str">
        <f>IFERROR(VLOOKUP(VLOOKUP(A789,'[1]Sales Order'!A:G,7,FALSE),[1]Shipper!A:B,2,FALSE),"Not Specified")</f>
        <v>Shipper GVSUA</v>
      </c>
      <c r="O789" t="str">
        <f>IFERROR(VLOOKUP(A789,'[1]Sales Order'!A:I,9,FALSE),"Not Specified")</f>
        <v>Destination SCQXA</v>
      </c>
      <c r="P789" t="str">
        <f>IFERROR(VLOOKUP(A789,'[1]Sales Order'!A:N,14,FALSE),"Not Specified")</f>
        <v>Brazil</v>
      </c>
      <c r="Q789" t="str">
        <f>VLOOKUP(VLOOKUP(B789,[1]Product!A:C,3,FALSE),[1]Supplier!A:B,2,FALSE)</f>
        <v>Supplier NZLIF</v>
      </c>
      <c r="R789" t="str">
        <f>VLOOKUP(VLOOKUP(B789,[1]Product!A:C,3,FALSE),[1]Supplier!A:I,9,FALSE)</f>
        <v>Norway</v>
      </c>
      <c r="S789" t="str">
        <f>IFERROR(IF(VLOOKUP(A789,'[1]Sales Order'!A:H,8,FALSE)&gt;100,"High Freight","Low Freight"),"Not Specified")</f>
        <v>Low Freight</v>
      </c>
      <c r="T789">
        <f t="shared" si="25"/>
        <v>174.15</v>
      </c>
    </row>
    <row r="790" spans="1:20">
      <c r="A790" s="1">
        <v>10542</v>
      </c>
      <c r="B790" s="2">
        <v>11</v>
      </c>
      <c r="C790" s="2">
        <v>21</v>
      </c>
      <c r="D790" s="2">
        <v>15</v>
      </c>
      <c r="E790" s="3">
        <v>0.05</v>
      </c>
      <c r="F790" s="2" t="str">
        <f>IFERROR(VLOOKUP(VLOOKUP(A790,'[1]Sales Order'!A:B,2,FALSE),[1]Customer!A:C,3,FALSE),"Not Specified")</f>
        <v>Song, Lolan</v>
      </c>
      <c r="G790" s="2" t="str">
        <f t="shared" si="24"/>
        <v>Song Lolan</v>
      </c>
      <c r="H790" s="8" t="str">
        <f>IFERROR(VLOOKUP(VLOOKUP(A790,'[1]Sales Order'!A:C,3,FALSE),[1]Employee!A:E,5,FALSE)&amp;" "&amp;VLOOKUP(VLOOKUP(A790,'[1]Sales Order'!A:C,3,FALSE),[1]Employee!A:C,3,FALSE)&amp;" "&amp;VLOOKUP(VLOOKUP(A790,'[1]Sales Order'!A:C,3,FALSE),[1]Employee!A:B,2,FALSE),"Not Specified")</f>
        <v>Ms. Sara Davis</v>
      </c>
      <c r="I790" t="str">
        <f>IFERROR(VLOOKUP(VLOOKUP(A790,'[1]Sales Order'!A:C,3,FALSE),[1]Employee!A:J,10,FALSE),"Not Specified")</f>
        <v>WA</v>
      </c>
      <c r="J790" t="str">
        <f>VLOOKUP(B790,[1]Product!A:B,2,FALSE)</f>
        <v>Product QMVUN</v>
      </c>
      <c r="K790" t="str">
        <f>VLOOKUP(VLOOKUP(B790,[1]Product!A:D,4,FALSE),[1]Category!A:B,2,FALSE)</f>
        <v>Dairy Product</v>
      </c>
      <c r="L790" s="10">
        <f>IFERROR(VLOOKUP(A790,'[1]Sales Order'!A:D,4,FALSE),"")</f>
        <v>39222</v>
      </c>
      <c r="M790" s="10">
        <f>IFERROR(VLOOKUP(A790,'[1]Sales Order'!A:F,6,FALSE),"")</f>
        <v>39228</v>
      </c>
      <c r="N790" t="str">
        <f>IFERROR(VLOOKUP(VLOOKUP(A790,'[1]Sales Order'!A:G,7,FALSE),[1]Shipper!A:B,2,FALSE),"Not Specified")</f>
        <v>Shipper ZHISN</v>
      </c>
      <c r="O790" t="str">
        <f>IFERROR(VLOOKUP(A790,'[1]Sales Order'!A:I,9,FALSE),"Not Specified")</f>
        <v>Destination DKMQA</v>
      </c>
      <c r="P790" t="str">
        <f>IFERROR(VLOOKUP(A790,'[1]Sales Order'!A:N,14,FALSE),"Not Specified")</f>
        <v>Germany</v>
      </c>
      <c r="Q790" t="str">
        <f>VLOOKUP(VLOOKUP(B790,[1]Product!A:C,3,FALSE),[1]Supplier!A:B,2,FALSE)</f>
        <v>Supplier EQPNC</v>
      </c>
      <c r="R790" t="str">
        <f>VLOOKUP(VLOOKUP(B790,[1]Product!A:C,3,FALSE),[1]Supplier!A:I,9,FALSE)</f>
        <v>Spain</v>
      </c>
      <c r="S790" t="str">
        <f>IFERROR(IF(VLOOKUP(A790,'[1]Sales Order'!A:H,8,FALSE)&gt;100,"High Freight","Low Freight"),"Not Specified")</f>
        <v>Low Freight</v>
      </c>
      <c r="T790">
        <f t="shared" si="25"/>
        <v>299.25</v>
      </c>
    </row>
    <row r="791" spans="1:20">
      <c r="A791" s="1">
        <v>10542</v>
      </c>
      <c r="B791" s="2">
        <v>54</v>
      </c>
      <c r="C791" s="2">
        <v>7.45</v>
      </c>
      <c r="D791" s="2">
        <v>24</v>
      </c>
      <c r="E791" s="3">
        <v>0.05</v>
      </c>
      <c r="F791" s="2" t="str">
        <f>IFERROR(VLOOKUP(VLOOKUP(A791,'[1]Sales Order'!A:B,2,FALSE),[1]Customer!A:C,3,FALSE),"Not Specified")</f>
        <v>Song, Lolan</v>
      </c>
      <c r="G791" s="2" t="str">
        <f t="shared" si="24"/>
        <v>Song Lolan</v>
      </c>
      <c r="H791" s="8" t="str">
        <f>IFERROR(VLOOKUP(VLOOKUP(A791,'[1]Sales Order'!A:C,3,FALSE),[1]Employee!A:E,5,FALSE)&amp;" "&amp;VLOOKUP(VLOOKUP(A791,'[1]Sales Order'!A:C,3,FALSE),[1]Employee!A:C,3,FALSE)&amp;" "&amp;VLOOKUP(VLOOKUP(A791,'[1]Sales Order'!A:C,3,FALSE),[1]Employee!A:B,2,FALSE),"Not Specified")</f>
        <v>Ms. Sara Davis</v>
      </c>
      <c r="I791" t="str">
        <f>IFERROR(VLOOKUP(VLOOKUP(A791,'[1]Sales Order'!A:C,3,FALSE),[1]Employee!A:J,10,FALSE),"Not Specified")</f>
        <v>WA</v>
      </c>
      <c r="J791" t="str">
        <f>VLOOKUP(B791,[1]Product!A:B,2,FALSE)</f>
        <v>Product QAQRL</v>
      </c>
      <c r="K791" t="str">
        <f>VLOOKUP(VLOOKUP(B791,[1]Product!A:D,4,FALSE),[1]Category!A:B,2,FALSE)</f>
        <v>Meat/Poultry</v>
      </c>
      <c r="L791" s="10">
        <f>IFERROR(VLOOKUP(A791,'[1]Sales Order'!A:D,4,FALSE),"")</f>
        <v>39222</v>
      </c>
      <c r="M791" s="10">
        <f>IFERROR(VLOOKUP(A791,'[1]Sales Order'!A:F,6,FALSE),"")</f>
        <v>39228</v>
      </c>
      <c r="N791" t="str">
        <f>IFERROR(VLOOKUP(VLOOKUP(A791,'[1]Sales Order'!A:G,7,FALSE),[1]Shipper!A:B,2,FALSE),"Not Specified")</f>
        <v>Shipper ZHISN</v>
      </c>
      <c r="O791" t="str">
        <f>IFERROR(VLOOKUP(A791,'[1]Sales Order'!A:I,9,FALSE),"Not Specified")</f>
        <v>Destination DKMQA</v>
      </c>
      <c r="P791" t="str">
        <f>IFERROR(VLOOKUP(A791,'[1]Sales Order'!A:N,14,FALSE),"Not Specified")</f>
        <v>Germany</v>
      </c>
      <c r="Q791" t="str">
        <f>VLOOKUP(VLOOKUP(B791,[1]Product!A:C,3,FALSE),[1]Supplier!A:B,2,FALSE)</f>
        <v>Supplier ERVYZ</v>
      </c>
      <c r="R791" t="str">
        <f>VLOOKUP(VLOOKUP(B791,[1]Product!A:C,3,FALSE),[1]Supplier!A:I,9,FALSE)</f>
        <v>Canada</v>
      </c>
      <c r="S791" t="str">
        <f>IFERROR(IF(VLOOKUP(A791,'[1]Sales Order'!A:H,8,FALSE)&gt;100,"High Freight","Low Freight"),"Not Specified")</f>
        <v>Low Freight</v>
      </c>
      <c r="T791">
        <f t="shared" si="25"/>
        <v>169.86</v>
      </c>
    </row>
    <row r="792" spans="1:20">
      <c r="A792" s="1">
        <v>10543</v>
      </c>
      <c r="B792" s="2">
        <v>12</v>
      </c>
      <c r="C792" s="2">
        <v>38</v>
      </c>
      <c r="D792" s="2">
        <v>30</v>
      </c>
      <c r="E792" s="3">
        <v>0.15</v>
      </c>
      <c r="F792" s="2" t="str">
        <f>IFERROR(VLOOKUP(VLOOKUP(A792,'[1]Sales Order'!A:B,2,FALSE),[1]Customer!A:C,3,FALSE),"Not Specified")</f>
        <v>Dressler, Marlies</v>
      </c>
      <c r="G792" s="2" t="str">
        <f t="shared" si="24"/>
        <v>Dressler Marlies</v>
      </c>
      <c r="H792" s="8" t="str">
        <f>IFERROR(VLOOKUP(VLOOKUP(A792,'[1]Sales Order'!A:C,3,FALSE),[1]Employee!A:E,5,FALSE)&amp;" "&amp;VLOOKUP(VLOOKUP(A792,'[1]Sales Order'!A:C,3,FALSE),[1]Employee!A:C,3,FALSE)&amp;" "&amp;VLOOKUP(VLOOKUP(A792,'[1]Sales Order'!A:C,3,FALSE),[1]Employee!A:B,2,FALSE),"Not Specified")</f>
        <v>Ms. Maria Cameron</v>
      </c>
      <c r="I792" t="str">
        <f>IFERROR(VLOOKUP(VLOOKUP(A792,'[1]Sales Order'!A:C,3,FALSE),[1]Employee!A:J,10,FALSE),"Not Specified")</f>
        <v>WA</v>
      </c>
      <c r="J792" t="str">
        <f>VLOOKUP(B792,[1]Product!A:B,2,FALSE)</f>
        <v>Product OSFNS</v>
      </c>
      <c r="K792" t="str">
        <f>VLOOKUP(VLOOKUP(B792,[1]Product!A:D,4,FALSE),[1]Category!A:B,2,FALSE)</f>
        <v>Dairy Product</v>
      </c>
      <c r="L792" s="10">
        <f>IFERROR(VLOOKUP(A792,'[1]Sales Order'!A:D,4,FALSE),"")</f>
        <v>39223</v>
      </c>
      <c r="M792" s="10">
        <f>IFERROR(VLOOKUP(A792,'[1]Sales Order'!A:F,6,FALSE),"")</f>
        <v>39225</v>
      </c>
      <c r="N792" t="str">
        <f>IFERROR(VLOOKUP(VLOOKUP(A792,'[1]Sales Order'!A:G,7,FALSE),[1]Shipper!A:B,2,FALSE),"Not Specified")</f>
        <v>Shipper ETYNR</v>
      </c>
      <c r="O792" t="str">
        <f>IFERROR(VLOOKUP(A792,'[1]Sales Order'!A:I,9,FALSE),"Not Specified")</f>
        <v>Ship to 46-B</v>
      </c>
      <c r="P792" t="str">
        <f>IFERROR(VLOOKUP(A792,'[1]Sales Order'!A:N,14,FALSE),"Not Specified")</f>
        <v>Venezuela</v>
      </c>
      <c r="Q792" t="str">
        <f>VLOOKUP(VLOOKUP(B792,[1]Product!A:C,3,FALSE),[1]Supplier!A:B,2,FALSE)</f>
        <v>Supplier EQPNC</v>
      </c>
      <c r="R792" t="str">
        <f>VLOOKUP(VLOOKUP(B792,[1]Product!A:C,3,FALSE),[1]Supplier!A:I,9,FALSE)</f>
        <v>Spain</v>
      </c>
      <c r="S792" t="str">
        <f>IFERROR(IF(VLOOKUP(A792,'[1]Sales Order'!A:H,8,FALSE)&gt;100,"High Freight","Low Freight"),"Not Specified")</f>
        <v>Low Freight</v>
      </c>
      <c r="T792">
        <f t="shared" si="25"/>
        <v>969</v>
      </c>
    </row>
    <row r="793" spans="1:20">
      <c r="A793" s="1">
        <v>10543</v>
      </c>
      <c r="B793" s="2">
        <v>23</v>
      </c>
      <c r="C793" s="2">
        <v>9</v>
      </c>
      <c r="D793" s="2">
        <v>70</v>
      </c>
      <c r="E793" s="3">
        <v>0.15</v>
      </c>
      <c r="F793" s="2" t="str">
        <f>IFERROR(VLOOKUP(VLOOKUP(A793,'[1]Sales Order'!A:B,2,FALSE),[1]Customer!A:C,3,FALSE),"Not Specified")</f>
        <v>Dressler, Marlies</v>
      </c>
      <c r="G793" s="2" t="str">
        <f t="shared" si="24"/>
        <v>Dressler Marlies</v>
      </c>
      <c r="H793" s="8" t="str">
        <f>IFERROR(VLOOKUP(VLOOKUP(A793,'[1]Sales Order'!A:C,3,FALSE),[1]Employee!A:E,5,FALSE)&amp;" "&amp;VLOOKUP(VLOOKUP(A793,'[1]Sales Order'!A:C,3,FALSE),[1]Employee!A:C,3,FALSE)&amp;" "&amp;VLOOKUP(VLOOKUP(A793,'[1]Sales Order'!A:C,3,FALSE),[1]Employee!A:B,2,FALSE),"Not Specified")</f>
        <v>Ms. Maria Cameron</v>
      </c>
      <c r="I793" t="str">
        <f>IFERROR(VLOOKUP(VLOOKUP(A793,'[1]Sales Order'!A:C,3,FALSE),[1]Employee!A:J,10,FALSE),"Not Specified")</f>
        <v>WA</v>
      </c>
      <c r="J793" t="str">
        <f>VLOOKUP(B793,[1]Product!A:B,2,FALSE)</f>
        <v>Product JLUDZ</v>
      </c>
      <c r="K793" t="str">
        <f>VLOOKUP(VLOOKUP(B793,[1]Product!A:D,4,FALSE),[1]Category!A:B,2,FALSE)</f>
        <v>Grains/Cereals</v>
      </c>
      <c r="L793" s="10">
        <f>IFERROR(VLOOKUP(A793,'[1]Sales Order'!A:D,4,FALSE),"")</f>
        <v>39223</v>
      </c>
      <c r="M793" s="10">
        <f>IFERROR(VLOOKUP(A793,'[1]Sales Order'!A:F,6,FALSE),"")</f>
        <v>39225</v>
      </c>
      <c r="N793" t="str">
        <f>IFERROR(VLOOKUP(VLOOKUP(A793,'[1]Sales Order'!A:G,7,FALSE),[1]Shipper!A:B,2,FALSE),"Not Specified")</f>
        <v>Shipper ETYNR</v>
      </c>
      <c r="O793" t="str">
        <f>IFERROR(VLOOKUP(A793,'[1]Sales Order'!A:I,9,FALSE),"Not Specified")</f>
        <v>Ship to 46-B</v>
      </c>
      <c r="P793" t="str">
        <f>IFERROR(VLOOKUP(A793,'[1]Sales Order'!A:N,14,FALSE),"Not Specified")</f>
        <v>Venezuela</v>
      </c>
      <c r="Q793" t="str">
        <f>VLOOKUP(VLOOKUP(B793,[1]Product!A:C,3,FALSE),[1]Supplier!A:B,2,FALSE)</f>
        <v>Supplier QQYEU</v>
      </c>
      <c r="R793" t="str">
        <f>VLOOKUP(VLOOKUP(B793,[1]Product!A:C,3,FALSE),[1]Supplier!A:I,9,FALSE)</f>
        <v>Sweden</v>
      </c>
      <c r="S793" t="str">
        <f>IFERROR(IF(VLOOKUP(A793,'[1]Sales Order'!A:H,8,FALSE)&gt;100,"High Freight","Low Freight"),"Not Specified")</f>
        <v>Low Freight</v>
      </c>
      <c r="T793">
        <f t="shared" si="25"/>
        <v>535.5</v>
      </c>
    </row>
    <row r="794" spans="1:20">
      <c r="A794" s="1">
        <v>10544</v>
      </c>
      <c r="B794" s="2">
        <v>28</v>
      </c>
      <c r="C794" s="2">
        <v>45.6</v>
      </c>
      <c r="D794" s="2">
        <v>7</v>
      </c>
      <c r="E794" s="3">
        <v>0</v>
      </c>
      <c r="F794" s="2" t="str">
        <f>IFERROR(VLOOKUP(VLOOKUP(A794,'[1]Sales Order'!A:B,2,FALSE),[1]Customer!A:C,3,FALSE),"Not Specified")</f>
        <v>Szymczak, Radosław</v>
      </c>
      <c r="G794" s="2" t="str">
        <f t="shared" si="24"/>
        <v>Szymczak Radosław</v>
      </c>
      <c r="H794" s="8" t="str">
        <f>IFERROR(VLOOKUP(VLOOKUP(A794,'[1]Sales Order'!A:C,3,FALSE),[1]Employee!A:E,5,FALSE)&amp;" "&amp;VLOOKUP(VLOOKUP(A794,'[1]Sales Order'!A:C,3,FALSE),[1]Employee!A:C,3,FALSE)&amp;" "&amp;VLOOKUP(VLOOKUP(A794,'[1]Sales Order'!A:C,3,FALSE),[1]Employee!A:B,2,FALSE),"Not Specified")</f>
        <v>Mrs. Yael Peled</v>
      </c>
      <c r="I794" t="str">
        <f>IFERROR(VLOOKUP(VLOOKUP(A794,'[1]Sales Order'!A:C,3,FALSE),[1]Employee!A:J,10,FALSE),"Not Specified")</f>
        <v>WA</v>
      </c>
      <c r="J794" t="str">
        <f>VLOOKUP(B794,[1]Product!A:B,2,FALSE)</f>
        <v>Product OFBNT</v>
      </c>
      <c r="K794" t="str">
        <f>VLOOKUP(VLOOKUP(B794,[1]Product!A:D,4,FALSE),[1]Category!A:B,2,FALSE)</f>
        <v>Produce</v>
      </c>
      <c r="L794" s="10">
        <f>IFERROR(VLOOKUP(A794,'[1]Sales Order'!A:D,4,FALSE),"")</f>
        <v>39223</v>
      </c>
      <c r="M794" s="10">
        <f>IFERROR(VLOOKUP(A794,'[1]Sales Order'!A:F,6,FALSE),"")</f>
        <v>39232</v>
      </c>
      <c r="N794" t="str">
        <f>IFERROR(VLOOKUP(VLOOKUP(A794,'[1]Sales Order'!A:G,7,FALSE),[1]Shipper!A:B,2,FALSE),"Not Specified")</f>
        <v>Shipper GVSUA</v>
      </c>
      <c r="O794" t="str">
        <f>IFERROR(VLOOKUP(A794,'[1]Sales Order'!A:I,9,FALSE),"Not Specified")</f>
        <v>Ship to 48-C</v>
      </c>
      <c r="P794" t="str">
        <f>IFERROR(VLOOKUP(A794,'[1]Sales Order'!A:N,14,FALSE),"Not Specified")</f>
        <v>USA</v>
      </c>
      <c r="Q794" t="str">
        <f>VLOOKUP(VLOOKUP(B794,[1]Product!A:C,3,FALSE),[1]Supplier!A:B,2,FALSE)</f>
        <v>Supplier SVIYA</v>
      </c>
      <c r="R794" t="str">
        <f>VLOOKUP(VLOOKUP(B794,[1]Product!A:C,3,FALSE),[1]Supplier!A:I,9,FALSE)</f>
        <v>Germany</v>
      </c>
      <c r="S794" t="str">
        <f>IFERROR(IF(VLOOKUP(A794,'[1]Sales Order'!A:H,8,FALSE)&gt;100,"High Freight","Low Freight"),"Not Specified")</f>
        <v>Low Freight</v>
      </c>
      <c r="T794">
        <f t="shared" si="25"/>
        <v>319.2</v>
      </c>
    </row>
    <row r="795" spans="1:20">
      <c r="A795" s="1">
        <v>10544</v>
      </c>
      <c r="B795" s="2">
        <v>67</v>
      </c>
      <c r="C795" s="2">
        <v>14</v>
      </c>
      <c r="D795" s="2">
        <v>7</v>
      </c>
      <c r="E795" s="3">
        <v>0</v>
      </c>
      <c r="F795" s="2" t="str">
        <f>IFERROR(VLOOKUP(VLOOKUP(A795,'[1]Sales Order'!A:B,2,FALSE),[1]Customer!A:C,3,FALSE),"Not Specified")</f>
        <v>Szymczak, Radosław</v>
      </c>
      <c r="G795" s="2" t="str">
        <f t="shared" si="24"/>
        <v>Szymczak Radosław</v>
      </c>
      <c r="H795" s="8" t="str">
        <f>IFERROR(VLOOKUP(VLOOKUP(A795,'[1]Sales Order'!A:C,3,FALSE),[1]Employee!A:E,5,FALSE)&amp;" "&amp;VLOOKUP(VLOOKUP(A795,'[1]Sales Order'!A:C,3,FALSE),[1]Employee!A:C,3,FALSE)&amp;" "&amp;VLOOKUP(VLOOKUP(A795,'[1]Sales Order'!A:C,3,FALSE),[1]Employee!A:B,2,FALSE),"Not Specified")</f>
        <v>Mrs. Yael Peled</v>
      </c>
      <c r="I795" t="str">
        <f>IFERROR(VLOOKUP(VLOOKUP(A795,'[1]Sales Order'!A:C,3,FALSE),[1]Employee!A:J,10,FALSE),"Not Specified")</f>
        <v>WA</v>
      </c>
      <c r="J795" t="str">
        <f>VLOOKUP(B795,[1]Product!A:B,2,FALSE)</f>
        <v>Product XLXQF</v>
      </c>
      <c r="K795" t="str">
        <f>VLOOKUP(VLOOKUP(B795,[1]Product!A:D,4,FALSE),[1]Category!A:B,2,FALSE)</f>
        <v>Beverages</v>
      </c>
      <c r="L795" s="10">
        <f>IFERROR(VLOOKUP(A795,'[1]Sales Order'!A:D,4,FALSE),"")</f>
        <v>39223</v>
      </c>
      <c r="M795" s="10">
        <f>IFERROR(VLOOKUP(A795,'[1]Sales Order'!A:F,6,FALSE),"")</f>
        <v>39232</v>
      </c>
      <c r="N795" t="str">
        <f>IFERROR(VLOOKUP(VLOOKUP(A795,'[1]Sales Order'!A:G,7,FALSE),[1]Shipper!A:B,2,FALSE),"Not Specified")</f>
        <v>Shipper GVSUA</v>
      </c>
      <c r="O795" t="str">
        <f>IFERROR(VLOOKUP(A795,'[1]Sales Order'!A:I,9,FALSE),"Not Specified")</f>
        <v>Ship to 48-C</v>
      </c>
      <c r="P795" t="str">
        <f>IFERROR(VLOOKUP(A795,'[1]Sales Order'!A:N,14,FALSE),"Not Specified")</f>
        <v>USA</v>
      </c>
      <c r="Q795" t="str">
        <f>VLOOKUP(VLOOKUP(B795,[1]Product!A:C,3,FALSE),[1]Supplier!A:B,2,FALSE)</f>
        <v>Supplier UHZRG</v>
      </c>
      <c r="R795" t="str">
        <f>VLOOKUP(VLOOKUP(B795,[1]Product!A:C,3,FALSE),[1]Supplier!A:I,9,FALSE)</f>
        <v>USA</v>
      </c>
      <c r="S795" t="str">
        <f>IFERROR(IF(VLOOKUP(A795,'[1]Sales Order'!A:H,8,FALSE)&gt;100,"High Freight","Low Freight"),"Not Specified")</f>
        <v>Low Freight</v>
      </c>
      <c r="T795">
        <f t="shared" si="25"/>
        <v>98</v>
      </c>
    </row>
    <row r="796" spans="1:20">
      <c r="A796" s="1">
        <v>10545</v>
      </c>
      <c r="B796" s="2">
        <v>11</v>
      </c>
      <c r="C796" s="2">
        <v>21</v>
      </c>
      <c r="D796" s="2">
        <v>10</v>
      </c>
      <c r="E796" s="3">
        <v>0</v>
      </c>
      <c r="F796" s="2" t="str">
        <f>IFERROR(VLOOKUP(VLOOKUP(A796,'[1]Sales Order'!A:B,2,FALSE),[1]Customer!A:C,3,FALSE),"Not Specified")</f>
        <v>Deshpande, Anu</v>
      </c>
      <c r="G796" s="2" t="str">
        <f t="shared" si="24"/>
        <v>Deshpande Anu</v>
      </c>
      <c r="H796" s="8" t="str">
        <f>IFERROR(VLOOKUP(VLOOKUP(A796,'[1]Sales Order'!A:C,3,FALSE),[1]Employee!A:E,5,FALSE)&amp;" "&amp;VLOOKUP(VLOOKUP(A796,'[1]Sales Order'!A:C,3,FALSE),[1]Employee!A:C,3,FALSE)&amp;" "&amp;VLOOKUP(VLOOKUP(A796,'[1]Sales Order'!A:C,3,FALSE),[1]Employee!A:B,2,FALSE),"Not Specified")</f>
        <v>Ms. Maria Cameron</v>
      </c>
      <c r="I796" t="str">
        <f>IFERROR(VLOOKUP(VLOOKUP(A796,'[1]Sales Order'!A:C,3,FALSE),[1]Employee!A:J,10,FALSE),"Not Specified")</f>
        <v>WA</v>
      </c>
      <c r="J796" t="str">
        <f>VLOOKUP(B796,[1]Product!A:B,2,FALSE)</f>
        <v>Product QMVUN</v>
      </c>
      <c r="K796" t="str">
        <f>VLOOKUP(VLOOKUP(B796,[1]Product!A:D,4,FALSE),[1]Category!A:B,2,FALSE)</f>
        <v>Dairy Product</v>
      </c>
      <c r="L796" s="10">
        <f>IFERROR(VLOOKUP(A796,'[1]Sales Order'!A:D,4,FALSE),"")</f>
        <v>39224</v>
      </c>
      <c r="M796" s="10">
        <f>IFERROR(VLOOKUP(A796,'[1]Sales Order'!A:F,6,FALSE),"")</f>
        <v>39259</v>
      </c>
      <c r="N796" t="str">
        <f>IFERROR(VLOOKUP(VLOOKUP(A796,'[1]Sales Order'!A:G,7,FALSE),[1]Shipper!A:B,2,FALSE),"Not Specified")</f>
        <v>Shipper ETYNR</v>
      </c>
      <c r="O796" t="str">
        <f>IFERROR(VLOOKUP(A796,'[1]Sales Order'!A:I,9,FALSE),"Not Specified")</f>
        <v>Ship to 43-B</v>
      </c>
      <c r="P796" t="str">
        <f>IFERROR(VLOOKUP(A796,'[1]Sales Order'!A:N,14,FALSE),"Not Specified")</f>
        <v>USA</v>
      </c>
      <c r="Q796" t="str">
        <f>VLOOKUP(VLOOKUP(B796,[1]Product!A:C,3,FALSE),[1]Supplier!A:B,2,FALSE)</f>
        <v>Supplier EQPNC</v>
      </c>
      <c r="R796" t="str">
        <f>VLOOKUP(VLOOKUP(B796,[1]Product!A:C,3,FALSE),[1]Supplier!A:I,9,FALSE)</f>
        <v>Spain</v>
      </c>
      <c r="S796" t="str">
        <f>IFERROR(IF(VLOOKUP(A796,'[1]Sales Order'!A:H,8,FALSE)&gt;100,"High Freight","Low Freight"),"Not Specified")</f>
        <v>Low Freight</v>
      </c>
      <c r="T796">
        <f t="shared" si="25"/>
        <v>210</v>
      </c>
    </row>
    <row r="797" spans="1:20">
      <c r="A797" s="1">
        <v>10546</v>
      </c>
      <c r="B797" s="2">
        <v>7</v>
      </c>
      <c r="C797" s="2">
        <v>30</v>
      </c>
      <c r="D797" s="2">
        <v>10</v>
      </c>
      <c r="E797" s="3">
        <v>0</v>
      </c>
      <c r="F797" s="2" t="str">
        <f>IFERROR(VLOOKUP(VLOOKUP(A797,'[1]Sales Order'!A:B,2,FALSE),[1]Customer!A:C,3,FALSE),"Not Specified")</f>
        <v>Tuntisangaroon, Sittichai</v>
      </c>
      <c r="G797" s="2" t="str">
        <f t="shared" si="24"/>
        <v>Tuntisangaroon Sittichai</v>
      </c>
      <c r="H797" s="8" t="str">
        <f>IFERROR(VLOOKUP(VLOOKUP(A797,'[1]Sales Order'!A:C,3,FALSE),[1]Employee!A:E,5,FALSE)&amp;" "&amp;VLOOKUP(VLOOKUP(A797,'[1]Sales Order'!A:C,3,FALSE),[1]Employee!A:C,3,FALSE)&amp;" "&amp;VLOOKUP(VLOOKUP(A797,'[1]Sales Order'!A:C,3,FALSE),[1]Employee!A:B,2,FALSE),"Not Specified")</f>
        <v>Ms. Sara Davis</v>
      </c>
      <c r="I797" t="str">
        <f>IFERROR(VLOOKUP(VLOOKUP(A797,'[1]Sales Order'!A:C,3,FALSE),[1]Employee!A:J,10,FALSE),"Not Specified")</f>
        <v>WA</v>
      </c>
      <c r="J797" t="str">
        <f>VLOOKUP(B797,[1]Product!A:B,2,FALSE)</f>
        <v>Product HMLNI</v>
      </c>
      <c r="K797" t="str">
        <f>VLOOKUP(VLOOKUP(B797,[1]Product!A:D,4,FALSE),[1]Category!A:B,2,FALSE)</f>
        <v>Produce</v>
      </c>
      <c r="L797" s="10">
        <f>IFERROR(VLOOKUP(A797,'[1]Sales Order'!A:D,4,FALSE),"")</f>
        <v>39225</v>
      </c>
      <c r="M797" s="10">
        <f>IFERROR(VLOOKUP(A797,'[1]Sales Order'!A:F,6,FALSE),"")</f>
        <v>39229</v>
      </c>
      <c r="N797" t="str">
        <f>IFERROR(VLOOKUP(VLOOKUP(A797,'[1]Sales Order'!A:G,7,FALSE),[1]Shipper!A:B,2,FALSE),"Not Specified")</f>
        <v>Shipper ZHISN</v>
      </c>
      <c r="O797" t="str">
        <f>IFERROR(VLOOKUP(A797,'[1]Sales Order'!A:I,9,FALSE),"Not Specified")</f>
        <v>Ship to 84-C</v>
      </c>
      <c r="P797" t="str">
        <f>IFERROR(VLOOKUP(A797,'[1]Sales Order'!A:N,14,FALSE),"Not Specified")</f>
        <v>France</v>
      </c>
      <c r="Q797" t="str">
        <f>VLOOKUP(VLOOKUP(B797,[1]Product!A:C,3,FALSE),[1]Supplier!A:B,2,FALSE)</f>
        <v>Supplier STUAZ</v>
      </c>
      <c r="R797" t="str">
        <f>VLOOKUP(VLOOKUP(B797,[1]Product!A:C,3,FALSE),[1]Supplier!A:I,9,FALSE)</f>
        <v>USA</v>
      </c>
      <c r="S797" t="str">
        <f>IFERROR(IF(VLOOKUP(A797,'[1]Sales Order'!A:H,8,FALSE)&gt;100,"High Freight","Low Freight"),"Not Specified")</f>
        <v>High Freight</v>
      </c>
      <c r="T797">
        <f t="shared" si="25"/>
        <v>300</v>
      </c>
    </row>
    <row r="798" spans="1:20">
      <c r="A798" s="1">
        <v>10546</v>
      </c>
      <c r="B798" s="2">
        <v>35</v>
      </c>
      <c r="C798" s="2">
        <v>18</v>
      </c>
      <c r="D798" s="2">
        <v>30</v>
      </c>
      <c r="E798" s="3">
        <v>0</v>
      </c>
      <c r="F798" s="2" t="str">
        <f>IFERROR(VLOOKUP(VLOOKUP(A798,'[1]Sales Order'!A:B,2,FALSE),[1]Customer!A:C,3,FALSE),"Not Specified")</f>
        <v>Tuntisangaroon, Sittichai</v>
      </c>
      <c r="G798" s="2" t="str">
        <f t="shared" si="24"/>
        <v>Tuntisangaroon Sittichai</v>
      </c>
      <c r="H798" s="8" t="str">
        <f>IFERROR(VLOOKUP(VLOOKUP(A798,'[1]Sales Order'!A:C,3,FALSE),[1]Employee!A:E,5,FALSE)&amp;" "&amp;VLOOKUP(VLOOKUP(A798,'[1]Sales Order'!A:C,3,FALSE),[1]Employee!A:C,3,FALSE)&amp;" "&amp;VLOOKUP(VLOOKUP(A798,'[1]Sales Order'!A:C,3,FALSE),[1]Employee!A:B,2,FALSE),"Not Specified")</f>
        <v>Ms. Sara Davis</v>
      </c>
      <c r="I798" t="str">
        <f>IFERROR(VLOOKUP(VLOOKUP(A798,'[1]Sales Order'!A:C,3,FALSE),[1]Employee!A:J,10,FALSE),"Not Specified")</f>
        <v>WA</v>
      </c>
      <c r="J798" t="str">
        <f>VLOOKUP(B798,[1]Product!A:B,2,FALSE)</f>
        <v>Product NEVTJ</v>
      </c>
      <c r="K798" t="str">
        <f>VLOOKUP(VLOOKUP(B798,[1]Product!A:D,4,FALSE),[1]Category!A:B,2,FALSE)</f>
        <v>Beverages</v>
      </c>
      <c r="L798" s="10">
        <f>IFERROR(VLOOKUP(A798,'[1]Sales Order'!A:D,4,FALSE),"")</f>
        <v>39225</v>
      </c>
      <c r="M798" s="10">
        <f>IFERROR(VLOOKUP(A798,'[1]Sales Order'!A:F,6,FALSE),"")</f>
        <v>39229</v>
      </c>
      <c r="N798" t="str">
        <f>IFERROR(VLOOKUP(VLOOKUP(A798,'[1]Sales Order'!A:G,7,FALSE),[1]Shipper!A:B,2,FALSE),"Not Specified")</f>
        <v>Shipper ZHISN</v>
      </c>
      <c r="O798" t="str">
        <f>IFERROR(VLOOKUP(A798,'[1]Sales Order'!A:I,9,FALSE),"Not Specified")</f>
        <v>Ship to 84-C</v>
      </c>
      <c r="P798" t="str">
        <f>IFERROR(VLOOKUP(A798,'[1]Sales Order'!A:N,14,FALSE),"Not Specified")</f>
        <v>France</v>
      </c>
      <c r="Q798" t="str">
        <f>VLOOKUP(VLOOKUP(B798,[1]Product!A:C,3,FALSE),[1]Supplier!A:B,2,FALSE)</f>
        <v>Supplier UHZRG</v>
      </c>
      <c r="R798" t="str">
        <f>VLOOKUP(VLOOKUP(B798,[1]Product!A:C,3,FALSE),[1]Supplier!A:I,9,FALSE)</f>
        <v>USA</v>
      </c>
      <c r="S798" t="str">
        <f>IFERROR(IF(VLOOKUP(A798,'[1]Sales Order'!A:H,8,FALSE)&gt;100,"High Freight","Low Freight"),"Not Specified")</f>
        <v>High Freight</v>
      </c>
      <c r="T798">
        <f t="shared" si="25"/>
        <v>540</v>
      </c>
    </row>
    <row r="799" spans="1:20">
      <c r="A799" s="1">
        <v>10546</v>
      </c>
      <c r="B799" s="2">
        <v>62</v>
      </c>
      <c r="C799" s="2">
        <v>49.3</v>
      </c>
      <c r="D799" s="2">
        <v>40</v>
      </c>
      <c r="E799" s="3">
        <v>0</v>
      </c>
      <c r="F799" s="2" t="str">
        <f>IFERROR(VLOOKUP(VLOOKUP(A799,'[1]Sales Order'!A:B,2,FALSE),[1]Customer!A:C,3,FALSE),"Not Specified")</f>
        <v>Tuntisangaroon, Sittichai</v>
      </c>
      <c r="G799" s="2" t="str">
        <f t="shared" si="24"/>
        <v>Tuntisangaroon Sittichai</v>
      </c>
      <c r="H799" s="8" t="str">
        <f>IFERROR(VLOOKUP(VLOOKUP(A799,'[1]Sales Order'!A:C,3,FALSE),[1]Employee!A:E,5,FALSE)&amp;" "&amp;VLOOKUP(VLOOKUP(A799,'[1]Sales Order'!A:C,3,FALSE),[1]Employee!A:C,3,FALSE)&amp;" "&amp;VLOOKUP(VLOOKUP(A799,'[1]Sales Order'!A:C,3,FALSE),[1]Employee!A:B,2,FALSE),"Not Specified")</f>
        <v>Ms. Sara Davis</v>
      </c>
      <c r="I799" t="str">
        <f>IFERROR(VLOOKUP(VLOOKUP(A799,'[1]Sales Order'!A:C,3,FALSE),[1]Employee!A:J,10,FALSE),"Not Specified")</f>
        <v>WA</v>
      </c>
      <c r="J799" t="str">
        <f>VLOOKUP(B799,[1]Product!A:B,2,FALSE)</f>
        <v>Product WUXYK</v>
      </c>
      <c r="K799" t="str">
        <f>VLOOKUP(VLOOKUP(B799,[1]Product!A:D,4,FALSE),[1]Category!A:B,2,FALSE)</f>
        <v>Confections</v>
      </c>
      <c r="L799" s="10">
        <f>IFERROR(VLOOKUP(A799,'[1]Sales Order'!A:D,4,FALSE),"")</f>
        <v>39225</v>
      </c>
      <c r="M799" s="10">
        <f>IFERROR(VLOOKUP(A799,'[1]Sales Order'!A:F,6,FALSE),"")</f>
        <v>39229</v>
      </c>
      <c r="N799" t="str">
        <f>IFERROR(VLOOKUP(VLOOKUP(A799,'[1]Sales Order'!A:G,7,FALSE),[1]Shipper!A:B,2,FALSE),"Not Specified")</f>
        <v>Shipper ZHISN</v>
      </c>
      <c r="O799" t="str">
        <f>IFERROR(VLOOKUP(A799,'[1]Sales Order'!A:I,9,FALSE),"Not Specified")</f>
        <v>Ship to 84-C</v>
      </c>
      <c r="P799" t="str">
        <f>IFERROR(VLOOKUP(A799,'[1]Sales Order'!A:N,14,FALSE),"Not Specified")</f>
        <v>France</v>
      </c>
      <c r="Q799" t="str">
        <f>VLOOKUP(VLOOKUP(B799,[1]Product!A:C,3,FALSE),[1]Supplier!A:B,2,FALSE)</f>
        <v>Supplier OGLRK</v>
      </c>
      <c r="R799" t="str">
        <f>VLOOKUP(VLOOKUP(B799,[1]Product!A:C,3,FALSE),[1]Supplier!A:I,9,FALSE)</f>
        <v>Canada</v>
      </c>
      <c r="S799" t="str">
        <f>IFERROR(IF(VLOOKUP(A799,'[1]Sales Order'!A:H,8,FALSE)&gt;100,"High Freight","Low Freight"),"Not Specified")</f>
        <v>High Freight</v>
      </c>
      <c r="T799">
        <f t="shared" si="25"/>
        <v>1972</v>
      </c>
    </row>
    <row r="800" spans="1:20">
      <c r="A800" s="1">
        <v>10547</v>
      </c>
      <c r="B800" s="2">
        <v>32</v>
      </c>
      <c r="C800" s="2">
        <v>32</v>
      </c>
      <c r="D800" s="2">
        <v>24</v>
      </c>
      <c r="E800" s="3">
        <v>0.15</v>
      </c>
      <c r="F800" s="2" t="str">
        <f>IFERROR(VLOOKUP(VLOOKUP(A800,'[1]Sales Order'!A:B,2,FALSE),[1]Customer!A:C,3,FALSE),"Not Specified")</f>
        <v>Welcker, Brian</v>
      </c>
      <c r="G800" s="2" t="str">
        <f t="shared" si="24"/>
        <v>Welcker Brian</v>
      </c>
      <c r="H800" s="8" t="str">
        <f>IFERROR(VLOOKUP(VLOOKUP(A800,'[1]Sales Order'!A:C,3,FALSE),[1]Employee!A:E,5,FALSE)&amp;" "&amp;VLOOKUP(VLOOKUP(A800,'[1]Sales Order'!A:C,3,FALSE),[1]Employee!A:C,3,FALSE)&amp;" "&amp;VLOOKUP(VLOOKUP(A800,'[1]Sales Order'!A:C,3,FALSE),[1]Employee!A:B,2,FALSE),"Not Specified")</f>
        <v>Ms. Judy Lew</v>
      </c>
      <c r="I800" t="str">
        <f>IFERROR(VLOOKUP(VLOOKUP(A800,'[1]Sales Order'!A:C,3,FALSE),[1]Employee!A:J,10,FALSE),"Not Specified")</f>
        <v>WA</v>
      </c>
      <c r="J800" t="str">
        <f>VLOOKUP(B800,[1]Product!A:B,2,FALSE)</f>
        <v>Product NUNAW</v>
      </c>
      <c r="K800" t="str">
        <f>VLOOKUP(VLOOKUP(B800,[1]Product!A:D,4,FALSE),[1]Category!A:B,2,FALSE)</f>
        <v>Dairy Product</v>
      </c>
      <c r="L800" s="10">
        <f>IFERROR(VLOOKUP(A800,'[1]Sales Order'!A:D,4,FALSE),"")</f>
        <v>39225</v>
      </c>
      <c r="M800" s="10">
        <f>IFERROR(VLOOKUP(A800,'[1]Sales Order'!A:F,6,FALSE),"")</f>
        <v>39235</v>
      </c>
      <c r="N800" t="str">
        <f>IFERROR(VLOOKUP(VLOOKUP(A800,'[1]Sales Order'!A:G,7,FALSE),[1]Shipper!A:B,2,FALSE),"Not Specified")</f>
        <v>Shipper ETYNR</v>
      </c>
      <c r="O800" t="str">
        <f>IFERROR(VLOOKUP(A800,'[1]Sales Order'!A:I,9,FALSE),"Not Specified")</f>
        <v>Ship to 72-C</v>
      </c>
      <c r="P800" t="str">
        <f>IFERROR(VLOOKUP(A800,'[1]Sales Order'!A:N,14,FALSE),"Not Specified")</f>
        <v>UK</v>
      </c>
      <c r="Q800" t="str">
        <f>VLOOKUP(VLOOKUP(B800,[1]Product!A:C,3,FALSE),[1]Supplier!A:B,2,FALSE)</f>
        <v>Supplier KEREV</v>
      </c>
      <c r="R800" t="str">
        <f>VLOOKUP(VLOOKUP(B800,[1]Product!A:C,3,FALSE),[1]Supplier!A:I,9,FALSE)</f>
        <v>Italy</v>
      </c>
      <c r="S800" t="str">
        <f>IFERROR(IF(VLOOKUP(A800,'[1]Sales Order'!A:H,8,FALSE)&gt;100,"High Freight","Low Freight"),"Not Specified")</f>
        <v>High Freight</v>
      </c>
      <c r="T800">
        <f t="shared" si="25"/>
        <v>652.79999999999995</v>
      </c>
    </row>
    <row r="801" spans="1:20">
      <c r="A801" s="1">
        <v>10547</v>
      </c>
      <c r="B801" s="2">
        <v>36</v>
      </c>
      <c r="C801" s="2">
        <v>19</v>
      </c>
      <c r="D801" s="2">
        <v>60</v>
      </c>
      <c r="E801" s="3">
        <v>0</v>
      </c>
      <c r="F801" s="2" t="str">
        <f>IFERROR(VLOOKUP(VLOOKUP(A801,'[1]Sales Order'!A:B,2,FALSE),[1]Customer!A:C,3,FALSE),"Not Specified")</f>
        <v>Welcker, Brian</v>
      </c>
      <c r="G801" s="2" t="str">
        <f t="shared" si="24"/>
        <v>Welcker Brian</v>
      </c>
      <c r="H801" s="8" t="str">
        <f>IFERROR(VLOOKUP(VLOOKUP(A801,'[1]Sales Order'!A:C,3,FALSE),[1]Employee!A:E,5,FALSE)&amp;" "&amp;VLOOKUP(VLOOKUP(A801,'[1]Sales Order'!A:C,3,FALSE),[1]Employee!A:C,3,FALSE)&amp;" "&amp;VLOOKUP(VLOOKUP(A801,'[1]Sales Order'!A:C,3,FALSE),[1]Employee!A:B,2,FALSE),"Not Specified")</f>
        <v>Ms. Judy Lew</v>
      </c>
      <c r="I801" t="str">
        <f>IFERROR(VLOOKUP(VLOOKUP(A801,'[1]Sales Order'!A:C,3,FALSE),[1]Employee!A:J,10,FALSE),"Not Specified")</f>
        <v>WA</v>
      </c>
      <c r="J801" t="str">
        <f>VLOOKUP(B801,[1]Product!A:B,2,FALSE)</f>
        <v>Product GMKIJ</v>
      </c>
      <c r="K801" t="str">
        <f>VLOOKUP(VLOOKUP(B801,[1]Product!A:D,4,FALSE),[1]Category!A:B,2,FALSE)</f>
        <v>Seafood</v>
      </c>
      <c r="L801" s="10">
        <f>IFERROR(VLOOKUP(A801,'[1]Sales Order'!A:D,4,FALSE),"")</f>
        <v>39225</v>
      </c>
      <c r="M801" s="10">
        <f>IFERROR(VLOOKUP(A801,'[1]Sales Order'!A:F,6,FALSE),"")</f>
        <v>39235</v>
      </c>
      <c r="N801" t="str">
        <f>IFERROR(VLOOKUP(VLOOKUP(A801,'[1]Sales Order'!A:G,7,FALSE),[1]Shipper!A:B,2,FALSE),"Not Specified")</f>
        <v>Shipper ETYNR</v>
      </c>
      <c r="O801" t="str">
        <f>IFERROR(VLOOKUP(A801,'[1]Sales Order'!A:I,9,FALSE),"Not Specified")</f>
        <v>Ship to 72-C</v>
      </c>
      <c r="P801" t="str">
        <f>IFERROR(VLOOKUP(A801,'[1]Sales Order'!A:N,14,FALSE),"Not Specified")</f>
        <v>UK</v>
      </c>
      <c r="Q801" t="str">
        <f>VLOOKUP(VLOOKUP(B801,[1]Product!A:C,3,FALSE),[1]Supplier!A:B,2,FALSE)</f>
        <v>Supplier QZGUF</v>
      </c>
      <c r="R801" t="str">
        <f>VLOOKUP(VLOOKUP(B801,[1]Product!A:C,3,FALSE),[1]Supplier!A:I,9,FALSE)</f>
        <v>Sweden</v>
      </c>
      <c r="S801" t="str">
        <f>IFERROR(IF(VLOOKUP(A801,'[1]Sales Order'!A:H,8,FALSE)&gt;100,"High Freight","Low Freight"),"Not Specified")</f>
        <v>High Freight</v>
      </c>
      <c r="T801">
        <f t="shared" si="25"/>
        <v>1140</v>
      </c>
    </row>
    <row r="802" spans="1:20">
      <c r="A802" s="1">
        <v>10548</v>
      </c>
      <c r="B802" s="2">
        <v>34</v>
      </c>
      <c r="C802" s="2">
        <v>14</v>
      </c>
      <c r="D802" s="2">
        <v>10</v>
      </c>
      <c r="E802" s="3">
        <v>0.25</v>
      </c>
      <c r="F802" s="2" t="str">
        <f>IFERROR(VLOOKUP(VLOOKUP(A802,'[1]Sales Order'!A:B,2,FALSE),[1]Customer!A:C,3,FALSE),"Not Specified")</f>
        <v>Wickham, Jim</v>
      </c>
      <c r="G802" s="2" t="str">
        <f t="shared" si="24"/>
        <v>Wickham Jim</v>
      </c>
      <c r="H802" s="8" t="str">
        <f>IFERROR(VLOOKUP(VLOOKUP(A802,'[1]Sales Order'!A:C,3,FALSE),[1]Employee!A:E,5,FALSE)&amp;" "&amp;VLOOKUP(VLOOKUP(A802,'[1]Sales Order'!A:C,3,FALSE),[1]Employee!A:C,3,FALSE)&amp;" "&amp;VLOOKUP(VLOOKUP(A802,'[1]Sales Order'!A:C,3,FALSE),[1]Employee!A:B,2,FALSE),"Not Specified")</f>
        <v>Ms. Judy Lew</v>
      </c>
      <c r="I802" t="str">
        <f>IFERROR(VLOOKUP(VLOOKUP(A802,'[1]Sales Order'!A:C,3,FALSE),[1]Employee!A:J,10,FALSE),"Not Specified")</f>
        <v>WA</v>
      </c>
      <c r="J802" t="str">
        <f>VLOOKUP(B802,[1]Product!A:B,2,FALSE)</f>
        <v>Product SWNJY</v>
      </c>
      <c r="K802" t="str">
        <f>VLOOKUP(VLOOKUP(B802,[1]Product!A:D,4,FALSE),[1]Category!A:B,2,FALSE)</f>
        <v>Beverages</v>
      </c>
      <c r="L802" s="10">
        <f>IFERROR(VLOOKUP(A802,'[1]Sales Order'!A:D,4,FALSE),"")</f>
        <v>39228</v>
      </c>
      <c r="M802" s="10">
        <f>IFERROR(VLOOKUP(A802,'[1]Sales Order'!A:F,6,FALSE),"")</f>
        <v>39235</v>
      </c>
      <c r="N802" t="str">
        <f>IFERROR(VLOOKUP(VLOOKUP(A802,'[1]Sales Order'!A:G,7,FALSE),[1]Shipper!A:B,2,FALSE),"Not Specified")</f>
        <v>Shipper ETYNR</v>
      </c>
      <c r="O802" t="str">
        <f>IFERROR(VLOOKUP(A802,'[1]Sales Order'!A:I,9,FALSE),"Not Specified")</f>
        <v>Ship to 79-A</v>
      </c>
      <c r="P802" t="str">
        <f>IFERROR(VLOOKUP(A802,'[1]Sales Order'!A:N,14,FALSE),"Not Specified")</f>
        <v>Germany</v>
      </c>
      <c r="Q802" t="str">
        <f>VLOOKUP(VLOOKUP(B802,[1]Product!A:C,3,FALSE),[1]Supplier!A:B,2,FALSE)</f>
        <v>Supplier UHZRG</v>
      </c>
      <c r="R802" t="str">
        <f>VLOOKUP(VLOOKUP(B802,[1]Product!A:C,3,FALSE),[1]Supplier!A:I,9,FALSE)</f>
        <v>USA</v>
      </c>
      <c r="S802" t="str">
        <f>IFERROR(IF(VLOOKUP(A802,'[1]Sales Order'!A:H,8,FALSE)&gt;100,"High Freight","Low Freight"),"Not Specified")</f>
        <v>Low Freight</v>
      </c>
      <c r="T802">
        <f t="shared" si="25"/>
        <v>105</v>
      </c>
    </row>
    <row r="803" spans="1:20">
      <c r="A803" s="1">
        <v>10548</v>
      </c>
      <c r="B803" s="2">
        <v>41</v>
      </c>
      <c r="C803" s="2">
        <v>9.65</v>
      </c>
      <c r="D803" s="2">
        <v>14</v>
      </c>
      <c r="E803" s="3">
        <v>0</v>
      </c>
      <c r="F803" s="2" t="str">
        <f>IFERROR(VLOOKUP(VLOOKUP(A803,'[1]Sales Order'!A:B,2,FALSE),[1]Customer!A:C,3,FALSE),"Not Specified")</f>
        <v>Wickham, Jim</v>
      </c>
      <c r="G803" s="2" t="str">
        <f t="shared" si="24"/>
        <v>Wickham Jim</v>
      </c>
      <c r="H803" s="8" t="str">
        <f>IFERROR(VLOOKUP(VLOOKUP(A803,'[1]Sales Order'!A:C,3,FALSE),[1]Employee!A:E,5,FALSE)&amp;" "&amp;VLOOKUP(VLOOKUP(A803,'[1]Sales Order'!A:C,3,FALSE),[1]Employee!A:C,3,FALSE)&amp;" "&amp;VLOOKUP(VLOOKUP(A803,'[1]Sales Order'!A:C,3,FALSE),[1]Employee!A:B,2,FALSE),"Not Specified")</f>
        <v>Ms. Judy Lew</v>
      </c>
      <c r="I803" t="str">
        <f>IFERROR(VLOOKUP(VLOOKUP(A803,'[1]Sales Order'!A:C,3,FALSE),[1]Employee!A:J,10,FALSE),"Not Specified")</f>
        <v>WA</v>
      </c>
      <c r="J803" t="str">
        <f>VLOOKUP(B803,[1]Product!A:B,2,FALSE)</f>
        <v>Product TTEEX</v>
      </c>
      <c r="K803" t="str">
        <f>VLOOKUP(VLOOKUP(B803,[1]Product!A:D,4,FALSE),[1]Category!A:B,2,FALSE)</f>
        <v>Seafood</v>
      </c>
      <c r="L803" s="10">
        <f>IFERROR(VLOOKUP(A803,'[1]Sales Order'!A:D,4,FALSE),"")</f>
        <v>39228</v>
      </c>
      <c r="M803" s="10">
        <f>IFERROR(VLOOKUP(A803,'[1]Sales Order'!A:F,6,FALSE),"")</f>
        <v>39235</v>
      </c>
      <c r="N803" t="str">
        <f>IFERROR(VLOOKUP(VLOOKUP(A803,'[1]Sales Order'!A:G,7,FALSE),[1]Shipper!A:B,2,FALSE),"Not Specified")</f>
        <v>Shipper ETYNR</v>
      </c>
      <c r="O803" t="str">
        <f>IFERROR(VLOOKUP(A803,'[1]Sales Order'!A:I,9,FALSE),"Not Specified")</f>
        <v>Ship to 79-A</v>
      </c>
      <c r="P803" t="str">
        <f>IFERROR(VLOOKUP(A803,'[1]Sales Order'!A:N,14,FALSE),"Not Specified")</f>
        <v>Germany</v>
      </c>
      <c r="Q803" t="str">
        <f>VLOOKUP(VLOOKUP(B803,[1]Product!A:C,3,FALSE),[1]Supplier!A:B,2,FALSE)</f>
        <v>Supplier JDNUG</v>
      </c>
      <c r="R803" t="str">
        <f>VLOOKUP(VLOOKUP(B803,[1]Product!A:C,3,FALSE),[1]Supplier!A:I,9,FALSE)</f>
        <v>USA</v>
      </c>
      <c r="S803" t="str">
        <f>IFERROR(IF(VLOOKUP(A803,'[1]Sales Order'!A:H,8,FALSE)&gt;100,"High Freight","Low Freight"),"Not Specified")</f>
        <v>Low Freight</v>
      </c>
      <c r="T803">
        <f t="shared" si="25"/>
        <v>135.1</v>
      </c>
    </row>
    <row r="804" spans="1:20">
      <c r="A804" s="1">
        <v>10549</v>
      </c>
      <c r="B804" s="2">
        <v>31</v>
      </c>
      <c r="C804" s="2">
        <v>12.5</v>
      </c>
      <c r="D804" s="2">
        <v>55</v>
      </c>
      <c r="E804" s="3">
        <v>0.15</v>
      </c>
      <c r="F804" s="2" t="str">
        <f>IFERROR(VLOOKUP(VLOOKUP(A804,'[1]Sales Order'!A:B,2,FALSE),[1]Customer!A:C,3,FALSE),"Not Specified")</f>
        <v>Veronesi, Giorgio</v>
      </c>
      <c r="G804" s="2" t="str">
        <f t="shared" si="24"/>
        <v>Veronesi Giorgio</v>
      </c>
      <c r="H804" s="8" t="str">
        <f>IFERROR(VLOOKUP(VLOOKUP(A804,'[1]Sales Order'!A:C,3,FALSE),[1]Employee!A:E,5,FALSE)&amp;" "&amp;VLOOKUP(VLOOKUP(A804,'[1]Sales Order'!A:C,3,FALSE),[1]Employee!A:C,3,FALSE)&amp;" "&amp;VLOOKUP(VLOOKUP(A804,'[1]Sales Order'!A:C,3,FALSE),[1]Employee!A:B,2,FALSE),"Not Specified")</f>
        <v>Mr. Sven Buck</v>
      </c>
      <c r="I804">
        <f>IFERROR(VLOOKUP(VLOOKUP(A804,'[1]Sales Order'!A:C,3,FALSE),[1]Employee!A:J,10,FALSE),"Not Specified")</f>
        <v>0</v>
      </c>
      <c r="J804" t="str">
        <f>VLOOKUP(B804,[1]Product!A:B,2,FALSE)</f>
        <v>Product XWOXC</v>
      </c>
      <c r="K804" t="str">
        <f>VLOOKUP(VLOOKUP(B804,[1]Product!A:D,4,FALSE),[1]Category!A:B,2,FALSE)</f>
        <v>Dairy Product</v>
      </c>
      <c r="L804" s="10">
        <f>IFERROR(VLOOKUP(A804,'[1]Sales Order'!A:D,4,FALSE),"")</f>
        <v>39229</v>
      </c>
      <c r="M804" s="10">
        <f>IFERROR(VLOOKUP(A804,'[1]Sales Order'!A:F,6,FALSE),"")</f>
        <v>39232</v>
      </c>
      <c r="N804" t="str">
        <f>IFERROR(VLOOKUP(VLOOKUP(A804,'[1]Sales Order'!A:G,7,FALSE),[1]Shipper!A:B,2,FALSE),"Not Specified")</f>
        <v>Shipper GVSUA</v>
      </c>
      <c r="O804" t="str">
        <f>IFERROR(VLOOKUP(A804,'[1]Sales Order'!A:I,9,FALSE),"Not Specified")</f>
        <v>Ship to 63-C</v>
      </c>
      <c r="P804" t="str">
        <f>IFERROR(VLOOKUP(A804,'[1]Sales Order'!A:N,14,FALSE),"Not Specified")</f>
        <v>Germany</v>
      </c>
      <c r="Q804" t="str">
        <f>VLOOKUP(VLOOKUP(B804,[1]Product!A:C,3,FALSE),[1]Supplier!A:B,2,FALSE)</f>
        <v>Supplier KEREV</v>
      </c>
      <c r="R804" t="str">
        <f>VLOOKUP(VLOOKUP(B804,[1]Product!A:C,3,FALSE),[1]Supplier!A:I,9,FALSE)</f>
        <v>Italy</v>
      </c>
      <c r="S804" t="str">
        <f>IFERROR(IF(VLOOKUP(A804,'[1]Sales Order'!A:H,8,FALSE)&gt;100,"High Freight","Low Freight"),"Not Specified")</f>
        <v>High Freight</v>
      </c>
      <c r="T804">
        <f t="shared" si="25"/>
        <v>584.375</v>
      </c>
    </row>
    <row r="805" spans="1:20">
      <c r="A805" s="1">
        <v>10549</v>
      </c>
      <c r="B805" s="2">
        <v>45</v>
      </c>
      <c r="C805" s="2">
        <v>9.5</v>
      </c>
      <c r="D805" s="2">
        <v>100</v>
      </c>
      <c r="E805" s="3">
        <v>0.15</v>
      </c>
      <c r="F805" s="2" t="str">
        <f>IFERROR(VLOOKUP(VLOOKUP(A805,'[1]Sales Order'!A:B,2,FALSE),[1]Customer!A:C,3,FALSE),"Not Specified")</f>
        <v>Veronesi, Giorgio</v>
      </c>
      <c r="G805" s="2" t="str">
        <f t="shared" si="24"/>
        <v>Veronesi Giorgio</v>
      </c>
      <c r="H805" s="8" t="str">
        <f>IFERROR(VLOOKUP(VLOOKUP(A805,'[1]Sales Order'!A:C,3,FALSE),[1]Employee!A:E,5,FALSE)&amp;" "&amp;VLOOKUP(VLOOKUP(A805,'[1]Sales Order'!A:C,3,FALSE),[1]Employee!A:C,3,FALSE)&amp;" "&amp;VLOOKUP(VLOOKUP(A805,'[1]Sales Order'!A:C,3,FALSE),[1]Employee!A:B,2,FALSE),"Not Specified")</f>
        <v>Mr. Sven Buck</v>
      </c>
      <c r="I805">
        <f>IFERROR(VLOOKUP(VLOOKUP(A805,'[1]Sales Order'!A:C,3,FALSE),[1]Employee!A:J,10,FALSE),"Not Specified")</f>
        <v>0</v>
      </c>
      <c r="J805" t="str">
        <f>VLOOKUP(B805,[1]Product!A:B,2,FALSE)</f>
        <v>Product AQOKR</v>
      </c>
      <c r="K805" t="str">
        <f>VLOOKUP(VLOOKUP(B805,[1]Product!A:D,4,FALSE),[1]Category!A:B,2,FALSE)</f>
        <v>Seafood</v>
      </c>
      <c r="L805" s="10">
        <f>IFERROR(VLOOKUP(A805,'[1]Sales Order'!A:D,4,FALSE),"")</f>
        <v>39229</v>
      </c>
      <c r="M805" s="10">
        <f>IFERROR(VLOOKUP(A805,'[1]Sales Order'!A:F,6,FALSE),"")</f>
        <v>39232</v>
      </c>
      <c r="N805" t="str">
        <f>IFERROR(VLOOKUP(VLOOKUP(A805,'[1]Sales Order'!A:G,7,FALSE),[1]Shipper!A:B,2,FALSE),"Not Specified")</f>
        <v>Shipper GVSUA</v>
      </c>
      <c r="O805" t="str">
        <f>IFERROR(VLOOKUP(A805,'[1]Sales Order'!A:I,9,FALSE),"Not Specified")</f>
        <v>Ship to 63-C</v>
      </c>
      <c r="P805" t="str">
        <f>IFERROR(VLOOKUP(A805,'[1]Sales Order'!A:N,14,FALSE),"Not Specified")</f>
        <v>Germany</v>
      </c>
      <c r="Q805" t="str">
        <f>VLOOKUP(VLOOKUP(B805,[1]Product!A:C,3,FALSE),[1]Supplier!A:B,2,FALSE)</f>
        <v>Supplier XOXZA</v>
      </c>
      <c r="R805" t="str">
        <f>VLOOKUP(VLOOKUP(B805,[1]Product!A:C,3,FALSE),[1]Supplier!A:I,9,FALSE)</f>
        <v>Denmark</v>
      </c>
      <c r="S805" t="str">
        <f>IFERROR(IF(VLOOKUP(A805,'[1]Sales Order'!A:H,8,FALSE)&gt;100,"High Freight","Low Freight"),"Not Specified")</f>
        <v>High Freight</v>
      </c>
      <c r="T805">
        <f t="shared" si="25"/>
        <v>807.5</v>
      </c>
    </row>
    <row r="806" spans="1:20">
      <c r="A806" s="1">
        <v>10549</v>
      </c>
      <c r="B806" s="2">
        <v>51</v>
      </c>
      <c r="C806" s="2">
        <v>53</v>
      </c>
      <c r="D806" s="2">
        <v>48</v>
      </c>
      <c r="E806" s="3">
        <v>0.15</v>
      </c>
      <c r="F806" s="2" t="str">
        <f>IFERROR(VLOOKUP(VLOOKUP(A806,'[1]Sales Order'!A:B,2,FALSE),[1]Customer!A:C,3,FALSE),"Not Specified")</f>
        <v>Veronesi, Giorgio</v>
      </c>
      <c r="G806" s="2" t="str">
        <f t="shared" si="24"/>
        <v>Veronesi Giorgio</v>
      </c>
      <c r="H806" s="8" t="str">
        <f>IFERROR(VLOOKUP(VLOOKUP(A806,'[1]Sales Order'!A:C,3,FALSE),[1]Employee!A:E,5,FALSE)&amp;" "&amp;VLOOKUP(VLOOKUP(A806,'[1]Sales Order'!A:C,3,FALSE),[1]Employee!A:C,3,FALSE)&amp;" "&amp;VLOOKUP(VLOOKUP(A806,'[1]Sales Order'!A:C,3,FALSE),[1]Employee!A:B,2,FALSE),"Not Specified")</f>
        <v>Mr. Sven Buck</v>
      </c>
      <c r="I806">
        <f>IFERROR(VLOOKUP(VLOOKUP(A806,'[1]Sales Order'!A:C,3,FALSE),[1]Employee!A:J,10,FALSE),"Not Specified")</f>
        <v>0</v>
      </c>
      <c r="J806" t="str">
        <f>VLOOKUP(B806,[1]Product!A:B,2,FALSE)</f>
        <v>Product APITJ</v>
      </c>
      <c r="K806" t="str">
        <f>VLOOKUP(VLOOKUP(B806,[1]Product!A:D,4,FALSE),[1]Category!A:B,2,FALSE)</f>
        <v>Produce</v>
      </c>
      <c r="L806" s="10">
        <f>IFERROR(VLOOKUP(A806,'[1]Sales Order'!A:D,4,FALSE),"")</f>
        <v>39229</v>
      </c>
      <c r="M806" s="10">
        <f>IFERROR(VLOOKUP(A806,'[1]Sales Order'!A:F,6,FALSE),"")</f>
        <v>39232</v>
      </c>
      <c r="N806" t="str">
        <f>IFERROR(VLOOKUP(VLOOKUP(A806,'[1]Sales Order'!A:G,7,FALSE),[1]Shipper!A:B,2,FALSE),"Not Specified")</f>
        <v>Shipper GVSUA</v>
      </c>
      <c r="O806" t="str">
        <f>IFERROR(VLOOKUP(A806,'[1]Sales Order'!A:I,9,FALSE),"Not Specified")</f>
        <v>Ship to 63-C</v>
      </c>
      <c r="P806" t="str">
        <f>IFERROR(VLOOKUP(A806,'[1]Sales Order'!A:N,14,FALSE),"Not Specified")</f>
        <v>Germany</v>
      </c>
      <c r="Q806" t="str">
        <f>VLOOKUP(VLOOKUP(B806,[1]Product!A:C,3,FALSE),[1]Supplier!A:B,2,FALSE)</f>
        <v>Supplier JNNES</v>
      </c>
      <c r="R806" t="str">
        <f>VLOOKUP(VLOOKUP(B806,[1]Product!A:C,3,FALSE),[1]Supplier!A:I,9,FALSE)</f>
        <v>Australia</v>
      </c>
      <c r="S806" t="str">
        <f>IFERROR(IF(VLOOKUP(A806,'[1]Sales Order'!A:H,8,FALSE)&gt;100,"High Freight","Low Freight"),"Not Specified")</f>
        <v>High Freight</v>
      </c>
      <c r="T806">
        <f t="shared" si="25"/>
        <v>2162.4</v>
      </c>
    </row>
    <row r="807" spans="1:20">
      <c r="A807" s="1">
        <v>10550</v>
      </c>
      <c r="B807" s="2">
        <v>17</v>
      </c>
      <c r="C807" s="2">
        <v>39</v>
      </c>
      <c r="D807" s="2">
        <v>8</v>
      </c>
      <c r="E807" s="3">
        <v>0.1</v>
      </c>
      <c r="F807" s="2" t="str">
        <f>IFERROR(VLOOKUP(VLOOKUP(A807,'[1]Sales Order'!A:B,2,FALSE),[1]Customer!A:C,3,FALSE),"Not Specified")</f>
        <v>Shabalin, Rostislav</v>
      </c>
      <c r="G807" s="2" t="str">
        <f t="shared" si="24"/>
        <v>Shabalin Rostislav</v>
      </c>
      <c r="H807" s="8" t="str">
        <f>IFERROR(VLOOKUP(VLOOKUP(A807,'[1]Sales Order'!A:C,3,FALSE),[1]Employee!A:E,5,FALSE)&amp;" "&amp;VLOOKUP(VLOOKUP(A807,'[1]Sales Order'!A:C,3,FALSE),[1]Employee!A:C,3,FALSE)&amp;" "&amp;VLOOKUP(VLOOKUP(A807,'[1]Sales Order'!A:C,3,FALSE),[1]Employee!A:B,2,FALSE),"Not Specified")</f>
        <v>Mr. Russell King</v>
      </c>
      <c r="I807">
        <f>IFERROR(VLOOKUP(VLOOKUP(A807,'[1]Sales Order'!A:C,3,FALSE),[1]Employee!A:J,10,FALSE),"Not Specified")</f>
        <v>0</v>
      </c>
      <c r="J807" t="str">
        <f>VLOOKUP(B807,[1]Product!A:B,2,FALSE)</f>
        <v>Product BLCAX</v>
      </c>
      <c r="K807" t="str">
        <f>VLOOKUP(VLOOKUP(B807,[1]Product!A:D,4,FALSE),[1]Category!A:B,2,FALSE)</f>
        <v>Meat/Poultry</v>
      </c>
      <c r="L807" s="10">
        <f>IFERROR(VLOOKUP(A807,'[1]Sales Order'!A:D,4,FALSE),"")</f>
        <v>39230</v>
      </c>
      <c r="M807" s="10">
        <f>IFERROR(VLOOKUP(A807,'[1]Sales Order'!A:F,6,FALSE),"")</f>
        <v>39239</v>
      </c>
      <c r="N807" t="str">
        <f>IFERROR(VLOOKUP(VLOOKUP(A807,'[1]Sales Order'!A:G,7,FALSE),[1]Shipper!A:B,2,FALSE),"Not Specified")</f>
        <v>Shipper ZHISN</v>
      </c>
      <c r="O807" t="str">
        <f>IFERROR(VLOOKUP(A807,'[1]Sales Order'!A:I,9,FALSE),"Not Specified")</f>
        <v>Destination GGQIR</v>
      </c>
      <c r="P807" t="str">
        <f>IFERROR(VLOOKUP(A807,'[1]Sales Order'!A:N,14,FALSE),"Not Specified")</f>
        <v>Spain</v>
      </c>
      <c r="Q807" t="str">
        <f>VLOOKUP(VLOOKUP(B807,[1]Product!A:C,3,FALSE),[1]Supplier!A:B,2,FALSE)</f>
        <v>Supplier GQRCV</v>
      </c>
      <c r="R807" t="str">
        <f>VLOOKUP(VLOOKUP(B807,[1]Product!A:C,3,FALSE),[1]Supplier!A:I,9,FALSE)</f>
        <v>Australia</v>
      </c>
      <c r="S807" t="str">
        <f>IFERROR(IF(VLOOKUP(A807,'[1]Sales Order'!A:H,8,FALSE)&gt;100,"High Freight","Low Freight"),"Not Specified")</f>
        <v>Low Freight</v>
      </c>
      <c r="T807">
        <f t="shared" si="25"/>
        <v>280.8</v>
      </c>
    </row>
    <row r="808" spans="1:20">
      <c r="A808" s="1">
        <v>10550</v>
      </c>
      <c r="B808" s="2">
        <v>19</v>
      </c>
      <c r="C808" s="2">
        <v>9.1999999999999993</v>
      </c>
      <c r="D808" s="2">
        <v>10</v>
      </c>
      <c r="E808" s="3">
        <v>0</v>
      </c>
      <c r="F808" s="2" t="str">
        <f>IFERROR(VLOOKUP(VLOOKUP(A808,'[1]Sales Order'!A:B,2,FALSE),[1]Customer!A:C,3,FALSE),"Not Specified")</f>
        <v>Shabalin, Rostislav</v>
      </c>
      <c r="G808" s="2" t="str">
        <f t="shared" si="24"/>
        <v>Shabalin Rostislav</v>
      </c>
      <c r="H808" s="8" t="str">
        <f>IFERROR(VLOOKUP(VLOOKUP(A808,'[1]Sales Order'!A:C,3,FALSE),[1]Employee!A:E,5,FALSE)&amp;" "&amp;VLOOKUP(VLOOKUP(A808,'[1]Sales Order'!A:C,3,FALSE),[1]Employee!A:C,3,FALSE)&amp;" "&amp;VLOOKUP(VLOOKUP(A808,'[1]Sales Order'!A:C,3,FALSE),[1]Employee!A:B,2,FALSE),"Not Specified")</f>
        <v>Mr. Russell King</v>
      </c>
      <c r="I808">
        <f>IFERROR(VLOOKUP(VLOOKUP(A808,'[1]Sales Order'!A:C,3,FALSE),[1]Employee!A:J,10,FALSE),"Not Specified")</f>
        <v>0</v>
      </c>
      <c r="J808" t="str">
        <f>VLOOKUP(B808,[1]Product!A:B,2,FALSE)</f>
        <v>Product XKXDO</v>
      </c>
      <c r="K808" t="str">
        <f>VLOOKUP(VLOOKUP(B808,[1]Product!A:D,4,FALSE),[1]Category!A:B,2,FALSE)</f>
        <v>Confections</v>
      </c>
      <c r="L808" s="10">
        <f>IFERROR(VLOOKUP(A808,'[1]Sales Order'!A:D,4,FALSE),"")</f>
        <v>39230</v>
      </c>
      <c r="M808" s="10">
        <f>IFERROR(VLOOKUP(A808,'[1]Sales Order'!A:F,6,FALSE),"")</f>
        <v>39239</v>
      </c>
      <c r="N808" t="str">
        <f>IFERROR(VLOOKUP(VLOOKUP(A808,'[1]Sales Order'!A:G,7,FALSE),[1]Shipper!A:B,2,FALSE),"Not Specified")</f>
        <v>Shipper ZHISN</v>
      </c>
      <c r="O808" t="str">
        <f>IFERROR(VLOOKUP(A808,'[1]Sales Order'!A:I,9,FALSE),"Not Specified")</f>
        <v>Destination GGQIR</v>
      </c>
      <c r="P808" t="str">
        <f>IFERROR(VLOOKUP(A808,'[1]Sales Order'!A:N,14,FALSE),"Not Specified")</f>
        <v>Spain</v>
      </c>
      <c r="Q808" t="str">
        <f>VLOOKUP(VLOOKUP(B808,[1]Product!A:C,3,FALSE),[1]Supplier!A:B,2,FALSE)</f>
        <v>Supplier BWGYE</v>
      </c>
      <c r="R808" t="str">
        <f>VLOOKUP(VLOOKUP(B808,[1]Product!A:C,3,FALSE),[1]Supplier!A:I,9,FALSE)</f>
        <v>UK</v>
      </c>
      <c r="S808" t="str">
        <f>IFERROR(IF(VLOOKUP(A808,'[1]Sales Order'!A:H,8,FALSE)&gt;100,"High Freight","Low Freight"),"Not Specified")</f>
        <v>Low Freight</v>
      </c>
      <c r="T808">
        <f t="shared" si="25"/>
        <v>92</v>
      </c>
    </row>
    <row r="809" spans="1:20">
      <c r="A809" s="1">
        <v>10550</v>
      </c>
      <c r="B809" s="2">
        <v>21</v>
      </c>
      <c r="C809" s="2">
        <v>10</v>
      </c>
      <c r="D809" s="2">
        <v>6</v>
      </c>
      <c r="E809" s="3">
        <v>0.1</v>
      </c>
      <c r="F809" s="2" t="str">
        <f>IFERROR(VLOOKUP(VLOOKUP(A809,'[1]Sales Order'!A:B,2,FALSE),[1]Customer!A:C,3,FALSE),"Not Specified")</f>
        <v>Shabalin, Rostislav</v>
      </c>
      <c r="G809" s="2" t="str">
        <f t="shared" si="24"/>
        <v>Shabalin Rostislav</v>
      </c>
      <c r="H809" s="8" t="str">
        <f>IFERROR(VLOOKUP(VLOOKUP(A809,'[1]Sales Order'!A:C,3,FALSE),[1]Employee!A:E,5,FALSE)&amp;" "&amp;VLOOKUP(VLOOKUP(A809,'[1]Sales Order'!A:C,3,FALSE),[1]Employee!A:C,3,FALSE)&amp;" "&amp;VLOOKUP(VLOOKUP(A809,'[1]Sales Order'!A:C,3,FALSE),[1]Employee!A:B,2,FALSE),"Not Specified")</f>
        <v>Mr. Russell King</v>
      </c>
      <c r="I809">
        <f>IFERROR(VLOOKUP(VLOOKUP(A809,'[1]Sales Order'!A:C,3,FALSE),[1]Employee!A:J,10,FALSE),"Not Specified")</f>
        <v>0</v>
      </c>
      <c r="J809" t="str">
        <f>VLOOKUP(B809,[1]Product!A:B,2,FALSE)</f>
        <v>Product VJZZH</v>
      </c>
      <c r="K809" t="str">
        <f>VLOOKUP(VLOOKUP(B809,[1]Product!A:D,4,FALSE),[1]Category!A:B,2,FALSE)</f>
        <v>Confections</v>
      </c>
      <c r="L809" s="10">
        <f>IFERROR(VLOOKUP(A809,'[1]Sales Order'!A:D,4,FALSE),"")</f>
        <v>39230</v>
      </c>
      <c r="M809" s="10">
        <f>IFERROR(VLOOKUP(A809,'[1]Sales Order'!A:F,6,FALSE),"")</f>
        <v>39239</v>
      </c>
      <c r="N809" t="str">
        <f>IFERROR(VLOOKUP(VLOOKUP(A809,'[1]Sales Order'!A:G,7,FALSE),[1]Shipper!A:B,2,FALSE),"Not Specified")</f>
        <v>Shipper ZHISN</v>
      </c>
      <c r="O809" t="str">
        <f>IFERROR(VLOOKUP(A809,'[1]Sales Order'!A:I,9,FALSE),"Not Specified")</f>
        <v>Destination GGQIR</v>
      </c>
      <c r="P809" t="str">
        <f>IFERROR(VLOOKUP(A809,'[1]Sales Order'!A:N,14,FALSE),"Not Specified")</f>
        <v>Spain</v>
      </c>
      <c r="Q809" t="str">
        <f>VLOOKUP(VLOOKUP(B809,[1]Product!A:C,3,FALSE),[1]Supplier!A:B,2,FALSE)</f>
        <v>Supplier BWGYE</v>
      </c>
      <c r="R809" t="str">
        <f>VLOOKUP(VLOOKUP(B809,[1]Product!A:C,3,FALSE),[1]Supplier!A:I,9,FALSE)</f>
        <v>UK</v>
      </c>
      <c r="S809" t="str">
        <f>IFERROR(IF(VLOOKUP(A809,'[1]Sales Order'!A:H,8,FALSE)&gt;100,"High Freight","Low Freight"),"Not Specified")</f>
        <v>Low Freight</v>
      </c>
      <c r="T809">
        <f t="shared" si="25"/>
        <v>54</v>
      </c>
    </row>
    <row r="810" spans="1:20">
      <c r="A810" s="1">
        <v>10550</v>
      </c>
      <c r="B810" s="2">
        <v>61</v>
      </c>
      <c r="C810" s="2">
        <v>28.5</v>
      </c>
      <c r="D810" s="2">
        <v>10</v>
      </c>
      <c r="E810" s="3">
        <v>0.1</v>
      </c>
      <c r="F810" s="2" t="str">
        <f>IFERROR(VLOOKUP(VLOOKUP(A810,'[1]Sales Order'!A:B,2,FALSE),[1]Customer!A:C,3,FALSE),"Not Specified")</f>
        <v>Shabalin, Rostislav</v>
      </c>
      <c r="G810" s="2" t="str">
        <f t="shared" si="24"/>
        <v>Shabalin Rostislav</v>
      </c>
      <c r="H810" s="8" t="str">
        <f>IFERROR(VLOOKUP(VLOOKUP(A810,'[1]Sales Order'!A:C,3,FALSE),[1]Employee!A:E,5,FALSE)&amp;" "&amp;VLOOKUP(VLOOKUP(A810,'[1]Sales Order'!A:C,3,FALSE),[1]Employee!A:C,3,FALSE)&amp;" "&amp;VLOOKUP(VLOOKUP(A810,'[1]Sales Order'!A:C,3,FALSE),[1]Employee!A:B,2,FALSE),"Not Specified")</f>
        <v>Mr. Russell King</v>
      </c>
      <c r="I810">
        <f>IFERROR(VLOOKUP(VLOOKUP(A810,'[1]Sales Order'!A:C,3,FALSE),[1]Employee!A:J,10,FALSE),"Not Specified")</f>
        <v>0</v>
      </c>
      <c r="J810" t="str">
        <f>VLOOKUP(B810,[1]Product!A:B,2,FALSE)</f>
        <v>Product XYZPE</v>
      </c>
      <c r="K810" t="str">
        <f>VLOOKUP(VLOOKUP(B810,[1]Product!A:D,4,FALSE),[1]Category!A:B,2,FALSE)</f>
        <v>Condiments</v>
      </c>
      <c r="L810" s="10">
        <f>IFERROR(VLOOKUP(A810,'[1]Sales Order'!A:D,4,FALSE),"")</f>
        <v>39230</v>
      </c>
      <c r="M810" s="10">
        <f>IFERROR(VLOOKUP(A810,'[1]Sales Order'!A:F,6,FALSE),"")</f>
        <v>39239</v>
      </c>
      <c r="N810" t="str">
        <f>IFERROR(VLOOKUP(VLOOKUP(A810,'[1]Sales Order'!A:G,7,FALSE),[1]Shipper!A:B,2,FALSE),"Not Specified")</f>
        <v>Shipper ZHISN</v>
      </c>
      <c r="O810" t="str">
        <f>IFERROR(VLOOKUP(A810,'[1]Sales Order'!A:I,9,FALSE),"Not Specified")</f>
        <v>Destination GGQIR</v>
      </c>
      <c r="P810" t="str">
        <f>IFERROR(VLOOKUP(A810,'[1]Sales Order'!A:N,14,FALSE),"Not Specified")</f>
        <v>Spain</v>
      </c>
      <c r="Q810" t="str">
        <f>VLOOKUP(VLOOKUP(B810,[1]Product!A:C,3,FALSE),[1]Supplier!A:B,2,FALSE)</f>
        <v>Supplier OGLRK</v>
      </c>
      <c r="R810" t="str">
        <f>VLOOKUP(VLOOKUP(B810,[1]Product!A:C,3,FALSE),[1]Supplier!A:I,9,FALSE)</f>
        <v>Canada</v>
      </c>
      <c r="S810" t="str">
        <f>IFERROR(IF(VLOOKUP(A810,'[1]Sales Order'!A:H,8,FALSE)&gt;100,"High Freight","Low Freight"),"Not Specified")</f>
        <v>Low Freight</v>
      </c>
      <c r="T810">
        <f t="shared" si="25"/>
        <v>256.5</v>
      </c>
    </row>
    <row r="811" spans="1:20">
      <c r="A811" s="1">
        <v>10551</v>
      </c>
      <c r="B811" s="2">
        <v>16</v>
      </c>
      <c r="C811" s="2">
        <v>17.45</v>
      </c>
      <c r="D811" s="2">
        <v>40</v>
      </c>
      <c r="E811" s="3">
        <v>0.15</v>
      </c>
      <c r="F811" s="2" t="str">
        <f>IFERROR(VLOOKUP(VLOOKUP(A811,'[1]Sales Order'!A:B,2,FALSE),[1]Customer!A:C,3,FALSE),"Not Specified")</f>
        <v>Cavaglieri, Giorgio</v>
      </c>
      <c r="G811" s="2" t="str">
        <f t="shared" si="24"/>
        <v>Cavaglieri Giorgio</v>
      </c>
      <c r="H811" s="8" t="str">
        <f>IFERROR(VLOOKUP(VLOOKUP(A811,'[1]Sales Order'!A:C,3,FALSE),[1]Employee!A:E,5,FALSE)&amp;" "&amp;VLOOKUP(VLOOKUP(A811,'[1]Sales Order'!A:C,3,FALSE),[1]Employee!A:C,3,FALSE)&amp;" "&amp;VLOOKUP(VLOOKUP(A811,'[1]Sales Order'!A:C,3,FALSE),[1]Employee!A:B,2,FALSE),"Not Specified")</f>
        <v>Mrs. Yael Peled</v>
      </c>
      <c r="I811" t="str">
        <f>IFERROR(VLOOKUP(VLOOKUP(A811,'[1]Sales Order'!A:C,3,FALSE),[1]Employee!A:J,10,FALSE),"Not Specified")</f>
        <v>WA</v>
      </c>
      <c r="J811" t="str">
        <f>VLOOKUP(B811,[1]Product!A:B,2,FALSE)</f>
        <v>Product PAFRH</v>
      </c>
      <c r="K811" t="str">
        <f>VLOOKUP(VLOOKUP(B811,[1]Product!A:D,4,FALSE),[1]Category!A:B,2,FALSE)</f>
        <v>Confections</v>
      </c>
      <c r="L811" s="10">
        <f>IFERROR(VLOOKUP(A811,'[1]Sales Order'!A:D,4,FALSE),"")</f>
        <v>39230</v>
      </c>
      <c r="M811" s="10">
        <f>IFERROR(VLOOKUP(A811,'[1]Sales Order'!A:F,6,FALSE),"")</f>
        <v>39239</v>
      </c>
      <c r="N811" t="str">
        <f>IFERROR(VLOOKUP(VLOOKUP(A811,'[1]Sales Order'!A:G,7,FALSE),[1]Shipper!A:B,2,FALSE),"Not Specified")</f>
        <v>Shipper ZHISN</v>
      </c>
      <c r="O811" t="str">
        <f>IFERROR(VLOOKUP(A811,'[1]Sales Order'!A:I,9,FALSE),"Not Specified")</f>
        <v>Destination OTSWR</v>
      </c>
      <c r="P811" t="str">
        <f>IFERROR(VLOOKUP(A811,'[1]Sales Order'!A:N,14,FALSE),"Not Specified")</f>
        <v>Portugal</v>
      </c>
      <c r="Q811" t="str">
        <f>VLOOKUP(VLOOKUP(B811,[1]Product!A:C,3,FALSE),[1]Supplier!A:B,2,FALSE)</f>
        <v>Supplier GQRCV</v>
      </c>
      <c r="R811" t="str">
        <f>VLOOKUP(VLOOKUP(B811,[1]Product!A:C,3,FALSE),[1]Supplier!A:I,9,FALSE)</f>
        <v>Australia</v>
      </c>
      <c r="S811" t="str">
        <f>IFERROR(IF(VLOOKUP(A811,'[1]Sales Order'!A:H,8,FALSE)&gt;100,"High Freight","Low Freight"),"Not Specified")</f>
        <v>Low Freight</v>
      </c>
      <c r="T811">
        <f t="shared" si="25"/>
        <v>593.29999999999995</v>
      </c>
    </row>
    <row r="812" spans="1:20">
      <c r="A812" s="1">
        <v>10551</v>
      </c>
      <c r="B812" s="2">
        <v>35</v>
      </c>
      <c r="C812" s="2">
        <v>18</v>
      </c>
      <c r="D812" s="2">
        <v>20</v>
      </c>
      <c r="E812" s="3">
        <v>0.15</v>
      </c>
      <c r="F812" s="2" t="str">
        <f>IFERROR(VLOOKUP(VLOOKUP(A812,'[1]Sales Order'!A:B,2,FALSE),[1]Customer!A:C,3,FALSE),"Not Specified")</f>
        <v>Cavaglieri, Giorgio</v>
      </c>
      <c r="G812" s="2" t="str">
        <f t="shared" si="24"/>
        <v>Cavaglieri Giorgio</v>
      </c>
      <c r="H812" s="8" t="str">
        <f>IFERROR(VLOOKUP(VLOOKUP(A812,'[1]Sales Order'!A:C,3,FALSE),[1]Employee!A:E,5,FALSE)&amp;" "&amp;VLOOKUP(VLOOKUP(A812,'[1]Sales Order'!A:C,3,FALSE),[1]Employee!A:C,3,FALSE)&amp;" "&amp;VLOOKUP(VLOOKUP(A812,'[1]Sales Order'!A:C,3,FALSE),[1]Employee!A:B,2,FALSE),"Not Specified")</f>
        <v>Mrs. Yael Peled</v>
      </c>
      <c r="I812" t="str">
        <f>IFERROR(VLOOKUP(VLOOKUP(A812,'[1]Sales Order'!A:C,3,FALSE),[1]Employee!A:J,10,FALSE),"Not Specified")</f>
        <v>WA</v>
      </c>
      <c r="J812" t="str">
        <f>VLOOKUP(B812,[1]Product!A:B,2,FALSE)</f>
        <v>Product NEVTJ</v>
      </c>
      <c r="K812" t="str">
        <f>VLOOKUP(VLOOKUP(B812,[1]Product!A:D,4,FALSE),[1]Category!A:B,2,FALSE)</f>
        <v>Beverages</v>
      </c>
      <c r="L812" s="10">
        <f>IFERROR(VLOOKUP(A812,'[1]Sales Order'!A:D,4,FALSE),"")</f>
        <v>39230</v>
      </c>
      <c r="M812" s="10">
        <f>IFERROR(VLOOKUP(A812,'[1]Sales Order'!A:F,6,FALSE),"")</f>
        <v>39239</v>
      </c>
      <c r="N812" t="str">
        <f>IFERROR(VLOOKUP(VLOOKUP(A812,'[1]Sales Order'!A:G,7,FALSE),[1]Shipper!A:B,2,FALSE),"Not Specified")</f>
        <v>Shipper ZHISN</v>
      </c>
      <c r="O812" t="str">
        <f>IFERROR(VLOOKUP(A812,'[1]Sales Order'!A:I,9,FALSE),"Not Specified")</f>
        <v>Destination OTSWR</v>
      </c>
      <c r="P812" t="str">
        <f>IFERROR(VLOOKUP(A812,'[1]Sales Order'!A:N,14,FALSE),"Not Specified")</f>
        <v>Portugal</v>
      </c>
      <c r="Q812" t="str">
        <f>VLOOKUP(VLOOKUP(B812,[1]Product!A:C,3,FALSE),[1]Supplier!A:B,2,FALSE)</f>
        <v>Supplier UHZRG</v>
      </c>
      <c r="R812" t="str">
        <f>VLOOKUP(VLOOKUP(B812,[1]Product!A:C,3,FALSE),[1]Supplier!A:I,9,FALSE)</f>
        <v>USA</v>
      </c>
      <c r="S812" t="str">
        <f>IFERROR(IF(VLOOKUP(A812,'[1]Sales Order'!A:H,8,FALSE)&gt;100,"High Freight","Low Freight"),"Not Specified")</f>
        <v>Low Freight</v>
      </c>
      <c r="T812">
        <f t="shared" si="25"/>
        <v>306</v>
      </c>
    </row>
    <row r="813" spans="1:20">
      <c r="A813" s="1">
        <v>10551</v>
      </c>
      <c r="B813" s="2">
        <v>44</v>
      </c>
      <c r="C813" s="2">
        <v>19.45</v>
      </c>
      <c r="D813" s="2">
        <v>40</v>
      </c>
      <c r="E813" s="3">
        <v>0</v>
      </c>
      <c r="F813" s="2" t="str">
        <f>IFERROR(VLOOKUP(VLOOKUP(A813,'[1]Sales Order'!A:B,2,FALSE),[1]Customer!A:C,3,FALSE),"Not Specified")</f>
        <v>Cavaglieri, Giorgio</v>
      </c>
      <c r="G813" s="2" t="str">
        <f t="shared" si="24"/>
        <v>Cavaglieri Giorgio</v>
      </c>
      <c r="H813" s="8" t="str">
        <f>IFERROR(VLOOKUP(VLOOKUP(A813,'[1]Sales Order'!A:C,3,FALSE),[1]Employee!A:E,5,FALSE)&amp;" "&amp;VLOOKUP(VLOOKUP(A813,'[1]Sales Order'!A:C,3,FALSE),[1]Employee!A:C,3,FALSE)&amp;" "&amp;VLOOKUP(VLOOKUP(A813,'[1]Sales Order'!A:C,3,FALSE),[1]Employee!A:B,2,FALSE),"Not Specified")</f>
        <v>Mrs. Yael Peled</v>
      </c>
      <c r="I813" t="str">
        <f>IFERROR(VLOOKUP(VLOOKUP(A813,'[1]Sales Order'!A:C,3,FALSE),[1]Employee!A:J,10,FALSE),"Not Specified")</f>
        <v>WA</v>
      </c>
      <c r="J813" t="str">
        <f>VLOOKUP(B813,[1]Product!A:B,2,FALSE)</f>
        <v>Product VJIEO</v>
      </c>
      <c r="K813" t="str">
        <f>VLOOKUP(VLOOKUP(B813,[1]Product!A:D,4,FALSE),[1]Category!A:B,2,FALSE)</f>
        <v>Condiments</v>
      </c>
      <c r="L813" s="10">
        <f>IFERROR(VLOOKUP(A813,'[1]Sales Order'!A:D,4,FALSE),"")</f>
        <v>39230</v>
      </c>
      <c r="M813" s="10">
        <f>IFERROR(VLOOKUP(A813,'[1]Sales Order'!A:F,6,FALSE),"")</f>
        <v>39239</v>
      </c>
      <c r="N813" t="str">
        <f>IFERROR(VLOOKUP(VLOOKUP(A813,'[1]Sales Order'!A:G,7,FALSE),[1]Shipper!A:B,2,FALSE),"Not Specified")</f>
        <v>Shipper ZHISN</v>
      </c>
      <c r="O813" t="str">
        <f>IFERROR(VLOOKUP(A813,'[1]Sales Order'!A:I,9,FALSE),"Not Specified")</f>
        <v>Destination OTSWR</v>
      </c>
      <c r="P813" t="str">
        <f>IFERROR(VLOOKUP(A813,'[1]Sales Order'!A:N,14,FALSE),"Not Specified")</f>
        <v>Portugal</v>
      </c>
      <c r="Q813" t="str">
        <f>VLOOKUP(VLOOKUP(B813,[1]Product!A:C,3,FALSE),[1]Supplier!A:B,2,FALSE)</f>
        <v>Supplier CIYNM</v>
      </c>
      <c r="R813" t="str">
        <f>VLOOKUP(VLOOKUP(B813,[1]Product!A:C,3,FALSE),[1]Supplier!A:I,9,FALSE)</f>
        <v>Singapore</v>
      </c>
      <c r="S813" t="str">
        <f>IFERROR(IF(VLOOKUP(A813,'[1]Sales Order'!A:H,8,FALSE)&gt;100,"High Freight","Low Freight"),"Not Specified")</f>
        <v>Low Freight</v>
      </c>
      <c r="T813">
        <f t="shared" si="25"/>
        <v>778</v>
      </c>
    </row>
    <row r="814" spans="1:20">
      <c r="A814" s="1">
        <v>10552</v>
      </c>
      <c r="B814" s="2">
        <v>69</v>
      </c>
      <c r="C814" s="2">
        <v>36</v>
      </c>
      <c r="D814" s="2">
        <v>18</v>
      </c>
      <c r="E814" s="3">
        <v>0</v>
      </c>
      <c r="F814" s="2" t="str">
        <f>IFERROR(VLOOKUP(VLOOKUP(A814,'[1]Sales Order'!A:B,2,FALSE),[1]Customer!A:C,3,FALSE),"Not Specified")</f>
        <v>Langohr, Kris</v>
      </c>
      <c r="G814" s="2" t="str">
        <f t="shared" si="24"/>
        <v>Langohr Kris</v>
      </c>
      <c r="H814" s="8" t="str">
        <f>IFERROR(VLOOKUP(VLOOKUP(A814,'[1]Sales Order'!A:C,3,FALSE),[1]Employee!A:E,5,FALSE)&amp;" "&amp;VLOOKUP(VLOOKUP(A814,'[1]Sales Order'!A:C,3,FALSE),[1]Employee!A:C,3,FALSE)&amp;" "&amp;VLOOKUP(VLOOKUP(A814,'[1]Sales Order'!A:C,3,FALSE),[1]Employee!A:B,2,FALSE),"Not Specified")</f>
        <v>Dr. Don Funk</v>
      </c>
      <c r="I814" t="str">
        <f>IFERROR(VLOOKUP(VLOOKUP(A814,'[1]Sales Order'!A:C,3,FALSE),[1]Employee!A:J,10,FALSE),"Not Specified")</f>
        <v>WA</v>
      </c>
      <c r="J814" t="str">
        <f>VLOOKUP(B814,[1]Product!A:B,2,FALSE)</f>
        <v>Product COAXA</v>
      </c>
      <c r="K814" t="str">
        <f>VLOOKUP(VLOOKUP(B814,[1]Product!A:D,4,FALSE),[1]Category!A:B,2,FALSE)</f>
        <v>Dairy Product</v>
      </c>
      <c r="L814" s="10">
        <f>IFERROR(VLOOKUP(A814,'[1]Sales Order'!A:D,4,FALSE),"")</f>
        <v>39231</v>
      </c>
      <c r="M814" s="10">
        <f>IFERROR(VLOOKUP(A814,'[1]Sales Order'!A:F,6,FALSE),"")</f>
        <v>39238</v>
      </c>
      <c r="N814" t="str">
        <f>IFERROR(VLOOKUP(VLOOKUP(A814,'[1]Sales Order'!A:G,7,FALSE),[1]Shipper!A:B,2,FALSE),"Not Specified")</f>
        <v>Shipper GVSUA</v>
      </c>
      <c r="O814" t="str">
        <f>IFERROR(VLOOKUP(A814,'[1]Sales Order'!A:I,9,FALSE),"Not Specified")</f>
        <v>Destination UOUWK</v>
      </c>
      <c r="P814" t="str">
        <f>IFERROR(VLOOKUP(A814,'[1]Sales Order'!A:N,14,FALSE),"Not Specified")</f>
        <v>Venezuela</v>
      </c>
      <c r="Q814" t="str">
        <f>VLOOKUP(VLOOKUP(B814,[1]Product!A:C,3,FALSE),[1]Supplier!A:B,2,FALSE)</f>
        <v>Supplier NZLIF</v>
      </c>
      <c r="R814" t="str">
        <f>VLOOKUP(VLOOKUP(B814,[1]Product!A:C,3,FALSE),[1]Supplier!A:I,9,FALSE)</f>
        <v>Norway</v>
      </c>
      <c r="S814" t="str">
        <f>IFERROR(IF(VLOOKUP(A814,'[1]Sales Order'!A:H,8,FALSE)&gt;100,"High Freight","Low Freight"),"Not Specified")</f>
        <v>Low Freight</v>
      </c>
      <c r="T814">
        <f t="shared" si="25"/>
        <v>648</v>
      </c>
    </row>
    <row r="815" spans="1:20">
      <c r="A815" s="1">
        <v>10552</v>
      </c>
      <c r="B815" s="2">
        <v>75</v>
      </c>
      <c r="C815" s="2">
        <v>7.75</v>
      </c>
      <c r="D815" s="2">
        <v>30</v>
      </c>
      <c r="E815" s="3">
        <v>0</v>
      </c>
      <c r="F815" s="2" t="str">
        <f>IFERROR(VLOOKUP(VLOOKUP(A815,'[1]Sales Order'!A:B,2,FALSE),[1]Customer!A:C,3,FALSE),"Not Specified")</f>
        <v>Langohr, Kris</v>
      </c>
      <c r="G815" s="2" t="str">
        <f t="shared" si="24"/>
        <v>Langohr Kris</v>
      </c>
      <c r="H815" s="8" t="str">
        <f>IFERROR(VLOOKUP(VLOOKUP(A815,'[1]Sales Order'!A:C,3,FALSE),[1]Employee!A:E,5,FALSE)&amp;" "&amp;VLOOKUP(VLOOKUP(A815,'[1]Sales Order'!A:C,3,FALSE),[1]Employee!A:C,3,FALSE)&amp;" "&amp;VLOOKUP(VLOOKUP(A815,'[1]Sales Order'!A:C,3,FALSE),[1]Employee!A:B,2,FALSE),"Not Specified")</f>
        <v>Dr. Don Funk</v>
      </c>
      <c r="I815" t="str">
        <f>IFERROR(VLOOKUP(VLOOKUP(A815,'[1]Sales Order'!A:C,3,FALSE),[1]Employee!A:J,10,FALSE),"Not Specified")</f>
        <v>WA</v>
      </c>
      <c r="J815" t="str">
        <f>VLOOKUP(B815,[1]Product!A:B,2,FALSE)</f>
        <v>Product BWRLG</v>
      </c>
      <c r="K815" t="str">
        <f>VLOOKUP(VLOOKUP(B815,[1]Product!A:D,4,FALSE),[1]Category!A:B,2,FALSE)</f>
        <v>Beverages</v>
      </c>
      <c r="L815" s="10">
        <f>IFERROR(VLOOKUP(A815,'[1]Sales Order'!A:D,4,FALSE),"")</f>
        <v>39231</v>
      </c>
      <c r="M815" s="10">
        <f>IFERROR(VLOOKUP(A815,'[1]Sales Order'!A:F,6,FALSE),"")</f>
        <v>39238</v>
      </c>
      <c r="N815" t="str">
        <f>IFERROR(VLOOKUP(VLOOKUP(A815,'[1]Sales Order'!A:G,7,FALSE),[1]Shipper!A:B,2,FALSE),"Not Specified")</f>
        <v>Shipper GVSUA</v>
      </c>
      <c r="O815" t="str">
        <f>IFERROR(VLOOKUP(A815,'[1]Sales Order'!A:I,9,FALSE),"Not Specified")</f>
        <v>Destination UOUWK</v>
      </c>
      <c r="P815" t="str">
        <f>IFERROR(VLOOKUP(A815,'[1]Sales Order'!A:N,14,FALSE),"Not Specified")</f>
        <v>Venezuela</v>
      </c>
      <c r="Q815" t="str">
        <f>VLOOKUP(VLOOKUP(B815,[1]Product!A:C,3,FALSE),[1]Supplier!A:B,2,FALSE)</f>
        <v>Supplier SVIYA</v>
      </c>
      <c r="R815" t="str">
        <f>VLOOKUP(VLOOKUP(B815,[1]Product!A:C,3,FALSE),[1]Supplier!A:I,9,FALSE)</f>
        <v>Germany</v>
      </c>
      <c r="S815" t="str">
        <f>IFERROR(IF(VLOOKUP(A815,'[1]Sales Order'!A:H,8,FALSE)&gt;100,"High Freight","Low Freight"),"Not Specified")</f>
        <v>Low Freight</v>
      </c>
      <c r="T815">
        <f t="shared" si="25"/>
        <v>232.5</v>
      </c>
    </row>
    <row r="816" spans="1:20">
      <c r="A816" s="1">
        <v>10553</v>
      </c>
      <c r="B816" s="2">
        <v>11</v>
      </c>
      <c r="C816" s="2">
        <v>21</v>
      </c>
      <c r="D816" s="2">
        <v>15</v>
      </c>
      <c r="E816" s="3">
        <v>0</v>
      </c>
      <c r="F816" s="2" t="str">
        <f>IFERROR(VLOOKUP(VLOOKUP(A816,'[1]Sales Order'!A:B,2,FALSE),[1]Customer!A:C,3,FALSE),"Not Specified")</f>
        <v>Ludwig, Michael</v>
      </c>
      <c r="G816" s="2" t="str">
        <f t="shared" si="24"/>
        <v>Ludwig Michael</v>
      </c>
      <c r="H816" s="8" t="str">
        <f>IFERROR(VLOOKUP(VLOOKUP(A816,'[1]Sales Order'!A:C,3,FALSE),[1]Employee!A:E,5,FALSE)&amp;" "&amp;VLOOKUP(VLOOKUP(A816,'[1]Sales Order'!A:C,3,FALSE),[1]Employee!A:C,3,FALSE)&amp;" "&amp;VLOOKUP(VLOOKUP(A816,'[1]Sales Order'!A:C,3,FALSE),[1]Employee!A:B,2,FALSE),"Not Specified")</f>
        <v>Dr. Don Funk</v>
      </c>
      <c r="I816" t="str">
        <f>IFERROR(VLOOKUP(VLOOKUP(A816,'[1]Sales Order'!A:C,3,FALSE),[1]Employee!A:J,10,FALSE),"Not Specified")</f>
        <v>WA</v>
      </c>
      <c r="J816" t="str">
        <f>VLOOKUP(B816,[1]Product!A:B,2,FALSE)</f>
        <v>Product QMVUN</v>
      </c>
      <c r="K816" t="str">
        <f>VLOOKUP(VLOOKUP(B816,[1]Product!A:D,4,FALSE),[1]Category!A:B,2,FALSE)</f>
        <v>Dairy Product</v>
      </c>
      <c r="L816" s="10">
        <f>IFERROR(VLOOKUP(A816,'[1]Sales Order'!A:D,4,FALSE),"")</f>
        <v>39232</v>
      </c>
      <c r="M816" s="10">
        <f>IFERROR(VLOOKUP(A816,'[1]Sales Order'!A:F,6,FALSE),"")</f>
        <v>39236</v>
      </c>
      <c r="N816" t="str">
        <f>IFERROR(VLOOKUP(VLOOKUP(A816,'[1]Sales Order'!A:G,7,FALSE),[1]Shipper!A:B,2,FALSE),"Not Specified")</f>
        <v>Shipper ETYNR</v>
      </c>
      <c r="O816" t="str">
        <f>IFERROR(VLOOKUP(A816,'[1]Sales Order'!A:I,9,FALSE),"Not Specified")</f>
        <v>Ship to 87-B</v>
      </c>
      <c r="P816" t="str">
        <f>IFERROR(VLOOKUP(A816,'[1]Sales Order'!A:N,14,FALSE),"Not Specified")</f>
        <v>Finland</v>
      </c>
      <c r="Q816" t="str">
        <f>VLOOKUP(VLOOKUP(B816,[1]Product!A:C,3,FALSE),[1]Supplier!A:B,2,FALSE)</f>
        <v>Supplier EQPNC</v>
      </c>
      <c r="R816" t="str">
        <f>VLOOKUP(VLOOKUP(B816,[1]Product!A:C,3,FALSE),[1]Supplier!A:I,9,FALSE)</f>
        <v>Spain</v>
      </c>
      <c r="S816" t="str">
        <f>IFERROR(IF(VLOOKUP(A816,'[1]Sales Order'!A:H,8,FALSE)&gt;100,"High Freight","Low Freight"),"Not Specified")</f>
        <v>High Freight</v>
      </c>
      <c r="T816">
        <f t="shared" si="25"/>
        <v>315</v>
      </c>
    </row>
    <row r="817" spans="1:20">
      <c r="A817" s="1">
        <v>10553</v>
      </c>
      <c r="B817" s="2">
        <v>16</v>
      </c>
      <c r="C817" s="2">
        <v>17.45</v>
      </c>
      <c r="D817" s="2">
        <v>14</v>
      </c>
      <c r="E817" s="3">
        <v>0</v>
      </c>
      <c r="F817" s="2" t="str">
        <f>IFERROR(VLOOKUP(VLOOKUP(A817,'[1]Sales Order'!A:B,2,FALSE),[1]Customer!A:C,3,FALSE),"Not Specified")</f>
        <v>Ludwig, Michael</v>
      </c>
      <c r="G817" s="2" t="str">
        <f t="shared" si="24"/>
        <v>Ludwig Michael</v>
      </c>
      <c r="H817" s="8" t="str">
        <f>IFERROR(VLOOKUP(VLOOKUP(A817,'[1]Sales Order'!A:C,3,FALSE),[1]Employee!A:E,5,FALSE)&amp;" "&amp;VLOOKUP(VLOOKUP(A817,'[1]Sales Order'!A:C,3,FALSE),[1]Employee!A:C,3,FALSE)&amp;" "&amp;VLOOKUP(VLOOKUP(A817,'[1]Sales Order'!A:C,3,FALSE),[1]Employee!A:B,2,FALSE),"Not Specified")</f>
        <v>Dr. Don Funk</v>
      </c>
      <c r="I817" t="str">
        <f>IFERROR(VLOOKUP(VLOOKUP(A817,'[1]Sales Order'!A:C,3,FALSE),[1]Employee!A:J,10,FALSE),"Not Specified")</f>
        <v>WA</v>
      </c>
      <c r="J817" t="str">
        <f>VLOOKUP(B817,[1]Product!A:B,2,FALSE)</f>
        <v>Product PAFRH</v>
      </c>
      <c r="K817" t="str">
        <f>VLOOKUP(VLOOKUP(B817,[1]Product!A:D,4,FALSE),[1]Category!A:B,2,FALSE)</f>
        <v>Confections</v>
      </c>
      <c r="L817" s="10">
        <f>IFERROR(VLOOKUP(A817,'[1]Sales Order'!A:D,4,FALSE),"")</f>
        <v>39232</v>
      </c>
      <c r="M817" s="10">
        <f>IFERROR(VLOOKUP(A817,'[1]Sales Order'!A:F,6,FALSE),"")</f>
        <v>39236</v>
      </c>
      <c r="N817" t="str">
        <f>IFERROR(VLOOKUP(VLOOKUP(A817,'[1]Sales Order'!A:G,7,FALSE),[1]Shipper!A:B,2,FALSE),"Not Specified")</f>
        <v>Shipper ETYNR</v>
      </c>
      <c r="O817" t="str">
        <f>IFERROR(VLOOKUP(A817,'[1]Sales Order'!A:I,9,FALSE),"Not Specified")</f>
        <v>Ship to 87-B</v>
      </c>
      <c r="P817" t="str">
        <f>IFERROR(VLOOKUP(A817,'[1]Sales Order'!A:N,14,FALSE),"Not Specified")</f>
        <v>Finland</v>
      </c>
      <c r="Q817" t="str">
        <f>VLOOKUP(VLOOKUP(B817,[1]Product!A:C,3,FALSE),[1]Supplier!A:B,2,FALSE)</f>
        <v>Supplier GQRCV</v>
      </c>
      <c r="R817" t="str">
        <f>VLOOKUP(VLOOKUP(B817,[1]Product!A:C,3,FALSE),[1]Supplier!A:I,9,FALSE)</f>
        <v>Australia</v>
      </c>
      <c r="S817" t="str">
        <f>IFERROR(IF(VLOOKUP(A817,'[1]Sales Order'!A:H,8,FALSE)&gt;100,"High Freight","Low Freight"),"Not Specified")</f>
        <v>High Freight</v>
      </c>
      <c r="T817">
        <f t="shared" si="25"/>
        <v>244.29999999999998</v>
      </c>
    </row>
    <row r="818" spans="1:20">
      <c r="A818" s="1">
        <v>10553</v>
      </c>
      <c r="B818" s="2">
        <v>22</v>
      </c>
      <c r="C818" s="2">
        <v>21</v>
      </c>
      <c r="D818" s="2">
        <v>24</v>
      </c>
      <c r="E818" s="3">
        <v>0</v>
      </c>
      <c r="F818" s="2" t="str">
        <f>IFERROR(VLOOKUP(VLOOKUP(A818,'[1]Sales Order'!A:B,2,FALSE),[1]Customer!A:C,3,FALSE),"Not Specified")</f>
        <v>Ludwig, Michael</v>
      </c>
      <c r="G818" s="2" t="str">
        <f t="shared" si="24"/>
        <v>Ludwig Michael</v>
      </c>
      <c r="H818" s="8" t="str">
        <f>IFERROR(VLOOKUP(VLOOKUP(A818,'[1]Sales Order'!A:C,3,FALSE),[1]Employee!A:E,5,FALSE)&amp;" "&amp;VLOOKUP(VLOOKUP(A818,'[1]Sales Order'!A:C,3,FALSE),[1]Employee!A:C,3,FALSE)&amp;" "&amp;VLOOKUP(VLOOKUP(A818,'[1]Sales Order'!A:C,3,FALSE),[1]Employee!A:B,2,FALSE),"Not Specified")</f>
        <v>Dr. Don Funk</v>
      </c>
      <c r="I818" t="str">
        <f>IFERROR(VLOOKUP(VLOOKUP(A818,'[1]Sales Order'!A:C,3,FALSE),[1]Employee!A:J,10,FALSE),"Not Specified")</f>
        <v>WA</v>
      </c>
      <c r="J818" t="str">
        <f>VLOOKUP(B818,[1]Product!A:B,2,FALSE)</f>
        <v>Product CPHFY</v>
      </c>
      <c r="K818" t="str">
        <f>VLOOKUP(VLOOKUP(B818,[1]Product!A:D,4,FALSE),[1]Category!A:B,2,FALSE)</f>
        <v>Grains/Cereals</v>
      </c>
      <c r="L818" s="10">
        <f>IFERROR(VLOOKUP(A818,'[1]Sales Order'!A:D,4,FALSE),"")</f>
        <v>39232</v>
      </c>
      <c r="M818" s="10">
        <f>IFERROR(VLOOKUP(A818,'[1]Sales Order'!A:F,6,FALSE),"")</f>
        <v>39236</v>
      </c>
      <c r="N818" t="str">
        <f>IFERROR(VLOOKUP(VLOOKUP(A818,'[1]Sales Order'!A:G,7,FALSE),[1]Shipper!A:B,2,FALSE),"Not Specified")</f>
        <v>Shipper ETYNR</v>
      </c>
      <c r="O818" t="str">
        <f>IFERROR(VLOOKUP(A818,'[1]Sales Order'!A:I,9,FALSE),"Not Specified")</f>
        <v>Ship to 87-B</v>
      </c>
      <c r="P818" t="str">
        <f>IFERROR(VLOOKUP(A818,'[1]Sales Order'!A:N,14,FALSE),"Not Specified")</f>
        <v>Finland</v>
      </c>
      <c r="Q818" t="str">
        <f>VLOOKUP(VLOOKUP(B818,[1]Product!A:C,3,FALSE),[1]Supplier!A:B,2,FALSE)</f>
        <v>Supplier QQYEU</v>
      </c>
      <c r="R818" t="str">
        <f>VLOOKUP(VLOOKUP(B818,[1]Product!A:C,3,FALSE),[1]Supplier!A:I,9,FALSE)</f>
        <v>Sweden</v>
      </c>
      <c r="S818" t="str">
        <f>IFERROR(IF(VLOOKUP(A818,'[1]Sales Order'!A:H,8,FALSE)&gt;100,"High Freight","Low Freight"),"Not Specified")</f>
        <v>High Freight</v>
      </c>
      <c r="T818">
        <f t="shared" si="25"/>
        <v>504</v>
      </c>
    </row>
    <row r="819" spans="1:20">
      <c r="A819" s="1">
        <v>10553</v>
      </c>
      <c r="B819" s="2">
        <v>31</v>
      </c>
      <c r="C819" s="2">
        <v>12.5</v>
      </c>
      <c r="D819" s="2">
        <v>30</v>
      </c>
      <c r="E819" s="3">
        <v>0</v>
      </c>
      <c r="F819" s="2" t="str">
        <f>IFERROR(VLOOKUP(VLOOKUP(A819,'[1]Sales Order'!A:B,2,FALSE),[1]Customer!A:C,3,FALSE),"Not Specified")</f>
        <v>Ludwig, Michael</v>
      </c>
      <c r="G819" s="2" t="str">
        <f t="shared" si="24"/>
        <v>Ludwig Michael</v>
      </c>
      <c r="H819" s="8" t="str">
        <f>IFERROR(VLOOKUP(VLOOKUP(A819,'[1]Sales Order'!A:C,3,FALSE),[1]Employee!A:E,5,FALSE)&amp;" "&amp;VLOOKUP(VLOOKUP(A819,'[1]Sales Order'!A:C,3,FALSE),[1]Employee!A:C,3,FALSE)&amp;" "&amp;VLOOKUP(VLOOKUP(A819,'[1]Sales Order'!A:C,3,FALSE),[1]Employee!A:B,2,FALSE),"Not Specified")</f>
        <v>Dr. Don Funk</v>
      </c>
      <c r="I819" t="str">
        <f>IFERROR(VLOOKUP(VLOOKUP(A819,'[1]Sales Order'!A:C,3,FALSE),[1]Employee!A:J,10,FALSE),"Not Specified")</f>
        <v>WA</v>
      </c>
      <c r="J819" t="str">
        <f>VLOOKUP(B819,[1]Product!A:B,2,FALSE)</f>
        <v>Product XWOXC</v>
      </c>
      <c r="K819" t="str">
        <f>VLOOKUP(VLOOKUP(B819,[1]Product!A:D,4,FALSE),[1]Category!A:B,2,FALSE)</f>
        <v>Dairy Product</v>
      </c>
      <c r="L819" s="10">
        <f>IFERROR(VLOOKUP(A819,'[1]Sales Order'!A:D,4,FALSE),"")</f>
        <v>39232</v>
      </c>
      <c r="M819" s="10">
        <f>IFERROR(VLOOKUP(A819,'[1]Sales Order'!A:F,6,FALSE),"")</f>
        <v>39236</v>
      </c>
      <c r="N819" t="str">
        <f>IFERROR(VLOOKUP(VLOOKUP(A819,'[1]Sales Order'!A:G,7,FALSE),[1]Shipper!A:B,2,FALSE),"Not Specified")</f>
        <v>Shipper ETYNR</v>
      </c>
      <c r="O819" t="str">
        <f>IFERROR(VLOOKUP(A819,'[1]Sales Order'!A:I,9,FALSE),"Not Specified")</f>
        <v>Ship to 87-B</v>
      </c>
      <c r="P819" t="str">
        <f>IFERROR(VLOOKUP(A819,'[1]Sales Order'!A:N,14,FALSE),"Not Specified")</f>
        <v>Finland</v>
      </c>
      <c r="Q819" t="str">
        <f>VLOOKUP(VLOOKUP(B819,[1]Product!A:C,3,FALSE),[1]Supplier!A:B,2,FALSE)</f>
        <v>Supplier KEREV</v>
      </c>
      <c r="R819" t="str">
        <f>VLOOKUP(VLOOKUP(B819,[1]Product!A:C,3,FALSE),[1]Supplier!A:I,9,FALSE)</f>
        <v>Italy</v>
      </c>
      <c r="S819" t="str">
        <f>IFERROR(IF(VLOOKUP(A819,'[1]Sales Order'!A:H,8,FALSE)&gt;100,"High Freight","Low Freight"),"Not Specified")</f>
        <v>High Freight</v>
      </c>
      <c r="T819">
        <f t="shared" si="25"/>
        <v>375</v>
      </c>
    </row>
    <row r="820" spans="1:20">
      <c r="A820" s="1">
        <v>10553</v>
      </c>
      <c r="B820" s="2">
        <v>35</v>
      </c>
      <c r="C820" s="2">
        <v>18</v>
      </c>
      <c r="D820" s="2">
        <v>6</v>
      </c>
      <c r="E820" s="3">
        <v>0</v>
      </c>
      <c r="F820" s="2" t="str">
        <f>IFERROR(VLOOKUP(VLOOKUP(A820,'[1]Sales Order'!A:B,2,FALSE),[1]Customer!A:C,3,FALSE),"Not Specified")</f>
        <v>Ludwig, Michael</v>
      </c>
      <c r="G820" s="2" t="str">
        <f t="shared" si="24"/>
        <v>Ludwig Michael</v>
      </c>
      <c r="H820" s="8" t="str">
        <f>IFERROR(VLOOKUP(VLOOKUP(A820,'[1]Sales Order'!A:C,3,FALSE),[1]Employee!A:E,5,FALSE)&amp;" "&amp;VLOOKUP(VLOOKUP(A820,'[1]Sales Order'!A:C,3,FALSE),[1]Employee!A:C,3,FALSE)&amp;" "&amp;VLOOKUP(VLOOKUP(A820,'[1]Sales Order'!A:C,3,FALSE),[1]Employee!A:B,2,FALSE),"Not Specified")</f>
        <v>Dr. Don Funk</v>
      </c>
      <c r="I820" t="str">
        <f>IFERROR(VLOOKUP(VLOOKUP(A820,'[1]Sales Order'!A:C,3,FALSE),[1]Employee!A:J,10,FALSE),"Not Specified")</f>
        <v>WA</v>
      </c>
      <c r="J820" t="str">
        <f>VLOOKUP(B820,[1]Product!A:B,2,FALSE)</f>
        <v>Product NEVTJ</v>
      </c>
      <c r="K820" t="str">
        <f>VLOOKUP(VLOOKUP(B820,[1]Product!A:D,4,FALSE),[1]Category!A:B,2,FALSE)</f>
        <v>Beverages</v>
      </c>
      <c r="L820" s="10">
        <f>IFERROR(VLOOKUP(A820,'[1]Sales Order'!A:D,4,FALSE),"")</f>
        <v>39232</v>
      </c>
      <c r="M820" s="10">
        <f>IFERROR(VLOOKUP(A820,'[1]Sales Order'!A:F,6,FALSE),"")</f>
        <v>39236</v>
      </c>
      <c r="N820" t="str">
        <f>IFERROR(VLOOKUP(VLOOKUP(A820,'[1]Sales Order'!A:G,7,FALSE),[1]Shipper!A:B,2,FALSE),"Not Specified")</f>
        <v>Shipper ETYNR</v>
      </c>
      <c r="O820" t="str">
        <f>IFERROR(VLOOKUP(A820,'[1]Sales Order'!A:I,9,FALSE),"Not Specified")</f>
        <v>Ship to 87-B</v>
      </c>
      <c r="P820" t="str">
        <f>IFERROR(VLOOKUP(A820,'[1]Sales Order'!A:N,14,FALSE),"Not Specified")</f>
        <v>Finland</v>
      </c>
      <c r="Q820" t="str">
        <f>VLOOKUP(VLOOKUP(B820,[1]Product!A:C,3,FALSE),[1]Supplier!A:B,2,FALSE)</f>
        <v>Supplier UHZRG</v>
      </c>
      <c r="R820" t="str">
        <f>VLOOKUP(VLOOKUP(B820,[1]Product!A:C,3,FALSE),[1]Supplier!A:I,9,FALSE)</f>
        <v>USA</v>
      </c>
      <c r="S820" t="str">
        <f>IFERROR(IF(VLOOKUP(A820,'[1]Sales Order'!A:H,8,FALSE)&gt;100,"High Freight","Low Freight"),"Not Specified")</f>
        <v>High Freight</v>
      </c>
      <c r="T820">
        <f t="shared" si="25"/>
        <v>108</v>
      </c>
    </row>
    <row r="821" spans="1:20">
      <c r="A821" s="1">
        <v>10554</v>
      </c>
      <c r="B821" s="2">
        <v>16</v>
      </c>
      <c r="C821" s="2">
        <v>17.45</v>
      </c>
      <c r="D821" s="2">
        <v>30</v>
      </c>
      <c r="E821" s="3">
        <v>0.05</v>
      </c>
      <c r="F821" s="2" t="str">
        <f>IFERROR(VLOOKUP(VLOOKUP(A821,'[1]Sales Order'!A:B,2,FALSE),[1]Customer!A:C,3,FALSE),"Not Specified")</f>
        <v>Marinova, Nadejda</v>
      </c>
      <c r="G821" s="2" t="str">
        <f t="shared" si="24"/>
        <v>Marinova Nadejda</v>
      </c>
      <c r="H821" s="8" t="str">
        <f>IFERROR(VLOOKUP(VLOOKUP(A821,'[1]Sales Order'!A:C,3,FALSE),[1]Employee!A:E,5,FALSE)&amp;" "&amp;VLOOKUP(VLOOKUP(A821,'[1]Sales Order'!A:C,3,FALSE),[1]Employee!A:C,3,FALSE)&amp;" "&amp;VLOOKUP(VLOOKUP(A821,'[1]Sales Order'!A:C,3,FALSE),[1]Employee!A:B,2,FALSE),"Not Specified")</f>
        <v>Mrs. Yael Peled</v>
      </c>
      <c r="I821" t="str">
        <f>IFERROR(VLOOKUP(VLOOKUP(A821,'[1]Sales Order'!A:C,3,FALSE),[1]Employee!A:J,10,FALSE),"Not Specified")</f>
        <v>WA</v>
      </c>
      <c r="J821" t="str">
        <f>VLOOKUP(B821,[1]Product!A:B,2,FALSE)</f>
        <v>Product PAFRH</v>
      </c>
      <c r="K821" t="str">
        <f>VLOOKUP(VLOOKUP(B821,[1]Product!A:D,4,FALSE),[1]Category!A:B,2,FALSE)</f>
        <v>Confections</v>
      </c>
      <c r="L821" s="10">
        <f>IFERROR(VLOOKUP(A821,'[1]Sales Order'!A:D,4,FALSE),"")</f>
        <v>39232</v>
      </c>
      <c r="M821" s="10">
        <f>IFERROR(VLOOKUP(A821,'[1]Sales Order'!A:F,6,FALSE),"")</f>
        <v>39238</v>
      </c>
      <c r="N821" t="str">
        <f>IFERROR(VLOOKUP(VLOOKUP(A821,'[1]Sales Order'!A:G,7,FALSE),[1]Shipper!A:B,2,FALSE),"Not Specified")</f>
        <v>Shipper ZHISN</v>
      </c>
      <c r="O821" t="str">
        <f>IFERROR(VLOOKUP(A821,'[1]Sales Order'!A:I,9,FALSE),"Not Specified")</f>
        <v>Ship to 56-C</v>
      </c>
      <c r="P821" t="str">
        <f>IFERROR(VLOOKUP(A821,'[1]Sales Order'!A:N,14,FALSE),"Not Specified")</f>
        <v>Germany</v>
      </c>
      <c r="Q821" t="str">
        <f>VLOOKUP(VLOOKUP(B821,[1]Product!A:C,3,FALSE),[1]Supplier!A:B,2,FALSE)</f>
        <v>Supplier GQRCV</v>
      </c>
      <c r="R821" t="str">
        <f>VLOOKUP(VLOOKUP(B821,[1]Product!A:C,3,FALSE),[1]Supplier!A:I,9,FALSE)</f>
        <v>Australia</v>
      </c>
      <c r="S821" t="str">
        <f>IFERROR(IF(VLOOKUP(A821,'[1]Sales Order'!A:H,8,FALSE)&gt;100,"High Freight","Low Freight"),"Not Specified")</f>
        <v>High Freight</v>
      </c>
      <c r="T821">
        <f t="shared" si="25"/>
        <v>497.32499999999999</v>
      </c>
    </row>
    <row r="822" spans="1:20">
      <c r="A822" s="1">
        <v>10554</v>
      </c>
      <c r="B822" s="2">
        <v>23</v>
      </c>
      <c r="C822" s="2">
        <v>9</v>
      </c>
      <c r="D822" s="2">
        <v>20</v>
      </c>
      <c r="E822" s="3">
        <v>0.05</v>
      </c>
      <c r="F822" s="2" t="str">
        <f>IFERROR(VLOOKUP(VLOOKUP(A822,'[1]Sales Order'!A:B,2,FALSE),[1]Customer!A:C,3,FALSE),"Not Specified")</f>
        <v>Marinova, Nadejda</v>
      </c>
      <c r="G822" s="2" t="str">
        <f t="shared" si="24"/>
        <v>Marinova Nadejda</v>
      </c>
      <c r="H822" s="8" t="str">
        <f>IFERROR(VLOOKUP(VLOOKUP(A822,'[1]Sales Order'!A:C,3,FALSE),[1]Employee!A:E,5,FALSE)&amp;" "&amp;VLOOKUP(VLOOKUP(A822,'[1]Sales Order'!A:C,3,FALSE),[1]Employee!A:C,3,FALSE)&amp;" "&amp;VLOOKUP(VLOOKUP(A822,'[1]Sales Order'!A:C,3,FALSE),[1]Employee!A:B,2,FALSE),"Not Specified")</f>
        <v>Mrs. Yael Peled</v>
      </c>
      <c r="I822" t="str">
        <f>IFERROR(VLOOKUP(VLOOKUP(A822,'[1]Sales Order'!A:C,3,FALSE),[1]Employee!A:J,10,FALSE),"Not Specified")</f>
        <v>WA</v>
      </c>
      <c r="J822" t="str">
        <f>VLOOKUP(B822,[1]Product!A:B,2,FALSE)</f>
        <v>Product JLUDZ</v>
      </c>
      <c r="K822" t="str">
        <f>VLOOKUP(VLOOKUP(B822,[1]Product!A:D,4,FALSE),[1]Category!A:B,2,FALSE)</f>
        <v>Grains/Cereals</v>
      </c>
      <c r="L822" s="10">
        <f>IFERROR(VLOOKUP(A822,'[1]Sales Order'!A:D,4,FALSE),"")</f>
        <v>39232</v>
      </c>
      <c r="M822" s="10">
        <f>IFERROR(VLOOKUP(A822,'[1]Sales Order'!A:F,6,FALSE),"")</f>
        <v>39238</v>
      </c>
      <c r="N822" t="str">
        <f>IFERROR(VLOOKUP(VLOOKUP(A822,'[1]Sales Order'!A:G,7,FALSE),[1]Shipper!A:B,2,FALSE),"Not Specified")</f>
        <v>Shipper ZHISN</v>
      </c>
      <c r="O822" t="str">
        <f>IFERROR(VLOOKUP(A822,'[1]Sales Order'!A:I,9,FALSE),"Not Specified")</f>
        <v>Ship to 56-C</v>
      </c>
      <c r="P822" t="str">
        <f>IFERROR(VLOOKUP(A822,'[1]Sales Order'!A:N,14,FALSE),"Not Specified")</f>
        <v>Germany</v>
      </c>
      <c r="Q822" t="str">
        <f>VLOOKUP(VLOOKUP(B822,[1]Product!A:C,3,FALSE),[1]Supplier!A:B,2,FALSE)</f>
        <v>Supplier QQYEU</v>
      </c>
      <c r="R822" t="str">
        <f>VLOOKUP(VLOOKUP(B822,[1]Product!A:C,3,FALSE),[1]Supplier!A:I,9,FALSE)</f>
        <v>Sweden</v>
      </c>
      <c r="S822" t="str">
        <f>IFERROR(IF(VLOOKUP(A822,'[1]Sales Order'!A:H,8,FALSE)&gt;100,"High Freight","Low Freight"),"Not Specified")</f>
        <v>High Freight</v>
      </c>
      <c r="T822">
        <f t="shared" si="25"/>
        <v>171</v>
      </c>
    </row>
    <row r="823" spans="1:20">
      <c r="A823" s="1">
        <v>10554</v>
      </c>
      <c r="B823" s="2">
        <v>62</v>
      </c>
      <c r="C823" s="2">
        <v>49.3</v>
      </c>
      <c r="D823" s="2">
        <v>20</v>
      </c>
      <c r="E823" s="3">
        <v>0.05</v>
      </c>
      <c r="F823" s="2" t="str">
        <f>IFERROR(VLOOKUP(VLOOKUP(A823,'[1]Sales Order'!A:B,2,FALSE),[1]Customer!A:C,3,FALSE),"Not Specified")</f>
        <v>Marinova, Nadejda</v>
      </c>
      <c r="G823" s="2" t="str">
        <f t="shared" si="24"/>
        <v>Marinova Nadejda</v>
      </c>
      <c r="H823" s="8" t="str">
        <f>IFERROR(VLOOKUP(VLOOKUP(A823,'[1]Sales Order'!A:C,3,FALSE),[1]Employee!A:E,5,FALSE)&amp;" "&amp;VLOOKUP(VLOOKUP(A823,'[1]Sales Order'!A:C,3,FALSE),[1]Employee!A:C,3,FALSE)&amp;" "&amp;VLOOKUP(VLOOKUP(A823,'[1]Sales Order'!A:C,3,FALSE),[1]Employee!A:B,2,FALSE),"Not Specified")</f>
        <v>Mrs. Yael Peled</v>
      </c>
      <c r="I823" t="str">
        <f>IFERROR(VLOOKUP(VLOOKUP(A823,'[1]Sales Order'!A:C,3,FALSE),[1]Employee!A:J,10,FALSE),"Not Specified")</f>
        <v>WA</v>
      </c>
      <c r="J823" t="str">
        <f>VLOOKUP(B823,[1]Product!A:B,2,FALSE)</f>
        <v>Product WUXYK</v>
      </c>
      <c r="K823" t="str">
        <f>VLOOKUP(VLOOKUP(B823,[1]Product!A:D,4,FALSE),[1]Category!A:B,2,FALSE)</f>
        <v>Confections</v>
      </c>
      <c r="L823" s="10">
        <f>IFERROR(VLOOKUP(A823,'[1]Sales Order'!A:D,4,FALSE),"")</f>
        <v>39232</v>
      </c>
      <c r="M823" s="10">
        <f>IFERROR(VLOOKUP(A823,'[1]Sales Order'!A:F,6,FALSE),"")</f>
        <v>39238</v>
      </c>
      <c r="N823" t="str">
        <f>IFERROR(VLOOKUP(VLOOKUP(A823,'[1]Sales Order'!A:G,7,FALSE),[1]Shipper!A:B,2,FALSE),"Not Specified")</f>
        <v>Shipper ZHISN</v>
      </c>
      <c r="O823" t="str">
        <f>IFERROR(VLOOKUP(A823,'[1]Sales Order'!A:I,9,FALSE),"Not Specified")</f>
        <v>Ship to 56-C</v>
      </c>
      <c r="P823" t="str">
        <f>IFERROR(VLOOKUP(A823,'[1]Sales Order'!A:N,14,FALSE),"Not Specified")</f>
        <v>Germany</v>
      </c>
      <c r="Q823" t="str">
        <f>VLOOKUP(VLOOKUP(B823,[1]Product!A:C,3,FALSE),[1]Supplier!A:B,2,FALSE)</f>
        <v>Supplier OGLRK</v>
      </c>
      <c r="R823" t="str">
        <f>VLOOKUP(VLOOKUP(B823,[1]Product!A:C,3,FALSE),[1]Supplier!A:I,9,FALSE)</f>
        <v>Canada</v>
      </c>
      <c r="S823" t="str">
        <f>IFERROR(IF(VLOOKUP(A823,'[1]Sales Order'!A:H,8,FALSE)&gt;100,"High Freight","Low Freight"),"Not Specified")</f>
        <v>High Freight</v>
      </c>
      <c r="T823">
        <f t="shared" si="25"/>
        <v>936.69999999999993</v>
      </c>
    </row>
    <row r="824" spans="1:20">
      <c r="A824" s="1">
        <v>10554</v>
      </c>
      <c r="B824" s="2">
        <v>77</v>
      </c>
      <c r="C824" s="2">
        <v>13</v>
      </c>
      <c r="D824" s="2">
        <v>10</v>
      </c>
      <c r="E824" s="3">
        <v>0.05</v>
      </c>
      <c r="F824" s="2" t="str">
        <f>IFERROR(VLOOKUP(VLOOKUP(A824,'[1]Sales Order'!A:B,2,FALSE),[1]Customer!A:C,3,FALSE),"Not Specified")</f>
        <v>Marinova, Nadejda</v>
      </c>
      <c r="G824" s="2" t="str">
        <f t="shared" si="24"/>
        <v>Marinova Nadejda</v>
      </c>
      <c r="H824" s="8" t="str">
        <f>IFERROR(VLOOKUP(VLOOKUP(A824,'[1]Sales Order'!A:C,3,FALSE),[1]Employee!A:E,5,FALSE)&amp;" "&amp;VLOOKUP(VLOOKUP(A824,'[1]Sales Order'!A:C,3,FALSE),[1]Employee!A:C,3,FALSE)&amp;" "&amp;VLOOKUP(VLOOKUP(A824,'[1]Sales Order'!A:C,3,FALSE),[1]Employee!A:B,2,FALSE),"Not Specified")</f>
        <v>Mrs. Yael Peled</v>
      </c>
      <c r="I824" t="str">
        <f>IFERROR(VLOOKUP(VLOOKUP(A824,'[1]Sales Order'!A:C,3,FALSE),[1]Employee!A:J,10,FALSE),"Not Specified")</f>
        <v>WA</v>
      </c>
      <c r="J824" t="str">
        <f>VLOOKUP(B824,[1]Product!A:B,2,FALSE)</f>
        <v>Product LUNZZ</v>
      </c>
      <c r="K824" t="str">
        <f>VLOOKUP(VLOOKUP(B824,[1]Product!A:D,4,FALSE),[1]Category!A:B,2,FALSE)</f>
        <v>Condiments</v>
      </c>
      <c r="L824" s="10">
        <f>IFERROR(VLOOKUP(A824,'[1]Sales Order'!A:D,4,FALSE),"")</f>
        <v>39232</v>
      </c>
      <c r="M824" s="10">
        <f>IFERROR(VLOOKUP(A824,'[1]Sales Order'!A:F,6,FALSE),"")</f>
        <v>39238</v>
      </c>
      <c r="N824" t="str">
        <f>IFERROR(VLOOKUP(VLOOKUP(A824,'[1]Sales Order'!A:G,7,FALSE),[1]Shipper!A:B,2,FALSE),"Not Specified")</f>
        <v>Shipper ZHISN</v>
      </c>
      <c r="O824" t="str">
        <f>IFERROR(VLOOKUP(A824,'[1]Sales Order'!A:I,9,FALSE),"Not Specified")</f>
        <v>Ship to 56-C</v>
      </c>
      <c r="P824" t="str">
        <f>IFERROR(VLOOKUP(A824,'[1]Sales Order'!A:N,14,FALSE),"Not Specified")</f>
        <v>Germany</v>
      </c>
      <c r="Q824" t="str">
        <f>VLOOKUP(VLOOKUP(B824,[1]Product!A:C,3,FALSE),[1]Supplier!A:B,2,FALSE)</f>
        <v>Supplier SVIYA</v>
      </c>
      <c r="R824" t="str">
        <f>VLOOKUP(VLOOKUP(B824,[1]Product!A:C,3,FALSE),[1]Supplier!A:I,9,FALSE)</f>
        <v>Germany</v>
      </c>
      <c r="S824" t="str">
        <f>IFERROR(IF(VLOOKUP(A824,'[1]Sales Order'!A:H,8,FALSE)&gt;100,"High Freight","Low Freight"),"Not Specified")</f>
        <v>High Freight</v>
      </c>
      <c r="T824">
        <f t="shared" si="25"/>
        <v>123.5</v>
      </c>
    </row>
    <row r="825" spans="1:20">
      <c r="A825" s="1">
        <v>10555</v>
      </c>
      <c r="B825" s="2">
        <v>14</v>
      </c>
      <c r="C825" s="2">
        <v>23.25</v>
      </c>
      <c r="D825" s="2">
        <v>30</v>
      </c>
      <c r="E825" s="3">
        <v>0.2</v>
      </c>
      <c r="F825" s="2" t="str">
        <f>IFERROR(VLOOKUP(VLOOKUP(A825,'[1]Sales Order'!A:B,2,FALSE),[1]Customer!A:C,3,FALSE),"Not Specified")</f>
        <v>Navarro, Tomás</v>
      </c>
      <c r="G825" s="2" t="str">
        <f t="shared" si="24"/>
        <v>Navarro Tomás</v>
      </c>
      <c r="H825" s="8" t="str">
        <f>IFERROR(VLOOKUP(VLOOKUP(A825,'[1]Sales Order'!A:C,3,FALSE),[1]Employee!A:E,5,FALSE)&amp;" "&amp;VLOOKUP(VLOOKUP(A825,'[1]Sales Order'!A:C,3,FALSE),[1]Employee!A:C,3,FALSE)&amp;" "&amp;VLOOKUP(VLOOKUP(A825,'[1]Sales Order'!A:C,3,FALSE),[1]Employee!A:B,2,FALSE),"Not Specified")</f>
        <v>Mr. Paul Suurs</v>
      </c>
      <c r="I825">
        <f>IFERROR(VLOOKUP(VLOOKUP(A825,'[1]Sales Order'!A:C,3,FALSE),[1]Employee!A:J,10,FALSE),"Not Specified")</f>
        <v>0</v>
      </c>
      <c r="J825" t="str">
        <f>VLOOKUP(B825,[1]Product!A:B,2,FALSE)</f>
        <v>Product PWCJB</v>
      </c>
      <c r="K825" t="str">
        <f>VLOOKUP(VLOOKUP(B825,[1]Product!A:D,4,FALSE),[1]Category!A:B,2,FALSE)</f>
        <v>Produce</v>
      </c>
      <c r="L825" s="10">
        <f>IFERROR(VLOOKUP(A825,'[1]Sales Order'!A:D,4,FALSE),"")</f>
        <v>39235</v>
      </c>
      <c r="M825" s="10">
        <f>IFERROR(VLOOKUP(A825,'[1]Sales Order'!A:F,6,FALSE),"")</f>
        <v>39237</v>
      </c>
      <c r="N825" t="str">
        <f>IFERROR(VLOOKUP(VLOOKUP(A825,'[1]Sales Order'!A:G,7,FALSE),[1]Shipper!A:B,2,FALSE),"Not Specified")</f>
        <v>Shipper ZHISN</v>
      </c>
      <c r="O825" t="str">
        <f>IFERROR(VLOOKUP(A825,'[1]Sales Order'!A:I,9,FALSE),"Not Specified")</f>
        <v>Ship to 71-B</v>
      </c>
      <c r="P825" t="str">
        <f>IFERROR(VLOOKUP(A825,'[1]Sales Order'!A:N,14,FALSE),"Not Specified")</f>
        <v>USA</v>
      </c>
      <c r="Q825" t="str">
        <f>VLOOKUP(VLOOKUP(B825,[1]Product!A:C,3,FALSE),[1]Supplier!A:B,2,FALSE)</f>
        <v>Supplier QWUSF</v>
      </c>
      <c r="R825" t="str">
        <f>VLOOKUP(VLOOKUP(B825,[1]Product!A:C,3,FALSE),[1]Supplier!A:I,9,FALSE)</f>
        <v>Japan</v>
      </c>
      <c r="S825" t="str">
        <f>IFERROR(IF(VLOOKUP(A825,'[1]Sales Order'!A:H,8,FALSE)&gt;100,"High Freight","Low Freight"),"Not Specified")</f>
        <v>High Freight</v>
      </c>
      <c r="T825">
        <f t="shared" si="25"/>
        <v>558</v>
      </c>
    </row>
    <row r="826" spans="1:20">
      <c r="A826" s="1">
        <v>10555</v>
      </c>
      <c r="B826" s="2">
        <v>19</v>
      </c>
      <c r="C826" s="2">
        <v>9.1999999999999993</v>
      </c>
      <c r="D826" s="2">
        <v>35</v>
      </c>
      <c r="E826" s="3">
        <v>0.2</v>
      </c>
      <c r="F826" s="2" t="str">
        <f>IFERROR(VLOOKUP(VLOOKUP(A826,'[1]Sales Order'!A:B,2,FALSE),[1]Customer!A:C,3,FALSE),"Not Specified")</f>
        <v>Navarro, Tomás</v>
      </c>
      <c r="G826" s="2" t="str">
        <f t="shared" si="24"/>
        <v>Navarro Tomás</v>
      </c>
      <c r="H826" s="8" t="str">
        <f>IFERROR(VLOOKUP(VLOOKUP(A826,'[1]Sales Order'!A:C,3,FALSE),[1]Employee!A:E,5,FALSE)&amp;" "&amp;VLOOKUP(VLOOKUP(A826,'[1]Sales Order'!A:C,3,FALSE),[1]Employee!A:C,3,FALSE)&amp;" "&amp;VLOOKUP(VLOOKUP(A826,'[1]Sales Order'!A:C,3,FALSE),[1]Employee!A:B,2,FALSE),"Not Specified")</f>
        <v>Mr. Paul Suurs</v>
      </c>
      <c r="I826">
        <f>IFERROR(VLOOKUP(VLOOKUP(A826,'[1]Sales Order'!A:C,3,FALSE),[1]Employee!A:J,10,FALSE),"Not Specified")</f>
        <v>0</v>
      </c>
      <c r="J826" t="str">
        <f>VLOOKUP(B826,[1]Product!A:B,2,FALSE)</f>
        <v>Product XKXDO</v>
      </c>
      <c r="K826" t="str">
        <f>VLOOKUP(VLOOKUP(B826,[1]Product!A:D,4,FALSE),[1]Category!A:B,2,FALSE)</f>
        <v>Confections</v>
      </c>
      <c r="L826" s="10">
        <f>IFERROR(VLOOKUP(A826,'[1]Sales Order'!A:D,4,FALSE),"")</f>
        <v>39235</v>
      </c>
      <c r="M826" s="10">
        <f>IFERROR(VLOOKUP(A826,'[1]Sales Order'!A:F,6,FALSE),"")</f>
        <v>39237</v>
      </c>
      <c r="N826" t="str">
        <f>IFERROR(VLOOKUP(VLOOKUP(A826,'[1]Sales Order'!A:G,7,FALSE),[1]Shipper!A:B,2,FALSE),"Not Specified")</f>
        <v>Shipper ZHISN</v>
      </c>
      <c r="O826" t="str">
        <f>IFERROR(VLOOKUP(A826,'[1]Sales Order'!A:I,9,FALSE),"Not Specified")</f>
        <v>Ship to 71-B</v>
      </c>
      <c r="P826" t="str">
        <f>IFERROR(VLOOKUP(A826,'[1]Sales Order'!A:N,14,FALSE),"Not Specified")</f>
        <v>USA</v>
      </c>
      <c r="Q826" t="str">
        <f>VLOOKUP(VLOOKUP(B826,[1]Product!A:C,3,FALSE),[1]Supplier!A:B,2,FALSE)</f>
        <v>Supplier BWGYE</v>
      </c>
      <c r="R826" t="str">
        <f>VLOOKUP(VLOOKUP(B826,[1]Product!A:C,3,FALSE),[1]Supplier!A:I,9,FALSE)</f>
        <v>UK</v>
      </c>
      <c r="S826" t="str">
        <f>IFERROR(IF(VLOOKUP(A826,'[1]Sales Order'!A:H,8,FALSE)&gt;100,"High Freight","Low Freight"),"Not Specified")</f>
        <v>High Freight</v>
      </c>
      <c r="T826">
        <f t="shared" si="25"/>
        <v>257.60000000000002</v>
      </c>
    </row>
    <row r="827" spans="1:20">
      <c r="A827" s="1">
        <v>10555</v>
      </c>
      <c r="B827" s="2">
        <v>24</v>
      </c>
      <c r="C827" s="2">
        <v>4.5</v>
      </c>
      <c r="D827" s="2">
        <v>18</v>
      </c>
      <c r="E827" s="3">
        <v>0.2</v>
      </c>
      <c r="F827" s="2" t="str">
        <f>IFERROR(VLOOKUP(VLOOKUP(A827,'[1]Sales Order'!A:B,2,FALSE),[1]Customer!A:C,3,FALSE),"Not Specified")</f>
        <v>Navarro, Tomás</v>
      </c>
      <c r="G827" s="2" t="str">
        <f t="shared" si="24"/>
        <v>Navarro Tomás</v>
      </c>
      <c r="H827" s="8" t="str">
        <f>IFERROR(VLOOKUP(VLOOKUP(A827,'[1]Sales Order'!A:C,3,FALSE),[1]Employee!A:E,5,FALSE)&amp;" "&amp;VLOOKUP(VLOOKUP(A827,'[1]Sales Order'!A:C,3,FALSE),[1]Employee!A:C,3,FALSE)&amp;" "&amp;VLOOKUP(VLOOKUP(A827,'[1]Sales Order'!A:C,3,FALSE),[1]Employee!A:B,2,FALSE),"Not Specified")</f>
        <v>Mr. Paul Suurs</v>
      </c>
      <c r="I827">
        <f>IFERROR(VLOOKUP(VLOOKUP(A827,'[1]Sales Order'!A:C,3,FALSE),[1]Employee!A:J,10,FALSE),"Not Specified")</f>
        <v>0</v>
      </c>
      <c r="J827" t="str">
        <f>VLOOKUP(B827,[1]Product!A:B,2,FALSE)</f>
        <v>Product QOGNU</v>
      </c>
      <c r="K827" t="str">
        <f>VLOOKUP(VLOOKUP(B827,[1]Product!A:D,4,FALSE),[1]Category!A:B,2,FALSE)</f>
        <v>Beverages</v>
      </c>
      <c r="L827" s="10">
        <f>IFERROR(VLOOKUP(A827,'[1]Sales Order'!A:D,4,FALSE),"")</f>
        <v>39235</v>
      </c>
      <c r="M827" s="10">
        <f>IFERROR(VLOOKUP(A827,'[1]Sales Order'!A:F,6,FALSE),"")</f>
        <v>39237</v>
      </c>
      <c r="N827" t="str">
        <f>IFERROR(VLOOKUP(VLOOKUP(A827,'[1]Sales Order'!A:G,7,FALSE),[1]Shipper!A:B,2,FALSE),"Not Specified")</f>
        <v>Shipper ZHISN</v>
      </c>
      <c r="O827" t="str">
        <f>IFERROR(VLOOKUP(A827,'[1]Sales Order'!A:I,9,FALSE),"Not Specified")</f>
        <v>Ship to 71-B</v>
      </c>
      <c r="P827" t="str">
        <f>IFERROR(VLOOKUP(A827,'[1]Sales Order'!A:N,14,FALSE),"Not Specified")</f>
        <v>USA</v>
      </c>
      <c r="Q827" t="str">
        <f>VLOOKUP(VLOOKUP(B827,[1]Product!A:C,3,FALSE),[1]Supplier!A:B,2,FALSE)</f>
        <v>Supplier UNAHG</v>
      </c>
      <c r="R827" t="str">
        <f>VLOOKUP(VLOOKUP(B827,[1]Product!A:C,3,FALSE),[1]Supplier!A:I,9,FALSE)</f>
        <v>Brazil</v>
      </c>
      <c r="S827" t="str">
        <f>IFERROR(IF(VLOOKUP(A827,'[1]Sales Order'!A:H,8,FALSE)&gt;100,"High Freight","Low Freight"),"Not Specified")</f>
        <v>High Freight</v>
      </c>
      <c r="T827">
        <f t="shared" si="25"/>
        <v>64.8</v>
      </c>
    </row>
    <row r="828" spans="1:20">
      <c r="A828" s="1">
        <v>10555</v>
      </c>
      <c r="B828" s="2">
        <v>51</v>
      </c>
      <c r="C828" s="2">
        <v>53</v>
      </c>
      <c r="D828" s="2">
        <v>20</v>
      </c>
      <c r="E828" s="3">
        <v>0.2</v>
      </c>
      <c r="F828" s="2" t="str">
        <f>IFERROR(VLOOKUP(VLOOKUP(A828,'[1]Sales Order'!A:B,2,FALSE),[1]Customer!A:C,3,FALSE),"Not Specified")</f>
        <v>Navarro, Tomás</v>
      </c>
      <c r="G828" s="2" t="str">
        <f t="shared" si="24"/>
        <v>Navarro Tomás</v>
      </c>
      <c r="H828" s="8" t="str">
        <f>IFERROR(VLOOKUP(VLOOKUP(A828,'[1]Sales Order'!A:C,3,FALSE),[1]Employee!A:E,5,FALSE)&amp;" "&amp;VLOOKUP(VLOOKUP(A828,'[1]Sales Order'!A:C,3,FALSE),[1]Employee!A:C,3,FALSE)&amp;" "&amp;VLOOKUP(VLOOKUP(A828,'[1]Sales Order'!A:C,3,FALSE),[1]Employee!A:B,2,FALSE),"Not Specified")</f>
        <v>Mr. Paul Suurs</v>
      </c>
      <c r="I828">
        <f>IFERROR(VLOOKUP(VLOOKUP(A828,'[1]Sales Order'!A:C,3,FALSE),[1]Employee!A:J,10,FALSE),"Not Specified")</f>
        <v>0</v>
      </c>
      <c r="J828" t="str">
        <f>VLOOKUP(B828,[1]Product!A:B,2,FALSE)</f>
        <v>Product APITJ</v>
      </c>
      <c r="K828" t="str">
        <f>VLOOKUP(VLOOKUP(B828,[1]Product!A:D,4,FALSE),[1]Category!A:B,2,FALSE)</f>
        <v>Produce</v>
      </c>
      <c r="L828" s="10">
        <f>IFERROR(VLOOKUP(A828,'[1]Sales Order'!A:D,4,FALSE),"")</f>
        <v>39235</v>
      </c>
      <c r="M828" s="10">
        <f>IFERROR(VLOOKUP(A828,'[1]Sales Order'!A:F,6,FALSE),"")</f>
        <v>39237</v>
      </c>
      <c r="N828" t="str">
        <f>IFERROR(VLOOKUP(VLOOKUP(A828,'[1]Sales Order'!A:G,7,FALSE),[1]Shipper!A:B,2,FALSE),"Not Specified")</f>
        <v>Shipper ZHISN</v>
      </c>
      <c r="O828" t="str">
        <f>IFERROR(VLOOKUP(A828,'[1]Sales Order'!A:I,9,FALSE),"Not Specified")</f>
        <v>Ship to 71-B</v>
      </c>
      <c r="P828" t="str">
        <f>IFERROR(VLOOKUP(A828,'[1]Sales Order'!A:N,14,FALSE),"Not Specified")</f>
        <v>USA</v>
      </c>
      <c r="Q828" t="str">
        <f>VLOOKUP(VLOOKUP(B828,[1]Product!A:C,3,FALSE),[1]Supplier!A:B,2,FALSE)</f>
        <v>Supplier JNNES</v>
      </c>
      <c r="R828" t="str">
        <f>VLOOKUP(VLOOKUP(B828,[1]Product!A:C,3,FALSE),[1]Supplier!A:I,9,FALSE)</f>
        <v>Australia</v>
      </c>
      <c r="S828" t="str">
        <f>IFERROR(IF(VLOOKUP(A828,'[1]Sales Order'!A:H,8,FALSE)&gt;100,"High Freight","Low Freight"),"Not Specified")</f>
        <v>High Freight</v>
      </c>
      <c r="T828">
        <f t="shared" si="25"/>
        <v>848</v>
      </c>
    </row>
    <row r="829" spans="1:20">
      <c r="A829" s="1">
        <v>10555</v>
      </c>
      <c r="B829" s="2">
        <v>56</v>
      </c>
      <c r="C829" s="2">
        <v>38</v>
      </c>
      <c r="D829" s="2">
        <v>40</v>
      </c>
      <c r="E829" s="3">
        <v>0.2</v>
      </c>
      <c r="F829" s="2" t="str">
        <f>IFERROR(VLOOKUP(VLOOKUP(A829,'[1]Sales Order'!A:B,2,FALSE),[1]Customer!A:C,3,FALSE),"Not Specified")</f>
        <v>Navarro, Tomás</v>
      </c>
      <c r="G829" s="2" t="str">
        <f t="shared" si="24"/>
        <v>Navarro Tomás</v>
      </c>
      <c r="H829" s="8" t="str">
        <f>IFERROR(VLOOKUP(VLOOKUP(A829,'[1]Sales Order'!A:C,3,FALSE),[1]Employee!A:E,5,FALSE)&amp;" "&amp;VLOOKUP(VLOOKUP(A829,'[1]Sales Order'!A:C,3,FALSE),[1]Employee!A:C,3,FALSE)&amp;" "&amp;VLOOKUP(VLOOKUP(A829,'[1]Sales Order'!A:C,3,FALSE),[1]Employee!A:B,2,FALSE),"Not Specified")</f>
        <v>Mr. Paul Suurs</v>
      </c>
      <c r="I829">
        <f>IFERROR(VLOOKUP(VLOOKUP(A829,'[1]Sales Order'!A:C,3,FALSE),[1]Employee!A:J,10,FALSE),"Not Specified")</f>
        <v>0</v>
      </c>
      <c r="J829" t="str">
        <f>VLOOKUP(B829,[1]Product!A:B,2,FALSE)</f>
        <v>Product VKCMF</v>
      </c>
      <c r="K829" t="str">
        <f>VLOOKUP(VLOOKUP(B829,[1]Product!A:D,4,FALSE),[1]Category!A:B,2,FALSE)</f>
        <v>Grains/Cereals</v>
      </c>
      <c r="L829" s="10">
        <f>IFERROR(VLOOKUP(A829,'[1]Sales Order'!A:D,4,FALSE),"")</f>
        <v>39235</v>
      </c>
      <c r="M829" s="10">
        <f>IFERROR(VLOOKUP(A829,'[1]Sales Order'!A:F,6,FALSE),"")</f>
        <v>39237</v>
      </c>
      <c r="N829" t="str">
        <f>IFERROR(VLOOKUP(VLOOKUP(A829,'[1]Sales Order'!A:G,7,FALSE),[1]Shipper!A:B,2,FALSE),"Not Specified")</f>
        <v>Shipper ZHISN</v>
      </c>
      <c r="O829" t="str">
        <f>IFERROR(VLOOKUP(A829,'[1]Sales Order'!A:I,9,FALSE),"Not Specified")</f>
        <v>Ship to 71-B</v>
      </c>
      <c r="P829" t="str">
        <f>IFERROR(VLOOKUP(A829,'[1]Sales Order'!A:N,14,FALSE),"Not Specified")</f>
        <v>USA</v>
      </c>
      <c r="Q829" t="str">
        <f>VLOOKUP(VLOOKUP(B829,[1]Product!A:C,3,FALSE),[1]Supplier!A:B,2,FALSE)</f>
        <v>Supplier ZWZDM</v>
      </c>
      <c r="R829" t="str">
        <f>VLOOKUP(VLOOKUP(B829,[1]Product!A:C,3,FALSE),[1]Supplier!A:I,9,FALSE)</f>
        <v>Italy</v>
      </c>
      <c r="S829" t="str">
        <f>IFERROR(IF(VLOOKUP(A829,'[1]Sales Order'!A:H,8,FALSE)&gt;100,"High Freight","Low Freight"),"Not Specified")</f>
        <v>High Freight</v>
      </c>
      <c r="T829">
        <f t="shared" si="25"/>
        <v>1216</v>
      </c>
    </row>
    <row r="830" spans="1:20">
      <c r="A830" s="1">
        <v>10556</v>
      </c>
      <c r="B830" s="2">
        <v>72</v>
      </c>
      <c r="C830" s="2">
        <v>34.799999999999997</v>
      </c>
      <c r="D830" s="2">
        <v>24</v>
      </c>
      <c r="E830" s="3">
        <v>0</v>
      </c>
      <c r="F830" s="2" t="str">
        <f>IFERROR(VLOOKUP(VLOOKUP(A830,'[1]Sales Order'!A:B,2,FALSE),[1]Customer!A:C,3,FALSE),"Not Specified")</f>
        <v>Gonzalez, Nuria</v>
      </c>
      <c r="G830" s="2" t="str">
        <f t="shared" si="24"/>
        <v>Gonzalez Nuria</v>
      </c>
      <c r="H830" s="8" t="str">
        <f>IFERROR(VLOOKUP(VLOOKUP(A830,'[1]Sales Order'!A:C,3,FALSE),[1]Employee!A:E,5,FALSE)&amp;" "&amp;VLOOKUP(VLOOKUP(A830,'[1]Sales Order'!A:C,3,FALSE),[1]Employee!A:C,3,FALSE)&amp;" "&amp;VLOOKUP(VLOOKUP(A830,'[1]Sales Order'!A:C,3,FALSE),[1]Employee!A:B,2,FALSE),"Not Specified")</f>
        <v>Dr. Don Funk</v>
      </c>
      <c r="I830" t="str">
        <f>IFERROR(VLOOKUP(VLOOKUP(A830,'[1]Sales Order'!A:C,3,FALSE),[1]Employee!A:J,10,FALSE),"Not Specified")</f>
        <v>WA</v>
      </c>
      <c r="J830" t="str">
        <f>VLOOKUP(B830,[1]Product!A:B,2,FALSE)</f>
        <v>Product GEEOO</v>
      </c>
      <c r="K830" t="str">
        <f>VLOOKUP(VLOOKUP(B830,[1]Product!A:D,4,FALSE),[1]Category!A:B,2,FALSE)</f>
        <v>Dairy Product</v>
      </c>
      <c r="L830" s="10">
        <f>IFERROR(VLOOKUP(A830,'[1]Sales Order'!A:D,4,FALSE),"")</f>
        <v>39236</v>
      </c>
      <c r="M830" s="10">
        <f>IFERROR(VLOOKUP(A830,'[1]Sales Order'!A:F,6,FALSE),"")</f>
        <v>39246</v>
      </c>
      <c r="N830" t="str">
        <f>IFERROR(VLOOKUP(VLOOKUP(A830,'[1]Sales Order'!A:G,7,FALSE),[1]Shipper!A:B,2,FALSE),"Not Specified")</f>
        <v>Shipper GVSUA</v>
      </c>
      <c r="O830" t="str">
        <f>IFERROR(VLOOKUP(A830,'[1]Sales Order'!A:I,9,FALSE),"Not Specified")</f>
        <v>Ship to 73-A</v>
      </c>
      <c r="P830" t="str">
        <f>IFERROR(VLOOKUP(A830,'[1]Sales Order'!A:N,14,FALSE),"Not Specified")</f>
        <v>Denmark</v>
      </c>
      <c r="Q830" t="str">
        <f>VLOOKUP(VLOOKUP(B830,[1]Product!A:C,3,FALSE),[1]Supplier!A:B,2,FALSE)</f>
        <v>Supplier KEREV</v>
      </c>
      <c r="R830" t="str">
        <f>VLOOKUP(VLOOKUP(B830,[1]Product!A:C,3,FALSE),[1]Supplier!A:I,9,FALSE)</f>
        <v>Italy</v>
      </c>
      <c r="S830" t="str">
        <f>IFERROR(IF(VLOOKUP(A830,'[1]Sales Order'!A:H,8,FALSE)&gt;100,"High Freight","Low Freight"),"Not Specified")</f>
        <v>Low Freight</v>
      </c>
      <c r="T830">
        <f t="shared" si="25"/>
        <v>835.19999999999993</v>
      </c>
    </row>
    <row r="831" spans="1:20">
      <c r="A831" s="1">
        <v>10557</v>
      </c>
      <c r="B831" s="2">
        <v>64</v>
      </c>
      <c r="C831" s="2">
        <v>33.25</v>
      </c>
      <c r="D831" s="2">
        <v>30</v>
      </c>
      <c r="E831" s="3">
        <v>0</v>
      </c>
      <c r="F831" s="2" t="str">
        <f>IFERROR(VLOOKUP(VLOOKUP(A831,'[1]Sales Order'!A:B,2,FALSE),[1]Customer!A:C,3,FALSE),"Not Specified")</f>
        <v>Louverdis, George</v>
      </c>
      <c r="G831" s="2" t="str">
        <f t="shared" si="24"/>
        <v>Louverdis George</v>
      </c>
      <c r="H831" s="8" t="str">
        <f>IFERROR(VLOOKUP(VLOOKUP(A831,'[1]Sales Order'!A:C,3,FALSE),[1]Employee!A:E,5,FALSE)&amp;" "&amp;VLOOKUP(VLOOKUP(A831,'[1]Sales Order'!A:C,3,FALSE),[1]Employee!A:C,3,FALSE)&amp;" "&amp;VLOOKUP(VLOOKUP(A831,'[1]Sales Order'!A:C,3,FALSE),[1]Employee!A:B,2,FALSE),"Not Specified")</f>
        <v>Ms. Zoya Dolgopyatova</v>
      </c>
      <c r="I831">
        <f>IFERROR(VLOOKUP(VLOOKUP(A831,'[1]Sales Order'!A:C,3,FALSE),[1]Employee!A:J,10,FALSE),"Not Specified")</f>
        <v>0</v>
      </c>
      <c r="J831" t="str">
        <f>VLOOKUP(B831,[1]Product!A:B,2,FALSE)</f>
        <v>Product HCQDE</v>
      </c>
      <c r="K831" t="str">
        <f>VLOOKUP(VLOOKUP(B831,[1]Product!A:D,4,FALSE),[1]Category!A:B,2,FALSE)</f>
        <v>Grains/Cereals</v>
      </c>
      <c r="L831" s="10">
        <f>IFERROR(VLOOKUP(A831,'[1]Sales Order'!A:D,4,FALSE),"")</f>
        <v>39236</v>
      </c>
      <c r="M831" s="10">
        <f>IFERROR(VLOOKUP(A831,'[1]Sales Order'!A:F,6,FALSE),"")</f>
        <v>39239</v>
      </c>
      <c r="N831" t="str">
        <f>IFERROR(VLOOKUP(VLOOKUP(A831,'[1]Sales Order'!A:G,7,FALSE),[1]Shipper!A:B,2,FALSE),"Not Specified")</f>
        <v>Shipper ETYNR</v>
      </c>
      <c r="O831" t="str">
        <f>IFERROR(VLOOKUP(A831,'[1]Sales Order'!A:I,9,FALSE),"Not Specified")</f>
        <v>Ship to 44-C</v>
      </c>
      <c r="P831" t="str">
        <f>IFERROR(VLOOKUP(A831,'[1]Sales Order'!A:N,14,FALSE),"Not Specified")</f>
        <v>Germany</v>
      </c>
      <c r="Q831" t="str">
        <f>VLOOKUP(VLOOKUP(B831,[1]Product!A:C,3,FALSE),[1]Supplier!A:B,2,FALSE)</f>
        <v>Supplier SVIYA</v>
      </c>
      <c r="R831" t="str">
        <f>VLOOKUP(VLOOKUP(B831,[1]Product!A:C,3,FALSE),[1]Supplier!A:I,9,FALSE)</f>
        <v>Germany</v>
      </c>
      <c r="S831" t="str">
        <f>IFERROR(IF(VLOOKUP(A831,'[1]Sales Order'!A:H,8,FALSE)&gt;100,"High Freight","Low Freight"),"Not Specified")</f>
        <v>Low Freight</v>
      </c>
      <c r="T831">
        <f t="shared" si="25"/>
        <v>997.5</v>
      </c>
    </row>
    <row r="832" spans="1:20">
      <c r="A832" s="1">
        <v>10557</v>
      </c>
      <c r="B832" s="2">
        <v>75</v>
      </c>
      <c r="C832" s="2">
        <v>7.75</v>
      </c>
      <c r="D832" s="2">
        <v>20</v>
      </c>
      <c r="E832" s="3">
        <v>0</v>
      </c>
      <c r="F832" s="2" t="str">
        <f>IFERROR(VLOOKUP(VLOOKUP(A832,'[1]Sales Order'!A:B,2,FALSE),[1]Customer!A:C,3,FALSE),"Not Specified")</f>
        <v>Louverdis, George</v>
      </c>
      <c r="G832" s="2" t="str">
        <f t="shared" si="24"/>
        <v>Louverdis George</v>
      </c>
      <c r="H832" s="8" t="str">
        <f>IFERROR(VLOOKUP(VLOOKUP(A832,'[1]Sales Order'!A:C,3,FALSE),[1]Employee!A:E,5,FALSE)&amp;" "&amp;VLOOKUP(VLOOKUP(A832,'[1]Sales Order'!A:C,3,FALSE),[1]Employee!A:C,3,FALSE)&amp;" "&amp;VLOOKUP(VLOOKUP(A832,'[1]Sales Order'!A:C,3,FALSE),[1]Employee!A:B,2,FALSE),"Not Specified")</f>
        <v>Ms. Zoya Dolgopyatova</v>
      </c>
      <c r="I832">
        <f>IFERROR(VLOOKUP(VLOOKUP(A832,'[1]Sales Order'!A:C,3,FALSE),[1]Employee!A:J,10,FALSE),"Not Specified")</f>
        <v>0</v>
      </c>
      <c r="J832" t="str">
        <f>VLOOKUP(B832,[1]Product!A:B,2,FALSE)</f>
        <v>Product BWRLG</v>
      </c>
      <c r="K832" t="str">
        <f>VLOOKUP(VLOOKUP(B832,[1]Product!A:D,4,FALSE),[1]Category!A:B,2,FALSE)</f>
        <v>Beverages</v>
      </c>
      <c r="L832" s="10">
        <f>IFERROR(VLOOKUP(A832,'[1]Sales Order'!A:D,4,FALSE),"")</f>
        <v>39236</v>
      </c>
      <c r="M832" s="10">
        <f>IFERROR(VLOOKUP(A832,'[1]Sales Order'!A:F,6,FALSE),"")</f>
        <v>39239</v>
      </c>
      <c r="N832" t="str">
        <f>IFERROR(VLOOKUP(VLOOKUP(A832,'[1]Sales Order'!A:G,7,FALSE),[1]Shipper!A:B,2,FALSE),"Not Specified")</f>
        <v>Shipper ETYNR</v>
      </c>
      <c r="O832" t="str">
        <f>IFERROR(VLOOKUP(A832,'[1]Sales Order'!A:I,9,FALSE),"Not Specified")</f>
        <v>Ship to 44-C</v>
      </c>
      <c r="P832" t="str">
        <f>IFERROR(VLOOKUP(A832,'[1]Sales Order'!A:N,14,FALSE),"Not Specified")</f>
        <v>Germany</v>
      </c>
      <c r="Q832" t="str">
        <f>VLOOKUP(VLOOKUP(B832,[1]Product!A:C,3,FALSE),[1]Supplier!A:B,2,FALSE)</f>
        <v>Supplier SVIYA</v>
      </c>
      <c r="R832" t="str">
        <f>VLOOKUP(VLOOKUP(B832,[1]Product!A:C,3,FALSE),[1]Supplier!A:I,9,FALSE)</f>
        <v>Germany</v>
      </c>
      <c r="S832" t="str">
        <f>IFERROR(IF(VLOOKUP(A832,'[1]Sales Order'!A:H,8,FALSE)&gt;100,"High Freight","Low Freight"),"Not Specified")</f>
        <v>Low Freight</v>
      </c>
      <c r="T832">
        <f t="shared" si="25"/>
        <v>155</v>
      </c>
    </row>
    <row r="833" spans="1:20">
      <c r="A833" s="1">
        <v>10558</v>
      </c>
      <c r="B833" s="2">
        <v>47</v>
      </c>
      <c r="C833" s="2">
        <v>9.5</v>
      </c>
      <c r="D833" s="2">
        <v>25</v>
      </c>
      <c r="E833" s="3">
        <v>0</v>
      </c>
      <c r="F833" s="2" t="str">
        <f>IFERROR(VLOOKUP(VLOOKUP(A833,'[1]Sales Order'!A:B,2,FALSE),[1]Customer!A:C,3,FALSE),"Not Specified")</f>
        <v>Arndt, Torsten</v>
      </c>
      <c r="G833" s="2" t="str">
        <f t="shared" si="24"/>
        <v>Arndt Torsten</v>
      </c>
      <c r="H833" s="8" t="str">
        <f>IFERROR(VLOOKUP(VLOOKUP(A833,'[1]Sales Order'!A:C,3,FALSE),[1]Employee!A:E,5,FALSE)&amp;" "&amp;VLOOKUP(VLOOKUP(A833,'[1]Sales Order'!A:C,3,FALSE),[1]Employee!A:C,3,FALSE)&amp;" "&amp;VLOOKUP(VLOOKUP(A833,'[1]Sales Order'!A:C,3,FALSE),[1]Employee!A:B,2,FALSE),"Not Specified")</f>
        <v>Ms. Sara Davis</v>
      </c>
      <c r="I833" t="str">
        <f>IFERROR(VLOOKUP(VLOOKUP(A833,'[1]Sales Order'!A:C,3,FALSE),[1]Employee!A:J,10,FALSE),"Not Specified")</f>
        <v>WA</v>
      </c>
      <c r="J833" t="str">
        <f>VLOOKUP(B833,[1]Product!A:B,2,FALSE)</f>
        <v>Product EZZPR</v>
      </c>
      <c r="K833" t="str">
        <f>VLOOKUP(VLOOKUP(B833,[1]Product!A:D,4,FALSE),[1]Category!A:B,2,FALSE)</f>
        <v>Confections</v>
      </c>
      <c r="L833" s="10">
        <f>IFERROR(VLOOKUP(A833,'[1]Sales Order'!A:D,4,FALSE),"")</f>
        <v>39237</v>
      </c>
      <c r="M833" s="10">
        <f>IFERROR(VLOOKUP(A833,'[1]Sales Order'!A:F,6,FALSE),"")</f>
        <v>39243</v>
      </c>
      <c r="N833" t="str">
        <f>IFERROR(VLOOKUP(VLOOKUP(A833,'[1]Sales Order'!A:G,7,FALSE),[1]Shipper!A:B,2,FALSE),"Not Specified")</f>
        <v>Shipper ETYNR</v>
      </c>
      <c r="O833" t="str">
        <f>IFERROR(VLOOKUP(A833,'[1]Sales Order'!A:I,9,FALSE),"Not Specified")</f>
        <v>Ship to 4-B</v>
      </c>
      <c r="P833" t="str">
        <f>IFERROR(VLOOKUP(A833,'[1]Sales Order'!A:N,14,FALSE),"Not Specified")</f>
        <v>UK</v>
      </c>
      <c r="Q833" t="str">
        <f>VLOOKUP(VLOOKUP(B833,[1]Product!A:C,3,FALSE),[1]Supplier!A:B,2,FALSE)</f>
        <v>Supplier FNUXM</v>
      </c>
      <c r="R833" t="str">
        <f>VLOOKUP(VLOOKUP(B833,[1]Product!A:C,3,FALSE),[1]Supplier!A:I,9,FALSE)</f>
        <v>Netherlands</v>
      </c>
      <c r="S833" t="str">
        <f>IFERROR(IF(VLOOKUP(A833,'[1]Sales Order'!A:H,8,FALSE)&gt;100,"High Freight","Low Freight"),"Not Specified")</f>
        <v>Low Freight</v>
      </c>
      <c r="T833">
        <f t="shared" si="25"/>
        <v>237.5</v>
      </c>
    </row>
    <row r="834" spans="1:20">
      <c r="A834" s="1">
        <v>10558</v>
      </c>
      <c r="B834" s="2">
        <v>51</v>
      </c>
      <c r="C834" s="2">
        <v>53</v>
      </c>
      <c r="D834" s="2">
        <v>20</v>
      </c>
      <c r="E834" s="3">
        <v>0</v>
      </c>
      <c r="F834" s="2" t="str">
        <f>IFERROR(VLOOKUP(VLOOKUP(A834,'[1]Sales Order'!A:B,2,FALSE),[1]Customer!A:C,3,FALSE),"Not Specified")</f>
        <v>Arndt, Torsten</v>
      </c>
      <c r="G834" s="2" t="str">
        <f t="shared" si="24"/>
        <v>Arndt Torsten</v>
      </c>
      <c r="H834" s="8" t="str">
        <f>IFERROR(VLOOKUP(VLOOKUP(A834,'[1]Sales Order'!A:C,3,FALSE),[1]Employee!A:E,5,FALSE)&amp;" "&amp;VLOOKUP(VLOOKUP(A834,'[1]Sales Order'!A:C,3,FALSE),[1]Employee!A:C,3,FALSE)&amp;" "&amp;VLOOKUP(VLOOKUP(A834,'[1]Sales Order'!A:C,3,FALSE),[1]Employee!A:B,2,FALSE),"Not Specified")</f>
        <v>Ms. Sara Davis</v>
      </c>
      <c r="I834" t="str">
        <f>IFERROR(VLOOKUP(VLOOKUP(A834,'[1]Sales Order'!A:C,3,FALSE),[1]Employee!A:J,10,FALSE),"Not Specified")</f>
        <v>WA</v>
      </c>
      <c r="J834" t="str">
        <f>VLOOKUP(B834,[1]Product!A:B,2,FALSE)</f>
        <v>Product APITJ</v>
      </c>
      <c r="K834" t="str">
        <f>VLOOKUP(VLOOKUP(B834,[1]Product!A:D,4,FALSE),[1]Category!A:B,2,FALSE)</f>
        <v>Produce</v>
      </c>
      <c r="L834" s="10">
        <f>IFERROR(VLOOKUP(A834,'[1]Sales Order'!A:D,4,FALSE),"")</f>
        <v>39237</v>
      </c>
      <c r="M834" s="10">
        <f>IFERROR(VLOOKUP(A834,'[1]Sales Order'!A:F,6,FALSE),"")</f>
        <v>39243</v>
      </c>
      <c r="N834" t="str">
        <f>IFERROR(VLOOKUP(VLOOKUP(A834,'[1]Sales Order'!A:G,7,FALSE),[1]Shipper!A:B,2,FALSE),"Not Specified")</f>
        <v>Shipper ETYNR</v>
      </c>
      <c r="O834" t="str">
        <f>IFERROR(VLOOKUP(A834,'[1]Sales Order'!A:I,9,FALSE),"Not Specified")</f>
        <v>Ship to 4-B</v>
      </c>
      <c r="P834" t="str">
        <f>IFERROR(VLOOKUP(A834,'[1]Sales Order'!A:N,14,FALSE),"Not Specified")</f>
        <v>UK</v>
      </c>
      <c r="Q834" t="str">
        <f>VLOOKUP(VLOOKUP(B834,[1]Product!A:C,3,FALSE),[1]Supplier!A:B,2,FALSE)</f>
        <v>Supplier JNNES</v>
      </c>
      <c r="R834" t="str">
        <f>VLOOKUP(VLOOKUP(B834,[1]Product!A:C,3,FALSE),[1]Supplier!A:I,9,FALSE)</f>
        <v>Australia</v>
      </c>
      <c r="S834" t="str">
        <f>IFERROR(IF(VLOOKUP(A834,'[1]Sales Order'!A:H,8,FALSE)&gt;100,"High Freight","Low Freight"),"Not Specified")</f>
        <v>Low Freight</v>
      </c>
      <c r="T834">
        <f t="shared" si="25"/>
        <v>1060</v>
      </c>
    </row>
    <row r="835" spans="1:20">
      <c r="A835" s="1">
        <v>10558</v>
      </c>
      <c r="B835" s="2">
        <v>52</v>
      </c>
      <c r="C835" s="2">
        <v>7</v>
      </c>
      <c r="D835" s="2">
        <v>30</v>
      </c>
      <c r="E835" s="3">
        <v>0</v>
      </c>
      <c r="F835" s="2" t="str">
        <f>IFERROR(VLOOKUP(VLOOKUP(A835,'[1]Sales Order'!A:B,2,FALSE),[1]Customer!A:C,3,FALSE),"Not Specified")</f>
        <v>Arndt, Torsten</v>
      </c>
      <c r="G835" s="2" t="str">
        <f t="shared" ref="G835:G898" si="26">SUBSTITUTE(F835,",","",1)</f>
        <v>Arndt Torsten</v>
      </c>
      <c r="H835" s="8" t="str">
        <f>IFERROR(VLOOKUP(VLOOKUP(A835,'[1]Sales Order'!A:C,3,FALSE),[1]Employee!A:E,5,FALSE)&amp;" "&amp;VLOOKUP(VLOOKUP(A835,'[1]Sales Order'!A:C,3,FALSE),[1]Employee!A:C,3,FALSE)&amp;" "&amp;VLOOKUP(VLOOKUP(A835,'[1]Sales Order'!A:C,3,FALSE),[1]Employee!A:B,2,FALSE),"Not Specified")</f>
        <v>Ms. Sara Davis</v>
      </c>
      <c r="I835" t="str">
        <f>IFERROR(VLOOKUP(VLOOKUP(A835,'[1]Sales Order'!A:C,3,FALSE),[1]Employee!A:J,10,FALSE),"Not Specified")</f>
        <v>WA</v>
      </c>
      <c r="J835" t="str">
        <f>VLOOKUP(B835,[1]Product!A:B,2,FALSE)</f>
        <v>Product QSRXF</v>
      </c>
      <c r="K835" t="str">
        <f>VLOOKUP(VLOOKUP(B835,[1]Product!A:D,4,FALSE),[1]Category!A:B,2,FALSE)</f>
        <v>Grains/Cereals</v>
      </c>
      <c r="L835" s="10">
        <f>IFERROR(VLOOKUP(A835,'[1]Sales Order'!A:D,4,FALSE),"")</f>
        <v>39237</v>
      </c>
      <c r="M835" s="10">
        <f>IFERROR(VLOOKUP(A835,'[1]Sales Order'!A:F,6,FALSE),"")</f>
        <v>39243</v>
      </c>
      <c r="N835" t="str">
        <f>IFERROR(VLOOKUP(VLOOKUP(A835,'[1]Sales Order'!A:G,7,FALSE),[1]Shipper!A:B,2,FALSE),"Not Specified")</f>
        <v>Shipper ETYNR</v>
      </c>
      <c r="O835" t="str">
        <f>IFERROR(VLOOKUP(A835,'[1]Sales Order'!A:I,9,FALSE),"Not Specified")</f>
        <v>Ship to 4-B</v>
      </c>
      <c r="P835" t="str">
        <f>IFERROR(VLOOKUP(A835,'[1]Sales Order'!A:N,14,FALSE),"Not Specified")</f>
        <v>UK</v>
      </c>
      <c r="Q835" t="str">
        <f>VLOOKUP(VLOOKUP(B835,[1]Product!A:C,3,FALSE),[1]Supplier!A:B,2,FALSE)</f>
        <v>Supplier JNNES</v>
      </c>
      <c r="R835" t="str">
        <f>VLOOKUP(VLOOKUP(B835,[1]Product!A:C,3,FALSE),[1]Supplier!A:I,9,FALSE)</f>
        <v>Australia</v>
      </c>
      <c r="S835" t="str">
        <f>IFERROR(IF(VLOOKUP(A835,'[1]Sales Order'!A:H,8,FALSE)&gt;100,"High Freight","Low Freight"),"Not Specified")</f>
        <v>Low Freight</v>
      </c>
      <c r="T835">
        <f t="shared" ref="T835:T898" si="27">C835*D835*(1-E835)</f>
        <v>210</v>
      </c>
    </row>
    <row r="836" spans="1:20">
      <c r="A836" s="1">
        <v>10558</v>
      </c>
      <c r="B836" s="2">
        <v>53</v>
      </c>
      <c r="C836" s="2">
        <v>32.799999999999997</v>
      </c>
      <c r="D836" s="2">
        <v>18</v>
      </c>
      <c r="E836" s="3">
        <v>0</v>
      </c>
      <c r="F836" s="2" t="str">
        <f>IFERROR(VLOOKUP(VLOOKUP(A836,'[1]Sales Order'!A:B,2,FALSE),[1]Customer!A:C,3,FALSE),"Not Specified")</f>
        <v>Arndt, Torsten</v>
      </c>
      <c r="G836" s="2" t="str">
        <f t="shared" si="26"/>
        <v>Arndt Torsten</v>
      </c>
      <c r="H836" s="8" t="str">
        <f>IFERROR(VLOOKUP(VLOOKUP(A836,'[1]Sales Order'!A:C,3,FALSE),[1]Employee!A:E,5,FALSE)&amp;" "&amp;VLOOKUP(VLOOKUP(A836,'[1]Sales Order'!A:C,3,FALSE),[1]Employee!A:C,3,FALSE)&amp;" "&amp;VLOOKUP(VLOOKUP(A836,'[1]Sales Order'!A:C,3,FALSE),[1]Employee!A:B,2,FALSE),"Not Specified")</f>
        <v>Ms. Sara Davis</v>
      </c>
      <c r="I836" t="str">
        <f>IFERROR(VLOOKUP(VLOOKUP(A836,'[1]Sales Order'!A:C,3,FALSE),[1]Employee!A:J,10,FALSE),"Not Specified")</f>
        <v>WA</v>
      </c>
      <c r="J836" t="str">
        <f>VLOOKUP(B836,[1]Product!A:B,2,FALSE)</f>
        <v>Product BKGEA</v>
      </c>
      <c r="K836" t="str">
        <f>VLOOKUP(VLOOKUP(B836,[1]Product!A:D,4,FALSE),[1]Category!A:B,2,FALSE)</f>
        <v>Meat/Poultry</v>
      </c>
      <c r="L836" s="10">
        <f>IFERROR(VLOOKUP(A836,'[1]Sales Order'!A:D,4,FALSE),"")</f>
        <v>39237</v>
      </c>
      <c r="M836" s="10">
        <f>IFERROR(VLOOKUP(A836,'[1]Sales Order'!A:F,6,FALSE),"")</f>
        <v>39243</v>
      </c>
      <c r="N836" t="str">
        <f>IFERROR(VLOOKUP(VLOOKUP(A836,'[1]Sales Order'!A:G,7,FALSE),[1]Shipper!A:B,2,FALSE),"Not Specified")</f>
        <v>Shipper ETYNR</v>
      </c>
      <c r="O836" t="str">
        <f>IFERROR(VLOOKUP(A836,'[1]Sales Order'!A:I,9,FALSE),"Not Specified")</f>
        <v>Ship to 4-B</v>
      </c>
      <c r="P836" t="str">
        <f>IFERROR(VLOOKUP(A836,'[1]Sales Order'!A:N,14,FALSE),"Not Specified")</f>
        <v>UK</v>
      </c>
      <c r="Q836" t="str">
        <f>VLOOKUP(VLOOKUP(B836,[1]Product!A:C,3,FALSE),[1]Supplier!A:B,2,FALSE)</f>
        <v>Supplier JNNES</v>
      </c>
      <c r="R836" t="str">
        <f>VLOOKUP(VLOOKUP(B836,[1]Product!A:C,3,FALSE),[1]Supplier!A:I,9,FALSE)</f>
        <v>Australia</v>
      </c>
      <c r="S836" t="str">
        <f>IFERROR(IF(VLOOKUP(A836,'[1]Sales Order'!A:H,8,FALSE)&gt;100,"High Freight","Low Freight"),"Not Specified")</f>
        <v>Low Freight</v>
      </c>
      <c r="T836">
        <f t="shared" si="27"/>
        <v>590.4</v>
      </c>
    </row>
    <row r="837" spans="1:20">
      <c r="A837" s="1">
        <v>10558</v>
      </c>
      <c r="B837" s="2">
        <v>73</v>
      </c>
      <c r="C837" s="2">
        <v>15</v>
      </c>
      <c r="D837" s="2">
        <v>3</v>
      </c>
      <c r="E837" s="3">
        <v>0</v>
      </c>
      <c r="F837" s="2" t="str">
        <f>IFERROR(VLOOKUP(VLOOKUP(A837,'[1]Sales Order'!A:B,2,FALSE),[1]Customer!A:C,3,FALSE),"Not Specified")</f>
        <v>Arndt, Torsten</v>
      </c>
      <c r="G837" s="2" t="str">
        <f t="shared" si="26"/>
        <v>Arndt Torsten</v>
      </c>
      <c r="H837" s="8" t="str">
        <f>IFERROR(VLOOKUP(VLOOKUP(A837,'[1]Sales Order'!A:C,3,FALSE),[1]Employee!A:E,5,FALSE)&amp;" "&amp;VLOOKUP(VLOOKUP(A837,'[1]Sales Order'!A:C,3,FALSE),[1]Employee!A:C,3,FALSE)&amp;" "&amp;VLOOKUP(VLOOKUP(A837,'[1]Sales Order'!A:C,3,FALSE),[1]Employee!A:B,2,FALSE),"Not Specified")</f>
        <v>Ms. Sara Davis</v>
      </c>
      <c r="I837" t="str">
        <f>IFERROR(VLOOKUP(VLOOKUP(A837,'[1]Sales Order'!A:C,3,FALSE),[1]Employee!A:J,10,FALSE),"Not Specified")</f>
        <v>WA</v>
      </c>
      <c r="J837" t="str">
        <f>VLOOKUP(B837,[1]Product!A:B,2,FALSE)</f>
        <v>Product WEUJZ</v>
      </c>
      <c r="K837" t="str">
        <f>VLOOKUP(VLOOKUP(B837,[1]Product!A:D,4,FALSE),[1]Category!A:B,2,FALSE)</f>
        <v>Seafood</v>
      </c>
      <c r="L837" s="10">
        <f>IFERROR(VLOOKUP(A837,'[1]Sales Order'!A:D,4,FALSE),"")</f>
        <v>39237</v>
      </c>
      <c r="M837" s="10">
        <f>IFERROR(VLOOKUP(A837,'[1]Sales Order'!A:F,6,FALSE),"")</f>
        <v>39243</v>
      </c>
      <c r="N837" t="str">
        <f>IFERROR(VLOOKUP(VLOOKUP(A837,'[1]Sales Order'!A:G,7,FALSE),[1]Shipper!A:B,2,FALSE),"Not Specified")</f>
        <v>Shipper ETYNR</v>
      </c>
      <c r="O837" t="str">
        <f>IFERROR(VLOOKUP(A837,'[1]Sales Order'!A:I,9,FALSE),"Not Specified")</f>
        <v>Ship to 4-B</v>
      </c>
      <c r="P837" t="str">
        <f>IFERROR(VLOOKUP(A837,'[1]Sales Order'!A:N,14,FALSE),"Not Specified")</f>
        <v>UK</v>
      </c>
      <c r="Q837" t="str">
        <f>VLOOKUP(VLOOKUP(B837,[1]Product!A:C,3,FALSE),[1]Supplier!A:B,2,FALSE)</f>
        <v>Supplier QZGUF</v>
      </c>
      <c r="R837" t="str">
        <f>VLOOKUP(VLOOKUP(B837,[1]Product!A:C,3,FALSE),[1]Supplier!A:I,9,FALSE)</f>
        <v>Sweden</v>
      </c>
      <c r="S837" t="str">
        <f>IFERROR(IF(VLOOKUP(A837,'[1]Sales Order'!A:H,8,FALSE)&gt;100,"High Freight","Low Freight"),"Not Specified")</f>
        <v>Low Freight</v>
      </c>
      <c r="T837">
        <f t="shared" si="27"/>
        <v>45</v>
      </c>
    </row>
    <row r="838" spans="1:20">
      <c r="A838" s="1">
        <v>10559</v>
      </c>
      <c r="B838" s="2">
        <v>41</v>
      </c>
      <c r="C838" s="2">
        <v>9.65</v>
      </c>
      <c r="D838" s="2">
        <v>12</v>
      </c>
      <c r="E838" s="3">
        <v>0.05</v>
      </c>
      <c r="F838" s="2" t="str">
        <f>IFERROR(VLOOKUP(VLOOKUP(A838,'[1]Sales Order'!A:B,2,FALSE),[1]Customer!A:C,3,FALSE),"Not Specified")</f>
        <v>Bansal, Dushyant</v>
      </c>
      <c r="G838" s="2" t="str">
        <f t="shared" si="26"/>
        <v>Bansal Dushyant</v>
      </c>
      <c r="H838" s="8" t="str">
        <f>IFERROR(VLOOKUP(VLOOKUP(A838,'[1]Sales Order'!A:C,3,FALSE),[1]Employee!A:E,5,FALSE)&amp;" "&amp;VLOOKUP(VLOOKUP(A838,'[1]Sales Order'!A:C,3,FALSE),[1]Employee!A:C,3,FALSE)&amp;" "&amp;VLOOKUP(VLOOKUP(A838,'[1]Sales Order'!A:C,3,FALSE),[1]Employee!A:B,2,FALSE),"Not Specified")</f>
        <v>Mr. Paul Suurs</v>
      </c>
      <c r="I838">
        <f>IFERROR(VLOOKUP(VLOOKUP(A838,'[1]Sales Order'!A:C,3,FALSE),[1]Employee!A:J,10,FALSE),"Not Specified")</f>
        <v>0</v>
      </c>
      <c r="J838" t="str">
        <f>VLOOKUP(B838,[1]Product!A:B,2,FALSE)</f>
        <v>Product TTEEX</v>
      </c>
      <c r="K838" t="str">
        <f>VLOOKUP(VLOOKUP(B838,[1]Product!A:D,4,FALSE),[1]Category!A:B,2,FALSE)</f>
        <v>Seafood</v>
      </c>
      <c r="L838" s="10">
        <f>IFERROR(VLOOKUP(A838,'[1]Sales Order'!A:D,4,FALSE),"")</f>
        <v>39238</v>
      </c>
      <c r="M838" s="10">
        <f>IFERROR(VLOOKUP(A838,'[1]Sales Order'!A:F,6,FALSE),"")</f>
        <v>39246</v>
      </c>
      <c r="N838" t="str">
        <f>IFERROR(VLOOKUP(VLOOKUP(A838,'[1]Sales Order'!A:G,7,FALSE),[1]Shipper!A:B,2,FALSE),"Not Specified")</f>
        <v>Shipper GVSUA</v>
      </c>
      <c r="O838" t="str">
        <f>IFERROR(VLOOKUP(A838,'[1]Sales Order'!A:I,9,FALSE),"Not Specified")</f>
        <v>Ship to 7-B</v>
      </c>
      <c r="P838" t="str">
        <f>IFERROR(VLOOKUP(A838,'[1]Sales Order'!A:N,14,FALSE),"Not Specified")</f>
        <v>France</v>
      </c>
      <c r="Q838" t="str">
        <f>VLOOKUP(VLOOKUP(B838,[1]Product!A:C,3,FALSE),[1]Supplier!A:B,2,FALSE)</f>
        <v>Supplier JDNUG</v>
      </c>
      <c r="R838" t="str">
        <f>VLOOKUP(VLOOKUP(B838,[1]Product!A:C,3,FALSE),[1]Supplier!A:I,9,FALSE)</f>
        <v>USA</v>
      </c>
      <c r="S838" t="str">
        <f>IFERROR(IF(VLOOKUP(A838,'[1]Sales Order'!A:H,8,FALSE)&gt;100,"High Freight","Low Freight"),"Not Specified")</f>
        <v>Low Freight</v>
      </c>
      <c r="T838">
        <f t="shared" si="27"/>
        <v>110.01</v>
      </c>
    </row>
    <row r="839" spans="1:20">
      <c r="A839" s="1">
        <v>10559</v>
      </c>
      <c r="B839" s="2">
        <v>55</v>
      </c>
      <c r="C839" s="2">
        <v>24</v>
      </c>
      <c r="D839" s="2">
        <v>18</v>
      </c>
      <c r="E839" s="3">
        <v>0.05</v>
      </c>
      <c r="F839" s="2" t="str">
        <f>IFERROR(VLOOKUP(VLOOKUP(A839,'[1]Sales Order'!A:B,2,FALSE),[1]Customer!A:C,3,FALSE),"Not Specified")</f>
        <v>Bansal, Dushyant</v>
      </c>
      <c r="G839" s="2" t="str">
        <f t="shared" si="26"/>
        <v>Bansal Dushyant</v>
      </c>
      <c r="H839" s="8" t="str">
        <f>IFERROR(VLOOKUP(VLOOKUP(A839,'[1]Sales Order'!A:C,3,FALSE),[1]Employee!A:E,5,FALSE)&amp;" "&amp;VLOOKUP(VLOOKUP(A839,'[1]Sales Order'!A:C,3,FALSE),[1]Employee!A:C,3,FALSE)&amp;" "&amp;VLOOKUP(VLOOKUP(A839,'[1]Sales Order'!A:C,3,FALSE),[1]Employee!A:B,2,FALSE),"Not Specified")</f>
        <v>Mr. Paul Suurs</v>
      </c>
      <c r="I839">
        <f>IFERROR(VLOOKUP(VLOOKUP(A839,'[1]Sales Order'!A:C,3,FALSE),[1]Employee!A:J,10,FALSE),"Not Specified")</f>
        <v>0</v>
      </c>
      <c r="J839" t="str">
        <f>VLOOKUP(B839,[1]Product!A:B,2,FALSE)</f>
        <v>Product YYWRT</v>
      </c>
      <c r="K839" t="str">
        <f>VLOOKUP(VLOOKUP(B839,[1]Product!A:D,4,FALSE),[1]Category!A:B,2,FALSE)</f>
        <v>Meat/Poultry</v>
      </c>
      <c r="L839" s="10">
        <f>IFERROR(VLOOKUP(A839,'[1]Sales Order'!A:D,4,FALSE),"")</f>
        <v>39238</v>
      </c>
      <c r="M839" s="10">
        <f>IFERROR(VLOOKUP(A839,'[1]Sales Order'!A:F,6,FALSE),"")</f>
        <v>39246</v>
      </c>
      <c r="N839" t="str">
        <f>IFERROR(VLOOKUP(VLOOKUP(A839,'[1]Sales Order'!A:G,7,FALSE),[1]Shipper!A:B,2,FALSE),"Not Specified")</f>
        <v>Shipper GVSUA</v>
      </c>
      <c r="O839" t="str">
        <f>IFERROR(VLOOKUP(A839,'[1]Sales Order'!A:I,9,FALSE),"Not Specified")</f>
        <v>Ship to 7-B</v>
      </c>
      <c r="P839" t="str">
        <f>IFERROR(VLOOKUP(A839,'[1]Sales Order'!A:N,14,FALSE),"Not Specified")</f>
        <v>France</v>
      </c>
      <c r="Q839" t="str">
        <f>VLOOKUP(VLOOKUP(B839,[1]Product!A:C,3,FALSE),[1]Supplier!A:B,2,FALSE)</f>
        <v>Supplier ERVYZ</v>
      </c>
      <c r="R839" t="str">
        <f>VLOOKUP(VLOOKUP(B839,[1]Product!A:C,3,FALSE),[1]Supplier!A:I,9,FALSE)</f>
        <v>Canada</v>
      </c>
      <c r="S839" t="str">
        <f>IFERROR(IF(VLOOKUP(A839,'[1]Sales Order'!A:H,8,FALSE)&gt;100,"High Freight","Low Freight"),"Not Specified")</f>
        <v>Low Freight</v>
      </c>
      <c r="T839">
        <f t="shared" si="27"/>
        <v>410.4</v>
      </c>
    </row>
    <row r="840" spans="1:20">
      <c r="A840" s="1">
        <v>10560</v>
      </c>
      <c r="B840" s="2">
        <v>30</v>
      </c>
      <c r="C840" s="2">
        <v>25.89</v>
      </c>
      <c r="D840" s="2">
        <v>20</v>
      </c>
      <c r="E840" s="3">
        <v>0</v>
      </c>
      <c r="F840" s="2" t="str">
        <f>IFERROR(VLOOKUP(VLOOKUP(A840,'[1]Sales Order'!A:B,2,FALSE),[1]Customer!A:C,3,FALSE),"Not Specified")</f>
        <v>Carlson, Jason</v>
      </c>
      <c r="G840" s="2" t="str">
        <f t="shared" si="26"/>
        <v>Carlson Jason</v>
      </c>
      <c r="H840" s="8" t="str">
        <f>IFERROR(VLOOKUP(VLOOKUP(A840,'[1]Sales Order'!A:C,3,FALSE),[1]Employee!A:E,5,FALSE)&amp;" "&amp;VLOOKUP(VLOOKUP(A840,'[1]Sales Order'!A:C,3,FALSE),[1]Employee!A:C,3,FALSE)&amp;" "&amp;VLOOKUP(VLOOKUP(A840,'[1]Sales Order'!A:C,3,FALSE),[1]Employee!A:B,2,FALSE),"Not Specified")</f>
        <v>Ms. Maria Cameron</v>
      </c>
      <c r="I840" t="str">
        <f>IFERROR(VLOOKUP(VLOOKUP(A840,'[1]Sales Order'!A:C,3,FALSE),[1]Employee!A:J,10,FALSE),"Not Specified")</f>
        <v>WA</v>
      </c>
      <c r="J840" t="str">
        <f>VLOOKUP(B840,[1]Product!A:B,2,FALSE)</f>
        <v>Product LYERX</v>
      </c>
      <c r="K840" t="str">
        <f>VLOOKUP(VLOOKUP(B840,[1]Product!A:D,4,FALSE),[1]Category!A:B,2,FALSE)</f>
        <v>Seafood</v>
      </c>
      <c r="L840" s="10">
        <f>IFERROR(VLOOKUP(A840,'[1]Sales Order'!A:D,4,FALSE),"")</f>
        <v>39239</v>
      </c>
      <c r="M840" s="10">
        <f>IFERROR(VLOOKUP(A840,'[1]Sales Order'!A:F,6,FALSE),"")</f>
        <v>39242</v>
      </c>
      <c r="N840" t="str">
        <f>IFERROR(VLOOKUP(VLOOKUP(A840,'[1]Sales Order'!A:G,7,FALSE),[1]Shipper!A:B,2,FALSE),"Not Specified")</f>
        <v>Shipper GVSUA</v>
      </c>
      <c r="O840" t="str">
        <f>IFERROR(VLOOKUP(A840,'[1]Sales Order'!A:I,9,FALSE),"Not Specified")</f>
        <v>Destination QOCBL</v>
      </c>
      <c r="P840" t="str">
        <f>IFERROR(VLOOKUP(A840,'[1]Sales Order'!A:N,14,FALSE),"Not Specified")</f>
        <v>Germany</v>
      </c>
      <c r="Q840" t="str">
        <f>VLOOKUP(VLOOKUP(B840,[1]Product!A:C,3,FALSE),[1]Supplier!A:B,2,FALSE)</f>
        <v>Supplier TEGSC</v>
      </c>
      <c r="R840" t="str">
        <f>VLOOKUP(VLOOKUP(B840,[1]Product!A:C,3,FALSE),[1]Supplier!A:I,9,FALSE)</f>
        <v>Germany</v>
      </c>
      <c r="S840" t="str">
        <f>IFERROR(IF(VLOOKUP(A840,'[1]Sales Order'!A:H,8,FALSE)&gt;100,"High Freight","Low Freight"),"Not Specified")</f>
        <v>Low Freight</v>
      </c>
      <c r="T840">
        <f t="shared" si="27"/>
        <v>517.79999999999995</v>
      </c>
    </row>
    <row r="841" spans="1:20">
      <c r="A841" s="1">
        <v>10560</v>
      </c>
      <c r="B841" s="2">
        <v>62</v>
      </c>
      <c r="C841" s="2">
        <v>49.3</v>
      </c>
      <c r="D841" s="2">
        <v>15</v>
      </c>
      <c r="E841" s="3">
        <v>0.25</v>
      </c>
      <c r="F841" s="2" t="str">
        <f>IFERROR(VLOOKUP(VLOOKUP(A841,'[1]Sales Order'!A:B,2,FALSE),[1]Customer!A:C,3,FALSE),"Not Specified")</f>
        <v>Carlson, Jason</v>
      </c>
      <c r="G841" s="2" t="str">
        <f t="shared" si="26"/>
        <v>Carlson Jason</v>
      </c>
      <c r="H841" s="8" t="str">
        <f>IFERROR(VLOOKUP(VLOOKUP(A841,'[1]Sales Order'!A:C,3,FALSE),[1]Employee!A:E,5,FALSE)&amp;" "&amp;VLOOKUP(VLOOKUP(A841,'[1]Sales Order'!A:C,3,FALSE),[1]Employee!A:C,3,FALSE)&amp;" "&amp;VLOOKUP(VLOOKUP(A841,'[1]Sales Order'!A:C,3,FALSE),[1]Employee!A:B,2,FALSE),"Not Specified")</f>
        <v>Ms. Maria Cameron</v>
      </c>
      <c r="I841" t="str">
        <f>IFERROR(VLOOKUP(VLOOKUP(A841,'[1]Sales Order'!A:C,3,FALSE),[1]Employee!A:J,10,FALSE),"Not Specified")</f>
        <v>WA</v>
      </c>
      <c r="J841" t="str">
        <f>VLOOKUP(B841,[1]Product!A:B,2,FALSE)</f>
        <v>Product WUXYK</v>
      </c>
      <c r="K841" t="str">
        <f>VLOOKUP(VLOOKUP(B841,[1]Product!A:D,4,FALSE),[1]Category!A:B,2,FALSE)</f>
        <v>Confections</v>
      </c>
      <c r="L841" s="10">
        <f>IFERROR(VLOOKUP(A841,'[1]Sales Order'!A:D,4,FALSE),"")</f>
        <v>39239</v>
      </c>
      <c r="M841" s="10">
        <f>IFERROR(VLOOKUP(A841,'[1]Sales Order'!A:F,6,FALSE),"")</f>
        <v>39242</v>
      </c>
      <c r="N841" t="str">
        <f>IFERROR(VLOOKUP(VLOOKUP(A841,'[1]Sales Order'!A:G,7,FALSE),[1]Shipper!A:B,2,FALSE),"Not Specified")</f>
        <v>Shipper GVSUA</v>
      </c>
      <c r="O841" t="str">
        <f>IFERROR(VLOOKUP(A841,'[1]Sales Order'!A:I,9,FALSE),"Not Specified")</f>
        <v>Destination QOCBL</v>
      </c>
      <c r="P841" t="str">
        <f>IFERROR(VLOOKUP(A841,'[1]Sales Order'!A:N,14,FALSE),"Not Specified")</f>
        <v>Germany</v>
      </c>
      <c r="Q841" t="str">
        <f>VLOOKUP(VLOOKUP(B841,[1]Product!A:C,3,FALSE),[1]Supplier!A:B,2,FALSE)</f>
        <v>Supplier OGLRK</v>
      </c>
      <c r="R841" t="str">
        <f>VLOOKUP(VLOOKUP(B841,[1]Product!A:C,3,FALSE),[1]Supplier!A:I,9,FALSE)</f>
        <v>Canada</v>
      </c>
      <c r="S841" t="str">
        <f>IFERROR(IF(VLOOKUP(A841,'[1]Sales Order'!A:H,8,FALSE)&gt;100,"High Freight","Low Freight"),"Not Specified")</f>
        <v>Low Freight</v>
      </c>
      <c r="T841">
        <f t="shared" si="27"/>
        <v>554.625</v>
      </c>
    </row>
    <row r="842" spans="1:20">
      <c r="A842" s="1">
        <v>10561</v>
      </c>
      <c r="B842" s="2">
        <v>44</v>
      </c>
      <c r="C842" s="2">
        <v>19.45</v>
      </c>
      <c r="D842" s="2">
        <v>10</v>
      </c>
      <c r="E842" s="3">
        <v>0</v>
      </c>
      <c r="F842" s="2" t="str">
        <f>IFERROR(VLOOKUP(VLOOKUP(A842,'[1]Sales Order'!A:B,2,FALSE),[1]Customer!A:C,3,FALSE),"Not Specified")</f>
        <v>San Juan, Patricia</v>
      </c>
      <c r="G842" s="2" t="str">
        <f t="shared" si="26"/>
        <v>San Juan Patricia</v>
      </c>
      <c r="H842" s="8" t="str">
        <f>IFERROR(VLOOKUP(VLOOKUP(A842,'[1]Sales Order'!A:C,3,FALSE),[1]Employee!A:E,5,FALSE)&amp;" "&amp;VLOOKUP(VLOOKUP(A842,'[1]Sales Order'!A:C,3,FALSE),[1]Employee!A:C,3,FALSE)&amp;" "&amp;VLOOKUP(VLOOKUP(A842,'[1]Sales Order'!A:C,3,FALSE),[1]Employee!A:B,2,FALSE),"Not Specified")</f>
        <v>Dr. Don Funk</v>
      </c>
      <c r="I842" t="str">
        <f>IFERROR(VLOOKUP(VLOOKUP(A842,'[1]Sales Order'!A:C,3,FALSE),[1]Employee!A:J,10,FALSE),"Not Specified")</f>
        <v>WA</v>
      </c>
      <c r="J842" t="str">
        <f>VLOOKUP(B842,[1]Product!A:B,2,FALSE)</f>
        <v>Product VJIEO</v>
      </c>
      <c r="K842" t="str">
        <f>VLOOKUP(VLOOKUP(B842,[1]Product!A:D,4,FALSE),[1]Category!A:B,2,FALSE)</f>
        <v>Condiments</v>
      </c>
      <c r="L842" s="10">
        <f>IFERROR(VLOOKUP(A842,'[1]Sales Order'!A:D,4,FALSE),"")</f>
        <v>39239</v>
      </c>
      <c r="M842" s="10">
        <f>IFERROR(VLOOKUP(A842,'[1]Sales Order'!A:F,6,FALSE),"")</f>
        <v>39242</v>
      </c>
      <c r="N842" t="str">
        <f>IFERROR(VLOOKUP(VLOOKUP(A842,'[1]Sales Order'!A:G,7,FALSE),[1]Shipper!A:B,2,FALSE),"Not Specified")</f>
        <v>Shipper ETYNR</v>
      </c>
      <c r="O842" t="str">
        <f>IFERROR(VLOOKUP(A842,'[1]Sales Order'!A:I,9,FALSE),"Not Specified")</f>
        <v>Destination YCMPK</v>
      </c>
      <c r="P842" t="str">
        <f>IFERROR(VLOOKUP(A842,'[1]Sales Order'!A:N,14,FALSE),"Not Specified")</f>
        <v>Sweden</v>
      </c>
      <c r="Q842" t="str">
        <f>VLOOKUP(VLOOKUP(B842,[1]Product!A:C,3,FALSE),[1]Supplier!A:B,2,FALSE)</f>
        <v>Supplier CIYNM</v>
      </c>
      <c r="R842" t="str">
        <f>VLOOKUP(VLOOKUP(B842,[1]Product!A:C,3,FALSE),[1]Supplier!A:I,9,FALSE)</f>
        <v>Singapore</v>
      </c>
      <c r="S842" t="str">
        <f>IFERROR(IF(VLOOKUP(A842,'[1]Sales Order'!A:H,8,FALSE)&gt;100,"High Freight","Low Freight"),"Not Specified")</f>
        <v>High Freight</v>
      </c>
      <c r="T842">
        <f t="shared" si="27"/>
        <v>194.5</v>
      </c>
    </row>
    <row r="843" spans="1:20">
      <c r="A843" s="1">
        <v>10561</v>
      </c>
      <c r="B843" s="2">
        <v>51</v>
      </c>
      <c r="C843" s="2">
        <v>53</v>
      </c>
      <c r="D843" s="2">
        <v>50</v>
      </c>
      <c r="E843" s="3">
        <v>0</v>
      </c>
      <c r="F843" s="2" t="str">
        <f>IFERROR(VLOOKUP(VLOOKUP(A843,'[1]Sales Order'!A:B,2,FALSE),[1]Customer!A:C,3,FALSE),"Not Specified")</f>
        <v>San Juan, Patricia</v>
      </c>
      <c r="G843" s="2" t="str">
        <f t="shared" si="26"/>
        <v>San Juan Patricia</v>
      </c>
      <c r="H843" s="8" t="str">
        <f>IFERROR(VLOOKUP(VLOOKUP(A843,'[1]Sales Order'!A:C,3,FALSE),[1]Employee!A:E,5,FALSE)&amp;" "&amp;VLOOKUP(VLOOKUP(A843,'[1]Sales Order'!A:C,3,FALSE),[1]Employee!A:C,3,FALSE)&amp;" "&amp;VLOOKUP(VLOOKUP(A843,'[1]Sales Order'!A:C,3,FALSE),[1]Employee!A:B,2,FALSE),"Not Specified")</f>
        <v>Dr. Don Funk</v>
      </c>
      <c r="I843" t="str">
        <f>IFERROR(VLOOKUP(VLOOKUP(A843,'[1]Sales Order'!A:C,3,FALSE),[1]Employee!A:J,10,FALSE),"Not Specified")</f>
        <v>WA</v>
      </c>
      <c r="J843" t="str">
        <f>VLOOKUP(B843,[1]Product!A:B,2,FALSE)</f>
        <v>Product APITJ</v>
      </c>
      <c r="K843" t="str">
        <f>VLOOKUP(VLOOKUP(B843,[1]Product!A:D,4,FALSE),[1]Category!A:B,2,FALSE)</f>
        <v>Produce</v>
      </c>
      <c r="L843" s="10">
        <f>IFERROR(VLOOKUP(A843,'[1]Sales Order'!A:D,4,FALSE),"")</f>
        <v>39239</v>
      </c>
      <c r="M843" s="10">
        <f>IFERROR(VLOOKUP(A843,'[1]Sales Order'!A:F,6,FALSE),"")</f>
        <v>39242</v>
      </c>
      <c r="N843" t="str">
        <f>IFERROR(VLOOKUP(VLOOKUP(A843,'[1]Sales Order'!A:G,7,FALSE),[1]Shipper!A:B,2,FALSE),"Not Specified")</f>
        <v>Shipper ETYNR</v>
      </c>
      <c r="O843" t="str">
        <f>IFERROR(VLOOKUP(A843,'[1]Sales Order'!A:I,9,FALSE),"Not Specified")</f>
        <v>Destination YCMPK</v>
      </c>
      <c r="P843" t="str">
        <f>IFERROR(VLOOKUP(A843,'[1]Sales Order'!A:N,14,FALSE),"Not Specified")</f>
        <v>Sweden</v>
      </c>
      <c r="Q843" t="str">
        <f>VLOOKUP(VLOOKUP(B843,[1]Product!A:C,3,FALSE),[1]Supplier!A:B,2,FALSE)</f>
        <v>Supplier JNNES</v>
      </c>
      <c r="R843" t="str">
        <f>VLOOKUP(VLOOKUP(B843,[1]Product!A:C,3,FALSE),[1]Supplier!A:I,9,FALSE)</f>
        <v>Australia</v>
      </c>
      <c r="S843" t="str">
        <f>IFERROR(IF(VLOOKUP(A843,'[1]Sales Order'!A:H,8,FALSE)&gt;100,"High Freight","Low Freight"),"Not Specified")</f>
        <v>High Freight</v>
      </c>
      <c r="T843">
        <f t="shared" si="27"/>
        <v>2650</v>
      </c>
    </row>
    <row r="844" spans="1:20">
      <c r="A844" s="1">
        <v>10562</v>
      </c>
      <c r="B844" s="2">
        <v>33</v>
      </c>
      <c r="C844" s="2">
        <v>2.5</v>
      </c>
      <c r="D844" s="2">
        <v>20</v>
      </c>
      <c r="E844" s="3">
        <v>0.1</v>
      </c>
      <c r="F844" s="2" t="str">
        <f>IFERROR(VLOOKUP(VLOOKUP(A844,'[1]Sales Order'!A:B,2,FALSE),[1]Customer!A:C,3,FALSE),"Not Specified")</f>
        <v>Voss, Florian</v>
      </c>
      <c r="G844" s="2" t="str">
        <f t="shared" si="26"/>
        <v>Voss Florian</v>
      </c>
      <c r="H844" s="8" t="str">
        <f>IFERROR(VLOOKUP(VLOOKUP(A844,'[1]Sales Order'!A:C,3,FALSE),[1]Employee!A:E,5,FALSE)&amp;" "&amp;VLOOKUP(VLOOKUP(A844,'[1]Sales Order'!A:C,3,FALSE),[1]Employee!A:C,3,FALSE)&amp;" "&amp;VLOOKUP(VLOOKUP(A844,'[1]Sales Order'!A:C,3,FALSE),[1]Employee!A:B,2,FALSE),"Not Specified")</f>
        <v>Ms. Sara Davis</v>
      </c>
      <c r="I844" t="str">
        <f>IFERROR(VLOOKUP(VLOOKUP(A844,'[1]Sales Order'!A:C,3,FALSE),[1]Employee!A:J,10,FALSE),"Not Specified")</f>
        <v>WA</v>
      </c>
      <c r="J844" t="str">
        <f>VLOOKUP(B844,[1]Product!A:B,2,FALSE)</f>
        <v>Product ASTMN</v>
      </c>
      <c r="K844" t="str">
        <f>VLOOKUP(VLOOKUP(B844,[1]Product!A:D,4,FALSE),[1]Category!A:B,2,FALSE)</f>
        <v>Dairy Product</v>
      </c>
      <c r="L844" s="10">
        <f>IFERROR(VLOOKUP(A844,'[1]Sales Order'!A:D,4,FALSE),"")</f>
        <v>39242</v>
      </c>
      <c r="M844" s="10">
        <f>IFERROR(VLOOKUP(A844,'[1]Sales Order'!A:F,6,FALSE),"")</f>
        <v>39245</v>
      </c>
      <c r="N844" t="str">
        <f>IFERROR(VLOOKUP(VLOOKUP(A844,'[1]Sales Order'!A:G,7,FALSE),[1]Shipper!A:B,2,FALSE),"Not Specified")</f>
        <v>Shipper GVSUA</v>
      </c>
      <c r="O844" t="str">
        <f>IFERROR(VLOOKUP(A844,'[1]Sales Order'!A:I,9,FALSE),"Not Specified")</f>
        <v>Ship to 66-B</v>
      </c>
      <c r="P844" t="str">
        <f>IFERROR(VLOOKUP(A844,'[1]Sales Order'!A:N,14,FALSE),"Not Specified")</f>
        <v>Italy</v>
      </c>
      <c r="Q844" t="str">
        <f>VLOOKUP(VLOOKUP(B844,[1]Product!A:C,3,FALSE),[1]Supplier!A:B,2,FALSE)</f>
        <v>Supplier NZLIF</v>
      </c>
      <c r="R844" t="str">
        <f>VLOOKUP(VLOOKUP(B844,[1]Product!A:C,3,FALSE),[1]Supplier!A:I,9,FALSE)</f>
        <v>Norway</v>
      </c>
      <c r="S844" t="str">
        <f>IFERROR(IF(VLOOKUP(A844,'[1]Sales Order'!A:H,8,FALSE)&gt;100,"High Freight","Low Freight"),"Not Specified")</f>
        <v>Low Freight</v>
      </c>
      <c r="T844">
        <f t="shared" si="27"/>
        <v>45</v>
      </c>
    </row>
    <row r="845" spans="1:20">
      <c r="A845" s="1">
        <v>10562</v>
      </c>
      <c r="B845" s="2">
        <v>62</v>
      </c>
      <c r="C845" s="2">
        <v>49.3</v>
      </c>
      <c r="D845" s="2">
        <v>10</v>
      </c>
      <c r="E845" s="3">
        <v>0.1</v>
      </c>
      <c r="F845" s="2" t="str">
        <f>IFERROR(VLOOKUP(VLOOKUP(A845,'[1]Sales Order'!A:B,2,FALSE),[1]Customer!A:C,3,FALSE),"Not Specified")</f>
        <v>Voss, Florian</v>
      </c>
      <c r="G845" s="2" t="str">
        <f t="shared" si="26"/>
        <v>Voss Florian</v>
      </c>
      <c r="H845" s="8" t="str">
        <f>IFERROR(VLOOKUP(VLOOKUP(A845,'[1]Sales Order'!A:C,3,FALSE),[1]Employee!A:E,5,FALSE)&amp;" "&amp;VLOOKUP(VLOOKUP(A845,'[1]Sales Order'!A:C,3,FALSE),[1]Employee!A:C,3,FALSE)&amp;" "&amp;VLOOKUP(VLOOKUP(A845,'[1]Sales Order'!A:C,3,FALSE),[1]Employee!A:B,2,FALSE),"Not Specified")</f>
        <v>Ms. Sara Davis</v>
      </c>
      <c r="I845" t="str">
        <f>IFERROR(VLOOKUP(VLOOKUP(A845,'[1]Sales Order'!A:C,3,FALSE),[1]Employee!A:J,10,FALSE),"Not Specified")</f>
        <v>WA</v>
      </c>
      <c r="J845" t="str">
        <f>VLOOKUP(B845,[1]Product!A:B,2,FALSE)</f>
        <v>Product WUXYK</v>
      </c>
      <c r="K845" t="str">
        <f>VLOOKUP(VLOOKUP(B845,[1]Product!A:D,4,FALSE),[1]Category!A:B,2,FALSE)</f>
        <v>Confections</v>
      </c>
      <c r="L845" s="10">
        <f>IFERROR(VLOOKUP(A845,'[1]Sales Order'!A:D,4,FALSE),"")</f>
        <v>39242</v>
      </c>
      <c r="M845" s="10">
        <f>IFERROR(VLOOKUP(A845,'[1]Sales Order'!A:F,6,FALSE),"")</f>
        <v>39245</v>
      </c>
      <c r="N845" t="str">
        <f>IFERROR(VLOOKUP(VLOOKUP(A845,'[1]Sales Order'!A:G,7,FALSE),[1]Shipper!A:B,2,FALSE),"Not Specified")</f>
        <v>Shipper GVSUA</v>
      </c>
      <c r="O845" t="str">
        <f>IFERROR(VLOOKUP(A845,'[1]Sales Order'!A:I,9,FALSE),"Not Specified")</f>
        <v>Ship to 66-B</v>
      </c>
      <c r="P845" t="str">
        <f>IFERROR(VLOOKUP(A845,'[1]Sales Order'!A:N,14,FALSE),"Not Specified")</f>
        <v>Italy</v>
      </c>
      <c r="Q845" t="str">
        <f>VLOOKUP(VLOOKUP(B845,[1]Product!A:C,3,FALSE),[1]Supplier!A:B,2,FALSE)</f>
        <v>Supplier OGLRK</v>
      </c>
      <c r="R845" t="str">
        <f>VLOOKUP(VLOOKUP(B845,[1]Product!A:C,3,FALSE),[1]Supplier!A:I,9,FALSE)</f>
        <v>Canada</v>
      </c>
      <c r="S845" t="str">
        <f>IFERROR(IF(VLOOKUP(A845,'[1]Sales Order'!A:H,8,FALSE)&gt;100,"High Freight","Low Freight"),"Not Specified")</f>
        <v>Low Freight</v>
      </c>
      <c r="T845">
        <f t="shared" si="27"/>
        <v>443.7</v>
      </c>
    </row>
    <row r="846" spans="1:20">
      <c r="A846" s="1">
        <v>10563</v>
      </c>
      <c r="B846" s="2">
        <v>36</v>
      </c>
      <c r="C846" s="2">
        <v>19</v>
      </c>
      <c r="D846" s="2">
        <v>25</v>
      </c>
      <c r="E846" s="3">
        <v>0</v>
      </c>
      <c r="F846" s="2" t="str">
        <f>IFERROR(VLOOKUP(VLOOKUP(A846,'[1]Sales Order'!A:B,2,FALSE),[1]Customer!A:C,3,FALSE),"Not Specified")</f>
        <v>Garden, Euan</v>
      </c>
      <c r="G846" s="2" t="str">
        <f t="shared" si="26"/>
        <v>Garden Euan</v>
      </c>
      <c r="H846" s="8" t="str">
        <f>IFERROR(VLOOKUP(VLOOKUP(A846,'[1]Sales Order'!A:C,3,FALSE),[1]Employee!A:E,5,FALSE)&amp;" "&amp;VLOOKUP(VLOOKUP(A846,'[1]Sales Order'!A:C,3,FALSE),[1]Employee!A:C,3,FALSE)&amp;" "&amp;VLOOKUP(VLOOKUP(A846,'[1]Sales Order'!A:C,3,FALSE),[1]Employee!A:B,2,FALSE),"Not Specified")</f>
        <v>Dr. Don Funk</v>
      </c>
      <c r="I846" t="str">
        <f>IFERROR(VLOOKUP(VLOOKUP(A846,'[1]Sales Order'!A:C,3,FALSE),[1]Employee!A:J,10,FALSE),"Not Specified")</f>
        <v>WA</v>
      </c>
      <c r="J846" t="str">
        <f>VLOOKUP(B846,[1]Product!A:B,2,FALSE)</f>
        <v>Product GMKIJ</v>
      </c>
      <c r="K846" t="str">
        <f>VLOOKUP(VLOOKUP(B846,[1]Product!A:D,4,FALSE),[1]Category!A:B,2,FALSE)</f>
        <v>Seafood</v>
      </c>
      <c r="L846" s="10">
        <f>IFERROR(VLOOKUP(A846,'[1]Sales Order'!A:D,4,FALSE),"")</f>
        <v>39243</v>
      </c>
      <c r="M846" s="10">
        <f>IFERROR(VLOOKUP(A846,'[1]Sales Order'!A:F,6,FALSE),"")</f>
        <v>39257</v>
      </c>
      <c r="N846" t="str">
        <f>IFERROR(VLOOKUP(VLOOKUP(A846,'[1]Sales Order'!A:G,7,FALSE),[1]Shipper!A:B,2,FALSE),"Not Specified")</f>
        <v>Shipper ETYNR</v>
      </c>
      <c r="O846" t="str">
        <f>IFERROR(VLOOKUP(A846,'[1]Sales Order'!A:I,9,FALSE),"Not Specified")</f>
        <v>Ship to 67-B</v>
      </c>
      <c r="P846" t="str">
        <f>IFERROR(VLOOKUP(A846,'[1]Sales Order'!A:N,14,FALSE),"Not Specified")</f>
        <v>Brazil</v>
      </c>
      <c r="Q846" t="str">
        <f>VLOOKUP(VLOOKUP(B846,[1]Product!A:C,3,FALSE),[1]Supplier!A:B,2,FALSE)</f>
        <v>Supplier QZGUF</v>
      </c>
      <c r="R846" t="str">
        <f>VLOOKUP(VLOOKUP(B846,[1]Product!A:C,3,FALSE),[1]Supplier!A:I,9,FALSE)</f>
        <v>Sweden</v>
      </c>
      <c r="S846" t="str">
        <f>IFERROR(IF(VLOOKUP(A846,'[1]Sales Order'!A:H,8,FALSE)&gt;100,"High Freight","Low Freight"),"Not Specified")</f>
        <v>Low Freight</v>
      </c>
      <c r="T846">
        <f t="shared" si="27"/>
        <v>475</v>
      </c>
    </row>
    <row r="847" spans="1:20">
      <c r="A847" s="1">
        <v>10563</v>
      </c>
      <c r="B847" s="2">
        <v>52</v>
      </c>
      <c r="C847" s="2">
        <v>7</v>
      </c>
      <c r="D847" s="2">
        <v>70</v>
      </c>
      <c r="E847" s="3">
        <v>0</v>
      </c>
      <c r="F847" s="2" t="str">
        <f>IFERROR(VLOOKUP(VLOOKUP(A847,'[1]Sales Order'!A:B,2,FALSE),[1]Customer!A:C,3,FALSE),"Not Specified")</f>
        <v>Garden, Euan</v>
      </c>
      <c r="G847" s="2" t="str">
        <f t="shared" si="26"/>
        <v>Garden Euan</v>
      </c>
      <c r="H847" s="8" t="str">
        <f>IFERROR(VLOOKUP(VLOOKUP(A847,'[1]Sales Order'!A:C,3,FALSE),[1]Employee!A:E,5,FALSE)&amp;" "&amp;VLOOKUP(VLOOKUP(A847,'[1]Sales Order'!A:C,3,FALSE),[1]Employee!A:C,3,FALSE)&amp;" "&amp;VLOOKUP(VLOOKUP(A847,'[1]Sales Order'!A:C,3,FALSE),[1]Employee!A:B,2,FALSE),"Not Specified")</f>
        <v>Dr. Don Funk</v>
      </c>
      <c r="I847" t="str">
        <f>IFERROR(VLOOKUP(VLOOKUP(A847,'[1]Sales Order'!A:C,3,FALSE),[1]Employee!A:J,10,FALSE),"Not Specified")</f>
        <v>WA</v>
      </c>
      <c r="J847" t="str">
        <f>VLOOKUP(B847,[1]Product!A:B,2,FALSE)</f>
        <v>Product QSRXF</v>
      </c>
      <c r="K847" t="str">
        <f>VLOOKUP(VLOOKUP(B847,[1]Product!A:D,4,FALSE),[1]Category!A:B,2,FALSE)</f>
        <v>Grains/Cereals</v>
      </c>
      <c r="L847" s="10">
        <f>IFERROR(VLOOKUP(A847,'[1]Sales Order'!A:D,4,FALSE),"")</f>
        <v>39243</v>
      </c>
      <c r="M847" s="10">
        <f>IFERROR(VLOOKUP(A847,'[1]Sales Order'!A:F,6,FALSE),"")</f>
        <v>39257</v>
      </c>
      <c r="N847" t="str">
        <f>IFERROR(VLOOKUP(VLOOKUP(A847,'[1]Sales Order'!A:G,7,FALSE),[1]Shipper!A:B,2,FALSE),"Not Specified")</f>
        <v>Shipper ETYNR</v>
      </c>
      <c r="O847" t="str">
        <f>IFERROR(VLOOKUP(A847,'[1]Sales Order'!A:I,9,FALSE),"Not Specified")</f>
        <v>Ship to 67-B</v>
      </c>
      <c r="P847" t="str">
        <f>IFERROR(VLOOKUP(A847,'[1]Sales Order'!A:N,14,FALSE),"Not Specified")</f>
        <v>Brazil</v>
      </c>
      <c r="Q847" t="str">
        <f>VLOOKUP(VLOOKUP(B847,[1]Product!A:C,3,FALSE),[1]Supplier!A:B,2,FALSE)</f>
        <v>Supplier JNNES</v>
      </c>
      <c r="R847" t="str">
        <f>VLOOKUP(VLOOKUP(B847,[1]Product!A:C,3,FALSE),[1]Supplier!A:I,9,FALSE)</f>
        <v>Australia</v>
      </c>
      <c r="S847" t="str">
        <f>IFERROR(IF(VLOOKUP(A847,'[1]Sales Order'!A:H,8,FALSE)&gt;100,"High Freight","Low Freight"),"Not Specified")</f>
        <v>Low Freight</v>
      </c>
      <c r="T847">
        <f t="shared" si="27"/>
        <v>490</v>
      </c>
    </row>
    <row r="848" spans="1:20">
      <c r="A848" s="1">
        <v>10564</v>
      </c>
      <c r="B848" s="2">
        <v>17</v>
      </c>
      <c r="C848" s="2">
        <v>39</v>
      </c>
      <c r="D848" s="2">
        <v>16</v>
      </c>
      <c r="E848" s="3">
        <v>0.05</v>
      </c>
      <c r="F848" s="2" t="str">
        <f>IFERROR(VLOOKUP(VLOOKUP(A848,'[1]Sales Order'!A:B,2,FALSE),[1]Customer!A:C,3,FALSE),"Not Specified")</f>
        <v>Moore, Michael</v>
      </c>
      <c r="G848" s="2" t="str">
        <f t="shared" si="26"/>
        <v>Moore Michael</v>
      </c>
      <c r="H848" s="8" t="str">
        <f>IFERROR(VLOOKUP(VLOOKUP(A848,'[1]Sales Order'!A:C,3,FALSE),[1]Employee!A:E,5,FALSE)&amp;" "&amp;VLOOKUP(VLOOKUP(A848,'[1]Sales Order'!A:C,3,FALSE),[1]Employee!A:C,3,FALSE)&amp;" "&amp;VLOOKUP(VLOOKUP(A848,'[1]Sales Order'!A:C,3,FALSE),[1]Employee!A:B,2,FALSE),"Not Specified")</f>
        <v>Mrs. Yael Peled</v>
      </c>
      <c r="I848" t="str">
        <f>IFERROR(VLOOKUP(VLOOKUP(A848,'[1]Sales Order'!A:C,3,FALSE),[1]Employee!A:J,10,FALSE),"Not Specified")</f>
        <v>WA</v>
      </c>
      <c r="J848" t="str">
        <f>VLOOKUP(B848,[1]Product!A:B,2,FALSE)</f>
        <v>Product BLCAX</v>
      </c>
      <c r="K848" t="str">
        <f>VLOOKUP(VLOOKUP(B848,[1]Product!A:D,4,FALSE),[1]Category!A:B,2,FALSE)</f>
        <v>Meat/Poultry</v>
      </c>
      <c r="L848" s="10">
        <f>IFERROR(VLOOKUP(A848,'[1]Sales Order'!A:D,4,FALSE),"")</f>
        <v>39243</v>
      </c>
      <c r="M848" s="10">
        <f>IFERROR(VLOOKUP(A848,'[1]Sales Order'!A:F,6,FALSE),"")</f>
        <v>39249</v>
      </c>
      <c r="N848" t="str">
        <f>IFERROR(VLOOKUP(VLOOKUP(A848,'[1]Sales Order'!A:G,7,FALSE),[1]Shipper!A:B,2,FALSE),"Not Specified")</f>
        <v>Shipper ZHISN</v>
      </c>
      <c r="O848" t="str">
        <f>IFERROR(VLOOKUP(A848,'[1]Sales Order'!A:I,9,FALSE),"Not Specified")</f>
        <v>Ship to 65-B</v>
      </c>
      <c r="P848" t="str">
        <f>IFERROR(VLOOKUP(A848,'[1]Sales Order'!A:N,14,FALSE),"Not Specified")</f>
        <v>USA</v>
      </c>
      <c r="Q848" t="str">
        <f>VLOOKUP(VLOOKUP(B848,[1]Product!A:C,3,FALSE),[1]Supplier!A:B,2,FALSE)</f>
        <v>Supplier GQRCV</v>
      </c>
      <c r="R848" t="str">
        <f>VLOOKUP(VLOOKUP(B848,[1]Product!A:C,3,FALSE),[1]Supplier!A:I,9,FALSE)</f>
        <v>Australia</v>
      </c>
      <c r="S848" t="str">
        <f>IFERROR(IF(VLOOKUP(A848,'[1]Sales Order'!A:H,8,FALSE)&gt;100,"High Freight","Low Freight"),"Not Specified")</f>
        <v>Low Freight</v>
      </c>
      <c r="T848">
        <f t="shared" si="27"/>
        <v>592.79999999999995</v>
      </c>
    </row>
    <row r="849" spans="1:20">
      <c r="A849" s="1">
        <v>10564</v>
      </c>
      <c r="B849" s="2">
        <v>31</v>
      </c>
      <c r="C849" s="2">
        <v>12.5</v>
      </c>
      <c r="D849" s="2">
        <v>6</v>
      </c>
      <c r="E849" s="3">
        <v>0.05</v>
      </c>
      <c r="F849" s="2" t="str">
        <f>IFERROR(VLOOKUP(VLOOKUP(A849,'[1]Sales Order'!A:B,2,FALSE),[1]Customer!A:C,3,FALSE),"Not Specified")</f>
        <v>Moore, Michael</v>
      </c>
      <c r="G849" s="2" t="str">
        <f t="shared" si="26"/>
        <v>Moore Michael</v>
      </c>
      <c r="H849" s="8" t="str">
        <f>IFERROR(VLOOKUP(VLOOKUP(A849,'[1]Sales Order'!A:C,3,FALSE),[1]Employee!A:E,5,FALSE)&amp;" "&amp;VLOOKUP(VLOOKUP(A849,'[1]Sales Order'!A:C,3,FALSE),[1]Employee!A:C,3,FALSE)&amp;" "&amp;VLOOKUP(VLOOKUP(A849,'[1]Sales Order'!A:C,3,FALSE),[1]Employee!A:B,2,FALSE),"Not Specified")</f>
        <v>Mrs. Yael Peled</v>
      </c>
      <c r="I849" t="str">
        <f>IFERROR(VLOOKUP(VLOOKUP(A849,'[1]Sales Order'!A:C,3,FALSE),[1]Employee!A:J,10,FALSE),"Not Specified")</f>
        <v>WA</v>
      </c>
      <c r="J849" t="str">
        <f>VLOOKUP(B849,[1]Product!A:B,2,FALSE)</f>
        <v>Product XWOXC</v>
      </c>
      <c r="K849" t="str">
        <f>VLOOKUP(VLOOKUP(B849,[1]Product!A:D,4,FALSE),[1]Category!A:B,2,FALSE)</f>
        <v>Dairy Product</v>
      </c>
      <c r="L849" s="10">
        <f>IFERROR(VLOOKUP(A849,'[1]Sales Order'!A:D,4,FALSE),"")</f>
        <v>39243</v>
      </c>
      <c r="M849" s="10">
        <f>IFERROR(VLOOKUP(A849,'[1]Sales Order'!A:F,6,FALSE),"")</f>
        <v>39249</v>
      </c>
      <c r="N849" t="str">
        <f>IFERROR(VLOOKUP(VLOOKUP(A849,'[1]Sales Order'!A:G,7,FALSE),[1]Shipper!A:B,2,FALSE),"Not Specified")</f>
        <v>Shipper ZHISN</v>
      </c>
      <c r="O849" t="str">
        <f>IFERROR(VLOOKUP(A849,'[1]Sales Order'!A:I,9,FALSE),"Not Specified")</f>
        <v>Ship to 65-B</v>
      </c>
      <c r="P849" t="str">
        <f>IFERROR(VLOOKUP(A849,'[1]Sales Order'!A:N,14,FALSE),"Not Specified")</f>
        <v>USA</v>
      </c>
      <c r="Q849" t="str">
        <f>VLOOKUP(VLOOKUP(B849,[1]Product!A:C,3,FALSE),[1]Supplier!A:B,2,FALSE)</f>
        <v>Supplier KEREV</v>
      </c>
      <c r="R849" t="str">
        <f>VLOOKUP(VLOOKUP(B849,[1]Product!A:C,3,FALSE),[1]Supplier!A:I,9,FALSE)</f>
        <v>Italy</v>
      </c>
      <c r="S849" t="str">
        <f>IFERROR(IF(VLOOKUP(A849,'[1]Sales Order'!A:H,8,FALSE)&gt;100,"High Freight","Low Freight"),"Not Specified")</f>
        <v>Low Freight</v>
      </c>
      <c r="T849">
        <f t="shared" si="27"/>
        <v>71.25</v>
      </c>
    </row>
    <row r="850" spans="1:20">
      <c r="A850" s="1">
        <v>10564</v>
      </c>
      <c r="B850" s="2">
        <v>55</v>
      </c>
      <c r="C850" s="2">
        <v>24</v>
      </c>
      <c r="D850" s="2">
        <v>25</v>
      </c>
      <c r="E850" s="3">
        <v>0.05</v>
      </c>
      <c r="F850" s="2" t="str">
        <f>IFERROR(VLOOKUP(VLOOKUP(A850,'[1]Sales Order'!A:B,2,FALSE),[1]Customer!A:C,3,FALSE),"Not Specified")</f>
        <v>Moore, Michael</v>
      </c>
      <c r="G850" s="2" t="str">
        <f t="shared" si="26"/>
        <v>Moore Michael</v>
      </c>
      <c r="H850" s="8" t="str">
        <f>IFERROR(VLOOKUP(VLOOKUP(A850,'[1]Sales Order'!A:C,3,FALSE),[1]Employee!A:E,5,FALSE)&amp;" "&amp;VLOOKUP(VLOOKUP(A850,'[1]Sales Order'!A:C,3,FALSE),[1]Employee!A:C,3,FALSE)&amp;" "&amp;VLOOKUP(VLOOKUP(A850,'[1]Sales Order'!A:C,3,FALSE),[1]Employee!A:B,2,FALSE),"Not Specified")</f>
        <v>Mrs. Yael Peled</v>
      </c>
      <c r="I850" t="str">
        <f>IFERROR(VLOOKUP(VLOOKUP(A850,'[1]Sales Order'!A:C,3,FALSE),[1]Employee!A:J,10,FALSE),"Not Specified")</f>
        <v>WA</v>
      </c>
      <c r="J850" t="str">
        <f>VLOOKUP(B850,[1]Product!A:B,2,FALSE)</f>
        <v>Product YYWRT</v>
      </c>
      <c r="K850" t="str">
        <f>VLOOKUP(VLOOKUP(B850,[1]Product!A:D,4,FALSE),[1]Category!A:B,2,FALSE)</f>
        <v>Meat/Poultry</v>
      </c>
      <c r="L850" s="10">
        <f>IFERROR(VLOOKUP(A850,'[1]Sales Order'!A:D,4,FALSE),"")</f>
        <v>39243</v>
      </c>
      <c r="M850" s="10">
        <f>IFERROR(VLOOKUP(A850,'[1]Sales Order'!A:F,6,FALSE),"")</f>
        <v>39249</v>
      </c>
      <c r="N850" t="str">
        <f>IFERROR(VLOOKUP(VLOOKUP(A850,'[1]Sales Order'!A:G,7,FALSE),[1]Shipper!A:B,2,FALSE),"Not Specified")</f>
        <v>Shipper ZHISN</v>
      </c>
      <c r="O850" t="str">
        <f>IFERROR(VLOOKUP(A850,'[1]Sales Order'!A:I,9,FALSE),"Not Specified")</f>
        <v>Ship to 65-B</v>
      </c>
      <c r="P850" t="str">
        <f>IFERROR(VLOOKUP(A850,'[1]Sales Order'!A:N,14,FALSE),"Not Specified")</f>
        <v>USA</v>
      </c>
      <c r="Q850" t="str">
        <f>VLOOKUP(VLOOKUP(B850,[1]Product!A:C,3,FALSE),[1]Supplier!A:B,2,FALSE)</f>
        <v>Supplier ERVYZ</v>
      </c>
      <c r="R850" t="str">
        <f>VLOOKUP(VLOOKUP(B850,[1]Product!A:C,3,FALSE),[1]Supplier!A:I,9,FALSE)</f>
        <v>Canada</v>
      </c>
      <c r="S850" t="str">
        <f>IFERROR(IF(VLOOKUP(A850,'[1]Sales Order'!A:H,8,FALSE)&gt;100,"High Freight","Low Freight"),"Not Specified")</f>
        <v>Low Freight</v>
      </c>
      <c r="T850">
        <f t="shared" si="27"/>
        <v>570</v>
      </c>
    </row>
    <row r="851" spans="1:20">
      <c r="A851" s="1">
        <v>10565</v>
      </c>
      <c r="B851" s="2">
        <v>24</v>
      </c>
      <c r="C851" s="2">
        <v>4.5</v>
      </c>
      <c r="D851" s="2">
        <v>25</v>
      </c>
      <c r="E851" s="3">
        <v>0.1</v>
      </c>
      <c r="F851" s="2" t="str">
        <f>IFERROR(VLOOKUP(VLOOKUP(A851,'[1]Sales Order'!A:B,2,FALSE),[1]Customer!A:C,3,FALSE),"Not Specified")</f>
        <v>Taylor, Maurice</v>
      </c>
      <c r="G851" s="2" t="str">
        <f t="shared" si="26"/>
        <v>Taylor Maurice</v>
      </c>
      <c r="H851" s="8" t="str">
        <f>IFERROR(VLOOKUP(VLOOKUP(A851,'[1]Sales Order'!A:C,3,FALSE),[1]Employee!A:E,5,FALSE)&amp;" "&amp;VLOOKUP(VLOOKUP(A851,'[1]Sales Order'!A:C,3,FALSE),[1]Employee!A:C,3,FALSE)&amp;" "&amp;VLOOKUP(VLOOKUP(A851,'[1]Sales Order'!A:C,3,FALSE),[1]Employee!A:B,2,FALSE),"Not Specified")</f>
        <v>Ms. Maria Cameron</v>
      </c>
      <c r="I851" t="str">
        <f>IFERROR(VLOOKUP(VLOOKUP(A851,'[1]Sales Order'!A:C,3,FALSE),[1]Employee!A:J,10,FALSE),"Not Specified")</f>
        <v>WA</v>
      </c>
      <c r="J851" t="str">
        <f>VLOOKUP(B851,[1]Product!A:B,2,FALSE)</f>
        <v>Product QOGNU</v>
      </c>
      <c r="K851" t="str">
        <f>VLOOKUP(VLOOKUP(B851,[1]Product!A:D,4,FALSE),[1]Category!A:B,2,FALSE)</f>
        <v>Beverages</v>
      </c>
      <c r="L851" s="10">
        <f>IFERROR(VLOOKUP(A851,'[1]Sales Order'!A:D,4,FALSE),"")</f>
        <v>39244</v>
      </c>
      <c r="M851" s="10">
        <f>IFERROR(VLOOKUP(A851,'[1]Sales Order'!A:F,6,FALSE),"")</f>
        <v>39251</v>
      </c>
      <c r="N851" t="str">
        <f>IFERROR(VLOOKUP(VLOOKUP(A851,'[1]Sales Order'!A:G,7,FALSE),[1]Shipper!A:B,2,FALSE),"Not Specified")</f>
        <v>Shipper ETYNR</v>
      </c>
      <c r="O851" t="str">
        <f>IFERROR(VLOOKUP(A851,'[1]Sales Order'!A:I,9,FALSE),"Not Specified")</f>
        <v>Ship to 51-C</v>
      </c>
      <c r="P851" t="str">
        <f>IFERROR(VLOOKUP(A851,'[1]Sales Order'!A:N,14,FALSE),"Not Specified")</f>
        <v>Canada</v>
      </c>
      <c r="Q851" t="str">
        <f>VLOOKUP(VLOOKUP(B851,[1]Product!A:C,3,FALSE),[1]Supplier!A:B,2,FALSE)</f>
        <v>Supplier UNAHG</v>
      </c>
      <c r="R851" t="str">
        <f>VLOOKUP(VLOOKUP(B851,[1]Product!A:C,3,FALSE),[1]Supplier!A:I,9,FALSE)</f>
        <v>Brazil</v>
      </c>
      <c r="S851" t="str">
        <f>IFERROR(IF(VLOOKUP(A851,'[1]Sales Order'!A:H,8,FALSE)&gt;100,"High Freight","Low Freight"),"Not Specified")</f>
        <v>Low Freight</v>
      </c>
      <c r="T851">
        <f t="shared" si="27"/>
        <v>101.25</v>
      </c>
    </row>
    <row r="852" spans="1:20">
      <c r="A852" s="1">
        <v>10565</v>
      </c>
      <c r="B852" s="2">
        <v>64</v>
      </c>
      <c r="C852" s="2">
        <v>33.25</v>
      </c>
      <c r="D852" s="2">
        <v>18</v>
      </c>
      <c r="E852" s="3">
        <v>0.1</v>
      </c>
      <c r="F852" s="2" t="str">
        <f>IFERROR(VLOOKUP(VLOOKUP(A852,'[1]Sales Order'!A:B,2,FALSE),[1]Customer!A:C,3,FALSE),"Not Specified")</f>
        <v>Taylor, Maurice</v>
      </c>
      <c r="G852" s="2" t="str">
        <f t="shared" si="26"/>
        <v>Taylor Maurice</v>
      </c>
      <c r="H852" s="8" t="str">
        <f>IFERROR(VLOOKUP(VLOOKUP(A852,'[1]Sales Order'!A:C,3,FALSE),[1]Employee!A:E,5,FALSE)&amp;" "&amp;VLOOKUP(VLOOKUP(A852,'[1]Sales Order'!A:C,3,FALSE),[1]Employee!A:C,3,FALSE)&amp;" "&amp;VLOOKUP(VLOOKUP(A852,'[1]Sales Order'!A:C,3,FALSE),[1]Employee!A:B,2,FALSE),"Not Specified")</f>
        <v>Ms. Maria Cameron</v>
      </c>
      <c r="I852" t="str">
        <f>IFERROR(VLOOKUP(VLOOKUP(A852,'[1]Sales Order'!A:C,3,FALSE),[1]Employee!A:J,10,FALSE),"Not Specified")</f>
        <v>WA</v>
      </c>
      <c r="J852" t="str">
        <f>VLOOKUP(B852,[1]Product!A:B,2,FALSE)</f>
        <v>Product HCQDE</v>
      </c>
      <c r="K852" t="str">
        <f>VLOOKUP(VLOOKUP(B852,[1]Product!A:D,4,FALSE),[1]Category!A:B,2,FALSE)</f>
        <v>Grains/Cereals</v>
      </c>
      <c r="L852" s="10">
        <f>IFERROR(VLOOKUP(A852,'[1]Sales Order'!A:D,4,FALSE),"")</f>
        <v>39244</v>
      </c>
      <c r="M852" s="10">
        <f>IFERROR(VLOOKUP(A852,'[1]Sales Order'!A:F,6,FALSE),"")</f>
        <v>39251</v>
      </c>
      <c r="N852" t="str">
        <f>IFERROR(VLOOKUP(VLOOKUP(A852,'[1]Sales Order'!A:G,7,FALSE),[1]Shipper!A:B,2,FALSE),"Not Specified")</f>
        <v>Shipper ETYNR</v>
      </c>
      <c r="O852" t="str">
        <f>IFERROR(VLOOKUP(A852,'[1]Sales Order'!A:I,9,FALSE),"Not Specified")</f>
        <v>Ship to 51-C</v>
      </c>
      <c r="P852" t="str">
        <f>IFERROR(VLOOKUP(A852,'[1]Sales Order'!A:N,14,FALSE),"Not Specified")</f>
        <v>Canada</v>
      </c>
      <c r="Q852" t="str">
        <f>VLOOKUP(VLOOKUP(B852,[1]Product!A:C,3,FALSE),[1]Supplier!A:B,2,FALSE)</f>
        <v>Supplier SVIYA</v>
      </c>
      <c r="R852" t="str">
        <f>VLOOKUP(VLOOKUP(B852,[1]Product!A:C,3,FALSE),[1]Supplier!A:I,9,FALSE)</f>
        <v>Germany</v>
      </c>
      <c r="S852" t="str">
        <f>IFERROR(IF(VLOOKUP(A852,'[1]Sales Order'!A:H,8,FALSE)&gt;100,"High Freight","Low Freight"),"Not Specified")</f>
        <v>Low Freight</v>
      </c>
      <c r="T852">
        <f t="shared" si="27"/>
        <v>538.65</v>
      </c>
    </row>
    <row r="853" spans="1:20">
      <c r="A853" s="1">
        <v>10566</v>
      </c>
      <c r="B853" s="2">
        <v>11</v>
      </c>
      <c r="C853" s="2">
        <v>21</v>
      </c>
      <c r="D853" s="2">
        <v>35</v>
      </c>
      <c r="E853" s="3">
        <v>0.15</v>
      </c>
      <c r="F853" s="2" t="str">
        <f>IFERROR(VLOOKUP(VLOOKUP(A853,'[1]Sales Order'!A:B,2,FALSE),[1]Customer!A:C,3,FALSE),"Not Specified")</f>
        <v>Bansal, Dushyant</v>
      </c>
      <c r="G853" s="2" t="str">
        <f t="shared" si="26"/>
        <v>Bansal Dushyant</v>
      </c>
      <c r="H853" s="8" t="str">
        <f>IFERROR(VLOOKUP(VLOOKUP(A853,'[1]Sales Order'!A:C,3,FALSE),[1]Employee!A:E,5,FALSE)&amp;" "&amp;VLOOKUP(VLOOKUP(A853,'[1]Sales Order'!A:C,3,FALSE),[1]Employee!A:C,3,FALSE)&amp;" "&amp;VLOOKUP(VLOOKUP(A853,'[1]Sales Order'!A:C,3,FALSE),[1]Employee!A:B,2,FALSE),"Not Specified")</f>
        <v>Ms. Zoya Dolgopyatova</v>
      </c>
      <c r="I853">
        <f>IFERROR(VLOOKUP(VLOOKUP(A853,'[1]Sales Order'!A:C,3,FALSE),[1]Employee!A:J,10,FALSE),"Not Specified")</f>
        <v>0</v>
      </c>
      <c r="J853" t="str">
        <f>VLOOKUP(B853,[1]Product!A:B,2,FALSE)</f>
        <v>Product QMVUN</v>
      </c>
      <c r="K853" t="str">
        <f>VLOOKUP(VLOOKUP(B853,[1]Product!A:D,4,FALSE),[1]Category!A:B,2,FALSE)</f>
        <v>Dairy Product</v>
      </c>
      <c r="L853" s="10">
        <f>IFERROR(VLOOKUP(A853,'[1]Sales Order'!A:D,4,FALSE),"")</f>
        <v>39245</v>
      </c>
      <c r="M853" s="10">
        <f>IFERROR(VLOOKUP(A853,'[1]Sales Order'!A:F,6,FALSE),"")</f>
        <v>39251</v>
      </c>
      <c r="N853" t="str">
        <f>IFERROR(VLOOKUP(VLOOKUP(A853,'[1]Sales Order'!A:G,7,FALSE),[1]Shipper!A:B,2,FALSE),"Not Specified")</f>
        <v>Shipper GVSUA</v>
      </c>
      <c r="O853" t="str">
        <f>IFERROR(VLOOKUP(A853,'[1]Sales Order'!A:I,9,FALSE),"Not Specified")</f>
        <v>Ship to 7-C</v>
      </c>
      <c r="P853" t="str">
        <f>IFERROR(VLOOKUP(A853,'[1]Sales Order'!A:N,14,FALSE),"Not Specified")</f>
        <v>France</v>
      </c>
      <c r="Q853" t="str">
        <f>VLOOKUP(VLOOKUP(B853,[1]Product!A:C,3,FALSE),[1]Supplier!A:B,2,FALSE)</f>
        <v>Supplier EQPNC</v>
      </c>
      <c r="R853" t="str">
        <f>VLOOKUP(VLOOKUP(B853,[1]Product!A:C,3,FALSE),[1]Supplier!A:I,9,FALSE)</f>
        <v>Spain</v>
      </c>
      <c r="S853" t="str">
        <f>IFERROR(IF(VLOOKUP(A853,'[1]Sales Order'!A:H,8,FALSE)&gt;100,"High Freight","Low Freight"),"Not Specified")</f>
        <v>Low Freight</v>
      </c>
      <c r="T853">
        <f t="shared" si="27"/>
        <v>624.75</v>
      </c>
    </row>
    <row r="854" spans="1:20">
      <c r="A854" s="1">
        <v>10566</v>
      </c>
      <c r="B854" s="2">
        <v>18</v>
      </c>
      <c r="C854" s="2">
        <v>62.5</v>
      </c>
      <c r="D854" s="2">
        <v>18</v>
      </c>
      <c r="E854" s="3">
        <v>0.15</v>
      </c>
      <c r="F854" s="2" t="str">
        <f>IFERROR(VLOOKUP(VLOOKUP(A854,'[1]Sales Order'!A:B,2,FALSE),[1]Customer!A:C,3,FALSE),"Not Specified")</f>
        <v>Bansal, Dushyant</v>
      </c>
      <c r="G854" s="2" t="str">
        <f t="shared" si="26"/>
        <v>Bansal Dushyant</v>
      </c>
      <c r="H854" s="8" t="str">
        <f>IFERROR(VLOOKUP(VLOOKUP(A854,'[1]Sales Order'!A:C,3,FALSE),[1]Employee!A:E,5,FALSE)&amp;" "&amp;VLOOKUP(VLOOKUP(A854,'[1]Sales Order'!A:C,3,FALSE),[1]Employee!A:C,3,FALSE)&amp;" "&amp;VLOOKUP(VLOOKUP(A854,'[1]Sales Order'!A:C,3,FALSE),[1]Employee!A:B,2,FALSE),"Not Specified")</f>
        <v>Ms. Zoya Dolgopyatova</v>
      </c>
      <c r="I854">
        <f>IFERROR(VLOOKUP(VLOOKUP(A854,'[1]Sales Order'!A:C,3,FALSE),[1]Employee!A:J,10,FALSE),"Not Specified")</f>
        <v>0</v>
      </c>
      <c r="J854" t="str">
        <f>VLOOKUP(B854,[1]Product!A:B,2,FALSE)</f>
        <v>Product CKEDC</v>
      </c>
      <c r="K854" t="str">
        <f>VLOOKUP(VLOOKUP(B854,[1]Product!A:D,4,FALSE),[1]Category!A:B,2,FALSE)</f>
        <v>Seafood</v>
      </c>
      <c r="L854" s="10">
        <f>IFERROR(VLOOKUP(A854,'[1]Sales Order'!A:D,4,FALSE),"")</f>
        <v>39245</v>
      </c>
      <c r="M854" s="10">
        <f>IFERROR(VLOOKUP(A854,'[1]Sales Order'!A:F,6,FALSE),"")</f>
        <v>39251</v>
      </c>
      <c r="N854" t="str">
        <f>IFERROR(VLOOKUP(VLOOKUP(A854,'[1]Sales Order'!A:G,7,FALSE),[1]Shipper!A:B,2,FALSE),"Not Specified")</f>
        <v>Shipper GVSUA</v>
      </c>
      <c r="O854" t="str">
        <f>IFERROR(VLOOKUP(A854,'[1]Sales Order'!A:I,9,FALSE),"Not Specified")</f>
        <v>Ship to 7-C</v>
      </c>
      <c r="P854" t="str">
        <f>IFERROR(VLOOKUP(A854,'[1]Sales Order'!A:N,14,FALSE),"Not Specified")</f>
        <v>France</v>
      </c>
      <c r="Q854" t="str">
        <f>VLOOKUP(VLOOKUP(B854,[1]Product!A:C,3,FALSE),[1]Supplier!A:B,2,FALSE)</f>
        <v>Supplier GQRCV</v>
      </c>
      <c r="R854" t="str">
        <f>VLOOKUP(VLOOKUP(B854,[1]Product!A:C,3,FALSE),[1]Supplier!A:I,9,FALSE)</f>
        <v>Australia</v>
      </c>
      <c r="S854" t="str">
        <f>IFERROR(IF(VLOOKUP(A854,'[1]Sales Order'!A:H,8,FALSE)&gt;100,"High Freight","Low Freight"),"Not Specified")</f>
        <v>Low Freight</v>
      </c>
      <c r="T854">
        <f t="shared" si="27"/>
        <v>956.25</v>
      </c>
    </row>
    <row r="855" spans="1:20">
      <c r="A855" s="1">
        <v>10566</v>
      </c>
      <c r="B855" s="2">
        <v>76</v>
      </c>
      <c r="C855" s="2">
        <v>18</v>
      </c>
      <c r="D855" s="2">
        <v>10</v>
      </c>
      <c r="E855" s="3">
        <v>0</v>
      </c>
      <c r="F855" s="2" t="str">
        <f>IFERROR(VLOOKUP(VLOOKUP(A855,'[1]Sales Order'!A:B,2,FALSE),[1]Customer!A:C,3,FALSE),"Not Specified")</f>
        <v>Bansal, Dushyant</v>
      </c>
      <c r="G855" s="2" t="str">
        <f t="shared" si="26"/>
        <v>Bansal Dushyant</v>
      </c>
      <c r="H855" s="8" t="str">
        <f>IFERROR(VLOOKUP(VLOOKUP(A855,'[1]Sales Order'!A:C,3,FALSE),[1]Employee!A:E,5,FALSE)&amp;" "&amp;VLOOKUP(VLOOKUP(A855,'[1]Sales Order'!A:C,3,FALSE),[1]Employee!A:C,3,FALSE)&amp;" "&amp;VLOOKUP(VLOOKUP(A855,'[1]Sales Order'!A:C,3,FALSE),[1]Employee!A:B,2,FALSE),"Not Specified")</f>
        <v>Ms. Zoya Dolgopyatova</v>
      </c>
      <c r="I855">
        <f>IFERROR(VLOOKUP(VLOOKUP(A855,'[1]Sales Order'!A:C,3,FALSE),[1]Employee!A:J,10,FALSE),"Not Specified")</f>
        <v>0</v>
      </c>
      <c r="J855" t="str">
        <f>VLOOKUP(B855,[1]Product!A:B,2,FALSE)</f>
        <v>Product JYGFE</v>
      </c>
      <c r="K855" t="str">
        <f>VLOOKUP(VLOOKUP(B855,[1]Product!A:D,4,FALSE),[1]Category!A:B,2,FALSE)</f>
        <v>Beverages</v>
      </c>
      <c r="L855" s="10">
        <f>IFERROR(VLOOKUP(A855,'[1]Sales Order'!A:D,4,FALSE),"")</f>
        <v>39245</v>
      </c>
      <c r="M855" s="10">
        <f>IFERROR(VLOOKUP(A855,'[1]Sales Order'!A:F,6,FALSE),"")</f>
        <v>39251</v>
      </c>
      <c r="N855" t="str">
        <f>IFERROR(VLOOKUP(VLOOKUP(A855,'[1]Sales Order'!A:G,7,FALSE),[1]Shipper!A:B,2,FALSE),"Not Specified")</f>
        <v>Shipper GVSUA</v>
      </c>
      <c r="O855" t="str">
        <f>IFERROR(VLOOKUP(A855,'[1]Sales Order'!A:I,9,FALSE),"Not Specified")</f>
        <v>Ship to 7-C</v>
      </c>
      <c r="P855" t="str">
        <f>IFERROR(VLOOKUP(A855,'[1]Sales Order'!A:N,14,FALSE),"Not Specified")</f>
        <v>France</v>
      </c>
      <c r="Q855" t="str">
        <f>VLOOKUP(VLOOKUP(B855,[1]Product!A:C,3,FALSE),[1]Supplier!A:B,2,FALSE)</f>
        <v>Supplier ELCRN</v>
      </c>
      <c r="R855" t="str">
        <f>VLOOKUP(VLOOKUP(B855,[1]Product!A:C,3,FALSE),[1]Supplier!A:I,9,FALSE)</f>
        <v>Finland</v>
      </c>
      <c r="S855" t="str">
        <f>IFERROR(IF(VLOOKUP(A855,'[1]Sales Order'!A:H,8,FALSE)&gt;100,"High Freight","Low Freight"),"Not Specified")</f>
        <v>Low Freight</v>
      </c>
      <c r="T855">
        <f t="shared" si="27"/>
        <v>180</v>
      </c>
    </row>
    <row r="856" spans="1:20">
      <c r="A856" s="1">
        <v>10567</v>
      </c>
      <c r="B856" s="2">
        <v>31</v>
      </c>
      <c r="C856" s="2">
        <v>12.5</v>
      </c>
      <c r="D856" s="2">
        <v>60</v>
      </c>
      <c r="E856" s="3">
        <v>0.2</v>
      </c>
      <c r="F856" s="2" t="str">
        <f>IFERROR(VLOOKUP(VLOOKUP(A856,'[1]Sales Order'!A:B,2,FALSE),[1]Customer!A:C,3,FALSE),"Not Specified")</f>
        <v>Crăciun, Ovidiu V.</v>
      </c>
      <c r="G856" s="2" t="str">
        <f t="shared" si="26"/>
        <v>Crăciun Ovidiu V.</v>
      </c>
      <c r="H856" s="8" t="str">
        <f>IFERROR(VLOOKUP(VLOOKUP(A856,'[1]Sales Order'!A:C,3,FALSE),[1]Employee!A:E,5,FALSE)&amp;" "&amp;VLOOKUP(VLOOKUP(A856,'[1]Sales Order'!A:C,3,FALSE),[1]Employee!A:C,3,FALSE)&amp;" "&amp;VLOOKUP(VLOOKUP(A856,'[1]Sales Order'!A:C,3,FALSE),[1]Employee!A:B,2,FALSE),"Not Specified")</f>
        <v>Ms. Sara Davis</v>
      </c>
      <c r="I856" t="str">
        <f>IFERROR(VLOOKUP(VLOOKUP(A856,'[1]Sales Order'!A:C,3,FALSE),[1]Employee!A:J,10,FALSE),"Not Specified")</f>
        <v>WA</v>
      </c>
      <c r="J856" t="str">
        <f>VLOOKUP(B856,[1]Product!A:B,2,FALSE)</f>
        <v>Product XWOXC</v>
      </c>
      <c r="K856" t="str">
        <f>VLOOKUP(VLOOKUP(B856,[1]Product!A:D,4,FALSE),[1]Category!A:B,2,FALSE)</f>
        <v>Dairy Product</v>
      </c>
      <c r="L856" s="10">
        <f>IFERROR(VLOOKUP(A856,'[1]Sales Order'!A:D,4,FALSE),"")</f>
        <v>39245</v>
      </c>
      <c r="M856" s="10">
        <f>IFERROR(VLOOKUP(A856,'[1]Sales Order'!A:F,6,FALSE),"")</f>
        <v>39250</v>
      </c>
      <c r="N856" t="str">
        <f>IFERROR(VLOOKUP(VLOOKUP(A856,'[1]Sales Order'!A:G,7,FALSE),[1]Shipper!A:B,2,FALSE),"Not Specified")</f>
        <v>Shipper GVSUA</v>
      </c>
      <c r="O856" t="str">
        <f>IFERROR(VLOOKUP(A856,'[1]Sales Order'!A:I,9,FALSE),"Not Specified")</f>
        <v>Destination DGKOU</v>
      </c>
      <c r="P856" t="str">
        <f>IFERROR(VLOOKUP(A856,'[1]Sales Order'!A:N,14,FALSE),"Not Specified")</f>
        <v>Ireland</v>
      </c>
      <c r="Q856" t="str">
        <f>VLOOKUP(VLOOKUP(B856,[1]Product!A:C,3,FALSE),[1]Supplier!A:B,2,FALSE)</f>
        <v>Supplier KEREV</v>
      </c>
      <c r="R856" t="str">
        <f>VLOOKUP(VLOOKUP(B856,[1]Product!A:C,3,FALSE),[1]Supplier!A:I,9,FALSE)</f>
        <v>Italy</v>
      </c>
      <c r="S856" t="str">
        <f>IFERROR(IF(VLOOKUP(A856,'[1]Sales Order'!A:H,8,FALSE)&gt;100,"High Freight","Low Freight"),"Not Specified")</f>
        <v>Low Freight</v>
      </c>
      <c r="T856">
        <f t="shared" si="27"/>
        <v>600</v>
      </c>
    </row>
    <row r="857" spans="1:20">
      <c r="A857" s="1">
        <v>10567</v>
      </c>
      <c r="B857" s="2">
        <v>51</v>
      </c>
      <c r="C857" s="2">
        <v>53</v>
      </c>
      <c r="D857" s="2">
        <v>3</v>
      </c>
      <c r="E857" s="3">
        <v>0</v>
      </c>
      <c r="F857" s="2" t="str">
        <f>IFERROR(VLOOKUP(VLOOKUP(A857,'[1]Sales Order'!A:B,2,FALSE),[1]Customer!A:C,3,FALSE),"Not Specified")</f>
        <v>Crăciun, Ovidiu V.</v>
      </c>
      <c r="G857" s="2" t="str">
        <f t="shared" si="26"/>
        <v>Crăciun Ovidiu V.</v>
      </c>
      <c r="H857" s="8" t="str">
        <f>IFERROR(VLOOKUP(VLOOKUP(A857,'[1]Sales Order'!A:C,3,FALSE),[1]Employee!A:E,5,FALSE)&amp;" "&amp;VLOOKUP(VLOOKUP(A857,'[1]Sales Order'!A:C,3,FALSE),[1]Employee!A:C,3,FALSE)&amp;" "&amp;VLOOKUP(VLOOKUP(A857,'[1]Sales Order'!A:C,3,FALSE),[1]Employee!A:B,2,FALSE),"Not Specified")</f>
        <v>Ms. Sara Davis</v>
      </c>
      <c r="I857" t="str">
        <f>IFERROR(VLOOKUP(VLOOKUP(A857,'[1]Sales Order'!A:C,3,FALSE),[1]Employee!A:J,10,FALSE),"Not Specified")</f>
        <v>WA</v>
      </c>
      <c r="J857" t="str">
        <f>VLOOKUP(B857,[1]Product!A:B,2,FALSE)</f>
        <v>Product APITJ</v>
      </c>
      <c r="K857" t="str">
        <f>VLOOKUP(VLOOKUP(B857,[1]Product!A:D,4,FALSE),[1]Category!A:B,2,FALSE)</f>
        <v>Produce</v>
      </c>
      <c r="L857" s="10">
        <f>IFERROR(VLOOKUP(A857,'[1]Sales Order'!A:D,4,FALSE),"")</f>
        <v>39245</v>
      </c>
      <c r="M857" s="10">
        <f>IFERROR(VLOOKUP(A857,'[1]Sales Order'!A:F,6,FALSE),"")</f>
        <v>39250</v>
      </c>
      <c r="N857" t="str">
        <f>IFERROR(VLOOKUP(VLOOKUP(A857,'[1]Sales Order'!A:G,7,FALSE),[1]Shipper!A:B,2,FALSE),"Not Specified")</f>
        <v>Shipper GVSUA</v>
      </c>
      <c r="O857" t="str">
        <f>IFERROR(VLOOKUP(A857,'[1]Sales Order'!A:I,9,FALSE),"Not Specified")</f>
        <v>Destination DGKOU</v>
      </c>
      <c r="P857" t="str">
        <f>IFERROR(VLOOKUP(A857,'[1]Sales Order'!A:N,14,FALSE),"Not Specified")</f>
        <v>Ireland</v>
      </c>
      <c r="Q857" t="str">
        <f>VLOOKUP(VLOOKUP(B857,[1]Product!A:C,3,FALSE),[1]Supplier!A:B,2,FALSE)</f>
        <v>Supplier JNNES</v>
      </c>
      <c r="R857" t="str">
        <f>VLOOKUP(VLOOKUP(B857,[1]Product!A:C,3,FALSE),[1]Supplier!A:I,9,FALSE)</f>
        <v>Australia</v>
      </c>
      <c r="S857" t="str">
        <f>IFERROR(IF(VLOOKUP(A857,'[1]Sales Order'!A:H,8,FALSE)&gt;100,"High Freight","Low Freight"),"Not Specified")</f>
        <v>Low Freight</v>
      </c>
      <c r="T857">
        <f t="shared" si="27"/>
        <v>159</v>
      </c>
    </row>
    <row r="858" spans="1:20">
      <c r="A858" s="1">
        <v>10567</v>
      </c>
      <c r="B858" s="2">
        <v>59</v>
      </c>
      <c r="C858" s="2">
        <v>55</v>
      </c>
      <c r="D858" s="2">
        <v>40</v>
      </c>
      <c r="E858" s="3">
        <v>0.2</v>
      </c>
      <c r="F858" s="2" t="str">
        <f>IFERROR(VLOOKUP(VLOOKUP(A858,'[1]Sales Order'!A:B,2,FALSE),[1]Customer!A:C,3,FALSE),"Not Specified")</f>
        <v>Crăciun, Ovidiu V.</v>
      </c>
      <c r="G858" s="2" t="str">
        <f t="shared" si="26"/>
        <v>Crăciun Ovidiu V.</v>
      </c>
      <c r="H858" s="8" t="str">
        <f>IFERROR(VLOOKUP(VLOOKUP(A858,'[1]Sales Order'!A:C,3,FALSE),[1]Employee!A:E,5,FALSE)&amp;" "&amp;VLOOKUP(VLOOKUP(A858,'[1]Sales Order'!A:C,3,FALSE),[1]Employee!A:C,3,FALSE)&amp;" "&amp;VLOOKUP(VLOOKUP(A858,'[1]Sales Order'!A:C,3,FALSE),[1]Employee!A:B,2,FALSE),"Not Specified")</f>
        <v>Ms. Sara Davis</v>
      </c>
      <c r="I858" t="str">
        <f>IFERROR(VLOOKUP(VLOOKUP(A858,'[1]Sales Order'!A:C,3,FALSE),[1]Employee!A:J,10,FALSE),"Not Specified")</f>
        <v>WA</v>
      </c>
      <c r="J858" t="str">
        <f>VLOOKUP(B858,[1]Product!A:B,2,FALSE)</f>
        <v>Product UKXRI</v>
      </c>
      <c r="K858" t="str">
        <f>VLOOKUP(VLOOKUP(B858,[1]Product!A:D,4,FALSE),[1]Category!A:B,2,FALSE)</f>
        <v>Dairy Product</v>
      </c>
      <c r="L858" s="10">
        <f>IFERROR(VLOOKUP(A858,'[1]Sales Order'!A:D,4,FALSE),"")</f>
        <v>39245</v>
      </c>
      <c r="M858" s="10">
        <f>IFERROR(VLOOKUP(A858,'[1]Sales Order'!A:F,6,FALSE),"")</f>
        <v>39250</v>
      </c>
      <c r="N858" t="str">
        <f>IFERROR(VLOOKUP(VLOOKUP(A858,'[1]Sales Order'!A:G,7,FALSE),[1]Shipper!A:B,2,FALSE),"Not Specified")</f>
        <v>Shipper GVSUA</v>
      </c>
      <c r="O858" t="str">
        <f>IFERROR(VLOOKUP(A858,'[1]Sales Order'!A:I,9,FALSE),"Not Specified")</f>
        <v>Destination DGKOU</v>
      </c>
      <c r="P858" t="str">
        <f>IFERROR(VLOOKUP(A858,'[1]Sales Order'!A:N,14,FALSE),"Not Specified")</f>
        <v>Ireland</v>
      </c>
      <c r="Q858" t="str">
        <f>VLOOKUP(VLOOKUP(B858,[1]Product!A:C,3,FALSE),[1]Supplier!A:B,2,FALSE)</f>
        <v>Supplier OAVQT</v>
      </c>
      <c r="R858" t="str">
        <f>VLOOKUP(VLOOKUP(B858,[1]Product!A:C,3,FALSE),[1]Supplier!A:I,9,FALSE)</f>
        <v>France</v>
      </c>
      <c r="S858" t="str">
        <f>IFERROR(IF(VLOOKUP(A858,'[1]Sales Order'!A:H,8,FALSE)&gt;100,"High Freight","Low Freight"),"Not Specified")</f>
        <v>Low Freight</v>
      </c>
      <c r="T858">
        <f t="shared" si="27"/>
        <v>1760</v>
      </c>
    </row>
    <row r="859" spans="1:20">
      <c r="A859" s="1">
        <v>10568</v>
      </c>
      <c r="B859" s="2">
        <v>10</v>
      </c>
      <c r="C859" s="2">
        <v>31</v>
      </c>
      <c r="D859" s="2">
        <v>5</v>
      </c>
      <c r="E859" s="3">
        <v>0</v>
      </c>
      <c r="F859" s="2" t="str">
        <f>IFERROR(VLOOKUP(VLOOKUP(A859,'[1]Sales Order'!A:B,2,FALSE),[1]Customer!A:C,3,FALSE),"Not Specified")</f>
        <v>Kolesnikova, Katerina</v>
      </c>
      <c r="G859" s="2" t="str">
        <f t="shared" si="26"/>
        <v>Kolesnikova Katerina</v>
      </c>
      <c r="H859" s="8" t="str">
        <f>IFERROR(VLOOKUP(VLOOKUP(A859,'[1]Sales Order'!A:C,3,FALSE),[1]Employee!A:E,5,FALSE)&amp;" "&amp;VLOOKUP(VLOOKUP(A859,'[1]Sales Order'!A:C,3,FALSE),[1]Employee!A:C,3,FALSE)&amp;" "&amp;VLOOKUP(VLOOKUP(A859,'[1]Sales Order'!A:C,3,FALSE),[1]Employee!A:B,2,FALSE),"Not Specified")</f>
        <v>Ms. Judy Lew</v>
      </c>
      <c r="I859" t="str">
        <f>IFERROR(VLOOKUP(VLOOKUP(A859,'[1]Sales Order'!A:C,3,FALSE),[1]Employee!A:J,10,FALSE),"Not Specified")</f>
        <v>WA</v>
      </c>
      <c r="J859" t="str">
        <f>VLOOKUP(B859,[1]Product!A:B,2,FALSE)</f>
        <v>Product YHXGE</v>
      </c>
      <c r="K859" t="str">
        <f>VLOOKUP(VLOOKUP(B859,[1]Product!A:D,4,FALSE),[1]Category!A:B,2,FALSE)</f>
        <v>Seafood</v>
      </c>
      <c r="L859" s="10">
        <f>IFERROR(VLOOKUP(A859,'[1]Sales Order'!A:D,4,FALSE),"")</f>
        <v>39246</v>
      </c>
      <c r="M859" s="10">
        <f>IFERROR(VLOOKUP(A859,'[1]Sales Order'!A:F,6,FALSE),"")</f>
        <v>39272</v>
      </c>
      <c r="N859" t="str">
        <f>IFERROR(VLOOKUP(VLOOKUP(A859,'[1]Sales Order'!A:G,7,FALSE),[1]Shipper!A:B,2,FALSE),"Not Specified")</f>
        <v>Shipper ZHISN</v>
      </c>
      <c r="O859" t="str">
        <f>IFERROR(VLOOKUP(A859,'[1]Sales Order'!A:I,9,FALSE),"Not Specified")</f>
        <v>Destination VPNNG</v>
      </c>
      <c r="P859" t="str">
        <f>IFERROR(VLOOKUP(A859,'[1]Sales Order'!A:N,14,FALSE),"Not Specified")</f>
        <v>Spain</v>
      </c>
      <c r="Q859" t="str">
        <f>VLOOKUP(VLOOKUP(B859,[1]Product!A:C,3,FALSE),[1]Supplier!A:B,2,FALSE)</f>
        <v>Supplier QOVFD</v>
      </c>
      <c r="R859" t="str">
        <f>VLOOKUP(VLOOKUP(B859,[1]Product!A:C,3,FALSE),[1]Supplier!A:I,9,FALSE)</f>
        <v>Japan</v>
      </c>
      <c r="S859" t="str">
        <f>IFERROR(IF(VLOOKUP(A859,'[1]Sales Order'!A:H,8,FALSE)&gt;100,"High Freight","Low Freight"),"Not Specified")</f>
        <v>Low Freight</v>
      </c>
      <c r="T859">
        <f t="shared" si="27"/>
        <v>155</v>
      </c>
    </row>
    <row r="860" spans="1:20">
      <c r="A860" s="1">
        <v>10569</v>
      </c>
      <c r="B860" s="2">
        <v>31</v>
      </c>
      <c r="C860" s="2">
        <v>12.5</v>
      </c>
      <c r="D860" s="2">
        <v>35</v>
      </c>
      <c r="E860" s="3">
        <v>0.2</v>
      </c>
      <c r="F860" s="2" t="str">
        <f>IFERROR(VLOOKUP(VLOOKUP(A860,'[1]Sales Order'!A:B,2,FALSE),[1]Customer!A:C,3,FALSE),"Not Specified")</f>
        <v>Moore, Michael</v>
      </c>
      <c r="G860" s="2" t="str">
        <f t="shared" si="26"/>
        <v>Moore Michael</v>
      </c>
      <c r="H860" s="8" t="str">
        <f>IFERROR(VLOOKUP(VLOOKUP(A860,'[1]Sales Order'!A:C,3,FALSE),[1]Employee!A:E,5,FALSE)&amp;" "&amp;VLOOKUP(VLOOKUP(A860,'[1]Sales Order'!A:C,3,FALSE),[1]Employee!A:C,3,FALSE)&amp;" "&amp;VLOOKUP(VLOOKUP(A860,'[1]Sales Order'!A:C,3,FALSE),[1]Employee!A:B,2,FALSE),"Not Specified")</f>
        <v>Mr. Sven Buck</v>
      </c>
      <c r="I860">
        <f>IFERROR(VLOOKUP(VLOOKUP(A860,'[1]Sales Order'!A:C,3,FALSE),[1]Employee!A:J,10,FALSE),"Not Specified")</f>
        <v>0</v>
      </c>
      <c r="J860" t="str">
        <f>VLOOKUP(B860,[1]Product!A:B,2,FALSE)</f>
        <v>Product XWOXC</v>
      </c>
      <c r="K860" t="str">
        <f>VLOOKUP(VLOOKUP(B860,[1]Product!A:D,4,FALSE),[1]Category!A:B,2,FALSE)</f>
        <v>Dairy Product</v>
      </c>
      <c r="L860" s="10">
        <f>IFERROR(VLOOKUP(A860,'[1]Sales Order'!A:D,4,FALSE),"")</f>
        <v>39249</v>
      </c>
      <c r="M860" s="10">
        <f>IFERROR(VLOOKUP(A860,'[1]Sales Order'!A:F,6,FALSE),"")</f>
        <v>39274</v>
      </c>
      <c r="N860" t="str">
        <f>IFERROR(VLOOKUP(VLOOKUP(A860,'[1]Sales Order'!A:G,7,FALSE),[1]Shipper!A:B,2,FALSE),"Not Specified")</f>
        <v>Shipper GVSUA</v>
      </c>
      <c r="O860" t="str">
        <f>IFERROR(VLOOKUP(A860,'[1]Sales Order'!A:I,9,FALSE),"Not Specified")</f>
        <v>Ship to 65-B</v>
      </c>
      <c r="P860" t="str">
        <f>IFERROR(VLOOKUP(A860,'[1]Sales Order'!A:N,14,FALSE),"Not Specified")</f>
        <v>USA</v>
      </c>
      <c r="Q860" t="str">
        <f>VLOOKUP(VLOOKUP(B860,[1]Product!A:C,3,FALSE),[1]Supplier!A:B,2,FALSE)</f>
        <v>Supplier KEREV</v>
      </c>
      <c r="R860" t="str">
        <f>VLOOKUP(VLOOKUP(B860,[1]Product!A:C,3,FALSE),[1]Supplier!A:I,9,FALSE)</f>
        <v>Italy</v>
      </c>
      <c r="S860" t="str">
        <f>IFERROR(IF(VLOOKUP(A860,'[1]Sales Order'!A:H,8,FALSE)&gt;100,"High Freight","Low Freight"),"Not Specified")</f>
        <v>Low Freight</v>
      </c>
      <c r="T860">
        <f t="shared" si="27"/>
        <v>350</v>
      </c>
    </row>
    <row r="861" spans="1:20">
      <c r="A861" s="1">
        <v>10569</v>
      </c>
      <c r="B861" s="2">
        <v>76</v>
      </c>
      <c r="C861" s="2">
        <v>18</v>
      </c>
      <c r="D861" s="2">
        <v>30</v>
      </c>
      <c r="E861" s="3">
        <v>0</v>
      </c>
      <c r="F861" s="2" t="str">
        <f>IFERROR(VLOOKUP(VLOOKUP(A861,'[1]Sales Order'!A:B,2,FALSE),[1]Customer!A:C,3,FALSE),"Not Specified")</f>
        <v>Moore, Michael</v>
      </c>
      <c r="G861" s="2" t="str">
        <f t="shared" si="26"/>
        <v>Moore Michael</v>
      </c>
      <c r="H861" s="8" t="str">
        <f>IFERROR(VLOOKUP(VLOOKUP(A861,'[1]Sales Order'!A:C,3,FALSE),[1]Employee!A:E,5,FALSE)&amp;" "&amp;VLOOKUP(VLOOKUP(A861,'[1]Sales Order'!A:C,3,FALSE),[1]Employee!A:C,3,FALSE)&amp;" "&amp;VLOOKUP(VLOOKUP(A861,'[1]Sales Order'!A:C,3,FALSE),[1]Employee!A:B,2,FALSE),"Not Specified")</f>
        <v>Mr. Sven Buck</v>
      </c>
      <c r="I861">
        <f>IFERROR(VLOOKUP(VLOOKUP(A861,'[1]Sales Order'!A:C,3,FALSE),[1]Employee!A:J,10,FALSE),"Not Specified")</f>
        <v>0</v>
      </c>
      <c r="J861" t="str">
        <f>VLOOKUP(B861,[1]Product!A:B,2,FALSE)</f>
        <v>Product JYGFE</v>
      </c>
      <c r="K861" t="str">
        <f>VLOOKUP(VLOOKUP(B861,[1]Product!A:D,4,FALSE),[1]Category!A:B,2,FALSE)</f>
        <v>Beverages</v>
      </c>
      <c r="L861" s="10">
        <f>IFERROR(VLOOKUP(A861,'[1]Sales Order'!A:D,4,FALSE),"")</f>
        <v>39249</v>
      </c>
      <c r="M861" s="10">
        <f>IFERROR(VLOOKUP(A861,'[1]Sales Order'!A:F,6,FALSE),"")</f>
        <v>39274</v>
      </c>
      <c r="N861" t="str">
        <f>IFERROR(VLOOKUP(VLOOKUP(A861,'[1]Sales Order'!A:G,7,FALSE),[1]Shipper!A:B,2,FALSE),"Not Specified")</f>
        <v>Shipper GVSUA</v>
      </c>
      <c r="O861" t="str">
        <f>IFERROR(VLOOKUP(A861,'[1]Sales Order'!A:I,9,FALSE),"Not Specified")</f>
        <v>Ship to 65-B</v>
      </c>
      <c r="P861" t="str">
        <f>IFERROR(VLOOKUP(A861,'[1]Sales Order'!A:N,14,FALSE),"Not Specified")</f>
        <v>USA</v>
      </c>
      <c r="Q861" t="str">
        <f>VLOOKUP(VLOOKUP(B861,[1]Product!A:C,3,FALSE),[1]Supplier!A:B,2,FALSE)</f>
        <v>Supplier ELCRN</v>
      </c>
      <c r="R861" t="str">
        <f>VLOOKUP(VLOOKUP(B861,[1]Product!A:C,3,FALSE),[1]Supplier!A:I,9,FALSE)</f>
        <v>Finland</v>
      </c>
      <c r="S861" t="str">
        <f>IFERROR(IF(VLOOKUP(A861,'[1]Sales Order'!A:H,8,FALSE)&gt;100,"High Freight","Low Freight"),"Not Specified")</f>
        <v>Low Freight</v>
      </c>
      <c r="T861">
        <f t="shared" si="27"/>
        <v>540</v>
      </c>
    </row>
    <row r="862" spans="1:20">
      <c r="A862" s="1">
        <v>10570</v>
      </c>
      <c r="B862" s="2">
        <v>11</v>
      </c>
      <c r="C862" s="2">
        <v>21</v>
      </c>
      <c r="D862" s="2">
        <v>15</v>
      </c>
      <c r="E862" s="3">
        <v>0.05</v>
      </c>
      <c r="F862" s="2" t="str">
        <f>IFERROR(VLOOKUP(VLOOKUP(A862,'[1]Sales Order'!A:B,2,FALSE),[1]Customer!A:C,3,FALSE),"Not Specified")</f>
        <v>Taylor, Maurice</v>
      </c>
      <c r="G862" s="2" t="str">
        <f t="shared" si="26"/>
        <v>Taylor Maurice</v>
      </c>
      <c r="H862" s="8" t="str">
        <f>IFERROR(VLOOKUP(VLOOKUP(A862,'[1]Sales Order'!A:C,3,FALSE),[1]Employee!A:E,5,FALSE)&amp;" "&amp;VLOOKUP(VLOOKUP(A862,'[1]Sales Order'!A:C,3,FALSE),[1]Employee!A:C,3,FALSE)&amp;" "&amp;VLOOKUP(VLOOKUP(A862,'[1]Sales Order'!A:C,3,FALSE),[1]Employee!A:B,2,FALSE),"Not Specified")</f>
        <v>Ms. Judy Lew</v>
      </c>
      <c r="I862" t="str">
        <f>IFERROR(VLOOKUP(VLOOKUP(A862,'[1]Sales Order'!A:C,3,FALSE),[1]Employee!A:J,10,FALSE),"Not Specified")</f>
        <v>WA</v>
      </c>
      <c r="J862" t="str">
        <f>VLOOKUP(B862,[1]Product!A:B,2,FALSE)</f>
        <v>Product QMVUN</v>
      </c>
      <c r="K862" t="str">
        <f>VLOOKUP(VLOOKUP(B862,[1]Product!A:D,4,FALSE),[1]Category!A:B,2,FALSE)</f>
        <v>Dairy Product</v>
      </c>
      <c r="L862" s="10">
        <f>IFERROR(VLOOKUP(A862,'[1]Sales Order'!A:D,4,FALSE),"")</f>
        <v>39250</v>
      </c>
      <c r="M862" s="10">
        <f>IFERROR(VLOOKUP(A862,'[1]Sales Order'!A:F,6,FALSE),"")</f>
        <v>39252</v>
      </c>
      <c r="N862" t="str">
        <f>IFERROR(VLOOKUP(VLOOKUP(A862,'[1]Sales Order'!A:G,7,FALSE),[1]Shipper!A:B,2,FALSE),"Not Specified")</f>
        <v>Shipper ZHISN</v>
      </c>
      <c r="O862" t="str">
        <f>IFERROR(VLOOKUP(A862,'[1]Sales Order'!A:I,9,FALSE),"Not Specified")</f>
        <v>Ship to 51-C</v>
      </c>
      <c r="P862" t="str">
        <f>IFERROR(VLOOKUP(A862,'[1]Sales Order'!A:N,14,FALSE),"Not Specified")</f>
        <v>Canada</v>
      </c>
      <c r="Q862" t="str">
        <f>VLOOKUP(VLOOKUP(B862,[1]Product!A:C,3,FALSE),[1]Supplier!A:B,2,FALSE)</f>
        <v>Supplier EQPNC</v>
      </c>
      <c r="R862" t="str">
        <f>VLOOKUP(VLOOKUP(B862,[1]Product!A:C,3,FALSE),[1]Supplier!A:I,9,FALSE)</f>
        <v>Spain</v>
      </c>
      <c r="S862" t="str">
        <f>IFERROR(IF(VLOOKUP(A862,'[1]Sales Order'!A:H,8,FALSE)&gt;100,"High Freight","Low Freight"),"Not Specified")</f>
        <v>High Freight</v>
      </c>
      <c r="T862">
        <f t="shared" si="27"/>
        <v>299.25</v>
      </c>
    </row>
    <row r="863" spans="1:20">
      <c r="A863" s="1">
        <v>10570</v>
      </c>
      <c r="B863" s="2">
        <v>56</v>
      </c>
      <c r="C863" s="2">
        <v>38</v>
      </c>
      <c r="D863" s="2">
        <v>60</v>
      </c>
      <c r="E863" s="3">
        <v>0.05</v>
      </c>
      <c r="F863" s="2" t="str">
        <f>IFERROR(VLOOKUP(VLOOKUP(A863,'[1]Sales Order'!A:B,2,FALSE),[1]Customer!A:C,3,FALSE),"Not Specified")</f>
        <v>Taylor, Maurice</v>
      </c>
      <c r="G863" s="2" t="str">
        <f t="shared" si="26"/>
        <v>Taylor Maurice</v>
      </c>
      <c r="H863" s="8" t="str">
        <f>IFERROR(VLOOKUP(VLOOKUP(A863,'[1]Sales Order'!A:C,3,FALSE),[1]Employee!A:E,5,FALSE)&amp;" "&amp;VLOOKUP(VLOOKUP(A863,'[1]Sales Order'!A:C,3,FALSE),[1]Employee!A:C,3,FALSE)&amp;" "&amp;VLOOKUP(VLOOKUP(A863,'[1]Sales Order'!A:C,3,FALSE),[1]Employee!A:B,2,FALSE),"Not Specified")</f>
        <v>Ms. Judy Lew</v>
      </c>
      <c r="I863" t="str">
        <f>IFERROR(VLOOKUP(VLOOKUP(A863,'[1]Sales Order'!A:C,3,FALSE),[1]Employee!A:J,10,FALSE),"Not Specified")</f>
        <v>WA</v>
      </c>
      <c r="J863" t="str">
        <f>VLOOKUP(B863,[1]Product!A:B,2,FALSE)</f>
        <v>Product VKCMF</v>
      </c>
      <c r="K863" t="str">
        <f>VLOOKUP(VLOOKUP(B863,[1]Product!A:D,4,FALSE),[1]Category!A:B,2,FALSE)</f>
        <v>Grains/Cereals</v>
      </c>
      <c r="L863" s="10">
        <f>IFERROR(VLOOKUP(A863,'[1]Sales Order'!A:D,4,FALSE),"")</f>
        <v>39250</v>
      </c>
      <c r="M863" s="10">
        <f>IFERROR(VLOOKUP(A863,'[1]Sales Order'!A:F,6,FALSE),"")</f>
        <v>39252</v>
      </c>
      <c r="N863" t="str">
        <f>IFERROR(VLOOKUP(VLOOKUP(A863,'[1]Sales Order'!A:G,7,FALSE),[1]Shipper!A:B,2,FALSE),"Not Specified")</f>
        <v>Shipper ZHISN</v>
      </c>
      <c r="O863" t="str">
        <f>IFERROR(VLOOKUP(A863,'[1]Sales Order'!A:I,9,FALSE),"Not Specified")</f>
        <v>Ship to 51-C</v>
      </c>
      <c r="P863" t="str">
        <f>IFERROR(VLOOKUP(A863,'[1]Sales Order'!A:N,14,FALSE),"Not Specified")</f>
        <v>Canada</v>
      </c>
      <c r="Q863" t="str">
        <f>VLOOKUP(VLOOKUP(B863,[1]Product!A:C,3,FALSE),[1]Supplier!A:B,2,FALSE)</f>
        <v>Supplier ZWZDM</v>
      </c>
      <c r="R863" t="str">
        <f>VLOOKUP(VLOOKUP(B863,[1]Product!A:C,3,FALSE),[1]Supplier!A:I,9,FALSE)</f>
        <v>Italy</v>
      </c>
      <c r="S863" t="str">
        <f>IFERROR(IF(VLOOKUP(A863,'[1]Sales Order'!A:H,8,FALSE)&gt;100,"High Freight","Low Freight"),"Not Specified")</f>
        <v>High Freight</v>
      </c>
      <c r="T863">
        <f t="shared" si="27"/>
        <v>2166</v>
      </c>
    </row>
    <row r="864" spans="1:20">
      <c r="A864" s="1">
        <v>10571</v>
      </c>
      <c r="B864" s="2">
        <v>14</v>
      </c>
      <c r="C864" s="2">
        <v>23.25</v>
      </c>
      <c r="D864" s="2">
        <v>11</v>
      </c>
      <c r="E864" s="3">
        <v>0.15</v>
      </c>
      <c r="F864" s="2" t="str">
        <f>IFERROR(VLOOKUP(VLOOKUP(A864,'[1]Sales Order'!A:B,2,FALSE),[1]Customer!A:C,3,FALSE),"Not Specified")</f>
        <v>Kane, John</v>
      </c>
      <c r="G864" s="2" t="str">
        <f t="shared" si="26"/>
        <v>Kane John</v>
      </c>
      <c r="H864" s="8" t="str">
        <f>IFERROR(VLOOKUP(VLOOKUP(A864,'[1]Sales Order'!A:C,3,FALSE),[1]Employee!A:E,5,FALSE)&amp;" "&amp;VLOOKUP(VLOOKUP(A864,'[1]Sales Order'!A:C,3,FALSE),[1]Employee!A:C,3,FALSE)&amp;" "&amp;VLOOKUP(VLOOKUP(A864,'[1]Sales Order'!A:C,3,FALSE),[1]Employee!A:B,2,FALSE),"Not Specified")</f>
        <v>Ms. Maria Cameron</v>
      </c>
      <c r="I864" t="str">
        <f>IFERROR(VLOOKUP(VLOOKUP(A864,'[1]Sales Order'!A:C,3,FALSE),[1]Employee!A:J,10,FALSE),"Not Specified")</f>
        <v>WA</v>
      </c>
      <c r="J864" t="str">
        <f>VLOOKUP(B864,[1]Product!A:B,2,FALSE)</f>
        <v>Product PWCJB</v>
      </c>
      <c r="K864" t="str">
        <f>VLOOKUP(VLOOKUP(B864,[1]Product!A:D,4,FALSE),[1]Category!A:B,2,FALSE)</f>
        <v>Produce</v>
      </c>
      <c r="L864" s="10">
        <f>IFERROR(VLOOKUP(A864,'[1]Sales Order'!A:D,4,FALSE),"")</f>
        <v>39250</v>
      </c>
      <c r="M864" s="10">
        <f>IFERROR(VLOOKUP(A864,'[1]Sales Order'!A:F,6,FALSE),"")</f>
        <v>39267</v>
      </c>
      <c r="N864" t="str">
        <f>IFERROR(VLOOKUP(VLOOKUP(A864,'[1]Sales Order'!A:G,7,FALSE),[1]Shipper!A:B,2,FALSE),"Not Specified")</f>
        <v>Shipper ZHISN</v>
      </c>
      <c r="O864" t="str">
        <f>IFERROR(VLOOKUP(A864,'[1]Sales Order'!A:I,9,FALSE),"Not Specified")</f>
        <v>Destination RVDMF</v>
      </c>
      <c r="P864" t="str">
        <f>IFERROR(VLOOKUP(A864,'[1]Sales Order'!A:N,14,FALSE),"Not Specified")</f>
        <v>Austria</v>
      </c>
      <c r="Q864" t="str">
        <f>VLOOKUP(VLOOKUP(B864,[1]Product!A:C,3,FALSE),[1]Supplier!A:B,2,FALSE)</f>
        <v>Supplier QWUSF</v>
      </c>
      <c r="R864" t="str">
        <f>VLOOKUP(VLOOKUP(B864,[1]Product!A:C,3,FALSE),[1]Supplier!A:I,9,FALSE)</f>
        <v>Japan</v>
      </c>
      <c r="S864" t="str">
        <f>IFERROR(IF(VLOOKUP(A864,'[1]Sales Order'!A:H,8,FALSE)&gt;100,"High Freight","Low Freight"),"Not Specified")</f>
        <v>Low Freight</v>
      </c>
      <c r="T864">
        <f t="shared" si="27"/>
        <v>217.38749999999999</v>
      </c>
    </row>
    <row r="865" spans="1:20">
      <c r="A865" s="1">
        <v>10571</v>
      </c>
      <c r="B865" s="2">
        <v>42</v>
      </c>
      <c r="C865" s="2">
        <v>14</v>
      </c>
      <c r="D865" s="2">
        <v>28</v>
      </c>
      <c r="E865" s="3">
        <v>0.15</v>
      </c>
      <c r="F865" s="2" t="str">
        <f>IFERROR(VLOOKUP(VLOOKUP(A865,'[1]Sales Order'!A:B,2,FALSE),[1]Customer!A:C,3,FALSE),"Not Specified")</f>
        <v>Kane, John</v>
      </c>
      <c r="G865" s="2" t="str">
        <f t="shared" si="26"/>
        <v>Kane John</v>
      </c>
      <c r="H865" s="8" t="str">
        <f>IFERROR(VLOOKUP(VLOOKUP(A865,'[1]Sales Order'!A:C,3,FALSE),[1]Employee!A:E,5,FALSE)&amp;" "&amp;VLOOKUP(VLOOKUP(A865,'[1]Sales Order'!A:C,3,FALSE),[1]Employee!A:C,3,FALSE)&amp;" "&amp;VLOOKUP(VLOOKUP(A865,'[1]Sales Order'!A:C,3,FALSE),[1]Employee!A:B,2,FALSE),"Not Specified")</f>
        <v>Ms. Maria Cameron</v>
      </c>
      <c r="I865" t="str">
        <f>IFERROR(VLOOKUP(VLOOKUP(A865,'[1]Sales Order'!A:C,3,FALSE),[1]Employee!A:J,10,FALSE),"Not Specified")</f>
        <v>WA</v>
      </c>
      <c r="J865" t="str">
        <f>VLOOKUP(B865,[1]Product!A:B,2,FALSE)</f>
        <v>Product RJVNM</v>
      </c>
      <c r="K865" t="str">
        <f>VLOOKUP(VLOOKUP(B865,[1]Product!A:D,4,FALSE),[1]Category!A:B,2,FALSE)</f>
        <v>Grains/Cereals</v>
      </c>
      <c r="L865" s="10">
        <f>IFERROR(VLOOKUP(A865,'[1]Sales Order'!A:D,4,FALSE),"")</f>
        <v>39250</v>
      </c>
      <c r="M865" s="10">
        <f>IFERROR(VLOOKUP(A865,'[1]Sales Order'!A:F,6,FALSE),"")</f>
        <v>39267</v>
      </c>
      <c r="N865" t="str">
        <f>IFERROR(VLOOKUP(VLOOKUP(A865,'[1]Sales Order'!A:G,7,FALSE),[1]Shipper!A:B,2,FALSE),"Not Specified")</f>
        <v>Shipper ZHISN</v>
      </c>
      <c r="O865" t="str">
        <f>IFERROR(VLOOKUP(A865,'[1]Sales Order'!A:I,9,FALSE),"Not Specified")</f>
        <v>Destination RVDMF</v>
      </c>
      <c r="P865" t="str">
        <f>IFERROR(VLOOKUP(A865,'[1]Sales Order'!A:N,14,FALSE),"Not Specified")</f>
        <v>Austria</v>
      </c>
      <c r="Q865" t="str">
        <f>VLOOKUP(VLOOKUP(B865,[1]Product!A:C,3,FALSE),[1]Supplier!A:B,2,FALSE)</f>
        <v>Supplier CIYNM</v>
      </c>
      <c r="R865" t="str">
        <f>VLOOKUP(VLOOKUP(B865,[1]Product!A:C,3,FALSE),[1]Supplier!A:I,9,FALSE)</f>
        <v>Singapore</v>
      </c>
      <c r="S865" t="str">
        <f>IFERROR(IF(VLOOKUP(A865,'[1]Sales Order'!A:H,8,FALSE)&gt;100,"High Freight","Low Freight"),"Not Specified")</f>
        <v>Low Freight</v>
      </c>
      <c r="T865">
        <f t="shared" si="27"/>
        <v>333.2</v>
      </c>
    </row>
    <row r="866" spans="1:20">
      <c r="A866" s="1">
        <v>10572</v>
      </c>
      <c r="B866" s="2">
        <v>16</v>
      </c>
      <c r="C866" s="2">
        <v>17.45</v>
      </c>
      <c r="D866" s="2">
        <v>12</v>
      </c>
      <c r="E866" s="3">
        <v>0.1</v>
      </c>
      <c r="F866" s="2" t="str">
        <f>IFERROR(VLOOKUP(VLOOKUP(A866,'[1]Sales Order'!A:B,2,FALSE),[1]Customer!A:C,3,FALSE),"Not Specified")</f>
        <v>Higginbotham, Tom</v>
      </c>
      <c r="G866" s="2" t="str">
        <f t="shared" si="26"/>
        <v>Higginbotham Tom</v>
      </c>
      <c r="H866" s="8" t="str">
        <f>IFERROR(VLOOKUP(VLOOKUP(A866,'[1]Sales Order'!A:C,3,FALSE),[1]Employee!A:E,5,FALSE)&amp;" "&amp;VLOOKUP(VLOOKUP(A866,'[1]Sales Order'!A:C,3,FALSE),[1]Employee!A:C,3,FALSE)&amp;" "&amp;VLOOKUP(VLOOKUP(A866,'[1]Sales Order'!A:C,3,FALSE),[1]Employee!A:B,2,FALSE),"Not Specified")</f>
        <v>Ms. Judy Lew</v>
      </c>
      <c r="I866" t="str">
        <f>IFERROR(VLOOKUP(VLOOKUP(A866,'[1]Sales Order'!A:C,3,FALSE),[1]Employee!A:J,10,FALSE),"Not Specified")</f>
        <v>WA</v>
      </c>
      <c r="J866" t="str">
        <f>VLOOKUP(B866,[1]Product!A:B,2,FALSE)</f>
        <v>Product PAFRH</v>
      </c>
      <c r="K866" t="str">
        <f>VLOOKUP(VLOOKUP(B866,[1]Product!A:D,4,FALSE),[1]Category!A:B,2,FALSE)</f>
        <v>Confections</v>
      </c>
      <c r="L866" s="10">
        <f>IFERROR(VLOOKUP(A866,'[1]Sales Order'!A:D,4,FALSE),"")</f>
        <v>39251</v>
      </c>
      <c r="M866" s="10">
        <f>IFERROR(VLOOKUP(A866,'[1]Sales Order'!A:F,6,FALSE),"")</f>
        <v>39258</v>
      </c>
      <c r="N866" t="str">
        <f>IFERROR(VLOOKUP(VLOOKUP(A866,'[1]Sales Order'!A:G,7,FALSE),[1]Shipper!A:B,2,FALSE),"Not Specified")</f>
        <v>Shipper ETYNR</v>
      </c>
      <c r="O866" t="str">
        <f>IFERROR(VLOOKUP(A866,'[1]Sales Order'!A:I,9,FALSE),"Not Specified")</f>
        <v>Ship to 5-B</v>
      </c>
      <c r="P866" t="str">
        <f>IFERROR(VLOOKUP(A866,'[1]Sales Order'!A:N,14,FALSE),"Not Specified")</f>
        <v>Sweden</v>
      </c>
      <c r="Q866" t="str">
        <f>VLOOKUP(VLOOKUP(B866,[1]Product!A:C,3,FALSE),[1]Supplier!A:B,2,FALSE)</f>
        <v>Supplier GQRCV</v>
      </c>
      <c r="R866" t="str">
        <f>VLOOKUP(VLOOKUP(B866,[1]Product!A:C,3,FALSE),[1]Supplier!A:I,9,FALSE)</f>
        <v>Australia</v>
      </c>
      <c r="S866" t="str">
        <f>IFERROR(IF(VLOOKUP(A866,'[1]Sales Order'!A:H,8,FALSE)&gt;100,"High Freight","Low Freight"),"Not Specified")</f>
        <v>High Freight</v>
      </c>
      <c r="T866">
        <f t="shared" si="27"/>
        <v>188.45999999999998</v>
      </c>
    </row>
    <row r="867" spans="1:20">
      <c r="A867" s="1">
        <v>10572</v>
      </c>
      <c r="B867" s="2">
        <v>32</v>
      </c>
      <c r="C867" s="2">
        <v>32</v>
      </c>
      <c r="D867" s="2">
        <v>10</v>
      </c>
      <c r="E867" s="3">
        <v>0.1</v>
      </c>
      <c r="F867" s="2" t="str">
        <f>IFERROR(VLOOKUP(VLOOKUP(A867,'[1]Sales Order'!A:B,2,FALSE),[1]Customer!A:C,3,FALSE),"Not Specified")</f>
        <v>Higginbotham, Tom</v>
      </c>
      <c r="G867" s="2" t="str">
        <f t="shared" si="26"/>
        <v>Higginbotham Tom</v>
      </c>
      <c r="H867" s="8" t="str">
        <f>IFERROR(VLOOKUP(VLOOKUP(A867,'[1]Sales Order'!A:C,3,FALSE),[1]Employee!A:E,5,FALSE)&amp;" "&amp;VLOOKUP(VLOOKUP(A867,'[1]Sales Order'!A:C,3,FALSE),[1]Employee!A:C,3,FALSE)&amp;" "&amp;VLOOKUP(VLOOKUP(A867,'[1]Sales Order'!A:C,3,FALSE),[1]Employee!A:B,2,FALSE),"Not Specified")</f>
        <v>Ms. Judy Lew</v>
      </c>
      <c r="I867" t="str">
        <f>IFERROR(VLOOKUP(VLOOKUP(A867,'[1]Sales Order'!A:C,3,FALSE),[1]Employee!A:J,10,FALSE),"Not Specified")</f>
        <v>WA</v>
      </c>
      <c r="J867" t="str">
        <f>VLOOKUP(B867,[1]Product!A:B,2,FALSE)</f>
        <v>Product NUNAW</v>
      </c>
      <c r="K867" t="str">
        <f>VLOOKUP(VLOOKUP(B867,[1]Product!A:D,4,FALSE),[1]Category!A:B,2,FALSE)</f>
        <v>Dairy Product</v>
      </c>
      <c r="L867" s="10">
        <f>IFERROR(VLOOKUP(A867,'[1]Sales Order'!A:D,4,FALSE),"")</f>
        <v>39251</v>
      </c>
      <c r="M867" s="10">
        <f>IFERROR(VLOOKUP(A867,'[1]Sales Order'!A:F,6,FALSE),"")</f>
        <v>39258</v>
      </c>
      <c r="N867" t="str">
        <f>IFERROR(VLOOKUP(VLOOKUP(A867,'[1]Sales Order'!A:G,7,FALSE),[1]Shipper!A:B,2,FALSE),"Not Specified")</f>
        <v>Shipper ETYNR</v>
      </c>
      <c r="O867" t="str">
        <f>IFERROR(VLOOKUP(A867,'[1]Sales Order'!A:I,9,FALSE),"Not Specified")</f>
        <v>Ship to 5-B</v>
      </c>
      <c r="P867" t="str">
        <f>IFERROR(VLOOKUP(A867,'[1]Sales Order'!A:N,14,FALSE),"Not Specified")</f>
        <v>Sweden</v>
      </c>
      <c r="Q867" t="str">
        <f>VLOOKUP(VLOOKUP(B867,[1]Product!A:C,3,FALSE),[1]Supplier!A:B,2,FALSE)</f>
        <v>Supplier KEREV</v>
      </c>
      <c r="R867" t="str">
        <f>VLOOKUP(VLOOKUP(B867,[1]Product!A:C,3,FALSE),[1]Supplier!A:I,9,FALSE)</f>
        <v>Italy</v>
      </c>
      <c r="S867" t="str">
        <f>IFERROR(IF(VLOOKUP(A867,'[1]Sales Order'!A:H,8,FALSE)&gt;100,"High Freight","Low Freight"),"Not Specified")</f>
        <v>High Freight</v>
      </c>
      <c r="T867">
        <f t="shared" si="27"/>
        <v>288</v>
      </c>
    </row>
    <row r="868" spans="1:20">
      <c r="A868" s="1">
        <v>10572</v>
      </c>
      <c r="B868" s="2">
        <v>40</v>
      </c>
      <c r="C868" s="2">
        <v>18.399999999999999</v>
      </c>
      <c r="D868" s="2">
        <v>50</v>
      </c>
      <c r="E868" s="3">
        <v>0</v>
      </c>
      <c r="F868" s="2" t="str">
        <f>IFERROR(VLOOKUP(VLOOKUP(A868,'[1]Sales Order'!A:B,2,FALSE),[1]Customer!A:C,3,FALSE),"Not Specified")</f>
        <v>Higginbotham, Tom</v>
      </c>
      <c r="G868" s="2" t="str">
        <f t="shared" si="26"/>
        <v>Higginbotham Tom</v>
      </c>
      <c r="H868" s="8" t="str">
        <f>IFERROR(VLOOKUP(VLOOKUP(A868,'[1]Sales Order'!A:C,3,FALSE),[1]Employee!A:E,5,FALSE)&amp;" "&amp;VLOOKUP(VLOOKUP(A868,'[1]Sales Order'!A:C,3,FALSE),[1]Employee!A:C,3,FALSE)&amp;" "&amp;VLOOKUP(VLOOKUP(A868,'[1]Sales Order'!A:C,3,FALSE),[1]Employee!A:B,2,FALSE),"Not Specified")</f>
        <v>Ms. Judy Lew</v>
      </c>
      <c r="I868" t="str">
        <f>IFERROR(VLOOKUP(VLOOKUP(A868,'[1]Sales Order'!A:C,3,FALSE),[1]Employee!A:J,10,FALSE),"Not Specified")</f>
        <v>WA</v>
      </c>
      <c r="J868" t="str">
        <f>VLOOKUP(B868,[1]Product!A:B,2,FALSE)</f>
        <v>Product YZIXQ</v>
      </c>
      <c r="K868" t="str">
        <f>VLOOKUP(VLOOKUP(B868,[1]Product!A:D,4,FALSE),[1]Category!A:B,2,FALSE)</f>
        <v>Seafood</v>
      </c>
      <c r="L868" s="10">
        <f>IFERROR(VLOOKUP(A868,'[1]Sales Order'!A:D,4,FALSE),"")</f>
        <v>39251</v>
      </c>
      <c r="M868" s="10">
        <f>IFERROR(VLOOKUP(A868,'[1]Sales Order'!A:F,6,FALSE),"")</f>
        <v>39258</v>
      </c>
      <c r="N868" t="str">
        <f>IFERROR(VLOOKUP(VLOOKUP(A868,'[1]Sales Order'!A:G,7,FALSE),[1]Shipper!A:B,2,FALSE),"Not Specified")</f>
        <v>Shipper ETYNR</v>
      </c>
      <c r="O868" t="str">
        <f>IFERROR(VLOOKUP(A868,'[1]Sales Order'!A:I,9,FALSE),"Not Specified")</f>
        <v>Ship to 5-B</v>
      </c>
      <c r="P868" t="str">
        <f>IFERROR(VLOOKUP(A868,'[1]Sales Order'!A:N,14,FALSE),"Not Specified")</f>
        <v>Sweden</v>
      </c>
      <c r="Q868" t="str">
        <f>VLOOKUP(VLOOKUP(B868,[1]Product!A:C,3,FALSE),[1]Supplier!A:B,2,FALSE)</f>
        <v>Supplier JDNUG</v>
      </c>
      <c r="R868" t="str">
        <f>VLOOKUP(VLOOKUP(B868,[1]Product!A:C,3,FALSE),[1]Supplier!A:I,9,FALSE)</f>
        <v>USA</v>
      </c>
      <c r="S868" t="str">
        <f>IFERROR(IF(VLOOKUP(A868,'[1]Sales Order'!A:H,8,FALSE)&gt;100,"High Freight","Low Freight"),"Not Specified")</f>
        <v>High Freight</v>
      </c>
      <c r="T868">
        <f t="shared" si="27"/>
        <v>919.99999999999989</v>
      </c>
    </row>
    <row r="869" spans="1:20">
      <c r="A869" s="1">
        <v>10572</v>
      </c>
      <c r="B869" s="2">
        <v>75</v>
      </c>
      <c r="C869" s="2">
        <v>7.75</v>
      </c>
      <c r="D869" s="2">
        <v>15</v>
      </c>
      <c r="E869" s="3">
        <v>0.1</v>
      </c>
      <c r="F869" s="2" t="str">
        <f>IFERROR(VLOOKUP(VLOOKUP(A869,'[1]Sales Order'!A:B,2,FALSE),[1]Customer!A:C,3,FALSE),"Not Specified")</f>
        <v>Higginbotham, Tom</v>
      </c>
      <c r="G869" s="2" t="str">
        <f t="shared" si="26"/>
        <v>Higginbotham Tom</v>
      </c>
      <c r="H869" s="8" t="str">
        <f>IFERROR(VLOOKUP(VLOOKUP(A869,'[1]Sales Order'!A:C,3,FALSE),[1]Employee!A:E,5,FALSE)&amp;" "&amp;VLOOKUP(VLOOKUP(A869,'[1]Sales Order'!A:C,3,FALSE),[1]Employee!A:C,3,FALSE)&amp;" "&amp;VLOOKUP(VLOOKUP(A869,'[1]Sales Order'!A:C,3,FALSE),[1]Employee!A:B,2,FALSE),"Not Specified")</f>
        <v>Ms. Judy Lew</v>
      </c>
      <c r="I869" t="str">
        <f>IFERROR(VLOOKUP(VLOOKUP(A869,'[1]Sales Order'!A:C,3,FALSE),[1]Employee!A:J,10,FALSE),"Not Specified")</f>
        <v>WA</v>
      </c>
      <c r="J869" t="str">
        <f>VLOOKUP(B869,[1]Product!A:B,2,FALSE)</f>
        <v>Product BWRLG</v>
      </c>
      <c r="K869" t="str">
        <f>VLOOKUP(VLOOKUP(B869,[1]Product!A:D,4,FALSE),[1]Category!A:B,2,FALSE)</f>
        <v>Beverages</v>
      </c>
      <c r="L869" s="10">
        <f>IFERROR(VLOOKUP(A869,'[1]Sales Order'!A:D,4,FALSE),"")</f>
        <v>39251</v>
      </c>
      <c r="M869" s="10">
        <f>IFERROR(VLOOKUP(A869,'[1]Sales Order'!A:F,6,FALSE),"")</f>
        <v>39258</v>
      </c>
      <c r="N869" t="str">
        <f>IFERROR(VLOOKUP(VLOOKUP(A869,'[1]Sales Order'!A:G,7,FALSE),[1]Shipper!A:B,2,FALSE),"Not Specified")</f>
        <v>Shipper ETYNR</v>
      </c>
      <c r="O869" t="str">
        <f>IFERROR(VLOOKUP(A869,'[1]Sales Order'!A:I,9,FALSE),"Not Specified")</f>
        <v>Ship to 5-B</v>
      </c>
      <c r="P869" t="str">
        <f>IFERROR(VLOOKUP(A869,'[1]Sales Order'!A:N,14,FALSE),"Not Specified")</f>
        <v>Sweden</v>
      </c>
      <c r="Q869" t="str">
        <f>VLOOKUP(VLOOKUP(B869,[1]Product!A:C,3,FALSE),[1]Supplier!A:B,2,FALSE)</f>
        <v>Supplier SVIYA</v>
      </c>
      <c r="R869" t="str">
        <f>VLOOKUP(VLOOKUP(B869,[1]Product!A:C,3,FALSE),[1]Supplier!A:I,9,FALSE)</f>
        <v>Germany</v>
      </c>
      <c r="S869" t="str">
        <f>IFERROR(IF(VLOOKUP(A869,'[1]Sales Order'!A:H,8,FALSE)&gt;100,"High Freight","Low Freight"),"Not Specified")</f>
        <v>High Freight</v>
      </c>
      <c r="T869">
        <f t="shared" si="27"/>
        <v>104.625</v>
      </c>
    </row>
    <row r="870" spans="1:20">
      <c r="A870" s="1">
        <v>10573</v>
      </c>
      <c r="B870" s="2">
        <v>17</v>
      </c>
      <c r="C870" s="2">
        <v>39</v>
      </c>
      <c r="D870" s="2">
        <v>18</v>
      </c>
      <c r="E870" s="3">
        <v>0</v>
      </c>
      <c r="F870" s="2" t="str">
        <f>IFERROR(VLOOKUP(VLOOKUP(A870,'[1]Sales Order'!A:B,2,FALSE),[1]Customer!A:C,3,FALSE),"Not Specified")</f>
        <v>Peoples, John</v>
      </c>
      <c r="G870" s="2" t="str">
        <f t="shared" si="26"/>
        <v>Peoples John</v>
      </c>
      <c r="H870" s="8" t="str">
        <f>IFERROR(VLOOKUP(VLOOKUP(A870,'[1]Sales Order'!A:C,3,FALSE),[1]Employee!A:E,5,FALSE)&amp;" "&amp;VLOOKUP(VLOOKUP(A870,'[1]Sales Order'!A:C,3,FALSE),[1]Employee!A:C,3,FALSE)&amp;" "&amp;VLOOKUP(VLOOKUP(A870,'[1]Sales Order'!A:C,3,FALSE),[1]Employee!A:B,2,FALSE),"Not Specified")</f>
        <v>Mr. Russell King</v>
      </c>
      <c r="I870">
        <f>IFERROR(VLOOKUP(VLOOKUP(A870,'[1]Sales Order'!A:C,3,FALSE),[1]Employee!A:J,10,FALSE),"Not Specified")</f>
        <v>0</v>
      </c>
      <c r="J870" t="str">
        <f>VLOOKUP(B870,[1]Product!A:B,2,FALSE)</f>
        <v>Product BLCAX</v>
      </c>
      <c r="K870" t="str">
        <f>VLOOKUP(VLOOKUP(B870,[1]Product!A:D,4,FALSE),[1]Category!A:B,2,FALSE)</f>
        <v>Meat/Poultry</v>
      </c>
      <c r="L870" s="10">
        <f>IFERROR(VLOOKUP(A870,'[1]Sales Order'!A:D,4,FALSE),"")</f>
        <v>39252</v>
      </c>
      <c r="M870" s="10">
        <f>IFERROR(VLOOKUP(A870,'[1]Sales Order'!A:F,6,FALSE),"")</f>
        <v>39253</v>
      </c>
      <c r="N870" t="str">
        <f>IFERROR(VLOOKUP(VLOOKUP(A870,'[1]Sales Order'!A:G,7,FALSE),[1]Shipper!A:B,2,FALSE),"Not Specified")</f>
        <v>Shipper ZHISN</v>
      </c>
      <c r="O870" t="str">
        <f>IFERROR(VLOOKUP(A870,'[1]Sales Order'!A:I,9,FALSE),"Not Specified")</f>
        <v>Destination LANNN</v>
      </c>
      <c r="P870" t="str">
        <f>IFERROR(VLOOKUP(A870,'[1]Sales Order'!A:N,14,FALSE),"Not Specified")</f>
        <v>Mexico</v>
      </c>
      <c r="Q870" t="str">
        <f>VLOOKUP(VLOOKUP(B870,[1]Product!A:C,3,FALSE),[1]Supplier!A:B,2,FALSE)</f>
        <v>Supplier GQRCV</v>
      </c>
      <c r="R870" t="str">
        <f>VLOOKUP(VLOOKUP(B870,[1]Product!A:C,3,FALSE),[1]Supplier!A:I,9,FALSE)</f>
        <v>Australia</v>
      </c>
      <c r="S870" t="str">
        <f>IFERROR(IF(VLOOKUP(A870,'[1]Sales Order'!A:H,8,FALSE)&gt;100,"High Freight","Low Freight"),"Not Specified")</f>
        <v>Low Freight</v>
      </c>
      <c r="T870">
        <f t="shared" si="27"/>
        <v>702</v>
      </c>
    </row>
    <row r="871" spans="1:20">
      <c r="A871" s="1">
        <v>10573</v>
      </c>
      <c r="B871" s="2">
        <v>34</v>
      </c>
      <c r="C871" s="2">
        <v>14</v>
      </c>
      <c r="D871" s="2">
        <v>40</v>
      </c>
      <c r="E871" s="3">
        <v>0</v>
      </c>
      <c r="F871" s="2" t="str">
        <f>IFERROR(VLOOKUP(VLOOKUP(A871,'[1]Sales Order'!A:B,2,FALSE),[1]Customer!A:C,3,FALSE),"Not Specified")</f>
        <v>Peoples, John</v>
      </c>
      <c r="G871" s="2" t="str">
        <f t="shared" si="26"/>
        <v>Peoples John</v>
      </c>
      <c r="H871" s="8" t="str">
        <f>IFERROR(VLOOKUP(VLOOKUP(A871,'[1]Sales Order'!A:C,3,FALSE),[1]Employee!A:E,5,FALSE)&amp;" "&amp;VLOOKUP(VLOOKUP(A871,'[1]Sales Order'!A:C,3,FALSE),[1]Employee!A:C,3,FALSE)&amp;" "&amp;VLOOKUP(VLOOKUP(A871,'[1]Sales Order'!A:C,3,FALSE),[1]Employee!A:B,2,FALSE),"Not Specified")</f>
        <v>Mr. Russell King</v>
      </c>
      <c r="I871">
        <f>IFERROR(VLOOKUP(VLOOKUP(A871,'[1]Sales Order'!A:C,3,FALSE),[1]Employee!A:J,10,FALSE),"Not Specified")</f>
        <v>0</v>
      </c>
      <c r="J871" t="str">
        <f>VLOOKUP(B871,[1]Product!A:B,2,FALSE)</f>
        <v>Product SWNJY</v>
      </c>
      <c r="K871" t="str">
        <f>VLOOKUP(VLOOKUP(B871,[1]Product!A:D,4,FALSE),[1]Category!A:B,2,FALSE)</f>
        <v>Beverages</v>
      </c>
      <c r="L871" s="10">
        <f>IFERROR(VLOOKUP(A871,'[1]Sales Order'!A:D,4,FALSE),"")</f>
        <v>39252</v>
      </c>
      <c r="M871" s="10">
        <f>IFERROR(VLOOKUP(A871,'[1]Sales Order'!A:F,6,FALSE),"")</f>
        <v>39253</v>
      </c>
      <c r="N871" t="str">
        <f>IFERROR(VLOOKUP(VLOOKUP(A871,'[1]Sales Order'!A:G,7,FALSE),[1]Shipper!A:B,2,FALSE),"Not Specified")</f>
        <v>Shipper ZHISN</v>
      </c>
      <c r="O871" t="str">
        <f>IFERROR(VLOOKUP(A871,'[1]Sales Order'!A:I,9,FALSE),"Not Specified")</f>
        <v>Destination LANNN</v>
      </c>
      <c r="P871" t="str">
        <f>IFERROR(VLOOKUP(A871,'[1]Sales Order'!A:N,14,FALSE),"Not Specified")</f>
        <v>Mexico</v>
      </c>
      <c r="Q871" t="str">
        <f>VLOOKUP(VLOOKUP(B871,[1]Product!A:C,3,FALSE),[1]Supplier!A:B,2,FALSE)</f>
        <v>Supplier UHZRG</v>
      </c>
      <c r="R871" t="str">
        <f>VLOOKUP(VLOOKUP(B871,[1]Product!A:C,3,FALSE),[1]Supplier!A:I,9,FALSE)</f>
        <v>USA</v>
      </c>
      <c r="S871" t="str">
        <f>IFERROR(IF(VLOOKUP(A871,'[1]Sales Order'!A:H,8,FALSE)&gt;100,"High Freight","Low Freight"),"Not Specified")</f>
        <v>Low Freight</v>
      </c>
      <c r="T871">
        <f t="shared" si="27"/>
        <v>560</v>
      </c>
    </row>
    <row r="872" spans="1:20">
      <c r="A872" s="1">
        <v>10573</v>
      </c>
      <c r="B872" s="2">
        <v>53</v>
      </c>
      <c r="C872" s="2">
        <v>32.799999999999997</v>
      </c>
      <c r="D872" s="2">
        <v>25</v>
      </c>
      <c r="E872" s="3">
        <v>0</v>
      </c>
      <c r="F872" s="2" t="str">
        <f>IFERROR(VLOOKUP(VLOOKUP(A872,'[1]Sales Order'!A:B,2,FALSE),[1]Customer!A:C,3,FALSE),"Not Specified")</f>
        <v>Peoples, John</v>
      </c>
      <c r="G872" s="2" t="str">
        <f t="shared" si="26"/>
        <v>Peoples John</v>
      </c>
      <c r="H872" s="8" t="str">
        <f>IFERROR(VLOOKUP(VLOOKUP(A872,'[1]Sales Order'!A:C,3,FALSE),[1]Employee!A:E,5,FALSE)&amp;" "&amp;VLOOKUP(VLOOKUP(A872,'[1]Sales Order'!A:C,3,FALSE),[1]Employee!A:C,3,FALSE)&amp;" "&amp;VLOOKUP(VLOOKUP(A872,'[1]Sales Order'!A:C,3,FALSE),[1]Employee!A:B,2,FALSE),"Not Specified")</f>
        <v>Mr. Russell King</v>
      </c>
      <c r="I872">
        <f>IFERROR(VLOOKUP(VLOOKUP(A872,'[1]Sales Order'!A:C,3,FALSE),[1]Employee!A:J,10,FALSE),"Not Specified")</f>
        <v>0</v>
      </c>
      <c r="J872" t="str">
        <f>VLOOKUP(B872,[1]Product!A:B,2,FALSE)</f>
        <v>Product BKGEA</v>
      </c>
      <c r="K872" t="str">
        <f>VLOOKUP(VLOOKUP(B872,[1]Product!A:D,4,FALSE),[1]Category!A:B,2,FALSE)</f>
        <v>Meat/Poultry</v>
      </c>
      <c r="L872" s="10">
        <f>IFERROR(VLOOKUP(A872,'[1]Sales Order'!A:D,4,FALSE),"")</f>
        <v>39252</v>
      </c>
      <c r="M872" s="10">
        <f>IFERROR(VLOOKUP(A872,'[1]Sales Order'!A:F,6,FALSE),"")</f>
        <v>39253</v>
      </c>
      <c r="N872" t="str">
        <f>IFERROR(VLOOKUP(VLOOKUP(A872,'[1]Sales Order'!A:G,7,FALSE),[1]Shipper!A:B,2,FALSE),"Not Specified")</f>
        <v>Shipper ZHISN</v>
      </c>
      <c r="O872" t="str">
        <f>IFERROR(VLOOKUP(A872,'[1]Sales Order'!A:I,9,FALSE),"Not Specified")</f>
        <v>Destination LANNN</v>
      </c>
      <c r="P872" t="str">
        <f>IFERROR(VLOOKUP(A872,'[1]Sales Order'!A:N,14,FALSE),"Not Specified")</f>
        <v>Mexico</v>
      </c>
      <c r="Q872" t="str">
        <f>VLOOKUP(VLOOKUP(B872,[1]Product!A:C,3,FALSE),[1]Supplier!A:B,2,FALSE)</f>
        <v>Supplier JNNES</v>
      </c>
      <c r="R872" t="str">
        <f>VLOOKUP(VLOOKUP(B872,[1]Product!A:C,3,FALSE),[1]Supplier!A:I,9,FALSE)</f>
        <v>Australia</v>
      </c>
      <c r="S872" t="str">
        <f>IFERROR(IF(VLOOKUP(A872,'[1]Sales Order'!A:H,8,FALSE)&gt;100,"High Freight","Low Freight"),"Not Specified")</f>
        <v>Low Freight</v>
      </c>
      <c r="T872">
        <f t="shared" si="27"/>
        <v>819.99999999999989</v>
      </c>
    </row>
    <row r="873" spans="1:20">
      <c r="A873" s="1">
        <v>10574</v>
      </c>
      <c r="B873" s="2">
        <v>33</v>
      </c>
      <c r="C873" s="2">
        <v>2.5</v>
      </c>
      <c r="D873" s="2">
        <v>14</v>
      </c>
      <c r="E873" s="3">
        <v>0</v>
      </c>
      <c r="F873" s="2" t="str">
        <f>IFERROR(VLOOKUP(VLOOKUP(A873,'[1]Sales Order'!A:B,2,FALSE),[1]Customer!A:C,3,FALSE),"Not Specified")</f>
        <v>Veninga, Tjeerd</v>
      </c>
      <c r="G873" s="2" t="str">
        <f t="shared" si="26"/>
        <v>Veninga Tjeerd</v>
      </c>
      <c r="H873" s="8" t="str">
        <f>IFERROR(VLOOKUP(VLOOKUP(A873,'[1]Sales Order'!A:C,3,FALSE),[1]Employee!A:E,5,FALSE)&amp;" "&amp;VLOOKUP(VLOOKUP(A873,'[1]Sales Order'!A:C,3,FALSE),[1]Employee!A:C,3,FALSE)&amp;" "&amp;VLOOKUP(VLOOKUP(A873,'[1]Sales Order'!A:C,3,FALSE),[1]Employee!A:B,2,FALSE),"Not Specified")</f>
        <v>Mrs. Yael Peled</v>
      </c>
      <c r="I873" t="str">
        <f>IFERROR(VLOOKUP(VLOOKUP(A873,'[1]Sales Order'!A:C,3,FALSE),[1]Employee!A:J,10,FALSE),"Not Specified")</f>
        <v>WA</v>
      </c>
      <c r="J873" t="str">
        <f>VLOOKUP(B873,[1]Product!A:B,2,FALSE)</f>
        <v>Product ASTMN</v>
      </c>
      <c r="K873" t="str">
        <f>VLOOKUP(VLOOKUP(B873,[1]Product!A:D,4,FALSE),[1]Category!A:B,2,FALSE)</f>
        <v>Dairy Product</v>
      </c>
      <c r="L873" s="10">
        <f>IFERROR(VLOOKUP(A873,'[1]Sales Order'!A:D,4,FALSE),"")</f>
        <v>39252</v>
      </c>
      <c r="M873" s="10">
        <f>IFERROR(VLOOKUP(A873,'[1]Sales Order'!A:F,6,FALSE),"")</f>
        <v>39263</v>
      </c>
      <c r="N873" t="str">
        <f>IFERROR(VLOOKUP(VLOOKUP(A873,'[1]Sales Order'!A:G,7,FALSE),[1]Shipper!A:B,2,FALSE),"Not Specified")</f>
        <v>Shipper ETYNR</v>
      </c>
      <c r="O873" t="str">
        <f>IFERROR(VLOOKUP(A873,'[1]Sales Order'!A:I,9,FALSE),"Not Specified")</f>
        <v>Ship to 82-A</v>
      </c>
      <c r="P873" t="str">
        <f>IFERROR(VLOOKUP(A873,'[1]Sales Order'!A:N,14,FALSE),"Not Specified")</f>
        <v>USA</v>
      </c>
      <c r="Q873" t="str">
        <f>VLOOKUP(VLOOKUP(B873,[1]Product!A:C,3,FALSE),[1]Supplier!A:B,2,FALSE)</f>
        <v>Supplier NZLIF</v>
      </c>
      <c r="R873" t="str">
        <f>VLOOKUP(VLOOKUP(B873,[1]Product!A:C,3,FALSE),[1]Supplier!A:I,9,FALSE)</f>
        <v>Norway</v>
      </c>
      <c r="S873" t="str">
        <f>IFERROR(IF(VLOOKUP(A873,'[1]Sales Order'!A:H,8,FALSE)&gt;100,"High Freight","Low Freight"),"Not Specified")</f>
        <v>Low Freight</v>
      </c>
      <c r="T873">
        <f t="shared" si="27"/>
        <v>35</v>
      </c>
    </row>
    <row r="874" spans="1:20">
      <c r="A874" s="1">
        <v>10574</v>
      </c>
      <c r="B874" s="2">
        <v>40</v>
      </c>
      <c r="C874" s="2">
        <v>18.399999999999999</v>
      </c>
      <c r="D874" s="2">
        <v>2</v>
      </c>
      <c r="E874" s="3">
        <v>0</v>
      </c>
      <c r="F874" s="2" t="str">
        <f>IFERROR(VLOOKUP(VLOOKUP(A874,'[1]Sales Order'!A:B,2,FALSE),[1]Customer!A:C,3,FALSE),"Not Specified")</f>
        <v>Veninga, Tjeerd</v>
      </c>
      <c r="G874" s="2" t="str">
        <f t="shared" si="26"/>
        <v>Veninga Tjeerd</v>
      </c>
      <c r="H874" s="8" t="str">
        <f>IFERROR(VLOOKUP(VLOOKUP(A874,'[1]Sales Order'!A:C,3,FALSE),[1]Employee!A:E,5,FALSE)&amp;" "&amp;VLOOKUP(VLOOKUP(A874,'[1]Sales Order'!A:C,3,FALSE),[1]Employee!A:C,3,FALSE)&amp;" "&amp;VLOOKUP(VLOOKUP(A874,'[1]Sales Order'!A:C,3,FALSE),[1]Employee!A:B,2,FALSE),"Not Specified")</f>
        <v>Mrs. Yael Peled</v>
      </c>
      <c r="I874" t="str">
        <f>IFERROR(VLOOKUP(VLOOKUP(A874,'[1]Sales Order'!A:C,3,FALSE),[1]Employee!A:J,10,FALSE),"Not Specified")</f>
        <v>WA</v>
      </c>
      <c r="J874" t="str">
        <f>VLOOKUP(B874,[1]Product!A:B,2,FALSE)</f>
        <v>Product YZIXQ</v>
      </c>
      <c r="K874" t="str">
        <f>VLOOKUP(VLOOKUP(B874,[1]Product!A:D,4,FALSE),[1]Category!A:B,2,FALSE)</f>
        <v>Seafood</v>
      </c>
      <c r="L874" s="10">
        <f>IFERROR(VLOOKUP(A874,'[1]Sales Order'!A:D,4,FALSE),"")</f>
        <v>39252</v>
      </c>
      <c r="M874" s="10">
        <f>IFERROR(VLOOKUP(A874,'[1]Sales Order'!A:F,6,FALSE),"")</f>
        <v>39263</v>
      </c>
      <c r="N874" t="str">
        <f>IFERROR(VLOOKUP(VLOOKUP(A874,'[1]Sales Order'!A:G,7,FALSE),[1]Shipper!A:B,2,FALSE),"Not Specified")</f>
        <v>Shipper ETYNR</v>
      </c>
      <c r="O874" t="str">
        <f>IFERROR(VLOOKUP(A874,'[1]Sales Order'!A:I,9,FALSE),"Not Specified")</f>
        <v>Ship to 82-A</v>
      </c>
      <c r="P874" t="str">
        <f>IFERROR(VLOOKUP(A874,'[1]Sales Order'!A:N,14,FALSE),"Not Specified")</f>
        <v>USA</v>
      </c>
      <c r="Q874" t="str">
        <f>VLOOKUP(VLOOKUP(B874,[1]Product!A:C,3,FALSE),[1]Supplier!A:B,2,FALSE)</f>
        <v>Supplier JDNUG</v>
      </c>
      <c r="R874" t="str">
        <f>VLOOKUP(VLOOKUP(B874,[1]Product!A:C,3,FALSE),[1]Supplier!A:I,9,FALSE)</f>
        <v>USA</v>
      </c>
      <c r="S874" t="str">
        <f>IFERROR(IF(VLOOKUP(A874,'[1]Sales Order'!A:H,8,FALSE)&gt;100,"High Freight","Low Freight"),"Not Specified")</f>
        <v>Low Freight</v>
      </c>
      <c r="T874">
        <f t="shared" si="27"/>
        <v>36.799999999999997</v>
      </c>
    </row>
    <row r="875" spans="1:20">
      <c r="A875" s="1">
        <v>10574</v>
      </c>
      <c r="B875" s="2">
        <v>62</v>
      </c>
      <c r="C875" s="2">
        <v>49.3</v>
      </c>
      <c r="D875" s="2">
        <v>10</v>
      </c>
      <c r="E875" s="3">
        <v>0</v>
      </c>
      <c r="F875" s="2" t="str">
        <f>IFERROR(VLOOKUP(VLOOKUP(A875,'[1]Sales Order'!A:B,2,FALSE),[1]Customer!A:C,3,FALSE),"Not Specified")</f>
        <v>Veninga, Tjeerd</v>
      </c>
      <c r="G875" s="2" t="str">
        <f t="shared" si="26"/>
        <v>Veninga Tjeerd</v>
      </c>
      <c r="H875" s="8" t="str">
        <f>IFERROR(VLOOKUP(VLOOKUP(A875,'[1]Sales Order'!A:C,3,FALSE),[1]Employee!A:E,5,FALSE)&amp;" "&amp;VLOOKUP(VLOOKUP(A875,'[1]Sales Order'!A:C,3,FALSE),[1]Employee!A:C,3,FALSE)&amp;" "&amp;VLOOKUP(VLOOKUP(A875,'[1]Sales Order'!A:C,3,FALSE),[1]Employee!A:B,2,FALSE),"Not Specified")</f>
        <v>Mrs. Yael Peled</v>
      </c>
      <c r="I875" t="str">
        <f>IFERROR(VLOOKUP(VLOOKUP(A875,'[1]Sales Order'!A:C,3,FALSE),[1]Employee!A:J,10,FALSE),"Not Specified")</f>
        <v>WA</v>
      </c>
      <c r="J875" t="str">
        <f>VLOOKUP(B875,[1]Product!A:B,2,FALSE)</f>
        <v>Product WUXYK</v>
      </c>
      <c r="K875" t="str">
        <f>VLOOKUP(VLOOKUP(B875,[1]Product!A:D,4,FALSE),[1]Category!A:B,2,FALSE)</f>
        <v>Confections</v>
      </c>
      <c r="L875" s="10">
        <f>IFERROR(VLOOKUP(A875,'[1]Sales Order'!A:D,4,FALSE),"")</f>
        <v>39252</v>
      </c>
      <c r="M875" s="10">
        <f>IFERROR(VLOOKUP(A875,'[1]Sales Order'!A:F,6,FALSE),"")</f>
        <v>39263</v>
      </c>
      <c r="N875" t="str">
        <f>IFERROR(VLOOKUP(VLOOKUP(A875,'[1]Sales Order'!A:G,7,FALSE),[1]Shipper!A:B,2,FALSE),"Not Specified")</f>
        <v>Shipper ETYNR</v>
      </c>
      <c r="O875" t="str">
        <f>IFERROR(VLOOKUP(A875,'[1]Sales Order'!A:I,9,FALSE),"Not Specified")</f>
        <v>Ship to 82-A</v>
      </c>
      <c r="P875" t="str">
        <f>IFERROR(VLOOKUP(A875,'[1]Sales Order'!A:N,14,FALSE),"Not Specified")</f>
        <v>USA</v>
      </c>
      <c r="Q875" t="str">
        <f>VLOOKUP(VLOOKUP(B875,[1]Product!A:C,3,FALSE),[1]Supplier!A:B,2,FALSE)</f>
        <v>Supplier OGLRK</v>
      </c>
      <c r="R875" t="str">
        <f>VLOOKUP(VLOOKUP(B875,[1]Product!A:C,3,FALSE),[1]Supplier!A:I,9,FALSE)</f>
        <v>Canada</v>
      </c>
      <c r="S875" t="str">
        <f>IFERROR(IF(VLOOKUP(A875,'[1]Sales Order'!A:H,8,FALSE)&gt;100,"High Freight","Low Freight"),"Not Specified")</f>
        <v>Low Freight</v>
      </c>
      <c r="T875">
        <f t="shared" si="27"/>
        <v>493</v>
      </c>
    </row>
    <row r="876" spans="1:20">
      <c r="A876" s="1">
        <v>10574</v>
      </c>
      <c r="B876" s="2">
        <v>64</v>
      </c>
      <c r="C876" s="2">
        <v>33.25</v>
      </c>
      <c r="D876" s="2">
        <v>6</v>
      </c>
      <c r="E876" s="3">
        <v>0</v>
      </c>
      <c r="F876" s="2" t="str">
        <f>IFERROR(VLOOKUP(VLOOKUP(A876,'[1]Sales Order'!A:B,2,FALSE),[1]Customer!A:C,3,FALSE),"Not Specified")</f>
        <v>Veninga, Tjeerd</v>
      </c>
      <c r="G876" s="2" t="str">
        <f t="shared" si="26"/>
        <v>Veninga Tjeerd</v>
      </c>
      <c r="H876" s="8" t="str">
        <f>IFERROR(VLOOKUP(VLOOKUP(A876,'[1]Sales Order'!A:C,3,FALSE),[1]Employee!A:E,5,FALSE)&amp;" "&amp;VLOOKUP(VLOOKUP(A876,'[1]Sales Order'!A:C,3,FALSE),[1]Employee!A:C,3,FALSE)&amp;" "&amp;VLOOKUP(VLOOKUP(A876,'[1]Sales Order'!A:C,3,FALSE),[1]Employee!A:B,2,FALSE),"Not Specified")</f>
        <v>Mrs. Yael Peled</v>
      </c>
      <c r="I876" t="str">
        <f>IFERROR(VLOOKUP(VLOOKUP(A876,'[1]Sales Order'!A:C,3,FALSE),[1]Employee!A:J,10,FALSE),"Not Specified")</f>
        <v>WA</v>
      </c>
      <c r="J876" t="str">
        <f>VLOOKUP(B876,[1]Product!A:B,2,FALSE)</f>
        <v>Product HCQDE</v>
      </c>
      <c r="K876" t="str">
        <f>VLOOKUP(VLOOKUP(B876,[1]Product!A:D,4,FALSE),[1]Category!A:B,2,FALSE)</f>
        <v>Grains/Cereals</v>
      </c>
      <c r="L876" s="10">
        <f>IFERROR(VLOOKUP(A876,'[1]Sales Order'!A:D,4,FALSE),"")</f>
        <v>39252</v>
      </c>
      <c r="M876" s="10">
        <f>IFERROR(VLOOKUP(A876,'[1]Sales Order'!A:F,6,FALSE),"")</f>
        <v>39263</v>
      </c>
      <c r="N876" t="str">
        <f>IFERROR(VLOOKUP(VLOOKUP(A876,'[1]Sales Order'!A:G,7,FALSE),[1]Shipper!A:B,2,FALSE),"Not Specified")</f>
        <v>Shipper ETYNR</v>
      </c>
      <c r="O876" t="str">
        <f>IFERROR(VLOOKUP(A876,'[1]Sales Order'!A:I,9,FALSE),"Not Specified")</f>
        <v>Ship to 82-A</v>
      </c>
      <c r="P876" t="str">
        <f>IFERROR(VLOOKUP(A876,'[1]Sales Order'!A:N,14,FALSE),"Not Specified")</f>
        <v>USA</v>
      </c>
      <c r="Q876" t="str">
        <f>VLOOKUP(VLOOKUP(B876,[1]Product!A:C,3,FALSE),[1]Supplier!A:B,2,FALSE)</f>
        <v>Supplier SVIYA</v>
      </c>
      <c r="R876" t="str">
        <f>VLOOKUP(VLOOKUP(B876,[1]Product!A:C,3,FALSE),[1]Supplier!A:I,9,FALSE)</f>
        <v>Germany</v>
      </c>
      <c r="S876" t="str">
        <f>IFERROR(IF(VLOOKUP(A876,'[1]Sales Order'!A:H,8,FALSE)&gt;100,"High Freight","Low Freight"),"Not Specified")</f>
        <v>Low Freight</v>
      </c>
      <c r="T876">
        <f t="shared" si="27"/>
        <v>199.5</v>
      </c>
    </row>
    <row r="877" spans="1:20">
      <c r="A877" s="1">
        <v>10575</v>
      </c>
      <c r="B877" s="2">
        <v>59</v>
      </c>
      <c r="C877" s="2">
        <v>55</v>
      </c>
      <c r="D877" s="2">
        <v>12</v>
      </c>
      <c r="E877" s="3">
        <v>0</v>
      </c>
      <c r="F877" s="2" t="str">
        <f>IFERROR(VLOOKUP(VLOOKUP(A877,'[1]Sales Order'!A:B,2,FALSE),[1]Customer!A:C,3,FALSE),"Not Specified")</f>
        <v>Dupont-Roc, Patrice</v>
      </c>
      <c r="G877" s="2" t="str">
        <f t="shared" si="26"/>
        <v>Dupont-Roc Patrice</v>
      </c>
      <c r="H877" s="8" t="str">
        <f>IFERROR(VLOOKUP(VLOOKUP(A877,'[1]Sales Order'!A:C,3,FALSE),[1]Employee!A:E,5,FALSE)&amp;" "&amp;VLOOKUP(VLOOKUP(A877,'[1]Sales Order'!A:C,3,FALSE),[1]Employee!A:C,3,FALSE)&amp;" "&amp;VLOOKUP(VLOOKUP(A877,'[1]Sales Order'!A:C,3,FALSE),[1]Employee!A:B,2,FALSE),"Not Specified")</f>
        <v>Mr. Sven Buck</v>
      </c>
      <c r="I877">
        <f>IFERROR(VLOOKUP(VLOOKUP(A877,'[1]Sales Order'!A:C,3,FALSE),[1]Employee!A:J,10,FALSE),"Not Specified")</f>
        <v>0</v>
      </c>
      <c r="J877" t="str">
        <f>VLOOKUP(B877,[1]Product!A:B,2,FALSE)</f>
        <v>Product UKXRI</v>
      </c>
      <c r="K877" t="str">
        <f>VLOOKUP(VLOOKUP(B877,[1]Product!A:D,4,FALSE),[1]Category!A:B,2,FALSE)</f>
        <v>Dairy Product</v>
      </c>
      <c r="L877" s="10">
        <f>IFERROR(VLOOKUP(A877,'[1]Sales Order'!A:D,4,FALSE),"")</f>
        <v>39253</v>
      </c>
      <c r="M877" s="10">
        <f>IFERROR(VLOOKUP(A877,'[1]Sales Order'!A:F,6,FALSE),"")</f>
        <v>39263</v>
      </c>
      <c r="N877" t="str">
        <f>IFERROR(VLOOKUP(VLOOKUP(A877,'[1]Sales Order'!A:G,7,FALSE),[1]Shipper!A:B,2,FALSE),"Not Specified")</f>
        <v>Shipper GVSUA</v>
      </c>
      <c r="O877" t="str">
        <f>IFERROR(VLOOKUP(A877,'[1]Sales Order'!A:I,9,FALSE),"Not Specified")</f>
        <v>Ship to 52-C</v>
      </c>
      <c r="P877" t="str">
        <f>IFERROR(VLOOKUP(A877,'[1]Sales Order'!A:N,14,FALSE),"Not Specified")</f>
        <v>Germany</v>
      </c>
      <c r="Q877" t="str">
        <f>VLOOKUP(VLOOKUP(B877,[1]Product!A:C,3,FALSE),[1]Supplier!A:B,2,FALSE)</f>
        <v>Supplier OAVQT</v>
      </c>
      <c r="R877" t="str">
        <f>VLOOKUP(VLOOKUP(B877,[1]Product!A:C,3,FALSE),[1]Supplier!A:I,9,FALSE)</f>
        <v>France</v>
      </c>
      <c r="S877" t="str">
        <f>IFERROR(IF(VLOOKUP(A877,'[1]Sales Order'!A:H,8,FALSE)&gt;100,"High Freight","Low Freight"),"Not Specified")</f>
        <v>High Freight</v>
      </c>
      <c r="T877">
        <f t="shared" si="27"/>
        <v>660</v>
      </c>
    </row>
    <row r="878" spans="1:20">
      <c r="A878" s="1">
        <v>10575</v>
      </c>
      <c r="B878" s="2">
        <v>63</v>
      </c>
      <c r="C878" s="2">
        <v>43.9</v>
      </c>
      <c r="D878" s="2">
        <v>6</v>
      </c>
      <c r="E878" s="3">
        <v>0</v>
      </c>
      <c r="F878" s="2" t="str">
        <f>IFERROR(VLOOKUP(VLOOKUP(A878,'[1]Sales Order'!A:B,2,FALSE),[1]Customer!A:C,3,FALSE),"Not Specified")</f>
        <v>Dupont-Roc, Patrice</v>
      </c>
      <c r="G878" s="2" t="str">
        <f t="shared" si="26"/>
        <v>Dupont-Roc Patrice</v>
      </c>
      <c r="H878" s="8" t="str">
        <f>IFERROR(VLOOKUP(VLOOKUP(A878,'[1]Sales Order'!A:C,3,FALSE),[1]Employee!A:E,5,FALSE)&amp;" "&amp;VLOOKUP(VLOOKUP(A878,'[1]Sales Order'!A:C,3,FALSE),[1]Employee!A:C,3,FALSE)&amp;" "&amp;VLOOKUP(VLOOKUP(A878,'[1]Sales Order'!A:C,3,FALSE),[1]Employee!A:B,2,FALSE),"Not Specified")</f>
        <v>Mr. Sven Buck</v>
      </c>
      <c r="I878">
        <f>IFERROR(VLOOKUP(VLOOKUP(A878,'[1]Sales Order'!A:C,3,FALSE),[1]Employee!A:J,10,FALSE),"Not Specified")</f>
        <v>0</v>
      </c>
      <c r="J878" t="str">
        <f>VLOOKUP(B878,[1]Product!A:B,2,FALSE)</f>
        <v>Product ICKNK</v>
      </c>
      <c r="K878" t="str">
        <f>VLOOKUP(VLOOKUP(B878,[1]Product!A:D,4,FALSE),[1]Category!A:B,2,FALSE)</f>
        <v>Condiments</v>
      </c>
      <c r="L878" s="10">
        <f>IFERROR(VLOOKUP(A878,'[1]Sales Order'!A:D,4,FALSE),"")</f>
        <v>39253</v>
      </c>
      <c r="M878" s="10">
        <f>IFERROR(VLOOKUP(A878,'[1]Sales Order'!A:F,6,FALSE),"")</f>
        <v>39263</v>
      </c>
      <c r="N878" t="str">
        <f>IFERROR(VLOOKUP(VLOOKUP(A878,'[1]Sales Order'!A:G,7,FALSE),[1]Shipper!A:B,2,FALSE),"Not Specified")</f>
        <v>Shipper GVSUA</v>
      </c>
      <c r="O878" t="str">
        <f>IFERROR(VLOOKUP(A878,'[1]Sales Order'!A:I,9,FALSE),"Not Specified")</f>
        <v>Ship to 52-C</v>
      </c>
      <c r="P878" t="str">
        <f>IFERROR(VLOOKUP(A878,'[1]Sales Order'!A:N,14,FALSE),"Not Specified")</f>
        <v>Germany</v>
      </c>
      <c r="Q878" t="str">
        <f>VLOOKUP(VLOOKUP(B878,[1]Product!A:C,3,FALSE),[1]Supplier!A:B,2,FALSE)</f>
        <v>Supplier GQRCV</v>
      </c>
      <c r="R878" t="str">
        <f>VLOOKUP(VLOOKUP(B878,[1]Product!A:C,3,FALSE),[1]Supplier!A:I,9,FALSE)</f>
        <v>Australia</v>
      </c>
      <c r="S878" t="str">
        <f>IFERROR(IF(VLOOKUP(A878,'[1]Sales Order'!A:H,8,FALSE)&gt;100,"High Freight","Low Freight"),"Not Specified")</f>
        <v>High Freight</v>
      </c>
      <c r="T878">
        <f t="shared" si="27"/>
        <v>263.39999999999998</v>
      </c>
    </row>
    <row r="879" spans="1:20">
      <c r="A879" s="1">
        <v>10575</v>
      </c>
      <c r="B879" s="2">
        <v>72</v>
      </c>
      <c r="C879" s="2">
        <v>34.799999999999997</v>
      </c>
      <c r="D879" s="2">
        <v>30</v>
      </c>
      <c r="E879" s="3">
        <v>0</v>
      </c>
      <c r="F879" s="2" t="str">
        <f>IFERROR(VLOOKUP(VLOOKUP(A879,'[1]Sales Order'!A:B,2,FALSE),[1]Customer!A:C,3,FALSE),"Not Specified")</f>
        <v>Dupont-Roc, Patrice</v>
      </c>
      <c r="G879" s="2" t="str">
        <f t="shared" si="26"/>
        <v>Dupont-Roc Patrice</v>
      </c>
      <c r="H879" s="8" t="str">
        <f>IFERROR(VLOOKUP(VLOOKUP(A879,'[1]Sales Order'!A:C,3,FALSE),[1]Employee!A:E,5,FALSE)&amp;" "&amp;VLOOKUP(VLOOKUP(A879,'[1]Sales Order'!A:C,3,FALSE),[1]Employee!A:C,3,FALSE)&amp;" "&amp;VLOOKUP(VLOOKUP(A879,'[1]Sales Order'!A:C,3,FALSE),[1]Employee!A:B,2,FALSE),"Not Specified")</f>
        <v>Mr. Sven Buck</v>
      </c>
      <c r="I879">
        <f>IFERROR(VLOOKUP(VLOOKUP(A879,'[1]Sales Order'!A:C,3,FALSE),[1]Employee!A:J,10,FALSE),"Not Specified")</f>
        <v>0</v>
      </c>
      <c r="J879" t="str">
        <f>VLOOKUP(B879,[1]Product!A:B,2,FALSE)</f>
        <v>Product GEEOO</v>
      </c>
      <c r="K879" t="str">
        <f>VLOOKUP(VLOOKUP(B879,[1]Product!A:D,4,FALSE),[1]Category!A:B,2,FALSE)</f>
        <v>Dairy Product</v>
      </c>
      <c r="L879" s="10">
        <f>IFERROR(VLOOKUP(A879,'[1]Sales Order'!A:D,4,FALSE),"")</f>
        <v>39253</v>
      </c>
      <c r="M879" s="10">
        <f>IFERROR(VLOOKUP(A879,'[1]Sales Order'!A:F,6,FALSE),"")</f>
        <v>39263</v>
      </c>
      <c r="N879" t="str">
        <f>IFERROR(VLOOKUP(VLOOKUP(A879,'[1]Sales Order'!A:G,7,FALSE),[1]Shipper!A:B,2,FALSE),"Not Specified")</f>
        <v>Shipper GVSUA</v>
      </c>
      <c r="O879" t="str">
        <f>IFERROR(VLOOKUP(A879,'[1]Sales Order'!A:I,9,FALSE),"Not Specified")</f>
        <v>Ship to 52-C</v>
      </c>
      <c r="P879" t="str">
        <f>IFERROR(VLOOKUP(A879,'[1]Sales Order'!A:N,14,FALSE),"Not Specified")</f>
        <v>Germany</v>
      </c>
      <c r="Q879" t="str">
        <f>VLOOKUP(VLOOKUP(B879,[1]Product!A:C,3,FALSE),[1]Supplier!A:B,2,FALSE)</f>
        <v>Supplier KEREV</v>
      </c>
      <c r="R879" t="str">
        <f>VLOOKUP(VLOOKUP(B879,[1]Product!A:C,3,FALSE),[1]Supplier!A:I,9,FALSE)</f>
        <v>Italy</v>
      </c>
      <c r="S879" t="str">
        <f>IFERROR(IF(VLOOKUP(A879,'[1]Sales Order'!A:H,8,FALSE)&gt;100,"High Freight","Low Freight"),"Not Specified")</f>
        <v>High Freight</v>
      </c>
      <c r="T879">
        <f t="shared" si="27"/>
        <v>1044</v>
      </c>
    </row>
    <row r="880" spans="1:20">
      <c r="A880" s="1">
        <v>10575</v>
      </c>
      <c r="B880" s="2">
        <v>76</v>
      </c>
      <c r="C880" s="2">
        <v>18</v>
      </c>
      <c r="D880" s="2">
        <v>10</v>
      </c>
      <c r="E880" s="3">
        <v>0</v>
      </c>
      <c r="F880" s="2" t="str">
        <f>IFERROR(VLOOKUP(VLOOKUP(A880,'[1]Sales Order'!A:B,2,FALSE),[1]Customer!A:C,3,FALSE),"Not Specified")</f>
        <v>Dupont-Roc, Patrice</v>
      </c>
      <c r="G880" s="2" t="str">
        <f t="shared" si="26"/>
        <v>Dupont-Roc Patrice</v>
      </c>
      <c r="H880" s="8" t="str">
        <f>IFERROR(VLOOKUP(VLOOKUP(A880,'[1]Sales Order'!A:C,3,FALSE),[1]Employee!A:E,5,FALSE)&amp;" "&amp;VLOOKUP(VLOOKUP(A880,'[1]Sales Order'!A:C,3,FALSE),[1]Employee!A:C,3,FALSE)&amp;" "&amp;VLOOKUP(VLOOKUP(A880,'[1]Sales Order'!A:C,3,FALSE),[1]Employee!A:B,2,FALSE),"Not Specified")</f>
        <v>Mr. Sven Buck</v>
      </c>
      <c r="I880">
        <f>IFERROR(VLOOKUP(VLOOKUP(A880,'[1]Sales Order'!A:C,3,FALSE),[1]Employee!A:J,10,FALSE),"Not Specified")</f>
        <v>0</v>
      </c>
      <c r="J880" t="str">
        <f>VLOOKUP(B880,[1]Product!A:B,2,FALSE)</f>
        <v>Product JYGFE</v>
      </c>
      <c r="K880" t="str">
        <f>VLOOKUP(VLOOKUP(B880,[1]Product!A:D,4,FALSE),[1]Category!A:B,2,FALSE)</f>
        <v>Beverages</v>
      </c>
      <c r="L880" s="10">
        <f>IFERROR(VLOOKUP(A880,'[1]Sales Order'!A:D,4,FALSE),"")</f>
        <v>39253</v>
      </c>
      <c r="M880" s="10">
        <f>IFERROR(VLOOKUP(A880,'[1]Sales Order'!A:F,6,FALSE),"")</f>
        <v>39263</v>
      </c>
      <c r="N880" t="str">
        <f>IFERROR(VLOOKUP(VLOOKUP(A880,'[1]Sales Order'!A:G,7,FALSE),[1]Shipper!A:B,2,FALSE),"Not Specified")</f>
        <v>Shipper GVSUA</v>
      </c>
      <c r="O880" t="str">
        <f>IFERROR(VLOOKUP(A880,'[1]Sales Order'!A:I,9,FALSE),"Not Specified")</f>
        <v>Ship to 52-C</v>
      </c>
      <c r="P880" t="str">
        <f>IFERROR(VLOOKUP(A880,'[1]Sales Order'!A:N,14,FALSE),"Not Specified")</f>
        <v>Germany</v>
      </c>
      <c r="Q880" t="str">
        <f>VLOOKUP(VLOOKUP(B880,[1]Product!A:C,3,FALSE),[1]Supplier!A:B,2,FALSE)</f>
        <v>Supplier ELCRN</v>
      </c>
      <c r="R880" t="str">
        <f>VLOOKUP(VLOOKUP(B880,[1]Product!A:C,3,FALSE),[1]Supplier!A:I,9,FALSE)</f>
        <v>Finland</v>
      </c>
      <c r="S880" t="str">
        <f>IFERROR(IF(VLOOKUP(A880,'[1]Sales Order'!A:H,8,FALSE)&gt;100,"High Freight","Low Freight"),"Not Specified")</f>
        <v>High Freight</v>
      </c>
      <c r="T880">
        <f t="shared" si="27"/>
        <v>180</v>
      </c>
    </row>
    <row r="881" spans="1:20">
      <c r="A881" s="1">
        <v>10576</v>
      </c>
      <c r="B881" s="2">
        <v>1</v>
      </c>
      <c r="C881" s="2">
        <v>18</v>
      </c>
      <c r="D881" s="2">
        <v>10</v>
      </c>
      <c r="E881" s="3">
        <v>0</v>
      </c>
      <c r="F881" s="2" t="str">
        <f>IFERROR(VLOOKUP(VLOOKUP(A881,'[1]Sales Order'!A:B,2,FALSE),[1]Customer!A:C,3,FALSE),"Not Specified")</f>
        <v>Geschwandtner, Jens</v>
      </c>
      <c r="G881" s="2" t="str">
        <f t="shared" si="26"/>
        <v>Geschwandtner Jens</v>
      </c>
      <c r="H881" s="8" t="str">
        <f>IFERROR(VLOOKUP(VLOOKUP(A881,'[1]Sales Order'!A:C,3,FALSE),[1]Employee!A:E,5,FALSE)&amp;" "&amp;VLOOKUP(VLOOKUP(A881,'[1]Sales Order'!A:C,3,FALSE),[1]Employee!A:C,3,FALSE)&amp;" "&amp;VLOOKUP(VLOOKUP(A881,'[1]Sales Order'!A:C,3,FALSE),[1]Employee!A:B,2,FALSE),"Not Specified")</f>
        <v>Ms. Judy Lew</v>
      </c>
      <c r="I881" t="str">
        <f>IFERROR(VLOOKUP(VLOOKUP(A881,'[1]Sales Order'!A:C,3,FALSE),[1]Employee!A:J,10,FALSE),"Not Specified")</f>
        <v>WA</v>
      </c>
      <c r="J881" t="str">
        <f>VLOOKUP(B881,[1]Product!A:B,2,FALSE)</f>
        <v>Product HHYDP</v>
      </c>
      <c r="K881" t="str">
        <f>VLOOKUP(VLOOKUP(B881,[1]Product!A:D,4,FALSE),[1]Category!A:B,2,FALSE)</f>
        <v>Beverages</v>
      </c>
      <c r="L881" s="10">
        <f>IFERROR(VLOOKUP(A881,'[1]Sales Order'!A:D,4,FALSE),"")</f>
        <v>39256</v>
      </c>
      <c r="M881" s="10">
        <f>IFERROR(VLOOKUP(A881,'[1]Sales Order'!A:F,6,FALSE),"")</f>
        <v>39263</v>
      </c>
      <c r="N881" t="str">
        <f>IFERROR(VLOOKUP(VLOOKUP(A881,'[1]Sales Order'!A:G,7,FALSE),[1]Shipper!A:B,2,FALSE),"Not Specified")</f>
        <v>Shipper ZHISN</v>
      </c>
      <c r="O881" t="str">
        <f>IFERROR(VLOOKUP(A881,'[1]Sales Order'!A:I,9,FALSE),"Not Specified")</f>
        <v>Ship to 80-C</v>
      </c>
      <c r="P881" t="str">
        <f>IFERROR(VLOOKUP(A881,'[1]Sales Order'!A:N,14,FALSE),"Not Specified")</f>
        <v>Mexico</v>
      </c>
      <c r="Q881" t="str">
        <f>VLOOKUP(VLOOKUP(B881,[1]Product!A:C,3,FALSE),[1]Supplier!A:B,2,FALSE)</f>
        <v>Supplier SWRXU</v>
      </c>
      <c r="R881" t="str">
        <f>VLOOKUP(VLOOKUP(B881,[1]Product!A:C,3,FALSE),[1]Supplier!A:I,9,FALSE)</f>
        <v>UK</v>
      </c>
      <c r="S881" t="str">
        <f>IFERROR(IF(VLOOKUP(A881,'[1]Sales Order'!A:H,8,FALSE)&gt;100,"High Freight","Low Freight"),"Not Specified")</f>
        <v>Low Freight</v>
      </c>
      <c r="T881">
        <f t="shared" si="27"/>
        <v>180</v>
      </c>
    </row>
    <row r="882" spans="1:20">
      <c r="A882" s="1">
        <v>10576</v>
      </c>
      <c r="B882" s="2">
        <v>31</v>
      </c>
      <c r="C882" s="2">
        <v>12.5</v>
      </c>
      <c r="D882" s="2">
        <v>20</v>
      </c>
      <c r="E882" s="3">
        <v>0</v>
      </c>
      <c r="F882" s="2" t="str">
        <f>IFERROR(VLOOKUP(VLOOKUP(A882,'[1]Sales Order'!A:B,2,FALSE),[1]Customer!A:C,3,FALSE),"Not Specified")</f>
        <v>Geschwandtner, Jens</v>
      </c>
      <c r="G882" s="2" t="str">
        <f t="shared" si="26"/>
        <v>Geschwandtner Jens</v>
      </c>
      <c r="H882" s="8" t="str">
        <f>IFERROR(VLOOKUP(VLOOKUP(A882,'[1]Sales Order'!A:C,3,FALSE),[1]Employee!A:E,5,FALSE)&amp;" "&amp;VLOOKUP(VLOOKUP(A882,'[1]Sales Order'!A:C,3,FALSE),[1]Employee!A:C,3,FALSE)&amp;" "&amp;VLOOKUP(VLOOKUP(A882,'[1]Sales Order'!A:C,3,FALSE),[1]Employee!A:B,2,FALSE),"Not Specified")</f>
        <v>Ms. Judy Lew</v>
      </c>
      <c r="I882" t="str">
        <f>IFERROR(VLOOKUP(VLOOKUP(A882,'[1]Sales Order'!A:C,3,FALSE),[1]Employee!A:J,10,FALSE),"Not Specified")</f>
        <v>WA</v>
      </c>
      <c r="J882" t="str">
        <f>VLOOKUP(B882,[1]Product!A:B,2,FALSE)</f>
        <v>Product XWOXC</v>
      </c>
      <c r="K882" t="str">
        <f>VLOOKUP(VLOOKUP(B882,[1]Product!A:D,4,FALSE),[1]Category!A:B,2,FALSE)</f>
        <v>Dairy Product</v>
      </c>
      <c r="L882" s="10">
        <f>IFERROR(VLOOKUP(A882,'[1]Sales Order'!A:D,4,FALSE),"")</f>
        <v>39256</v>
      </c>
      <c r="M882" s="10">
        <f>IFERROR(VLOOKUP(A882,'[1]Sales Order'!A:F,6,FALSE),"")</f>
        <v>39263</v>
      </c>
      <c r="N882" t="str">
        <f>IFERROR(VLOOKUP(VLOOKUP(A882,'[1]Sales Order'!A:G,7,FALSE),[1]Shipper!A:B,2,FALSE),"Not Specified")</f>
        <v>Shipper ZHISN</v>
      </c>
      <c r="O882" t="str">
        <f>IFERROR(VLOOKUP(A882,'[1]Sales Order'!A:I,9,FALSE),"Not Specified")</f>
        <v>Ship to 80-C</v>
      </c>
      <c r="P882" t="str">
        <f>IFERROR(VLOOKUP(A882,'[1]Sales Order'!A:N,14,FALSE),"Not Specified")</f>
        <v>Mexico</v>
      </c>
      <c r="Q882" t="str">
        <f>VLOOKUP(VLOOKUP(B882,[1]Product!A:C,3,FALSE),[1]Supplier!A:B,2,FALSE)</f>
        <v>Supplier KEREV</v>
      </c>
      <c r="R882" t="str">
        <f>VLOOKUP(VLOOKUP(B882,[1]Product!A:C,3,FALSE),[1]Supplier!A:I,9,FALSE)</f>
        <v>Italy</v>
      </c>
      <c r="S882" t="str">
        <f>IFERROR(IF(VLOOKUP(A882,'[1]Sales Order'!A:H,8,FALSE)&gt;100,"High Freight","Low Freight"),"Not Specified")</f>
        <v>Low Freight</v>
      </c>
      <c r="T882">
        <f t="shared" si="27"/>
        <v>250</v>
      </c>
    </row>
    <row r="883" spans="1:20">
      <c r="A883" s="1">
        <v>10576</v>
      </c>
      <c r="B883" s="2">
        <v>44</v>
      </c>
      <c r="C883" s="2">
        <v>19.45</v>
      </c>
      <c r="D883" s="2">
        <v>21</v>
      </c>
      <c r="E883" s="3">
        <v>0</v>
      </c>
      <c r="F883" s="2" t="str">
        <f>IFERROR(VLOOKUP(VLOOKUP(A883,'[1]Sales Order'!A:B,2,FALSE),[1]Customer!A:C,3,FALSE),"Not Specified")</f>
        <v>Geschwandtner, Jens</v>
      </c>
      <c r="G883" s="2" t="str">
        <f t="shared" si="26"/>
        <v>Geschwandtner Jens</v>
      </c>
      <c r="H883" s="8" t="str">
        <f>IFERROR(VLOOKUP(VLOOKUP(A883,'[1]Sales Order'!A:C,3,FALSE),[1]Employee!A:E,5,FALSE)&amp;" "&amp;VLOOKUP(VLOOKUP(A883,'[1]Sales Order'!A:C,3,FALSE),[1]Employee!A:C,3,FALSE)&amp;" "&amp;VLOOKUP(VLOOKUP(A883,'[1]Sales Order'!A:C,3,FALSE),[1]Employee!A:B,2,FALSE),"Not Specified")</f>
        <v>Ms. Judy Lew</v>
      </c>
      <c r="I883" t="str">
        <f>IFERROR(VLOOKUP(VLOOKUP(A883,'[1]Sales Order'!A:C,3,FALSE),[1]Employee!A:J,10,FALSE),"Not Specified")</f>
        <v>WA</v>
      </c>
      <c r="J883" t="str">
        <f>VLOOKUP(B883,[1]Product!A:B,2,FALSE)</f>
        <v>Product VJIEO</v>
      </c>
      <c r="K883" t="str">
        <f>VLOOKUP(VLOOKUP(B883,[1]Product!A:D,4,FALSE),[1]Category!A:B,2,FALSE)</f>
        <v>Condiments</v>
      </c>
      <c r="L883" s="10">
        <f>IFERROR(VLOOKUP(A883,'[1]Sales Order'!A:D,4,FALSE),"")</f>
        <v>39256</v>
      </c>
      <c r="M883" s="10">
        <f>IFERROR(VLOOKUP(A883,'[1]Sales Order'!A:F,6,FALSE),"")</f>
        <v>39263</v>
      </c>
      <c r="N883" t="str">
        <f>IFERROR(VLOOKUP(VLOOKUP(A883,'[1]Sales Order'!A:G,7,FALSE),[1]Shipper!A:B,2,FALSE),"Not Specified")</f>
        <v>Shipper ZHISN</v>
      </c>
      <c r="O883" t="str">
        <f>IFERROR(VLOOKUP(A883,'[1]Sales Order'!A:I,9,FALSE),"Not Specified")</f>
        <v>Ship to 80-C</v>
      </c>
      <c r="P883" t="str">
        <f>IFERROR(VLOOKUP(A883,'[1]Sales Order'!A:N,14,FALSE),"Not Specified")</f>
        <v>Mexico</v>
      </c>
      <c r="Q883" t="str">
        <f>VLOOKUP(VLOOKUP(B883,[1]Product!A:C,3,FALSE),[1]Supplier!A:B,2,FALSE)</f>
        <v>Supplier CIYNM</v>
      </c>
      <c r="R883" t="str">
        <f>VLOOKUP(VLOOKUP(B883,[1]Product!A:C,3,FALSE),[1]Supplier!A:I,9,FALSE)</f>
        <v>Singapore</v>
      </c>
      <c r="S883" t="str">
        <f>IFERROR(IF(VLOOKUP(A883,'[1]Sales Order'!A:H,8,FALSE)&gt;100,"High Freight","Low Freight"),"Not Specified")</f>
        <v>Low Freight</v>
      </c>
      <c r="T883">
        <f t="shared" si="27"/>
        <v>408.45</v>
      </c>
    </row>
    <row r="884" spans="1:20">
      <c r="A884" s="1">
        <v>10577</v>
      </c>
      <c r="B884" s="2">
        <v>39</v>
      </c>
      <c r="C884" s="2">
        <v>18</v>
      </c>
      <c r="D884" s="2">
        <v>10</v>
      </c>
      <c r="E884" s="3">
        <v>0</v>
      </c>
      <c r="F884" s="2" t="str">
        <f>IFERROR(VLOOKUP(VLOOKUP(A884,'[1]Sales Order'!A:B,2,FALSE),[1]Customer!A:C,3,FALSE),"Not Specified")</f>
        <v>Veninga, Tjeerd</v>
      </c>
      <c r="G884" s="2" t="str">
        <f t="shared" si="26"/>
        <v>Veninga Tjeerd</v>
      </c>
      <c r="H884" s="8" t="str">
        <f>IFERROR(VLOOKUP(VLOOKUP(A884,'[1]Sales Order'!A:C,3,FALSE),[1]Employee!A:E,5,FALSE)&amp;" "&amp;VLOOKUP(VLOOKUP(A884,'[1]Sales Order'!A:C,3,FALSE),[1]Employee!A:C,3,FALSE)&amp;" "&amp;VLOOKUP(VLOOKUP(A884,'[1]Sales Order'!A:C,3,FALSE),[1]Employee!A:B,2,FALSE),"Not Specified")</f>
        <v>Ms. Zoya Dolgopyatova</v>
      </c>
      <c r="I884">
        <f>IFERROR(VLOOKUP(VLOOKUP(A884,'[1]Sales Order'!A:C,3,FALSE),[1]Employee!A:J,10,FALSE),"Not Specified")</f>
        <v>0</v>
      </c>
      <c r="J884" t="str">
        <f>VLOOKUP(B884,[1]Product!A:B,2,FALSE)</f>
        <v>Product LSOFL</v>
      </c>
      <c r="K884" t="str">
        <f>VLOOKUP(VLOOKUP(B884,[1]Product!A:D,4,FALSE),[1]Category!A:B,2,FALSE)</f>
        <v>Beverages</v>
      </c>
      <c r="L884" s="10">
        <f>IFERROR(VLOOKUP(A884,'[1]Sales Order'!A:D,4,FALSE),"")</f>
        <v>39256</v>
      </c>
      <c r="M884" s="10">
        <f>IFERROR(VLOOKUP(A884,'[1]Sales Order'!A:F,6,FALSE),"")</f>
        <v>39263</v>
      </c>
      <c r="N884" t="str">
        <f>IFERROR(VLOOKUP(VLOOKUP(A884,'[1]Sales Order'!A:G,7,FALSE),[1]Shipper!A:B,2,FALSE),"Not Specified")</f>
        <v>Shipper ETYNR</v>
      </c>
      <c r="O884" t="str">
        <f>IFERROR(VLOOKUP(A884,'[1]Sales Order'!A:I,9,FALSE),"Not Specified")</f>
        <v>Ship to 82-B</v>
      </c>
      <c r="P884" t="str">
        <f>IFERROR(VLOOKUP(A884,'[1]Sales Order'!A:N,14,FALSE),"Not Specified")</f>
        <v>USA</v>
      </c>
      <c r="Q884" t="str">
        <f>VLOOKUP(VLOOKUP(B884,[1]Product!A:C,3,FALSE),[1]Supplier!A:B,2,FALSE)</f>
        <v>Supplier LVJUA</v>
      </c>
      <c r="R884" t="str">
        <f>VLOOKUP(VLOOKUP(B884,[1]Product!A:C,3,FALSE),[1]Supplier!A:I,9,FALSE)</f>
        <v>France</v>
      </c>
      <c r="S884" t="str">
        <f>IFERROR(IF(VLOOKUP(A884,'[1]Sales Order'!A:H,8,FALSE)&gt;100,"High Freight","Low Freight"),"Not Specified")</f>
        <v>Low Freight</v>
      </c>
      <c r="T884">
        <f t="shared" si="27"/>
        <v>180</v>
      </c>
    </row>
    <row r="885" spans="1:20">
      <c r="A885" s="1">
        <v>10577</v>
      </c>
      <c r="B885" s="2">
        <v>75</v>
      </c>
      <c r="C885" s="2">
        <v>7.75</v>
      </c>
      <c r="D885" s="2">
        <v>20</v>
      </c>
      <c r="E885" s="3">
        <v>0</v>
      </c>
      <c r="F885" s="2" t="str">
        <f>IFERROR(VLOOKUP(VLOOKUP(A885,'[1]Sales Order'!A:B,2,FALSE),[1]Customer!A:C,3,FALSE),"Not Specified")</f>
        <v>Veninga, Tjeerd</v>
      </c>
      <c r="G885" s="2" t="str">
        <f t="shared" si="26"/>
        <v>Veninga Tjeerd</v>
      </c>
      <c r="H885" s="8" t="str">
        <f>IFERROR(VLOOKUP(VLOOKUP(A885,'[1]Sales Order'!A:C,3,FALSE),[1]Employee!A:E,5,FALSE)&amp;" "&amp;VLOOKUP(VLOOKUP(A885,'[1]Sales Order'!A:C,3,FALSE),[1]Employee!A:C,3,FALSE)&amp;" "&amp;VLOOKUP(VLOOKUP(A885,'[1]Sales Order'!A:C,3,FALSE),[1]Employee!A:B,2,FALSE),"Not Specified")</f>
        <v>Ms. Zoya Dolgopyatova</v>
      </c>
      <c r="I885">
        <f>IFERROR(VLOOKUP(VLOOKUP(A885,'[1]Sales Order'!A:C,3,FALSE),[1]Employee!A:J,10,FALSE),"Not Specified")</f>
        <v>0</v>
      </c>
      <c r="J885" t="str">
        <f>VLOOKUP(B885,[1]Product!A:B,2,FALSE)</f>
        <v>Product BWRLG</v>
      </c>
      <c r="K885" t="str">
        <f>VLOOKUP(VLOOKUP(B885,[1]Product!A:D,4,FALSE),[1]Category!A:B,2,FALSE)</f>
        <v>Beverages</v>
      </c>
      <c r="L885" s="10">
        <f>IFERROR(VLOOKUP(A885,'[1]Sales Order'!A:D,4,FALSE),"")</f>
        <v>39256</v>
      </c>
      <c r="M885" s="10">
        <f>IFERROR(VLOOKUP(A885,'[1]Sales Order'!A:F,6,FALSE),"")</f>
        <v>39263</v>
      </c>
      <c r="N885" t="str">
        <f>IFERROR(VLOOKUP(VLOOKUP(A885,'[1]Sales Order'!A:G,7,FALSE),[1]Shipper!A:B,2,FALSE),"Not Specified")</f>
        <v>Shipper ETYNR</v>
      </c>
      <c r="O885" t="str">
        <f>IFERROR(VLOOKUP(A885,'[1]Sales Order'!A:I,9,FALSE),"Not Specified")</f>
        <v>Ship to 82-B</v>
      </c>
      <c r="P885" t="str">
        <f>IFERROR(VLOOKUP(A885,'[1]Sales Order'!A:N,14,FALSE),"Not Specified")</f>
        <v>USA</v>
      </c>
      <c r="Q885" t="str">
        <f>VLOOKUP(VLOOKUP(B885,[1]Product!A:C,3,FALSE),[1]Supplier!A:B,2,FALSE)</f>
        <v>Supplier SVIYA</v>
      </c>
      <c r="R885" t="str">
        <f>VLOOKUP(VLOOKUP(B885,[1]Product!A:C,3,FALSE),[1]Supplier!A:I,9,FALSE)</f>
        <v>Germany</v>
      </c>
      <c r="S885" t="str">
        <f>IFERROR(IF(VLOOKUP(A885,'[1]Sales Order'!A:H,8,FALSE)&gt;100,"High Freight","Low Freight"),"Not Specified")</f>
        <v>Low Freight</v>
      </c>
      <c r="T885">
        <f t="shared" si="27"/>
        <v>155</v>
      </c>
    </row>
    <row r="886" spans="1:20">
      <c r="A886" s="1">
        <v>10577</v>
      </c>
      <c r="B886" s="2">
        <v>77</v>
      </c>
      <c r="C886" s="2">
        <v>13</v>
      </c>
      <c r="D886" s="2">
        <v>18</v>
      </c>
      <c r="E886" s="3">
        <v>0</v>
      </c>
      <c r="F886" s="2" t="str">
        <f>IFERROR(VLOOKUP(VLOOKUP(A886,'[1]Sales Order'!A:B,2,FALSE),[1]Customer!A:C,3,FALSE),"Not Specified")</f>
        <v>Veninga, Tjeerd</v>
      </c>
      <c r="G886" s="2" t="str">
        <f t="shared" si="26"/>
        <v>Veninga Tjeerd</v>
      </c>
      <c r="H886" s="8" t="str">
        <f>IFERROR(VLOOKUP(VLOOKUP(A886,'[1]Sales Order'!A:C,3,FALSE),[1]Employee!A:E,5,FALSE)&amp;" "&amp;VLOOKUP(VLOOKUP(A886,'[1]Sales Order'!A:C,3,FALSE),[1]Employee!A:C,3,FALSE)&amp;" "&amp;VLOOKUP(VLOOKUP(A886,'[1]Sales Order'!A:C,3,FALSE),[1]Employee!A:B,2,FALSE),"Not Specified")</f>
        <v>Ms. Zoya Dolgopyatova</v>
      </c>
      <c r="I886">
        <f>IFERROR(VLOOKUP(VLOOKUP(A886,'[1]Sales Order'!A:C,3,FALSE),[1]Employee!A:J,10,FALSE),"Not Specified")</f>
        <v>0</v>
      </c>
      <c r="J886" t="str">
        <f>VLOOKUP(B886,[1]Product!A:B,2,FALSE)</f>
        <v>Product LUNZZ</v>
      </c>
      <c r="K886" t="str">
        <f>VLOOKUP(VLOOKUP(B886,[1]Product!A:D,4,FALSE),[1]Category!A:B,2,FALSE)</f>
        <v>Condiments</v>
      </c>
      <c r="L886" s="10">
        <f>IFERROR(VLOOKUP(A886,'[1]Sales Order'!A:D,4,FALSE),"")</f>
        <v>39256</v>
      </c>
      <c r="M886" s="10">
        <f>IFERROR(VLOOKUP(A886,'[1]Sales Order'!A:F,6,FALSE),"")</f>
        <v>39263</v>
      </c>
      <c r="N886" t="str">
        <f>IFERROR(VLOOKUP(VLOOKUP(A886,'[1]Sales Order'!A:G,7,FALSE),[1]Shipper!A:B,2,FALSE),"Not Specified")</f>
        <v>Shipper ETYNR</v>
      </c>
      <c r="O886" t="str">
        <f>IFERROR(VLOOKUP(A886,'[1]Sales Order'!A:I,9,FALSE),"Not Specified")</f>
        <v>Ship to 82-B</v>
      </c>
      <c r="P886" t="str">
        <f>IFERROR(VLOOKUP(A886,'[1]Sales Order'!A:N,14,FALSE),"Not Specified")</f>
        <v>USA</v>
      </c>
      <c r="Q886" t="str">
        <f>VLOOKUP(VLOOKUP(B886,[1]Product!A:C,3,FALSE),[1]Supplier!A:B,2,FALSE)</f>
        <v>Supplier SVIYA</v>
      </c>
      <c r="R886" t="str">
        <f>VLOOKUP(VLOOKUP(B886,[1]Product!A:C,3,FALSE),[1]Supplier!A:I,9,FALSE)</f>
        <v>Germany</v>
      </c>
      <c r="S886" t="str">
        <f>IFERROR(IF(VLOOKUP(A886,'[1]Sales Order'!A:H,8,FALSE)&gt;100,"High Freight","Low Freight"),"Not Specified")</f>
        <v>Low Freight</v>
      </c>
      <c r="T886">
        <f t="shared" si="27"/>
        <v>234</v>
      </c>
    </row>
    <row r="887" spans="1:20">
      <c r="A887" s="1">
        <v>10578</v>
      </c>
      <c r="B887" s="2">
        <v>35</v>
      </c>
      <c r="C887" s="2">
        <v>18</v>
      </c>
      <c r="D887" s="2">
        <v>20</v>
      </c>
      <c r="E887" s="3">
        <v>0</v>
      </c>
      <c r="F887" s="2" t="str">
        <f>IFERROR(VLOOKUP(VLOOKUP(A887,'[1]Sales Order'!A:B,2,FALSE),[1]Customer!A:C,3,FALSE),"Not Specified")</f>
        <v>Jaffe, David</v>
      </c>
      <c r="G887" s="2" t="str">
        <f t="shared" si="26"/>
        <v>Jaffe David</v>
      </c>
      <c r="H887" s="8" t="str">
        <f>IFERROR(VLOOKUP(VLOOKUP(A887,'[1]Sales Order'!A:C,3,FALSE),[1]Employee!A:E,5,FALSE)&amp;" "&amp;VLOOKUP(VLOOKUP(A887,'[1]Sales Order'!A:C,3,FALSE),[1]Employee!A:C,3,FALSE)&amp;" "&amp;VLOOKUP(VLOOKUP(A887,'[1]Sales Order'!A:C,3,FALSE),[1]Employee!A:B,2,FALSE),"Not Specified")</f>
        <v>Mrs. Yael Peled</v>
      </c>
      <c r="I887" t="str">
        <f>IFERROR(VLOOKUP(VLOOKUP(A887,'[1]Sales Order'!A:C,3,FALSE),[1]Employee!A:J,10,FALSE),"Not Specified")</f>
        <v>WA</v>
      </c>
      <c r="J887" t="str">
        <f>VLOOKUP(B887,[1]Product!A:B,2,FALSE)</f>
        <v>Product NEVTJ</v>
      </c>
      <c r="K887" t="str">
        <f>VLOOKUP(VLOOKUP(B887,[1]Product!A:D,4,FALSE),[1]Category!A:B,2,FALSE)</f>
        <v>Beverages</v>
      </c>
      <c r="L887" s="10">
        <f>IFERROR(VLOOKUP(A887,'[1]Sales Order'!A:D,4,FALSE),"")</f>
        <v>39257</v>
      </c>
      <c r="M887" s="10">
        <f>IFERROR(VLOOKUP(A887,'[1]Sales Order'!A:F,6,FALSE),"")</f>
        <v>39288</v>
      </c>
      <c r="N887" t="str">
        <f>IFERROR(VLOOKUP(VLOOKUP(A887,'[1]Sales Order'!A:G,7,FALSE),[1]Shipper!A:B,2,FALSE),"Not Specified")</f>
        <v>Shipper ZHISN</v>
      </c>
      <c r="O887" t="str">
        <f>IFERROR(VLOOKUP(A887,'[1]Sales Order'!A:I,9,FALSE),"Not Specified")</f>
        <v>Destination NZASL</v>
      </c>
      <c r="P887" t="str">
        <f>IFERROR(VLOOKUP(A887,'[1]Sales Order'!A:N,14,FALSE),"Not Specified")</f>
        <v>UK</v>
      </c>
      <c r="Q887" t="str">
        <f>VLOOKUP(VLOOKUP(B887,[1]Product!A:C,3,FALSE),[1]Supplier!A:B,2,FALSE)</f>
        <v>Supplier UHZRG</v>
      </c>
      <c r="R887" t="str">
        <f>VLOOKUP(VLOOKUP(B887,[1]Product!A:C,3,FALSE),[1]Supplier!A:I,9,FALSE)</f>
        <v>USA</v>
      </c>
      <c r="S887" t="str">
        <f>IFERROR(IF(VLOOKUP(A887,'[1]Sales Order'!A:H,8,FALSE)&gt;100,"High Freight","Low Freight"),"Not Specified")</f>
        <v>Low Freight</v>
      </c>
      <c r="T887">
        <f t="shared" si="27"/>
        <v>360</v>
      </c>
    </row>
    <row r="888" spans="1:20">
      <c r="A888" s="1">
        <v>10578</v>
      </c>
      <c r="B888" s="2">
        <v>57</v>
      </c>
      <c r="C888" s="2">
        <v>19.5</v>
      </c>
      <c r="D888" s="2">
        <v>6</v>
      </c>
      <c r="E888" s="3">
        <v>0</v>
      </c>
      <c r="F888" s="2" t="str">
        <f>IFERROR(VLOOKUP(VLOOKUP(A888,'[1]Sales Order'!A:B,2,FALSE),[1]Customer!A:C,3,FALSE),"Not Specified")</f>
        <v>Jaffe, David</v>
      </c>
      <c r="G888" s="2" t="str">
        <f t="shared" si="26"/>
        <v>Jaffe David</v>
      </c>
      <c r="H888" s="8" t="str">
        <f>IFERROR(VLOOKUP(VLOOKUP(A888,'[1]Sales Order'!A:C,3,FALSE),[1]Employee!A:E,5,FALSE)&amp;" "&amp;VLOOKUP(VLOOKUP(A888,'[1]Sales Order'!A:C,3,FALSE),[1]Employee!A:C,3,FALSE)&amp;" "&amp;VLOOKUP(VLOOKUP(A888,'[1]Sales Order'!A:C,3,FALSE),[1]Employee!A:B,2,FALSE),"Not Specified")</f>
        <v>Mrs. Yael Peled</v>
      </c>
      <c r="I888" t="str">
        <f>IFERROR(VLOOKUP(VLOOKUP(A888,'[1]Sales Order'!A:C,3,FALSE),[1]Employee!A:J,10,FALSE),"Not Specified")</f>
        <v>WA</v>
      </c>
      <c r="J888" t="str">
        <f>VLOOKUP(B888,[1]Product!A:B,2,FALSE)</f>
        <v>Product OVLQI</v>
      </c>
      <c r="K888" t="str">
        <f>VLOOKUP(VLOOKUP(B888,[1]Product!A:D,4,FALSE),[1]Category!A:B,2,FALSE)</f>
        <v>Grains/Cereals</v>
      </c>
      <c r="L888" s="10">
        <f>IFERROR(VLOOKUP(A888,'[1]Sales Order'!A:D,4,FALSE),"")</f>
        <v>39257</v>
      </c>
      <c r="M888" s="10">
        <f>IFERROR(VLOOKUP(A888,'[1]Sales Order'!A:F,6,FALSE),"")</f>
        <v>39288</v>
      </c>
      <c r="N888" t="str">
        <f>IFERROR(VLOOKUP(VLOOKUP(A888,'[1]Sales Order'!A:G,7,FALSE),[1]Shipper!A:B,2,FALSE),"Not Specified")</f>
        <v>Shipper ZHISN</v>
      </c>
      <c r="O888" t="str">
        <f>IFERROR(VLOOKUP(A888,'[1]Sales Order'!A:I,9,FALSE),"Not Specified")</f>
        <v>Destination NZASL</v>
      </c>
      <c r="P888" t="str">
        <f>IFERROR(VLOOKUP(A888,'[1]Sales Order'!A:N,14,FALSE),"Not Specified")</f>
        <v>UK</v>
      </c>
      <c r="Q888" t="str">
        <f>VLOOKUP(VLOOKUP(B888,[1]Product!A:C,3,FALSE),[1]Supplier!A:B,2,FALSE)</f>
        <v>Supplier ZWZDM</v>
      </c>
      <c r="R888" t="str">
        <f>VLOOKUP(VLOOKUP(B888,[1]Product!A:C,3,FALSE),[1]Supplier!A:I,9,FALSE)</f>
        <v>Italy</v>
      </c>
      <c r="S888" t="str">
        <f>IFERROR(IF(VLOOKUP(A888,'[1]Sales Order'!A:H,8,FALSE)&gt;100,"High Freight","Low Freight"),"Not Specified")</f>
        <v>Low Freight</v>
      </c>
      <c r="T888">
        <f t="shared" si="27"/>
        <v>117</v>
      </c>
    </row>
    <row r="889" spans="1:20">
      <c r="A889" s="1">
        <v>10579</v>
      </c>
      <c r="B889" s="2">
        <v>15</v>
      </c>
      <c r="C889" s="2">
        <v>15.5</v>
      </c>
      <c r="D889" s="2">
        <v>10</v>
      </c>
      <c r="E889" s="3">
        <v>0</v>
      </c>
      <c r="F889" s="2" t="str">
        <f>IFERROR(VLOOKUP(VLOOKUP(A889,'[1]Sales Order'!A:B,2,FALSE),[1]Customer!A:C,3,FALSE),"Not Specified")</f>
        <v>Sunkammurali, Krishna</v>
      </c>
      <c r="G889" s="2" t="str">
        <f t="shared" si="26"/>
        <v>Sunkammurali Krishna</v>
      </c>
      <c r="H889" s="8" t="str">
        <f>IFERROR(VLOOKUP(VLOOKUP(A889,'[1]Sales Order'!A:C,3,FALSE),[1]Employee!A:E,5,FALSE)&amp;" "&amp;VLOOKUP(VLOOKUP(A889,'[1]Sales Order'!A:C,3,FALSE),[1]Employee!A:C,3,FALSE)&amp;" "&amp;VLOOKUP(VLOOKUP(A889,'[1]Sales Order'!A:C,3,FALSE),[1]Employee!A:B,2,FALSE),"Not Specified")</f>
        <v>Ms. Sara Davis</v>
      </c>
      <c r="I889" t="str">
        <f>IFERROR(VLOOKUP(VLOOKUP(A889,'[1]Sales Order'!A:C,3,FALSE),[1]Employee!A:J,10,FALSE),"Not Specified")</f>
        <v>WA</v>
      </c>
      <c r="J889" t="str">
        <f>VLOOKUP(B889,[1]Product!A:B,2,FALSE)</f>
        <v>Product KSZOI</v>
      </c>
      <c r="K889" t="str">
        <f>VLOOKUP(VLOOKUP(B889,[1]Product!A:D,4,FALSE),[1]Category!A:B,2,FALSE)</f>
        <v>Condiments</v>
      </c>
      <c r="L889" s="10">
        <f>IFERROR(VLOOKUP(A889,'[1]Sales Order'!A:D,4,FALSE),"")</f>
        <v>39258</v>
      </c>
      <c r="M889" s="10">
        <f>IFERROR(VLOOKUP(A889,'[1]Sales Order'!A:F,6,FALSE),"")</f>
        <v>39267</v>
      </c>
      <c r="N889" t="str">
        <f>IFERROR(VLOOKUP(VLOOKUP(A889,'[1]Sales Order'!A:G,7,FALSE),[1]Shipper!A:B,2,FALSE),"Not Specified")</f>
        <v>Shipper ETYNR</v>
      </c>
      <c r="O889" t="str">
        <f>IFERROR(VLOOKUP(A889,'[1]Sales Order'!A:I,9,FALSE),"Not Specified")</f>
        <v>Ship to 45-C</v>
      </c>
      <c r="P889" t="str">
        <f>IFERROR(VLOOKUP(A889,'[1]Sales Order'!A:N,14,FALSE),"Not Specified")</f>
        <v>USA</v>
      </c>
      <c r="Q889" t="str">
        <f>VLOOKUP(VLOOKUP(B889,[1]Product!A:C,3,FALSE),[1]Supplier!A:B,2,FALSE)</f>
        <v>Supplier QWUSF</v>
      </c>
      <c r="R889" t="str">
        <f>VLOOKUP(VLOOKUP(B889,[1]Product!A:C,3,FALSE),[1]Supplier!A:I,9,FALSE)</f>
        <v>Japan</v>
      </c>
      <c r="S889" t="str">
        <f>IFERROR(IF(VLOOKUP(A889,'[1]Sales Order'!A:H,8,FALSE)&gt;100,"High Freight","Low Freight"),"Not Specified")</f>
        <v>Low Freight</v>
      </c>
      <c r="T889">
        <f t="shared" si="27"/>
        <v>155</v>
      </c>
    </row>
    <row r="890" spans="1:20">
      <c r="A890" s="1">
        <v>10579</v>
      </c>
      <c r="B890" s="2">
        <v>75</v>
      </c>
      <c r="C890" s="2">
        <v>7.75</v>
      </c>
      <c r="D890" s="2">
        <v>21</v>
      </c>
      <c r="E890" s="3">
        <v>0</v>
      </c>
      <c r="F890" s="2" t="str">
        <f>IFERROR(VLOOKUP(VLOOKUP(A890,'[1]Sales Order'!A:B,2,FALSE),[1]Customer!A:C,3,FALSE),"Not Specified")</f>
        <v>Sunkammurali, Krishna</v>
      </c>
      <c r="G890" s="2" t="str">
        <f t="shared" si="26"/>
        <v>Sunkammurali Krishna</v>
      </c>
      <c r="H890" s="8" t="str">
        <f>IFERROR(VLOOKUP(VLOOKUP(A890,'[1]Sales Order'!A:C,3,FALSE),[1]Employee!A:E,5,FALSE)&amp;" "&amp;VLOOKUP(VLOOKUP(A890,'[1]Sales Order'!A:C,3,FALSE),[1]Employee!A:C,3,FALSE)&amp;" "&amp;VLOOKUP(VLOOKUP(A890,'[1]Sales Order'!A:C,3,FALSE),[1]Employee!A:B,2,FALSE),"Not Specified")</f>
        <v>Ms. Sara Davis</v>
      </c>
      <c r="I890" t="str">
        <f>IFERROR(VLOOKUP(VLOOKUP(A890,'[1]Sales Order'!A:C,3,FALSE),[1]Employee!A:J,10,FALSE),"Not Specified")</f>
        <v>WA</v>
      </c>
      <c r="J890" t="str">
        <f>VLOOKUP(B890,[1]Product!A:B,2,FALSE)</f>
        <v>Product BWRLG</v>
      </c>
      <c r="K890" t="str">
        <f>VLOOKUP(VLOOKUP(B890,[1]Product!A:D,4,FALSE),[1]Category!A:B,2,FALSE)</f>
        <v>Beverages</v>
      </c>
      <c r="L890" s="10">
        <f>IFERROR(VLOOKUP(A890,'[1]Sales Order'!A:D,4,FALSE),"")</f>
        <v>39258</v>
      </c>
      <c r="M890" s="10">
        <f>IFERROR(VLOOKUP(A890,'[1]Sales Order'!A:F,6,FALSE),"")</f>
        <v>39267</v>
      </c>
      <c r="N890" t="str">
        <f>IFERROR(VLOOKUP(VLOOKUP(A890,'[1]Sales Order'!A:G,7,FALSE),[1]Shipper!A:B,2,FALSE),"Not Specified")</f>
        <v>Shipper ETYNR</v>
      </c>
      <c r="O890" t="str">
        <f>IFERROR(VLOOKUP(A890,'[1]Sales Order'!A:I,9,FALSE),"Not Specified")</f>
        <v>Ship to 45-C</v>
      </c>
      <c r="P890" t="str">
        <f>IFERROR(VLOOKUP(A890,'[1]Sales Order'!A:N,14,FALSE),"Not Specified")</f>
        <v>USA</v>
      </c>
      <c r="Q890" t="str">
        <f>VLOOKUP(VLOOKUP(B890,[1]Product!A:C,3,FALSE),[1]Supplier!A:B,2,FALSE)</f>
        <v>Supplier SVIYA</v>
      </c>
      <c r="R890" t="str">
        <f>VLOOKUP(VLOOKUP(B890,[1]Product!A:C,3,FALSE),[1]Supplier!A:I,9,FALSE)</f>
        <v>Germany</v>
      </c>
      <c r="S890" t="str">
        <f>IFERROR(IF(VLOOKUP(A890,'[1]Sales Order'!A:H,8,FALSE)&gt;100,"High Freight","Low Freight"),"Not Specified")</f>
        <v>Low Freight</v>
      </c>
      <c r="T890">
        <f t="shared" si="27"/>
        <v>162.75</v>
      </c>
    </row>
    <row r="891" spans="1:20">
      <c r="A891" s="1">
        <v>10580</v>
      </c>
      <c r="B891" s="2">
        <v>14</v>
      </c>
      <c r="C891" s="2">
        <v>23.25</v>
      </c>
      <c r="D891" s="2">
        <v>15</v>
      </c>
      <c r="E891" s="3">
        <v>0.05</v>
      </c>
      <c r="F891" s="2" t="str">
        <f>IFERROR(VLOOKUP(VLOOKUP(A891,'[1]Sales Order'!A:B,2,FALSE),[1]Customer!A:C,3,FALSE),"Not Specified")</f>
        <v>Marinova, Nadejda</v>
      </c>
      <c r="G891" s="2" t="str">
        <f t="shared" si="26"/>
        <v>Marinova Nadejda</v>
      </c>
      <c r="H891" s="8" t="str">
        <f>IFERROR(VLOOKUP(VLOOKUP(A891,'[1]Sales Order'!A:C,3,FALSE),[1]Employee!A:E,5,FALSE)&amp;" "&amp;VLOOKUP(VLOOKUP(A891,'[1]Sales Order'!A:C,3,FALSE),[1]Employee!A:C,3,FALSE)&amp;" "&amp;VLOOKUP(VLOOKUP(A891,'[1]Sales Order'!A:C,3,FALSE),[1]Employee!A:B,2,FALSE),"Not Specified")</f>
        <v>Mrs. Yael Peled</v>
      </c>
      <c r="I891" t="str">
        <f>IFERROR(VLOOKUP(VLOOKUP(A891,'[1]Sales Order'!A:C,3,FALSE),[1]Employee!A:J,10,FALSE),"Not Specified")</f>
        <v>WA</v>
      </c>
      <c r="J891" t="str">
        <f>VLOOKUP(B891,[1]Product!A:B,2,FALSE)</f>
        <v>Product PWCJB</v>
      </c>
      <c r="K891" t="str">
        <f>VLOOKUP(VLOOKUP(B891,[1]Product!A:D,4,FALSE),[1]Category!A:B,2,FALSE)</f>
        <v>Produce</v>
      </c>
      <c r="L891" s="10">
        <f>IFERROR(VLOOKUP(A891,'[1]Sales Order'!A:D,4,FALSE),"")</f>
        <v>39259</v>
      </c>
      <c r="M891" s="10">
        <f>IFERROR(VLOOKUP(A891,'[1]Sales Order'!A:F,6,FALSE),"")</f>
        <v>39264</v>
      </c>
      <c r="N891" t="str">
        <f>IFERROR(VLOOKUP(VLOOKUP(A891,'[1]Sales Order'!A:G,7,FALSE),[1]Shipper!A:B,2,FALSE),"Not Specified")</f>
        <v>Shipper ZHISN</v>
      </c>
      <c r="O891" t="str">
        <f>IFERROR(VLOOKUP(A891,'[1]Sales Order'!A:I,9,FALSE),"Not Specified")</f>
        <v>Ship to 56-C</v>
      </c>
      <c r="P891" t="str">
        <f>IFERROR(VLOOKUP(A891,'[1]Sales Order'!A:N,14,FALSE),"Not Specified")</f>
        <v>Germany</v>
      </c>
      <c r="Q891" t="str">
        <f>VLOOKUP(VLOOKUP(B891,[1]Product!A:C,3,FALSE),[1]Supplier!A:B,2,FALSE)</f>
        <v>Supplier QWUSF</v>
      </c>
      <c r="R891" t="str">
        <f>VLOOKUP(VLOOKUP(B891,[1]Product!A:C,3,FALSE),[1]Supplier!A:I,9,FALSE)</f>
        <v>Japan</v>
      </c>
      <c r="S891" t="str">
        <f>IFERROR(IF(VLOOKUP(A891,'[1]Sales Order'!A:H,8,FALSE)&gt;100,"High Freight","Low Freight"),"Not Specified")</f>
        <v>Low Freight</v>
      </c>
      <c r="T891">
        <f t="shared" si="27"/>
        <v>331.3125</v>
      </c>
    </row>
    <row r="892" spans="1:20">
      <c r="A892" s="1">
        <v>10580</v>
      </c>
      <c r="B892" s="2">
        <v>41</v>
      </c>
      <c r="C892" s="2">
        <v>9.65</v>
      </c>
      <c r="D892" s="2">
        <v>9</v>
      </c>
      <c r="E892" s="3">
        <v>0.05</v>
      </c>
      <c r="F892" s="2" t="str">
        <f>IFERROR(VLOOKUP(VLOOKUP(A892,'[1]Sales Order'!A:B,2,FALSE),[1]Customer!A:C,3,FALSE),"Not Specified")</f>
        <v>Marinova, Nadejda</v>
      </c>
      <c r="G892" s="2" t="str">
        <f t="shared" si="26"/>
        <v>Marinova Nadejda</v>
      </c>
      <c r="H892" s="8" t="str">
        <f>IFERROR(VLOOKUP(VLOOKUP(A892,'[1]Sales Order'!A:C,3,FALSE),[1]Employee!A:E,5,FALSE)&amp;" "&amp;VLOOKUP(VLOOKUP(A892,'[1]Sales Order'!A:C,3,FALSE),[1]Employee!A:C,3,FALSE)&amp;" "&amp;VLOOKUP(VLOOKUP(A892,'[1]Sales Order'!A:C,3,FALSE),[1]Employee!A:B,2,FALSE),"Not Specified")</f>
        <v>Mrs. Yael Peled</v>
      </c>
      <c r="I892" t="str">
        <f>IFERROR(VLOOKUP(VLOOKUP(A892,'[1]Sales Order'!A:C,3,FALSE),[1]Employee!A:J,10,FALSE),"Not Specified")</f>
        <v>WA</v>
      </c>
      <c r="J892" t="str">
        <f>VLOOKUP(B892,[1]Product!A:B,2,FALSE)</f>
        <v>Product TTEEX</v>
      </c>
      <c r="K892" t="str">
        <f>VLOOKUP(VLOOKUP(B892,[1]Product!A:D,4,FALSE),[1]Category!A:B,2,FALSE)</f>
        <v>Seafood</v>
      </c>
      <c r="L892" s="10">
        <f>IFERROR(VLOOKUP(A892,'[1]Sales Order'!A:D,4,FALSE),"")</f>
        <v>39259</v>
      </c>
      <c r="M892" s="10">
        <f>IFERROR(VLOOKUP(A892,'[1]Sales Order'!A:F,6,FALSE),"")</f>
        <v>39264</v>
      </c>
      <c r="N892" t="str">
        <f>IFERROR(VLOOKUP(VLOOKUP(A892,'[1]Sales Order'!A:G,7,FALSE),[1]Shipper!A:B,2,FALSE),"Not Specified")</f>
        <v>Shipper ZHISN</v>
      </c>
      <c r="O892" t="str">
        <f>IFERROR(VLOOKUP(A892,'[1]Sales Order'!A:I,9,FALSE),"Not Specified")</f>
        <v>Ship to 56-C</v>
      </c>
      <c r="P892" t="str">
        <f>IFERROR(VLOOKUP(A892,'[1]Sales Order'!A:N,14,FALSE),"Not Specified")</f>
        <v>Germany</v>
      </c>
      <c r="Q892" t="str">
        <f>VLOOKUP(VLOOKUP(B892,[1]Product!A:C,3,FALSE),[1]Supplier!A:B,2,FALSE)</f>
        <v>Supplier JDNUG</v>
      </c>
      <c r="R892" t="str">
        <f>VLOOKUP(VLOOKUP(B892,[1]Product!A:C,3,FALSE),[1]Supplier!A:I,9,FALSE)</f>
        <v>USA</v>
      </c>
      <c r="S892" t="str">
        <f>IFERROR(IF(VLOOKUP(A892,'[1]Sales Order'!A:H,8,FALSE)&gt;100,"High Freight","Low Freight"),"Not Specified")</f>
        <v>Low Freight</v>
      </c>
      <c r="T892">
        <f t="shared" si="27"/>
        <v>82.507500000000007</v>
      </c>
    </row>
    <row r="893" spans="1:20">
      <c r="A893" s="1">
        <v>10580</v>
      </c>
      <c r="B893" s="2">
        <v>65</v>
      </c>
      <c r="C893" s="2">
        <v>21.05</v>
      </c>
      <c r="D893" s="2">
        <v>30</v>
      </c>
      <c r="E893" s="3">
        <v>0.05</v>
      </c>
      <c r="F893" s="2" t="str">
        <f>IFERROR(VLOOKUP(VLOOKUP(A893,'[1]Sales Order'!A:B,2,FALSE),[1]Customer!A:C,3,FALSE),"Not Specified")</f>
        <v>Marinova, Nadejda</v>
      </c>
      <c r="G893" s="2" t="str">
        <f t="shared" si="26"/>
        <v>Marinova Nadejda</v>
      </c>
      <c r="H893" s="8" t="str">
        <f>IFERROR(VLOOKUP(VLOOKUP(A893,'[1]Sales Order'!A:C,3,FALSE),[1]Employee!A:E,5,FALSE)&amp;" "&amp;VLOOKUP(VLOOKUP(A893,'[1]Sales Order'!A:C,3,FALSE),[1]Employee!A:C,3,FALSE)&amp;" "&amp;VLOOKUP(VLOOKUP(A893,'[1]Sales Order'!A:C,3,FALSE),[1]Employee!A:B,2,FALSE),"Not Specified")</f>
        <v>Mrs. Yael Peled</v>
      </c>
      <c r="I893" t="str">
        <f>IFERROR(VLOOKUP(VLOOKUP(A893,'[1]Sales Order'!A:C,3,FALSE),[1]Employee!A:J,10,FALSE),"Not Specified")</f>
        <v>WA</v>
      </c>
      <c r="J893" t="str">
        <f>VLOOKUP(B893,[1]Product!A:B,2,FALSE)</f>
        <v>Product XYWBZ</v>
      </c>
      <c r="K893" t="str">
        <f>VLOOKUP(VLOOKUP(B893,[1]Product!A:D,4,FALSE),[1]Category!A:B,2,FALSE)</f>
        <v>Condiments</v>
      </c>
      <c r="L893" s="10">
        <f>IFERROR(VLOOKUP(A893,'[1]Sales Order'!A:D,4,FALSE),"")</f>
        <v>39259</v>
      </c>
      <c r="M893" s="10">
        <f>IFERROR(VLOOKUP(A893,'[1]Sales Order'!A:F,6,FALSE),"")</f>
        <v>39264</v>
      </c>
      <c r="N893" t="str">
        <f>IFERROR(VLOOKUP(VLOOKUP(A893,'[1]Sales Order'!A:G,7,FALSE),[1]Shipper!A:B,2,FALSE),"Not Specified")</f>
        <v>Shipper ZHISN</v>
      </c>
      <c r="O893" t="str">
        <f>IFERROR(VLOOKUP(A893,'[1]Sales Order'!A:I,9,FALSE),"Not Specified")</f>
        <v>Ship to 56-C</v>
      </c>
      <c r="P893" t="str">
        <f>IFERROR(VLOOKUP(A893,'[1]Sales Order'!A:N,14,FALSE),"Not Specified")</f>
        <v>Germany</v>
      </c>
      <c r="Q893" t="str">
        <f>VLOOKUP(VLOOKUP(B893,[1]Product!A:C,3,FALSE),[1]Supplier!A:B,2,FALSE)</f>
        <v>Supplier VHQZD</v>
      </c>
      <c r="R893" t="str">
        <f>VLOOKUP(VLOOKUP(B893,[1]Product!A:C,3,FALSE),[1]Supplier!A:I,9,FALSE)</f>
        <v>USA</v>
      </c>
      <c r="S893" t="str">
        <f>IFERROR(IF(VLOOKUP(A893,'[1]Sales Order'!A:H,8,FALSE)&gt;100,"High Freight","Low Freight"),"Not Specified")</f>
        <v>Low Freight</v>
      </c>
      <c r="T893">
        <f t="shared" si="27"/>
        <v>599.92499999999995</v>
      </c>
    </row>
    <row r="894" spans="1:20">
      <c r="A894" s="1">
        <v>10581</v>
      </c>
      <c r="B894" s="2">
        <v>75</v>
      </c>
      <c r="C894" s="2">
        <v>7.75</v>
      </c>
      <c r="D894" s="2">
        <v>50</v>
      </c>
      <c r="E894" s="3">
        <v>0.2</v>
      </c>
      <c r="F894" s="2" t="str">
        <f>IFERROR(VLOOKUP(VLOOKUP(A894,'[1]Sales Order'!A:B,2,FALSE),[1]Customer!A:C,3,FALSE),"Not Specified")</f>
        <v>Russo, Giuseppe</v>
      </c>
      <c r="G894" s="2" t="str">
        <f t="shared" si="26"/>
        <v>Russo Giuseppe</v>
      </c>
      <c r="H894" s="8" t="str">
        <f>IFERROR(VLOOKUP(VLOOKUP(A894,'[1]Sales Order'!A:C,3,FALSE),[1]Employee!A:E,5,FALSE)&amp;" "&amp;VLOOKUP(VLOOKUP(A894,'[1]Sales Order'!A:C,3,FALSE),[1]Employee!A:C,3,FALSE)&amp;" "&amp;VLOOKUP(VLOOKUP(A894,'[1]Sales Order'!A:C,3,FALSE),[1]Employee!A:B,2,FALSE),"Not Specified")</f>
        <v>Ms. Judy Lew</v>
      </c>
      <c r="I894" t="str">
        <f>IFERROR(VLOOKUP(VLOOKUP(A894,'[1]Sales Order'!A:C,3,FALSE),[1]Employee!A:J,10,FALSE),"Not Specified")</f>
        <v>WA</v>
      </c>
      <c r="J894" t="str">
        <f>VLOOKUP(B894,[1]Product!A:B,2,FALSE)</f>
        <v>Product BWRLG</v>
      </c>
      <c r="K894" t="str">
        <f>VLOOKUP(VLOOKUP(B894,[1]Product!A:D,4,FALSE),[1]Category!A:B,2,FALSE)</f>
        <v>Beverages</v>
      </c>
      <c r="L894" s="10">
        <f>IFERROR(VLOOKUP(A894,'[1]Sales Order'!A:D,4,FALSE),"")</f>
        <v>39259</v>
      </c>
      <c r="M894" s="10">
        <f>IFERROR(VLOOKUP(A894,'[1]Sales Order'!A:F,6,FALSE),"")</f>
        <v>39265</v>
      </c>
      <c r="N894" t="str">
        <f>IFERROR(VLOOKUP(VLOOKUP(A894,'[1]Sales Order'!A:G,7,FALSE),[1]Shipper!A:B,2,FALSE),"Not Specified")</f>
        <v>Shipper GVSUA</v>
      </c>
      <c r="O894" t="str">
        <f>IFERROR(VLOOKUP(A894,'[1]Sales Order'!A:I,9,FALSE),"Not Specified")</f>
        <v>Destination SSYXZ</v>
      </c>
      <c r="P894" t="str">
        <f>IFERROR(VLOOKUP(A894,'[1]Sales Order'!A:N,14,FALSE),"Not Specified")</f>
        <v>Brazil</v>
      </c>
      <c r="Q894" t="str">
        <f>VLOOKUP(VLOOKUP(B894,[1]Product!A:C,3,FALSE),[1]Supplier!A:B,2,FALSE)</f>
        <v>Supplier SVIYA</v>
      </c>
      <c r="R894" t="str">
        <f>VLOOKUP(VLOOKUP(B894,[1]Product!A:C,3,FALSE),[1]Supplier!A:I,9,FALSE)</f>
        <v>Germany</v>
      </c>
      <c r="S894" t="str">
        <f>IFERROR(IF(VLOOKUP(A894,'[1]Sales Order'!A:H,8,FALSE)&gt;100,"High Freight","Low Freight"),"Not Specified")</f>
        <v>Low Freight</v>
      </c>
      <c r="T894">
        <f t="shared" si="27"/>
        <v>310</v>
      </c>
    </row>
    <row r="895" spans="1:20">
      <c r="A895" s="1">
        <v>10582</v>
      </c>
      <c r="B895" s="2">
        <v>57</v>
      </c>
      <c r="C895" s="2">
        <v>19.5</v>
      </c>
      <c r="D895" s="2">
        <v>4</v>
      </c>
      <c r="E895" s="3">
        <v>0</v>
      </c>
      <c r="F895" s="2" t="str">
        <f>IFERROR(VLOOKUP(VLOOKUP(A895,'[1]Sales Order'!A:B,2,FALSE),[1]Customer!A:C,3,FALSE),"Not Specified")</f>
        <v>Poland, Carole</v>
      </c>
      <c r="G895" s="2" t="str">
        <f t="shared" si="26"/>
        <v>Poland Carole</v>
      </c>
      <c r="H895" s="8" t="str">
        <f>IFERROR(VLOOKUP(VLOOKUP(A895,'[1]Sales Order'!A:C,3,FALSE),[1]Employee!A:E,5,FALSE)&amp;" "&amp;VLOOKUP(VLOOKUP(A895,'[1]Sales Order'!A:C,3,FALSE),[1]Employee!A:C,3,FALSE)&amp;" "&amp;VLOOKUP(VLOOKUP(A895,'[1]Sales Order'!A:C,3,FALSE),[1]Employee!A:B,2,FALSE),"Not Specified")</f>
        <v>Ms. Judy Lew</v>
      </c>
      <c r="I895" t="str">
        <f>IFERROR(VLOOKUP(VLOOKUP(A895,'[1]Sales Order'!A:C,3,FALSE),[1]Employee!A:J,10,FALSE),"Not Specified")</f>
        <v>WA</v>
      </c>
      <c r="J895" t="str">
        <f>VLOOKUP(B895,[1]Product!A:B,2,FALSE)</f>
        <v>Product OVLQI</v>
      </c>
      <c r="K895" t="str">
        <f>VLOOKUP(VLOOKUP(B895,[1]Product!A:D,4,FALSE),[1]Category!A:B,2,FALSE)</f>
        <v>Grains/Cereals</v>
      </c>
      <c r="L895" s="10">
        <f>IFERROR(VLOOKUP(A895,'[1]Sales Order'!A:D,4,FALSE),"")</f>
        <v>39260</v>
      </c>
      <c r="M895" s="10">
        <f>IFERROR(VLOOKUP(A895,'[1]Sales Order'!A:F,6,FALSE),"")</f>
        <v>39277</v>
      </c>
      <c r="N895" t="str">
        <f>IFERROR(VLOOKUP(VLOOKUP(A895,'[1]Sales Order'!A:G,7,FALSE),[1]Shipper!A:B,2,FALSE),"Not Specified")</f>
        <v>Shipper ETYNR</v>
      </c>
      <c r="O895" t="str">
        <f>IFERROR(VLOOKUP(A895,'[1]Sales Order'!A:I,9,FALSE),"Not Specified")</f>
        <v>Ship to 6-A</v>
      </c>
      <c r="P895" t="str">
        <f>IFERROR(VLOOKUP(A895,'[1]Sales Order'!A:N,14,FALSE),"Not Specified")</f>
        <v>Germany</v>
      </c>
      <c r="Q895" t="str">
        <f>VLOOKUP(VLOOKUP(B895,[1]Product!A:C,3,FALSE),[1]Supplier!A:B,2,FALSE)</f>
        <v>Supplier ZWZDM</v>
      </c>
      <c r="R895" t="str">
        <f>VLOOKUP(VLOOKUP(B895,[1]Product!A:C,3,FALSE),[1]Supplier!A:I,9,FALSE)</f>
        <v>Italy</v>
      </c>
      <c r="S895" t="str">
        <f>IFERROR(IF(VLOOKUP(A895,'[1]Sales Order'!A:H,8,FALSE)&gt;100,"High Freight","Low Freight"),"Not Specified")</f>
        <v>Low Freight</v>
      </c>
      <c r="T895">
        <f t="shared" si="27"/>
        <v>78</v>
      </c>
    </row>
    <row r="896" spans="1:20">
      <c r="A896" s="1">
        <v>10582</v>
      </c>
      <c r="B896" s="2">
        <v>76</v>
      </c>
      <c r="C896" s="2">
        <v>18</v>
      </c>
      <c r="D896" s="2">
        <v>14</v>
      </c>
      <c r="E896" s="3">
        <v>0</v>
      </c>
      <c r="F896" s="2" t="str">
        <f>IFERROR(VLOOKUP(VLOOKUP(A896,'[1]Sales Order'!A:B,2,FALSE),[1]Customer!A:C,3,FALSE),"Not Specified")</f>
        <v>Poland, Carole</v>
      </c>
      <c r="G896" s="2" t="str">
        <f t="shared" si="26"/>
        <v>Poland Carole</v>
      </c>
      <c r="H896" s="8" t="str">
        <f>IFERROR(VLOOKUP(VLOOKUP(A896,'[1]Sales Order'!A:C,3,FALSE),[1]Employee!A:E,5,FALSE)&amp;" "&amp;VLOOKUP(VLOOKUP(A896,'[1]Sales Order'!A:C,3,FALSE),[1]Employee!A:C,3,FALSE)&amp;" "&amp;VLOOKUP(VLOOKUP(A896,'[1]Sales Order'!A:C,3,FALSE),[1]Employee!A:B,2,FALSE),"Not Specified")</f>
        <v>Ms. Judy Lew</v>
      </c>
      <c r="I896" t="str">
        <f>IFERROR(VLOOKUP(VLOOKUP(A896,'[1]Sales Order'!A:C,3,FALSE),[1]Employee!A:J,10,FALSE),"Not Specified")</f>
        <v>WA</v>
      </c>
      <c r="J896" t="str">
        <f>VLOOKUP(B896,[1]Product!A:B,2,FALSE)</f>
        <v>Product JYGFE</v>
      </c>
      <c r="K896" t="str">
        <f>VLOOKUP(VLOOKUP(B896,[1]Product!A:D,4,FALSE),[1]Category!A:B,2,FALSE)</f>
        <v>Beverages</v>
      </c>
      <c r="L896" s="10">
        <f>IFERROR(VLOOKUP(A896,'[1]Sales Order'!A:D,4,FALSE),"")</f>
        <v>39260</v>
      </c>
      <c r="M896" s="10">
        <f>IFERROR(VLOOKUP(A896,'[1]Sales Order'!A:F,6,FALSE),"")</f>
        <v>39277</v>
      </c>
      <c r="N896" t="str">
        <f>IFERROR(VLOOKUP(VLOOKUP(A896,'[1]Sales Order'!A:G,7,FALSE),[1]Shipper!A:B,2,FALSE),"Not Specified")</f>
        <v>Shipper ETYNR</v>
      </c>
      <c r="O896" t="str">
        <f>IFERROR(VLOOKUP(A896,'[1]Sales Order'!A:I,9,FALSE),"Not Specified")</f>
        <v>Ship to 6-A</v>
      </c>
      <c r="P896" t="str">
        <f>IFERROR(VLOOKUP(A896,'[1]Sales Order'!A:N,14,FALSE),"Not Specified")</f>
        <v>Germany</v>
      </c>
      <c r="Q896" t="str">
        <f>VLOOKUP(VLOOKUP(B896,[1]Product!A:C,3,FALSE),[1]Supplier!A:B,2,FALSE)</f>
        <v>Supplier ELCRN</v>
      </c>
      <c r="R896" t="str">
        <f>VLOOKUP(VLOOKUP(B896,[1]Product!A:C,3,FALSE),[1]Supplier!A:I,9,FALSE)</f>
        <v>Finland</v>
      </c>
      <c r="S896" t="str">
        <f>IFERROR(IF(VLOOKUP(A896,'[1]Sales Order'!A:H,8,FALSE)&gt;100,"High Freight","Low Freight"),"Not Specified")</f>
        <v>Low Freight</v>
      </c>
      <c r="T896">
        <f t="shared" si="27"/>
        <v>252</v>
      </c>
    </row>
    <row r="897" spans="1:20">
      <c r="A897" s="1">
        <v>10583</v>
      </c>
      <c r="B897" s="2">
        <v>29</v>
      </c>
      <c r="C897" s="2">
        <v>123.79</v>
      </c>
      <c r="D897" s="2">
        <v>10</v>
      </c>
      <c r="E897" s="3">
        <v>0</v>
      </c>
      <c r="F897" s="2" t="str">
        <f>IFERROR(VLOOKUP(VLOOKUP(A897,'[1]Sales Order'!A:B,2,FALSE),[1]Customer!A:C,3,FALSE),"Not Specified")</f>
        <v>Ludwig, Michael</v>
      </c>
      <c r="G897" s="2" t="str">
        <f t="shared" si="26"/>
        <v>Ludwig Michael</v>
      </c>
      <c r="H897" s="8" t="str">
        <f>IFERROR(VLOOKUP(VLOOKUP(A897,'[1]Sales Order'!A:C,3,FALSE),[1]Employee!A:E,5,FALSE)&amp;" "&amp;VLOOKUP(VLOOKUP(A897,'[1]Sales Order'!A:C,3,FALSE),[1]Employee!A:C,3,FALSE)&amp;" "&amp;VLOOKUP(VLOOKUP(A897,'[1]Sales Order'!A:C,3,FALSE),[1]Employee!A:B,2,FALSE),"Not Specified")</f>
        <v>Dr. Don Funk</v>
      </c>
      <c r="I897" t="str">
        <f>IFERROR(VLOOKUP(VLOOKUP(A897,'[1]Sales Order'!A:C,3,FALSE),[1]Employee!A:J,10,FALSE),"Not Specified")</f>
        <v>WA</v>
      </c>
      <c r="J897" t="str">
        <f>VLOOKUP(B897,[1]Product!A:B,2,FALSE)</f>
        <v>Product VJXYN</v>
      </c>
      <c r="K897" t="str">
        <f>VLOOKUP(VLOOKUP(B897,[1]Product!A:D,4,FALSE),[1]Category!A:B,2,FALSE)</f>
        <v>Meat/Poultry</v>
      </c>
      <c r="L897" s="10">
        <f>IFERROR(VLOOKUP(A897,'[1]Sales Order'!A:D,4,FALSE),"")</f>
        <v>39263</v>
      </c>
      <c r="M897" s="10">
        <f>IFERROR(VLOOKUP(A897,'[1]Sales Order'!A:F,6,FALSE),"")</f>
        <v>39267</v>
      </c>
      <c r="N897" t="str">
        <f>IFERROR(VLOOKUP(VLOOKUP(A897,'[1]Sales Order'!A:G,7,FALSE),[1]Shipper!A:B,2,FALSE),"Not Specified")</f>
        <v>Shipper ETYNR</v>
      </c>
      <c r="O897" t="str">
        <f>IFERROR(VLOOKUP(A897,'[1]Sales Order'!A:I,9,FALSE),"Not Specified")</f>
        <v>Ship to 87-C</v>
      </c>
      <c r="P897" t="str">
        <f>IFERROR(VLOOKUP(A897,'[1]Sales Order'!A:N,14,FALSE),"Not Specified")</f>
        <v>Finland</v>
      </c>
      <c r="Q897" t="str">
        <f>VLOOKUP(VLOOKUP(B897,[1]Product!A:C,3,FALSE),[1]Supplier!A:B,2,FALSE)</f>
        <v>Supplier SVIYA</v>
      </c>
      <c r="R897" t="str">
        <f>VLOOKUP(VLOOKUP(B897,[1]Product!A:C,3,FALSE),[1]Supplier!A:I,9,FALSE)</f>
        <v>Germany</v>
      </c>
      <c r="S897" t="str">
        <f>IFERROR(IF(VLOOKUP(A897,'[1]Sales Order'!A:H,8,FALSE)&gt;100,"High Freight","Low Freight"),"Not Specified")</f>
        <v>Low Freight</v>
      </c>
      <c r="T897">
        <f t="shared" si="27"/>
        <v>1237.9000000000001</v>
      </c>
    </row>
    <row r="898" spans="1:20">
      <c r="A898" s="1">
        <v>10583</v>
      </c>
      <c r="B898" s="2">
        <v>60</v>
      </c>
      <c r="C898" s="2">
        <v>34</v>
      </c>
      <c r="D898" s="2">
        <v>24</v>
      </c>
      <c r="E898" s="3">
        <v>0.15</v>
      </c>
      <c r="F898" s="2" t="str">
        <f>IFERROR(VLOOKUP(VLOOKUP(A898,'[1]Sales Order'!A:B,2,FALSE),[1]Customer!A:C,3,FALSE),"Not Specified")</f>
        <v>Ludwig, Michael</v>
      </c>
      <c r="G898" s="2" t="str">
        <f t="shared" si="26"/>
        <v>Ludwig Michael</v>
      </c>
      <c r="H898" s="8" t="str">
        <f>IFERROR(VLOOKUP(VLOOKUP(A898,'[1]Sales Order'!A:C,3,FALSE),[1]Employee!A:E,5,FALSE)&amp;" "&amp;VLOOKUP(VLOOKUP(A898,'[1]Sales Order'!A:C,3,FALSE),[1]Employee!A:C,3,FALSE)&amp;" "&amp;VLOOKUP(VLOOKUP(A898,'[1]Sales Order'!A:C,3,FALSE),[1]Employee!A:B,2,FALSE),"Not Specified")</f>
        <v>Dr. Don Funk</v>
      </c>
      <c r="I898" t="str">
        <f>IFERROR(VLOOKUP(VLOOKUP(A898,'[1]Sales Order'!A:C,3,FALSE),[1]Employee!A:J,10,FALSE),"Not Specified")</f>
        <v>WA</v>
      </c>
      <c r="J898" t="str">
        <f>VLOOKUP(B898,[1]Product!A:B,2,FALSE)</f>
        <v>Product WHBYK</v>
      </c>
      <c r="K898" t="str">
        <f>VLOOKUP(VLOOKUP(B898,[1]Product!A:D,4,FALSE),[1]Category!A:B,2,FALSE)</f>
        <v>Dairy Product</v>
      </c>
      <c r="L898" s="10">
        <f>IFERROR(VLOOKUP(A898,'[1]Sales Order'!A:D,4,FALSE),"")</f>
        <v>39263</v>
      </c>
      <c r="M898" s="10">
        <f>IFERROR(VLOOKUP(A898,'[1]Sales Order'!A:F,6,FALSE),"")</f>
        <v>39267</v>
      </c>
      <c r="N898" t="str">
        <f>IFERROR(VLOOKUP(VLOOKUP(A898,'[1]Sales Order'!A:G,7,FALSE),[1]Shipper!A:B,2,FALSE),"Not Specified")</f>
        <v>Shipper ETYNR</v>
      </c>
      <c r="O898" t="str">
        <f>IFERROR(VLOOKUP(A898,'[1]Sales Order'!A:I,9,FALSE),"Not Specified")</f>
        <v>Ship to 87-C</v>
      </c>
      <c r="P898" t="str">
        <f>IFERROR(VLOOKUP(A898,'[1]Sales Order'!A:N,14,FALSE),"Not Specified")</f>
        <v>Finland</v>
      </c>
      <c r="Q898" t="str">
        <f>VLOOKUP(VLOOKUP(B898,[1]Product!A:C,3,FALSE),[1]Supplier!A:B,2,FALSE)</f>
        <v>Supplier OAVQT</v>
      </c>
      <c r="R898" t="str">
        <f>VLOOKUP(VLOOKUP(B898,[1]Product!A:C,3,FALSE),[1]Supplier!A:I,9,FALSE)</f>
        <v>France</v>
      </c>
      <c r="S898" t="str">
        <f>IFERROR(IF(VLOOKUP(A898,'[1]Sales Order'!A:H,8,FALSE)&gt;100,"High Freight","Low Freight"),"Not Specified")</f>
        <v>Low Freight</v>
      </c>
      <c r="T898">
        <f t="shared" si="27"/>
        <v>693.6</v>
      </c>
    </row>
    <row r="899" spans="1:20">
      <c r="A899" s="1">
        <v>10583</v>
      </c>
      <c r="B899" s="2">
        <v>69</v>
      </c>
      <c r="C899" s="2">
        <v>36</v>
      </c>
      <c r="D899" s="2">
        <v>10</v>
      </c>
      <c r="E899" s="3">
        <v>0.15</v>
      </c>
      <c r="F899" s="2" t="str">
        <f>IFERROR(VLOOKUP(VLOOKUP(A899,'[1]Sales Order'!A:B,2,FALSE),[1]Customer!A:C,3,FALSE),"Not Specified")</f>
        <v>Ludwig, Michael</v>
      </c>
      <c r="G899" s="2" t="str">
        <f t="shared" ref="G899:G962" si="28">SUBSTITUTE(F899,",","",1)</f>
        <v>Ludwig Michael</v>
      </c>
      <c r="H899" s="8" t="str">
        <f>IFERROR(VLOOKUP(VLOOKUP(A899,'[1]Sales Order'!A:C,3,FALSE),[1]Employee!A:E,5,FALSE)&amp;" "&amp;VLOOKUP(VLOOKUP(A899,'[1]Sales Order'!A:C,3,FALSE),[1]Employee!A:C,3,FALSE)&amp;" "&amp;VLOOKUP(VLOOKUP(A899,'[1]Sales Order'!A:C,3,FALSE),[1]Employee!A:B,2,FALSE),"Not Specified")</f>
        <v>Dr. Don Funk</v>
      </c>
      <c r="I899" t="str">
        <f>IFERROR(VLOOKUP(VLOOKUP(A899,'[1]Sales Order'!A:C,3,FALSE),[1]Employee!A:J,10,FALSE),"Not Specified")</f>
        <v>WA</v>
      </c>
      <c r="J899" t="str">
        <f>VLOOKUP(B899,[1]Product!A:B,2,FALSE)</f>
        <v>Product COAXA</v>
      </c>
      <c r="K899" t="str">
        <f>VLOOKUP(VLOOKUP(B899,[1]Product!A:D,4,FALSE),[1]Category!A:B,2,FALSE)</f>
        <v>Dairy Product</v>
      </c>
      <c r="L899" s="10">
        <f>IFERROR(VLOOKUP(A899,'[1]Sales Order'!A:D,4,FALSE),"")</f>
        <v>39263</v>
      </c>
      <c r="M899" s="10">
        <f>IFERROR(VLOOKUP(A899,'[1]Sales Order'!A:F,6,FALSE),"")</f>
        <v>39267</v>
      </c>
      <c r="N899" t="str">
        <f>IFERROR(VLOOKUP(VLOOKUP(A899,'[1]Sales Order'!A:G,7,FALSE),[1]Shipper!A:B,2,FALSE),"Not Specified")</f>
        <v>Shipper ETYNR</v>
      </c>
      <c r="O899" t="str">
        <f>IFERROR(VLOOKUP(A899,'[1]Sales Order'!A:I,9,FALSE),"Not Specified")</f>
        <v>Ship to 87-C</v>
      </c>
      <c r="P899" t="str">
        <f>IFERROR(VLOOKUP(A899,'[1]Sales Order'!A:N,14,FALSE),"Not Specified")</f>
        <v>Finland</v>
      </c>
      <c r="Q899" t="str">
        <f>VLOOKUP(VLOOKUP(B899,[1]Product!A:C,3,FALSE),[1]Supplier!A:B,2,FALSE)</f>
        <v>Supplier NZLIF</v>
      </c>
      <c r="R899" t="str">
        <f>VLOOKUP(VLOOKUP(B899,[1]Product!A:C,3,FALSE),[1]Supplier!A:I,9,FALSE)</f>
        <v>Norway</v>
      </c>
      <c r="S899" t="str">
        <f>IFERROR(IF(VLOOKUP(A899,'[1]Sales Order'!A:H,8,FALSE)&gt;100,"High Freight","Low Freight"),"Not Specified")</f>
        <v>Low Freight</v>
      </c>
      <c r="T899">
        <f t="shared" ref="T899:T962" si="29">C899*D899*(1-E899)</f>
        <v>306</v>
      </c>
    </row>
    <row r="900" spans="1:20">
      <c r="A900" s="1">
        <v>10584</v>
      </c>
      <c r="B900" s="2">
        <v>31</v>
      </c>
      <c r="C900" s="2">
        <v>12.5</v>
      </c>
      <c r="D900" s="2">
        <v>50</v>
      </c>
      <c r="E900" s="3">
        <v>0.05</v>
      </c>
      <c r="F900" s="2" t="str">
        <f>IFERROR(VLOOKUP(VLOOKUP(A900,'[1]Sales Order'!A:B,2,FALSE),[1]Customer!A:C,3,FALSE),"Not Specified")</f>
        <v>Bansal, Dushyant</v>
      </c>
      <c r="G900" s="2" t="str">
        <f t="shared" si="28"/>
        <v>Bansal Dushyant</v>
      </c>
      <c r="H900" s="8" t="str">
        <f>IFERROR(VLOOKUP(VLOOKUP(A900,'[1]Sales Order'!A:C,3,FALSE),[1]Employee!A:E,5,FALSE)&amp;" "&amp;VLOOKUP(VLOOKUP(A900,'[1]Sales Order'!A:C,3,FALSE),[1]Employee!A:C,3,FALSE)&amp;" "&amp;VLOOKUP(VLOOKUP(A900,'[1]Sales Order'!A:C,3,FALSE),[1]Employee!A:B,2,FALSE),"Not Specified")</f>
        <v>Mrs. Yael Peled</v>
      </c>
      <c r="I900" t="str">
        <f>IFERROR(VLOOKUP(VLOOKUP(A900,'[1]Sales Order'!A:C,3,FALSE),[1]Employee!A:J,10,FALSE),"Not Specified")</f>
        <v>WA</v>
      </c>
      <c r="J900" t="str">
        <f>VLOOKUP(B900,[1]Product!A:B,2,FALSE)</f>
        <v>Product XWOXC</v>
      </c>
      <c r="K900" t="str">
        <f>VLOOKUP(VLOOKUP(B900,[1]Product!A:D,4,FALSE),[1]Category!A:B,2,FALSE)</f>
        <v>Dairy Product</v>
      </c>
      <c r="L900" s="10">
        <f>IFERROR(VLOOKUP(A900,'[1]Sales Order'!A:D,4,FALSE),"")</f>
        <v>39263</v>
      </c>
      <c r="M900" s="10">
        <f>IFERROR(VLOOKUP(A900,'[1]Sales Order'!A:F,6,FALSE),"")</f>
        <v>39267</v>
      </c>
      <c r="N900" t="str">
        <f>IFERROR(VLOOKUP(VLOOKUP(A900,'[1]Sales Order'!A:G,7,FALSE),[1]Shipper!A:B,2,FALSE),"Not Specified")</f>
        <v>Shipper GVSUA</v>
      </c>
      <c r="O900" t="str">
        <f>IFERROR(VLOOKUP(A900,'[1]Sales Order'!A:I,9,FALSE),"Not Specified")</f>
        <v>Ship to 7-B</v>
      </c>
      <c r="P900" t="str">
        <f>IFERROR(VLOOKUP(A900,'[1]Sales Order'!A:N,14,FALSE),"Not Specified")</f>
        <v>France</v>
      </c>
      <c r="Q900" t="str">
        <f>VLOOKUP(VLOOKUP(B900,[1]Product!A:C,3,FALSE),[1]Supplier!A:B,2,FALSE)</f>
        <v>Supplier KEREV</v>
      </c>
      <c r="R900" t="str">
        <f>VLOOKUP(VLOOKUP(B900,[1]Product!A:C,3,FALSE),[1]Supplier!A:I,9,FALSE)</f>
        <v>Italy</v>
      </c>
      <c r="S900" t="str">
        <f>IFERROR(IF(VLOOKUP(A900,'[1]Sales Order'!A:H,8,FALSE)&gt;100,"High Freight","Low Freight"),"Not Specified")</f>
        <v>Low Freight</v>
      </c>
      <c r="T900">
        <f t="shared" si="29"/>
        <v>593.75</v>
      </c>
    </row>
    <row r="901" spans="1:20">
      <c r="A901" s="1">
        <v>10585</v>
      </c>
      <c r="B901" s="2">
        <v>47</v>
      </c>
      <c r="C901" s="2">
        <v>9.5</v>
      </c>
      <c r="D901" s="2">
        <v>15</v>
      </c>
      <c r="E901" s="3">
        <v>0</v>
      </c>
      <c r="F901" s="2" t="str">
        <f>IFERROR(VLOOKUP(VLOOKUP(A901,'[1]Sales Order'!A:B,2,FALSE),[1]Customer!A:C,3,FALSE),"Not Specified")</f>
        <v>Li, Yan</v>
      </c>
      <c r="G901" s="2" t="str">
        <f t="shared" si="28"/>
        <v>Li Yan</v>
      </c>
      <c r="H901" s="8" t="str">
        <f>IFERROR(VLOOKUP(VLOOKUP(A901,'[1]Sales Order'!A:C,3,FALSE),[1]Employee!A:E,5,FALSE)&amp;" "&amp;VLOOKUP(VLOOKUP(A901,'[1]Sales Order'!A:C,3,FALSE),[1]Employee!A:C,3,FALSE)&amp;" "&amp;VLOOKUP(VLOOKUP(A901,'[1]Sales Order'!A:C,3,FALSE),[1]Employee!A:B,2,FALSE),"Not Specified")</f>
        <v>Mr. Russell King</v>
      </c>
      <c r="I901">
        <f>IFERROR(VLOOKUP(VLOOKUP(A901,'[1]Sales Order'!A:C,3,FALSE),[1]Employee!A:J,10,FALSE),"Not Specified")</f>
        <v>0</v>
      </c>
      <c r="J901" t="str">
        <f>VLOOKUP(B901,[1]Product!A:B,2,FALSE)</f>
        <v>Product EZZPR</v>
      </c>
      <c r="K901" t="str">
        <f>VLOOKUP(VLOOKUP(B901,[1]Product!A:D,4,FALSE),[1]Category!A:B,2,FALSE)</f>
        <v>Confections</v>
      </c>
      <c r="L901" s="10">
        <f>IFERROR(VLOOKUP(A901,'[1]Sales Order'!A:D,4,FALSE),"")</f>
        <v>39264</v>
      </c>
      <c r="M901" s="10">
        <f>IFERROR(VLOOKUP(A901,'[1]Sales Order'!A:F,6,FALSE),"")</f>
        <v>39273</v>
      </c>
      <c r="N901" t="str">
        <f>IFERROR(VLOOKUP(VLOOKUP(A901,'[1]Sales Order'!A:G,7,FALSE),[1]Shipper!A:B,2,FALSE),"Not Specified")</f>
        <v>Shipper GVSUA</v>
      </c>
      <c r="O901" t="str">
        <f>IFERROR(VLOOKUP(A901,'[1]Sales Order'!A:I,9,FALSE),"Not Specified")</f>
        <v>Ship to 88-A</v>
      </c>
      <c r="P901" t="str">
        <f>IFERROR(VLOOKUP(A901,'[1]Sales Order'!A:N,14,FALSE),"Not Specified")</f>
        <v>Brazil</v>
      </c>
      <c r="Q901" t="str">
        <f>VLOOKUP(VLOOKUP(B901,[1]Product!A:C,3,FALSE),[1]Supplier!A:B,2,FALSE)</f>
        <v>Supplier FNUXM</v>
      </c>
      <c r="R901" t="str">
        <f>VLOOKUP(VLOOKUP(B901,[1]Product!A:C,3,FALSE),[1]Supplier!A:I,9,FALSE)</f>
        <v>Netherlands</v>
      </c>
      <c r="S901" t="str">
        <f>IFERROR(IF(VLOOKUP(A901,'[1]Sales Order'!A:H,8,FALSE)&gt;100,"High Freight","Low Freight"),"Not Specified")</f>
        <v>Low Freight</v>
      </c>
      <c r="T901">
        <f t="shared" si="29"/>
        <v>142.5</v>
      </c>
    </row>
    <row r="902" spans="1:20">
      <c r="A902" s="1">
        <v>10586</v>
      </c>
      <c r="B902" s="2">
        <v>52</v>
      </c>
      <c r="C902" s="2">
        <v>7</v>
      </c>
      <c r="D902" s="2">
        <v>4</v>
      </c>
      <c r="E902" s="3">
        <v>0.15</v>
      </c>
      <c r="F902" s="2" t="str">
        <f>IFERROR(VLOOKUP(VLOOKUP(A902,'[1]Sales Order'!A:B,2,FALSE),[1]Customer!A:C,3,FALSE),"Not Specified")</f>
        <v>Voss, Florian</v>
      </c>
      <c r="G902" s="2" t="str">
        <f t="shared" si="28"/>
        <v>Voss Florian</v>
      </c>
      <c r="H902" s="8" t="str">
        <f>IFERROR(VLOOKUP(VLOOKUP(A902,'[1]Sales Order'!A:C,3,FALSE),[1]Employee!A:E,5,FALSE)&amp;" "&amp;VLOOKUP(VLOOKUP(A902,'[1]Sales Order'!A:C,3,FALSE),[1]Employee!A:C,3,FALSE)&amp;" "&amp;VLOOKUP(VLOOKUP(A902,'[1]Sales Order'!A:C,3,FALSE),[1]Employee!A:B,2,FALSE),"Not Specified")</f>
        <v>Ms. Zoya Dolgopyatova</v>
      </c>
      <c r="I902">
        <f>IFERROR(VLOOKUP(VLOOKUP(A902,'[1]Sales Order'!A:C,3,FALSE),[1]Employee!A:J,10,FALSE),"Not Specified")</f>
        <v>0</v>
      </c>
      <c r="J902" t="str">
        <f>VLOOKUP(B902,[1]Product!A:B,2,FALSE)</f>
        <v>Product QSRXF</v>
      </c>
      <c r="K902" t="str">
        <f>VLOOKUP(VLOOKUP(B902,[1]Product!A:D,4,FALSE),[1]Category!A:B,2,FALSE)</f>
        <v>Grains/Cereals</v>
      </c>
      <c r="L902" s="10">
        <f>IFERROR(VLOOKUP(A902,'[1]Sales Order'!A:D,4,FALSE),"")</f>
        <v>39265</v>
      </c>
      <c r="M902" s="10">
        <f>IFERROR(VLOOKUP(A902,'[1]Sales Order'!A:F,6,FALSE),"")</f>
        <v>39272</v>
      </c>
      <c r="N902" t="str">
        <f>IFERROR(VLOOKUP(VLOOKUP(A902,'[1]Sales Order'!A:G,7,FALSE),[1]Shipper!A:B,2,FALSE),"Not Specified")</f>
        <v>Shipper GVSUA</v>
      </c>
      <c r="O902" t="str">
        <f>IFERROR(VLOOKUP(A902,'[1]Sales Order'!A:I,9,FALSE),"Not Specified")</f>
        <v>Ship to 66-B</v>
      </c>
      <c r="P902" t="str">
        <f>IFERROR(VLOOKUP(A902,'[1]Sales Order'!A:N,14,FALSE),"Not Specified")</f>
        <v>Italy</v>
      </c>
      <c r="Q902" t="str">
        <f>VLOOKUP(VLOOKUP(B902,[1]Product!A:C,3,FALSE),[1]Supplier!A:B,2,FALSE)</f>
        <v>Supplier JNNES</v>
      </c>
      <c r="R902" t="str">
        <f>VLOOKUP(VLOOKUP(B902,[1]Product!A:C,3,FALSE),[1]Supplier!A:I,9,FALSE)</f>
        <v>Australia</v>
      </c>
      <c r="S902" t="str">
        <f>IFERROR(IF(VLOOKUP(A902,'[1]Sales Order'!A:H,8,FALSE)&gt;100,"High Freight","Low Freight"),"Not Specified")</f>
        <v>Low Freight</v>
      </c>
      <c r="T902">
        <f t="shared" si="29"/>
        <v>23.8</v>
      </c>
    </row>
    <row r="903" spans="1:20">
      <c r="A903" s="1">
        <v>10587</v>
      </c>
      <c r="B903" s="2">
        <v>26</v>
      </c>
      <c r="C903" s="2">
        <v>31.23</v>
      </c>
      <c r="D903" s="2">
        <v>6</v>
      </c>
      <c r="E903" s="3">
        <v>0</v>
      </c>
      <c r="F903" s="2" t="str">
        <f>IFERROR(VLOOKUP(VLOOKUP(A903,'[1]Sales Order'!A:B,2,FALSE),[1]Customer!A:C,3,FALSE),"Not Specified")</f>
        <v>Florczyk, Krzysztof</v>
      </c>
      <c r="G903" s="2" t="str">
        <f t="shared" si="28"/>
        <v>Florczyk Krzysztof</v>
      </c>
      <c r="H903" s="8" t="str">
        <f>IFERROR(VLOOKUP(VLOOKUP(A903,'[1]Sales Order'!A:C,3,FALSE),[1]Employee!A:E,5,FALSE)&amp;" "&amp;VLOOKUP(VLOOKUP(A903,'[1]Sales Order'!A:C,3,FALSE),[1]Employee!A:C,3,FALSE)&amp;" "&amp;VLOOKUP(VLOOKUP(A903,'[1]Sales Order'!A:C,3,FALSE),[1]Employee!A:B,2,FALSE),"Not Specified")</f>
        <v>Ms. Sara Davis</v>
      </c>
      <c r="I903" t="str">
        <f>IFERROR(VLOOKUP(VLOOKUP(A903,'[1]Sales Order'!A:C,3,FALSE),[1]Employee!A:J,10,FALSE),"Not Specified")</f>
        <v>WA</v>
      </c>
      <c r="J903" t="str">
        <f>VLOOKUP(B903,[1]Product!A:B,2,FALSE)</f>
        <v>Product HLGZA</v>
      </c>
      <c r="K903" t="str">
        <f>VLOOKUP(VLOOKUP(B903,[1]Product!A:D,4,FALSE),[1]Category!A:B,2,FALSE)</f>
        <v>Confections</v>
      </c>
      <c r="L903" s="10">
        <f>IFERROR(VLOOKUP(A903,'[1]Sales Order'!A:D,4,FALSE),"")</f>
        <v>39265</v>
      </c>
      <c r="M903" s="10">
        <f>IFERROR(VLOOKUP(A903,'[1]Sales Order'!A:F,6,FALSE),"")</f>
        <v>39272</v>
      </c>
      <c r="N903" t="str">
        <f>IFERROR(VLOOKUP(VLOOKUP(A903,'[1]Sales Order'!A:G,7,FALSE),[1]Shipper!A:B,2,FALSE),"Not Specified")</f>
        <v>Shipper GVSUA</v>
      </c>
      <c r="O903" t="str">
        <f>IFERROR(VLOOKUP(A903,'[1]Sales Order'!A:I,9,FALSE),"Not Specified")</f>
        <v>Ship to 61-C</v>
      </c>
      <c r="P903" t="str">
        <f>IFERROR(VLOOKUP(A903,'[1]Sales Order'!A:N,14,FALSE),"Not Specified")</f>
        <v>Brazil</v>
      </c>
      <c r="Q903" t="str">
        <f>VLOOKUP(VLOOKUP(B903,[1]Product!A:C,3,FALSE),[1]Supplier!A:B,2,FALSE)</f>
        <v>Supplier ZPYVS</v>
      </c>
      <c r="R903" t="str">
        <f>VLOOKUP(VLOOKUP(B903,[1]Product!A:C,3,FALSE),[1]Supplier!A:I,9,FALSE)</f>
        <v>Germany</v>
      </c>
      <c r="S903" t="str">
        <f>IFERROR(IF(VLOOKUP(A903,'[1]Sales Order'!A:H,8,FALSE)&gt;100,"High Freight","Low Freight"),"Not Specified")</f>
        <v>Low Freight</v>
      </c>
      <c r="T903">
        <f t="shared" si="29"/>
        <v>187.38</v>
      </c>
    </row>
    <row r="904" spans="1:20">
      <c r="A904" s="1">
        <v>10587</v>
      </c>
      <c r="B904" s="2">
        <v>35</v>
      </c>
      <c r="C904" s="2">
        <v>18</v>
      </c>
      <c r="D904" s="2">
        <v>20</v>
      </c>
      <c r="E904" s="3">
        <v>0</v>
      </c>
      <c r="F904" s="2" t="str">
        <f>IFERROR(VLOOKUP(VLOOKUP(A904,'[1]Sales Order'!A:B,2,FALSE),[1]Customer!A:C,3,FALSE),"Not Specified")</f>
        <v>Florczyk, Krzysztof</v>
      </c>
      <c r="G904" s="2" t="str">
        <f t="shared" si="28"/>
        <v>Florczyk Krzysztof</v>
      </c>
      <c r="H904" s="8" t="str">
        <f>IFERROR(VLOOKUP(VLOOKUP(A904,'[1]Sales Order'!A:C,3,FALSE),[1]Employee!A:E,5,FALSE)&amp;" "&amp;VLOOKUP(VLOOKUP(A904,'[1]Sales Order'!A:C,3,FALSE),[1]Employee!A:C,3,FALSE)&amp;" "&amp;VLOOKUP(VLOOKUP(A904,'[1]Sales Order'!A:C,3,FALSE),[1]Employee!A:B,2,FALSE),"Not Specified")</f>
        <v>Ms. Sara Davis</v>
      </c>
      <c r="I904" t="str">
        <f>IFERROR(VLOOKUP(VLOOKUP(A904,'[1]Sales Order'!A:C,3,FALSE),[1]Employee!A:J,10,FALSE),"Not Specified")</f>
        <v>WA</v>
      </c>
      <c r="J904" t="str">
        <f>VLOOKUP(B904,[1]Product!A:B,2,FALSE)</f>
        <v>Product NEVTJ</v>
      </c>
      <c r="K904" t="str">
        <f>VLOOKUP(VLOOKUP(B904,[1]Product!A:D,4,FALSE),[1]Category!A:B,2,FALSE)</f>
        <v>Beverages</v>
      </c>
      <c r="L904" s="10">
        <f>IFERROR(VLOOKUP(A904,'[1]Sales Order'!A:D,4,FALSE),"")</f>
        <v>39265</v>
      </c>
      <c r="M904" s="10">
        <f>IFERROR(VLOOKUP(A904,'[1]Sales Order'!A:F,6,FALSE),"")</f>
        <v>39272</v>
      </c>
      <c r="N904" t="str">
        <f>IFERROR(VLOOKUP(VLOOKUP(A904,'[1]Sales Order'!A:G,7,FALSE),[1]Shipper!A:B,2,FALSE),"Not Specified")</f>
        <v>Shipper GVSUA</v>
      </c>
      <c r="O904" t="str">
        <f>IFERROR(VLOOKUP(A904,'[1]Sales Order'!A:I,9,FALSE),"Not Specified")</f>
        <v>Ship to 61-C</v>
      </c>
      <c r="P904" t="str">
        <f>IFERROR(VLOOKUP(A904,'[1]Sales Order'!A:N,14,FALSE),"Not Specified")</f>
        <v>Brazil</v>
      </c>
      <c r="Q904" t="str">
        <f>VLOOKUP(VLOOKUP(B904,[1]Product!A:C,3,FALSE),[1]Supplier!A:B,2,FALSE)</f>
        <v>Supplier UHZRG</v>
      </c>
      <c r="R904" t="str">
        <f>VLOOKUP(VLOOKUP(B904,[1]Product!A:C,3,FALSE),[1]Supplier!A:I,9,FALSE)</f>
        <v>USA</v>
      </c>
      <c r="S904" t="str">
        <f>IFERROR(IF(VLOOKUP(A904,'[1]Sales Order'!A:H,8,FALSE)&gt;100,"High Freight","Low Freight"),"Not Specified")</f>
        <v>Low Freight</v>
      </c>
      <c r="T904">
        <f t="shared" si="29"/>
        <v>360</v>
      </c>
    </row>
    <row r="905" spans="1:20">
      <c r="A905" s="1">
        <v>10587</v>
      </c>
      <c r="B905" s="2">
        <v>77</v>
      </c>
      <c r="C905" s="2">
        <v>13</v>
      </c>
      <c r="D905" s="2">
        <v>20</v>
      </c>
      <c r="E905" s="3">
        <v>0</v>
      </c>
      <c r="F905" s="2" t="str">
        <f>IFERROR(VLOOKUP(VLOOKUP(A905,'[1]Sales Order'!A:B,2,FALSE),[1]Customer!A:C,3,FALSE),"Not Specified")</f>
        <v>Florczyk, Krzysztof</v>
      </c>
      <c r="G905" s="2" t="str">
        <f t="shared" si="28"/>
        <v>Florczyk Krzysztof</v>
      </c>
      <c r="H905" s="8" t="str">
        <f>IFERROR(VLOOKUP(VLOOKUP(A905,'[1]Sales Order'!A:C,3,FALSE),[1]Employee!A:E,5,FALSE)&amp;" "&amp;VLOOKUP(VLOOKUP(A905,'[1]Sales Order'!A:C,3,FALSE),[1]Employee!A:C,3,FALSE)&amp;" "&amp;VLOOKUP(VLOOKUP(A905,'[1]Sales Order'!A:C,3,FALSE),[1]Employee!A:B,2,FALSE),"Not Specified")</f>
        <v>Ms. Sara Davis</v>
      </c>
      <c r="I905" t="str">
        <f>IFERROR(VLOOKUP(VLOOKUP(A905,'[1]Sales Order'!A:C,3,FALSE),[1]Employee!A:J,10,FALSE),"Not Specified")</f>
        <v>WA</v>
      </c>
      <c r="J905" t="str">
        <f>VLOOKUP(B905,[1]Product!A:B,2,FALSE)</f>
        <v>Product LUNZZ</v>
      </c>
      <c r="K905" t="str">
        <f>VLOOKUP(VLOOKUP(B905,[1]Product!A:D,4,FALSE),[1]Category!A:B,2,FALSE)</f>
        <v>Condiments</v>
      </c>
      <c r="L905" s="10">
        <f>IFERROR(VLOOKUP(A905,'[1]Sales Order'!A:D,4,FALSE),"")</f>
        <v>39265</v>
      </c>
      <c r="M905" s="10">
        <f>IFERROR(VLOOKUP(A905,'[1]Sales Order'!A:F,6,FALSE),"")</f>
        <v>39272</v>
      </c>
      <c r="N905" t="str">
        <f>IFERROR(VLOOKUP(VLOOKUP(A905,'[1]Sales Order'!A:G,7,FALSE),[1]Shipper!A:B,2,FALSE),"Not Specified")</f>
        <v>Shipper GVSUA</v>
      </c>
      <c r="O905" t="str">
        <f>IFERROR(VLOOKUP(A905,'[1]Sales Order'!A:I,9,FALSE),"Not Specified")</f>
        <v>Ship to 61-C</v>
      </c>
      <c r="P905" t="str">
        <f>IFERROR(VLOOKUP(A905,'[1]Sales Order'!A:N,14,FALSE),"Not Specified")</f>
        <v>Brazil</v>
      </c>
      <c r="Q905" t="str">
        <f>VLOOKUP(VLOOKUP(B905,[1]Product!A:C,3,FALSE),[1]Supplier!A:B,2,FALSE)</f>
        <v>Supplier SVIYA</v>
      </c>
      <c r="R905" t="str">
        <f>VLOOKUP(VLOOKUP(B905,[1]Product!A:C,3,FALSE),[1]Supplier!A:I,9,FALSE)</f>
        <v>Germany</v>
      </c>
      <c r="S905" t="str">
        <f>IFERROR(IF(VLOOKUP(A905,'[1]Sales Order'!A:H,8,FALSE)&gt;100,"High Freight","Low Freight"),"Not Specified")</f>
        <v>Low Freight</v>
      </c>
      <c r="T905">
        <f t="shared" si="29"/>
        <v>260</v>
      </c>
    </row>
    <row r="906" spans="1:20">
      <c r="A906" s="1">
        <v>10588</v>
      </c>
      <c r="B906" s="2">
        <v>18</v>
      </c>
      <c r="C906" s="2">
        <v>62.5</v>
      </c>
      <c r="D906" s="2">
        <v>40</v>
      </c>
      <c r="E906" s="3">
        <v>0.2</v>
      </c>
      <c r="F906" s="2" t="str">
        <f>IFERROR(VLOOKUP(VLOOKUP(A906,'[1]Sales Order'!A:B,2,FALSE),[1]Customer!A:C,3,FALSE),"Not Specified")</f>
        <v>Veronesi, Giorgio</v>
      </c>
      <c r="G906" s="2" t="str">
        <f t="shared" si="28"/>
        <v>Veronesi Giorgio</v>
      </c>
      <c r="H906" s="8" t="str">
        <f>IFERROR(VLOOKUP(VLOOKUP(A906,'[1]Sales Order'!A:C,3,FALSE),[1]Employee!A:E,5,FALSE)&amp;" "&amp;VLOOKUP(VLOOKUP(A906,'[1]Sales Order'!A:C,3,FALSE),[1]Employee!A:C,3,FALSE)&amp;" "&amp;VLOOKUP(VLOOKUP(A906,'[1]Sales Order'!A:C,3,FALSE),[1]Employee!A:B,2,FALSE),"Not Specified")</f>
        <v>Dr. Don Funk</v>
      </c>
      <c r="I906" t="str">
        <f>IFERROR(VLOOKUP(VLOOKUP(A906,'[1]Sales Order'!A:C,3,FALSE),[1]Employee!A:J,10,FALSE),"Not Specified")</f>
        <v>WA</v>
      </c>
      <c r="J906" t="str">
        <f>VLOOKUP(B906,[1]Product!A:B,2,FALSE)</f>
        <v>Product CKEDC</v>
      </c>
      <c r="K906" t="str">
        <f>VLOOKUP(VLOOKUP(B906,[1]Product!A:D,4,FALSE),[1]Category!A:B,2,FALSE)</f>
        <v>Seafood</v>
      </c>
      <c r="L906" s="10">
        <f>IFERROR(VLOOKUP(A906,'[1]Sales Order'!A:D,4,FALSE),"")</f>
        <v>39266</v>
      </c>
      <c r="M906" s="10">
        <f>IFERROR(VLOOKUP(A906,'[1]Sales Order'!A:F,6,FALSE),"")</f>
        <v>39273</v>
      </c>
      <c r="N906" t="str">
        <f>IFERROR(VLOOKUP(VLOOKUP(A906,'[1]Sales Order'!A:G,7,FALSE),[1]Shipper!A:B,2,FALSE),"Not Specified")</f>
        <v>Shipper ZHISN</v>
      </c>
      <c r="O906" t="str">
        <f>IFERROR(VLOOKUP(A906,'[1]Sales Order'!A:I,9,FALSE),"Not Specified")</f>
        <v>Ship to 63-A</v>
      </c>
      <c r="P906" t="str">
        <f>IFERROR(VLOOKUP(A906,'[1]Sales Order'!A:N,14,FALSE),"Not Specified")</f>
        <v>Germany</v>
      </c>
      <c r="Q906" t="str">
        <f>VLOOKUP(VLOOKUP(B906,[1]Product!A:C,3,FALSE),[1]Supplier!A:B,2,FALSE)</f>
        <v>Supplier GQRCV</v>
      </c>
      <c r="R906" t="str">
        <f>VLOOKUP(VLOOKUP(B906,[1]Product!A:C,3,FALSE),[1]Supplier!A:I,9,FALSE)</f>
        <v>Australia</v>
      </c>
      <c r="S906" t="str">
        <f>IFERROR(IF(VLOOKUP(A906,'[1]Sales Order'!A:H,8,FALSE)&gt;100,"High Freight","Low Freight"),"Not Specified")</f>
        <v>High Freight</v>
      </c>
      <c r="T906">
        <f t="shared" si="29"/>
        <v>2000</v>
      </c>
    </row>
    <row r="907" spans="1:20">
      <c r="A907" s="1">
        <v>10588</v>
      </c>
      <c r="B907" s="2">
        <v>42</v>
      </c>
      <c r="C907" s="2">
        <v>14</v>
      </c>
      <c r="D907" s="2">
        <v>100</v>
      </c>
      <c r="E907" s="3">
        <v>0.2</v>
      </c>
      <c r="F907" s="2" t="str">
        <f>IFERROR(VLOOKUP(VLOOKUP(A907,'[1]Sales Order'!A:B,2,FALSE),[1]Customer!A:C,3,FALSE),"Not Specified")</f>
        <v>Veronesi, Giorgio</v>
      </c>
      <c r="G907" s="2" t="str">
        <f t="shared" si="28"/>
        <v>Veronesi Giorgio</v>
      </c>
      <c r="H907" s="8" t="str">
        <f>IFERROR(VLOOKUP(VLOOKUP(A907,'[1]Sales Order'!A:C,3,FALSE),[1]Employee!A:E,5,FALSE)&amp;" "&amp;VLOOKUP(VLOOKUP(A907,'[1]Sales Order'!A:C,3,FALSE),[1]Employee!A:C,3,FALSE)&amp;" "&amp;VLOOKUP(VLOOKUP(A907,'[1]Sales Order'!A:C,3,FALSE),[1]Employee!A:B,2,FALSE),"Not Specified")</f>
        <v>Dr. Don Funk</v>
      </c>
      <c r="I907" t="str">
        <f>IFERROR(VLOOKUP(VLOOKUP(A907,'[1]Sales Order'!A:C,3,FALSE),[1]Employee!A:J,10,FALSE),"Not Specified")</f>
        <v>WA</v>
      </c>
      <c r="J907" t="str">
        <f>VLOOKUP(B907,[1]Product!A:B,2,FALSE)</f>
        <v>Product RJVNM</v>
      </c>
      <c r="K907" t="str">
        <f>VLOOKUP(VLOOKUP(B907,[1]Product!A:D,4,FALSE),[1]Category!A:B,2,FALSE)</f>
        <v>Grains/Cereals</v>
      </c>
      <c r="L907" s="10">
        <f>IFERROR(VLOOKUP(A907,'[1]Sales Order'!A:D,4,FALSE),"")</f>
        <v>39266</v>
      </c>
      <c r="M907" s="10">
        <f>IFERROR(VLOOKUP(A907,'[1]Sales Order'!A:F,6,FALSE),"")</f>
        <v>39273</v>
      </c>
      <c r="N907" t="str">
        <f>IFERROR(VLOOKUP(VLOOKUP(A907,'[1]Sales Order'!A:G,7,FALSE),[1]Shipper!A:B,2,FALSE),"Not Specified")</f>
        <v>Shipper ZHISN</v>
      </c>
      <c r="O907" t="str">
        <f>IFERROR(VLOOKUP(A907,'[1]Sales Order'!A:I,9,FALSE),"Not Specified")</f>
        <v>Ship to 63-A</v>
      </c>
      <c r="P907" t="str">
        <f>IFERROR(VLOOKUP(A907,'[1]Sales Order'!A:N,14,FALSE),"Not Specified")</f>
        <v>Germany</v>
      </c>
      <c r="Q907" t="str">
        <f>VLOOKUP(VLOOKUP(B907,[1]Product!A:C,3,FALSE),[1]Supplier!A:B,2,FALSE)</f>
        <v>Supplier CIYNM</v>
      </c>
      <c r="R907" t="str">
        <f>VLOOKUP(VLOOKUP(B907,[1]Product!A:C,3,FALSE),[1]Supplier!A:I,9,FALSE)</f>
        <v>Singapore</v>
      </c>
      <c r="S907" t="str">
        <f>IFERROR(IF(VLOOKUP(A907,'[1]Sales Order'!A:H,8,FALSE)&gt;100,"High Freight","Low Freight"),"Not Specified")</f>
        <v>High Freight</v>
      </c>
      <c r="T907">
        <f t="shared" si="29"/>
        <v>1120</v>
      </c>
    </row>
    <row r="908" spans="1:20">
      <c r="A908" s="1">
        <v>10589</v>
      </c>
      <c r="B908" s="2">
        <v>35</v>
      </c>
      <c r="C908" s="2">
        <v>18</v>
      </c>
      <c r="D908" s="2">
        <v>4</v>
      </c>
      <c r="E908" s="3">
        <v>0</v>
      </c>
      <c r="F908" s="2" t="str">
        <f>IFERROR(VLOOKUP(VLOOKUP(A908,'[1]Sales Order'!A:B,2,FALSE),[1]Customer!A:C,3,FALSE),"Not Specified")</f>
        <v>Krishnan, Venky</v>
      </c>
      <c r="G908" s="2" t="str">
        <f t="shared" si="28"/>
        <v>Krishnan Venky</v>
      </c>
      <c r="H908" s="8" t="str">
        <f>IFERROR(VLOOKUP(VLOOKUP(A908,'[1]Sales Order'!A:C,3,FALSE),[1]Employee!A:E,5,FALSE)&amp;" "&amp;VLOOKUP(VLOOKUP(A908,'[1]Sales Order'!A:C,3,FALSE),[1]Employee!A:C,3,FALSE)&amp;" "&amp;VLOOKUP(VLOOKUP(A908,'[1]Sales Order'!A:C,3,FALSE),[1]Employee!A:B,2,FALSE),"Not Specified")</f>
        <v>Ms. Maria Cameron</v>
      </c>
      <c r="I908" t="str">
        <f>IFERROR(VLOOKUP(VLOOKUP(A908,'[1]Sales Order'!A:C,3,FALSE),[1]Employee!A:J,10,FALSE),"Not Specified")</f>
        <v>WA</v>
      </c>
      <c r="J908" t="str">
        <f>VLOOKUP(B908,[1]Product!A:B,2,FALSE)</f>
        <v>Product NEVTJ</v>
      </c>
      <c r="K908" t="str">
        <f>VLOOKUP(VLOOKUP(B908,[1]Product!A:D,4,FALSE),[1]Category!A:B,2,FALSE)</f>
        <v>Beverages</v>
      </c>
      <c r="L908" s="10">
        <f>IFERROR(VLOOKUP(A908,'[1]Sales Order'!A:D,4,FALSE),"")</f>
        <v>39267</v>
      </c>
      <c r="M908" s="10">
        <f>IFERROR(VLOOKUP(A908,'[1]Sales Order'!A:F,6,FALSE),"")</f>
        <v>39277</v>
      </c>
      <c r="N908" t="str">
        <f>IFERROR(VLOOKUP(VLOOKUP(A908,'[1]Sales Order'!A:G,7,FALSE),[1]Shipper!A:B,2,FALSE),"Not Specified")</f>
        <v>Shipper ETYNR</v>
      </c>
      <c r="O908" t="str">
        <f>IFERROR(VLOOKUP(A908,'[1]Sales Order'!A:I,9,FALSE),"Not Specified")</f>
        <v>Destination AVQUS</v>
      </c>
      <c r="P908" t="str">
        <f>IFERROR(VLOOKUP(A908,'[1]Sales Order'!A:N,14,FALSE),"Not Specified")</f>
        <v>USA</v>
      </c>
      <c r="Q908" t="str">
        <f>VLOOKUP(VLOOKUP(B908,[1]Product!A:C,3,FALSE),[1]Supplier!A:B,2,FALSE)</f>
        <v>Supplier UHZRG</v>
      </c>
      <c r="R908" t="str">
        <f>VLOOKUP(VLOOKUP(B908,[1]Product!A:C,3,FALSE),[1]Supplier!A:I,9,FALSE)</f>
        <v>USA</v>
      </c>
      <c r="S908" t="str">
        <f>IFERROR(IF(VLOOKUP(A908,'[1]Sales Order'!A:H,8,FALSE)&gt;100,"High Freight","Low Freight"),"Not Specified")</f>
        <v>Low Freight</v>
      </c>
      <c r="T908">
        <f t="shared" si="29"/>
        <v>72</v>
      </c>
    </row>
    <row r="909" spans="1:20">
      <c r="A909" s="1">
        <v>10590</v>
      </c>
      <c r="B909" s="2">
        <v>1</v>
      </c>
      <c r="C909" s="2">
        <v>18</v>
      </c>
      <c r="D909" s="2">
        <v>20</v>
      </c>
      <c r="E909" s="3">
        <v>0</v>
      </c>
      <c r="F909" s="2" t="str">
        <f>IFERROR(VLOOKUP(VLOOKUP(A909,'[1]Sales Order'!A:B,2,FALSE),[1]Customer!A:C,3,FALSE),"Not Specified")</f>
        <v>Taylor, Maurice</v>
      </c>
      <c r="G909" s="2" t="str">
        <f t="shared" si="28"/>
        <v>Taylor Maurice</v>
      </c>
      <c r="H909" s="8" t="str">
        <f>IFERROR(VLOOKUP(VLOOKUP(A909,'[1]Sales Order'!A:C,3,FALSE),[1]Employee!A:E,5,FALSE)&amp;" "&amp;VLOOKUP(VLOOKUP(A909,'[1]Sales Order'!A:C,3,FALSE),[1]Employee!A:C,3,FALSE)&amp;" "&amp;VLOOKUP(VLOOKUP(A909,'[1]Sales Order'!A:C,3,FALSE),[1]Employee!A:B,2,FALSE),"Not Specified")</f>
        <v>Mrs. Yael Peled</v>
      </c>
      <c r="I909" t="str">
        <f>IFERROR(VLOOKUP(VLOOKUP(A909,'[1]Sales Order'!A:C,3,FALSE),[1]Employee!A:J,10,FALSE),"Not Specified")</f>
        <v>WA</v>
      </c>
      <c r="J909" t="str">
        <f>VLOOKUP(B909,[1]Product!A:B,2,FALSE)</f>
        <v>Product HHYDP</v>
      </c>
      <c r="K909" t="str">
        <f>VLOOKUP(VLOOKUP(B909,[1]Product!A:D,4,FALSE),[1]Category!A:B,2,FALSE)</f>
        <v>Beverages</v>
      </c>
      <c r="L909" s="10">
        <f>IFERROR(VLOOKUP(A909,'[1]Sales Order'!A:D,4,FALSE),"")</f>
        <v>39270</v>
      </c>
      <c r="M909" s="10">
        <f>IFERROR(VLOOKUP(A909,'[1]Sales Order'!A:F,6,FALSE),"")</f>
        <v>39277</v>
      </c>
      <c r="N909" t="str">
        <f>IFERROR(VLOOKUP(VLOOKUP(A909,'[1]Sales Order'!A:G,7,FALSE),[1]Shipper!A:B,2,FALSE),"Not Specified")</f>
        <v>Shipper ZHISN</v>
      </c>
      <c r="O909" t="str">
        <f>IFERROR(VLOOKUP(A909,'[1]Sales Order'!A:I,9,FALSE),"Not Specified")</f>
        <v>Ship to 51-B</v>
      </c>
      <c r="P909" t="str">
        <f>IFERROR(VLOOKUP(A909,'[1]Sales Order'!A:N,14,FALSE),"Not Specified")</f>
        <v>Canada</v>
      </c>
      <c r="Q909" t="str">
        <f>VLOOKUP(VLOOKUP(B909,[1]Product!A:C,3,FALSE),[1]Supplier!A:B,2,FALSE)</f>
        <v>Supplier SWRXU</v>
      </c>
      <c r="R909" t="str">
        <f>VLOOKUP(VLOOKUP(B909,[1]Product!A:C,3,FALSE),[1]Supplier!A:I,9,FALSE)</f>
        <v>UK</v>
      </c>
      <c r="S909" t="str">
        <f>IFERROR(IF(VLOOKUP(A909,'[1]Sales Order'!A:H,8,FALSE)&gt;100,"High Freight","Low Freight"),"Not Specified")</f>
        <v>Low Freight</v>
      </c>
      <c r="T909">
        <f t="shared" si="29"/>
        <v>360</v>
      </c>
    </row>
    <row r="910" spans="1:20">
      <c r="A910" s="1">
        <v>10590</v>
      </c>
      <c r="B910" s="2">
        <v>77</v>
      </c>
      <c r="C910" s="2">
        <v>13</v>
      </c>
      <c r="D910" s="2">
        <v>60</v>
      </c>
      <c r="E910" s="3">
        <v>0.05</v>
      </c>
      <c r="F910" s="2" t="str">
        <f>IFERROR(VLOOKUP(VLOOKUP(A910,'[1]Sales Order'!A:B,2,FALSE),[1]Customer!A:C,3,FALSE),"Not Specified")</f>
        <v>Taylor, Maurice</v>
      </c>
      <c r="G910" s="2" t="str">
        <f t="shared" si="28"/>
        <v>Taylor Maurice</v>
      </c>
      <c r="H910" s="8" t="str">
        <f>IFERROR(VLOOKUP(VLOOKUP(A910,'[1]Sales Order'!A:C,3,FALSE),[1]Employee!A:E,5,FALSE)&amp;" "&amp;VLOOKUP(VLOOKUP(A910,'[1]Sales Order'!A:C,3,FALSE),[1]Employee!A:C,3,FALSE)&amp;" "&amp;VLOOKUP(VLOOKUP(A910,'[1]Sales Order'!A:C,3,FALSE),[1]Employee!A:B,2,FALSE),"Not Specified")</f>
        <v>Mrs. Yael Peled</v>
      </c>
      <c r="I910" t="str">
        <f>IFERROR(VLOOKUP(VLOOKUP(A910,'[1]Sales Order'!A:C,3,FALSE),[1]Employee!A:J,10,FALSE),"Not Specified")</f>
        <v>WA</v>
      </c>
      <c r="J910" t="str">
        <f>VLOOKUP(B910,[1]Product!A:B,2,FALSE)</f>
        <v>Product LUNZZ</v>
      </c>
      <c r="K910" t="str">
        <f>VLOOKUP(VLOOKUP(B910,[1]Product!A:D,4,FALSE),[1]Category!A:B,2,FALSE)</f>
        <v>Condiments</v>
      </c>
      <c r="L910" s="10">
        <f>IFERROR(VLOOKUP(A910,'[1]Sales Order'!A:D,4,FALSE),"")</f>
        <v>39270</v>
      </c>
      <c r="M910" s="10">
        <f>IFERROR(VLOOKUP(A910,'[1]Sales Order'!A:F,6,FALSE),"")</f>
        <v>39277</v>
      </c>
      <c r="N910" t="str">
        <f>IFERROR(VLOOKUP(VLOOKUP(A910,'[1]Sales Order'!A:G,7,FALSE),[1]Shipper!A:B,2,FALSE),"Not Specified")</f>
        <v>Shipper ZHISN</v>
      </c>
      <c r="O910" t="str">
        <f>IFERROR(VLOOKUP(A910,'[1]Sales Order'!A:I,9,FALSE),"Not Specified")</f>
        <v>Ship to 51-B</v>
      </c>
      <c r="P910" t="str">
        <f>IFERROR(VLOOKUP(A910,'[1]Sales Order'!A:N,14,FALSE),"Not Specified")</f>
        <v>Canada</v>
      </c>
      <c r="Q910" t="str">
        <f>VLOOKUP(VLOOKUP(B910,[1]Product!A:C,3,FALSE),[1]Supplier!A:B,2,FALSE)</f>
        <v>Supplier SVIYA</v>
      </c>
      <c r="R910" t="str">
        <f>VLOOKUP(VLOOKUP(B910,[1]Product!A:C,3,FALSE),[1]Supplier!A:I,9,FALSE)</f>
        <v>Germany</v>
      </c>
      <c r="S910" t="str">
        <f>IFERROR(IF(VLOOKUP(A910,'[1]Sales Order'!A:H,8,FALSE)&gt;100,"High Freight","Low Freight"),"Not Specified")</f>
        <v>Low Freight</v>
      </c>
      <c r="T910">
        <f t="shared" si="29"/>
        <v>741</v>
      </c>
    </row>
    <row r="911" spans="1:20">
      <c r="A911" s="1">
        <v>10591</v>
      </c>
      <c r="B911" s="2">
        <v>3</v>
      </c>
      <c r="C911" s="2">
        <v>10</v>
      </c>
      <c r="D911" s="2">
        <v>14</v>
      </c>
      <c r="E911" s="3">
        <v>0</v>
      </c>
      <c r="F911" s="2" t="str">
        <f>IFERROR(VLOOKUP(VLOOKUP(A911,'[1]Sales Order'!A:B,2,FALSE),[1]Customer!A:C,3,FALSE),"Not Specified")</f>
        <v>Fonteneau, Karl</v>
      </c>
      <c r="G911" s="2" t="str">
        <f t="shared" si="28"/>
        <v>Fonteneau Karl</v>
      </c>
      <c r="H911" s="8" t="str">
        <f>IFERROR(VLOOKUP(VLOOKUP(A911,'[1]Sales Order'!A:C,3,FALSE),[1]Employee!A:E,5,FALSE)&amp;" "&amp;VLOOKUP(VLOOKUP(A911,'[1]Sales Order'!A:C,3,FALSE),[1]Employee!A:C,3,FALSE)&amp;" "&amp;VLOOKUP(VLOOKUP(A911,'[1]Sales Order'!A:C,3,FALSE),[1]Employee!A:B,2,FALSE),"Not Specified")</f>
        <v>Ms. Sara Davis</v>
      </c>
      <c r="I911" t="str">
        <f>IFERROR(VLOOKUP(VLOOKUP(A911,'[1]Sales Order'!A:C,3,FALSE),[1]Employee!A:J,10,FALSE),"Not Specified")</f>
        <v>WA</v>
      </c>
      <c r="J911" t="str">
        <f>VLOOKUP(B911,[1]Product!A:B,2,FALSE)</f>
        <v>Product IMEHJ</v>
      </c>
      <c r="K911" t="str">
        <f>VLOOKUP(VLOOKUP(B911,[1]Product!A:D,4,FALSE),[1]Category!A:B,2,FALSE)</f>
        <v>Condiments</v>
      </c>
      <c r="L911" s="10">
        <f>IFERROR(VLOOKUP(A911,'[1]Sales Order'!A:D,4,FALSE),"")</f>
        <v>39270</v>
      </c>
      <c r="M911" s="10">
        <f>IFERROR(VLOOKUP(A911,'[1]Sales Order'!A:F,6,FALSE),"")</f>
        <v>39279</v>
      </c>
      <c r="N911" t="str">
        <f>IFERROR(VLOOKUP(VLOOKUP(A911,'[1]Sales Order'!A:G,7,FALSE),[1]Shipper!A:B,2,FALSE),"Not Specified")</f>
        <v>Shipper GVSUA</v>
      </c>
      <c r="O911" t="str">
        <f>IFERROR(VLOOKUP(A911,'[1]Sales Order'!A:I,9,FALSE),"Not Specified")</f>
        <v>Ship to 83-A</v>
      </c>
      <c r="P911" t="str">
        <f>IFERROR(VLOOKUP(A911,'[1]Sales Order'!A:N,14,FALSE),"Not Specified")</f>
        <v>Denmark</v>
      </c>
      <c r="Q911" t="str">
        <f>VLOOKUP(VLOOKUP(B911,[1]Product!A:C,3,FALSE),[1]Supplier!A:B,2,FALSE)</f>
        <v>Supplier SWRXU</v>
      </c>
      <c r="R911" t="str">
        <f>VLOOKUP(VLOOKUP(B911,[1]Product!A:C,3,FALSE),[1]Supplier!A:I,9,FALSE)</f>
        <v>UK</v>
      </c>
      <c r="S911" t="str">
        <f>IFERROR(IF(VLOOKUP(A911,'[1]Sales Order'!A:H,8,FALSE)&gt;100,"High Freight","Low Freight"),"Not Specified")</f>
        <v>Low Freight</v>
      </c>
      <c r="T911">
        <f t="shared" si="29"/>
        <v>140</v>
      </c>
    </row>
    <row r="912" spans="1:20">
      <c r="A912" s="1">
        <v>10591</v>
      </c>
      <c r="B912" s="2">
        <v>7</v>
      </c>
      <c r="C912" s="2">
        <v>30</v>
      </c>
      <c r="D912" s="2">
        <v>10</v>
      </c>
      <c r="E912" s="3">
        <v>0</v>
      </c>
      <c r="F912" s="2" t="str">
        <f>IFERROR(VLOOKUP(VLOOKUP(A912,'[1]Sales Order'!A:B,2,FALSE),[1]Customer!A:C,3,FALSE),"Not Specified")</f>
        <v>Fonteneau, Karl</v>
      </c>
      <c r="G912" s="2" t="str">
        <f t="shared" si="28"/>
        <v>Fonteneau Karl</v>
      </c>
      <c r="H912" s="8" t="str">
        <f>IFERROR(VLOOKUP(VLOOKUP(A912,'[1]Sales Order'!A:C,3,FALSE),[1]Employee!A:E,5,FALSE)&amp;" "&amp;VLOOKUP(VLOOKUP(A912,'[1]Sales Order'!A:C,3,FALSE),[1]Employee!A:C,3,FALSE)&amp;" "&amp;VLOOKUP(VLOOKUP(A912,'[1]Sales Order'!A:C,3,FALSE),[1]Employee!A:B,2,FALSE),"Not Specified")</f>
        <v>Ms. Sara Davis</v>
      </c>
      <c r="I912" t="str">
        <f>IFERROR(VLOOKUP(VLOOKUP(A912,'[1]Sales Order'!A:C,3,FALSE),[1]Employee!A:J,10,FALSE),"Not Specified")</f>
        <v>WA</v>
      </c>
      <c r="J912" t="str">
        <f>VLOOKUP(B912,[1]Product!A:B,2,FALSE)</f>
        <v>Product HMLNI</v>
      </c>
      <c r="K912" t="str">
        <f>VLOOKUP(VLOOKUP(B912,[1]Product!A:D,4,FALSE),[1]Category!A:B,2,FALSE)</f>
        <v>Produce</v>
      </c>
      <c r="L912" s="10">
        <f>IFERROR(VLOOKUP(A912,'[1]Sales Order'!A:D,4,FALSE),"")</f>
        <v>39270</v>
      </c>
      <c r="M912" s="10">
        <f>IFERROR(VLOOKUP(A912,'[1]Sales Order'!A:F,6,FALSE),"")</f>
        <v>39279</v>
      </c>
      <c r="N912" t="str">
        <f>IFERROR(VLOOKUP(VLOOKUP(A912,'[1]Sales Order'!A:G,7,FALSE),[1]Shipper!A:B,2,FALSE),"Not Specified")</f>
        <v>Shipper GVSUA</v>
      </c>
      <c r="O912" t="str">
        <f>IFERROR(VLOOKUP(A912,'[1]Sales Order'!A:I,9,FALSE),"Not Specified")</f>
        <v>Ship to 83-A</v>
      </c>
      <c r="P912" t="str">
        <f>IFERROR(VLOOKUP(A912,'[1]Sales Order'!A:N,14,FALSE),"Not Specified")</f>
        <v>Denmark</v>
      </c>
      <c r="Q912" t="str">
        <f>VLOOKUP(VLOOKUP(B912,[1]Product!A:C,3,FALSE),[1]Supplier!A:B,2,FALSE)</f>
        <v>Supplier STUAZ</v>
      </c>
      <c r="R912" t="str">
        <f>VLOOKUP(VLOOKUP(B912,[1]Product!A:C,3,FALSE),[1]Supplier!A:I,9,FALSE)</f>
        <v>USA</v>
      </c>
      <c r="S912" t="str">
        <f>IFERROR(IF(VLOOKUP(A912,'[1]Sales Order'!A:H,8,FALSE)&gt;100,"High Freight","Low Freight"),"Not Specified")</f>
        <v>Low Freight</v>
      </c>
      <c r="T912">
        <f t="shared" si="29"/>
        <v>300</v>
      </c>
    </row>
    <row r="913" spans="1:20">
      <c r="A913" s="1">
        <v>10591</v>
      </c>
      <c r="B913" s="2">
        <v>54</v>
      </c>
      <c r="C913" s="2">
        <v>7.45</v>
      </c>
      <c r="D913" s="2">
        <v>50</v>
      </c>
      <c r="E913" s="3">
        <v>0</v>
      </c>
      <c r="F913" s="2" t="str">
        <f>IFERROR(VLOOKUP(VLOOKUP(A913,'[1]Sales Order'!A:B,2,FALSE),[1]Customer!A:C,3,FALSE),"Not Specified")</f>
        <v>Fonteneau, Karl</v>
      </c>
      <c r="G913" s="2" t="str">
        <f t="shared" si="28"/>
        <v>Fonteneau Karl</v>
      </c>
      <c r="H913" s="8" t="str">
        <f>IFERROR(VLOOKUP(VLOOKUP(A913,'[1]Sales Order'!A:C,3,FALSE),[1]Employee!A:E,5,FALSE)&amp;" "&amp;VLOOKUP(VLOOKUP(A913,'[1]Sales Order'!A:C,3,FALSE),[1]Employee!A:C,3,FALSE)&amp;" "&amp;VLOOKUP(VLOOKUP(A913,'[1]Sales Order'!A:C,3,FALSE),[1]Employee!A:B,2,FALSE),"Not Specified")</f>
        <v>Ms. Sara Davis</v>
      </c>
      <c r="I913" t="str">
        <f>IFERROR(VLOOKUP(VLOOKUP(A913,'[1]Sales Order'!A:C,3,FALSE),[1]Employee!A:J,10,FALSE),"Not Specified")</f>
        <v>WA</v>
      </c>
      <c r="J913" t="str">
        <f>VLOOKUP(B913,[1]Product!A:B,2,FALSE)</f>
        <v>Product QAQRL</v>
      </c>
      <c r="K913" t="str">
        <f>VLOOKUP(VLOOKUP(B913,[1]Product!A:D,4,FALSE),[1]Category!A:B,2,FALSE)</f>
        <v>Meat/Poultry</v>
      </c>
      <c r="L913" s="10">
        <f>IFERROR(VLOOKUP(A913,'[1]Sales Order'!A:D,4,FALSE),"")</f>
        <v>39270</v>
      </c>
      <c r="M913" s="10">
        <f>IFERROR(VLOOKUP(A913,'[1]Sales Order'!A:F,6,FALSE),"")</f>
        <v>39279</v>
      </c>
      <c r="N913" t="str">
        <f>IFERROR(VLOOKUP(VLOOKUP(A913,'[1]Sales Order'!A:G,7,FALSE),[1]Shipper!A:B,2,FALSE),"Not Specified")</f>
        <v>Shipper GVSUA</v>
      </c>
      <c r="O913" t="str">
        <f>IFERROR(VLOOKUP(A913,'[1]Sales Order'!A:I,9,FALSE),"Not Specified")</f>
        <v>Ship to 83-A</v>
      </c>
      <c r="P913" t="str">
        <f>IFERROR(VLOOKUP(A913,'[1]Sales Order'!A:N,14,FALSE),"Not Specified")</f>
        <v>Denmark</v>
      </c>
      <c r="Q913" t="str">
        <f>VLOOKUP(VLOOKUP(B913,[1]Product!A:C,3,FALSE),[1]Supplier!A:B,2,FALSE)</f>
        <v>Supplier ERVYZ</v>
      </c>
      <c r="R913" t="str">
        <f>VLOOKUP(VLOOKUP(B913,[1]Product!A:C,3,FALSE),[1]Supplier!A:I,9,FALSE)</f>
        <v>Canada</v>
      </c>
      <c r="S913" t="str">
        <f>IFERROR(IF(VLOOKUP(A913,'[1]Sales Order'!A:H,8,FALSE)&gt;100,"High Freight","Low Freight"),"Not Specified")</f>
        <v>Low Freight</v>
      </c>
      <c r="T913">
        <f t="shared" si="29"/>
        <v>372.5</v>
      </c>
    </row>
    <row r="914" spans="1:20">
      <c r="A914" s="1">
        <v>10592</v>
      </c>
      <c r="B914" s="2">
        <v>15</v>
      </c>
      <c r="C914" s="2">
        <v>15.5</v>
      </c>
      <c r="D914" s="2">
        <v>25</v>
      </c>
      <c r="E914" s="3">
        <v>0.05</v>
      </c>
      <c r="F914" s="2" t="str">
        <f>IFERROR(VLOOKUP(VLOOKUP(A914,'[1]Sales Order'!A:B,2,FALSE),[1]Customer!A:C,3,FALSE),"Not Specified")</f>
        <v>Louverdis, George</v>
      </c>
      <c r="G914" s="2" t="str">
        <f t="shared" si="28"/>
        <v>Louverdis George</v>
      </c>
      <c r="H914" s="8" t="str">
        <f>IFERROR(VLOOKUP(VLOOKUP(A914,'[1]Sales Order'!A:C,3,FALSE),[1]Employee!A:E,5,FALSE)&amp;" "&amp;VLOOKUP(VLOOKUP(A914,'[1]Sales Order'!A:C,3,FALSE),[1]Employee!A:C,3,FALSE)&amp;" "&amp;VLOOKUP(VLOOKUP(A914,'[1]Sales Order'!A:C,3,FALSE),[1]Employee!A:B,2,FALSE),"Not Specified")</f>
        <v>Ms. Judy Lew</v>
      </c>
      <c r="I914" t="str">
        <f>IFERROR(VLOOKUP(VLOOKUP(A914,'[1]Sales Order'!A:C,3,FALSE),[1]Employee!A:J,10,FALSE),"Not Specified")</f>
        <v>WA</v>
      </c>
      <c r="J914" t="str">
        <f>VLOOKUP(B914,[1]Product!A:B,2,FALSE)</f>
        <v>Product KSZOI</v>
      </c>
      <c r="K914" t="str">
        <f>VLOOKUP(VLOOKUP(B914,[1]Product!A:D,4,FALSE),[1]Category!A:B,2,FALSE)</f>
        <v>Condiments</v>
      </c>
      <c r="L914" s="10">
        <f>IFERROR(VLOOKUP(A914,'[1]Sales Order'!A:D,4,FALSE),"")</f>
        <v>39271</v>
      </c>
      <c r="M914" s="10">
        <f>IFERROR(VLOOKUP(A914,'[1]Sales Order'!A:F,6,FALSE),"")</f>
        <v>39279</v>
      </c>
      <c r="N914" t="str">
        <f>IFERROR(VLOOKUP(VLOOKUP(A914,'[1]Sales Order'!A:G,7,FALSE),[1]Shipper!A:B,2,FALSE),"Not Specified")</f>
        <v>Shipper GVSUA</v>
      </c>
      <c r="O914" t="str">
        <f>IFERROR(VLOOKUP(A914,'[1]Sales Order'!A:I,9,FALSE),"Not Specified")</f>
        <v>Ship to 44-B</v>
      </c>
      <c r="P914" t="str">
        <f>IFERROR(VLOOKUP(A914,'[1]Sales Order'!A:N,14,FALSE),"Not Specified")</f>
        <v>Germany</v>
      </c>
      <c r="Q914" t="str">
        <f>VLOOKUP(VLOOKUP(B914,[1]Product!A:C,3,FALSE),[1]Supplier!A:B,2,FALSE)</f>
        <v>Supplier QWUSF</v>
      </c>
      <c r="R914" t="str">
        <f>VLOOKUP(VLOOKUP(B914,[1]Product!A:C,3,FALSE),[1]Supplier!A:I,9,FALSE)</f>
        <v>Japan</v>
      </c>
      <c r="S914" t="str">
        <f>IFERROR(IF(VLOOKUP(A914,'[1]Sales Order'!A:H,8,FALSE)&gt;100,"High Freight","Low Freight"),"Not Specified")</f>
        <v>Low Freight</v>
      </c>
      <c r="T914">
        <f t="shared" si="29"/>
        <v>368.125</v>
      </c>
    </row>
    <row r="915" spans="1:20">
      <c r="A915" s="1">
        <v>10592</v>
      </c>
      <c r="B915" s="2">
        <v>26</v>
      </c>
      <c r="C915" s="2">
        <v>31.23</v>
      </c>
      <c r="D915" s="2">
        <v>5</v>
      </c>
      <c r="E915" s="3">
        <v>0.05</v>
      </c>
      <c r="F915" s="2" t="str">
        <f>IFERROR(VLOOKUP(VLOOKUP(A915,'[1]Sales Order'!A:B,2,FALSE),[1]Customer!A:C,3,FALSE),"Not Specified")</f>
        <v>Louverdis, George</v>
      </c>
      <c r="G915" s="2" t="str">
        <f t="shared" si="28"/>
        <v>Louverdis George</v>
      </c>
      <c r="H915" s="8" t="str">
        <f>IFERROR(VLOOKUP(VLOOKUP(A915,'[1]Sales Order'!A:C,3,FALSE),[1]Employee!A:E,5,FALSE)&amp;" "&amp;VLOOKUP(VLOOKUP(A915,'[1]Sales Order'!A:C,3,FALSE),[1]Employee!A:C,3,FALSE)&amp;" "&amp;VLOOKUP(VLOOKUP(A915,'[1]Sales Order'!A:C,3,FALSE),[1]Employee!A:B,2,FALSE),"Not Specified")</f>
        <v>Ms. Judy Lew</v>
      </c>
      <c r="I915" t="str">
        <f>IFERROR(VLOOKUP(VLOOKUP(A915,'[1]Sales Order'!A:C,3,FALSE),[1]Employee!A:J,10,FALSE),"Not Specified")</f>
        <v>WA</v>
      </c>
      <c r="J915" t="str">
        <f>VLOOKUP(B915,[1]Product!A:B,2,FALSE)</f>
        <v>Product HLGZA</v>
      </c>
      <c r="K915" t="str">
        <f>VLOOKUP(VLOOKUP(B915,[1]Product!A:D,4,FALSE),[1]Category!A:B,2,FALSE)</f>
        <v>Confections</v>
      </c>
      <c r="L915" s="10">
        <f>IFERROR(VLOOKUP(A915,'[1]Sales Order'!A:D,4,FALSE),"")</f>
        <v>39271</v>
      </c>
      <c r="M915" s="10">
        <f>IFERROR(VLOOKUP(A915,'[1]Sales Order'!A:F,6,FALSE),"")</f>
        <v>39279</v>
      </c>
      <c r="N915" t="str">
        <f>IFERROR(VLOOKUP(VLOOKUP(A915,'[1]Sales Order'!A:G,7,FALSE),[1]Shipper!A:B,2,FALSE),"Not Specified")</f>
        <v>Shipper GVSUA</v>
      </c>
      <c r="O915" t="str">
        <f>IFERROR(VLOOKUP(A915,'[1]Sales Order'!A:I,9,FALSE),"Not Specified")</f>
        <v>Ship to 44-B</v>
      </c>
      <c r="P915" t="str">
        <f>IFERROR(VLOOKUP(A915,'[1]Sales Order'!A:N,14,FALSE),"Not Specified")</f>
        <v>Germany</v>
      </c>
      <c r="Q915" t="str">
        <f>VLOOKUP(VLOOKUP(B915,[1]Product!A:C,3,FALSE),[1]Supplier!A:B,2,FALSE)</f>
        <v>Supplier ZPYVS</v>
      </c>
      <c r="R915" t="str">
        <f>VLOOKUP(VLOOKUP(B915,[1]Product!A:C,3,FALSE),[1]Supplier!A:I,9,FALSE)</f>
        <v>Germany</v>
      </c>
      <c r="S915" t="str">
        <f>IFERROR(IF(VLOOKUP(A915,'[1]Sales Order'!A:H,8,FALSE)&gt;100,"High Freight","Low Freight"),"Not Specified")</f>
        <v>Low Freight</v>
      </c>
      <c r="T915">
        <f t="shared" si="29"/>
        <v>148.3425</v>
      </c>
    </row>
    <row r="916" spans="1:20">
      <c r="A916" s="1">
        <v>10593</v>
      </c>
      <c r="B916" s="2">
        <v>20</v>
      </c>
      <c r="C916" s="2">
        <v>81</v>
      </c>
      <c r="D916" s="2">
        <v>21</v>
      </c>
      <c r="E916" s="3">
        <v>0.2</v>
      </c>
      <c r="F916" s="2" t="str">
        <f>IFERROR(VLOOKUP(VLOOKUP(A916,'[1]Sales Order'!A:B,2,FALSE),[1]Customer!A:C,3,FALSE),"Not Specified")</f>
        <v>Louverdis, George</v>
      </c>
      <c r="G916" s="2" t="str">
        <f t="shared" si="28"/>
        <v>Louverdis George</v>
      </c>
      <c r="H916" s="8" t="str">
        <f>IFERROR(VLOOKUP(VLOOKUP(A916,'[1]Sales Order'!A:C,3,FALSE),[1]Employee!A:E,5,FALSE)&amp;" "&amp;VLOOKUP(VLOOKUP(A916,'[1]Sales Order'!A:C,3,FALSE),[1]Employee!A:C,3,FALSE)&amp;" "&amp;VLOOKUP(VLOOKUP(A916,'[1]Sales Order'!A:C,3,FALSE),[1]Employee!A:B,2,FALSE),"Not Specified")</f>
        <v>Mr. Russell King</v>
      </c>
      <c r="I916">
        <f>IFERROR(VLOOKUP(VLOOKUP(A916,'[1]Sales Order'!A:C,3,FALSE),[1]Employee!A:J,10,FALSE),"Not Specified")</f>
        <v>0</v>
      </c>
      <c r="J916" t="str">
        <f>VLOOKUP(B916,[1]Product!A:B,2,FALSE)</f>
        <v>Product QHFFP</v>
      </c>
      <c r="K916" t="str">
        <f>VLOOKUP(VLOOKUP(B916,[1]Product!A:D,4,FALSE),[1]Category!A:B,2,FALSE)</f>
        <v>Confections</v>
      </c>
      <c r="L916" s="10">
        <f>IFERROR(VLOOKUP(A916,'[1]Sales Order'!A:D,4,FALSE),"")</f>
        <v>39272</v>
      </c>
      <c r="M916" s="10">
        <f>IFERROR(VLOOKUP(A916,'[1]Sales Order'!A:F,6,FALSE),"")</f>
        <v>39307</v>
      </c>
      <c r="N916" t="str">
        <f>IFERROR(VLOOKUP(VLOOKUP(A916,'[1]Sales Order'!A:G,7,FALSE),[1]Shipper!A:B,2,FALSE),"Not Specified")</f>
        <v>Shipper ETYNR</v>
      </c>
      <c r="O916" t="str">
        <f>IFERROR(VLOOKUP(A916,'[1]Sales Order'!A:I,9,FALSE),"Not Specified")</f>
        <v>Ship to 44-C</v>
      </c>
      <c r="P916" t="str">
        <f>IFERROR(VLOOKUP(A916,'[1]Sales Order'!A:N,14,FALSE),"Not Specified")</f>
        <v>Germany</v>
      </c>
      <c r="Q916" t="str">
        <f>VLOOKUP(VLOOKUP(B916,[1]Product!A:C,3,FALSE),[1]Supplier!A:B,2,FALSE)</f>
        <v>Supplier BWGYE</v>
      </c>
      <c r="R916" t="str">
        <f>VLOOKUP(VLOOKUP(B916,[1]Product!A:C,3,FALSE),[1]Supplier!A:I,9,FALSE)</f>
        <v>UK</v>
      </c>
      <c r="S916" t="str">
        <f>IFERROR(IF(VLOOKUP(A916,'[1]Sales Order'!A:H,8,FALSE)&gt;100,"High Freight","Low Freight"),"Not Specified")</f>
        <v>High Freight</v>
      </c>
      <c r="T916">
        <f t="shared" si="29"/>
        <v>1360.8000000000002</v>
      </c>
    </row>
    <row r="917" spans="1:20">
      <c r="A917" s="1">
        <v>10593</v>
      </c>
      <c r="B917" s="2">
        <v>69</v>
      </c>
      <c r="C917" s="2">
        <v>36</v>
      </c>
      <c r="D917" s="2">
        <v>20</v>
      </c>
      <c r="E917" s="3">
        <v>0.2</v>
      </c>
      <c r="F917" s="2" t="str">
        <f>IFERROR(VLOOKUP(VLOOKUP(A917,'[1]Sales Order'!A:B,2,FALSE),[1]Customer!A:C,3,FALSE),"Not Specified")</f>
        <v>Louverdis, George</v>
      </c>
      <c r="G917" s="2" t="str">
        <f t="shared" si="28"/>
        <v>Louverdis George</v>
      </c>
      <c r="H917" s="8" t="str">
        <f>IFERROR(VLOOKUP(VLOOKUP(A917,'[1]Sales Order'!A:C,3,FALSE),[1]Employee!A:E,5,FALSE)&amp;" "&amp;VLOOKUP(VLOOKUP(A917,'[1]Sales Order'!A:C,3,FALSE),[1]Employee!A:C,3,FALSE)&amp;" "&amp;VLOOKUP(VLOOKUP(A917,'[1]Sales Order'!A:C,3,FALSE),[1]Employee!A:B,2,FALSE),"Not Specified")</f>
        <v>Mr. Russell King</v>
      </c>
      <c r="I917">
        <f>IFERROR(VLOOKUP(VLOOKUP(A917,'[1]Sales Order'!A:C,3,FALSE),[1]Employee!A:J,10,FALSE),"Not Specified")</f>
        <v>0</v>
      </c>
      <c r="J917" t="str">
        <f>VLOOKUP(B917,[1]Product!A:B,2,FALSE)</f>
        <v>Product COAXA</v>
      </c>
      <c r="K917" t="str">
        <f>VLOOKUP(VLOOKUP(B917,[1]Product!A:D,4,FALSE),[1]Category!A:B,2,FALSE)</f>
        <v>Dairy Product</v>
      </c>
      <c r="L917" s="10">
        <f>IFERROR(VLOOKUP(A917,'[1]Sales Order'!A:D,4,FALSE),"")</f>
        <v>39272</v>
      </c>
      <c r="M917" s="10">
        <f>IFERROR(VLOOKUP(A917,'[1]Sales Order'!A:F,6,FALSE),"")</f>
        <v>39307</v>
      </c>
      <c r="N917" t="str">
        <f>IFERROR(VLOOKUP(VLOOKUP(A917,'[1]Sales Order'!A:G,7,FALSE),[1]Shipper!A:B,2,FALSE),"Not Specified")</f>
        <v>Shipper ETYNR</v>
      </c>
      <c r="O917" t="str">
        <f>IFERROR(VLOOKUP(A917,'[1]Sales Order'!A:I,9,FALSE),"Not Specified")</f>
        <v>Ship to 44-C</v>
      </c>
      <c r="P917" t="str">
        <f>IFERROR(VLOOKUP(A917,'[1]Sales Order'!A:N,14,FALSE),"Not Specified")</f>
        <v>Germany</v>
      </c>
      <c r="Q917" t="str">
        <f>VLOOKUP(VLOOKUP(B917,[1]Product!A:C,3,FALSE),[1]Supplier!A:B,2,FALSE)</f>
        <v>Supplier NZLIF</v>
      </c>
      <c r="R917" t="str">
        <f>VLOOKUP(VLOOKUP(B917,[1]Product!A:C,3,FALSE),[1]Supplier!A:I,9,FALSE)</f>
        <v>Norway</v>
      </c>
      <c r="S917" t="str">
        <f>IFERROR(IF(VLOOKUP(A917,'[1]Sales Order'!A:H,8,FALSE)&gt;100,"High Freight","Low Freight"),"Not Specified")</f>
        <v>High Freight</v>
      </c>
      <c r="T917">
        <f t="shared" si="29"/>
        <v>576</v>
      </c>
    </row>
    <row r="918" spans="1:20">
      <c r="A918" s="1">
        <v>10593</v>
      </c>
      <c r="B918" s="2">
        <v>76</v>
      </c>
      <c r="C918" s="2">
        <v>18</v>
      </c>
      <c r="D918" s="2">
        <v>4</v>
      </c>
      <c r="E918" s="3">
        <v>0.2</v>
      </c>
      <c r="F918" s="2" t="str">
        <f>IFERROR(VLOOKUP(VLOOKUP(A918,'[1]Sales Order'!A:B,2,FALSE),[1]Customer!A:C,3,FALSE),"Not Specified")</f>
        <v>Louverdis, George</v>
      </c>
      <c r="G918" s="2" t="str">
        <f t="shared" si="28"/>
        <v>Louverdis George</v>
      </c>
      <c r="H918" s="8" t="str">
        <f>IFERROR(VLOOKUP(VLOOKUP(A918,'[1]Sales Order'!A:C,3,FALSE),[1]Employee!A:E,5,FALSE)&amp;" "&amp;VLOOKUP(VLOOKUP(A918,'[1]Sales Order'!A:C,3,FALSE),[1]Employee!A:C,3,FALSE)&amp;" "&amp;VLOOKUP(VLOOKUP(A918,'[1]Sales Order'!A:C,3,FALSE),[1]Employee!A:B,2,FALSE),"Not Specified")</f>
        <v>Mr. Russell King</v>
      </c>
      <c r="I918">
        <f>IFERROR(VLOOKUP(VLOOKUP(A918,'[1]Sales Order'!A:C,3,FALSE),[1]Employee!A:J,10,FALSE),"Not Specified")</f>
        <v>0</v>
      </c>
      <c r="J918" t="str">
        <f>VLOOKUP(B918,[1]Product!A:B,2,FALSE)</f>
        <v>Product JYGFE</v>
      </c>
      <c r="K918" t="str">
        <f>VLOOKUP(VLOOKUP(B918,[1]Product!A:D,4,FALSE),[1]Category!A:B,2,FALSE)</f>
        <v>Beverages</v>
      </c>
      <c r="L918" s="10">
        <f>IFERROR(VLOOKUP(A918,'[1]Sales Order'!A:D,4,FALSE),"")</f>
        <v>39272</v>
      </c>
      <c r="M918" s="10">
        <f>IFERROR(VLOOKUP(A918,'[1]Sales Order'!A:F,6,FALSE),"")</f>
        <v>39307</v>
      </c>
      <c r="N918" t="str">
        <f>IFERROR(VLOOKUP(VLOOKUP(A918,'[1]Sales Order'!A:G,7,FALSE),[1]Shipper!A:B,2,FALSE),"Not Specified")</f>
        <v>Shipper ETYNR</v>
      </c>
      <c r="O918" t="str">
        <f>IFERROR(VLOOKUP(A918,'[1]Sales Order'!A:I,9,FALSE),"Not Specified")</f>
        <v>Ship to 44-C</v>
      </c>
      <c r="P918" t="str">
        <f>IFERROR(VLOOKUP(A918,'[1]Sales Order'!A:N,14,FALSE),"Not Specified")</f>
        <v>Germany</v>
      </c>
      <c r="Q918" t="str">
        <f>VLOOKUP(VLOOKUP(B918,[1]Product!A:C,3,FALSE),[1]Supplier!A:B,2,FALSE)</f>
        <v>Supplier ELCRN</v>
      </c>
      <c r="R918" t="str">
        <f>VLOOKUP(VLOOKUP(B918,[1]Product!A:C,3,FALSE),[1]Supplier!A:I,9,FALSE)</f>
        <v>Finland</v>
      </c>
      <c r="S918" t="str">
        <f>IFERROR(IF(VLOOKUP(A918,'[1]Sales Order'!A:H,8,FALSE)&gt;100,"High Freight","Low Freight"),"Not Specified")</f>
        <v>High Freight</v>
      </c>
      <c r="T918">
        <f t="shared" si="29"/>
        <v>57.6</v>
      </c>
    </row>
    <row r="919" spans="1:20">
      <c r="A919" s="1">
        <v>10594</v>
      </c>
      <c r="B919" s="2">
        <v>52</v>
      </c>
      <c r="C919" s="2">
        <v>7</v>
      </c>
      <c r="D919" s="2">
        <v>24</v>
      </c>
      <c r="E919" s="3">
        <v>0</v>
      </c>
      <c r="F919" s="2" t="str">
        <f>IFERROR(VLOOKUP(VLOOKUP(A919,'[1]Sales Order'!A:B,2,FALSE),[1]Customer!A:C,3,FALSE),"Not Specified")</f>
        <v>Egelund-Muller, Anja</v>
      </c>
      <c r="G919" s="2" t="str">
        <f t="shared" si="28"/>
        <v>Egelund-Muller Anja</v>
      </c>
      <c r="H919" s="8" t="str">
        <f>IFERROR(VLOOKUP(VLOOKUP(A919,'[1]Sales Order'!A:C,3,FALSE),[1]Employee!A:E,5,FALSE)&amp;" "&amp;VLOOKUP(VLOOKUP(A919,'[1]Sales Order'!A:C,3,FALSE),[1]Employee!A:C,3,FALSE)&amp;" "&amp;VLOOKUP(VLOOKUP(A919,'[1]Sales Order'!A:C,3,FALSE),[1]Employee!A:B,2,FALSE),"Not Specified")</f>
        <v>Ms. Judy Lew</v>
      </c>
      <c r="I919" t="str">
        <f>IFERROR(VLOOKUP(VLOOKUP(A919,'[1]Sales Order'!A:C,3,FALSE),[1]Employee!A:J,10,FALSE),"Not Specified")</f>
        <v>WA</v>
      </c>
      <c r="J919" t="str">
        <f>VLOOKUP(B919,[1]Product!A:B,2,FALSE)</f>
        <v>Product QSRXF</v>
      </c>
      <c r="K919" t="str">
        <f>VLOOKUP(VLOOKUP(B919,[1]Product!A:D,4,FALSE),[1]Category!A:B,2,FALSE)</f>
        <v>Grains/Cereals</v>
      </c>
      <c r="L919" s="10">
        <f>IFERROR(VLOOKUP(A919,'[1]Sales Order'!A:D,4,FALSE),"")</f>
        <v>39272</v>
      </c>
      <c r="M919" s="10">
        <f>IFERROR(VLOOKUP(A919,'[1]Sales Order'!A:F,6,FALSE),"")</f>
        <v>39279</v>
      </c>
      <c r="N919" t="str">
        <f>IFERROR(VLOOKUP(VLOOKUP(A919,'[1]Sales Order'!A:G,7,FALSE),[1]Shipper!A:B,2,FALSE),"Not Specified")</f>
        <v>Shipper ETYNR</v>
      </c>
      <c r="O919" t="str">
        <f>IFERROR(VLOOKUP(A919,'[1]Sales Order'!A:I,9,FALSE),"Not Specified")</f>
        <v>Ship to 55-B</v>
      </c>
      <c r="P919" t="str">
        <f>IFERROR(VLOOKUP(A919,'[1]Sales Order'!A:N,14,FALSE),"Not Specified")</f>
        <v>USA</v>
      </c>
      <c r="Q919" t="str">
        <f>VLOOKUP(VLOOKUP(B919,[1]Product!A:C,3,FALSE),[1]Supplier!A:B,2,FALSE)</f>
        <v>Supplier JNNES</v>
      </c>
      <c r="R919" t="str">
        <f>VLOOKUP(VLOOKUP(B919,[1]Product!A:C,3,FALSE),[1]Supplier!A:I,9,FALSE)</f>
        <v>Australia</v>
      </c>
      <c r="S919" t="str">
        <f>IFERROR(IF(VLOOKUP(A919,'[1]Sales Order'!A:H,8,FALSE)&gt;100,"High Freight","Low Freight"),"Not Specified")</f>
        <v>Low Freight</v>
      </c>
      <c r="T919">
        <f t="shared" si="29"/>
        <v>168</v>
      </c>
    </row>
    <row r="920" spans="1:20">
      <c r="A920" s="1">
        <v>10594</v>
      </c>
      <c r="B920" s="2">
        <v>58</v>
      </c>
      <c r="C920" s="2">
        <v>13.25</v>
      </c>
      <c r="D920" s="2">
        <v>30</v>
      </c>
      <c r="E920" s="3">
        <v>0</v>
      </c>
      <c r="F920" s="2" t="str">
        <f>IFERROR(VLOOKUP(VLOOKUP(A920,'[1]Sales Order'!A:B,2,FALSE),[1]Customer!A:C,3,FALSE),"Not Specified")</f>
        <v>Egelund-Muller, Anja</v>
      </c>
      <c r="G920" s="2" t="str">
        <f t="shared" si="28"/>
        <v>Egelund-Muller Anja</v>
      </c>
      <c r="H920" s="8" t="str">
        <f>IFERROR(VLOOKUP(VLOOKUP(A920,'[1]Sales Order'!A:C,3,FALSE),[1]Employee!A:E,5,FALSE)&amp;" "&amp;VLOOKUP(VLOOKUP(A920,'[1]Sales Order'!A:C,3,FALSE),[1]Employee!A:C,3,FALSE)&amp;" "&amp;VLOOKUP(VLOOKUP(A920,'[1]Sales Order'!A:C,3,FALSE),[1]Employee!A:B,2,FALSE),"Not Specified")</f>
        <v>Ms. Judy Lew</v>
      </c>
      <c r="I920" t="str">
        <f>IFERROR(VLOOKUP(VLOOKUP(A920,'[1]Sales Order'!A:C,3,FALSE),[1]Employee!A:J,10,FALSE),"Not Specified")</f>
        <v>WA</v>
      </c>
      <c r="J920" t="str">
        <f>VLOOKUP(B920,[1]Product!A:B,2,FALSE)</f>
        <v>Product ACRVI</v>
      </c>
      <c r="K920" t="str">
        <f>VLOOKUP(VLOOKUP(B920,[1]Product!A:D,4,FALSE),[1]Category!A:B,2,FALSE)</f>
        <v>Seafood</v>
      </c>
      <c r="L920" s="10">
        <f>IFERROR(VLOOKUP(A920,'[1]Sales Order'!A:D,4,FALSE),"")</f>
        <v>39272</v>
      </c>
      <c r="M920" s="10">
        <f>IFERROR(VLOOKUP(A920,'[1]Sales Order'!A:F,6,FALSE),"")</f>
        <v>39279</v>
      </c>
      <c r="N920" t="str">
        <f>IFERROR(VLOOKUP(VLOOKUP(A920,'[1]Sales Order'!A:G,7,FALSE),[1]Shipper!A:B,2,FALSE),"Not Specified")</f>
        <v>Shipper ETYNR</v>
      </c>
      <c r="O920" t="str">
        <f>IFERROR(VLOOKUP(A920,'[1]Sales Order'!A:I,9,FALSE),"Not Specified")</f>
        <v>Ship to 55-B</v>
      </c>
      <c r="P920" t="str">
        <f>IFERROR(VLOOKUP(A920,'[1]Sales Order'!A:N,14,FALSE),"Not Specified")</f>
        <v>USA</v>
      </c>
      <c r="Q920" t="str">
        <f>VLOOKUP(VLOOKUP(B920,[1]Product!A:C,3,FALSE),[1]Supplier!A:B,2,FALSE)</f>
        <v>Supplier ZRYDZ</v>
      </c>
      <c r="R920" t="str">
        <f>VLOOKUP(VLOOKUP(B920,[1]Product!A:C,3,FALSE),[1]Supplier!A:I,9,FALSE)</f>
        <v>France</v>
      </c>
      <c r="S920" t="str">
        <f>IFERROR(IF(VLOOKUP(A920,'[1]Sales Order'!A:H,8,FALSE)&gt;100,"High Freight","Low Freight"),"Not Specified")</f>
        <v>Low Freight</v>
      </c>
      <c r="T920">
        <f t="shared" si="29"/>
        <v>397.5</v>
      </c>
    </row>
    <row r="921" spans="1:20">
      <c r="A921" s="1">
        <v>10595</v>
      </c>
      <c r="B921" s="2">
        <v>35</v>
      </c>
      <c r="C921" s="2">
        <v>18</v>
      </c>
      <c r="D921" s="2">
        <v>30</v>
      </c>
      <c r="E921" s="3">
        <v>0.25</v>
      </c>
      <c r="F921" s="2" t="str">
        <f>IFERROR(VLOOKUP(VLOOKUP(A921,'[1]Sales Order'!A:B,2,FALSE),[1]Customer!A:C,3,FALSE),"Not Specified")</f>
        <v>Kane, John</v>
      </c>
      <c r="G921" s="2" t="str">
        <f t="shared" si="28"/>
        <v>Kane John</v>
      </c>
      <c r="H921" s="8" t="str">
        <f>IFERROR(VLOOKUP(VLOOKUP(A921,'[1]Sales Order'!A:C,3,FALSE),[1]Employee!A:E,5,FALSE)&amp;" "&amp;VLOOKUP(VLOOKUP(A921,'[1]Sales Order'!A:C,3,FALSE),[1]Employee!A:C,3,FALSE)&amp;" "&amp;VLOOKUP(VLOOKUP(A921,'[1]Sales Order'!A:C,3,FALSE),[1]Employee!A:B,2,FALSE),"Not Specified")</f>
        <v>Dr. Don Funk</v>
      </c>
      <c r="I921" t="str">
        <f>IFERROR(VLOOKUP(VLOOKUP(A921,'[1]Sales Order'!A:C,3,FALSE),[1]Employee!A:J,10,FALSE),"Not Specified")</f>
        <v>WA</v>
      </c>
      <c r="J921" t="str">
        <f>VLOOKUP(B921,[1]Product!A:B,2,FALSE)</f>
        <v>Product NEVTJ</v>
      </c>
      <c r="K921" t="str">
        <f>VLOOKUP(VLOOKUP(B921,[1]Product!A:D,4,FALSE),[1]Category!A:B,2,FALSE)</f>
        <v>Beverages</v>
      </c>
      <c r="L921" s="10">
        <f>IFERROR(VLOOKUP(A921,'[1]Sales Order'!A:D,4,FALSE),"")</f>
        <v>39273</v>
      </c>
      <c r="M921" s="10">
        <f>IFERROR(VLOOKUP(A921,'[1]Sales Order'!A:F,6,FALSE),"")</f>
        <v>39277</v>
      </c>
      <c r="N921" t="str">
        <f>IFERROR(VLOOKUP(VLOOKUP(A921,'[1]Sales Order'!A:G,7,FALSE),[1]Shipper!A:B,2,FALSE),"Not Specified")</f>
        <v>Shipper GVSUA</v>
      </c>
      <c r="O921" t="str">
        <f>IFERROR(VLOOKUP(A921,'[1]Sales Order'!A:I,9,FALSE),"Not Specified")</f>
        <v>Destination CUVPF</v>
      </c>
      <c r="P921" t="str">
        <f>IFERROR(VLOOKUP(A921,'[1]Sales Order'!A:N,14,FALSE),"Not Specified")</f>
        <v>Austria</v>
      </c>
      <c r="Q921" t="str">
        <f>VLOOKUP(VLOOKUP(B921,[1]Product!A:C,3,FALSE),[1]Supplier!A:B,2,FALSE)</f>
        <v>Supplier UHZRG</v>
      </c>
      <c r="R921" t="str">
        <f>VLOOKUP(VLOOKUP(B921,[1]Product!A:C,3,FALSE),[1]Supplier!A:I,9,FALSE)</f>
        <v>USA</v>
      </c>
      <c r="S921" t="str">
        <f>IFERROR(IF(VLOOKUP(A921,'[1]Sales Order'!A:H,8,FALSE)&gt;100,"High Freight","Low Freight"),"Not Specified")</f>
        <v>Low Freight</v>
      </c>
      <c r="T921">
        <f t="shared" si="29"/>
        <v>405</v>
      </c>
    </row>
    <row r="922" spans="1:20">
      <c r="A922" s="1">
        <v>10595</v>
      </c>
      <c r="B922" s="2">
        <v>61</v>
      </c>
      <c r="C922" s="2">
        <v>28.5</v>
      </c>
      <c r="D922" s="2">
        <v>120</v>
      </c>
      <c r="E922" s="3">
        <v>0.25</v>
      </c>
      <c r="F922" s="2" t="str">
        <f>IFERROR(VLOOKUP(VLOOKUP(A922,'[1]Sales Order'!A:B,2,FALSE),[1]Customer!A:C,3,FALSE),"Not Specified")</f>
        <v>Kane, John</v>
      </c>
      <c r="G922" s="2" t="str">
        <f t="shared" si="28"/>
        <v>Kane John</v>
      </c>
      <c r="H922" s="8" t="str">
        <f>IFERROR(VLOOKUP(VLOOKUP(A922,'[1]Sales Order'!A:C,3,FALSE),[1]Employee!A:E,5,FALSE)&amp;" "&amp;VLOOKUP(VLOOKUP(A922,'[1]Sales Order'!A:C,3,FALSE),[1]Employee!A:C,3,FALSE)&amp;" "&amp;VLOOKUP(VLOOKUP(A922,'[1]Sales Order'!A:C,3,FALSE),[1]Employee!A:B,2,FALSE),"Not Specified")</f>
        <v>Dr. Don Funk</v>
      </c>
      <c r="I922" t="str">
        <f>IFERROR(VLOOKUP(VLOOKUP(A922,'[1]Sales Order'!A:C,3,FALSE),[1]Employee!A:J,10,FALSE),"Not Specified")</f>
        <v>WA</v>
      </c>
      <c r="J922" t="str">
        <f>VLOOKUP(B922,[1]Product!A:B,2,FALSE)</f>
        <v>Product XYZPE</v>
      </c>
      <c r="K922" t="str">
        <f>VLOOKUP(VLOOKUP(B922,[1]Product!A:D,4,FALSE),[1]Category!A:B,2,FALSE)</f>
        <v>Condiments</v>
      </c>
      <c r="L922" s="10">
        <f>IFERROR(VLOOKUP(A922,'[1]Sales Order'!A:D,4,FALSE),"")</f>
        <v>39273</v>
      </c>
      <c r="M922" s="10">
        <f>IFERROR(VLOOKUP(A922,'[1]Sales Order'!A:F,6,FALSE),"")</f>
        <v>39277</v>
      </c>
      <c r="N922" t="str">
        <f>IFERROR(VLOOKUP(VLOOKUP(A922,'[1]Sales Order'!A:G,7,FALSE),[1]Shipper!A:B,2,FALSE),"Not Specified")</f>
        <v>Shipper GVSUA</v>
      </c>
      <c r="O922" t="str">
        <f>IFERROR(VLOOKUP(A922,'[1]Sales Order'!A:I,9,FALSE),"Not Specified")</f>
        <v>Destination CUVPF</v>
      </c>
      <c r="P922" t="str">
        <f>IFERROR(VLOOKUP(A922,'[1]Sales Order'!A:N,14,FALSE),"Not Specified")</f>
        <v>Austria</v>
      </c>
      <c r="Q922" t="str">
        <f>VLOOKUP(VLOOKUP(B922,[1]Product!A:C,3,FALSE),[1]Supplier!A:B,2,FALSE)</f>
        <v>Supplier OGLRK</v>
      </c>
      <c r="R922" t="str">
        <f>VLOOKUP(VLOOKUP(B922,[1]Product!A:C,3,FALSE),[1]Supplier!A:I,9,FALSE)</f>
        <v>Canada</v>
      </c>
      <c r="S922" t="str">
        <f>IFERROR(IF(VLOOKUP(A922,'[1]Sales Order'!A:H,8,FALSE)&gt;100,"High Freight","Low Freight"),"Not Specified")</f>
        <v>Low Freight</v>
      </c>
      <c r="T922">
        <f t="shared" si="29"/>
        <v>2565</v>
      </c>
    </row>
    <row r="923" spans="1:20">
      <c r="A923" s="1">
        <v>10595</v>
      </c>
      <c r="B923" s="2">
        <v>69</v>
      </c>
      <c r="C923" s="2">
        <v>36</v>
      </c>
      <c r="D923" s="2">
        <v>65</v>
      </c>
      <c r="E923" s="3">
        <v>0.25</v>
      </c>
      <c r="F923" s="2" t="str">
        <f>IFERROR(VLOOKUP(VLOOKUP(A923,'[1]Sales Order'!A:B,2,FALSE),[1]Customer!A:C,3,FALSE),"Not Specified")</f>
        <v>Kane, John</v>
      </c>
      <c r="G923" s="2" t="str">
        <f t="shared" si="28"/>
        <v>Kane John</v>
      </c>
      <c r="H923" s="8" t="str">
        <f>IFERROR(VLOOKUP(VLOOKUP(A923,'[1]Sales Order'!A:C,3,FALSE),[1]Employee!A:E,5,FALSE)&amp;" "&amp;VLOOKUP(VLOOKUP(A923,'[1]Sales Order'!A:C,3,FALSE),[1]Employee!A:C,3,FALSE)&amp;" "&amp;VLOOKUP(VLOOKUP(A923,'[1]Sales Order'!A:C,3,FALSE),[1]Employee!A:B,2,FALSE),"Not Specified")</f>
        <v>Dr. Don Funk</v>
      </c>
      <c r="I923" t="str">
        <f>IFERROR(VLOOKUP(VLOOKUP(A923,'[1]Sales Order'!A:C,3,FALSE),[1]Employee!A:J,10,FALSE),"Not Specified")</f>
        <v>WA</v>
      </c>
      <c r="J923" t="str">
        <f>VLOOKUP(B923,[1]Product!A:B,2,FALSE)</f>
        <v>Product COAXA</v>
      </c>
      <c r="K923" t="str">
        <f>VLOOKUP(VLOOKUP(B923,[1]Product!A:D,4,FALSE),[1]Category!A:B,2,FALSE)</f>
        <v>Dairy Product</v>
      </c>
      <c r="L923" s="10">
        <f>IFERROR(VLOOKUP(A923,'[1]Sales Order'!A:D,4,FALSE),"")</f>
        <v>39273</v>
      </c>
      <c r="M923" s="10">
        <f>IFERROR(VLOOKUP(A923,'[1]Sales Order'!A:F,6,FALSE),"")</f>
        <v>39277</v>
      </c>
      <c r="N923" t="str">
        <f>IFERROR(VLOOKUP(VLOOKUP(A923,'[1]Sales Order'!A:G,7,FALSE),[1]Shipper!A:B,2,FALSE),"Not Specified")</f>
        <v>Shipper GVSUA</v>
      </c>
      <c r="O923" t="str">
        <f>IFERROR(VLOOKUP(A923,'[1]Sales Order'!A:I,9,FALSE),"Not Specified")</f>
        <v>Destination CUVPF</v>
      </c>
      <c r="P923" t="str">
        <f>IFERROR(VLOOKUP(A923,'[1]Sales Order'!A:N,14,FALSE),"Not Specified")</f>
        <v>Austria</v>
      </c>
      <c r="Q923" t="str">
        <f>VLOOKUP(VLOOKUP(B923,[1]Product!A:C,3,FALSE),[1]Supplier!A:B,2,FALSE)</f>
        <v>Supplier NZLIF</v>
      </c>
      <c r="R923" t="str">
        <f>VLOOKUP(VLOOKUP(B923,[1]Product!A:C,3,FALSE),[1]Supplier!A:I,9,FALSE)</f>
        <v>Norway</v>
      </c>
      <c r="S923" t="str">
        <f>IFERROR(IF(VLOOKUP(A923,'[1]Sales Order'!A:H,8,FALSE)&gt;100,"High Freight","Low Freight"),"Not Specified")</f>
        <v>Low Freight</v>
      </c>
      <c r="T923">
        <f t="shared" si="29"/>
        <v>1755</v>
      </c>
    </row>
    <row r="924" spans="1:20">
      <c r="A924" s="1">
        <v>10596</v>
      </c>
      <c r="B924" s="2">
        <v>56</v>
      </c>
      <c r="C924" s="2">
        <v>38</v>
      </c>
      <c r="D924" s="2">
        <v>5</v>
      </c>
      <c r="E924" s="3">
        <v>0.2</v>
      </c>
      <c r="F924" s="2" t="str">
        <f>IFERROR(VLOOKUP(VLOOKUP(A924,'[1]Sales Order'!A:B,2,FALSE),[1]Customer!A:C,3,FALSE),"Not Specified")</f>
        <v>Smith Jr., Ronaldo</v>
      </c>
      <c r="G924" s="2" t="str">
        <f t="shared" si="28"/>
        <v>Smith Jr. Ronaldo</v>
      </c>
      <c r="H924" s="8" t="str">
        <f>IFERROR(VLOOKUP(VLOOKUP(A924,'[1]Sales Order'!A:C,3,FALSE),[1]Employee!A:E,5,FALSE)&amp;" "&amp;VLOOKUP(VLOOKUP(A924,'[1]Sales Order'!A:C,3,FALSE),[1]Employee!A:C,3,FALSE)&amp;" "&amp;VLOOKUP(VLOOKUP(A924,'[1]Sales Order'!A:C,3,FALSE),[1]Employee!A:B,2,FALSE),"Not Specified")</f>
        <v>Ms. Maria Cameron</v>
      </c>
      <c r="I924" t="str">
        <f>IFERROR(VLOOKUP(VLOOKUP(A924,'[1]Sales Order'!A:C,3,FALSE),[1]Employee!A:J,10,FALSE),"Not Specified")</f>
        <v>WA</v>
      </c>
      <c r="J924" t="str">
        <f>VLOOKUP(B924,[1]Product!A:B,2,FALSE)</f>
        <v>Product VKCMF</v>
      </c>
      <c r="K924" t="str">
        <f>VLOOKUP(VLOOKUP(B924,[1]Product!A:D,4,FALSE),[1]Category!A:B,2,FALSE)</f>
        <v>Grains/Cereals</v>
      </c>
      <c r="L924" s="10">
        <f>IFERROR(VLOOKUP(A924,'[1]Sales Order'!A:D,4,FALSE),"")</f>
        <v>39274</v>
      </c>
      <c r="M924" s="10">
        <f>IFERROR(VLOOKUP(A924,'[1]Sales Order'!A:F,6,FALSE),"")</f>
        <v>39306</v>
      </c>
      <c r="N924" t="str">
        <f>IFERROR(VLOOKUP(VLOOKUP(A924,'[1]Sales Order'!A:G,7,FALSE),[1]Shipper!A:B,2,FALSE),"Not Specified")</f>
        <v>Shipper GVSUA</v>
      </c>
      <c r="O924" t="str">
        <f>IFERROR(VLOOKUP(A924,'[1]Sales Order'!A:I,9,FALSE),"Not Specified")</f>
        <v>Ship to 89-C</v>
      </c>
      <c r="P924" t="str">
        <f>IFERROR(VLOOKUP(A924,'[1]Sales Order'!A:N,14,FALSE),"Not Specified")</f>
        <v>USA</v>
      </c>
      <c r="Q924" t="str">
        <f>VLOOKUP(VLOOKUP(B924,[1]Product!A:C,3,FALSE),[1]Supplier!A:B,2,FALSE)</f>
        <v>Supplier ZWZDM</v>
      </c>
      <c r="R924" t="str">
        <f>VLOOKUP(VLOOKUP(B924,[1]Product!A:C,3,FALSE),[1]Supplier!A:I,9,FALSE)</f>
        <v>Italy</v>
      </c>
      <c r="S924" t="str">
        <f>IFERROR(IF(VLOOKUP(A924,'[1]Sales Order'!A:H,8,FALSE)&gt;100,"High Freight","Low Freight"),"Not Specified")</f>
        <v>Low Freight</v>
      </c>
      <c r="T924">
        <f t="shared" si="29"/>
        <v>152</v>
      </c>
    </row>
    <row r="925" spans="1:20">
      <c r="A925" s="1">
        <v>10596</v>
      </c>
      <c r="B925" s="2">
        <v>63</v>
      </c>
      <c r="C925" s="2">
        <v>43.9</v>
      </c>
      <c r="D925" s="2">
        <v>24</v>
      </c>
      <c r="E925" s="3">
        <v>0.2</v>
      </c>
      <c r="F925" s="2" t="str">
        <f>IFERROR(VLOOKUP(VLOOKUP(A925,'[1]Sales Order'!A:B,2,FALSE),[1]Customer!A:C,3,FALSE),"Not Specified")</f>
        <v>Smith Jr., Ronaldo</v>
      </c>
      <c r="G925" s="2" t="str">
        <f t="shared" si="28"/>
        <v>Smith Jr. Ronaldo</v>
      </c>
      <c r="H925" s="8" t="str">
        <f>IFERROR(VLOOKUP(VLOOKUP(A925,'[1]Sales Order'!A:C,3,FALSE),[1]Employee!A:E,5,FALSE)&amp;" "&amp;VLOOKUP(VLOOKUP(A925,'[1]Sales Order'!A:C,3,FALSE),[1]Employee!A:C,3,FALSE)&amp;" "&amp;VLOOKUP(VLOOKUP(A925,'[1]Sales Order'!A:C,3,FALSE),[1]Employee!A:B,2,FALSE),"Not Specified")</f>
        <v>Ms. Maria Cameron</v>
      </c>
      <c r="I925" t="str">
        <f>IFERROR(VLOOKUP(VLOOKUP(A925,'[1]Sales Order'!A:C,3,FALSE),[1]Employee!A:J,10,FALSE),"Not Specified")</f>
        <v>WA</v>
      </c>
      <c r="J925" t="str">
        <f>VLOOKUP(B925,[1]Product!A:B,2,FALSE)</f>
        <v>Product ICKNK</v>
      </c>
      <c r="K925" t="str">
        <f>VLOOKUP(VLOOKUP(B925,[1]Product!A:D,4,FALSE),[1]Category!A:B,2,FALSE)</f>
        <v>Condiments</v>
      </c>
      <c r="L925" s="10">
        <f>IFERROR(VLOOKUP(A925,'[1]Sales Order'!A:D,4,FALSE),"")</f>
        <v>39274</v>
      </c>
      <c r="M925" s="10">
        <f>IFERROR(VLOOKUP(A925,'[1]Sales Order'!A:F,6,FALSE),"")</f>
        <v>39306</v>
      </c>
      <c r="N925" t="str">
        <f>IFERROR(VLOOKUP(VLOOKUP(A925,'[1]Sales Order'!A:G,7,FALSE),[1]Shipper!A:B,2,FALSE),"Not Specified")</f>
        <v>Shipper GVSUA</v>
      </c>
      <c r="O925" t="str">
        <f>IFERROR(VLOOKUP(A925,'[1]Sales Order'!A:I,9,FALSE),"Not Specified")</f>
        <v>Ship to 89-C</v>
      </c>
      <c r="P925" t="str">
        <f>IFERROR(VLOOKUP(A925,'[1]Sales Order'!A:N,14,FALSE),"Not Specified")</f>
        <v>USA</v>
      </c>
      <c r="Q925" t="str">
        <f>VLOOKUP(VLOOKUP(B925,[1]Product!A:C,3,FALSE),[1]Supplier!A:B,2,FALSE)</f>
        <v>Supplier GQRCV</v>
      </c>
      <c r="R925" t="str">
        <f>VLOOKUP(VLOOKUP(B925,[1]Product!A:C,3,FALSE),[1]Supplier!A:I,9,FALSE)</f>
        <v>Australia</v>
      </c>
      <c r="S925" t="str">
        <f>IFERROR(IF(VLOOKUP(A925,'[1]Sales Order'!A:H,8,FALSE)&gt;100,"High Freight","Low Freight"),"Not Specified")</f>
        <v>Low Freight</v>
      </c>
      <c r="T925">
        <f t="shared" si="29"/>
        <v>842.88</v>
      </c>
    </row>
    <row r="926" spans="1:20">
      <c r="A926" s="1">
        <v>10596</v>
      </c>
      <c r="B926" s="2">
        <v>75</v>
      </c>
      <c r="C926" s="2">
        <v>7.75</v>
      </c>
      <c r="D926" s="2">
        <v>30</v>
      </c>
      <c r="E926" s="3">
        <v>0.2</v>
      </c>
      <c r="F926" s="2" t="str">
        <f>IFERROR(VLOOKUP(VLOOKUP(A926,'[1]Sales Order'!A:B,2,FALSE),[1]Customer!A:C,3,FALSE),"Not Specified")</f>
        <v>Smith Jr., Ronaldo</v>
      </c>
      <c r="G926" s="2" t="str">
        <f t="shared" si="28"/>
        <v>Smith Jr. Ronaldo</v>
      </c>
      <c r="H926" s="8" t="str">
        <f>IFERROR(VLOOKUP(VLOOKUP(A926,'[1]Sales Order'!A:C,3,FALSE),[1]Employee!A:E,5,FALSE)&amp;" "&amp;VLOOKUP(VLOOKUP(A926,'[1]Sales Order'!A:C,3,FALSE),[1]Employee!A:C,3,FALSE)&amp;" "&amp;VLOOKUP(VLOOKUP(A926,'[1]Sales Order'!A:C,3,FALSE),[1]Employee!A:B,2,FALSE),"Not Specified")</f>
        <v>Ms. Maria Cameron</v>
      </c>
      <c r="I926" t="str">
        <f>IFERROR(VLOOKUP(VLOOKUP(A926,'[1]Sales Order'!A:C,3,FALSE),[1]Employee!A:J,10,FALSE),"Not Specified")</f>
        <v>WA</v>
      </c>
      <c r="J926" t="str">
        <f>VLOOKUP(B926,[1]Product!A:B,2,FALSE)</f>
        <v>Product BWRLG</v>
      </c>
      <c r="K926" t="str">
        <f>VLOOKUP(VLOOKUP(B926,[1]Product!A:D,4,FALSE),[1]Category!A:B,2,FALSE)</f>
        <v>Beverages</v>
      </c>
      <c r="L926" s="10">
        <f>IFERROR(VLOOKUP(A926,'[1]Sales Order'!A:D,4,FALSE),"")</f>
        <v>39274</v>
      </c>
      <c r="M926" s="10">
        <f>IFERROR(VLOOKUP(A926,'[1]Sales Order'!A:F,6,FALSE),"")</f>
        <v>39306</v>
      </c>
      <c r="N926" t="str">
        <f>IFERROR(VLOOKUP(VLOOKUP(A926,'[1]Sales Order'!A:G,7,FALSE),[1]Shipper!A:B,2,FALSE),"Not Specified")</f>
        <v>Shipper GVSUA</v>
      </c>
      <c r="O926" t="str">
        <f>IFERROR(VLOOKUP(A926,'[1]Sales Order'!A:I,9,FALSE),"Not Specified")</f>
        <v>Ship to 89-C</v>
      </c>
      <c r="P926" t="str">
        <f>IFERROR(VLOOKUP(A926,'[1]Sales Order'!A:N,14,FALSE),"Not Specified")</f>
        <v>USA</v>
      </c>
      <c r="Q926" t="str">
        <f>VLOOKUP(VLOOKUP(B926,[1]Product!A:C,3,FALSE),[1]Supplier!A:B,2,FALSE)</f>
        <v>Supplier SVIYA</v>
      </c>
      <c r="R926" t="str">
        <f>VLOOKUP(VLOOKUP(B926,[1]Product!A:C,3,FALSE),[1]Supplier!A:I,9,FALSE)</f>
        <v>Germany</v>
      </c>
      <c r="S926" t="str">
        <f>IFERROR(IF(VLOOKUP(A926,'[1]Sales Order'!A:H,8,FALSE)&gt;100,"High Freight","Low Freight"),"Not Specified")</f>
        <v>Low Freight</v>
      </c>
      <c r="T926">
        <f t="shared" si="29"/>
        <v>186</v>
      </c>
    </row>
    <row r="927" spans="1:20">
      <c r="A927" s="1">
        <v>10597</v>
      </c>
      <c r="B927" s="2">
        <v>24</v>
      </c>
      <c r="C927" s="2">
        <v>4.5</v>
      </c>
      <c r="D927" s="2">
        <v>35</v>
      </c>
      <c r="E927" s="3">
        <v>0.2</v>
      </c>
      <c r="F927" s="2" t="str">
        <f>IFERROR(VLOOKUP(VLOOKUP(A927,'[1]Sales Order'!A:B,2,FALSE),[1]Customer!A:C,3,FALSE),"Not Specified")</f>
        <v>Meston, Tosh</v>
      </c>
      <c r="G927" s="2" t="str">
        <f t="shared" si="28"/>
        <v>Meston Tosh</v>
      </c>
      <c r="H927" s="8" t="str">
        <f>IFERROR(VLOOKUP(VLOOKUP(A927,'[1]Sales Order'!A:C,3,FALSE),[1]Employee!A:E,5,FALSE)&amp;" "&amp;VLOOKUP(VLOOKUP(A927,'[1]Sales Order'!A:C,3,FALSE),[1]Employee!A:C,3,FALSE)&amp;" "&amp;VLOOKUP(VLOOKUP(A927,'[1]Sales Order'!A:C,3,FALSE),[1]Employee!A:B,2,FALSE),"Not Specified")</f>
        <v>Mr. Russell King</v>
      </c>
      <c r="I927">
        <f>IFERROR(VLOOKUP(VLOOKUP(A927,'[1]Sales Order'!A:C,3,FALSE),[1]Employee!A:J,10,FALSE),"Not Specified")</f>
        <v>0</v>
      </c>
      <c r="J927" t="str">
        <f>VLOOKUP(B927,[1]Product!A:B,2,FALSE)</f>
        <v>Product QOGNU</v>
      </c>
      <c r="K927" t="str">
        <f>VLOOKUP(VLOOKUP(B927,[1]Product!A:D,4,FALSE),[1]Category!A:B,2,FALSE)</f>
        <v>Beverages</v>
      </c>
      <c r="L927" s="10">
        <f>IFERROR(VLOOKUP(A927,'[1]Sales Order'!A:D,4,FALSE),"")</f>
        <v>39274</v>
      </c>
      <c r="M927" s="10">
        <f>IFERROR(VLOOKUP(A927,'[1]Sales Order'!A:F,6,FALSE),"")</f>
        <v>39281</v>
      </c>
      <c r="N927" t="str">
        <f>IFERROR(VLOOKUP(VLOOKUP(A927,'[1]Sales Order'!A:G,7,FALSE),[1]Shipper!A:B,2,FALSE),"Not Specified")</f>
        <v>Shipper ZHISN</v>
      </c>
      <c r="O927" t="str">
        <f>IFERROR(VLOOKUP(A927,'[1]Sales Order'!A:I,9,FALSE),"Not Specified")</f>
        <v>Ship to 59-B</v>
      </c>
      <c r="P927" t="str">
        <f>IFERROR(VLOOKUP(A927,'[1]Sales Order'!A:N,14,FALSE),"Not Specified")</f>
        <v>Austria</v>
      </c>
      <c r="Q927" t="str">
        <f>VLOOKUP(VLOOKUP(B927,[1]Product!A:C,3,FALSE),[1]Supplier!A:B,2,FALSE)</f>
        <v>Supplier UNAHG</v>
      </c>
      <c r="R927" t="str">
        <f>VLOOKUP(VLOOKUP(B927,[1]Product!A:C,3,FALSE),[1]Supplier!A:I,9,FALSE)</f>
        <v>Brazil</v>
      </c>
      <c r="S927" t="str">
        <f>IFERROR(IF(VLOOKUP(A927,'[1]Sales Order'!A:H,8,FALSE)&gt;100,"High Freight","Low Freight"),"Not Specified")</f>
        <v>Low Freight</v>
      </c>
      <c r="T927">
        <f t="shared" si="29"/>
        <v>126</v>
      </c>
    </row>
    <row r="928" spans="1:20">
      <c r="A928" s="1">
        <v>10597</v>
      </c>
      <c r="B928" s="2">
        <v>57</v>
      </c>
      <c r="C928" s="2">
        <v>19.5</v>
      </c>
      <c r="D928" s="2">
        <v>20</v>
      </c>
      <c r="E928" s="3">
        <v>0</v>
      </c>
      <c r="F928" s="2" t="str">
        <f>IFERROR(VLOOKUP(VLOOKUP(A928,'[1]Sales Order'!A:B,2,FALSE),[1]Customer!A:C,3,FALSE),"Not Specified")</f>
        <v>Meston, Tosh</v>
      </c>
      <c r="G928" s="2" t="str">
        <f t="shared" si="28"/>
        <v>Meston Tosh</v>
      </c>
      <c r="H928" s="8" t="str">
        <f>IFERROR(VLOOKUP(VLOOKUP(A928,'[1]Sales Order'!A:C,3,FALSE),[1]Employee!A:E,5,FALSE)&amp;" "&amp;VLOOKUP(VLOOKUP(A928,'[1]Sales Order'!A:C,3,FALSE),[1]Employee!A:C,3,FALSE)&amp;" "&amp;VLOOKUP(VLOOKUP(A928,'[1]Sales Order'!A:C,3,FALSE),[1]Employee!A:B,2,FALSE),"Not Specified")</f>
        <v>Mr. Russell King</v>
      </c>
      <c r="I928">
        <f>IFERROR(VLOOKUP(VLOOKUP(A928,'[1]Sales Order'!A:C,3,FALSE),[1]Employee!A:J,10,FALSE),"Not Specified")</f>
        <v>0</v>
      </c>
      <c r="J928" t="str">
        <f>VLOOKUP(B928,[1]Product!A:B,2,FALSE)</f>
        <v>Product OVLQI</v>
      </c>
      <c r="K928" t="str">
        <f>VLOOKUP(VLOOKUP(B928,[1]Product!A:D,4,FALSE),[1]Category!A:B,2,FALSE)</f>
        <v>Grains/Cereals</v>
      </c>
      <c r="L928" s="10">
        <f>IFERROR(VLOOKUP(A928,'[1]Sales Order'!A:D,4,FALSE),"")</f>
        <v>39274</v>
      </c>
      <c r="M928" s="10">
        <f>IFERROR(VLOOKUP(A928,'[1]Sales Order'!A:F,6,FALSE),"")</f>
        <v>39281</v>
      </c>
      <c r="N928" t="str">
        <f>IFERROR(VLOOKUP(VLOOKUP(A928,'[1]Sales Order'!A:G,7,FALSE),[1]Shipper!A:B,2,FALSE),"Not Specified")</f>
        <v>Shipper ZHISN</v>
      </c>
      <c r="O928" t="str">
        <f>IFERROR(VLOOKUP(A928,'[1]Sales Order'!A:I,9,FALSE),"Not Specified")</f>
        <v>Ship to 59-B</v>
      </c>
      <c r="P928" t="str">
        <f>IFERROR(VLOOKUP(A928,'[1]Sales Order'!A:N,14,FALSE),"Not Specified")</f>
        <v>Austria</v>
      </c>
      <c r="Q928" t="str">
        <f>VLOOKUP(VLOOKUP(B928,[1]Product!A:C,3,FALSE),[1]Supplier!A:B,2,FALSE)</f>
        <v>Supplier ZWZDM</v>
      </c>
      <c r="R928" t="str">
        <f>VLOOKUP(VLOOKUP(B928,[1]Product!A:C,3,FALSE),[1]Supplier!A:I,9,FALSE)</f>
        <v>Italy</v>
      </c>
      <c r="S928" t="str">
        <f>IFERROR(IF(VLOOKUP(A928,'[1]Sales Order'!A:H,8,FALSE)&gt;100,"High Freight","Low Freight"),"Not Specified")</f>
        <v>Low Freight</v>
      </c>
      <c r="T928">
        <f t="shared" si="29"/>
        <v>390</v>
      </c>
    </row>
    <row r="929" spans="1:20">
      <c r="A929" s="1">
        <v>10597</v>
      </c>
      <c r="B929" s="2">
        <v>65</v>
      </c>
      <c r="C929" s="2">
        <v>21.05</v>
      </c>
      <c r="D929" s="2">
        <v>12</v>
      </c>
      <c r="E929" s="3">
        <v>0.2</v>
      </c>
      <c r="F929" s="2" t="str">
        <f>IFERROR(VLOOKUP(VLOOKUP(A929,'[1]Sales Order'!A:B,2,FALSE),[1]Customer!A:C,3,FALSE),"Not Specified")</f>
        <v>Meston, Tosh</v>
      </c>
      <c r="G929" s="2" t="str">
        <f t="shared" si="28"/>
        <v>Meston Tosh</v>
      </c>
      <c r="H929" s="8" t="str">
        <f>IFERROR(VLOOKUP(VLOOKUP(A929,'[1]Sales Order'!A:C,3,FALSE),[1]Employee!A:E,5,FALSE)&amp;" "&amp;VLOOKUP(VLOOKUP(A929,'[1]Sales Order'!A:C,3,FALSE),[1]Employee!A:C,3,FALSE)&amp;" "&amp;VLOOKUP(VLOOKUP(A929,'[1]Sales Order'!A:C,3,FALSE),[1]Employee!A:B,2,FALSE),"Not Specified")</f>
        <v>Mr. Russell King</v>
      </c>
      <c r="I929">
        <f>IFERROR(VLOOKUP(VLOOKUP(A929,'[1]Sales Order'!A:C,3,FALSE),[1]Employee!A:J,10,FALSE),"Not Specified")</f>
        <v>0</v>
      </c>
      <c r="J929" t="str">
        <f>VLOOKUP(B929,[1]Product!A:B,2,FALSE)</f>
        <v>Product XYWBZ</v>
      </c>
      <c r="K929" t="str">
        <f>VLOOKUP(VLOOKUP(B929,[1]Product!A:D,4,FALSE),[1]Category!A:B,2,FALSE)</f>
        <v>Condiments</v>
      </c>
      <c r="L929" s="10">
        <f>IFERROR(VLOOKUP(A929,'[1]Sales Order'!A:D,4,FALSE),"")</f>
        <v>39274</v>
      </c>
      <c r="M929" s="10">
        <f>IFERROR(VLOOKUP(A929,'[1]Sales Order'!A:F,6,FALSE),"")</f>
        <v>39281</v>
      </c>
      <c r="N929" t="str">
        <f>IFERROR(VLOOKUP(VLOOKUP(A929,'[1]Sales Order'!A:G,7,FALSE),[1]Shipper!A:B,2,FALSE),"Not Specified")</f>
        <v>Shipper ZHISN</v>
      </c>
      <c r="O929" t="str">
        <f>IFERROR(VLOOKUP(A929,'[1]Sales Order'!A:I,9,FALSE),"Not Specified")</f>
        <v>Ship to 59-B</v>
      </c>
      <c r="P929" t="str">
        <f>IFERROR(VLOOKUP(A929,'[1]Sales Order'!A:N,14,FALSE),"Not Specified")</f>
        <v>Austria</v>
      </c>
      <c r="Q929" t="str">
        <f>VLOOKUP(VLOOKUP(B929,[1]Product!A:C,3,FALSE),[1]Supplier!A:B,2,FALSE)</f>
        <v>Supplier VHQZD</v>
      </c>
      <c r="R929" t="str">
        <f>VLOOKUP(VLOOKUP(B929,[1]Product!A:C,3,FALSE),[1]Supplier!A:I,9,FALSE)</f>
        <v>USA</v>
      </c>
      <c r="S929" t="str">
        <f>IFERROR(IF(VLOOKUP(A929,'[1]Sales Order'!A:H,8,FALSE)&gt;100,"High Freight","Low Freight"),"Not Specified")</f>
        <v>Low Freight</v>
      </c>
      <c r="T929">
        <f t="shared" si="29"/>
        <v>202.08000000000004</v>
      </c>
    </row>
    <row r="930" spans="1:20">
      <c r="A930" s="1">
        <v>10598</v>
      </c>
      <c r="B930" s="2">
        <v>27</v>
      </c>
      <c r="C930" s="2">
        <v>43.9</v>
      </c>
      <c r="D930" s="2">
        <v>50</v>
      </c>
      <c r="E930" s="3">
        <v>0</v>
      </c>
      <c r="F930" s="2" t="str">
        <f>IFERROR(VLOOKUP(VLOOKUP(A930,'[1]Sales Order'!A:B,2,FALSE),[1]Customer!A:C,3,FALSE),"Not Specified")</f>
        <v>Moore, Michael</v>
      </c>
      <c r="G930" s="2" t="str">
        <f t="shared" si="28"/>
        <v>Moore Michael</v>
      </c>
      <c r="H930" s="8" t="str">
        <f>IFERROR(VLOOKUP(VLOOKUP(A930,'[1]Sales Order'!A:C,3,FALSE),[1]Employee!A:E,5,FALSE)&amp;" "&amp;VLOOKUP(VLOOKUP(A930,'[1]Sales Order'!A:C,3,FALSE),[1]Employee!A:C,3,FALSE)&amp;" "&amp;VLOOKUP(VLOOKUP(A930,'[1]Sales Order'!A:C,3,FALSE),[1]Employee!A:B,2,FALSE),"Not Specified")</f>
        <v>Ms. Sara Davis</v>
      </c>
      <c r="I930" t="str">
        <f>IFERROR(VLOOKUP(VLOOKUP(A930,'[1]Sales Order'!A:C,3,FALSE),[1]Employee!A:J,10,FALSE),"Not Specified")</f>
        <v>WA</v>
      </c>
      <c r="J930" t="str">
        <f>VLOOKUP(B930,[1]Product!A:B,2,FALSE)</f>
        <v>Product SMIOH</v>
      </c>
      <c r="K930" t="str">
        <f>VLOOKUP(VLOOKUP(B930,[1]Product!A:D,4,FALSE),[1]Category!A:B,2,FALSE)</f>
        <v>Confections</v>
      </c>
      <c r="L930" s="10">
        <f>IFERROR(VLOOKUP(A930,'[1]Sales Order'!A:D,4,FALSE),"")</f>
        <v>39277</v>
      </c>
      <c r="M930" s="10">
        <f>IFERROR(VLOOKUP(A930,'[1]Sales Order'!A:F,6,FALSE),"")</f>
        <v>39281</v>
      </c>
      <c r="N930" t="str">
        <f>IFERROR(VLOOKUP(VLOOKUP(A930,'[1]Sales Order'!A:G,7,FALSE),[1]Shipper!A:B,2,FALSE),"Not Specified")</f>
        <v>Shipper ZHISN</v>
      </c>
      <c r="O930" t="str">
        <f>IFERROR(VLOOKUP(A930,'[1]Sales Order'!A:I,9,FALSE),"Not Specified")</f>
        <v>Ship to 65-C</v>
      </c>
      <c r="P930" t="str">
        <f>IFERROR(VLOOKUP(A930,'[1]Sales Order'!A:N,14,FALSE),"Not Specified")</f>
        <v>USA</v>
      </c>
      <c r="Q930" t="str">
        <f>VLOOKUP(VLOOKUP(B930,[1]Product!A:C,3,FALSE),[1]Supplier!A:B,2,FALSE)</f>
        <v>Supplier ZPYVS</v>
      </c>
      <c r="R930" t="str">
        <f>VLOOKUP(VLOOKUP(B930,[1]Product!A:C,3,FALSE),[1]Supplier!A:I,9,FALSE)</f>
        <v>Germany</v>
      </c>
      <c r="S930" t="str">
        <f>IFERROR(IF(VLOOKUP(A930,'[1]Sales Order'!A:H,8,FALSE)&gt;100,"High Freight","Low Freight"),"Not Specified")</f>
        <v>Low Freight</v>
      </c>
      <c r="T930">
        <f t="shared" si="29"/>
        <v>2195</v>
      </c>
    </row>
    <row r="931" spans="1:20">
      <c r="A931" s="1">
        <v>10598</v>
      </c>
      <c r="B931" s="2">
        <v>71</v>
      </c>
      <c r="C931" s="2">
        <v>21.5</v>
      </c>
      <c r="D931" s="2">
        <v>9</v>
      </c>
      <c r="E931" s="3">
        <v>0</v>
      </c>
      <c r="F931" s="2" t="str">
        <f>IFERROR(VLOOKUP(VLOOKUP(A931,'[1]Sales Order'!A:B,2,FALSE),[1]Customer!A:C,3,FALSE),"Not Specified")</f>
        <v>Moore, Michael</v>
      </c>
      <c r="G931" s="2" t="str">
        <f t="shared" si="28"/>
        <v>Moore Michael</v>
      </c>
      <c r="H931" s="8" t="str">
        <f>IFERROR(VLOOKUP(VLOOKUP(A931,'[1]Sales Order'!A:C,3,FALSE),[1]Employee!A:E,5,FALSE)&amp;" "&amp;VLOOKUP(VLOOKUP(A931,'[1]Sales Order'!A:C,3,FALSE),[1]Employee!A:C,3,FALSE)&amp;" "&amp;VLOOKUP(VLOOKUP(A931,'[1]Sales Order'!A:C,3,FALSE),[1]Employee!A:B,2,FALSE),"Not Specified")</f>
        <v>Ms. Sara Davis</v>
      </c>
      <c r="I931" t="str">
        <f>IFERROR(VLOOKUP(VLOOKUP(A931,'[1]Sales Order'!A:C,3,FALSE),[1]Employee!A:J,10,FALSE),"Not Specified")</f>
        <v>WA</v>
      </c>
      <c r="J931" t="str">
        <f>VLOOKUP(B931,[1]Product!A:B,2,FALSE)</f>
        <v>Product MYMOI</v>
      </c>
      <c r="K931" t="str">
        <f>VLOOKUP(VLOOKUP(B931,[1]Product!A:D,4,FALSE),[1]Category!A:B,2,FALSE)</f>
        <v>Dairy Product</v>
      </c>
      <c r="L931" s="10">
        <f>IFERROR(VLOOKUP(A931,'[1]Sales Order'!A:D,4,FALSE),"")</f>
        <v>39277</v>
      </c>
      <c r="M931" s="10">
        <f>IFERROR(VLOOKUP(A931,'[1]Sales Order'!A:F,6,FALSE),"")</f>
        <v>39281</v>
      </c>
      <c r="N931" t="str">
        <f>IFERROR(VLOOKUP(VLOOKUP(A931,'[1]Sales Order'!A:G,7,FALSE),[1]Shipper!A:B,2,FALSE),"Not Specified")</f>
        <v>Shipper ZHISN</v>
      </c>
      <c r="O931" t="str">
        <f>IFERROR(VLOOKUP(A931,'[1]Sales Order'!A:I,9,FALSE),"Not Specified")</f>
        <v>Ship to 65-C</v>
      </c>
      <c r="P931" t="str">
        <f>IFERROR(VLOOKUP(A931,'[1]Sales Order'!A:N,14,FALSE),"Not Specified")</f>
        <v>USA</v>
      </c>
      <c r="Q931" t="str">
        <f>VLOOKUP(VLOOKUP(B931,[1]Product!A:C,3,FALSE),[1]Supplier!A:B,2,FALSE)</f>
        <v>Supplier NZLIF</v>
      </c>
      <c r="R931" t="str">
        <f>VLOOKUP(VLOOKUP(B931,[1]Product!A:C,3,FALSE),[1]Supplier!A:I,9,FALSE)</f>
        <v>Norway</v>
      </c>
      <c r="S931" t="str">
        <f>IFERROR(IF(VLOOKUP(A931,'[1]Sales Order'!A:H,8,FALSE)&gt;100,"High Freight","Low Freight"),"Not Specified")</f>
        <v>Low Freight</v>
      </c>
      <c r="T931">
        <f t="shared" si="29"/>
        <v>193.5</v>
      </c>
    </row>
    <row r="932" spans="1:20">
      <c r="A932" s="1">
        <v>10599</v>
      </c>
      <c r="B932" s="2">
        <v>62</v>
      </c>
      <c r="C932" s="2">
        <v>49.3</v>
      </c>
      <c r="D932" s="2">
        <v>10</v>
      </c>
      <c r="E932" s="3">
        <v>0</v>
      </c>
      <c r="F932" s="2" t="str">
        <f>IFERROR(VLOOKUP(VLOOKUP(A932,'[1]Sales Order'!A:B,2,FALSE),[1]Customer!A:C,3,FALSE),"Not Specified")</f>
        <v>Jaffe, David</v>
      </c>
      <c r="G932" s="2" t="str">
        <f t="shared" si="28"/>
        <v>Jaffe David</v>
      </c>
      <c r="H932" s="8" t="str">
        <f>IFERROR(VLOOKUP(VLOOKUP(A932,'[1]Sales Order'!A:C,3,FALSE),[1]Employee!A:E,5,FALSE)&amp;" "&amp;VLOOKUP(VLOOKUP(A932,'[1]Sales Order'!A:C,3,FALSE),[1]Employee!A:C,3,FALSE)&amp;" "&amp;VLOOKUP(VLOOKUP(A932,'[1]Sales Order'!A:C,3,FALSE),[1]Employee!A:B,2,FALSE),"Not Specified")</f>
        <v>Mr. Paul Suurs</v>
      </c>
      <c r="I932">
        <f>IFERROR(VLOOKUP(VLOOKUP(A932,'[1]Sales Order'!A:C,3,FALSE),[1]Employee!A:J,10,FALSE),"Not Specified")</f>
        <v>0</v>
      </c>
      <c r="J932" t="str">
        <f>VLOOKUP(B932,[1]Product!A:B,2,FALSE)</f>
        <v>Product WUXYK</v>
      </c>
      <c r="K932" t="str">
        <f>VLOOKUP(VLOOKUP(B932,[1]Product!A:D,4,FALSE),[1]Category!A:B,2,FALSE)</f>
        <v>Confections</v>
      </c>
      <c r="L932" s="10">
        <f>IFERROR(VLOOKUP(A932,'[1]Sales Order'!A:D,4,FALSE),"")</f>
        <v>39278</v>
      </c>
      <c r="M932" s="10">
        <f>IFERROR(VLOOKUP(A932,'[1]Sales Order'!A:F,6,FALSE),"")</f>
        <v>39284</v>
      </c>
      <c r="N932" t="str">
        <f>IFERROR(VLOOKUP(VLOOKUP(A932,'[1]Sales Order'!A:G,7,FALSE),[1]Shipper!A:B,2,FALSE),"Not Specified")</f>
        <v>Shipper ZHISN</v>
      </c>
      <c r="O932" t="str">
        <f>IFERROR(VLOOKUP(A932,'[1]Sales Order'!A:I,9,FALSE),"Not Specified")</f>
        <v>Destination DLEUN</v>
      </c>
      <c r="P932" t="str">
        <f>IFERROR(VLOOKUP(A932,'[1]Sales Order'!A:N,14,FALSE),"Not Specified")</f>
        <v>UK</v>
      </c>
      <c r="Q932" t="str">
        <f>VLOOKUP(VLOOKUP(B932,[1]Product!A:C,3,FALSE),[1]Supplier!A:B,2,FALSE)</f>
        <v>Supplier OGLRK</v>
      </c>
      <c r="R932" t="str">
        <f>VLOOKUP(VLOOKUP(B932,[1]Product!A:C,3,FALSE),[1]Supplier!A:I,9,FALSE)</f>
        <v>Canada</v>
      </c>
      <c r="S932" t="str">
        <f>IFERROR(IF(VLOOKUP(A932,'[1]Sales Order'!A:H,8,FALSE)&gt;100,"High Freight","Low Freight"),"Not Specified")</f>
        <v>Low Freight</v>
      </c>
      <c r="T932">
        <f t="shared" si="29"/>
        <v>493</v>
      </c>
    </row>
    <row r="933" spans="1:20">
      <c r="A933" s="1">
        <v>10600</v>
      </c>
      <c r="B933" s="2">
        <v>54</v>
      </c>
      <c r="C933" s="2">
        <v>7.45</v>
      </c>
      <c r="D933" s="2">
        <v>4</v>
      </c>
      <c r="E933" s="3">
        <v>0</v>
      </c>
      <c r="F933" s="2" t="str">
        <f>IFERROR(VLOOKUP(VLOOKUP(A933,'[1]Sales Order'!A:B,2,FALSE),[1]Customer!A:C,3,FALSE),"Not Specified")</f>
        <v>Smith, Denise</v>
      </c>
      <c r="G933" s="2" t="str">
        <f t="shared" si="28"/>
        <v>Smith Denise</v>
      </c>
      <c r="H933" s="8" t="str">
        <f>IFERROR(VLOOKUP(VLOOKUP(A933,'[1]Sales Order'!A:C,3,FALSE),[1]Employee!A:E,5,FALSE)&amp;" "&amp;VLOOKUP(VLOOKUP(A933,'[1]Sales Order'!A:C,3,FALSE),[1]Employee!A:C,3,FALSE)&amp;" "&amp;VLOOKUP(VLOOKUP(A933,'[1]Sales Order'!A:C,3,FALSE),[1]Employee!A:B,2,FALSE),"Not Specified")</f>
        <v>Mrs. Yael Peled</v>
      </c>
      <c r="I933" t="str">
        <f>IFERROR(VLOOKUP(VLOOKUP(A933,'[1]Sales Order'!A:C,3,FALSE),[1]Employee!A:J,10,FALSE),"Not Specified")</f>
        <v>WA</v>
      </c>
      <c r="J933" t="str">
        <f>VLOOKUP(B933,[1]Product!A:B,2,FALSE)</f>
        <v>Product QAQRL</v>
      </c>
      <c r="K933" t="str">
        <f>VLOOKUP(VLOOKUP(B933,[1]Product!A:D,4,FALSE),[1]Category!A:B,2,FALSE)</f>
        <v>Meat/Poultry</v>
      </c>
      <c r="L933" s="10">
        <f>IFERROR(VLOOKUP(A933,'[1]Sales Order'!A:D,4,FALSE),"")</f>
        <v>39279</v>
      </c>
      <c r="M933" s="10">
        <f>IFERROR(VLOOKUP(A933,'[1]Sales Order'!A:F,6,FALSE),"")</f>
        <v>39284</v>
      </c>
      <c r="N933" t="str">
        <f>IFERROR(VLOOKUP(VLOOKUP(A933,'[1]Sales Order'!A:G,7,FALSE),[1]Shipper!A:B,2,FALSE),"Not Specified")</f>
        <v>Shipper GVSUA</v>
      </c>
      <c r="O933" t="str">
        <f>IFERROR(VLOOKUP(A933,'[1]Sales Order'!A:I,9,FALSE),"Not Specified")</f>
        <v>Destination HOHCR</v>
      </c>
      <c r="P933" t="str">
        <f>IFERROR(VLOOKUP(A933,'[1]Sales Order'!A:N,14,FALSE),"Not Specified")</f>
        <v>USA</v>
      </c>
      <c r="Q933" t="str">
        <f>VLOOKUP(VLOOKUP(B933,[1]Product!A:C,3,FALSE),[1]Supplier!A:B,2,FALSE)</f>
        <v>Supplier ERVYZ</v>
      </c>
      <c r="R933" t="str">
        <f>VLOOKUP(VLOOKUP(B933,[1]Product!A:C,3,FALSE),[1]Supplier!A:I,9,FALSE)</f>
        <v>Canada</v>
      </c>
      <c r="S933" t="str">
        <f>IFERROR(IF(VLOOKUP(A933,'[1]Sales Order'!A:H,8,FALSE)&gt;100,"High Freight","Low Freight"),"Not Specified")</f>
        <v>Low Freight</v>
      </c>
      <c r="T933">
        <f t="shared" si="29"/>
        <v>29.8</v>
      </c>
    </row>
    <row r="934" spans="1:20">
      <c r="A934" s="1">
        <v>10600</v>
      </c>
      <c r="B934" s="2">
        <v>73</v>
      </c>
      <c r="C934" s="2">
        <v>15</v>
      </c>
      <c r="D934" s="2">
        <v>30</v>
      </c>
      <c r="E934" s="3">
        <v>0</v>
      </c>
      <c r="F934" s="2" t="str">
        <f>IFERROR(VLOOKUP(VLOOKUP(A934,'[1]Sales Order'!A:B,2,FALSE),[1]Customer!A:C,3,FALSE),"Not Specified")</f>
        <v>Smith, Denise</v>
      </c>
      <c r="G934" s="2" t="str">
        <f t="shared" si="28"/>
        <v>Smith Denise</v>
      </c>
      <c r="H934" s="8" t="str">
        <f>IFERROR(VLOOKUP(VLOOKUP(A934,'[1]Sales Order'!A:C,3,FALSE),[1]Employee!A:E,5,FALSE)&amp;" "&amp;VLOOKUP(VLOOKUP(A934,'[1]Sales Order'!A:C,3,FALSE),[1]Employee!A:C,3,FALSE)&amp;" "&amp;VLOOKUP(VLOOKUP(A934,'[1]Sales Order'!A:C,3,FALSE),[1]Employee!A:B,2,FALSE),"Not Specified")</f>
        <v>Mrs. Yael Peled</v>
      </c>
      <c r="I934" t="str">
        <f>IFERROR(VLOOKUP(VLOOKUP(A934,'[1]Sales Order'!A:C,3,FALSE),[1]Employee!A:J,10,FALSE),"Not Specified")</f>
        <v>WA</v>
      </c>
      <c r="J934" t="str">
        <f>VLOOKUP(B934,[1]Product!A:B,2,FALSE)</f>
        <v>Product WEUJZ</v>
      </c>
      <c r="K934" t="str">
        <f>VLOOKUP(VLOOKUP(B934,[1]Product!A:D,4,FALSE),[1]Category!A:B,2,FALSE)</f>
        <v>Seafood</v>
      </c>
      <c r="L934" s="10">
        <f>IFERROR(VLOOKUP(A934,'[1]Sales Order'!A:D,4,FALSE),"")</f>
        <v>39279</v>
      </c>
      <c r="M934" s="10">
        <f>IFERROR(VLOOKUP(A934,'[1]Sales Order'!A:F,6,FALSE),"")</f>
        <v>39284</v>
      </c>
      <c r="N934" t="str">
        <f>IFERROR(VLOOKUP(VLOOKUP(A934,'[1]Sales Order'!A:G,7,FALSE),[1]Shipper!A:B,2,FALSE),"Not Specified")</f>
        <v>Shipper GVSUA</v>
      </c>
      <c r="O934" t="str">
        <f>IFERROR(VLOOKUP(A934,'[1]Sales Order'!A:I,9,FALSE),"Not Specified")</f>
        <v>Destination HOHCR</v>
      </c>
      <c r="P934" t="str">
        <f>IFERROR(VLOOKUP(A934,'[1]Sales Order'!A:N,14,FALSE),"Not Specified")</f>
        <v>USA</v>
      </c>
      <c r="Q934" t="str">
        <f>VLOOKUP(VLOOKUP(B934,[1]Product!A:C,3,FALSE),[1]Supplier!A:B,2,FALSE)</f>
        <v>Supplier QZGUF</v>
      </c>
      <c r="R934" t="str">
        <f>VLOOKUP(VLOOKUP(B934,[1]Product!A:C,3,FALSE),[1]Supplier!A:I,9,FALSE)</f>
        <v>Sweden</v>
      </c>
      <c r="S934" t="str">
        <f>IFERROR(IF(VLOOKUP(A934,'[1]Sales Order'!A:H,8,FALSE)&gt;100,"High Freight","Low Freight"),"Not Specified")</f>
        <v>Low Freight</v>
      </c>
      <c r="T934">
        <f t="shared" si="29"/>
        <v>450</v>
      </c>
    </row>
    <row r="935" spans="1:20">
      <c r="A935" s="1">
        <v>10601</v>
      </c>
      <c r="B935" s="2">
        <v>13</v>
      </c>
      <c r="C935" s="2">
        <v>6</v>
      </c>
      <c r="D935" s="2">
        <v>60</v>
      </c>
      <c r="E935" s="3">
        <v>0</v>
      </c>
      <c r="F935" s="2" t="str">
        <f>IFERROR(VLOOKUP(VLOOKUP(A935,'[1]Sales Order'!A:B,2,FALSE),[1]Customer!A:C,3,FALSE),"Not Specified")</f>
        <v>Langohr, Kris</v>
      </c>
      <c r="G935" s="2" t="str">
        <f t="shared" si="28"/>
        <v>Langohr Kris</v>
      </c>
      <c r="H935" s="8" t="str">
        <f>IFERROR(VLOOKUP(VLOOKUP(A935,'[1]Sales Order'!A:C,3,FALSE),[1]Employee!A:E,5,FALSE)&amp;" "&amp;VLOOKUP(VLOOKUP(A935,'[1]Sales Order'!A:C,3,FALSE),[1]Employee!A:C,3,FALSE)&amp;" "&amp;VLOOKUP(VLOOKUP(A935,'[1]Sales Order'!A:C,3,FALSE),[1]Employee!A:B,2,FALSE),"Not Specified")</f>
        <v>Mr. Russell King</v>
      </c>
      <c r="I935">
        <f>IFERROR(VLOOKUP(VLOOKUP(A935,'[1]Sales Order'!A:C,3,FALSE),[1]Employee!A:J,10,FALSE),"Not Specified")</f>
        <v>0</v>
      </c>
      <c r="J935" t="str">
        <f>VLOOKUP(B935,[1]Product!A:B,2,FALSE)</f>
        <v>Product POXFU</v>
      </c>
      <c r="K935" t="str">
        <f>VLOOKUP(VLOOKUP(B935,[1]Product!A:D,4,FALSE),[1]Category!A:B,2,FALSE)</f>
        <v>Seafood</v>
      </c>
      <c r="L935" s="10">
        <f>IFERROR(VLOOKUP(A935,'[1]Sales Order'!A:D,4,FALSE),"")</f>
        <v>39279</v>
      </c>
      <c r="M935" s="10">
        <f>IFERROR(VLOOKUP(A935,'[1]Sales Order'!A:F,6,FALSE),"")</f>
        <v>39285</v>
      </c>
      <c r="N935" t="str">
        <f>IFERROR(VLOOKUP(VLOOKUP(A935,'[1]Sales Order'!A:G,7,FALSE),[1]Shipper!A:B,2,FALSE),"Not Specified")</f>
        <v>Shipper GVSUA</v>
      </c>
      <c r="O935" t="str">
        <f>IFERROR(VLOOKUP(A935,'[1]Sales Order'!A:I,9,FALSE),"Not Specified")</f>
        <v>Destination UOUWK</v>
      </c>
      <c r="P935" t="str">
        <f>IFERROR(VLOOKUP(A935,'[1]Sales Order'!A:N,14,FALSE),"Not Specified")</f>
        <v>Venezuela</v>
      </c>
      <c r="Q935" t="str">
        <f>VLOOKUP(VLOOKUP(B935,[1]Product!A:C,3,FALSE),[1]Supplier!A:B,2,FALSE)</f>
        <v>Supplier QWUSF</v>
      </c>
      <c r="R935" t="str">
        <f>VLOOKUP(VLOOKUP(B935,[1]Product!A:C,3,FALSE),[1]Supplier!A:I,9,FALSE)</f>
        <v>Japan</v>
      </c>
      <c r="S935" t="str">
        <f>IFERROR(IF(VLOOKUP(A935,'[1]Sales Order'!A:H,8,FALSE)&gt;100,"High Freight","Low Freight"),"Not Specified")</f>
        <v>Low Freight</v>
      </c>
      <c r="T935">
        <f t="shared" si="29"/>
        <v>360</v>
      </c>
    </row>
    <row r="936" spans="1:20">
      <c r="A936" s="1">
        <v>10601</v>
      </c>
      <c r="B936" s="2">
        <v>59</v>
      </c>
      <c r="C936" s="2">
        <v>55</v>
      </c>
      <c r="D936" s="2">
        <v>35</v>
      </c>
      <c r="E936" s="3">
        <v>0</v>
      </c>
      <c r="F936" s="2" t="str">
        <f>IFERROR(VLOOKUP(VLOOKUP(A936,'[1]Sales Order'!A:B,2,FALSE),[1]Customer!A:C,3,FALSE),"Not Specified")</f>
        <v>Langohr, Kris</v>
      </c>
      <c r="G936" s="2" t="str">
        <f t="shared" si="28"/>
        <v>Langohr Kris</v>
      </c>
      <c r="H936" s="8" t="str">
        <f>IFERROR(VLOOKUP(VLOOKUP(A936,'[1]Sales Order'!A:C,3,FALSE),[1]Employee!A:E,5,FALSE)&amp;" "&amp;VLOOKUP(VLOOKUP(A936,'[1]Sales Order'!A:C,3,FALSE),[1]Employee!A:C,3,FALSE)&amp;" "&amp;VLOOKUP(VLOOKUP(A936,'[1]Sales Order'!A:C,3,FALSE),[1]Employee!A:B,2,FALSE),"Not Specified")</f>
        <v>Mr. Russell King</v>
      </c>
      <c r="I936">
        <f>IFERROR(VLOOKUP(VLOOKUP(A936,'[1]Sales Order'!A:C,3,FALSE),[1]Employee!A:J,10,FALSE),"Not Specified")</f>
        <v>0</v>
      </c>
      <c r="J936" t="str">
        <f>VLOOKUP(B936,[1]Product!A:B,2,FALSE)</f>
        <v>Product UKXRI</v>
      </c>
      <c r="K936" t="str">
        <f>VLOOKUP(VLOOKUP(B936,[1]Product!A:D,4,FALSE),[1]Category!A:B,2,FALSE)</f>
        <v>Dairy Product</v>
      </c>
      <c r="L936" s="10">
        <f>IFERROR(VLOOKUP(A936,'[1]Sales Order'!A:D,4,FALSE),"")</f>
        <v>39279</v>
      </c>
      <c r="M936" s="10">
        <f>IFERROR(VLOOKUP(A936,'[1]Sales Order'!A:F,6,FALSE),"")</f>
        <v>39285</v>
      </c>
      <c r="N936" t="str">
        <f>IFERROR(VLOOKUP(VLOOKUP(A936,'[1]Sales Order'!A:G,7,FALSE),[1]Shipper!A:B,2,FALSE),"Not Specified")</f>
        <v>Shipper GVSUA</v>
      </c>
      <c r="O936" t="str">
        <f>IFERROR(VLOOKUP(A936,'[1]Sales Order'!A:I,9,FALSE),"Not Specified")</f>
        <v>Destination UOUWK</v>
      </c>
      <c r="P936" t="str">
        <f>IFERROR(VLOOKUP(A936,'[1]Sales Order'!A:N,14,FALSE),"Not Specified")</f>
        <v>Venezuela</v>
      </c>
      <c r="Q936" t="str">
        <f>VLOOKUP(VLOOKUP(B936,[1]Product!A:C,3,FALSE),[1]Supplier!A:B,2,FALSE)</f>
        <v>Supplier OAVQT</v>
      </c>
      <c r="R936" t="str">
        <f>VLOOKUP(VLOOKUP(B936,[1]Product!A:C,3,FALSE),[1]Supplier!A:I,9,FALSE)</f>
        <v>France</v>
      </c>
      <c r="S936" t="str">
        <f>IFERROR(IF(VLOOKUP(A936,'[1]Sales Order'!A:H,8,FALSE)&gt;100,"High Freight","Low Freight"),"Not Specified")</f>
        <v>Low Freight</v>
      </c>
      <c r="T936">
        <f t="shared" si="29"/>
        <v>1925</v>
      </c>
    </row>
    <row r="937" spans="1:20">
      <c r="A937" s="1">
        <v>10602</v>
      </c>
      <c r="B937" s="2">
        <v>77</v>
      </c>
      <c r="C937" s="2">
        <v>13</v>
      </c>
      <c r="D937" s="2">
        <v>5</v>
      </c>
      <c r="E937" s="3">
        <v>0.25</v>
      </c>
      <c r="F937" s="2" t="str">
        <f>IFERROR(VLOOKUP(VLOOKUP(A937,'[1]Sales Order'!A:B,2,FALSE),[1]Customer!A:C,3,FALSE),"Not Specified")</f>
        <v>Fonteneau, Karl</v>
      </c>
      <c r="G937" s="2" t="str">
        <f t="shared" si="28"/>
        <v>Fonteneau Karl</v>
      </c>
      <c r="H937" s="8" t="str">
        <f>IFERROR(VLOOKUP(VLOOKUP(A937,'[1]Sales Order'!A:C,3,FALSE),[1]Employee!A:E,5,FALSE)&amp;" "&amp;VLOOKUP(VLOOKUP(A937,'[1]Sales Order'!A:C,3,FALSE),[1]Employee!A:C,3,FALSE)&amp;" "&amp;VLOOKUP(VLOOKUP(A937,'[1]Sales Order'!A:C,3,FALSE),[1]Employee!A:B,2,FALSE),"Not Specified")</f>
        <v>Ms. Maria Cameron</v>
      </c>
      <c r="I937" t="str">
        <f>IFERROR(VLOOKUP(VLOOKUP(A937,'[1]Sales Order'!A:C,3,FALSE),[1]Employee!A:J,10,FALSE),"Not Specified")</f>
        <v>WA</v>
      </c>
      <c r="J937" t="str">
        <f>VLOOKUP(B937,[1]Product!A:B,2,FALSE)</f>
        <v>Product LUNZZ</v>
      </c>
      <c r="K937" t="str">
        <f>VLOOKUP(VLOOKUP(B937,[1]Product!A:D,4,FALSE),[1]Category!A:B,2,FALSE)</f>
        <v>Condiments</v>
      </c>
      <c r="L937" s="10">
        <f>IFERROR(VLOOKUP(A937,'[1]Sales Order'!A:D,4,FALSE),"")</f>
        <v>39280</v>
      </c>
      <c r="M937" s="10">
        <f>IFERROR(VLOOKUP(A937,'[1]Sales Order'!A:F,6,FALSE),"")</f>
        <v>39285</v>
      </c>
      <c r="N937" t="str">
        <f>IFERROR(VLOOKUP(VLOOKUP(A937,'[1]Sales Order'!A:G,7,FALSE),[1]Shipper!A:B,2,FALSE),"Not Specified")</f>
        <v>Shipper ETYNR</v>
      </c>
      <c r="O937" t="str">
        <f>IFERROR(VLOOKUP(A937,'[1]Sales Order'!A:I,9,FALSE),"Not Specified")</f>
        <v>Ship to 83-A</v>
      </c>
      <c r="P937" t="str">
        <f>IFERROR(VLOOKUP(A937,'[1]Sales Order'!A:N,14,FALSE),"Not Specified")</f>
        <v>Denmark</v>
      </c>
      <c r="Q937" t="str">
        <f>VLOOKUP(VLOOKUP(B937,[1]Product!A:C,3,FALSE),[1]Supplier!A:B,2,FALSE)</f>
        <v>Supplier SVIYA</v>
      </c>
      <c r="R937" t="str">
        <f>VLOOKUP(VLOOKUP(B937,[1]Product!A:C,3,FALSE),[1]Supplier!A:I,9,FALSE)</f>
        <v>Germany</v>
      </c>
      <c r="S937" t="str">
        <f>IFERROR(IF(VLOOKUP(A937,'[1]Sales Order'!A:H,8,FALSE)&gt;100,"High Freight","Low Freight"),"Not Specified")</f>
        <v>Low Freight</v>
      </c>
      <c r="T937">
        <f t="shared" si="29"/>
        <v>48.75</v>
      </c>
    </row>
    <row r="938" spans="1:20">
      <c r="A938" s="1">
        <v>10603</v>
      </c>
      <c r="B938" s="2">
        <v>22</v>
      </c>
      <c r="C938" s="2">
        <v>21</v>
      </c>
      <c r="D938" s="2">
        <v>48</v>
      </c>
      <c r="E938" s="3">
        <v>0</v>
      </c>
      <c r="F938" s="2" t="str">
        <f>IFERROR(VLOOKUP(VLOOKUP(A938,'[1]Sales Order'!A:B,2,FALSE),[1]Customer!A:C,3,FALSE),"Not Specified")</f>
        <v>Navarro, Tomás</v>
      </c>
      <c r="G938" s="2" t="str">
        <f t="shared" si="28"/>
        <v>Navarro Tomás</v>
      </c>
      <c r="H938" s="8" t="str">
        <f>IFERROR(VLOOKUP(VLOOKUP(A938,'[1]Sales Order'!A:C,3,FALSE),[1]Employee!A:E,5,FALSE)&amp;" "&amp;VLOOKUP(VLOOKUP(A938,'[1]Sales Order'!A:C,3,FALSE),[1]Employee!A:C,3,FALSE)&amp;" "&amp;VLOOKUP(VLOOKUP(A938,'[1]Sales Order'!A:C,3,FALSE),[1]Employee!A:B,2,FALSE),"Not Specified")</f>
        <v>Ms. Maria Cameron</v>
      </c>
      <c r="I938" t="str">
        <f>IFERROR(VLOOKUP(VLOOKUP(A938,'[1]Sales Order'!A:C,3,FALSE),[1]Employee!A:J,10,FALSE),"Not Specified")</f>
        <v>WA</v>
      </c>
      <c r="J938" t="str">
        <f>VLOOKUP(B938,[1]Product!A:B,2,FALSE)</f>
        <v>Product CPHFY</v>
      </c>
      <c r="K938" t="str">
        <f>VLOOKUP(VLOOKUP(B938,[1]Product!A:D,4,FALSE),[1]Category!A:B,2,FALSE)</f>
        <v>Grains/Cereals</v>
      </c>
      <c r="L938" s="10">
        <f>IFERROR(VLOOKUP(A938,'[1]Sales Order'!A:D,4,FALSE),"")</f>
        <v>39281</v>
      </c>
      <c r="M938" s="10">
        <f>IFERROR(VLOOKUP(A938,'[1]Sales Order'!A:F,6,FALSE),"")</f>
        <v>39302</v>
      </c>
      <c r="N938" t="str">
        <f>IFERROR(VLOOKUP(VLOOKUP(A938,'[1]Sales Order'!A:G,7,FALSE),[1]Shipper!A:B,2,FALSE),"Not Specified")</f>
        <v>Shipper ETYNR</v>
      </c>
      <c r="O938" t="str">
        <f>IFERROR(VLOOKUP(A938,'[1]Sales Order'!A:I,9,FALSE),"Not Specified")</f>
        <v>Ship to 71-C</v>
      </c>
      <c r="P938" t="str">
        <f>IFERROR(VLOOKUP(A938,'[1]Sales Order'!A:N,14,FALSE),"Not Specified")</f>
        <v>USA</v>
      </c>
      <c r="Q938" t="str">
        <f>VLOOKUP(VLOOKUP(B938,[1]Product!A:C,3,FALSE),[1]Supplier!A:B,2,FALSE)</f>
        <v>Supplier QQYEU</v>
      </c>
      <c r="R938" t="str">
        <f>VLOOKUP(VLOOKUP(B938,[1]Product!A:C,3,FALSE),[1]Supplier!A:I,9,FALSE)</f>
        <v>Sweden</v>
      </c>
      <c r="S938" t="str">
        <f>IFERROR(IF(VLOOKUP(A938,'[1]Sales Order'!A:H,8,FALSE)&gt;100,"High Freight","Low Freight"),"Not Specified")</f>
        <v>Low Freight</v>
      </c>
      <c r="T938">
        <f t="shared" si="29"/>
        <v>1008</v>
      </c>
    </row>
    <row r="939" spans="1:20">
      <c r="A939" s="1">
        <v>10603</v>
      </c>
      <c r="B939" s="2">
        <v>49</v>
      </c>
      <c r="C939" s="2">
        <v>20</v>
      </c>
      <c r="D939" s="2">
        <v>25</v>
      </c>
      <c r="E939" s="3">
        <v>0.05</v>
      </c>
      <c r="F939" s="2" t="str">
        <f>IFERROR(VLOOKUP(VLOOKUP(A939,'[1]Sales Order'!A:B,2,FALSE),[1]Customer!A:C,3,FALSE),"Not Specified")</f>
        <v>Navarro, Tomás</v>
      </c>
      <c r="G939" s="2" t="str">
        <f t="shared" si="28"/>
        <v>Navarro Tomás</v>
      </c>
      <c r="H939" s="8" t="str">
        <f>IFERROR(VLOOKUP(VLOOKUP(A939,'[1]Sales Order'!A:C,3,FALSE),[1]Employee!A:E,5,FALSE)&amp;" "&amp;VLOOKUP(VLOOKUP(A939,'[1]Sales Order'!A:C,3,FALSE),[1]Employee!A:C,3,FALSE)&amp;" "&amp;VLOOKUP(VLOOKUP(A939,'[1]Sales Order'!A:C,3,FALSE),[1]Employee!A:B,2,FALSE),"Not Specified")</f>
        <v>Ms. Maria Cameron</v>
      </c>
      <c r="I939" t="str">
        <f>IFERROR(VLOOKUP(VLOOKUP(A939,'[1]Sales Order'!A:C,3,FALSE),[1]Employee!A:J,10,FALSE),"Not Specified")</f>
        <v>WA</v>
      </c>
      <c r="J939" t="str">
        <f>VLOOKUP(B939,[1]Product!A:B,2,FALSE)</f>
        <v>Product FPYPN</v>
      </c>
      <c r="K939" t="str">
        <f>VLOOKUP(VLOOKUP(B939,[1]Product!A:D,4,FALSE),[1]Category!A:B,2,FALSE)</f>
        <v>Confections</v>
      </c>
      <c r="L939" s="10">
        <f>IFERROR(VLOOKUP(A939,'[1]Sales Order'!A:D,4,FALSE),"")</f>
        <v>39281</v>
      </c>
      <c r="M939" s="10">
        <f>IFERROR(VLOOKUP(A939,'[1]Sales Order'!A:F,6,FALSE),"")</f>
        <v>39302</v>
      </c>
      <c r="N939" t="str">
        <f>IFERROR(VLOOKUP(VLOOKUP(A939,'[1]Sales Order'!A:G,7,FALSE),[1]Shipper!A:B,2,FALSE),"Not Specified")</f>
        <v>Shipper ETYNR</v>
      </c>
      <c r="O939" t="str">
        <f>IFERROR(VLOOKUP(A939,'[1]Sales Order'!A:I,9,FALSE),"Not Specified")</f>
        <v>Ship to 71-C</v>
      </c>
      <c r="P939" t="str">
        <f>IFERROR(VLOOKUP(A939,'[1]Sales Order'!A:N,14,FALSE),"Not Specified")</f>
        <v>USA</v>
      </c>
      <c r="Q939" t="str">
        <f>VLOOKUP(VLOOKUP(B939,[1]Product!A:C,3,FALSE),[1]Supplier!A:B,2,FALSE)</f>
        <v>Supplier ELCRN</v>
      </c>
      <c r="R939" t="str">
        <f>VLOOKUP(VLOOKUP(B939,[1]Product!A:C,3,FALSE),[1]Supplier!A:I,9,FALSE)</f>
        <v>Finland</v>
      </c>
      <c r="S939" t="str">
        <f>IFERROR(IF(VLOOKUP(A939,'[1]Sales Order'!A:H,8,FALSE)&gt;100,"High Freight","Low Freight"),"Not Specified")</f>
        <v>Low Freight</v>
      </c>
      <c r="T939">
        <f t="shared" si="29"/>
        <v>475</v>
      </c>
    </row>
    <row r="940" spans="1:20">
      <c r="A940" s="1">
        <v>10604</v>
      </c>
      <c r="B940" s="2">
        <v>48</v>
      </c>
      <c r="C940" s="2">
        <v>12.75</v>
      </c>
      <c r="D940" s="2">
        <v>6</v>
      </c>
      <c r="E940" s="3">
        <v>0.1</v>
      </c>
      <c r="F940" s="2" t="str">
        <f>IFERROR(VLOOKUP(VLOOKUP(A940,'[1]Sales Order'!A:B,2,FALSE),[1]Customer!A:C,3,FALSE),"Not Specified")</f>
        <v>Cavaglieri, Giorgio</v>
      </c>
      <c r="G940" s="2" t="str">
        <f t="shared" si="28"/>
        <v>Cavaglieri Giorgio</v>
      </c>
      <c r="H940" s="8" t="str">
        <f>IFERROR(VLOOKUP(VLOOKUP(A940,'[1]Sales Order'!A:C,3,FALSE),[1]Employee!A:E,5,FALSE)&amp;" "&amp;VLOOKUP(VLOOKUP(A940,'[1]Sales Order'!A:C,3,FALSE),[1]Employee!A:C,3,FALSE)&amp;" "&amp;VLOOKUP(VLOOKUP(A940,'[1]Sales Order'!A:C,3,FALSE),[1]Employee!A:B,2,FALSE),"Not Specified")</f>
        <v>Ms. Sara Davis</v>
      </c>
      <c r="I940" t="str">
        <f>IFERROR(VLOOKUP(VLOOKUP(A940,'[1]Sales Order'!A:C,3,FALSE),[1]Employee!A:J,10,FALSE),"Not Specified")</f>
        <v>WA</v>
      </c>
      <c r="J940" t="str">
        <f>VLOOKUP(B940,[1]Product!A:B,2,FALSE)</f>
        <v>Product MYNXN</v>
      </c>
      <c r="K940" t="str">
        <f>VLOOKUP(VLOOKUP(B940,[1]Product!A:D,4,FALSE),[1]Category!A:B,2,FALSE)</f>
        <v>Confections</v>
      </c>
      <c r="L940" s="10">
        <f>IFERROR(VLOOKUP(A940,'[1]Sales Order'!A:D,4,FALSE),"")</f>
        <v>39281</v>
      </c>
      <c r="M940" s="10">
        <f>IFERROR(VLOOKUP(A940,'[1]Sales Order'!A:F,6,FALSE),"")</f>
        <v>39292</v>
      </c>
      <c r="N940" t="str">
        <f>IFERROR(VLOOKUP(VLOOKUP(A940,'[1]Sales Order'!A:G,7,FALSE),[1]Shipper!A:B,2,FALSE),"Not Specified")</f>
        <v>Shipper GVSUA</v>
      </c>
      <c r="O940" t="str">
        <f>IFERROR(VLOOKUP(A940,'[1]Sales Order'!A:I,9,FALSE),"Not Specified")</f>
        <v>Destination CIRQO</v>
      </c>
      <c r="P940" t="str">
        <f>IFERROR(VLOOKUP(A940,'[1]Sales Order'!A:N,14,FALSE),"Not Specified")</f>
        <v>Portugal</v>
      </c>
      <c r="Q940" t="str">
        <f>VLOOKUP(VLOOKUP(B940,[1]Product!A:C,3,FALSE),[1]Supplier!A:B,2,FALSE)</f>
        <v>Supplier FNUXM</v>
      </c>
      <c r="R940" t="str">
        <f>VLOOKUP(VLOOKUP(B940,[1]Product!A:C,3,FALSE),[1]Supplier!A:I,9,FALSE)</f>
        <v>Netherlands</v>
      </c>
      <c r="S940" t="str">
        <f>IFERROR(IF(VLOOKUP(A940,'[1]Sales Order'!A:H,8,FALSE)&gt;100,"High Freight","Low Freight"),"Not Specified")</f>
        <v>Low Freight</v>
      </c>
      <c r="T940">
        <f t="shared" si="29"/>
        <v>68.850000000000009</v>
      </c>
    </row>
    <row r="941" spans="1:20">
      <c r="A941" s="1">
        <v>10604</v>
      </c>
      <c r="B941" s="2">
        <v>76</v>
      </c>
      <c r="C941" s="2">
        <v>18</v>
      </c>
      <c r="D941" s="2">
        <v>10</v>
      </c>
      <c r="E941" s="3">
        <v>0.1</v>
      </c>
      <c r="F941" s="2" t="str">
        <f>IFERROR(VLOOKUP(VLOOKUP(A941,'[1]Sales Order'!A:B,2,FALSE),[1]Customer!A:C,3,FALSE),"Not Specified")</f>
        <v>Cavaglieri, Giorgio</v>
      </c>
      <c r="G941" s="2" t="str">
        <f t="shared" si="28"/>
        <v>Cavaglieri Giorgio</v>
      </c>
      <c r="H941" s="8" t="str">
        <f>IFERROR(VLOOKUP(VLOOKUP(A941,'[1]Sales Order'!A:C,3,FALSE),[1]Employee!A:E,5,FALSE)&amp;" "&amp;VLOOKUP(VLOOKUP(A941,'[1]Sales Order'!A:C,3,FALSE),[1]Employee!A:C,3,FALSE)&amp;" "&amp;VLOOKUP(VLOOKUP(A941,'[1]Sales Order'!A:C,3,FALSE),[1]Employee!A:B,2,FALSE),"Not Specified")</f>
        <v>Ms. Sara Davis</v>
      </c>
      <c r="I941" t="str">
        <f>IFERROR(VLOOKUP(VLOOKUP(A941,'[1]Sales Order'!A:C,3,FALSE),[1]Employee!A:J,10,FALSE),"Not Specified")</f>
        <v>WA</v>
      </c>
      <c r="J941" t="str">
        <f>VLOOKUP(B941,[1]Product!A:B,2,FALSE)</f>
        <v>Product JYGFE</v>
      </c>
      <c r="K941" t="str">
        <f>VLOOKUP(VLOOKUP(B941,[1]Product!A:D,4,FALSE),[1]Category!A:B,2,FALSE)</f>
        <v>Beverages</v>
      </c>
      <c r="L941" s="10">
        <f>IFERROR(VLOOKUP(A941,'[1]Sales Order'!A:D,4,FALSE),"")</f>
        <v>39281</v>
      </c>
      <c r="M941" s="10">
        <f>IFERROR(VLOOKUP(A941,'[1]Sales Order'!A:F,6,FALSE),"")</f>
        <v>39292</v>
      </c>
      <c r="N941" t="str">
        <f>IFERROR(VLOOKUP(VLOOKUP(A941,'[1]Sales Order'!A:G,7,FALSE),[1]Shipper!A:B,2,FALSE),"Not Specified")</f>
        <v>Shipper GVSUA</v>
      </c>
      <c r="O941" t="str">
        <f>IFERROR(VLOOKUP(A941,'[1]Sales Order'!A:I,9,FALSE),"Not Specified")</f>
        <v>Destination CIRQO</v>
      </c>
      <c r="P941" t="str">
        <f>IFERROR(VLOOKUP(A941,'[1]Sales Order'!A:N,14,FALSE),"Not Specified")</f>
        <v>Portugal</v>
      </c>
      <c r="Q941" t="str">
        <f>VLOOKUP(VLOOKUP(B941,[1]Product!A:C,3,FALSE),[1]Supplier!A:B,2,FALSE)</f>
        <v>Supplier ELCRN</v>
      </c>
      <c r="R941" t="str">
        <f>VLOOKUP(VLOOKUP(B941,[1]Product!A:C,3,FALSE),[1]Supplier!A:I,9,FALSE)</f>
        <v>Finland</v>
      </c>
      <c r="S941" t="str">
        <f>IFERROR(IF(VLOOKUP(A941,'[1]Sales Order'!A:H,8,FALSE)&gt;100,"High Freight","Low Freight"),"Not Specified")</f>
        <v>Low Freight</v>
      </c>
      <c r="T941">
        <f t="shared" si="29"/>
        <v>162</v>
      </c>
    </row>
    <row r="942" spans="1:20">
      <c r="A942" s="1">
        <v>10605</v>
      </c>
      <c r="B942" s="2">
        <v>16</v>
      </c>
      <c r="C942" s="2">
        <v>17.45</v>
      </c>
      <c r="D942" s="2">
        <v>30</v>
      </c>
      <c r="E942" s="3">
        <v>0.05</v>
      </c>
      <c r="F942" s="2" t="str">
        <f>IFERROR(VLOOKUP(VLOOKUP(A942,'[1]Sales Order'!A:B,2,FALSE),[1]Customer!A:C,3,FALSE),"Not Specified")</f>
        <v>Taylor, Maurice</v>
      </c>
      <c r="G942" s="2" t="str">
        <f t="shared" si="28"/>
        <v>Taylor Maurice</v>
      </c>
      <c r="H942" s="8" t="str">
        <f>IFERROR(VLOOKUP(VLOOKUP(A942,'[1]Sales Order'!A:C,3,FALSE),[1]Employee!A:E,5,FALSE)&amp;" "&amp;VLOOKUP(VLOOKUP(A942,'[1]Sales Order'!A:C,3,FALSE),[1]Employee!A:C,3,FALSE)&amp;" "&amp;VLOOKUP(VLOOKUP(A942,'[1]Sales Order'!A:C,3,FALSE),[1]Employee!A:B,2,FALSE),"Not Specified")</f>
        <v>Ms. Sara Davis</v>
      </c>
      <c r="I942" t="str">
        <f>IFERROR(VLOOKUP(VLOOKUP(A942,'[1]Sales Order'!A:C,3,FALSE),[1]Employee!A:J,10,FALSE),"Not Specified")</f>
        <v>WA</v>
      </c>
      <c r="J942" t="str">
        <f>VLOOKUP(B942,[1]Product!A:B,2,FALSE)</f>
        <v>Product PAFRH</v>
      </c>
      <c r="K942" t="str">
        <f>VLOOKUP(VLOOKUP(B942,[1]Product!A:D,4,FALSE),[1]Category!A:B,2,FALSE)</f>
        <v>Confections</v>
      </c>
      <c r="L942" s="10">
        <f>IFERROR(VLOOKUP(A942,'[1]Sales Order'!A:D,4,FALSE),"")</f>
        <v>39284</v>
      </c>
      <c r="M942" s="10">
        <f>IFERROR(VLOOKUP(A942,'[1]Sales Order'!A:F,6,FALSE),"")</f>
        <v>39292</v>
      </c>
      <c r="N942" t="str">
        <f>IFERROR(VLOOKUP(VLOOKUP(A942,'[1]Sales Order'!A:G,7,FALSE),[1]Shipper!A:B,2,FALSE),"Not Specified")</f>
        <v>Shipper ETYNR</v>
      </c>
      <c r="O942" t="str">
        <f>IFERROR(VLOOKUP(A942,'[1]Sales Order'!A:I,9,FALSE),"Not Specified")</f>
        <v>Ship to 51-B</v>
      </c>
      <c r="P942" t="str">
        <f>IFERROR(VLOOKUP(A942,'[1]Sales Order'!A:N,14,FALSE),"Not Specified")</f>
        <v>Canada</v>
      </c>
      <c r="Q942" t="str">
        <f>VLOOKUP(VLOOKUP(B942,[1]Product!A:C,3,FALSE),[1]Supplier!A:B,2,FALSE)</f>
        <v>Supplier GQRCV</v>
      </c>
      <c r="R942" t="str">
        <f>VLOOKUP(VLOOKUP(B942,[1]Product!A:C,3,FALSE),[1]Supplier!A:I,9,FALSE)</f>
        <v>Australia</v>
      </c>
      <c r="S942" t="str">
        <f>IFERROR(IF(VLOOKUP(A942,'[1]Sales Order'!A:H,8,FALSE)&gt;100,"High Freight","Low Freight"),"Not Specified")</f>
        <v>High Freight</v>
      </c>
      <c r="T942">
        <f t="shared" si="29"/>
        <v>497.32499999999999</v>
      </c>
    </row>
    <row r="943" spans="1:20">
      <c r="A943" s="1">
        <v>10605</v>
      </c>
      <c r="B943" s="2">
        <v>59</v>
      </c>
      <c r="C943" s="2">
        <v>55</v>
      </c>
      <c r="D943" s="2">
        <v>20</v>
      </c>
      <c r="E943" s="3">
        <v>0.05</v>
      </c>
      <c r="F943" s="2" t="str">
        <f>IFERROR(VLOOKUP(VLOOKUP(A943,'[1]Sales Order'!A:B,2,FALSE),[1]Customer!A:C,3,FALSE),"Not Specified")</f>
        <v>Taylor, Maurice</v>
      </c>
      <c r="G943" s="2" t="str">
        <f t="shared" si="28"/>
        <v>Taylor Maurice</v>
      </c>
      <c r="H943" s="8" t="str">
        <f>IFERROR(VLOOKUP(VLOOKUP(A943,'[1]Sales Order'!A:C,3,FALSE),[1]Employee!A:E,5,FALSE)&amp;" "&amp;VLOOKUP(VLOOKUP(A943,'[1]Sales Order'!A:C,3,FALSE),[1]Employee!A:C,3,FALSE)&amp;" "&amp;VLOOKUP(VLOOKUP(A943,'[1]Sales Order'!A:C,3,FALSE),[1]Employee!A:B,2,FALSE),"Not Specified")</f>
        <v>Ms. Sara Davis</v>
      </c>
      <c r="I943" t="str">
        <f>IFERROR(VLOOKUP(VLOOKUP(A943,'[1]Sales Order'!A:C,3,FALSE),[1]Employee!A:J,10,FALSE),"Not Specified")</f>
        <v>WA</v>
      </c>
      <c r="J943" t="str">
        <f>VLOOKUP(B943,[1]Product!A:B,2,FALSE)</f>
        <v>Product UKXRI</v>
      </c>
      <c r="K943" t="str">
        <f>VLOOKUP(VLOOKUP(B943,[1]Product!A:D,4,FALSE),[1]Category!A:B,2,FALSE)</f>
        <v>Dairy Product</v>
      </c>
      <c r="L943" s="10">
        <f>IFERROR(VLOOKUP(A943,'[1]Sales Order'!A:D,4,FALSE),"")</f>
        <v>39284</v>
      </c>
      <c r="M943" s="10">
        <f>IFERROR(VLOOKUP(A943,'[1]Sales Order'!A:F,6,FALSE),"")</f>
        <v>39292</v>
      </c>
      <c r="N943" t="str">
        <f>IFERROR(VLOOKUP(VLOOKUP(A943,'[1]Sales Order'!A:G,7,FALSE),[1]Shipper!A:B,2,FALSE),"Not Specified")</f>
        <v>Shipper ETYNR</v>
      </c>
      <c r="O943" t="str">
        <f>IFERROR(VLOOKUP(A943,'[1]Sales Order'!A:I,9,FALSE),"Not Specified")</f>
        <v>Ship to 51-B</v>
      </c>
      <c r="P943" t="str">
        <f>IFERROR(VLOOKUP(A943,'[1]Sales Order'!A:N,14,FALSE),"Not Specified")</f>
        <v>Canada</v>
      </c>
      <c r="Q943" t="str">
        <f>VLOOKUP(VLOOKUP(B943,[1]Product!A:C,3,FALSE),[1]Supplier!A:B,2,FALSE)</f>
        <v>Supplier OAVQT</v>
      </c>
      <c r="R943" t="str">
        <f>VLOOKUP(VLOOKUP(B943,[1]Product!A:C,3,FALSE),[1]Supplier!A:I,9,FALSE)</f>
        <v>France</v>
      </c>
      <c r="S943" t="str">
        <f>IFERROR(IF(VLOOKUP(A943,'[1]Sales Order'!A:H,8,FALSE)&gt;100,"High Freight","Low Freight"),"Not Specified")</f>
        <v>High Freight</v>
      </c>
      <c r="T943">
        <f t="shared" si="29"/>
        <v>1045</v>
      </c>
    </row>
    <row r="944" spans="1:20">
      <c r="A944" s="1">
        <v>10605</v>
      </c>
      <c r="B944" s="2">
        <v>60</v>
      </c>
      <c r="C944" s="2">
        <v>34</v>
      </c>
      <c r="D944" s="2">
        <v>70</v>
      </c>
      <c r="E944" s="3">
        <v>0.05</v>
      </c>
      <c r="F944" s="2" t="str">
        <f>IFERROR(VLOOKUP(VLOOKUP(A944,'[1]Sales Order'!A:B,2,FALSE),[1]Customer!A:C,3,FALSE),"Not Specified")</f>
        <v>Taylor, Maurice</v>
      </c>
      <c r="G944" s="2" t="str">
        <f t="shared" si="28"/>
        <v>Taylor Maurice</v>
      </c>
      <c r="H944" s="8" t="str">
        <f>IFERROR(VLOOKUP(VLOOKUP(A944,'[1]Sales Order'!A:C,3,FALSE),[1]Employee!A:E,5,FALSE)&amp;" "&amp;VLOOKUP(VLOOKUP(A944,'[1]Sales Order'!A:C,3,FALSE),[1]Employee!A:C,3,FALSE)&amp;" "&amp;VLOOKUP(VLOOKUP(A944,'[1]Sales Order'!A:C,3,FALSE),[1]Employee!A:B,2,FALSE),"Not Specified")</f>
        <v>Ms. Sara Davis</v>
      </c>
      <c r="I944" t="str">
        <f>IFERROR(VLOOKUP(VLOOKUP(A944,'[1]Sales Order'!A:C,3,FALSE),[1]Employee!A:J,10,FALSE),"Not Specified")</f>
        <v>WA</v>
      </c>
      <c r="J944" t="str">
        <f>VLOOKUP(B944,[1]Product!A:B,2,FALSE)</f>
        <v>Product WHBYK</v>
      </c>
      <c r="K944" t="str">
        <f>VLOOKUP(VLOOKUP(B944,[1]Product!A:D,4,FALSE),[1]Category!A:B,2,FALSE)</f>
        <v>Dairy Product</v>
      </c>
      <c r="L944" s="10">
        <f>IFERROR(VLOOKUP(A944,'[1]Sales Order'!A:D,4,FALSE),"")</f>
        <v>39284</v>
      </c>
      <c r="M944" s="10">
        <f>IFERROR(VLOOKUP(A944,'[1]Sales Order'!A:F,6,FALSE),"")</f>
        <v>39292</v>
      </c>
      <c r="N944" t="str">
        <f>IFERROR(VLOOKUP(VLOOKUP(A944,'[1]Sales Order'!A:G,7,FALSE),[1]Shipper!A:B,2,FALSE),"Not Specified")</f>
        <v>Shipper ETYNR</v>
      </c>
      <c r="O944" t="str">
        <f>IFERROR(VLOOKUP(A944,'[1]Sales Order'!A:I,9,FALSE),"Not Specified")</f>
        <v>Ship to 51-B</v>
      </c>
      <c r="P944" t="str">
        <f>IFERROR(VLOOKUP(A944,'[1]Sales Order'!A:N,14,FALSE),"Not Specified")</f>
        <v>Canada</v>
      </c>
      <c r="Q944" t="str">
        <f>VLOOKUP(VLOOKUP(B944,[1]Product!A:C,3,FALSE),[1]Supplier!A:B,2,FALSE)</f>
        <v>Supplier OAVQT</v>
      </c>
      <c r="R944" t="str">
        <f>VLOOKUP(VLOOKUP(B944,[1]Product!A:C,3,FALSE),[1]Supplier!A:I,9,FALSE)</f>
        <v>France</v>
      </c>
      <c r="S944" t="str">
        <f>IFERROR(IF(VLOOKUP(A944,'[1]Sales Order'!A:H,8,FALSE)&gt;100,"High Freight","Low Freight"),"Not Specified")</f>
        <v>High Freight</v>
      </c>
      <c r="T944">
        <f t="shared" si="29"/>
        <v>2261</v>
      </c>
    </row>
    <row r="945" spans="1:20">
      <c r="A945" s="1">
        <v>10605</v>
      </c>
      <c r="B945" s="2">
        <v>71</v>
      </c>
      <c r="C945" s="2">
        <v>21.5</v>
      </c>
      <c r="D945" s="2">
        <v>15</v>
      </c>
      <c r="E945" s="3">
        <v>0.05</v>
      </c>
      <c r="F945" s="2" t="str">
        <f>IFERROR(VLOOKUP(VLOOKUP(A945,'[1]Sales Order'!A:B,2,FALSE),[1]Customer!A:C,3,FALSE),"Not Specified")</f>
        <v>Taylor, Maurice</v>
      </c>
      <c r="G945" s="2" t="str">
        <f t="shared" si="28"/>
        <v>Taylor Maurice</v>
      </c>
      <c r="H945" s="8" t="str">
        <f>IFERROR(VLOOKUP(VLOOKUP(A945,'[1]Sales Order'!A:C,3,FALSE),[1]Employee!A:E,5,FALSE)&amp;" "&amp;VLOOKUP(VLOOKUP(A945,'[1]Sales Order'!A:C,3,FALSE),[1]Employee!A:C,3,FALSE)&amp;" "&amp;VLOOKUP(VLOOKUP(A945,'[1]Sales Order'!A:C,3,FALSE),[1]Employee!A:B,2,FALSE),"Not Specified")</f>
        <v>Ms. Sara Davis</v>
      </c>
      <c r="I945" t="str">
        <f>IFERROR(VLOOKUP(VLOOKUP(A945,'[1]Sales Order'!A:C,3,FALSE),[1]Employee!A:J,10,FALSE),"Not Specified")</f>
        <v>WA</v>
      </c>
      <c r="J945" t="str">
        <f>VLOOKUP(B945,[1]Product!A:B,2,FALSE)</f>
        <v>Product MYMOI</v>
      </c>
      <c r="K945" t="str">
        <f>VLOOKUP(VLOOKUP(B945,[1]Product!A:D,4,FALSE),[1]Category!A:B,2,FALSE)</f>
        <v>Dairy Product</v>
      </c>
      <c r="L945" s="10">
        <f>IFERROR(VLOOKUP(A945,'[1]Sales Order'!A:D,4,FALSE),"")</f>
        <v>39284</v>
      </c>
      <c r="M945" s="10">
        <f>IFERROR(VLOOKUP(A945,'[1]Sales Order'!A:F,6,FALSE),"")</f>
        <v>39292</v>
      </c>
      <c r="N945" t="str">
        <f>IFERROR(VLOOKUP(VLOOKUP(A945,'[1]Sales Order'!A:G,7,FALSE),[1]Shipper!A:B,2,FALSE),"Not Specified")</f>
        <v>Shipper ETYNR</v>
      </c>
      <c r="O945" t="str">
        <f>IFERROR(VLOOKUP(A945,'[1]Sales Order'!A:I,9,FALSE),"Not Specified")</f>
        <v>Ship to 51-B</v>
      </c>
      <c r="P945" t="str">
        <f>IFERROR(VLOOKUP(A945,'[1]Sales Order'!A:N,14,FALSE),"Not Specified")</f>
        <v>Canada</v>
      </c>
      <c r="Q945" t="str">
        <f>VLOOKUP(VLOOKUP(B945,[1]Product!A:C,3,FALSE),[1]Supplier!A:B,2,FALSE)</f>
        <v>Supplier NZLIF</v>
      </c>
      <c r="R945" t="str">
        <f>VLOOKUP(VLOOKUP(B945,[1]Product!A:C,3,FALSE),[1]Supplier!A:I,9,FALSE)</f>
        <v>Norway</v>
      </c>
      <c r="S945" t="str">
        <f>IFERROR(IF(VLOOKUP(A945,'[1]Sales Order'!A:H,8,FALSE)&gt;100,"High Freight","Low Freight"),"Not Specified")</f>
        <v>High Freight</v>
      </c>
      <c r="T945">
        <f t="shared" si="29"/>
        <v>306.375</v>
      </c>
    </row>
    <row r="946" spans="1:20">
      <c r="A946" s="1">
        <v>10606</v>
      </c>
      <c r="B946" s="2">
        <v>4</v>
      </c>
      <c r="C946" s="2">
        <v>22</v>
      </c>
      <c r="D946" s="2">
        <v>20</v>
      </c>
      <c r="E946" s="3">
        <v>0.2</v>
      </c>
      <c r="F946" s="2" t="str">
        <f>IFERROR(VLOOKUP(VLOOKUP(A946,'[1]Sales Order'!A:B,2,FALSE),[1]Customer!A:C,3,FALSE),"Not Specified")</f>
        <v>Nagel, Jean-Philippe</v>
      </c>
      <c r="G946" s="2" t="str">
        <f t="shared" si="28"/>
        <v>Nagel Jean-Philippe</v>
      </c>
      <c r="H946" s="8" t="str">
        <f>IFERROR(VLOOKUP(VLOOKUP(A946,'[1]Sales Order'!A:C,3,FALSE),[1]Employee!A:E,5,FALSE)&amp;" "&amp;VLOOKUP(VLOOKUP(A946,'[1]Sales Order'!A:C,3,FALSE),[1]Employee!A:C,3,FALSE)&amp;" "&amp;VLOOKUP(VLOOKUP(A946,'[1]Sales Order'!A:C,3,FALSE),[1]Employee!A:B,2,FALSE),"Not Specified")</f>
        <v>Mrs. Yael Peled</v>
      </c>
      <c r="I946" t="str">
        <f>IFERROR(VLOOKUP(VLOOKUP(A946,'[1]Sales Order'!A:C,3,FALSE),[1]Employee!A:J,10,FALSE),"Not Specified")</f>
        <v>WA</v>
      </c>
      <c r="J946" t="str">
        <f>VLOOKUP(B946,[1]Product!A:B,2,FALSE)</f>
        <v>Product KSBRM</v>
      </c>
      <c r="K946" t="str">
        <f>VLOOKUP(VLOOKUP(B946,[1]Product!A:D,4,FALSE),[1]Category!A:B,2,FALSE)</f>
        <v>Condiments</v>
      </c>
      <c r="L946" s="10">
        <f>IFERROR(VLOOKUP(A946,'[1]Sales Order'!A:D,4,FALSE),"")</f>
        <v>39285</v>
      </c>
      <c r="M946" s="10">
        <f>IFERROR(VLOOKUP(A946,'[1]Sales Order'!A:F,6,FALSE),"")</f>
        <v>39294</v>
      </c>
      <c r="N946" t="str">
        <f>IFERROR(VLOOKUP(VLOOKUP(A946,'[1]Sales Order'!A:G,7,FALSE),[1]Shipper!A:B,2,FALSE),"Not Specified")</f>
        <v>Shipper ZHISN</v>
      </c>
      <c r="O946" t="str">
        <f>IFERROR(VLOOKUP(A946,'[1]Sales Order'!A:I,9,FALSE),"Not Specified")</f>
        <v>Ship to 81-C</v>
      </c>
      <c r="P946" t="str">
        <f>IFERROR(VLOOKUP(A946,'[1]Sales Order'!A:N,14,FALSE),"Not Specified")</f>
        <v>Brazil</v>
      </c>
      <c r="Q946" t="str">
        <f>VLOOKUP(VLOOKUP(B946,[1]Product!A:C,3,FALSE),[1]Supplier!A:B,2,FALSE)</f>
        <v>Supplier VHQZD</v>
      </c>
      <c r="R946" t="str">
        <f>VLOOKUP(VLOOKUP(B946,[1]Product!A:C,3,FALSE),[1]Supplier!A:I,9,FALSE)</f>
        <v>USA</v>
      </c>
      <c r="S946" t="str">
        <f>IFERROR(IF(VLOOKUP(A946,'[1]Sales Order'!A:H,8,FALSE)&gt;100,"High Freight","Low Freight"),"Not Specified")</f>
        <v>Low Freight</v>
      </c>
      <c r="T946">
        <f t="shared" si="29"/>
        <v>352</v>
      </c>
    </row>
    <row r="947" spans="1:20">
      <c r="A947" s="1">
        <v>10606</v>
      </c>
      <c r="B947" s="2">
        <v>55</v>
      </c>
      <c r="C947" s="2">
        <v>24</v>
      </c>
      <c r="D947" s="2">
        <v>20</v>
      </c>
      <c r="E947" s="3">
        <v>0.2</v>
      </c>
      <c r="F947" s="2" t="str">
        <f>IFERROR(VLOOKUP(VLOOKUP(A947,'[1]Sales Order'!A:B,2,FALSE),[1]Customer!A:C,3,FALSE),"Not Specified")</f>
        <v>Nagel, Jean-Philippe</v>
      </c>
      <c r="G947" s="2" t="str">
        <f t="shared" si="28"/>
        <v>Nagel Jean-Philippe</v>
      </c>
      <c r="H947" s="8" t="str">
        <f>IFERROR(VLOOKUP(VLOOKUP(A947,'[1]Sales Order'!A:C,3,FALSE),[1]Employee!A:E,5,FALSE)&amp;" "&amp;VLOOKUP(VLOOKUP(A947,'[1]Sales Order'!A:C,3,FALSE),[1]Employee!A:C,3,FALSE)&amp;" "&amp;VLOOKUP(VLOOKUP(A947,'[1]Sales Order'!A:C,3,FALSE),[1]Employee!A:B,2,FALSE),"Not Specified")</f>
        <v>Mrs. Yael Peled</v>
      </c>
      <c r="I947" t="str">
        <f>IFERROR(VLOOKUP(VLOOKUP(A947,'[1]Sales Order'!A:C,3,FALSE),[1]Employee!A:J,10,FALSE),"Not Specified")</f>
        <v>WA</v>
      </c>
      <c r="J947" t="str">
        <f>VLOOKUP(B947,[1]Product!A:B,2,FALSE)</f>
        <v>Product YYWRT</v>
      </c>
      <c r="K947" t="str">
        <f>VLOOKUP(VLOOKUP(B947,[1]Product!A:D,4,FALSE),[1]Category!A:B,2,FALSE)</f>
        <v>Meat/Poultry</v>
      </c>
      <c r="L947" s="10">
        <f>IFERROR(VLOOKUP(A947,'[1]Sales Order'!A:D,4,FALSE),"")</f>
        <v>39285</v>
      </c>
      <c r="M947" s="10">
        <f>IFERROR(VLOOKUP(A947,'[1]Sales Order'!A:F,6,FALSE),"")</f>
        <v>39294</v>
      </c>
      <c r="N947" t="str">
        <f>IFERROR(VLOOKUP(VLOOKUP(A947,'[1]Sales Order'!A:G,7,FALSE),[1]Shipper!A:B,2,FALSE),"Not Specified")</f>
        <v>Shipper ZHISN</v>
      </c>
      <c r="O947" t="str">
        <f>IFERROR(VLOOKUP(A947,'[1]Sales Order'!A:I,9,FALSE),"Not Specified")</f>
        <v>Ship to 81-C</v>
      </c>
      <c r="P947" t="str">
        <f>IFERROR(VLOOKUP(A947,'[1]Sales Order'!A:N,14,FALSE),"Not Specified")</f>
        <v>Brazil</v>
      </c>
      <c r="Q947" t="str">
        <f>VLOOKUP(VLOOKUP(B947,[1]Product!A:C,3,FALSE),[1]Supplier!A:B,2,FALSE)</f>
        <v>Supplier ERVYZ</v>
      </c>
      <c r="R947" t="str">
        <f>VLOOKUP(VLOOKUP(B947,[1]Product!A:C,3,FALSE),[1]Supplier!A:I,9,FALSE)</f>
        <v>Canada</v>
      </c>
      <c r="S947" t="str">
        <f>IFERROR(IF(VLOOKUP(A947,'[1]Sales Order'!A:H,8,FALSE)&gt;100,"High Freight","Low Freight"),"Not Specified")</f>
        <v>Low Freight</v>
      </c>
      <c r="T947">
        <f t="shared" si="29"/>
        <v>384</v>
      </c>
    </row>
    <row r="948" spans="1:20">
      <c r="A948" s="1">
        <v>10606</v>
      </c>
      <c r="B948" s="2">
        <v>62</v>
      </c>
      <c r="C948" s="2">
        <v>49.3</v>
      </c>
      <c r="D948" s="2">
        <v>10</v>
      </c>
      <c r="E948" s="3">
        <v>0.2</v>
      </c>
      <c r="F948" s="2" t="str">
        <f>IFERROR(VLOOKUP(VLOOKUP(A948,'[1]Sales Order'!A:B,2,FALSE),[1]Customer!A:C,3,FALSE),"Not Specified")</f>
        <v>Nagel, Jean-Philippe</v>
      </c>
      <c r="G948" s="2" t="str">
        <f t="shared" si="28"/>
        <v>Nagel Jean-Philippe</v>
      </c>
      <c r="H948" s="8" t="str">
        <f>IFERROR(VLOOKUP(VLOOKUP(A948,'[1]Sales Order'!A:C,3,FALSE),[1]Employee!A:E,5,FALSE)&amp;" "&amp;VLOOKUP(VLOOKUP(A948,'[1]Sales Order'!A:C,3,FALSE),[1]Employee!A:C,3,FALSE)&amp;" "&amp;VLOOKUP(VLOOKUP(A948,'[1]Sales Order'!A:C,3,FALSE),[1]Employee!A:B,2,FALSE),"Not Specified")</f>
        <v>Mrs. Yael Peled</v>
      </c>
      <c r="I948" t="str">
        <f>IFERROR(VLOOKUP(VLOOKUP(A948,'[1]Sales Order'!A:C,3,FALSE),[1]Employee!A:J,10,FALSE),"Not Specified")</f>
        <v>WA</v>
      </c>
      <c r="J948" t="str">
        <f>VLOOKUP(B948,[1]Product!A:B,2,FALSE)</f>
        <v>Product WUXYK</v>
      </c>
      <c r="K948" t="str">
        <f>VLOOKUP(VLOOKUP(B948,[1]Product!A:D,4,FALSE),[1]Category!A:B,2,FALSE)</f>
        <v>Confections</v>
      </c>
      <c r="L948" s="10">
        <f>IFERROR(VLOOKUP(A948,'[1]Sales Order'!A:D,4,FALSE),"")</f>
        <v>39285</v>
      </c>
      <c r="M948" s="10">
        <f>IFERROR(VLOOKUP(A948,'[1]Sales Order'!A:F,6,FALSE),"")</f>
        <v>39294</v>
      </c>
      <c r="N948" t="str">
        <f>IFERROR(VLOOKUP(VLOOKUP(A948,'[1]Sales Order'!A:G,7,FALSE),[1]Shipper!A:B,2,FALSE),"Not Specified")</f>
        <v>Shipper ZHISN</v>
      </c>
      <c r="O948" t="str">
        <f>IFERROR(VLOOKUP(A948,'[1]Sales Order'!A:I,9,FALSE),"Not Specified")</f>
        <v>Ship to 81-C</v>
      </c>
      <c r="P948" t="str">
        <f>IFERROR(VLOOKUP(A948,'[1]Sales Order'!A:N,14,FALSE),"Not Specified")</f>
        <v>Brazil</v>
      </c>
      <c r="Q948" t="str">
        <f>VLOOKUP(VLOOKUP(B948,[1]Product!A:C,3,FALSE),[1]Supplier!A:B,2,FALSE)</f>
        <v>Supplier OGLRK</v>
      </c>
      <c r="R948" t="str">
        <f>VLOOKUP(VLOOKUP(B948,[1]Product!A:C,3,FALSE),[1]Supplier!A:I,9,FALSE)</f>
        <v>Canada</v>
      </c>
      <c r="S948" t="str">
        <f>IFERROR(IF(VLOOKUP(A948,'[1]Sales Order'!A:H,8,FALSE)&gt;100,"High Freight","Low Freight"),"Not Specified")</f>
        <v>Low Freight</v>
      </c>
      <c r="T948">
        <f t="shared" si="29"/>
        <v>394.40000000000003</v>
      </c>
    </row>
    <row r="949" spans="1:20">
      <c r="A949" s="1">
        <v>10607</v>
      </c>
      <c r="B949" s="2">
        <v>7</v>
      </c>
      <c r="C949" s="2">
        <v>30</v>
      </c>
      <c r="D949" s="2">
        <v>45</v>
      </c>
      <c r="E949" s="3">
        <v>0</v>
      </c>
      <c r="F949" s="2" t="str">
        <f>IFERROR(VLOOKUP(VLOOKUP(A949,'[1]Sales Order'!A:B,2,FALSE),[1]Customer!A:C,3,FALSE),"Not Specified")</f>
        <v>Navarro, Tomás</v>
      </c>
      <c r="G949" s="2" t="str">
        <f t="shared" si="28"/>
        <v>Navarro Tomás</v>
      </c>
      <c r="H949" s="8" t="str">
        <f>IFERROR(VLOOKUP(VLOOKUP(A949,'[1]Sales Order'!A:C,3,FALSE),[1]Employee!A:E,5,FALSE)&amp;" "&amp;VLOOKUP(VLOOKUP(A949,'[1]Sales Order'!A:C,3,FALSE),[1]Employee!A:C,3,FALSE)&amp;" "&amp;VLOOKUP(VLOOKUP(A949,'[1]Sales Order'!A:C,3,FALSE),[1]Employee!A:B,2,FALSE),"Not Specified")</f>
        <v>Mr. Sven Buck</v>
      </c>
      <c r="I949">
        <f>IFERROR(VLOOKUP(VLOOKUP(A949,'[1]Sales Order'!A:C,3,FALSE),[1]Employee!A:J,10,FALSE),"Not Specified")</f>
        <v>0</v>
      </c>
      <c r="J949" t="str">
        <f>VLOOKUP(B949,[1]Product!A:B,2,FALSE)</f>
        <v>Product HMLNI</v>
      </c>
      <c r="K949" t="str">
        <f>VLOOKUP(VLOOKUP(B949,[1]Product!A:D,4,FALSE),[1]Category!A:B,2,FALSE)</f>
        <v>Produce</v>
      </c>
      <c r="L949" s="10">
        <f>IFERROR(VLOOKUP(A949,'[1]Sales Order'!A:D,4,FALSE),"")</f>
        <v>39285</v>
      </c>
      <c r="M949" s="10">
        <f>IFERROR(VLOOKUP(A949,'[1]Sales Order'!A:F,6,FALSE),"")</f>
        <v>39288</v>
      </c>
      <c r="N949" t="str">
        <f>IFERROR(VLOOKUP(VLOOKUP(A949,'[1]Sales Order'!A:G,7,FALSE),[1]Shipper!A:B,2,FALSE),"Not Specified")</f>
        <v>Shipper GVSUA</v>
      </c>
      <c r="O949" t="str">
        <f>IFERROR(VLOOKUP(A949,'[1]Sales Order'!A:I,9,FALSE),"Not Specified")</f>
        <v>Ship to 71-C</v>
      </c>
      <c r="P949" t="str">
        <f>IFERROR(VLOOKUP(A949,'[1]Sales Order'!A:N,14,FALSE),"Not Specified")</f>
        <v>USA</v>
      </c>
      <c r="Q949" t="str">
        <f>VLOOKUP(VLOOKUP(B949,[1]Product!A:C,3,FALSE),[1]Supplier!A:B,2,FALSE)</f>
        <v>Supplier STUAZ</v>
      </c>
      <c r="R949" t="str">
        <f>VLOOKUP(VLOOKUP(B949,[1]Product!A:C,3,FALSE),[1]Supplier!A:I,9,FALSE)</f>
        <v>USA</v>
      </c>
      <c r="S949" t="str">
        <f>IFERROR(IF(VLOOKUP(A949,'[1]Sales Order'!A:H,8,FALSE)&gt;100,"High Freight","Low Freight"),"Not Specified")</f>
        <v>High Freight</v>
      </c>
      <c r="T949">
        <f t="shared" si="29"/>
        <v>1350</v>
      </c>
    </row>
    <row r="950" spans="1:20">
      <c r="A950" s="1">
        <v>10607</v>
      </c>
      <c r="B950" s="2">
        <v>17</v>
      </c>
      <c r="C950" s="2">
        <v>39</v>
      </c>
      <c r="D950" s="2">
        <v>100</v>
      </c>
      <c r="E950" s="3">
        <v>0</v>
      </c>
      <c r="F950" s="2" t="str">
        <f>IFERROR(VLOOKUP(VLOOKUP(A950,'[1]Sales Order'!A:B,2,FALSE),[1]Customer!A:C,3,FALSE),"Not Specified")</f>
        <v>Navarro, Tomás</v>
      </c>
      <c r="G950" s="2" t="str">
        <f t="shared" si="28"/>
        <v>Navarro Tomás</v>
      </c>
      <c r="H950" s="8" t="str">
        <f>IFERROR(VLOOKUP(VLOOKUP(A950,'[1]Sales Order'!A:C,3,FALSE),[1]Employee!A:E,5,FALSE)&amp;" "&amp;VLOOKUP(VLOOKUP(A950,'[1]Sales Order'!A:C,3,FALSE),[1]Employee!A:C,3,FALSE)&amp;" "&amp;VLOOKUP(VLOOKUP(A950,'[1]Sales Order'!A:C,3,FALSE),[1]Employee!A:B,2,FALSE),"Not Specified")</f>
        <v>Mr. Sven Buck</v>
      </c>
      <c r="I950">
        <f>IFERROR(VLOOKUP(VLOOKUP(A950,'[1]Sales Order'!A:C,3,FALSE),[1]Employee!A:J,10,FALSE),"Not Specified")</f>
        <v>0</v>
      </c>
      <c r="J950" t="str">
        <f>VLOOKUP(B950,[1]Product!A:B,2,FALSE)</f>
        <v>Product BLCAX</v>
      </c>
      <c r="K950" t="str">
        <f>VLOOKUP(VLOOKUP(B950,[1]Product!A:D,4,FALSE),[1]Category!A:B,2,FALSE)</f>
        <v>Meat/Poultry</v>
      </c>
      <c r="L950" s="10">
        <f>IFERROR(VLOOKUP(A950,'[1]Sales Order'!A:D,4,FALSE),"")</f>
        <v>39285</v>
      </c>
      <c r="M950" s="10">
        <f>IFERROR(VLOOKUP(A950,'[1]Sales Order'!A:F,6,FALSE),"")</f>
        <v>39288</v>
      </c>
      <c r="N950" t="str">
        <f>IFERROR(VLOOKUP(VLOOKUP(A950,'[1]Sales Order'!A:G,7,FALSE),[1]Shipper!A:B,2,FALSE),"Not Specified")</f>
        <v>Shipper GVSUA</v>
      </c>
      <c r="O950" t="str">
        <f>IFERROR(VLOOKUP(A950,'[1]Sales Order'!A:I,9,FALSE),"Not Specified")</f>
        <v>Ship to 71-C</v>
      </c>
      <c r="P950" t="str">
        <f>IFERROR(VLOOKUP(A950,'[1]Sales Order'!A:N,14,FALSE),"Not Specified")</f>
        <v>USA</v>
      </c>
      <c r="Q950" t="str">
        <f>VLOOKUP(VLOOKUP(B950,[1]Product!A:C,3,FALSE),[1]Supplier!A:B,2,FALSE)</f>
        <v>Supplier GQRCV</v>
      </c>
      <c r="R950" t="str">
        <f>VLOOKUP(VLOOKUP(B950,[1]Product!A:C,3,FALSE),[1]Supplier!A:I,9,FALSE)</f>
        <v>Australia</v>
      </c>
      <c r="S950" t="str">
        <f>IFERROR(IF(VLOOKUP(A950,'[1]Sales Order'!A:H,8,FALSE)&gt;100,"High Freight","Low Freight"),"Not Specified")</f>
        <v>High Freight</v>
      </c>
      <c r="T950">
        <f t="shared" si="29"/>
        <v>3900</v>
      </c>
    </row>
    <row r="951" spans="1:20">
      <c r="A951" s="1">
        <v>10607</v>
      </c>
      <c r="B951" s="2">
        <v>33</v>
      </c>
      <c r="C951" s="2">
        <v>2.5</v>
      </c>
      <c r="D951" s="2">
        <v>14</v>
      </c>
      <c r="E951" s="3">
        <v>0</v>
      </c>
      <c r="F951" s="2" t="str">
        <f>IFERROR(VLOOKUP(VLOOKUP(A951,'[1]Sales Order'!A:B,2,FALSE),[1]Customer!A:C,3,FALSE),"Not Specified")</f>
        <v>Navarro, Tomás</v>
      </c>
      <c r="G951" s="2" t="str">
        <f t="shared" si="28"/>
        <v>Navarro Tomás</v>
      </c>
      <c r="H951" s="8" t="str">
        <f>IFERROR(VLOOKUP(VLOOKUP(A951,'[1]Sales Order'!A:C,3,FALSE),[1]Employee!A:E,5,FALSE)&amp;" "&amp;VLOOKUP(VLOOKUP(A951,'[1]Sales Order'!A:C,3,FALSE),[1]Employee!A:C,3,FALSE)&amp;" "&amp;VLOOKUP(VLOOKUP(A951,'[1]Sales Order'!A:C,3,FALSE),[1]Employee!A:B,2,FALSE),"Not Specified")</f>
        <v>Mr. Sven Buck</v>
      </c>
      <c r="I951">
        <f>IFERROR(VLOOKUP(VLOOKUP(A951,'[1]Sales Order'!A:C,3,FALSE),[1]Employee!A:J,10,FALSE),"Not Specified")</f>
        <v>0</v>
      </c>
      <c r="J951" t="str">
        <f>VLOOKUP(B951,[1]Product!A:B,2,FALSE)</f>
        <v>Product ASTMN</v>
      </c>
      <c r="K951" t="str">
        <f>VLOOKUP(VLOOKUP(B951,[1]Product!A:D,4,FALSE),[1]Category!A:B,2,FALSE)</f>
        <v>Dairy Product</v>
      </c>
      <c r="L951" s="10">
        <f>IFERROR(VLOOKUP(A951,'[1]Sales Order'!A:D,4,FALSE),"")</f>
        <v>39285</v>
      </c>
      <c r="M951" s="10">
        <f>IFERROR(VLOOKUP(A951,'[1]Sales Order'!A:F,6,FALSE),"")</f>
        <v>39288</v>
      </c>
      <c r="N951" t="str">
        <f>IFERROR(VLOOKUP(VLOOKUP(A951,'[1]Sales Order'!A:G,7,FALSE),[1]Shipper!A:B,2,FALSE),"Not Specified")</f>
        <v>Shipper GVSUA</v>
      </c>
      <c r="O951" t="str">
        <f>IFERROR(VLOOKUP(A951,'[1]Sales Order'!A:I,9,FALSE),"Not Specified")</f>
        <v>Ship to 71-C</v>
      </c>
      <c r="P951" t="str">
        <f>IFERROR(VLOOKUP(A951,'[1]Sales Order'!A:N,14,FALSE),"Not Specified")</f>
        <v>USA</v>
      </c>
      <c r="Q951" t="str">
        <f>VLOOKUP(VLOOKUP(B951,[1]Product!A:C,3,FALSE),[1]Supplier!A:B,2,FALSE)</f>
        <v>Supplier NZLIF</v>
      </c>
      <c r="R951" t="str">
        <f>VLOOKUP(VLOOKUP(B951,[1]Product!A:C,3,FALSE),[1]Supplier!A:I,9,FALSE)</f>
        <v>Norway</v>
      </c>
      <c r="S951" t="str">
        <f>IFERROR(IF(VLOOKUP(A951,'[1]Sales Order'!A:H,8,FALSE)&gt;100,"High Freight","Low Freight"),"Not Specified")</f>
        <v>High Freight</v>
      </c>
      <c r="T951">
        <f t="shared" si="29"/>
        <v>35</v>
      </c>
    </row>
    <row r="952" spans="1:20">
      <c r="A952" s="1">
        <v>10607</v>
      </c>
      <c r="B952" s="2">
        <v>40</v>
      </c>
      <c r="C952" s="2">
        <v>18.399999999999999</v>
      </c>
      <c r="D952" s="2">
        <v>42</v>
      </c>
      <c r="E952" s="3">
        <v>0</v>
      </c>
      <c r="F952" s="2" t="str">
        <f>IFERROR(VLOOKUP(VLOOKUP(A952,'[1]Sales Order'!A:B,2,FALSE),[1]Customer!A:C,3,FALSE),"Not Specified")</f>
        <v>Navarro, Tomás</v>
      </c>
      <c r="G952" s="2" t="str">
        <f t="shared" si="28"/>
        <v>Navarro Tomás</v>
      </c>
      <c r="H952" s="8" t="str">
        <f>IFERROR(VLOOKUP(VLOOKUP(A952,'[1]Sales Order'!A:C,3,FALSE),[1]Employee!A:E,5,FALSE)&amp;" "&amp;VLOOKUP(VLOOKUP(A952,'[1]Sales Order'!A:C,3,FALSE),[1]Employee!A:C,3,FALSE)&amp;" "&amp;VLOOKUP(VLOOKUP(A952,'[1]Sales Order'!A:C,3,FALSE),[1]Employee!A:B,2,FALSE),"Not Specified")</f>
        <v>Mr. Sven Buck</v>
      </c>
      <c r="I952">
        <f>IFERROR(VLOOKUP(VLOOKUP(A952,'[1]Sales Order'!A:C,3,FALSE),[1]Employee!A:J,10,FALSE),"Not Specified")</f>
        <v>0</v>
      </c>
      <c r="J952" t="str">
        <f>VLOOKUP(B952,[1]Product!A:B,2,FALSE)</f>
        <v>Product YZIXQ</v>
      </c>
      <c r="K952" t="str">
        <f>VLOOKUP(VLOOKUP(B952,[1]Product!A:D,4,FALSE),[1]Category!A:B,2,FALSE)</f>
        <v>Seafood</v>
      </c>
      <c r="L952" s="10">
        <f>IFERROR(VLOOKUP(A952,'[1]Sales Order'!A:D,4,FALSE),"")</f>
        <v>39285</v>
      </c>
      <c r="M952" s="10">
        <f>IFERROR(VLOOKUP(A952,'[1]Sales Order'!A:F,6,FALSE),"")</f>
        <v>39288</v>
      </c>
      <c r="N952" t="str">
        <f>IFERROR(VLOOKUP(VLOOKUP(A952,'[1]Sales Order'!A:G,7,FALSE),[1]Shipper!A:B,2,FALSE),"Not Specified")</f>
        <v>Shipper GVSUA</v>
      </c>
      <c r="O952" t="str">
        <f>IFERROR(VLOOKUP(A952,'[1]Sales Order'!A:I,9,FALSE),"Not Specified")</f>
        <v>Ship to 71-C</v>
      </c>
      <c r="P952" t="str">
        <f>IFERROR(VLOOKUP(A952,'[1]Sales Order'!A:N,14,FALSE),"Not Specified")</f>
        <v>USA</v>
      </c>
      <c r="Q952" t="str">
        <f>VLOOKUP(VLOOKUP(B952,[1]Product!A:C,3,FALSE),[1]Supplier!A:B,2,FALSE)</f>
        <v>Supplier JDNUG</v>
      </c>
      <c r="R952" t="str">
        <f>VLOOKUP(VLOOKUP(B952,[1]Product!A:C,3,FALSE),[1]Supplier!A:I,9,FALSE)</f>
        <v>USA</v>
      </c>
      <c r="S952" t="str">
        <f>IFERROR(IF(VLOOKUP(A952,'[1]Sales Order'!A:H,8,FALSE)&gt;100,"High Freight","Low Freight"),"Not Specified")</f>
        <v>High Freight</v>
      </c>
      <c r="T952">
        <f t="shared" si="29"/>
        <v>772.8</v>
      </c>
    </row>
    <row r="953" spans="1:20">
      <c r="A953" s="1">
        <v>10607</v>
      </c>
      <c r="B953" s="2">
        <v>72</v>
      </c>
      <c r="C953" s="2">
        <v>34.799999999999997</v>
      </c>
      <c r="D953" s="2">
        <v>12</v>
      </c>
      <c r="E953" s="3">
        <v>0</v>
      </c>
      <c r="F953" s="2" t="str">
        <f>IFERROR(VLOOKUP(VLOOKUP(A953,'[1]Sales Order'!A:B,2,FALSE),[1]Customer!A:C,3,FALSE),"Not Specified")</f>
        <v>Navarro, Tomás</v>
      </c>
      <c r="G953" s="2" t="str">
        <f t="shared" si="28"/>
        <v>Navarro Tomás</v>
      </c>
      <c r="H953" s="8" t="str">
        <f>IFERROR(VLOOKUP(VLOOKUP(A953,'[1]Sales Order'!A:C,3,FALSE),[1]Employee!A:E,5,FALSE)&amp;" "&amp;VLOOKUP(VLOOKUP(A953,'[1]Sales Order'!A:C,3,FALSE),[1]Employee!A:C,3,FALSE)&amp;" "&amp;VLOOKUP(VLOOKUP(A953,'[1]Sales Order'!A:C,3,FALSE),[1]Employee!A:B,2,FALSE),"Not Specified")</f>
        <v>Mr. Sven Buck</v>
      </c>
      <c r="I953">
        <f>IFERROR(VLOOKUP(VLOOKUP(A953,'[1]Sales Order'!A:C,3,FALSE),[1]Employee!A:J,10,FALSE),"Not Specified")</f>
        <v>0</v>
      </c>
      <c r="J953" t="str">
        <f>VLOOKUP(B953,[1]Product!A:B,2,FALSE)</f>
        <v>Product GEEOO</v>
      </c>
      <c r="K953" t="str">
        <f>VLOOKUP(VLOOKUP(B953,[1]Product!A:D,4,FALSE),[1]Category!A:B,2,FALSE)</f>
        <v>Dairy Product</v>
      </c>
      <c r="L953" s="10">
        <f>IFERROR(VLOOKUP(A953,'[1]Sales Order'!A:D,4,FALSE),"")</f>
        <v>39285</v>
      </c>
      <c r="M953" s="10">
        <f>IFERROR(VLOOKUP(A953,'[1]Sales Order'!A:F,6,FALSE),"")</f>
        <v>39288</v>
      </c>
      <c r="N953" t="str">
        <f>IFERROR(VLOOKUP(VLOOKUP(A953,'[1]Sales Order'!A:G,7,FALSE),[1]Shipper!A:B,2,FALSE),"Not Specified")</f>
        <v>Shipper GVSUA</v>
      </c>
      <c r="O953" t="str">
        <f>IFERROR(VLOOKUP(A953,'[1]Sales Order'!A:I,9,FALSE),"Not Specified")</f>
        <v>Ship to 71-C</v>
      </c>
      <c r="P953" t="str">
        <f>IFERROR(VLOOKUP(A953,'[1]Sales Order'!A:N,14,FALSE),"Not Specified")</f>
        <v>USA</v>
      </c>
      <c r="Q953" t="str">
        <f>VLOOKUP(VLOOKUP(B953,[1]Product!A:C,3,FALSE),[1]Supplier!A:B,2,FALSE)</f>
        <v>Supplier KEREV</v>
      </c>
      <c r="R953" t="str">
        <f>VLOOKUP(VLOOKUP(B953,[1]Product!A:C,3,FALSE),[1]Supplier!A:I,9,FALSE)</f>
        <v>Italy</v>
      </c>
      <c r="S953" t="str">
        <f>IFERROR(IF(VLOOKUP(A953,'[1]Sales Order'!A:H,8,FALSE)&gt;100,"High Freight","Low Freight"),"Not Specified")</f>
        <v>High Freight</v>
      </c>
      <c r="T953">
        <f t="shared" si="29"/>
        <v>417.59999999999997</v>
      </c>
    </row>
    <row r="954" spans="1:20">
      <c r="A954" s="1">
        <v>10608</v>
      </c>
      <c r="B954" s="2">
        <v>56</v>
      </c>
      <c r="C954" s="2">
        <v>38</v>
      </c>
      <c r="D954" s="2">
        <v>28</v>
      </c>
      <c r="E954" s="3">
        <v>0</v>
      </c>
      <c r="F954" s="2" t="str">
        <f>IFERROR(VLOOKUP(VLOOKUP(A954,'[1]Sales Order'!A:B,2,FALSE),[1]Customer!A:C,3,FALSE),"Not Specified")</f>
        <v>Wickham, Jim</v>
      </c>
      <c r="G954" s="2" t="str">
        <f t="shared" si="28"/>
        <v>Wickham Jim</v>
      </c>
      <c r="H954" s="8" t="str">
        <f>IFERROR(VLOOKUP(VLOOKUP(A954,'[1]Sales Order'!A:C,3,FALSE),[1]Employee!A:E,5,FALSE)&amp;" "&amp;VLOOKUP(VLOOKUP(A954,'[1]Sales Order'!A:C,3,FALSE),[1]Employee!A:C,3,FALSE)&amp;" "&amp;VLOOKUP(VLOOKUP(A954,'[1]Sales Order'!A:C,3,FALSE),[1]Employee!A:B,2,FALSE),"Not Specified")</f>
        <v>Mrs. Yael Peled</v>
      </c>
      <c r="I954" t="str">
        <f>IFERROR(VLOOKUP(VLOOKUP(A954,'[1]Sales Order'!A:C,3,FALSE),[1]Employee!A:J,10,FALSE),"Not Specified")</f>
        <v>WA</v>
      </c>
      <c r="J954" t="str">
        <f>VLOOKUP(B954,[1]Product!A:B,2,FALSE)</f>
        <v>Product VKCMF</v>
      </c>
      <c r="K954" t="str">
        <f>VLOOKUP(VLOOKUP(B954,[1]Product!A:D,4,FALSE),[1]Category!A:B,2,FALSE)</f>
        <v>Grains/Cereals</v>
      </c>
      <c r="L954" s="10">
        <f>IFERROR(VLOOKUP(A954,'[1]Sales Order'!A:D,4,FALSE),"")</f>
        <v>39286</v>
      </c>
      <c r="M954" s="10">
        <f>IFERROR(VLOOKUP(A954,'[1]Sales Order'!A:F,6,FALSE),"")</f>
        <v>39295</v>
      </c>
      <c r="N954" t="str">
        <f>IFERROR(VLOOKUP(VLOOKUP(A954,'[1]Sales Order'!A:G,7,FALSE),[1]Shipper!A:B,2,FALSE),"Not Specified")</f>
        <v>Shipper ETYNR</v>
      </c>
      <c r="O954" t="str">
        <f>IFERROR(VLOOKUP(A954,'[1]Sales Order'!A:I,9,FALSE),"Not Specified")</f>
        <v>Ship to 79-C</v>
      </c>
      <c r="P954" t="str">
        <f>IFERROR(VLOOKUP(A954,'[1]Sales Order'!A:N,14,FALSE),"Not Specified")</f>
        <v>Germany</v>
      </c>
      <c r="Q954" t="str">
        <f>VLOOKUP(VLOOKUP(B954,[1]Product!A:C,3,FALSE),[1]Supplier!A:B,2,FALSE)</f>
        <v>Supplier ZWZDM</v>
      </c>
      <c r="R954" t="str">
        <f>VLOOKUP(VLOOKUP(B954,[1]Product!A:C,3,FALSE),[1]Supplier!A:I,9,FALSE)</f>
        <v>Italy</v>
      </c>
      <c r="S954" t="str">
        <f>IFERROR(IF(VLOOKUP(A954,'[1]Sales Order'!A:H,8,FALSE)&gt;100,"High Freight","Low Freight"),"Not Specified")</f>
        <v>Low Freight</v>
      </c>
      <c r="T954">
        <f t="shared" si="29"/>
        <v>1064</v>
      </c>
    </row>
    <row r="955" spans="1:20">
      <c r="A955" s="1">
        <v>10609</v>
      </c>
      <c r="B955" s="2">
        <v>1</v>
      </c>
      <c r="C955" s="2">
        <v>18</v>
      </c>
      <c r="D955" s="2">
        <v>3</v>
      </c>
      <c r="E955" s="3">
        <v>0</v>
      </c>
      <c r="F955" s="2" t="str">
        <f>IFERROR(VLOOKUP(VLOOKUP(A955,'[1]Sales Order'!A:B,2,FALSE),[1]Customer!A:C,3,FALSE),"Not Specified")</f>
        <v>Rizaldy, Arif</v>
      </c>
      <c r="G955" s="2" t="str">
        <f t="shared" si="28"/>
        <v>Rizaldy Arif</v>
      </c>
      <c r="H955" s="8" t="str">
        <f>IFERROR(VLOOKUP(VLOOKUP(A955,'[1]Sales Order'!A:C,3,FALSE),[1]Employee!A:E,5,FALSE)&amp;" "&amp;VLOOKUP(VLOOKUP(A955,'[1]Sales Order'!A:C,3,FALSE),[1]Employee!A:C,3,FALSE)&amp;" "&amp;VLOOKUP(VLOOKUP(A955,'[1]Sales Order'!A:C,3,FALSE),[1]Employee!A:B,2,FALSE),"Not Specified")</f>
        <v>Mr. Russell King</v>
      </c>
      <c r="I955">
        <f>IFERROR(VLOOKUP(VLOOKUP(A955,'[1]Sales Order'!A:C,3,FALSE),[1]Employee!A:J,10,FALSE),"Not Specified")</f>
        <v>0</v>
      </c>
      <c r="J955" t="str">
        <f>VLOOKUP(B955,[1]Product!A:B,2,FALSE)</f>
        <v>Product HHYDP</v>
      </c>
      <c r="K955" t="str">
        <f>VLOOKUP(VLOOKUP(B955,[1]Product!A:D,4,FALSE),[1]Category!A:B,2,FALSE)</f>
        <v>Beverages</v>
      </c>
      <c r="L955" s="10">
        <f>IFERROR(VLOOKUP(A955,'[1]Sales Order'!A:D,4,FALSE),"")</f>
        <v>39287</v>
      </c>
      <c r="M955" s="10">
        <f>IFERROR(VLOOKUP(A955,'[1]Sales Order'!A:F,6,FALSE),"")</f>
        <v>39293</v>
      </c>
      <c r="N955" t="str">
        <f>IFERROR(VLOOKUP(VLOOKUP(A955,'[1]Sales Order'!A:G,7,FALSE),[1]Shipper!A:B,2,FALSE),"Not Specified")</f>
        <v>Shipper ETYNR</v>
      </c>
      <c r="O955" t="str">
        <f>IFERROR(VLOOKUP(A955,'[1]Sales Order'!A:I,9,FALSE),"Not Specified")</f>
        <v>Destination SNPXM</v>
      </c>
      <c r="P955" t="str">
        <f>IFERROR(VLOOKUP(A955,'[1]Sales Order'!A:N,14,FALSE),"Not Specified")</f>
        <v>France</v>
      </c>
      <c r="Q955" t="str">
        <f>VLOOKUP(VLOOKUP(B955,[1]Product!A:C,3,FALSE),[1]Supplier!A:B,2,FALSE)</f>
        <v>Supplier SWRXU</v>
      </c>
      <c r="R955" t="str">
        <f>VLOOKUP(VLOOKUP(B955,[1]Product!A:C,3,FALSE),[1]Supplier!A:I,9,FALSE)</f>
        <v>UK</v>
      </c>
      <c r="S955" t="str">
        <f>IFERROR(IF(VLOOKUP(A955,'[1]Sales Order'!A:H,8,FALSE)&gt;100,"High Freight","Low Freight"),"Not Specified")</f>
        <v>Low Freight</v>
      </c>
      <c r="T955">
        <f t="shared" si="29"/>
        <v>54</v>
      </c>
    </row>
    <row r="956" spans="1:20">
      <c r="A956" s="1">
        <v>10609</v>
      </c>
      <c r="B956" s="2">
        <v>10</v>
      </c>
      <c r="C956" s="2">
        <v>31</v>
      </c>
      <c r="D956" s="2">
        <v>10</v>
      </c>
      <c r="E956" s="3">
        <v>0</v>
      </c>
      <c r="F956" s="2" t="str">
        <f>IFERROR(VLOOKUP(VLOOKUP(A956,'[1]Sales Order'!A:B,2,FALSE),[1]Customer!A:C,3,FALSE),"Not Specified")</f>
        <v>Rizaldy, Arif</v>
      </c>
      <c r="G956" s="2" t="str">
        <f t="shared" si="28"/>
        <v>Rizaldy Arif</v>
      </c>
      <c r="H956" s="8" t="str">
        <f>IFERROR(VLOOKUP(VLOOKUP(A956,'[1]Sales Order'!A:C,3,FALSE),[1]Employee!A:E,5,FALSE)&amp;" "&amp;VLOOKUP(VLOOKUP(A956,'[1]Sales Order'!A:C,3,FALSE),[1]Employee!A:C,3,FALSE)&amp;" "&amp;VLOOKUP(VLOOKUP(A956,'[1]Sales Order'!A:C,3,FALSE),[1]Employee!A:B,2,FALSE),"Not Specified")</f>
        <v>Mr. Russell King</v>
      </c>
      <c r="I956">
        <f>IFERROR(VLOOKUP(VLOOKUP(A956,'[1]Sales Order'!A:C,3,FALSE),[1]Employee!A:J,10,FALSE),"Not Specified")</f>
        <v>0</v>
      </c>
      <c r="J956" t="str">
        <f>VLOOKUP(B956,[1]Product!A:B,2,FALSE)</f>
        <v>Product YHXGE</v>
      </c>
      <c r="K956" t="str">
        <f>VLOOKUP(VLOOKUP(B956,[1]Product!A:D,4,FALSE),[1]Category!A:B,2,FALSE)</f>
        <v>Seafood</v>
      </c>
      <c r="L956" s="10">
        <f>IFERROR(VLOOKUP(A956,'[1]Sales Order'!A:D,4,FALSE),"")</f>
        <v>39287</v>
      </c>
      <c r="M956" s="10">
        <f>IFERROR(VLOOKUP(A956,'[1]Sales Order'!A:F,6,FALSE),"")</f>
        <v>39293</v>
      </c>
      <c r="N956" t="str">
        <f>IFERROR(VLOOKUP(VLOOKUP(A956,'[1]Sales Order'!A:G,7,FALSE),[1]Shipper!A:B,2,FALSE),"Not Specified")</f>
        <v>Shipper ETYNR</v>
      </c>
      <c r="O956" t="str">
        <f>IFERROR(VLOOKUP(A956,'[1]Sales Order'!A:I,9,FALSE),"Not Specified")</f>
        <v>Destination SNPXM</v>
      </c>
      <c r="P956" t="str">
        <f>IFERROR(VLOOKUP(A956,'[1]Sales Order'!A:N,14,FALSE),"Not Specified")</f>
        <v>France</v>
      </c>
      <c r="Q956" t="str">
        <f>VLOOKUP(VLOOKUP(B956,[1]Product!A:C,3,FALSE),[1]Supplier!A:B,2,FALSE)</f>
        <v>Supplier QOVFD</v>
      </c>
      <c r="R956" t="str">
        <f>VLOOKUP(VLOOKUP(B956,[1]Product!A:C,3,FALSE),[1]Supplier!A:I,9,FALSE)</f>
        <v>Japan</v>
      </c>
      <c r="S956" t="str">
        <f>IFERROR(IF(VLOOKUP(A956,'[1]Sales Order'!A:H,8,FALSE)&gt;100,"High Freight","Low Freight"),"Not Specified")</f>
        <v>Low Freight</v>
      </c>
      <c r="T956">
        <f t="shared" si="29"/>
        <v>310</v>
      </c>
    </row>
    <row r="957" spans="1:20">
      <c r="A957" s="1">
        <v>10609</v>
      </c>
      <c r="B957" s="2">
        <v>21</v>
      </c>
      <c r="C957" s="2">
        <v>10</v>
      </c>
      <c r="D957" s="2">
        <v>6</v>
      </c>
      <c r="E957" s="3">
        <v>0</v>
      </c>
      <c r="F957" s="2" t="str">
        <f>IFERROR(VLOOKUP(VLOOKUP(A957,'[1]Sales Order'!A:B,2,FALSE),[1]Customer!A:C,3,FALSE),"Not Specified")</f>
        <v>Rizaldy, Arif</v>
      </c>
      <c r="G957" s="2" t="str">
        <f t="shared" si="28"/>
        <v>Rizaldy Arif</v>
      </c>
      <c r="H957" s="8" t="str">
        <f>IFERROR(VLOOKUP(VLOOKUP(A957,'[1]Sales Order'!A:C,3,FALSE),[1]Employee!A:E,5,FALSE)&amp;" "&amp;VLOOKUP(VLOOKUP(A957,'[1]Sales Order'!A:C,3,FALSE),[1]Employee!A:C,3,FALSE)&amp;" "&amp;VLOOKUP(VLOOKUP(A957,'[1]Sales Order'!A:C,3,FALSE),[1]Employee!A:B,2,FALSE),"Not Specified")</f>
        <v>Mr. Russell King</v>
      </c>
      <c r="I957">
        <f>IFERROR(VLOOKUP(VLOOKUP(A957,'[1]Sales Order'!A:C,3,FALSE),[1]Employee!A:J,10,FALSE),"Not Specified")</f>
        <v>0</v>
      </c>
      <c r="J957" t="str">
        <f>VLOOKUP(B957,[1]Product!A:B,2,FALSE)</f>
        <v>Product VJZZH</v>
      </c>
      <c r="K957" t="str">
        <f>VLOOKUP(VLOOKUP(B957,[1]Product!A:D,4,FALSE),[1]Category!A:B,2,FALSE)</f>
        <v>Confections</v>
      </c>
      <c r="L957" s="10">
        <f>IFERROR(VLOOKUP(A957,'[1]Sales Order'!A:D,4,FALSE),"")</f>
        <v>39287</v>
      </c>
      <c r="M957" s="10">
        <f>IFERROR(VLOOKUP(A957,'[1]Sales Order'!A:F,6,FALSE),"")</f>
        <v>39293</v>
      </c>
      <c r="N957" t="str">
        <f>IFERROR(VLOOKUP(VLOOKUP(A957,'[1]Sales Order'!A:G,7,FALSE),[1]Shipper!A:B,2,FALSE),"Not Specified")</f>
        <v>Shipper ETYNR</v>
      </c>
      <c r="O957" t="str">
        <f>IFERROR(VLOOKUP(A957,'[1]Sales Order'!A:I,9,FALSE),"Not Specified")</f>
        <v>Destination SNPXM</v>
      </c>
      <c r="P957" t="str">
        <f>IFERROR(VLOOKUP(A957,'[1]Sales Order'!A:N,14,FALSE),"Not Specified")</f>
        <v>France</v>
      </c>
      <c r="Q957" t="str">
        <f>VLOOKUP(VLOOKUP(B957,[1]Product!A:C,3,FALSE),[1]Supplier!A:B,2,FALSE)</f>
        <v>Supplier BWGYE</v>
      </c>
      <c r="R957" t="str">
        <f>VLOOKUP(VLOOKUP(B957,[1]Product!A:C,3,FALSE),[1]Supplier!A:I,9,FALSE)</f>
        <v>UK</v>
      </c>
      <c r="S957" t="str">
        <f>IFERROR(IF(VLOOKUP(A957,'[1]Sales Order'!A:H,8,FALSE)&gt;100,"High Freight","Low Freight"),"Not Specified")</f>
        <v>Low Freight</v>
      </c>
      <c r="T957">
        <f t="shared" si="29"/>
        <v>60</v>
      </c>
    </row>
    <row r="958" spans="1:20">
      <c r="A958" s="1">
        <v>10610</v>
      </c>
      <c r="B958" s="2">
        <v>36</v>
      </c>
      <c r="C958" s="2">
        <v>19</v>
      </c>
      <c r="D958" s="2">
        <v>21</v>
      </c>
      <c r="E958" s="3">
        <v>0.25</v>
      </c>
      <c r="F958" s="2" t="str">
        <f>IFERROR(VLOOKUP(VLOOKUP(A958,'[1]Sales Order'!A:B,2,FALSE),[1]Customer!A:C,3,FALSE),"Not Specified")</f>
        <v>Litton, Tim</v>
      </c>
      <c r="G958" s="2" t="str">
        <f t="shared" si="28"/>
        <v>Litton Tim</v>
      </c>
      <c r="H958" s="8" t="str">
        <f>IFERROR(VLOOKUP(VLOOKUP(A958,'[1]Sales Order'!A:C,3,FALSE),[1]Employee!A:E,5,FALSE)&amp;" "&amp;VLOOKUP(VLOOKUP(A958,'[1]Sales Order'!A:C,3,FALSE),[1]Employee!A:C,3,FALSE)&amp;" "&amp;VLOOKUP(VLOOKUP(A958,'[1]Sales Order'!A:C,3,FALSE),[1]Employee!A:B,2,FALSE),"Not Specified")</f>
        <v>Ms. Maria Cameron</v>
      </c>
      <c r="I958" t="str">
        <f>IFERROR(VLOOKUP(VLOOKUP(A958,'[1]Sales Order'!A:C,3,FALSE),[1]Employee!A:J,10,FALSE),"Not Specified")</f>
        <v>WA</v>
      </c>
      <c r="J958" t="str">
        <f>VLOOKUP(B958,[1]Product!A:B,2,FALSE)</f>
        <v>Product GMKIJ</v>
      </c>
      <c r="K958" t="str">
        <f>VLOOKUP(VLOOKUP(B958,[1]Product!A:D,4,FALSE),[1]Category!A:B,2,FALSE)</f>
        <v>Seafood</v>
      </c>
      <c r="L958" s="10">
        <f>IFERROR(VLOOKUP(A958,'[1]Sales Order'!A:D,4,FALSE),"")</f>
        <v>39288</v>
      </c>
      <c r="M958" s="10">
        <f>IFERROR(VLOOKUP(A958,'[1]Sales Order'!A:F,6,FALSE),"")</f>
        <v>39300</v>
      </c>
      <c r="N958" t="str">
        <f>IFERROR(VLOOKUP(VLOOKUP(A958,'[1]Sales Order'!A:G,7,FALSE),[1]Shipper!A:B,2,FALSE),"Not Specified")</f>
        <v>Shipper GVSUA</v>
      </c>
      <c r="O958" t="str">
        <f>IFERROR(VLOOKUP(A958,'[1]Sales Order'!A:I,9,FALSE),"Not Specified")</f>
        <v>Ship to 41-C</v>
      </c>
      <c r="P958" t="str">
        <f>IFERROR(VLOOKUP(A958,'[1]Sales Order'!A:N,14,FALSE),"Not Specified")</f>
        <v>France</v>
      </c>
      <c r="Q958" t="str">
        <f>VLOOKUP(VLOOKUP(B958,[1]Product!A:C,3,FALSE),[1]Supplier!A:B,2,FALSE)</f>
        <v>Supplier QZGUF</v>
      </c>
      <c r="R958" t="str">
        <f>VLOOKUP(VLOOKUP(B958,[1]Product!A:C,3,FALSE),[1]Supplier!A:I,9,FALSE)</f>
        <v>Sweden</v>
      </c>
      <c r="S958" t="str">
        <f>IFERROR(IF(VLOOKUP(A958,'[1]Sales Order'!A:H,8,FALSE)&gt;100,"High Freight","Low Freight"),"Not Specified")</f>
        <v>Low Freight</v>
      </c>
      <c r="T958">
        <f t="shared" si="29"/>
        <v>299.25</v>
      </c>
    </row>
    <row r="959" spans="1:20">
      <c r="A959" s="1">
        <v>10611</v>
      </c>
      <c r="B959" s="2">
        <v>1</v>
      </c>
      <c r="C959" s="2">
        <v>18</v>
      </c>
      <c r="D959" s="2">
        <v>6</v>
      </c>
      <c r="E959" s="3">
        <v>0</v>
      </c>
      <c r="F959" s="2" t="str">
        <f>IFERROR(VLOOKUP(VLOOKUP(A959,'[1]Sales Order'!A:B,2,FALSE),[1]Customer!A:C,3,FALSE),"Not Specified")</f>
        <v>Conn, Steve</v>
      </c>
      <c r="G959" s="2" t="str">
        <f t="shared" si="28"/>
        <v>Conn Steve</v>
      </c>
      <c r="H959" s="8" t="str">
        <f>IFERROR(VLOOKUP(VLOOKUP(A959,'[1]Sales Order'!A:C,3,FALSE),[1]Employee!A:E,5,FALSE)&amp;" "&amp;VLOOKUP(VLOOKUP(A959,'[1]Sales Order'!A:C,3,FALSE),[1]Employee!A:C,3,FALSE)&amp;" "&amp;VLOOKUP(VLOOKUP(A959,'[1]Sales Order'!A:C,3,FALSE),[1]Employee!A:B,2,FALSE),"Not Specified")</f>
        <v>Mr. Paul Suurs</v>
      </c>
      <c r="I959">
        <f>IFERROR(VLOOKUP(VLOOKUP(A959,'[1]Sales Order'!A:C,3,FALSE),[1]Employee!A:J,10,FALSE),"Not Specified")</f>
        <v>0</v>
      </c>
      <c r="J959" t="str">
        <f>VLOOKUP(B959,[1]Product!A:B,2,FALSE)</f>
        <v>Product HHYDP</v>
      </c>
      <c r="K959" t="str">
        <f>VLOOKUP(VLOOKUP(B959,[1]Product!A:D,4,FALSE),[1]Category!A:B,2,FALSE)</f>
        <v>Beverages</v>
      </c>
      <c r="L959" s="10">
        <f>IFERROR(VLOOKUP(A959,'[1]Sales Order'!A:D,4,FALSE),"")</f>
        <v>39288</v>
      </c>
      <c r="M959" s="10">
        <f>IFERROR(VLOOKUP(A959,'[1]Sales Order'!A:F,6,FALSE),"")</f>
        <v>39295</v>
      </c>
      <c r="N959" t="str">
        <f>IFERROR(VLOOKUP(VLOOKUP(A959,'[1]Sales Order'!A:G,7,FALSE),[1]Shipper!A:B,2,FALSE),"Not Specified")</f>
        <v>Shipper ETYNR</v>
      </c>
      <c r="O959" t="str">
        <f>IFERROR(VLOOKUP(A959,'[1]Sales Order'!A:I,9,FALSE),"Not Specified")</f>
        <v>Ship to 91-B</v>
      </c>
      <c r="P959" t="str">
        <f>IFERROR(VLOOKUP(A959,'[1]Sales Order'!A:N,14,FALSE),"Not Specified")</f>
        <v>Poland</v>
      </c>
      <c r="Q959" t="str">
        <f>VLOOKUP(VLOOKUP(B959,[1]Product!A:C,3,FALSE),[1]Supplier!A:B,2,FALSE)</f>
        <v>Supplier SWRXU</v>
      </c>
      <c r="R959" t="str">
        <f>VLOOKUP(VLOOKUP(B959,[1]Product!A:C,3,FALSE),[1]Supplier!A:I,9,FALSE)</f>
        <v>UK</v>
      </c>
      <c r="S959" t="str">
        <f>IFERROR(IF(VLOOKUP(A959,'[1]Sales Order'!A:H,8,FALSE)&gt;100,"High Freight","Low Freight"),"Not Specified")</f>
        <v>Low Freight</v>
      </c>
      <c r="T959">
        <f t="shared" si="29"/>
        <v>108</v>
      </c>
    </row>
    <row r="960" spans="1:20">
      <c r="A960" s="1">
        <v>10611</v>
      </c>
      <c r="B960" s="2">
        <v>2</v>
      </c>
      <c r="C960" s="2">
        <v>19</v>
      </c>
      <c r="D960" s="2">
        <v>10</v>
      </c>
      <c r="E960" s="3">
        <v>0</v>
      </c>
      <c r="F960" s="2" t="str">
        <f>IFERROR(VLOOKUP(VLOOKUP(A960,'[1]Sales Order'!A:B,2,FALSE),[1]Customer!A:C,3,FALSE),"Not Specified")</f>
        <v>Conn, Steve</v>
      </c>
      <c r="G960" s="2" t="str">
        <f t="shared" si="28"/>
        <v>Conn Steve</v>
      </c>
      <c r="H960" s="8" t="str">
        <f>IFERROR(VLOOKUP(VLOOKUP(A960,'[1]Sales Order'!A:C,3,FALSE),[1]Employee!A:E,5,FALSE)&amp;" "&amp;VLOOKUP(VLOOKUP(A960,'[1]Sales Order'!A:C,3,FALSE),[1]Employee!A:C,3,FALSE)&amp;" "&amp;VLOOKUP(VLOOKUP(A960,'[1]Sales Order'!A:C,3,FALSE),[1]Employee!A:B,2,FALSE),"Not Specified")</f>
        <v>Mr. Paul Suurs</v>
      </c>
      <c r="I960">
        <f>IFERROR(VLOOKUP(VLOOKUP(A960,'[1]Sales Order'!A:C,3,FALSE),[1]Employee!A:J,10,FALSE),"Not Specified")</f>
        <v>0</v>
      </c>
      <c r="J960" t="str">
        <f>VLOOKUP(B960,[1]Product!A:B,2,FALSE)</f>
        <v>Product RECZE</v>
      </c>
      <c r="K960" t="str">
        <f>VLOOKUP(VLOOKUP(B960,[1]Product!A:D,4,FALSE),[1]Category!A:B,2,FALSE)</f>
        <v>Beverages</v>
      </c>
      <c r="L960" s="10">
        <f>IFERROR(VLOOKUP(A960,'[1]Sales Order'!A:D,4,FALSE),"")</f>
        <v>39288</v>
      </c>
      <c r="M960" s="10">
        <f>IFERROR(VLOOKUP(A960,'[1]Sales Order'!A:F,6,FALSE),"")</f>
        <v>39295</v>
      </c>
      <c r="N960" t="str">
        <f>IFERROR(VLOOKUP(VLOOKUP(A960,'[1]Sales Order'!A:G,7,FALSE),[1]Shipper!A:B,2,FALSE),"Not Specified")</f>
        <v>Shipper ETYNR</v>
      </c>
      <c r="O960" t="str">
        <f>IFERROR(VLOOKUP(A960,'[1]Sales Order'!A:I,9,FALSE),"Not Specified")</f>
        <v>Ship to 91-B</v>
      </c>
      <c r="P960" t="str">
        <f>IFERROR(VLOOKUP(A960,'[1]Sales Order'!A:N,14,FALSE),"Not Specified")</f>
        <v>Poland</v>
      </c>
      <c r="Q960" t="str">
        <f>VLOOKUP(VLOOKUP(B960,[1]Product!A:C,3,FALSE),[1]Supplier!A:B,2,FALSE)</f>
        <v>Supplier SWRXU</v>
      </c>
      <c r="R960" t="str">
        <f>VLOOKUP(VLOOKUP(B960,[1]Product!A:C,3,FALSE),[1]Supplier!A:I,9,FALSE)</f>
        <v>UK</v>
      </c>
      <c r="S960" t="str">
        <f>IFERROR(IF(VLOOKUP(A960,'[1]Sales Order'!A:H,8,FALSE)&gt;100,"High Freight","Low Freight"),"Not Specified")</f>
        <v>Low Freight</v>
      </c>
      <c r="T960">
        <f t="shared" si="29"/>
        <v>190</v>
      </c>
    </row>
    <row r="961" spans="1:20">
      <c r="A961" s="1">
        <v>10611</v>
      </c>
      <c r="B961" s="2">
        <v>60</v>
      </c>
      <c r="C961" s="2">
        <v>34</v>
      </c>
      <c r="D961" s="2">
        <v>15</v>
      </c>
      <c r="E961" s="3">
        <v>0</v>
      </c>
      <c r="F961" s="2" t="str">
        <f>IFERROR(VLOOKUP(VLOOKUP(A961,'[1]Sales Order'!A:B,2,FALSE),[1]Customer!A:C,3,FALSE),"Not Specified")</f>
        <v>Conn, Steve</v>
      </c>
      <c r="G961" s="2" t="str">
        <f t="shared" si="28"/>
        <v>Conn Steve</v>
      </c>
      <c r="H961" s="8" t="str">
        <f>IFERROR(VLOOKUP(VLOOKUP(A961,'[1]Sales Order'!A:C,3,FALSE),[1]Employee!A:E,5,FALSE)&amp;" "&amp;VLOOKUP(VLOOKUP(A961,'[1]Sales Order'!A:C,3,FALSE),[1]Employee!A:C,3,FALSE)&amp;" "&amp;VLOOKUP(VLOOKUP(A961,'[1]Sales Order'!A:C,3,FALSE),[1]Employee!A:B,2,FALSE),"Not Specified")</f>
        <v>Mr. Paul Suurs</v>
      </c>
      <c r="I961">
        <f>IFERROR(VLOOKUP(VLOOKUP(A961,'[1]Sales Order'!A:C,3,FALSE),[1]Employee!A:J,10,FALSE),"Not Specified")</f>
        <v>0</v>
      </c>
      <c r="J961" t="str">
        <f>VLOOKUP(B961,[1]Product!A:B,2,FALSE)</f>
        <v>Product WHBYK</v>
      </c>
      <c r="K961" t="str">
        <f>VLOOKUP(VLOOKUP(B961,[1]Product!A:D,4,FALSE),[1]Category!A:B,2,FALSE)</f>
        <v>Dairy Product</v>
      </c>
      <c r="L961" s="10">
        <f>IFERROR(VLOOKUP(A961,'[1]Sales Order'!A:D,4,FALSE),"")</f>
        <v>39288</v>
      </c>
      <c r="M961" s="10">
        <f>IFERROR(VLOOKUP(A961,'[1]Sales Order'!A:F,6,FALSE),"")</f>
        <v>39295</v>
      </c>
      <c r="N961" t="str">
        <f>IFERROR(VLOOKUP(VLOOKUP(A961,'[1]Sales Order'!A:G,7,FALSE),[1]Shipper!A:B,2,FALSE),"Not Specified")</f>
        <v>Shipper ETYNR</v>
      </c>
      <c r="O961" t="str">
        <f>IFERROR(VLOOKUP(A961,'[1]Sales Order'!A:I,9,FALSE),"Not Specified")</f>
        <v>Ship to 91-B</v>
      </c>
      <c r="P961" t="str">
        <f>IFERROR(VLOOKUP(A961,'[1]Sales Order'!A:N,14,FALSE),"Not Specified")</f>
        <v>Poland</v>
      </c>
      <c r="Q961" t="str">
        <f>VLOOKUP(VLOOKUP(B961,[1]Product!A:C,3,FALSE),[1]Supplier!A:B,2,FALSE)</f>
        <v>Supplier OAVQT</v>
      </c>
      <c r="R961" t="str">
        <f>VLOOKUP(VLOOKUP(B961,[1]Product!A:C,3,FALSE),[1]Supplier!A:I,9,FALSE)</f>
        <v>France</v>
      </c>
      <c r="S961" t="str">
        <f>IFERROR(IF(VLOOKUP(A961,'[1]Sales Order'!A:H,8,FALSE)&gt;100,"High Freight","Low Freight"),"Not Specified")</f>
        <v>Low Freight</v>
      </c>
      <c r="T961">
        <f t="shared" si="29"/>
        <v>510</v>
      </c>
    </row>
    <row r="962" spans="1:20">
      <c r="A962" s="1">
        <v>10612</v>
      </c>
      <c r="B962" s="2">
        <v>10</v>
      </c>
      <c r="C962" s="2">
        <v>31</v>
      </c>
      <c r="D962" s="2">
        <v>70</v>
      </c>
      <c r="E962" s="3">
        <v>0</v>
      </c>
      <c r="F962" s="2" t="str">
        <f>IFERROR(VLOOKUP(VLOOKUP(A962,'[1]Sales Order'!A:B,2,FALSE),[1]Customer!A:C,3,FALSE),"Not Specified")</f>
        <v>Navarro, Tomás</v>
      </c>
      <c r="G962" s="2" t="str">
        <f t="shared" si="28"/>
        <v>Navarro Tomás</v>
      </c>
      <c r="H962" s="8" t="str">
        <f>IFERROR(VLOOKUP(VLOOKUP(A962,'[1]Sales Order'!A:C,3,FALSE),[1]Employee!A:E,5,FALSE)&amp;" "&amp;VLOOKUP(VLOOKUP(A962,'[1]Sales Order'!A:C,3,FALSE),[1]Employee!A:C,3,FALSE)&amp;" "&amp;VLOOKUP(VLOOKUP(A962,'[1]Sales Order'!A:C,3,FALSE),[1]Employee!A:B,2,FALSE),"Not Specified")</f>
        <v>Ms. Sara Davis</v>
      </c>
      <c r="I962" t="str">
        <f>IFERROR(VLOOKUP(VLOOKUP(A962,'[1]Sales Order'!A:C,3,FALSE),[1]Employee!A:J,10,FALSE),"Not Specified")</f>
        <v>WA</v>
      </c>
      <c r="J962" t="str">
        <f>VLOOKUP(B962,[1]Product!A:B,2,FALSE)</f>
        <v>Product YHXGE</v>
      </c>
      <c r="K962" t="str">
        <f>VLOOKUP(VLOOKUP(B962,[1]Product!A:D,4,FALSE),[1]Category!A:B,2,FALSE)</f>
        <v>Seafood</v>
      </c>
      <c r="L962" s="10">
        <f>IFERROR(VLOOKUP(A962,'[1]Sales Order'!A:D,4,FALSE),"")</f>
        <v>39291</v>
      </c>
      <c r="M962" s="10">
        <f>IFERROR(VLOOKUP(A962,'[1]Sales Order'!A:F,6,FALSE),"")</f>
        <v>39295</v>
      </c>
      <c r="N962" t="str">
        <f>IFERROR(VLOOKUP(VLOOKUP(A962,'[1]Sales Order'!A:G,7,FALSE),[1]Shipper!A:B,2,FALSE),"Not Specified")</f>
        <v>Shipper ETYNR</v>
      </c>
      <c r="O962" t="str">
        <f>IFERROR(VLOOKUP(A962,'[1]Sales Order'!A:I,9,FALSE),"Not Specified")</f>
        <v>Ship to 71-A</v>
      </c>
      <c r="P962" t="str">
        <f>IFERROR(VLOOKUP(A962,'[1]Sales Order'!A:N,14,FALSE),"Not Specified")</f>
        <v>USA</v>
      </c>
      <c r="Q962" t="str">
        <f>VLOOKUP(VLOOKUP(B962,[1]Product!A:C,3,FALSE),[1]Supplier!A:B,2,FALSE)</f>
        <v>Supplier QOVFD</v>
      </c>
      <c r="R962" t="str">
        <f>VLOOKUP(VLOOKUP(B962,[1]Product!A:C,3,FALSE),[1]Supplier!A:I,9,FALSE)</f>
        <v>Japan</v>
      </c>
      <c r="S962" t="str">
        <f>IFERROR(IF(VLOOKUP(A962,'[1]Sales Order'!A:H,8,FALSE)&gt;100,"High Freight","Low Freight"),"Not Specified")</f>
        <v>High Freight</v>
      </c>
      <c r="T962">
        <f t="shared" si="29"/>
        <v>2170</v>
      </c>
    </row>
    <row r="963" spans="1:20">
      <c r="A963" s="1">
        <v>10612</v>
      </c>
      <c r="B963" s="2">
        <v>36</v>
      </c>
      <c r="C963" s="2">
        <v>19</v>
      </c>
      <c r="D963" s="2">
        <v>55</v>
      </c>
      <c r="E963" s="3">
        <v>0</v>
      </c>
      <c r="F963" s="2" t="str">
        <f>IFERROR(VLOOKUP(VLOOKUP(A963,'[1]Sales Order'!A:B,2,FALSE),[1]Customer!A:C,3,FALSE),"Not Specified")</f>
        <v>Navarro, Tomás</v>
      </c>
      <c r="G963" s="2" t="str">
        <f t="shared" ref="G963:G1026" si="30">SUBSTITUTE(F963,",","",1)</f>
        <v>Navarro Tomás</v>
      </c>
      <c r="H963" s="8" t="str">
        <f>IFERROR(VLOOKUP(VLOOKUP(A963,'[1]Sales Order'!A:C,3,FALSE),[1]Employee!A:E,5,FALSE)&amp;" "&amp;VLOOKUP(VLOOKUP(A963,'[1]Sales Order'!A:C,3,FALSE),[1]Employee!A:C,3,FALSE)&amp;" "&amp;VLOOKUP(VLOOKUP(A963,'[1]Sales Order'!A:C,3,FALSE),[1]Employee!A:B,2,FALSE),"Not Specified")</f>
        <v>Ms. Sara Davis</v>
      </c>
      <c r="I963" t="str">
        <f>IFERROR(VLOOKUP(VLOOKUP(A963,'[1]Sales Order'!A:C,3,FALSE),[1]Employee!A:J,10,FALSE),"Not Specified")</f>
        <v>WA</v>
      </c>
      <c r="J963" t="str">
        <f>VLOOKUP(B963,[1]Product!A:B,2,FALSE)</f>
        <v>Product GMKIJ</v>
      </c>
      <c r="K963" t="str">
        <f>VLOOKUP(VLOOKUP(B963,[1]Product!A:D,4,FALSE),[1]Category!A:B,2,FALSE)</f>
        <v>Seafood</v>
      </c>
      <c r="L963" s="10">
        <f>IFERROR(VLOOKUP(A963,'[1]Sales Order'!A:D,4,FALSE),"")</f>
        <v>39291</v>
      </c>
      <c r="M963" s="10">
        <f>IFERROR(VLOOKUP(A963,'[1]Sales Order'!A:F,6,FALSE),"")</f>
        <v>39295</v>
      </c>
      <c r="N963" t="str">
        <f>IFERROR(VLOOKUP(VLOOKUP(A963,'[1]Sales Order'!A:G,7,FALSE),[1]Shipper!A:B,2,FALSE),"Not Specified")</f>
        <v>Shipper ETYNR</v>
      </c>
      <c r="O963" t="str">
        <f>IFERROR(VLOOKUP(A963,'[1]Sales Order'!A:I,9,FALSE),"Not Specified")</f>
        <v>Ship to 71-A</v>
      </c>
      <c r="P963" t="str">
        <f>IFERROR(VLOOKUP(A963,'[1]Sales Order'!A:N,14,FALSE),"Not Specified")</f>
        <v>USA</v>
      </c>
      <c r="Q963" t="str">
        <f>VLOOKUP(VLOOKUP(B963,[1]Product!A:C,3,FALSE),[1]Supplier!A:B,2,FALSE)</f>
        <v>Supplier QZGUF</v>
      </c>
      <c r="R963" t="str">
        <f>VLOOKUP(VLOOKUP(B963,[1]Product!A:C,3,FALSE),[1]Supplier!A:I,9,FALSE)</f>
        <v>Sweden</v>
      </c>
      <c r="S963" t="str">
        <f>IFERROR(IF(VLOOKUP(A963,'[1]Sales Order'!A:H,8,FALSE)&gt;100,"High Freight","Low Freight"),"Not Specified")</f>
        <v>High Freight</v>
      </c>
      <c r="T963">
        <f t="shared" ref="T963:T1026" si="31">C963*D963*(1-E963)</f>
        <v>1045</v>
      </c>
    </row>
    <row r="964" spans="1:20">
      <c r="A964" s="1">
        <v>10612</v>
      </c>
      <c r="B964" s="2">
        <v>49</v>
      </c>
      <c r="C964" s="2">
        <v>20</v>
      </c>
      <c r="D964" s="2">
        <v>18</v>
      </c>
      <c r="E964" s="3">
        <v>0</v>
      </c>
      <c r="F964" s="2" t="str">
        <f>IFERROR(VLOOKUP(VLOOKUP(A964,'[1]Sales Order'!A:B,2,FALSE),[1]Customer!A:C,3,FALSE),"Not Specified")</f>
        <v>Navarro, Tomás</v>
      </c>
      <c r="G964" s="2" t="str">
        <f t="shared" si="30"/>
        <v>Navarro Tomás</v>
      </c>
      <c r="H964" s="8" t="str">
        <f>IFERROR(VLOOKUP(VLOOKUP(A964,'[1]Sales Order'!A:C,3,FALSE),[1]Employee!A:E,5,FALSE)&amp;" "&amp;VLOOKUP(VLOOKUP(A964,'[1]Sales Order'!A:C,3,FALSE),[1]Employee!A:C,3,FALSE)&amp;" "&amp;VLOOKUP(VLOOKUP(A964,'[1]Sales Order'!A:C,3,FALSE),[1]Employee!A:B,2,FALSE),"Not Specified")</f>
        <v>Ms. Sara Davis</v>
      </c>
      <c r="I964" t="str">
        <f>IFERROR(VLOOKUP(VLOOKUP(A964,'[1]Sales Order'!A:C,3,FALSE),[1]Employee!A:J,10,FALSE),"Not Specified")</f>
        <v>WA</v>
      </c>
      <c r="J964" t="str">
        <f>VLOOKUP(B964,[1]Product!A:B,2,FALSE)</f>
        <v>Product FPYPN</v>
      </c>
      <c r="K964" t="str">
        <f>VLOOKUP(VLOOKUP(B964,[1]Product!A:D,4,FALSE),[1]Category!A:B,2,FALSE)</f>
        <v>Confections</v>
      </c>
      <c r="L964" s="10">
        <f>IFERROR(VLOOKUP(A964,'[1]Sales Order'!A:D,4,FALSE),"")</f>
        <v>39291</v>
      </c>
      <c r="M964" s="10">
        <f>IFERROR(VLOOKUP(A964,'[1]Sales Order'!A:F,6,FALSE),"")</f>
        <v>39295</v>
      </c>
      <c r="N964" t="str">
        <f>IFERROR(VLOOKUP(VLOOKUP(A964,'[1]Sales Order'!A:G,7,FALSE),[1]Shipper!A:B,2,FALSE),"Not Specified")</f>
        <v>Shipper ETYNR</v>
      </c>
      <c r="O964" t="str">
        <f>IFERROR(VLOOKUP(A964,'[1]Sales Order'!A:I,9,FALSE),"Not Specified")</f>
        <v>Ship to 71-A</v>
      </c>
      <c r="P964" t="str">
        <f>IFERROR(VLOOKUP(A964,'[1]Sales Order'!A:N,14,FALSE),"Not Specified")</f>
        <v>USA</v>
      </c>
      <c r="Q964" t="str">
        <f>VLOOKUP(VLOOKUP(B964,[1]Product!A:C,3,FALSE),[1]Supplier!A:B,2,FALSE)</f>
        <v>Supplier ELCRN</v>
      </c>
      <c r="R964" t="str">
        <f>VLOOKUP(VLOOKUP(B964,[1]Product!A:C,3,FALSE),[1]Supplier!A:I,9,FALSE)</f>
        <v>Finland</v>
      </c>
      <c r="S964" t="str">
        <f>IFERROR(IF(VLOOKUP(A964,'[1]Sales Order'!A:H,8,FALSE)&gt;100,"High Freight","Low Freight"),"Not Specified")</f>
        <v>High Freight</v>
      </c>
      <c r="T964">
        <f t="shared" si="31"/>
        <v>360</v>
      </c>
    </row>
    <row r="965" spans="1:20">
      <c r="A965" s="1">
        <v>10612</v>
      </c>
      <c r="B965" s="2">
        <v>60</v>
      </c>
      <c r="C965" s="2">
        <v>34</v>
      </c>
      <c r="D965" s="2">
        <v>40</v>
      </c>
      <c r="E965" s="3">
        <v>0</v>
      </c>
      <c r="F965" s="2" t="str">
        <f>IFERROR(VLOOKUP(VLOOKUP(A965,'[1]Sales Order'!A:B,2,FALSE),[1]Customer!A:C,3,FALSE),"Not Specified")</f>
        <v>Navarro, Tomás</v>
      </c>
      <c r="G965" s="2" t="str">
        <f t="shared" si="30"/>
        <v>Navarro Tomás</v>
      </c>
      <c r="H965" s="8" t="str">
        <f>IFERROR(VLOOKUP(VLOOKUP(A965,'[1]Sales Order'!A:C,3,FALSE),[1]Employee!A:E,5,FALSE)&amp;" "&amp;VLOOKUP(VLOOKUP(A965,'[1]Sales Order'!A:C,3,FALSE),[1]Employee!A:C,3,FALSE)&amp;" "&amp;VLOOKUP(VLOOKUP(A965,'[1]Sales Order'!A:C,3,FALSE),[1]Employee!A:B,2,FALSE),"Not Specified")</f>
        <v>Ms. Sara Davis</v>
      </c>
      <c r="I965" t="str">
        <f>IFERROR(VLOOKUP(VLOOKUP(A965,'[1]Sales Order'!A:C,3,FALSE),[1]Employee!A:J,10,FALSE),"Not Specified")</f>
        <v>WA</v>
      </c>
      <c r="J965" t="str">
        <f>VLOOKUP(B965,[1]Product!A:B,2,FALSE)</f>
        <v>Product WHBYK</v>
      </c>
      <c r="K965" t="str">
        <f>VLOOKUP(VLOOKUP(B965,[1]Product!A:D,4,FALSE),[1]Category!A:B,2,FALSE)</f>
        <v>Dairy Product</v>
      </c>
      <c r="L965" s="10">
        <f>IFERROR(VLOOKUP(A965,'[1]Sales Order'!A:D,4,FALSE),"")</f>
        <v>39291</v>
      </c>
      <c r="M965" s="10">
        <f>IFERROR(VLOOKUP(A965,'[1]Sales Order'!A:F,6,FALSE),"")</f>
        <v>39295</v>
      </c>
      <c r="N965" t="str">
        <f>IFERROR(VLOOKUP(VLOOKUP(A965,'[1]Sales Order'!A:G,7,FALSE),[1]Shipper!A:B,2,FALSE),"Not Specified")</f>
        <v>Shipper ETYNR</v>
      </c>
      <c r="O965" t="str">
        <f>IFERROR(VLOOKUP(A965,'[1]Sales Order'!A:I,9,FALSE),"Not Specified")</f>
        <v>Ship to 71-A</v>
      </c>
      <c r="P965" t="str">
        <f>IFERROR(VLOOKUP(A965,'[1]Sales Order'!A:N,14,FALSE),"Not Specified")</f>
        <v>USA</v>
      </c>
      <c r="Q965" t="str">
        <f>VLOOKUP(VLOOKUP(B965,[1]Product!A:C,3,FALSE),[1]Supplier!A:B,2,FALSE)</f>
        <v>Supplier OAVQT</v>
      </c>
      <c r="R965" t="str">
        <f>VLOOKUP(VLOOKUP(B965,[1]Product!A:C,3,FALSE),[1]Supplier!A:I,9,FALSE)</f>
        <v>France</v>
      </c>
      <c r="S965" t="str">
        <f>IFERROR(IF(VLOOKUP(A965,'[1]Sales Order'!A:H,8,FALSE)&gt;100,"High Freight","Low Freight"),"Not Specified")</f>
        <v>High Freight</v>
      </c>
      <c r="T965">
        <f t="shared" si="31"/>
        <v>1360</v>
      </c>
    </row>
    <row r="966" spans="1:20">
      <c r="A966" s="1">
        <v>10612</v>
      </c>
      <c r="B966" s="2">
        <v>76</v>
      </c>
      <c r="C966" s="2">
        <v>18</v>
      </c>
      <c r="D966" s="2">
        <v>80</v>
      </c>
      <c r="E966" s="3">
        <v>0</v>
      </c>
      <c r="F966" s="2" t="str">
        <f>IFERROR(VLOOKUP(VLOOKUP(A966,'[1]Sales Order'!A:B,2,FALSE),[1]Customer!A:C,3,FALSE),"Not Specified")</f>
        <v>Navarro, Tomás</v>
      </c>
      <c r="G966" s="2" t="str">
        <f t="shared" si="30"/>
        <v>Navarro Tomás</v>
      </c>
      <c r="H966" s="8" t="str">
        <f>IFERROR(VLOOKUP(VLOOKUP(A966,'[1]Sales Order'!A:C,3,FALSE),[1]Employee!A:E,5,FALSE)&amp;" "&amp;VLOOKUP(VLOOKUP(A966,'[1]Sales Order'!A:C,3,FALSE),[1]Employee!A:C,3,FALSE)&amp;" "&amp;VLOOKUP(VLOOKUP(A966,'[1]Sales Order'!A:C,3,FALSE),[1]Employee!A:B,2,FALSE),"Not Specified")</f>
        <v>Ms. Sara Davis</v>
      </c>
      <c r="I966" t="str">
        <f>IFERROR(VLOOKUP(VLOOKUP(A966,'[1]Sales Order'!A:C,3,FALSE),[1]Employee!A:J,10,FALSE),"Not Specified")</f>
        <v>WA</v>
      </c>
      <c r="J966" t="str">
        <f>VLOOKUP(B966,[1]Product!A:B,2,FALSE)</f>
        <v>Product JYGFE</v>
      </c>
      <c r="K966" t="str">
        <f>VLOOKUP(VLOOKUP(B966,[1]Product!A:D,4,FALSE),[1]Category!A:B,2,FALSE)</f>
        <v>Beverages</v>
      </c>
      <c r="L966" s="10">
        <f>IFERROR(VLOOKUP(A966,'[1]Sales Order'!A:D,4,FALSE),"")</f>
        <v>39291</v>
      </c>
      <c r="M966" s="10">
        <f>IFERROR(VLOOKUP(A966,'[1]Sales Order'!A:F,6,FALSE),"")</f>
        <v>39295</v>
      </c>
      <c r="N966" t="str">
        <f>IFERROR(VLOOKUP(VLOOKUP(A966,'[1]Sales Order'!A:G,7,FALSE),[1]Shipper!A:B,2,FALSE),"Not Specified")</f>
        <v>Shipper ETYNR</v>
      </c>
      <c r="O966" t="str">
        <f>IFERROR(VLOOKUP(A966,'[1]Sales Order'!A:I,9,FALSE),"Not Specified")</f>
        <v>Ship to 71-A</v>
      </c>
      <c r="P966" t="str">
        <f>IFERROR(VLOOKUP(A966,'[1]Sales Order'!A:N,14,FALSE),"Not Specified")</f>
        <v>USA</v>
      </c>
      <c r="Q966" t="str">
        <f>VLOOKUP(VLOOKUP(B966,[1]Product!A:C,3,FALSE),[1]Supplier!A:B,2,FALSE)</f>
        <v>Supplier ELCRN</v>
      </c>
      <c r="R966" t="str">
        <f>VLOOKUP(VLOOKUP(B966,[1]Product!A:C,3,FALSE),[1]Supplier!A:I,9,FALSE)</f>
        <v>Finland</v>
      </c>
      <c r="S966" t="str">
        <f>IFERROR(IF(VLOOKUP(A966,'[1]Sales Order'!A:H,8,FALSE)&gt;100,"High Freight","Low Freight"),"Not Specified")</f>
        <v>High Freight</v>
      </c>
      <c r="T966">
        <f t="shared" si="31"/>
        <v>1440</v>
      </c>
    </row>
    <row r="967" spans="1:20">
      <c r="A967" s="1">
        <v>10613</v>
      </c>
      <c r="B967" s="2">
        <v>13</v>
      </c>
      <c r="C967" s="2">
        <v>6</v>
      </c>
      <c r="D967" s="2">
        <v>8</v>
      </c>
      <c r="E967" s="3">
        <v>0.1</v>
      </c>
      <c r="F967" s="2" t="str">
        <f>IFERROR(VLOOKUP(VLOOKUP(A967,'[1]Sales Order'!A:B,2,FALSE),[1]Customer!A:C,3,FALSE),"Not Specified")</f>
        <v>Langohr, Kris</v>
      </c>
      <c r="G967" s="2" t="str">
        <f t="shared" si="30"/>
        <v>Langohr Kris</v>
      </c>
      <c r="H967" s="8" t="str">
        <f>IFERROR(VLOOKUP(VLOOKUP(A967,'[1]Sales Order'!A:C,3,FALSE),[1]Employee!A:E,5,FALSE)&amp;" "&amp;VLOOKUP(VLOOKUP(A967,'[1]Sales Order'!A:C,3,FALSE),[1]Employee!A:C,3,FALSE)&amp;" "&amp;VLOOKUP(VLOOKUP(A967,'[1]Sales Order'!A:C,3,FALSE),[1]Employee!A:B,2,FALSE),"Not Specified")</f>
        <v>Mrs. Yael Peled</v>
      </c>
      <c r="I967" t="str">
        <f>IFERROR(VLOOKUP(VLOOKUP(A967,'[1]Sales Order'!A:C,3,FALSE),[1]Employee!A:J,10,FALSE),"Not Specified")</f>
        <v>WA</v>
      </c>
      <c r="J967" t="str">
        <f>VLOOKUP(B967,[1]Product!A:B,2,FALSE)</f>
        <v>Product POXFU</v>
      </c>
      <c r="K967" t="str">
        <f>VLOOKUP(VLOOKUP(B967,[1]Product!A:D,4,FALSE),[1]Category!A:B,2,FALSE)</f>
        <v>Seafood</v>
      </c>
      <c r="L967" s="10">
        <f>IFERROR(VLOOKUP(A967,'[1]Sales Order'!A:D,4,FALSE),"")</f>
        <v>39292</v>
      </c>
      <c r="M967" s="10">
        <f>IFERROR(VLOOKUP(A967,'[1]Sales Order'!A:F,6,FALSE),"")</f>
        <v>39295</v>
      </c>
      <c r="N967" t="str">
        <f>IFERROR(VLOOKUP(VLOOKUP(A967,'[1]Sales Order'!A:G,7,FALSE),[1]Shipper!A:B,2,FALSE),"Not Specified")</f>
        <v>Shipper ETYNR</v>
      </c>
      <c r="O967" t="str">
        <f>IFERROR(VLOOKUP(A967,'[1]Sales Order'!A:I,9,FALSE),"Not Specified")</f>
        <v>Destination JYDLM</v>
      </c>
      <c r="P967" t="str">
        <f>IFERROR(VLOOKUP(A967,'[1]Sales Order'!A:N,14,FALSE),"Not Specified")</f>
        <v>Venezuela</v>
      </c>
      <c r="Q967" t="str">
        <f>VLOOKUP(VLOOKUP(B967,[1]Product!A:C,3,FALSE),[1]Supplier!A:B,2,FALSE)</f>
        <v>Supplier QWUSF</v>
      </c>
      <c r="R967" t="str">
        <f>VLOOKUP(VLOOKUP(B967,[1]Product!A:C,3,FALSE),[1]Supplier!A:I,9,FALSE)</f>
        <v>Japan</v>
      </c>
      <c r="S967" t="str">
        <f>IFERROR(IF(VLOOKUP(A967,'[1]Sales Order'!A:H,8,FALSE)&gt;100,"High Freight","Low Freight"),"Not Specified")</f>
        <v>Low Freight</v>
      </c>
      <c r="T967">
        <f t="shared" si="31"/>
        <v>43.2</v>
      </c>
    </row>
    <row r="968" spans="1:20">
      <c r="A968" s="1">
        <v>10613</v>
      </c>
      <c r="B968" s="2">
        <v>75</v>
      </c>
      <c r="C968" s="2">
        <v>7.75</v>
      </c>
      <c r="D968" s="2">
        <v>40</v>
      </c>
      <c r="E968" s="3">
        <v>0</v>
      </c>
      <c r="F968" s="2" t="str">
        <f>IFERROR(VLOOKUP(VLOOKUP(A968,'[1]Sales Order'!A:B,2,FALSE),[1]Customer!A:C,3,FALSE),"Not Specified")</f>
        <v>Langohr, Kris</v>
      </c>
      <c r="G968" s="2" t="str">
        <f t="shared" si="30"/>
        <v>Langohr Kris</v>
      </c>
      <c r="H968" s="8" t="str">
        <f>IFERROR(VLOOKUP(VLOOKUP(A968,'[1]Sales Order'!A:C,3,FALSE),[1]Employee!A:E,5,FALSE)&amp;" "&amp;VLOOKUP(VLOOKUP(A968,'[1]Sales Order'!A:C,3,FALSE),[1]Employee!A:C,3,FALSE)&amp;" "&amp;VLOOKUP(VLOOKUP(A968,'[1]Sales Order'!A:C,3,FALSE),[1]Employee!A:B,2,FALSE),"Not Specified")</f>
        <v>Mrs. Yael Peled</v>
      </c>
      <c r="I968" t="str">
        <f>IFERROR(VLOOKUP(VLOOKUP(A968,'[1]Sales Order'!A:C,3,FALSE),[1]Employee!A:J,10,FALSE),"Not Specified")</f>
        <v>WA</v>
      </c>
      <c r="J968" t="str">
        <f>VLOOKUP(B968,[1]Product!A:B,2,FALSE)</f>
        <v>Product BWRLG</v>
      </c>
      <c r="K968" t="str">
        <f>VLOOKUP(VLOOKUP(B968,[1]Product!A:D,4,FALSE),[1]Category!A:B,2,FALSE)</f>
        <v>Beverages</v>
      </c>
      <c r="L968" s="10">
        <f>IFERROR(VLOOKUP(A968,'[1]Sales Order'!A:D,4,FALSE),"")</f>
        <v>39292</v>
      </c>
      <c r="M968" s="10">
        <f>IFERROR(VLOOKUP(A968,'[1]Sales Order'!A:F,6,FALSE),"")</f>
        <v>39295</v>
      </c>
      <c r="N968" t="str">
        <f>IFERROR(VLOOKUP(VLOOKUP(A968,'[1]Sales Order'!A:G,7,FALSE),[1]Shipper!A:B,2,FALSE),"Not Specified")</f>
        <v>Shipper ETYNR</v>
      </c>
      <c r="O968" t="str">
        <f>IFERROR(VLOOKUP(A968,'[1]Sales Order'!A:I,9,FALSE),"Not Specified")</f>
        <v>Destination JYDLM</v>
      </c>
      <c r="P968" t="str">
        <f>IFERROR(VLOOKUP(A968,'[1]Sales Order'!A:N,14,FALSE),"Not Specified")</f>
        <v>Venezuela</v>
      </c>
      <c r="Q968" t="str">
        <f>VLOOKUP(VLOOKUP(B968,[1]Product!A:C,3,FALSE),[1]Supplier!A:B,2,FALSE)</f>
        <v>Supplier SVIYA</v>
      </c>
      <c r="R968" t="str">
        <f>VLOOKUP(VLOOKUP(B968,[1]Product!A:C,3,FALSE),[1]Supplier!A:I,9,FALSE)</f>
        <v>Germany</v>
      </c>
      <c r="S968" t="str">
        <f>IFERROR(IF(VLOOKUP(A968,'[1]Sales Order'!A:H,8,FALSE)&gt;100,"High Freight","Low Freight"),"Not Specified")</f>
        <v>Low Freight</v>
      </c>
      <c r="T968">
        <f t="shared" si="31"/>
        <v>310</v>
      </c>
    </row>
    <row r="969" spans="1:20">
      <c r="A969" s="1">
        <v>10614</v>
      </c>
      <c r="B969" s="2">
        <v>11</v>
      </c>
      <c r="C969" s="2">
        <v>21</v>
      </c>
      <c r="D969" s="2">
        <v>14</v>
      </c>
      <c r="E969" s="3">
        <v>0</v>
      </c>
      <c r="F969" s="2" t="str">
        <f>IFERROR(VLOOKUP(VLOOKUP(A969,'[1]Sales Order'!A:B,2,FALSE),[1]Customer!A:C,3,FALSE),"Not Specified")</f>
        <v>Poland, Carole</v>
      </c>
      <c r="G969" s="2" t="str">
        <f t="shared" si="30"/>
        <v>Poland Carole</v>
      </c>
      <c r="H969" s="8" t="str">
        <f>IFERROR(VLOOKUP(VLOOKUP(A969,'[1]Sales Order'!A:C,3,FALSE),[1]Employee!A:E,5,FALSE)&amp;" "&amp;VLOOKUP(VLOOKUP(A969,'[1]Sales Order'!A:C,3,FALSE),[1]Employee!A:C,3,FALSE)&amp;" "&amp;VLOOKUP(VLOOKUP(A969,'[1]Sales Order'!A:C,3,FALSE),[1]Employee!A:B,2,FALSE),"Not Specified")</f>
        <v>Ms. Maria Cameron</v>
      </c>
      <c r="I969" t="str">
        <f>IFERROR(VLOOKUP(VLOOKUP(A969,'[1]Sales Order'!A:C,3,FALSE),[1]Employee!A:J,10,FALSE),"Not Specified")</f>
        <v>WA</v>
      </c>
      <c r="J969" t="str">
        <f>VLOOKUP(B969,[1]Product!A:B,2,FALSE)</f>
        <v>Product QMVUN</v>
      </c>
      <c r="K969" t="str">
        <f>VLOOKUP(VLOOKUP(B969,[1]Product!A:D,4,FALSE),[1]Category!A:B,2,FALSE)</f>
        <v>Dairy Product</v>
      </c>
      <c r="L969" s="10">
        <f>IFERROR(VLOOKUP(A969,'[1]Sales Order'!A:D,4,FALSE),"")</f>
        <v>39292</v>
      </c>
      <c r="M969" s="10">
        <f>IFERROR(VLOOKUP(A969,'[1]Sales Order'!A:F,6,FALSE),"")</f>
        <v>39295</v>
      </c>
      <c r="N969" t="str">
        <f>IFERROR(VLOOKUP(VLOOKUP(A969,'[1]Sales Order'!A:G,7,FALSE),[1]Shipper!A:B,2,FALSE),"Not Specified")</f>
        <v>Shipper ZHISN</v>
      </c>
      <c r="O969" t="str">
        <f>IFERROR(VLOOKUP(A969,'[1]Sales Order'!A:I,9,FALSE),"Not Specified")</f>
        <v>Ship to 6-A</v>
      </c>
      <c r="P969" t="str">
        <f>IFERROR(VLOOKUP(A969,'[1]Sales Order'!A:N,14,FALSE),"Not Specified")</f>
        <v>Germany</v>
      </c>
      <c r="Q969" t="str">
        <f>VLOOKUP(VLOOKUP(B969,[1]Product!A:C,3,FALSE),[1]Supplier!A:B,2,FALSE)</f>
        <v>Supplier EQPNC</v>
      </c>
      <c r="R969" t="str">
        <f>VLOOKUP(VLOOKUP(B969,[1]Product!A:C,3,FALSE),[1]Supplier!A:I,9,FALSE)</f>
        <v>Spain</v>
      </c>
      <c r="S969" t="str">
        <f>IFERROR(IF(VLOOKUP(A969,'[1]Sales Order'!A:H,8,FALSE)&gt;100,"High Freight","Low Freight"),"Not Specified")</f>
        <v>Low Freight</v>
      </c>
      <c r="T969">
        <f t="shared" si="31"/>
        <v>294</v>
      </c>
    </row>
    <row r="970" spans="1:20">
      <c r="A970" s="1">
        <v>10614</v>
      </c>
      <c r="B970" s="2">
        <v>21</v>
      </c>
      <c r="C970" s="2">
        <v>10</v>
      </c>
      <c r="D970" s="2">
        <v>8</v>
      </c>
      <c r="E970" s="3">
        <v>0</v>
      </c>
      <c r="F970" s="2" t="str">
        <f>IFERROR(VLOOKUP(VLOOKUP(A970,'[1]Sales Order'!A:B,2,FALSE),[1]Customer!A:C,3,FALSE),"Not Specified")</f>
        <v>Poland, Carole</v>
      </c>
      <c r="G970" s="2" t="str">
        <f t="shared" si="30"/>
        <v>Poland Carole</v>
      </c>
      <c r="H970" s="8" t="str">
        <f>IFERROR(VLOOKUP(VLOOKUP(A970,'[1]Sales Order'!A:C,3,FALSE),[1]Employee!A:E,5,FALSE)&amp;" "&amp;VLOOKUP(VLOOKUP(A970,'[1]Sales Order'!A:C,3,FALSE),[1]Employee!A:C,3,FALSE)&amp;" "&amp;VLOOKUP(VLOOKUP(A970,'[1]Sales Order'!A:C,3,FALSE),[1]Employee!A:B,2,FALSE),"Not Specified")</f>
        <v>Ms. Maria Cameron</v>
      </c>
      <c r="I970" t="str">
        <f>IFERROR(VLOOKUP(VLOOKUP(A970,'[1]Sales Order'!A:C,3,FALSE),[1]Employee!A:J,10,FALSE),"Not Specified")</f>
        <v>WA</v>
      </c>
      <c r="J970" t="str">
        <f>VLOOKUP(B970,[1]Product!A:B,2,FALSE)</f>
        <v>Product VJZZH</v>
      </c>
      <c r="K970" t="str">
        <f>VLOOKUP(VLOOKUP(B970,[1]Product!A:D,4,FALSE),[1]Category!A:B,2,FALSE)</f>
        <v>Confections</v>
      </c>
      <c r="L970" s="10">
        <f>IFERROR(VLOOKUP(A970,'[1]Sales Order'!A:D,4,FALSE),"")</f>
        <v>39292</v>
      </c>
      <c r="M970" s="10">
        <f>IFERROR(VLOOKUP(A970,'[1]Sales Order'!A:F,6,FALSE),"")</f>
        <v>39295</v>
      </c>
      <c r="N970" t="str">
        <f>IFERROR(VLOOKUP(VLOOKUP(A970,'[1]Sales Order'!A:G,7,FALSE),[1]Shipper!A:B,2,FALSE),"Not Specified")</f>
        <v>Shipper ZHISN</v>
      </c>
      <c r="O970" t="str">
        <f>IFERROR(VLOOKUP(A970,'[1]Sales Order'!A:I,9,FALSE),"Not Specified")</f>
        <v>Ship to 6-A</v>
      </c>
      <c r="P970" t="str">
        <f>IFERROR(VLOOKUP(A970,'[1]Sales Order'!A:N,14,FALSE),"Not Specified")</f>
        <v>Germany</v>
      </c>
      <c r="Q970" t="str">
        <f>VLOOKUP(VLOOKUP(B970,[1]Product!A:C,3,FALSE),[1]Supplier!A:B,2,FALSE)</f>
        <v>Supplier BWGYE</v>
      </c>
      <c r="R970" t="str">
        <f>VLOOKUP(VLOOKUP(B970,[1]Product!A:C,3,FALSE),[1]Supplier!A:I,9,FALSE)</f>
        <v>UK</v>
      </c>
      <c r="S970" t="str">
        <f>IFERROR(IF(VLOOKUP(A970,'[1]Sales Order'!A:H,8,FALSE)&gt;100,"High Freight","Low Freight"),"Not Specified")</f>
        <v>Low Freight</v>
      </c>
      <c r="T970">
        <f t="shared" si="31"/>
        <v>80</v>
      </c>
    </row>
    <row r="971" spans="1:20">
      <c r="A971" s="1">
        <v>10614</v>
      </c>
      <c r="B971" s="2">
        <v>39</v>
      </c>
      <c r="C971" s="2">
        <v>18</v>
      </c>
      <c r="D971" s="2">
        <v>5</v>
      </c>
      <c r="E971" s="3">
        <v>0</v>
      </c>
      <c r="F971" s="2" t="str">
        <f>IFERROR(VLOOKUP(VLOOKUP(A971,'[1]Sales Order'!A:B,2,FALSE),[1]Customer!A:C,3,FALSE),"Not Specified")</f>
        <v>Poland, Carole</v>
      </c>
      <c r="G971" s="2" t="str">
        <f t="shared" si="30"/>
        <v>Poland Carole</v>
      </c>
      <c r="H971" s="8" t="str">
        <f>IFERROR(VLOOKUP(VLOOKUP(A971,'[1]Sales Order'!A:C,3,FALSE),[1]Employee!A:E,5,FALSE)&amp;" "&amp;VLOOKUP(VLOOKUP(A971,'[1]Sales Order'!A:C,3,FALSE),[1]Employee!A:C,3,FALSE)&amp;" "&amp;VLOOKUP(VLOOKUP(A971,'[1]Sales Order'!A:C,3,FALSE),[1]Employee!A:B,2,FALSE),"Not Specified")</f>
        <v>Ms. Maria Cameron</v>
      </c>
      <c r="I971" t="str">
        <f>IFERROR(VLOOKUP(VLOOKUP(A971,'[1]Sales Order'!A:C,3,FALSE),[1]Employee!A:J,10,FALSE),"Not Specified")</f>
        <v>WA</v>
      </c>
      <c r="J971" t="str">
        <f>VLOOKUP(B971,[1]Product!A:B,2,FALSE)</f>
        <v>Product LSOFL</v>
      </c>
      <c r="K971" t="str">
        <f>VLOOKUP(VLOOKUP(B971,[1]Product!A:D,4,FALSE),[1]Category!A:B,2,FALSE)</f>
        <v>Beverages</v>
      </c>
      <c r="L971" s="10">
        <f>IFERROR(VLOOKUP(A971,'[1]Sales Order'!A:D,4,FALSE),"")</f>
        <v>39292</v>
      </c>
      <c r="M971" s="10">
        <f>IFERROR(VLOOKUP(A971,'[1]Sales Order'!A:F,6,FALSE),"")</f>
        <v>39295</v>
      </c>
      <c r="N971" t="str">
        <f>IFERROR(VLOOKUP(VLOOKUP(A971,'[1]Sales Order'!A:G,7,FALSE),[1]Shipper!A:B,2,FALSE),"Not Specified")</f>
        <v>Shipper ZHISN</v>
      </c>
      <c r="O971" t="str">
        <f>IFERROR(VLOOKUP(A971,'[1]Sales Order'!A:I,9,FALSE),"Not Specified")</f>
        <v>Ship to 6-A</v>
      </c>
      <c r="P971" t="str">
        <f>IFERROR(VLOOKUP(A971,'[1]Sales Order'!A:N,14,FALSE),"Not Specified")</f>
        <v>Germany</v>
      </c>
      <c r="Q971" t="str">
        <f>VLOOKUP(VLOOKUP(B971,[1]Product!A:C,3,FALSE),[1]Supplier!A:B,2,FALSE)</f>
        <v>Supplier LVJUA</v>
      </c>
      <c r="R971" t="str">
        <f>VLOOKUP(VLOOKUP(B971,[1]Product!A:C,3,FALSE),[1]Supplier!A:I,9,FALSE)</f>
        <v>France</v>
      </c>
      <c r="S971" t="str">
        <f>IFERROR(IF(VLOOKUP(A971,'[1]Sales Order'!A:H,8,FALSE)&gt;100,"High Freight","Low Freight"),"Not Specified")</f>
        <v>Low Freight</v>
      </c>
      <c r="T971">
        <f t="shared" si="31"/>
        <v>90</v>
      </c>
    </row>
    <row r="972" spans="1:20">
      <c r="A972" s="1">
        <v>10615</v>
      </c>
      <c r="B972" s="2">
        <v>55</v>
      </c>
      <c r="C972" s="2">
        <v>24</v>
      </c>
      <c r="D972" s="2">
        <v>5</v>
      </c>
      <c r="E972" s="3">
        <v>0</v>
      </c>
      <c r="F972" s="2" t="str">
        <f>IFERROR(VLOOKUP(VLOOKUP(A972,'[1]Sales Order'!A:B,2,FALSE),[1]Customer!A:C,3,FALSE),"Not Specified")</f>
        <v>Larsson, Katarina</v>
      </c>
      <c r="G972" s="2" t="str">
        <f t="shared" si="30"/>
        <v>Larsson Katarina</v>
      </c>
      <c r="H972" s="8" t="str">
        <f>IFERROR(VLOOKUP(VLOOKUP(A972,'[1]Sales Order'!A:C,3,FALSE),[1]Employee!A:E,5,FALSE)&amp;" "&amp;VLOOKUP(VLOOKUP(A972,'[1]Sales Order'!A:C,3,FALSE),[1]Employee!A:C,3,FALSE)&amp;" "&amp;VLOOKUP(VLOOKUP(A972,'[1]Sales Order'!A:C,3,FALSE),[1]Employee!A:B,2,FALSE),"Not Specified")</f>
        <v>Dr. Don Funk</v>
      </c>
      <c r="I972" t="str">
        <f>IFERROR(VLOOKUP(VLOOKUP(A972,'[1]Sales Order'!A:C,3,FALSE),[1]Employee!A:J,10,FALSE),"Not Specified")</f>
        <v>WA</v>
      </c>
      <c r="J972" t="str">
        <f>VLOOKUP(B972,[1]Product!A:B,2,FALSE)</f>
        <v>Product YYWRT</v>
      </c>
      <c r="K972" t="str">
        <f>VLOOKUP(VLOOKUP(B972,[1]Product!A:D,4,FALSE),[1]Category!A:B,2,FALSE)</f>
        <v>Meat/Poultry</v>
      </c>
      <c r="L972" s="10">
        <f>IFERROR(VLOOKUP(A972,'[1]Sales Order'!A:D,4,FALSE),"")</f>
        <v>39293</v>
      </c>
      <c r="M972" s="10">
        <f>IFERROR(VLOOKUP(A972,'[1]Sales Order'!A:F,6,FALSE),"")</f>
        <v>39300</v>
      </c>
      <c r="N972" t="str">
        <f>IFERROR(VLOOKUP(VLOOKUP(A972,'[1]Sales Order'!A:G,7,FALSE),[1]Shipper!A:B,2,FALSE),"Not Specified")</f>
        <v>Shipper ZHISN</v>
      </c>
      <c r="O972" t="str">
        <f>IFERROR(VLOOKUP(A972,'[1]Sales Order'!A:I,9,FALSE),"Not Specified")</f>
        <v>Ship to 90-B</v>
      </c>
      <c r="P972" t="str">
        <f>IFERROR(VLOOKUP(A972,'[1]Sales Order'!A:N,14,FALSE),"Not Specified")</f>
        <v>Finland</v>
      </c>
      <c r="Q972" t="str">
        <f>VLOOKUP(VLOOKUP(B972,[1]Product!A:C,3,FALSE),[1]Supplier!A:B,2,FALSE)</f>
        <v>Supplier ERVYZ</v>
      </c>
      <c r="R972" t="str">
        <f>VLOOKUP(VLOOKUP(B972,[1]Product!A:C,3,FALSE),[1]Supplier!A:I,9,FALSE)</f>
        <v>Canada</v>
      </c>
      <c r="S972" t="str">
        <f>IFERROR(IF(VLOOKUP(A972,'[1]Sales Order'!A:H,8,FALSE)&gt;100,"High Freight","Low Freight"),"Not Specified")</f>
        <v>Low Freight</v>
      </c>
      <c r="T972">
        <f t="shared" si="31"/>
        <v>120</v>
      </c>
    </row>
    <row r="973" spans="1:20">
      <c r="A973" s="1">
        <v>10616</v>
      </c>
      <c r="B973" s="2">
        <v>38</v>
      </c>
      <c r="C973" s="2">
        <v>263.5</v>
      </c>
      <c r="D973" s="2">
        <v>15</v>
      </c>
      <c r="E973" s="3">
        <v>0.05</v>
      </c>
      <c r="F973" s="2" t="str">
        <f>IFERROR(VLOOKUP(VLOOKUP(A973,'[1]Sales Order'!A:B,2,FALSE),[1]Customer!A:C,3,FALSE),"Not Specified")</f>
        <v>Krishnan, Venky</v>
      </c>
      <c r="G973" s="2" t="str">
        <f t="shared" si="30"/>
        <v>Krishnan Venky</v>
      </c>
      <c r="H973" s="8" t="str">
        <f>IFERROR(VLOOKUP(VLOOKUP(A973,'[1]Sales Order'!A:C,3,FALSE),[1]Employee!A:E,5,FALSE)&amp;" "&amp;VLOOKUP(VLOOKUP(A973,'[1]Sales Order'!A:C,3,FALSE),[1]Employee!A:C,3,FALSE)&amp;" "&amp;VLOOKUP(VLOOKUP(A973,'[1]Sales Order'!A:C,3,FALSE),[1]Employee!A:B,2,FALSE),"Not Specified")</f>
        <v>Ms. Sara Davis</v>
      </c>
      <c r="I973" t="str">
        <f>IFERROR(VLOOKUP(VLOOKUP(A973,'[1]Sales Order'!A:C,3,FALSE),[1]Employee!A:J,10,FALSE),"Not Specified")</f>
        <v>WA</v>
      </c>
      <c r="J973" t="str">
        <f>VLOOKUP(B973,[1]Product!A:B,2,FALSE)</f>
        <v>Product QDOMO</v>
      </c>
      <c r="K973" t="str">
        <f>VLOOKUP(VLOOKUP(B973,[1]Product!A:D,4,FALSE),[1]Category!A:B,2,FALSE)</f>
        <v>Beverages</v>
      </c>
      <c r="L973" s="10">
        <f>IFERROR(VLOOKUP(A973,'[1]Sales Order'!A:D,4,FALSE),"")</f>
        <v>39294</v>
      </c>
      <c r="M973" s="10">
        <f>IFERROR(VLOOKUP(A973,'[1]Sales Order'!A:F,6,FALSE),"")</f>
        <v>39299</v>
      </c>
      <c r="N973" t="str">
        <f>IFERROR(VLOOKUP(VLOOKUP(A973,'[1]Sales Order'!A:G,7,FALSE),[1]Shipper!A:B,2,FALSE),"Not Specified")</f>
        <v>Shipper ETYNR</v>
      </c>
      <c r="O973" t="str">
        <f>IFERROR(VLOOKUP(A973,'[1]Sales Order'!A:I,9,FALSE),"Not Specified")</f>
        <v>Destination LLUXZ</v>
      </c>
      <c r="P973" t="str">
        <f>IFERROR(VLOOKUP(A973,'[1]Sales Order'!A:N,14,FALSE),"Not Specified")</f>
        <v>USA</v>
      </c>
      <c r="Q973" t="str">
        <f>VLOOKUP(VLOOKUP(B973,[1]Product!A:C,3,FALSE),[1]Supplier!A:B,2,FALSE)</f>
        <v>Supplier LVJUA</v>
      </c>
      <c r="R973" t="str">
        <f>VLOOKUP(VLOOKUP(B973,[1]Product!A:C,3,FALSE),[1]Supplier!A:I,9,FALSE)</f>
        <v>France</v>
      </c>
      <c r="S973" t="str">
        <f>IFERROR(IF(VLOOKUP(A973,'[1]Sales Order'!A:H,8,FALSE)&gt;100,"High Freight","Low Freight"),"Not Specified")</f>
        <v>High Freight</v>
      </c>
      <c r="T973">
        <f t="shared" si="31"/>
        <v>3754.875</v>
      </c>
    </row>
    <row r="974" spans="1:20">
      <c r="A974" s="1">
        <v>10616</v>
      </c>
      <c r="B974" s="2">
        <v>56</v>
      </c>
      <c r="C974" s="2">
        <v>38</v>
      </c>
      <c r="D974" s="2">
        <v>14</v>
      </c>
      <c r="E974" s="3">
        <v>0</v>
      </c>
      <c r="F974" s="2" t="str">
        <f>IFERROR(VLOOKUP(VLOOKUP(A974,'[1]Sales Order'!A:B,2,FALSE),[1]Customer!A:C,3,FALSE),"Not Specified")</f>
        <v>Krishnan, Venky</v>
      </c>
      <c r="G974" s="2" t="str">
        <f t="shared" si="30"/>
        <v>Krishnan Venky</v>
      </c>
      <c r="H974" s="8" t="str">
        <f>IFERROR(VLOOKUP(VLOOKUP(A974,'[1]Sales Order'!A:C,3,FALSE),[1]Employee!A:E,5,FALSE)&amp;" "&amp;VLOOKUP(VLOOKUP(A974,'[1]Sales Order'!A:C,3,FALSE),[1]Employee!A:C,3,FALSE)&amp;" "&amp;VLOOKUP(VLOOKUP(A974,'[1]Sales Order'!A:C,3,FALSE),[1]Employee!A:B,2,FALSE),"Not Specified")</f>
        <v>Ms. Sara Davis</v>
      </c>
      <c r="I974" t="str">
        <f>IFERROR(VLOOKUP(VLOOKUP(A974,'[1]Sales Order'!A:C,3,FALSE),[1]Employee!A:J,10,FALSE),"Not Specified")</f>
        <v>WA</v>
      </c>
      <c r="J974" t="str">
        <f>VLOOKUP(B974,[1]Product!A:B,2,FALSE)</f>
        <v>Product VKCMF</v>
      </c>
      <c r="K974" t="str">
        <f>VLOOKUP(VLOOKUP(B974,[1]Product!A:D,4,FALSE),[1]Category!A:B,2,FALSE)</f>
        <v>Grains/Cereals</v>
      </c>
      <c r="L974" s="10">
        <f>IFERROR(VLOOKUP(A974,'[1]Sales Order'!A:D,4,FALSE),"")</f>
        <v>39294</v>
      </c>
      <c r="M974" s="10">
        <f>IFERROR(VLOOKUP(A974,'[1]Sales Order'!A:F,6,FALSE),"")</f>
        <v>39299</v>
      </c>
      <c r="N974" t="str">
        <f>IFERROR(VLOOKUP(VLOOKUP(A974,'[1]Sales Order'!A:G,7,FALSE),[1]Shipper!A:B,2,FALSE),"Not Specified")</f>
        <v>Shipper ETYNR</v>
      </c>
      <c r="O974" t="str">
        <f>IFERROR(VLOOKUP(A974,'[1]Sales Order'!A:I,9,FALSE),"Not Specified")</f>
        <v>Destination LLUXZ</v>
      </c>
      <c r="P974" t="str">
        <f>IFERROR(VLOOKUP(A974,'[1]Sales Order'!A:N,14,FALSE),"Not Specified")</f>
        <v>USA</v>
      </c>
      <c r="Q974" t="str">
        <f>VLOOKUP(VLOOKUP(B974,[1]Product!A:C,3,FALSE),[1]Supplier!A:B,2,FALSE)</f>
        <v>Supplier ZWZDM</v>
      </c>
      <c r="R974" t="str">
        <f>VLOOKUP(VLOOKUP(B974,[1]Product!A:C,3,FALSE),[1]Supplier!A:I,9,FALSE)</f>
        <v>Italy</v>
      </c>
      <c r="S974" t="str">
        <f>IFERROR(IF(VLOOKUP(A974,'[1]Sales Order'!A:H,8,FALSE)&gt;100,"High Freight","Low Freight"),"Not Specified")</f>
        <v>High Freight</v>
      </c>
      <c r="T974">
        <f t="shared" si="31"/>
        <v>532</v>
      </c>
    </row>
    <row r="975" spans="1:20">
      <c r="A975" s="1">
        <v>10616</v>
      </c>
      <c r="B975" s="2">
        <v>70</v>
      </c>
      <c r="C975" s="2">
        <v>15</v>
      </c>
      <c r="D975" s="2">
        <v>15</v>
      </c>
      <c r="E975" s="3">
        <v>0.05</v>
      </c>
      <c r="F975" s="2" t="str">
        <f>IFERROR(VLOOKUP(VLOOKUP(A975,'[1]Sales Order'!A:B,2,FALSE),[1]Customer!A:C,3,FALSE),"Not Specified")</f>
        <v>Krishnan, Venky</v>
      </c>
      <c r="G975" s="2" t="str">
        <f t="shared" si="30"/>
        <v>Krishnan Venky</v>
      </c>
      <c r="H975" s="8" t="str">
        <f>IFERROR(VLOOKUP(VLOOKUP(A975,'[1]Sales Order'!A:C,3,FALSE),[1]Employee!A:E,5,FALSE)&amp;" "&amp;VLOOKUP(VLOOKUP(A975,'[1]Sales Order'!A:C,3,FALSE),[1]Employee!A:C,3,FALSE)&amp;" "&amp;VLOOKUP(VLOOKUP(A975,'[1]Sales Order'!A:C,3,FALSE),[1]Employee!A:B,2,FALSE),"Not Specified")</f>
        <v>Ms. Sara Davis</v>
      </c>
      <c r="I975" t="str">
        <f>IFERROR(VLOOKUP(VLOOKUP(A975,'[1]Sales Order'!A:C,3,FALSE),[1]Employee!A:J,10,FALSE),"Not Specified")</f>
        <v>WA</v>
      </c>
      <c r="J975" t="str">
        <f>VLOOKUP(B975,[1]Product!A:B,2,FALSE)</f>
        <v>Product TOONT</v>
      </c>
      <c r="K975" t="str">
        <f>VLOOKUP(VLOOKUP(B975,[1]Product!A:D,4,FALSE),[1]Category!A:B,2,FALSE)</f>
        <v>Beverages</v>
      </c>
      <c r="L975" s="10">
        <f>IFERROR(VLOOKUP(A975,'[1]Sales Order'!A:D,4,FALSE),"")</f>
        <v>39294</v>
      </c>
      <c r="M975" s="10">
        <f>IFERROR(VLOOKUP(A975,'[1]Sales Order'!A:F,6,FALSE),"")</f>
        <v>39299</v>
      </c>
      <c r="N975" t="str">
        <f>IFERROR(VLOOKUP(VLOOKUP(A975,'[1]Sales Order'!A:G,7,FALSE),[1]Shipper!A:B,2,FALSE),"Not Specified")</f>
        <v>Shipper ETYNR</v>
      </c>
      <c r="O975" t="str">
        <f>IFERROR(VLOOKUP(A975,'[1]Sales Order'!A:I,9,FALSE),"Not Specified")</f>
        <v>Destination LLUXZ</v>
      </c>
      <c r="P975" t="str">
        <f>IFERROR(VLOOKUP(A975,'[1]Sales Order'!A:N,14,FALSE),"Not Specified")</f>
        <v>USA</v>
      </c>
      <c r="Q975" t="str">
        <f>VLOOKUP(VLOOKUP(B975,[1]Product!A:C,3,FALSE),[1]Supplier!A:B,2,FALSE)</f>
        <v>Supplier GQRCV</v>
      </c>
      <c r="R975" t="str">
        <f>VLOOKUP(VLOOKUP(B975,[1]Product!A:C,3,FALSE),[1]Supplier!A:I,9,FALSE)</f>
        <v>Australia</v>
      </c>
      <c r="S975" t="str">
        <f>IFERROR(IF(VLOOKUP(A975,'[1]Sales Order'!A:H,8,FALSE)&gt;100,"High Freight","Low Freight"),"Not Specified")</f>
        <v>High Freight</v>
      </c>
      <c r="T975">
        <f t="shared" si="31"/>
        <v>213.75</v>
      </c>
    </row>
    <row r="976" spans="1:20">
      <c r="A976" s="1">
        <v>10616</v>
      </c>
      <c r="B976" s="2">
        <v>71</v>
      </c>
      <c r="C976" s="2">
        <v>21.5</v>
      </c>
      <c r="D976" s="2">
        <v>15</v>
      </c>
      <c r="E976" s="3">
        <v>0.05</v>
      </c>
      <c r="F976" s="2" t="str">
        <f>IFERROR(VLOOKUP(VLOOKUP(A976,'[1]Sales Order'!A:B,2,FALSE),[1]Customer!A:C,3,FALSE),"Not Specified")</f>
        <v>Krishnan, Venky</v>
      </c>
      <c r="G976" s="2" t="str">
        <f t="shared" si="30"/>
        <v>Krishnan Venky</v>
      </c>
      <c r="H976" s="8" t="str">
        <f>IFERROR(VLOOKUP(VLOOKUP(A976,'[1]Sales Order'!A:C,3,FALSE),[1]Employee!A:E,5,FALSE)&amp;" "&amp;VLOOKUP(VLOOKUP(A976,'[1]Sales Order'!A:C,3,FALSE),[1]Employee!A:C,3,FALSE)&amp;" "&amp;VLOOKUP(VLOOKUP(A976,'[1]Sales Order'!A:C,3,FALSE),[1]Employee!A:B,2,FALSE),"Not Specified")</f>
        <v>Ms. Sara Davis</v>
      </c>
      <c r="I976" t="str">
        <f>IFERROR(VLOOKUP(VLOOKUP(A976,'[1]Sales Order'!A:C,3,FALSE),[1]Employee!A:J,10,FALSE),"Not Specified")</f>
        <v>WA</v>
      </c>
      <c r="J976" t="str">
        <f>VLOOKUP(B976,[1]Product!A:B,2,FALSE)</f>
        <v>Product MYMOI</v>
      </c>
      <c r="K976" t="str">
        <f>VLOOKUP(VLOOKUP(B976,[1]Product!A:D,4,FALSE),[1]Category!A:B,2,FALSE)</f>
        <v>Dairy Product</v>
      </c>
      <c r="L976" s="10">
        <f>IFERROR(VLOOKUP(A976,'[1]Sales Order'!A:D,4,FALSE),"")</f>
        <v>39294</v>
      </c>
      <c r="M976" s="10">
        <f>IFERROR(VLOOKUP(A976,'[1]Sales Order'!A:F,6,FALSE),"")</f>
        <v>39299</v>
      </c>
      <c r="N976" t="str">
        <f>IFERROR(VLOOKUP(VLOOKUP(A976,'[1]Sales Order'!A:G,7,FALSE),[1]Shipper!A:B,2,FALSE),"Not Specified")</f>
        <v>Shipper ETYNR</v>
      </c>
      <c r="O976" t="str">
        <f>IFERROR(VLOOKUP(A976,'[1]Sales Order'!A:I,9,FALSE),"Not Specified")</f>
        <v>Destination LLUXZ</v>
      </c>
      <c r="P976" t="str">
        <f>IFERROR(VLOOKUP(A976,'[1]Sales Order'!A:N,14,FALSE),"Not Specified")</f>
        <v>USA</v>
      </c>
      <c r="Q976" t="str">
        <f>VLOOKUP(VLOOKUP(B976,[1]Product!A:C,3,FALSE),[1]Supplier!A:B,2,FALSE)</f>
        <v>Supplier NZLIF</v>
      </c>
      <c r="R976" t="str">
        <f>VLOOKUP(VLOOKUP(B976,[1]Product!A:C,3,FALSE),[1]Supplier!A:I,9,FALSE)</f>
        <v>Norway</v>
      </c>
      <c r="S976" t="str">
        <f>IFERROR(IF(VLOOKUP(A976,'[1]Sales Order'!A:H,8,FALSE)&gt;100,"High Freight","Low Freight"),"Not Specified")</f>
        <v>High Freight</v>
      </c>
      <c r="T976">
        <f t="shared" si="31"/>
        <v>306.375</v>
      </c>
    </row>
    <row r="977" spans="1:20">
      <c r="A977" s="1">
        <v>10617</v>
      </c>
      <c r="B977" s="2">
        <v>59</v>
      </c>
      <c r="C977" s="2">
        <v>55</v>
      </c>
      <c r="D977" s="2">
        <v>30</v>
      </c>
      <c r="E977" s="3">
        <v>0.15</v>
      </c>
      <c r="F977" s="2" t="str">
        <f>IFERROR(VLOOKUP(VLOOKUP(A977,'[1]Sales Order'!A:B,2,FALSE),[1]Customer!A:C,3,FALSE),"Not Specified")</f>
        <v>Krishnan, Venky</v>
      </c>
      <c r="G977" s="2" t="str">
        <f t="shared" si="30"/>
        <v>Krishnan Venky</v>
      </c>
      <c r="H977" s="8" t="str">
        <f>IFERROR(VLOOKUP(VLOOKUP(A977,'[1]Sales Order'!A:C,3,FALSE),[1]Employee!A:E,5,FALSE)&amp;" "&amp;VLOOKUP(VLOOKUP(A977,'[1]Sales Order'!A:C,3,FALSE),[1]Employee!A:C,3,FALSE)&amp;" "&amp;VLOOKUP(VLOOKUP(A977,'[1]Sales Order'!A:C,3,FALSE),[1]Employee!A:B,2,FALSE),"Not Specified")</f>
        <v>Mrs. Yael Peled</v>
      </c>
      <c r="I977" t="str">
        <f>IFERROR(VLOOKUP(VLOOKUP(A977,'[1]Sales Order'!A:C,3,FALSE),[1]Employee!A:J,10,FALSE),"Not Specified")</f>
        <v>WA</v>
      </c>
      <c r="J977" t="str">
        <f>VLOOKUP(B977,[1]Product!A:B,2,FALSE)</f>
        <v>Product UKXRI</v>
      </c>
      <c r="K977" t="str">
        <f>VLOOKUP(VLOOKUP(B977,[1]Product!A:D,4,FALSE),[1]Category!A:B,2,FALSE)</f>
        <v>Dairy Product</v>
      </c>
      <c r="L977" s="10">
        <f>IFERROR(VLOOKUP(A977,'[1]Sales Order'!A:D,4,FALSE),"")</f>
        <v>39294</v>
      </c>
      <c r="M977" s="10">
        <f>IFERROR(VLOOKUP(A977,'[1]Sales Order'!A:F,6,FALSE),"")</f>
        <v>39298</v>
      </c>
      <c r="N977" t="str">
        <f>IFERROR(VLOOKUP(VLOOKUP(A977,'[1]Sales Order'!A:G,7,FALSE),[1]Shipper!A:B,2,FALSE),"Not Specified")</f>
        <v>Shipper ETYNR</v>
      </c>
      <c r="O977" t="str">
        <f>IFERROR(VLOOKUP(A977,'[1]Sales Order'!A:I,9,FALSE),"Not Specified")</f>
        <v>Destination AVQUS</v>
      </c>
      <c r="P977" t="str">
        <f>IFERROR(VLOOKUP(A977,'[1]Sales Order'!A:N,14,FALSE),"Not Specified")</f>
        <v>USA</v>
      </c>
      <c r="Q977" t="str">
        <f>VLOOKUP(VLOOKUP(B977,[1]Product!A:C,3,FALSE),[1]Supplier!A:B,2,FALSE)</f>
        <v>Supplier OAVQT</v>
      </c>
      <c r="R977" t="str">
        <f>VLOOKUP(VLOOKUP(B977,[1]Product!A:C,3,FALSE),[1]Supplier!A:I,9,FALSE)</f>
        <v>France</v>
      </c>
      <c r="S977" t="str">
        <f>IFERROR(IF(VLOOKUP(A977,'[1]Sales Order'!A:H,8,FALSE)&gt;100,"High Freight","Low Freight"),"Not Specified")</f>
        <v>Low Freight</v>
      </c>
      <c r="T977">
        <f t="shared" si="31"/>
        <v>1402.5</v>
      </c>
    </row>
    <row r="978" spans="1:20">
      <c r="A978" s="1">
        <v>10618</v>
      </c>
      <c r="B978" s="2">
        <v>6</v>
      </c>
      <c r="C978" s="2">
        <v>25</v>
      </c>
      <c r="D978" s="2">
        <v>70</v>
      </c>
      <c r="E978" s="3">
        <v>0</v>
      </c>
      <c r="F978" s="2" t="str">
        <f>IFERROR(VLOOKUP(VLOOKUP(A978,'[1]Sales Order'!A:B,2,FALSE),[1]Customer!A:C,3,FALSE),"Not Specified")</f>
        <v>Taylor, Maurice</v>
      </c>
      <c r="G978" s="2" t="str">
        <f t="shared" si="30"/>
        <v>Taylor Maurice</v>
      </c>
      <c r="H978" s="8" t="str">
        <f>IFERROR(VLOOKUP(VLOOKUP(A978,'[1]Sales Order'!A:C,3,FALSE),[1]Employee!A:E,5,FALSE)&amp;" "&amp;VLOOKUP(VLOOKUP(A978,'[1]Sales Order'!A:C,3,FALSE),[1]Employee!A:C,3,FALSE)&amp;" "&amp;VLOOKUP(VLOOKUP(A978,'[1]Sales Order'!A:C,3,FALSE),[1]Employee!A:B,2,FALSE),"Not Specified")</f>
        <v>Ms. Sara Davis</v>
      </c>
      <c r="I978" t="str">
        <f>IFERROR(VLOOKUP(VLOOKUP(A978,'[1]Sales Order'!A:C,3,FALSE),[1]Employee!A:J,10,FALSE),"Not Specified")</f>
        <v>WA</v>
      </c>
      <c r="J978" t="str">
        <f>VLOOKUP(B978,[1]Product!A:B,2,FALSE)</f>
        <v>Product VAIIV</v>
      </c>
      <c r="K978" t="str">
        <f>VLOOKUP(VLOOKUP(B978,[1]Product!A:D,4,FALSE),[1]Category!A:B,2,FALSE)</f>
        <v>Condiments</v>
      </c>
      <c r="L978" s="10">
        <f>IFERROR(VLOOKUP(A978,'[1]Sales Order'!A:D,4,FALSE),"")</f>
        <v>39295</v>
      </c>
      <c r="M978" s="10">
        <f>IFERROR(VLOOKUP(A978,'[1]Sales Order'!A:F,6,FALSE),"")</f>
        <v>39302</v>
      </c>
      <c r="N978" t="str">
        <f>IFERROR(VLOOKUP(VLOOKUP(A978,'[1]Sales Order'!A:G,7,FALSE),[1]Shipper!A:B,2,FALSE),"Not Specified")</f>
        <v>Shipper GVSUA</v>
      </c>
      <c r="O978" t="str">
        <f>IFERROR(VLOOKUP(A978,'[1]Sales Order'!A:I,9,FALSE),"Not Specified")</f>
        <v>Ship to 51-C</v>
      </c>
      <c r="P978" t="str">
        <f>IFERROR(VLOOKUP(A978,'[1]Sales Order'!A:N,14,FALSE),"Not Specified")</f>
        <v>Canada</v>
      </c>
      <c r="Q978" t="str">
        <f>VLOOKUP(VLOOKUP(B978,[1]Product!A:C,3,FALSE),[1]Supplier!A:B,2,FALSE)</f>
        <v>Supplier STUAZ</v>
      </c>
      <c r="R978" t="str">
        <f>VLOOKUP(VLOOKUP(B978,[1]Product!A:C,3,FALSE),[1]Supplier!A:I,9,FALSE)</f>
        <v>USA</v>
      </c>
      <c r="S978" t="str">
        <f>IFERROR(IF(VLOOKUP(A978,'[1]Sales Order'!A:H,8,FALSE)&gt;100,"High Freight","Low Freight"),"Not Specified")</f>
        <v>High Freight</v>
      </c>
      <c r="T978">
        <f t="shared" si="31"/>
        <v>1750</v>
      </c>
    </row>
    <row r="979" spans="1:20">
      <c r="A979" s="1">
        <v>10618</v>
      </c>
      <c r="B979" s="2">
        <v>56</v>
      </c>
      <c r="C979" s="2">
        <v>38</v>
      </c>
      <c r="D979" s="2">
        <v>20</v>
      </c>
      <c r="E979" s="3">
        <v>0</v>
      </c>
      <c r="F979" s="2" t="str">
        <f>IFERROR(VLOOKUP(VLOOKUP(A979,'[1]Sales Order'!A:B,2,FALSE),[1]Customer!A:C,3,FALSE),"Not Specified")</f>
        <v>Taylor, Maurice</v>
      </c>
      <c r="G979" s="2" t="str">
        <f t="shared" si="30"/>
        <v>Taylor Maurice</v>
      </c>
      <c r="H979" s="8" t="str">
        <f>IFERROR(VLOOKUP(VLOOKUP(A979,'[1]Sales Order'!A:C,3,FALSE),[1]Employee!A:E,5,FALSE)&amp;" "&amp;VLOOKUP(VLOOKUP(A979,'[1]Sales Order'!A:C,3,FALSE),[1]Employee!A:C,3,FALSE)&amp;" "&amp;VLOOKUP(VLOOKUP(A979,'[1]Sales Order'!A:C,3,FALSE),[1]Employee!A:B,2,FALSE),"Not Specified")</f>
        <v>Ms. Sara Davis</v>
      </c>
      <c r="I979" t="str">
        <f>IFERROR(VLOOKUP(VLOOKUP(A979,'[1]Sales Order'!A:C,3,FALSE),[1]Employee!A:J,10,FALSE),"Not Specified")</f>
        <v>WA</v>
      </c>
      <c r="J979" t="str">
        <f>VLOOKUP(B979,[1]Product!A:B,2,FALSE)</f>
        <v>Product VKCMF</v>
      </c>
      <c r="K979" t="str">
        <f>VLOOKUP(VLOOKUP(B979,[1]Product!A:D,4,FALSE),[1]Category!A:B,2,FALSE)</f>
        <v>Grains/Cereals</v>
      </c>
      <c r="L979" s="10">
        <f>IFERROR(VLOOKUP(A979,'[1]Sales Order'!A:D,4,FALSE),"")</f>
        <v>39295</v>
      </c>
      <c r="M979" s="10">
        <f>IFERROR(VLOOKUP(A979,'[1]Sales Order'!A:F,6,FALSE),"")</f>
        <v>39302</v>
      </c>
      <c r="N979" t="str">
        <f>IFERROR(VLOOKUP(VLOOKUP(A979,'[1]Sales Order'!A:G,7,FALSE),[1]Shipper!A:B,2,FALSE),"Not Specified")</f>
        <v>Shipper GVSUA</v>
      </c>
      <c r="O979" t="str">
        <f>IFERROR(VLOOKUP(A979,'[1]Sales Order'!A:I,9,FALSE),"Not Specified")</f>
        <v>Ship to 51-C</v>
      </c>
      <c r="P979" t="str">
        <f>IFERROR(VLOOKUP(A979,'[1]Sales Order'!A:N,14,FALSE),"Not Specified")</f>
        <v>Canada</v>
      </c>
      <c r="Q979" t="str">
        <f>VLOOKUP(VLOOKUP(B979,[1]Product!A:C,3,FALSE),[1]Supplier!A:B,2,FALSE)</f>
        <v>Supplier ZWZDM</v>
      </c>
      <c r="R979" t="str">
        <f>VLOOKUP(VLOOKUP(B979,[1]Product!A:C,3,FALSE),[1]Supplier!A:I,9,FALSE)</f>
        <v>Italy</v>
      </c>
      <c r="S979" t="str">
        <f>IFERROR(IF(VLOOKUP(A979,'[1]Sales Order'!A:H,8,FALSE)&gt;100,"High Freight","Low Freight"),"Not Specified")</f>
        <v>High Freight</v>
      </c>
      <c r="T979">
        <f t="shared" si="31"/>
        <v>760</v>
      </c>
    </row>
    <row r="980" spans="1:20">
      <c r="A980" s="1">
        <v>10618</v>
      </c>
      <c r="B980" s="2">
        <v>68</v>
      </c>
      <c r="C980" s="2">
        <v>12.5</v>
      </c>
      <c r="D980" s="2">
        <v>15</v>
      </c>
      <c r="E980" s="3">
        <v>0</v>
      </c>
      <c r="F980" s="2" t="str">
        <f>IFERROR(VLOOKUP(VLOOKUP(A980,'[1]Sales Order'!A:B,2,FALSE),[1]Customer!A:C,3,FALSE),"Not Specified")</f>
        <v>Taylor, Maurice</v>
      </c>
      <c r="G980" s="2" t="str">
        <f t="shared" si="30"/>
        <v>Taylor Maurice</v>
      </c>
      <c r="H980" s="8" t="str">
        <f>IFERROR(VLOOKUP(VLOOKUP(A980,'[1]Sales Order'!A:C,3,FALSE),[1]Employee!A:E,5,FALSE)&amp;" "&amp;VLOOKUP(VLOOKUP(A980,'[1]Sales Order'!A:C,3,FALSE),[1]Employee!A:C,3,FALSE)&amp;" "&amp;VLOOKUP(VLOOKUP(A980,'[1]Sales Order'!A:C,3,FALSE),[1]Employee!A:B,2,FALSE),"Not Specified")</f>
        <v>Ms. Sara Davis</v>
      </c>
      <c r="I980" t="str">
        <f>IFERROR(VLOOKUP(VLOOKUP(A980,'[1]Sales Order'!A:C,3,FALSE),[1]Employee!A:J,10,FALSE),"Not Specified")</f>
        <v>WA</v>
      </c>
      <c r="J980" t="str">
        <f>VLOOKUP(B980,[1]Product!A:B,2,FALSE)</f>
        <v>Product TBTBL</v>
      </c>
      <c r="K980" t="str">
        <f>VLOOKUP(VLOOKUP(B980,[1]Product!A:D,4,FALSE),[1]Category!A:B,2,FALSE)</f>
        <v>Confections</v>
      </c>
      <c r="L980" s="10">
        <f>IFERROR(VLOOKUP(A980,'[1]Sales Order'!A:D,4,FALSE),"")</f>
        <v>39295</v>
      </c>
      <c r="M980" s="10">
        <f>IFERROR(VLOOKUP(A980,'[1]Sales Order'!A:F,6,FALSE),"")</f>
        <v>39302</v>
      </c>
      <c r="N980" t="str">
        <f>IFERROR(VLOOKUP(VLOOKUP(A980,'[1]Sales Order'!A:G,7,FALSE),[1]Shipper!A:B,2,FALSE),"Not Specified")</f>
        <v>Shipper GVSUA</v>
      </c>
      <c r="O980" t="str">
        <f>IFERROR(VLOOKUP(A980,'[1]Sales Order'!A:I,9,FALSE),"Not Specified")</f>
        <v>Ship to 51-C</v>
      </c>
      <c r="P980" t="str">
        <f>IFERROR(VLOOKUP(A980,'[1]Sales Order'!A:N,14,FALSE),"Not Specified")</f>
        <v>Canada</v>
      </c>
      <c r="Q980" t="str">
        <f>VLOOKUP(VLOOKUP(B980,[1]Product!A:C,3,FALSE),[1]Supplier!A:B,2,FALSE)</f>
        <v>Supplier BWGYE</v>
      </c>
      <c r="R980" t="str">
        <f>VLOOKUP(VLOOKUP(B980,[1]Product!A:C,3,FALSE),[1]Supplier!A:I,9,FALSE)</f>
        <v>UK</v>
      </c>
      <c r="S980" t="str">
        <f>IFERROR(IF(VLOOKUP(A980,'[1]Sales Order'!A:H,8,FALSE)&gt;100,"High Freight","Low Freight"),"Not Specified")</f>
        <v>High Freight</v>
      </c>
      <c r="T980">
        <f t="shared" si="31"/>
        <v>187.5</v>
      </c>
    </row>
    <row r="981" spans="1:20">
      <c r="A981" s="1">
        <v>10619</v>
      </c>
      <c r="B981" s="2">
        <v>21</v>
      </c>
      <c r="C981" s="2">
        <v>10</v>
      </c>
      <c r="D981" s="2">
        <v>42</v>
      </c>
      <c r="E981" s="3">
        <v>0</v>
      </c>
      <c r="F981" s="2" t="str">
        <f>IFERROR(VLOOKUP(VLOOKUP(A981,'[1]Sales Order'!A:B,2,FALSE),[1]Customer!A:C,3,FALSE),"Not Specified")</f>
        <v>Taylor, Maurice</v>
      </c>
      <c r="G981" s="2" t="str">
        <f t="shared" si="30"/>
        <v>Taylor Maurice</v>
      </c>
      <c r="H981" s="8" t="str">
        <f>IFERROR(VLOOKUP(VLOOKUP(A981,'[1]Sales Order'!A:C,3,FALSE),[1]Employee!A:E,5,FALSE)&amp;" "&amp;VLOOKUP(VLOOKUP(A981,'[1]Sales Order'!A:C,3,FALSE),[1]Employee!A:C,3,FALSE)&amp;" "&amp;VLOOKUP(VLOOKUP(A981,'[1]Sales Order'!A:C,3,FALSE),[1]Employee!A:B,2,FALSE),"Not Specified")</f>
        <v>Ms. Judy Lew</v>
      </c>
      <c r="I981" t="str">
        <f>IFERROR(VLOOKUP(VLOOKUP(A981,'[1]Sales Order'!A:C,3,FALSE),[1]Employee!A:J,10,FALSE),"Not Specified")</f>
        <v>WA</v>
      </c>
      <c r="J981" t="str">
        <f>VLOOKUP(B981,[1]Product!A:B,2,FALSE)</f>
        <v>Product VJZZH</v>
      </c>
      <c r="K981" t="str">
        <f>VLOOKUP(VLOOKUP(B981,[1]Product!A:D,4,FALSE),[1]Category!A:B,2,FALSE)</f>
        <v>Confections</v>
      </c>
      <c r="L981" s="10">
        <f>IFERROR(VLOOKUP(A981,'[1]Sales Order'!A:D,4,FALSE),"")</f>
        <v>39298</v>
      </c>
      <c r="M981" s="10">
        <f>IFERROR(VLOOKUP(A981,'[1]Sales Order'!A:F,6,FALSE),"")</f>
        <v>39301</v>
      </c>
      <c r="N981" t="str">
        <f>IFERROR(VLOOKUP(VLOOKUP(A981,'[1]Sales Order'!A:G,7,FALSE),[1]Shipper!A:B,2,FALSE),"Not Specified")</f>
        <v>Shipper ZHISN</v>
      </c>
      <c r="O981" t="str">
        <f>IFERROR(VLOOKUP(A981,'[1]Sales Order'!A:I,9,FALSE),"Not Specified")</f>
        <v>Ship to 51-B</v>
      </c>
      <c r="P981" t="str">
        <f>IFERROR(VLOOKUP(A981,'[1]Sales Order'!A:N,14,FALSE),"Not Specified")</f>
        <v>Canada</v>
      </c>
      <c r="Q981" t="str">
        <f>VLOOKUP(VLOOKUP(B981,[1]Product!A:C,3,FALSE),[1]Supplier!A:B,2,FALSE)</f>
        <v>Supplier BWGYE</v>
      </c>
      <c r="R981" t="str">
        <f>VLOOKUP(VLOOKUP(B981,[1]Product!A:C,3,FALSE),[1]Supplier!A:I,9,FALSE)</f>
        <v>UK</v>
      </c>
      <c r="S981" t="str">
        <f>IFERROR(IF(VLOOKUP(A981,'[1]Sales Order'!A:H,8,FALSE)&gt;100,"High Freight","Low Freight"),"Not Specified")</f>
        <v>Low Freight</v>
      </c>
      <c r="T981">
        <f t="shared" si="31"/>
        <v>420</v>
      </c>
    </row>
    <row r="982" spans="1:20">
      <c r="A982" s="1">
        <v>10619</v>
      </c>
      <c r="B982" s="2">
        <v>22</v>
      </c>
      <c r="C982" s="2">
        <v>21</v>
      </c>
      <c r="D982" s="2">
        <v>40</v>
      </c>
      <c r="E982" s="3">
        <v>0</v>
      </c>
      <c r="F982" s="2" t="str">
        <f>IFERROR(VLOOKUP(VLOOKUP(A982,'[1]Sales Order'!A:B,2,FALSE),[1]Customer!A:C,3,FALSE),"Not Specified")</f>
        <v>Taylor, Maurice</v>
      </c>
      <c r="G982" s="2" t="str">
        <f t="shared" si="30"/>
        <v>Taylor Maurice</v>
      </c>
      <c r="H982" s="8" t="str">
        <f>IFERROR(VLOOKUP(VLOOKUP(A982,'[1]Sales Order'!A:C,3,FALSE),[1]Employee!A:E,5,FALSE)&amp;" "&amp;VLOOKUP(VLOOKUP(A982,'[1]Sales Order'!A:C,3,FALSE),[1]Employee!A:C,3,FALSE)&amp;" "&amp;VLOOKUP(VLOOKUP(A982,'[1]Sales Order'!A:C,3,FALSE),[1]Employee!A:B,2,FALSE),"Not Specified")</f>
        <v>Ms. Judy Lew</v>
      </c>
      <c r="I982" t="str">
        <f>IFERROR(VLOOKUP(VLOOKUP(A982,'[1]Sales Order'!A:C,3,FALSE),[1]Employee!A:J,10,FALSE),"Not Specified")</f>
        <v>WA</v>
      </c>
      <c r="J982" t="str">
        <f>VLOOKUP(B982,[1]Product!A:B,2,FALSE)</f>
        <v>Product CPHFY</v>
      </c>
      <c r="K982" t="str">
        <f>VLOOKUP(VLOOKUP(B982,[1]Product!A:D,4,FALSE),[1]Category!A:B,2,FALSE)</f>
        <v>Grains/Cereals</v>
      </c>
      <c r="L982" s="10">
        <f>IFERROR(VLOOKUP(A982,'[1]Sales Order'!A:D,4,FALSE),"")</f>
        <v>39298</v>
      </c>
      <c r="M982" s="10">
        <f>IFERROR(VLOOKUP(A982,'[1]Sales Order'!A:F,6,FALSE),"")</f>
        <v>39301</v>
      </c>
      <c r="N982" t="str">
        <f>IFERROR(VLOOKUP(VLOOKUP(A982,'[1]Sales Order'!A:G,7,FALSE),[1]Shipper!A:B,2,FALSE),"Not Specified")</f>
        <v>Shipper ZHISN</v>
      </c>
      <c r="O982" t="str">
        <f>IFERROR(VLOOKUP(A982,'[1]Sales Order'!A:I,9,FALSE),"Not Specified")</f>
        <v>Ship to 51-B</v>
      </c>
      <c r="P982" t="str">
        <f>IFERROR(VLOOKUP(A982,'[1]Sales Order'!A:N,14,FALSE),"Not Specified")</f>
        <v>Canada</v>
      </c>
      <c r="Q982" t="str">
        <f>VLOOKUP(VLOOKUP(B982,[1]Product!A:C,3,FALSE),[1]Supplier!A:B,2,FALSE)</f>
        <v>Supplier QQYEU</v>
      </c>
      <c r="R982" t="str">
        <f>VLOOKUP(VLOOKUP(B982,[1]Product!A:C,3,FALSE),[1]Supplier!A:I,9,FALSE)</f>
        <v>Sweden</v>
      </c>
      <c r="S982" t="str">
        <f>IFERROR(IF(VLOOKUP(A982,'[1]Sales Order'!A:H,8,FALSE)&gt;100,"High Freight","Low Freight"),"Not Specified")</f>
        <v>Low Freight</v>
      </c>
      <c r="T982">
        <f t="shared" si="31"/>
        <v>840</v>
      </c>
    </row>
    <row r="983" spans="1:20">
      <c r="A983" s="1">
        <v>10620</v>
      </c>
      <c r="B983" s="2">
        <v>24</v>
      </c>
      <c r="C983" s="2">
        <v>4.5</v>
      </c>
      <c r="D983" s="2">
        <v>5</v>
      </c>
      <c r="E983" s="3">
        <v>0</v>
      </c>
      <c r="F983" s="2" t="str">
        <f>IFERROR(VLOOKUP(VLOOKUP(A983,'[1]Sales Order'!A:B,2,FALSE),[1]Customer!A:C,3,FALSE),"Not Specified")</f>
        <v>Steiner, Dominik</v>
      </c>
      <c r="G983" s="2" t="str">
        <f t="shared" si="30"/>
        <v>Steiner Dominik</v>
      </c>
      <c r="H983" s="8" t="str">
        <f>IFERROR(VLOOKUP(VLOOKUP(A983,'[1]Sales Order'!A:C,3,FALSE),[1]Employee!A:E,5,FALSE)&amp;" "&amp;VLOOKUP(VLOOKUP(A983,'[1]Sales Order'!A:C,3,FALSE),[1]Employee!A:C,3,FALSE)&amp;" "&amp;VLOOKUP(VLOOKUP(A983,'[1]Sales Order'!A:C,3,FALSE),[1]Employee!A:B,2,FALSE),"Not Specified")</f>
        <v>Dr. Don Funk</v>
      </c>
      <c r="I983" t="str">
        <f>IFERROR(VLOOKUP(VLOOKUP(A983,'[1]Sales Order'!A:C,3,FALSE),[1]Employee!A:J,10,FALSE),"Not Specified")</f>
        <v>WA</v>
      </c>
      <c r="J983" t="str">
        <f>VLOOKUP(B983,[1]Product!A:B,2,FALSE)</f>
        <v>Product QOGNU</v>
      </c>
      <c r="K983" t="str">
        <f>VLOOKUP(VLOOKUP(B983,[1]Product!A:D,4,FALSE),[1]Category!A:B,2,FALSE)</f>
        <v>Beverages</v>
      </c>
      <c r="L983" s="10">
        <f>IFERROR(VLOOKUP(A983,'[1]Sales Order'!A:D,4,FALSE),"")</f>
        <v>39299</v>
      </c>
      <c r="M983" s="10">
        <f>IFERROR(VLOOKUP(A983,'[1]Sales Order'!A:F,6,FALSE),"")</f>
        <v>39308</v>
      </c>
      <c r="N983" t="str">
        <f>IFERROR(VLOOKUP(VLOOKUP(A983,'[1]Sales Order'!A:G,7,FALSE),[1]Shipper!A:B,2,FALSE),"Not Specified")</f>
        <v>Shipper ZHISN</v>
      </c>
      <c r="O983" t="str">
        <f>IFERROR(VLOOKUP(A983,'[1]Sales Order'!A:I,9,FALSE),"Not Specified")</f>
        <v>Ship to 42-A</v>
      </c>
      <c r="P983" t="str">
        <f>IFERROR(VLOOKUP(A983,'[1]Sales Order'!A:N,14,FALSE),"Not Specified")</f>
        <v>Canada</v>
      </c>
      <c r="Q983" t="str">
        <f>VLOOKUP(VLOOKUP(B983,[1]Product!A:C,3,FALSE),[1]Supplier!A:B,2,FALSE)</f>
        <v>Supplier UNAHG</v>
      </c>
      <c r="R983" t="str">
        <f>VLOOKUP(VLOOKUP(B983,[1]Product!A:C,3,FALSE),[1]Supplier!A:I,9,FALSE)</f>
        <v>Brazil</v>
      </c>
      <c r="S983" t="str">
        <f>IFERROR(IF(VLOOKUP(A983,'[1]Sales Order'!A:H,8,FALSE)&gt;100,"High Freight","Low Freight"),"Not Specified")</f>
        <v>Low Freight</v>
      </c>
      <c r="T983">
        <f t="shared" si="31"/>
        <v>22.5</v>
      </c>
    </row>
    <row r="984" spans="1:20">
      <c r="A984" s="1">
        <v>10620</v>
      </c>
      <c r="B984" s="2">
        <v>52</v>
      </c>
      <c r="C984" s="2">
        <v>7</v>
      </c>
      <c r="D984" s="2">
        <v>5</v>
      </c>
      <c r="E984" s="3">
        <v>0</v>
      </c>
      <c r="F984" s="2" t="str">
        <f>IFERROR(VLOOKUP(VLOOKUP(A984,'[1]Sales Order'!A:B,2,FALSE),[1]Customer!A:C,3,FALSE),"Not Specified")</f>
        <v>Steiner, Dominik</v>
      </c>
      <c r="G984" s="2" t="str">
        <f t="shared" si="30"/>
        <v>Steiner Dominik</v>
      </c>
      <c r="H984" s="8" t="str">
        <f>IFERROR(VLOOKUP(VLOOKUP(A984,'[1]Sales Order'!A:C,3,FALSE),[1]Employee!A:E,5,FALSE)&amp;" "&amp;VLOOKUP(VLOOKUP(A984,'[1]Sales Order'!A:C,3,FALSE),[1]Employee!A:C,3,FALSE)&amp;" "&amp;VLOOKUP(VLOOKUP(A984,'[1]Sales Order'!A:C,3,FALSE),[1]Employee!A:B,2,FALSE),"Not Specified")</f>
        <v>Dr. Don Funk</v>
      </c>
      <c r="I984" t="str">
        <f>IFERROR(VLOOKUP(VLOOKUP(A984,'[1]Sales Order'!A:C,3,FALSE),[1]Employee!A:J,10,FALSE),"Not Specified")</f>
        <v>WA</v>
      </c>
      <c r="J984" t="str">
        <f>VLOOKUP(B984,[1]Product!A:B,2,FALSE)</f>
        <v>Product QSRXF</v>
      </c>
      <c r="K984" t="str">
        <f>VLOOKUP(VLOOKUP(B984,[1]Product!A:D,4,FALSE),[1]Category!A:B,2,FALSE)</f>
        <v>Grains/Cereals</v>
      </c>
      <c r="L984" s="10">
        <f>IFERROR(VLOOKUP(A984,'[1]Sales Order'!A:D,4,FALSE),"")</f>
        <v>39299</v>
      </c>
      <c r="M984" s="10">
        <f>IFERROR(VLOOKUP(A984,'[1]Sales Order'!A:F,6,FALSE),"")</f>
        <v>39308</v>
      </c>
      <c r="N984" t="str">
        <f>IFERROR(VLOOKUP(VLOOKUP(A984,'[1]Sales Order'!A:G,7,FALSE),[1]Shipper!A:B,2,FALSE),"Not Specified")</f>
        <v>Shipper ZHISN</v>
      </c>
      <c r="O984" t="str">
        <f>IFERROR(VLOOKUP(A984,'[1]Sales Order'!A:I,9,FALSE),"Not Specified")</f>
        <v>Ship to 42-A</v>
      </c>
      <c r="P984" t="str">
        <f>IFERROR(VLOOKUP(A984,'[1]Sales Order'!A:N,14,FALSE),"Not Specified")</f>
        <v>Canada</v>
      </c>
      <c r="Q984" t="str">
        <f>VLOOKUP(VLOOKUP(B984,[1]Product!A:C,3,FALSE),[1]Supplier!A:B,2,FALSE)</f>
        <v>Supplier JNNES</v>
      </c>
      <c r="R984" t="str">
        <f>VLOOKUP(VLOOKUP(B984,[1]Product!A:C,3,FALSE),[1]Supplier!A:I,9,FALSE)</f>
        <v>Australia</v>
      </c>
      <c r="S984" t="str">
        <f>IFERROR(IF(VLOOKUP(A984,'[1]Sales Order'!A:H,8,FALSE)&gt;100,"High Freight","Low Freight"),"Not Specified")</f>
        <v>Low Freight</v>
      </c>
      <c r="T984">
        <f t="shared" si="31"/>
        <v>35</v>
      </c>
    </row>
    <row r="985" spans="1:20">
      <c r="A985" s="1">
        <v>10621</v>
      </c>
      <c r="B985" s="2">
        <v>19</v>
      </c>
      <c r="C985" s="2">
        <v>9.1999999999999993</v>
      </c>
      <c r="D985" s="2">
        <v>5</v>
      </c>
      <c r="E985" s="3">
        <v>0</v>
      </c>
      <c r="F985" s="2" t="str">
        <f>IFERROR(VLOOKUP(VLOOKUP(A985,'[1]Sales Order'!A:B,2,FALSE),[1]Customer!A:C,3,FALSE),"Not Specified")</f>
        <v>Lee, Frank</v>
      </c>
      <c r="G985" s="2" t="str">
        <f t="shared" si="30"/>
        <v>Lee Frank</v>
      </c>
      <c r="H985" s="8" t="str">
        <f>IFERROR(VLOOKUP(VLOOKUP(A985,'[1]Sales Order'!A:C,3,FALSE),[1]Employee!A:E,5,FALSE)&amp;" "&amp;VLOOKUP(VLOOKUP(A985,'[1]Sales Order'!A:C,3,FALSE),[1]Employee!A:C,3,FALSE)&amp;" "&amp;VLOOKUP(VLOOKUP(A985,'[1]Sales Order'!A:C,3,FALSE),[1]Employee!A:B,2,FALSE),"Not Specified")</f>
        <v>Mrs. Yael Peled</v>
      </c>
      <c r="I985" t="str">
        <f>IFERROR(VLOOKUP(VLOOKUP(A985,'[1]Sales Order'!A:C,3,FALSE),[1]Employee!A:J,10,FALSE),"Not Specified")</f>
        <v>WA</v>
      </c>
      <c r="J985" t="str">
        <f>VLOOKUP(B985,[1]Product!A:B,2,FALSE)</f>
        <v>Product XKXDO</v>
      </c>
      <c r="K985" t="str">
        <f>VLOOKUP(VLOOKUP(B985,[1]Product!A:D,4,FALSE),[1]Category!A:B,2,FALSE)</f>
        <v>Confections</v>
      </c>
      <c r="L985" s="10">
        <f>IFERROR(VLOOKUP(A985,'[1]Sales Order'!A:D,4,FALSE),"")</f>
        <v>39299</v>
      </c>
      <c r="M985" s="10">
        <f>IFERROR(VLOOKUP(A985,'[1]Sales Order'!A:F,6,FALSE),"")</f>
        <v>39305</v>
      </c>
      <c r="N985" t="str">
        <f>IFERROR(VLOOKUP(VLOOKUP(A985,'[1]Sales Order'!A:G,7,FALSE),[1]Shipper!A:B,2,FALSE),"Not Specified")</f>
        <v>Shipper ETYNR</v>
      </c>
      <c r="O985" t="str">
        <f>IFERROR(VLOOKUP(A985,'[1]Sales Order'!A:I,9,FALSE),"Not Specified")</f>
        <v>Destination LMVGS</v>
      </c>
      <c r="P985" t="str">
        <f>IFERROR(VLOOKUP(A985,'[1]Sales Order'!A:N,14,FALSE),"Not Specified")</f>
        <v>UK</v>
      </c>
      <c r="Q985" t="str">
        <f>VLOOKUP(VLOOKUP(B985,[1]Product!A:C,3,FALSE),[1]Supplier!A:B,2,FALSE)</f>
        <v>Supplier BWGYE</v>
      </c>
      <c r="R985" t="str">
        <f>VLOOKUP(VLOOKUP(B985,[1]Product!A:C,3,FALSE),[1]Supplier!A:I,9,FALSE)</f>
        <v>UK</v>
      </c>
      <c r="S985" t="str">
        <f>IFERROR(IF(VLOOKUP(A985,'[1]Sales Order'!A:H,8,FALSE)&gt;100,"High Freight","Low Freight"),"Not Specified")</f>
        <v>Low Freight</v>
      </c>
      <c r="T985">
        <f t="shared" si="31"/>
        <v>46</v>
      </c>
    </row>
    <row r="986" spans="1:20">
      <c r="A986" s="1">
        <v>10621</v>
      </c>
      <c r="B986" s="2">
        <v>23</v>
      </c>
      <c r="C986" s="2">
        <v>9</v>
      </c>
      <c r="D986" s="2">
        <v>10</v>
      </c>
      <c r="E986" s="3">
        <v>0</v>
      </c>
      <c r="F986" s="2" t="str">
        <f>IFERROR(VLOOKUP(VLOOKUP(A986,'[1]Sales Order'!A:B,2,FALSE),[1]Customer!A:C,3,FALSE),"Not Specified")</f>
        <v>Lee, Frank</v>
      </c>
      <c r="G986" s="2" t="str">
        <f t="shared" si="30"/>
        <v>Lee Frank</v>
      </c>
      <c r="H986" s="8" t="str">
        <f>IFERROR(VLOOKUP(VLOOKUP(A986,'[1]Sales Order'!A:C,3,FALSE),[1]Employee!A:E,5,FALSE)&amp;" "&amp;VLOOKUP(VLOOKUP(A986,'[1]Sales Order'!A:C,3,FALSE),[1]Employee!A:C,3,FALSE)&amp;" "&amp;VLOOKUP(VLOOKUP(A986,'[1]Sales Order'!A:C,3,FALSE),[1]Employee!A:B,2,FALSE),"Not Specified")</f>
        <v>Mrs. Yael Peled</v>
      </c>
      <c r="I986" t="str">
        <f>IFERROR(VLOOKUP(VLOOKUP(A986,'[1]Sales Order'!A:C,3,FALSE),[1]Employee!A:J,10,FALSE),"Not Specified")</f>
        <v>WA</v>
      </c>
      <c r="J986" t="str">
        <f>VLOOKUP(B986,[1]Product!A:B,2,FALSE)</f>
        <v>Product JLUDZ</v>
      </c>
      <c r="K986" t="str">
        <f>VLOOKUP(VLOOKUP(B986,[1]Product!A:D,4,FALSE),[1]Category!A:B,2,FALSE)</f>
        <v>Grains/Cereals</v>
      </c>
      <c r="L986" s="10">
        <f>IFERROR(VLOOKUP(A986,'[1]Sales Order'!A:D,4,FALSE),"")</f>
        <v>39299</v>
      </c>
      <c r="M986" s="10">
        <f>IFERROR(VLOOKUP(A986,'[1]Sales Order'!A:F,6,FALSE),"")</f>
        <v>39305</v>
      </c>
      <c r="N986" t="str">
        <f>IFERROR(VLOOKUP(VLOOKUP(A986,'[1]Sales Order'!A:G,7,FALSE),[1]Shipper!A:B,2,FALSE),"Not Specified")</f>
        <v>Shipper ETYNR</v>
      </c>
      <c r="O986" t="str">
        <f>IFERROR(VLOOKUP(A986,'[1]Sales Order'!A:I,9,FALSE),"Not Specified")</f>
        <v>Destination LMVGS</v>
      </c>
      <c r="P986" t="str">
        <f>IFERROR(VLOOKUP(A986,'[1]Sales Order'!A:N,14,FALSE),"Not Specified")</f>
        <v>UK</v>
      </c>
      <c r="Q986" t="str">
        <f>VLOOKUP(VLOOKUP(B986,[1]Product!A:C,3,FALSE),[1]Supplier!A:B,2,FALSE)</f>
        <v>Supplier QQYEU</v>
      </c>
      <c r="R986" t="str">
        <f>VLOOKUP(VLOOKUP(B986,[1]Product!A:C,3,FALSE),[1]Supplier!A:I,9,FALSE)</f>
        <v>Sweden</v>
      </c>
      <c r="S986" t="str">
        <f>IFERROR(IF(VLOOKUP(A986,'[1]Sales Order'!A:H,8,FALSE)&gt;100,"High Freight","Low Freight"),"Not Specified")</f>
        <v>Low Freight</v>
      </c>
      <c r="T986">
        <f t="shared" si="31"/>
        <v>90</v>
      </c>
    </row>
    <row r="987" spans="1:20">
      <c r="A987" s="1">
        <v>10621</v>
      </c>
      <c r="B987" s="2">
        <v>70</v>
      </c>
      <c r="C987" s="2">
        <v>15</v>
      </c>
      <c r="D987" s="2">
        <v>20</v>
      </c>
      <c r="E987" s="3">
        <v>0</v>
      </c>
      <c r="F987" s="2" t="str">
        <f>IFERROR(VLOOKUP(VLOOKUP(A987,'[1]Sales Order'!A:B,2,FALSE),[1]Customer!A:C,3,FALSE),"Not Specified")</f>
        <v>Lee, Frank</v>
      </c>
      <c r="G987" s="2" t="str">
        <f t="shared" si="30"/>
        <v>Lee Frank</v>
      </c>
      <c r="H987" s="8" t="str">
        <f>IFERROR(VLOOKUP(VLOOKUP(A987,'[1]Sales Order'!A:C,3,FALSE),[1]Employee!A:E,5,FALSE)&amp;" "&amp;VLOOKUP(VLOOKUP(A987,'[1]Sales Order'!A:C,3,FALSE),[1]Employee!A:C,3,FALSE)&amp;" "&amp;VLOOKUP(VLOOKUP(A987,'[1]Sales Order'!A:C,3,FALSE),[1]Employee!A:B,2,FALSE),"Not Specified")</f>
        <v>Mrs. Yael Peled</v>
      </c>
      <c r="I987" t="str">
        <f>IFERROR(VLOOKUP(VLOOKUP(A987,'[1]Sales Order'!A:C,3,FALSE),[1]Employee!A:J,10,FALSE),"Not Specified")</f>
        <v>WA</v>
      </c>
      <c r="J987" t="str">
        <f>VLOOKUP(B987,[1]Product!A:B,2,FALSE)</f>
        <v>Product TOONT</v>
      </c>
      <c r="K987" t="str">
        <f>VLOOKUP(VLOOKUP(B987,[1]Product!A:D,4,FALSE),[1]Category!A:B,2,FALSE)</f>
        <v>Beverages</v>
      </c>
      <c r="L987" s="10">
        <f>IFERROR(VLOOKUP(A987,'[1]Sales Order'!A:D,4,FALSE),"")</f>
        <v>39299</v>
      </c>
      <c r="M987" s="10">
        <f>IFERROR(VLOOKUP(A987,'[1]Sales Order'!A:F,6,FALSE),"")</f>
        <v>39305</v>
      </c>
      <c r="N987" t="str">
        <f>IFERROR(VLOOKUP(VLOOKUP(A987,'[1]Sales Order'!A:G,7,FALSE),[1]Shipper!A:B,2,FALSE),"Not Specified")</f>
        <v>Shipper ETYNR</v>
      </c>
      <c r="O987" t="str">
        <f>IFERROR(VLOOKUP(A987,'[1]Sales Order'!A:I,9,FALSE),"Not Specified")</f>
        <v>Destination LMVGS</v>
      </c>
      <c r="P987" t="str">
        <f>IFERROR(VLOOKUP(A987,'[1]Sales Order'!A:N,14,FALSE),"Not Specified")</f>
        <v>UK</v>
      </c>
      <c r="Q987" t="str">
        <f>VLOOKUP(VLOOKUP(B987,[1]Product!A:C,3,FALSE),[1]Supplier!A:B,2,FALSE)</f>
        <v>Supplier GQRCV</v>
      </c>
      <c r="R987" t="str">
        <f>VLOOKUP(VLOOKUP(B987,[1]Product!A:C,3,FALSE),[1]Supplier!A:I,9,FALSE)</f>
        <v>Australia</v>
      </c>
      <c r="S987" t="str">
        <f>IFERROR(IF(VLOOKUP(A987,'[1]Sales Order'!A:H,8,FALSE)&gt;100,"High Freight","Low Freight"),"Not Specified")</f>
        <v>Low Freight</v>
      </c>
      <c r="T987">
        <f t="shared" si="31"/>
        <v>300</v>
      </c>
    </row>
    <row r="988" spans="1:20">
      <c r="A988" s="1">
        <v>10621</v>
      </c>
      <c r="B988" s="2">
        <v>71</v>
      </c>
      <c r="C988" s="2">
        <v>21.5</v>
      </c>
      <c r="D988" s="2">
        <v>15</v>
      </c>
      <c r="E988" s="3">
        <v>0</v>
      </c>
      <c r="F988" s="2" t="str">
        <f>IFERROR(VLOOKUP(VLOOKUP(A988,'[1]Sales Order'!A:B,2,FALSE),[1]Customer!A:C,3,FALSE),"Not Specified")</f>
        <v>Lee, Frank</v>
      </c>
      <c r="G988" s="2" t="str">
        <f t="shared" si="30"/>
        <v>Lee Frank</v>
      </c>
      <c r="H988" s="8" t="str">
        <f>IFERROR(VLOOKUP(VLOOKUP(A988,'[1]Sales Order'!A:C,3,FALSE),[1]Employee!A:E,5,FALSE)&amp;" "&amp;VLOOKUP(VLOOKUP(A988,'[1]Sales Order'!A:C,3,FALSE),[1]Employee!A:C,3,FALSE)&amp;" "&amp;VLOOKUP(VLOOKUP(A988,'[1]Sales Order'!A:C,3,FALSE),[1]Employee!A:B,2,FALSE),"Not Specified")</f>
        <v>Mrs. Yael Peled</v>
      </c>
      <c r="I988" t="str">
        <f>IFERROR(VLOOKUP(VLOOKUP(A988,'[1]Sales Order'!A:C,3,FALSE),[1]Employee!A:J,10,FALSE),"Not Specified")</f>
        <v>WA</v>
      </c>
      <c r="J988" t="str">
        <f>VLOOKUP(B988,[1]Product!A:B,2,FALSE)</f>
        <v>Product MYMOI</v>
      </c>
      <c r="K988" t="str">
        <f>VLOOKUP(VLOOKUP(B988,[1]Product!A:D,4,FALSE),[1]Category!A:B,2,FALSE)</f>
        <v>Dairy Product</v>
      </c>
      <c r="L988" s="10">
        <f>IFERROR(VLOOKUP(A988,'[1]Sales Order'!A:D,4,FALSE),"")</f>
        <v>39299</v>
      </c>
      <c r="M988" s="10">
        <f>IFERROR(VLOOKUP(A988,'[1]Sales Order'!A:F,6,FALSE),"")</f>
        <v>39305</v>
      </c>
      <c r="N988" t="str">
        <f>IFERROR(VLOOKUP(VLOOKUP(A988,'[1]Sales Order'!A:G,7,FALSE),[1]Shipper!A:B,2,FALSE),"Not Specified")</f>
        <v>Shipper ETYNR</v>
      </c>
      <c r="O988" t="str">
        <f>IFERROR(VLOOKUP(A988,'[1]Sales Order'!A:I,9,FALSE),"Not Specified")</f>
        <v>Destination LMVGS</v>
      </c>
      <c r="P988" t="str">
        <f>IFERROR(VLOOKUP(A988,'[1]Sales Order'!A:N,14,FALSE),"Not Specified")</f>
        <v>UK</v>
      </c>
      <c r="Q988" t="str">
        <f>VLOOKUP(VLOOKUP(B988,[1]Product!A:C,3,FALSE),[1]Supplier!A:B,2,FALSE)</f>
        <v>Supplier NZLIF</v>
      </c>
      <c r="R988" t="str">
        <f>VLOOKUP(VLOOKUP(B988,[1]Product!A:C,3,FALSE),[1]Supplier!A:I,9,FALSE)</f>
        <v>Norway</v>
      </c>
      <c r="S988" t="str">
        <f>IFERROR(IF(VLOOKUP(A988,'[1]Sales Order'!A:H,8,FALSE)&gt;100,"High Freight","Low Freight"),"Not Specified")</f>
        <v>Low Freight</v>
      </c>
      <c r="T988">
        <f t="shared" si="31"/>
        <v>322.5</v>
      </c>
    </row>
    <row r="989" spans="1:20">
      <c r="A989" s="1">
        <v>10622</v>
      </c>
      <c r="B989" s="2">
        <v>2</v>
      </c>
      <c r="C989" s="2">
        <v>19</v>
      </c>
      <c r="D989" s="2">
        <v>20</v>
      </c>
      <c r="E989" s="3">
        <v>0</v>
      </c>
      <c r="F989" s="2" t="str">
        <f>IFERROR(VLOOKUP(VLOOKUP(A989,'[1]Sales Order'!A:B,2,FALSE),[1]Customer!A:C,3,FALSE),"Not Specified")</f>
        <v>Garden, Euan</v>
      </c>
      <c r="G989" s="2" t="str">
        <f t="shared" si="30"/>
        <v>Garden Euan</v>
      </c>
      <c r="H989" s="8" t="str">
        <f>IFERROR(VLOOKUP(VLOOKUP(A989,'[1]Sales Order'!A:C,3,FALSE),[1]Employee!A:E,5,FALSE)&amp;" "&amp;VLOOKUP(VLOOKUP(A989,'[1]Sales Order'!A:C,3,FALSE),[1]Employee!A:C,3,FALSE)&amp;" "&amp;VLOOKUP(VLOOKUP(A989,'[1]Sales Order'!A:C,3,FALSE),[1]Employee!A:B,2,FALSE),"Not Specified")</f>
        <v>Mrs. Yael Peled</v>
      </c>
      <c r="I989" t="str">
        <f>IFERROR(VLOOKUP(VLOOKUP(A989,'[1]Sales Order'!A:C,3,FALSE),[1]Employee!A:J,10,FALSE),"Not Specified")</f>
        <v>WA</v>
      </c>
      <c r="J989" t="str">
        <f>VLOOKUP(B989,[1]Product!A:B,2,FALSE)</f>
        <v>Product RECZE</v>
      </c>
      <c r="K989" t="str">
        <f>VLOOKUP(VLOOKUP(B989,[1]Product!A:D,4,FALSE),[1]Category!A:B,2,FALSE)</f>
        <v>Beverages</v>
      </c>
      <c r="L989" s="10">
        <f>IFERROR(VLOOKUP(A989,'[1]Sales Order'!A:D,4,FALSE),"")</f>
        <v>39300</v>
      </c>
      <c r="M989" s="10">
        <f>IFERROR(VLOOKUP(A989,'[1]Sales Order'!A:F,6,FALSE),"")</f>
        <v>39305</v>
      </c>
      <c r="N989" t="str">
        <f>IFERROR(VLOOKUP(VLOOKUP(A989,'[1]Sales Order'!A:G,7,FALSE),[1]Shipper!A:B,2,FALSE),"Not Specified")</f>
        <v>Shipper ZHISN</v>
      </c>
      <c r="O989" t="str">
        <f>IFERROR(VLOOKUP(A989,'[1]Sales Order'!A:I,9,FALSE),"Not Specified")</f>
        <v>Ship to 67-A</v>
      </c>
      <c r="P989" t="str">
        <f>IFERROR(VLOOKUP(A989,'[1]Sales Order'!A:N,14,FALSE),"Not Specified")</f>
        <v>Brazil</v>
      </c>
      <c r="Q989" t="str">
        <f>VLOOKUP(VLOOKUP(B989,[1]Product!A:C,3,FALSE),[1]Supplier!A:B,2,FALSE)</f>
        <v>Supplier SWRXU</v>
      </c>
      <c r="R989" t="str">
        <f>VLOOKUP(VLOOKUP(B989,[1]Product!A:C,3,FALSE),[1]Supplier!A:I,9,FALSE)</f>
        <v>UK</v>
      </c>
      <c r="S989" t="str">
        <f>IFERROR(IF(VLOOKUP(A989,'[1]Sales Order'!A:H,8,FALSE)&gt;100,"High Freight","Low Freight"),"Not Specified")</f>
        <v>Low Freight</v>
      </c>
      <c r="T989">
        <f t="shared" si="31"/>
        <v>380</v>
      </c>
    </row>
    <row r="990" spans="1:20">
      <c r="A990" s="1">
        <v>10622</v>
      </c>
      <c r="B990" s="2">
        <v>68</v>
      </c>
      <c r="C990" s="2">
        <v>12.5</v>
      </c>
      <c r="D990" s="2">
        <v>18</v>
      </c>
      <c r="E990" s="3">
        <v>0.2</v>
      </c>
      <c r="F990" s="2" t="str">
        <f>IFERROR(VLOOKUP(VLOOKUP(A990,'[1]Sales Order'!A:B,2,FALSE),[1]Customer!A:C,3,FALSE),"Not Specified")</f>
        <v>Garden, Euan</v>
      </c>
      <c r="G990" s="2" t="str">
        <f t="shared" si="30"/>
        <v>Garden Euan</v>
      </c>
      <c r="H990" s="8" t="str">
        <f>IFERROR(VLOOKUP(VLOOKUP(A990,'[1]Sales Order'!A:C,3,FALSE),[1]Employee!A:E,5,FALSE)&amp;" "&amp;VLOOKUP(VLOOKUP(A990,'[1]Sales Order'!A:C,3,FALSE),[1]Employee!A:C,3,FALSE)&amp;" "&amp;VLOOKUP(VLOOKUP(A990,'[1]Sales Order'!A:C,3,FALSE),[1]Employee!A:B,2,FALSE),"Not Specified")</f>
        <v>Mrs. Yael Peled</v>
      </c>
      <c r="I990" t="str">
        <f>IFERROR(VLOOKUP(VLOOKUP(A990,'[1]Sales Order'!A:C,3,FALSE),[1]Employee!A:J,10,FALSE),"Not Specified")</f>
        <v>WA</v>
      </c>
      <c r="J990" t="str">
        <f>VLOOKUP(B990,[1]Product!A:B,2,FALSE)</f>
        <v>Product TBTBL</v>
      </c>
      <c r="K990" t="str">
        <f>VLOOKUP(VLOOKUP(B990,[1]Product!A:D,4,FALSE),[1]Category!A:B,2,FALSE)</f>
        <v>Confections</v>
      </c>
      <c r="L990" s="10">
        <f>IFERROR(VLOOKUP(A990,'[1]Sales Order'!A:D,4,FALSE),"")</f>
        <v>39300</v>
      </c>
      <c r="M990" s="10">
        <f>IFERROR(VLOOKUP(A990,'[1]Sales Order'!A:F,6,FALSE),"")</f>
        <v>39305</v>
      </c>
      <c r="N990" t="str">
        <f>IFERROR(VLOOKUP(VLOOKUP(A990,'[1]Sales Order'!A:G,7,FALSE),[1]Shipper!A:B,2,FALSE),"Not Specified")</f>
        <v>Shipper ZHISN</v>
      </c>
      <c r="O990" t="str">
        <f>IFERROR(VLOOKUP(A990,'[1]Sales Order'!A:I,9,FALSE),"Not Specified")</f>
        <v>Ship to 67-A</v>
      </c>
      <c r="P990" t="str">
        <f>IFERROR(VLOOKUP(A990,'[1]Sales Order'!A:N,14,FALSE),"Not Specified")</f>
        <v>Brazil</v>
      </c>
      <c r="Q990" t="str">
        <f>VLOOKUP(VLOOKUP(B990,[1]Product!A:C,3,FALSE),[1]Supplier!A:B,2,FALSE)</f>
        <v>Supplier BWGYE</v>
      </c>
      <c r="R990" t="str">
        <f>VLOOKUP(VLOOKUP(B990,[1]Product!A:C,3,FALSE),[1]Supplier!A:I,9,FALSE)</f>
        <v>UK</v>
      </c>
      <c r="S990" t="str">
        <f>IFERROR(IF(VLOOKUP(A990,'[1]Sales Order'!A:H,8,FALSE)&gt;100,"High Freight","Low Freight"),"Not Specified")</f>
        <v>Low Freight</v>
      </c>
      <c r="T990">
        <f t="shared" si="31"/>
        <v>180</v>
      </c>
    </row>
    <row r="991" spans="1:20">
      <c r="A991" s="1">
        <v>10623</v>
      </c>
      <c r="B991" s="2">
        <v>14</v>
      </c>
      <c r="C991" s="2">
        <v>23.25</v>
      </c>
      <c r="D991" s="2">
        <v>21</v>
      </c>
      <c r="E991" s="3">
        <v>0</v>
      </c>
      <c r="F991" s="2" t="str">
        <f>IFERROR(VLOOKUP(VLOOKUP(A991,'[1]Sales Order'!A:B,2,FALSE),[1]Customer!A:C,3,FALSE),"Not Specified")</f>
        <v>Carlson, Jason</v>
      </c>
      <c r="G991" s="2" t="str">
        <f t="shared" si="30"/>
        <v>Carlson Jason</v>
      </c>
      <c r="H991" s="8" t="str">
        <f>IFERROR(VLOOKUP(VLOOKUP(A991,'[1]Sales Order'!A:C,3,FALSE),[1]Employee!A:E,5,FALSE)&amp;" "&amp;VLOOKUP(VLOOKUP(A991,'[1]Sales Order'!A:C,3,FALSE),[1]Employee!A:C,3,FALSE)&amp;" "&amp;VLOOKUP(VLOOKUP(A991,'[1]Sales Order'!A:C,3,FALSE),[1]Employee!A:B,2,FALSE),"Not Specified")</f>
        <v>Ms. Maria Cameron</v>
      </c>
      <c r="I991" t="str">
        <f>IFERROR(VLOOKUP(VLOOKUP(A991,'[1]Sales Order'!A:C,3,FALSE),[1]Employee!A:J,10,FALSE),"Not Specified")</f>
        <v>WA</v>
      </c>
      <c r="J991" t="str">
        <f>VLOOKUP(B991,[1]Product!A:B,2,FALSE)</f>
        <v>Product PWCJB</v>
      </c>
      <c r="K991" t="str">
        <f>VLOOKUP(VLOOKUP(B991,[1]Product!A:D,4,FALSE),[1]Category!A:B,2,FALSE)</f>
        <v>Produce</v>
      </c>
      <c r="L991" s="10">
        <f>IFERROR(VLOOKUP(A991,'[1]Sales Order'!A:D,4,FALSE),"")</f>
        <v>39301</v>
      </c>
      <c r="M991" s="10">
        <f>IFERROR(VLOOKUP(A991,'[1]Sales Order'!A:F,6,FALSE),"")</f>
        <v>39306</v>
      </c>
      <c r="N991" t="str">
        <f>IFERROR(VLOOKUP(VLOOKUP(A991,'[1]Sales Order'!A:G,7,FALSE),[1]Shipper!A:B,2,FALSE),"Not Specified")</f>
        <v>Shipper ETYNR</v>
      </c>
      <c r="O991" t="str">
        <f>IFERROR(VLOOKUP(A991,'[1]Sales Order'!A:I,9,FALSE),"Not Specified")</f>
        <v>Destination VAPXU</v>
      </c>
      <c r="P991" t="str">
        <f>IFERROR(VLOOKUP(A991,'[1]Sales Order'!A:N,14,FALSE),"Not Specified")</f>
        <v>Germany</v>
      </c>
      <c r="Q991" t="str">
        <f>VLOOKUP(VLOOKUP(B991,[1]Product!A:C,3,FALSE),[1]Supplier!A:B,2,FALSE)</f>
        <v>Supplier QWUSF</v>
      </c>
      <c r="R991" t="str">
        <f>VLOOKUP(VLOOKUP(B991,[1]Product!A:C,3,FALSE),[1]Supplier!A:I,9,FALSE)</f>
        <v>Japan</v>
      </c>
      <c r="S991" t="str">
        <f>IFERROR(IF(VLOOKUP(A991,'[1]Sales Order'!A:H,8,FALSE)&gt;100,"High Freight","Low Freight"),"Not Specified")</f>
        <v>Low Freight</v>
      </c>
      <c r="T991">
        <f t="shared" si="31"/>
        <v>488.25</v>
      </c>
    </row>
    <row r="992" spans="1:20">
      <c r="A992" s="1">
        <v>10623</v>
      </c>
      <c r="B992" s="2">
        <v>19</v>
      </c>
      <c r="C992" s="2">
        <v>9.1999999999999993</v>
      </c>
      <c r="D992" s="2">
        <v>15</v>
      </c>
      <c r="E992" s="3">
        <v>0.1</v>
      </c>
      <c r="F992" s="2" t="str">
        <f>IFERROR(VLOOKUP(VLOOKUP(A992,'[1]Sales Order'!A:B,2,FALSE),[1]Customer!A:C,3,FALSE),"Not Specified")</f>
        <v>Carlson, Jason</v>
      </c>
      <c r="G992" s="2" t="str">
        <f t="shared" si="30"/>
        <v>Carlson Jason</v>
      </c>
      <c r="H992" s="8" t="str">
        <f>IFERROR(VLOOKUP(VLOOKUP(A992,'[1]Sales Order'!A:C,3,FALSE),[1]Employee!A:E,5,FALSE)&amp;" "&amp;VLOOKUP(VLOOKUP(A992,'[1]Sales Order'!A:C,3,FALSE),[1]Employee!A:C,3,FALSE)&amp;" "&amp;VLOOKUP(VLOOKUP(A992,'[1]Sales Order'!A:C,3,FALSE),[1]Employee!A:B,2,FALSE),"Not Specified")</f>
        <v>Ms. Maria Cameron</v>
      </c>
      <c r="I992" t="str">
        <f>IFERROR(VLOOKUP(VLOOKUP(A992,'[1]Sales Order'!A:C,3,FALSE),[1]Employee!A:J,10,FALSE),"Not Specified")</f>
        <v>WA</v>
      </c>
      <c r="J992" t="str">
        <f>VLOOKUP(B992,[1]Product!A:B,2,FALSE)</f>
        <v>Product XKXDO</v>
      </c>
      <c r="K992" t="str">
        <f>VLOOKUP(VLOOKUP(B992,[1]Product!A:D,4,FALSE),[1]Category!A:B,2,FALSE)</f>
        <v>Confections</v>
      </c>
      <c r="L992" s="10">
        <f>IFERROR(VLOOKUP(A992,'[1]Sales Order'!A:D,4,FALSE),"")</f>
        <v>39301</v>
      </c>
      <c r="M992" s="10">
        <f>IFERROR(VLOOKUP(A992,'[1]Sales Order'!A:F,6,FALSE),"")</f>
        <v>39306</v>
      </c>
      <c r="N992" t="str">
        <f>IFERROR(VLOOKUP(VLOOKUP(A992,'[1]Sales Order'!A:G,7,FALSE),[1]Shipper!A:B,2,FALSE),"Not Specified")</f>
        <v>Shipper ETYNR</v>
      </c>
      <c r="O992" t="str">
        <f>IFERROR(VLOOKUP(A992,'[1]Sales Order'!A:I,9,FALSE),"Not Specified")</f>
        <v>Destination VAPXU</v>
      </c>
      <c r="P992" t="str">
        <f>IFERROR(VLOOKUP(A992,'[1]Sales Order'!A:N,14,FALSE),"Not Specified")</f>
        <v>Germany</v>
      </c>
      <c r="Q992" t="str">
        <f>VLOOKUP(VLOOKUP(B992,[1]Product!A:C,3,FALSE),[1]Supplier!A:B,2,FALSE)</f>
        <v>Supplier BWGYE</v>
      </c>
      <c r="R992" t="str">
        <f>VLOOKUP(VLOOKUP(B992,[1]Product!A:C,3,FALSE),[1]Supplier!A:I,9,FALSE)</f>
        <v>UK</v>
      </c>
      <c r="S992" t="str">
        <f>IFERROR(IF(VLOOKUP(A992,'[1]Sales Order'!A:H,8,FALSE)&gt;100,"High Freight","Low Freight"),"Not Specified")</f>
        <v>Low Freight</v>
      </c>
      <c r="T992">
        <f t="shared" si="31"/>
        <v>124.2</v>
      </c>
    </row>
    <row r="993" spans="1:20">
      <c r="A993" s="1">
        <v>10623</v>
      </c>
      <c r="B993" s="2">
        <v>21</v>
      </c>
      <c r="C993" s="2">
        <v>10</v>
      </c>
      <c r="D993" s="2">
        <v>25</v>
      </c>
      <c r="E993" s="3">
        <v>0.1</v>
      </c>
      <c r="F993" s="2" t="str">
        <f>IFERROR(VLOOKUP(VLOOKUP(A993,'[1]Sales Order'!A:B,2,FALSE),[1]Customer!A:C,3,FALSE),"Not Specified")</f>
        <v>Carlson, Jason</v>
      </c>
      <c r="G993" s="2" t="str">
        <f t="shared" si="30"/>
        <v>Carlson Jason</v>
      </c>
      <c r="H993" s="8" t="str">
        <f>IFERROR(VLOOKUP(VLOOKUP(A993,'[1]Sales Order'!A:C,3,FALSE),[1]Employee!A:E,5,FALSE)&amp;" "&amp;VLOOKUP(VLOOKUP(A993,'[1]Sales Order'!A:C,3,FALSE),[1]Employee!A:C,3,FALSE)&amp;" "&amp;VLOOKUP(VLOOKUP(A993,'[1]Sales Order'!A:C,3,FALSE),[1]Employee!A:B,2,FALSE),"Not Specified")</f>
        <v>Ms. Maria Cameron</v>
      </c>
      <c r="I993" t="str">
        <f>IFERROR(VLOOKUP(VLOOKUP(A993,'[1]Sales Order'!A:C,3,FALSE),[1]Employee!A:J,10,FALSE),"Not Specified")</f>
        <v>WA</v>
      </c>
      <c r="J993" t="str">
        <f>VLOOKUP(B993,[1]Product!A:B,2,FALSE)</f>
        <v>Product VJZZH</v>
      </c>
      <c r="K993" t="str">
        <f>VLOOKUP(VLOOKUP(B993,[1]Product!A:D,4,FALSE),[1]Category!A:B,2,FALSE)</f>
        <v>Confections</v>
      </c>
      <c r="L993" s="10">
        <f>IFERROR(VLOOKUP(A993,'[1]Sales Order'!A:D,4,FALSE),"")</f>
        <v>39301</v>
      </c>
      <c r="M993" s="10">
        <f>IFERROR(VLOOKUP(A993,'[1]Sales Order'!A:F,6,FALSE),"")</f>
        <v>39306</v>
      </c>
      <c r="N993" t="str">
        <f>IFERROR(VLOOKUP(VLOOKUP(A993,'[1]Sales Order'!A:G,7,FALSE),[1]Shipper!A:B,2,FALSE),"Not Specified")</f>
        <v>Shipper ETYNR</v>
      </c>
      <c r="O993" t="str">
        <f>IFERROR(VLOOKUP(A993,'[1]Sales Order'!A:I,9,FALSE),"Not Specified")</f>
        <v>Destination VAPXU</v>
      </c>
      <c r="P993" t="str">
        <f>IFERROR(VLOOKUP(A993,'[1]Sales Order'!A:N,14,FALSE),"Not Specified")</f>
        <v>Germany</v>
      </c>
      <c r="Q993" t="str">
        <f>VLOOKUP(VLOOKUP(B993,[1]Product!A:C,3,FALSE),[1]Supplier!A:B,2,FALSE)</f>
        <v>Supplier BWGYE</v>
      </c>
      <c r="R993" t="str">
        <f>VLOOKUP(VLOOKUP(B993,[1]Product!A:C,3,FALSE),[1]Supplier!A:I,9,FALSE)</f>
        <v>UK</v>
      </c>
      <c r="S993" t="str">
        <f>IFERROR(IF(VLOOKUP(A993,'[1]Sales Order'!A:H,8,FALSE)&gt;100,"High Freight","Low Freight"),"Not Specified")</f>
        <v>Low Freight</v>
      </c>
      <c r="T993">
        <f t="shared" si="31"/>
        <v>225</v>
      </c>
    </row>
    <row r="994" spans="1:20">
      <c r="A994" s="1">
        <v>10623</v>
      </c>
      <c r="B994" s="2">
        <v>24</v>
      </c>
      <c r="C994" s="2">
        <v>4.5</v>
      </c>
      <c r="D994" s="2">
        <v>3</v>
      </c>
      <c r="E994" s="3">
        <v>0</v>
      </c>
      <c r="F994" s="2" t="str">
        <f>IFERROR(VLOOKUP(VLOOKUP(A994,'[1]Sales Order'!A:B,2,FALSE),[1]Customer!A:C,3,FALSE),"Not Specified")</f>
        <v>Carlson, Jason</v>
      </c>
      <c r="G994" s="2" t="str">
        <f t="shared" si="30"/>
        <v>Carlson Jason</v>
      </c>
      <c r="H994" s="8" t="str">
        <f>IFERROR(VLOOKUP(VLOOKUP(A994,'[1]Sales Order'!A:C,3,FALSE),[1]Employee!A:E,5,FALSE)&amp;" "&amp;VLOOKUP(VLOOKUP(A994,'[1]Sales Order'!A:C,3,FALSE),[1]Employee!A:C,3,FALSE)&amp;" "&amp;VLOOKUP(VLOOKUP(A994,'[1]Sales Order'!A:C,3,FALSE),[1]Employee!A:B,2,FALSE),"Not Specified")</f>
        <v>Ms. Maria Cameron</v>
      </c>
      <c r="I994" t="str">
        <f>IFERROR(VLOOKUP(VLOOKUP(A994,'[1]Sales Order'!A:C,3,FALSE),[1]Employee!A:J,10,FALSE),"Not Specified")</f>
        <v>WA</v>
      </c>
      <c r="J994" t="str">
        <f>VLOOKUP(B994,[1]Product!A:B,2,FALSE)</f>
        <v>Product QOGNU</v>
      </c>
      <c r="K994" t="str">
        <f>VLOOKUP(VLOOKUP(B994,[1]Product!A:D,4,FALSE),[1]Category!A:B,2,FALSE)</f>
        <v>Beverages</v>
      </c>
      <c r="L994" s="10">
        <f>IFERROR(VLOOKUP(A994,'[1]Sales Order'!A:D,4,FALSE),"")</f>
        <v>39301</v>
      </c>
      <c r="M994" s="10">
        <f>IFERROR(VLOOKUP(A994,'[1]Sales Order'!A:F,6,FALSE),"")</f>
        <v>39306</v>
      </c>
      <c r="N994" t="str">
        <f>IFERROR(VLOOKUP(VLOOKUP(A994,'[1]Sales Order'!A:G,7,FALSE),[1]Shipper!A:B,2,FALSE),"Not Specified")</f>
        <v>Shipper ETYNR</v>
      </c>
      <c r="O994" t="str">
        <f>IFERROR(VLOOKUP(A994,'[1]Sales Order'!A:I,9,FALSE),"Not Specified")</f>
        <v>Destination VAPXU</v>
      </c>
      <c r="P994" t="str">
        <f>IFERROR(VLOOKUP(A994,'[1]Sales Order'!A:N,14,FALSE),"Not Specified")</f>
        <v>Germany</v>
      </c>
      <c r="Q994" t="str">
        <f>VLOOKUP(VLOOKUP(B994,[1]Product!A:C,3,FALSE),[1]Supplier!A:B,2,FALSE)</f>
        <v>Supplier UNAHG</v>
      </c>
      <c r="R994" t="str">
        <f>VLOOKUP(VLOOKUP(B994,[1]Product!A:C,3,FALSE),[1]Supplier!A:I,9,FALSE)</f>
        <v>Brazil</v>
      </c>
      <c r="S994" t="str">
        <f>IFERROR(IF(VLOOKUP(A994,'[1]Sales Order'!A:H,8,FALSE)&gt;100,"High Freight","Low Freight"),"Not Specified")</f>
        <v>Low Freight</v>
      </c>
      <c r="T994">
        <f t="shared" si="31"/>
        <v>13.5</v>
      </c>
    </row>
    <row r="995" spans="1:20">
      <c r="A995" s="1">
        <v>10623</v>
      </c>
      <c r="B995" s="2">
        <v>35</v>
      </c>
      <c r="C995" s="2">
        <v>18</v>
      </c>
      <c r="D995" s="2">
        <v>30</v>
      </c>
      <c r="E995" s="3">
        <v>0.1</v>
      </c>
      <c r="F995" s="2" t="str">
        <f>IFERROR(VLOOKUP(VLOOKUP(A995,'[1]Sales Order'!A:B,2,FALSE),[1]Customer!A:C,3,FALSE),"Not Specified")</f>
        <v>Carlson, Jason</v>
      </c>
      <c r="G995" s="2" t="str">
        <f t="shared" si="30"/>
        <v>Carlson Jason</v>
      </c>
      <c r="H995" s="8" t="str">
        <f>IFERROR(VLOOKUP(VLOOKUP(A995,'[1]Sales Order'!A:C,3,FALSE),[1]Employee!A:E,5,FALSE)&amp;" "&amp;VLOOKUP(VLOOKUP(A995,'[1]Sales Order'!A:C,3,FALSE),[1]Employee!A:C,3,FALSE)&amp;" "&amp;VLOOKUP(VLOOKUP(A995,'[1]Sales Order'!A:C,3,FALSE),[1]Employee!A:B,2,FALSE),"Not Specified")</f>
        <v>Ms. Maria Cameron</v>
      </c>
      <c r="I995" t="str">
        <f>IFERROR(VLOOKUP(VLOOKUP(A995,'[1]Sales Order'!A:C,3,FALSE),[1]Employee!A:J,10,FALSE),"Not Specified")</f>
        <v>WA</v>
      </c>
      <c r="J995" t="str">
        <f>VLOOKUP(B995,[1]Product!A:B,2,FALSE)</f>
        <v>Product NEVTJ</v>
      </c>
      <c r="K995" t="str">
        <f>VLOOKUP(VLOOKUP(B995,[1]Product!A:D,4,FALSE),[1]Category!A:B,2,FALSE)</f>
        <v>Beverages</v>
      </c>
      <c r="L995" s="10">
        <f>IFERROR(VLOOKUP(A995,'[1]Sales Order'!A:D,4,FALSE),"")</f>
        <v>39301</v>
      </c>
      <c r="M995" s="10">
        <f>IFERROR(VLOOKUP(A995,'[1]Sales Order'!A:F,6,FALSE),"")</f>
        <v>39306</v>
      </c>
      <c r="N995" t="str">
        <f>IFERROR(VLOOKUP(VLOOKUP(A995,'[1]Sales Order'!A:G,7,FALSE),[1]Shipper!A:B,2,FALSE),"Not Specified")</f>
        <v>Shipper ETYNR</v>
      </c>
      <c r="O995" t="str">
        <f>IFERROR(VLOOKUP(A995,'[1]Sales Order'!A:I,9,FALSE),"Not Specified")</f>
        <v>Destination VAPXU</v>
      </c>
      <c r="P995" t="str">
        <f>IFERROR(VLOOKUP(A995,'[1]Sales Order'!A:N,14,FALSE),"Not Specified")</f>
        <v>Germany</v>
      </c>
      <c r="Q995" t="str">
        <f>VLOOKUP(VLOOKUP(B995,[1]Product!A:C,3,FALSE),[1]Supplier!A:B,2,FALSE)</f>
        <v>Supplier UHZRG</v>
      </c>
      <c r="R995" t="str">
        <f>VLOOKUP(VLOOKUP(B995,[1]Product!A:C,3,FALSE),[1]Supplier!A:I,9,FALSE)</f>
        <v>USA</v>
      </c>
      <c r="S995" t="str">
        <f>IFERROR(IF(VLOOKUP(A995,'[1]Sales Order'!A:H,8,FALSE)&gt;100,"High Freight","Low Freight"),"Not Specified")</f>
        <v>Low Freight</v>
      </c>
      <c r="T995">
        <f t="shared" si="31"/>
        <v>486</v>
      </c>
    </row>
    <row r="996" spans="1:20">
      <c r="A996" s="1">
        <v>10624</v>
      </c>
      <c r="B996" s="2">
        <v>28</v>
      </c>
      <c r="C996" s="2">
        <v>45.6</v>
      </c>
      <c r="D996" s="2">
        <v>10</v>
      </c>
      <c r="E996" s="3">
        <v>0</v>
      </c>
      <c r="F996" s="2" t="str">
        <f>IFERROR(VLOOKUP(VLOOKUP(A996,'[1]Sales Order'!A:B,2,FALSE),[1]Customer!A:C,3,FALSE),"Not Specified")</f>
        <v>Young, Robin</v>
      </c>
      <c r="G996" s="2" t="str">
        <f t="shared" si="30"/>
        <v>Young Robin</v>
      </c>
      <c r="H996" s="8" t="str">
        <f>IFERROR(VLOOKUP(VLOOKUP(A996,'[1]Sales Order'!A:C,3,FALSE),[1]Employee!A:E,5,FALSE)&amp;" "&amp;VLOOKUP(VLOOKUP(A996,'[1]Sales Order'!A:C,3,FALSE),[1]Employee!A:C,3,FALSE)&amp;" "&amp;VLOOKUP(VLOOKUP(A996,'[1]Sales Order'!A:C,3,FALSE),[1]Employee!A:B,2,FALSE),"Not Specified")</f>
        <v>Mrs. Yael Peled</v>
      </c>
      <c r="I996" t="str">
        <f>IFERROR(VLOOKUP(VLOOKUP(A996,'[1]Sales Order'!A:C,3,FALSE),[1]Employee!A:J,10,FALSE),"Not Specified")</f>
        <v>WA</v>
      </c>
      <c r="J996" t="str">
        <f>VLOOKUP(B996,[1]Product!A:B,2,FALSE)</f>
        <v>Product OFBNT</v>
      </c>
      <c r="K996" t="str">
        <f>VLOOKUP(VLOOKUP(B996,[1]Product!A:D,4,FALSE),[1]Category!A:B,2,FALSE)</f>
        <v>Produce</v>
      </c>
      <c r="L996" s="10">
        <f>IFERROR(VLOOKUP(A996,'[1]Sales Order'!A:D,4,FALSE),"")</f>
        <v>39301</v>
      </c>
      <c r="M996" s="10">
        <f>IFERROR(VLOOKUP(A996,'[1]Sales Order'!A:F,6,FALSE),"")</f>
        <v>39313</v>
      </c>
      <c r="N996" t="str">
        <f>IFERROR(VLOOKUP(VLOOKUP(A996,'[1]Sales Order'!A:G,7,FALSE),[1]Shipper!A:B,2,FALSE),"Not Specified")</f>
        <v>Shipper ETYNR</v>
      </c>
      <c r="O996" t="str">
        <f>IFERROR(VLOOKUP(A996,'[1]Sales Order'!A:I,9,FALSE),"Not Specified")</f>
        <v>Ship to 78-C</v>
      </c>
      <c r="P996" t="str">
        <f>IFERROR(VLOOKUP(A996,'[1]Sales Order'!A:N,14,FALSE),"Not Specified")</f>
        <v>USA</v>
      </c>
      <c r="Q996" t="str">
        <f>VLOOKUP(VLOOKUP(B996,[1]Product!A:C,3,FALSE),[1]Supplier!A:B,2,FALSE)</f>
        <v>Supplier SVIYA</v>
      </c>
      <c r="R996" t="str">
        <f>VLOOKUP(VLOOKUP(B996,[1]Product!A:C,3,FALSE),[1]Supplier!A:I,9,FALSE)</f>
        <v>Germany</v>
      </c>
      <c r="S996" t="str">
        <f>IFERROR(IF(VLOOKUP(A996,'[1]Sales Order'!A:H,8,FALSE)&gt;100,"High Freight","Low Freight"),"Not Specified")</f>
        <v>Low Freight</v>
      </c>
      <c r="T996">
        <f t="shared" si="31"/>
        <v>456</v>
      </c>
    </row>
    <row r="997" spans="1:20">
      <c r="A997" s="1">
        <v>10624</v>
      </c>
      <c r="B997" s="2">
        <v>29</v>
      </c>
      <c r="C997" s="2">
        <v>123.79</v>
      </c>
      <c r="D997" s="2">
        <v>6</v>
      </c>
      <c r="E997" s="3">
        <v>0</v>
      </c>
      <c r="F997" s="2" t="str">
        <f>IFERROR(VLOOKUP(VLOOKUP(A997,'[1]Sales Order'!A:B,2,FALSE),[1]Customer!A:C,3,FALSE),"Not Specified")</f>
        <v>Young, Robin</v>
      </c>
      <c r="G997" s="2" t="str">
        <f t="shared" si="30"/>
        <v>Young Robin</v>
      </c>
      <c r="H997" s="8" t="str">
        <f>IFERROR(VLOOKUP(VLOOKUP(A997,'[1]Sales Order'!A:C,3,FALSE),[1]Employee!A:E,5,FALSE)&amp;" "&amp;VLOOKUP(VLOOKUP(A997,'[1]Sales Order'!A:C,3,FALSE),[1]Employee!A:C,3,FALSE)&amp;" "&amp;VLOOKUP(VLOOKUP(A997,'[1]Sales Order'!A:C,3,FALSE),[1]Employee!A:B,2,FALSE),"Not Specified")</f>
        <v>Mrs. Yael Peled</v>
      </c>
      <c r="I997" t="str">
        <f>IFERROR(VLOOKUP(VLOOKUP(A997,'[1]Sales Order'!A:C,3,FALSE),[1]Employee!A:J,10,FALSE),"Not Specified")</f>
        <v>WA</v>
      </c>
      <c r="J997" t="str">
        <f>VLOOKUP(B997,[1]Product!A:B,2,FALSE)</f>
        <v>Product VJXYN</v>
      </c>
      <c r="K997" t="str">
        <f>VLOOKUP(VLOOKUP(B997,[1]Product!A:D,4,FALSE),[1]Category!A:B,2,FALSE)</f>
        <v>Meat/Poultry</v>
      </c>
      <c r="L997" s="10">
        <f>IFERROR(VLOOKUP(A997,'[1]Sales Order'!A:D,4,FALSE),"")</f>
        <v>39301</v>
      </c>
      <c r="M997" s="10">
        <f>IFERROR(VLOOKUP(A997,'[1]Sales Order'!A:F,6,FALSE),"")</f>
        <v>39313</v>
      </c>
      <c r="N997" t="str">
        <f>IFERROR(VLOOKUP(VLOOKUP(A997,'[1]Sales Order'!A:G,7,FALSE),[1]Shipper!A:B,2,FALSE),"Not Specified")</f>
        <v>Shipper ETYNR</v>
      </c>
      <c r="O997" t="str">
        <f>IFERROR(VLOOKUP(A997,'[1]Sales Order'!A:I,9,FALSE),"Not Specified")</f>
        <v>Ship to 78-C</v>
      </c>
      <c r="P997" t="str">
        <f>IFERROR(VLOOKUP(A997,'[1]Sales Order'!A:N,14,FALSE),"Not Specified")</f>
        <v>USA</v>
      </c>
      <c r="Q997" t="str">
        <f>VLOOKUP(VLOOKUP(B997,[1]Product!A:C,3,FALSE),[1]Supplier!A:B,2,FALSE)</f>
        <v>Supplier SVIYA</v>
      </c>
      <c r="R997" t="str">
        <f>VLOOKUP(VLOOKUP(B997,[1]Product!A:C,3,FALSE),[1]Supplier!A:I,9,FALSE)</f>
        <v>Germany</v>
      </c>
      <c r="S997" t="str">
        <f>IFERROR(IF(VLOOKUP(A997,'[1]Sales Order'!A:H,8,FALSE)&gt;100,"High Freight","Low Freight"),"Not Specified")</f>
        <v>Low Freight</v>
      </c>
      <c r="T997">
        <f t="shared" si="31"/>
        <v>742.74</v>
      </c>
    </row>
    <row r="998" spans="1:20">
      <c r="A998" s="1">
        <v>10624</v>
      </c>
      <c r="B998" s="2">
        <v>44</v>
      </c>
      <c r="C998" s="2">
        <v>19.45</v>
      </c>
      <c r="D998" s="2">
        <v>10</v>
      </c>
      <c r="E998" s="3">
        <v>0</v>
      </c>
      <c r="F998" s="2" t="str">
        <f>IFERROR(VLOOKUP(VLOOKUP(A998,'[1]Sales Order'!A:B,2,FALSE),[1]Customer!A:C,3,FALSE),"Not Specified")</f>
        <v>Young, Robin</v>
      </c>
      <c r="G998" s="2" t="str">
        <f t="shared" si="30"/>
        <v>Young Robin</v>
      </c>
      <c r="H998" s="8" t="str">
        <f>IFERROR(VLOOKUP(VLOOKUP(A998,'[1]Sales Order'!A:C,3,FALSE),[1]Employee!A:E,5,FALSE)&amp;" "&amp;VLOOKUP(VLOOKUP(A998,'[1]Sales Order'!A:C,3,FALSE),[1]Employee!A:C,3,FALSE)&amp;" "&amp;VLOOKUP(VLOOKUP(A998,'[1]Sales Order'!A:C,3,FALSE),[1]Employee!A:B,2,FALSE),"Not Specified")</f>
        <v>Mrs. Yael Peled</v>
      </c>
      <c r="I998" t="str">
        <f>IFERROR(VLOOKUP(VLOOKUP(A998,'[1]Sales Order'!A:C,3,FALSE),[1]Employee!A:J,10,FALSE),"Not Specified")</f>
        <v>WA</v>
      </c>
      <c r="J998" t="str">
        <f>VLOOKUP(B998,[1]Product!A:B,2,FALSE)</f>
        <v>Product VJIEO</v>
      </c>
      <c r="K998" t="str">
        <f>VLOOKUP(VLOOKUP(B998,[1]Product!A:D,4,FALSE),[1]Category!A:B,2,FALSE)</f>
        <v>Condiments</v>
      </c>
      <c r="L998" s="10">
        <f>IFERROR(VLOOKUP(A998,'[1]Sales Order'!A:D,4,FALSE),"")</f>
        <v>39301</v>
      </c>
      <c r="M998" s="10">
        <f>IFERROR(VLOOKUP(A998,'[1]Sales Order'!A:F,6,FALSE),"")</f>
        <v>39313</v>
      </c>
      <c r="N998" t="str">
        <f>IFERROR(VLOOKUP(VLOOKUP(A998,'[1]Sales Order'!A:G,7,FALSE),[1]Shipper!A:B,2,FALSE),"Not Specified")</f>
        <v>Shipper ETYNR</v>
      </c>
      <c r="O998" t="str">
        <f>IFERROR(VLOOKUP(A998,'[1]Sales Order'!A:I,9,FALSE),"Not Specified")</f>
        <v>Ship to 78-C</v>
      </c>
      <c r="P998" t="str">
        <f>IFERROR(VLOOKUP(A998,'[1]Sales Order'!A:N,14,FALSE),"Not Specified")</f>
        <v>USA</v>
      </c>
      <c r="Q998" t="str">
        <f>VLOOKUP(VLOOKUP(B998,[1]Product!A:C,3,FALSE),[1]Supplier!A:B,2,FALSE)</f>
        <v>Supplier CIYNM</v>
      </c>
      <c r="R998" t="str">
        <f>VLOOKUP(VLOOKUP(B998,[1]Product!A:C,3,FALSE),[1]Supplier!A:I,9,FALSE)</f>
        <v>Singapore</v>
      </c>
      <c r="S998" t="str">
        <f>IFERROR(IF(VLOOKUP(A998,'[1]Sales Order'!A:H,8,FALSE)&gt;100,"High Freight","Low Freight"),"Not Specified")</f>
        <v>Low Freight</v>
      </c>
      <c r="T998">
        <f t="shared" si="31"/>
        <v>194.5</v>
      </c>
    </row>
    <row r="999" spans="1:20">
      <c r="A999" s="1">
        <v>10625</v>
      </c>
      <c r="B999" s="2">
        <v>14</v>
      </c>
      <c r="C999" s="2">
        <v>23.25</v>
      </c>
      <c r="D999" s="2">
        <v>3</v>
      </c>
      <c r="E999" s="3">
        <v>0</v>
      </c>
      <c r="F999" s="2" t="str">
        <f>IFERROR(VLOOKUP(VLOOKUP(A999,'[1]Sales Order'!A:B,2,FALSE),[1]Customer!A:C,3,FALSE),"Not Specified")</f>
        <v>Hassall, Mark</v>
      </c>
      <c r="G999" s="2" t="str">
        <f t="shared" si="30"/>
        <v>Hassall Mark</v>
      </c>
      <c r="H999" s="8" t="str">
        <f>IFERROR(VLOOKUP(VLOOKUP(A999,'[1]Sales Order'!A:C,3,FALSE),[1]Employee!A:E,5,FALSE)&amp;" "&amp;VLOOKUP(VLOOKUP(A999,'[1]Sales Order'!A:C,3,FALSE),[1]Employee!A:C,3,FALSE)&amp;" "&amp;VLOOKUP(VLOOKUP(A999,'[1]Sales Order'!A:C,3,FALSE),[1]Employee!A:B,2,FALSE),"Not Specified")</f>
        <v>Ms. Judy Lew</v>
      </c>
      <c r="I999" t="str">
        <f>IFERROR(VLOOKUP(VLOOKUP(A999,'[1]Sales Order'!A:C,3,FALSE),[1]Employee!A:J,10,FALSE),"Not Specified")</f>
        <v>WA</v>
      </c>
      <c r="J999" t="str">
        <f>VLOOKUP(B999,[1]Product!A:B,2,FALSE)</f>
        <v>Product PWCJB</v>
      </c>
      <c r="K999" t="str">
        <f>VLOOKUP(VLOOKUP(B999,[1]Product!A:D,4,FALSE),[1]Category!A:B,2,FALSE)</f>
        <v>Produce</v>
      </c>
      <c r="L999" s="10">
        <f>IFERROR(VLOOKUP(A999,'[1]Sales Order'!A:D,4,FALSE),"")</f>
        <v>39302</v>
      </c>
      <c r="M999" s="10">
        <f>IFERROR(VLOOKUP(A999,'[1]Sales Order'!A:F,6,FALSE),"")</f>
        <v>39308</v>
      </c>
      <c r="N999" t="str">
        <f>IFERROR(VLOOKUP(VLOOKUP(A999,'[1]Sales Order'!A:G,7,FALSE),[1]Shipper!A:B,2,FALSE),"Not Specified")</f>
        <v>Shipper GVSUA</v>
      </c>
      <c r="O999" t="str">
        <f>IFERROR(VLOOKUP(A999,'[1]Sales Order'!A:I,9,FALSE),"Not Specified")</f>
        <v>Destination QOTQA</v>
      </c>
      <c r="P999" t="str">
        <f>IFERROR(VLOOKUP(A999,'[1]Sales Order'!A:N,14,FALSE),"Not Specified")</f>
        <v>Mexico</v>
      </c>
      <c r="Q999" t="str">
        <f>VLOOKUP(VLOOKUP(B999,[1]Product!A:C,3,FALSE),[1]Supplier!A:B,2,FALSE)</f>
        <v>Supplier QWUSF</v>
      </c>
      <c r="R999" t="str">
        <f>VLOOKUP(VLOOKUP(B999,[1]Product!A:C,3,FALSE),[1]Supplier!A:I,9,FALSE)</f>
        <v>Japan</v>
      </c>
      <c r="S999" t="str">
        <f>IFERROR(IF(VLOOKUP(A999,'[1]Sales Order'!A:H,8,FALSE)&gt;100,"High Freight","Low Freight"),"Not Specified")</f>
        <v>Low Freight</v>
      </c>
      <c r="T999">
        <f t="shared" si="31"/>
        <v>69.75</v>
      </c>
    </row>
    <row r="1000" spans="1:20">
      <c r="A1000" s="1">
        <v>10625</v>
      </c>
      <c r="B1000" s="2">
        <v>42</v>
      </c>
      <c r="C1000" s="2">
        <v>14</v>
      </c>
      <c r="D1000" s="2">
        <v>5</v>
      </c>
      <c r="E1000" s="3">
        <v>0</v>
      </c>
      <c r="F1000" s="2" t="str">
        <f>IFERROR(VLOOKUP(VLOOKUP(A1000,'[1]Sales Order'!A:B,2,FALSE),[1]Customer!A:C,3,FALSE),"Not Specified")</f>
        <v>Hassall, Mark</v>
      </c>
      <c r="G1000" s="2" t="str">
        <f t="shared" si="30"/>
        <v>Hassall Mark</v>
      </c>
      <c r="H1000" s="8" t="str">
        <f>IFERROR(VLOOKUP(VLOOKUP(A1000,'[1]Sales Order'!A:C,3,FALSE),[1]Employee!A:E,5,FALSE)&amp;" "&amp;VLOOKUP(VLOOKUP(A1000,'[1]Sales Order'!A:C,3,FALSE),[1]Employee!A:C,3,FALSE)&amp;" "&amp;VLOOKUP(VLOOKUP(A1000,'[1]Sales Order'!A:C,3,FALSE),[1]Employee!A:B,2,FALSE),"Not Specified")</f>
        <v>Ms. Judy Lew</v>
      </c>
      <c r="I1000" t="str">
        <f>IFERROR(VLOOKUP(VLOOKUP(A1000,'[1]Sales Order'!A:C,3,FALSE),[1]Employee!A:J,10,FALSE),"Not Specified")</f>
        <v>WA</v>
      </c>
      <c r="J1000" t="str">
        <f>VLOOKUP(B1000,[1]Product!A:B,2,FALSE)</f>
        <v>Product RJVNM</v>
      </c>
      <c r="K1000" t="str">
        <f>VLOOKUP(VLOOKUP(B1000,[1]Product!A:D,4,FALSE),[1]Category!A:B,2,FALSE)</f>
        <v>Grains/Cereals</v>
      </c>
      <c r="L1000" s="10">
        <f>IFERROR(VLOOKUP(A1000,'[1]Sales Order'!A:D,4,FALSE),"")</f>
        <v>39302</v>
      </c>
      <c r="M1000" s="10">
        <f>IFERROR(VLOOKUP(A1000,'[1]Sales Order'!A:F,6,FALSE),"")</f>
        <v>39308</v>
      </c>
      <c r="N1000" t="str">
        <f>IFERROR(VLOOKUP(VLOOKUP(A1000,'[1]Sales Order'!A:G,7,FALSE),[1]Shipper!A:B,2,FALSE),"Not Specified")</f>
        <v>Shipper GVSUA</v>
      </c>
      <c r="O1000" t="str">
        <f>IFERROR(VLOOKUP(A1000,'[1]Sales Order'!A:I,9,FALSE),"Not Specified")</f>
        <v>Destination QOTQA</v>
      </c>
      <c r="P1000" t="str">
        <f>IFERROR(VLOOKUP(A1000,'[1]Sales Order'!A:N,14,FALSE),"Not Specified")</f>
        <v>Mexico</v>
      </c>
      <c r="Q1000" t="str">
        <f>VLOOKUP(VLOOKUP(B1000,[1]Product!A:C,3,FALSE),[1]Supplier!A:B,2,FALSE)</f>
        <v>Supplier CIYNM</v>
      </c>
      <c r="R1000" t="str">
        <f>VLOOKUP(VLOOKUP(B1000,[1]Product!A:C,3,FALSE),[1]Supplier!A:I,9,FALSE)</f>
        <v>Singapore</v>
      </c>
      <c r="S1000" t="str">
        <f>IFERROR(IF(VLOOKUP(A1000,'[1]Sales Order'!A:H,8,FALSE)&gt;100,"High Freight","Low Freight"),"Not Specified")</f>
        <v>Low Freight</v>
      </c>
      <c r="T1000">
        <f t="shared" si="31"/>
        <v>70</v>
      </c>
    </row>
    <row r="1001" spans="1:20">
      <c r="A1001" s="1">
        <v>10625</v>
      </c>
      <c r="B1001" s="2">
        <v>60</v>
      </c>
      <c r="C1001" s="2">
        <v>34</v>
      </c>
      <c r="D1001" s="2">
        <v>10</v>
      </c>
      <c r="E1001" s="3">
        <v>0</v>
      </c>
      <c r="F1001" s="2" t="str">
        <f>IFERROR(VLOOKUP(VLOOKUP(A1001,'[1]Sales Order'!A:B,2,FALSE),[1]Customer!A:C,3,FALSE),"Not Specified")</f>
        <v>Hassall, Mark</v>
      </c>
      <c r="G1001" s="2" t="str">
        <f t="shared" si="30"/>
        <v>Hassall Mark</v>
      </c>
      <c r="H1001" s="8" t="str">
        <f>IFERROR(VLOOKUP(VLOOKUP(A1001,'[1]Sales Order'!A:C,3,FALSE),[1]Employee!A:E,5,FALSE)&amp;" "&amp;VLOOKUP(VLOOKUP(A1001,'[1]Sales Order'!A:C,3,FALSE),[1]Employee!A:C,3,FALSE)&amp;" "&amp;VLOOKUP(VLOOKUP(A1001,'[1]Sales Order'!A:C,3,FALSE),[1]Employee!A:B,2,FALSE),"Not Specified")</f>
        <v>Ms. Judy Lew</v>
      </c>
      <c r="I1001" t="str">
        <f>IFERROR(VLOOKUP(VLOOKUP(A1001,'[1]Sales Order'!A:C,3,FALSE),[1]Employee!A:J,10,FALSE),"Not Specified")</f>
        <v>WA</v>
      </c>
      <c r="J1001" t="str">
        <f>VLOOKUP(B1001,[1]Product!A:B,2,FALSE)</f>
        <v>Product WHBYK</v>
      </c>
      <c r="K1001" t="str">
        <f>VLOOKUP(VLOOKUP(B1001,[1]Product!A:D,4,FALSE),[1]Category!A:B,2,FALSE)</f>
        <v>Dairy Product</v>
      </c>
      <c r="L1001" s="10">
        <f>IFERROR(VLOOKUP(A1001,'[1]Sales Order'!A:D,4,FALSE),"")</f>
        <v>39302</v>
      </c>
      <c r="M1001" s="10">
        <f>IFERROR(VLOOKUP(A1001,'[1]Sales Order'!A:F,6,FALSE),"")</f>
        <v>39308</v>
      </c>
      <c r="N1001" t="str">
        <f>IFERROR(VLOOKUP(VLOOKUP(A1001,'[1]Sales Order'!A:G,7,FALSE),[1]Shipper!A:B,2,FALSE),"Not Specified")</f>
        <v>Shipper GVSUA</v>
      </c>
      <c r="O1001" t="str">
        <f>IFERROR(VLOOKUP(A1001,'[1]Sales Order'!A:I,9,FALSE),"Not Specified")</f>
        <v>Destination QOTQA</v>
      </c>
      <c r="P1001" t="str">
        <f>IFERROR(VLOOKUP(A1001,'[1]Sales Order'!A:N,14,FALSE),"Not Specified")</f>
        <v>Mexico</v>
      </c>
      <c r="Q1001" t="str">
        <f>VLOOKUP(VLOOKUP(B1001,[1]Product!A:C,3,FALSE),[1]Supplier!A:B,2,FALSE)</f>
        <v>Supplier OAVQT</v>
      </c>
      <c r="R1001" t="str">
        <f>VLOOKUP(VLOOKUP(B1001,[1]Product!A:C,3,FALSE),[1]Supplier!A:I,9,FALSE)</f>
        <v>France</v>
      </c>
      <c r="S1001" t="str">
        <f>IFERROR(IF(VLOOKUP(A1001,'[1]Sales Order'!A:H,8,FALSE)&gt;100,"High Freight","Low Freight"),"Not Specified")</f>
        <v>Low Freight</v>
      </c>
      <c r="T1001">
        <f t="shared" si="31"/>
        <v>340</v>
      </c>
    </row>
    <row r="1002" spans="1:20">
      <c r="A1002" s="1">
        <v>10626</v>
      </c>
      <c r="B1002" s="2">
        <v>53</v>
      </c>
      <c r="C1002" s="2">
        <v>32.799999999999997</v>
      </c>
      <c r="D1002" s="2">
        <v>12</v>
      </c>
      <c r="E1002" s="3">
        <v>0</v>
      </c>
      <c r="F1002" s="2" t="str">
        <f>IFERROR(VLOOKUP(VLOOKUP(A1002,'[1]Sales Order'!A:B,2,FALSE),[1]Customer!A:C,3,FALSE),"Not Specified")</f>
        <v>Higginbotham, Tom</v>
      </c>
      <c r="G1002" s="2" t="str">
        <f t="shared" si="30"/>
        <v>Higginbotham Tom</v>
      </c>
      <c r="H1002" s="8" t="str">
        <f>IFERROR(VLOOKUP(VLOOKUP(A1002,'[1]Sales Order'!A:C,3,FALSE),[1]Employee!A:E,5,FALSE)&amp;" "&amp;VLOOKUP(VLOOKUP(A1002,'[1]Sales Order'!A:C,3,FALSE),[1]Employee!A:C,3,FALSE)&amp;" "&amp;VLOOKUP(VLOOKUP(A1002,'[1]Sales Order'!A:C,3,FALSE),[1]Employee!A:B,2,FALSE),"Not Specified")</f>
        <v>Ms. Sara Davis</v>
      </c>
      <c r="I1002" t="str">
        <f>IFERROR(VLOOKUP(VLOOKUP(A1002,'[1]Sales Order'!A:C,3,FALSE),[1]Employee!A:J,10,FALSE),"Not Specified")</f>
        <v>WA</v>
      </c>
      <c r="J1002" t="str">
        <f>VLOOKUP(B1002,[1]Product!A:B,2,FALSE)</f>
        <v>Product BKGEA</v>
      </c>
      <c r="K1002" t="str">
        <f>VLOOKUP(VLOOKUP(B1002,[1]Product!A:D,4,FALSE),[1]Category!A:B,2,FALSE)</f>
        <v>Meat/Poultry</v>
      </c>
      <c r="L1002" s="10">
        <f>IFERROR(VLOOKUP(A1002,'[1]Sales Order'!A:D,4,FALSE),"")</f>
        <v>39305</v>
      </c>
      <c r="M1002" s="10">
        <f>IFERROR(VLOOKUP(A1002,'[1]Sales Order'!A:F,6,FALSE),"")</f>
        <v>39314</v>
      </c>
      <c r="N1002" t="str">
        <f>IFERROR(VLOOKUP(VLOOKUP(A1002,'[1]Sales Order'!A:G,7,FALSE),[1]Shipper!A:B,2,FALSE),"Not Specified")</f>
        <v>Shipper ETYNR</v>
      </c>
      <c r="O1002" t="str">
        <f>IFERROR(VLOOKUP(A1002,'[1]Sales Order'!A:I,9,FALSE),"Not Specified")</f>
        <v>Ship to 5-A</v>
      </c>
      <c r="P1002" t="str">
        <f>IFERROR(VLOOKUP(A1002,'[1]Sales Order'!A:N,14,FALSE),"Not Specified")</f>
        <v>Sweden</v>
      </c>
      <c r="Q1002" t="str">
        <f>VLOOKUP(VLOOKUP(B1002,[1]Product!A:C,3,FALSE),[1]Supplier!A:B,2,FALSE)</f>
        <v>Supplier JNNES</v>
      </c>
      <c r="R1002" t="str">
        <f>VLOOKUP(VLOOKUP(B1002,[1]Product!A:C,3,FALSE),[1]Supplier!A:I,9,FALSE)</f>
        <v>Australia</v>
      </c>
      <c r="S1002" t="str">
        <f>IFERROR(IF(VLOOKUP(A1002,'[1]Sales Order'!A:H,8,FALSE)&gt;100,"High Freight","Low Freight"),"Not Specified")</f>
        <v>High Freight</v>
      </c>
      <c r="T1002">
        <f t="shared" si="31"/>
        <v>393.59999999999997</v>
      </c>
    </row>
    <row r="1003" spans="1:20">
      <c r="A1003" s="1">
        <v>10626</v>
      </c>
      <c r="B1003" s="2">
        <v>60</v>
      </c>
      <c r="C1003" s="2">
        <v>34</v>
      </c>
      <c r="D1003" s="2">
        <v>20</v>
      </c>
      <c r="E1003" s="3">
        <v>0</v>
      </c>
      <c r="F1003" s="2" t="str">
        <f>IFERROR(VLOOKUP(VLOOKUP(A1003,'[1]Sales Order'!A:B,2,FALSE),[1]Customer!A:C,3,FALSE),"Not Specified")</f>
        <v>Higginbotham, Tom</v>
      </c>
      <c r="G1003" s="2" t="str">
        <f t="shared" si="30"/>
        <v>Higginbotham Tom</v>
      </c>
      <c r="H1003" s="8" t="str">
        <f>IFERROR(VLOOKUP(VLOOKUP(A1003,'[1]Sales Order'!A:C,3,FALSE),[1]Employee!A:E,5,FALSE)&amp;" "&amp;VLOOKUP(VLOOKUP(A1003,'[1]Sales Order'!A:C,3,FALSE),[1]Employee!A:C,3,FALSE)&amp;" "&amp;VLOOKUP(VLOOKUP(A1003,'[1]Sales Order'!A:C,3,FALSE),[1]Employee!A:B,2,FALSE),"Not Specified")</f>
        <v>Ms. Sara Davis</v>
      </c>
      <c r="I1003" t="str">
        <f>IFERROR(VLOOKUP(VLOOKUP(A1003,'[1]Sales Order'!A:C,3,FALSE),[1]Employee!A:J,10,FALSE),"Not Specified")</f>
        <v>WA</v>
      </c>
      <c r="J1003" t="str">
        <f>VLOOKUP(B1003,[1]Product!A:B,2,FALSE)</f>
        <v>Product WHBYK</v>
      </c>
      <c r="K1003" t="str">
        <f>VLOOKUP(VLOOKUP(B1003,[1]Product!A:D,4,FALSE),[1]Category!A:B,2,FALSE)</f>
        <v>Dairy Product</v>
      </c>
      <c r="L1003" s="10">
        <f>IFERROR(VLOOKUP(A1003,'[1]Sales Order'!A:D,4,FALSE),"")</f>
        <v>39305</v>
      </c>
      <c r="M1003" s="10">
        <f>IFERROR(VLOOKUP(A1003,'[1]Sales Order'!A:F,6,FALSE),"")</f>
        <v>39314</v>
      </c>
      <c r="N1003" t="str">
        <f>IFERROR(VLOOKUP(VLOOKUP(A1003,'[1]Sales Order'!A:G,7,FALSE),[1]Shipper!A:B,2,FALSE),"Not Specified")</f>
        <v>Shipper ETYNR</v>
      </c>
      <c r="O1003" t="str">
        <f>IFERROR(VLOOKUP(A1003,'[1]Sales Order'!A:I,9,FALSE),"Not Specified")</f>
        <v>Ship to 5-A</v>
      </c>
      <c r="P1003" t="str">
        <f>IFERROR(VLOOKUP(A1003,'[1]Sales Order'!A:N,14,FALSE),"Not Specified")</f>
        <v>Sweden</v>
      </c>
      <c r="Q1003" t="str">
        <f>VLOOKUP(VLOOKUP(B1003,[1]Product!A:C,3,FALSE),[1]Supplier!A:B,2,FALSE)</f>
        <v>Supplier OAVQT</v>
      </c>
      <c r="R1003" t="str">
        <f>VLOOKUP(VLOOKUP(B1003,[1]Product!A:C,3,FALSE),[1]Supplier!A:I,9,FALSE)</f>
        <v>France</v>
      </c>
      <c r="S1003" t="str">
        <f>IFERROR(IF(VLOOKUP(A1003,'[1]Sales Order'!A:H,8,FALSE)&gt;100,"High Freight","Low Freight"),"Not Specified")</f>
        <v>High Freight</v>
      </c>
      <c r="T1003">
        <f t="shared" si="31"/>
        <v>680</v>
      </c>
    </row>
    <row r="1004" spans="1:20">
      <c r="A1004" s="1">
        <v>10626</v>
      </c>
      <c r="B1004" s="2">
        <v>71</v>
      </c>
      <c r="C1004" s="2">
        <v>21.5</v>
      </c>
      <c r="D1004" s="2">
        <v>20</v>
      </c>
      <c r="E1004" s="3">
        <v>0</v>
      </c>
      <c r="F1004" s="2" t="str">
        <f>IFERROR(VLOOKUP(VLOOKUP(A1004,'[1]Sales Order'!A:B,2,FALSE),[1]Customer!A:C,3,FALSE),"Not Specified")</f>
        <v>Higginbotham, Tom</v>
      </c>
      <c r="G1004" s="2" t="str">
        <f t="shared" si="30"/>
        <v>Higginbotham Tom</v>
      </c>
      <c r="H1004" s="8" t="str">
        <f>IFERROR(VLOOKUP(VLOOKUP(A1004,'[1]Sales Order'!A:C,3,FALSE),[1]Employee!A:E,5,FALSE)&amp;" "&amp;VLOOKUP(VLOOKUP(A1004,'[1]Sales Order'!A:C,3,FALSE),[1]Employee!A:C,3,FALSE)&amp;" "&amp;VLOOKUP(VLOOKUP(A1004,'[1]Sales Order'!A:C,3,FALSE),[1]Employee!A:B,2,FALSE),"Not Specified")</f>
        <v>Ms. Sara Davis</v>
      </c>
      <c r="I1004" t="str">
        <f>IFERROR(VLOOKUP(VLOOKUP(A1004,'[1]Sales Order'!A:C,3,FALSE),[1]Employee!A:J,10,FALSE),"Not Specified")</f>
        <v>WA</v>
      </c>
      <c r="J1004" t="str">
        <f>VLOOKUP(B1004,[1]Product!A:B,2,FALSE)</f>
        <v>Product MYMOI</v>
      </c>
      <c r="K1004" t="str">
        <f>VLOOKUP(VLOOKUP(B1004,[1]Product!A:D,4,FALSE),[1]Category!A:B,2,FALSE)</f>
        <v>Dairy Product</v>
      </c>
      <c r="L1004" s="10">
        <f>IFERROR(VLOOKUP(A1004,'[1]Sales Order'!A:D,4,FALSE),"")</f>
        <v>39305</v>
      </c>
      <c r="M1004" s="10">
        <f>IFERROR(VLOOKUP(A1004,'[1]Sales Order'!A:F,6,FALSE),"")</f>
        <v>39314</v>
      </c>
      <c r="N1004" t="str">
        <f>IFERROR(VLOOKUP(VLOOKUP(A1004,'[1]Sales Order'!A:G,7,FALSE),[1]Shipper!A:B,2,FALSE),"Not Specified")</f>
        <v>Shipper ETYNR</v>
      </c>
      <c r="O1004" t="str">
        <f>IFERROR(VLOOKUP(A1004,'[1]Sales Order'!A:I,9,FALSE),"Not Specified")</f>
        <v>Ship to 5-A</v>
      </c>
      <c r="P1004" t="str">
        <f>IFERROR(VLOOKUP(A1004,'[1]Sales Order'!A:N,14,FALSE),"Not Specified")</f>
        <v>Sweden</v>
      </c>
      <c r="Q1004" t="str">
        <f>VLOOKUP(VLOOKUP(B1004,[1]Product!A:C,3,FALSE),[1]Supplier!A:B,2,FALSE)</f>
        <v>Supplier NZLIF</v>
      </c>
      <c r="R1004" t="str">
        <f>VLOOKUP(VLOOKUP(B1004,[1]Product!A:C,3,FALSE),[1]Supplier!A:I,9,FALSE)</f>
        <v>Norway</v>
      </c>
      <c r="S1004" t="str">
        <f>IFERROR(IF(VLOOKUP(A1004,'[1]Sales Order'!A:H,8,FALSE)&gt;100,"High Freight","Low Freight"),"Not Specified")</f>
        <v>High Freight</v>
      </c>
      <c r="T1004">
        <f t="shared" si="31"/>
        <v>430</v>
      </c>
    </row>
    <row r="1005" spans="1:20">
      <c r="A1005" s="1">
        <v>10627</v>
      </c>
      <c r="B1005" s="2">
        <v>62</v>
      </c>
      <c r="C1005" s="2">
        <v>49.3</v>
      </c>
      <c r="D1005" s="2">
        <v>15</v>
      </c>
      <c r="E1005" s="3">
        <v>0</v>
      </c>
      <c r="F1005" s="2" t="str">
        <f>IFERROR(VLOOKUP(VLOOKUP(A1005,'[1]Sales Order'!A:B,2,FALSE),[1]Customer!A:C,3,FALSE),"Not Specified")</f>
        <v>Navarro, Tomás</v>
      </c>
      <c r="G1005" s="2" t="str">
        <f t="shared" si="30"/>
        <v>Navarro Tomás</v>
      </c>
      <c r="H1005" s="8" t="str">
        <f>IFERROR(VLOOKUP(VLOOKUP(A1005,'[1]Sales Order'!A:C,3,FALSE),[1]Employee!A:E,5,FALSE)&amp;" "&amp;VLOOKUP(VLOOKUP(A1005,'[1]Sales Order'!A:C,3,FALSE),[1]Employee!A:C,3,FALSE)&amp;" "&amp;VLOOKUP(VLOOKUP(A1005,'[1]Sales Order'!A:C,3,FALSE),[1]Employee!A:B,2,FALSE),"Not Specified")</f>
        <v>Ms. Maria Cameron</v>
      </c>
      <c r="I1005" t="str">
        <f>IFERROR(VLOOKUP(VLOOKUP(A1005,'[1]Sales Order'!A:C,3,FALSE),[1]Employee!A:J,10,FALSE),"Not Specified")</f>
        <v>WA</v>
      </c>
      <c r="J1005" t="str">
        <f>VLOOKUP(B1005,[1]Product!A:B,2,FALSE)</f>
        <v>Product WUXYK</v>
      </c>
      <c r="K1005" t="str">
        <f>VLOOKUP(VLOOKUP(B1005,[1]Product!A:D,4,FALSE),[1]Category!A:B,2,FALSE)</f>
        <v>Confections</v>
      </c>
      <c r="L1005" s="10">
        <f>IFERROR(VLOOKUP(A1005,'[1]Sales Order'!A:D,4,FALSE),"")</f>
        <v>39305</v>
      </c>
      <c r="M1005" s="10">
        <f>IFERROR(VLOOKUP(A1005,'[1]Sales Order'!A:F,6,FALSE),"")</f>
        <v>39315</v>
      </c>
      <c r="N1005" t="str">
        <f>IFERROR(VLOOKUP(VLOOKUP(A1005,'[1]Sales Order'!A:G,7,FALSE),[1]Shipper!A:B,2,FALSE),"Not Specified")</f>
        <v>Shipper ZHISN</v>
      </c>
      <c r="O1005" t="str">
        <f>IFERROR(VLOOKUP(A1005,'[1]Sales Order'!A:I,9,FALSE),"Not Specified")</f>
        <v>Ship to 71-B</v>
      </c>
      <c r="P1005" t="str">
        <f>IFERROR(VLOOKUP(A1005,'[1]Sales Order'!A:N,14,FALSE),"Not Specified")</f>
        <v>USA</v>
      </c>
      <c r="Q1005" t="str">
        <f>VLOOKUP(VLOOKUP(B1005,[1]Product!A:C,3,FALSE),[1]Supplier!A:B,2,FALSE)</f>
        <v>Supplier OGLRK</v>
      </c>
      <c r="R1005" t="str">
        <f>VLOOKUP(VLOOKUP(B1005,[1]Product!A:C,3,FALSE),[1]Supplier!A:I,9,FALSE)</f>
        <v>Canada</v>
      </c>
      <c r="S1005" t="str">
        <f>IFERROR(IF(VLOOKUP(A1005,'[1]Sales Order'!A:H,8,FALSE)&gt;100,"High Freight","Low Freight"),"Not Specified")</f>
        <v>High Freight</v>
      </c>
      <c r="T1005">
        <f t="shared" si="31"/>
        <v>739.5</v>
      </c>
    </row>
    <row r="1006" spans="1:20">
      <c r="A1006" s="1">
        <v>10627</v>
      </c>
      <c r="B1006" s="2">
        <v>73</v>
      </c>
      <c r="C1006" s="2">
        <v>15</v>
      </c>
      <c r="D1006" s="2">
        <v>35</v>
      </c>
      <c r="E1006" s="3">
        <v>0.15</v>
      </c>
      <c r="F1006" s="2" t="str">
        <f>IFERROR(VLOOKUP(VLOOKUP(A1006,'[1]Sales Order'!A:B,2,FALSE),[1]Customer!A:C,3,FALSE),"Not Specified")</f>
        <v>Navarro, Tomás</v>
      </c>
      <c r="G1006" s="2" t="str">
        <f t="shared" si="30"/>
        <v>Navarro Tomás</v>
      </c>
      <c r="H1006" s="8" t="str">
        <f>IFERROR(VLOOKUP(VLOOKUP(A1006,'[1]Sales Order'!A:C,3,FALSE),[1]Employee!A:E,5,FALSE)&amp;" "&amp;VLOOKUP(VLOOKUP(A1006,'[1]Sales Order'!A:C,3,FALSE),[1]Employee!A:C,3,FALSE)&amp;" "&amp;VLOOKUP(VLOOKUP(A1006,'[1]Sales Order'!A:C,3,FALSE),[1]Employee!A:B,2,FALSE),"Not Specified")</f>
        <v>Ms. Maria Cameron</v>
      </c>
      <c r="I1006" t="str">
        <f>IFERROR(VLOOKUP(VLOOKUP(A1006,'[1]Sales Order'!A:C,3,FALSE),[1]Employee!A:J,10,FALSE),"Not Specified")</f>
        <v>WA</v>
      </c>
      <c r="J1006" t="str">
        <f>VLOOKUP(B1006,[1]Product!A:B,2,FALSE)</f>
        <v>Product WEUJZ</v>
      </c>
      <c r="K1006" t="str">
        <f>VLOOKUP(VLOOKUP(B1006,[1]Product!A:D,4,FALSE),[1]Category!A:B,2,FALSE)</f>
        <v>Seafood</v>
      </c>
      <c r="L1006" s="10">
        <f>IFERROR(VLOOKUP(A1006,'[1]Sales Order'!A:D,4,FALSE),"")</f>
        <v>39305</v>
      </c>
      <c r="M1006" s="10">
        <f>IFERROR(VLOOKUP(A1006,'[1]Sales Order'!A:F,6,FALSE),"")</f>
        <v>39315</v>
      </c>
      <c r="N1006" t="str">
        <f>IFERROR(VLOOKUP(VLOOKUP(A1006,'[1]Sales Order'!A:G,7,FALSE),[1]Shipper!A:B,2,FALSE),"Not Specified")</f>
        <v>Shipper ZHISN</v>
      </c>
      <c r="O1006" t="str">
        <f>IFERROR(VLOOKUP(A1006,'[1]Sales Order'!A:I,9,FALSE),"Not Specified")</f>
        <v>Ship to 71-B</v>
      </c>
      <c r="P1006" t="str">
        <f>IFERROR(VLOOKUP(A1006,'[1]Sales Order'!A:N,14,FALSE),"Not Specified")</f>
        <v>USA</v>
      </c>
      <c r="Q1006" t="str">
        <f>VLOOKUP(VLOOKUP(B1006,[1]Product!A:C,3,FALSE),[1]Supplier!A:B,2,FALSE)</f>
        <v>Supplier QZGUF</v>
      </c>
      <c r="R1006" t="str">
        <f>VLOOKUP(VLOOKUP(B1006,[1]Product!A:C,3,FALSE),[1]Supplier!A:I,9,FALSE)</f>
        <v>Sweden</v>
      </c>
      <c r="S1006" t="str">
        <f>IFERROR(IF(VLOOKUP(A1006,'[1]Sales Order'!A:H,8,FALSE)&gt;100,"High Freight","Low Freight"),"Not Specified")</f>
        <v>High Freight</v>
      </c>
      <c r="T1006">
        <f t="shared" si="31"/>
        <v>446.25</v>
      </c>
    </row>
    <row r="1007" spans="1:20">
      <c r="A1007" s="1">
        <v>10628</v>
      </c>
      <c r="B1007" s="2">
        <v>1</v>
      </c>
      <c r="C1007" s="2">
        <v>18</v>
      </c>
      <c r="D1007" s="2">
        <v>25</v>
      </c>
      <c r="E1007" s="3">
        <v>0</v>
      </c>
      <c r="F1007" s="2" t="str">
        <f>IFERROR(VLOOKUP(VLOOKUP(A1007,'[1]Sales Order'!A:B,2,FALSE),[1]Customer!A:C,3,FALSE),"Not Specified")</f>
        <v>Bansal, Dushyant</v>
      </c>
      <c r="G1007" s="2" t="str">
        <f t="shared" si="30"/>
        <v>Bansal Dushyant</v>
      </c>
      <c r="H1007" s="8" t="str">
        <f>IFERROR(VLOOKUP(VLOOKUP(A1007,'[1]Sales Order'!A:C,3,FALSE),[1]Employee!A:E,5,FALSE)&amp;" "&amp;VLOOKUP(VLOOKUP(A1007,'[1]Sales Order'!A:C,3,FALSE),[1]Employee!A:C,3,FALSE)&amp;" "&amp;VLOOKUP(VLOOKUP(A1007,'[1]Sales Order'!A:C,3,FALSE),[1]Employee!A:B,2,FALSE),"Not Specified")</f>
        <v>Mrs. Yael Peled</v>
      </c>
      <c r="I1007" t="str">
        <f>IFERROR(VLOOKUP(VLOOKUP(A1007,'[1]Sales Order'!A:C,3,FALSE),[1]Employee!A:J,10,FALSE),"Not Specified")</f>
        <v>WA</v>
      </c>
      <c r="J1007" t="str">
        <f>VLOOKUP(B1007,[1]Product!A:B,2,FALSE)</f>
        <v>Product HHYDP</v>
      </c>
      <c r="K1007" t="str">
        <f>VLOOKUP(VLOOKUP(B1007,[1]Product!A:D,4,FALSE),[1]Category!A:B,2,FALSE)</f>
        <v>Beverages</v>
      </c>
      <c r="L1007" s="10">
        <f>IFERROR(VLOOKUP(A1007,'[1]Sales Order'!A:D,4,FALSE),"")</f>
        <v>39306</v>
      </c>
      <c r="M1007" s="10">
        <f>IFERROR(VLOOKUP(A1007,'[1]Sales Order'!A:F,6,FALSE),"")</f>
        <v>39314</v>
      </c>
      <c r="N1007" t="str">
        <f>IFERROR(VLOOKUP(VLOOKUP(A1007,'[1]Sales Order'!A:G,7,FALSE),[1]Shipper!A:B,2,FALSE),"Not Specified")</f>
        <v>Shipper ZHISN</v>
      </c>
      <c r="O1007" t="str">
        <f>IFERROR(VLOOKUP(A1007,'[1]Sales Order'!A:I,9,FALSE),"Not Specified")</f>
        <v>Ship to 7-B</v>
      </c>
      <c r="P1007" t="str">
        <f>IFERROR(VLOOKUP(A1007,'[1]Sales Order'!A:N,14,FALSE),"Not Specified")</f>
        <v>France</v>
      </c>
      <c r="Q1007" t="str">
        <f>VLOOKUP(VLOOKUP(B1007,[1]Product!A:C,3,FALSE),[1]Supplier!A:B,2,FALSE)</f>
        <v>Supplier SWRXU</v>
      </c>
      <c r="R1007" t="str">
        <f>VLOOKUP(VLOOKUP(B1007,[1]Product!A:C,3,FALSE),[1]Supplier!A:I,9,FALSE)</f>
        <v>UK</v>
      </c>
      <c r="S1007" t="str">
        <f>IFERROR(IF(VLOOKUP(A1007,'[1]Sales Order'!A:H,8,FALSE)&gt;100,"High Freight","Low Freight"),"Not Specified")</f>
        <v>Low Freight</v>
      </c>
      <c r="T1007">
        <f t="shared" si="31"/>
        <v>450</v>
      </c>
    </row>
    <row r="1008" spans="1:20">
      <c r="A1008" s="1">
        <v>10629</v>
      </c>
      <c r="B1008" s="2">
        <v>29</v>
      </c>
      <c r="C1008" s="2">
        <v>123.79</v>
      </c>
      <c r="D1008" s="2">
        <v>20</v>
      </c>
      <c r="E1008" s="3">
        <v>0</v>
      </c>
      <c r="F1008" s="2" t="str">
        <f>IFERROR(VLOOKUP(VLOOKUP(A1008,'[1]Sales Order'!A:B,2,FALSE),[1]Customer!A:C,3,FALSE),"Not Specified")</f>
        <v>Shabalin, Rostislav</v>
      </c>
      <c r="G1008" s="2" t="str">
        <f t="shared" si="30"/>
        <v>Shabalin Rostislav</v>
      </c>
      <c r="H1008" s="8" t="str">
        <f>IFERROR(VLOOKUP(VLOOKUP(A1008,'[1]Sales Order'!A:C,3,FALSE),[1]Employee!A:E,5,FALSE)&amp;" "&amp;VLOOKUP(VLOOKUP(A1008,'[1]Sales Order'!A:C,3,FALSE),[1]Employee!A:C,3,FALSE)&amp;" "&amp;VLOOKUP(VLOOKUP(A1008,'[1]Sales Order'!A:C,3,FALSE),[1]Employee!A:B,2,FALSE),"Not Specified")</f>
        <v>Mrs. Yael Peled</v>
      </c>
      <c r="I1008" t="str">
        <f>IFERROR(VLOOKUP(VLOOKUP(A1008,'[1]Sales Order'!A:C,3,FALSE),[1]Employee!A:J,10,FALSE),"Not Specified")</f>
        <v>WA</v>
      </c>
      <c r="J1008" t="str">
        <f>VLOOKUP(B1008,[1]Product!A:B,2,FALSE)</f>
        <v>Product VJXYN</v>
      </c>
      <c r="K1008" t="str">
        <f>VLOOKUP(VLOOKUP(B1008,[1]Product!A:D,4,FALSE),[1]Category!A:B,2,FALSE)</f>
        <v>Meat/Poultry</v>
      </c>
      <c r="L1008" s="10">
        <f>IFERROR(VLOOKUP(A1008,'[1]Sales Order'!A:D,4,FALSE),"")</f>
        <v>39306</v>
      </c>
      <c r="M1008" s="10">
        <f>IFERROR(VLOOKUP(A1008,'[1]Sales Order'!A:F,6,FALSE),"")</f>
        <v>39314</v>
      </c>
      <c r="N1008" t="str">
        <f>IFERROR(VLOOKUP(VLOOKUP(A1008,'[1]Sales Order'!A:G,7,FALSE),[1]Shipper!A:B,2,FALSE),"Not Specified")</f>
        <v>Shipper ZHISN</v>
      </c>
      <c r="O1008" t="str">
        <f>IFERROR(VLOOKUP(A1008,'[1]Sales Order'!A:I,9,FALSE),"Not Specified")</f>
        <v>Destination IIYDD</v>
      </c>
      <c r="P1008" t="str">
        <f>IFERROR(VLOOKUP(A1008,'[1]Sales Order'!A:N,14,FALSE),"Not Specified")</f>
        <v>Spain</v>
      </c>
      <c r="Q1008" t="str">
        <f>VLOOKUP(VLOOKUP(B1008,[1]Product!A:C,3,FALSE),[1]Supplier!A:B,2,FALSE)</f>
        <v>Supplier SVIYA</v>
      </c>
      <c r="R1008" t="str">
        <f>VLOOKUP(VLOOKUP(B1008,[1]Product!A:C,3,FALSE),[1]Supplier!A:I,9,FALSE)</f>
        <v>Germany</v>
      </c>
      <c r="S1008" t="str">
        <f>IFERROR(IF(VLOOKUP(A1008,'[1]Sales Order'!A:H,8,FALSE)&gt;100,"High Freight","Low Freight"),"Not Specified")</f>
        <v>Low Freight</v>
      </c>
      <c r="T1008">
        <f t="shared" si="31"/>
        <v>2475.8000000000002</v>
      </c>
    </row>
    <row r="1009" spans="1:20">
      <c r="A1009" s="1">
        <v>10629</v>
      </c>
      <c r="B1009" s="2">
        <v>64</v>
      </c>
      <c r="C1009" s="2">
        <v>33.25</v>
      </c>
      <c r="D1009" s="2">
        <v>9</v>
      </c>
      <c r="E1009" s="3">
        <v>0</v>
      </c>
      <c r="F1009" s="2" t="str">
        <f>IFERROR(VLOOKUP(VLOOKUP(A1009,'[1]Sales Order'!A:B,2,FALSE),[1]Customer!A:C,3,FALSE),"Not Specified")</f>
        <v>Shabalin, Rostislav</v>
      </c>
      <c r="G1009" s="2" t="str">
        <f t="shared" si="30"/>
        <v>Shabalin Rostislav</v>
      </c>
      <c r="H1009" s="8" t="str">
        <f>IFERROR(VLOOKUP(VLOOKUP(A1009,'[1]Sales Order'!A:C,3,FALSE),[1]Employee!A:E,5,FALSE)&amp;" "&amp;VLOOKUP(VLOOKUP(A1009,'[1]Sales Order'!A:C,3,FALSE),[1]Employee!A:C,3,FALSE)&amp;" "&amp;VLOOKUP(VLOOKUP(A1009,'[1]Sales Order'!A:C,3,FALSE),[1]Employee!A:B,2,FALSE),"Not Specified")</f>
        <v>Mrs. Yael Peled</v>
      </c>
      <c r="I1009" t="str">
        <f>IFERROR(VLOOKUP(VLOOKUP(A1009,'[1]Sales Order'!A:C,3,FALSE),[1]Employee!A:J,10,FALSE),"Not Specified")</f>
        <v>WA</v>
      </c>
      <c r="J1009" t="str">
        <f>VLOOKUP(B1009,[1]Product!A:B,2,FALSE)</f>
        <v>Product HCQDE</v>
      </c>
      <c r="K1009" t="str">
        <f>VLOOKUP(VLOOKUP(B1009,[1]Product!A:D,4,FALSE),[1]Category!A:B,2,FALSE)</f>
        <v>Grains/Cereals</v>
      </c>
      <c r="L1009" s="10">
        <f>IFERROR(VLOOKUP(A1009,'[1]Sales Order'!A:D,4,FALSE),"")</f>
        <v>39306</v>
      </c>
      <c r="M1009" s="10">
        <f>IFERROR(VLOOKUP(A1009,'[1]Sales Order'!A:F,6,FALSE),"")</f>
        <v>39314</v>
      </c>
      <c r="N1009" t="str">
        <f>IFERROR(VLOOKUP(VLOOKUP(A1009,'[1]Sales Order'!A:G,7,FALSE),[1]Shipper!A:B,2,FALSE),"Not Specified")</f>
        <v>Shipper ZHISN</v>
      </c>
      <c r="O1009" t="str">
        <f>IFERROR(VLOOKUP(A1009,'[1]Sales Order'!A:I,9,FALSE),"Not Specified")</f>
        <v>Destination IIYDD</v>
      </c>
      <c r="P1009" t="str">
        <f>IFERROR(VLOOKUP(A1009,'[1]Sales Order'!A:N,14,FALSE),"Not Specified")</f>
        <v>Spain</v>
      </c>
      <c r="Q1009" t="str">
        <f>VLOOKUP(VLOOKUP(B1009,[1]Product!A:C,3,FALSE),[1]Supplier!A:B,2,FALSE)</f>
        <v>Supplier SVIYA</v>
      </c>
      <c r="R1009" t="str">
        <f>VLOOKUP(VLOOKUP(B1009,[1]Product!A:C,3,FALSE),[1]Supplier!A:I,9,FALSE)</f>
        <v>Germany</v>
      </c>
      <c r="S1009" t="str">
        <f>IFERROR(IF(VLOOKUP(A1009,'[1]Sales Order'!A:H,8,FALSE)&gt;100,"High Freight","Low Freight"),"Not Specified")</f>
        <v>Low Freight</v>
      </c>
      <c r="T1009">
        <f t="shared" si="31"/>
        <v>299.25</v>
      </c>
    </row>
    <row r="1010" spans="1:20">
      <c r="A1010" s="1">
        <v>10630</v>
      </c>
      <c r="B1010" s="2">
        <v>55</v>
      </c>
      <c r="C1010" s="2">
        <v>24</v>
      </c>
      <c r="D1010" s="2">
        <v>12</v>
      </c>
      <c r="E1010" s="3">
        <v>0.05</v>
      </c>
      <c r="F1010" s="2" t="str">
        <f>IFERROR(VLOOKUP(VLOOKUP(A1010,'[1]Sales Order'!A:B,2,FALSE),[1]Customer!A:C,3,FALSE),"Not Specified")</f>
        <v>Song, Lolan</v>
      </c>
      <c r="G1010" s="2" t="str">
        <f t="shared" si="30"/>
        <v>Song Lolan</v>
      </c>
      <c r="H1010" s="8" t="str">
        <f>IFERROR(VLOOKUP(VLOOKUP(A1010,'[1]Sales Order'!A:C,3,FALSE),[1]Employee!A:E,5,FALSE)&amp;" "&amp;VLOOKUP(VLOOKUP(A1010,'[1]Sales Order'!A:C,3,FALSE),[1]Employee!A:C,3,FALSE)&amp;" "&amp;VLOOKUP(VLOOKUP(A1010,'[1]Sales Order'!A:C,3,FALSE),[1]Employee!A:B,2,FALSE),"Not Specified")</f>
        <v>Ms. Sara Davis</v>
      </c>
      <c r="I1010" t="str">
        <f>IFERROR(VLOOKUP(VLOOKUP(A1010,'[1]Sales Order'!A:C,3,FALSE),[1]Employee!A:J,10,FALSE),"Not Specified")</f>
        <v>WA</v>
      </c>
      <c r="J1010" t="str">
        <f>VLOOKUP(B1010,[1]Product!A:B,2,FALSE)</f>
        <v>Product YYWRT</v>
      </c>
      <c r="K1010" t="str">
        <f>VLOOKUP(VLOOKUP(B1010,[1]Product!A:D,4,FALSE),[1]Category!A:B,2,FALSE)</f>
        <v>Meat/Poultry</v>
      </c>
      <c r="L1010" s="10">
        <f>IFERROR(VLOOKUP(A1010,'[1]Sales Order'!A:D,4,FALSE),"")</f>
        <v>39307</v>
      </c>
      <c r="M1010" s="10">
        <f>IFERROR(VLOOKUP(A1010,'[1]Sales Order'!A:F,6,FALSE),"")</f>
        <v>39313</v>
      </c>
      <c r="N1010" t="str">
        <f>IFERROR(VLOOKUP(VLOOKUP(A1010,'[1]Sales Order'!A:G,7,FALSE),[1]Shipper!A:B,2,FALSE),"Not Specified")</f>
        <v>Shipper ETYNR</v>
      </c>
      <c r="O1010" t="str">
        <f>IFERROR(VLOOKUP(A1010,'[1]Sales Order'!A:I,9,FALSE),"Not Specified")</f>
        <v>Destination RMBHM</v>
      </c>
      <c r="P1010" t="str">
        <f>IFERROR(VLOOKUP(A1010,'[1]Sales Order'!A:N,14,FALSE),"Not Specified")</f>
        <v>Germany</v>
      </c>
      <c r="Q1010" t="str">
        <f>VLOOKUP(VLOOKUP(B1010,[1]Product!A:C,3,FALSE),[1]Supplier!A:B,2,FALSE)</f>
        <v>Supplier ERVYZ</v>
      </c>
      <c r="R1010" t="str">
        <f>VLOOKUP(VLOOKUP(B1010,[1]Product!A:C,3,FALSE),[1]Supplier!A:I,9,FALSE)</f>
        <v>Canada</v>
      </c>
      <c r="S1010" t="str">
        <f>IFERROR(IF(VLOOKUP(A1010,'[1]Sales Order'!A:H,8,FALSE)&gt;100,"High Freight","Low Freight"),"Not Specified")</f>
        <v>Low Freight</v>
      </c>
      <c r="T1010">
        <f t="shared" si="31"/>
        <v>273.59999999999997</v>
      </c>
    </row>
    <row r="1011" spans="1:20">
      <c r="A1011" s="1">
        <v>10630</v>
      </c>
      <c r="B1011" s="2">
        <v>76</v>
      </c>
      <c r="C1011" s="2">
        <v>18</v>
      </c>
      <c r="D1011" s="2">
        <v>35</v>
      </c>
      <c r="E1011" s="3">
        <v>0</v>
      </c>
      <c r="F1011" s="2" t="str">
        <f>IFERROR(VLOOKUP(VLOOKUP(A1011,'[1]Sales Order'!A:B,2,FALSE),[1]Customer!A:C,3,FALSE),"Not Specified")</f>
        <v>Song, Lolan</v>
      </c>
      <c r="G1011" s="2" t="str">
        <f t="shared" si="30"/>
        <v>Song Lolan</v>
      </c>
      <c r="H1011" s="8" t="str">
        <f>IFERROR(VLOOKUP(VLOOKUP(A1011,'[1]Sales Order'!A:C,3,FALSE),[1]Employee!A:E,5,FALSE)&amp;" "&amp;VLOOKUP(VLOOKUP(A1011,'[1]Sales Order'!A:C,3,FALSE),[1]Employee!A:C,3,FALSE)&amp;" "&amp;VLOOKUP(VLOOKUP(A1011,'[1]Sales Order'!A:C,3,FALSE),[1]Employee!A:B,2,FALSE),"Not Specified")</f>
        <v>Ms. Sara Davis</v>
      </c>
      <c r="I1011" t="str">
        <f>IFERROR(VLOOKUP(VLOOKUP(A1011,'[1]Sales Order'!A:C,3,FALSE),[1]Employee!A:J,10,FALSE),"Not Specified")</f>
        <v>WA</v>
      </c>
      <c r="J1011" t="str">
        <f>VLOOKUP(B1011,[1]Product!A:B,2,FALSE)</f>
        <v>Product JYGFE</v>
      </c>
      <c r="K1011" t="str">
        <f>VLOOKUP(VLOOKUP(B1011,[1]Product!A:D,4,FALSE),[1]Category!A:B,2,FALSE)</f>
        <v>Beverages</v>
      </c>
      <c r="L1011" s="10">
        <f>IFERROR(VLOOKUP(A1011,'[1]Sales Order'!A:D,4,FALSE),"")</f>
        <v>39307</v>
      </c>
      <c r="M1011" s="10">
        <f>IFERROR(VLOOKUP(A1011,'[1]Sales Order'!A:F,6,FALSE),"")</f>
        <v>39313</v>
      </c>
      <c r="N1011" t="str">
        <f>IFERROR(VLOOKUP(VLOOKUP(A1011,'[1]Sales Order'!A:G,7,FALSE),[1]Shipper!A:B,2,FALSE),"Not Specified")</f>
        <v>Shipper ETYNR</v>
      </c>
      <c r="O1011" t="str">
        <f>IFERROR(VLOOKUP(A1011,'[1]Sales Order'!A:I,9,FALSE),"Not Specified")</f>
        <v>Destination RMBHM</v>
      </c>
      <c r="P1011" t="str">
        <f>IFERROR(VLOOKUP(A1011,'[1]Sales Order'!A:N,14,FALSE),"Not Specified")</f>
        <v>Germany</v>
      </c>
      <c r="Q1011" t="str">
        <f>VLOOKUP(VLOOKUP(B1011,[1]Product!A:C,3,FALSE),[1]Supplier!A:B,2,FALSE)</f>
        <v>Supplier ELCRN</v>
      </c>
      <c r="R1011" t="str">
        <f>VLOOKUP(VLOOKUP(B1011,[1]Product!A:C,3,FALSE),[1]Supplier!A:I,9,FALSE)</f>
        <v>Finland</v>
      </c>
      <c r="S1011" t="str">
        <f>IFERROR(IF(VLOOKUP(A1011,'[1]Sales Order'!A:H,8,FALSE)&gt;100,"High Freight","Low Freight"),"Not Specified")</f>
        <v>Low Freight</v>
      </c>
      <c r="T1011">
        <f t="shared" si="31"/>
        <v>630</v>
      </c>
    </row>
    <row r="1012" spans="1:20">
      <c r="A1012" s="1">
        <v>10631</v>
      </c>
      <c r="B1012" s="2">
        <v>75</v>
      </c>
      <c r="C1012" s="2">
        <v>7.75</v>
      </c>
      <c r="D1012" s="2">
        <v>8</v>
      </c>
      <c r="E1012" s="3">
        <v>0.1</v>
      </c>
      <c r="F1012" s="2" t="str">
        <f>IFERROR(VLOOKUP(VLOOKUP(A1012,'[1]Sales Order'!A:B,2,FALSE),[1]Customer!A:C,3,FALSE),"Not Specified")</f>
        <v>Litton, Tim</v>
      </c>
      <c r="G1012" s="2" t="str">
        <f t="shared" si="30"/>
        <v>Litton Tim</v>
      </c>
      <c r="H1012" s="8" t="str">
        <f>IFERROR(VLOOKUP(VLOOKUP(A1012,'[1]Sales Order'!A:C,3,FALSE),[1]Employee!A:E,5,FALSE)&amp;" "&amp;VLOOKUP(VLOOKUP(A1012,'[1]Sales Order'!A:C,3,FALSE),[1]Employee!A:C,3,FALSE)&amp;" "&amp;VLOOKUP(VLOOKUP(A1012,'[1]Sales Order'!A:C,3,FALSE),[1]Employee!A:B,2,FALSE),"Not Specified")</f>
        <v>Ms. Maria Cameron</v>
      </c>
      <c r="I1012" t="str">
        <f>IFERROR(VLOOKUP(VLOOKUP(A1012,'[1]Sales Order'!A:C,3,FALSE),[1]Employee!A:J,10,FALSE),"Not Specified")</f>
        <v>WA</v>
      </c>
      <c r="J1012" t="str">
        <f>VLOOKUP(B1012,[1]Product!A:B,2,FALSE)</f>
        <v>Product BWRLG</v>
      </c>
      <c r="K1012" t="str">
        <f>VLOOKUP(VLOOKUP(B1012,[1]Product!A:D,4,FALSE),[1]Category!A:B,2,FALSE)</f>
        <v>Beverages</v>
      </c>
      <c r="L1012" s="10">
        <f>IFERROR(VLOOKUP(A1012,'[1]Sales Order'!A:D,4,FALSE),"")</f>
        <v>39308</v>
      </c>
      <c r="M1012" s="10">
        <f>IFERROR(VLOOKUP(A1012,'[1]Sales Order'!A:F,6,FALSE),"")</f>
        <v>39309</v>
      </c>
      <c r="N1012" t="str">
        <f>IFERROR(VLOOKUP(VLOOKUP(A1012,'[1]Sales Order'!A:G,7,FALSE),[1]Shipper!A:B,2,FALSE),"Not Specified")</f>
        <v>Shipper GVSUA</v>
      </c>
      <c r="O1012" t="str">
        <f>IFERROR(VLOOKUP(A1012,'[1]Sales Order'!A:I,9,FALSE),"Not Specified")</f>
        <v>Destination OLJND</v>
      </c>
      <c r="P1012" t="str">
        <f>IFERROR(VLOOKUP(A1012,'[1]Sales Order'!A:N,14,FALSE),"Not Specified")</f>
        <v>France</v>
      </c>
      <c r="Q1012" t="str">
        <f>VLOOKUP(VLOOKUP(B1012,[1]Product!A:C,3,FALSE),[1]Supplier!A:B,2,FALSE)</f>
        <v>Supplier SVIYA</v>
      </c>
      <c r="R1012" t="str">
        <f>VLOOKUP(VLOOKUP(B1012,[1]Product!A:C,3,FALSE),[1]Supplier!A:I,9,FALSE)</f>
        <v>Germany</v>
      </c>
      <c r="S1012" t="str">
        <f>IFERROR(IF(VLOOKUP(A1012,'[1]Sales Order'!A:H,8,FALSE)&gt;100,"High Freight","Low Freight"),"Not Specified")</f>
        <v>Low Freight</v>
      </c>
      <c r="T1012">
        <f t="shared" si="31"/>
        <v>55.800000000000004</v>
      </c>
    </row>
    <row r="1013" spans="1:20">
      <c r="A1013" s="1">
        <v>10632</v>
      </c>
      <c r="B1013" s="2">
        <v>2</v>
      </c>
      <c r="C1013" s="2">
        <v>19</v>
      </c>
      <c r="D1013" s="2">
        <v>30</v>
      </c>
      <c r="E1013" s="3">
        <v>0.05</v>
      </c>
      <c r="F1013" s="2" t="str">
        <f>IFERROR(VLOOKUP(VLOOKUP(A1013,'[1]Sales Order'!A:B,2,FALSE),[1]Customer!A:C,3,FALSE),"Not Specified")</f>
        <v>Syamala, Manoj</v>
      </c>
      <c r="G1013" s="2" t="str">
        <f t="shared" si="30"/>
        <v>Syamala Manoj</v>
      </c>
      <c r="H1013" s="8" t="str">
        <f>IFERROR(VLOOKUP(VLOOKUP(A1013,'[1]Sales Order'!A:C,3,FALSE),[1]Employee!A:E,5,FALSE)&amp;" "&amp;VLOOKUP(VLOOKUP(A1013,'[1]Sales Order'!A:C,3,FALSE),[1]Employee!A:C,3,FALSE)&amp;" "&amp;VLOOKUP(VLOOKUP(A1013,'[1]Sales Order'!A:C,3,FALSE),[1]Employee!A:B,2,FALSE),"Not Specified")</f>
        <v>Ms. Maria Cameron</v>
      </c>
      <c r="I1013" t="str">
        <f>IFERROR(VLOOKUP(VLOOKUP(A1013,'[1]Sales Order'!A:C,3,FALSE),[1]Employee!A:J,10,FALSE),"Not Specified")</f>
        <v>WA</v>
      </c>
      <c r="J1013" t="str">
        <f>VLOOKUP(B1013,[1]Product!A:B,2,FALSE)</f>
        <v>Product RECZE</v>
      </c>
      <c r="K1013" t="str">
        <f>VLOOKUP(VLOOKUP(B1013,[1]Product!A:D,4,FALSE),[1]Category!A:B,2,FALSE)</f>
        <v>Beverages</v>
      </c>
      <c r="L1013" s="10">
        <f>IFERROR(VLOOKUP(A1013,'[1]Sales Order'!A:D,4,FALSE),"")</f>
        <v>39308</v>
      </c>
      <c r="M1013" s="10">
        <f>IFERROR(VLOOKUP(A1013,'[1]Sales Order'!A:F,6,FALSE),"")</f>
        <v>39313</v>
      </c>
      <c r="N1013" t="str">
        <f>IFERROR(VLOOKUP(VLOOKUP(A1013,'[1]Sales Order'!A:G,7,FALSE),[1]Shipper!A:B,2,FALSE),"Not Specified")</f>
        <v>Shipper GVSUA</v>
      </c>
      <c r="O1013" t="str">
        <f>IFERROR(VLOOKUP(A1013,'[1]Sales Order'!A:I,9,FALSE),"Not Specified")</f>
        <v>Ship to 86-C</v>
      </c>
      <c r="P1013" t="str">
        <f>IFERROR(VLOOKUP(A1013,'[1]Sales Order'!A:N,14,FALSE),"Not Specified")</f>
        <v>Germany</v>
      </c>
      <c r="Q1013" t="str">
        <f>VLOOKUP(VLOOKUP(B1013,[1]Product!A:C,3,FALSE),[1]Supplier!A:B,2,FALSE)</f>
        <v>Supplier SWRXU</v>
      </c>
      <c r="R1013" t="str">
        <f>VLOOKUP(VLOOKUP(B1013,[1]Product!A:C,3,FALSE),[1]Supplier!A:I,9,FALSE)</f>
        <v>UK</v>
      </c>
      <c r="S1013" t="str">
        <f>IFERROR(IF(VLOOKUP(A1013,'[1]Sales Order'!A:H,8,FALSE)&gt;100,"High Freight","Low Freight"),"Not Specified")</f>
        <v>Low Freight</v>
      </c>
      <c r="T1013">
        <f t="shared" si="31"/>
        <v>541.5</v>
      </c>
    </row>
    <row r="1014" spans="1:20">
      <c r="A1014" s="1">
        <v>10632</v>
      </c>
      <c r="B1014" s="2">
        <v>33</v>
      </c>
      <c r="C1014" s="2">
        <v>2.5</v>
      </c>
      <c r="D1014" s="2">
        <v>20</v>
      </c>
      <c r="E1014" s="3">
        <v>0.05</v>
      </c>
      <c r="F1014" s="2" t="str">
        <f>IFERROR(VLOOKUP(VLOOKUP(A1014,'[1]Sales Order'!A:B,2,FALSE),[1]Customer!A:C,3,FALSE),"Not Specified")</f>
        <v>Syamala, Manoj</v>
      </c>
      <c r="G1014" s="2" t="str">
        <f t="shared" si="30"/>
        <v>Syamala Manoj</v>
      </c>
      <c r="H1014" s="8" t="str">
        <f>IFERROR(VLOOKUP(VLOOKUP(A1014,'[1]Sales Order'!A:C,3,FALSE),[1]Employee!A:E,5,FALSE)&amp;" "&amp;VLOOKUP(VLOOKUP(A1014,'[1]Sales Order'!A:C,3,FALSE),[1]Employee!A:C,3,FALSE)&amp;" "&amp;VLOOKUP(VLOOKUP(A1014,'[1]Sales Order'!A:C,3,FALSE),[1]Employee!A:B,2,FALSE),"Not Specified")</f>
        <v>Ms. Maria Cameron</v>
      </c>
      <c r="I1014" t="str">
        <f>IFERROR(VLOOKUP(VLOOKUP(A1014,'[1]Sales Order'!A:C,3,FALSE),[1]Employee!A:J,10,FALSE),"Not Specified")</f>
        <v>WA</v>
      </c>
      <c r="J1014" t="str">
        <f>VLOOKUP(B1014,[1]Product!A:B,2,FALSE)</f>
        <v>Product ASTMN</v>
      </c>
      <c r="K1014" t="str">
        <f>VLOOKUP(VLOOKUP(B1014,[1]Product!A:D,4,FALSE),[1]Category!A:B,2,FALSE)</f>
        <v>Dairy Product</v>
      </c>
      <c r="L1014" s="10">
        <f>IFERROR(VLOOKUP(A1014,'[1]Sales Order'!A:D,4,FALSE),"")</f>
        <v>39308</v>
      </c>
      <c r="M1014" s="10">
        <f>IFERROR(VLOOKUP(A1014,'[1]Sales Order'!A:F,6,FALSE),"")</f>
        <v>39313</v>
      </c>
      <c r="N1014" t="str">
        <f>IFERROR(VLOOKUP(VLOOKUP(A1014,'[1]Sales Order'!A:G,7,FALSE),[1]Shipper!A:B,2,FALSE),"Not Specified")</f>
        <v>Shipper GVSUA</v>
      </c>
      <c r="O1014" t="str">
        <f>IFERROR(VLOOKUP(A1014,'[1]Sales Order'!A:I,9,FALSE),"Not Specified")</f>
        <v>Ship to 86-C</v>
      </c>
      <c r="P1014" t="str">
        <f>IFERROR(VLOOKUP(A1014,'[1]Sales Order'!A:N,14,FALSE),"Not Specified")</f>
        <v>Germany</v>
      </c>
      <c r="Q1014" t="str">
        <f>VLOOKUP(VLOOKUP(B1014,[1]Product!A:C,3,FALSE),[1]Supplier!A:B,2,FALSE)</f>
        <v>Supplier NZLIF</v>
      </c>
      <c r="R1014" t="str">
        <f>VLOOKUP(VLOOKUP(B1014,[1]Product!A:C,3,FALSE),[1]Supplier!A:I,9,FALSE)</f>
        <v>Norway</v>
      </c>
      <c r="S1014" t="str">
        <f>IFERROR(IF(VLOOKUP(A1014,'[1]Sales Order'!A:H,8,FALSE)&gt;100,"High Freight","Low Freight"),"Not Specified")</f>
        <v>Low Freight</v>
      </c>
      <c r="T1014">
        <f t="shared" si="31"/>
        <v>47.5</v>
      </c>
    </row>
    <row r="1015" spans="1:20">
      <c r="A1015" s="1">
        <v>10633</v>
      </c>
      <c r="B1015" s="2">
        <v>12</v>
      </c>
      <c r="C1015" s="2">
        <v>38</v>
      </c>
      <c r="D1015" s="2">
        <v>36</v>
      </c>
      <c r="E1015" s="3">
        <v>0.15</v>
      </c>
      <c r="F1015" s="2" t="str">
        <f>IFERROR(VLOOKUP(VLOOKUP(A1015,'[1]Sales Order'!A:B,2,FALSE),[1]Customer!A:C,3,FALSE),"Not Specified")</f>
        <v>Kane, John</v>
      </c>
      <c r="G1015" s="2" t="str">
        <f t="shared" si="30"/>
        <v>Kane John</v>
      </c>
      <c r="H1015" s="8" t="str">
        <f>IFERROR(VLOOKUP(VLOOKUP(A1015,'[1]Sales Order'!A:C,3,FALSE),[1]Employee!A:E,5,FALSE)&amp;" "&amp;VLOOKUP(VLOOKUP(A1015,'[1]Sales Order'!A:C,3,FALSE),[1]Employee!A:C,3,FALSE)&amp;" "&amp;VLOOKUP(VLOOKUP(A1015,'[1]Sales Order'!A:C,3,FALSE),[1]Employee!A:B,2,FALSE),"Not Specified")</f>
        <v>Mr. Russell King</v>
      </c>
      <c r="I1015">
        <f>IFERROR(VLOOKUP(VLOOKUP(A1015,'[1]Sales Order'!A:C,3,FALSE),[1]Employee!A:J,10,FALSE),"Not Specified")</f>
        <v>0</v>
      </c>
      <c r="J1015" t="str">
        <f>VLOOKUP(B1015,[1]Product!A:B,2,FALSE)</f>
        <v>Product OSFNS</v>
      </c>
      <c r="K1015" t="str">
        <f>VLOOKUP(VLOOKUP(B1015,[1]Product!A:D,4,FALSE),[1]Category!A:B,2,FALSE)</f>
        <v>Dairy Product</v>
      </c>
      <c r="L1015" s="10">
        <f>IFERROR(VLOOKUP(A1015,'[1]Sales Order'!A:D,4,FALSE),"")</f>
        <v>39309</v>
      </c>
      <c r="M1015" s="10">
        <f>IFERROR(VLOOKUP(A1015,'[1]Sales Order'!A:F,6,FALSE),"")</f>
        <v>39312</v>
      </c>
      <c r="N1015" t="str">
        <f>IFERROR(VLOOKUP(VLOOKUP(A1015,'[1]Sales Order'!A:G,7,FALSE),[1]Shipper!A:B,2,FALSE),"Not Specified")</f>
        <v>Shipper ZHISN</v>
      </c>
      <c r="O1015" t="str">
        <f>IFERROR(VLOOKUP(A1015,'[1]Sales Order'!A:I,9,FALSE),"Not Specified")</f>
        <v>Destination FFXKT</v>
      </c>
      <c r="P1015" t="str">
        <f>IFERROR(VLOOKUP(A1015,'[1]Sales Order'!A:N,14,FALSE),"Not Specified")</f>
        <v>Austria</v>
      </c>
      <c r="Q1015" t="str">
        <f>VLOOKUP(VLOOKUP(B1015,[1]Product!A:C,3,FALSE),[1]Supplier!A:B,2,FALSE)</f>
        <v>Supplier EQPNC</v>
      </c>
      <c r="R1015" t="str">
        <f>VLOOKUP(VLOOKUP(B1015,[1]Product!A:C,3,FALSE),[1]Supplier!A:I,9,FALSE)</f>
        <v>Spain</v>
      </c>
      <c r="S1015" t="str">
        <f>IFERROR(IF(VLOOKUP(A1015,'[1]Sales Order'!A:H,8,FALSE)&gt;100,"High Freight","Low Freight"),"Not Specified")</f>
        <v>High Freight</v>
      </c>
      <c r="T1015">
        <f t="shared" si="31"/>
        <v>1162.8</v>
      </c>
    </row>
    <row r="1016" spans="1:20">
      <c r="A1016" s="1">
        <v>10633</v>
      </c>
      <c r="B1016" s="2">
        <v>13</v>
      </c>
      <c r="C1016" s="2">
        <v>6</v>
      </c>
      <c r="D1016" s="2">
        <v>13</v>
      </c>
      <c r="E1016" s="3">
        <v>0.15</v>
      </c>
      <c r="F1016" s="2" t="str">
        <f>IFERROR(VLOOKUP(VLOOKUP(A1016,'[1]Sales Order'!A:B,2,FALSE),[1]Customer!A:C,3,FALSE),"Not Specified")</f>
        <v>Kane, John</v>
      </c>
      <c r="G1016" s="2" t="str">
        <f t="shared" si="30"/>
        <v>Kane John</v>
      </c>
      <c r="H1016" s="8" t="str">
        <f>IFERROR(VLOOKUP(VLOOKUP(A1016,'[1]Sales Order'!A:C,3,FALSE),[1]Employee!A:E,5,FALSE)&amp;" "&amp;VLOOKUP(VLOOKUP(A1016,'[1]Sales Order'!A:C,3,FALSE),[1]Employee!A:C,3,FALSE)&amp;" "&amp;VLOOKUP(VLOOKUP(A1016,'[1]Sales Order'!A:C,3,FALSE),[1]Employee!A:B,2,FALSE),"Not Specified")</f>
        <v>Mr. Russell King</v>
      </c>
      <c r="I1016">
        <f>IFERROR(VLOOKUP(VLOOKUP(A1016,'[1]Sales Order'!A:C,3,FALSE),[1]Employee!A:J,10,FALSE),"Not Specified")</f>
        <v>0</v>
      </c>
      <c r="J1016" t="str">
        <f>VLOOKUP(B1016,[1]Product!A:B,2,FALSE)</f>
        <v>Product POXFU</v>
      </c>
      <c r="K1016" t="str">
        <f>VLOOKUP(VLOOKUP(B1016,[1]Product!A:D,4,FALSE),[1]Category!A:B,2,FALSE)</f>
        <v>Seafood</v>
      </c>
      <c r="L1016" s="10">
        <f>IFERROR(VLOOKUP(A1016,'[1]Sales Order'!A:D,4,FALSE),"")</f>
        <v>39309</v>
      </c>
      <c r="M1016" s="10">
        <f>IFERROR(VLOOKUP(A1016,'[1]Sales Order'!A:F,6,FALSE),"")</f>
        <v>39312</v>
      </c>
      <c r="N1016" t="str">
        <f>IFERROR(VLOOKUP(VLOOKUP(A1016,'[1]Sales Order'!A:G,7,FALSE),[1]Shipper!A:B,2,FALSE),"Not Specified")</f>
        <v>Shipper ZHISN</v>
      </c>
      <c r="O1016" t="str">
        <f>IFERROR(VLOOKUP(A1016,'[1]Sales Order'!A:I,9,FALSE),"Not Specified")</f>
        <v>Destination FFXKT</v>
      </c>
      <c r="P1016" t="str">
        <f>IFERROR(VLOOKUP(A1016,'[1]Sales Order'!A:N,14,FALSE),"Not Specified")</f>
        <v>Austria</v>
      </c>
      <c r="Q1016" t="str">
        <f>VLOOKUP(VLOOKUP(B1016,[1]Product!A:C,3,FALSE),[1]Supplier!A:B,2,FALSE)</f>
        <v>Supplier QWUSF</v>
      </c>
      <c r="R1016" t="str">
        <f>VLOOKUP(VLOOKUP(B1016,[1]Product!A:C,3,FALSE),[1]Supplier!A:I,9,FALSE)</f>
        <v>Japan</v>
      </c>
      <c r="S1016" t="str">
        <f>IFERROR(IF(VLOOKUP(A1016,'[1]Sales Order'!A:H,8,FALSE)&gt;100,"High Freight","Low Freight"),"Not Specified")</f>
        <v>High Freight</v>
      </c>
      <c r="T1016">
        <f t="shared" si="31"/>
        <v>66.3</v>
      </c>
    </row>
    <row r="1017" spans="1:20">
      <c r="A1017" s="1">
        <v>10633</v>
      </c>
      <c r="B1017" s="2">
        <v>26</v>
      </c>
      <c r="C1017" s="2">
        <v>31.23</v>
      </c>
      <c r="D1017" s="2">
        <v>35</v>
      </c>
      <c r="E1017" s="3">
        <v>0.15</v>
      </c>
      <c r="F1017" s="2" t="str">
        <f>IFERROR(VLOOKUP(VLOOKUP(A1017,'[1]Sales Order'!A:B,2,FALSE),[1]Customer!A:C,3,FALSE),"Not Specified")</f>
        <v>Kane, John</v>
      </c>
      <c r="G1017" s="2" t="str">
        <f t="shared" si="30"/>
        <v>Kane John</v>
      </c>
      <c r="H1017" s="8" t="str">
        <f>IFERROR(VLOOKUP(VLOOKUP(A1017,'[1]Sales Order'!A:C,3,FALSE),[1]Employee!A:E,5,FALSE)&amp;" "&amp;VLOOKUP(VLOOKUP(A1017,'[1]Sales Order'!A:C,3,FALSE),[1]Employee!A:C,3,FALSE)&amp;" "&amp;VLOOKUP(VLOOKUP(A1017,'[1]Sales Order'!A:C,3,FALSE),[1]Employee!A:B,2,FALSE),"Not Specified")</f>
        <v>Mr. Russell King</v>
      </c>
      <c r="I1017">
        <f>IFERROR(VLOOKUP(VLOOKUP(A1017,'[1]Sales Order'!A:C,3,FALSE),[1]Employee!A:J,10,FALSE),"Not Specified")</f>
        <v>0</v>
      </c>
      <c r="J1017" t="str">
        <f>VLOOKUP(B1017,[1]Product!A:B,2,FALSE)</f>
        <v>Product HLGZA</v>
      </c>
      <c r="K1017" t="str">
        <f>VLOOKUP(VLOOKUP(B1017,[1]Product!A:D,4,FALSE),[1]Category!A:B,2,FALSE)</f>
        <v>Confections</v>
      </c>
      <c r="L1017" s="10">
        <f>IFERROR(VLOOKUP(A1017,'[1]Sales Order'!A:D,4,FALSE),"")</f>
        <v>39309</v>
      </c>
      <c r="M1017" s="10">
        <f>IFERROR(VLOOKUP(A1017,'[1]Sales Order'!A:F,6,FALSE),"")</f>
        <v>39312</v>
      </c>
      <c r="N1017" t="str">
        <f>IFERROR(VLOOKUP(VLOOKUP(A1017,'[1]Sales Order'!A:G,7,FALSE),[1]Shipper!A:B,2,FALSE),"Not Specified")</f>
        <v>Shipper ZHISN</v>
      </c>
      <c r="O1017" t="str">
        <f>IFERROR(VLOOKUP(A1017,'[1]Sales Order'!A:I,9,FALSE),"Not Specified")</f>
        <v>Destination FFXKT</v>
      </c>
      <c r="P1017" t="str">
        <f>IFERROR(VLOOKUP(A1017,'[1]Sales Order'!A:N,14,FALSE),"Not Specified")</f>
        <v>Austria</v>
      </c>
      <c r="Q1017" t="str">
        <f>VLOOKUP(VLOOKUP(B1017,[1]Product!A:C,3,FALSE),[1]Supplier!A:B,2,FALSE)</f>
        <v>Supplier ZPYVS</v>
      </c>
      <c r="R1017" t="str">
        <f>VLOOKUP(VLOOKUP(B1017,[1]Product!A:C,3,FALSE),[1]Supplier!A:I,9,FALSE)</f>
        <v>Germany</v>
      </c>
      <c r="S1017" t="str">
        <f>IFERROR(IF(VLOOKUP(A1017,'[1]Sales Order'!A:H,8,FALSE)&gt;100,"High Freight","Low Freight"),"Not Specified")</f>
        <v>High Freight</v>
      </c>
      <c r="T1017">
        <f t="shared" si="31"/>
        <v>929.09249999999997</v>
      </c>
    </row>
    <row r="1018" spans="1:20">
      <c r="A1018" s="1">
        <v>10633</v>
      </c>
      <c r="B1018" s="2">
        <v>62</v>
      </c>
      <c r="C1018" s="2">
        <v>49.3</v>
      </c>
      <c r="D1018" s="2">
        <v>80</v>
      </c>
      <c r="E1018" s="3">
        <v>0.15</v>
      </c>
      <c r="F1018" s="2" t="str">
        <f>IFERROR(VLOOKUP(VLOOKUP(A1018,'[1]Sales Order'!A:B,2,FALSE),[1]Customer!A:C,3,FALSE),"Not Specified")</f>
        <v>Kane, John</v>
      </c>
      <c r="G1018" s="2" t="str">
        <f t="shared" si="30"/>
        <v>Kane John</v>
      </c>
      <c r="H1018" s="8" t="str">
        <f>IFERROR(VLOOKUP(VLOOKUP(A1018,'[1]Sales Order'!A:C,3,FALSE),[1]Employee!A:E,5,FALSE)&amp;" "&amp;VLOOKUP(VLOOKUP(A1018,'[1]Sales Order'!A:C,3,FALSE),[1]Employee!A:C,3,FALSE)&amp;" "&amp;VLOOKUP(VLOOKUP(A1018,'[1]Sales Order'!A:C,3,FALSE),[1]Employee!A:B,2,FALSE),"Not Specified")</f>
        <v>Mr. Russell King</v>
      </c>
      <c r="I1018">
        <f>IFERROR(VLOOKUP(VLOOKUP(A1018,'[1]Sales Order'!A:C,3,FALSE),[1]Employee!A:J,10,FALSE),"Not Specified")</f>
        <v>0</v>
      </c>
      <c r="J1018" t="str">
        <f>VLOOKUP(B1018,[1]Product!A:B,2,FALSE)</f>
        <v>Product WUXYK</v>
      </c>
      <c r="K1018" t="str">
        <f>VLOOKUP(VLOOKUP(B1018,[1]Product!A:D,4,FALSE),[1]Category!A:B,2,FALSE)</f>
        <v>Confections</v>
      </c>
      <c r="L1018" s="10">
        <f>IFERROR(VLOOKUP(A1018,'[1]Sales Order'!A:D,4,FALSE),"")</f>
        <v>39309</v>
      </c>
      <c r="M1018" s="10">
        <f>IFERROR(VLOOKUP(A1018,'[1]Sales Order'!A:F,6,FALSE),"")</f>
        <v>39312</v>
      </c>
      <c r="N1018" t="str">
        <f>IFERROR(VLOOKUP(VLOOKUP(A1018,'[1]Sales Order'!A:G,7,FALSE),[1]Shipper!A:B,2,FALSE),"Not Specified")</f>
        <v>Shipper ZHISN</v>
      </c>
      <c r="O1018" t="str">
        <f>IFERROR(VLOOKUP(A1018,'[1]Sales Order'!A:I,9,FALSE),"Not Specified")</f>
        <v>Destination FFXKT</v>
      </c>
      <c r="P1018" t="str">
        <f>IFERROR(VLOOKUP(A1018,'[1]Sales Order'!A:N,14,FALSE),"Not Specified")</f>
        <v>Austria</v>
      </c>
      <c r="Q1018" t="str">
        <f>VLOOKUP(VLOOKUP(B1018,[1]Product!A:C,3,FALSE),[1]Supplier!A:B,2,FALSE)</f>
        <v>Supplier OGLRK</v>
      </c>
      <c r="R1018" t="str">
        <f>VLOOKUP(VLOOKUP(B1018,[1]Product!A:C,3,FALSE),[1]Supplier!A:I,9,FALSE)</f>
        <v>Canada</v>
      </c>
      <c r="S1018" t="str">
        <f>IFERROR(IF(VLOOKUP(A1018,'[1]Sales Order'!A:H,8,FALSE)&gt;100,"High Freight","Low Freight"),"Not Specified")</f>
        <v>High Freight</v>
      </c>
      <c r="T1018">
        <f t="shared" si="31"/>
        <v>3352.4</v>
      </c>
    </row>
    <row r="1019" spans="1:20">
      <c r="A1019" s="1">
        <v>10634</v>
      </c>
      <c r="B1019" s="2">
        <v>7</v>
      </c>
      <c r="C1019" s="2">
        <v>30</v>
      </c>
      <c r="D1019" s="2">
        <v>35</v>
      </c>
      <c r="E1019" s="3">
        <v>0</v>
      </c>
      <c r="F1019" s="2" t="str">
        <f>IFERROR(VLOOKUP(VLOOKUP(A1019,'[1]Sales Order'!A:B,2,FALSE),[1]Customer!A:C,3,FALSE),"Not Specified")</f>
        <v>Khanna, Karan</v>
      </c>
      <c r="G1019" s="2" t="str">
        <f t="shared" si="30"/>
        <v>Khanna Karan</v>
      </c>
      <c r="H1019" s="8" t="str">
        <f>IFERROR(VLOOKUP(VLOOKUP(A1019,'[1]Sales Order'!A:C,3,FALSE),[1]Employee!A:E,5,FALSE)&amp;" "&amp;VLOOKUP(VLOOKUP(A1019,'[1]Sales Order'!A:C,3,FALSE),[1]Employee!A:C,3,FALSE)&amp;" "&amp;VLOOKUP(VLOOKUP(A1019,'[1]Sales Order'!A:C,3,FALSE),[1]Employee!A:B,2,FALSE),"Not Specified")</f>
        <v>Mrs. Yael Peled</v>
      </c>
      <c r="I1019" t="str">
        <f>IFERROR(VLOOKUP(VLOOKUP(A1019,'[1]Sales Order'!A:C,3,FALSE),[1]Employee!A:J,10,FALSE),"Not Specified")</f>
        <v>WA</v>
      </c>
      <c r="J1019" t="str">
        <f>VLOOKUP(B1019,[1]Product!A:B,2,FALSE)</f>
        <v>Product HMLNI</v>
      </c>
      <c r="K1019" t="str">
        <f>VLOOKUP(VLOOKUP(B1019,[1]Product!A:D,4,FALSE),[1]Category!A:B,2,FALSE)</f>
        <v>Produce</v>
      </c>
      <c r="L1019" s="10">
        <f>IFERROR(VLOOKUP(A1019,'[1]Sales Order'!A:D,4,FALSE),"")</f>
        <v>39309</v>
      </c>
      <c r="M1019" s="10">
        <f>IFERROR(VLOOKUP(A1019,'[1]Sales Order'!A:F,6,FALSE),"")</f>
        <v>39315</v>
      </c>
      <c r="N1019" t="str">
        <f>IFERROR(VLOOKUP(VLOOKUP(A1019,'[1]Sales Order'!A:G,7,FALSE),[1]Shipper!A:B,2,FALSE),"Not Specified")</f>
        <v>Shipper ZHISN</v>
      </c>
      <c r="O1019" t="str">
        <f>IFERROR(VLOOKUP(A1019,'[1]Sales Order'!A:I,9,FALSE),"Not Specified")</f>
        <v>Destination AGPCO</v>
      </c>
      <c r="P1019" t="str">
        <f>IFERROR(VLOOKUP(A1019,'[1]Sales Order'!A:N,14,FALSE),"Not Specified")</f>
        <v>France</v>
      </c>
      <c r="Q1019" t="str">
        <f>VLOOKUP(VLOOKUP(B1019,[1]Product!A:C,3,FALSE),[1]Supplier!A:B,2,FALSE)</f>
        <v>Supplier STUAZ</v>
      </c>
      <c r="R1019" t="str">
        <f>VLOOKUP(VLOOKUP(B1019,[1]Product!A:C,3,FALSE),[1]Supplier!A:I,9,FALSE)</f>
        <v>USA</v>
      </c>
      <c r="S1019" t="str">
        <f>IFERROR(IF(VLOOKUP(A1019,'[1]Sales Order'!A:H,8,FALSE)&gt;100,"High Freight","Low Freight"),"Not Specified")</f>
        <v>High Freight</v>
      </c>
      <c r="T1019">
        <f t="shared" si="31"/>
        <v>1050</v>
      </c>
    </row>
    <row r="1020" spans="1:20">
      <c r="A1020" s="1">
        <v>10634</v>
      </c>
      <c r="B1020" s="2">
        <v>18</v>
      </c>
      <c r="C1020" s="2">
        <v>62.5</v>
      </c>
      <c r="D1020" s="2">
        <v>50</v>
      </c>
      <c r="E1020" s="3">
        <v>0</v>
      </c>
      <c r="F1020" s="2" t="str">
        <f>IFERROR(VLOOKUP(VLOOKUP(A1020,'[1]Sales Order'!A:B,2,FALSE),[1]Customer!A:C,3,FALSE),"Not Specified")</f>
        <v>Khanna, Karan</v>
      </c>
      <c r="G1020" s="2" t="str">
        <f t="shared" si="30"/>
        <v>Khanna Karan</v>
      </c>
      <c r="H1020" s="8" t="str">
        <f>IFERROR(VLOOKUP(VLOOKUP(A1020,'[1]Sales Order'!A:C,3,FALSE),[1]Employee!A:E,5,FALSE)&amp;" "&amp;VLOOKUP(VLOOKUP(A1020,'[1]Sales Order'!A:C,3,FALSE),[1]Employee!A:C,3,FALSE)&amp;" "&amp;VLOOKUP(VLOOKUP(A1020,'[1]Sales Order'!A:C,3,FALSE),[1]Employee!A:B,2,FALSE),"Not Specified")</f>
        <v>Mrs. Yael Peled</v>
      </c>
      <c r="I1020" t="str">
        <f>IFERROR(VLOOKUP(VLOOKUP(A1020,'[1]Sales Order'!A:C,3,FALSE),[1]Employee!A:J,10,FALSE),"Not Specified")</f>
        <v>WA</v>
      </c>
      <c r="J1020" t="str">
        <f>VLOOKUP(B1020,[1]Product!A:B,2,FALSE)</f>
        <v>Product CKEDC</v>
      </c>
      <c r="K1020" t="str">
        <f>VLOOKUP(VLOOKUP(B1020,[1]Product!A:D,4,FALSE),[1]Category!A:B,2,FALSE)</f>
        <v>Seafood</v>
      </c>
      <c r="L1020" s="10">
        <f>IFERROR(VLOOKUP(A1020,'[1]Sales Order'!A:D,4,FALSE),"")</f>
        <v>39309</v>
      </c>
      <c r="M1020" s="10">
        <f>IFERROR(VLOOKUP(A1020,'[1]Sales Order'!A:F,6,FALSE),"")</f>
        <v>39315</v>
      </c>
      <c r="N1020" t="str">
        <f>IFERROR(VLOOKUP(VLOOKUP(A1020,'[1]Sales Order'!A:G,7,FALSE),[1]Shipper!A:B,2,FALSE),"Not Specified")</f>
        <v>Shipper ZHISN</v>
      </c>
      <c r="O1020" t="str">
        <f>IFERROR(VLOOKUP(A1020,'[1]Sales Order'!A:I,9,FALSE),"Not Specified")</f>
        <v>Destination AGPCO</v>
      </c>
      <c r="P1020" t="str">
        <f>IFERROR(VLOOKUP(A1020,'[1]Sales Order'!A:N,14,FALSE),"Not Specified")</f>
        <v>France</v>
      </c>
      <c r="Q1020" t="str">
        <f>VLOOKUP(VLOOKUP(B1020,[1]Product!A:C,3,FALSE),[1]Supplier!A:B,2,FALSE)</f>
        <v>Supplier GQRCV</v>
      </c>
      <c r="R1020" t="str">
        <f>VLOOKUP(VLOOKUP(B1020,[1]Product!A:C,3,FALSE),[1]Supplier!A:I,9,FALSE)</f>
        <v>Australia</v>
      </c>
      <c r="S1020" t="str">
        <f>IFERROR(IF(VLOOKUP(A1020,'[1]Sales Order'!A:H,8,FALSE)&gt;100,"High Freight","Low Freight"),"Not Specified")</f>
        <v>High Freight</v>
      </c>
      <c r="T1020">
        <f t="shared" si="31"/>
        <v>3125</v>
      </c>
    </row>
    <row r="1021" spans="1:20">
      <c r="A1021" s="1">
        <v>10634</v>
      </c>
      <c r="B1021" s="2">
        <v>51</v>
      </c>
      <c r="C1021" s="2">
        <v>53</v>
      </c>
      <c r="D1021" s="2">
        <v>15</v>
      </c>
      <c r="E1021" s="3">
        <v>0</v>
      </c>
      <c r="F1021" s="2" t="str">
        <f>IFERROR(VLOOKUP(VLOOKUP(A1021,'[1]Sales Order'!A:B,2,FALSE),[1]Customer!A:C,3,FALSE),"Not Specified")</f>
        <v>Khanna, Karan</v>
      </c>
      <c r="G1021" s="2" t="str">
        <f t="shared" si="30"/>
        <v>Khanna Karan</v>
      </c>
      <c r="H1021" s="8" t="str">
        <f>IFERROR(VLOOKUP(VLOOKUP(A1021,'[1]Sales Order'!A:C,3,FALSE),[1]Employee!A:E,5,FALSE)&amp;" "&amp;VLOOKUP(VLOOKUP(A1021,'[1]Sales Order'!A:C,3,FALSE),[1]Employee!A:C,3,FALSE)&amp;" "&amp;VLOOKUP(VLOOKUP(A1021,'[1]Sales Order'!A:C,3,FALSE),[1]Employee!A:B,2,FALSE),"Not Specified")</f>
        <v>Mrs. Yael Peled</v>
      </c>
      <c r="I1021" t="str">
        <f>IFERROR(VLOOKUP(VLOOKUP(A1021,'[1]Sales Order'!A:C,3,FALSE),[1]Employee!A:J,10,FALSE),"Not Specified")</f>
        <v>WA</v>
      </c>
      <c r="J1021" t="str">
        <f>VLOOKUP(B1021,[1]Product!A:B,2,FALSE)</f>
        <v>Product APITJ</v>
      </c>
      <c r="K1021" t="str">
        <f>VLOOKUP(VLOOKUP(B1021,[1]Product!A:D,4,FALSE),[1]Category!A:B,2,FALSE)</f>
        <v>Produce</v>
      </c>
      <c r="L1021" s="10">
        <f>IFERROR(VLOOKUP(A1021,'[1]Sales Order'!A:D,4,FALSE),"")</f>
        <v>39309</v>
      </c>
      <c r="M1021" s="10">
        <f>IFERROR(VLOOKUP(A1021,'[1]Sales Order'!A:F,6,FALSE),"")</f>
        <v>39315</v>
      </c>
      <c r="N1021" t="str">
        <f>IFERROR(VLOOKUP(VLOOKUP(A1021,'[1]Sales Order'!A:G,7,FALSE),[1]Shipper!A:B,2,FALSE),"Not Specified")</f>
        <v>Shipper ZHISN</v>
      </c>
      <c r="O1021" t="str">
        <f>IFERROR(VLOOKUP(A1021,'[1]Sales Order'!A:I,9,FALSE),"Not Specified")</f>
        <v>Destination AGPCO</v>
      </c>
      <c r="P1021" t="str">
        <f>IFERROR(VLOOKUP(A1021,'[1]Sales Order'!A:N,14,FALSE),"Not Specified")</f>
        <v>France</v>
      </c>
      <c r="Q1021" t="str">
        <f>VLOOKUP(VLOOKUP(B1021,[1]Product!A:C,3,FALSE),[1]Supplier!A:B,2,FALSE)</f>
        <v>Supplier JNNES</v>
      </c>
      <c r="R1021" t="str">
        <f>VLOOKUP(VLOOKUP(B1021,[1]Product!A:C,3,FALSE),[1]Supplier!A:I,9,FALSE)</f>
        <v>Australia</v>
      </c>
      <c r="S1021" t="str">
        <f>IFERROR(IF(VLOOKUP(A1021,'[1]Sales Order'!A:H,8,FALSE)&gt;100,"High Freight","Low Freight"),"Not Specified")</f>
        <v>High Freight</v>
      </c>
      <c r="T1021">
        <f t="shared" si="31"/>
        <v>795</v>
      </c>
    </row>
    <row r="1022" spans="1:20">
      <c r="A1022" s="1">
        <v>10634</v>
      </c>
      <c r="B1022" s="2">
        <v>75</v>
      </c>
      <c r="C1022" s="2">
        <v>7.75</v>
      </c>
      <c r="D1022" s="2">
        <v>2</v>
      </c>
      <c r="E1022" s="3">
        <v>0</v>
      </c>
      <c r="F1022" s="2" t="str">
        <f>IFERROR(VLOOKUP(VLOOKUP(A1022,'[1]Sales Order'!A:B,2,FALSE),[1]Customer!A:C,3,FALSE),"Not Specified")</f>
        <v>Khanna, Karan</v>
      </c>
      <c r="G1022" s="2" t="str">
        <f t="shared" si="30"/>
        <v>Khanna Karan</v>
      </c>
      <c r="H1022" s="8" t="str">
        <f>IFERROR(VLOOKUP(VLOOKUP(A1022,'[1]Sales Order'!A:C,3,FALSE),[1]Employee!A:E,5,FALSE)&amp;" "&amp;VLOOKUP(VLOOKUP(A1022,'[1]Sales Order'!A:C,3,FALSE),[1]Employee!A:C,3,FALSE)&amp;" "&amp;VLOOKUP(VLOOKUP(A1022,'[1]Sales Order'!A:C,3,FALSE),[1]Employee!A:B,2,FALSE),"Not Specified")</f>
        <v>Mrs. Yael Peled</v>
      </c>
      <c r="I1022" t="str">
        <f>IFERROR(VLOOKUP(VLOOKUP(A1022,'[1]Sales Order'!A:C,3,FALSE),[1]Employee!A:J,10,FALSE),"Not Specified")</f>
        <v>WA</v>
      </c>
      <c r="J1022" t="str">
        <f>VLOOKUP(B1022,[1]Product!A:B,2,FALSE)</f>
        <v>Product BWRLG</v>
      </c>
      <c r="K1022" t="str">
        <f>VLOOKUP(VLOOKUP(B1022,[1]Product!A:D,4,FALSE),[1]Category!A:B,2,FALSE)</f>
        <v>Beverages</v>
      </c>
      <c r="L1022" s="10">
        <f>IFERROR(VLOOKUP(A1022,'[1]Sales Order'!A:D,4,FALSE),"")</f>
        <v>39309</v>
      </c>
      <c r="M1022" s="10">
        <f>IFERROR(VLOOKUP(A1022,'[1]Sales Order'!A:F,6,FALSE),"")</f>
        <v>39315</v>
      </c>
      <c r="N1022" t="str">
        <f>IFERROR(VLOOKUP(VLOOKUP(A1022,'[1]Sales Order'!A:G,7,FALSE),[1]Shipper!A:B,2,FALSE),"Not Specified")</f>
        <v>Shipper ZHISN</v>
      </c>
      <c r="O1022" t="str">
        <f>IFERROR(VLOOKUP(A1022,'[1]Sales Order'!A:I,9,FALSE),"Not Specified")</f>
        <v>Destination AGPCO</v>
      </c>
      <c r="P1022" t="str">
        <f>IFERROR(VLOOKUP(A1022,'[1]Sales Order'!A:N,14,FALSE),"Not Specified")</f>
        <v>France</v>
      </c>
      <c r="Q1022" t="str">
        <f>VLOOKUP(VLOOKUP(B1022,[1]Product!A:C,3,FALSE),[1]Supplier!A:B,2,FALSE)</f>
        <v>Supplier SVIYA</v>
      </c>
      <c r="R1022" t="str">
        <f>VLOOKUP(VLOOKUP(B1022,[1]Product!A:C,3,FALSE),[1]Supplier!A:I,9,FALSE)</f>
        <v>Germany</v>
      </c>
      <c r="S1022" t="str">
        <f>IFERROR(IF(VLOOKUP(A1022,'[1]Sales Order'!A:H,8,FALSE)&gt;100,"High Freight","Low Freight"),"Not Specified")</f>
        <v>High Freight</v>
      </c>
      <c r="T1022">
        <f t="shared" si="31"/>
        <v>15.5</v>
      </c>
    </row>
    <row r="1023" spans="1:20">
      <c r="A1023" s="1">
        <v>10635</v>
      </c>
      <c r="B1023" s="2">
        <v>4</v>
      </c>
      <c r="C1023" s="2">
        <v>22</v>
      </c>
      <c r="D1023" s="2">
        <v>10</v>
      </c>
      <c r="E1023" s="3">
        <v>0.1</v>
      </c>
      <c r="F1023" s="2" t="str">
        <f>IFERROR(VLOOKUP(VLOOKUP(A1023,'[1]Sales Order'!A:B,2,FALSE),[1]Customer!A:C,3,FALSE),"Not Specified")</f>
        <v>Duerr, Bernard</v>
      </c>
      <c r="G1023" s="2" t="str">
        <f t="shared" si="30"/>
        <v>Duerr Bernard</v>
      </c>
      <c r="H1023" s="8" t="str">
        <f>IFERROR(VLOOKUP(VLOOKUP(A1023,'[1]Sales Order'!A:C,3,FALSE),[1]Employee!A:E,5,FALSE)&amp;" "&amp;VLOOKUP(VLOOKUP(A1023,'[1]Sales Order'!A:C,3,FALSE),[1]Employee!A:C,3,FALSE)&amp;" "&amp;VLOOKUP(VLOOKUP(A1023,'[1]Sales Order'!A:C,3,FALSE),[1]Employee!A:B,2,FALSE),"Not Specified")</f>
        <v>Ms. Maria Cameron</v>
      </c>
      <c r="I1023" t="str">
        <f>IFERROR(VLOOKUP(VLOOKUP(A1023,'[1]Sales Order'!A:C,3,FALSE),[1]Employee!A:J,10,FALSE),"Not Specified")</f>
        <v>WA</v>
      </c>
      <c r="J1023" t="str">
        <f>VLOOKUP(B1023,[1]Product!A:B,2,FALSE)</f>
        <v>Product KSBRM</v>
      </c>
      <c r="K1023" t="str">
        <f>VLOOKUP(VLOOKUP(B1023,[1]Product!A:D,4,FALSE),[1]Category!A:B,2,FALSE)</f>
        <v>Condiments</v>
      </c>
      <c r="L1023" s="10">
        <f>IFERROR(VLOOKUP(A1023,'[1]Sales Order'!A:D,4,FALSE),"")</f>
        <v>39312</v>
      </c>
      <c r="M1023" s="10">
        <f>IFERROR(VLOOKUP(A1023,'[1]Sales Order'!A:F,6,FALSE),"")</f>
        <v>39315</v>
      </c>
      <c r="N1023" t="str">
        <f>IFERROR(VLOOKUP(VLOOKUP(A1023,'[1]Sales Order'!A:G,7,FALSE),[1]Shipper!A:B,2,FALSE),"Not Specified")</f>
        <v>Shipper ZHISN</v>
      </c>
      <c r="O1023" t="str">
        <f>IFERROR(VLOOKUP(A1023,'[1]Sales Order'!A:I,9,FALSE),"Not Specified")</f>
        <v>Ship to 49-A</v>
      </c>
      <c r="P1023" t="str">
        <f>IFERROR(VLOOKUP(A1023,'[1]Sales Order'!A:N,14,FALSE),"Not Specified")</f>
        <v>Italy</v>
      </c>
      <c r="Q1023" t="str">
        <f>VLOOKUP(VLOOKUP(B1023,[1]Product!A:C,3,FALSE),[1]Supplier!A:B,2,FALSE)</f>
        <v>Supplier VHQZD</v>
      </c>
      <c r="R1023" t="str">
        <f>VLOOKUP(VLOOKUP(B1023,[1]Product!A:C,3,FALSE),[1]Supplier!A:I,9,FALSE)</f>
        <v>USA</v>
      </c>
      <c r="S1023" t="str">
        <f>IFERROR(IF(VLOOKUP(A1023,'[1]Sales Order'!A:H,8,FALSE)&gt;100,"High Freight","Low Freight"),"Not Specified")</f>
        <v>Low Freight</v>
      </c>
      <c r="T1023">
        <f t="shared" si="31"/>
        <v>198</v>
      </c>
    </row>
    <row r="1024" spans="1:20">
      <c r="A1024" s="1">
        <v>10635</v>
      </c>
      <c r="B1024" s="2">
        <v>5</v>
      </c>
      <c r="C1024" s="2">
        <v>21.35</v>
      </c>
      <c r="D1024" s="2">
        <v>15</v>
      </c>
      <c r="E1024" s="3">
        <v>0.1</v>
      </c>
      <c r="F1024" s="2" t="str">
        <f>IFERROR(VLOOKUP(VLOOKUP(A1024,'[1]Sales Order'!A:B,2,FALSE),[1]Customer!A:C,3,FALSE),"Not Specified")</f>
        <v>Duerr, Bernard</v>
      </c>
      <c r="G1024" s="2" t="str">
        <f t="shared" si="30"/>
        <v>Duerr Bernard</v>
      </c>
      <c r="H1024" s="8" t="str">
        <f>IFERROR(VLOOKUP(VLOOKUP(A1024,'[1]Sales Order'!A:C,3,FALSE),[1]Employee!A:E,5,FALSE)&amp;" "&amp;VLOOKUP(VLOOKUP(A1024,'[1]Sales Order'!A:C,3,FALSE),[1]Employee!A:C,3,FALSE)&amp;" "&amp;VLOOKUP(VLOOKUP(A1024,'[1]Sales Order'!A:C,3,FALSE),[1]Employee!A:B,2,FALSE),"Not Specified")</f>
        <v>Ms. Maria Cameron</v>
      </c>
      <c r="I1024" t="str">
        <f>IFERROR(VLOOKUP(VLOOKUP(A1024,'[1]Sales Order'!A:C,3,FALSE),[1]Employee!A:J,10,FALSE),"Not Specified")</f>
        <v>WA</v>
      </c>
      <c r="J1024" t="str">
        <f>VLOOKUP(B1024,[1]Product!A:B,2,FALSE)</f>
        <v>Product EPEIM</v>
      </c>
      <c r="K1024" t="str">
        <f>VLOOKUP(VLOOKUP(B1024,[1]Product!A:D,4,FALSE),[1]Category!A:B,2,FALSE)</f>
        <v>Condiments</v>
      </c>
      <c r="L1024" s="10">
        <f>IFERROR(VLOOKUP(A1024,'[1]Sales Order'!A:D,4,FALSE),"")</f>
        <v>39312</v>
      </c>
      <c r="M1024" s="10">
        <f>IFERROR(VLOOKUP(A1024,'[1]Sales Order'!A:F,6,FALSE),"")</f>
        <v>39315</v>
      </c>
      <c r="N1024" t="str">
        <f>IFERROR(VLOOKUP(VLOOKUP(A1024,'[1]Sales Order'!A:G,7,FALSE),[1]Shipper!A:B,2,FALSE),"Not Specified")</f>
        <v>Shipper ZHISN</v>
      </c>
      <c r="O1024" t="str">
        <f>IFERROR(VLOOKUP(A1024,'[1]Sales Order'!A:I,9,FALSE),"Not Specified")</f>
        <v>Ship to 49-A</v>
      </c>
      <c r="P1024" t="str">
        <f>IFERROR(VLOOKUP(A1024,'[1]Sales Order'!A:N,14,FALSE),"Not Specified")</f>
        <v>Italy</v>
      </c>
      <c r="Q1024" t="str">
        <f>VLOOKUP(VLOOKUP(B1024,[1]Product!A:C,3,FALSE),[1]Supplier!A:B,2,FALSE)</f>
        <v>Supplier VHQZD</v>
      </c>
      <c r="R1024" t="str">
        <f>VLOOKUP(VLOOKUP(B1024,[1]Product!A:C,3,FALSE),[1]Supplier!A:I,9,FALSE)</f>
        <v>USA</v>
      </c>
      <c r="S1024" t="str">
        <f>IFERROR(IF(VLOOKUP(A1024,'[1]Sales Order'!A:H,8,FALSE)&gt;100,"High Freight","Low Freight"),"Not Specified")</f>
        <v>Low Freight</v>
      </c>
      <c r="T1024">
        <f t="shared" si="31"/>
        <v>288.22500000000002</v>
      </c>
    </row>
    <row r="1025" spans="1:20">
      <c r="A1025" s="1">
        <v>10635</v>
      </c>
      <c r="B1025" s="2">
        <v>22</v>
      </c>
      <c r="C1025" s="2">
        <v>21</v>
      </c>
      <c r="D1025" s="2">
        <v>40</v>
      </c>
      <c r="E1025" s="3">
        <v>0</v>
      </c>
      <c r="F1025" s="2" t="str">
        <f>IFERROR(VLOOKUP(VLOOKUP(A1025,'[1]Sales Order'!A:B,2,FALSE),[1]Customer!A:C,3,FALSE),"Not Specified")</f>
        <v>Duerr, Bernard</v>
      </c>
      <c r="G1025" s="2" t="str">
        <f t="shared" si="30"/>
        <v>Duerr Bernard</v>
      </c>
      <c r="H1025" s="8" t="str">
        <f>IFERROR(VLOOKUP(VLOOKUP(A1025,'[1]Sales Order'!A:C,3,FALSE),[1]Employee!A:E,5,FALSE)&amp;" "&amp;VLOOKUP(VLOOKUP(A1025,'[1]Sales Order'!A:C,3,FALSE),[1]Employee!A:C,3,FALSE)&amp;" "&amp;VLOOKUP(VLOOKUP(A1025,'[1]Sales Order'!A:C,3,FALSE),[1]Employee!A:B,2,FALSE),"Not Specified")</f>
        <v>Ms. Maria Cameron</v>
      </c>
      <c r="I1025" t="str">
        <f>IFERROR(VLOOKUP(VLOOKUP(A1025,'[1]Sales Order'!A:C,3,FALSE),[1]Employee!A:J,10,FALSE),"Not Specified")</f>
        <v>WA</v>
      </c>
      <c r="J1025" t="str">
        <f>VLOOKUP(B1025,[1]Product!A:B,2,FALSE)</f>
        <v>Product CPHFY</v>
      </c>
      <c r="K1025" t="str">
        <f>VLOOKUP(VLOOKUP(B1025,[1]Product!A:D,4,FALSE),[1]Category!A:B,2,FALSE)</f>
        <v>Grains/Cereals</v>
      </c>
      <c r="L1025" s="10">
        <f>IFERROR(VLOOKUP(A1025,'[1]Sales Order'!A:D,4,FALSE),"")</f>
        <v>39312</v>
      </c>
      <c r="M1025" s="10">
        <f>IFERROR(VLOOKUP(A1025,'[1]Sales Order'!A:F,6,FALSE),"")</f>
        <v>39315</v>
      </c>
      <c r="N1025" t="str">
        <f>IFERROR(VLOOKUP(VLOOKUP(A1025,'[1]Sales Order'!A:G,7,FALSE),[1]Shipper!A:B,2,FALSE),"Not Specified")</f>
        <v>Shipper ZHISN</v>
      </c>
      <c r="O1025" t="str">
        <f>IFERROR(VLOOKUP(A1025,'[1]Sales Order'!A:I,9,FALSE),"Not Specified")</f>
        <v>Ship to 49-A</v>
      </c>
      <c r="P1025" t="str">
        <f>IFERROR(VLOOKUP(A1025,'[1]Sales Order'!A:N,14,FALSE),"Not Specified")</f>
        <v>Italy</v>
      </c>
      <c r="Q1025" t="str">
        <f>VLOOKUP(VLOOKUP(B1025,[1]Product!A:C,3,FALSE),[1]Supplier!A:B,2,FALSE)</f>
        <v>Supplier QQYEU</v>
      </c>
      <c r="R1025" t="str">
        <f>VLOOKUP(VLOOKUP(B1025,[1]Product!A:C,3,FALSE),[1]Supplier!A:I,9,FALSE)</f>
        <v>Sweden</v>
      </c>
      <c r="S1025" t="str">
        <f>IFERROR(IF(VLOOKUP(A1025,'[1]Sales Order'!A:H,8,FALSE)&gt;100,"High Freight","Low Freight"),"Not Specified")</f>
        <v>Low Freight</v>
      </c>
      <c r="T1025">
        <f t="shared" si="31"/>
        <v>840</v>
      </c>
    </row>
    <row r="1026" spans="1:20">
      <c r="A1026" s="1">
        <v>10636</v>
      </c>
      <c r="B1026" s="2">
        <v>4</v>
      </c>
      <c r="C1026" s="2">
        <v>22</v>
      </c>
      <c r="D1026" s="2">
        <v>25</v>
      </c>
      <c r="E1026" s="3">
        <v>0</v>
      </c>
      <c r="F1026" s="2" t="str">
        <f>IFERROR(VLOOKUP(VLOOKUP(A1026,'[1]Sales Order'!A:B,2,FALSE),[1]Customer!A:C,3,FALSE),"Not Specified")</f>
        <v>Ludwig, Michael</v>
      </c>
      <c r="G1026" s="2" t="str">
        <f t="shared" si="30"/>
        <v>Ludwig Michael</v>
      </c>
      <c r="H1026" s="8" t="str">
        <f>IFERROR(VLOOKUP(VLOOKUP(A1026,'[1]Sales Order'!A:C,3,FALSE),[1]Employee!A:E,5,FALSE)&amp;" "&amp;VLOOKUP(VLOOKUP(A1026,'[1]Sales Order'!A:C,3,FALSE),[1]Employee!A:C,3,FALSE)&amp;" "&amp;VLOOKUP(VLOOKUP(A1026,'[1]Sales Order'!A:C,3,FALSE),[1]Employee!A:B,2,FALSE),"Not Specified")</f>
        <v>Mrs. Yael Peled</v>
      </c>
      <c r="I1026" t="str">
        <f>IFERROR(VLOOKUP(VLOOKUP(A1026,'[1]Sales Order'!A:C,3,FALSE),[1]Employee!A:J,10,FALSE),"Not Specified")</f>
        <v>WA</v>
      </c>
      <c r="J1026" t="str">
        <f>VLOOKUP(B1026,[1]Product!A:B,2,FALSE)</f>
        <v>Product KSBRM</v>
      </c>
      <c r="K1026" t="str">
        <f>VLOOKUP(VLOOKUP(B1026,[1]Product!A:D,4,FALSE),[1]Category!A:B,2,FALSE)</f>
        <v>Condiments</v>
      </c>
      <c r="L1026" s="10">
        <f>IFERROR(VLOOKUP(A1026,'[1]Sales Order'!A:D,4,FALSE),"")</f>
        <v>39313</v>
      </c>
      <c r="M1026" s="10">
        <f>IFERROR(VLOOKUP(A1026,'[1]Sales Order'!A:F,6,FALSE),"")</f>
        <v>39320</v>
      </c>
      <c r="N1026" t="str">
        <f>IFERROR(VLOOKUP(VLOOKUP(A1026,'[1]Sales Order'!A:G,7,FALSE),[1]Shipper!A:B,2,FALSE),"Not Specified")</f>
        <v>Shipper GVSUA</v>
      </c>
      <c r="O1026" t="str">
        <f>IFERROR(VLOOKUP(A1026,'[1]Sales Order'!A:I,9,FALSE),"Not Specified")</f>
        <v>Ship to 87-A</v>
      </c>
      <c r="P1026" t="str">
        <f>IFERROR(VLOOKUP(A1026,'[1]Sales Order'!A:N,14,FALSE),"Not Specified")</f>
        <v>Finland</v>
      </c>
      <c r="Q1026" t="str">
        <f>VLOOKUP(VLOOKUP(B1026,[1]Product!A:C,3,FALSE),[1]Supplier!A:B,2,FALSE)</f>
        <v>Supplier VHQZD</v>
      </c>
      <c r="R1026" t="str">
        <f>VLOOKUP(VLOOKUP(B1026,[1]Product!A:C,3,FALSE),[1]Supplier!A:I,9,FALSE)</f>
        <v>USA</v>
      </c>
      <c r="S1026" t="str">
        <f>IFERROR(IF(VLOOKUP(A1026,'[1]Sales Order'!A:H,8,FALSE)&gt;100,"High Freight","Low Freight"),"Not Specified")</f>
        <v>Low Freight</v>
      </c>
      <c r="T1026">
        <f t="shared" si="31"/>
        <v>550</v>
      </c>
    </row>
    <row r="1027" spans="1:20">
      <c r="A1027" s="1">
        <v>10636</v>
      </c>
      <c r="B1027" s="2">
        <v>58</v>
      </c>
      <c r="C1027" s="2">
        <v>13.25</v>
      </c>
      <c r="D1027" s="2">
        <v>6</v>
      </c>
      <c r="E1027" s="3">
        <v>0</v>
      </c>
      <c r="F1027" s="2" t="str">
        <f>IFERROR(VLOOKUP(VLOOKUP(A1027,'[1]Sales Order'!A:B,2,FALSE),[1]Customer!A:C,3,FALSE),"Not Specified")</f>
        <v>Ludwig, Michael</v>
      </c>
      <c r="G1027" s="2" t="str">
        <f t="shared" ref="G1027:G1090" si="32">SUBSTITUTE(F1027,",","",1)</f>
        <v>Ludwig Michael</v>
      </c>
      <c r="H1027" s="8" t="str">
        <f>IFERROR(VLOOKUP(VLOOKUP(A1027,'[1]Sales Order'!A:C,3,FALSE),[1]Employee!A:E,5,FALSE)&amp;" "&amp;VLOOKUP(VLOOKUP(A1027,'[1]Sales Order'!A:C,3,FALSE),[1]Employee!A:C,3,FALSE)&amp;" "&amp;VLOOKUP(VLOOKUP(A1027,'[1]Sales Order'!A:C,3,FALSE),[1]Employee!A:B,2,FALSE),"Not Specified")</f>
        <v>Mrs. Yael Peled</v>
      </c>
      <c r="I1027" t="str">
        <f>IFERROR(VLOOKUP(VLOOKUP(A1027,'[1]Sales Order'!A:C,3,FALSE),[1]Employee!A:J,10,FALSE),"Not Specified")</f>
        <v>WA</v>
      </c>
      <c r="J1027" t="str">
        <f>VLOOKUP(B1027,[1]Product!A:B,2,FALSE)</f>
        <v>Product ACRVI</v>
      </c>
      <c r="K1027" t="str">
        <f>VLOOKUP(VLOOKUP(B1027,[1]Product!A:D,4,FALSE),[1]Category!A:B,2,FALSE)</f>
        <v>Seafood</v>
      </c>
      <c r="L1027" s="10">
        <f>IFERROR(VLOOKUP(A1027,'[1]Sales Order'!A:D,4,FALSE),"")</f>
        <v>39313</v>
      </c>
      <c r="M1027" s="10">
        <f>IFERROR(VLOOKUP(A1027,'[1]Sales Order'!A:F,6,FALSE),"")</f>
        <v>39320</v>
      </c>
      <c r="N1027" t="str">
        <f>IFERROR(VLOOKUP(VLOOKUP(A1027,'[1]Sales Order'!A:G,7,FALSE),[1]Shipper!A:B,2,FALSE),"Not Specified")</f>
        <v>Shipper GVSUA</v>
      </c>
      <c r="O1027" t="str">
        <f>IFERROR(VLOOKUP(A1027,'[1]Sales Order'!A:I,9,FALSE),"Not Specified")</f>
        <v>Ship to 87-A</v>
      </c>
      <c r="P1027" t="str">
        <f>IFERROR(VLOOKUP(A1027,'[1]Sales Order'!A:N,14,FALSE),"Not Specified")</f>
        <v>Finland</v>
      </c>
      <c r="Q1027" t="str">
        <f>VLOOKUP(VLOOKUP(B1027,[1]Product!A:C,3,FALSE),[1]Supplier!A:B,2,FALSE)</f>
        <v>Supplier ZRYDZ</v>
      </c>
      <c r="R1027" t="str">
        <f>VLOOKUP(VLOOKUP(B1027,[1]Product!A:C,3,FALSE),[1]Supplier!A:I,9,FALSE)</f>
        <v>France</v>
      </c>
      <c r="S1027" t="str">
        <f>IFERROR(IF(VLOOKUP(A1027,'[1]Sales Order'!A:H,8,FALSE)&gt;100,"High Freight","Low Freight"),"Not Specified")</f>
        <v>Low Freight</v>
      </c>
      <c r="T1027">
        <f t="shared" ref="T1027:T1090" si="33">C1027*D1027*(1-E1027)</f>
        <v>79.5</v>
      </c>
    </row>
    <row r="1028" spans="1:20">
      <c r="A1028" s="1">
        <v>10637</v>
      </c>
      <c r="B1028" s="2">
        <v>11</v>
      </c>
      <c r="C1028" s="2">
        <v>21</v>
      </c>
      <c r="D1028" s="2">
        <v>10</v>
      </c>
      <c r="E1028" s="3">
        <v>0</v>
      </c>
      <c r="F1028" s="2" t="str">
        <f>IFERROR(VLOOKUP(VLOOKUP(A1028,'[1]Sales Order'!A:B,2,FALSE),[1]Customer!A:C,3,FALSE),"Not Specified")</f>
        <v>Misiec, Anna</v>
      </c>
      <c r="G1028" s="2" t="str">
        <f t="shared" si="32"/>
        <v>Misiec Anna</v>
      </c>
      <c r="H1028" s="8" t="str">
        <f>IFERROR(VLOOKUP(VLOOKUP(A1028,'[1]Sales Order'!A:C,3,FALSE),[1]Employee!A:E,5,FALSE)&amp;" "&amp;VLOOKUP(VLOOKUP(A1028,'[1]Sales Order'!A:C,3,FALSE),[1]Employee!A:C,3,FALSE)&amp;" "&amp;VLOOKUP(VLOOKUP(A1028,'[1]Sales Order'!A:C,3,FALSE),[1]Employee!A:B,2,FALSE),"Not Specified")</f>
        <v>Mr. Paul Suurs</v>
      </c>
      <c r="I1028">
        <f>IFERROR(VLOOKUP(VLOOKUP(A1028,'[1]Sales Order'!A:C,3,FALSE),[1]Employee!A:J,10,FALSE),"Not Specified")</f>
        <v>0</v>
      </c>
      <c r="J1028" t="str">
        <f>VLOOKUP(B1028,[1]Product!A:B,2,FALSE)</f>
        <v>Product QMVUN</v>
      </c>
      <c r="K1028" t="str">
        <f>VLOOKUP(VLOOKUP(B1028,[1]Product!A:D,4,FALSE),[1]Category!A:B,2,FALSE)</f>
        <v>Dairy Product</v>
      </c>
      <c r="L1028" s="10">
        <f>IFERROR(VLOOKUP(A1028,'[1]Sales Order'!A:D,4,FALSE),"")</f>
        <v>39313</v>
      </c>
      <c r="M1028" s="10">
        <f>IFERROR(VLOOKUP(A1028,'[1]Sales Order'!A:F,6,FALSE),"")</f>
        <v>39320</v>
      </c>
      <c r="N1028" t="str">
        <f>IFERROR(VLOOKUP(VLOOKUP(A1028,'[1]Sales Order'!A:G,7,FALSE),[1]Shipper!A:B,2,FALSE),"Not Specified")</f>
        <v>Shipper GVSUA</v>
      </c>
      <c r="O1028" t="str">
        <f>IFERROR(VLOOKUP(A1028,'[1]Sales Order'!A:I,9,FALSE),"Not Specified")</f>
        <v>Ship to 62-C</v>
      </c>
      <c r="P1028" t="str">
        <f>IFERROR(VLOOKUP(A1028,'[1]Sales Order'!A:N,14,FALSE),"Not Specified")</f>
        <v>Brazil</v>
      </c>
      <c r="Q1028" t="str">
        <f>VLOOKUP(VLOOKUP(B1028,[1]Product!A:C,3,FALSE),[1]Supplier!A:B,2,FALSE)</f>
        <v>Supplier EQPNC</v>
      </c>
      <c r="R1028" t="str">
        <f>VLOOKUP(VLOOKUP(B1028,[1]Product!A:C,3,FALSE),[1]Supplier!A:I,9,FALSE)</f>
        <v>Spain</v>
      </c>
      <c r="S1028" t="str">
        <f>IFERROR(IF(VLOOKUP(A1028,'[1]Sales Order'!A:H,8,FALSE)&gt;100,"High Freight","Low Freight"),"Not Specified")</f>
        <v>High Freight</v>
      </c>
      <c r="T1028">
        <f t="shared" si="33"/>
        <v>210</v>
      </c>
    </row>
    <row r="1029" spans="1:20">
      <c r="A1029" s="1">
        <v>10637</v>
      </c>
      <c r="B1029" s="2">
        <v>50</v>
      </c>
      <c r="C1029" s="2">
        <v>16.25</v>
      </c>
      <c r="D1029" s="2">
        <v>25</v>
      </c>
      <c r="E1029" s="3">
        <v>0.05</v>
      </c>
      <c r="F1029" s="2" t="str">
        <f>IFERROR(VLOOKUP(VLOOKUP(A1029,'[1]Sales Order'!A:B,2,FALSE),[1]Customer!A:C,3,FALSE),"Not Specified")</f>
        <v>Misiec, Anna</v>
      </c>
      <c r="G1029" s="2" t="str">
        <f t="shared" si="32"/>
        <v>Misiec Anna</v>
      </c>
      <c r="H1029" s="8" t="str">
        <f>IFERROR(VLOOKUP(VLOOKUP(A1029,'[1]Sales Order'!A:C,3,FALSE),[1]Employee!A:E,5,FALSE)&amp;" "&amp;VLOOKUP(VLOOKUP(A1029,'[1]Sales Order'!A:C,3,FALSE),[1]Employee!A:C,3,FALSE)&amp;" "&amp;VLOOKUP(VLOOKUP(A1029,'[1]Sales Order'!A:C,3,FALSE),[1]Employee!A:B,2,FALSE),"Not Specified")</f>
        <v>Mr. Paul Suurs</v>
      </c>
      <c r="I1029">
        <f>IFERROR(VLOOKUP(VLOOKUP(A1029,'[1]Sales Order'!A:C,3,FALSE),[1]Employee!A:J,10,FALSE),"Not Specified")</f>
        <v>0</v>
      </c>
      <c r="J1029" t="str">
        <f>VLOOKUP(B1029,[1]Product!A:B,2,FALSE)</f>
        <v>Product BIUDV</v>
      </c>
      <c r="K1029" t="str">
        <f>VLOOKUP(VLOOKUP(B1029,[1]Product!A:D,4,FALSE),[1]Category!A:B,2,FALSE)</f>
        <v>Confections</v>
      </c>
      <c r="L1029" s="10">
        <f>IFERROR(VLOOKUP(A1029,'[1]Sales Order'!A:D,4,FALSE),"")</f>
        <v>39313</v>
      </c>
      <c r="M1029" s="10">
        <f>IFERROR(VLOOKUP(A1029,'[1]Sales Order'!A:F,6,FALSE),"")</f>
        <v>39320</v>
      </c>
      <c r="N1029" t="str">
        <f>IFERROR(VLOOKUP(VLOOKUP(A1029,'[1]Sales Order'!A:G,7,FALSE),[1]Shipper!A:B,2,FALSE),"Not Specified")</f>
        <v>Shipper GVSUA</v>
      </c>
      <c r="O1029" t="str">
        <f>IFERROR(VLOOKUP(A1029,'[1]Sales Order'!A:I,9,FALSE),"Not Specified")</f>
        <v>Ship to 62-C</v>
      </c>
      <c r="P1029" t="str">
        <f>IFERROR(VLOOKUP(A1029,'[1]Sales Order'!A:N,14,FALSE),"Not Specified")</f>
        <v>Brazil</v>
      </c>
      <c r="Q1029" t="str">
        <f>VLOOKUP(VLOOKUP(B1029,[1]Product!A:C,3,FALSE),[1]Supplier!A:B,2,FALSE)</f>
        <v>Supplier ELCRN</v>
      </c>
      <c r="R1029" t="str">
        <f>VLOOKUP(VLOOKUP(B1029,[1]Product!A:C,3,FALSE),[1]Supplier!A:I,9,FALSE)</f>
        <v>Finland</v>
      </c>
      <c r="S1029" t="str">
        <f>IFERROR(IF(VLOOKUP(A1029,'[1]Sales Order'!A:H,8,FALSE)&gt;100,"High Freight","Low Freight"),"Not Specified")</f>
        <v>High Freight</v>
      </c>
      <c r="T1029">
        <f t="shared" si="33"/>
        <v>385.9375</v>
      </c>
    </row>
    <row r="1030" spans="1:20">
      <c r="A1030" s="1">
        <v>10637</v>
      </c>
      <c r="B1030" s="2">
        <v>56</v>
      </c>
      <c r="C1030" s="2">
        <v>38</v>
      </c>
      <c r="D1030" s="2">
        <v>60</v>
      </c>
      <c r="E1030" s="3">
        <v>0.05</v>
      </c>
      <c r="F1030" s="2" t="str">
        <f>IFERROR(VLOOKUP(VLOOKUP(A1030,'[1]Sales Order'!A:B,2,FALSE),[1]Customer!A:C,3,FALSE),"Not Specified")</f>
        <v>Misiec, Anna</v>
      </c>
      <c r="G1030" s="2" t="str">
        <f t="shared" si="32"/>
        <v>Misiec Anna</v>
      </c>
      <c r="H1030" s="8" t="str">
        <f>IFERROR(VLOOKUP(VLOOKUP(A1030,'[1]Sales Order'!A:C,3,FALSE),[1]Employee!A:E,5,FALSE)&amp;" "&amp;VLOOKUP(VLOOKUP(A1030,'[1]Sales Order'!A:C,3,FALSE),[1]Employee!A:C,3,FALSE)&amp;" "&amp;VLOOKUP(VLOOKUP(A1030,'[1]Sales Order'!A:C,3,FALSE),[1]Employee!A:B,2,FALSE),"Not Specified")</f>
        <v>Mr. Paul Suurs</v>
      </c>
      <c r="I1030">
        <f>IFERROR(VLOOKUP(VLOOKUP(A1030,'[1]Sales Order'!A:C,3,FALSE),[1]Employee!A:J,10,FALSE),"Not Specified")</f>
        <v>0</v>
      </c>
      <c r="J1030" t="str">
        <f>VLOOKUP(B1030,[1]Product!A:B,2,FALSE)</f>
        <v>Product VKCMF</v>
      </c>
      <c r="K1030" t="str">
        <f>VLOOKUP(VLOOKUP(B1030,[1]Product!A:D,4,FALSE),[1]Category!A:B,2,FALSE)</f>
        <v>Grains/Cereals</v>
      </c>
      <c r="L1030" s="10">
        <f>IFERROR(VLOOKUP(A1030,'[1]Sales Order'!A:D,4,FALSE),"")</f>
        <v>39313</v>
      </c>
      <c r="M1030" s="10">
        <f>IFERROR(VLOOKUP(A1030,'[1]Sales Order'!A:F,6,FALSE),"")</f>
        <v>39320</v>
      </c>
      <c r="N1030" t="str">
        <f>IFERROR(VLOOKUP(VLOOKUP(A1030,'[1]Sales Order'!A:G,7,FALSE),[1]Shipper!A:B,2,FALSE),"Not Specified")</f>
        <v>Shipper GVSUA</v>
      </c>
      <c r="O1030" t="str">
        <f>IFERROR(VLOOKUP(A1030,'[1]Sales Order'!A:I,9,FALSE),"Not Specified")</f>
        <v>Ship to 62-C</v>
      </c>
      <c r="P1030" t="str">
        <f>IFERROR(VLOOKUP(A1030,'[1]Sales Order'!A:N,14,FALSE),"Not Specified")</f>
        <v>Brazil</v>
      </c>
      <c r="Q1030" t="str">
        <f>VLOOKUP(VLOOKUP(B1030,[1]Product!A:C,3,FALSE),[1]Supplier!A:B,2,FALSE)</f>
        <v>Supplier ZWZDM</v>
      </c>
      <c r="R1030" t="str">
        <f>VLOOKUP(VLOOKUP(B1030,[1]Product!A:C,3,FALSE),[1]Supplier!A:I,9,FALSE)</f>
        <v>Italy</v>
      </c>
      <c r="S1030" t="str">
        <f>IFERROR(IF(VLOOKUP(A1030,'[1]Sales Order'!A:H,8,FALSE)&gt;100,"High Freight","Low Freight"),"Not Specified")</f>
        <v>High Freight</v>
      </c>
      <c r="T1030">
        <f t="shared" si="33"/>
        <v>2166</v>
      </c>
    </row>
    <row r="1031" spans="1:20">
      <c r="A1031" s="1">
        <v>10638</v>
      </c>
      <c r="B1031" s="2">
        <v>45</v>
      </c>
      <c r="C1031" s="2">
        <v>9.5</v>
      </c>
      <c r="D1031" s="2">
        <v>20</v>
      </c>
      <c r="E1031" s="3">
        <v>0</v>
      </c>
      <c r="F1031" s="2" t="str">
        <f>IFERROR(VLOOKUP(VLOOKUP(A1031,'[1]Sales Order'!A:B,2,FALSE),[1]Customer!A:C,3,FALSE),"Not Specified")</f>
        <v>Lupu, Cornel</v>
      </c>
      <c r="G1031" s="2" t="str">
        <f t="shared" si="32"/>
        <v>Lupu Cornel</v>
      </c>
      <c r="H1031" s="8" t="str">
        <f>IFERROR(VLOOKUP(VLOOKUP(A1031,'[1]Sales Order'!A:C,3,FALSE),[1]Employee!A:E,5,FALSE)&amp;" "&amp;VLOOKUP(VLOOKUP(A1031,'[1]Sales Order'!A:C,3,FALSE),[1]Employee!A:C,3,FALSE)&amp;" "&amp;VLOOKUP(VLOOKUP(A1031,'[1]Sales Order'!A:C,3,FALSE),[1]Employee!A:B,2,FALSE),"Not Specified")</f>
        <v>Ms. Judy Lew</v>
      </c>
      <c r="I1031" t="str">
        <f>IFERROR(VLOOKUP(VLOOKUP(A1031,'[1]Sales Order'!A:C,3,FALSE),[1]Employee!A:J,10,FALSE),"Not Specified")</f>
        <v>WA</v>
      </c>
      <c r="J1031" t="str">
        <f>VLOOKUP(B1031,[1]Product!A:B,2,FALSE)</f>
        <v>Product AQOKR</v>
      </c>
      <c r="K1031" t="str">
        <f>VLOOKUP(VLOOKUP(B1031,[1]Product!A:D,4,FALSE),[1]Category!A:B,2,FALSE)</f>
        <v>Seafood</v>
      </c>
      <c r="L1031" s="10">
        <f>IFERROR(VLOOKUP(A1031,'[1]Sales Order'!A:D,4,FALSE),"")</f>
        <v>39314</v>
      </c>
      <c r="M1031" s="10">
        <f>IFERROR(VLOOKUP(A1031,'[1]Sales Order'!A:F,6,FALSE),"")</f>
        <v>39326</v>
      </c>
      <c r="N1031" t="str">
        <f>IFERROR(VLOOKUP(VLOOKUP(A1031,'[1]Sales Order'!A:G,7,FALSE),[1]Shipper!A:B,2,FALSE),"Not Specified")</f>
        <v>Shipper GVSUA</v>
      </c>
      <c r="O1031" t="str">
        <f>IFERROR(VLOOKUP(A1031,'[1]Sales Order'!A:I,9,FALSE),"Not Specified")</f>
        <v>Ship to 47-B</v>
      </c>
      <c r="P1031" t="str">
        <f>IFERROR(VLOOKUP(A1031,'[1]Sales Order'!A:N,14,FALSE),"Not Specified")</f>
        <v>Venezuela</v>
      </c>
      <c r="Q1031" t="str">
        <f>VLOOKUP(VLOOKUP(B1031,[1]Product!A:C,3,FALSE),[1]Supplier!A:B,2,FALSE)</f>
        <v>Supplier XOXZA</v>
      </c>
      <c r="R1031" t="str">
        <f>VLOOKUP(VLOOKUP(B1031,[1]Product!A:C,3,FALSE),[1]Supplier!A:I,9,FALSE)</f>
        <v>Denmark</v>
      </c>
      <c r="S1031" t="str">
        <f>IFERROR(IF(VLOOKUP(A1031,'[1]Sales Order'!A:H,8,FALSE)&gt;100,"High Freight","Low Freight"),"Not Specified")</f>
        <v>High Freight</v>
      </c>
      <c r="T1031">
        <f t="shared" si="33"/>
        <v>190</v>
      </c>
    </row>
    <row r="1032" spans="1:20">
      <c r="A1032" s="1">
        <v>10638</v>
      </c>
      <c r="B1032" s="2">
        <v>65</v>
      </c>
      <c r="C1032" s="2">
        <v>21.05</v>
      </c>
      <c r="D1032" s="2">
        <v>21</v>
      </c>
      <c r="E1032" s="3">
        <v>0</v>
      </c>
      <c r="F1032" s="2" t="str">
        <f>IFERROR(VLOOKUP(VLOOKUP(A1032,'[1]Sales Order'!A:B,2,FALSE),[1]Customer!A:C,3,FALSE),"Not Specified")</f>
        <v>Lupu, Cornel</v>
      </c>
      <c r="G1032" s="2" t="str">
        <f t="shared" si="32"/>
        <v>Lupu Cornel</v>
      </c>
      <c r="H1032" s="8" t="str">
        <f>IFERROR(VLOOKUP(VLOOKUP(A1032,'[1]Sales Order'!A:C,3,FALSE),[1]Employee!A:E,5,FALSE)&amp;" "&amp;VLOOKUP(VLOOKUP(A1032,'[1]Sales Order'!A:C,3,FALSE),[1]Employee!A:C,3,FALSE)&amp;" "&amp;VLOOKUP(VLOOKUP(A1032,'[1]Sales Order'!A:C,3,FALSE),[1]Employee!A:B,2,FALSE),"Not Specified")</f>
        <v>Ms. Judy Lew</v>
      </c>
      <c r="I1032" t="str">
        <f>IFERROR(VLOOKUP(VLOOKUP(A1032,'[1]Sales Order'!A:C,3,FALSE),[1]Employee!A:J,10,FALSE),"Not Specified")</f>
        <v>WA</v>
      </c>
      <c r="J1032" t="str">
        <f>VLOOKUP(B1032,[1]Product!A:B,2,FALSE)</f>
        <v>Product XYWBZ</v>
      </c>
      <c r="K1032" t="str">
        <f>VLOOKUP(VLOOKUP(B1032,[1]Product!A:D,4,FALSE),[1]Category!A:B,2,FALSE)</f>
        <v>Condiments</v>
      </c>
      <c r="L1032" s="10">
        <f>IFERROR(VLOOKUP(A1032,'[1]Sales Order'!A:D,4,FALSE),"")</f>
        <v>39314</v>
      </c>
      <c r="M1032" s="10">
        <f>IFERROR(VLOOKUP(A1032,'[1]Sales Order'!A:F,6,FALSE),"")</f>
        <v>39326</v>
      </c>
      <c r="N1032" t="str">
        <f>IFERROR(VLOOKUP(VLOOKUP(A1032,'[1]Sales Order'!A:G,7,FALSE),[1]Shipper!A:B,2,FALSE),"Not Specified")</f>
        <v>Shipper GVSUA</v>
      </c>
      <c r="O1032" t="str">
        <f>IFERROR(VLOOKUP(A1032,'[1]Sales Order'!A:I,9,FALSE),"Not Specified")</f>
        <v>Ship to 47-B</v>
      </c>
      <c r="P1032" t="str">
        <f>IFERROR(VLOOKUP(A1032,'[1]Sales Order'!A:N,14,FALSE),"Not Specified")</f>
        <v>Venezuela</v>
      </c>
      <c r="Q1032" t="str">
        <f>VLOOKUP(VLOOKUP(B1032,[1]Product!A:C,3,FALSE),[1]Supplier!A:B,2,FALSE)</f>
        <v>Supplier VHQZD</v>
      </c>
      <c r="R1032" t="str">
        <f>VLOOKUP(VLOOKUP(B1032,[1]Product!A:C,3,FALSE),[1]Supplier!A:I,9,FALSE)</f>
        <v>USA</v>
      </c>
      <c r="S1032" t="str">
        <f>IFERROR(IF(VLOOKUP(A1032,'[1]Sales Order'!A:H,8,FALSE)&gt;100,"High Freight","Low Freight"),"Not Specified")</f>
        <v>High Freight</v>
      </c>
      <c r="T1032">
        <f t="shared" si="33"/>
        <v>442.05</v>
      </c>
    </row>
    <row r="1033" spans="1:20">
      <c r="A1033" s="1">
        <v>10638</v>
      </c>
      <c r="B1033" s="2">
        <v>72</v>
      </c>
      <c r="C1033" s="2">
        <v>34.799999999999997</v>
      </c>
      <c r="D1033" s="2">
        <v>60</v>
      </c>
      <c r="E1033" s="3">
        <v>0</v>
      </c>
      <c r="F1033" s="2" t="str">
        <f>IFERROR(VLOOKUP(VLOOKUP(A1033,'[1]Sales Order'!A:B,2,FALSE),[1]Customer!A:C,3,FALSE),"Not Specified")</f>
        <v>Lupu, Cornel</v>
      </c>
      <c r="G1033" s="2" t="str">
        <f t="shared" si="32"/>
        <v>Lupu Cornel</v>
      </c>
      <c r="H1033" s="8" t="str">
        <f>IFERROR(VLOOKUP(VLOOKUP(A1033,'[1]Sales Order'!A:C,3,FALSE),[1]Employee!A:E,5,FALSE)&amp;" "&amp;VLOOKUP(VLOOKUP(A1033,'[1]Sales Order'!A:C,3,FALSE),[1]Employee!A:C,3,FALSE)&amp;" "&amp;VLOOKUP(VLOOKUP(A1033,'[1]Sales Order'!A:C,3,FALSE),[1]Employee!A:B,2,FALSE),"Not Specified")</f>
        <v>Ms. Judy Lew</v>
      </c>
      <c r="I1033" t="str">
        <f>IFERROR(VLOOKUP(VLOOKUP(A1033,'[1]Sales Order'!A:C,3,FALSE),[1]Employee!A:J,10,FALSE),"Not Specified")</f>
        <v>WA</v>
      </c>
      <c r="J1033" t="str">
        <f>VLOOKUP(B1033,[1]Product!A:B,2,FALSE)</f>
        <v>Product GEEOO</v>
      </c>
      <c r="K1033" t="str">
        <f>VLOOKUP(VLOOKUP(B1033,[1]Product!A:D,4,FALSE),[1]Category!A:B,2,FALSE)</f>
        <v>Dairy Product</v>
      </c>
      <c r="L1033" s="10">
        <f>IFERROR(VLOOKUP(A1033,'[1]Sales Order'!A:D,4,FALSE),"")</f>
        <v>39314</v>
      </c>
      <c r="M1033" s="10">
        <f>IFERROR(VLOOKUP(A1033,'[1]Sales Order'!A:F,6,FALSE),"")</f>
        <v>39326</v>
      </c>
      <c r="N1033" t="str">
        <f>IFERROR(VLOOKUP(VLOOKUP(A1033,'[1]Sales Order'!A:G,7,FALSE),[1]Shipper!A:B,2,FALSE),"Not Specified")</f>
        <v>Shipper GVSUA</v>
      </c>
      <c r="O1033" t="str">
        <f>IFERROR(VLOOKUP(A1033,'[1]Sales Order'!A:I,9,FALSE),"Not Specified")</f>
        <v>Ship to 47-B</v>
      </c>
      <c r="P1033" t="str">
        <f>IFERROR(VLOOKUP(A1033,'[1]Sales Order'!A:N,14,FALSE),"Not Specified")</f>
        <v>Venezuela</v>
      </c>
      <c r="Q1033" t="str">
        <f>VLOOKUP(VLOOKUP(B1033,[1]Product!A:C,3,FALSE),[1]Supplier!A:B,2,FALSE)</f>
        <v>Supplier KEREV</v>
      </c>
      <c r="R1033" t="str">
        <f>VLOOKUP(VLOOKUP(B1033,[1]Product!A:C,3,FALSE),[1]Supplier!A:I,9,FALSE)</f>
        <v>Italy</v>
      </c>
      <c r="S1033" t="str">
        <f>IFERROR(IF(VLOOKUP(A1033,'[1]Sales Order'!A:H,8,FALSE)&gt;100,"High Freight","Low Freight"),"Not Specified")</f>
        <v>High Freight</v>
      </c>
      <c r="T1033">
        <f t="shared" si="33"/>
        <v>2088</v>
      </c>
    </row>
    <row r="1034" spans="1:20">
      <c r="A1034" s="1">
        <v>10639</v>
      </c>
      <c r="B1034" s="2">
        <v>18</v>
      </c>
      <c r="C1034" s="2">
        <v>62.5</v>
      </c>
      <c r="D1034" s="2">
        <v>8</v>
      </c>
      <c r="E1034" s="3">
        <v>0</v>
      </c>
      <c r="F1034" s="2" t="str">
        <f>IFERROR(VLOOKUP(VLOOKUP(A1034,'[1]Sales Order'!A:B,2,FALSE),[1]Customer!A:C,3,FALSE),"Not Specified")</f>
        <v>Ginters, Kaspars</v>
      </c>
      <c r="G1034" s="2" t="str">
        <f t="shared" si="32"/>
        <v>Ginters Kaspars</v>
      </c>
      <c r="H1034" s="8" t="str">
        <f>IFERROR(VLOOKUP(VLOOKUP(A1034,'[1]Sales Order'!A:C,3,FALSE),[1]Employee!A:E,5,FALSE)&amp;" "&amp;VLOOKUP(VLOOKUP(A1034,'[1]Sales Order'!A:C,3,FALSE),[1]Employee!A:C,3,FALSE)&amp;" "&amp;VLOOKUP(VLOOKUP(A1034,'[1]Sales Order'!A:C,3,FALSE),[1]Employee!A:B,2,FALSE),"Not Specified")</f>
        <v>Mr. Russell King</v>
      </c>
      <c r="I1034">
        <f>IFERROR(VLOOKUP(VLOOKUP(A1034,'[1]Sales Order'!A:C,3,FALSE),[1]Employee!A:J,10,FALSE),"Not Specified")</f>
        <v>0</v>
      </c>
      <c r="J1034" t="str">
        <f>VLOOKUP(B1034,[1]Product!A:B,2,FALSE)</f>
        <v>Product CKEDC</v>
      </c>
      <c r="K1034" t="str">
        <f>VLOOKUP(VLOOKUP(B1034,[1]Product!A:D,4,FALSE),[1]Category!A:B,2,FALSE)</f>
        <v>Seafood</v>
      </c>
      <c r="L1034" s="10">
        <f>IFERROR(VLOOKUP(A1034,'[1]Sales Order'!A:D,4,FALSE),"")</f>
        <v>39314</v>
      </c>
      <c r="M1034" s="10">
        <f>IFERROR(VLOOKUP(A1034,'[1]Sales Order'!A:F,6,FALSE),"")</f>
        <v>39321</v>
      </c>
      <c r="N1034" t="str">
        <f>IFERROR(VLOOKUP(VLOOKUP(A1034,'[1]Sales Order'!A:G,7,FALSE),[1]Shipper!A:B,2,FALSE),"Not Specified")</f>
        <v>Shipper ZHISN</v>
      </c>
      <c r="O1034" t="str">
        <f>IFERROR(VLOOKUP(A1034,'[1]Sales Order'!A:I,9,FALSE),"Not Specified")</f>
        <v>Ship to 70-B</v>
      </c>
      <c r="P1034" t="str">
        <f>IFERROR(VLOOKUP(A1034,'[1]Sales Order'!A:N,14,FALSE),"Not Specified")</f>
        <v>Norway</v>
      </c>
      <c r="Q1034" t="str">
        <f>VLOOKUP(VLOOKUP(B1034,[1]Product!A:C,3,FALSE),[1]Supplier!A:B,2,FALSE)</f>
        <v>Supplier GQRCV</v>
      </c>
      <c r="R1034" t="str">
        <f>VLOOKUP(VLOOKUP(B1034,[1]Product!A:C,3,FALSE),[1]Supplier!A:I,9,FALSE)</f>
        <v>Australia</v>
      </c>
      <c r="S1034" t="str">
        <f>IFERROR(IF(VLOOKUP(A1034,'[1]Sales Order'!A:H,8,FALSE)&gt;100,"High Freight","Low Freight"),"Not Specified")</f>
        <v>Low Freight</v>
      </c>
      <c r="T1034">
        <f t="shared" si="33"/>
        <v>500</v>
      </c>
    </row>
    <row r="1035" spans="1:20">
      <c r="A1035" s="1">
        <v>10640</v>
      </c>
      <c r="B1035" s="2">
        <v>69</v>
      </c>
      <c r="C1035" s="2">
        <v>36</v>
      </c>
      <c r="D1035" s="2">
        <v>20</v>
      </c>
      <c r="E1035" s="3">
        <v>0.25</v>
      </c>
      <c r="F1035" s="2" t="str">
        <f>IFERROR(VLOOKUP(VLOOKUP(A1035,'[1]Sales Order'!A:B,2,FALSE),[1]Customer!A:C,3,FALSE),"Not Specified")</f>
        <v>Syamala, Manoj</v>
      </c>
      <c r="G1035" s="2" t="str">
        <f t="shared" si="32"/>
        <v>Syamala Manoj</v>
      </c>
      <c r="H1035" s="8" t="str">
        <f>IFERROR(VLOOKUP(VLOOKUP(A1035,'[1]Sales Order'!A:C,3,FALSE),[1]Employee!A:E,5,FALSE)&amp;" "&amp;VLOOKUP(VLOOKUP(A1035,'[1]Sales Order'!A:C,3,FALSE),[1]Employee!A:C,3,FALSE)&amp;" "&amp;VLOOKUP(VLOOKUP(A1035,'[1]Sales Order'!A:C,3,FALSE),[1]Employee!A:B,2,FALSE),"Not Specified")</f>
        <v>Mrs. Yael Peled</v>
      </c>
      <c r="I1035" t="str">
        <f>IFERROR(VLOOKUP(VLOOKUP(A1035,'[1]Sales Order'!A:C,3,FALSE),[1]Employee!A:J,10,FALSE),"Not Specified")</f>
        <v>WA</v>
      </c>
      <c r="J1035" t="str">
        <f>VLOOKUP(B1035,[1]Product!A:B,2,FALSE)</f>
        <v>Product COAXA</v>
      </c>
      <c r="K1035" t="str">
        <f>VLOOKUP(VLOOKUP(B1035,[1]Product!A:D,4,FALSE),[1]Category!A:B,2,FALSE)</f>
        <v>Dairy Product</v>
      </c>
      <c r="L1035" s="10">
        <f>IFERROR(VLOOKUP(A1035,'[1]Sales Order'!A:D,4,FALSE),"")</f>
        <v>39315</v>
      </c>
      <c r="M1035" s="10">
        <f>IFERROR(VLOOKUP(A1035,'[1]Sales Order'!A:F,6,FALSE),"")</f>
        <v>39322</v>
      </c>
      <c r="N1035" t="str">
        <f>IFERROR(VLOOKUP(VLOOKUP(A1035,'[1]Sales Order'!A:G,7,FALSE),[1]Shipper!A:B,2,FALSE),"Not Specified")</f>
        <v>Shipper GVSUA</v>
      </c>
      <c r="O1035" t="str">
        <f>IFERROR(VLOOKUP(A1035,'[1]Sales Order'!A:I,9,FALSE),"Not Specified")</f>
        <v>Ship to 86-A</v>
      </c>
      <c r="P1035" t="str">
        <f>IFERROR(VLOOKUP(A1035,'[1]Sales Order'!A:N,14,FALSE),"Not Specified")</f>
        <v>Germany</v>
      </c>
      <c r="Q1035" t="str">
        <f>VLOOKUP(VLOOKUP(B1035,[1]Product!A:C,3,FALSE),[1]Supplier!A:B,2,FALSE)</f>
        <v>Supplier NZLIF</v>
      </c>
      <c r="R1035" t="str">
        <f>VLOOKUP(VLOOKUP(B1035,[1]Product!A:C,3,FALSE),[1]Supplier!A:I,9,FALSE)</f>
        <v>Norway</v>
      </c>
      <c r="S1035" t="str">
        <f>IFERROR(IF(VLOOKUP(A1035,'[1]Sales Order'!A:H,8,FALSE)&gt;100,"High Freight","Low Freight"),"Not Specified")</f>
        <v>Low Freight</v>
      </c>
      <c r="T1035">
        <f t="shared" si="33"/>
        <v>540</v>
      </c>
    </row>
    <row r="1036" spans="1:20">
      <c r="A1036" s="1">
        <v>10640</v>
      </c>
      <c r="B1036" s="2">
        <v>70</v>
      </c>
      <c r="C1036" s="2">
        <v>15</v>
      </c>
      <c r="D1036" s="2">
        <v>15</v>
      </c>
      <c r="E1036" s="3">
        <v>0.25</v>
      </c>
      <c r="F1036" s="2" t="str">
        <f>IFERROR(VLOOKUP(VLOOKUP(A1036,'[1]Sales Order'!A:B,2,FALSE),[1]Customer!A:C,3,FALSE),"Not Specified")</f>
        <v>Syamala, Manoj</v>
      </c>
      <c r="G1036" s="2" t="str">
        <f t="shared" si="32"/>
        <v>Syamala Manoj</v>
      </c>
      <c r="H1036" s="8" t="str">
        <f>IFERROR(VLOOKUP(VLOOKUP(A1036,'[1]Sales Order'!A:C,3,FALSE),[1]Employee!A:E,5,FALSE)&amp;" "&amp;VLOOKUP(VLOOKUP(A1036,'[1]Sales Order'!A:C,3,FALSE),[1]Employee!A:C,3,FALSE)&amp;" "&amp;VLOOKUP(VLOOKUP(A1036,'[1]Sales Order'!A:C,3,FALSE),[1]Employee!A:B,2,FALSE),"Not Specified")</f>
        <v>Mrs. Yael Peled</v>
      </c>
      <c r="I1036" t="str">
        <f>IFERROR(VLOOKUP(VLOOKUP(A1036,'[1]Sales Order'!A:C,3,FALSE),[1]Employee!A:J,10,FALSE),"Not Specified")</f>
        <v>WA</v>
      </c>
      <c r="J1036" t="str">
        <f>VLOOKUP(B1036,[1]Product!A:B,2,FALSE)</f>
        <v>Product TOONT</v>
      </c>
      <c r="K1036" t="str">
        <f>VLOOKUP(VLOOKUP(B1036,[1]Product!A:D,4,FALSE),[1]Category!A:B,2,FALSE)</f>
        <v>Beverages</v>
      </c>
      <c r="L1036" s="10">
        <f>IFERROR(VLOOKUP(A1036,'[1]Sales Order'!A:D,4,FALSE),"")</f>
        <v>39315</v>
      </c>
      <c r="M1036" s="10">
        <f>IFERROR(VLOOKUP(A1036,'[1]Sales Order'!A:F,6,FALSE),"")</f>
        <v>39322</v>
      </c>
      <c r="N1036" t="str">
        <f>IFERROR(VLOOKUP(VLOOKUP(A1036,'[1]Sales Order'!A:G,7,FALSE),[1]Shipper!A:B,2,FALSE),"Not Specified")</f>
        <v>Shipper GVSUA</v>
      </c>
      <c r="O1036" t="str">
        <f>IFERROR(VLOOKUP(A1036,'[1]Sales Order'!A:I,9,FALSE),"Not Specified")</f>
        <v>Ship to 86-A</v>
      </c>
      <c r="P1036" t="str">
        <f>IFERROR(VLOOKUP(A1036,'[1]Sales Order'!A:N,14,FALSE),"Not Specified")</f>
        <v>Germany</v>
      </c>
      <c r="Q1036" t="str">
        <f>VLOOKUP(VLOOKUP(B1036,[1]Product!A:C,3,FALSE),[1]Supplier!A:B,2,FALSE)</f>
        <v>Supplier GQRCV</v>
      </c>
      <c r="R1036" t="str">
        <f>VLOOKUP(VLOOKUP(B1036,[1]Product!A:C,3,FALSE),[1]Supplier!A:I,9,FALSE)</f>
        <v>Australia</v>
      </c>
      <c r="S1036" t="str">
        <f>IFERROR(IF(VLOOKUP(A1036,'[1]Sales Order'!A:H,8,FALSE)&gt;100,"High Freight","Low Freight"),"Not Specified")</f>
        <v>Low Freight</v>
      </c>
      <c r="T1036">
        <f t="shared" si="33"/>
        <v>168.75</v>
      </c>
    </row>
    <row r="1037" spans="1:20">
      <c r="A1037" s="1">
        <v>10641</v>
      </c>
      <c r="B1037" s="2">
        <v>2</v>
      </c>
      <c r="C1037" s="2">
        <v>19</v>
      </c>
      <c r="D1037" s="2">
        <v>50</v>
      </c>
      <c r="E1037" s="3">
        <v>0</v>
      </c>
      <c r="F1037" s="2" t="str">
        <f>IFERROR(VLOOKUP(VLOOKUP(A1037,'[1]Sales Order'!A:B,2,FALSE),[1]Customer!A:C,3,FALSE),"Not Specified")</f>
        <v>Langohr, Kris</v>
      </c>
      <c r="G1037" s="2" t="str">
        <f t="shared" si="32"/>
        <v>Langohr Kris</v>
      </c>
      <c r="H1037" s="8" t="str">
        <f>IFERROR(VLOOKUP(VLOOKUP(A1037,'[1]Sales Order'!A:C,3,FALSE),[1]Employee!A:E,5,FALSE)&amp;" "&amp;VLOOKUP(VLOOKUP(A1037,'[1]Sales Order'!A:C,3,FALSE),[1]Employee!A:C,3,FALSE)&amp;" "&amp;VLOOKUP(VLOOKUP(A1037,'[1]Sales Order'!A:C,3,FALSE),[1]Employee!A:B,2,FALSE),"Not Specified")</f>
        <v>Mrs. Yael Peled</v>
      </c>
      <c r="I1037" t="str">
        <f>IFERROR(VLOOKUP(VLOOKUP(A1037,'[1]Sales Order'!A:C,3,FALSE),[1]Employee!A:J,10,FALSE),"Not Specified")</f>
        <v>WA</v>
      </c>
      <c r="J1037" t="str">
        <f>VLOOKUP(B1037,[1]Product!A:B,2,FALSE)</f>
        <v>Product RECZE</v>
      </c>
      <c r="K1037" t="str">
        <f>VLOOKUP(VLOOKUP(B1037,[1]Product!A:D,4,FALSE),[1]Category!A:B,2,FALSE)</f>
        <v>Beverages</v>
      </c>
      <c r="L1037" s="10">
        <f>IFERROR(VLOOKUP(A1037,'[1]Sales Order'!A:D,4,FALSE),"")</f>
        <v>39316</v>
      </c>
      <c r="M1037" s="10">
        <f>IFERROR(VLOOKUP(A1037,'[1]Sales Order'!A:F,6,FALSE),"")</f>
        <v>39320</v>
      </c>
      <c r="N1037" t="str">
        <f>IFERROR(VLOOKUP(VLOOKUP(A1037,'[1]Sales Order'!A:G,7,FALSE),[1]Shipper!A:B,2,FALSE),"Not Specified")</f>
        <v>Shipper ETYNR</v>
      </c>
      <c r="O1037" t="str">
        <f>IFERROR(VLOOKUP(A1037,'[1]Sales Order'!A:I,9,FALSE),"Not Specified")</f>
        <v>Destination JYDLM</v>
      </c>
      <c r="P1037" t="str">
        <f>IFERROR(VLOOKUP(A1037,'[1]Sales Order'!A:N,14,FALSE),"Not Specified")</f>
        <v>Venezuela</v>
      </c>
      <c r="Q1037" t="str">
        <f>VLOOKUP(VLOOKUP(B1037,[1]Product!A:C,3,FALSE),[1]Supplier!A:B,2,FALSE)</f>
        <v>Supplier SWRXU</v>
      </c>
      <c r="R1037" t="str">
        <f>VLOOKUP(VLOOKUP(B1037,[1]Product!A:C,3,FALSE),[1]Supplier!A:I,9,FALSE)</f>
        <v>UK</v>
      </c>
      <c r="S1037" t="str">
        <f>IFERROR(IF(VLOOKUP(A1037,'[1]Sales Order'!A:H,8,FALSE)&gt;100,"High Freight","Low Freight"),"Not Specified")</f>
        <v>High Freight</v>
      </c>
      <c r="T1037">
        <f t="shared" si="33"/>
        <v>950</v>
      </c>
    </row>
    <row r="1038" spans="1:20">
      <c r="A1038" s="1">
        <v>10641</v>
      </c>
      <c r="B1038" s="2">
        <v>40</v>
      </c>
      <c r="C1038" s="2">
        <v>18.399999999999999</v>
      </c>
      <c r="D1038" s="2">
        <v>60</v>
      </c>
      <c r="E1038" s="3">
        <v>0</v>
      </c>
      <c r="F1038" s="2" t="str">
        <f>IFERROR(VLOOKUP(VLOOKUP(A1038,'[1]Sales Order'!A:B,2,FALSE),[1]Customer!A:C,3,FALSE),"Not Specified")</f>
        <v>Langohr, Kris</v>
      </c>
      <c r="G1038" s="2" t="str">
        <f t="shared" si="32"/>
        <v>Langohr Kris</v>
      </c>
      <c r="H1038" s="8" t="str">
        <f>IFERROR(VLOOKUP(VLOOKUP(A1038,'[1]Sales Order'!A:C,3,FALSE),[1]Employee!A:E,5,FALSE)&amp;" "&amp;VLOOKUP(VLOOKUP(A1038,'[1]Sales Order'!A:C,3,FALSE),[1]Employee!A:C,3,FALSE)&amp;" "&amp;VLOOKUP(VLOOKUP(A1038,'[1]Sales Order'!A:C,3,FALSE),[1]Employee!A:B,2,FALSE),"Not Specified")</f>
        <v>Mrs. Yael Peled</v>
      </c>
      <c r="I1038" t="str">
        <f>IFERROR(VLOOKUP(VLOOKUP(A1038,'[1]Sales Order'!A:C,3,FALSE),[1]Employee!A:J,10,FALSE),"Not Specified")</f>
        <v>WA</v>
      </c>
      <c r="J1038" t="str">
        <f>VLOOKUP(B1038,[1]Product!A:B,2,FALSE)</f>
        <v>Product YZIXQ</v>
      </c>
      <c r="K1038" t="str">
        <f>VLOOKUP(VLOOKUP(B1038,[1]Product!A:D,4,FALSE),[1]Category!A:B,2,FALSE)</f>
        <v>Seafood</v>
      </c>
      <c r="L1038" s="10">
        <f>IFERROR(VLOOKUP(A1038,'[1]Sales Order'!A:D,4,FALSE),"")</f>
        <v>39316</v>
      </c>
      <c r="M1038" s="10">
        <f>IFERROR(VLOOKUP(A1038,'[1]Sales Order'!A:F,6,FALSE),"")</f>
        <v>39320</v>
      </c>
      <c r="N1038" t="str">
        <f>IFERROR(VLOOKUP(VLOOKUP(A1038,'[1]Sales Order'!A:G,7,FALSE),[1]Shipper!A:B,2,FALSE),"Not Specified")</f>
        <v>Shipper ETYNR</v>
      </c>
      <c r="O1038" t="str">
        <f>IFERROR(VLOOKUP(A1038,'[1]Sales Order'!A:I,9,FALSE),"Not Specified")</f>
        <v>Destination JYDLM</v>
      </c>
      <c r="P1038" t="str">
        <f>IFERROR(VLOOKUP(A1038,'[1]Sales Order'!A:N,14,FALSE),"Not Specified")</f>
        <v>Venezuela</v>
      </c>
      <c r="Q1038" t="str">
        <f>VLOOKUP(VLOOKUP(B1038,[1]Product!A:C,3,FALSE),[1]Supplier!A:B,2,FALSE)</f>
        <v>Supplier JDNUG</v>
      </c>
      <c r="R1038" t="str">
        <f>VLOOKUP(VLOOKUP(B1038,[1]Product!A:C,3,FALSE),[1]Supplier!A:I,9,FALSE)</f>
        <v>USA</v>
      </c>
      <c r="S1038" t="str">
        <f>IFERROR(IF(VLOOKUP(A1038,'[1]Sales Order'!A:H,8,FALSE)&gt;100,"High Freight","Low Freight"),"Not Specified")</f>
        <v>High Freight</v>
      </c>
      <c r="T1038">
        <f t="shared" si="33"/>
        <v>1104</v>
      </c>
    </row>
    <row r="1039" spans="1:20">
      <c r="A1039" s="1">
        <v>10642</v>
      </c>
      <c r="B1039" s="2">
        <v>21</v>
      </c>
      <c r="C1039" s="2">
        <v>10</v>
      </c>
      <c r="D1039" s="2">
        <v>30</v>
      </c>
      <c r="E1039" s="3">
        <v>0.2</v>
      </c>
      <c r="F1039" s="2" t="str">
        <f>IFERROR(VLOOKUP(VLOOKUP(A1039,'[1]Sales Order'!A:B,2,FALSE),[1]Customer!A:C,3,FALSE),"Not Specified")</f>
        <v>Gonzalez, Nuria</v>
      </c>
      <c r="G1039" s="2" t="str">
        <f t="shared" si="32"/>
        <v>Gonzalez Nuria</v>
      </c>
      <c r="H1039" s="8" t="str">
        <f>IFERROR(VLOOKUP(VLOOKUP(A1039,'[1]Sales Order'!A:C,3,FALSE),[1]Employee!A:E,5,FALSE)&amp;" "&amp;VLOOKUP(VLOOKUP(A1039,'[1]Sales Order'!A:C,3,FALSE),[1]Employee!A:C,3,FALSE)&amp;" "&amp;VLOOKUP(VLOOKUP(A1039,'[1]Sales Order'!A:C,3,FALSE),[1]Employee!A:B,2,FALSE),"Not Specified")</f>
        <v>Mr. Russell King</v>
      </c>
      <c r="I1039">
        <f>IFERROR(VLOOKUP(VLOOKUP(A1039,'[1]Sales Order'!A:C,3,FALSE),[1]Employee!A:J,10,FALSE),"Not Specified")</f>
        <v>0</v>
      </c>
      <c r="J1039" t="str">
        <f>VLOOKUP(B1039,[1]Product!A:B,2,FALSE)</f>
        <v>Product VJZZH</v>
      </c>
      <c r="K1039" t="str">
        <f>VLOOKUP(VLOOKUP(B1039,[1]Product!A:D,4,FALSE),[1]Category!A:B,2,FALSE)</f>
        <v>Confections</v>
      </c>
      <c r="L1039" s="10">
        <f>IFERROR(VLOOKUP(A1039,'[1]Sales Order'!A:D,4,FALSE),"")</f>
        <v>39316</v>
      </c>
      <c r="M1039" s="10">
        <f>IFERROR(VLOOKUP(A1039,'[1]Sales Order'!A:F,6,FALSE),"")</f>
        <v>39330</v>
      </c>
      <c r="N1039" t="str">
        <f>IFERROR(VLOOKUP(VLOOKUP(A1039,'[1]Sales Order'!A:G,7,FALSE),[1]Shipper!A:B,2,FALSE),"Not Specified")</f>
        <v>Shipper ZHISN</v>
      </c>
      <c r="O1039" t="str">
        <f>IFERROR(VLOOKUP(A1039,'[1]Sales Order'!A:I,9,FALSE),"Not Specified")</f>
        <v>Ship to 73-C</v>
      </c>
      <c r="P1039" t="str">
        <f>IFERROR(VLOOKUP(A1039,'[1]Sales Order'!A:N,14,FALSE),"Not Specified")</f>
        <v>Denmark</v>
      </c>
      <c r="Q1039" t="str">
        <f>VLOOKUP(VLOOKUP(B1039,[1]Product!A:C,3,FALSE),[1]Supplier!A:B,2,FALSE)</f>
        <v>Supplier BWGYE</v>
      </c>
      <c r="R1039" t="str">
        <f>VLOOKUP(VLOOKUP(B1039,[1]Product!A:C,3,FALSE),[1]Supplier!A:I,9,FALSE)</f>
        <v>UK</v>
      </c>
      <c r="S1039" t="str">
        <f>IFERROR(IF(VLOOKUP(A1039,'[1]Sales Order'!A:H,8,FALSE)&gt;100,"High Freight","Low Freight"),"Not Specified")</f>
        <v>Low Freight</v>
      </c>
      <c r="T1039">
        <f t="shared" si="33"/>
        <v>240</v>
      </c>
    </row>
    <row r="1040" spans="1:20">
      <c r="A1040" s="1">
        <v>10642</v>
      </c>
      <c r="B1040" s="2">
        <v>61</v>
      </c>
      <c r="C1040" s="2">
        <v>28.5</v>
      </c>
      <c r="D1040" s="2">
        <v>20</v>
      </c>
      <c r="E1040" s="3">
        <v>0.2</v>
      </c>
      <c r="F1040" s="2" t="str">
        <f>IFERROR(VLOOKUP(VLOOKUP(A1040,'[1]Sales Order'!A:B,2,FALSE),[1]Customer!A:C,3,FALSE),"Not Specified")</f>
        <v>Gonzalez, Nuria</v>
      </c>
      <c r="G1040" s="2" t="str">
        <f t="shared" si="32"/>
        <v>Gonzalez Nuria</v>
      </c>
      <c r="H1040" s="8" t="str">
        <f>IFERROR(VLOOKUP(VLOOKUP(A1040,'[1]Sales Order'!A:C,3,FALSE),[1]Employee!A:E,5,FALSE)&amp;" "&amp;VLOOKUP(VLOOKUP(A1040,'[1]Sales Order'!A:C,3,FALSE),[1]Employee!A:C,3,FALSE)&amp;" "&amp;VLOOKUP(VLOOKUP(A1040,'[1]Sales Order'!A:C,3,FALSE),[1]Employee!A:B,2,FALSE),"Not Specified")</f>
        <v>Mr. Russell King</v>
      </c>
      <c r="I1040">
        <f>IFERROR(VLOOKUP(VLOOKUP(A1040,'[1]Sales Order'!A:C,3,FALSE),[1]Employee!A:J,10,FALSE),"Not Specified")</f>
        <v>0</v>
      </c>
      <c r="J1040" t="str">
        <f>VLOOKUP(B1040,[1]Product!A:B,2,FALSE)</f>
        <v>Product XYZPE</v>
      </c>
      <c r="K1040" t="str">
        <f>VLOOKUP(VLOOKUP(B1040,[1]Product!A:D,4,FALSE),[1]Category!A:B,2,FALSE)</f>
        <v>Condiments</v>
      </c>
      <c r="L1040" s="10">
        <f>IFERROR(VLOOKUP(A1040,'[1]Sales Order'!A:D,4,FALSE),"")</f>
        <v>39316</v>
      </c>
      <c r="M1040" s="10">
        <f>IFERROR(VLOOKUP(A1040,'[1]Sales Order'!A:F,6,FALSE),"")</f>
        <v>39330</v>
      </c>
      <c r="N1040" t="str">
        <f>IFERROR(VLOOKUP(VLOOKUP(A1040,'[1]Sales Order'!A:G,7,FALSE),[1]Shipper!A:B,2,FALSE),"Not Specified")</f>
        <v>Shipper ZHISN</v>
      </c>
      <c r="O1040" t="str">
        <f>IFERROR(VLOOKUP(A1040,'[1]Sales Order'!A:I,9,FALSE),"Not Specified")</f>
        <v>Ship to 73-C</v>
      </c>
      <c r="P1040" t="str">
        <f>IFERROR(VLOOKUP(A1040,'[1]Sales Order'!A:N,14,FALSE),"Not Specified")</f>
        <v>Denmark</v>
      </c>
      <c r="Q1040" t="str">
        <f>VLOOKUP(VLOOKUP(B1040,[1]Product!A:C,3,FALSE),[1]Supplier!A:B,2,FALSE)</f>
        <v>Supplier OGLRK</v>
      </c>
      <c r="R1040" t="str">
        <f>VLOOKUP(VLOOKUP(B1040,[1]Product!A:C,3,FALSE),[1]Supplier!A:I,9,FALSE)</f>
        <v>Canada</v>
      </c>
      <c r="S1040" t="str">
        <f>IFERROR(IF(VLOOKUP(A1040,'[1]Sales Order'!A:H,8,FALSE)&gt;100,"High Freight","Low Freight"),"Not Specified")</f>
        <v>Low Freight</v>
      </c>
      <c r="T1040">
        <f t="shared" si="33"/>
        <v>456</v>
      </c>
    </row>
    <row r="1041" spans="1:20">
      <c r="A1041" s="1">
        <v>10643</v>
      </c>
      <c r="B1041" s="2">
        <v>28</v>
      </c>
      <c r="C1041" s="2">
        <v>45.6</v>
      </c>
      <c r="D1041" s="2">
        <v>15</v>
      </c>
      <c r="E1041" s="3">
        <v>0.25</v>
      </c>
      <c r="F1041" s="2" t="str">
        <f>IFERROR(VLOOKUP(VLOOKUP(A1041,'[1]Sales Order'!A:B,2,FALSE),[1]Customer!A:C,3,FALSE),"Not Specified")</f>
        <v>Allen, Michael</v>
      </c>
      <c r="G1041" s="2" t="str">
        <f t="shared" si="32"/>
        <v>Allen Michael</v>
      </c>
      <c r="H1041" s="8" t="str">
        <f>IFERROR(VLOOKUP(VLOOKUP(A1041,'[1]Sales Order'!A:C,3,FALSE),[1]Employee!A:E,5,FALSE)&amp;" "&amp;VLOOKUP(VLOOKUP(A1041,'[1]Sales Order'!A:C,3,FALSE),[1]Employee!A:C,3,FALSE)&amp;" "&amp;VLOOKUP(VLOOKUP(A1041,'[1]Sales Order'!A:C,3,FALSE),[1]Employee!A:B,2,FALSE),"Not Specified")</f>
        <v>Mr. Paul Suurs</v>
      </c>
      <c r="I1041">
        <f>IFERROR(VLOOKUP(VLOOKUP(A1041,'[1]Sales Order'!A:C,3,FALSE),[1]Employee!A:J,10,FALSE),"Not Specified")</f>
        <v>0</v>
      </c>
      <c r="J1041" t="str">
        <f>VLOOKUP(B1041,[1]Product!A:B,2,FALSE)</f>
        <v>Product OFBNT</v>
      </c>
      <c r="K1041" t="str">
        <f>VLOOKUP(VLOOKUP(B1041,[1]Product!A:D,4,FALSE),[1]Category!A:B,2,FALSE)</f>
        <v>Produce</v>
      </c>
      <c r="L1041" s="10">
        <f>IFERROR(VLOOKUP(A1041,'[1]Sales Order'!A:D,4,FALSE),"")</f>
        <v>39319</v>
      </c>
      <c r="M1041" s="10">
        <f>IFERROR(VLOOKUP(A1041,'[1]Sales Order'!A:F,6,FALSE),"")</f>
        <v>39327</v>
      </c>
      <c r="N1041" t="str">
        <f>IFERROR(VLOOKUP(VLOOKUP(A1041,'[1]Sales Order'!A:G,7,FALSE),[1]Shipper!A:B,2,FALSE),"Not Specified")</f>
        <v>Shipper GVSUA</v>
      </c>
      <c r="O1041" t="str">
        <f>IFERROR(VLOOKUP(A1041,'[1]Sales Order'!A:I,9,FALSE),"Not Specified")</f>
        <v>Destination LOUIE</v>
      </c>
      <c r="P1041" t="str">
        <f>IFERROR(VLOOKUP(A1041,'[1]Sales Order'!A:N,14,FALSE),"Not Specified")</f>
        <v>Germany</v>
      </c>
      <c r="Q1041" t="str">
        <f>VLOOKUP(VLOOKUP(B1041,[1]Product!A:C,3,FALSE),[1]Supplier!A:B,2,FALSE)</f>
        <v>Supplier SVIYA</v>
      </c>
      <c r="R1041" t="str">
        <f>VLOOKUP(VLOOKUP(B1041,[1]Product!A:C,3,FALSE),[1]Supplier!A:I,9,FALSE)</f>
        <v>Germany</v>
      </c>
      <c r="S1041" t="str">
        <f>IFERROR(IF(VLOOKUP(A1041,'[1]Sales Order'!A:H,8,FALSE)&gt;100,"High Freight","Low Freight"),"Not Specified")</f>
        <v>Low Freight</v>
      </c>
      <c r="T1041">
        <f t="shared" si="33"/>
        <v>513</v>
      </c>
    </row>
    <row r="1042" spans="1:20">
      <c r="A1042" s="1">
        <v>10643</v>
      </c>
      <c r="B1042" s="2">
        <v>39</v>
      </c>
      <c r="C1042" s="2">
        <v>18</v>
      </c>
      <c r="D1042" s="2">
        <v>21</v>
      </c>
      <c r="E1042" s="3">
        <v>0.25</v>
      </c>
      <c r="F1042" s="2" t="str">
        <f>IFERROR(VLOOKUP(VLOOKUP(A1042,'[1]Sales Order'!A:B,2,FALSE),[1]Customer!A:C,3,FALSE),"Not Specified")</f>
        <v>Allen, Michael</v>
      </c>
      <c r="G1042" s="2" t="str">
        <f t="shared" si="32"/>
        <v>Allen Michael</v>
      </c>
      <c r="H1042" s="8" t="str">
        <f>IFERROR(VLOOKUP(VLOOKUP(A1042,'[1]Sales Order'!A:C,3,FALSE),[1]Employee!A:E,5,FALSE)&amp;" "&amp;VLOOKUP(VLOOKUP(A1042,'[1]Sales Order'!A:C,3,FALSE),[1]Employee!A:C,3,FALSE)&amp;" "&amp;VLOOKUP(VLOOKUP(A1042,'[1]Sales Order'!A:C,3,FALSE),[1]Employee!A:B,2,FALSE),"Not Specified")</f>
        <v>Mr. Paul Suurs</v>
      </c>
      <c r="I1042">
        <f>IFERROR(VLOOKUP(VLOOKUP(A1042,'[1]Sales Order'!A:C,3,FALSE),[1]Employee!A:J,10,FALSE),"Not Specified")</f>
        <v>0</v>
      </c>
      <c r="J1042" t="str">
        <f>VLOOKUP(B1042,[1]Product!A:B,2,FALSE)</f>
        <v>Product LSOFL</v>
      </c>
      <c r="K1042" t="str">
        <f>VLOOKUP(VLOOKUP(B1042,[1]Product!A:D,4,FALSE),[1]Category!A:B,2,FALSE)</f>
        <v>Beverages</v>
      </c>
      <c r="L1042" s="10">
        <f>IFERROR(VLOOKUP(A1042,'[1]Sales Order'!A:D,4,FALSE),"")</f>
        <v>39319</v>
      </c>
      <c r="M1042" s="10">
        <f>IFERROR(VLOOKUP(A1042,'[1]Sales Order'!A:F,6,FALSE),"")</f>
        <v>39327</v>
      </c>
      <c r="N1042" t="str">
        <f>IFERROR(VLOOKUP(VLOOKUP(A1042,'[1]Sales Order'!A:G,7,FALSE),[1]Shipper!A:B,2,FALSE),"Not Specified")</f>
        <v>Shipper GVSUA</v>
      </c>
      <c r="O1042" t="str">
        <f>IFERROR(VLOOKUP(A1042,'[1]Sales Order'!A:I,9,FALSE),"Not Specified")</f>
        <v>Destination LOUIE</v>
      </c>
      <c r="P1042" t="str">
        <f>IFERROR(VLOOKUP(A1042,'[1]Sales Order'!A:N,14,FALSE),"Not Specified")</f>
        <v>Germany</v>
      </c>
      <c r="Q1042" t="str">
        <f>VLOOKUP(VLOOKUP(B1042,[1]Product!A:C,3,FALSE),[1]Supplier!A:B,2,FALSE)</f>
        <v>Supplier LVJUA</v>
      </c>
      <c r="R1042" t="str">
        <f>VLOOKUP(VLOOKUP(B1042,[1]Product!A:C,3,FALSE),[1]Supplier!A:I,9,FALSE)</f>
        <v>France</v>
      </c>
      <c r="S1042" t="str">
        <f>IFERROR(IF(VLOOKUP(A1042,'[1]Sales Order'!A:H,8,FALSE)&gt;100,"High Freight","Low Freight"),"Not Specified")</f>
        <v>Low Freight</v>
      </c>
      <c r="T1042">
        <f t="shared" si="33"/>
        <v>283.5</v>
      </c>
    </row>
    <row r="1043" spans="1:20">
      <c r="A1043" s="1">
        <v>10643</v>
      </c>
      <c r="B1043" s="2">
        <v>46</v>
      </c>
      <c r="C1043" s="2">
        <v>12</v>
      </c>
      <c r="D1043" s="2">
        <v>2</v>
      </c>
      <c r="E1043" s="3">
        <v>0.25</v>
      </c>
      <c r="F1043" s="2" t="str">
        <f>IFERROR(VLOOKUP(VLOOKUP(A1043,'[1]Sales Order'!A:B,2,FALSE),[1]Customer!A:C,3,FALSE),"Not Specified")</f>
        <v>Allen, Michael</v>
      </c>
      <c r="G1043" s="2" t="str">
        <f t="shared" si="32"/>
        <v>Allen Michael</v>
      </c>
      <c r="H1043" s="8" t="str">
        <f>IFERROR(VLOOKUP(VLOOKUP(A1043,'[1]Sales Order'!A:C,3,FALSE),[1]Employee!A:E,5,FALSE)&amp;" "&amp;VLOOKUP(VLOOKUP(A1043,'[1]Sales Order'!A:C,3,FALSE),[1]Employee!A:C,3,FALSE)&amp;" "&amp;VLOOKUP(VLOOKUP(A1043,'[1]Sales Order'!A:C,3,FALSE),[1]Employee!A:B,2,FALSE),"Not Specified")</f>
        <v>Mr. Paul Suurs</v>
      </c>
      <c r="I1043">
        <f>IFERROR(VLOOKUP(VLOOKUP(A1043,'[1]Sales Order'!A:C,3,FALSE),[1]Employee!A:J,10,FALSE),"Not Specified")</f>
        <v>0</v>
      </c>
      <c r="J1043" t="str">
        <f>VLOOKUP(B1043,[1]Product!A:B,2,FALSE)</f>
        <v>Product CBRRL</v>
      </c>
      <c r="K1043" t="str">
        <f>VLOOKUP(VLOOKUP(B1043,[1]Product!A:D,4,FALSE),[1]Category!A:B,2,FALSE)</f>
        <v>Seafood</v>
      </c>
      <c r="L1043" s="10">
        <f>IFERROR(VLOOKUP(A1043,'[1]Sales Order'!A:D,4,FALSE),"")</f>
        <v>39319</v>
      </c>
      <c r="M1043" s="10">
        <f>IFERROR(VLOOKUP(A1043,'[1]Sales Order'!A:F,6,FALSE),"")</f>
        <v>39327</v>
      </c>
      <c r="N1043" t="str">
        <f>IFERROR(VLOOKUP(VLOOKUP(A1043,'[1]Sales Order'!A:G,7,FALSE),[1]Shipper!A:B,2,FALSE),"Not Specified")</f>
        <v>Shipper GVSUA</v>
      </c>
      <c r="O1043" t="str">
        <f>IFERROR(VLOOKUP(A1043,'[1]Sales Order'!A:I,9,FALSE),"Not Specified")</f>
        <v>Destination LOUIE</v>
      </c>
      <c r="P1043" t="str">
        <f>IFERROR(VLOOKUP(A1043,'[1]Sales Order'!A:N,14,FALSE),"Not Specified")</f>
        <v>Germany</v>
      </c>
      <c r="Q1043" t="str">
        <f>VLOOKUP(VLOOKUP(B1043,[1]Product!A:C,3,FALSE),[1]Supplier!A:B,2,FALSE)</f>
        <v>Supplier XOXZA</v>
      </c>
      <c r="R1043" t="str">
        <f>VLOOKUP(VLOOKUP(B1043,[1]Product!A:C,3,FALSE),[1]Supplier!A:I,9,FALSE)</f>
        <v>Denmark</v>
      </c>
      <c r="S1043" t="str">
        <f>IFERROR(IF(VLOOKUP(A1043,'[1]Sales Order'!A:H,8,FALSE)&gt;100,"High Freight","Low Freight"),"Not Specified")</f>
        <v>Low Freight</v>
      </c>
      <c r="T1043">
        <f t="shared" si="33"/>
        <v>18</v>
      </c>
    </row>
    <row r="1044" spans="1:20">
      <c r="A1044" s="1">
        <v>10644</v>
      </c>
      <c r="B1044" s="2">
        <v>18</v>
      </c>
      <c r="C1044" s="2">
        <v>62.5</v>
      </c>
      <c r="D1044" s="2">
        <v>4</v>
      </c>
      <c r="E1044" s="3">
        <v>0.1</v>
      </c>
      <c r="F1044" s="2" t="str">
        <f>IFERROR(VLOOKUP(VLOOKUP(A1044,'[1]Sales Order'!A:B,2,FALSE),[1]Customer!A:C,3,FALSE),"Not Specified")</f>
        <v>Li, Yan</v>
      </c>
      <c r="G1044" s="2" t="str">
        <f t="shared" si="32"/>
        <v>Li Yan</v>
      </c>
      <c r="H1044" s="8" t="str">
        <f>IFERROR(VLOOKUP(VLOOKUP(A1044,'[1]Sales Order'!A:C,3,FALSE),[1]Employee!A:E,5,FALSE)&amp;" "&amp;VLOOKUP(VLOOKUP(A1044,'[1]Sales Order'!A:C,3,FALSE),[1]Employee!A:C,3,FALSE)&amp;" "&amp;VLOOKUP(VLOOKUP(A1044,'[1]Sales Order'!A:C,3,FALSE),[1]Employee!A:B,2,FALSE),"Not Specified")</f>
        <v>Ms. Judy Lew</v>
      </c>
      <c r="I1044" t="str">
        <f>IFERROR(VLOOKUP(VLOOKUP(A1044,'[1]Sales Order'!A:C,3,FALSE),[1]Employee!A:J,10,FALSE),"Not Specified")</f>
        <v>WA</v>
      </c>
      <c r="J1044" t="str">
        <f>VLOOKUP(B1044,[1]Product!A:B,2,FALSE)</f>
        <v>Product CKEDC</v>
      </c>
      <c r="K1044" t="str">
        <f>VLOOKUP(VLOOKUP(B1044,[1]Product!A:D,4,FALSE),[1]Category!A:B,2,FALSE)</f>
        <v>Seafood</v>
      </c>
      <c r="L1044" s="10">
        <f>IFERROR(VLOOKUP(A1044,'[1]Sales Order'!A:D,4,FALSE),"")</f>
        <v>39319</v>
      </c>
      <c r="M1044" s="10">
        <f>IFERROR(VLOOKUP(A1044,'[1]Sales Order'!A:F,6,FALSE),"")</f>
        <v>39326</v>
      </c>
      <c r="N1044" t="str">
        <f>IFERROR(VLOOKUP(VLOOKUP(A1044,'[1]Sales Order'!A:G,7,FALSE),[1]Shipper!A:B,2,FALSE),"Not Specified")</f>
        <v>Shipper ETYNR</v>
      </c>
      <c r="O1044" t="str">
        <f>IFERROR(VLOOKUP(A1044,'[1]Sales Order'!A:I,9,FALSE),"Not Specified")</f>
        <v>Ship to 88-A</v>
      </c>
      <c r="P1044" t="str">
        <f>IFERROR(VLOOKUP(A1044,'[1]Sales Order'!A:N,14,FALSE),"Not Specified")</f>
        <v>Brazil</v>
      </c>
      <c r="Q1044" t="str">
        <f>VLOOKUP(VLOOKUP(B1044,[1]Product!A:C,3,FALSE),[1]Supplier!A:B,2,FALSE)</f>
        <v>Supplier GQRCV</v>
      </c>
      <c r="R1044" t="str">
        <f>VLOOKUP(VLOOKUP(B1044,[1]Product!A:C,3,FALSE),[1]Supplier!A:I,9,FALSE)</f>
        <v>Australia</v>
      </c>
      <c r="S1044" t="str">
        <f>IFERROR(IF(VLOOKUP(A1044,'[1]Sales Order'!A:H,8,FALSE)&gt;100,"High Freight","Low Freight"),"Not Specified")</f>
        <v>Low Freight</v>
      </c>
      <c r="T1044">
        <f t="shared" si="33"/>
        <v>225</v>
      </c>
    </row>
    <row r="1045" spans="1:20">
      <c r="A1045" s="1">
        <v>10644</v>
      </c>
      <c r="B1045" s="2">
        <v>43</v>
      </c>
      <c r="C1045" s="2">
        <v>46</v>
      </c>
      <c r="D1045" s="2">
        <v>20</v>
      </c>
      <c r="E1045" s="3">
        <v>0</v>
      </c>
      <c r="F1045" s="2" t="str">
        <f>IFERROR(VLOOKUP(VLOOKUP(A1045,'[1]Sales Order'!A:B,2,FALSE),[1]Customer!A:C,3,FALSE),"Not Specified")</f>
        <v>Li, Yan</v>
      </c>
      <c r="G1045" s="2" t="str">
        <f t="shared" si="32"/>
        <v>Li Yan</v>
      </c>
      <c r="H1045" s="8" t="str">
        <f>IFERROR(VLOOKUP(VLOOKUP(A1045,'[1]Sales Order'!A:C,3,FALSE),[1]Employee!A:E,5,FALSE)&amp;" "&amp;VLOOKUP(VLOOKUP(A1045,'[1]Sales Order'!A:C,3,FALSE),[1]Employee!A:C,3,FALSE)&amp;" "&amp;VLOOKUP(VLOOKUP(A1045,'[1]Sales Order'!A:C,3,FALSE),[1]Employee!A:B,2,FALSE),"Not Specified")</f>
        <v>Ms. Judy Lew</v>
      </c>
      <c r="I1045" t="str">
        <f>IFERROR(VLOOKUP(VLOOKUP(A1045,'[1]Sales Order'!A:C,3,FALSE),[1]Employee!A:J,10,FALSE),"Not Specified")</f>
        <v>WA</v>
      </c>
      <c r="J1045" t="str">
        <f>VLOOKUP(B1045,[1]Product!A:B,2,FALSE)</f>
        <v>Product ZZZHR</v>
      </c>
      <c r="K1045" t="str">
        <f>VLOOKUP(VLOOKUP(B1045,[1]Product!A:D,4,FALSE),[1]Category!A:B,2,FALSE)</f>
        <v>Beverages</v>
      </c>
      <c r="L1045" s="10">
        <f>IFERROR(VLOOKUP(A1045,'[1]Sales Order'!A:D,4,FALSE),"")</f>
        <v>39319</v>
      </c>
      <c r="M1045" s="10">
        <f>IFERROR(VLOOKUP(A1045,'[1]Sales Order'!A:F,6,FALSE),"")</f>
        <v>39326</v>
      </c>
      <c r="N1045" t="str">
        <f>IFERROR(VLOOKUP(VLOOKUP(A1045,'[1]Sales Order'!A:G,7,FALSE),[1]Shipper!A:B,2,FALSE),"Not Specified")</f>
        <v>Shipper ETYNR</v>
      </c>
      <c r="O1045" t="str">
        <f>IFERROR(VLOOKUP(A1045,'[1]Sales Order'!A:I,9,FALSE),"Not Specified")</f>
        <v>Ship to 88-A</v>
      </c>
      <c r="P1045" t="str">
        <f>IFERROR(VLOOKUP(A1045,'[1]Sales Order'!A:N,14,FALSE),"Not Specified")</f>
        <v>Brazil</v>
      </c>
      <c r="Q1045" t="str">
        <f>VLOOKUP(VLOOKUP(B1045,[1]Product!A:C,3,FALSE),[1]Supplier!A:B,2,FALSE)</f>
        <v>Supplier CIYNM</v>
      </c>
      <c r="R1045" t="str">
        <f>VLOOKUP(VLOOKUP(B1045,[1]Product!A:C,3,FALSE),[1]Supplier!A:I,9,FALSE)</f>
        <v>Singapore</v>
      </c>
      <c r="S1045" t="str">
        <f>IFERROR(IF(VLOOKUP(A1045,'[1]Sales Order'!A:H,8,FALSE)&gt;100,"High Freight","Low Freight"),"Not Specified")</f>
        <v>Low Freight</v>
      </c>
      <c r="T1045">
        <f t="shared" si="33"/>
        <v>920</v>
      </c>
    </row>
    <row r="1046" spans="1:20">
      <c r="A1046" s="1">
        <v>10644</v>
      </c>
      <c r="B1046" s="2">
        <v>46</v>
      </c>
      <c r="C1046" s="2">
        <v>12</v>
      </c>
      <c r="D1046" s="2">
        <v>21</v>
      </c>
      <c r="E1046" s="3">
        <v>0.1</v>
      </c>
      <c r="F1046" s="2" t="str">
        <f>IFERROR(VLOOKUP(VLOOKUP(A1046,'[1]Sales Order'!A:B,2,FALSE),[1]Customer!A:C,3,FALSE),"Not Specified")</f>
        <v>Li, Yan</v>
      </c>
      <c r="G1046" s="2" t="str">
        <f t="shared" si="32"/>
        <v>Li Yan</v>
      </c>
      <c r="H1046" s="8" t="str">
        <f>IFERROR(VLOOKUP(VLOOKUP(A1046,'[1]Sales Order'!A:C,3,FALSE),[1]Employee!A:E,5,FALSE)&amp;" "&amp;VLOOKUP(VLOOKUP(A1046,'[1]Sales Order'!A:C,3,FALSE),[1]Employee!A:C,3,FALSE)&amp;" "&amp;VLOOKUP(VLOOKUP(A1046,'[1]Sales Order'!A:C,3,FALSE),[1]Employee!A:B,2,FALSE),"Not Specified")</f>
        <v>Ms. Judy Lew</v>
      </c>
      <c r="I1046" t="str">
        <f>IFERROR(VLOOKUP(VLOOKUP(A1046,'[1]Sales Order'!A:C,3,FALSE),[1]Employee!A:J,10,FALSE),"Not Specified")</f>
        <v>WA</v>
      </c>
      <c r="J1046" t="str">
        <f>VLOOKUP(B1046,[1]Product!A:B,2,FALSE)</f>
        <v>Product CBRRL</v>
      </c>
      <c r="K1046" t="str">
        <f>VLOOKUP(VLOOKUP(B1046,[1]Product!A:D,4,FALSE),[1]Category!A:B,2,FALSE)</f>
        <v>Seafood</v>
      </c>
      <c r="L1046" s="10">
        <f>IFERROR(VLOOKUP(A1046,'[1]Sales Order'!A:D,4,FALSE),"")</f>
        <v>39319</v>
      </c>
      <c r="M1046" s="10">
        <f>IFERROR(VLOOKUP(A1046,'[1]Sales Order'!A:F,6,FALSE),"")</f>
        <v>39326</v>
      </c>
      <c r="N1046" t="str">
        <f>IFERROR(VLOOKUP(VLOOKUP(A1046,'[1]Sales Order'!A:G,7,FALSE),[1]Shipper!A:B,2,FALSE),"Not Specified")</f>
        <v>Shipper ETYNR</v>
      </c>
      <c r="O1046" t="str">
        <f>IFERROR(VLOOKUP(A1046,'[1]Sales Order'!A:I,9,FALSE),"Not Specified")</f>
        <v>Ship to 88-A</v>
      </c>
      <c r="P1046" t="str">
        <f>IFERROR(VLOOKUP(A1046,'[1]Sales Order'!A:N,14,FALSE),"Not Specified")</f>
        <v>Brazil</v>
      </c>
      <c r="Q1046" t="str">
        <f>VLOOKUP(VLOOKUP(B1046,[1]Product!A:C,3,FALSE),[1]Supplier!A:B,2,FALSE)</f>
        <v>Supplier XOXZA</v>
      </c>
      <c r="R1046" t="str">
        <f>VLOOKUP(VLOOKUP(B1046,[1]Product!A:C,3,FALSE),[1]Supplier!A:I,9,FALSE)</f>
        <v>Denmark</v>
      </c>
      <c r="S1046" t="str">
        <f>IFERROR(IF(VLOOKUP(A1046,'[1]Sales Order'!A:H,8,FALSE)&gt;100,"High Freight","Low Freight"),"Not Specified")</f>
        <v>Low Freight</v>
      </c>
      <c r="T1046">
        <f t="shared" si="33"/>
        <v>226.8</v>
      </c>
    </row>
    <row r="1047" spans="1:20">
      <c r="A1047" s="1">
        <v>10645</v>
      </c>
      <c r="B1047" s="2">
        <v>18</v>
      </c>
      <c r="C1047" s="2">
        <v>62.5</v>
      </c>
      <c r="D1047" s="2">
        <v>20</v>
      </c>
      <c r="E1047" s="3">
        <v>0</v>
      </c>
      <c r="F1047" s="2" t="str">
        <f>IFERROR(VLOOKUP(VLOOKUP(A1047,'[1]Sales Order'!A:B,2,FALSE),[1]Customer!A:C,3,FALSE),"Not Specified")</f>
        <v>Cohen, Shy</v>
      </c>
      <c r="G1047" s="2" t="str">
        <f t="shared" si="32"/>
        <v>Cohen Shy</v>
      </c>
      <c r="H1047" s="8" t="str">
        <f>IFERROR(VLOOKUP(VLOOKUP(A1047,'[1]Sales Order'!A:C,3,FALSE),[1]Employee!A:E,5,FALSE)&amp;" "&amp;VLOOKUP(VLOOKUP(A1047,'[1]Sales Order'!A:C,3,FALSE),[1]Employee!A:C,3,FALSE)&amp;" "&amp;VLOOKUP(VLOOKUP(A1047,'[1]Sales Order'!A:C,3,FALSE),[1]Employee!A:B,2,FALSE),"Not Specified")</f>
        <v>Mrs. Yael Peled</v>
      </c>
      <c r="I1047" t="str">
        <f>IFERROR(VLOOKUP(VLOOKUP(A1047,'[1]Sales Order'!A:C,3,FALSE),[1]Employee!A:J,10,FALSE),"Not Specified")</f>
        <v>WA</v>
      </c>
      <c r="J1047" t="str">
        <f>VLOOKUP(B1047,[1]Product!A:B,2,FALSE)</f>
        <v>Product CKEDC</v>
      </c>
      <c r="K1047" t="str">
        <f>VLOOKUP(VLOOKUP(B1047,[1]Product!A:D,4,FALSE),[1]Category!A:B,2,FALSE)</f>
        <v>Seafood</v>
      </c>
      <c r="L1047" s="10">
        <f>IFERROR(VLOOKUP(A1047,'[1]Sales Order'!A:D,4,FALSE),"")</f>
        <v>39320</v>
      </c>
      <c r="M1047" s="10">
        <f>IFERROR(VLOOKUP(A1047,'[1]Sales Order'!A:F,6,FALSE),"")</f>
        <v>39327</v>
      </c>
      <c r="N1047" t="str">
        <f>IFERROR(VLOOKUP(VLOOKUP(A1047,'[1]Sales Order'!A:G,7,FALSE),[1]Shipper!A:B,2,FALSE),"Not Specified")</f>
        <v>Shipper GVSUA</v>
      </c>
      <c r="O1047" t="str">
        <f>IFERROR(VLOOKUP(A1047,'[1]Sales Order'!A:I,9,FALSE),"Not Specified")</f>
        <v>Destination DPCVR</v>
      </c>
      <c r="P1047" t="str">
        <f>IFERROR(VLOOKUP(A1047,'[1]Sales Order'!A:N,14,FALSE),"Not Specified")</f>
        <v>Brazil</v>
      </c>
      <c r="Q1047" t="str">
        <f>VLOOKUP(VLOOKUP(B1047,[1]Product!A:C,3,FALSE),[1]Supplier!A:B,2,FALSE)</f>
        <v>Supplier GQRCV</v>
      </c>
      <c r="R1047" t="str">
        <f>VLOOKUP(VLOOKUP(B1047,[1]Product!A:C,3,FALSE),[1]Supplier!A:I,9,FALSE)</f>
        <v>Australia</v>
      </c>
      <c r="S1047" t="str">
        <f>IFERROR(IF(VLOOKUP(A1047,'[1]Sales Order'!A:H,8,FALSE)&gt;100,"High Freight","Low Freight"),"Not Specified")</f>
        <v>Low Freight</v>
      </c>
      <c r="T1047">
        <f t="shared" si="33"/>
        <v>1250</v>
      </c>
    </row>
    <row r="1048" spans="1:20">
      <c r="A1048" s="1">
        <v>10645</v>
      </c>
      <c r="B1048" s="2">
        <v>36</v>
      </c>
      <c r="C1048" s="2">
        <v>19</v>
      </c>
      <c r="D1048" s="2">
        <v>15</v>
      </c>
      <c r="E1048" s="3">
        <v>0</v>
      </c>
      <c r="F1048" s="2" t="str">
        <f>IFERROR(VLOOKUP(VLOOKUP(A1048,'[1]Sales Order'!A:B,2,FALSE),[1]Customer!A:C,3,FALSE),"Not Specified")</f>
        <v>Cohen, Shy</v>
      </c>
      <c r="G1048" s="2" t="str">
        <f t="shared" si="32"/>
        <v>Cohen Shy</v>
      </c>
      <c r="H1048" s="8" t="str">
        <f>IFERROR(VLOOKUP(VLOOKUP(A1048,'[1]Sales Order'!A:C,3,FALSE),[1]Employee!A:E,5,FALSE)&amp;" "&amp;VLOOKUP(VLOOKUP(A1048,'[1]Sales Order'!A:C,3,FALSE),[1]Employee!A:C,3,FALSE)&amp;" "&amp;VLOOKUP(VLOOKUP(A1048,'[1]Sales Order'!A:C,3,FALSE),[1]Employee!A:B,2,FALSE),"Not Specified")</f>
        <v>Mrs. Yael Peled</v>
      </c>
      <c r="I1048" t="str">
        <f>IFERROR(VLOOKUP(VLOOKUP(A1048,'[1]Sales Order'!A:C,3,FALSE),[1]Employee!A:J,10,FALSE),"Not Specified")</f>
        <v>WA</v>
      </c>
      <c r="J1048" t="str">
        <f>VLOOKUP(B1048,[1]Product!A:B,2,FALSE)</f>
        <v>Product GMKIJ</v>
      </c>
      <c r="K1048" t="str">
        <f>VLOOKUP(VLOOKUP(B1048,[1]Product!A:D,4,FALSE),[1]Category!A:B,2,FALSE)</f>
        <v>Seafood</v>
      </c>
      <c r="L1048" s="10">
        <f>IFERROR(VLOOKUP(A1048,'[1]Sales Order'!A:D,4,FALSE),"")</f>
        <v>39320</v>
      </c>
      <c r="M1048" s="10">
        <f>IFERROR(VLOOKUP(A1048,'[1]Sales Order'!A:F,6,FALSE),"")</f>
        <v>39327</v>
      </c>
      <c r="N1048" t="str">
        <f>IFERROR(VLOOKUP(VLOOKUP(A1048,'[1]Sales Order'!A:G,7,FALSE),[1]Shipper!A:B,2,FALSE),"Not Specified")</f>
        <v>Shipper GVSUA</v>
      </c>
      <c r="O1048" t="str">
        <f>IFERROR(VLOOKUP(A1048,'[1]Sales Order'!A:I,9,FALSE),"Not Specified")</f>
        <v>Destination DPCVR</v>
      </c>
      <c r="P1048" t="str">
        <f>IFERROR(VLOOKUP(A1048,'[1]Sales Order'!A:N,14,FALSE),"Not Specified")</f>
        <v>Brazil</v>
      </c>
      <c r="Q1048" t="str">
        <f>VLOOKUP(VLOOKUP(B1048,[1]Product!A:C,3,FALSE),[1]Supplier!A:B,2,FALSE)</f>
        <v>Supplier QZGUF</v>
      </c>
      <c r="R1048" t="str">
        <f>VLOOKUP(VLOOKUP(B1048,[1]Product!A:C,3,FALSE),[1]Supplier!A:I,9,FALSE)</f>
        <v>Sweden</v>
      </c>
      <c r="S1048" t="str">
        <f>IFERROR(IF(VLOOKUP(A1048,'[1]Sales Order'!A:H,8,FALSE)&gt;100,"High Freight","Low Freight"),"Not Specified")</f>
        <v>Low Freight</v>
      </c>
      <c r="T1048">
        <f t="shared" si="33"/>
        <v>285</v>
      </c>
    </row>
    <row r="1049" spans="1:20">
      <c r="A1049" s="1">
        <v>10646</v>
      </c>
      <c r="B1049" s="2">
        <v>1</v>
      </c>
      <c r="C1049" s="2">
        <v>18</v>
      </c>
      <c r="D1049" s="2">
        <v>15</v>
      </c>
      <c r="E1049" s="3">
        <v>0.25</v>
      </c>
      <c r="F1049" s="2" t="str">
        <f>IFERROR(VLOOKUP(VLOOKUP(A1049,'[1]Sales Order'!A:B,2,FALSE),[1]Customer!A:C,3,FALSE),"Not Specified")</f>
        <v>Crăciun, Ovidiu V.</v>
      </c>
      <c r="G1049" s="2" t="str">
        <f t="shared" si="32"/>
        <v>Crăciun Ovidiu V.</v>
      </c>
      <c r="H1049" s="8" t="str">
        <f>IFERROR(VLOOKUP(VLOOKUP(A1049,'[1]Sales Order'!A:C,3,FALSE),[1]Employee!A:E,5,FALSE)&amp;" "&amp;VLOOKUP(VLOOKUP(A1049,'[1]Sales Order'!A:C,3,FALSE),[1]Employee!A:C,3,FALSE)&amp;" "&amp;VLOOKUP(VLOOKUP(A1049,'[1]Sales Order'!A:C,3,FALSE),[1]Employee!A:B,2,FALSE),"Not Specified")</f>
        <v>Ms. Zoya Dolgopyatova</v>
      </c>
      <c r="I1049">
        <f>IFERROR(VLOOKUP(VLOOKUP(A1049,'[1]Sales Order'!A:C,3,FALSE),[1]Employee!A:J,10,FALSE),"Not Specified")</f>
        <v>0</v>
      </c>
      <c r="J1049" t="str">
        <f>VLOOKUP(B1049,[1]Product!A:B,2,FALSE)</f>
        <v>Product HHYDP</v>
      </c>
      <c r="K1049" t="str">
        <f>VLOOKUP(VLOOKUP(B1049,[1]Product!A:D,4,FALSE),[1]Category!A:B,2,FALSE)</f>
        <v>Beverages</v>
      </c>
      <c r="L1049" s="10">
        <f>IFERROR(VLOOKUP(A1049,'[1]Sales Order'!A:D,4,FALSE),"")</f>
        <v>39321</v>
      </c>
      <c r="M1049" s="10">
        <f>IFERROR(VLOOKUP(A1049,'[1]Sales Order'!A:F,6,FALSE),"")</f>
        <v>39328</v>
      </c>
      <c r="N1049" t="str">
        <f>IFERROR(VLOOKUP(VLOOKUP(A1049,'[1]Sales Order'!A:G,7,FALSE),[1]Shipper!A:B,2,FALSE),"Not Specified")</f>
        <v>Shipper ZHISN</v>
      </c>
      <c r="O1049" t="str">
        <f>IFERROR(VLOOKUP(A1049,'[1]Sales Order'!A:I,9,FALSE),"Not Specified")</f>
        <v>Destination ATSOA</v>
      </c>
      <c r="P1049" t="str">
        <f>IFERROR(VLOOKUP(A1049,'[1]Sales Order'!A:N,14,FALSE),"Not Specified")</f>
        <v>Ireland</v>
      </c>
      <c r="Q1049" t="str">
        <f>VLOOKUP(VLOOKUP(B1049,[1]Product!A:C,3,FALSE),[1]Supplier!A:B,2,FALSE)</f>
        <v>Supplier SWRXU</v>
      </c>
      <c r="R1049" t="str">
        <f>VLOOKUP(VLOOKUP(B1049,[1]Product!A:C,3,FALSE),[1]Supplier!A:I,9,FALSE)</f>
        <v>UK</v>
      </c>
      <c r="S1049" t="str">
        <f>IFERROR(IF(VLOOKUP(A1049,'[1]Sales Order'!A:H,8,FALSE)&gt;100,"High Freight","Low Freight"),"Not Specified")</f>
        <v>High Freight</v>
      </c>
      <c r="T1049">
        <f t="shared" si="33"/>
        <v>202.5</v>
      </c>
    </row>
    <row r="1050" spans="1:20">
      <c r="A1050" s="1">
        <v>10646</v>
      </c>
      <c r="B1050" s="2">
        <v>10</v>
      </c>
      <c r="C1050" s="2">
        <v>31</v>
      </c>
      <c r="D1050" s="2">
        <v>18</v>
      </c>
      <c r="E1050" s="3">
        <v>0.25</v>
      </c>
      <c r="F1050" s="2" t="str">
        <f>IFERROR(VLOOKUP(VLOOKUP(A1050,'[1]Sales Order'!A:B,2,FALSE),[1]Customer!A:C,3,FALSE),"Not Specified")</f>
        <v>Crăciun, Ovidiu V.</v>
      </c>
      <c r="G1050" s="2" t="str">
        <f t="shared" si="32"/>
        <v>Crăciun Ovidiu V.</v>
      </c>
      <c r="H1050" s="8" t="str">
        <f>IFERROR(VLOOKUP(VLOOKUP(A1050,'[1]Sales Order'!A:C,3,FALSE),[1]Employee!A:E,5,FALSE)&amp;" "&amp;VLOOKUP(VLOOKUP(A1050,'[1]Sales Order'!A:C,3,FALSE),[1]Employee!A:C,3,FALSE)&amp;" "&amp;VLOOKUP(VLOOKUP(A1050,'[1]Sales Order'!A:C,3,FALSE),[1]Employee!A:B,2,FALSE),"Not Specified")</f>
        <v>Ms. Zoya Dolgopyatova</v>
      </c>
      <c r="I1050">
        <f>IFERROR(VLOOKUP(VLOOKUP(A1050,'[1]Sales Order'!A:C,3,FALSE),[1]Employee!A:J,10,FALSE),"Not Specified")</f>
        <v>0</v>
      </c>
      <c r="J1050" t="str">
        <f>VLOOKUP(B1050,[1]Product!A:B,2,FALSE)</f>
        <v>Product YHXGE</v>
      </c>
      <c r="K1050" t="str">
        <f>VLOOKUP(VLOOKUP(B1050,[1]Product!A:D,4,FALSE),[1]Category!A:B,2,FALSE)</f>
        <v>Seafood</v>
      </c>
      <c r="L1050" s="10">
        <f>IFERROR(VLOOKUP(A1050,'[1]Sales Order'!A:D,4,FALSE),"")</f>
        <v>39321</v>
      </c>
      <c r="M1050" s="10">
        <f>IFERROR(VLOOKUP(A1050,'[1]Sales Order'!A:F,6,FALSE),"")</f>
        <v>39328</v>
      </c>
      <c r="N1050" t="str">
        <f>IFERROR(VLOOKUP(VLOOKUP(A1050,'[1]Sales Order'!A:G,7,FALSE),[1]Shipper!A:B,2,FALSE),"Not Specified")</f>
        <v>Shipper ZHISN</v>
      </c>
      <c r="O1050" t="str">
        <f>IFERROR(VLOOKUP(A1050,'[1]Sales Order'!A:I,9,FALSE),"Not Specified")</f>
        <v>Destination ATSOA</v>
      </c>
      <c r="P1050" t="str">
        <f>IFERROR(VLOOKUP(A1050,'[1]Sales Order'!A:N,14,FALSE),"Not Specified")</f>
        <v>Ireland</v>
      </c>
      <c r="Q1050" t="str">
        <f>VLOOKUP(VLOOKUP(B1050,[1]Product!A:C,3,FALSE),[1]Supplier!A:B,2,FALSE)</f>
        <v>Supplier QOVFD</v>
      </c>
      <c r="R1050" t="str">
        <f>VLOOKUP(VLOOKUP(B1050,[1]Product!A:C,3,FALSE),[1]Supplier!A:I,9,FALSE)</f>
        <v>Japan</v>
      </c>
      <c r="S1050" t="str">
        <f>IFERROR(IF(VLOOKUP(A1050,'[1]Sales Order'!A:H,8,FALSE)&gt;100,"High Freight","Low Freight"),"Not Specified")</f>
        <v>High Freight</v>
      </c>
      <c r="T1050">
        <f t="shared" si="33"/>
        <v>418.5</v>
      </c>
    </row>
    <row r="1051" spans="1:20">
      <c r="A1051" s="1">
        <v>10646</v>
      </c>
      <c r="B1051" s="2">
        <v>71</v>
      </c>
      <c r="C1051" s="2">
        <v>21.5</v>
      </c>
      <c r="D1051" s="2">
        <v>30</v>
      </c>
      <c r="E1051" s="3">
        <v>0.25</v>
      </c>
      <c r="F1051" s="2" t="str">
        <f>IFERROR(VLOOKUP(VLOOKUP(A1051,'[1]Sales Order'!A:B,2,FALSE),[1]Customer!A:C,3,FALSE),"Not Specified")</f>
        <v>Crăciun, Ovidiu V.</v>
      </c>
      <c r="G1051" s="2" t="str">
        <f t="shared" si="32"/>
        <v>Crăciun Ovidiu V.</v>
      </c>
      <c r="H1051" s="8" t="str">
        <f>IFERROR(VLOOKUP(VLOOKUP(A1051,'[1]Sales Order'!A:C,3,FALSE),[1]Employee!A:E,5,FALSE)&amp;" "&amp;VLOOKUP(VLOOKUP(A1051,'[1]Sales Order'!A:C,3,FALSE),[1]Employee!A:C,3,FALSE)&amp;" "&amp;VLOOKUP(VLOOKUP(A1051,'[1]Sales Order'!A:C,3,FALSE),[1]Employee!A:B,2,FALSE),"Not Specified")</f>
        <v>Ms. Zoya Dolgopyatova</v>
      </c>
      <c r="I1051">
        <f>IFERROR(VLOOKUP(VLOOKUP(A1051,'[1]Sales Order'!A:C,3,FALSE),[1]Employee!A:J,10,FALSE),"Not Specified")</f>
        <v>0</v>
      </c>
      <c r="J1051" t="str">
        <f>VLOOKUP(B1051,[1]Product!A:B,2,FALSE)</f>
        <v>Product MYMOI</v>
      </c>
      <c r="K1051" t="str">
        <f>VLOOKUP(VLOOKUP(B1051,[1]Product!A:D,4,FALSE),[1]Category!A:B,2,FALSE)</f>
        <v>Dairy Product</v>
      </c>
      <c r="L1051" s="10">
        <f>IFERROR(VLOOKUP(A1051,'[1]Sales Order'!A:D,4,FALSE),"")</f>
        <v>39321</v>
      </c>
      <c r="M1051" s="10">
        <f>IFERROR(VLOOKUP(A1051,'[1]Sales Order'!A:F,6,FALSE),"")</f>
        <v>39328</v>
      </c>
      <c r="N1051" t="str">
        <f>IFERROR(VLOOKUP(VLOOKUP(A1051,'[1]Sales Order'!A:G,7,FALSE),[1]Shipper!A:B,2,FALSE),"Not Specified")</f>
        <v>Shipper ZHISN</v>
      </c>
      <c r="O1051" t="str">
        <f>IFERROR(VLOOKUP(A1051,'[1]Sales Order'!A:I,9,FALSE),"Not Specified")</f>
        <v>Destination ATSOA</v>
      </c>
      <c r="P1051" t="str">
        <f>IFERROR(VLOOKUP(A1051,'[1]Sales Order'!A:N,14,FALSE),"Not Specified")</f>
        <v>Ireland</v>
      </c>
      <c r="Q1051" t="str">
        <f>VLOOKUP(VLOOKUP(B1051,[1]Product!A:C,3,FALSE),[1]Supplier!A:B,2,FALSE)</f>
        <v>Supplier NZLIF</v>
      </c>
      <c r="R1051" t="str">
        <f>VLOOKUP(VLOOKUP(B1051,[1]Product!A:C,3,FALSE),[1]Supplier!A:I,9,FALSE)</f>
        <v>Norway</v>
      </c>
      <c r="S1051" t="str">
        <f>IFERROR(IF(VLOOKUP(A1051,'[1]Sales Order'!A:H,8,FALSE)&gt;100,"High Freight","Low Freight"),"Not Specified")</f>
        <v>High Freight</v>
      </c>
      <c r="T1051">
        <f t="shared" si="33"/>
        <v>483.75</v>
      </c>
    </row>
    <row r="1052" spans="1:20">
      <c r="A1052" s="1">
        <v>10646</v>
      </c>
      <c r="B1052" s="2">
        <v>77</v>
      </c>
      <c r="C1052" s="2">
        <v>13</v>
      </c>
      <c r="D1052" s="2">
        <v>35</v>
      </c>
      <c r="E1052" s="3">
        <v>0.25</v>
      </c>
      <c r="F1052" s="2" t="str">
        <f>IFERROR(VLOOKUP(VLOOKUP(A1052,'[1]Sales Order'!A:B,2,FALSE),[1]Customer!A:C,3,FALSE),"Not Specified")</f>
        <v>Crăciun, Ovidiu V.</v>
      </c>
      <c r="G1052" s="2" t="str">
        <f t="shared" si="32"/>
        <v>Crăciun Ovidiu V.</v>
      </c>
      <c r="H1052" s="8" t="str">
        <f>IFERROR(VLOOKUP(VLOOKUP(A1052,'[1]Sales Order'!A:C,3,FALSE),[1]Employee!A:E,5,FALSE)&amp;" "&amp;VLOOKUP(VLOOKUP(A1052,'[1]Sales Order'!A:C,3,FALSE),[1]Employee!A:C,3,FALSE)&amp;" "&amp;VLOOKUP(VLOOKUP(A1052,'[1]Sales Order'!A:C,3,FALSE),[1]Employee!A:B,2,FALSE),"Not Specified")</f>
        <v>Ms. Zoya Dolgopyatova</v>
      </c>
      <c r="I1052">
        <f>IFERROR(VLOOKUP(VLOOKUP(A1052,'[1]Sales Order'!A:C,3,FALSE),[1]Employee!A:J,10,FALSE),"Not Specified")</f>
        <v>0</v>
      </c>
      <c r="J1052" t="str">
        <f>VLOOKUP(B1052,[1]Product!A:B,2,FALSE)</f>
        <v>Product LUNZZ</v>
      </c>
      <c r="K1052" t="str">
        <f>VLOOKUP(VLOOKUP(B1052,[1]Product!A:D,4,FALSE),[1]Category!A:B,2,FALSE)</f>
        <v>Condiments</v>
      </c>
      <c r="L1052" s="10">
        <f>IFERROR(VLOOKUP(A1052,'[1]Sales Order'!A:D,4,FALSE),"")</f>
        <v>39321</v>
      </c>
      <c r="M1052" s="10">
        <f>IFERROR(VLOOKUP(A1052,'[1]Sales Order'!A:F,6,FALSE),"")</f>
        <v>39328</v>
      </c>
      <c r="N1052" t="str">
        <f>IFERROR(VLOOKUP(VLOOKUP(A1052,'[1]Sales Order'!A:G,7,FALSE),[1]Shipper!A:B,2,FALSE),"Not Specified")</f>
        <v>Shipper ZHISN</v>
      </c>
      <c r="O1052" t="str">
        <f>IFERROR(VLOOKUP(A1052,'[1]Sales Order'!A:I,9,FALSE),"Not Specified")</f>
        <v>Destination ATSOA</v>
      </c>
      <c r="P1052" t="str">
        <f>IFERROR(VLOOKUP(A1052,'[1]Sales Order'!A:N,14,FALSE),"Not Specified")</f>
        <v>Ireland</v>
      </c>
      <c r="Q1052" t="str">
        <f>VLOOKUP(VLOOKUP(B1052,[1]Product!A:C,3,FALSE),[1]Supplier!A:B,2,FALSE)</f>
        <v>Supplier SVIYA</v>
      </c>
      <c r="R1052" t="str">
        <f>VLOOKUP(VLOOKUP(B1052,[1]Product!A:C,3,FALSE),[1]Supplier!A:I,9,FALSE)</f>
        <v>Germany</v>
      </c>
      <c r="S1052" t="str">
        <f>IFERROR(IF(VLOOKUP(A1052,'[1]Sales Order'!A:H,8,FALSE)&gt;100,"High Freight","Low Freight"),"Not Specified")</f>
        <v>High Freight</v>
      </c>
      <c r="T1052">
        <f t="shared" si="33"/>
        <v>341.25</v>
      </c>
    </row>
    <row r="1053" spans="1:20">
      <c r="A1053" s="1">
        <v>10647</v>
      </c>
      <c r="B1053" s="2">
        <v>19</v>
      </c>
      <c r="C1053" s="2">
        <v>9.1999999999999993</v>
      </c>
      <c r="D1053" s="2">
        <v>30</v>
      </c>
      <c r="E1053" s="3">
        <v>0</v>
      </c>
      <c r="F1053" s="2" t="str">
        <f>IFERROR(VLOOKUP(VLOOKUP(A1053,'[1]Sales Order'!A:B,2,FALSE),[1]Customer!A:C,3,FALSE),"Not Specified")</f>
        <v>Florczyk, Krzysztof</v>
      </c>
      <c r="G1053" s="2" t="str">
        <f t="shared" si="32"/>
        <v>Florczyk Krzysztof</v>
      </c>
      <c r="H1053" s="8" t="str">
        <f>IFERROR(VLOOKUP(VLOOKUP(A1053,'[1]Sales Order'!A:C,3,FALSE),[1]Employee!A:E,5,FALSE)&amp;" "&amp;VLOOKUP(VLOOKUP(A1053,'[1]Sales Order'!A:C,3,FALSE),[1]Employee!A:C,3,FALSE)&amp;" "&amp;VLOOKUP(VLOOKUP(A1053,'[1]Sales Order'!A:C,3,FALSE),[1]Employee!A:B,2,FALSE),"Not Specified")</f>
        <v>Mrs. Yael Peled</v>
      </c>
      <c r="I1053" t="str">
        <f>IFERROR(VLOOKUP(VLOOKUP(A1053,'[1]Sales Order'!A:C,3,FALSE),[1]Employee!A:J,10,FALSE),"Not Specified")</f>
        <v>WA</v>
      </c>
      <c r="J1053" t="str">
        <f>VLOOKUP(B1053,[1]Product!A:B,2,FALSE)</f>
        <v>Product XKXDO</v>
      </c>
      <c r="K1053" t="str">
        <f>VLOOKUP(VLOOKUP(B1053,[1]Product!A:D,4,FALSE),[1]Category!A:B,2,FALSE)</f>
        <v>Confections</v>
      </c>
      <c r="L1053" s="10">
        <f>IFERROR(VLOOKUP(A1053,'[1]Sales Order'!A:D,4,FALSE),"")</f>
        <v>39321</v>
      </c>
      <c r="M1053" s="10">
        <f>IFERROR(VLOOKUP(A1053,'[1]Sales Order'!A:F,6,FALSE),"")</f>
        <v>39328</v>
      </c>
      <c r="N1053" t="str">
        <f>IFERROR(VLOOKUP(VLOOKUP(A1053,'[1]Sales Order'!A:G,7,FALSE),[1]Shipper!A:B,2,FALSE),"Not Specified")</f>
        <v>Shipper ETYNR</v>
      </c>
      <c r="O1053" t="str">
        <f>IFERROR(VLOOKUP(A1053,'[1]Sales Order'!A:I,9,FALSE),"Not Specified")</f>
        <v>Ship to 61-B</v>
      </c>
      <c r="P1053" t="str">
        <f>IFERROR(VLOOKUP(A1053,'[1]Sales Order'!A:N,14,FALSE),"Not Specified")</f>
        <v>Brazil</v>
      </c>
      <c r="Q1053" t="str">
        <f>VLOOKUP(VLOOKUP(B1053,[1]Product!A:C,3,FALSE),[1]Supplier!A:B,2,FALSE)</f>
        <v>Supplier BWGYE</v>
      </c>
      <c r="R1053" t="str">
        <f>VLOOKUP(VLOOKUP(B1053,[1]Product!A:C,3,FALSE),[1]Supplier!A:I,9,FALSE)</f>
        <v>UK</v>
      </c>
      <c r="S1053" t="str">
        <f>IFERROR(IF(VLOOKUP(A1053,'[1]Sales Order'!A:H,8,FALSE)&gt;100,"High Freight","Low Freight"),"Not Specified")</f>
        <v>Low Freight</v>
      </c>
      <c r="T1053">
        <f t="shared" si="33"/>
        <v>276</v>
      </c>
    </row>
    <row r="1054" spans="1:20">
      <c r="A1054" s="1">
        <v>10647</v>
      </c>
      <c r="B1054" s="2">
        <v>39</v>
      </c>
      <c r="C1054" s="2">
        <v>18</v>
      </c>
      <c r="D1054" s="2">
        <v>20</v>
      </c>
      <c r="E1054" s="3">
        <v>0</v>
      </c>
      <c r="F1054" s="2" t="str">
        <f>IFERROR(VLOOKUP(VLOOKUP(A1054,'[1]Sales Order'!A:B,2,FALSE),[1]Customer!A:C,3,FALSE),"Not Specified")</f>
        <v>Florczyk, Krzysztof</v>
      </c>
      <c r="G1054" s="2" t="str">
        <f t="shared" si="32"/>
        <v>Florczyk Krzysztof</v>
      </c>
      <c r="H1054" s="8" t="str">
        <f>IFERROR(VLOOKUP(VLOOKUP(A1054,'[1]Sales Order'!A:C,3,FALSE),[1]Employee!A:E,5,FALSE)&amp;" "&amp;VLOOKUP(VLOOKUP(A1054,'[1]Sales Order'!A:C,3,FALSE),[1]Employee!A:C,3,FALSE)&amp;" "&amp;VLOOKUP(VLOOKUP(A1054,'[1]Sales Order'!A:C,3,FALSE),[1]Employee!A:B,2,FALSE),"Not Specified")</f>
        <v>Mrs. Yael Peled</v>
      </c>
      <c r="I1054" t="str">
        <f>IFERROR(VLOOKUP(VLOOKUP(A1054,'[1]Sales Order'!A:C,3,FALSE),[1]Employee!A:J,10,FALSE),"Not Specified")</f>
        <v>WA</v>
      </c>
      <c r="J1054" t="str">
        <f>VLOOKUP(B1054,[1]Product!A:B,2,FALSE)</f>
        <v>Product LSOFL</v>
      </c>
      <c r="K1054" t="str">
        <f>VLOOKUP(VLOOKUP(B1054,[1]Product!A:D,4,FALSE),[1]Category!A:B,2,FALSE)</f>
        <v>Beverages</v>
      </c>
      <c r="L1054" s="10">
        <f>IFERROR(VLOOKUP(A1054,'[1]Sales Order'!A:D,4,FALSE),"")</f>
        <v>39321</v>
      </c>
      <c r="M1054" s="10">
        <f>IFERROR(VLOOKUP(A1054,'[1]Sales Order'!A:F,6,FALSE),"")</f>
        <v>39328</v>
      </c>
      <c r="N1054" t="str">
        <f>IFERROR(VLOOKUP(VLOOKUP(A1054,'[1]Sales Order'!A:G,7,FALSE),[1]Shipper!A:B,2,FALSE),"Not Specified")</f>
        <v>Shipper ETYNR</v>
      </c>
      <c r="O1054" t="str">
        <f>IFERROR(VLOOKUP(A1054,'[1]Sales Order'!A:I,9,FALSE),"Not Specified")</f>
        <v>Ship to 61-B</v>
      </c>
      <c r="P1054" t="str">
        <f>IFERROR(VLOOKUP(A1054,'[1]Sales Order'!A:N,14,FALSE),"Not Specified")</f>
        <v>Brazil</v>
      </c>
      <c r="Q1054" t="str">
        <f>VLOOKUP(VLOOKUP(B1054,[1]Product!A:C,3,FALSE),[1]Supplier!A:B,2,FALSE)</f>
        <v>Supplier LVJUA</v>
      </c>
      <c r="R1054" t="str">
        <f>VLOOKUP(VLOOKUP(B1054,[1]Product!A:C,3,FALSE),[1]Supplier!A:I,9,FALSE)</f>
        <v>France</v>
      </c>
      <c r="S1054" t="str">
        <f>IFERROR(IF(VLOOKUP(A1054,'[1]Sales Order'!A:H,8,FALSE)&gt;100,"High Freight","Low Freight"),"Not Specified")</f>
        <v>Low Freight</v>
      </c>
      <c r="T1054">
        <f t="shared" si="33"/>
        <v>360</v>
      </c>
    </row>
    <row r="1055" spans="1:20">
      <c r="A1055" s="1">
        <v>10648</v>
      </c>
      <c r="B1055" s="2">
        <v>22</v>
      </c>
      <c r="C1055" s="2">
        <v>21</v>
      </c>
      <c r="D1055" s="2">
        <v>15</v>
      </c>
      <c r="E1055" s="3">
        <v>0</v>
      </c>
      <c r="F1055" s="2" t="str">
        <f>IFERROR(VLOOKUP(VLOOKUP(A1055,'[1]Sales Order'!A:B,2,FALSE),[1]Customer!A:C,3,FALSE),"Not Specified")</f>
        <v>Garden, Euan</v>
      </c>
      <c r="G1055" s="2" t="str">
        <f t="shared" si="32"/>
        <v>Garden Euan</v>
      </c>
      <c r="H1055" s="8" t="str">
        <f>IFERROR(VLOOKUP(VLOOKUP(A1055,'[1]Sales Order'!A:C,3,FALSE),[1]Employee!A:E,5,FALSE)&amp;" "&amp;VLOOKUP(VLOOKUP(A1055,'[1]Sales Order'!A:C,3,FALSE),[1]Employee!A:C,3,FALSE)&amp;" "&amp;VLOOKUP(VLOOKUP(A1055,'[1]Sales Order'!A:C,3,FALSE),[1]Employee!A:B,2,FALSE),"Not Specified")</f>
        <v>Mr. Sven Buck</v>
      </c>
      <c r="I1055">
        <f>IFERROR(VLOOKUP(VLOOKUP(A1055,'[1]Sales Order'!A:C,3,FALSE),[1]Employee!A:J,10,FALSE),"Not Specified")</f>
        <v>0</v>
      </c>
      <c r="J1055" t="str">
        <f>VLOOKUP(B1055,[1]Product!A:B,2,FALSE)</f>
        <v>Product CPHFY</v>
      </c>
      <c r="K1055" t="str">
        <f>VLOOKUP(VLOOKUP(B1055,[1]Product!A:D,4,FALSE),[1]Category!A:B,2,FALSE)</f>
        <v>Grains/Cereals</v>
      </c>
      <c r="L1055" s="10">
        <f>IFERROR(VLOOKUP(A1055,'[1]Sales Order'!A:D,4,FALSE),"")</f>
        <v>39322</v>
      </c>
      <c r="M1055" s="10">
        <f>IFERROR(VLOOKUP(A1055,'[1]Sales Order'!A:F,6,FALSE),"")</f>
        <v>39334</v>
      </c>
      <c r="N1055" t="str">
        <f>IFERROR(VLOOKUP(VLOOKUP(A1055,'[1]Sales Order'!A:G,7,FALSE),[1]Shipper!A:B,2,FALSE),"Not Specified")</f>
        <v>Shipper ETYNR</v>
      </c>
      <c r="O1055" t="str">
        <f>IFERROR(VLOOKUP(A1055,'[1]Sales Order'!A:I,9,FALSE),"Not Specified")</f>
        <v>Ship to 67-C</v>
      </c>
      <c r="P1055" t="str">
        <f>IFERROR(VLOOKUP(A1055,'[1]Sales Order'!A:N,14,FALSE),"Not Specified")</f>
        <v>Brazil</v>
      </c>
      <c r="Q1055" t="str">
        <f>VLOOKUP(VLOOKUP(B1055,[1]Product!A:C,3,FALSE),[1]Supplier!A:B,2,FALSE)</f>
        <v>Supplier QQYEU</v>
      </c>
      <c r="R1055" t="str">
        <f>VLOOKUP(VLOOKUP(B1055,[1]Product!A:C,3,FALSE),[1]Supplier!A:I,9,FALSE)</f>
        <v>Sweden</v>
      </c>
      <c r="S1055" t="str">
        <f>IFERROR(IF(VLOOKUP(A1055,'[1]Sales Order'!A:H,8,FALSE)&gt;100,"High Freight","Low Freight"),"Not Specified")</f>
        <v>Low Freight</v>
      </c>
      <c r="T1055">
        <f t="shared" si="33"/>
        <v>315</v>
      </c>
    </row>
    <row r="1056" spans="1:20">
      <c r="A1056" s="1">
        <v>10648</v>
      </c>
      <c r="B1056" s="2">
        <v>24</v>
      </c>
      <c r="C1056" s="2">
        <v>4.5</v>
      </c>
      <c r="D1056" s="2">
        <v>15</v>
      </c>
      <c r="E1056" s="3">
        <v>0.15</v>
      </c>
      <c r="F1056" s="2" t="str">
        <f>IFERROR(VLOOKUP(VLOOKUP(A1056,'[1]Sales Order'!A:B,2,FALSE),[1]Customer!A:C,3,FALSE),"Not Specified")</f>
        <v>Garden, Euan</v>
      </c>
      <c r="G1056" s="2" t="str">
        <f t="shared" si="32"/>
        <v>Garden Euan</v>
      </c>
      <c r="H1056" s="8" t="str">
        <f>IFERROR(VLOOKUP(VLOOKUP(A1056,'[1]Sales Order'!A:C,3,FALSE),[1]Employee!A:E,5,FALSE)&amp;" "&amp;VLOOKUP(VLOOKUP(A1056,'[1]Sales Order'!A:C,3,FALSE),[1]Employee!A:C,3,FALSE)&amp;" "&amp;VLOOKUP(VLOOKUP(A1056,'[1]Sales Order'!A:C,3,FALSE),[1]Employee!A:B,2,FALSE),"Not Specified")</f>
        <v>Mr. Sven Buck</v>
      </c>
      <c r="I1056">
        <f>IFERROR(VLOOKUP(VLOOKUP(A1056,'[1]Sales Order'!A:C,3,FALSE),[1]Employee!A:J,10,FALSE),"Not Specified")</f>
        <v>0</v>
      </c>
      <c r="J1056" t="str">
        <f>VLOOKUP(B1056,[1]Product!A:B,2,FALSE)</f>
        <v>Product QOGNU</v>
      </c>
      <c r="K1056" t="str">
        <f>VLOOKUP(VLOOKUP(B1056,[1]Product!A:D,4,FALSE),[1]Category!A:B,2,FALSE)</f>
        <v>Beverages</v>
      </c>
      <c r="L1056" s="10">
        <f>IFERROR(VLOOKUP(A1056,'[1]Sales Order'!A:D,4,FALSE),"")</f>
        <v>39322</v>
      </c>
      <c r="M1056" s="10">
        <f>IFERROR(VLOOKUP(A1056,'[1]Sales Order'!A:F,6,FALSE),"")</f>
        <v>39334</v>
      </c>
      <c r="N1056" t="str">
        <f>IFERROR(VLOOKUP(VLOOKUP(A1056,'[1]Sales Order'!A:G,7,FALSE),[1]Shipper!A:B,2,FALSE),"Not Specified")</f>
        <v>Shipper ETYNR</v>
      </c>
      <c r="O1056" t="str">
        <f>IFERROR(VLOOKUP(A1056,'[1]Sales Order'!A:I,9,FALSE),"Not Specified")</f>
        <v>Ship to 67-C</v>
      </c>
      <c r="P1056" t="str">
        <f>IFERROR(VLOOKUP(A1056,'[1]Sales Order'!A:N,14,FALSE),"Not Specified")</f>
        <v>Brazil</v>
      </c>
      <c r="Q1056" t="str">
        <f>VLOOKUP(VLOOKUP(B1056,[1]Product!A:C,3,FALSE),[1]Supplier!A:B,2,FALSE)</f>
        <v>Supplier UNAHG</v>
      </c>
      <c r="R1056" t="str">
        <f>VLOOKUP(VLOOKUP(B1056,[1]Product!A:C,3,FALSE),[1]Supplier!A:I,9,FALSE)</f>
        <v>Brazil</v>
      </c>
      <c r="S1056" t="str">
        <f>IFERROR(IF(VLOOKUP(A1056,'[1]Sales Order'!A:H,8,FALSE)&gt;100,"High Freight","Low Freight"),"Not Specified")</f>
        <v>Low Freight</v>
      </c>
      <c r="T1056">
        <f t="shared" si="33"/>
        <v>57.375</v>
      </c>
    </row>
    <row r="1057" spans="1:20">
      <c r="A1057" s="1">
        <v>10649</v>
      </c>
      <c r="B1057" s="2">
        <v>28</v>
      </c>
      <c r="C1057" s="2">
        <v>45.6</v>
      </c>
      <c r="D1057" s="2">
        <v>20</v>
      </c>
      <c r="E1057" s="3">
        <v>0</v>
      </c>
      <c r="F1057" s="2" t="str">
        <f>IFERROR(VLOOKUP(VLOOKUP(A1057,'[1]Sales Order'!A:B,2,FALSE),[1]Customer!A:C,3,FALSE),"Not Specified")</f>
        <v>Mace, Donald</v>
      </c>
      <c r="G1057" s="2" t="str">
        <f t="shared" si="32"/>
        <v>Mace Donald</v>
      </c>
      <c r="H1057" s="8" t="str">
        <f>IFERROR(VLOOKUP(VLOOKUP(A1057,'[1]Sales Order'!A:C,3,FALSE),[1]Employee!A:E,5,FALSE)&amp;" "&amp;VLOOKUP(VLOOKUP(A1057,'[1]Sales Order'!A:C,3,FALSE),[1]Employee!A:C,3,FALSE)&amp;" "&amp;VLOOKUP(VLOOKUP(A1057,'[1]Sales Order'!A:C,3,FALSE),[1]Employee!A:B,2,FALSE),"Not Specified")</f>
        <v>Mr. Sven Buck</v>
      </c>
      <c r="I1057">
        <f>IFERROR(VLOOKUP(VLOOKUP(A1057,'[1]Sales Order'!A:C,3,FALSE),[1]Employee!A:J,10,FALSE),"Not Specified")</f>
        <v>0</v>
      </c>
      <c r="J1057" t="str">
        <f>VLOOKUP(B1057,[1]Product!A:B,2,FALSE)</f>
        <v>Product OFBNT</v>
      </c>
      <c r="K1057" t="str">
        <f>VLOOKUP(VLOOKUP(B1057,[1]Product!A:D,4,FALSE),[1]Category!A:B,2,FALSE)</f>
        <v>Produce</v>
      </c>
      <c r="L1057" s="10">
        <f>IFERROR(VLOOKUP(A1057,'[1]Sales Order'!A:D,4,FALSE),"")</f>
        <v>39322</v>
      </c>
      <c r="M1057" s="10">
        <f>IFERROR(VLOOKUP(A1057,'[1]Sales Order'!A:F,6,FALSE),"")</f>
        <v>39323</v>
      </c>
      <c r="N1057" t="str">
        <f>IFERROR(VLOOKUP(VLOOKUP(A1057,'[1]Sales Order'!A:G,7,FALSE),[1]Shipper!A:B,2,FALSE),"Not Specified")</f>
        <v>Shipper ZHISN</v>
      </c>
      <c r="O1057" t="str">
        <f>IFERROR(VLOOKUP(A1057,'[1]Sales Order'!A:I,9,FALSE),"Not Specified")</f>
        <v>Ship to 50-B</v>
      </c>
      <c r="P1057" t="str">
        <f>IFERROR(VLOOKUP(A1057,'[1]Sales Order'!A:N,14,FALSE),"Not Specified")</f>
        <v>Belgium</v>
      </c>
      <c r="Q1057" t="str">
        <f>VLOOKUP(VLOOKUP(B1057,[1]Product!A:C,3,FALSE),[1]Supplier!A:B,2,FALSE)</f>
        <v>Supplier SVIYA</v>
      </c>
      <c r="R1057" t="str">
        <f>VLOOKUP(VLOOKUP(B1057,[1]Product!A:C,3,FALSE),[1]Supplier!A:I,9,FALSE)</f>
        <v>Germany</v>
      </c>
      <c r="S1057" t="str">
        <f>IFERROR(IF(VLOOKUP(A1057,'[1]Sales Order'!A:H,8,FALSE)&gt;100,"High Freight","Low Freight"),"Not Specified")</f>
        <v>Low Freight</v>
      </c>
      <c r="T1057">
        <f t="shared" si="33"/>
        <v>912</v>
      </c>
    </row>
    <row r="1058" spans="1:20">
      <c r="A1058" s="1">
        <v>10649</v>
      </c>
      <c r="B1058" s="2">
        <v>72</v>
      </c>
      <c r="C1058" s="2">
        <v>34.799999999999997</v>
      </c>
      <c r="D1058" s="2">
        <v>15</v>
      </c>
      <c r="E1058" s="3">
        <v>0</v>
      </c>
      <c r="F1058" s="2" t="str">
        <f>IFERROR(VLOOKUP(VLOOKUP(A1058,'[1]Sales Order'!A:B,2,FALSE),[1]Customer!A:C,3,FALSE),"Not Specified")</f>
        <v>Mace, Donald</v>
      </c>
      <c r="G1058" s="2" t="str">
        <f t="shared" si="32"/>
        <v>Mace Donald</v>
      </c>
      <c r="H1058" s="8" t="str">
        <f>IFERROR(VLOOKUP(VLOOKUP(A1058,'[1]Sales Order'!A:C,3,FALSE),[1]Employee!A:E,5,FALSE)&amp;" "&amp;VLOOKUP(VLOOKUP(A1058,'[1]Sales Order'!A:C,3,FALSE),[1]Employee!A:C,3,FALSE)&amp;" "&amp;VLOOKUP(VLOOKUP(A1058,'[1]Sales Order'!A:C,3,FALSE),[1]Employee!A:B,2,FALSE),"Not Specified")</f>
        <v>Mr. Sven Buck</v>
      </c>
      <c r="I1058">
        <f>IFERROR(VLOOKUP(VLOOKUP(A1058,'[1]Sales Order'!A:C,3,FALSE),[1]Employee!A:J,10,FALSE),"Not Specified")</f>
        <v>0</v>
      </c>
      <c r="J1058" t="str">
        <f>VLOOKUP(B1058,[1]Product!A:B,2,FALSE)</f>
        <v>Product GEEOO</v>
      </c>
      <c r="K1058" t="str">
        <f>VLOOKUP(VLOOKUP(B1058,[1]Product!A:D,4,FALSE),[1]Category!A:B,2,FALSE)</f>
        <v>Dairy Product</v>
      </c>
      <c r="L1058" s="10">
        <f>IFERROR(VLOOKUP(A1058,'[1]Sales Order'!A:D,4,FALSE),"")</f>
        <v>39322</v>
      </c>
      <c r="M1058" s="10">
        <f>IFERROR(VLOOKUP(A1058,'[1]Sales Order'!A:F,6,FALSE),"")</f>
        <v>39323</v>
      </c>
      <c r="N1058" t="str">
        <f>IFERROR(VLOOKUP(VLOOKUP(A1058,'[1]Sales Order'!A:G,7,FALSE),[1]Shipper!A:B,2,FALSE),"Not Specified")</f>
        <v>Shipper ZHISN</v>
      </c>
      <c r="O1058" t="str">
        <f>IFERROR(VLOOKUP(A1058,'[1]Sales Order'!A:I,9,FALSE),"Not Specified")</f>
        <v>Ship to 50-B</v>
      </c>
      <c r="P1058" t="str">
        <f>IFERROR(VLOOKUP(A1058,'[1]Sales Order'!A:N,14,FALSE),"Not Specified")</f>
        <v>Belgium</v>
      </c>
      <c r="Q1058" t="str">
        <f>VLOOKUP(VLOOKUP(B1058,[1]Product!A:C,3,FALSE),[1]Supplier!A:B,2,FALSE)</f>
        <v>Supplier KEREV</v>
      </c>
      <c r="R1058" t="str">
        <f>VLOOKUP(VLOOKUP(B1058,[1]Product!A:C,3,FALSE),[1]Supplier!A:I,9,FALSE)</f>
        <v>Italy</v>
      </c>
      <c r="S1058" t="str">
        <f>IFERROR(IF(VLOOKUP(A1058,'[1]Sales Order'!A:H,8,FALSE)&gt;100,"High Freight","Low Freight"),"Not Specified")</f>
        <v>Low Freight</v>
      </c>
      <c r="T1058">
        <f t="shared" si="33"/>
        <v>522</v>
      </c>
    </row>
    <row r="1059" spans="1:20">
      <c r="A1059" s="1">
        <v>10650</v>
      </c>
      <c r="B1059" s="2">
        <v>30</v>
      </c>
      <c r="C1059" s="2">
        <v>25.89</v>
      </c>
      <c r="D1059" s="2">
        <v>30</v>
      </c>
      <c r="E1059" s="3">
        <v>0</v>
      </c>
      <c r="F1059" s="2" t="str">
        <f>IFERROR(VLOOKUP(VLOOKUP(A1059,'[1]Sales Order'!A:B,2,FALSE),[1]Customer!A:C,3,FALSE),"Not Specified")</f>
        <v>Russo, Giuseppe</v>
      </c>
      <c r="G1059" s="2" t="str">
        <f t="shared" si="32"/>
        <v>Russo Giuseppe</v>
      </c>
      <c r="H1059" s="8" t="str">
        <f>IFERROR(VLOOKUP(VLOOKUP(A1059,'[1]Sales Order'!A:C,3,FALSE),[1]Employee!A:E,5,FALSE)&amp;" "&amp;VLOOKUP(VLOOKUP(A1059,'[1]Sales Order'!A:C,3,FALSE),[1]Employee!A:C,3,FALSE)&amp;" "&amp;VLOOKUP(VLOOKUP(A1059,'[1]Sales Order'!A:C,3,FALSE),[1]Employee!A:B,2,FALSE),"Not Specified")</f>
        <v>Mr. Sven Buck</v>
      </c>
      <c r="I1059">
        <f>IFERROR(VLOOKUP(VLOOKUP(A1059,'[1]Sales Order'!A:C,3,FALSE),[1]Employee!A:J,10,FALSE),"Not Specified")</f>
        <v>0</v>
      </c>
      <c r="J1059" t="str">
        <f>VLOOKUP(B1059,[1]Product!A:B,2,FALSE)</f>
        <v>Product LYERX</v>
      </c>
      <c r="K1059" t="str">
        <f>VLOOKUP(VLOOKUP(B1059,[1]Product!A:D,4,FALSE),[1]Category!A:B,2,FALSE)</f>
        <v>Seafood</v>
      </c>
      <c r="L1059" s="10">
        <f>IFERROR(VLOOKUP(A1059,'[1]Sales Order'!A:D,4,FALSE),"")</f>
        <v>39323</v>
      </c>
      <c r="M1059" s="10">
        <f>IFERROR(VLOOKUP(A1059,'[1]Sales Order'!A:F,6,FALSE),"")</f>
        <v>39328</v>
      </c>
      <c r="N1059" t="str">
        <f>IFERROR(VLOOKUP(VLOOKUP(A1059,'[1]Sales Order'!A:G,7,FALSE),[1]Shipper!A:B,2,FALSE),"Not Specified")</f>
        <v>Shipper ZHISN</v>
      </c>
      <c r="O1059" t="str">
        <f>IFERROR(VLOOKUP(A1059,'[1]Sales Order'!A:I,9,FALSE),"Not Specified")</f>
        <v>Destination SSYXZ</v>
      </c>
      <c r="P1059" t="str">
        <f>IFERROR(VLOOKUP(A1059,'[1]Sales Order'!A:N,14,FALSE),"Not Specified")</f>
        <v>Brazil</v>
      </c>
      <c r="Q1059" t="str">
        <f>VLOOKUP(VLOOKUP(B1059,[1]Product!A:C,3,FALSE),[1]Supplier!A:B,2,FALSE)</f>
        <v>Supplier TEGSC</v>
      </c>
      <c r="R1059" t="str">
        <f>VLOOKUP(VLOOKUP(B1059,[1]Product!A:C,3,FALSE),[1]Supplier!A:I,9,FALSE)</f>
        <v>Germany</v>
      </c>
      <c r="S1059" t="str">
        <f>IFERROR(IF(VLOOKUP(A1059,'[1]Sales Order'!A:H,8,FALSE)&gt;100,"High Freight","Low Freight"),"Not Specified")</f>
        <v>High Freight</v>
      </c>
      <c r="T1059">
        <f t="shared" si="33"/>
        <v>776.7</v>
      </c>
    </row>
    <row r="1060" spans="1:20">
      <c r="A1060" s="1">
        <v>10650</v>
      </c>
      <c r="B1060" s="2">
        <v>53</v>
      </c>
      <c r="C1060" s="2">
        <v>32.799999999999997</v>
      </c>
      <c r="D1060" s="2">
        <v>25</v>
      </c>
      <c r="E1060" s="3">
        <v>0.05</v>
      </c>
      <c r="F1060" s="2" t="str">
        <f>IFERROR(VLOOKUP(VLOOKUP(A1060,'[1]Sales Order'!A:B,2,FALSE),[1]Customer!A:C,3,FALSE),"Not Specified")</f>
        <v>Russo, Giuseppe</v>
      </c>
      <c r="G1060" s="2" t="str">
        <f t="shared" si="32"/>
        <v>Russo Giuseppe</v>
      </c>
      <c r="H1060" s="8" t="str">
        <f>IFERROR(VLOOKUP(VLOOKUP(A1060,'[1]Sales Order'!A:C,3,FALSE),[1]Employee!A:E,5,FALSE)&amp;" "&amp;VLOOKUP(VLOOKUP(A1060,'[1]Sales Order'!A:C,3,FALSE),[1]Employee!A:C,3,FALSE)&amp;" "&amp;VLOOKUP(VLOOKUP(A1060,'[1]Sales Order'!A:C,3,FALSE),[1]Employee!A:B,2,FALSE),"Not Specified")</f>
        <v>Mr. Sven Buck</v>
      </c>
      <c r="I1060">
        <f>IFERROR(VLOOKUP(VLOOKUP(A1060,'[1]Sales Order'!A:C,3,FALSE),[1]Employee!A:J,10,FALSE),"Not Specified")</f>
        <v>0</v>
      </c>
      <c r="J1060" t="str">
        <f>VLOOKUP(B1060,[1]Product!A:B,2,FALSE)</f>
        <v>Product BKGEA</v>
      </c>
      <c r="K1060" t="str">
        <f>VLOOKUP(VLOOKUP(B1060,[1]Product!A:D,4,FALSE),[1]Category!A:B,2,FALSE)</f>
        <v>Meat/Poultry</v>
      </c>
      <c r="L1060" s="10">
        <f>IFERROR(VLOOKUP(A1060,'[1]Sales Order'!A:D,4,FALSE),"")</f>
        <v>39323</v>
      </c>
      <c r="M1060" s="10">
        <f>IFERROR(VLOOKUP(A1060,'[1]Sales Order'!A:F,6,FALSE),"")</f>
        <v>39328</v>
      </c>
      <c r="N1060" t="str">
        <f>IFERROR(VLOOKUP(VLOOKUP(A1060,'[1]Sales Order'!A:G,7,FALSE),[1]Shipper!A:B,2,FALSE),"Not Specified")</f>
        <v>Shipper ZHISN</v>
      </c>
      <c r="O1060" t="str">
        <f>IFERROR(VLOOKUP(A1060,'[1]Sales Order'!A:I,9,FALSE),"Not Specified")</f>
        <v>Destination SSYXZ</v>
      </c>
      <c r="P1060" t="str">
        <f>IFERROR(VLOOKUP(A1060,'[1]Sales Order'!A:N,14,FALSE),"Not Specified")</f>
        <v>Brazil</v>
      </c>
      <c r="Q1060" t="str">
        <f>VLOOKUP(VLOOKUP(B1060,[1]Product!A:C,3,FALSE),[1]Supplier!A:B,2,FALSE)</f>
        <v>Supplier JNNES</v>
      </c>
      <c r="R1060" t="str">
        <f>VLOOKUP(VLOOKUP(B1060,[1]Product!A:C,3,FALSE),[1]Supplier!A:I,9,FALSE)</f>
        <v>Australia</v>
      </c>
      <c r="S1060" t="str">
        <f>IFERROR(IF(VLOOKUP(A1060,'[1]Sales Order'!A:H,8,FALSE)&gt;100,"High Freight","Low Freight"),"Not Specified")</f>
        <v>High Freight</v>
      </c>
      <c r="T1060">
        <f t="shared" si="33"/>
        <v>778.99999999999989</v>
      </c>
    </row>
    <row r="1061" spans="1:20">
      <c r="A1061" s="1">
        <v>10650</v>
      </c>
      <c r="B1061" s="2">
        <v>54</v>
      </c>
      <c r="C1061" s="2">
        <v>7.45</v>
      </c>
      <c r="D1061" s="2">
        <v>30</v>
      </c>
      <c r="E1061" s="3">
        <v>0</v>
      </c>
      <c r="F1061" s="2" t="str">
        <f>IFERROR(VLOOKUP(VLOOKUP(A1061,'[1]Sales Order'!A:B,2,FALSE),[1]Customer!A:C,3,FALSE),"Not Specified")</f>
        <v>Russo, Giuseppe</v>
      </c>
      <c r="G1061" s="2" t="str">
        <f t="shared" si="32"/>
        <v>Russo Giuseppe</v>
      </c>
      <c r="H1061" s="8" t="str">
        <f>IFERROR(VLOOKUP(VLOOKUP(A1061,'[1]Sales Order'!A:C,3,FALSE),[1]Employee!A:E,5,FALSE)&amp;" "&amp;VLOOKUP(VLOOKUP(A1061,'[1]Sales Order'!A:C,3,FALSE),[1]Employee!A:C,3,FALSE)&amp;" "&amp;VLOOKUP(VLOOKUP(A1061,'[1]Sales Order'!A:C,3,FALSE),[1]Employee!A:B,2,FALSE),"Not Specified")</f>
        <v>Mr. Sven Buck</v>
      </c>
      <c r="I1061">
        <f>IFERROR(VLOOKUP(VLOOKUP(A1061,'[1]Sales Order'!A:C,3,FALSE),[1]Employee!A:J,10,FALSE),"Not Specified")</f>
        <v>0</v>
      </c>
      <c r="J1061" t="str">
        <f>VLOOKUP(B1061,[1]Product!A:B,2,FALSE)</f>
        <v>Product QAQRL</v>
      </c>
      <c r="K1061" t="str">
        <f>VLOOKUP(VLOOKUP(B1061,[1]Product!A:D,4,FALSE),[1]Category!A:B,2,FALSE)</f>
        <v>Meat/Poultry</v>
      </c>
      <c r="L1061" s="10">
        <f>IFERROR(VLOOKUP(A1061,'[1]Sales Order'!A:D,4,FALSE),"")</f>
        <v>39323</v>
      </c>
      <c r="M1061" s="10">
        <f>IFERROR(VLOOKUP(A1061,'[1]Sales Order'!A:F,6,FALSE),"")</f>
        <v>39328</v>
      </c>
      <c r="N1061" t="str">
        <f>IFERROR(VLOOKUP(VLOOKUP(A1061,'[1]Sales Order'!A:G,7,FALSE),[1]Shipper!A:B,2,FALSE),"Not Specified")</f>
        <v>Shipper ZHISN</v>
      </c>
      <c r="O1061" t="str">
        <f>IFERROR(VLOOKUP(A1061,'[1]Sales Order'!A:I,9,FALSE),"Not Specified")</f>
        <v>Destination SSYXZ</v>
      </c>
      <c r="P1061" t="str">
        <f>IFERROR(VLOOKUP(A1061,'[1]Sales Order'!A:N,14,FALSE),"Not Specified")</f>
        <v>Brazil</v>
      </c>
      <c r="Q1061" t="str">
        <f>VLOOKUP(VLOOKUP(B1061,[1]Product!A:C,3,FALSE),[1]Supplier!A:B,2,FALSE)</f>
        <v>Supplier ERVYZ</v>
      </c>
      <c r="R1061" t="str">
        <f>VLOOKUP(VLOOKUP(B1061,[1]Product!A:C,3,FALSE),[1]Supplier!A:I,9,FALSE)</f>
        <v>Canada</v>
      </c>
      <c r="S1061" t="str">
        <f>IFERROR(IF(VLOOKUP(A1061,'[1]Sales Order'!A:H,8,FALSE)&gt;100,"High Freight","Low Freight"),"Not Specified")</f>
        <v>High Freight</v>
      </c>
      <c r="T1061">
        <f t="shared" si="33"/>
        <v>223.5</v>
      </c>
    </row>
    <row r="1062" spans="1:20">
      <c r="A1062" s="1">
        <v>10651</v>
      </c>
      <c r="B1062" s="2">
        <v>19</v>
      </c>
      <c r="C1062" s="2">
        <v>9.1999999999999993</v>
      </c>
      <c r="D1062" s="2">
        <v>12</v>
      </c>
      <c r="E1062" s="3">
        <v>0.25</v>
      </c>
      <c r="F1062" s="2" t="str">
        <f>IFERROR(VLOOKUP(VLOOKUP(A1062,'[1]Sales Order'!A:B,2,FALSE),[1]Customer!A:C,3,FALSE),"Not Specified")</f>
        <v>Syamala, Manoj</v>
      </c>
      <c r="G1062" s="2" t="str">
        <f t="shared" si="32"/>
        <v>Syamala Manoj</v>
      </c>
      <c r="H1062" s="8" t="str">
        <f>IFERROR(VLOOKUP(VLOOKUP(A1062,'[1]Sales Order'!A:C,3,FALSE),[1]Employee!A:E,5,FALSE)&amp;" "&amp;VLOOKUP(VLOOKUP(A1062,'[1]Sales Order'!A:C,3,FALSE),[1]Employee!A:C,3,FALSE)&amp;" "&amp;VLOOKUP(VLOOKUP(A1062,'[1]Sales Order'!A:C,3,FALSE),[1]Employee!A:B,2,FALSE),"Not Specified")</f>
        <v>Ms. Maria Cameron</v>
      </c>
      <c r="I1062" t="str">
        <f>IFERROR(VLOOKUP(VLOOKUP(A1062,'[1]Sales Order'!A:C,3,FALSE),[1]Employee!A:J,10,FALSE),"Not Specified")</f>
        <v>WA</v>
      </c>
      <c r="J1062" t="str">
        <f>VLOOKUP(B1062,[1]Product!A:B,2,FALSE)</f>
        <v>Product XKXDO</v>
      </c>
      <c r="K1062" t="str">
        <f>VLOOKUP(VLOOKUP(B1062,[1]Product!A:D,4,FALSE),[1]Category!A:B,2,FALSE)</f>
        <v>Confections</v>
      </c>
      <c r="L1062" s="10">
        <f>IFERROR(VLOOKUP(A1062,'[1]Sales Order'!A:D,4,FALSE),"")</f>
        <v>39326</v>
      </c>
      <c r="M1062" s="10">
        <f>IFERROR(VLOOKUP(A1062,'[1]Sales Order'!A:F,6,FALSE),"")</f>
        <v>39336</v>
      </c>
      <c r="N1062" t="str">
        <f>IFERROR(VLOOKUP(VLOOKUP(A1062,'[1]Sales Order'!A:G,7,FALSE),[1]Shipper!A:B,2,FALSE),"Not Specified")</f>
        <v>Shipper ETYNR</v>
      </c>
      <c r="O1062" t="str">
        <f>IFERROR(VLOOKUP(A1062,'[1]Sales Order'!A:I,9,FALSE),"Not Specified")</f>
        <v>Ship to 86-A</v>
      </c>
      <c r="P1062" t="str">
        <f>IFERROR(VLOOKUP(A1062,'[1]Sales Order'!A:N,14,FALSE),"Not Specified")</f>
        <v>Germany</v>
      </c>
      <c r="Q1062" t="str">
        <f>VLOOKUP(VLOOKUP(B1062,[1]Product!A:C,3,FALSE),[1]Supplier!A:B,2,FALSE)</f>
        <v>Supplier BWGYE</v>
      </c>
      <c r="R1062" t="str">
        <f>VLOOKUP(VLOOKUP(B1062,[1]Product!A:C,3,FALSE),[1]Supplier!A:I,9,FALSE)</f>
        <v>UK</v>
      </c>
      <c r="S1062" t="str">
        <f>IFERROR(IF(VLOOKUP(A1062,'[1]Sales Order'!A:H,8,FALSE)&gt;100,"High Freight","Low Freight"),"Not Specified")</f>
        <v>Low Freight</v>
      </c>
      <c r="T1062">
        <f t="shared" si="33"/>
        <v>82.8</v>
      </c>
    </row>
    <row r="1063" spans="1:20">
      <c r="A1063" s="1">
        <v>10651</v>
      </c>
      <c r="B1063" s="2">
        <v>22</v>
      </c>
      <c r="C1063" s="2">
        <v>21</v>
      </c>
      <c r="D1063" s="2">
        <v>20</v>
      </c>
      <c r="E1063" s="3">
        <v>0.25</v>
      </c>
      <c r="F1063" s="2" t="str">
        <f>IFERROR(VLOOKUP(VLOOKUP(A1063,'[1]Sales Order'!A:B,2,FALSE),[1]Customer!A:C,3,FALSE),"Not Specified")</f>
        <v>Syamala, Manoj</v>
      </c>
      <c r="G1063" s="2" t="str">
        <f t="shared" si="32"/>
        <v>Syamala Manoj</v>
      </c>
      <c r="H1063" s="8" t="str">
        <f>IFERROR(VLOOKUP(VLOOKUP(A1063,'[1]Sales Order'!A:C,3,FALSE),[1]Employee!A:E,5,FALSE)&amp;" "&amp;VLOOKUP(VLOOKUP(A1063,'[1]Sales Order'!A:C,3,FALSE),[1]Employee!A:C,3,FALSE)&amp;" "&amp;VLOOKUP(VLOOKUP(A1063,'[1]Sales Order'!A:C,3,FALSE),[1]Employee!A:B,2,FALSE),"Not Specified")</f>
        <v>Ms. Maria Cameron</v>
      </c>
      <c r="I1063" t="str">
        <f>IFERROR(VLOOKUP(VLOOKUP(A1063,'[1]Sales Order'!A:C,3,FALSE),[1]Employee!A:J,10,FALSE),"Not Specified")</f>
        <v>WA</v>
      </c>
      <c r="J1063" t="str">
        <f>VLOOKUP(B1063,[1]Product!A:B,2,FALSE)</f>
        <v>Product CPHFY</v>
      </c>
      <c r="K1063" t="str">
        <f>VLOOKUP(VLOOKUP(B1063,[1]Product!A:D,4,FALSE),[1]Category!A:B,2,FALSE)</f>
        <v>Grains/Cereals</v>
      </c>
      <c r="L1063" s="10">
        <f>IFERROR(VLOOKUP(A1063,'[1]Sales Order'!A:D,4,FALSE),"")</f>
        <v>39326</v>
      </c>
      <c r="M1063" s="10">
        <f>IFERROR(VLOOKUP(A1063,'[1]Sales Order'!A:F,6,FALSE),"")</f>
        <v>39336</v>
      </c>
      <c r="N1063" t="str">
        <f>IFERROR(VLOOKUP(VLOOKUP(A1063,'[1]Sales Order'!A:G,7,FALSE),[1]Shipper!A:B,2,FALSE),"Not Specified")</f>
        <v>Shipper ETYNR</v>
      </c>
      <c r="O1063" t="str">
        <f>IFERROR(VLOOKUP(A1063,'[1]Sales Order'!A:I,9,FALSE),"Not Specified")</f>
        <v>Ship to 86-A</v>
      </c>
      <c r="P1063" t="str">
        <f>IFERROR(VLOOKUP(A1063,'[1]Sales Order'!A:N,14,FALSE),"Not Specified")</f>
        <v>Germany</v>
      </c>
      <c r="Q1063" t="str">
        <f>VLOOKUP(VLOOKUP(B1063,[1]Product!A:C,3,FALSE),[1]Supplier!A:B,2,FALSE)</f>
        <v>Supplier QQYEU</v>
      </c>
      <c r="R1063" t="str">
        <f>VLOOKUP(VLOOKUP(B1063,[1]Product!A:C,3,FALSE),[1]Supplier!A:I,9,FALSE)</f>
        <v>Sweden</v>
      </c>
      <c r="S1063" t="str">
        <f>IFERROR(IF(VLOOKUP(A1063,'[1]Sales Order'!A:H,8,FALSE)&gt;100,"High Freight","Low Freight"),"Not Specified")</f>
        <v>Low Freight</v>
      </c>
      <c r="T1063">
        <f t="shared" si="33"/>
        <v>315</v>
      </c>
    </row>
    <row r="1064" spans="1:20">
      <c r="A1064" s="1">
        <v>10652</v>
      </c>
      <c r="B1064" s="2">
        <v>30</v>
      </c>
      <c r="C1064" s="2">
        <v>25.89</v>
      </c>
      <c r="D1064" s="2">
        <v>2</v>
      </c>
      <c r="E1064" s="3">
        <v>0.25</v>
      </c>
      <c r="F1064" s="2" t="str">
        <f>IFERROR(VLOOKUP(VLOOKUP(A1064,'[1]Sales Order'!A:B,2,FALSE),[1]Customer!A:C,3,FALSE),"Not Specified")</f>
        <v>Cheng, Yao-Qiang</v>
      </c>
      <c r="G1064" s="2" t="str">
        <f t="shared" si="32"/>
        <v>Cheng Yao-Qiang</v>
      </c>
      <c r="H1064" s="8" t="str">
        <f>IFERROR(VLOOKUP(VLOOKUP(A1064,'[1]Sales Order'!A:C,3,FALSE),[1]Employee!A:E,5,FALSE)&amp;" "&amp;VLOOKUP(VLOOKUP(A1064,'[1]Sales Order'!A:C,3,FALSE),[1]Employee!A:C,3,FALSE)&amp;" "&amp;VLOOKUP(VLOOKUP(A1064,'[1]Sales Order'!A:C,3,FALSE),[1]Employee!A:B,2,FALSE),"Not Specified")</f>
        <v>Mrs. Yael Peled</v>
      </c>
      <c r="I1064" t="str">
        <f>IFERROR(VLOOKUP(VLOOKUP(A1064,'[1]Sales Order'!A:C,3,FALSE),[1]Employee!A:J,10,FALSE),"Not Specified")</f>
        <v>WA</v>
      </c>
      <c r="J1064" t="str">
        <f>VLOOKUP(B1064,[1]Product!A:B,2,FALSE)</f>
        <v>Product LYERX</v>
      </c>
      <c r="K1064" t="str">
        <f>VLOOKUP(VLOOKUP(B1064,[1]Product!A:D,4,FALSE),[1]Category!A:B,2,FALSE)</f>
        <v>Seafood</v>
      </c>
      <c r="L1064" s="10">
        <f>IFERROR(VLOOKUP(A1064,'[1]Sales Order'!A:D,4,FALSE),"")</f>
        <v>39326</v>
      </c>
      <c r="M1064" s="10">
        <f>IFERROR(VLOOKUP(A1064,'[1]Sales Order'!A:F,6,FALSE),"")</f>
        <v>39333</v>
      </c>
      <c r="N1064" t="str">
        <f>IFERROR(VLOOKUP(VLOOKUP(A1064,'[1]Sales Order'!A:G,7,FALSE),[1]Shipper!A:B,2,FALSE),"Not Specified")</f>
        <v>Shipper ETYNR</v>
      </c>
      <c r="O1064" t="str">
        <f>IFERROR(VLOOKUP(A1064,'[1]Sales Order'!A:I,9,FALSE),"Not Specified")</f>
        <v>Destination VNIAG</v>
      </c>
      <c r="P1064" t="str">
        <f>IFERROR(VLOOKUP(A1064,'[1]Sales Order'!A:N,14,FALSE),"Not Specified")</f>
        <v>Brazil</v>
      </c>
      <c r="Q1064" t="str">
        <f>VLOOKUP(VLOOKUP(B1064,[1]Product!A:C,3,FALSE),[1]Supplier!A:B,2,FALSE)</f>
        <v>Supplier TEGSC</v>
      </c>
      <c r="R1064" t="str">
        <f>VLOOKUP(VLOOKUP(B1064,[1]Product!A:C,3,FALSE),[1]Supplier!A:I,9,FALSE)</f>
        <v>Germany</v>
      </c>
      <c r="S1064" t="str">
        <f>IFERROR(IF(VLOOKUP(A1064,'[1]Sales Order'!A:H,8,FALSE)&gt;100,"High Freight","Low Freight"),"Not Specified")</f>
        <v>Low Freight</v>
      </c>
      <c r="T1064">
        <f t="shared" si="33"/>
        <v>38.835000000000001</v>
      </c>
    </row>
    <row r="1065" spans="1:20">
      <c r="A1065" s="1">
        <v>10652</v>
      </c>
      <c r="B1065" s="2">
        <v>42</v>
      </c>
      <c r="C1065" s="2">
        <v>14</v>
      </c>
      <c r="D1065" s="2">
        <v>20</v>
      </c>
      <c r="E1065" s="3">
        <v>0</v>
      </c>
      <c r="F1065" s="2" t="str">
        <f>IFERROR(VLOOKUP(VLOOKUP(A1065,'[1]Sales Order'!A:B,2,FALSE),[1]Customer!A:C,3,FALSE),"Not Specified")</f>
        <v>Cheng, Yao-Qiang</v>
      </c>
      <c r="G1065" s="2" t="str">
        <f t="shared" si="32"/>
        <v>Cheng Yao-Qiang</v>
      </c>
      <c r="H1065" s="8" t="str">
        <f>IFERROR(VLOOKUP(VLOOKUP(A1065,'[1]Sales Order'!A:C,3,FALSE),[1]Employee!A:E,5,FALSE)&amp;" "&amp;VLOOKUP(VLOOKUP(A1065,'[1]Sales Order'!A:C,3,FALSE),[1]Employee!A:C,3,FALSE)&amp;" "&amp;VLOOKUP(VLOOKUP(A1065,'[1]Sales Order'!A:C,3,FALSE),[1]Employee!A:B,2,FALSE),"Not Specified")</f>
        <v>Mrs. Yael Peled</v>
      </c>
      <c r="I1065" t="str">
        <f>IFERROR(VLOOKUP(VLOOKUP(A1065,'[1]Sales Order'!A:C,3,FALSE),[1]Employee!A:J,10,FALSE),"Not Specified")</f>
        <v>WA</v>
      </c>
      <c r="J1065" t="str">
        <f>VLOOKUP(B1065,[1]Product!A:B,2,FALSE)</f>
        <v>Product RJVNM</v>
      </c>
      <c r="K1065" t="str">
        <f>VLOOKUP(VLOOKUP(B1065,[1]Product!A:D,4,FALSE),[1]Category!A:B,2,FALSE)</f>
        <v>Grains/Cereals</v>
      </c>
      <c r="L1065" s="10">
        <f>IFERROR(VLOOKUP(A1065,'[1]Sales Order'!A:D,4,FALSE),"")</f>
        <v>39326</v>
      </c>
      <c r="M1065" s="10">
        <f>IFERROR(VLOOKUP(A1065,'[1]Sales Order'!A:F,6,FALSE),"")</f>
        <v>39333</v>
      </c>
      <c r="N1065" t="str">
        <f>IFERROR(VLOOKUP(VLOOKUP(A1065,'[1]Sales Order'!A:G,7,FALSE),[1]Shipper!A:B,2,FALSE),"Not Specified")</f>
        <v>Shipper ETYNR</v>
      </c>
      <c r="O1065" t="str">
        <f>IFERROR(VLOOKUP(A1065,'[1]Sales Order'!A:I,9,FALSE),"Not Specified")</f>
        <v>Destination VNIAG</v>
      </c>
      <c r="P1065" t="str">
        <f>IFERROR(VLOOKUP(A1065,'[1]Sales Order'!A:N,14,FALSE),"Not Specified")</f>
        <v>Brazil</v>
      </c>
      <c r="Q1065" t="str">
        <f>VLOOKUP(VLOOKUP(B1065,[1]Product!A:C,3,FALSE),[1]Supplier!A:B,2,FALSE)</f>
        <v>Supplier CIYNM</v>
      </c>
      <c r="R1065" t="str">
        <f>VLOOKUP(VLOOKUP(B1065,[1]Product!A:C,3,FALSE),[1]Supplier!A:I,9,FALSE)</f>
        <v>Singapore</v>
      </c>
      <c r="S1065" t="str">
        <f>IFERROR(IF(VLOOKUP(A1065,'[1]Sales Order'!A:H,8,FALSE)&gt;100,"High Freight","Low Freight"),"Not Specified")</f>
        <v>Low Freight</v>
      </c>
      <c r="T1065">
        <f t="shared" si="33"/>
        <v>280</v>
      </c>
    </row>
    <row r="1066" spans="1:20">
      <c r="A1066" s="1">
        <v>10653</v>
      </c>
      <c r="B1066" s="2">
        <v>16</v>
      </c>
      <c r="C1066" s="2">
        <v>17.45</v>
      </c>
      <c r="D1066" s="2">
        <v>30</v>
      </c>
      <c r="E1066" s="3">
        <v>0.1</v>
      </c>
      <c r="F1066" s="2" t="str">
        <f>IFERROR(VLOOKUP(VLOOKUP(A1066,'[1]Sales Order'!A:B,2,FALSE),[1]Customer!A:C,3,FALSE),"Not Specified")</f>
        <v>Carlson, Jason</v>
      </c>
      <c r="G1066" s="2" t="str">
        <f t="shared" si="32"/>
        <v>Carlson Jason</v>
      </c>
      <c r="H1066" s="8" t="str">
        <f>IFERROR(VLOOKUP(VLOOKUP(A1066,'[1]Sales Order'!A:C,3,FALSE),[1]Employee!A:E,5,FALSE)&amp;" "&amp;VLOOKUP(VLOOKUP(A1066,'[1]Sales Order'!A:C,3,FALSE),[1]Employee!A:C,3,FALSE)&amp;" "&amp;VLOOKUP(VLOOKUP(A1066,'[1]Sales Order'!A:C,3,FALSE),[1]Employee!A:B,2,FALSE),"Not Specified")</f>
        <v>Ms. Sara Davis</v>
      </c>
      <c r="I1066" t="str">
        <f>IFERROR(VLOOKUP(VLOOKUP(A1066,'[1]Sales Order'!A:C,3,FALSE),[1]Employee!A:J,10,FALSE),"Not Specified")</f>
        <v>WA</v>
      </c>
      <c r="J1066" t="str">
        <f>VLOOKUP(B1066,[1]Product!A:B,2,FALSE)</f>
        <v>Product PAFRH</v>
      </c>
      <c r="K1066" t="str">
        <f>VLOOKUP(VLOOKUP(B1066,[1]Product!A:D,4,FALSE),[1]Category!A:B,2,FALSE)</f>
        <v>Confections</v>
      </c>
      <c r="L1066" s="10">
        <f>IFERROR(VLOOKUP(A1066,'[1]Sales Order'!A:D,4,FALSE),"")</f>
        <v>39327</v>
      </c>
      <c r="M1066" s="10">
        <f>IFERROR(VLOOKUP(A1066,'[1]Sales Order'!A:F,6,FALSE),"")</f>
        <v>39344</v>
      </c>
      <c r="N1066" t="str">
        <f>IFERROR(VLOOKUP(VLOOKUP(A1066,'[1]Sales Order'!A:G,7,FALSE),[1]Shipper!A:B,2,FALSE),"Not Specified")</f>
        <v>Shipper GVSUA</v>
      </c>
      <c r="O1066" t="str">
        <f>IFERROR(VLOOKUP(A1066,'[1]Sales Order'!A:I,9,FALSE),"Not Specified")</f>
        <v>Destination QOCBL</v>
      </c>
      <c r="P1066" t="str">
        <f>IFERROR(VLOOKUP(A1066,'[1]Sales Order'!A:N,14,FALSE),"Not Specified")</f>
        <v>Germany</v>
      </c>
      <c r="Q1066" t="str">
        <f>VLOOKUP(VLOOKUP(B1066,[1]Product!A:C,3,FALSE),[1]Supplier!A:B,2,FALSE)</f>
        <v>Supplier GQRCV</v>
      </c>
      <c r="R1066" t="str">
        <f>VLOOKUP(VLOOKUP(B1066,[1]Product!A:C,3,FALSE),[1]Supplier!A:I,9,FALSE)</f>
        <v>Australia</v>
      </c>
      <c r="S1066" t="str">
        <f>IFERROR(IF(VLOOKUP(A1066,'[1]Sales Order'!A:H,8,FALSE)&gt;100,"High Freight","Low Freight"),"Not Specified")</f>
        <v>Low Freight</v>
      </c>
      <c r="T1066">
        <f t="shared" si="33"/>
        <v>471.15000000000003</v>
      </c>
    </row>
    <row r="1067" spans="1:20">
      <c r="A1067" s="1">
        <v>10653</v>
      </c>
      <c r="B1067" s="2">
        <v>60</v>
      </c>
      <c r="C1067" s="2">
        <v>34</v>
      </c>
      <c r="D1067" s="2">
        <v>20</v>
      </c>
      <c r="E1067" s="3">
        <v>0.1</v>
      </c>
      <c r="F1067" s="2" t="str">
        <f>IFERROR(VLOOKUP(VLOOKUP(A1067,'[1]Sales Order'!A:B,2,FALSE),[1]Customer!A:C,3,FALSE),"Not Specified")</f>
        <v>Carlson, Jason</v>
      </c>
      <c r="G1067" s="2" t="str">
        <f t="shared" si="32"/>
        <v>Carlson Jason</v>
      </c>
      <c r="H1067" s="8" t="str">
        <f>IFERROR(VLOOKUP(VLOOKUP(A1067,'[1]Sales Order'!A:C,3,FALSE),[1]Employee!A:E,5,FALSE)&amp;" "&amp;VLOOKUP(VLOOKUP(A1067,'[1]Sales Order'!A:C,3,FALSE),[1]Employee!A:C,3,FALSE)&amp;" "&amp;VLOOKUP(VLOOKUP(A1067,'[1]Sales Order'!A:C,3,FALSE),[1]Employee!A:B,2,FALSE),"Not Specified")</f>
        <v>Ms. Sara Davis</v>
      </c>
      <c r="I1067" t="str">
        <f>IFERROR(VLOOKUP(VLOOKUP(A1067,'[1]Sales Order'!A:C,3,FALSE),[1]Employee!A:J,10,FALSE),"Not Specified")</f>
        <v>WA</v>
      </c>
      <c r="J1067" t="str">
        <f>VLOOKUP(B1067,[1]Product!A:B,2,FALSE)</f>
        <v>Product WHBYK</v>
      </c>
      <c r="K1067" t="str">
        <f>VLOOKUP(VLOOKUP(B1067,[1]Product!A:D,4,FALSE),[1]Category!A:B,2,FALSE)</f>
        <v>Dairy Product</v>
      </c>
      <c r="L1067" s="10">
        <f>IFERROR(VLOOKUP(A1067,'[1]Sales Order'!A:D,4,FALSE),"")</f>
        <v>39327</v>
      </c>
      <c r="M1067" s="10">
        <f>IFERROR(VLOOKUP(A1067,'[1]Sales Order'!A:F,6,FALSE),"")</f>
        <v>39344</v>
      </c>
      <c r="N1067" t="str">
        <f>IFERROR(VLOOKUP(VLOOKUP(A1067,'[1]Sales Order'!A:G,7,FALSE),[1]Shipper!A:B,2,FALSE),"Not Specified")</f>
        <v>Shipper GVSUA</v>
      </c>
      <c r="O1067" t="str">
        <f>IFERROR(VLOOKUP(A1067,'[1]Sales Order'!A:I,9,FALSE),"Not Specified")</f>
        <v>Destination QOCBL</v>
      </c>
      <c r="P1067" t="str">
        <f>IFERROR(VLOOKUP(A1067,'[1]Sales Order'!A:N,14,FALSE),"Not Specified")</f>
        <v>Germany</v>
      </c>
      <c r="Q1067" t="str">
        <f>VLOOKUP(VLOOKUP(B1067,[1]Product!A:C,3,FALSE),[1]Supplier!A:B,2,FALSE)</f>
        <v>Supplier OAVQT</v>
      </c>
      <c r="R1067" t="str">
        <f>VLOOKUP(VLOOKUP(B1067,[1]Product!A:C,3,FALSE),[1]Supplier!A:I,9,FALSE)</f>
        <v>France</v>
      </c>
      <c r="S1067" t="str">
        <f>IFERROR(IF(VLOOKUP(A1067,'[1]Sales Order'!A:H,8,FALSE)&gt;100,"High Freight","Low Freight"),"Not Specified")</f>
        <v>Low Freight</v>
      </c>
      <c r="T1067">
        <f t="shared" si="33"/>
        <v>612</v>
      </c>
    </row>
    <row r="1068" spans="1:20">
      <c r="A1068" s="1">
        <v>10654</v>
      </c>
      <c r="B1068" s="2">
        <v>4</v>
      </c>
      <c r="C1068" s="2">
        <v>22</v>
      </c>
      <c r="D1068" s="2">
        <v>12</v>
      </c>
      <c r="E1068" s="3">
        <v>0.1</v>
      </c>
      <c r="F1068" s="2" t="str">
        <f>IFERROR(VLOOKUP(VLOOKUP(A1068,'[1]Sales Order'!A:B,2,FALSE),[1]Customer!A:C,3,FALSE),"Not Specified")</f>
        <v>Higginbotham, Tom</v>
      </c>
      <c r="G1068" s="2" t="str">
        <f t="shared" si="32"/>
        <v>Higginbotham Tom</v>
      </c>
      <c r="H1068" s="8" t="str">
        <f>IFERROR(VLOOKUP(VLOOKUP(A1068,'[1]Sales Order'!A:C,3,FALSE),[1]Employee!A:E,5,FALSE)&amp;" "&amp;VLOOKUP(VLOOKUP(A1068,'[1]Sales Order'!A:C,3,FALSE),[1]Employee!A:C,3,FALSE)&amp;" "&amp;VLOOKUP(VLOOKUP(A1068,'[1]Sales Order'!A:C,3,FALSE),[1]Employee!A:B,2,FALSE),"Not Specified")</f>
        <v>Mr. Sven Buck</v>
      </c>
      <c r="I1068">
        <f>IFERROR(VLOOKUP(VLOOKUP(A1068,'[1]Sales Order'!A:C,3,FALSE),[1]Employee!A:J,10,FALSE),"Not Specified")</f>
        <v>0</v>
      </c>
      <c r="J1068" t="str">
        <f>VLOOKUP(B1068,[1]Product!A:B,2,FALSE)</f>
        <v>Product KSBRM</v>
      </c>
      <c r="K1068" t="str">
        <f>VLOOKUP(VLOOKUP(B1068,[1]Product!A:D,4,FALSE),[1]Category!A:B,2,FALSE)</f>
        <v>Condiments</v>
      </c>
      <c r="L1068" s="10">
        <f>IFERROR(VLOOKUP(A1068,'[1]Sales Order'!A:D,4,FALSE),"")</f>
        <v>39327</v>
      </c>
      <c r="M1068" s="10">
        <f>IFERROR(VLOOKUP(A1068,'[1]Sales Order'!A:F,6,FALSE),"")</f>
        <v>39336</v>
      </c>
      <c r="N1068" t="str">
        <f>IFERROR(VLOOKUP(VLOOKUP(A1068,'[1]Sales Order'!A:G,7,FALSE),[1]Shipper!A:B,2,FALSE),"Not Specified")</f>
        <v>Shipper GVSUA</v>
      </c>
      <c r="O1068" t="str">
        <f>IFERROR(VLOOKUP(A1068,'[1]Sales Order'!A:I,9,FALSE),"Not Specified")</f>
        <v>Ship to 5-C</v>
      </c>
      <c r="P1068" t="str">
        <f>IFERROR(VLOOKUP(A1068,'[1]Sales Order'!A:N,14,FALSE),"Not Specified")</f>
        <v>Sweden</v>
      </c>
      <c r="Q1068" t="str">
        <f>VLOOKUP(VLOOKUP(B1068,[1]Product!A:C,3,FALSE),[1]Supplier!A:B,2,FALSE)</f>
        <v>Supplier VHQZD</v>
      </c>
      <c r="R1068" t="str">
        <f>VLOOKUP(VLOOKUP(B1068,[1]Product!A:C,3,FALSE),[1]Supplier!A:I,9,FALSE)</f>
        <v>USA</v>
      </c>
      <c r="S1068" t="str">
        <f>IFERROR(IF(VLOOKUP(A1068,'[1]Sales Order'!A:H,8,FALSE)&gt;100,"High Freight","Low Freight"),"Not Specified")</f>
        <v>Low Freight</v>
      </c>
      <c r="T1068">
        <f t="shared" si="33"/>
        <v>237.6</v>
      </c>
    </row>
    <row r="1069" spans="1:20">
      <c r="A1069" s="1">
        <v>10654</v>
      </c>
      <c r="B1069" s="2">
        <v>39</v>
      </c>
      <c r="C1069" s="2">
        <v>18</v>
      </c>
      <c r="D1069" s="2">
        <v>20</v>
      </c>
      <c r="E1069" s="3">
        <v>0.1</v>
      </c>
      <c r="F1069" s="2" t="str">
        <f>IFERROR(VLOOKUP(VLOOKUP(A1069,'[1]Sales Order'!A:B,2,FALSE),[1]Customer!A:C,3,FALSE),"Not Specified")</f>
        <v>Higginbotham, Tom</v>
      </c>
      <c r="G1069" s="2" t="str">
        <f t="shared" si="32"/>
        <v>Higginbotham Tom</v>
      </c>
      <c r="H1069" s="8" t="str">
        <f>IFERROR(VLOOKUP(VLOOKUP(A1069,'[1]Sales Order'!A:C,3,FALSE),[1]Employee!A:E,5,FALSE)&amp;" "&amp;VLOOKUP(VLOOKUP(A1069,'[1]Sales Order'!A:C,3,FALSE),[1]Employee!A:C,3,FALSE)&amp;" "&amp;VLOOKUP(VLOOKUP(A1069,'[1]Sales Order'!A:C,3,FALSE),[1]Employee!A:B,2,FALSE),"Not Specified")</f>
        <v>Mr. Sven Buck</v>
      </c>
      <c r="I1069">
        <f>IFERROR(VLOOKUP(VLOOKUP(A1069,'[1]Sales Order'!A:C,3,FALSE),[1]Employee!A:J,10,FALSE),"Not Specified")</f>
        <v>0</v>
      </c>
      <c r="J1069" t="str">
        <f>VLOOKUP(B1069,[1]Product!A:B,2,FALSE)</f>
        <v>Product LSOFL</v>
      </c>
      <c r="K1069" t="str">
        <f>VLOOKUP(VLOOKUP(B1069,[1]Product!A:D,4,FALSE),[1]Category!A:B,2,FALSE)</f>
        <v>Beverages</v>
      </c>
      <c r="L1069" s="10">
        <f>IFERROR(VLOOKUP(A1069,'[1]Sales Order'!A:D,4,FALSE),"")</f>
        <v>39327</v>
      </c>
      <c r="M1069" s="10">
        <f>IFERROR(VLOOKUP(A1069,'[1]Sales Order'!A:F,6,FALSE),"")</f>
        <v>39336</v>
      </c>
      <c r="N1069" t="str">
        <f>IFERROR(VLOOKUP(VLOOKUP(A1069,'[1]Sales Order'!A:G,7,FALSE),[1]Shipper!A:B,2,FALSE),"Not Specified")</f>
        <v>Shipper GVSUA</v>
      </c>
      <c r="O1069" t="str">
        <f>IFERROR(VLOOKUP(A1069,'[1]Sales Order'!A:I,9,FALSE),"Not Specified")</f>
        <v>Ship to 5-C</v>
      </c>
      <c r="P1069" t="str">
        <f>IFERROR(VLOOKUP(A1069,'[1]Sales Order'!A:N,14,FALSE),"Not Specified")</f>
        <v>Sweden</v>
      </c>
      <c r="Q1069" t="str">
        <f>VLOOKUP(VLOOKUP(B1069,[1]Product!A:C,3,FALSE),[1]Supplier!A:B,2,FALSE)</f>
        <v>Supplier LVJUA</v>
      </c>
      <c r="R1069" t="str">
        <f>VLOOKUP(VLOOKUP(B1069,[1]Product!A:C,3,FALSE),[1]Supplier!A:I,9,FALSE)</f>
        <v>France</v>
      </c>
      <c r="S1069" t="str">
        <f>IFERROR(IF(VLOOKUP(A1069,'[1]Sales Order'!A:H,8,FALSE)&gt;100,"High Freight","Low Freight"),"Not Specified")</f>
        <v>Low Freight</v>
      </c>
      <c r="T1069">
        <f t="shared" si="33"/>
        <v>324</v>
      </c>
    </row>
    <row r="1070" spans="1:20">
      <c r="A1070" s="1">
        <v>10654</v>
      </c>
      <c r="B1070" s="2">
        <v>54</v>
      </c>
      <c r="C1070" s="2">
        <v>7.45</v>
      </c>
      <c r="D1070" s="2">
        <v>6</v>
      </c>
      <c r="E1070" s="3">
        <v>0.1</v>
      </c>
      <c r="F1070" s="2" t="str">
        <f>IFERROR(VLOOKUP(VLOOKUP(A1070,'[1]Sales Order'!A:B,2,FALSE),[1]Customer!A:C,3,FALSE),"Not Specified")</f>
        <v>Higginbotham, Tom</v>
      </c>
      <c r="G1070" s="2" t="str">
        <f t="shared" si="32"/>
        <v>Higginbotham Tom</v>
      </c>
      <c r="H1070" s="8" t="str">
        <f>IFERROR(VLOOKUP(VLOOKUP(A1070,'[1]Sales Order'!A:C,3,FALSE),[1]Employee!A:E,5,FALSE)&amp;" "&amp;VLOOKUP(VLOOKUP(A1070,'[1]Sales Order'!A:C,3,FALSE),[1]Employee!A:C,3,FALSE)&amp;" "&amp;VLOOKUP(VLOOKUP(A1070,'[1]Sales Order'!A:C,3,FALSE),[1]Employee!A:B,2,FALSE),"Not Specified")</f>
        <v>Mr. Sven Buck</v>
      </c>
      <c r="I1070">
        <f>IFERROR(VLOOKUP(VLOOKUP(A1070,'[1]Sales Order'!A:C,3,FALSE),[1]Employee!A:J,10,FALSE),"Not Specified")</f>
        <v>0</v>
      </c>
      <c r="J1070" t="str">
        <f>VLOOKUP(B1070,[1]Product!A:B,2,FALSE)</f>
        <v>Product QAQRL</v>
      </c>
      <c r="K1070" t="str">
        <f>VLOOKUP(VLOOKUP(B1070,[1]Product!A:D,4,FALSE),[1]Category!A:B,2,FALSE)</f>
        <v>Meat/Poultry</v>
      </c>
      <c r="L1070" s="10">
        <f>IFERROR(VLOOKUP(A1070,'[1]Sales Order'!A:D,4,FALSE),"")</f>
        <v>39327</v>
      </c>
      <c r="M1070" s="10">
        <f>IFERROR(VLOOKUP(A1070,'[1]Sales Order'!A:F,6,FALSE),"")</f>
        <v>39336</v>
      </c>
      <c r="N1070" t="str">
        <f>IFERROR(VLOOKUP(VLOOKUP(A1070,'[1]Sales Order'!A:G,7,FALSE),[1]Shipper!A:B,2,FALSE),"Not Specified")</f>
        <v>Shipper GVSUA</v>
      </c>
      <c r="O1070" t="str">
        <f>IFERROR(VLOOKUP(A1070,'[1]Sales Order'!A:I,9,FALSE),"Not Specified")</f>
        <v>Ship to 5-C</v>
      </c>
      <c r="P1070" t="str">
        <f>IFERROR(VLOOKUP(A1070,'[1]Sales Order'!A:N,14,FALSE),"Not Specified")</f>
        <v>Sweden</v>
      </c>
      <c r="Q1070" t="str">
        <f>VLOOKUP(VLOOKUP(B1070,[1]Product!A:C,3,FALSE),[1]Supplier!A:B,2,FALSE)</f>
        <v>Supplier ERVYZ</v>
      </c>
      <c r="R1070" t="str">
        <f>VLOOKUP(VLOOKUP(B1070,[1]Product!A:C,3,FALSE),[1]Supplier!A:I,9,FALSE)</f>
        <v>Canada</v>
      </c>
      <c r="S1070" t="str">
        <f>IFERROR(IF(VLOOKUP(A1070,'[1]Sales Order'!A:H,8,FALSE)&gt;100,"High Freight","Low Freight"),"Not Specified")</f>
        <v>Low Freight</v>
      </c>
      <c r="T1070">
        <f t="shared" si="33"/>
        <v>40.230000000000004</v>
      </c>
    </row>
    <row r="1071" spans="1:20">
      <c r="A1071" s="1">
        <v>10655</v>
      </c>
      <c r="B1071" s="2">
        <v>41</v>
      </c>
      <c r="C1071" s="2">
        <v>9.65</v>
      </c>
      <c r="D1071" s="2">
        <v>20</v>
      </c>
      <c r="E1071" s="3">
        <v>0.2</v>
      </c>
      <c r="F1071" s="2" t="str">
        <f>IFERROR(VLOOKUP(VLOOKUP(A1071,'[1]Sales Order'!A:B,2,FALSE),[1]Customer!A:C,3,FALSE),"Not Specified")</f>
        <v>Voss, Florian</v>
      </c>
      <c r="G1071" s="2" t="str">
        <f t="shared" si="32"/>
        <v>Voss Florian</v>
      </c>
      <c r="H1071" s="8" t="str">
        <f>IFERROR(VLOOKUP(VLOOKUP(A1071,'[1]Sales Order'!A:C,3,FALSE),[1]Employee!A:E,5,FALSE)&amp;" "&amp;VLOOKUP(VLOOKUP(A1071,'[1]Sales Order'!A:C,3,FALSE),[1]Employee!A:C,3,FALSE)&amp;" "&amp;VLOOKUP(VLOOKUP(A1071,'[1]Sales Order'!A:C,3,FALSE),[1]Employee!A:B,2,FALSE),"Not Specified")</f>
        <v>Ms. Sara Davis</v>
      </c>
      <c r="I1071" t="str">
        <f>IFERROR(VLOOKUP(VLOOKUP(A1071,'[1]Sales Order'!A:C,3,FALSE),[1]Employee!A:J,10,FALSE),"Not Specified")</f>
        <v>WA</v>
      </c>
      <c r="J1071" t="str">
        <f>VLOOKUP(B1071,[1]Product!A:B,2,FALSE)</f>
        <v>Product TTEEX</v>
      </c>
      <c r="K1071" t="str">
        <f>VLOOKUP(VLOOKUP(B1071,[1]Product!A:D,4,FALSE),[1]Category!A:B,2,FALSE)</f>
        <v>Seafood</v>
      </c>
      <c r="L1071" s="10">
        <f>IFERROR(VLOOKUP(A1071,'[1]Sales Order'!A:D,4,FALSE),"")</f>
        <v>39328</v>
      </c>
      <c r="M1071" s="10">
        <f>IFERROR(VLOOKUP(A1071,'[1]Sales Order'!A:F,6,FALSE),"")</f>
        <v>39336</v>
      </c>
      <c r="N1071" t="str">
        <f>IFERROR(VLOOKUP(VLOOKUP(A1071,'[1]Sales Order'!A:G,7,FALSE),[1]Shipper!A:B,2,FALSE),"Not Specified")</f>
        <v>Shipper ETYNR</v>
      </c>
      <c r="O1071" t="str">
        <f>IFERROR(VLOOKUP(A1071,'[1]Sales Order'!A:I,9,FALSE),"Not Specified")</f>
        <v>Ship to 66-B</v>
      </c>
      <c r="P1071" t="str">
        <f>IFERROR(VLOOKUP(A1071,'[1]Sales Order'!A:N,14,FALSE),"Not Specified")</f>
        <v>Italy</v>
      </c>
      <c r="Q1071" t="str">
        <f>VLOOKUP(VLOOKUP(B1071,[1]Product!A:C,3,FALSE),[1]Supplier!A:B,2,FALSE)</f>
        <v>Supplier JDNUG</v>
      </c>
      <c r="R1071" t="str">
        <f>VLOOKUP(VLOOKUP(B1071,[1]Product!A:C,3,FALSE),[1]Supplier!A:I,9,FALSE)</f>
        <v>USA</v>
      </c>
      <c r="S1071" t="str">
        <f>IFERROR(IF(VLOOKUP(A1071,'[1]Sales Order'!A:H,8,FALSE)&gt;100,"High Freight","Low Freight"),"Not Specified")</f>
        <v>Low Freight</v>
      </c>
      <c r="T1071">
        <f t="shared" si="33"/>
        <v>154.4</v>
      </c>
    </row>
    <row r="1072" spans="1:20">
      <c r="A1072" s="1">
        <v>10656</v>
      </c>
      <c r="B1072" s="2">
        <v>14</v>
      </c>
      <c r="C1072" s="2">
        <v>23.25</v>
      </c>
      <c r="D1072" s="2">
        <v>3</v>
      </c>
      <c r="E1072" s="3">
        <v>0.1</v>
      </c>
      <c r="F1072" s="2" t="str">
        <f>IFERROR(VLOOKUP(VLOOKUP(A1072,'[1]Sales Order'!A:B,2,FALSE),[1]Customer!A:C,3,FALSE),"Not Specified")</f>
        <v>Krishnan, Venky</v>
      </c>
      <c r="G1072" s="2" t="str">
        <f t="shared" si="32"/>
        <v>Krishnan Venky</v>
      </c>
      <c r="H1072" s="8" t="str">
        <f>IFERROR(VLOOKUP(VLOOKUP(A1072,'[1]Sales Order'!A:C,3,FALSE),[1]Employee!A:E,5,FALSE)&amp;" "&amp;VLOOKUP(VLOOKUP(A1072,'[1]Sales Order'!A:C,3,FALSE),[1]Employee!A:C,3,FALSE)&amp;" "&amp;VLOOKUP(VLOOKUP(A1072,'[1]Sales Order'!A:C,3,FALSE),[1]Employee!A:B,2,FALSE),"Not Specified")</f>
        <v>Mr. Paul Suurs</v>
      </c>
      <c r="I1072">
        <f>IFERROR(VLOOKUP(VLOOKUP(A1072,'[1]Sales Order'!A:C,3,FALSE),[1]Employee!A:J,10,FALSE),"Not Specified")</f>
        <v>0</v>
      </c>
      <c r="J1072" t="str">
        <f>VLOOKUP(B1072,[1]Product!A:B,2,FALSE)</f>
        <v>Product PWCJB</v>
      </c>
      <c r="K1072" t="str">
        <f>VLOOKUP(VLOOKUP(B1072,[1]Product!A:D,4,FALSE),[1]Category!A:B,2,FALSE)</f>
        <v>Produce</v>
      </c>
      <c r="L1072" s="10">
        <f>IFERROR(VLOOKUP(A1072,'[1]Sales Order'!A:D,4,FALSE),"")</f>
        <v>39329</v>
      </c>
      <c r="M1072" s="10">
        <f>IFERROR(VLOOKUP(A1072,'[1]Sales Order'!A:F,6,FALSE),"")</f>
        <v>39335</v>
      </c>
      <c r="N1072" t="str">
        <f>IFERROR(VLOOKUP(VLOOKUP(A1072,'[1]Sales Order'!A:G,7,FALSE),[1]Shipper!A:B,2,FALSE),"Not Specified")</f>
        <v>Shipper GVSUA</v>
      </c>
      <c r="O1072" t="str">
        <f>IFERROR(VLOOKUP(A1072,'[1]Sales Order'!A:I,9,FALSE),"Not Specified")</f>
        <v>Destination AVQUS</v>
      </c>
      <c r="P1072" t="str">
        <f>IFERROR(VLOOKUP(A1072,'[1]Sales Order'!A:N,14,FALSE),"Not Specified")</f>
        <v>USA</v>
      </c>
      <c r="Q1072" t="str">
        <f>VLOOKUP(VLOOKUP(B1072,[1]Product!A:C,3,FALSE),[1]Supplier!A:B,2,FALSE)</f>
        <v>Supplier QWUSF</v>
      </c>
      <c r="R1072" t="str">
        <f>VLOOKUP(VLOOKUP(B1072,[1]Product!A:C,3,FALSE),[1]Supplier!A:I,9,FALSE)</f>
        <v>Japan</v>
      </c>
      <c r="S1072" t="str">
        <f>IFERROR(IF(VLOOKUP(A1072,'[1]Sales Order'!A:H,8,FALSE)&gt;100,"High Freight","Low Freight"),"Not Specified")</f>
        <v>Low Freight</v>
      </c>
      <c r="T1072">
        <f t="shared" si="33"/>
        <v>62.774999999999999</v>
      </c>
    </row>
    <row r="1073" spans="1:20">
      <c r="A1073" s="1">
        <v>10656</v>
      </c>
      <c r="B1073" s="2">
        <v>44</v>
      </c>
      <c r="C1073" s="2">
        <v>19.45</v>
      </c>
      <c r="D1073" s="2">
        <v>28</v>
      </c>
      <c r="E1073" s="3">
        <v>0.1</v>
      </c>
      <c r="F1073" s="2" t="str">
        <f>IFERROR(VLOOKUP(VLOOKUP(A1073,'[1]Sales Order'!A:B,2,FALSE),[1]Customer!A:C,3,FALSE),"Not Specified")</f>
        <v>Krishnan, Venky</v>
      </c>
      <c r="G1073" s="2" t="str">
        <f t="shared" si="32"/>
        <v>Krishnan Venky</v>
      </c>
      <c r="H1073" s="8" t="str">
        <f>IFERROR(VLOOKUP(VLOOKUP(A1073,'[1]Sales Order'!A:C,3,FALSE),[1]Employee!A:E,5,FALSE)&amp;" "&amp;VLOOKUP(VLOOKUP(A1073,'[1]Sales Order'!A:C,3,FALSE),[1]Employee!A:C,3,FALSE)&amp;" "&amp;VLOOKUP(VLOOKUP(A1073,'[1]Sales Order'!A:C,3,FALSE),[1]Employee!A:B,2,FALSE),"Not Specified")</f>
        <v>Mr. Paul Suurs</v>
      </c>
      <c r="I1073">
        <f>IFERROR(VLOOKUP(VLOOKUP(A1073,'[1]Sales Order'!A:C,3,FALSE),[1]Employee!A:J,10,FALSE),"Not Specified")</f>
        <v>0</v>
      </c>
      <c r="J1073" t="str">
        <f>VLOOKUP(B1073,[1]Product!A:B,2,FALSE)</f>
        <v>Product VJIEO</v>
      </c>
      <c r="K1073" t="str">
        <f>VLOOKUP(VLOOKUP(B1073,[1]Product!A:D,4,FALSE),[1]Category!A:B,2,FALSE)</f>
        <v>Condiments</v>
      </c>
      <c r="L1073" s="10">
        <f>IFERROR(VLOOKUP(A1073,'[1]Sales Order'!A:D,4,FALSE),"")</f>
        <v>39329</v>
      </c>
      <c r="M1073" s="10">
        <f>IFERROR(VLOOKUP(A1073,'[1]Sales Order'!A:F,6,FALSE),"")</f>
        <v>39335</v>
      </c>
      <c r="N1073" t="str">
        <f>IFERROR(VLOOKUP(VLOOKUP(A1073,'[1]Sales Order'!A:G,7,FALSE),[1]Shipper!A:B,2,FALSE),"Not Specified")</f>
        <v>Shipper GVSUA</v>
      </c>
      <c r="O1073" t="str">
        <f>IFERROR(VLOOKUP(A1073,'[1]Sales Order'!A:I,9,FALSE),"Not Specified")</f>
        <v>Destination AVQUS</v>
      </c>
      <c r="P1073" t="str">
        <f>IFERROR(VLOOKUP(A1073,'[1]Sales Order'!A:N,14,FALSE),"Not Specified")</f>
        <v>USA</v>
      </c>
      <c r="Q1073" t="str">
        <f>VLOOKUP(VLOOKUP(B1073,[1]Product!A:C,3,FALSE),[1]Supplier!A:B,2,FALSE)</f>
        <v>Supplier CIYNM</v>
      </c>
      <c r="R1073" t="str">
        <f>VLOOKUP(VLOOKUP(B1073,[1]Product!A:C,3,FALSE),[1]Supplier!A:I,9,FALSE)</f>
        <v>Singapore</v>
      </c>
      <c r="S1073" t="str">
        <f>IFERROR(IF(VLOOKUP(A1073,'[1]Sales Order'!A:H,8,FALSE)&gt;100,"High Freight","Low Freight"),"Not Specified")</f>
        <v>Low Freight</v>
      </c>
      <c r="T1073">
        <f t="shared" si="33"/>
        <v>490.14000000000004</v>
      </c>
    </row>
    <row r="1074" spans="1:20">
      <c r="A1074" s="1">
        <v>10656</v>
      </c>
      <c r="B1074" s="2">
        <v>47</v>
      </c>
      <c r="C1074" s="2">
        <v>9.5</v>
      </c>
      <c r="D1074" s="2">
        <v>6</v>
      </c>
      <c r="E1074" s="3">
        <v>0.1</v>
      </c>
      <c r="F1074" s="2" t="str">
        <f>IFERROR(VLOOKUP(VLOOKUP(A1074,'[1]Sales Order'!A:B,2,FALSE),[1]Customer!A:C,3,FALSE),"Not Specified")</f>
        <v>Krishnan, Venky</v>
      </c>
      <c r="G1074" s="2" t="str">
        <f t="shared" si="32"/>
        <v>Krishnan Venky</v>
      </c>
      <c r="H1074" s="8" t="str">
        <f>IFERROR(VLOOKUP(VLOOKUP(A1074,'[1]Sales Order'!A:C,3,FALSE),[1]Employee!A:E,5,FALSE)&amp;" "&amp;VLOOKUP(VLOOKUP(A1074,'[1]Sales Order'!A:C,3,FALSE),[1]Employee!A:C,3,FALSE)&amp;" "&amp;VLOOKUP(VLOOKUP(A1074,'[1]Sales Order'!A:C,3,FALSE),[1]Employee!A:B,2,FALSE),"Not Specified")</f>
        <v>Mr. Paul Suurs</v>
      </c>
      <c r="I1074">
        <f>IFERROR(VLOOKUP(VLOOKUP(A1074,'[1]Sales Order'!A:C,3,FALSE),[1]Employee!A:J,10,FALSE),"Not Specified")</f>
        <v>0</v>
      </c>
      <c r="J1074" t="str">
        <f>VLOOKUP(B1074,[1]Product!A:B,2,FALSE)</f>
        <v>Product EZZPR</v>
      </c>
      <c r="K1074" t="str">
        <f>VLOOKUP(VLOOKUP(B1074,[1]Product!A:D,4,FALSE),[1]Category!A:B,2,FALSE)</f>
        <v>Confections</v>
      </c>
      <c r="L1074" s="10">
        <f>IFERROR(VLOOKUP(A1074,'[1]Sales Order'!A:D,4,FALSE),"")</f>
        <v>39329</v>
      </c>
      <c r="M1074" s="10">
        <f>IFERROR(VLOOKUP(A1074,'[1]Sales Order'!A:F,6,FALSE),"")</f>
        <v>39335</v>
      </c>
      <c r="N1074" t="str">
        <f>IFERROR(VLOOKUP(VLOOKUP(A1074,'[1]Sales Order'!A:G,7,FALSE),[1]Shipper!A:B,2,FALSE),"Not Specified")</f>
        <v>Shipper GVSUA</v>
      </c>
      <c r="O1074" t="str">
        <f>IFERROR(VLOOKUP(A1074,'[1]Sales Order'!A:I,9,FALSE),"Not Specified")</f>
        <v>Destination AVQUS</v>
      </c>
      <c r="P1074" t="str">
        <f>IFERROR(VLOOKUP(A1074,'[1]Sales Order'!A:N,14,FALSE),"Not Specified")</f>
        <v>USA</v>
      </c>
      <c r="Q1074" t="str">
        <f>VLOOKUP(VLOOKUP(B1074,[1]Product!A:C,3,FALSE),[1]Supplier!A:B,2,FALSE)</f>
        <v>Supplier FNUXM</v>
      </c>
      <c r="R1074" t="str">
        <f>VLOOKUP(VLOOKUP(B1074,[1]Product!A:C,3,FALSE),[1]Supplier!A:I,9,FALSE)</f>
        <v>Netherlands</v>
      </c>
      <c r="S1074" t="str">
        <f>IFERROR(IF(VLOOKUP(A1074,'[1]Sales Order'!A:H,8,FALSE)&gt;100,"High Freight","Low Freight"),"Not Specified")</f>
        <v>Low Freight</v>
      </c>
      <c r="T1074">
        <f t="shared" si="33"/>
        <v>51.300000000000004</v>
      </c>
    </row>
    <row r="1075" spans="1:20">
      <c r="A1075" s="1">
        <v>10657</v>
      </c>
      <c r="B1075" s="2">
        <v>15</v>
      </c>
      <c r="C1075" s="2">
        <v>15.5</v>
      </c>
      <c r="D1075" s="2">
        <v>50</v>
      </c>
      <c r="E1075" s="3">
        <v>0</v>
      </c>
      <c r="F1075" s="2" t="str">
        <f>IFERROR(VLOOKUP(VLOOKUP(A1075,'[1]Sales Order'!A:B,2,FALSE),[1]Customer!A:C,3,FALSE),"Not Specified")</f>
        <v>Navarro, Tomás</v>
      </c>
      <c r="G1075" s="2" t="str">
        <f t="shared" si="32"/>
        <v>Navarro Tomás</v>
      </c>
      <c r="H1075" s="8" t="str">
        <f>IFERROR(VLOOKUP(VLOOKUP(A1075,'[1]Sales Order'!A:C,3,FALSE),[1]Employee!A:E,5,FALSE)&amp;" "&amp;VLOOKUP(VLOOKUP(A1075,'[1]Sales Order'!A:C,3,FALSE),[1]Employee!A:C,3,FALSE)&amp;" "&amp;VLOOKUP(VLOOKUP(A1075,'[1]Sales Order'!A:C,3,FALSE),[1]Employee!A:B,2,FALSE),"Not Specified")</f>
        <v>Dr. Don Funk</v>
      </c>
      <c r="I1075" t="str">
        <f>IFERROR(VLOOKUP(VLOOKUP(A1075,'[1]Sales Order'!A:C,3,FALSE),[1]Employee!A:J,10,FALSE),"Not Specified")</f>
        <v>WA</v>
      </c>
      <c r="J1075" t="str">
        <f>VLOOKUP(B1075,[1]Product!A:B,2,FALSE)</f>
        <v>Product KSZOI</v>
      </c>
      <c r="K1075" t="str">
        <f>VLOOKUP(VLOOKUP(B1075,[1]Product!A:D,4,FALSE),[1]Category!A:B,2,FALSE)</f>
        <v>Condiments</v>
      </c>
      <c r="L1075" s="10">
        <f>IFERROR(VLOOKUP(A1075,'[1]Sales Order'!A:D,4,FALSE),"")</f>
        <v>39329</v>
      </c>
      <c r="M1075" s="10">
        <f>IFERROR(VLOOKUP(A1075,'[1]Sales Order'!A:F,6,FALSE),"")</f>
        <v>39340</v>
      </c>
      <c r="N1075" t="str">
        <f>IFERROR(VLOOKUP(VLOOKUP(A1075,'[1]Sales Order'!A:G,7,FALSE),[1]Shipper!A:B,2,FALSE),"Not Specified")</f>
        <v>Shipper ETYNR</v>
      </c>
      <c r="O1075" t="str">
        <f>IFERROR(VLOOKUP(A1075,'[1]Sales Order'!A:I,9,FALSE),"Not Specified")</f>
        <v>Ship to 71-A</v>
      </c>
      <c r="P1075" t="str">
        <f>IFERROR(VLOOKUP(A1075,'[1]Sales Order'!A:N,14,FALSE),"Not Specified")</f>
        <v>USA</v>
      </c>
      <c r="Q1075" t="str">
        <f>VLOOKUP(VLOOKUP(B1075,[1]Product!A:C,3,FALSE),[1]Supplier!A:B,2,FALSE)</f>
        <v>Supplier QWUSF</v>
      </c>
      <c r="R1075" t="str">
        <f>VLOOKUP(VLOOKUP(B1075,[1]Product!A:C,3,FALSE),[1]Supplier!A:I,9,FALSE)</f>
        <v>Japan</v>
      </c>
      <c r="S1075" t="str">
        <f>IFERROR(IF(VLOOKUP(A1075,'[1]Sales Order'!A:H,8,FALSE)&gt;100,"High Freight","Low Freight"),"Not Specified")</f>
        <v>High Freight</v>
      </c>
      <c r="T1075">
        <f t="shared" si="33"/>
        <v>775</v>
      </c>
    </row>
    <row r="1076" spans="1:20">
      <c r="A1076" s="1">
        <v>10657</v>
      </c>
      <c r="B1076" s="2">
        <v>41</v>
      </c>
      <c r="C1076" s="2">
        <v>9.65</v>
      </c>
      <c r="D1076" s="2">
        <v>24</v>
      </c>
      <c r="E1076" s="3">
        <v>0</v>
      </c>
      <c r="F1076" s="2" t="str">
        <f>IFERROR(VLOOKUP(VLOOKUP(A1076,'[1]Sales Order'!A:B,2,FALSE),[1]Customer!A:C,3,FALSE),"Not Specified")</f>
        <v>Navarro, Tomás</v>
      </c>
      <c r="G1076" s="2" t="str">
        <f t="shared" si="32"/>
        <v>Navarro Tomás</v>
      </c>
      <c r="H1076" s="8" t="str">
        <f>IFERROR(VLOOKUP(VLOOKUP(A1076,'[1]Sales Order'!A:C,3,FALSE),[1]Employee!A:E,5,FALSE)&amp;" "&amp;VLOOKUP(VLOOKUP(A1076,'[1]Sales Order'!A:C,3,FALSE),[1]Employee!A:C,3,FALSE)&amp;" "&amp;VLOOKUP(VLOOKUP(A1076,'[1]Sales Order'!A:C,3,FALSE),[1]Employee!A:B,2,FALSE),"Not Specified")</f>
        <v>Dr. Don Funk</v>
      </c>
      <c r="I1076" t="str">
        <f>IFERROR(VLOOKUP(VLOOKUP(A1076,'[1]Sales Order'!A:C,3,FALSE),[1]Employee!A:J,10,FALSE),"Not Specified")</f>
        <v>WA</v>
      </c>
      <c r="J1076" t="str">
        <f>VLOOKUP(B1076,[1]Product!A:B,2,FALSE)</f>
        <v>Product TTEEX</v>
      </c>
      <c r="K1076" t="str">
        <f>VLOOKUP(VLOOKUP(B1076,[1]Product!A:D,4,FALSE),[1]Category!A:B,2,FALSE)</f>
        <v>Seafood</v>
      </c>
      <c r="L1076" s="10">
        <f>IFERROR(VLOOKUP(A1076,'[1]Sales Order'!A:D,4,FALSE),"")</f>
        <v>39329</v>
      </c>
      <c r="M1076" s="10">
        <f>IFERROR(VLOOKUP(A1076,'[1]Sales Order'!A:F,6,FALSE),"")</f>
        <v>39340</v>
      </c>
      <c r="N1076" t="str">
        <f>IFERROR(VLOOKUP(VLOOKUP(A1076,'[1]Sales Order'!A:G,7,FALSE),[1]Shipper!A:B,2,FALSE),"Not Specified")</f>
        <v>Shipper ETYNR</v>
      </c>
      <c r="O1076" t="str">
        <f>IFERROR(VLOOKUP(A1076,'[1]Sales Order'!A:I,9,FALSE),"Not Specified")</f>
        <v>Ship to 71-A</v>
      </c>
      <c r="P1076" t="str">
        <f>IFERROR(VLOOKUP(A1076,'[1]Sales Order'!A:N,14,FALSE),"Not Specified")</f>
        <v>USA</v>
      </c>
      <c r="Q1076" t="str">
        <f>VLOOKUP(VLOOKUP(B1076,[1]Product!A:C,3,FALSE),[1]Supplier!A:B,2,FALSE)</f>
        <v>Supplier JDNUG</v>
      </c>
      <c r="R1076" t="str">
        <f>VLOOKUP(VLOOKUP(B1076,[1]Product!A:C,3,FALSE),[1]Supplier!A:I,9,FALSE)</f>
        <v>USA</v>
      </c>
      <c r="S1076" t="str">
        <f>IFERROR(IF(VLOOKUP(A1076,'[1]Sales Order'!A:H,8,FALSE)&gt;100,"High Freight","Low Freight"),"Not Specified")</f>
        <v>High Freight</v>
      </c>
      <c r="T1076">
        <f t="shared" si="33"/>
        <v>231.60000000000002</v>
      </c>
    </row>
    <row r="1077" spans="1:20">
      <c r="A1077" s="1">
        <v>10657</v>
      </c>
      <c r="B1077" s="2">
        <v>46</v>
      </c>
      <c r="C1077" s="2">
        <v>12</v>
      </c>
      <c r="D1077" s="2">
        <v>45</v>
      </c>
      <c r="E1077" s="3">
        <v>0</v>
      </c>
      <c r="F1077" s="2" t="str">
        <f>IFERROR(VLOOKUP(VLOOKUP(A1077,'[1]Sales Order'!A:B,2,FALSE),[1]Customer!A:C,3,FALSE),"Not Specified")</f>
        <v>Navarro, Tomás</v>
      </c>
      <c r="G1077" s="2" t="str">
        <f t="shared" si="32"/>
        <v>Navarro Tomás</v>
      </c>
      <c r="H1077" s="8" t="str">
        <f>IFERROR(VLOOKUP(VLOOKUP(A1077,'[1]Sales Order'!A:C,3,FALSE),[1]Employee!A:E,5,FALSE)&amp;" "&amp;VLOOKUP(VLOOKUP(A1077,'[1]Sales Order'!A:C,3,FALSE),[1]Employee!A:C,3,FALSE)&amp;" "&amp;VLOOKUP(VLOOKUP(A1077,'[1]Sales Order'!A:C,3,FALSE),[1]Employee!A:B,2,FALSE),"Not Specified")</f>
        <v>Dr. Don Funk</v>
      </c>
      <c r="I1077" t="str">
        <f>IFERROR(VLOOKUP(VLOOKUP(A1077,'[1]Sales Order'!A:C,3,FALSE),[1]Employee!A:J,10,FALSE),"Not Specified")</f>
        <v>WA</v>
      </c>
      <c r="J1077" t="str">
        <f>VLOOKUP(B1077,[1]Product!A:B,2,FALSE)</f>
        <v>Product CBRRL</v>
      </c>
      <c r="K1077" t="str">
        <f>VLOOKUP(VLOOKUP(B1077,[1]Product!A:D,4,FALSE),[1]Category!A:B,2,FALSE)</f>
        <v>Seafood</v>
      </c>
      <c r="L1077" s="10">
        <f>IFERROR(VLOOKUP(A1077,'[1]Sales Order'!A:D,4,FALSE),"")</f>
        <v>39329</v>
      </c>
      <c r="M1077" s="10">
        <f>IFERROR(VLOOKUP(A1077,'[1]Sales Order'!A:F,6,FALSE),"")</f>
        <v>39340</v>
      </c>
      <c r="N1077" t="str">
        <f>IFERROR(VLOOKUP(VLOOKUP(A1077,'[1]Sales Order'!A:G,7,FALSE),[1]Shipper!A:B,2,FALSE),"Not Specified")</f>
        <v>Shipper ETYNR</v>
      </c>
      <c r="O1077" t="str">
        <f>IFERROR(VLOOKUP(A1077,'[1]Sales Order'!A:I,9,FALSE),"Not Specified")</f>
        <v>Ship to 71-A</v>
      </c>
      <c r="P1077" t="str">
        <f>IFERROR(VLOOKUP(A1077,'[1]Sales Order'!A:N,14,FALSE),"Not Specified")</f>
        <v>USA</v>
      </c>
      <c r="Q1077" t="str">
        <f>VLOOKUP(VLOOKUP(B1077,[1]Product!A:C,3,FALSE),[1]Supplier!A:B,2,FALSE)</f>
        <v>Supplier XOXZA</v>
      </c>
      <c r="R1077" t="str">
        <f>VLOOKUP(VLOOKUP(B1077,[1]Product!A:C,3,FALSE),[1]Supplier!A:I,9,FALSE)</f>
        <v>Denmark</v>
      </c>
      <c r="S1077" t="str">
        <f>IFERROR(IF(VLOOKUP(A1077,'[1]Sales Order'!A:H,8,FALSE)&gt;100,"High Freight","Low Freight"),"Not Specified")</f>
        <v>High Freight</v>
      </c>
      <c r="T1077">
        <f t="shared" si="33"/>
        <v>540</v>
      </c>
    </row>
    <row r="1078" spans="1:20">
      <c r="A1078" s="1">
        <v>10657</v>
      </c>
      <c r="B1078" s="2">
        <v>47</v>
      </c>
      <c r="C1078" s="2">
        <v>9.5</v>
      </c>
      <c r="D1078" s="2">
        <v>10</v>
      </c>
      <c r="E1078" s="3">
        <v>0</v>
      </c>
      <c r="F1078" s="2" t="str">
        <f>IFERROR(VLOOKUP(VLOOKUP(A1078,'[1]Sales Order'!A:B,2,FALSE),[1]Customer!A:C,3,FALSE),"Not Specified")</f>
        <v>Navarro, Tomás</v>
      </c>
      <c r="G1078" s="2" t="str">
        <f t="shared" si="32"/>
        <v>Navarro Tomás</v>
      </c>
      <c r="H1078" s="8" t="str">
        <f>IFERROR(VLOOKUP(VLOOKUP(A1078,'[1]Sales Order'!A:C,3,FALSE),[1]Employee!A:E,5,FALSE)&amp;" "&amp;VLOOKUP(VLOOKUP(A1078,'[1]Sales Order'!A:C,3,FALSE),[1]Employee!A:C,3,FALSE)&amp;" "&amp;VLOOKUP(VLOOKUP(A1078,'[1]Sales Order'!A:C,3,FALSE),[1]Employee!A:B,2,FALSE),"Not Specified")</f>
        <v>Dr. Don Funk</v>
      </c>
      <c r="I1078" t="str">
        <f>IFERROR(VLOOKUP(VLOOKUP(A1078,'[1]Sales Order'!A:C,3,FALSE),[1]Employee!A:J,10,FALSE),"Not Specified")</f>
        <v>WA</v>
      </c>
      <c r="J1078" t="str">
        <f>VLOOKUP(B1078,[1]Product!A:B,2,FALSE)</f>
        <v>Product EZZPR</v>
      </c>
      <c r="K1078" t="str">
        <f>VLOOKUP(VLOOKUP(B1078,[1]Product!A:D,4,FALSE),[1]Category!A:B,2,FALSE)</f>
        <v>Confections</v>
      </c>
      <c r="L1078" s="10">
        <f>IFERROR(VLOOKUP(A1078,'[1]Sales Order'!A:D,4,FALSE),"")</f>
        <v>39329</v>
      </c>
      <c r="M1078" s="10">
        <f>IFERROR(VLOOKUP(A1078,'[1]Sales Order'!A:F,6,FALSE),"")</f>
        <v>39340</v>
      </c>
      <c r="N1078" t="str">
        <f>IFERROR(VLOOKUP(VLOOKUP(A1078,'[1]Sales Order'!A:G,7,FALSE),[1]Shipper!A:B,2,FALSE),"Not Specified")</f>
        <v>Shipper ETYNR</v>
      </c>
      <c r="O1078" t="str">
        <f>IFERROR(VLOOKUP(A1078,'[1]Sales Order'!A:I,9,FALSE),"Not Specified")</f>
        <v>Ship to 71-A</v>
      </c>
      <c r="P1078" t="str">
        <f>IFERROR(VLOOKUP(A1078,'[1]Sales Order'!A:N,14,FALSE),"Not Specified")</f>
        <v>USA</v>
      </c>
      <c r="Q1078" t="str">
        <f>VLOOKUP(VLOOKUP(B1078,[1]Product!A:C,3,FALSE),[1]Supplier!A:B,2,FALSE)</f>
        <v>Supplier FNUXM</v>
      </c>
      <c r="R1078" t="str">
        <f>VLOOKUP(VLOOKUP(B1078,[1]Product!A:C,3,FALSE),[1]Supplier!A:I,9,FALSE)</f>
        <v>Netherlands</v>
      </c>
      <c r="S1078" t="str">
        <f>IFERROR(IF(VLOOKUP(A1078,'[1]Sales Order'!A:H,8,FALSE)&gt;100,"High Freight","Low Freight"),"Not Specified")</f>
        <v>High Freight</v>
      </c>
      <c r="T1078">
        <f t="shared" si="33"/>
        <v>95</v>
      </c>
    </row>
    <row r="1079" spans="1:20">
      <c r="A1079" s="1">
        <v>10657</v>
      </c>
      <c r="B1079" s="2">
        <v>56</v>
      </c>
      <c r="C1079" s="2">
        <v>38</v>
      </c>
      <c r="D1079" s="2">
        <v>45</v>
      </c>
      <c r="E1079" s="3">
        <v>0</v>
      </c>
      <c r="F1079" s="2" t="str">
        <f>IFERROR(VLOOKUP(VLOOKUP(A1079,'[1]Sales Order'!A:B,2,FALSE),[1]Customer!A:C,3,FALSE),"Not Specified")</f>
        <v>Navarro, Tomás</v>
      </c>
      <c r="G1079" s="2" t="str">
        <f t="shared" si="32"/>
        <v>Navarro Tomás</v>
      </c>
      <c r="H1079" s="8" t="str">
        <f>IFERROR(VLOOKUP(VLOOKUP(A1079,'[1]Sales Order'!A:C,3,FALSE),[1]Employee!A:E,5,FALSE)&amp;" "&amp;VLOOKUP(VLOOKUP(A1079,'[1]Sales Order'!A:C,3,FALSE),[1]Employee!A:C,3,FALSE)&amp;" "&amp;VLOOKUP(VLOOKUP(A1079,'[1]Sales Order'!A:C,3,FALSE),[1]Employee!A:B,2,FALSE),"Not Specified")</f>
        <v>Dr. Don Funk</v>
      </c>
      <c r="I1079" t="str">
        <f>IFERROR(VLOOKUP(VLOOKUP(A1079,'[1]Sales Order'!A:C,3,FALSE),[1]Employee!A:J,10,FALSE),"Not Specified")</f>
        <v>WA</v>
      </c>
      <c r="J1079" t="str">
        <f>VLOOKUP(B1079,[1]Product!A:B,2,FALSE)</f>
        <v>Product VKCMF</v>
      </c>
      <c r="K1079" t="str">
        <f>VLOOKUP(VLOOKUP(B1079,[1]Product!A:D,4,FALSE),[1]Category!A:B,2,FALSE)</f>
        <v>Grains/Cereals</v>
      </c>
      <c r="L1079" s="10">
        <f>IFERROR(VLOOKUP(A1079,'[1]Sales Order'!A:D,4,FALSE),"")</f>
        <v>39329</v>
      </c>
      <c r="M1079" s="10">
        <f>IFERROR(VLOOKUP(A1079,'[1]Sales Order'!A:F,6,FALSE),"")</f>
        <v>39340</v>
      </c>
      <c r="N1079" t="str">
        <f>IFERROR(VLOOKUP(VLOOKUP(A1079,'[1]Sales Order'!A:G,7,FALSE),[1]Shipper!A:B,2,FALSE),"Not Specified")</f>
        <v>Shipper ETYNR</v>
      </c>
      <c r="O1079" t="str">
        <f>IFERROR(VLOOKUP(A1079,'[1]Sales Order'!A:I,9,FALSE),"Not Specified")</f>
        <v>Ship to 71-A</v>
      </c>
      <c r="P1079" t="str">
        <f>IFERROR(VLOOKUP(A1079,'[1]Sales Order'!A:N,14,FALSE),"Not Specified")</f>
        <v>USA</v>
      </c>
      <c r="Q1079" t="str">
        <f>VLOOKUP(VLOOKUP(B1079,[1]Product!A:C,3,FALSE),[1]Supplier!A:B,2,FALSE)</f>
        <v>Supplier ZWZDM</v>
      </c>
      <c r="R1079" t="str">
        <f>VLOOKUP(VLOOKUP(B1079,[1]Product!A:C,3,FALSE),[1]Supplier!A:I,9,FALSE)</f>
        <v>Italy</v>
      </c>
      <c r="S1079" t="str">
        <f>IFERROR(IF(VLOOKUP(A1079,'[1]Sales Order'!A:H,8,FALSE)&gt;100,"High Freight","Low Freight"),"Not Specified")</f>
        <v>High Freight</v>
      </c>
      <c r="T1079">
        <f t="shared" si="33"/>
        <v>1710</v>
      </c>
    </row>
    <row r="1080" spans="1:20">
      <c r="A1080" s="1">
        <v>10657</v>
      </c>
      <c r="B1080" s="2">
        <v>60</v>
      </c>
      <c r="C1080" s="2">
        <v>34</v>
      </c>
      <c r="D1080" s="2">
        <v>30</v>
      </c>
      <c r="E1080" s="3">
        <v>0</v>
      </c>
      <c r="F1080" s="2" t="str">
        <f>IFERROR(VLOOKUP(VLOOKUP(A1080,'[1]Sales Order'!A:B,2,FALSE),[1]Customer!A:C,3,FALSE),"Not Specified")</f>
        <v>Navarro, Tomás</v>
      </c>
      <c r="G1080" s="2" t="str">
        <f t="shared" si="32"/>
        <v>Navarro Tomás</v>
      </c>
      <c r="H1080" s="8" t="str">
        <f>IFERROR(VLOOKUP(VLOOKUP(A1080,'[1]Sales Order'!A:C,3,FALSE),[1]Employee!A:E,5,FALSE)&amp;" "&amp;VLOOKUP(VLOOKUP(A1080,'[1]Sales Order'!A:C,3,FALSE),[1]Employee!A:C,3,FALSE)&amp;" "&amp;VLOOKUP(VLOOKUP(A1080,'[1]Sales Order'!A:C,3,FALSE),[1]Employee!A:B,2,FALSE),"Not Specified")</f>
        <v>Dr. Don Funk</v>
      </c>
      <c r="I1080" t="str">
        <f>IFERROR(VLOOKUP(VLOOKUP(A1080,'[1]Sales Order'!A:C,3,FALSE),[1]Employee!A:J,10,FALSE),"Not Specified")</f>
        <v>WA</v>
      </c>
      <c r="J1080" t="str">
        <f>VLOOKUP(B1080,[1]Product!A:B,2,FALSE)</f>
        <v>Product WHBYK</v>
      </c>
      <c r="K1080" t="str">
        <f>VLOOKUP(VLOOKUP(B1080,[1]Product!A:D,4,FALSE),[1]Category!A:B,2,FALSE)</f>
        <v>Dairy Product</v>
      </c>
      <c r="L1080" s="10">
        <f>IFERROR(VLOOKUP(A1080,'[1]Sales Order'!A:D,4,FALSE),"")</f>
        <v>39329</v>
      </c>
      <c r="M1080" s="10">
        <f>IFERROR(VLOOKUP(A1080,'[1]Sales Order'!A:F,6,FALSE),"")</f>
        <v>39340</v>
      </c>
      <c r="N1080" t="str">
        <f>IFERROR(VLOOKUP(VLOOKUP(A1080,'[1]Sales Order'!A:G,7,FALSE),[1]Shipper!A:B,2,FALSE),"Not Specified")</f>
        <v>Shipper ETYNR</v>
      </c>
      <c r="O1080" t="str">
        <f>IFERROR(VLOOKUP(A1080,'[1]Sales Order'!A:I,9,FALSE),"Not Specified")</f>
        <v>Ship to 71-A</v>
      </c>
      <c r="P1080" t="str">
        <f>IFERROR(VLOOKUP(A1080,'[1]Sales Order'!A:N,14,FALSE),"Not Specified")</f>
        <v>USA</v>
      </c>
      <c r="Q1080" t="str">
        <f>VLOOKUP(VLOOKUP(B1080,[1]Product!A:C,3,FALSE),[1]Supplier!A:B,2,FALSE)</f>
        <v>Supplier OAVQT</v>
      </c>
      <c r="R1080" t="str">
        <f>VLOOKUP(VLOOKUP(B1080,[1]Product!A:C,3,FALSE),[1]Supplier!A:I,9,FALSE)</f>
        <v>France</v>
      </c>
      <c r="S1080" t="str">
        <f>IFERROR(IF(VLOOKUP(A1080,'[1]Sales Order'!A:H,8,FALSE)&gt;100,"High Freight","Low Freight"),"Not Specified")</f>
        <v>High Freight</v>
      </c>
      <c r="T1080">
        <f t="shared" si="33"/>
        <v>1020</v>
      </c>
    </row>
    <row r="1081" spans="1:20">
      <c r="A1081" s="1">
        <v>10658</v>
      </c>
      <c r="B1081" s="2">
        <v>21</v>
      </c>
      <c r="C1081" s="2">
        <v>10</v>
      </c>
      <c r="D1081" s="2">
        <v>60</v>
      </c>
      <c r="E1081" s="3">
        <v>0</v>
      </c>
      <c r="F1081" s="2" t="str">
        <f>IFERROR(VLOOKUP(VLOOKUP(A1081,'[1]Sales Order'!A:B,2,FALSE),[1]Customer!A:C,3,FALSE),"Not Specified")</f>
        <v>Veronesi, Giorgio</v>
      </c>
      <c r="G1081" s="2" t="str">
        <f t="shared" si="32"/>
        <v>Veronesi Giorgio</v>
      </c>
      <c r="H1081" s="8" t="str">
        <f>IFERROR(VLOOKUP(VLOOKUP(A1081,'[1]Sales Order'!A:C,3,FALSE),[1]Employee!A:E,5,FALSE)&amp;" "&amp;VLOOKUP(VLOOKUP(A1081,'[1]Sales Order'!A:C,3,FALSE),[1]Employee!A:C,3,FALSE)&amp;" "&amp;VLOOKUP(VLOOKUP(A1081,'[1]Sales Order'!A:C,3,FALSE),[1]Employee!A:B,2,FALSE),"Not Specified")</f>
        <v>Mrs. Yael Peled</v>
      </c>
      <c r="I1081" t="str">
        <f>IFERROR(VLOOKUP(VLOOKUP(A1081,'[1]Sales Order'!A:C,3,FALSE),[1]Employee!A:J,10,FALSE),"Not Specified")</f>
        <v>WA</v>
      </c>
      <c r="J1081" t="str">
        <f>VLOOKUP(B1081,[1]Product!A:B,2,FALSE)</f>
        <v>Product VJZZH</v>
      </c>
      <c r="K1081" t="str">
        <f>VLOOKUP(VLOOKUP(B1081,[1]Product!A:D,4,FALSE),[1]Category!A:B,2,FALSE)</f>
        <v>Confections</v>
      </c>
      <c r="L1081" s="10">
        <f>IFERROR(VLOOKUP(A1081,'[1]Sales Order'!A:D,4,FALSE),"")</f>
        <v>39330</v>
      </c>
      <c r="M1081" s="10">
        <f>IFERROR(VLOOKUP(A1081,'[1]Sales Order'!A:F,6,FALSE),"")</f>
        <v>39333</v>
      </c>
      <c r="N1081" t="str">
        <f>IFERROR(VLOOKUP(VLOOKUP(A1081,'[1]Sales Order'!A:G,7,FALSE),[1]Shipper!A:B,2,FALSE),"Not Specified")</f>
        <v>Shipper GVSUA</v>
      </c>
      <c r="O1081" t="str">
        <f>IFERROR(VLOOKUP(A1081,'[1]Sales Order'!A:I,9,FALSE),"Not Specified")</f>
        <v>Ship to 63-C</v>
      </c>
      <c r="P1081" t="str">
        <f>IFERROR(VLOOKUP(A1081,'[1]Sales Order'!A:N,14,FALSE),"Not Specified")</f>
        <v>Germany</v>
      </c>
      <c r="Q1081" t="str">
        <f>VLOOKUP(VLOOKUP(B1081,[1]Product!A:C,3,FALSE),[1]Supplier!A:B,2,FALSE)</f>
        <v>Supplier BWGYE</v>
      </c>
      <c r="R1081" t="str">
        <f>VLOOKUP(VLOOKUP(B1081,[1]Product!A:C,3,FALSE),[1]Supplier!A:I,9,FALSE)</f>
        <v>UK</v>
      </c>
      <c r="S1081" t="str">
        <f>IFERROR(IF(VLOOKUP(A1081,'[1]Sales Order'!A:H,8,FALSE)&gt;100,"High Freight","Low Freight"),"Not Specified")</f>
        <v>High Freight</v>
      </c>
      <c r="T1081">
        <f t="shared" si="33"/>
        <v>600</v>
      </c>
    </row>
    <row r="1082" spans="1:20">
      <c r="A1082" s="1">
        <v>10658</v>
      </c>
      <c r="B1082" s="2">
        <v>40</v>
      </c>
      <c r="C1082" s="2">
        <v>18.399999999999999</v>
      </c>
      <c r="D1082" s="2">
        <v>70</v>
      </c>
      <c r="E1082" s="3">
        <v>0.05</v>
      </c>
      <c r="F1082" s="2" t="str">
        <f>IFERROR(VLOOKUP(VLOOKUP(A1082,'[1]Sales Order'!A:B,2,FALSE),[1]Customer!A:C,3,FALSE),"Not Specified")</f>
        <v>Veronesi, Giorgio</v>
      </c>
      <c r="G1082" s="2" t="str">
        <f t="shared" si="32"/>
        <v>Veronesi Giorgio</v>
      </c>
      <c r="H1082" s="8" t="str">
        <f>IFERROR(VLOOKUP(VLOOKUP(A1082,'[1]Sales Order'!A:C,3,FALSE),[1]Employee!A:E,5,FALSE)&amp;" "&amp;VLOOKUP(VLOOKUP(A1082,'[1]Sales Order'!A:C,3,FALSE),[1]Employee!A:C,3,FALSE)&amp;" "&amp;VLOOKUP(VLOOKUP(A1082,'[1]Sales Order'!A:C,3,FALSE),[1]Employee!A:B,2,FALSE),"Not Specified")</f>
        <v>Mrs. Yael Peled</v>
      </c>
      <c r="I1082" t="str">
        <f>IFERROR(VLOOKUP(VLOOKUP(A1082,'[1]Sales Order'!A:C,3,FALSE),[1]Employee!A:J,10,FALSE),"Not Specified")</f>
        <v>WA</v>
      </c>
      <c r="J1082" t="str">
        <f>VLOOKUP(B1082,[1]Product!A:B,2,FALSE)</f>
        <v>Product YZIXQ</v>
      </c>
      <c r="K1082" t="str">
        <f>VLOOKUP(VLOOKUP(B1082,[1]Product!A:D,4,FALSE),[1]Category!A:B,2,FALSE)</f>
        <v>Seafood</v>
      </c>
      <c r="L1082" s="10">
        <f>IFERROR(VLOOKUP(A1082,'[1]Sales Order'!A:D,4,FALSE),"")</f>
        <v>39330</v>
      </c>
      <c r="M1082" s="10">
        <f>IFERROR(VLOOKUP(A1082,'[1]Sales Order'!A:F,6,FALSE),"")</f>
        <v>39333</v>
      </c>
      <c r="N1082" t="str">
        <f>IFERROR(VLOOKUP(VLOOKUP(A1082,'[1]Sales Order'!A:G,7,FALSE),[1]Shipper!A:B,2,FALSE),"Not Specified")</f>
        <v>Shipper GVSUA</v>
      </c>
      <c r="O1082" t="str">
        <f>IFERROR(VLOOKUP(A1082,'[1]Sales Order'!A:I,9,FALSE),"Not Specified")</f>
        <v>Ship to 63-C</v>
      </c>
      <c r="P1082" t="str">
        <f>IFERROR(VLOOKUP(A1082,'[1]Sales Order'!A:N,14,FALSE),"Not Specified")</f>
        <v>Germany</v>
      </c>
      <c r="Q1082" t="str">
        <f>VLOOKUP(VLOOKUP(B1082,[1]Product!A:C,3,FALSE),[1]Supplier!A:B,2,FALSE)</f>
        <v>Supplier JDNUG</v>
      </c>
      <c r="R1082" t="str">
        <f>VLOOKUP(VLOOKUP(B1082,[1]Product!A:C,3,FALSE),[1]Supplier!A:I,9,FALSE)</f>
        <v>USA</v>
      </c>
      <c r="S1082" t="str">
        <f>IFERROR(IF(VLOOKUP(A1082,'[1]Sales Order'!A:H,8,FALSE)&gt;100,"High Freight","Low Freight"),"Not Specified")</f>
        <v>High Freight</v>
      </c>
      <c r="T1082">
        <f t="shared" si="33"/>
        <v>1223.5999999999999</v>
      </c>
    </row>
    <row r="1083" spans="1:20">
      <c r="A1083" s="1">
        <v>10658</v>
      </c>
      <c r="B1083" s="2">
        <v>60</v>
      </c>
      <c r="C1083" s="2">
        <v>34</v>
      </c>
      <c r="D1083" s="2">
        <v>55</v>
      </c>
      <c r="E1083" s="3">
        <v>0.05</v>
      </c>
      <c r="F1083" s="2" t="str">
        <f>IFERROR(VLOOKUP(VLOOKUP(A1083,'[1]Sales Order'!A:B,2,FALSE),[1]Customer!A:C,3,FALSE),"Not Specified")</f>
        <v>Veronesi, Giorgio</v>
      </c>
      <c r="G1083" s="2" t="str">
        <f t="shared" si="32"/>
        <v>Veronesi Giorgio</v>
      </c>
      <c r="H1083" s="8" t="str">
        <f>IFERROR(VLOOKUP(VLOOKUP(A1083,'[1]Sales Order'!A:C,3,FALSE),[1]Employee!A:E,5,FALSE)&amp;" "&amp;VLOOKUP(VLOOKUP(A1083,'[1]Sales Order'!A:C,3,FALSE),[1]Employee!A:C,3,FALSE)&amp;" "&amp;VLOOKUP(VLOOKUP(A1083,'[1]Sales Order'!A:C,3,FALSE),[1]Employee!A:B,2,FALSE),"Not Specified")</f>
        <v>Mrs. Yael Peled</v>
      </c>
      <c r="I1083" t="str">
        <f>IFERROR(VLOOKUP(VLOOKUP(A1083,'[1]Sales Order'!A:C,3,FALSE),[1]Employee!A:J,10,FALSE),"Not Specified")</f>
        <v>WA</v>
      </c>
      <c r="J1083" t="str">
        <f>VLOOKUP(B1083,[1]Product!A:B,2,FALSE)</f>
        <v>Product WHBYK</v>
      </c>
      <c r="K1083" t="str">
        <f>VLOOKUP(VLOOKUP(B1083,[1]Product!A:D,4,FALSE),[1]Category!A:B,2,FALSE)</f>
        <v>Dairy Product</v>
      </c>
      <c r="L1083" s="10">
        <f>IFERROR(VLOOKUP(A1083,'[1]Sales Order'!A:D,4,FALSE),"")</f>
        <v>39330</v>
      </c>
      <c r="M1083" s="10">
        <f>IFERROR(VLOOKUP(A1083,'[1]Sales Order'!A:F,6,FALSE),"")</f>
        <v>39333</v>
      </c>
      <c r="N1083" t="str">
        <f>IFERROR(VLOOKUP(VLOOKUP(A1083,'[1]Sales Order'!A:G,7,FALSE),[1]Shipper!A:B,2,FALSE),"Not Specified")</f>
        <v>Shipper GVSUA</v>
      </c>
      <c r="O1083" t="str">
        <f>IFERROR(VLOOKUP(A1083,'[1]Sales Order'!A:I,9,FALSE),"Not Specified")</f>
        <v>Ship to 63-C</v>
      </c>
      <c r="P1083" t="str">
        <f>IFERROR(VLOOKUP(A1083,'[1]Sales Order'!A:N,14,FALSE),"Not Specified")</f>
        <v>Germany</v>
      </c>
      <c r="Q1083" t="str">
        <f>VLOOKUP(VLOOKUP(B1083,[1]Product!A:C,3,FALSE),[1]Supplier!A:B,2,FALSE)</f>
        <v>Supplier OAVQT</v>
      </c>
      <c r="R1083" t="str">
        <f>VLOOKUP(VLOOKUP(B1083,[1]Product!A:C,3,FALSE),[1]Supplier!A:I,9,FALSE)</f>
        <v>France</v>
      </c>
      <c r="S1083" t="str">
        <f>IFERROR(IF(VLOOKUP(A1083,'[1]Sales Order'!A:H,8,FALSE)&gt;100,"High Freight","Low Freight"),"Not Specified")</f>
        <v>High Freight</v>
      </c>
      <c r="T1083">
        <f t="shared" si="33"/>
        <v>1776.5</v>
      </c>
    </row>
    <row r="1084" spans="1:20">
      <c r="A1084" s="1">
        <v>10658</v>
      </c>
      <c r="B1084" s="2">
        <v>77</v>
      </c>
      <c r="C1084" s="2">
        <v>13</v>
      </c>
      <c r="D1084" s="2">
        <v>70</v>
      </c>
      <c r="E1084" s="3">
        <v>0.05</v>
      </c>
      <c r="F1084" s="2" t="str">
        <f>IFERROR(VLOOKUP(VLOOKUP(A1084,'[1]Sales Order'!A:B,2,FALSE),[1]Customer!A:C,3,FALSE),"Not Specified")</f>
        <v>Veronesi, Giorgio</v>
      </c>
      <c r="G1084" s="2" t="str">
        <f t="shared" si="32"/>
        <v>Veronesi Giorgio</v>
      </c>
      <c r="H1084" s="8" t="str">
        <f>IFERROR(VLOOKUP(VLOOKUP(A1084,'[1]Sales Order'!A:C,3,FALSE),[1]Employee!A:E,5,FALSE)&amp;" "&amp;VLOOKUP(VLOOKUP(A1084,'[1]Sales Order'!A:C,3,FALSE),[1]Employee!A:C,3,FALSE)&amp;" "&amp;VLOOKUP(VLOOKUP(A1084,'[1]Sales Order'!A:C,3,FALSE),[1]Employee!A:B,2,FALSE),"Not Specified")</f>
        <v>Mrs. Yael Peled</v>
      </c>
      <c r="I1084" t="str">
        <f>IFERROR(VLOOKUP(VLOOKUP(A1084,'[1]Sales Order'!A:C,3,FALSE),[1]Employee!A:J,10,FALSE),"Not Specified")</f>
        <v>WA</v>
      </c>
      <c r="J1084" t="str">
        <f>VLOOKUP(B1084,[1]Product!A:B,2,FALSE)</f>
        <v>Product LUNZZ</v>
      </c>
      <c r="K1084" t="str">
        <f>VLOOKUP(VLOOKUP(B1084,[1]Product!A:D,4,FALSE),[1]Category!A:B,2,FALSE)</f>
        <v>Condiments</v>
      </c>
      <c r="L1084" s="10">
        <f>IFERROR(VLOOKUP(A1084,'[1]Sales Order'!A:D,4,FALSE),"")</f>
        <v>39330</v>
      </c>
      <c r="M1084" s="10">
        <f>IFERROR(VLOOKUP(A1084,'[1]Sales Order'!A:F,6,FALSE),"")</f>
        <v>39333</v>
      </c>
      <c r="N1084" t="str">
        <f>IFERROR(VLOOKUP(VLOOKUP(A1084,'[1]Sales Order'!A:G,7,FALSE),[1]Shipper!A:B,2,FALSE),"Not Specified")</f>
        <v>Shipper GVSUA</v>
      </c>
      <c r="O1084" t="str">
        <f>IFERROR(VLOOKUP(A1084,'[1]Sales Order'!A:I,9,FALSE),"Not Specified")</f>
        <v>Ship to 63-C</v>
      </c>
      <c r="P1084" t="str">
        <f>IFERROR(VLOOKUP(A1084,'[1]Sales Order'!A:N,14,FALSE),"Not Specified")</f>
        <v>Germany</v>
      </c>
      <c r="Q1084" t="str">
        <f>VLOOKUP(VLOOKUP(B1084,[1]Product!A:C,3,FALSE),[1]Supplier!A:B,2,FALSE)</f>
        <v>Supplier SVIYA</v>
      </c>
      <c r="R1084" t="str">
        <f>VLOOKUP(VLOOKUP(B1084,[1]Product!A:C,3,FALSE),[1]Supplier!A:I,9,FALSE)</f>
        <v>Germany</v>
      </c>
      <c r="S1084" t="str">
        <f>IFERROR(IF(VLOOKUP(A1084,'[1]Sales Order'!A:H,8,FALSE)&gt;100,"High Freight","Low Freight"),"Not Specified")</f>
        <v>High Freight</v>
      </c>
      <c r="T1084">
        <f t="shared" si="33"/>
        <v>864.5</v>
      </c>
    </row>
    <row r="1085" spans="1:20">
      <c r="A1085" s="1">
        <v>10659</v>
      </c>
      <c r="B1085" s="2">
        <v>31</v>
      </c>
      <c r="C1085" s="2">
        <v>12.5</v>
      </c>
      <c r="D1085" s="2">
        <v>20</v>
      </c>
      <c r="E1085" s="3">
        <v>0.05</v>
      </c>
      <c r="F1085" s="2" t="str">
        <f>IFERROR(VLOOKUP(VLOOKUP(A1085,'[1]Sales Order'!A:B,2,FALSE),[1]Customer!A:C,3,FALSE),"Not Specified")</f>
        <v>Misiec, Anna</v>
      </c>
      <c r="G1085" s="2" t="str">
        <f t="shared" si="32"/>
        <v>Misiec Anna</v>
      </c>
      <c r="H1085" s="8" t="str">
        <f>IFERROR(VLOOKUP(VLOOKUP(A1085,'[1]Sales Order'!A:C,3,FALSE),[1]Employee!A:E,5,FALSE)&amp;" "&amp;VLOOKUP(VLOOKUP(A1085,'[1]Sales Order'!A:C,3,FALSE),[1]Employee!A:C,3,FALSE)&amp;" "&amp;VLOOKUP(VLOOKUP(A1085,'[1]Sales Order'!A:C,3,FALSE),[1]Employee!A:B,2,FALSE),"Not Specified")</f>
        <v>Mr. Russell King</v>
      </c>
      <c r="I1085">
        <f>IFERROR(VLOOKUP(VLOOKUP(A1085,'[1]Sales Order'!A:C,3,FALSE),[1]Employee!A:J,10,FALSE),"Not Specified")</f>
        <v>0</v>
      </c>
      <c r="J1085" t="str">
        <f>VLOOKUP(B1085,[1]Product!A:B,2,FALSE)</f>
        <v>Product XWOXC</v>
      </c>
      <c r="K1085" t="str">
        <f>VLOOKUP(VLOOKUP(B1085,[1]Product!A:D,4,FALSE),[1]Category!A:B,2,FALSE)</f>
        <v>Dairy Product</v>
      </c>
      <c r="L1085" s="10">
        <f>IFERROR(VLOOKUP(A1085,'[1]Sales Order'!A:D,4,FALSE),"")</f>
        <v>39330</v>
      </c>
      <c r="M1085" s="10">
        <f>IFERROR(VLOOKUP(A1085,'[1]Sales Order'!A:F,6,FALSE),"")</f>
        <v>39335</v>
      </c>
      <c r="N1085" t="str">
        <f>IFERROR(VLOOKUP(VLOOKUP(A1085,'[1]Sales Order'!A:G,7,FALSE),[1]Shipper!A:B,2,FALSE),"Not Specified")</f>
        <v>Shipper ETYNR</v>
      </c>
      <c r="O1085" t="str">
        <f>IFERROR(VLOOKUP(A1085,'[1]Sales Order'!A:I,9,FALSE),"Not Specified")</f>
        <v>Ship to 62-B</v>
      </c>
      <c r="P1085" t="str">
        <f>IFERROR(VLOOKUP(A1085,'[1]Sales Order'!A:N,14,FALSE),"Not Specified")</f>
        <v>Brazil</v>
      </c>
      <c r="Q1085" t="str">
        <f>VLOOKUP(VLOOKUP(B1085,[1]Product!A:C,3,FALSE),[1]Supplier!A:B,2,FALSE)</f>
        <v>Supplier KEREV</v>
      </c>
      <c r="R1085" t="str">
        <f>VLOOKUP(VLOOKUP(B1085,[1]Product!A:C,3,FALSE),[1]Supplier!A:I,9,FALSE)</f>
        <v>Italy</v>
      </c>
      <c r="S1085" t="str">
        <f>IFERROR(IF(VLOOKUP(A1085,'[1]Sales Order'!A:H,8,FALSE)&gt;100,"High Freight","Low Freight"),"Not Specified")</f>
        <v>High Freight</v>
      </c>
      <c r="T1085">
        <f t="shared" si="33"/>
        <v>237.5</v>
      </c>
    </row>
    <row r="1086" spans="1:20">
      <c r="A1086" s="1">
        <v>10659</v>
      </c>
      <c r="B1086" s="2">
        <v>40</v>
      </c>
      <c r="C1086" s="2">
        <v>18.399999999999999</v>
      </c>
      <c r="D1086" s="2">
        <v>24</v>
      </c>
      <c r="E1086" s="3">
        <v>0.05</v>
      </c>
      <c r="F1086" s="2" t="str">
        <f>IFERROR(VLOOKUP(VLOOKUP(A1086,'[1]Sales Order'!A:B,2,FALSE),[1]Customer!A:C,3,FALSE),"Not Specified")</f>
        <v>Misiec, Anna</v>
      </c>
      <c r="G1086" s="2" t="str">
        <f t="shared" si="32"/>
        <v>Misiec Anna</v>
      </c>
      <c r="H1086" s="8" t="str">
        <f>IFERROR(VLOOKUP(VLOOKUP(A1086,'[1]Sales Order'!A:C,3,FALSE),[1]Employee!A:E,5,FALSE)&amp;" "&amp;VLOOKUP(VLOOKUP(A1086,'[1]Sales Order'!A:C,3,FALSE),[1]Employee!A:C,3,FALSE)&amp;" "&amp;VLOOKUP(VLOOKUP(A1086,'[1]Sales Order'!A:C,3,FALSE),[1]Employee!A:B,2,FALSE),"Not Specified")</f>
        <v>Mr. Russell King</v>
      </c>
      <c r="I1086">
        <f>IFERROR(VLOOKUP(VLOOKUP(A1086,'[1]Sales Order'!A:C,3,FALSE),[1]Employee!A:J,10,FALSE),"Not Specified")</f>
        <v>0</v>
      </c>
      <c r="J1086" t="str">
        <f>VLOOKUP(B1086,[1]Product!A:B,2,FALSE)</f>
        <v>Product YZIXQ</v>
      </c>
      <c r="K1086" t="str">
        <f>VLOOKUP(VLOOKUP(B1086,[1]Product!A:D,4,FALSE),[1]Category!A:B,2,FALSE)</f>
        <v>Seafood</v>
      </c>
      <c r="L1086" s="10">
        <f>IFERROR(VLOOKUP(A1086,'[1]Sales Order'!A:D,4,FALSE),"")</f>
        <v>39330</v>
      </c>
      <c r="M1086" s="10">
        <f>IFERROR(VLOOKUP(A1086,'[1]Sales Order'!A:F,6,FALSE),"")</f>
        <v>39335</v>
      </c>
      <c r="N1086" t="str">
        <f>IFERROR(VLOOKUP(VLOOKUP(A1086,'[1]Sales Order'!A:G,7,FALSE),[1]Shipper!A:B,2,FALSE),"Not Specified")</f>
        <v>Shipper ETYNR</v>
      </c>
      <c r="O1086" t="str">
        <f>IFERROR(VLOOKUP(A1086,'[1]Sales Order'!A:I,9,FALSE),"Not Specified")</f>
        <v>Ship to 62-B</v>
      </c>
      <c r="P1086" t="str">
        <f>IFERROR(VLOOKUP(A1086,'[1]Sales Order'!A:N,14,FALSE),"Not Specified")</f>
        <v>Brazil</v>
      </c>
      <c r="Q1086" t="str">
        <f>VLOOKUP(VLOOKUP(B1086,[1]Product!A:C,3,FALSE),[1]Supplier!A:B,2,FALSE)</f>
        <v>Supplier JDNUG</v>
      </c>
      <c r="R1086" t="str">
        <f>VLOOKUP(VLOOKUP(B1086,[1]Product!A:C,3,FALSE),[1]Supplier!A:I,9,FALSE)</f>
        <v>USA</v>
      </c>
      <c r="S1086" t="str">
        <f>IFERROR(IF(VLOOKUP(A1086,'[1]Sales Order'!A:H,8,FALSE)&gt;100,"High Freight","Low Freight"),"Not Specified")</f>
        <v>High Freight</v>
      </c>
      <c r="T1086">
        <f t="shared" si="33"/>
        <v>419.51999999999992</v>
      </c>
    </row>
    <row r="1087" spans="1:20">
      <c r="A1087" s="1">
        <v>10659</v>
      </c>
      <c r="B1087" s="2">
        <v>70</v>
      </c>
      <c r="C1087" s="2">
        <v>15</v>
      </c>
      <c r="D1087" s="2">
        <v>40</v>
      </c>
      <c r="E1087" s="3">
        <v>0.05</v>
      </c>
      <c r="F1087" s="2" t="str">
        <f>IFERROR(VLOOKUP(VLOOKUP(A1087,'[1]Sales Order'!A:B,2,FALSE),[1]Customer!A:C,3,FALSE),"Not Specified")</f>
        <v>Misiec, Anna</v>
      </c>
      <c r="G1087" s="2" t="str">
        <f t="shared" si="32"/>
        <v>Misiec Anna</v>
      </c>
      <c r="H1087" s="8" t="str">
        <f>IFERROR(VLOOKUP(VLOOKUP(A1087,'[1]Sales Order'!A:C,3,FALSE),[1]Employee!A:E,5,FALSE)&amp;" "&amp;VLOOKUP(VLOOKUP(A1087,'[1]Sales Order'!A:C,3,FALSE),[1]Employee!A:C,3,FALSE)&amp;" "&amp;VLOOKUP(VLOOKUP(A1087,'[1]Sales Order'!A:C,3,FALSE),[1]Employee!A:B,2,FALSE),"Not Specified")</f>
        <v>Mr. Russell King</v>
      </c>
      <c r="I1087">
        <f>IFERROR(VLOOKUP(VLOOKUP(A1087,'[1]Sales Order'!A:C,3,FALSE),[1]Employee!A:J,10,FALSE),"Not Specified")</f>
        <v>0</v>
      </c>
      <c r="J1087" t="str">
        <f>VLOOKUP(B1087,[1]Product!A:B,2,FALSE)</f>
        <v>Product TOONT</v>
      </c>
      <c r="K1087" t="str">
        <f>VLOOKUP(VLOOKUP(B1087,[1]Product!A:D,4,FALSE),[1]Category!A:B,2,FALSE)</f>
        <v>Beverages</v>
      </c>
      <c r="L1087" s="10">
        <f>IFERROR(VLOOKUP(A1087,'[1]Sales Order'!A:D,4,FALSE),"")</f>
        <v>39330</v>
      </c>
      <c r="M1087" s="10">
        <f>IFERROR(VLOOKUP(A1087,'[1]Sales Order'!A:F,6,FALSE),"")</f>
        <v>39335</v>
      </c>
      <c r="N1087" t="str">
        <f>IFERROR(VLOOKUP(VLOOKUP(A1087,'[1]Sales Order'!A:G,7,FALSE),[1]Shipper!A:B,2,FALSE),"Not Specified")</f>
        <v>Shipper ETYNR</v>
      </c>
      <c r="O1087" t="str">
        <f>IFERROR(VLOOKUP(A1087,'[1]Sales Order'!A:I,9,FALSE),"Not Specified")</f>
        <v>Ship to 62-B</v>
      </c>
      <c r="P1087" t="str">
        <f>IFERROR(VLOOKUP(A1087,'[1]Sales Order'!A:N,14,FALSE),"Not Specified")</f>
        <v>Brazil</v>
      </c>
      <c r="Q1087" t="str">
        <f>VLOOKUP(VLOOKUP(B1087,[1]Product!A:C,3,FALSE),[1]Supplier!A:B,2,FALSE)</f>
        <v>Supplier GQRCV</v>
      </c>
      <c r="R1087" t="str">
        <f>VLOOKUP(VLOOKUP(B1087,[1]Product!A:C,3,FALSE),[1]Supplier!A:I,9,FALSE)</f>
        <v>Australia</v>
      </c>
      <c r="S1087" t="str">
        <f>IFERROR(IF(VLOOKUP(A1087,'[1]Sales Order'!A:H,8,FALSE)&gt;100,"High Freight","Low Freight"),"Not Specified")</f>
        <v>High Freight</v>
      </c>
      <c r="T1087">
        <f t="shared" si="33"/>
        <v>570</v>
      </c>
    </row>
    <row r="1088" spans="1:20">
      <c r="A1088" s="1">
        <v>10660</v>
      </c>
      <c r="B1088" s="2">
        <v>20</v>
      </c>
      <c r="C1088" s="2">
        <v>81</v>
      </c>
      <c r="D1088" s="2">
        <v>21</v>
      </c>
      <c r="E1088" s="3">
        <v>0</v>
      </c>
      <c r="F1088" s="2" t="str">
        <f>IFERROR(VLOOKUP(VLOOKUP(A1088,'[1]Sales Order'!A:B,2,FALSE),[1]Customer!A:C,3,FALSE),"Not Specified")</f>
        <v>Smith, Denise</v>
      </c>
      <c r="G1088" s="2" t="str">
        <f t="shared" si="32"/>
        <v>Smith Denise</v>
      </c>
      <c r="H1088" s="8" t="str">
        <f>IFERROR(VLOOKUP(VLOOKUP(A1088,'[1]Sales Order'!A:C,3,FALSE),[1]Employee!A:E,5,FALSE)&amp;" "&amp;VLOOKUP(VLOOKUP(A1088,'[1]Sales Order'!A:C,3,FALSE),[1]Employee!A:C,3,FALSE)&amp;" "&amp;VLOOKUP(VLOOKUP(A1088,'[1]Sales Order'!A:C,3,FALSE),[1]Employee!A:B,2,FALSE),"Not Specified")</f>
        <v>Ms. Maria Cameron</v>
      </c>
      <c r="I1088" t="str">
        <f>IFERROR(VLOOKUP(VLOOKUP(A1088,'[1]Sales Order'!A:C,3,FALSE),[1]Employee!A:J,10,FALSE),"Not Specified")</f>
        <v>WA</v>
      </c>
      <c r="J1088" t="str">
        <f>VLOOKUP(B1088,[1]Product!A:B,2,FALSE)</f>
        <v>Product QHFFP</v>
      </c>
      <c r="K1088" t="str">
        <f>VLOOKUP(VLOOKUP(B1088,[1]Product!A:D,4,FALSE),[1]Category!A:B,2,FALSE)</f>
        <v>Confections</v>
      </c>
      <c r="L1088" s="10">
        <f>IFERROR(VLOOKUP(A1088,'[1]Sales Order'!A:D,4,FALSE),"")</f>
        <v>39333</v>
      </c>
      <c r="M1088" s="10">
        <f>IFERROR(VLOOKUP(A1088,'[1]Sales Order'!A:F,6,FALSE),"")</f>
        <v>39370</v>
      </c>
      <c r="N1088" t="str">
        <f>IFERROR(VLOOKUP(VLOOKUP(A1088,'[1]Sales Order'!A:G,7,FALSE),[1]Shipper!A:B,2,FALSE),"Not Specified")</f>
        <v>Shipper GVSUA</v>
      </c>
      <c r="O1088" t="str">
        <f>IFERROR(VLOOKUP(A1088,'[1]Sales Order'!A:I,9,FALSE),"Not Specified")</f>
        <v>Destination HOHCR</v>
      </c>
      <c r="P1088" t="str">
        <f>IFERROR(VLOOKUP(A1088,'[1]Sales Order'!A:N,14,FALSE),"Not Specified")</f>
        <v>USA</v>
      </c>
      <c r="Q1088" t="str">
        <f>VLOOKUP(VLOOKUP(B1088,[1]Product!A:C,3,FALSE),[1]Supplier!A:B,2,FALSE)</f>
        <v>Supplier BWGYE</v>
      </c>
      <c r="R1088" t="str">
        <f>VLOOKUP(VLOOKUP(B1088,[1]Product!A:C,3,FALSE),[1]Supplier!A:I,9,FALSE)</f>
        <v>UK</v>
      </c>
      <c r="S1088" t="str">
        <f>IFERROR(IF(VLOOKUP(A1088,'[1]Sales Order'!A:H,8,FALSE)&gt;100,"High Freight","Low Freight"),"Not Specified")</f>
        <v>High Freight</v>
      </c>
      <c r="T1088">
        <f t="shared" si="33"/>
        <v>1701</v>
      </c>
    </row>
    <row r="1089" spans="1:20">
      <c r="A1089" s="1">
        <v>10661</v>
      </c>
      <c r="B1089" s="2">
        <v>39</v>
      </c>
      <c r="C1089" s="2">
        <v>18</v>
      </c>
      <c r="D1089" s="2">
        <v>3</v>
      </c>
      <c r="E1089" s="3">
        <v>0.2</v>
      </c>
      <c r="F1089" s="2" t="str">
        <f>IFERROR(VLOOKUP(VLOOKUP(A1089,'[1]Sales Order'!A:B,2,FALSE),[1]Customer!A:C,3,FALSE),"Not Specified")</f>
        <v>Crăciun, Ovidiu V.</v>
      </c>
      <c r="G1089" s="2" t="str">
        <f t="shared" si="32"/>
        <v>Crăciun Ovidiu V.</v>
      </c>
      <c r="H1089" s="8" t="str">
        <f>IFERROR(VLOOKUP(VLOOKUP(A1089,'[1]Sales Order'!A:C,3,FALSE),[1]Employee!A:E,5,FALSE)&amp;" "&amp;VLOOKUP(VLOOKUP(A1089,'[1]Sales Order'!A:C,3,FALSE),[1]Employee!A:C,3,FALSE)&amp;" "&amp;VLOOKUP(VLOOKUP(A1089,'[1]Sales Order'!A:C,3,FALSE),[1]Employee!A:B,2,FALSE),"Not Specified")</f>
        <v>Mr. Russell King</v>
      </c>
      <c r="I1089">
        <f>IFERROR(VLOOKUP(VLOOKUP(A1089,'[1]Sales Order'!A:C,3,FALSE),[1]Employee!A:J,10,FALSE),"Not Specified")</f>
        <v>0</v>
      </c>
      <c r="J1089" t="str">
        <f>VLOOKUP(B1089,[1]Product!A:B,2,FALSE)</f>
        <v>Product LSOFL</v>
      </c>
      <c r="K1089" t="str">
        <f>VLOOKUP(VLOOKUP(B1089,[1]Product!A:D,4,FALSE),[1]Category!A:B,2,FALSE)</f>
        <v>Beverages</v>
      </c>
      <c r="L1089" s="10">
        <f>IFERROR(VLOOKUP(A1089,'[1]Sales Order'!A:D,4,FALSE),"")</f>
        <v>39334</v>
      </c>
      <c r="M1089" s="10">
        <f>IFERROR(VLOOKUP(A1089,'[1]Sales Order'!A:F,6,FALSE),"")</f>
        <v>39340</v>
      </c>
      <c r="N1089" t="str">
        <f>IFERROR(VLOOKUP(VLOOKUP(A1089,'[1]Sales Order'!A:G,7,FALSE),[1]Shipper!A:B,2,FALSE),"Not Specified")</f>
        <v>Shipper ZHISN</v>
      </c>
      <c r="O1089" t="str">
        <f>IFERROR(VLOOKUP(A1089,'[1]Sales Order'!A:I,9,FALSE),"Not Specified")</f>
        <v>Destination ATSOA</v>
      </c>
      <c r="P1089" t="str">
        <f>IFERROR(VLOOKUP(A1089,'[1]Sales Order'!A:N,14,FALSE),"Not Specified")</f>
        <v>Ireland</v>
      </c>
      <c r="Q1089" t="str">
        <f>VLOOKUP(VLOOKUP(B1089,[1]Product!A:C,3,FALSE),[1]Supplier!A:B,2,FALSE)</f>
        <v>Supplier LVJUA</v>
      </c>
      <c r="R1089" t="str">
        <f>VLOOKUP(VLOOKUP(B1089,[1]Product!A:C,3,FALSE),[1]Supplier!A:I,9,FALSE)</f>
        <v>France</v>
      </c>
      <c r="S1089" t="str">
        <f>IFERROR(IF(VLOOKUP(A1089,'[1]Sales Order'!A:H,8,FALSE)&gt;100,"High Freight","Low Freight"),"Not Specified")</f>
        <v>Low Freight</v>
      </c>
      <c r="T1089">
        <f t="shared" si="33"/>
        <v>43.2</v>
      </c>
    </row>
    <row r="1090" spans="1:20">
      <c r="A1090" s="1">
        <v>10661</v>
      </c>
      <c r="B1090" s="2">
        <v>58</v>
      </c>
      <c r="C1090" s="2">
        <v>13.25</v>
      </c>
      <c r="D1090" s="2">
        <v>49</v>
      </c>
      <c r="E1090" s="3">
        <v>0.2</v>
      </c>
      <c r="F1090" s="2" t="str">
        <f>IFERROR(VLOOKUP(VLOOKUP(A1090,'[1]Sales Order'!A:B,2,FALSE),[1]Customer!A:C,3,FALSE),"Not Specified")</f>
        <v>Crăciun, Ovidiu V.</v>
      </c>
      <c r="G1090" s="2" t="str">
        <f t="shared" si="32"/>
        <v>Crăciun Ovidiu V.</v>
      </c>
      <c r="H1090" s="8" t="str">
        <f>IFERROR(VLOOKUP(VLOOKUP(A1090,'[1]Sales Order'!A:C,3,FALSE),[1]Employee!A:E,5,FALSE)&amp;" "&amp;VLOOKUP(VLOOKUP(A1090,'[1]Sales Order'!A:C,3,FALSE),[1]Employee!A:C,3,FALSE)&amp;" "&amp;VLOOKUP(VLOOKUP(A1090,'[1]Sales Order'!A:C,3,FALSE),[1]Employee!A:B,2,FALSE),"Not Specified")</f>
        <v>Mr. Russell King</v>
      </c>
      <c r="I1090">
        <f>IFERROR(VLOOKUP(VLOOKUP(A1090,'[1]Sales Order'!A:C,3,FALSE),[1]Employee!A:J,10,FALSE),"Not Specified")</f>
        <v>0</v>
      </c>
      <c r="J1090" t="str">
        <f>VLOOKUP(B1090,[1]Product!A:B,2,FALSE)</f>
        <v>Product ACRVI</v>
      </c>
      <c r="K1090" t="str">
        <f>VLOOKUP(VLOOKUP(B1090,[1]Product!A:D,4,FALSE),[1]Category!A:B,2,FALSE)</f>
        <v>Seafood</v>
      </c>
      <c r="L1090" s="10">
        <f>IFERROR(VLOOKUP(A1090,'[1]Sales Order'!A:D,4,FALSE),"")</f>
        <v>39334</v>
      </c>
      <c r="M1090" s="10">
        <f>IFERROR(VLOOKUP(A1090,'[1]Sales Order'!A:F,6,FALSE),"")</f>
        <v>39340</v>
      </c>
      <c r="N1090" t="str">
        <f>IFERROR(VLOOKUP(VLOOKUP(A1090,'[1]Sales Order'!A:G,7,FALSE),[1]Shipper!A:B,2,FALSE),"Not Specified")</f>
        <v>Shipper ZHISN</v>
      </c>
      <c r="O1090" t="str">
        <f>IFERROR(VLOOKUP(A1090,'[1]Sales Order'!A:I,9,FALSE),"Not Specified")</f>
        <v>Destination ATSOA</v>
      </c>
      <c r="P1090" t="str">
        <f>IFERROR(VLOOKUP(A1090,'[1]Sales Order'!A:N,14,FALSE),"Not Specified")</f>
        <v>Ireland</v>
      </c>
      <c r="Q1090" t="str">
        <f>VLOOKUP(VLOOKUP(B1090,[1]Product!A:C,3,FALSE),[1]Supplier!A:B,2,FALSE)</f>
        <v>Supplier ZRYDZ</v>
      </c>
      <c r="R1090" t="str">
        <f>VLOOKUP(VLOOKUP(B1090,[1]Product!A:C,3,FALSE),[1]Supplier!A:I,9,FALSE)</f>
        <v>France</v>
      </c>
      <c r="S1090" t="str">
        <f>IFERROR(IF(VLOOKUP(A1090,'[1]Sales Order'!A:H,8,FALSE)&gt;100,"High Freight","Low Freight"),"Not Specified")</f>
        <v>Low Freight</v>
      </c>
      <c r="T1090">
        <f t="shared" si="33"/>
        <v>519.4</v>
      </c>
    </row>
    <row r="1091" spans="1:20">
      <c r="A1091" s="1">
        <v>10662</v>
      </c>
      <c r="B1091" s="2">
        <v>68</v>
      </c>
      <c r="C1091" s="2">
        <v>12.5</v>
      </c>
      <c r="D1091" s="2">
        <v>10</v>
      </c>
      <c r="E1091" s="3">
        <v>0</v>
      </c>
      <c r="F1091" s="2" t="str">
        <f>IFERROR(VLOOKUP(VLOOKUP(A1091,'[1]Sales Order'!A:B,2,FALSE),[1]Customer!A:C,3,FALSE),"Not Specified")</f>
        <v>Szymczak, Radosław</v>
      </c>
      <c r="G1091" s="2" t="str">
        <f t="shared" ref="G1091:G1154" si="34">SUBSTITUTE(F1091,",","",1)</f>
        <v>Szymczak Radosław</v>
      </c>
      <c r="H1091" s="8" t="str">
        <f>IFERROR(VLOOKUP(VLOOKUP(A1091,'[1]Sales Order'!A:C,3,FALSE),[1]Employee!A:E,5,FALSE)&amp;" "&amp;VLOOKUP(VLOOKUP(A1091,'[1]Sales Order'!A:C,3,FALSE),[1]Employee!A:C,3,FALSE)&amp;" "&amp;VLOOKUP(VLOOKUP(A1091,'[1]Sales Order'!A:C,3,FALSE),[1]Employee!A:B,2,FALSE),"Not Specified")</f>
        <v>Ms. Judy Lew</v>
      </c>
      <c r="I1091" t="str">
        <f>IFERROR(VLOOKUP(VLOOKUP(A1091,'[1]Sales Order'!A:C,3,FALSE),[1]Employee!A:J,10,FALSE),"Not Specified")</f>
        <v>WA</v>
      </c>
      <c r="J1091" t="str">
        <f>VLOOKUP(B1091,[1]Product!A:B,2,FALSE)</f>
        <v>Product TBTBL</v>
      </c>
      <c r="K1091" t="str">
        <f>VLOOKUP(VLOOKUP(B1091,[1]Product!A:D,4,FALSE),[1]Category!A:B,2,FALSE)</f>
        <v>Confections</v>
      </c>
      <c r="L1091" s="10">
        <f>IFERROR(VLOOKUP(A1091,'[1]Sales Order'!A:D,4,FALSE),"")</f>
        <v>39334</v>
      </c>
      <c r="M1091" s="10">
        <f>IFERROR(VLOOKUP(A1091,'[1]Sales Order'!A:F,6,FALSE),"")</f>
        <v>39343</v>
      </c>
      <c r="N1091" t="str">
        <f>IFERROR(VLOOKUP(VLOOKUP(A1091,'[1]Sales Order'!A:G,7,FALSE),[1]Shipper!A:B,2,FALSE),"Not Specified")</f>
        <v>Shipper ETYNR</v>
      </c>
      <c r="O1091" t="str">
        <f>IFERROR(VLOOKUP(A1091,'[1]Sales Order'!A:I,9,FALSE),"Not Specified")</f>
        <v>Ship to 48-C</v>
      </c>
      <c r="P1091" t="str">
        <f>IFERROR(VLOOKUP(A1091,'[1]Sales Order'!A:N,14,FALSE),"Not Specified")</f>
        <v>USA</v>
      </c>
      <c r="Q1091" t="str">
        <f>VLOOKUP(VLOOKUP(B1091,[1]Product!A:C,3,FALSE),[1]Supplier!A:B,2,FALSE)</f>
        <v>Supplier BWGYE</v>
      </c>
      <c r="R1091" t="str">
        <f>VLOOKUP(VLOOKUP(B1091,[1]Product!A:C,3,FALSE),[1]Supplier!A:I,9,FALSE)</f>
        <v>UK</v>
      </c>
      <c r="S1091" t="str">
        <f>IFERROR(IF(VLOOKUP(A1091,'[1]Sales Order'!A:H,8,FALSE)&gt;100,"High Freight","Low Freight"),"Not Specified")</f>
        <v>Low Freight</v>
      </c>
      <c r="T1091">
        <f t="shared" ref="T1091:T1154" si="35">C1091*D1091*(1-E1091)</f>
        <v>125</v>
      </c>
    </row>
    <row r="1092" spans="1:20">
      <c r="A1092" s="1">
        <v>10663</v>
      </c>
      <c r="B1092" s="2">
        <v>40</v>
      </c>
      <c r="C1092" s="2">
        <v>18.399999999999999</v>
      </c>
      <c r="D1092" s="2">
        <v>30</v>
      </c>
      <c r="E1092" s="3">
        <v>0.05</v>
      </c>
      <c r="F1092" s="2" t="str">
        <f>IFERROR(VLOOKUP(VLOOKUP(A1092,'[1]Sales Order'!A:B,2,FALSE),[1]Customer!A:C,3,FALSE),"Not Specified")</f>
        <v>Raghav, Amritansh</v>
      </c>
      <c r="G1092" s="2" t="str">
        <f t="shared" si="34"/>
        <v>Raghav Amritansh</v>
      </c>
      <c r="H1092" s="8" t="str">
        <f>IFERROR(VLOOKUP(VLOOKUP(A1092,'[1]Sales Order'!A:C,3,FALSE),[1]Employee!A:E,5,FALSE)&amp;" "&amp;VLOOKUP(VLOOKUP(A1092,'[1]Sales Order'!A:C,3,FALSE),[1]Employee!A:C,3,FALSE)&amp;" "&amp;VLOOKUP(VLOOKUP(A1092,'[1]Sales Order'!A:C,3,FALSE),[1]Employee!A:B,2,FALSE),"Not Specified")</f>
        <v>Dr. Don Funk</v>
      </c>
      <c r="I1092" t="str">
        <f>IFERROR(VLOOKUP(VLOOKUP(A1092,'[1]Sales Order'!A:C,3,FALSE),[1]Employee!A:J,10,FALSE),"Not Specified")</f>
        <v>WA</v>
      </c>
      <c r="J1092" t="str">
        <f>VLOOKUP(B1092,[1]Product!A:B,2,FALSE)</f>
        <v>Product YZIXQ</v>
      </c>
      <c r="K1092" t="str">
        <f>VLOOKUP(VLOOKUP(B1092,[1]Product!A:D,4,FALSE),[1]Category!A:B,2,FALSE)</f>
        <v>Seafood</v>
      </c>
      <c r="L1092" s="10">
        <f>IFERROR(VLOOKUP(A1092,'[1]Sales Order'!A:D,4,FALSE),"")</f>
        <v>39335</v>
      </c>
      <c r="M1092" s="10">
        <f>IFERROR(VLOOKUP(A1092,'[1]Sales Order'!A:F,6,FALSE),"")</f>
        <v>39358</v>
      </c>
      <c r="N1092" t="str">
        <f>IFERROR(VLOOKUP(VLOOKUP(A1092,'[1]Sales Order'!A:G,7,FALSE),[1]Shipper!A:B,2,FALSE),"Not Specified")</f>
        <v>Shipper ETYNR</v>
      </c>
      <c r="O1092" t="str">
        <f>IFERROR(VLOOKUP(A1092,'[1]Sales Order'!A:I,9,FALSE),"Not Specified")</f>
        <v>Ship to 9-B</v>
      </c>
      <c r="P1092" t="str">
        <f>IFERROR(VLOOKUP(A1092,'[1]Sales Order'!A:N,14,FALSE),"Not Specified")</f>
        <v>France</v>
      </c>
      <c r="Q1092" t="str">
        <f>VLOOKUP(VLOOKUP(B1092,[1]Product!A:C,3,FALSE),[1]Supplier!A:B,2,FALSE)</f>
        <v>Supplier JDNUG</v>
      </c>
      <c r="R1092" t="str">
        <f>VLOOKUP(VLOOKUP(B1092,[1]Product!A:C,3,FALSE),[1]Supplier!A:I,9,FALSE)</f>
        <v>USA</v>
      </c>
      <c r="S1092" t="str">
        <f>IFERROR(IF(VLOOKUP(A1092,'[1]Sales Order'!A:H,8,FALSE)&gt;100,"High Freight","Low Freight"),"Not Specified")</f>
        <v>High Freight</v>
      </c>
      <c r="T1092">
        <f t="shared" si="35"/>
        <v>524.4</v>
      </c>
    </row>
    <row r="1093" spans="1:20">
      <c r="A1093" s="1">
        <v>10663</v>
      </c>
      <c r="B1093" s="2">
        <v>42</v>
      </c>
      <c r="C1093" s="2">
        <v>14</v>
      </c>
      <c r="D1093" s="2">
        <v>30</v>
      </c>
      <c r="E1093" s="3">
        <v>0.05</v>
      </c>
      <c r="F1093" s="2" t="str">
        <f>IFERROR(VLOOKUP(VLOOKUP(A1093,'[1]Sales Order'!A:B,2,FALSE),[1]Customer!A:C,3,FALSE),"Not Specified")</f>
        <v>Raghav, Amritansh</v>
      </c>
      <c r="G1093" s="2" t="str">
        <f t="shared" si="34"/>
        <v>Raghav Amritansh</v>
      </c>
      <c r="H1093" s="8" t="str">
        <f>IFERROR(VLOOKUP(VLOOKUP(A1093,'[1]Sales Order'!A:C,3,FALSE),[1]Employee!A:E,5,FALSE)&amp;" "&amp;VLOOKUP(VLOOKUP(A1093,'[1]Sales Order'!A:C,3,FALSE),[1]Employee!A:C,3,FALSE)&amp;" "&amp;VLOOKUP(VLOOKUP(A1093,'[1]Sales Order'!A:C,3,FALSE),[1]Employee!A:B,2,FALSE),"Not Specified")</f>
        <v>Dr. Don Funk</v>
      </c>
      <c r="I1093" t="str">
        <f>IFERROR(VLOOKUP(VLOOKUP(A1093,'[1]Sales Order'!A:C,3,FALSE),[1]Employee!A:J,10,FALSE),"Not Specified")</f>
        <v>WA</v>
      </c>
      <c r="J1093" t="str">
        <f>VLOOKUP(B1093,[1]Product!A:B,2,FALSE)</f>
        <v>Product RJVNM</v>
      </c>
      <c r="K1093" t="str">
        <f>VLOOKUP(VLOOKUP(B1093,[1]Product!A:D,4,FALSE),[1]Category!A:B,2,FALSE)</f>
        <v>Grains/Cereals</v>
      </c>
      <c r="L1093" s="10">
        <f>IFERROR(VLOOKUP(A1093,'[1]Sales Order'!A:D,4,FALSE),"")</f>
        <v>39335</v>
      </c>
      <c r="M1093" s="10">
        <f>IFERROR(VLOOKUP(A1093,'[1]Sales Order'!A:F,6,FALSE),"")</f>
        <v>39358</v>
      </c>
      <c r="N1093" t="str">
        <f>IFERROR(VLOOKUP(VLOOKUP(A1093,'[1]Sales Order'!A:G,7,FALSE),[1]Shipper!A:B,2,FALSE),"Not Specified")</f>
        <v>Shipper ETYNR</v>
      </c>
      <c r="O1093" t="str">
        <f>IFERROR(VLOOKUP(A1093,'[1]Sales Order'!A:I,9,FALSE),"Not Specified")</f>
        <v>Ship to 9-B</v>
      </c>
      <c r="P1093" t="str">
        <f>IFERROR(VLOOKUP(A1093,'[1]Sales Order'!A:N,14,FALSE),"Not Specified")</f>
        <v>France</v>
      </c>
      <c r="Q1093" t="str">
        <f>VLOOKUP(VLOOKUP(B1093,[1]Product!A:C,3,FALSE),[1]Supplier!A:B,2,FALSE)</f>
        <v>Supplier CIYNM</v>
      </c>
      <c r="R1093" t="str">
        <f>VLOOKUP(VLOOKUP(B1093,[1]Product!A:C,3,FALSE),[1]Supplier!A:I,9,FALSE)</f>
        <v>Singapore</v>
      </c>
      <c r="S1093" t="str">
        <f>IFERROR(IF(VLOOKUP(A1093,'[1]Sales Order'!A:H,8,FALSE)&gt;100,"High Freight","Low Freight"),"Not Specified")</f>
        <v>High Freight</v>
      </c>
      <c r="T1093">
        <f t="shared" si="35"/>
        <v>399</v>
      </c>
    </row>
    <row r="1094" spans="1:20">
      <c r="A1094" s="1">
        <v>10663</v>
      </c>
      <c r="B1094" s="2">
        <v>51</v>
      </c>
      <c r="C1094" s="2">
        <v>53</v>
      </c>
      <c r="D1094" s="2">
        <v>20</v>
      </c>
      <c r="E1094" s="3">
        <v>0.05</v>
      </c>
      <c r="F1094" s="2" t="str">
        <f>IFERROR(VLOOKUP(VLOOKUP(A1094,'[1]Sales Order'!A:B,2,FALSE),[1]Customer!A:C,3,FALSE),"Not Specified")</f>
        <v>Raghav, Amritansh</v>
      </c>
      <c r="G1094" s="2" t="str">
        <f t="shared" si="34"/>
        <v>Raghav Amritansh</v>
      </c>
      <c r="H1094" s="8" t="str">
        <f>IFERROR(VLOOKUP(VLOOKUP(A1094,'[1]Sales Order'!A:C,3,FALSE),[1]Employee!A:E,5,FALSE)&amp;" "&amp;VLOOKUP(VLOOKUP(A1094,'[1]Sales Order'!A:C,3,FALSE),[1]Employee!A:C,3,FALSE)&amp;" "&amp;VLOOKUP(VLOOKUP(A1094,'[1]Sales Order'!A:C,3,FALSE),[1]Employee!A:B,2,FALSE),"Not Specified")</f>
        <v>Dr. Don Funk</v>
      </c>
      <c r="I1094" t="str">
        <f>IFERROR(VLOOKUP(VLOOKUP(A1094,'[1]Sales Order'!A:C,3,FALSE),[1]Employee!A:J,10,FALSE),"Not Specified")</f>
        <v>WA</v>
      </c>
      <c r="J1094" t="str">
        <f>VLOOKUP(B1094,[1]Product!A:B,2,FALSE)</f>
        <v>Product APITJ</v>
      </c>
      <c r="K1094" t="str">
        <f>VLOOKUP(VLOOKUP(B1094,[1]Product!A:D,4,FALSE),[1]Category!A:B,2,FALSE)</f>
        <v>Produce</v>
      </c>
      <c r="L1094" s="10">
        <f>IFERROR(VLOOKUP(A1094,'[1]Sales Order'!A:D,4,FALSE),"")</f>
        <v>39335</v>
      </c>
      <c r="M1094" s="10">
        <f>IFERROR(VLOOKUP(A1094,'[1]Sales Order'!A:F,6,FALSE),"")</f>
        <v>39358</v>
      </c>
      <c r="N1094" t="str">
        <f>IFERROR(VLOOKUP(VLOOKUP(A1094,'[1]Sales Order'!A:G,7,FALSE),[1]Shipper!A:B,2,FALSE),"Not Specified")</f>
        <v>Shipper ETYNR</v>
      </c>
      <c r="O1094" t="str">
        <f>IFERROR(VLOOKUP(A1094,'[1]Sales Order'!A:I,9,FALSE),"Not Specified")</f>
        <v>Ship to 9-B</v>
      </c>
      <c r="P1094" t="str">
        <f>IFERROR(VLOOKUP(A1094,'[1]Sales Order'!A:N,14,FALSE),"Not Specified")</f>
        <v>France</v>
      </c>
      <c r="Q1094" t="str">
        <f>VLOOKUP(VLOOKUP(B1094,[1]Product!A:C,3,FALSE),[1]Supplier!A:B,2,FALSE)</f>
        <v>Supplier JNNES</v>
      </c>
      <c r="R1094" t="str">
        <f>VLOOKUP(VLOOKUP(B1094,[1]Product!A:C,3,FALSE),[1]Supplier!A:I,9,FALSE)</f>
        <v>Australia</v>
      </c>
      <c r="S1094" t="str">
        <f>IFERROR(IF(VLOOKUP(A1094,'[1]Sales Order'!A:H,8,FALSE)&gt;100,"High Freight","Low Freight"),"Not Specified")</f>
        <v>High Freight</v>
      </c>
      <c r="T1094">
        <f t="shared" si="35"/>
        <v>1007</v>
      </c>
    </row>
    <row r="1095" spans="1:20">
      <c r="A1095" s="1">
        <v>10664</v>
      </c>
      <c r="B1095" s="2">
        <v>10</v>
      </c>
      <c r="C1095" s="2">
        <v>31</v>
      </c>
      <c r="D1095" s="2">
        <v>24</v>
      </c>
      <c r="E1095" s="3">
        <v>0.15</v>
      </c>
      <c r="F1095" s="2" t="str">
        <f>IFERROR(VLOOKUP(VLOOKUP(A1095,'[1]Sales Order'!A:B,2,FALSE),[1]Customer!A:C,3,FALSE),"Not Specified")</f>
        <v>Cavaglieri, Giorgio</v>
      </c>
      <c r="G1095" s="2" t="str">
        <f t="shared" si="34"/>
        <v>Cavaglieri Giorgio</v>
      </c>
      <c r="H1095" s="8" t="str">
        <f>IFERROR(VLOOKUP(VLOOKUP(A1095,'[1]Sales Order'!A:C,3,FALSE),[1]Employee!A:E,5,FALSE)&amp;" "&amp;VLOOKUP(VLOOKUP(A1095,'[1]Sales Order'!A:C,3,FALSE),[1]Employee!A:C,3,FALSE)&amp;" "&amp;VLOOKUP(VLOOKUP(A1095,'[1]Sales Order'!A:C,3,FALSE),[1]Employee!A:B,2,FALSE),"Not Specified")</f>
        <v>Ms. Sara Davis</v>
      </c>
      <c r="I1095" t="str">
        <f>IFERROR(VLOOKUP(VLOOKUP(A1095,'[1]Sales Order'!A:C,3,FALSE),[1]Employee!A:J,10,FALSE),"Not Specified")</f>
        <v>WA</v>
      </c>
      <c r="J1095" t="str">
        <f>VLOOKUP(B1095,[1]Product!A:B,2,FALSE)</f>
        <v>Product YHXGE</v>
      </c>
      <c r="K1095" t="str">
        <f>VLOOKUP(VLOOKUP(B1095,[1]Product!A:D,4,FALSE),[1]Category!A:B,2,FALSE)</f>
        <v>Seafood</v>
      </c>
      <c r="L1095" s="10">
        <f>IFERROR(VLOOKUP(A1095,'[1]Sales Order'!A:D,4,FALSE),"")</f>
        <v>39335</v>
      </c>
      <c r="M1095" s="10">
        <f>IFERROR(VLOOKUP(A1095,'[1]Sales Order'!A:F,6,FALSE),"")</f>
        <v>39344</v>
      </c>
      <c r="N1095" t="str">
        <f>IFERROR(VLOOKUP(VLOOKUP(A1095,'[1]Sales Order'!A:G,7,FALSE),[1]Shipper!A:B,2,FALSE),"Not Specified")</f>
        <v>Shipper ZHISN</v>
      </c>
      <c r="O1095" t="str">
        <f>IFERROR(VLOOKUP(A1095,'[1]Sales Order'!A:I,9,FALSE),"Not Specified")</f>
        <v>Destination OTSWR</v>
      </c>
      <c r="P1095" t="str">
        <f>IFERROR(VLOOKUP(A1095,'[1]Sales Order'!A:N,14,FALSE),"Not Specified")</f>
        <v>Portugal</v>
      </c>
      <c r="Q1095" t="str">
        <f>VLOOKUP(VLOOKUP(B1095,[1]Product!A:C,3,FALSE),[1]Supplier!A:B,2,FALSE)</f>
        <v>Supplier QOVFD</v>
      </c>
      <c r="R1095" t="str">
        <f>VLOOKUP(VLOOKUP(B1095,[1]Product!A:C,3,FALSE),[1]Supplier!A:I,9,FALSE)</f>
        <v>Japan</v>
      </c>
      <c r="S1095" t="str">
        <f>IFERROR(IF(VLOOKUP(A1095,'[1]Sales Order'!A:H,8,FALSE)&gt;100,"High Freight","Low Freight"),"Not Specified")</f>
        <v>Low Freight</v>
      </c>
      <c r="T1095">
        <f t="shared" si="35"/>
        <v>632.4</v>
      </c>
    </row>
    <row r="1096" spans="1:20">
      <c r="A1096" s="1">
        <v>10664</v>
      </c>
      <c r="B1096" s="2">
        <v>56</v>
      </c>
      <c r="C1096" s="2">
        <v>38</v>
      </c>
      <c r="D1096" s="2">
        <v>12</v>
      </c>
      <c r="E1096" s="3">
        <v>0.15</v>
      </c>
      <c r="F1096" s="2" t="str">
        <f>IFERROR(VLOOKUP(VLOOKUP(A1096,'[1]Sales Order'!A:B,2,FALSE),[1]Customer!A:C,3,FALSE),"Not Specified")</f>
        <v>Cavaglieri, Giorgio</v>
      </c>
      <c r="G1096" s="2" t="str">
        <f t="shared" si="34"/>
        <v>Cavaglieri Giorgio</v>
      </c>
      <c r="H1096" s="8" t="str">
        <f>IFERROR(VLOOKUP(VLOOKUP(A1096,'[1]Sales Order'!A:C,3,FALSE),[1]Employee!A:E,5,FALSE)&amp;" "&amp;VLOOKUP(VLOOKUP(A1096,'[1]Sales Order'!A:C,3,FALSE),[1]Employee!A:C,3,FALSE)&amp;" "&amp;VLOOKUP(VLOOKUP(A1096,'[1]Sales Order'!A:C,3,FALSE),[1]Employee!A:B,2,FALSE),"Not Specified")</f>
        <v>Ms. Sara Davis</v>
      </c>
      <c r="I1096" t="str">
        <f>IFERROR(VLOOKUP(VLOOKUP(A1096,'[1]Sales Order'!A:C,3,FALSE),[1]Employee!A:J,10,FALSE),"Not Specified")</f>
        <v>WA</v>
      </c>
      <c r="J1096" t="str">
        <f>VLOOKUP(B1096,[1]Product!A:B,2,FALSE)</f>
        <v>Product VKCMF</v>
      </c>
      <c r="K1096" t="str">
        <f>VLOOKUP(VLOOKUP(B1096,[1]Product!A:D,4,FALSE),[1]Category!A:B,2,FALSE)</f>
        <v>Grains/Cereals</v>
      </c>
      <c r="L1096" s="10">
        <f>IFERROR(VLOOKUP(A1096,'[1]Sales Order'!A:D,4,FALSE),"")</f>
        <v>39335</v>
      </c>
      <c r="M1096" s="10">
        <f>IFERROR(VLOOKUP(A1096,'[1]Sales Order'!A:F,6,FALSE),"")</f>
        <v>39344</v>
      </c>
      <c r="N1096" t="str">
        <f>IFERROR(VLOOKUP(VLOOKUP(A1096,'[1]Sales Order'!A:G,7,FALSE),[1]Shipper!A:B,2,FALSE),"Not Specified")</f>
        <v>Shipper ZHISN</v>
      </c>
      <c r="O1096" t="str">
        <f>IFERROR(VLOOKUP(A1096,'[1]Sales Order'!A:I,9,FALSE),"Not Specified")</f>
        <v>Destination OTSWR</v>
      </c>
      <c r="P1096" t="str">
        <f>IFERROR(VLOOKUP(A1096,'[1]Sales Order'!A:N,14,FALSE),"Not Specified")</f>
        <v>Portugal</v>
      </c>
      <c r="Q1096" t="str">
        <f>VLOOKUP(VLOOKUP(B1096,[1]Product!A:C,3,FALSE),[1]Supplier!A:B,2,FALSE)</f>
        <v>Supplier ZWZDM</v>
      </c>
      <c r="R1096" t="str">
        <f>VLOOKUP(VLOOKUP(B1096,[1]Product!A:C,3,FALSE),[1]Supplier!A:I,9,FALSE)</f>
        <v>Italy</v>
      </c>
      <c r="S1096" t="str">
        <f>IFERROR(IF(VLOOKUP(A1096,'[1]Sales Order'!A:H,8,FALSE)&gt;100,"High Freight","Low Freight"),"Not Specified")</f>
        <v>Low Freight</v>
      </c>
      <c r="T1096">
        <f t="shared" si="35"/>
        <v>387.59999999999997</v>
      </c>
    </row>
    <row r="1097" spans="1:20">
      <c r="A1097" s="1">
        <v>10664</v>
      </c>
      <c r="B1097" s="2">
        <v>65</v>
      </c>
      <c r="C1097" s="2">
        <v>21.05</v>
      </c>
      <c r="D1097" s="2">
        <v>15</v>
      </c>
      <c r="E1097" s="3">
        <v>0.15</v>
      </c>
      <c r="F1097" s="2" t="str">
        <f>IFERROR(VLOOKUP(VLOOKUP(A1097,'[1]Sales Order'!A:B,2,FALSE),[1]Customer!A:C,3,FALSE),"Not Specified")</f>
        <v>Cavaglieri, Giorgio</v>
      </c>
      <c r="G1097" s="2" t="str">
        <f t="shared" si="34"/>
        <v>Cavaglieri Giorgio</v>
      </c>
      <c r="H1097" s="8" t="str">
        <f>IFERROR(VLOOKUP(VLOOKUP(A1097,'[1]Sales Order'!A:C,3,FALSE),[1]Employee!A:E,5,FALSE)&amp;" "&amp;VLOOKUP(VLOOKUP(A1097,'[1]Sales Order'!A:C,3,FALSE),[1]Employee!A:C,3,FALSE)&amp;" "&amp;VLOOKUP(VLOOKUP(A1097,'[1]Sales Order'!A:C,3,FALSE),[1]Employee!A:B,2,FALSE),"Not Specified")</f>
        <v>Ms. Sara Davis</v>
      </c>
      <c r="I1097" t="str">
        <f>IFERROR(VLOOKUP(VLOOKUP(A1097,'[1]Sales Order'!A:C,3,FALSE),[1]Employee!A:J,10,FALSE),"Not Specified")</f>
        <v>WA</v>
      </c>
      <c r="J1097" t="str">
        <f>VLOOKUP(B1097,[1]Product!A:B,2,FALSE)</f>
        <v>Product XYWBZ</v>
      </c>
      <c r="K1097" t="str">
        <f>VLOOKUP(VLOOKUP(B1097,[1]Product!A:D,4,FALSE),[1]Category!A:B,2,FALSE)</f>
        <v>Condiments</v>
      </c>
      <c r="L1097" s="10">
        <f>IFERROR(VLOOKUP(A1097,'[1]Sales Order'!A:D,4,FALSE),"")</f>
        <v>39335</v>
      </c>
      <c r="M1097" s="10">
        <f>IFERROR(VLOOKUP(A1097,'[1]Sales Order'!A:F,6,FALSE),"")</f>
        <v>39344</v>
      </c>
      <c r="N1097" t="str">
        <f>IFERROR(VLOOKUP(VLOOKUP(A1097,'[1]Sales Order'!A:G,7,FALSE),[1]Shipper!A:B,2,FALSE),"Not Specified")</f>
        <v>Shipper ZHISN</v>
      </c>
      <c r="O1097" t="str">
        <f>IFERROR(VLOOKUP(A1097,'[1]Sales Order'!A:I,9,FALSE),"Not Specified")</f>
        <v>Destination OTSWR</v>
      </c>
      <c r="P1097" t="str">
        <f>IFERROR(VLOOKUP(A1097,'[1]Sales Order'!A:N,14,FALSE),"Not Specified")</f>
        <v>Portugal</v>
      </c>
      <c r="Q1097" t="str">
        <f>VLOOKUP(VLOOKUP(B1097,[1]Product!A:C,3,FALSE),[1]Supplier!A:B,2,FALSE)</f>
        <v>Supplier VHQZD</v>
      </c>
      <c r="R1097" t="str">
        <f>VLOOKUP(VLOOKUP(B1097,[1]Product!A:C,3,FALSE),[1]Supplier!A:I,9,FALSE)</f>
        <v>USA</v>
      </c>
      <c r="S1097" t="str">
        <f>IFERROR(IF(VLOOKUP(A1097,'[1]Sales Order'!A:H,8,FALSE)&gt;100,"High Freight","Low Freight"),"Not Specified")</f>
        <v>Low Freight</v>
      </c>
      <c r="T1097">
        <f t="shared" si="35"/>
        <v>268.38749999999999</v>
      </c>
    </row>
    <row r="1098" spans="1:20">
      <c r="A1098" s="1">
        <v>10665</v>
      </c>
      <c r="B1098" s="2">
        <v>51</v>
      </c>
      <c r="C1098" s="2">
        <v>53</v>
      </c>
      <c r="D1098" s="2">
        <v>20</v>
      </c>
      <c r="E1098" s="3">
        <v>0</v>
      </c>
      <c r="F1098" s="2" t="str">
        <f>IFERROR(VLOOKUP(VLOOKUP(A1098,'[1]Sales Order'!A:B,2,FALSE),[1]Customer!A:C,3,FALSE),"Not Specified")</f>
        <v>Szymczak, Radosław</v>
      </c>
      <c r="G1098" s="2" t="str">
        <f t="shared" si="34"/>
        <v>Szymczak Radosław</v>
      </c>
      <c r="H1098" s="8" t="str">
        <f>IFERROR(VLOOKUP(VLOOKUP(A1098,'[1]Sales Order'!A:C,3,FALSE),[1]Employee!A:E,5,FALSE)&amp;" "&amp;VLOOKUP(VLOOKUP(A1098,'[1]Sales Order'!A:C,3,FALSE),[1]Employee!A:C,3,FALSE)&amp;" "&amp;VLOOKUP(VLOOKUP(A1098,'[1]Sales Order'!A:C,3,FALSE),[1]Employee!A:B,2,FALSE),"Not Specified")</f>
        <v>Ms. Sara Davis</v>
      </c>
      <c r="I1098" t="str">
        <f>IFERROR(VLOOKUP(VLOOKUP(A1098,'[1]Sales Order'!A:C,3,FALSE),[1]Employee!A:J,10,FALSE),"Not Specified")</f>
        <v>WA</v>
      </c>
      <c r="J1098" t="str">
        <f>VLOOKUP(B1098,[1]Product!A:B,2,FALSE)</f>
        <v>Product APITJ</v>
      </c>
      <c r="K1098" t="str">
        <f>VLOOKUP(VLOOKUP(B1098,[1]Product!A:D,4,FALSE),[1]Category!A:B,2,FALSE)</f>
        <v>Produce</v>
      </c>
      <c r="L1098" s="10">
        <f>IFERROR(VLOOKUP(A1098,'[1]Sales Order'!A:D,4,FALSE),"")</f>
        <v>39336</v>
      </c>
      <c r="M1098" s="10">
        <f>IFERROR(VLOOKUP(A1098,'[1]Sales Order'!A:F,6,FALSE),"")</f>
        <v>39342</v>
      </c>
      <c r="N1098" t="str">
        <f>IFERROR(VLOOKUP(VLOOKUP(A1098,'[1]Sales Order'!A:G,7,FALSE),[1]Shipper!A:B,2,FALSE),"Not Specified")</f>
        <v>Shipper ETYNR</v>
      </c>
      <c r="O1098" t="str">
        <f>IFERROR(VLOOKUP(A1098,'[1]Sales Order'!A:I,9,FALSE),"Not Specified")</f>
        <v>Ship to 48-B</v>
      </c>
      <c r="P1098" t="str">
        <f>IFERROR(VLOOKUP(A1098,'[1]Sales Order'!A:N,14,FALSE),"Not Specified")</f>
        <v>USA</v>
      </c>
      <c r="Q1098" t="str">
        <f>VLOOKUP(VLOOKUP(B1098,[1]Product!A:C,3,FALSE),[1]Supplier!A:B,2,FALSE)</f>
        <v>Supplier JNNES</v>
      </c>
      <c r="R1098" t="str">
        <f>VLOOKUP(VLOOKUP(B1098,[1]Product!A:C,3,FALSE),[1]Supplier!A:I,9,FALSE)</f>
        <v>Australia</v>
      </c>
      <c r="S1098" t="str">
        <f>IFERROR(IF(VLOOKUP(A1098,'[1]Sales Order'!A:H,8,FALSE)&gt;100,"High Freight","Low Freight"),"Not Specified")</f>
        <v>Low Freight</v>
      </c>
      <c r="T1098">
        <f t="shared" si="35"/>
        <v>1060</v>
      </c>
    </row>
    <row r="1099" spans="1:20">
      <c r="A1099" s="1">
        <v>10665</v>
      </c>
      <c r="B1099" s="2">
        <v>59</v>
      </c>
      <c r="C1099" s="2">
        <v>55</v>
      </c>
      <c r="D1099" s="2">
        <v>1</v>
      </c>
      <c r="E1099" s="3">
        <v>0</v>
      </c>
      <c r="F1099" s="2" t="str">
        <f>IFERROR(VLOOKUP(VLOOKUP(A1099,'[1]Sales Order'!A:B,2,FALSE),[1]Customer!A:C,3,FALSE),"Not Specified")</f>
        <v>Szymczak, Radosław</v>
      </c>
      <c r="G1099" s="2" t="str">
        <f t="shared" si="34"/>
        <v>Szymczak Radosław</v>
      </c>
      <c r="H1099" s="8" t="str">
        <f>IFERROR(VLOOKUP(VLOOKUP(A1099,'[1]Sales Order'!A:C,3,FALSE),[1]Employee!A:E,5,FALSE)&amp;" "&amp;VLOOKUP(VLOOKUP(A1099,'[1]Sales Order'!A:C,3,FALSE),[1]Employee!A:C,3,FALSE)&amp;" "&amp;VLOOKUP(VLOOKUP(A1099,'[1]Sales Order'!A:C,3,FALSE),[1]Employee!A:B,2,FALSE),"Not Specified")</f>
        <v>Ms. Sara Davis</v>
      </c>
      <c r="I1099" t="str">
        <f>IFERROR(VLOOKUP(VLOOKUP(A1099,'[1]Sales Order'!A:C,3,FALSE),[1]Employee!A:J,10,FALSE),"Not Specified")</f>
        <v>WA</v>
      </c>
      <c r="J1099" t="str">
        <f>VLOOKUP(B1099,[1]Product!A:B,2,FALSE)</f>
        <v>Product UKXRI</v>
      </c>
      <c r="K1099" t="str">
        <f>VLOOKUP(VLOOKUP(B1099,[1]Product!A:D,4,FALSE),[1]Category!A:B,2,FALSE)</f>
        <v>Dairy Product</v>
      </c>
      <c r="L1099" s="10">
        <f>IFERROR(VLOOKUP(A1099,'[1]Sales Order'!A:D,4,FALSE),"")</f>
        <v>39336</v>
      </c>
      <c r="M1099" s="10">
        <f>IFERROR(VLOOKUP(A1099,'[1]Sales Order'!A:F,6,FALSE),"")</f>
        <v>39342</v>
      </c>
      <c r="N1099" t="str">
        <f>IFERROR(VLOOKUP(VLOOKUP(A1099,'[1]Sales Order'!A:G,7,FALSE),[1]Shipper!A:B,2,FALSE),"Not Specified")</f>
        <v>Shipper ETYNR</v>
      </c>
      <c r="O1099" t="str">
        <f>IFERROR(VLOOKUP(A1099,'[1]Sales Order'!A:I,9,FALSE),"Not Specified")</f>
        <v>Ship to 48-B</v>
      </c>
      <c r="P1099" t="str">
        <f>IFERROR(VLOOKUP(A1099,'[1]Sales Order'!A:N,14,FALSE),"Not Specified")</f>
        <v>USA</v>
      </c>
      <c r="Q1099" t="str">
        <f>VLOOKUP(VLOOKUP(B1099,[1]Product!A:C,3,FALSE),[1]Supplier!A:B,2,FALSE)</f>
        <v>Supplier OAVQT</v>
      </c>
      <c r="R1099" t="str">
        <f>VLOOKUP(VLOOKUP(B1099,[1]Product!A:C,3,FALSE),[1]Supplier!A:I,9,FALSE)</f>
        <v>France</v>
      </c>
      <c r="S1099" t="str">
        <f>IFERROR(IF(VLOOKUP(A1099,'[1]Sales Order'!A:H,8,FALSE)&gt;100,"High Freight","Low Freight"),"Not Specified")</f>
        <v>Low Freight</v>
      </c>
      <c r="T1099">
        <f t="shared" si="35"/>
        <v>55</v>
      </c>
    </row>
    <row r="1100" spans="1:20">
      <c r="A1100" s="1">
        <v>10665</v>
      </c>
      <c r="B1100" s="2">
        <v>76</v>
      </c>
      <c r="C1100" s="2">
        <v>18</v>
      </c>
      <c r="D1100" s="2">
        <v>10</v>
      </c>
      <c r="E1100" s="3">
        <v>0</v>
      </c>
      <c r="F1100" s="2" t="str">
        <f>IFERROR(VLOOKUP(VLOOKUP(A1100,'[1]Sales Order'!A:B,2,FALSE),[1]Customer!A:C,3,FALSE),"Not Specified")</f>
        <v>Szymczak, Radosław</v>
      </c>
      <c r="G1100" s="2" t="str">
        <f t="shared" si="34"/>
        <v>Szymczak Radosław</v>
      </c>
      <c r="H1100" s="8" t="str">
        <f>IFERROR(VLOOKUP(VLOOKUP(A1100,'[1]Sales Order'!A:C,3,FALSE),[1]Employee!A:E,5,FALSE)&amp;" "&amp;VLOOKUP(VLOOKUP(A1100,'[1]Sales Order'!A:C,3,FALSE),[1]Employee!A:C,3,FALSE)&amp;" "&amp;VLOOKUP(VLOOKUP(A1100,'[1]Sales Order'!A:C,3,FALSE),[1]Employee!A:B,2,FALSE),"Not Specified")</f>
        <v>Ms. Sara Davis</v>
      </c>
      <c r="I1100" t="str">
        <f>IFERROR(VLOOKUP(VLOOKUP(A1100,'[1]Sales Order'!A:C,3,FALSE),[1]Employee!A:J,10,FALSE),"Not Specified")</f>
        <v>WA</v>
      </c>
      <c r="J1100" t="str">
        <f>VLOOKUP(B1100,[1]Product!A:B,2,FALSE)</f>
        <v>Product JYGFE</v>
      </c>
      <c r="K1100" t="str">
        <f>VLOOKUP(VLOOKUP(B1100,[1]Product!A:D,4,FALSE),[1]Category!A:B,2,FALSE)</f>
        <v>Beverages</v>
      </c>
      <c r="L1100" s="10">
        <f>IFERROR(VLOOKUP(A1100,'[1]Sales Order'!A:D,4,FALSE),"")</f>
        <v>39336</v>
      </c>
      <c r="M1100" s="10">
        <f>IFERROR(VLOOKUP(A1100,'[1]Sales Order'!A:F,6,FALSE),"")</f>
        <v>39342</v>
      </c>
      <c r="N1100" t="str">
        <f>IFERROR(VLOOKUP(VLOOKUP(A1100,'[1]Sales Order'!A:G,7,FALSE),[1]Shipper!A:B,2,FALSE),"Not Specified")</f>
        <v>Shipper ETYNR</v>
      </c>
      <c r="O1100" t="str">
        <f>IFERROR(VLOOKUP(A1100,'[1]Sales Order'!A:I,9,FALSE),"Not Specified")</f>
        <v>Ship to 48-B</v>
      </c>
      <c r="P1100" t="str">
        <f>IFERROR(VLOOKUP(A1100,'[1]Sales Order'!A:N,14,FALSE),"Not Specified")</f>
        <v>USA</v>
      </c>
      <c r="Q1100" t="str">
        <f>VLOOKUP(VLOOKUP(B1100,[1]Product!A:C,3,FALSE),[1]Supplier!A:B,2,FALSE)</f>
        <v>Supplier ELCRN</v>
      </c>
      <c r="R1100" t="str">
        <f>VLOOKUP(VLOOKUP(B1100,[1]Product!A:C,3,FALSE),[1]Supplier!A:I,9,FALSE)</f>
        <v>Finland</v>
      </c>
      <c r="S1100" t="str">
        <f>IFERROR(IF(VLOOKUP(A1100,'[1]Sales Order'!A:H,8,FALSE)&gt;100,"High Freight","Low Freight"),"Not Specified")</f>
        <v>Low Freight</v>
      </c>
      <c r="T1100">
        <f t="shared" si="35"/>
        <v>180</v>
      </c>
    </row>
    <row r="1101" spans="1:20">
      <c r="A1101" s="1">
        <v>10666</v>
      </c>
      <c r="B1101" s="2">
        <v>29</v>
      </c>
      <c r="C1101" s="2">
        <v>123.79</v>
      </c>
      <c r="D1101" s="2">
        <v>36</v>
      </c>
      <c r="E1101" s="3">
        <v>0</v>
      </c>
      <c r="F1101" s="2" t="str">
        <f>IFERROR(VLOOKUP(VLOOKUP(A1101,'[1]Sales Order'!A:B,2,FALSE),[1]Customer!A:C,3,FALSE),"Not Specified")</f>
        <v>Myrcha, Jacek</v>
      </c>
      <c r="G1101" s="2" t="str">
        <f t="shared" si="34"/>
        <v>Myrcha Jacek</v>
      </c>
      <c r="H1101" s="8" t="str">
        <f>IFERROR(VLOOKUP(VLOOKUP(A1101,'[1]Sales Order'!A:C,3,FALSE),[1]Employee!A:E,5,FALSE)&amp;" "&amp;VLOOKUP(VLOOKUP(A1101,'[1]Sales Order'!A:C,3,FALSE),[1]Employee!A:C,3,FALSE)&amp;" "&amp;VLOOKUP(VLOOKUP(A1101,'[1]Sales Order'!A:C,3,FALSE),[1]Employee!A:B,2,FALSE),"Not Specified")</f>
        <v>Mr. Russell King</v>
      </c>
      <c r="I1101">
        <f>IFERROR(VLOOKUP(VLOOKUP(A1101,'[1]Sales Order'!A:C,3,FALSE),[1]Employee!A:J,10,FALSE),"Not Specified")</f>
        <v>0</v>
      </c>
      <c r="J1101" t="str">
        <f>VLOOKUP(B1101,[1]Product!A:B,2,FALSE)</f>
        <v>Product VJXYN</v>
      </c>
      <c r="K1101" t="str">
        <f>VLOOKUP(VLOOKUP(B1101,[1]Product!A:D,4,FALSE),[1]Category!A:B,2,FALSE)</f>
        <v>Meat/Poultry</v>
      </c>
      <c r="L1101" s="10">
        <f>IFERROR(VLOOKUP(A1101,'[1]Sales Order'!A:D,4,FALSE),"")</f>
        <v>39337</v>
      </c>
      <c r="M1101" s="10">
        <f>IFERROR(VLOOKUP(A1101,'[1]Sales Order'!A:F,6,FALSE),"")</f>
        <v>39347</v>
      </c>
      <c r="N1101" t="str">
        <f>IFERROR(VLOOKUP(VLOOKUP(A1101,'[1]Sales Order'!A:G,7,FALSE),[1]Shipper!A:B,2,FALSE),"Not Specified")</f>
        <v>Shipper ETYNR</v>
      </c>
      <c r="O1101" t="str">
        <f>IFERROR(VLOOKUP(A1101,'[1]Sales Order'!A:I,9,FALSE),"Not Specified")</f>
        <v>Ship to 68-A</v>
      </c>
      <c r="P1101" t="str">
        <f>IFERROR(VLOOKUP(A1101,'[1]Sales Order'!A:N,14,FALSE),"Not Specified")</f>
        <v>Switzerland</v>
      </c>
      <c r="Q1101" t="str">
        <f>VLOOKUP(VLOOKUP(B1101,[1]Product!A:C,3,FALSE),[1]Supplier!A:B,2,FALSE)</f>
        <v>Supplier SVIYA</v>
      </c>
      <c r="R1101" t="str">
        <f>VLOOKUP(VLOOKUP(B1101,[1]Product!A:C,3,FALSE),[1]Supplier!A:I,9,FALSE)</f>
        <v>Germany</v>
      </c>
      <c r="S1101" t="str">
        <f>IFERROR(IF(VLOOKUP(A1101,'[1]Sales Order'!A:H,8,FALSE)&gt;100,"High Freight","Low Freight"),"Not Specified")</f>
        <v>High Freight</v>
      </c>
      <c r="T1101">
        <f t="shared" si="35"/>
        <v>4456.4400000000005</v>
      </c>
    </row>
    <row r="1102" spans="1:20">
      <c r="A1102" s="1">
        <v>10666</v>
      </c>
      <c r="B1102" s="2">
        <v>65</v>
      </c>
      <c r="C1102" s="2">
        <v>21.05</v>
      </c>
      <c r="D1102" s="2">
        <v>10</v>
      </c>
      <c r="E1102" s="3">
        <v>0</v>
      </c>
      <c r="F1102" s="2" t="str">
        <f>IFERROR(VLOOKUP(VLOOKUP(A1102,'[1]Sales Order'!A:B,2,FALSE),[1]Customer!A:C,3,FALSE),"Not Specified")</f>
        <v>Myrcha, Jacek</v>
      </c>
      <c r="G1102" s="2" t="str">
        <f t="shared" si="34"/>
        <v>Myrcha Jacek</v>
      </c>
      <c r="H1102" s="8" t="str">
        <f>IFERROR(VLOOKUP(VLOOKUP(A1102,'[1]Sales Order'!A:C,3,FALSE),[1]Employee!A:E,5,FALSE)&amp;" "&amp;VLOOKUP(VLOOKUP(A1102,'[1]Sales Order'!A:C,3,FALSE),[1]Employee!A:C,3,FALSE)&amp;" "&amp;VLOOKUP(VLOOKUP(A1102,'[1]Sales Order'!A:C,3,FALSE),[1]Employee!A:B,2,FALSE),"Not Specified")</f>
        <v>Mr. Russell King</v>
      </c>
      <c r="I1102">
        <f>IFERROR(VLOOKUP(VLOOKUP(A1102,'[1]Sales Order'!A:C,3,FALSE),[1]Employee!A:J,10,FALSE),"Not Specified")</f>
        <v>0</v>
      </c>
      <c r="J1102" t="str">
        <f>VLOOKUP(B1102,[1]Product!A:B,2,FALSE)</f>
        <v>Product XYWBZ</v>
      </c>
      <c r="K1102" t="str">
        <f>VLOOKUP(VLOOKUP(B1102,[1]Product!A:D,4,FALSE),[1]Category!A:B,2,FALSE)</f>
        <v>Condiments</v>
      </c>
      <c r="L1102" s="10">
        <f>IFERROR(VLOOKUP(A1102,'[1]Sales Order'!A:D,4,FALSE),"")</f>
        <v>39337</v>
      </c>
      <c r="M1102" s="10">
        <f>IFERROR(VLOOKUP(A1102,'[1]Sales Order'!A:F,6,FALSE),"")</f>
        <v>39347</v>
      </c>
      <c r="N1102" t="str">
        <f>IFERROR(VLOOKUP(VLOOKUP(A1102,'[1]Sales Order'!A:G,7,FALSE),[1]Shipper!A:B,2,FALSE),"Not Specified")</f>
        <v>Shipper ETYNR</v>
      </c>
      <c r="O1102" t="str">
        <f>IFERROR(VLOOKUP(A1102,'[1]Sales Order'!A:I,9,FALSE),"Not Specified")</f>
        <v>Ship to 68-A</v>
      </c>
      <c r="P1102" t="str">
        <f>IFERROR(VLOOKUP(A1102,'[1]Sales Order'!A:N,14,FALSE),"Not Specified")</f>
        <v>Switzerland</v>
      </c>
      <c r="Q1102" t="str">
        <f>VLOOKUP(VLOOKUP(B1102,[1]Product!A:C,3,FALSE),[1]Supplier!A:B,2,FALSE)</f>
        <v>Supplier VHQZD</v>
      </c>
      <c r="R1102" t="str">
        <f>VLOOKUP(VLOOKUP(B1102,[1]Product!A:C,3,FALSE),[1]Supplier!A:I,9,FALSE)</f>
        <v>USA</v>
      </c>
      <c r="S1102" t="str">
        <f>IFERROR(IF(VLOOKUP(A1102,'[1]Sales Order'!A:H,8,FALSE)&gt;100,"High Freight","Low Freight"),"Not Specified")</f>
        <v>High Freight</v>
      </c>
      <c r="T1102">
        <f t="shared" si="35"/>
        <v>210.5</v>
      </c>
    </row>
    <row r="1103" spans="1:20">
      <c r="A1103" s="1">
        <v>10667</v>
      </c>
      <c r="B1103" s="2">
        <v>69</v>
      </c>
      <c r="C1103" s="2">
        <v>36</v>
      </c>
      <c r="D1103" s="2">
        <v>45</v>
      </c>
      <c r="E1103" s="3">
        <v>0.2</v>
      </c>
      <c r="F1103" s="2" t="str">
        <f>IFERROR(VLOOKUP(VLOOKUP(A1103,'[1]Sales Order'!A:B,2,FALSE),[1]Customer!A:C,3,FALSE),"Not Specified")</f>
        <v>Kane, John</v>
      </c>
      <c r="G1103" s="2" t="str">
        <f t="shared" si="34"/>
        <v>Kane John</v>
      </c>
      <c r="H1103" s="8" t="str">
        <f>IFERROR(VLOOKUP(VLOOKUP(A1103,'[1]Sales Order'!A:C,3,FALSE),[1]Employee!A:E,5,FALSE)&amp;" "&amp;VLOOKUP(VLOOKUP(A1103,'[1]Sales Order'!A:C,3,FALSE),[1]Employee!A:C,3,FALSE)&amp;" "&amp;VLOOKUP(VLOOKUP(A1103,'[1]Sales Order'!A:C,3,FALSE),[1]Employee!A:B,2,FALSE),"Not Specified")</f>
        <v>Mr. Russell King</v>
      </c>
      <c r="I1103">
        <f>IFERROR(VLOOKUP(VLOOKUP(A1103,'[1]Sales Order'!A:C,3,FALSE),[1]Employee!A:J,10,FALSE),"Not Specified")</f>
        <v>0</v>
      </c>
      <c r="J1103" t="str">
        <f>VLOOKUP(B1103,[1]Product!A:B,2,FALSE)</f>
        <v>Product COAXA</v>
      </c>
      <c r="K1103" t="str">
        <f>VLOOKUP(VLOOKUP(B1103,[1]Product!A:D,4,FALSE),[1]Category!A:B,2,FALSE)</f>
        <v>Dairy Product</v>
      </c>
      <c r="L1103" s="10">
        <f>IFERROR(VLOOKUP(A1103,'[1]Sales Order'!A:D,4,FALSE),"")</f>
        <v>39337</v>
      </c>
      <c r="M1103" s="10">
        <f>IFERROR(VLOOKUP(A1103,'[1]Sales Order'!A:F,6,FALSE),"")</f>
        <v>39344</v>
      </c>
      <c r="N1103" t="str">
        <f>IFERROR(VLOOKUP(VLOOKUP(A1103,'[1]Sales Order'!A:G,7,FALSE),[1]Shipper!A:B,2,FALSE),"Not Specified")</f>
        <v>Shipper GVSUA</v>
      </c>
      <c r="O1103" t="str">
        <f>IFERROR(VLOOKUP(A1103,'[1]Sales Order'!A:I,9,FALSE),"Not Specified")</f>
        <v>Destination CUVPF</v>
      </c>
      <c r="P1103" t="str">
        <f>IFERROR(VLOOKUP(A1103,'[1]Sales Order'!A:N,14,FALSE),"Not Specified")</f>
        <v>Austria</v>
      </c>
      <c r="Q1103" t="str">
        <f>VLOOKUP(VLOOKUP(B1103,[1]Product!A:C,3,FALSE),[1]Supplier!A:B,2,FALSE)</f>
        <v>Supplier NZLIF</v>
      </c>
      <c r="R1103" t="str">
        <f>VLOOKUP(VLOOKUP(B1103,[1]Product!A:C,3,FALSE),[1]Supplier!A:I,9,FALSE)</f>
        <v>Norway</v>
      </c>
      <c r="S1103" t="str">
        <f>IFERROR(IF(VLOOKUP(A1103,'[1]Sales Order'!A:H,8,FALSE)&gt;100,"High Freight","Low Freight"),"Not Specified")</f>
        <v>Low Freight</v>
      </c>
      <c r="T1103">
        <f t="shared" si="35"/>
        <v>1296</v>
      </c>
    </row>
    <row r="1104" spans="1:20">
      <c r="A1104" s="1">
        <v>10667</v>
      </c>
      <c r="B1104" s="2">
        <v>71</v>
      </c>
      <c r="C1104" s="2">
        <v>21.5</v>
      </c>
      <c r="D1104" s="2">
        <v>14</v>
      </c>
      <c r="E1104" s="3">
        <v>0.2</v>
      </c>
      <c r="F1104" s="2" t="str">
        <f>IFERROR(VLOOKUP(VLOOKUP(A1104,'[1]Sales Order'!A:B,2,FALSE),[1]Customer!A:C,3,FALSE),"Not Specified")</f>
        <v>Kane, John</v>
      </c>
      <c r="G1104" s="2" t="str">
        <f t="shared" si="34"/>
        <v>Kane John</v>
      </c>
      <c r="H1104" s="8" t="str">
        <f>IFERROR(VLOOKUP(VLOOKUP(A1104,'[1]Sales Order'!A:C,3,FALSE),[1]Employee!A:E,5,FALSE)&amp;" "&amp;VLOOKUP(VLOOKUP(A1104,'[1]Sales Order'!A:C,3,FALSE),[1]Employee!A:C,3,FALSE)&amp;" "&amp;VLOOKUP(VLOOKUP(A1104,'[1]Sales Order'!A:C,3,FALSE),[1]Employee!A:B,2,FALSE),"Not Specified")</f>
        <v>Mr. Russell King</v>
      </c>
      <c r="I1104">
        <f>IFERROR(VLOOKUP(VLOOKUP(A1104,'[1]Sales Order'!A:C,3,FALSE),[1]Employee!A:J,10,FALSE),"Not Specified")</f>
        <v>0</v>
      </c>
      <c r="J1104" t="str">
        <f>VLOOKUP(B1104,[1]Product!A:B,2,FALSE)</f>
        <v>Product MYMOI</v>
      </c>
      <c r="K1104" t="str">
        <f>VLOOKUP(VLOOKUP(B1104,[1]Product!A:D,4,FALSE),[1]Category!A:B,2,FALSE)</f>
        <v>Dairy Product</v>
      </c>
      <c r="L1104" s="10">
        <f>IFERROR(VLOOKUP(A1104,'[1]Sales Order'!A:D,4,FALSE),"")</f>
        <v>39337</v>
      </c>
      <c r="M1104" s="10">
        <f>IFERROR(VLOOKUP(A1104,'[1]Sales Order'!A:F,6,FALSE),"")</f>
        <v>39344</v>
      </c>
      <c r="N1104" t="str">
        <f>IFERROR(VLOOKUP(VLOOKUP(A1104,'[1]Sales Order'!A:G,7,FALSE),[1]Shipper!A:B,2,FALSE),"Not Specified")</f>
        <v>Shipper GVSUA</v>
      </c>
      <c r="O1104" t="str">
        <f>IFERROR(VLOOKUP(A1104,'[1]Sales Order'!A:I,9,FALSE),"Not Specified")</f>
        <v>Destination CUVPF</v>
      </c>
      <c r="P1104" t="str">
        <f>IFERROR(VLOOKUP(A1104,'[1]Sales Order'!A:N,14,FALSE),"Not Specified")</f>
        <v>Austria</v>
      </c>
      <c r="Q1104" t="str">
        <f>VLOOKUP(VLOOKUP(B1104,[1]Product!A:C,3,FALSE),[1]Supplier!A:B,2,FALSE)</f>
        <v>Supplier NZLIF</v>
      </c>
      <c r="R1104" t="str">
        <f>VLOOKUP(VLOOKUP(B1104,[1]Product!A:C,3,FALSE),[1]Supplier!A:I,9,FALSE)</f>
        <v>Norway</v>
      </c>
      <c r="S1104" t="str">
        <f>IFERROR(IF(VLOOKUP(A1104,'[1]Sales Order'!A:H,8,FALSE)&gt;100,"High Freight","Low Freight"),"Not Specified")</f>
        <v>Low Freight</v>
      </c>
      <c r="T1104">
        <f t="shared" si="35"/>
        <v>240.8</v>
      </c>
    </row>
    <row r="1105" spans="1:20">
      <c r="A1105" s="1">
        <v>10668</v>
      </c>
      <c r="B1105" s="2">
        <v>31</v>
      </c>
      <c r="C1105" s="2">
        <v>12.5</v>
      </c>
      <c r="D1105" s="2">
        <v>8</v>
      </c>
      <c r="E1105" s="3">
        <v>0.1</v>
      </c>
      <c r="F1105" s="2" t="str">
        <f>IFERROR(VLOOKUP(VLOOKUP(A1105,'[1]Sales Order'!A:B,2,FALSE),[1]Customer!A:C,3,FALSE),"Not Specified")</f>
        <v>Syamala, Manoj</v>
      </c>
      <c r="G1105" s="2" t="str">
        <f t="shared" si="34"/>
        <v>Syamala Manoj</v>
      </c>
      <c r="H1105" s="8" t="str">
        <f>IFERROR(VLOOKUP(VLOOKUP(A1105,'[1]Sales Order'!A:C,3,FALSE),[1]Employee!A:E,5,FALSE)&amp;" "&amp;VLOOKUP(VLOOKUP(A1105,'[1]Sales Order'!A:C,3,FALSE),[1]Employee!A:C,3,FALSE)&amp;" "&amp;VLOOKUP(VLOOKUP(A1105,'[1]Sales Order'!A:C,3,FALSE),[1]Employee!A:B,2,FALSE),"Not Specified")</f>
        <v>Ms. Sara Davis</v>
      </c>
      <c r="I1105" t="str">
        <f>IFERROR(VLOOKUP(VLOOKUP(A1105,'[1]Sales Order'!A:C,3,FALSE),[1]Employee!A:J,10,FALSE),"Not Specified")</f>
        <v>WA</v>
      </c>
      <c r="J1105" t="str">
        <f>VLOOKUP(B1105,[1]Product!A:B,2,FALSE)</f>
        <v>Product XWOXC</v>
      </c>
      <c r="K1105" t="str">
        <f>VLOOKUP(VLOOKUP(B1105,[1]Product!A:D,4,FALSE),[1]Category!A:B,2,FALSE)</f>
        <v>Dairy Product</v>
      </c>
      <c r="L1105" s="10">
        <f>IFERROR(VLOOKUP(A1105,'[1]Sales Order'!A:D,4,FALSE),"")</f>
        <v>39340</v>
      </c>
      <c r="M1105" s="10">
        <f>IFERROR(VLOOKUP(A1105,'[1]Sales Order'!A:F,6,FALSE),"")</f>
        <v>39348</v>
      </c>
      <c r="N1105" t="str">
        <f>IFERROR(VLOOKUP(VLOOKUP(A1105,'[1]Sales Order'!A:G,7,FALSE),[1]Shipper!A:B,2,FALSE),"Not Specified")</f>
        <v>Shipper ETYNR</v>
      </c>
      <c r="O1105" t="str">
        <f>IFERROR(VLOOKUP(A1105,'[1]Sales Order'!A:I,9,FALSE),"Not Specified")</f>
        <v>Ship to 86-C</v>
      </c>
      <c r="P1105" t="str">
        <f>IFERROR(VLOOKUP(A1105,'[1]Sales Order'!A:N,14,FALSE),"Not Specified")</f>
        <v>Germany</v>
      </c>
      <c r="Q1105" t="str">
        <f>VLOOKUP(VLOOKUP(B1105,[1]Product!A:C,3,FALSE),[1]Supplier!A:B,2,FALSE)</f>
        <v>Supplier KEREV</v>
      </c>
      <c r="R1105" t="str">
        <f>VLOOKUP(VLOOKUP(B1105,[1]Product!A:C,3,FALSE),[1]Supplier!A:I,9,FALSE)</f>
        <v>Italy</v>
      </c>
      <c r="S1105" t="str">
        <f>IFERROR(IF(VLOOKUP(A1105,'[1]Sales Order'!A:H,8,FALSE)&gt;100,"High Freight","Low Freight"),"Not Specified")</f>
        <v>Low Freight</v>
      </c>
      <c r="T1105">
        <f t="shared" si="35"/>
        <v>90</v>
      </c>
    </row>
    <row r="1106" spans="1:20">
      <c r="A1106" s="1">
        <v>10668</v>
      </c>
      <c r="B1106" s="2">
        <v>55</v>
      </c>
      <c r="C1106" s="2">
        <v>24</v>
      </c>
      <c r="D1106" s="2">
        <v>4</v>
      </c>
      <c r="E1106" s="3">
        <v>0.1</v>
      </c>
      <c r="F1106" s="2" t="str">
        <f>IFERROR(VLOOKUP(VLOOKUP(A1106,'[1]Sales Order'!A:B,2,FALSE),[1]Customer!A:C,3,FALSE),"Not Specified")</f>
        <v>Syamala, Manoj</v>
      </c>
      <c r="G1106" s="2" t="str">
        <f t="shared" si="34"/>
        <v>Syamala Manoj</v>
      </c>
      <c r="H1106" s="8" t="str">
        <f>IFERROR(VLOOKUP(VLOOKUP(A1106,'[1]Sales Order'!A:C,3,FALSE),[1]Employee!A:E,5,FALSE)&amp;" "&amp;VLOOKUP(VLOOKUP(A1106,'[1]Sales Order'!A:C,3,FALSE),[1]Employee!A:C,3,FALSE)&amp;" "&amp;VLOOKUP(VLOOKUP(A1106,'[1]Sales Order'!A:C,3,FALSE),[1]Employee!A:B,2,FALSE),"Not Specified")</f>
        <v>Ms. Sara Davis</v>
      </c>
      <c r="I1106" t="str">
        <f>IFERROR(VLOOKUP(VLOOKUP(A1106,'[1]Sales Order'!A:C,3,FALSE),[1]Employee!A:J,10,FALSE),"Not Specified")</f>
        <v>WA</v>
      </c>
      <c r="J1106" t="str">
        <f>VLOOKUP(B1106,[1]Product!A:B,2,FALSE)</f>
        <v>Product YYWRT</v>
      </c>
      <c r="K1106" t="str">
        <f>VLOOKUP(VLOOKUP(B1106,[1]Product!A:D,4,FALSE),[1]Category!A:B,2,FALSE)</f>
        <v>Meat/Poultry</v>
      </c>
      <c r="L1106" s="10">
        <f>IFERROR(VLOOKUP(A1106,'[1]Sales Order'!A:D,4,FALSE),"")</f>
        <v>39340</v>
      </c>
      <c r="M1106" s="10">
        <f>IFERROR(VLOOKUP(A1106,'[1]Sales Order'!A:F,6,FALSE),"")</f>
        <v>39348</v>
      </c>
      <c r="N1106" t="str">
        <f>IFERROR(VLOOKUP(VLOOKUP(A1106,'[1]Sales Order'!A:G,7,FALSE),[1]Shipper!A:B,2,FALSE),"Not Specified")</f>
        <v>Shipper ETYNR</v>
      </c>
      <c r="O1106" t="str">
        <f>IFERROR(VLOOKUP(A1106,'[1]Sales Order'!A:I,9,FALSE),"Not Specified")</f>
        <v>Ship to 86-C</v>
      </c>
      <c r="P1106" t="str">
        <f>IFERROR(VLOOKUP(A1106,'[1]Sales Order'!A:N,14,FALSE),"Not Specified")</f>
        <v>Germany</v>
      </c>
      <c r="Q1106" t="str">
        <f>VLOOKUP(VLOOKUP(B1106,[1]Product!A:C,3,FALSE),[1]Supplier!A:B,2,FALSE)</f>
        <v>Supplier ERVYZ</v>
      </c>
      <c r="R1106" t="str">
        <f>VLOOKUP(VLOOKUP(B1106,[1]Product!A:C,3,FALSE),[1]Supplier!A:I,9,FALSE)</f>
        <v>Canada</v>
      </c>
      <c r="S1106" t="str">
        <f>IFERROR(IF(VLOOKUP(A1106,'[1]Sales Order'!A:H,8,FALSE)&gt;100,"High Freight","Low Freight"),"Not Specified")</f>
        <v>Low Freight</v>
      </c>
      <c r="T1106">
        <f t="shared" si="35"/>
        <v>86.4</v>
      </c>
    </row>
    <row r="1107" spans="1:20">
      <c r="A1107" s="1">
        <v>10668</v>
      </c>
      <c r="B1107" s="2">
        <v>64</v>
      </c>
      <c r="C1107" s="2">
        <v>33.25</v>
      </c>
      <c r="D1107" s="2">
        <v>15</v>
      </c>
      <c r="E1107" s="3">
        <v>0.1</v>
      </c>
      <c r="F1107" s="2" t="str">
        <f>IFERROR(VLOOKUP(VLOOKUP(A1107,'[1]Sales Order'!A:B,2,FALSE),[1]Customer!A:C,3,FALSE),"Not Specified")</f>
        <v>Syamala, Manoj</v>
      </c>
      <c r="G1107" s="2" t="str">
        <f t="shared" si="34"/>
        <v>Syamala Manoj</v>
      </c>
      <c r="H1107" s="8" t="str">
        <f>IFERROR(VLOOKUP(VLOOKUP(A1107,'[1]Sales Order'!A:C,3,FALSE),[1]Employee!A:E,5,FALSE)&amp;" "&amp;VLOOKUP(VLOOKUP(A1107,'[1]Sales Order'!A:C,3,FALSE),[1]Employee!A:C,3,FALSE)&amp;" "&amp;VLOOKUP(VLOOKUP(A1107,'[1]Sales Order'!A:C,3,FALSE),[1]Employee!A:B,2,FALSE),"Not Specified")</f>
        <v>Ms. Sara Davis</v>
      </c>
      <c r="I1107" t="str">
        <f>IFERROR(VLOOKUP(VLOOKUP(A1107,'[1]Sales Order'!A:C,3,FALSE),[1]Employee!A:J,10,FALSE),"Not Specified")</f>
        <v>WA</v>
      </c>
      <c r="J1107" t="str">
        <f>VLOOKUP(B1107,[1]Product!A:B,2,FALSE)</f>
        <v>Product HCQDE</v>
      </c>
      <c r="K1107" t="str">
        <f>VLOOKUP(VLOOKUP(B1107,[1]Product!A:D,4,FALSE),[1]Category!A:B,2,FALSE)</f>
        <v>Grains/Cereals</v>
      </c>
      <c r="L1107" s="10">
        <f>IFERROR(VLOOKUP(A1107,'[1]Sales Order'!A:D,4,FALSE),"")</f>
        <v>39340</v>
      </c>
      <c r="M1107" s="10">
        <f>IFERROR(VLOOKUP(A1107,'[1]Sales Order'!A:F,6,FALSE),"")</f>
        <v>39348</v>
      </c>
      <c r="N1107" t="str">
        <f>IFERROR(VLOOKUP(VLOOKUP(A1107,'[1]Sales Order'!A:G,7,FALSE),[1]Shipper!A:B,2,FALSE),"Not Specified")</f>
        <v>Shipper ETYNR</v>
      </c>
      <c r="O1107" t="str">
        <f>IFERROR(VLOOKUP(A1107,'[1]Sales Order'!A:I,9,FALSE),"Not Specified")</f>
        <v>Ship to 86-C</v>
      </c>
      <c r="P1107" t="str">
        <f>IFERROR(VLOOKUP(A1107,'[1]Sales Order'!A:N,14,FALSE),"Not Specified")</f>
        <v>Germany</v>
      </c>
      <c r="Q1107" t="str">
        <f>VLOOKUP(VLOOKUP(B1107,[1]Product!A:C,3,FALSE),[1]Supplier!A:B,2,FALSE)</f>
        <v>Supplier SVIYA</v>
      </c>
      <c r="R1107" t="str">
        <f>VLOOKUP(VLOOKUP(B1107,[1]Product!A:C,3,FALSE),[1]Supplier!A:I,9,FALSE)</f>
        <v>Germany</v>
      </c>
      <c r="S1107" t="str">
        <f>IFERROR(IF(VLOOKUP(A1107,'[1]Sales Order'!A:H,8,FALSE)&gt;100,"High Freight","Low Freight"),"Not Specified")</f>
        <v>Low Freight</v>
      </c>
      <c r="T1107">
        <f t="shared" si="35"/>
        <v>448.875</v>
      </c>
    </row>
    <row r="1108" spans="1:20">
      <c r="A1108" s="1">
        <v>10669</v>
      </c>
      <c r="B1108" s="2">
        <v>36</v>
      </c>
      <c r="C1108" s="2">
        <v>19</v>
      </c>
      <c r="D1108" s="2">
        <v>30</v>
      </c>
      <c r="E1108" s="3">
        <v>0</v>
      </c>
      <c r="F1108" s="2" t="str">
        <f>IFERROR(VLOOKUP(VLOOKUP(A1108,'[1]Sales Order'!A:B,2,FALSE),[1]Customer!A:C,3,FALSE),"Not Specified")</f>
        <v>Gonzalez, Nuria</v>
      </c>
      <c r="G1108" s="2" t="str">
        <f t="shared" si="34"/>
        <v>Gonzalez Nuria</v>
      </c>
      <c r="H1108" s="8" t="str">
        <f>IFERROR(VLOOKUP(VLOOKUP(A1108,'[1]Sales Order'!A:C,3,FALSE),[1]Employee!A:E,5,FALSE)&amp;" "&amp;VLOOKUP(VLOOKUP(A1108,'[1]Sales Order'!A:C,3,FALSE),[1]Employee!A:C,3,FALSE)&amp;" "&amp;VLOOKUP(VLOOKUP(A1108,'[1]Sales Order'!A:C,3,FALSE),[1]Employee!A:B,2,FALSE),"Not Specified")</f>
        <v>Dr. Don Funk</v>
      </c>
      <c r="I1108" t="str">
        <f>IFERROR(VLOOKUP(VLOOKUP(A1108,'[1]Sales Order'!A:C,3,FALSE),[1]Employee!A:J,10,FALSE),"Not Specified")</f>
        <v>WA</v>
      </c>
      <c r="J1108" t="str">
        <f>VLOOKUP(B1108,[1]Product!A:B,2,FALSE)</f>
        <v>Product GMKIJ</v>
      </c>
      <c r="K1108" t="str">
        <f>VLOOKUP(VLOOKUP(B1108,[1]Product!A:D,4,FALSE),[1]Category!A:B,2,FALSE)</f>
        <v>Seafood</v>
      </c>
      <c r="L1108" s="10">
        <f>IFERROR(VLOOKUP(A1108,'[1]Sales Order'!A:D,4,FALSE),"")</f>
        <v>39340</v>
      </c>
      <c r="M1108" s="10">
        <f>IFERROR(VLOOKUP(A1108,'[1]Sales Order'!A:F,6,FALSE),"")</f>
        <v>39347</v>
      </c>
      <c r="N1108" t="str">
        <f>IFERROR(VLOOKUP(VLOOKUP(A1108,'[1]Sales Order'!A:G,7,FALSE),[1]Shipper!A:B,2,FALSE),"Not Specified")</f>
        <v>Shipper GVSUA</v>
      </c>
      <c r="O1108" t="str">
        <f>IFERROR(VLOOKUP(A1108,'[1]Sales Order'!A:I,9,FALSE),"Not Specified")</f>
        <v>Ship to 73-A</v>
      </c>
      <c r="P1108" t="str">
        <f>IFERROR(VLOOKUP(A1108,'[1]Sales Order'!A:N,14,FALSE),"Not Specified")</f>
        <v>Denmark</v>
      </c>
      <c r="Q1108" t="str">
        <f>VLOOKUP(VLOOKUP(B1108,[1]Product!A:C,3,FALSE),[1]Supplier!A:B,2,FALSE)</f>
        <v>Supplier QZGUF</v>
      </c>
      <c r="R1108" t="str">
        <f>VLOOKUP(VLOOKUP(B1108,[1]Product!A:C,3,FALSE),[1]Supplier!A:I,9,FALSE)</f>
        <v>Sweden</v>
      </c>
      <c r="S1108" t="str">
        <f>IFERROR(IF(VLOOKUP(A1108,'[1]Sales Order'!A:H,8,FALSE)&gt;100,"High Freight","Low Freight"),"Not Specified")</f>
        <v>Low Freight</v>
      </c>
      <c r="T1108">
        <f t="shared" si="35"/>
        <v>570</v>
      </c>
    </row>
    <row r="1109" spans="1:20">
      <c r="A1109" s="1">
        <v>10670</v>
      </c>
      <c r="B1109" s="2">
        <v>23</v>
      </c>
      <c r="C1109" s="2">
        <v>9</v>
      </c>
      <c r="D1109" s="2">
        <v>32</v>
      </c>
      <c r="E1109" s="3">
        <v>0</v>
      </c>
      <c r="F1109" s="2" t="str">
        <f>IFERROR(VLOOKUP(VLOOKUP(A1109,'[1]Sales Order'!A:B,2,FALSE),[1]Customer!A:C,3,FALSE),"Not Specified")</f>
        <v>Carlson, Jason</v>
      </c>
      <c r="G1109" s="2" t="str">
        <f t="shared" si="34"/>
        <v>Carlson Jason</v>
      </c>
      <c r="H1109" s="8" t="str">
        <f>IFERROR(VLOOKUP(VLOOKUP(A1109,'[1]Sales Order'!A:C,3,FALSE),[1]Employee!A:E,5,FALSE)&amp;" "&amp;VLOOKUP(VLOOKUP(A1109,'[1]Sales Order'!A:C,3,FALSE),[1]Employee!A:C,3,FALSE)&amp;" "&amp;VLOOKUP(VLOOKUP(A1109,'[1]Sales Order'!A:C,3,FALSE),[1]Employee!A:B,2,FALSE),"Not Specified")</f>
        <v>Mrs. Yael Peled</v>
      </c>
      <c r="I1109" t="str">
        <f>IFERROR(VLOOKUP(VLOOKUP(A1109,'[1]Sales Order'!A:C,3,FALSE),[1]Employee!A:J,10,FALSE),"Not Specified")</f>
        <v>WA</v>
      </c>
      <c r="J1109" t="str">
        <f>VLOOKUP(B1109,[1]Product!A:B,2,FALSE)</f>
        <v>Product JLUDZ</v>
      </c>
      <c r="K1109" t="str">
        <f>VLOOKUP(VLOOKUP(B1109,[1]Product!A:D,4,FALSE),[1]Category!A:B,2,FALSE)</f>
        <v>Grains/Cereals</v>
      </c>
      <c r="L1109" s="10">
        <f>IFERROR(VLOOKUP(A1109,'[1]Sales Order'!A:D,4,FALSE),"")</f>
        <v>39341</v>
      </c>
      <c r="M1109" s="10">
        <f>IFERROR(VLOOKUP(A1109,'[1]Sales Order'!A:F,6,FALSE),"")</f>
        <v>39343</v>
      </c>
      <c r="N1109" t="str">
        <f>IFERROR(VLOOKUP(VLOOKUP(A1109,'[1]Sales Order'!A:G,7,FALSE),[1]Shipper!A:B,2,FALSE),"Not Specified")</f>
        <v>Shipper GVSUA</v>
      </c>
      <c r="O1109" t="str">
        <f>IFERROR(VLOOKUP(A1109,'[1]Sales Order'!A:I,9,FALSE),"Not Specified")</f>
        <v>Destination QOCBL</v>
      </c>
      <c r="P1109" t="str">
        <f>IFERROR(VLOOKUP(A1109,'[1]Sales Order'!A:N,14,FALSE),"Not Specified")</f>
        <v>Germany</v>
      </c>
      <c r="Q1109" t="str">
        <f>VLOOKUP(VLOOKUP(B1109,[1]Product!A:C,3,FALSE),[1]Supplier!A:B,2,FALSE)</f>
        <v>Supplier QQYEU</v>
      </c>
      <c r="R1109" t="str">
        <f>VLOOKUP(VLOOKUP(B1109,[1]Product!A:C,3,FALSE),[1]Supplier!A:I,9,FALSE)</f>
        <v>Sweden</v>
      </c>
      <c r="S1109" t="str">
        <f>IFERROR(IF(VLOOKUP(A1109,'[1]Sales Order'!A:H,8,FALSE)&gt;100,"High Freight","Low Freight"),"Not Specified")</f>
        <v>High Freight</v>
      </c>
      <c r="T1109">
        <f t="shared" si="35"/>
        <v>288</v>
      </c>
    </row>
    <row r="1110" spans="1:20">
      <c r="A1110" s="1">
        <v>10670</v>
      </c>
      <c r="B1110" s="2">
        <v>46</v>
      </c>
      <c r="C1110" s="2">
        <v>12</v>
      </c>
      <c r="D1110" s="2">
        <v>60</v>
      </c>
      <c r="E1110" s="3">
        <v>0</v>
      </c>
      <c r="F1110" s="2" t="str">
        <f>IFERROR(VLOOKUP(VLOOKUP(A1110,'[1]Sales Order'!A:B,2,FALSE),[1]Customer!A:C,3,FALSE),"Not Specified")</f>
        <v>Carlson, Jason</v>
      </c>
      <c r="G1110" s="2" t="str">
        <f t="shared" si="34"/>
        <v>Carlson Jason</v>
      </c>
      <c r="H1110" s="8" t="str">
        <f>IFERROR(VLOOKUP(VLOOKUP(A1110,'[1]Sales Order'!A:C,3,FALSE),[1]Employee!A:E,5,FALSE)&amp;" "&amp;VLOOKUP(VLOOKUP(A1110,'[1]Sales Order'!A:C,3,FALSE),[1]Employee!A:C,3,FALSE)&amp;" "&amp;VLOOKUP(VLOOKUP(A1110,'[1]Sales Order'!A:C,3,FALSE),[1]Employee!A:B,2,FALSE),"Not Specified")</f>
        <v>Mrs. Yael Peled</v>
      </c>
      <c r="I1110" t="str">
        <f>IFERROR(VLOOKUP(VLOOKUP(A1110,'[1]Sales Order'!A:C,3,FALSE),[1]Employee!A:J,10,FALSE),"Not Specified")</f>
        <v>WA</v>
      </c>
      <c r="J1110" t="str">
        <f>VLOOKUP(B1110,[1]Product!A:B,2,FALSE)</f>
        <v>Product CBRRL</v>
      </c>
      <c r="K1110" t="str">
        <f>VLOOKUP(VLOOKUP(B1110,[1]Product!A:D,4,FALSE),[1]Category!A:B,2,FALSE)</f>
        <v>Seafood</v>
      </c>
      <c r="L1110" s="10">
        <f>IFERROR(VLOOKUP(A1110,'[1]Sales Order'!A:D,4,FALSE),"")</f>
        <v>39341</v>
      </c>
      <c r="M1110" s="10">
        <f>IFERROR(VLOOKUP(A1110,'[1]Sales Order'!A:F,6,FALSE),"")</f>
        <v>39343</v>
      </c>
      <c r="N1110" t="str">
        <f>IFERROR(VLOOKUP(VLOOKUP(A1110,'[1]Sales Order'!A:G,7,FALSE),[1]Shipper!A:B,2,FALSE),"Not Specified")</f>
        <v>Shipper GVSUA</v>
      </c>
      <c r="O1110" t="str">
        <f>IFERROR(VLOOKUP(A1110,'[1]Sales Order'!A:I,9,FALSE),"Not Specified")</f>
        <v>Destination QOCBL</v>
      </c>
      <c r="P1110" t="str">
        <f>IFERROR(VLOOKUP(A1110,'[1]Sales Order'!A:N,14,FALSE),"Not Specified")</f>
        <v>Germany</v>
      </c>
      <c r="Q1110" t="str">
        <f>VLOOKUP(VLOOKUP(B1110,[1]Product!A:C,3,FALSE),[1]Supplier!A:B,2,FALSE)</f>
        <v>Supplier XOXZA</v>
      </c>
      <c r="R1110" t="str">
        <f>VLOOKUP(VLOOKUP(B1110,[1]Product!A:C,3,FALSE),[1]Supplier!A:I,9,FALSE)</f>
        <v>Denmark</v>
      </c>
      <c r="S1110" t="str">
        <f>IFERROR(IF(VLOOKUP(A1110,'[1]Sales Order'!A:H,8,FALSE)&gt;100,"High Freight","Low Freight"),"Not Specified")</f>
        <v>High Freight</v>
      </c>
      <c r="T1110">
        <f t="shared" si="35"/>
        <v>720</v>
      </c>
    </row>
    <row r="1111" spans="1:20">
      <c r="A1111" s="1">
        <v>10670</v>
      </c>
      <c r="B1111" s="2">
        <v>67</v>
      </c>
      <c r="C1111" s="2">
        <v>14</v>
      </c>
      <c r="D1111" s="2">
        <v>25</v>
      </c>
      <c r="E1111" s="3">
        <v>0</v>
      </c>
      <c r="F1111" s="2" t="str">
        <f>IFERROR(VLOOKUP(VLOOKUP(A1111,'[1]Sales Order'!A:B,2,FALSE),[1]Customer!A:C,3,FALSE),"Not Specified")</f>
        <v>Carlson, Jason</v>
      </c>
      <c r="G1111" s="2" t="str">
        <f t="shared" si="34"/>
        <v>Carlson Jason</v>
      </c>
      <c r="H1111" s="8" t="str">
        <f>IFERROR(VLOOKUP(VLOOKUP(A1111,'[1]Sales Order'!A:C,3,FALSE),[1]Employee!A:E,5,FALSE)&amp;" "&amp;VLOOKUP(VLOOKUP(A1111,'[1]Sales Order'!A:C,3,FALSE),[1]Employee!A:C,3,FALSE)&amp;" "&amp;VLOOKUP(VLOOKUP(A1111,'[1]Sales Order'!A:C,3,FALSE),[1]Employee!A:B,2,FALSE),"Not Specified")</f>
        <v>Mrs. Yael Peled</v>
      </c>
      <c r="I1111" t="str">
        <f>IFERROR(VLOOKUP(VLOOKUP(A1111,'[1]Sales Order'!A:C,3,FALSE),[1]Employee!A:J,10,FALSE),"Not Specified")</f>
        <v>WA</v>
      </c>
      <c r="J1111" t="str">
        <f>VLOOKUP(B1111,[1]Product!A:B,2,FALSE)</f>
        <v>Product XLXQF</v>
      </c>
      <c r="K1111" t="str">
        <f>VLOOKUP(VLOOKUP(B1111,[1]Product!A:D,4,FALSE),[1]Category!A:B,2,FALSE)</f>
        <v>Beverages</v>
      </c>
      <c r="L1111" s="10">
        <f>IFERROR(VLOOKUP(A1111,'[1]Sales Order'!A:D,4,FALSE),"")</f>
        <v>39341</v>
      </c>
      <c r="M1111" s="10">
        <f>IFERROR(VLOOKUP(A1111,'[1]Sales Order'!A:F,6,FALSE),"")</f>
        <v>39343</v>
      </c>
      <c r="N1111" t="str">
        <f>IFERROR(VLOOKUP(VLOOKUP(A1111,'[1]Sales Order'!A:G,7,FALSE),[1]Shipper!A:B,2,FALSE),"Not Specified")</f>
        <v>Shipper GVSUA</v>
      </c>
      <c r="O1111" t="str">
        <f>IFERROR(VLOOKUP(A1111,'[1]Sales Order'!A:I,9,FALSE),"Not Specified")</f>
        <v>Destination QOCBL</v>
      </c>
      <c r="P1111" t="str">
        <f>IFERROR(VLOOKUP(A1111,'[1]Sales Order'!A:N,14,FALSE),"Not Specified")</f>
        <v>Germany</v>
      </c>
      <c r="Q1111" t="str">
        <f>VLOOKUP(VLOOKUP(B1111,[1]Product!A:C,3,FALSE),[1]Supplier!A:B,2,FALSE)</f>
        <v>Supplier UHZRG</v>
      </c>
      <c r="R1111" t="str">
        <f>VLOOKUP(VLOOKUP(B1111,[1]Product!A:C,3,FALSE),[1]Supplier!A:I,9,FALSE)</f>
        <v>USA</v>
      </c>
      <c r="S1111" t="str">
        <f>IFERROR(IF(VLOOKUP(A1111,'[1]Sales Order'!A:H,8,FALSE)&gt;100,"High Freight","Low Freight"),"Not Specified")</f>
        <v>High Freight</v>
      </c>
      <c r="T1111">
        <f t="shared" si="35"/>
        <v>350</v>
      </c>
    </row>
    <row r="1112" spans="1:20">
      <c r="A1112" s="1">
        <v>10670</v>
      </c>
      <c r="B1112" s="2">
        <v>73</v>
      </c>
      <c r="C1112" s="2">
        <v>15</v>
      </c>
      <c r="D1112" s="2">
        <v>50</v>
      </c>
      <c r="E1112" s="3">
        <v>0</v>
      </c>
      <c r="F1112" s="2" t="str">
        <f>IFERROR(VLOOKUP(VLOOKUP(A1112,'[1]Sales Order'!A:B,2,FALSE),[1]Customer!A:C,3,FALSE),"Not Specified")</f>
        <v>Carlson, Jason</v>
      </c>
      <c r="G1112" s="2" t="str">
        <f t="shared" si="34"/>
        <v>Carlson Jason</v>
      </c>
      <c r="H1112" s="8" t="str">
        <f>IFERROR(VLOOKUP(VLOOKUP(A1112,'[1]Sales Order'!A:C,3,FALSE),[1]Employee!A:E,5,FALSE)&amp;" "&amp;VLOOKUP(VLOOKUP(A1112,'[1]Sales Order'!A:C,3,FALSE),[1]Employee!A:C,3,FALSE)&amp;" "&amp;VLOOKUP(VLOOKUP(A1112,'[1]Sales Order'!A:C,3,FALSE),[1]Employee!A:B,2,FALSE),"Not Specified")</f>
        <v>Mrs. Yael Peled</v>
      </c>
      <c r="I1112" t="str">
        <f>IFERROR(VLOOKUP(VLOOKUP(A1112,'[1]Sales Order'!A:C,3,FALSE),[1]Employee!A:J,10,FALSE),"Not Specified")</f>
        <v>WA</v>
      </c>
      <c r="J1112" t="str">
        <f>VLOOKUP(B1112,[1]Product!A:B,2,FALSE)</f>
        <v>Product WEUJZ</v>
      </c>
      <c r="K1112" t="str">
        <f>VLOOKUP(VLOOKUP(B1112,[1]Product!A:D,4,FALSE),[1]Category!A:B,2,FALSE)</f>
        <v>Seafood</v>
      </c>
      <c r="L1112" s="10">
        <f>IFERROR(VLOOKUP(A1112,'[1]Sales Order'!A:D,4,FALSE),"")</f>
        <v>39341</v>
      </c>
      <c r="M1112" s="10">
        <f>IFERROR(VLOOKUP(A1112,'[1]Sales Order'!A:F,6,FALSE),"")</f>
        <v>39343</v>
      </c>
      <c r="N1112" t="str">
        <f>IFERROR(VLOOKUP(VLOOKUP(A1112,'[1]Sales Order'!A:G,7,FALSE),[1]Shipper!A:B,2,FALSE),"Not Specified")</f>
        <v>Shipper GVSUA</v>
      </c>
      <c r="O1112" t="str">
        <f>IFERROR(VLOOKUP(A1112,'[1]Sales Order'!A:I,9,FALSE),"Not Specified")</f>
        <v>Destination QOCBL</v>
      </c>
      <c r="P1112" t="str">
        <f>IFERROR(VLOOKUP(A1112,'[1]Sales Order'!A:N,14,FALSE),"Not Specified")</f>
        <v>Germany</v>
      </c>
      <c r="Q1112" t="str">
        <f>VLOOKUP(VLOOKUP(B1112,[1]Product!A:C,3,FALSE),[1]Supplier!A:B,2,FALSE)</f>
        <v>Supplier QZGUF</v>
      </c>
      <c r="R1112" t="str">
        <f>VLOOKUP(VLOOKUP(B1112,[1]Product!A:C,3,FALSE),[1]Supplier!A:I,9,FALSE)</f>
        <v>Sweden</v>
      </c>
      <c r="S1112" t="str">
        <f>IFERROR(IF(VLOOKUP(A1112,'[1]Sales Order'!A:H,8,FALSE)&gt;100,"High Freight","Low Freight"),"Not Specified")</f>
        <v>High Freight</v>
      </c>
      <c r="T1112">
        <f t="shared" si="35"/>
        <v>750</v>
      </c>
    </row>
    <row r="1113" spans="1:20">
      <c r="A1113" s="1">
        <v>10670</v>
      </c>
      <c r="B1113" s="2">
        <v>75</v>
      </c>
      <c r="C1113" s="2">
        <v>7.75</v>
      </c>
      <c r="D1113" s="2">
        <v>25</v>
      </c>
      <c r="E1113" s="3">
        <v>0</v>
      </c>
      <c r="F1113" s="2" t="str">
        <f>IFERROR(VLOOKUP(VLOOKUP(A1113,'[1]Sales Order'!A:B,2,FALSE),[1]Customer!A:C,3,FALSE),"Not Specified")</f>
        <v>Carlson, Jason</v>
      </c>
      <c r="G1113" s="2" t="str">
        <f t="shared" si="34"/>
        <v>Carlson Jason</v>
      </c>
      <c r="H1113" s="8" t="str">
        <f>IFERROR(VLOOKUP(VLOOKUP(A1113,'[1]Sales Order'!A:C,3,FALSE),[1]Employee!A:E,5,FALSE)&amp;" "&amp;VLOOKUP(VLOOKUP(A1113,'[1]Sales Order'!A:C,3,FALSE),[1]Employee!A:C,3,FALSE)&amp;" "&amp;VLOOKUP(VLOOKUP(A1113,'[1]Sales Order'!A:C,3,FALSE),[1]Employee!A:B,2,FALSE),"Not Specified")</f>
        <v>Mrs. Yael Peled</v>
      </c>
      <c r="I1113" t="str">
        <f>IFERROR(VLOOKUP(VLOOKUP(A1113,'[1]Sales Order'!A:C,3,FALSE),[1]Employee!A:J,10,FALSE),"Not Specified")</f>
        <v>WA</v>
      </c>
      <c r="J1113" t="str">
        <f>VLOOKUP(B1113,[1]Product!A:B,2,FALSE)</f>
        <v>Product BWRLG</v>
      </c>
      <c r="K1113" t="str">
        <f>VLOOKUP(VLOOKUP(B1113,[1]Product!A:D,4,FALSE),[1]Category!A:B,2,FALSE)</f>
        <v>Beverages</v>
      </c>
      <c r="L1113" s="10">
        <f>IFERROR(VLOOKUP(A1113,'[1]Sales Order'!A:D,4,FALSE),"")</f>
        <v>39341</v>
      </c>
      <c r="M1113" s="10">
        <f>IFERROR(VLOOKUP(A1113,'[1]Sales Order'!A:F,6,FALSE),"")</f>
        <v>39343</v>
      </c>
      <c r="N1113" t="str">
        <f>IFERROR(VLOOKUP(VLOOKUP(A1113,'[1]Sales Order'!A:G,7,FALSE),[1]Shipper!A:B,2,FALSE),"Not Specified")</f>
        <v>Shipper GVSUA</v>
      </c>
      <c r="O1113" t="str">
        <f>IFERROR(VLOOKUP(A1113,'[1]Sales Order'!A:I,9,FALSE),"Not Specified")</f>
        <v>Destination QOCBL</v>
      </c>
      <c r="P1113" t="str">
        <f>IFERROR(VLOOKUP(A1113,'[1]Sales Order'!A:N,14,FALSE),"Not Specified")</f>
        <v>Germany</v>
      </c>
      <c r="Q1113" t="str">
        <f>VLOOKUP(VLOOKUP(B1113,[1]Product!A:C,3,FALSE),[1]Supplier!A:B,2,FALSE)</f>
        <v>Supplier SVIYA</v>
      </c>
      <c r="R1113" t="str">
        <f>VLOOKUP(VLOOKUP(B1113,[1]Product!A:C,3,FALSE),[1]Supplier!A:I,9,FALSE)</f>
        <v>Germany</v>
      </c>
      <c r="S1113" t="str">
        <f>IFERROR(IF(VLOOKUP(A1113,'[1]Sales Order'!A:H,8,FALSE)&gt;100,"High Freight","Low Freight"),"Not Specified")</f>
        <v>High Freight</v>
      </c>
      <c r="T1113">
        <f t="shared" si="35"/>
        <v>193.75</v>
      </c>
    </row>
    <row r="1114" spans="1:20">
      <c r="A1114" s="1">
        <v>10671</v>
      </c>
      <c r="B1114" s="2">
        <v>16</v>
      </c>
      <c r="C1114" s="2">
        <v>17.45</v>
      </c>
      <c r="D1114" s="2">
        <v>10</v>
      </c>
      <c r="E1114" s="3">
        <v>0</v>
      </c>
      <c r="F1114" s="2" t="str">
        <f>IFERROR(VLOOKUP(VLOOKUP(A1114,'[1]Sales Order'!A:B,2,FALSE),[1]Customer!A:C,3,FALSE),"Not Specified")</f>
        <v>Koch, Paul</v>
      </c>
      <c r="G1114" s="2" t="str">
        <f t="shared" si="34"/>
        <v>Koch Paul</v>
      </c>
      <c r="H1114" s="8" t="str">
        <f>IFERROR(VLOOKUP(VLOOKUP(A1114,'[1]Sales Order'!A:C,3,FALSE),[1]Employee!A:E,5,FALSE)&amp;" "&amp;VLOOKUP(VLOOKUP(A1114,'[1]Sales Order'!A:C,3,FALSE),[1]Employee!A:C,3,FALSE)&amp;" "&amp;VLOOKUP(VLOOKUP(A1114,'[1]Sales Order'!A:C,3,FALSE),[1]Employee!A:B,2,FALSE),"Not Specified")</f>
        <v>Ms. Sara Davis</v>
      </c>
      <c r="I1114" t="str">
        <f>IFERROR(VLOOKUP(VLOOKUP(A1114,'[1]Sales Order'!A:C,3,FALSE),[1]Employee!A:J,10,FALSE),"Not Specified")</f>
        <v>WA</v>
      </c>
      <c r="J1114" t="str">
        <f>VLOOKUP(B1114,[1]Product!A:B,2,FALSE)</f>
        <v>Product PAFRH</v>
      </c>
      <c r="K1114" t="str">
        <f>VLOOKUP(VLOOKUP(B1114,[1]Product!A:D,4,FALSE),[1]Category!A:B,2,FALSE)</f>
        <v>Confections</v>
      </c>
      <c r="L1114" s="10">
        <f>IFERROR(VLOOKUP(A1114,'[1]Sales Order'!A:D,4,FALSE),"")</f>
        <v>39342</v>
      </c>
      <c r="M1114" s="10">
        <f>IFERROR(VLOOKUP(A1114,'[1]Sales Order'!A:F,6,FALSE),"")</f>
        <v>39349</v>
      </c>
      <c r="N1114" t="str">
        <f>IFERROR(VLOOKUP(VLOOKUP(A1114,'[1]Sales Order'!A:G,7,FALSE),[1]Shipper!A:B,2,FALSE),"Not Specified")</f>
        <v>Shipper GVSUA</v>
      </c>
      <c r="O1114" t="str">
        <f>IFERROR(VLOOKUP(A1114,'[1]Sales Order'!A:I,9,FALSE),"Not Specified")</f>
        <v>Destination OPXJT</v>
      </c>
      <c r="P1114" t="str">
        <f>IFERROR(VLOOKUP(A1114,'[1]Sales Order'!A:N,14,FALSE),"Not Specified")</f>
        <v>France</v>
      </c>
      <c r="Q1114" t="str">
        <f>VLOOKUP(VLOOKUP(B1114,[1]Product!A:C,3,FALSE),[1]Supplier!A:B,2,FALSE)</f>
        <v>Supplier GQRCV</v>
      </c>
      <c r="R1114" t="str">
        <f>VLOOKUP(VLOOKUP(B1114,[1]Product!A:C,3,FALSE),[1]Supplier!A:I,9,FALSE)</f>
        <v>Australia</v>
      </c>
      <c r="S1114" t="str">
        <f>IFERROR(IF(VLOOKUP(A1114,'[1]Sales Order'!A:H,8,FALSE)&gt;100,"High Freight","Low Freight"),"Not Specified")</f>
        <v>Low Freight</v>
      </c>
      <c r="T1114">
        <f t="shared" si="35"/>
        <v>174.5</v>
      </c>
    </row>
    <row r="1115" spans="1:20">
      <c r="A1115" s="1">
        <v>10671</v>
      </c>
      <c r="B1115" s="2">
        <v>62</v>
      </c>
      <c r="C1115" s="2">
        <v>49.3</v>
      </c>
      <c r="D1115" s="2">
        <v>10</v>
      </c>
      <c r="E1115" s="3">
        <v>0</v>
      </c>
      <c r="F1115" s="2" t="str">
        <f>IFERROR(VLOOKUP(VLOOKUP(A1115,'[1]Sales Order'!A:B,2,FALSE),[1]Customer!A:C,3,FALSE),"Not Specified")</f>
        <v>Koch, Paul</v>
      </c>
      <c r="G1115" s="2" t="str">
        <f t="shared" si="34"/>
        <v>Koch Paul</v>
      </c>
      <c r="H1115" s="8" t="str">
        <f>IFERROR(VLOOKUP(VLOOKUP(A1115,'[1]Sales Order'!A:C,3,FALSE),[1]Employee!A:E,5,FALSE)&amp;" "&amp;VLOOKUP(VLOOKUP(A1115,'[1]Sales Order'!A:C,3,FALSE),[1]Employee!A:C,3,FALSE)&amp;" "&amp;VLOOKUP(VLOOKUP(A1115,'[1]Sales Order'!A:C,3,FALSE),[1]Employee!A:B,2,FALSE),"Not Specified")</f>
        <v>Ms. Sara Davis</v>
      </c>
      <c r="I1115" t="str">
        <f>IFERROR(VLOOKUP(VLOOKUP(A1115,'[1]Sales Order'!A:C,3,FALSE),[1]Employee!A:J,10,FALSE),"Not Specified")</f>
        <v>WA</v>
      </c>
      <c r="J1115" t="str">
        <f>VLOOKUP(B1115,[1]Product!A:B,2,FALSE)</f>
        <v>Product WUXYK</v>
      </c>
      <c r="K1115" t="str">
        <f>VLOOKUP(VLOOKUP(B1115,[1]Product!A:D,4,FALSE),[1]Category!A:B,2,FALSE)</f>
        <v>Confections</v>
      </c>
      <c r="L1115" s="10">
        <f>IFERROR(VLOOKUP(A1115,'[1]Sales Order'!A:D,4,FALSE),"")</f>
        <v>39342</v>
      </c>
      <c r="M1115" s="10">
        <f>IFERROR(VLOOKUP(A1115,'[1]Sales Order'!A:F,6,FALSE),"")</f>
        <v>39349</v>
      </c>
      <c r="N1115" t="str">
        <f>IFERROR(VLOOKUP(VLOOKUP(A1115,'[1]Sales Order'!A:G,7,FALSE),[1]Shipper!A:B,2,FALSE),"Not Specified")</f>
        <v>Shipper GVSUA</v>
      </c>
      <c r="O1115" t="str">
        <f>IFERROR(VLOOKUP(A1115,'[1]Sales Order'!A:I,9,FALSE),"Not Specified")</f>
        <v>Destination OPXJT</v>
      </c>
      <c r="P1115" t="str">
        <f>IFERROR(VLOOKUP(A1115,'[1]Sales Order'!A:N,14,FALSE),"Not Specified")</f>
        <v>France</v>
      </c>
      <c r="Q1115" t="str">
        <f>VLOOKUP(VLOOKUP(B1115,[1]Product!A:C,3,FALSE),[1]Supplier!A:B,2,FALSE)</f>
        <v>Supplier OGLRK</v>
      </c>
      <c r="R1115" t="str">
        <f>VLOOKUP(VLOOKUP(B1115,[1]Product!A:C,3,FALSE),[1]Supplier!A:I,9,FALSE)</f>
        <v>Canada</v>
      </c>
      <c r="S1115" t="str">
        <f>IFERROR(IF(VLOOKUP(A1115,'[1]Sales Order'!A:H,8,FALSE)&gt;100,"High Freight","Low Freight"),"Not Specified")</f>
        <v>Low Freight</v>
      </c>
      <c r="T1115">
        <f t="shared" si="35"/>
        <v>493</v>
      </c>
    </row>
    <row r="1116" spans="1:20">
      <c r="A1116" s="1">
        <v>10671</v>
      </c>
      <c r="B1116" s="2">
        <v>65</v>
      </c>
      <c r="C1116" s="2">
        <v>21.05</v>
      </c>
      <c r="D1116" s="2">
        <v>12</v>
      </c>
      <c r="E1116" s="3">
        <v>0</v>
      </c>
      <c r="F1116" s="2" t="str">
        <f>IFERROR(VLOOKUP(VLOOKUP(A1116,'[1]Sales Order'!A:B,2,FALSE),[1]Customer!A:C,3,FALSE),"Not Specified")</f>
        <v>Koch, Paul</v>
      </c>
      <c r="G1116" s="2" t="str">
        <f t="shared" si="34"/>
        <v>Koch Paul</v>
      </c>
      <c r="H1116" s="8" t="str">
        <f>IFERROR(VLOOKUP(VLOOKUP(A1116,'[1]Sales Order'!A:C,3,FALSE),[1]Employee!A:E,5,FALSE)&amp;" "&amp;VLOOKUP(VLOOKUP(A1116,'[1]Sales Order'!A:C,3,FALSE),[1]Employee!A:C,3,FALSE)&amp;" "&amp;VLOOKUP(VLOOKUP(A1116,'[1]Sales Order'!A:C,3,FALSE),[1]Employee!A:B,2,FALSE),"Not Specified")</f>
        <v>Ms. Sara Davis</v>
      </c>
      <c r="I1116" t="str">
        <f>IFERROR(VLOOKUP(VLOOKUP(A1116,'[1]Sales Order'!A:C,3,FALSE),[1]Employee!A:J,10,FALSE),"Not Specified")</f>
        <v>WA</v>
      </c>
      <c r="J1116" t="str">
        <f>VLOOKUP(B1116,[1]Product!A:B,2,FALSE)</f>
        <v>Product XYWBZ</v>
      </c>
      <c r="K1116" t="str">
        <f>VLOOKUP(VLOOKUP(B1116,[1]Product!A:D,4,FALSE),[1]Category!A:B,2,FALSE)</f>
        <v>Condiments</v>
      </c>
      <c r="L1116" s="10">
        <f>IFERROR(VLOOKUP(A1116,'[1]Sales Order'!A:D,4,FALSE),"")</f>
        <v>39342</v>
      </c>
      <c r="M1116" s="10">
        <f>IFERROR(VLOOKUP(A1116,'[1]Sales Order'!A:F,6,FALSE),"")</f>
        <v>39349</v>
      </c>
      <c r="N1116" t="str">
        <f>IFERROR(VLOOKUP(VLOOKUP(A1116,'[1]Sales Order'!A:G,7,FALSE),[1]Shipper!A:B,2,FALSE),"Not Specified")</f>
        <v>Shipper GVSUA</v>
      </c>
      <c r="O1116" t="str">
        <f>IFERROR(VLOOKUP(A1116,'[1]Sales Order'!A:I,9,FALSE),"Not Specified")</f>
        <v>Destination OPXJT</v>
      </c>
      <c r="P1116" t="str">
        <f>IFERROR(VLOOKUP(A1116,'[1]Sales Order'!A:N,14,FALSE),"Not Specified")</f>
        <v>France</v>
      </c>
      <c r="Q1116" t="str">
        <f>VLOOKUP(VLOOKUP(B1116,[1]Product!A:C,3,FALSE),[1]Supplier!A:B,2,FALSE)</f>
        <v>Supplier VHQZD</v>
      </c>
      <c r="R1116" t="str">
        <f>VLOOKUP(VLOOKUP(B1116,[1]Product!A:C,3,FALSE),[1]Supplier!A:I,9,FALSE)</f>
        <v>USA</v>
      </c>
      <c r="S1116" t="str">
        <f>IFERROR(IF(VLOOKUP(A1116,'[1]Sales Order'!A:H,8,FALSE)&gt;100,"High Freight","Low Freight"),"Not Specified")</f>
        <v>Low Freight</v>
      </c>
      <c r="T1116">
        <f t="shared" si="35"/>
        <v>252.60000000000002</v>
      </c>
    </row>
    <row r="1117" spans="1:20">
      <c r="A1117" s="1">
        <v>10672</v>
      </c>
      <c r="B1117" s="2">
        <v>38</v>
      </c>
      <c r="C1117" s="2">
        <v>263.5</v>
      </c>
      <c r="D1117" s="2">
        <v>15</v>
      </c>
      <c r="E1117" s="3">
        <v>0.1</v>
      </c>
      <c r="F1117" s="2" t="str">
        <f>IFERROR(VLOOKUP(VLOOKUP(A1117,'[1]Sales Order'!A:B,2,FALSE),[1]Customer!A:C,3,FALSE),"Not Specified")</f>
        <v>Higginbotham, Tom</v>
      </c>
      <c r="G1117" s="2" t="str">
        <f t="shared" si="34"/>
        <v>Higginbotham Tom</v>
      </c>
      <c r="H1117" s="8" t="str">
        <f>IFERROR(VLOOKUP(VLOOKUP(A1117,'[1]Sales Order'!A:C,3,FALSE),[1]Employee!A:E,5,FALSE)&amp;" "&amp;VLOOKUP(VLOOKUP(A1117,'[1]Sales Order'!A:C,3,FALSE),[1]Employee!A:C,3,FALSE)&amp;" "&amp;VLOOKUP(VLOOKUP(A1117,'[1]Sales Order'!A:C,3,FALSE),[1]Employee!A:B,2,FALSE),"Not Specified")</f>
        <v>Ms. Zoya Dolgopyatova</v>
      </c>
      <c r="I1117">
        <f>IFERROR(VLOOKUP(VLOOKUP(A1117,'[1]Sales Order'!A:C,3,FALSE),[1]Employee!A:J,10,FALSE),"Not Specified")</f>
        <v>0</v>
      </c>
      <c r="J1117" t="str">
        <f>VLOOKUP(B1117,[1]Product!A:B,2,FALSE)</f>
        <v>Product QDOMO</v>
      </c>
      <c r="K1117" t="str">
        <f>VLOOKUP(VLOOKUP(B1117,[1]Product!A:D,4,FALSE),[1]Category!A:B,2,FALSE)</f>
        <v>Beverages</v>
      </c>
      <c r="L1117" s="10">
        <f>IFERROR(VLOOKUP(A1117,'[1]Sales Order'!A:D,4,FALSE),"")</f>
        <v>39342</v>
      </c>
      <c r="M1117" s="10">
        <f>IFERROR(VLOOKUP(A1117,'[1]Sales Order'!A:F,6,FALSE),"")</f>
        <v>39351</v>
      </c>
      <c r="N1117" t="str">
        <f>IFERROR(VLOOKUP(VLOOKUP(A1117,'[1]Sales Order'!A:G,7,FALSE),[1]Shipper!A:B,2,FALSE),"Not Specified")</f>
        <v>Shipper ETYNR</v>
      </c>
      <c r="O1117" t="str">
        <f>IFERROR(VLOOKUP(A1117,'[1]Sales Order'!A:I,9,FALSE),"Not Specified")</f>
        <v>Ship to 5-C</v>
      </c>
      <c r="P1117" t="str">
        <f>IFERROR(VLOOKUP(A1117,'[1]Sales Order'!A:N,14,FALSE),"Not Specified")</f>
        <v>Sweden</v>
      </c>
      <c r="Q1117" t="str">
        <f>VLOOKUP(VLOOKUP(B1117,[1]Product!A:C,3,FALSE),[1]Supplier!A:B,2,FALSE)</f>
        <v>Supplier LVJUA</v>
      </c>
      <c r="R1117" t="str">
        <f>VLOOKUP(VLOOKUP(B1117,[1]Product!A:C,3,FALSE),[1]Supplier!A:I,9,FALSE)</f>
        <v>France</v>
      </c>
      <c r="S1117" t="str">
        <f>IFERROR(IF(VLOOKUP(A1117,'[1]Sales Order'!A:H,8,FALSE)&gt;100,"High Freight","Low Freight"),"Not Specified")</f>
        <v>Low Freight</v>
      </c>
      <c r="T1117">
        <f t="shared" si="35"/>
        <v>3557.25</v>
      </c>
    </row>
    <row r="1118" spans="1:20">
      <c r="A1118" s="1">
        <v>10672</v>
      </c>
      <c r="B1118" s="2">
        <v>71</v>
      </c>
      <c r="C1118" s="2">
        <v>21.5</v>
      </c>
      <c r="D1118" s="2">
        <v>12</v>
      </c>
      <c r="E1118" s="3">
        <v>0</v>
      </c>
      <c r="F1118" s="2" t="str">
        <f>IFERROR(VLOOKUP(VLOOKUP(A1118,'[1]Sales Order'!A:B,2,FALSE),[1]Customer!A:C,3,FALSE),"Not Specified")</f>
        <v>Higginbotham, Tom</v>
      </c>
      <c r="G1118" s="2" t="str">
        <f t="shared" si="34"/>
        <v>Higginbotham Tom</v>
      </c>
      <c r="H1118" s="8" t="str">
        <f>IFERROR(VLOOKUP(VLOOKUP(A1118,'[1]Sales Order'!A:C,3,FALSE),[1]Employee!A:E,5,FALSE)&amp;" "&amp;VLOOKUP(VLOOKUP(A1118,'[1]Sales Order'!A:C,3,FALSE),[1]Employee!A:C,3,FALSE)&amp;" "&amp;VLOOKUP(VLOOKUP(A1118,'[1]Sales Order'!A:C,3,FALSE),[1]Employee!A:B,2,FALSE),"Not Specified")</f>
        <v>Ms. Zoya Dolgopyatova</v>
      </c>
      <c r="I1118">
        <f>IFERROR(VLOOKUP(VLOOKUP(A1118,'[1]Sales Order'!A:C,3,FALSE),[1]Employee!A:J,10,FALSE),"Not Specified")</f>
        <v>0</v>
      </c>
      <c r="J1118" t="str">
        <f>VLOOKUP(B1118,[1]Product!A:B,2,FALSE)</f>
        <v>Product MYMOI</v>
      </c>
      <c r="K1118" t="str">
        <f>VLOOKUP(VLOOKUP(B1118,[1]Product!A:D,4,FALSE),[1]Category!A:B,2,FALSE)</f>
        <v>Dairy Product</v>
      </c>
      <c r="L1118" s="10">
        <f>IFERROR(VLOOKUP(A1118,'[1]Sales Order'!A:D,4,FALSE),"")</f>
        <v>39342</v>
      </c>
      <c r="M1118" s="10">
        <f>IFERROR(VLOOKUP(A1118,'[1]Sales Order'!A:F,6,FALSE),"")</f>
        <v>39351</v>
      </c>
      <c r="N1118" t="str">
        <f>IFERROR(VLOOKUP(VLOOKUP(A1118,'[1]Sales Order'!A:G,7,FALSE),[1]Shipper!A:B,2,FALSE),"Not Specified")</f>
        <v>Shipper ETYNR</v>
      </c>
      <c r="O1118" t="str">
        <f>IFERROR(VLOOKUP(A1118,'[1]Sales Order'!A:I,9,FALSE),"Not Specified")</f>
        <v>Ship to 5-C</v>
      </c>
      <c r="P1118" t="str">
        <f>IFERROR(VLOOKUP(A1118,'[1]Sales Order'!A:N,14,FALSE),"Not Specified")</f>
        <v>Sweden</v>
      </c>
      <c r="Q1118" t="str">
        <f>VLOOKUP(VLOOKUP(B1118,[1]Product!A:C,3,FALSE),[1]Supplier!A:B,2,FALSE)</f>
        <v>Supplier NZLIF</v>
      </c>
      <c r="R1118" t="str">
        <f>VLOOKUP(VLOOKUP(B1118,[1]Product!A:C,3,FALSE),[1]Supplier!A:I,9,FALSE)</f>
        <v>Norway</v>
      </c>
      <c r="S1118" t="str">
        <f>IFERROR(IF(VLOOKUP(A1118,'[1]Sales Order'!A:H,8,FALSE)&gt;100,"High Freight","Low Freight"),"Not Specified")</f>
        <v>Low Freight</v>
      </c>
      <c r="T1118">
        <f t="shared" si="35"/>
        <v>258</v>
      </c>
    </row>
    <row r="1119" spans="1:20">
      <c r="A1119" s="1">
        <v>10673</v>
      </c>
      <c r="B1119" s="2">
        <v>16</v>
      </c>
      <c r="C1119" s="2">
        <v>17.45</v>
      </c>
      <c r="D1119" s="2">
        <v>3</v>
      </c>
      <c r="E1119" s="3">
        <v>0</v>
      </c>
      <c r="F1119" s="2" t="str">
        <f>IFERROR(VLOOKUP(VLOOKUP(A1119,'[1]Sales Order'!A:B,2,FALSE),[1]Customer!A:C,3,FALSE),"Not Specified")</f>
        <v>Larsson, Katarina</v>
      </c>
      <c r="G1119" s="2" t="str">
        <f t="shared" si="34"/>
        <v>Larsson Katarina</v>
      </c>
      <c r="H1119" s="8" t="str">
        <f>IFERROR(VLOOKUP(VLOOKUP(A1119,'[1]Sales Order'!A:C,3,FALSE),[1]Employee!A:E,5,FALSE)&amp;" "&amp;VLOOKUP(VLOOKUP(A1119,'[1]Sales Order'!A:C,3,FALSE),[1]Employee!A:C,3,FALSE)&amp;" "&amp;VLOOKUP(VLOOKUP(A1119,'[1]Sales Order'!A:C,3,FALSE),[1]Employee!A:B,2,FALSE),"Not Specified")</f>
        <v>Dr. Don Funk</v>
      </c>
      <c r="I1119" t="str">
        <f>IFERROR(VLOOKUP(VLOOKUP(A1119,'[1]Sales Order'!A:C,3,FALSE),[1]Employee!A:J,10,FALSE),"Not Specified")</f>
        <v>WA</v>
      </c>
      <c r="J1119" t="str">
        <f>VLOOKUP(B1119,[1]Product!A:B,2,FALSE)</f>
        <v>Product PAFRH</v>
      </c>
      <c r="K1119" t="str">
        <f>VLOOKUP(VLOOKUP(B1119,[1]Product!A:D,4,FALSE),[1]Category!A:B,2,FALSE)</f>
        <v>Confections</v>
      </c>
      <c r="L1119" s="10">
        <f>IFERROR(VLOOKUP(A1119,'[1]Sales Order'!A:D,4,FALSE),"")</f>
        <v>39343</v>
      </c>
      <c r="M1119" s="10">
        <f>IFERROR(VLOOKUP(A1119,'[1]Sales Order'!A:F,6,FALSE),"")</f>
        <v>39344</v>
      </c>
      <c r="N1119" t="str">
        <f>IFERROR(VLOOKUP(VLOOKUP(A1119,'[1]Sales Order'!A:G,7,FALSE),[1]Shipper!A:B,2,FALSE),"Not Specified")</f>
        <v>Shipper GVSUA</v>
      </c>
      <c r="O1119" t="str">
        <f>IFERROR(VLOOKUP(A1119,'[1]Sales Order'!A:I,9,FALSE),"Not Specified")</f>
        <v>Ship to 90-B</v>
      </c>
      <c r="P1119" t="str">
        <f>IFERROR(VLOOKUP(A1119,'[1]Sales Order'!A:N,14,FALSE),"Not Specified")</f>
        <v>Finland</v>
      </c>
      <c r="Q1119" t="str">
        <f>VLOOKUP(VLOOKUP(B1119,[1]Product!A:C,3,FALSE),[1]Supplier!A:B,2,FALSE)</f>
        <v>Supplier GQRCV</v>
      </c>
      <c r="R1119" t="str">
        <f>VLOOKUP(VLOOKUP(B1119,[1]Product!A:C,3,FALSE),[1]Supplier!A:I,9,FALSE)</f>
        <v>Australia</v>
      </c>
      <c r="S1119" t="str">
        <f>IFERROR(IF(VLOOKUP(A1119,'[1]Sales Order'!A:H,8,FALSE)&gt;100,"High Freight","Low Freight"),"Not Specified")</f>
        <v>Low Freight</v>
      </c>
      <c r="T1119">
        <f t="shared" si="35"/>
        <v>52.349999999999994</v>
      </c>
    </row>
    <row r="1120" spans="1:20">
      <c r="A1120" s="1">
        <v>10673</v>
      </c>
      <c r="B1120" s="2">
        <v>42</v>
      </c>
      <c r="C1120" s="2">
        <v>14</v>
      </c>
      <c r="D1120" s="2">
        <v>6</v>
      </c>
      <c r="E1120" s="3">
        <v>0</v>
      </c>
      <c r="F1120" s="2" t="str">
        <f>IFERROR(VLOOKUP(VLOOKUP(A1120,'[1]Sales Order'!A:B,2,FALSE),[1]Customer!A:C,3,FALSE),"Not Specified")</f>
        <v>Larsson, Katarina</v>
      </c>
      <c r="G1120" s="2" t="str">
        <f t="shared" si="34"/>
        <v>Larsson Katarina</v>
      </c>
      <c r="H1120" s="8" t="str">
        <f>IFERROR(VLOOKUP(VLOOKUP(A1120,'[1]Sales Order'!A:C,3,FALSE),[1]Employee!A:E,5,FALSE)&amp;" "&amp;VLOOKUP(VLOOKUP(A1120,'[1]Sales Order'!A:C,3,FALSE),[1]Employee!A:C,3,FALSE)&amp;" "&amp;VLOOKUP(VLOOKUP(A1120,'[1]Sales Order'!A:C,3,FALSE),[1]Employee!A:B,2,FALSE),"Not Specified")</f>
        <v>Dr. Don Funk</v>
      </c>
      <c r="I1120" t="str">
        <f>IFERROR(VLOOKUP(VLOOKUP(A1120,'[1]Sales Order'!A:C,3,FALSE),[1]Employee!A:J,10,FALSE),"Not Specified")</f>
        <v>WA</v>
      </c>
      <c r="J1120" t="str">
        <f>VLOOKUP(B1120,[1]Product!A:B,2,FALSE)</f>
        <v>Product RJVNM</v>
      </c>
      <c r="K1120" t="str">
        <f>VLOOKUP(VLOOKUP(B1120,[1]Product!A:D,4,FALSE),[1]Category!A:B,2,FALSE)</f>
        <v>Grains/Cereals</v>
      </c>
      <c r="L1120" s="10">
        <f>IFERROR(VLOOKUP(A1120,'[1]Sales Order'!A:D,4,FALSE),"")</f>
        <v>39343</v>
      </c>
      <c r="M1120" s="10">
        <f>IFERROR(VLOOKUP(A1120,'[1]Sales Order'!A:F,6,FALSE),"")</f>
        <v>39344</v>
      </c>
      <c r="N1120" t="str">
        <f>IFERROR(VLOOKUP(VLOOKUP(A1120,'[1]Sales Order'!A:G,7,FALSE),[1]Shipper!A:B,2,FALSE),"Not Specified")</f>
        <v>Shipper GVSUA</v>
      </c>
      <c r="O1120" t="str">
        <f>IFERROR(VLOOKUP(A1120,'[1]Sales Order'!A:I,9,FALSE),"Not Specified")</f>
        <v>Ship to 90-B</v>
      </c>
      <c r="P1120" t="str">
        <f>IFERROR(VLOOKUP(A1120,'[1]Sales Order'!A:N,14,FALSE),"Not Specified")</f>
        <v>Finland</v>
      </c>
      <c r="Q1120" t="str">
        <f>VLOOKUP(VLOOKUP(B1120,[1]Product!A:C,3,FALSE),[1]Supplier!A:B,2,FALSE)</f>
        <v>Supplier CIYNM</v>
      </c>
      <c r="R1120" t="str">
        <f>VLOOKUP(VLOOKUP(B1120,[1]Product!A:C,3,FALSE),[1]Supplier!A:I,9,FALSE)</f>
        <v>Singapore</v>
      </c>
      <c r="S1120" t="str">
        <f>IFERROR(IF(VLOOKUP(A1120,'[1]Sales Order'!A:H,8,FALSE)&gt;100,"High Freight","Low Freight"),"Not Specified")</f>
        <v>Low Freight</v>
      </c>
      <c r="T1120">
        <f t="shared" si="35"/>
        <v>84</v>
      </c>
    </row>
    <row r="1121" spans="1:20">
      <c r="A1121" s="1">
        <v>10673</v>
      </c>
      <c r="B1121" s="2">
        <v>43</v>
      </c>
      <c r="C1121" s="2">
        <v>46</v>
      </c>
      <c r="D1121" s="2">
        <v>6</v>
      </c>
      <c r="E1121" s="3">
        <v>0</v>
      </c>
      <c r="F1121" s="2" t="str">
        <f>IFERROR(VLOOKUP(VLOOKUP(A1121,'[1]Sales Order'!A:B,2,FALSE),[1]Customer!A:C,3,FALSE),"Not Specified")</f>
        <v>Larsson, Katarina</v>
      </c>
      <c r="G1121" s="2" t="str">
        <f t="shared" si="34"/>
        <v>Larsson Katarina</v>
      </c>
      <c r="H1121" s="8" t="str">
        <f>IFERROR(VLOOKUP(VLOOKUP(A1121,'[1]Sales Order'!A:C,3,FALSE),[1]Employee!A:E,5,FALSE)&amp;" "&amp;VLOOKUP(VLOOKUP(A1121,'[1]Sales Order'!A:C,3,FALSE),[1]Employee!A:C,3,FALSE)&amp;" "&amp;VLOOKUP(VLOOKUP(A1121,'[1]Sales Order'!A:C,3,FALSE),[1]Employee!A:B,2,FALSE),"Not Specified")</f>
        <v>Dr. Don Funk</v>
      </c>
      <c r="I1121" t="str">
        <f>IFERROR(VLOOKUP(VLOOKUP(A1121,'[1]Sales Order'!A:C,3,FALSE),[1]Employee!A:J,10,FALSE),"Not Specified")</f>
        <v>WA</v>
      </c>
      <c r="J1121" t="str">
        <f>VLOOKUP(B1121,[1]Product!A:B,2,FALSE)</f>
        <v>Product ZZZHR</v>
      </c>
      <c r="K1121" t="str">
        <f>VLOOKUP(VLOOKUP(B1121,[1]Product!A:D,4,FALSE),[1]Category!A:B,2,FALSE)</f>
        <v>Beverages</v>
      </c>
      <c r="L1121" s="10">
        <f>IFERROR(VLOOKUP(A1121,'[1]Sales Order'!A:D,4,FALSE),"")</f>
        <v>39343</v>
      </c>
      <c r="M1121" s="10">
        <f>IFERROR(VLOOKUP(A1121,'[1]Sales Order'!A:F,6,FALSE),"")</f>
        <v>39344</v>
      </c>
      <c r="N1121" t="str">
        <f>IFERROR(VLOOKUP(VLOOKUP(A1121,'[1]Sales Order'!A:G,7,FALSE),[1]Shipper!A:B,2,FALSE),"Not Specified")</f>
        <v>Shipper GVSUA</v>
      </c>
      <c r="O1121" t="str">
        <f>IFERROR(VLOOKUP(A1121,'[1]Sales Order'!A:I,9,FALSE),"Not Specified")</f>
        <v>Ship to 90-B</v>
      </c>
      <c r="P1121" t="str">
        <f>IFERROR(VLOOKUP(A1121,'[1]Sales Order'!A:N,14,FALSE),"Not Specified")</f>
        <v>Finland</v>
      </c>
      <c r="Q1121" t="str">
        <f>VLOOKUP(VLOOKUP(B1121,[1]Product!A:C,3,FALSE),[1]Supplier!A:B,2,FALSE)</f>
        <v>Supplier CIYNM</v>
      </c>
      <c r="R1121" t="str">
        <f>VLOOKUP(VLOOKUP(B1121,[1]Product!A:C,3,FALSE),[1]Supplier!A:I,9,FALSE)</f>
        <v>Singapore</v>
      </c>
      <c r="S1121" t="str">
        <f>IFERROR(IF(VLOOKUP(A1121,'[1]Sales Order'!A:H,8,FALSE)&gt;100,"High Freight","Low Freight"),"Not Specified")</f>
        <v>Low Freight</v>
      </c>
      <c r="T1121">
        <f t="shared" si="35"/>
        <v>276</v>
      </c>
    </row>
    <row r="1122" spans="1:20">
      <c r="A1122" s="1">
        <v>10674</v>
      </c>
      <c r="B1122" s="2">
        <v>23</v>
      </c>
      <c r="C1122" s="2">
        <v>9</v>
      </c>
      <c r="D1122" s="2">
        <v>5</v>
      </c>
      <c r="E1122" s="3">
        <v>0</v>
      </c>
      <c r="F1122" s="2" t="str">
        <f>IFERROR(VLOOKUP(VLOOKUP(A1122,'[1]Sales Order'!A:B,2,FALSE),[1]Customer!A:C,3,FALSE),"Not Specified")</f>
        <v>Lee, Frank</v>
      </c>
      <c r="G1122" s="2" t="str">
        <f t="shared" si="34"/>
        <v>Lee Frank</v>
      </c>
      <c r="H1122" s="8" t="str">
        <f>IFERROR(VLOOKUP(VLOOKUP(A1122,'[1]Sales Order'!A:C,3,FALSE),[1]Employee!A:E,5,FALSE)&amp;" "&amp;VLOOKUP(VLOOKUP(A1122,'[1]Sales Order'!A:C,3,FALSE),[1]Employee!A:C,3,FALSE)&amp;" "&amp;VLOOKUP(VLOOKUP(A1122,'[1]Sales Order'!A:C,3,FALSE),[1]Employee!A:B,2,FALSE),"Not Specified")</f>
        <v>Mrs. Yael Peled</v>
      </c>
      <c r="I1122" t="str">
        <f>IFERROR(VLOOKUP(VLOOKUP(A1122,'[1]Sales Order'!A:C,3,FALSE),[1]Employee!A:J,10,FALSE),"Not Specified")</f>
        <v>WA</v>
      </c>
      <c r="J1122" t="str">
        <f>VLOOKUP(B1122,[1]Product!A:B,2,FALSE)</f>
        <v>Product JLUDZ</v>
      </c>
      <c r="K1122" t="str">
        <f>VLOOKUP(VLOOKUP(B1122,[1]Product!A:D,4,FALSE),[1]Category!A:B,2,FALSE)</f>
        <v>Grains/Cereals</v>
      </c>
      <c r="L1122" s="10">
        <f>IFERROR(VLOOKUP(A1122,'[1]Sales Order'!A:D,4,FALSE),"")</f>
        <v>39343</v>
      </c>
      <c r="M1122" s="10">
        <f>IFERROR(VLOOKUP(A1122,'[1]Sales Order'!A:F,6,FALSE),"")</f>
        <v>39355</v>
      </c>
      <c r="N1122" t="str">
        <f>IFERROR(VLOOKUP(VLOOKUP(A1122,'[1]Sales Order'!A:G,7,FALSE),[1]Shipper!A:B,2,FALSE),"Not Specified")</f>
        <v>Shipper ETYNR</v>
      </c>
      <c r="O1122" t="str">
        <f>IFERROR(VLOOKUP(A1122,'[1]Sales Order'!A:I,9,FALSE),"Not Specified")</f>
        <v>Destination QVTLW</v>
      </c>
      <c r="P1122" t="str">
        <f>IFERROR(VLOOKUP(A1122,'[1]Sales Order'!A:N,14,FALSE),"Not Specified")</f>
        <v>UK</v>
      </c>
      <c r="Q1122" t="str">
        <f>VLOOKUP(VLOOKUP(B1122,[1]Product!A:C,3,FALSE),[1]Supplier!A:B,2,FALSE)</f>
        <v>Supplier QQYEU</v>
      </c>
      <c r="R1122" t="str">
        <f>VLOOKUP(VLOOKUP(B1122,[1]Product!A:C,3,FALSE),[1]Supplier!A:I,9,FALSE)</f>
        <v>Sweden</v>
      </c>
      <c r="S1122" t="str">
        <f>IFERROR(IF(VLOOKUP(A1122,'[1]Sales Order'!A:H,8,FALSE)&gt;100,"High Freight","Low Freight"),"Not Specified")</f>
        <v>Low Freight</v>
      </c>
      <c r="T1122">
        <f t="shared" si="35"/>
        <v>45</v>
      </c>
    </row>
    <row r="1123" spans="1:20">
      <c r="A1123" s="1">
        <v>10675</v>
      </c>
      <c r="B1123" s="2">
        <v>14</v>
      </c>
      <c r="C1123" s="2">
        <v>23.25</v>
      </c>
      <c r="D1123" s="2">
        <v>30</v>
      </c>
      <c r="E1123" s="3">
        <v>0</v>
      </c>
      <c r="F1123" s="2" t="str">
        <f>IFERROR(VLOOKUP(VLOOKUP(A1123,'[1]Sales Order'!A:B,2,FALSE),[1]Customer!A:C,3,FALSE),"Not Specified")</f>
        <v>Carlson, Jason</v>
      </c>
      <c r="G1123" s="2" t="str">
        <f t="shared" si="34"/>
        <v>Carlson Jason</v>
      </c>
      <c r="H1123" s="8" t="str">
        <f>IFERROR(VLOOKUP(VLOOKUP(A1123,'[1]Sales Order'!A:C,3,FALSE),[1]Employee!A:E,5,FALSE)&amp;" "&amp;VLOOKUP(VLOOKUP(A1123,'[1]Sales Order'!A:C,3,FALSE),[1]Employee!A:C,3,FALSE)&amp;" "&amp;VLOOKUP(VLOOKUP(A1123,'[1]Sales Order'!A:C,3,FALSE),[1]Employee!A:B,2,FALSE),"Not Specified")</f>
        <v>Mr. Sven Buck</v>
      </c>
      <c r="I1123">
        <f>IFERROR(VLOOKUP(VLOOKUP(A1123,'[1]Sales Order'!A:C,3,FALSE),[1]Employee!A:J,10,FALSE),"Not Specified")</f>
        <v>0</v>
      </c>
      <c r="J1123" t="str">
        <f>VLOOKUP(B1123,[1]Product!A:B,2,FALSE)</f>
        <v>Product PWCJB</v>
      </c>
      <c r="K1123" t="str">
        <f>VLOOKUP(VLOOKUP(B1123,[1]Product!A:D,4,FALSE),[1]Category!A:B,2,FALSE)</f>
        <v>Produce</v>
      </c>
      <c r="L1123" s="10">
        <f>IFERROR(VLOOKUP(A1123,'[1]Sales Order'!A:D,4,FALSE),"")</f>
        <v>39344</v>
      </c>
      <c r="M1123" s="10">
        <f>IFERROR(VLOOKUP(A1123,'[1]Sales Order'!A:F,6,FALSE),"")</f>
        <v>39348</v>
      </c>
      <c r="N1123" t="str">
        <f>IFERROR(VLOOKUP(VLOOKUP(A1123,'[1]Sales Order'!A:G,7,FALSE),[1]Shipper!A:B,2,FALSE),"Not Specified")</f>
        <v>Shipper ETYNR</v>
      </c>
      <c r="O1123" t="str">
        <f>IFERROR(VLOOKUP(A1123,'[1]Sales Order'!A:I,9,FALSE),"Not Specified")</f>
        <v>Destination WEGWI</v>
      </c>
      <c r="P1123" t="str">
        <f>IFERROR(VLOOKUP(A1123,'[1]Sales Order'!A:N,14,FALSE),"Not Specified")</f>
        <v>Germany</v>
      </c>
      <c r="Q1123" t="str">
        <f>VLOOKUP(VLOOKUP(B1123,[1]Product!A:C,3,FALSE),[1]Supplier!A:B,2,FALSE)</f>
        <v>Supplier QWUSF</v>
      </c>
      <c r="R1123" t="str">
        <f>VLOOKUP(VLOOKUP(B1123,[1]Product!A:C,3,FALSE),[1]Supplier!A:I,9,FALSE)</f>
        <v>Japan</v>
      </c>
      <c r="S1123" t="str">
        <f>IFERROR(IF(VLOOKUP(A1123,'[1]Sales Order'!A:H,8,FALSE)&gt;100,"High Freight","Low Freight"),"Not Specified")</f>
        <v>Low Freight</v>
      </c>
      <c r="T1123">
        <f t="shared" si="35"/>
        <v>697.5</v>
      </c>
    </row>
    <row r="1124" spans="1:20">
      <c r="A1124" s="1">
        <v>10675</v>
      </c>
      <c r="B1124" s="2">
        <v>53</v>
      </c>
      <c r="C1124" s="2">
        <v>32.799999999999997</v>
      </c>
      <c r="D1124" s="2">
        <v>10</v>
      </c>
      <c r="E1124" s="3">
        <v>0</v>
      </c>
      <c r="F1124" s="2" t="str">
        <f>IFERROR(VLOOKUP(VLOOKUP(A1124,'[1]Sales Order'!A:B,2,FALSE),[1]Customer!A:C,3,FALSE),"Not Specified")</f>
        <v>Carlson, Jason</v>
      </c>
      <c r="G1124" s="2" t="str">
        <f t="shared" si="34"/>
        <v>Carlson Jason</v>
      </c>
      <c r="H1124" s="8" t="str">
        <f>IFERROR(VLOOKUP(VLOOKUP(A1124,'[1]Sales Order'!A:C,3,FALSE),[1]Employee!A:E,5,FALSE)&amp;" "&amp;VLOOKUP(VLOOKUP(A1124,'[1]Sales Order'!A:C,3,FALSE),[1]Employee!A:C,3,FALSE)&amp;" "&amp;VLOOKUP(VLOOKUP(A1124,'[1]Sales Order'!A:C,3,FALSE),[1]Employee!A:B,2,FALSE),"Not Specified")</f>
        <v>Mr. Sven Buck</v>
      </c>
      <c r="I1124">
        <f>IFERROR(VLOOKUP(VLOOKUP(A1124,'[1]Sales Order'!A:C,3,FALSE),[1]Employee!A:J,10,FALSE),"Not Specified")</f>
        <v>0</v>
      </c>
      <c r="J1124" t="str">
        <f>VLOOKUP(B1124,[1]Product!A:B,2,FALSE)</f>
        <v>Product BKGEA</v>
      </c>
      <c r="K1124" t="str">
        <f>VLOOKUP(VLOOKUP(B1124,[1]Product!A:D,4,FALSE),[1]Category!A:B,2,FALSE)</f>
        <v>Meat/Poultry</v>
      </c>
      <c r="L1124" s="10">
        <f>IFERROR(VLOOKUP(A1124,'[1]Sales Order'!A:D,4,FALSE),"")</f>
        <v>39344</v>
      </c>
      <c r="M1124" s="10">
        <f>IFERROR(VLOOKUP(A1124,'[1]Sales Order'!A:F,6,FALSE),"")</f>
        <v>39348</v>
      </c>
      <c r="N1124" t="str">
        <f>IFERROR(VLOOKUP(VLOOKUP(A1124,'[1]Sales Order'!A:G,7,FALSE),[1]Shipper!A:B,2,FALSE),"Not Specified")</f>
        <v>Shipper ETYNR</v>
      </c>
      <c r="O1124" t="str">
        <f>IFERROR(VLOOKUP(A1124,'[1]Sales Order'!A:I,9,FALSE),"Not Specified")</f>
        <v>Destination WEGWI</v>
      </c>
      <c r="P1124" t="str">
        <f>IFERROR(VLOOKUP(A1124,'[1]Sales Order'!A:N,14,FALSE),"Not Specified")</f>
        <v>Germany</v>
      </c>
      <c r="Q1124" t="str">
        <f>VLOOKUP(VLOOKUP(B1124,[1]Product!A:C,3,FALSE),[1]Supplier!A:B,2,FALSE)</f>
        <v>Supplier JNNES</v>
      </c>
      <c r="R1124" t="str">
        <f>VLOOKUP(VLOOKUP(B1124,[1]Product!A:C,3,FALSE),[1]Supplier!A:I,9,FALSE)</f>
        <v>Australia</v>
      </c>
      <c r="S1124" t="str">
        <f>IFERROR(IF(VLOOKUP(A1124,'[1]Sales Order'!A:H,8,FALSE)&gt;100,"High Freight","Low Freight"),"Not Specified")</f>
        <v>Low Freight</v>
      </c>
      <c r="T1124">
        <f t="shared" si="35"/>
        <v>328</v>
      </c>
    </row>
    <row r="1125" spans="1:20">
      <c r="A1125" s="1">
        <v>10675</v>
      </c>
      <c r="B1125" s="2">
        <v>58</v>
      </c>
      <c r="C1125" s="2">
        <v>13.25</v>
      </c>
      <c r="D1125" s="2">
        <v>30</v>
      </c>
      <c r="E1125" s="3">
        <v>0</v>
      </c>
      <c r="F1125" s="2" t="str">
        <f>IFERROR(VLOOKUP(VLOOKUP(A1125,'[1]Sales Order'!A:B,2,FALSE),[1]Customer!A:C,3,FALSE),"Not Specified")</f>
        <v>Carlson, Jason</v>
      </c>
      <c r="G1125" s="2" t="str">
        <f t="shared" si="34"/>
        <v>Carlson Jason</v>
      </c>
      <c r="H1125" s="8" t="str">
        <f>IFERROR(VLOOKUP(VLOOKUP(A1125,'[1]Sales Order'!A:C,3,FALSE),[1]Employee!A:E,5,FALSE)&amp;" "&amp;VLOOKUP(VLOOKUP(A1125,'[1]Sales Order'!A:C,3,FALSE),[1]Employee!A:C,3,FALSE)&amp;" "&amp;VLOOKUP(VLOOKUP(A1125,'[1]Sales Order'!A:C,3,FALSE),[1]Employee!A:B,2,FALSE),"Not Specified")</f>
        <v>Mr. Sven Buck</v>
      </c>
      <c r="I1125">
        <f>IFERROR(VLOOKUP(VLOOKUP(A1125,'[1]Sales Order'!A:C,3,FALSE),[1]Employee!A:J,10,FALSE),"Not Specified")</f>
        <v>0</v>
      </c>
      <c r="J1125" t="str">
        <f>VLOOKUP(B1125,[1]Product!A:B,2,FALSE)</f>
        <v>Product ACRVI</v>
      </c>
      <c r="K1125" t="str">
        <f>VLOOKUP(VLOOKUP(B1125,[1]Product!A:D,4,FALSE),[1]Category!A:B,2,FALSE)</f>
        <v>Seafood</v>
      </c>
      <c r="L1125" s="10">
        <f>IFERROR(VLOOKUP(A1125,'[1]Sales Order'!A:D,4,FALSE),"")</f>
        <v>39344</v>
      </c>
      <c r="M1125" s="10">
        <f>IFERROR(VLOOKUP(A1125,'[1]Sales Order'!A:F,6,FALSE),"")</f>
        <v>39348</v>
      </c>
      <c r="N1125" t="str">
        <f>IFERROR(VLOOKUP(VLOOKUP(A1125,'[1]Sales Order'!A:G,7,FALSE),[1]Shipper!A:B,2,FALSE),"Not Specified")</f>
        <v>Shipper ETYNR</v>
      </c>
      <c r="O1125" t="str">
        <f>IFERROR(VLOOKUP(A1125,'[1]Sales Order'!A:I,9,FALSE),"Not Specified")</f>
        <v>Destination WEGWI</v>
      </c>
      <c r="P1125" t="str">
        <f>IFERROR(VLOOKUP(A1125,'[1]Sales Order'!A:N,14,FALSE),"Not Specified")</f>
        <v>Germany</v>
      </c>
      <c r="Q1125" t="str">
        <f>VLOOKUP(VLOOKUP(B1125,[1]Product!A:C,3,FALSE),[1]Supplier!A:B,2,FALSE)</f>
        <v>Supplier ZRYDZ</v>
      </c>
      <c r="R1125" t="str">
        <f>VLOOKUP(VLOOKUP(B1125,[1]Product!A:C,3,FALSE),[1]Supplier!A:I,9,FALSE)</f>
        <v>France</v>
      </c>
      <c r="S1125" t="str">
        <f>IFERROR(IF(VLOOKUP(A1125,'[1]Sales Order'!A:H,8,FALSE)&gt;100,"High Freight","Low Freight"),"Not Specified")</f>
        <v>Low Freight</v>
      </c>
      <c r="T1125">
        <f t="shared" si="35"/>
        <v>397.5</v>
      </c>
    </row>
    <row r="1126" spans="1:20">
      <c r="A1126" s="1">
        <v>10676</v>
      </c>
      <c r="B1126" s="2">
        <v>10</v>
      </c>
      <c r="C1126" s="2">
        <v>31</v>
      </c>
      <c r="D1126" s="2">
        <v>2</v>
      </c>
      <c r="E1126" s="3">
        <v>0</v>
      </c>
      <c r="F1126" s="2" t="str">
        <f>IFERROR(VLOOKUP(VLOOKUP(A1126,'[1]Sales Order'!A:B,2,FALSE),[1]Customer!A:C,3,FALSE),"Not Specified")</f>
        <v>Geschwandtner, Jens</v>
      </c>
      <c r="G1126" s="2" t="str">
        <f t="shared" si="34"/>
        <v>Geschwandtner Jens</v>
      </c>
      <c r="H1126" s="8" t="str">
        <f>IFERROR(VLOOKUP(VLOOKUP(A1126,'[1]Sales Order'!A:C,3,FALSE),[1]Employee!A:E,5,FALSE)&amp;" "&amp;VLOOKUP(VLOOKUP(A1126,'[1]Sales Order'!A:C,3,FALSE),[1]Employee!A:C,3,FALSE)&amp;" "&amp;VLOOKUP(VLOOKUP(A1126,'[1]Sales Order'!A:C,3,FALSE),[1]Employee!A:B,2,FALSE),"Not Specified")</f>
        <v>Dr. Don Funk</v>
      </c>
      <c r="I1126" t="str">
        <f>IFERROR(VLOOKUP(VLOOKUP(A1126,'[1]Sales Order'!A:C,3,FALSE),[1]Employee!A:J,10,FALSE),"Not Specified")</f>
        <v>WA</v>
      </c>
      <c r="J1126" t="str">
        <f>VLOOKUP(B1126,[1]Product!A:B,2,FALSE)</f>
        <v>Product YHXGE</v>
      </c>
      <c r="K1126" t="str">
        <f>VLOOKUP(VLOOKUP(B1126,[1]Product!A:D,4,FALSE),[1]Category!A:B,2,FALSE)</f>
        <v>Seafood</v>
      </c>
      <c r="L1126" s="10">
        <f>IFERROR(VLOOKUP(A1126,'[1]Sales Order'!A:D,4,FALSE),"")</f>
        <v>39347</v>
      </c>
      <c r="M1126" s="10">
        <f>IFERROR(VLOOKUP(A1126,'[1]Sales Order'!A:F,6,FALSE),"")</f>
        <v>39354</v>
      </c>
      <c r="N1126" t="str">
        <f>IFERROR(VLOOKUP(VLOOKUP(A1126,'[1]Sales Order'!A:G,7,FALSE),[1]Shipper!A:B,2,FALSE),"Not Specified")</f>
        <v>Shipper ETYNR</v>
      </c>
      <c r="O1126" t="str">
        <f>IFERROR(VLOOKUP(A1126,'[1]Sales Order'!A:I,9,FALSE),"Not Specified")</f>
        <v>Ship to 80-C</v>
      </c>
      <c r="P1126" t="str">
        <f>IFERROR(VLOOKUP(A1126,'[1]Sales Order'!A:N,14,FALSE),"Not Specified")</f>
        <v>Mexico</v>
      </c>
      <c r="Q1126" t="str">
        <f>VLOOKUP(VLOOKUP(B1126,[1]Product!A:C,3,FALSE),[1]Supplier!A:B,2,FALSE)</f>
        <v>Supplier QOVFD</v>
      </c>
      <c r="R1126" t="str">
        <f>VLOOKUP(VLOOKUP(B1126,[1]Product!A:C,3,FALSE),[1]Supplier!A:I,9,FALSE)</f>
        <v>Japan</v>
      </c>
      <c r="S1126" t="str">
        <f>IFERROR(IF(VLOOKUP(A1126,'[1]Sales Order'!A:H,8,FALSE)&gt;100,"High Freight","Low Freight"),"Not Specified")</f>
        <v>Low Freight</v>
      </c>
      <c r="T1126">
        <f t="shared" si="35"/>
        <v>62</v>
      </c>
    </row>
    <row r="1127" spans="1:20">
      <c r="A1127" s="1">
        <v>10676</v>
      </c>
      <c r="B1127" s="2">
        <v>19</v>
      </c>
      <c r="C1127" s="2">
        <v>9.1999999999999993</v>
      </c>
      <c r="D1127" s="2">
        <v>7</v>
      </c>
      <c r="E1127" s="3">
        <v>0</v>
      </c>
      <c r="F1127" s="2" t="str">
        <f>IFERROR(VLOOKUP(VLOOKUP(A1127,'[1]Sales Order'!A:B,2,FALSE),[1]Customer!A:C,3,FALSE),"Not Specified")</f>
        <v>Geschwandtner, Jens</v>
      </c>
      <c r="G1127" s="2" t="str">
        <f t="shared" si="34"/>
        <v>Geschwandtner Jens</v>
      </c>
      <c r="H1127" s="8" t="str">
        <f>IFERROR(VLOOKUP(VLOOKUP(A1127,'[1]Sales Order'!A:C,3,FALSE),[1]Employee!A:E,5,FALSE)&amp;" "&amp;VLOOKUP(VLOOKUP(A1127,'[1]Sales Order'!A:C,3,FALSE),[1]Employee!A:C,3,FALSE)&amp;" "&amp;VLOOKUP(VLOOKUP(A1127,'[1]Sales Order'!A:C,3,FALSE),[1]Employee!A:B,2,FALSE),"Not Specified")</f>
        <v>Dr. Don Funk</v>
      </c>
      <c r="I1127" t="str">
        <f>IFERROR(VLOOKUP(VLOOKUP(A1127,'[1]Sales Order'!A:C,3,FALSE),[1]Employee!A:J,10,FALSE),"Not Specified")</f>
        <v>WA</v>
      </c>
      <c r="J1127" t="str">
        <f>VLOOKUP(B1127,[1]Product!A:B,2,FALSE)</f>
        <v>Product XKXDO</v>
      </c>
      <c r="K1127" t="str">
        <f>VLOOKUP(VLOOKUP(B1127,[1]Product!A:D,4,FALSE),[1]Category!A:B,2,FALSE)</f>
        <v>Confections</v>
      </c>
      <c r="L1127" s="10">
        <f>IFERROR(VLOOKUP(A1127,'[1]Sales Order'!A:D,4,FALSE),"")</f>
        <v>39347</v>
      </c>
      <c r="M1127" s="10">
        <f>IFERROR(VLOOKUP(A1127,'[1]Sales Order'!A:F,6,FALSE),"")</f>
        <v>39354</v>
      </c>
      <c r="N1127" t="str">
        <f>IFERROR(VLOOKUP(VLOOKUP(A1127,'[1]Sales Order'!A:G,7,FALSE),[1]Shipper!A:B,2,FALSE),"Not Specified")</f>
        <v>Shipper ETYNR</v>
      </c>
      <c r="O1127" t="str">
        <f>IFERROR(VLOOKUP(A1127,'[1]Sales Order'!A:I,9,FALSE),"Not Specified")</f>
        <v>Ship to 80-C</v>
      </c>
      <c r="P1127" t="str">
        <f>IFERROR(VLOOKUP(A1127,'[1]Sales Order'!A:N,14,FALSE),"Not Specified")</f>
        <v>Mexico</v>
      </c>
      <c r="Q1127" t="str">
        <f>VLOOKUP(VLOOKUP(B1127,[1]Product!A:C,3,FALSE),[1]Supplier!A:B,2,FALSE)</f>
        <v>Supplier BWGYE</v>
      </c>
      <c r="R1127" t="str">
        <f>VLOOKUP(VLOOKUP(B1127,[1]Product!A:C,3,FALSE),[1]Supplier!A:I,9,FALSE)</f>
        <v>UK</v>
      </c>
      <c r="S1127" t="str">
        <f>IFERROR(IF(VLOOKUP(A1127,'[1]Sales Order'!A:H,8,FALSE)&gt;100,"High Freight","Low Freight"),"Not Specified")</f>
        <v>Low Freight</v>
      </c>
      <c r="T1127">
        <f t="shared" si="35"/>
        <v>64.399999999999991</v>
      </c>
    </row>
    <row r="1128" spans="1:20">
      <c r="A1128" s="1">
        <v>10676</v>
      </c>
      <c r="B1128" s="2">
        <v>44</v>
      </c>
      <c r="C1128" s="2">
        <v>19.45</v>
      </c>
      <c r="D1128" s="2">
        <v>21</v>
      </c>
      <c r="E1128" s="3">
        <v>0</v>
      </c>
      <c r="F1128" s="2" t="str">
        <f>IFERROR(VLOOKUP(VLOOKUP(A1128,'[1]Sales Order'!A:B,2,FALSE),[1]Customer!A:C,3,FALSE),"Not Specified")</f>
        <v>Geschwandtner, Jens</v>
      </c>
      <c r="G1128" s="2" t="str">
        <f t="shared" si="34"/>
        <v>Geschwandtner Jens</v>
      </c>
      <c r="H1128" s="8" t="str">
        <f>IFERROR(VLOOKUP(VLOOKUP(A1128,'[1]Sales Order'!A:C,3,FALSE),[1]Employee!A:E,5,FALSE)&amp;" "&amp;VLOOKUP(VLOOKUP(A1128,'[1]Sales Order'!A:C,3,FALSE),[1]Employee!A:C,3,FALSE)&amp;" "&amp;VLOOKUP(VLOOKUP(A1128,'[1]Sales Order'!A:C,3,FALSE),[1]Employee!A:B,2,FALSE),"Not Specified")</f>
        <v>Dr. Don Funk</v>
      </c>
      <c r="I1128" t="str">
        <f>IFERROR(VLOOKUP(VLOOKUP(A1128,'[1]Sales Order'!A:C,3,FALSE),[1]Employee!A:J,10,FALSE),"Not Specified")</f>
        <v>WA</v>
      </c>
      <c r="J1128" t="str">
        <f>VLOOKUP(B1128,[1]Product!A:B,2,FALSE)</f>
        <v>Product VJIEO</v>
      </c>
      <c r="K1128" t="str">
        <f>VLOOKUP(VLOOKUP(B1128,[1]Product!A:D,4,FALSE),[1]Category!A:B,2,FALSE)</f>
        <v>Condiments</v>
      </c>
      <c r="L1128" s="10">
        <f>IFERROR(VLOOKUP(A1128,'[1]Sales Order'!A:D,4,FALSE),"")</f>
        <v>39347</v>
      </c>
      <c r="M1128" s="10">
        <f>IFERROR(VLOOKUP(A1128,'[1]Sales Order'!A:F,6,FALSE),"")</f>
        <v>39354</v>
      </c>
      <c r="N1128" t="str">
        <f>IFERROR(VLOOKUP(VLOOKUP(A1128,'[1]Sales Order'!A:G,7,FALSE),[1]Shipper!A:B,2,FALSE),"Not Specified")</f>
        <v>Shipper ETYNR</v>
      </c>
      <c r="O1128" t="str">
        <f>IFERROR(VLOOKUP(A1128,'[1]Sales Order'!A:I,9,FALSE),"Not Specified")</f>
        <v>Ship to 80-C</v>
      </c>
      <c r="P1128" t="str">
        <f>IFERROR(VLOOKUP(A1128,'[1]Sales Order'!A:N,14,FALSE),"Not Specified")</f>
        <v>Mexico</v>
      </c>
      <c r="Q1128" t="str">
        <f>VLOOKUP(VLOOKUP(B1128,[1]Product!A:C,3,FALSE),[1]Supplier!A:B,2,FALSE)</f>
        <v>Supplier CIYNM</v>
      </c>
      <c r="R1128" t="str">
        <f>VLOOKUP(VLOOKUP(B1128,[1]Product!A:C,3,FALSE),[1]Supplier!A:I,9,FALSE)</f>
        <v>Singapore</v>
      </c>
      <c r="S1128" t="str">
        <f>IFERROR(IF(VLOOKUP(A1128,'[1]Sales Order'!A:H,8,FALSE)&gt;100,"High Freight","Low Freight"),"Not Specified")</f>
        <v>Low Freight</v>
      </c>
      <c r="T1128">
        <f t="shared" si="35"/>
        <v>408.45</v>
      </c>
    </row>
    <row r="1129" spans="1:20">
      <c r="A1129" s="1">
        <v>10677</v>
      </c>
      <c r="B1129" s="2">
        <v>26</v>
      </c>
      <c r="C1129" s="2">
        <v>31.23</v>
      </c>
      <c r="D1129" s="2">
        <v>30</v>
      </c>
      <c r="E1129" s="3">
        <v>0.15</v>
      </c>
      <c r="F1129" s="2" t="str">
        <f>IFERROR(VLOOKUP(VLOOKUP(A1129,'[1]Sales Order'!A:B,2,FALSE),[1]Customer!A:C,3,FALSE),"Not Specified")</f>
        <v>Peoples, John</v>
      </c>
      <c r="G1129" s="2" t="str">
        <f t="shared" si="34"/>
        <v>Peoples John</v>
      </c>
      <c r="H1129" s="8" t="str">
        <f>IFERROR(VLOOKUP(VLOOKUP(A1129,'[1]Sales Order'!A:C,3,FALSE),[1]Employee!A:E,5,FALSE)&amp;" "&amp;VLOOKUP(VLOOKUP(A1129,'[1]Sales Order'!A:C,3,FALSE),[1]Employee!A:C,3,FALSE)&amp;" "&amp;VLOOKUP(VLOOKUP(A1129,'[1]Sales Order'!A:C,3,FALSE),[1]Employee!A:B,2,FALSE),"Not Specified")</f>
        <v>Ms. Sara Davis</v>
      </c>
      <c r="I1129" t="str">
        <f>IFERROR(VLOOKUP(VLOOKUP(A1129,'[1]Sales Order'!A:C,3,FALSE),[1]Employee!A:J,10,FALSE),"Not Specified")</f>
        <v>WA</v>
      </c>
      <c r="J1129" t="str">
        <f>VLOOKUP(B1129,[1]Product!A:B,2,FALSE)</f>
        <v>Product HLGZA</v>
      </c>
      <c r="K1129" t="str">
        <f>VLOOKUP(VLOOKUP(B1129,[1]Product!A:D,4,FALSE),[1]Category!A:B,2,FALSE)</f>
        <v>Confections</v>
      </c>
      <c r="L1129" s="10">
        <f>IFERROR(VLOOKUP(A1129,'[1]Sales Order'!A:D,4,FALSE),"")</f>
        <v>39347</v>
      </c>
      <c r="M1129" s="10">
        <f>IFERROR(VLOOKUP(A1129,'[1]Sales Order'!A:F,6,FALSE),"")</f>
        <v>39351</v>
      </c>
      <c r="N1129" t="str">
        <f>IFERROR(VLOOKUP(VLOOKUP(A1129,'[1]Sales Order'!A:G,7,FALSE),[1]Shipper!A:B,2,FALSE),"Not Specified")</f>
        <v>Shipper ZHISN</v>
      </c>
      <c r="O1129" t="str">
        <f>IFERROR(VLOOKUP(A1129,'[1]Sales Order'!A:I,9,FALSE),"Not Specified")</f>
        <v>Destination LANNN</v>
      </c>
      <c r="P1129" t="str">
        <f>IFERROR(VLOOKUP(A1129,'[1]Sales Order'!A:N,14,FALSE),"Not Specified")</f>
        <v>Mexico</v>
      </c>
      <c r="Q1129" t="str">
        <f>VLOOKUP(VLOOKUP(B1129,[1]Product!A:C,3,FALSE),[1]Supplier!A:B,2,FALSE)</f>
        <v>Supplier ZPYVS</v>
      </c>
      <c r="R1129" t="str">
        <f>VLOOKUP(VLOOKUP(B1129,[1]Product!A:C,3,FALSE),[1]Supplier!A:I,9,FALSE)</f>
        <v>Germany</v>
      </c>
      <c r="S1129" t="str">
        <f>IFERROR(IF(VLOOKUP(A1129,'[1]Sales Order'!A:H,8,FALSE)&gt;100,"High Freight","Low Freight"),"Not Specified")</f>
        <v>Low Freight</v>
      </c>
      <c r="T1129">
        <f t="shared" si="35"/>
        <v>796.36500000000001</v>
      </c>
    </row>
    <row r="1130" spans="1:20">
      <c r="A1130" s="1">
        <v>10677</v>
      </c>
      <c r="B1130" s="2">
        <v>33</v>
      </c>
      <c r="C1130" s="2">
        <v>2.5</v>
      </c>
      <c r="D1130" s="2">
        <v>8</v>
      </c>
      <c r="E1130" s="3">
        <v>0.15</v>
      </c>
      <c r="F1130" s="2" t="str">
        <f>IFERROR(VLOOKUP(VLOOKUP(A1130,'[1]Sales Order'!A:B,2,FALSE),[1]Customer!A:C,3,FALSE),"Not Specified")</f>
        <v>Peoples, John</v>
      </c>
      <c r="G1130" s="2" t="str">
        <f t="shared" si="34"/>
        <v>Peoples John</v>
      </c>
      <c r="H1130" s="8" t="str">
        <f>IFERROR(VLOOKUP(VLOOKUP(A1130,'[1]Sales Order'!A:C,3,FALSE),[1]Employee!A:E,5,FALSE)&amp;" "&amp;VLOOKUP(VLOOKUP(A1130,'[1]Sales Order'!A:C,3,FALSE),[1]Employee!A:C,3,FALSE)&amp;" "&amp;VLOOKUP(VLOOKUP(A1130,'[1]Sales Order'!A:C,3,FALSE),[1]Employee!A:B,2,FALSE),"Not Specified")</f>
        <v>Ms. Sara Davis</v>
      </c>
      <c r="I1130" t="str">
        <f>IFERROR(VLOOKUP(VLOOKUP(A1130,'[1]Sales Order'!A:C,3,FALSE),[1]Employee!A:J,10,FALSE),"Not Specified")</f>
        <v>WA</v>
      </c>
      <c r="J1130" t="str">
        <f>VLOOKUP(B1130,[1]Product!A:B,2,FALSE)</f>
        <v>Product ASTMN</v>
      </c>
      <c r="K1130" t="str">
        <f>VLOOKUP(VLOOKUP(B1130,[1]Product!A:D,4,FALSE),[1]Category!A:B,2,FALSE)</f>
        <v>Dairy Product</v>
      </c>
      <c r="L1130" s="10">
        <f>IFERROR(VLOOKUP(A1130,'[1]Sales Order'!A:D,4,FALSE),"")</f>
        <v>39347</v>
      </c>
      <c r="M1130" s="10">
        <f>IFERROR(VLOOKUP(A1130,'[1]Sales Order'!A:F,6,FALSE),"")</f>
        <v>39351</v>
      </c>
      <c r="N1130" t="str">
        <f>IFERROR(VLOOKUP(VLOOKUP(A1130,'[1]Sales Order'!A:G,7,FALSE),[1]Shipper!A:B,2,FALSE),"Not Specified")</f>
        <v>Shipper ZHISN</v>
      </c>
      <c r="O1130" t="str">
        <f>IFERROR(VLOOKUP(A1130,'[1]Sales Order'!A:I,9,FALSE),"Not Specified")</f>
        <v>Destination LANNN</v>
      </c>
      <c r="P1130" t="str">
        <f>IFERROR(VLOOKUP(A1130,'[1]Sales Order'!A:N,14,FALSE),"Not Specified")</f>
        <v>Mexico</v>
      </c>
      <c r="Q1130" t="str">
        <f>VLOOKUP(VLOOKUP(B1130,[1]Product!A:C,3,FALSE),[1]Supplier!A:B,2,FALSE)</f>
        <v>Supplier NZLIF</v>
      </c>
      <c r="R1130" t="str">
        <f>VLOOKUP(VLOOKUP(B1130,[1]Product!A:C,3,FALSE),[1]Supplier!A:I,9,FALSE)</f>
        <v>Norway</v>
      </c>
      <c r="S1130" t="str">
        <f>IFERROR(IF(VLOOKUP(A1130,'[1]Sales Order'!A:H,8,FALSE)&gt;100,"High Freight","Low Freight"),"Not Specified")</f>
        <v>Low Freight</v>
      </c>
      <c r="T1130">
        <f t="shared" si="35"/>
        <v>17</v>
      </c>
    </row>
    <row r="1131" spans="1:20">
      <c r="A1131" s="1">
        <v>10678</v>
      </c>
      <c r="B1131" s="2">
        <v>12</v>
      </c>
      <c r="C1131" s="2">
        <v>38</v>
      </c>
      <c r="D1131" s="2">
        <v>100</v>
      </c>
      <c r="E1131" s="3">
        <v>0</v>
      </c>
      <c r="F1131" s="2" t="str">
        <f>IFERROR(VLOOKUP(VLOOKUP(A1131,'[1]Sales Order'!A:B,2,FALSE),[1]Customer!A:C,3,FALSE),"Not Specified")</f>
        <v>Navarro, Tomás</v>
      </c>
      <c r="G1131" s="2" t="str">
        <f t="shared" si="34"/>
        <v>Navarro Tomás</v>
      </c>
      <c r="H1131" s="8" t="str">
        <f>IFERROR(VLOOKUP(VLOOKUP(A1131,'[1]Sales Order'!A:C,3,FALSE),[1]Employee!A:E,5,FALSE)&amp;" "&amp;VLOOKUP(VLOOKUP(A1131,'[1]Sales Order'!A:C,3,FALSE),[1]Employee!A:C,3,FALSE)&amp;" "&amp;VLOOKUP(VLOOKUP(A1131,'[1]Sales Order'!A:C,3,FALSE),[1]Employee!A:B,2,FALSE),"Not Specified")</f>
        <v>Mr. Russell King</v>
      </c>
      <c r="I1131">
        <f>IFERROR(VLOOKUP(VLOOKUP(A1131,'[1]Sales Order'!A:C,3,FALSE),[1]Employee!A:J,10,FALSE),"Not Specified")</f>
        <v>0</v>
      </c>
      <c r="J1131" t="str">
        <f>VLOOKUP(B1131,[1]Product!A:B,2,FALSE)</f>
        <v>Product OSFNS</v>
      </c>
      <c r="K1131" t="str">
        <f>VLOOKUP(VLOOKUP(B1131,[1]Product!A:D,4,FALSE),[1]Category!A:B,2,FALSE)</f>
        <v>Dairy Product</v>
      </c>
      <c r="L1131" s="10">
        <f>IFERROR(VLOOKUP(A1131,'[1]Sales Order'!A:D,4,FALSE),"")</f>
        <v>39348</v>
      </c>
      <c r="M1131" s="10">
        <f>IFERROR(VLOOKUP(A1131,'[1]Sales Order'!A:F,6,FALSE),"")</f>
        <v>39371</v>
      </c>
      <c r="N1131" t="str">
        <f>IFERROR(VLOOKUP(VLOOKUP(A1131,'[1]Sales Order'!A:G,7,FALSE),[1]Shipper!A:B,2,FALSE),"Not Specified")</f>
        <v>Shipper ZHISN</v>
      </c>
      <c r="O1131" t="str">
        <f>IFERROR(VLOOKUP(A1131,'[1]Sales Order'!A:I,9,FALSE),"Not Specified")</f>
        <v>Ship to 71-A</v>
      </c>
      <c r="P1131" t="str">
        <f>IFERROR(VLOOKUP(A1131,'[1]Sales Order'!A:N,14,FALSE),"Not Specified")</f>
        <v>USA</v>
      </c>
      <c r="Q1131" t="str">
        <f>VLOOKUP(VLOOKUP(B1131,[1]Product!A:C,3,FALSE),[1]Supplier!A:B,2,FALSE)</f>
        <v>Supplier EQPNC</v>
      </c>
      <c r="R1131" t="str">
        <f>VLOOKUP(VLOOKUP(B1131,[1]Product!A:C,3,FALSE),[1]Supplier!A:I,9,FALSE)</f>
        <v>Spain</v>
      </c>
      <c r="S1131" t="str">
        <f>IFERROR(IF(VLOOKUP(A1131,'[1]Sales Order'!A:H,8,FALSE)&gt;100,"High Freight","Low Freight"),"Not Specified")</f>
        <v>High Freight</v>
      </c>
      <c r="T1131">
        <f t="shared" si="35"/>
        <v>3800</v>
      </c>
    </row>
    <row r="1132" spans="1:20">
      <c r="A1132" s="1">
        <v>10678</v>
      </c>
      <c r="B1132" s="2">
        <v>33</v>
      </c>
      <c r="C1132" s="2">
        <v>2.5</v>
      </c>
      <c r="D1132" s="2">
        <v>30</v>
      </c>
      <c r="E1132" s="3">
        <v>0</v>
      </c>
      <c r="F1132" s="2" t="str">
        <f>IFERROR(VLOOKUP(VLOOKUP(A1132,'[1]Sales Order'!A:B,2,FALSE),[1]Customer!A:C,3,FALSE),"Not Specified")</f>
        <v>Navarro, Tomás</v>
      </c>
      <c r="G1132" s="2" t="str">
        <f t="shared" si="34"/>
        <v>Navarro Tomás</v>
      </c>
      <c r="H1132" s="8" t="str">
        <f>IFERROR(VLOOKUP(VLOOKUP(A1132,'[1]Sales Order'!A:C,3,FALSE),[1]Employee!A:E,5,FALSE)&amp;" "&amp;VLOOKUP(VLOOKUP(A1132,'[1]Sales Order'!A:C,3,FALSE),[1]Employee!A:C,3,FALSE)&amp;" "&amp;VLOOKUP(VLOOKUP(A1132,'[1]Sales Order'!A:C,3,FALSE),[1]Employee!A:B,2,FALSE),"Not Specified")</f>
        <v>Mr. Russell King</v>
      </c>
      <c r="I1132">
        <f>IFERROR(VLOOKUP(VLOOKUP(A1132,'[1]Sales Order'!A:C,3,FALSE),[1]Employee!A:J,10,FALSE),"Not Specified")</f>
        <v>0</v>
      </c>
      <c r="J1132" t="str">
        <f>VLOOKUP(B1132,[1]Product!A:B,2,FALSE)</f>
        <v>Product ASTMN</v>
      </c>
      <c r="K1132" t="str">
        <f>VLOOKUP(VLOOKUP(B1132,[1]Product!A:D,4,FALSE),[1]Category!A:B,2,FALSE)</f>
        <v>Dairy Product</v>
      </c>
      <c r="L1132" s="10">
        <f>IFERROR(VLOOKUP(A1132,'[1]Sales Order'!A:D,4,FALSE),"")</f>
        <v>39348</v>
      </c>
      <c r="M1132" s="10">
        <f>IFERROR(VLOOKUP(A1132,'[1]Sales Order'!A:F,6,FALSE),"")</f>
        <v>39371</v>
      </c>
      <c r="N1132" t="str">
        <f>IFERROR(VLOOKUP(VLOOKUP(A1132,'[1]Sales Order'!A:G,7,FALSE),[1]Shipper!A:B,2,FALSE),"Not Specified")</f>
        <v>Shipper ZHISN</v>
      </c>
      <c r="O1132" t="str">
        <f>IFERROR(VLOOKUP(A1132,'[1]Sales Order'!A:I,9,FALSE),"Not Specified")</f>
        <v>Ship to 71-A</v>
      </c>
      <c r="P1132" t="str">
        <f>IFERROR(VLOOKUP(A1132,'[1]Sales Order'!A:N,14,FALSE),"Not Specified")</f>
        <v>USA</v>
      </c>
      <c r="Q1132" t="str">
        <f>VLOOKUP(VLOOKUP(B1132,[1]Product!A:C,3,FALSE),[1]Supplier!A:B,2,FALSE)</f>
        <v>Supplier NZLIF</v>
      </c>
      <c r="R1132" t="str">
        <f>VLOOKUP(VLOOKUP(B1132,[1]Product!A:C,3,FALSE),[1]Supplier!A:I,9,FALSE)</f>
        <v>Norway</v>
      </c>
      <c r="S1132" t="str">
        <f>IFERROR(IF(VLOOKUP(A1132,'[1]Sales Order'!A:H,8,FALSE)&gt;100,"High Freight","Low Freight"),"Not Specified")</f>
        <v>High Freight</v>
      </c>
      <c r="T1132">
        <f t="shared" si="35"/>
        <v>75</v>
      </c>
    </row>
    <row r="1133" spans="1:20">
      <c r="A1133" s="1">
        <v>10678</v>
      </c>
      <c r="B1133" s="2">
        <v>41</v>
      </c>
      <c r="C1133" s="2">
        <v>9.65</v>
      </c>
      <c r="D1133" s="2">
        <v>120</v>
      </c>
      <c r="E1133" s="3">
        <v>0</v>
      </c>
      <c r="F1133" s="2" t="str">
        <f>IFERROR(VLOOKUP(VLOOKUP(A1133,'[1]Sales Order'!A:B,2,FALSE),[1]Customer!A:C,3,FALSE),"Not Specified")</f>
        <v>Navarro, Tomás</v>
      </c>
      <c r="G1133" s="2" t="str">
        <f t="shared" si="34"/>
        <v>Navarro Tomás</v>
      </c>
      <c r="H1133" s="8" t="str">
        <f>IFERROR(VLOOKUP(VLOOKUP(A1133,'[1]Sales Order'!A:C,3,FALSE),[1]Employee!A:E,5,FALSE)&amp;" "&amp;VLOOKUP(VLOOKUP(A1133,'[1]Sales Order'!A:C,3,FALSE),[1]Employee!A:C,3,FALSE)&amp;" "&amp;VLOOKUP(VLOOKUP(A1133,'[1]Sales Order'!A:C,3,FALSE),[1]Employee!A:B,2,FALSE),"Not Specified")</f>
        <v>Mr. Russell King</v>
      </c>
      <c r="I1133">
        <f>IFERROR(VLOOKUP(VLOOKUP(A1133,'[1]Sales Order'!A:C,3,FALSE),[1]Employee!A:J,10,FALSE),"Not Specified")</f>
        <v>0</v>
      </c>
      <c r="J1133" t="str">
        <f>VLOOKUP(B1133,[1]Product!A:B,2,FALSE)</f>
        <v>Product TTEEX</v>
      </c>
      <c r="K1133" t="str">
        <f>VLOOKUP(VLOOKUP(B1133,[1]Product!A:D,4,FALSE),[1]Category!A:B,2,FALSE)</f>
        <v>Seafood</v>
      </c>
      <c r="L1133" s="10">
        <f>IFERROR(VLOOKUP(A1133,'[1]Sales Order'!A:D,4,FALSE),"")</f>
        <v>39348</v>
      </c>
      <c r="M1133" s="10">
        <f>IFERROR(VLOOKUP(A1133,'[1]Sales Order'!A:F,6,FALSE),"")</f>
        <v>39371</v>
      </c>
      <c r="N1133" t="str">
        <f>IFERROR(VLOOKUP(VLOOKUP(A1133,'[1]Sales Order'!A:G,7,FALSE),[1]Shipper!A:B,2,FALSE),"Not Specified")</f>
        <v>Shipper ZHISN</v>
      </c>
      <c r="O1133" t="str">
        <f>IFERROR(VLOOKUP(A1133,'[1]Sales Order'!A:I,9,FALSE),"Not Specified")</f>
        <v>Ship to 71-A</v>
      </c>
      <c r="P1133" t="str">
        <f>IFERROR(VLOOKUP(A1133,'[1]Sales Order'!A:N,14,FALSE),"Not Specified")</f>
        <v>USA</v>
      </c>
      <c r="Q1133" t="str">
        <f>VLOOKUP(VLOOKUP(B1133,[1]Product!A:C,3,FALSE),[1]Supplier!A:B,2,FALSE)</f>
        <v>Supplier JDNUG</v>
      </c>
      <c r="R1133" t="str">
        <f>VLOOKUP(VLOOKUP(B1133,[1]Product!A:C,3,FALSE),[1]Supplier!A:I,9,FALSE)</f>
        <v>USA</v>
      </c>
      <c r="S1133" t="str">
        <f>IFERROR(IF(VLOOKUP(A1133,'[1]Sales Order'!A:H,8,FALSE)&gt;100,"High Freight","Low Freight"),"Not Specified")</f>
        <v>High Freight</v>
      </c>
      <c r="T1133">
        <f t="shared" si="35"/>
        <v>1158</v>
      </c>
    </row>
    <row r="1134" spans="1:20">
      <c r="A1134" s="1">
        <v>10678</v>
      </c>
      <c r="B1134" s="2">
        <v>54</v>
      </c>
      <c r="C1134" s="2">
        <v>7.45</v>
      </c>
      <c r="D1134" s="2">
        <v>30</v>
      </c>
      <c r="E1134" s="3">
        <v>0</v>
      </c>
      <c r="F1134" s="2" t="str">
        <f>IFERROR(VLOOKUP(VLOOKUP(A1134,'[1]Sales Order'!A:B,2,FALSE),[1]Customer!A:C,3,FALSE),"Not Specified")</f>
        <v>Navarro, Tomás</v>
      </c>
      <c r="G1134" s="2" t="str">
        <f t="shared" si="34"/>
        <v>Navarro Tomás</v>
      </c>
      <c r="H1134" s="8" t="str">
        <f>IFERROR(VLOOKUP(VLOOKUP(A1134,'[1]Sales Order'!A:C,3,FALSE),[1]Employee!A:E,5,FALSE)&amp;" "&amp;VLOOKUP(VLOOKUP(A1134,'[1]Sales Order'!A:C,3,FALSE),[1]Employee!A:C,3,FALSE)&amp;" "&amp;VLOOKUP(VLOOKUP(A1134,'[1]Sales Order'!A:C,3,FALSE),[1]Employee!A:B,2,FALSE),"Not Specified")</f>
        <v>Mr. Russell King</v>
      </c>
      <c r="I1134">
        <f>IFERROR(VLOOKUP(VLOOKUP(A1134,'[1]Sales Order'!A:C,3,FALSE),[1]Employee!A:J,10,FALSE),"Not Specified")</f>
        <v>0</v>
      </c>
      <c r="J1134" t="str">
        <f>VLOOKUP(B1134,[1]Product!A:B,2,FALSE)</f>
        <v>Product QAQRL</v>
      </c>
      <c r="K1134" t="str">
        <f>VLOOKUP(VLOOKUP(B1134,[1]Product!A:D,4,FALSE),[1]Category!A:B,2,FALSE)</f>
        <v>Meat/Poultry</v>
      </c>
      <c r="L1134" s="10">
        <f>IFERROR(VLOOKUP(A1134,'[1]Sales Order'!A:D,4,FALSE),"")</f>
        <v>39348</v>
      </c>
      <c r="M1134" s="10">
        <f>IFERROR(VLOOKUP(A1134,'[1]Sales Order'!A:F,6,FALSE),"")</f>
        <v>39371</v>
      </c>
      <c r="N1134" t="str">
        <f>IFERROR(VLOOKUP(VLOOKUP(A1134,'[1]Sales Order'!A:G,7,FALSE),[1]Shipper!A:B,2,FALSE),"Not Specified")</f>
        <v>Shipper ZHISN</v>
      </c>
      <c r="O1134" t="str">
        <f>IFERROR(VLOOKUP(A1134,'[1]Sales Order'!A:I,9,FALSE),"Not Specified")</f>
        <v>Ship to 71-A</v>
      </c>
      <c r="P1134" t="str">
        <f>IFERROR(VLOOKUP(A1134,'[1]Sales Order'!A:N,14,FALSE),"Not Specified")</f>
        <v>USA</v>
      </c>
      <c r="Q1134" t="str">
        <f>VLOOKUP(VLOOKUP(B1134,[1]Product!A:C,3,FALSE),[1]Supplier!A:B,2,FALSE)</f>
        <v>Supplier ERVYZ</v>
      </c>
      <c r="R1134" t="str">
        <f>VLOOKUP(VLOOKUP(B1134,[1]Product!A:C,3,FALSE),[1]Supplier!A:I,9,FALSE)</f>
        <v>Canada</v>
      </c>
      <c r="S1134" t="str">
        <f>IFERROR(IF(VLOOKUP(A1134,'[1]Sales Order'!A:H,8,FALSE)&gt;100,"High Freight","Low Freight"),"Not Specified")</f>
        <v>High Freight</v>
      </c>
      <c r="T1134">
        <f t="shared" si="35"/>
        <v>223.5</v>
      </c>
    </row>
    <row r="1135" spans="1:20">
      <c r="A1135" s="1">
        <v>10679</v>
      </c>
      <c r="B1135" s="2">
        <v>59</v>
      </c>
      <c r="C1135" s="2">
        <v>55</v>
      </c>
      <c r="D1135" s="2">
        <v>12</v>
      </c>
      <c r="E1135" s="3">
        <v>0</v>
      </c>
      <c r="F1135" s="2" t="str">
        <f>IFERROR(VLOOKUP(VLOOKUP(A1135,'[1]Sales Order'!A:B,2,FALSE),[1]Customer!A:C,3,FALSE),"Not Specified")</f>
        <v>Bansal, Dushyant</v>
      </c>
      <c r="G1135" s="2" t="str">
        <f t="shared" si="34"/>
        <v>Bansal Dushyant</v>
      </c>
      <c r="H1135" s="8" t="str">
        <f>IFERROR(VLOOKUP(VLOOKUP(A1135,'[1]Sales Order'!A:C,3,FALSE),[1]Employee!A:E,5,FALSE)&amp;" "&amp;VLOOKUP(VLOOKUP(A1135,'[1]Sales Order'!A:C,3,FALSE),[1]Employee!A:C,3,FALSE)&amp;" "&amp;VLOOKUP(VLOOKUP(A1135,'[1]Sales Order'!A:C,3,FALSE),[1]Employee!A:B,2,FALSE),"Not Specified")</f>
        <v>Ms. Maria Cameron</v>
      </c>
      <c r="I1135" t="str">
        <f>IFERROR(VLOOKUP(VLOOKUP(A1135,'[1]Sales Order'!A:C,3,FALSE),[1]Employee!A:J,10,FALSE),"Not Specified")</f>
        <v>WA</v>
      </c>
      <c r="J1135" t="str">
        <f>VLOOKUP(B1135,[1]Product!A:B,2,FALSE)</f>
        <v>Product UKXRI</v>
      </c>
      <c r="K1135" t="str">
        <f>VLOOKUP(VLOOKUP(B1135,[1]Product!A:D,4,FALSE),[1]Category!A:B,2,FALSE)</f>
        <v>Dairy Product</v>
      </c>
      <c r="L1135" s="10">
        <f>IFERROR(VLOOKUP(A1135,'[1]Sales Order'!A:D,4,FALSE),"")</f>
        <v>39348</v>
      </c>
      <c r="M1135" s="10">
        <f>IFERROR(VLOOKUP(A1135,'[1]Sales Order'!A:F,6,FALSE),"")</f>
        <v>39355</v>
      </c>
      <c r="N1135" t="str">
        <f>IFERROR(VLOOKUP(VLOOKUP(A1135,'[1]Sales Order'!A:G,7,FALSE),[1]Shipper!A:B,2,FALSE),"Not Specified")</f>
        <v>Shipper ZHISN</v>
      </c>
      <c r="O1135" t="str">
        <f>IFERROR(VLOOKUP(A1135,'[1]Sales Order'!A:I,9,FALSE),"Not Specified")</f>
        <v>Ship to 7-A</v>
      </c>
      <c r="P1135" t="str">
        <f>IFERROR(VLOOKUP(A1135,'[1]Sales Order'!A:N,14,FALSE),"Not Specified")</f>
        <v>France</v>
      </c>
      <c r="Q1135" t="str">
        <f>VLOOKUP(VLOOKUP(B1135,[1]Product!A:C,3,FALSE),[1]Supplier!A:B,2,FALSE)</f>
        <v>Supplier OAVQT</v>
      </c>
      <c r="R1135" t="str">
        <f>VLOOKUP(VLOOKUP(B1135,[1]Product!A:C,3,FALSE),[1]Supplier!A:I,9,FALSE)</f>
        <v>France</v>
      </c>
      <c r="S1135" t="str">
        <f>IFERROR(IF(VLOOKUP(A1135,'[1]Sales Order'!A:H,8,FALSE)&gt;100,"High Freight","Low Freight"),"Not Specified")</f>
        <v>Low Freight</v>
      </c>
      <c r="T1135">
        <f t="shared" si="35"/>
        <v>660</v>
      </c>
    </row>
    <row r="1136" spans="1:20">
      <c r="A1136" s="1">
        <v>10680</v>
      </c>
      <c r="B1136" s="2">
        <v>16</v>
      </c>
      <c r="C1136" s="2">
        <v>17.45</v>
      </c>
      <c r="D1136" s="2">
        <v>50</v>
      </c>
      <c r="E1136" s="3">
        <v>0.25</v>
      </c>
      <c r="F1136" s="2" t="str">
        <f>IFERROR(VLOOKUP(VLOOKUP(A1136,'[1]Sales Order'!A:B,2,FALSE),[1]Customer!A:C,3,FALSE),"Not Specified")</f>
        <v>Egelund-Muller, Anja</v>
      </c>
      <c r="G1136" s="2" t="str">
        <f t="shared" si="34"/>
        <v>Egelund-Muller Anja</v>
      </c>
      <c r="H1136" s="8" t="str">
        <f>IFERROR(VLOOKUP(VLOOKUP(A1136,'[1]Sales Order'!A:C,3,FALSE),[1]Employee!A:E,5,FALSE)&amp;" "&amp;VLOOKUP(VLOOKUP(A1136,'[1]Sales Order'!A:C,3,FALSE),[1]Employee!A:C,3,FALSE)&amp;" "&amp;VLOOKUP(VLOOKUP(A1136,'[1]Sales Order'!A:C,3,FALSE),[1]Employee!A:B,2,FALSE),"Not Specified")</f>
        <v>Ms. Sara Davis</v>
      </c>
      <c r="I1136" t="str">
        <f>IFERROR(VLOOKUP(VLOOKUP(A1136,'[1]Sales Order'!A:C,3,FALSE),[1]Employee!A:J,10,FALSE),"Not Specified")</f>
        <v>WA</v>
      </c>
      <c r="J1136" t="str">
        <f>VLOOKUP(B1136,[1]Product!A:B,2,FALSE)</f>
        <v>Product PAFRH</v>
      </c>
      <c r="K1136" t="str">
        <f>VLOOKUP(VLOOKUP(B1136,[1]Product!A:D,4,FALSE),[1]Category!A:B,2,FALSE)</f>
        <v>Confections</v>
      </c>
      <c r="L1136" s="10">
        <f>IFERROR(VLOOKUP(A1136,'[1]Sales Order'!A:D,4,FALSE),"")</f>
        <v>39349</v>
      </c>
      <c r="M1136" s="10">
        <f>IFERROR(VLOOKUP(A1136,'[1]Sales Order'!A:F,6,FALSE),"")</f>
        <v>39351</v>
      </c>
      <c r="N1136" t="str">
        <f>IFERROR(VLOOKUP(VLOOKUP(A1136,'[1]Sales Order'!A:G,7,FALSE),[1]Shipper!A:B,2,FALSE),"Not Specified")</f>
        <v>Shipper GVSUA</v>
      </c>
      <c r="O1136" t="str">
        <f>IFERROR(VLOOKUP(A1136,'[1]Sales Order'!A:I,9,FALSE),"Not Specified")</f>
        <v>Ship to 55-B</v>
      </c>
      <c r="P1136" t="str">
        <f>IFERROR(VLOOKUP(A1136,'[1]Sales Order'!A:N,14,FALSE),"Not Specified")</f>
        <v>USA</v>
      </c>
      <c r="Q1136" t="str">
        <f>VLOOKUP(VLOOKUP(B1136,[1]Product!A:C,3,FALSE),[1]Supplier!A:B,2,FALSE)</f>
        <v>Supplier GQRCV</v>
      </c>
      <c r="R1136" t="str">
        <f>VLOOKUP(VLOOKUP(B1136,[1]Product!A:C,3,FALSE),[1]Supplier!A:I,9,FALSE)</f>
        <v>Australia</v>
      </c>
      <c r="S1136" t="str">
        <f>IFERROR(IF(VLOOKUP(A1136,'[1]Sales Order'!A:H,8,FALSE)&gt;100,"High Freight","Low Freight"),"Not Specified")</f>
        <v>Low Freight</v>
      </c>
      <c r="T1136">
        <f t="shared" si="35"/>
        <v>654.375</v>
      </c>
    </row>
    <row r="1137" spans="1:20">
      <c r="A1137" s="1">
        <v>10680</v>
      </c>
      <c r="B1137" s="2">
        <v>31</v>
      </c>
      <c r="C1137" s="2">
        <v>12.5</v>
      </c>
      <c r="D1137" s="2">
        <v>20</v>
      </c>
      <c r="E1137" s="3">
        <v>0.25</v>
      </c>
      <c r="F1137" s="2" t="str">
        <f>IFERROR(VLOOKUP(VLOOKUP(A1137,'[1]Sales Order'!A:B,2,FALSE),[1]Customer!A:C,3,FALSE),"Not Specified")</f>
        <v>Egelund-Muller, Anja</v>
      </c>
      <c r="G1137" s="2" t="str">
        <f t="shared" si="34"/>
        <v>Egelund-Muller Anja</v>
      </c>
      <c r="H1137" s="8" t="str">
        <f>IFERROR(VLOOKUP(VLOOKUP(A1137,'[1]Sales Order'!A:C,3,FALSE),[1]Employee!A:E,5,FALSE)&amp;" "&amp;VLOOKUP(VLOOKUP(A1137,'[1]Sales Order'!A:C,3,FALSE),[1]Employee!A:C,3,FALSE)&amp;" "&amp;VLOOKUP(VLOOKUP(A1137,'[1]Sales Order'!A:C,3,FALSE),[1]Employee!A:B,2,FALSE),"Not Specified")</f>
        <v>Ms. Sara Davis</v>
      </c>
      <c r="I1137" t="str">
        <f>IFERROR(VLOOKUP(VLOOKUP(A1137,'[1]Sales Order'!A:C,3,FALSE),[1]Employee!A:J,10,FALSE),"Not Specified")</f>
        <v>WA</v>
      </c>
      <c r="J1137" t="str">
        <f>VLOOKUP(B1137,[1]Product!A:B,2,FALSE)</f>
        <v>Product XWOXC</v>
      </c>
      <c r="K1137" t="str">
        <f>VLOOKUP(VLOOKUP(B1137,[1]Product!A:D,4,FALSE),[1]Category!A:B,2,FALSE)</f>
        <v>Dairy Product</v>
      </c>
      <c r="L1137" s="10">
        <f>IFERROR(VLOOKUP(A1137,'[1]Sales Order'!A:D,4,FALSE),"")</f>
        <v>39349</v>
      </c>
      <c r="M1137" s="10">
        <f>IFERROR(VLOOKUP(A1137,'[1]Sales Order'!A:F,6,FALSE),"")</f>
        <v>39351</v>
      </c>
      <c r="N1137" t="str">
        <f>IFERROR(VLOOKUP(VLOOKUP(A1137,'[1]Sales Order'!A:G,7,FALSE),[1]Shipper!A:B,2,FALSE),"Not Specified")</f>
        <v>Shipper GVSUA</v>
      </c>
      <c r="O1137" t="str">
        <f>IFERROR(VLOOKUP(A1137,'[1]Sales Order'!A:I,9,FALSE),"Not Specified")</f>
        <v>Ship to 55-B</v>
      </c>
      <c r="P1137" t="str">
        <f>IFERROR(VLOOKUP(A1137,'[1]Sales Order'!A:N,14,FALSE),"Not Specified")</f>
        <v>USA</v>
      </c>
      <c r="Q1137" t="str">
        <f>VLOOKUP(VLOOKUP(B1137,[1]Product!A:C,3,FALSE),[1]Supplier!A:B,2,FALSE)</f>
        <v>Supplier KEREV</v>
      </c>
      <c r="R1137" t="str">
        <f>VLOOKUP(VLOOKUP(B1137,[1]Product!A:C,3,FALSE),[1]Supplier!A:I,9,FALSE)</f>
        <v>Italy</v>
      </c>
      <c r="S1137" t="str">
        <f>IFERROR(IF(VLOOKUP(A1137,'[1]Sales Order'!A:H,8,FALSE)&gt;100,"High Freight","Low Freight"),"Not Specified")</f>
        <v>Low Freight</v>
      </c>
      <c r="T1137">
        <f t="shared" si="35"/>
        <v>187.5</v>
      </c>
    </row>
    <row r="1138" spans="1:20">
      <c r="A1138" s="1">
        <v>10680</v>
      </c>
      <c r="B1138" s="2">
        <v>42</v>
      </c>
      <c r="C1138" s="2">
        <v>14</v>
      </c>
      <c r="D1138" s="2">
        <v>40</v>
      </c>
      <c r="E1138" s="3">
        <v>0.25</v>
      </c>
      <c r="F1138" s="2" t="str">
        <f>IFERROR(VLOOKUP(VLOOKUP(A1138,'[1]Sales Order'!A:B,2,FALSE),[1]Customer!A:C,3,FALSE),"Not Specified")</f>
        <v>Egelund-Muller, Anja</v>
      </c>
      <c r="G1138" s="2" t="str">
        <f t="shared" si="34"/>
        <v>Egelund-Muller Anja</v>
      </c>
      <c r="H1138" s="8" t="str">
        <f>IFERROR(VLOOKUP(VLOOKUP(A1138,'[1]Sales Order'!A:C,3,FALSE),[1]Employee!A:E,5,FALSE)&amp;" "&amp;VLOOKUP(VLOOKUP(A1138,'[1]Sales Order'!A:C,3,FALSE),[1]Employee!A:C,3,FALSE)&amp;" "&amp;VLOOKUP(VLOOKUP(A1138,'[1]Sales Order'!A:C,3,FALSE),[1]Employee!A:B,2,FALSE),"Not Specified")</f>
        <v>Ms. Sara Davis</v>
      </c>
      <c r="I1138" t="str">
        <f>IFERROR(VLOOKUP(VLOOKUP(A1138,'[1]Sales Order'!A:C,3,FALSE),[1]Employee!A:J,10,FALSE),"Not Specified")</f>
        <v>WA</v>
      </c>
      <c r="J1138" t="str">
        <f>VLOOKUP(B1138,[1]Product!A:B,2,FALSE)</f>
        <v>Product RJVNM</v>
      </c>
      <c r="K1138" t="str">
        <f>VLOOKUP(VLOOKUP(B1138,[1]Product!A:D,4,FALSE),[1]Category!A:B,2,FALSE)</f>
        <v>Grains/Cereals</v>
      </c>
      <c r="L1138" s="10">
        <f>IFERROR(VLOOKUP(A1138,'[1]Sales Order'!A:D,4,FALSE),"")</f>
        <v>39349</v>
      </c>
      <c r="M1138" s="10">
        <f>IFERROR(VLOOKUP(A1138,'[1]Sales Order'!A:F,6,FALSE),"")</f>
        <v>39351</v>
      </c>
      <c r="N1138" t="str">
        <f>IFERROR(VLOOKUP(VLOOKUP(A1138,'[1]Sales Order'!A:G,7,FALSE),[1]Shipper!A:B,2,FALSE),"Not Specified")</f>
        <v>Shipper GVSUA</v>
      </c>
      <c r="O1138" t="str">
        <f>IFERROR(VLOOKUP(A1138,'[1]Sales Order'!A:I,9,FALSE),"Not Specified")</f>
        <v>Ship to 55-B</v>
      </c>
      <c r="P1138" t="str">
        <f>IFERROR(VLOOKUP(A1138,'[1]Sales Order'!A:N,14,FALSE),"Not Specified")</f>
        <v>USA</v>
      </c>
      <c r="Q1138" t="str">
        <f>VLOOKUP(VLOOKUP(B1138,[1]Product!A:C,3,FALSE),[1]Supplier!A:B,2,FALSE)</f>
        <v>Supplier CIYNM</v>
      </c>
      <c r="R1138" t="str">
        <f>VLOOKUP(VLOOKUP(B1138,[1]Product!A:C,3,FALSE),[1]Supplier!A:I,9,FALSE)</f>
        <v>Singapore</v>
      </c>
      <c r="S1138" t="str">
        <f>IFERROR(IF(VLOOKUP(A1138,'[1]Sales Order'!A:H,8,FALSE)&gt;100,"High Freight","Low Freight"),"Not Specified")</f>
        <v>Low Freight</v>
      </c>
      <c r="T1138">
        <f t="shared" si="35"/>
        <v>420</v>
      </c>
    </row>
    <row r="1139" spans="1:20">
      <c r="A1139" s="1">
        <v>10681</v>
      </c>
      <c r="B1139" s="2">
        <v>19</v>
      </c>
      <c r="C1139" s="2">
        <v>9.1999999999999993</v>
      </c>
      <c r="D1139" s="2">
        <v>30</v>
      </c>
      <c r="E1139" s="3">
        <v>0.1</v>
      </c>
      <c r="F1139" s="2" t="str">
        <f>IFERROR(VLOOKUP(VLOOKUP(A1139,'[1]Sales Order'!A:B,2,FALSE),[1]Customer!A:C,3,FALSE),"Not Specified")</f>
        <v>Krishnan, Venky</v>
      </c>
      <c r="G1139" s="2" t="str">
        <f t="shared" si="34"/>
        <v>Krishnan Venky</v>
      </c>
      <c r="H1139" s="8" t="str">
        <f>IFERROR(VLOOKUP(VLOOKUP(A1139,'[1]Sales Order'!A:C,3,FALSE),[1]Employee!A:E,5,FALSE)&amp;" "&amp;VLOOKUP(VLOOKUP(A1139,'[1]Sales Order'!A:C,3,FALSE),[1]Employee!A:C,3,FALSE)&amp;" "&amp;VLOOKUP(VLOOKUP(A1139,'[1]Sales Order'!A:C,3,FALSE),[1]Employee!A:B,2,FALSE),"Not Specified")</f>
        <v>Ms. Judy Lew</v>
      </c>
      <c r="I1139" t="str">
        <f>IFERROR(VLOOKUP(VLOOKUP(A1139,'[1]Sales Order'!A:C,3,FALSE),[1]Employee!A:J,10,FALSE),"Not Specified")</f>
        <v>WA</v>
      </c>
      <c r="J1139" t="str">
        <f>VLOOKUP(B1139,[1]Product!A:B,2,FALSE)</f>
        <v>Product XKXDO</v>
      </c>
      <c r="K1139" t="str">
        <f>VLOOKUP(VLOOKUP(B1139,[1]Product!A:D,4,FALSE),[1]Category!A:B,2,FALSE)</f>
        <v>Confections</v>
      </c>
      <c r="L1139" s="10">
        <f>IFERROR(VLOOKUP(A1139,'[1]Sales Order'!A:D,4,FALSE),"")</f>
        <v>39350</v>
      </c>
      <c r="M1139" s="10">
        <f>IFERROR(VLOOKUP(A1139,'[1]Sales Order'!A:F,6,FALSE),"")</f>
        <v>39355</v>
      </c>
      <c r="N1139" t="str">
        <f>IFERROR(VLOOKUP(VLOOKUP(A1139,'[1]Sales Order'!A:G,7,FALSE),[1]Shipper!A:B,2,FALSE),"Not Specified")</f>
        <v>Shipper ZHISN</v>
      </c>
      <c r="O1139" t="str">
        <f>IFERROR(VLOOKUP(A1139,'[1]Sales Order'!A:I,9,FALSE),"Not Specified")</f>
        <v>Destination AVQUS</v>
      </c>
      <c r="P1139" t="str">
        <f>IFERROR(VLOOKUP(A1139,'[1]Sales Order'!A:N,14,FALSE),"Not Specified")</f>
        <v>USA</v>
      </c>
      <c r="Q1139" t="str">
        <f>VLOOKUP(VLOOKUP(B1139,[1]Product!A:C,3,FALSE),[1]Supplier!A:B,2,FALSE)</f>
        <v>Supplier BWGYE</v>
      </c>
      <c r="R1139" t="str">
        <f>VLOOKUP(VLOOKUP(B1139,[1]Product!A:C,3,FALSE),[1]Supplier!A:I,9,FALSE)</f>
        <v>UK</v>
      </c>
      <c r="S1139" t="str">
        <f>IFERROR(IF(VLOOKUP(A1139,'[1]Sales Order'!A:H,8,FALSE)&gt;100,"High Freight","Low Freight"),"Not Specified")</f>
        <v>Low Freight</v>
      </c>
      <c r="T1139">
        <f t="shared" si="35"/>
        <v>248.4</v>
      </c>
    </row>
    <row r="1140" spans="1:20">
      <c r="A1140" s="1">
        <v>10681</v>
      </c>
      <c r="B1140" s="2">
        <v>21</v>
      </c>
      <c r="C1140" s="2">
        <v>10</v>
      </c>
      <c r="D1140" s="2">
        <v>12</v>
      </c>
      <c r="E1140" s="3">
        <v>0.1</v>
      </c>
      <c r="F1140" s="2" t="str">
        <f>IFERROR(VLOOKUP(VLOOKUP(A1140,'[1]Sales Order'!A:B,2,FALSE),[1]Customer!A:C,3,FALSE),"Not Specified")</f>
        <v>Krishnan, Venky</v>
      </c>
      <c r="G1140" s="2" t="str">
        <f t="shared" si="34"/>
        <v>Krishnan Venky</v>
      </c>
      <c r="H1140" s="8" t="str">
        <f>IFERROR(VLOOKUP(VLOOKUP(A1140,'[1]Sales Order'!A:C,3,FALSE),[1]Employee!A:E,5,FALSE)&amp;" "&amp;VLOOKUP(VLOOKUP(A1140,'[1]Sales Order'!A:C,3,FALSE),[1]Employee!A:C,3,FALSE)&amp;" "&amp;VLOOKUP(VLOOKUP(A1140,'[1]Sales Order'!A:C,3,FALSE),[1]Employee!A:B,2,FALSE),"Not Specified")</f>
        <v>Ms. Judy Lew</v>
      </c>
      <c r="I1140" t="str">
        <f>IFERROR(VLOOKUP(VLOOKUP(A1140,'[1]Sales Order'!A:C,3,FALSE),[1]Employee!A:J,10,FALSE),"Not Specified")</f>
        <v>WA</v>
      </c>
      <c r="J1140" t="str">
        <f>VLOOKUP(B1140,[1]Product!A:B,2,FALSE)</f>
        <v>Product VJZZH</v>
      </c>
      <c r="K1140" t="str">
        <f>VLOOKUP(VLOOKUP(B1140,[1]Product!A:D,4,FALSE),[1]Category!A:B,2,FALSE)</f>
        <v>Confections</v>
      </c>
      <c r="L1140" s="10">
        <f>IFERROR(VLOOKUP(A1140,'[1]Sales Order'!A:D,4,FALSE),"")</f>
        <v>39350</v>
      </c>
      <c r="M1140" s="10">
        <f>IFERROR(VLOOKUP(A1140,'[1]Sales Order'!A:F,6,FALSE),"")</f>
        <v>39355</v>
      </c>
      <c r="N1140" t="str">
        <f>IFERROR(VLOOKUP(VLOOKUP(A1140,'[1]Sales Order'!A:G,7,FALSE),[1]Shipper!A:B,2,FALSE),"Not Specified")</f>
        <v>Shipper ZHISN</v>
      </c>
      <c r="O1140" t="str">
        <f>IFERROR(VLOOKUP(A1140,'[1]Sales Order'!A:I,9,FALSE),"Not Specified")</f>
        <v>Destination AVQUS</v>
      </c>
      <c r="P1140" t="str">
        <f>IFERROR(VLOOKUP(A1140,'[1]Sales Order'!A:N,14,FALSE),"Not Specified")</f>
        <v>USA</v>
      </c>
      <c r="Q1140" t="str">
        <f>VLOOKUP(VLOOKUP(B1140,[1]Product!A:C,3,FALSE),[1]Supplier!A:B,2,FALSE)</f>
        <v>Supplier BWGYE</v>
      </c>
      <c r="R1140" t="str">
        <f>VLOOKUP(VLOOKUP(B1140,[1]Product!A:C,3,FALSE),[1]Supplier!A:I,9,FALSE)</f>
        <v>UK</v>
      </c>
      <c r="S1140" t="str">
        <f>IFERROR(IF(VLOOKUP(A1140,'[1]Sales Order'!A:H,8,FALSE)&gt;100,"High Freight","Low Freight"),"Not Specified")</f>
        <v>Low Freight</v>
      </c>
      <c r="T1140">
        <f t="shared" si="35"/>
        <v>108</v>
      </c>
    </row>
    <row r="1141" spans="1:20">
      <c r="A1141" s="1">
        <v>10681</v>
      </c>
      <c r="B1141" s="2">
        <v>64</v>
      </c>
      <c r="C1141" s="2">
        <v>33.25</v>
      </c>
      <c r="D1141" s="2">
        <v>28</v>
      </c>
      <c r="E1141" s="3">
        <v>0</v>
      </c>
      <c r="F1141" s="2" t="str">
        <f>IFERROR(VLOOKUP(VLOOKUP(A1141,'[1]Sales Order'!A:B,2,FALSE),[1]Customer!A:C,3,FALSE),"Not Specified")</f>
        <v>Krishnan, Venky</v>
      </c>
      <c r="G1141" s="2" t="str">
        <f t="shared" si="34"/>
        <v>Krishnan Venky</v>
      </c>
      <c r="H1141" s="8" t="str">
        <f>IFERROR(VLOOKUP(VLOOKUP(A1141,'[1]Sales Order'!A:C,3,FALSE),[1]Employee!A:E,5,FALSE)&amp;" "&amp;VLOOKUP(VLOOKUP(A1141,'[1]Sales Order'!A:C,3,FALSE),[1]Employee!A:C,3,FALSE)&amp;" "&amp;VLOOKUP(VLOOKUP(A1141,'[1]Sales Order'!A:C,3,FALSE),[1]Employee!A:B,2,FALSE),"Not Specified")</f>
        <v>Ms. Judy Lew</v>
      </c>
      <c r="I1141" t="str">
        <f>IFERROR(VLOOKUP(VLOOKUP(A1141,'[1]Sales Order'!A:C,3,FALSE),[1]Employee!A:J,10,FALSE),"Not Specified")</f>
        <v>WA</v>
      </c>
      <c r="J1141" t="str">
        <f>VLOOKUP(B1141,[1]Product!A:B,2,FALSE)</f>
        <v>Product HCQDE</v>
      </c>
      <c r="K1141" t="str">
        <f>VLOOKUP(VLOOKUP(B1141,[1]Product!A:D,4,FALSE),[1]Category!A:B,2,FALSE)</f>
        <v>Grains/Cereals</v>
      </c>
      <c r="L1141" s="10">
        <f>IFERROR(VLOOKUP(A1141,'[1]Sales Order'!A:D,4,FALSE),"")</f>
        <v>39350</v>
      </c>
      <c r="M1141" s="10">
        <f>IFERROR(VLOOKUP(A1141,'[1]Sales Order'!A:F,6,FALSE),"")</f>
        <v>39355</v>
      </c>
      <c r="N1141" t="str">
        <f>IFERROR(VLOOKUP(VLOOKUP(A1141,'[1]Sales Order'!A:G,7,FALSE),[1]Shipper!A:B,2,FALSE),"Not Specified")</f>
        <v>Shipper ZHISN</v>
      </c>
      <c r="O1141" t="str">
        <f>IFERROR(VLOOKUP(A1141,'[1]Sales Order'!A:I,9,FALSE),"Not Specified")</f>
        <v>Destination AVQUS</v>
      </c>
      <c r="P1141" t="str">
        <f>IFERROR(VLOOKUP(A1141,'[1]Sales Order'!A:N,14,FALSE),"Not Specified")</f>
        <v>USA</v>
      </c>
      <c r="Q1141" t="str">
        <f>VLOOKUP(VLOOKUP(B1141,[1]Product!A:C,3,FALSE),[1]Supplier!A:B,2,FALSE)</f>
        <v>Supplier SVIYA</v>
      </c>
      <c r="R1141" t="str">
        <f>VLOOKUP(VLOOKUP(B1141,[1]Product!A:C,3,FALSE),[1]Supplier!A:I,9,FALSE)</f>
        <v>Germany</v>
      </c>
      <c r="S1141" t="str">
        <f>IFERROR(IF(VLOOKUP(A1141,'[1]Sales Order'!A:H,8,FALSE)&gt;100,"High Freight","Low Freight"),"Not Specified")</f>
        <v>Low Freight</v>
      </c>
      <c r="T1141">
        <f t="shared" si="35"/>
        <v>931</v>
      </c>
    </row>
    <row r="1142" spans="1:20">
      <c r="A1142" s="1">
        <v>10682</v>
      </c>
      <c r="B1142" s="2">
        <v>33</v>
      </c>
      <c r="C1142" s="2">
        <v>2.5</v>
      </c>
      <c r="D1142" s="2">
        <v>30</v>
      </c>
      <c r="E1142" s="3">
        <v>0</v>
      </c>
      <c r="F1142" s="2" t="str">
        <f>IFERROR(VLOOKUP(VLOOKUP(A1142,'[1]Sales Order'!A:B,2,FALSE),[1]Customer!A:C,3,FALSE),"Not Specified")</f>
        <v>Peoples, John</v>
      </c>
      <c r="G1142" s="2" t="str">
        <f t="shared" si="34"/>
        <v>Peoples John</v>
      </c>
      <c r="H1142" s="8" t="str">
        <f>IFERROR(VLOOKUP(VLOOKUP(A1142,'[1]Sales Order'!A:C,3,FALSE),[1]Employee!A:E,5,FALSE)&amp;" "&amp;VLOOKUP(VLOOKUP(A1142,'[1]Sales Order'!A:C,3,FALSE),[1]Employee!A:C,3,FALSE)&amp;" "&amp;VLOOKUP(VLOOKUP(A1142,'[1]Sales Order'!A:C,3,FALSE),[1]Employee!A:B,2,FALSE),"Not Specified")</f>
        <v>Ms. Judy Lew</v>
      </c>
      <c r="I1142" t="str">
        <f>IFERROR(VLOOKUP(VLOOKUP(A1142,'[1]Sales Order'!A:C,3,FALSE),[1]Employee!A:J,10,FALSE),"Not Specified")</f>
        <v>WA</v>
      </c>
      <c r="J1142" t="str">
        <f>VLOOKUP(B1142,[1]Product!A:B,2,FALSE)</f>
        <v>Product ASTMN</v>
      </c>
      <c r="K1142" t="str">
        <f>VLOOKUP(VLOOKUP(B1142,[1]Product!A:D,4,FALSE),[1]Category!A:B,2,FALSE)</f>
        <v>Dairy Product</v>
      </c>
      <c r="L1142" s="10">
        <f>IFERROR(VLOOKUP(A1142,'[1]Sales Order'!A:D,4,FALSE),"")</f>
        <v>39350</v>
      </c>
      <c r="M1142" s="10">
        <f>IFERROR(VLOOKUP(A1142,'[1]Sales Order'!A:F,6,FALSE),"")</f>
        <v>39356</v>
      </c>
      <c r="N1142" t="str">
        <f>IFERROR(VLOOKUP(VLOOKUP(A1142,'[1]Sales Order'!A:G,7,FALSE),[1]Shipper!A:B,2,FALSE),"Not Specified")</f>
        <v>Shipper ETYNR</v>
      </c>
      <c r="O1142" t="str">
        <f>IFERROR(VLOOKUP(A1142,'[1]Sales Order'!A:I,9,FALSE),"Not Specified")</f>
        <v>Destination RTGIS</v>
      </c>
      <c r="P1142" t="str">
        <f>IFERROR(VLOOKUP(A1142,'[1]Sales Order'!A:N,14,FALSE),"Not Specified")</f>
        <v>Mexico</v>
      </c>
      <c r="Q1142" t="str">
        <f>VLOOKUP(VLOOKUP(B1142,[1]Product!A:C,3,FALSE),[1]Supplier!A:B,2,FALSE)</f>
        <v>Supplier NZLIF</v>
      </c>
      <c r="R1142" t="str">
        <f>VLOOKUP(VLOOKUP(B1142,[1]Product!A:C,3,FALSE),[1]Supplier!A:I,9,FALSE)</f>
        <v>Norway</v>
      </c>
      <c r="S1142" t="str">
        <f>IFERROR(IF(VLOOKUP(A1142,'[1]Sales Order'!A:H,8,FALSE)&gt;100,"High Freight","Low Freight"),"Not Specified")</f>
        <v>Low Freight</v>
      </c>
      <c r="T1142">
        <f t="shared" si="35"/>
        <v>75</v>
      </c>
    </row>
    <row r="1143" spans="1:20">
      <c r="A1143" s="1">
        <v>10682</v>
      </c>
      <c r="B1143" s="2">
        <v>66</v>
      </c>
      <c r="C1143" s="2">
        <v>17</v>
      </c>
      <c r="D1143" s="2">
        <v>4</v>
      </c>
      <c r="E1143" s="3">
        <v>0</v>
      </c>
      <c r="F1143" s="2" t="str">
        <f>IFERROR(VLOOKUP(VLOOKUP(A1143,'[1]Sales Order'!A:B,2,FALSE),[1]Customer!A:C,3,FALSE),"Not Specified")</f>
        <v>Peoples, John</v>
      </c>
      <c r="G1143" s="2" t="str">
        <f t="shared" si="34"/>
        <v>Peoples John</v>
      </c>
      <c r="H1143" s="8" t="str">
        <f>IFERROR(VLOOKUP(VLOOKUP(A1143,'[1]Sales Order'!A:C,3,FALSE),[1]Employee!A:E,5,FALSE)&amp;" "&amp;VLOOKUP(VLOOKUP(A1143,'[1]Sales Order'!A:C,3,FALSE),[1]Employee!A:C,3,FALSE)&amp;" "&amp;VLOOKUP(VLOOKUP(A1143,'[1]Sales Order'!A:C,3,FALSE),[1]Employee!A:B,2,FALSE),"Not Specified")</f>
        <v>Ms. Judy Lew</v>
      </c>
      <c r="I1143" t="str">
        <f>IFERROR(VLOOKUP(VLOOKUP(A1143,'[1]Sales Order'!A:C,3,FALSE),[1]Employee!A:J,10,FALSE),"Not Specified")</f>
        <v>WA</v>
      </c>
      <c r="J1143" t="str">
        <f>VLOOKUP(B1143,[1]Product!A:B,2,FALSE)</f>
        <v>Product LQMGN</v>
      </c>
      <c r="K1143" t="str">
        <f>VLOOKUP(VLOOKUP(B1143,[1]Product!A:D,4,FALSE),[1]Category!A:B,2,FALSE)</f>
        <v>Condiments</v>
      </c>
      <c r="L1143" s="10">
        <f>IFERROR(VLOOKUP(A1143,'[1]Sales Order'!A:D,4,FALSE),"")</f>
        <v>39350</v>
      </c>
      <c r="M1143" s="10">
        <f>IFERROR(VLOOKUP(A1143,'[1]Sales Order'!A:F,6,FALSE),"")</f>
        <v>39356</v>
      </c>
      <c r="N1143" t="str">
        <f>IFERROR(VLOOKUP(VLOOKUP(A1143,'[1]Sales Order'!A:G,7,FALSE),[1]Shipper!A:B,2,FALSE),"Not Specified")</f>
        <v>Shipper ETYNR</v>
      </c>
      <c r="O1143" t="str">
        <f>IFERROR(VLOOKUP(A1143,'[1]Sales Order'!A:I,9,FALSE),"Not Specified")</f>
        <v>Destination RTGIS</v>
      </c>
      <c r="P1143" t="str">
        <f>IFERROR(VLOOKUP(A1143,'[1]Sales Order'!A:N,14,FALSE),"Not Specified")</f>
        <v>Mexico</v>
      </c>
      <c r="Q1143" t="str">
        <f>VLOOKUP(VLOOKUP(B1143,[1]Product!A:C,3,FALSE),[1]Supplier!A:B,2,FALSE)</f>
        <v>Supplier VHQZD</v>
      </c>
      <c r="R1143" t="str">
        <f>VLOOKUP(VLOOKUP(B1143,[1]Product!A:C,3,FALSE),[1]Supplier!A:I,9,FALSE)</f>
        <v>USA</v>
      </c>
      <c r="S1143" t="str">
        <f>IFERROR(IF(VLOOKUP(A1143,'[1]Sales Order'!A:H,8,FALSE)&gt;100,"High Freight","Low Freight"),"Not Specified")</f>
        <v>Low Freight</v>
      </c>
      <c r="T1143">
        <f t="shared" si="35"/>
        <v>68</v>
      </c>
    </row>
    <row r="1144" spans="1:20">
      <c r="A1144" s="1">
        <v>10682</v>
      </c>
      <c r="B1144" s="2">
        <v>75</v>
      </c>
      <c r="C1144" s="2">
        <v>7.75</v>
      </c>
      <c r="D1144" s="2">
        <v>30</v>
      </c>
      <c r="E1144" s="3">
        <v>0</v>
      </c>
      <c r="F1144" s="2" t="str">
        <f>IFERROR(VLOOKUP(VLOOKUP(A1144,'[1]Sales Order'!A:B,2,FALSE),[1]Customer!A:C,3,FALSE),"Not Specified")</f>
        <v>Peoples, John</v>
      </c>
      <c r="G1144" s="2" t="str">
        <f t="shared" si="34"/>
        <v>Peoples John</v>
      </c>
      <c r="H1144" s="8" t="str">
        <f>IFERROR(VLOOKUP(VLOOKUP(A1144,'[1]Sales Order'!A:C,3,FALSE),[1]Employee!A:E,5,FALSE)&amp;" "&amp;VLOOKUP(VLOOKUP(A1144,'[1]Sales Order'!A:C,3,FALSE),[1]Employee!A:C,3,FALSE)&amp;" "&amp;VLOOKUP(VLOOKUP(A1144,'[1]Sales Order'!A:C,3,FALSE),[1]Employee!A:B,2,FALSE),"Not Specified")</f>
        <v>Ms. Judy Lew</v>
      </c>
      <c r="I1144" t="str">
        <f>IFERROR(VLOOKUP(VLOOKUP(A1144,'[1]Sales Order'!A:C,3,FALSE),[1]Employee!A:J,10,FALSE),"Not Specified")</f>
        <v>WA</v>
      </c>
      <c r="J1144" t="str">
        <f>VLOOKUP(B1144,[1]Product!A:B,2,FALSE)</f>
        <v>Product BWRLG</v>
      </c>
      <c r="K1144" t="str">
        <f>VLOOKUP(VLOOKUP(B1144,[1]Product!A:D,4,FALSE),[1]Category!A:B,2,FALSE)</f>
        <v>Beverages</v>
      </c>
      <c r="L1144" s="10">
        <f>IFERROR(VLOOKUP(A1144,'[1]Sales Order'!A:D,4,FALSE),"")</f>
        <v>39350</v>
      </c>
      <c r="M1144" s="10">
        <f>IFERROR(VLOOKUP(A1144,'[1]Sales Order'!A:F,6,FALSE),"")</f>
        <v>39356</v>
      </c>
      <c r="N1144" t="str">
        <f>IFERROR(VLOOKUP(VLOOKUP(A1144,'[1]Sales Order'!A:G,7,FALSE),[1]Shipper!A:B,2,FALSE),"Not Specified")</f>
        <v>Shipper ETYNR</v>
      </c>
      <c r="O1144" t="str">
        <f>IFERROR(VLOOKUP(A1144,'[1]Sales Order'!A:I,9,FALSE),"Not Specified")</f>
        <v>Destination RTGIS</v>
      </c>
      <c r="P1144" t="str">
        <f>IFERROR(VLOOKUP(A1144,'[1]Sales Order'!A:N,14,FALSE),"Not Specified")</f>
        <v>Mexico</v>
      </c>
      <c r="Q1144" t="str">
        <f>VLOOKUP(VLOOKUP(B1144,[1]Product!A:C,3,FALSE),[1]Supplier!A:B,2,FALSE)</f>
        <v>Supplier SVIYA</v>
      </c>
      <c r="R1144" t="str">
        <f>VLOOKUP(VLOOKUP(B1144,[1]Product!A:C,3,FALSE),[1]Supplier!A:I,9,FALSE)</f>
        <v>Germany</v>
      </c>
      <c r="S1144" t="str">
        <f>IFERROR(IF(VLOOKUP(A1144,'[1]Sales Order'!A:H,8,FALSE)&gt;100,"High Freight","Low Freight"),"Not Specified")</f>
        <v>Low Freight</v>
      </c>
      <c r="T1144">
        <f t="shared" si="35"/>
        <v>232.5</v>
      </c>
    </row>
    <row r="1145" spans="1:20">
      <c r="A1145" s="1">
        <v>10683</v>
      </c>
      <c r="B1145" s="2">
        <v>52</v>
      </c>
      <c r="C1145" s="2">
        <v>7</v>
      </c>
      <c r="D1145" s="2">
        <v>9</v>
      </c>
      <c r="E1145" s="3">
        <v>0</v>
      </c>
      <c r="F1145" s="2" t="str">
        <f>IFERROR(VLOOKUP(VLOOKUP(A1145,'[1]Sales Order'!A:B,2,FALSE),[1]Customer!A:C,3,FALSE),"Not Specified")</f>
        <v>Rizaldy, Arif</v>
      </c>
      <c r="G1145" s="2" t="str">
        <f t="shared" si="34"/>
        <v>Rizaldy Arif</v>
      </c>
      <c r="H1145" s="8" t="str">
        <f>IFERROR(VLOOKUP(VLOOKUP(A1145,'[1]Sales Order'!A:C,3,FALSE),[1]Employee!A:E,5,FALSE)&amp;" "&amp;VLOOKUP(VLOOKUP(A1145,'[1]Sales Order'!A:C,3,FALSE),[1]Employee!A:C,3,FALSE)&amp;" "&amp;VLOOKUP(VLOOKUP(A1145,'[1]Sales Order'!A:C,3,FALSE),[1]Employee!A:B,2,FALSE),"Not Specified")</f>
        <v>Dr. Don Funk</v>
      </c>
      <c r="I1145" t="str">
        <f>IFERROR(VLOOKUP(VLOOKUP(A1145,'[1]Sales Order'!A:C,3,FALSE),[1]Employee!A:J,10,FALSE),"Not Specified")</f>
        <v>WA</v>
      </c>
      <c r="J1145" t="str">
        <f>VLOOKUP(B1145,[1]Product!A:B,2,FALSE)</f>
        <v>Product QSRXF</v>
      </c>
      <c r="K1145" t="str">
        <f>VLOOKUP(VLOOKUP(B1145,[1]Product!A:D,4,FALSE),[1]Category!A:B,2,FALSE)</f>
        <v>Grains/Cereals</v>
      </c>
      <c r="L1145" s="10">
        <f>IFERROR(VLOOKUP(A1145,'[1]Sales Order'!A:D,4,FALSE),"")</f>
        <v>39351</v>
      </c>
      <c r="M1145" s="10">
        <f>IFERROR(VLOOKUP(A1145,'[1]Sales Order'!A:F,6,FALSE),"")</f>
        <v>39356</v>
      </c>
      <c r="N1145" t="str">
        <f>IFERROR(VLOOKUP(VLOOKUP(A1145,'[1]Sales Order'!A:G,7,FALSE),[1]Shipper!A:B,2,FALSE),"Not Specified")</f>
        <v>Shipper GVSUA</v>
      </c>
      <c r="O1145" t="str">
        <f>IFERROR(VLOOKUP(A1145,'[1]Sales Order'!A:I,9,FALSE),"Not Specified")</f>
        <v>Destination FVRGC</v>
      </c>
      <c r="P1145" t="str">
        <f>IFERROR(VLOOKUP(A1145,'[1]Sales Order'!A:N,14,FALSE),"Not Specified")</f>
        <v>France</v>
      </c>
      <c r="Q1145" t="str">
        <f>VLOOKUP(VLOOKUP(B1145,[1]Product!A:C,3,FALSE),[1]Supplier!A:B,2,FALSE)</f>
        <v>Supplier JNNES</v>
      </c>
      <c r="R1145" t="str">
        <f>VLOOKUP(VLOOKUP(B1145,[1]Product!A:C,3,FALSE),[1]Supplier!A:I,9,FALSE)</f>
        <v>Australia</v>
      </c>
      <c r="S1145" t="str">
        <f>IFERROR(IF(VLOOKUP(A1145,'[1]Sales Order'!A:H,8,FALSE)&gt;100,"High Freight","Low Freight"),"Not Specified")</f>
        <v>Low Freight</v>
      </c>
      <c r="T1145">
        <f t="shared" si="35"/>
        <v>63</v>
      </c>
    </row>
    <row r="1146" spans="1:20">
      <c r="A1146" s="1">
        <v>10684</v>
      </c>
      <c r="B1146" s="2">
        <v>40</v>
      </c>
      <c r="C1146" s="2">
        <v>18.399999999999999</v>
      </c>
      <c r="D1146" s="2">
        <v>20</v>
      </c>
      <c r="E1146" s="3">
        <v>0</v>
      </c>
      <c r="F1146" s="2" t="str">
        <f>IFERROR(VLOOKUP(VLOOKUP(A1146,'[1]Sales Order'!A:B,2,FALSE),[1]Customer!A:C,3,FALSE),"Not Specified")</f>
        <v>Marinova, Nadejda</v>
      </c>
      <c r="G1146" s="2" t="str">
        <f t="shared" si="34"/>
        <v>Marinova Nadejda</v>
      </c>
      <c r="H1146" s="8" t="str">
        <f>IFERROR(VLOOKUP(VLOOKUP(A1146,'[1]Sales Order'!A:C,3,FALSE),[1]Employee!A:E,5,FALSE)&amp;" "&amp;VLOOKUP(VLOOKUP(A1146,'[1]Sales Order'!A:C,3,FALSE),[1]Employee!A:C,3,FALSE)&amp;" "&amp;VLOOKUP(VLOOKUP(A1146,'[1]Sales Order'!A:C,3,FALSE),[1]Employee!A:B,2,FALSE),"Not Specified")</f>
        <v>Ms. Judy Lew</v>
      </c>
      <c r="I1146" t="str">
        <f>IFERROR(VLOOKUP(VLOOKUP(A1146,'[1]Sales Order'!A:C,3,FALSE),[1]Employee!A:J,10,FALSE),"Not Specified")</f>
        <v>WA</v>
      </c>
      <c r="J1146" t="str">
        <f>VLOOKUP(B1146,[1]Product!A:B,2,FALSE)</f>
        <v>Product YZIXQ</v>
      </c>
      <c r="K1146" t="str">
        <f>VLOOKUP(VLOOKUP(B1146,[1]Product!A:D,4,FALSE),[1]Category!A:B,2,FALSE)</f>
        <v>Seafood</v>
      </c>
      <c r="L1146" s="10">
        <f>IFERROR(VLOOKUP(A1146,'[1]Sales Order'!A:D,4,FALSE),"")</f>
        <v>39351</v>
      </c>
      <c r="M1146" s="10">
        <f>IFERROR(VLOOKUP(A1146,'[1]Sales Order'!A:F,6,FALSE),"")</f>
        <v>39355</v>
      </c>
      <c r="N1146" t="str">
        <f>IFERROR(VLOOKUP(VLOOKUP(A1146,'[1]Sales Order'!A:G,7,FALSE),[1]Shipper!A:B,2,FALSE),"Not Specified")</f>
        <v>Shipper GVSUA</v>
      </c>
      <c r="O1146" t="str">
        <f>IFERROR(VLOOKUP(A1146,'[1]Sales Order'!A:I,9,FALSE),"Not Specified")</f>
        <v>Ship to 56-B</v>
      </c>
      <c r="P1146" t="str">
        <f>IFERROR(VLOOKUP(A1146,'[1]Sales Order'!A:N,14,FALSE),"Not Specified")</f>
        <v>Germany</v>
      </c>
      <c r="Q1146" t="str">
        <f>VLOOKUP(VLOOKUP(B1146,[1]Product!A:C,3,FALSE),[1]Supplier!A:B,2,FALSE)</f>
        <v>Supplier JDNUG</v>
      </c>
      <c r="R1146" t="str">
        <f>VLOOKUP(VLOOKUP(B1146,[1]Product!A:C,3,FALSE),[1]Supplier!A:I,9,FALSE)</f>
        <v>USA</v>
      </c>
      <c r="S1146" t="str">
        <f>IFERROR(IF(VLOOKUP(A1146,'[1]Sales Order'!A:H,8,FALSE)&gt;100,"High Freight","Low Freight"),"Not Specified")</f>
        <v>High Freight</v>
      </c>
      <c r="T1146">
        <f t="shared" si="35"/>
        <v>368</v>
      </c>
    </row>
    <row r="1147" spans="1:20">
      <c r="A1147" s="1">
        <v>10684</v>
      </c>
      <c r="B1147" s="2">
        <v>47</v>
      </c>
      <c r="C1147" s="2">
        <v>9.5</v>
      </c>
      <c r="D1147" s="2">
        <v>40</v>
      </c>
      <c r="E1147" s="3">
        <v>0</v>
      </c>
      <c r="F1147" s="2" t="str">
        <f>IFERROR(VLOOKUP(VLOOKUP(A1147,'[1]Sales Order'!A:B,2,FALSE),[1]Customer!A:C,3,FALSE),"Not Specified")</f>
        <v>Marinova, Nadejda</v>
      </c>
      <c r="G1147" s="2" t="str">
        <f t="shared" si="34"/>
        <v>Marinova Nadejda</v>
      </c>
      <c r="H1147" s="8" t="str">
        <f>IFERROR(VLOOKUP(VLOOKUP(A1147,'[1]Sales Order'!A:C,3,FALSE),[1]Employee!A:E,5,FALSE)&amp;" "&amp;VLOOKUP(VLOOKUP(A1147,'[1]Sales Order'!A:C,3,FALSE),[1]Employee!A:C,3,FALSE)&amp;" "&amp;VLOOKUP(VLOOKUP(A1147,'[1]Sales Order'!A:C,3,FALSE),[1]Employee!A:B,2,FALSE),"Not Specified")</f>
        <v>Ms. Judy Lew</v>
      </c>
      <c r="I1147" t="str">
        <f>IFERROR(VLOOKUP(VLOOKUP(A1147,'[1]Sales Order'!A:C,3,FALSE),[1]Employee!A:J,10,FALSE),"Not Specified")</f>
        <v>WA</v>
      </c>
      <c r="J1147" t="str">
        <f>VLOOKUP(B1147,[1]Product!A:B,2,FALSE)</f>
        <v>Product EZZPR</v>
      </c>
      <c r="K1147" t="str">
        <f>VLOOKUP(VLOOKUP(B1147,[1]Product!A:D,4,FALSE),[1]Category!A:B,2,FALSE)</f>
        <v>Confections</v>
      </c>
      <c r="L1147" s="10">
        <f>IFERROR(VLOOKUP(A1147,'[1]Sales Order'!A:D,4,FALSE),"")</f>
        <v>39351</v>
      </c>
      <c r="M1147" s="10">
        <f>IFERROR(VLOOKUP(A1147,'[1]Sales Order'!A:F,6,FALSE),"")</f>
        <v>39355</v>
      </c>
      <c r="N1147" t="str">
        <f>IFERROR(VLOOKUP(VLOOKUP(A1147,'[1]Sales Order'!A:G,7,FALSE),[1]Shipper!A:B,2,FALSE),"Not Specified")</f>
        <v>Shipper GVSUA</v>
      </c>
      <c r="O1147" t="str">
        <f>IFERROR(VLOOKUP(A1147,'[1]Sales Order'!A:I,9,FALSE),"Not Specified")</f>
        <v>Ship to 56-B</v>
      </c>
      <c r="P1147" t="str">
        <f>IFERROR(VLOOKUP(A1147,'[1]Sales Order'!A:N,14,FALSE),"Not Specified")</f>
        <v>Germany</v>
      </c>
      <c r="Q1147" t="str">
        <f>VLOOKUP(VLOOKUP(B1147,[1]Product!A:C,3,FALSE),[1]Supplier!A:B,2,FALSE)</f>
        <v>Supplier FNUXM</v>
      </c>
      <c r="R1147" t="str">
        <f>VLOOKUP(VLOOKUP(B1147,[1]Product!A:C,3,FALSE),[1]Supplier!A:I,9,FALSE)</f>
        <v>Netherlands</v>
      </c>
      <c r="S1147" t="str">
        <f>IFERROR(IF(VLOOKUP(A1147,'[1]Sales Order'!A:H,8,FALSE)&gt;100,"High Freight","Low Freight"),"Not Specified")</f>
        <v>High Freight</v>
      </c>
      <c r="T1147">
        <f t="shared" si="35"/>
        <v>380</v>
      </c>
    </row>
    <row r="1148" spans="1:20">
      <c r="A1148" s="1">
        <v>10684</v>
      </c>
      <c r="B1148" s="2">
        <v>60</v>
      </c>
      <c r="C1148" s="2">
        <v>34</v>
      </c>
      <c r="D1148" s="2">
        <v>30</v>
      </c>
      <c r="E1148" s="3">
        <v>0</v>
      </c>
      <c r="F1148" s="2" t="str">
        <f>IFERROR(VLOOKUP(VLOOKUP(A1148,'[1]Sales Order'!A:B,2,FALSE),[1]Customer!A:C,3,FALSE),"Not Specified")</f>
        <v>Marinova, Nadejda</v>
      </c>
      <c r="G1148" s="2" t="str">
        <f t="shared" si="34"/>
        <v>Marinova Nadejda</v>
      </c>
      <c r="H1148" s="8" t="str">
        <f>IFERROR(VLOOKUP(VLOOKUP(A1148,'[1]Sales Order'!A:C,3,FALSE),[1]Employee!A:E,5,FALSE)&amp;" "&amp;VLOOKUP(VLOOKUP(A1148,'[1]Sales Order'!A:C,3,FALSE),[1]Employee!A:C,3,FALSE)&amp;" "&amp;VLOOKUP(VLOOKUP(A1148,'[1]Sales Order'!A:C,3,FALSE),[1]Employee!A:B,2,FALSE),"Not Specified")</f>
        <v>Ms. Judy Lew</v>
      </c>
      <c r="I1148" t="str">
        <f>IFERROR(VLOOKUP(VLOOKUP(A1148,'[1]Sales Order'!A:C,3,FALSE),[1]Employee!A:J,10,FALSE),"Not Specified")</f>
        <v>WA</v>
      </c>
      <c r="J1148" t="str">
        <f>VLOOKUP(B1148,[1]Product!A:B,2,FALSE)</f>
        <v>Product WHBYK</v>
      </c>
      <c r="K1148" t="str">
        <f>VLOOKUP(VLOOKUP(B1148,[1]Product!A:D,4,FALSE),[1]Category!A:B,2,FALSE)</f>
        <v>Dairy Product</v>
      </c>
      <c r="L1148" s="10">
        <f>IFERROR(VLOOKUP(A1148,'[1]Sales Order'!A:D,4,FALSE),"")</f>
        <v>39351</v>
      </c>
      <c r="M1148" s="10">
        <f>IFERROR(VLOOKUP(A1148,'[1]Sales Order'!A:F,6,FALSE),"")</f>
        <v>39355</v>
      </c>
      <c r="N1148" t="str">
        <f>IFERROR(VLOOKUP(VLOOKUP(A1148,'[1]Sales Order'!A:G,7,FALSE),[1]Shipper!A:B,2,FALSE),"Not Specified")</f>
        <v>Shipper GVSUA</v>
      </c>
      <c r="O1148" t="str">
        <f>IFERROR(VLOOKUP(A1148,'[1]Sales Order'!A:I,9,FALSE),"Not Specified")</f>
        <v>Ship to 56-B</v>
      </c>
      <c r="P1148" t="str">
        <f>IFERROR(VLOOKUP(A1148,'[1]Sales Order'!A:N,14,FALSE),"Not Specified")</f>
        <v>Germany</v>
      </c>
      <c r="Q1148" t="str">
        <f>VLOOKUP(VLOOKUP(B1148,[1]Product!A:C,3,FALSE),[1]Supplier!A:B,2,FALSE)</f>
        <v>Supplier OAVQT</v>
      </c>
      <c r="R1148" t="str">
        <f>VLOOKUP(VLOOKUP(B1148,[1]Product!A:C,3,FALSE),[1]Supplier!A:I,9,FALSE)</f>
        <v>France</v>
      </c>
      <c r="S1148" t="str">
        <f>IFERROR(IF(VLOOKUP(A1148,'[1]Sales Order'!A:H,8,FALSE)&gt;100,"High Freight","Low Freight"),"Not Specified")</f>
        <v>High Freight</v>
      </c>
      <c r="T1148">
        <f t="shared" si="35"/>
        <v>1020</v>
      </c>
    </row>
    <row r="1149" spans="1:20">
      <c r="A1149" s="1">
        <v>10685</v>
      </c>
      <c r="B1149" s="2">
        <v>10</v>
      </c>
      <c r="C1149" s="2">
        <v>31</v>
      </c>
      <c r="D1149" s="2">
        <v>20</v>
      </c>
      <c r="E1149" s="3">
        <v>0</v>
      </c>
      <c r="F1149" s="2" t="str">
        <f>IFERROR(VLOOKUP(VLOOKUP(A1149,'[1]Sales Order'!A:B,2,FALSE),[1]Customer!A:C,3,FALSE),"Not Specified")</f>
        <v>Cheng, Yao-Qiang</v>
      </c>
      <c r="G1149" s="2" t="str">
        <f t="shared" si="34"/>
        <v>Cheng Yao-Qiang</v>
      </c>
      <c r="H1149" s="8" t="str">
        <f>IFERROR(VLOOKUP(VLOOKUP(A1149,'[1]Sales Order'!A:C,3,FALSE),[1]Employee!A:E,5,FALSE)&amp;" "&amp;VLOOKUP(VLOOKUP(A1149,'[1]Sales Order'!A:C,3,FALSE),[1]Employee!A:C,3,FALSE)&amp;" "&amp;VLOOKUP(VLOOKUP(A1149,'[1]Sales Order'!A:C,3,FALSE),[1]Employee!A:B,2,FALSE),"Not Specified")</f>
        <v>Mrs. Yael Peled</v>
      </c>
      <c r="I1149" t="str">
        <f>IFERROR(VLOOKUP(VLOOKUP(A1149,'[1]Sales Order'!A:C,3,FALSE),[1]Employee!A:J,10,FALSE),"Not Specified")</f>
        <v>WA</v>
      </c>
      <c r="J1149" t="str">
        <f>VLOOKUP(B1149,[1]Product!A:B,2,FALSE)</f>
        <v>Product YHXGE</v>
      </c>
      <c r="K1149" t="str">
        <f>VLOOKUP(VLOOKUP(B1149,[1]Product!A:D,4,FALSE),[1]Category!A:B,2,FALSE)</f>
        <v>Seafood</v>
      </c>
      <c r="L1149" s="10">
        <f>IFERROR(VLOOKUP(A1149,'[1]Sales Order'!A:D,4,FALSE),"")</f>
        <v>39354</v>
      </c>
      <c r="M1149" s="10">
        <f>IFERROR(VLOOKUP(A1149,'[1]Sales Order'!A:F,6,FALSE),"")</f>
        <v>39358</v>
      </c>
      <c r="N1149" t="str">
        <f>IFERROR(VLOOKUP(VLOOKUP(A1149,'[1]Sales Order'!A:G,7,FALSE),[1]Shipper!A:B,2,FALSE),"Not Specified")</f>
        <v>Shipper ETYNR</v>
      </c>
      <c r="O1149" t="str">
        <f>IFERROR(VLOOKUP(A1149,'[1]Sales Order'!A:I,9,FALSE),"Not Specified")</f>
        <v>Destination VNIAG</v>
      </c>
      <c r="P1149" t="str">
        <f>IFERROR(VLOOKUP(A1149,'[1]Sales Order'!A:N,14,FALSE),"Not Specified")</f>
        <v>Brazil</v>
      </c>
      <c r="Q1149" t="str">
        <f>VLOOKUP(VLOOKUP(B1149,[1]Product!A:C,3,FALSE),[1]Supplier!A:B,2,FALSE)</f>
        <v>Supplier QOVFD</v>
      </c>
      <c r="R1149" t="str">
        <f>VLOOKUP(VLOOKUP(B1149,[1]Product!A:C,3,FALSE),[1]Supplier!A:I,9,FALSE)</f>
        <v>Japan</v>
      </c>
      <c r="S1149" t="str">
        <f>IFERROR(IF(VLOOKUP(A1149,'[1]Sales Order'!A:H,8,FALSE)&gt;100,"High Freight","Low Freight"),"Not Specified")</f>
        <v>Low Freight</v>
      </c>
      <c r="T1149">
        <f t="shared" si="35"/>
        <v>620</v>
      </c>
    </row>
    <row r="1150" spans="1:20">
      <c r="A1150" s="1">
        <v>10685</v>
      </c>
      <c r="B1150" s="2">
        <v>41</v>
      </c>
      <c r="C1150" s="2">
        <v>9.65</v>
      </c>
      <c r="D1150" s="2">
        <v>4</v>
      </c>
      <c r="E1150" s="3">
        <v>0</v>
      </c>
      <c r="F1150" s="2" t="str">
        <f>IFERROR(VLOOKUP(VLOOKUP(A1150,'[1]Sales Order'!A:B,2,FALSE),[1]Customer!A:C,3,FALSE),"Not Specified")</f>
        <v>Cheng, Yao-Qiang</v>
      </c>
      <c r="G1150" s="2" t="str">
        <f t="shared" si="34"/>
        <v>Cheng Yao-Qiang</v>
      </c>
      <c r="H1150" s="8" t="str">
        <f>IFERROR(VLOOKUP(VLOOKUP(A1150,'[1]Sales Order'!A:C,3,FALSE),[1]Employee!A:E,5,FALSE)&amp;" "&amp;VLOOKUP(VLOOKUP(A1150,'[1]Sales Order'!A:C,3,FALSE),[1]Employee!A:C,3,FALSE)&amp;" "&amp;VLOOKUP(VLOOKUP(A1150,'[1]Sales Order'!A:C,3,FALSE),[1]Employee!A:B,2,FALSE),"Not Specified")</f>
        <v>Mrs. Yael Peled</v>
      </c>
      <c r="I1150" t="str">
        <f>IFERROR(VLOOKUP(VLOOKUP(A1150,'[1]Sales Order'!A:C,3,FALSE),[1]Employee!A:J,10,FALSE),"Not Specified")</f>
        <v>WA</v>
      </c>
      <c r="J1150" t="str">
        <f>VLOOKUP(B1150,[1]Product!A:B,2,FALSE)</f>
        <v>Product TTEEX</v>
      </c>
      <c r="K1150" t="str">
        <f>VLOOKUP(VLOOKUP(B1150,[1]Product!A:D,4,FALSE),[1]Category!A:B,2,FALSE)</f>
        <v>Seafood</v>
      </c>
      <c r="L1150" s="10">
        <f>IFERROR(VLOOKUP(A1150,'[1]Sales Order'!A:D,4,FALSE),"")</f>
        <v>39354</v>
      </c>
      <c r="M1150" s="10">
        <f>IFERROR(VLOOKUP(A1150,'[1]Sales Order'!A:F,6,FALSE),"")</f>
        <v>39358</v>
      </c>
      <c r="N1150" t="str">
        <f>IFERROR(VLOOKUP(VLOOKUP(A1150,'[1]Sales Order'!A:G,7,FALSE),[1]Shipper!A:B,2,FALSE),"Not Specified")</f>
        <v>Shipper ETYNR</v>
      </c>
      <c r="O1150" t="str">
        <f>IFERROR(VLOOKUP(A1150,'[1]Sales Order'!A:I,9,FALSE),"Not Specified")</f>
        <v>Destination VNIAG</v>
      </c>
      <c r="P1150" t="str">
        <f>IFERROR(VLOOKUP(A1150,'[1]Sales Order'!A:N,14,FALSE),"Not Specified")</f>
        <v>Brazil</v>
      </c>
      <c r="Q1150" t="str">
        <f>VLOOKUP(VLOOKUP(B1150,[1]Product!A:C,3,FALSE),[1]Supplier!A:B,2,FALSE)</f>
        <v>Supplier JDNUG</v>
      </c>
      <c r="R1150" t="str">
        <f>VLOOKUP(VLOOKUP(B1150,[1]Product!A:C,3,FALSE),[1]Supplier!A:I,9,FALSE)</f>
        <v>USA</v>
      </c>
      <c r="S1150" t="str">
        <f>IFERROR(IF(VLOOKUP(A1150,'[1]Sales Order'!A:H,8,FALSE)&gt;100,"High Freight","Low Freight"),"Not Specified")</f>
        <v>Low Freight</v>
      </c>
      <c r="T1150">
        <f t="shared" si="35"/>
        <v>38.6</v>
      </c>
    </row>
    <row r="1151" spans="1:20">
      <c r="A1151" s="1">
        <v>10685</v>
      </c>
      <c r="B1151" s="2">
        <v>47</v>
      </c>
      <c r="C1151" s="2">
        <v>9.5</v>
      </c>
      <c r="D1151" s="2">
        <v>15</v>
      </c>
      <c r="E1151" s="3">
        <v>0</v>
      </c>
      <c r="F1151" s="2" t="str">
        <f>IFERROR(VLOOKUP(VLOOKUP(A1151,'[1]Sales Order'!A:B,2,FALSE),[1]Customer!A:C,3,FALSE),"Not Specified")</f>
        <v>Cheng, Yao-Qiang</v>
      </c>
      <c r="G1151" s="2" t="str">
        <f t="shared" si="34"/>
        <v>Cheng Yao-Qiang</v>
      </c>
      <c r="H1151" s="8" t="str">
        <f>IFERROR(VLOOKUP(VLOOKUP(A1151,'[1]Sales Order'!A:C,3,FALSE),[1]Employee!A:E,5,FALSE)&amp;" "&amp;VLOOKUP(VLOOKUP(A1151,'[1]Sales Order'!A:C,3,FALSE),[1]Employee!A:C,3,FALSE)&amp;" "&amp;VLOOKUP(VLOOKUP(A1151,'[1]Sales Order'!A:C,3,FALSE),[1]Employee!A:B,2,FALSE),"Not Specified")</f>
        <v>Mrs. Yael Peled</v>
      </c>
      <c r="I1151" t="str">
        <f>IFERROR(VLOOKUP(VLOOKUP(A1151,'[1]Sales Order'!A:C,3,FALSE),[1]Employee!A:J,10,FALSE),"Not Specified")</f>
        <v>WA</v>
      </c>
      <c r="J1151" t="str">
        <f>VLOOKUP(B1151,[1]Product!A:B,2,FALSE)</f>
        <v>Product EZZPR</v>
      </c>
      <c r="K1151" t="str">
        <f>VLOOKUP(VLOOKUP(B1151,[1]Product!A:D,4,FALSE),[1]Category!A:B,2,FALSE)</f>
        <v>Confections</v>
      </c>
      <c r="L1151" s="10">
        <f>IFERROR(VLOOKUP(A1151,'[1]Sales Order'!A:D,4,FALSE),"")</f>
        <v>39354</v>
      </c>
      <c r="M1151" s="10">
        <f>IFERROR(VLOOKUP(A1151,'[1]Sales Order'!A:F,6,FALSE),"")</f>
        <v>39358</v>
      </c>
      <c r="N1151" t="str">
        <f>IFERROR(VLOOKUP(VLOOKUP(A1151,'[1]Sales Order'!A:G,7,FALSE),[1]Shipper!A:B,2,FALSE),"Not Specified")</f>
        <v>Shipper ETYNR</v>
      </c>
      <c r="O1151" t="str">
        <f>IFERROR(VLOOKUP(A1151,'[1]Sales Order'!A:I,9,FALSE),"Not Specified")</f>
        <v>Destination VNIAG</v>
      </c>
      <c r="P1151" t="str">
        <f>IFERROR(VLOOKUP(A1151,'[1]Sales Order'!A:N,14,FALSE),"Not Specified")</f>
        <v>Brazil</v>
      </c>
      <c r="Q1151" t="str">
        <f>VLOOKUP(VLOOKUP(B1151,[1]Product!A:C,3,FALSE),[1]Supplier!A:B,2,FALSE)</f>
        <v>Supplier FNUXM</v>
      </c>
      <c r="R1151" t="str">
        <f>VLOOKUP(VLOOKUP(B1151,[1]Product!A:C,3,FALSE),[1]Supplier!A:I,9,FALSE)</f>
        <v>Netherlands</v>
      </c>
      <c r="S1151" t="str">
        <f>IFERROR(IF(VLOOKUP(A1151,'[1]Sales Order'!A:H,8,FALSE)&gt;100,"High Freight","Low Freight"),"Not Specified")</f>
        <v>Low Freight</v>
      </c>
      <c r="T1151">
        <f t="shared" si="35"/>
        <v>142.5</v>
      </c>
    </row>
    <row r="1152" spans="1:20">
      <c r="A1152" s="1">
        <v>10686</v>
      </c>
      <c r="B1152" s="2">
        <v>17</v>
      </c>
      <c r="C1152" s="2">
        <v>39</v>
      </c>
      <c r="D1152" s="2">
        <v>30</v>
      </c>
      <c r="E1152" s="3">
        <v>0.2</v>
      </c>
      <c r="F1152" s="2" t="str">
        <f>IFERROR(VLOOKUP(VLOOKUP(A1152,'[1]Sales Order'!A:B,2,FALSE),[1]Customer!A:C,3,FALSE),"Not Specified")</f>
        <v>Meston, Tosh</v>
      </c>
      <c r="G1152" s="2" t="str">
        <f t="shared" si="34"/>
        <v>Meston Tosh</v>
      </c>
      <c r="H1152" s="8" t="str">
        <f>IFERROR(VLOOKUP(VLOOKUP(A1152,'[1]Sales Order'!A:C,3,FALSE),[1]Employee!A:E,5,FALSE)&amp;" "&amp;VLOOKUP(VLOOKUP(A1152,'[1]Sales Order'!A:C,3,FALSE),[1]Employee!A:C,3,FALSE)&amp;" "&amp;VLOOKUP(VLOOKUP(A1152,'[1]Sales Order'!A:C,3,FALSE),[1]Employee!A:B,2,FALSE),"Not Specified")</f>
        <v>Dr. Don Funk</v>
      </c>
      <c r="I1152" t="str">
        <f>IFERROR(VLOOKUP(VLOOKUP(A1152,'[1]Sales Order'!A:C,3,FALSE),[1]Employee!A:J,10,FALSE),"Not Specified")</f>
        <v>WA</v>
      </c>
      <c r="J1152" t="str">
        <f>VLOOKUP(B1152,[1]Product!A:B,2,FALSE)</f>
        <v>Product BLCAX</v>
      </c>
      <c r="K1152" t="str">
        <f>VLOOKUP(VLOOKUP(B1152,[1]Product!A:D,4,FALSE),[1]Category!A:B,2,FALSE)</f>
        <v>Meat/Poultry</v>
      </c>
      <c r="L1152" s="10">
        <f>IFERROR(VLOOKUP(A1152,'[1]Sales Order'!A:D,4,FALSE),"")</f>
        <v>39355</v>
      </c>
      <c r="M1152" s="10">
        <f>IFERROR(VLOOKUP(A1152,'[1]Sales Order'!A:F,6,FALSE),"")</f>
        <v>39363</v>
      </c>
      <c r="N1152" t="str">
        <f>IFERROR(VLOOKUP(VLOOKUP(A1152,'[1]Sales Order'!A:G,7,FALSE),[1]Shipper!A:B,2,FALSE),"Not Specified")</f>
        <v>Shipper GVSUA</v>
      </c>
      <c r="O1152" t="str">
        <f>IFERROR(VLOOKUP(A1152,'[1]Sales Order'!A:I,9,FALSE),"Not Specified")</f>
        <v>Ship to 59-B</v>
      </c>
      <c r="P1152" t="str">
        <f>IFERROR(VLOOKUP(A1152,'[1]Sales Order'!A:N,14,FALSE),"Not Specified")</f>
        <v>Austria</v>
      </c>
      <c r="Q1152" t="str">
        <f>VLOOKUP(VLOOKUP(B1152,[1]Product!A:C,3,FALSE),[1]Supplier!A:B,2,FALSE)</f>
        <v>Supplier GQRCV</v>
      </c>
      <c r="R1152" t="str">
        <f>VLOOKUP(VLOOKUP(B1152,[1]Product!A:C,3,FALSE),[1]Supplier!A:I,9,FALSE)</f>
        <v>Australia</v>
      </c>
      <c r="S1152" t="str">
        <f>IFERROR(IF(VLOOKUP(A1152,'[1]Sales Order'!A:H,8,FALSE)&gt;100,"High Freight","Low Freight"),"Not Specified")</f>
        <v>Low Freight</v>
      </c>
      <c r="T1152">
        <f t="shared" si="35"/>
        <v>936</v>
      </c>
    </row>
    <row r="1153" spans="1:20">
      <c r="A1153" s="1">
        <v>10686</v>
      </c>
      <c r="B1153" s="2">
        <v>26</v>
      </c>
      <c r="C1153" s="2">
        <v>31.23</v>
      </c>
      <c r="D1153" s="2">
        <v>15</v>
      </c>
      <c r="E1153" s="3">
        <v>0</v>
      </c>
      <c r="F1153" s="2" t="str">
        <f>IFERROR(VLOOKUP(VLOOKUP(A1153,'[1]Sales Order'!A:B,2,FALSE),[1]Customer!A:C,3,FALSE),"Not Specified")</f>
        <v>Meston, Tosh</v>
      </c>
      <c r="G1153" s="2" t="str">
        <f t="shared" si="34"/>
        <v>Meston Tosh</v>
      </c>
      <c r="H1153" s="8" t="str">
        <f>IFERROR(VLOOKUP(VLOOKUP(A1153,'[1]Sales Order'!A:C,3,FALSE),[1]Employee!A:E,5,FALSE)&amp;" "&amp;VLOOKUP(VLOOKUP(A1153,'[1]Sales Order'!A:C,3,FALSE),[1]Employee!A:C,3,FALSE)&amp;" "&amp;VLOOKUP(VLOOKUP(A1153,'[1]Sales Order'!A:C,3,FALSE),[1]Employee!A:B,2,FALSE),"Not Specified")</f>
        <v>Dr. Don Funk</v>
      </c>
      <c r="I1153" t="str">
        <f>IFERROR(VLOOKUP(VLOOKUP(A1153,'[1]Sales Order'!A:C,3,FALSE),[1]Employee!A:J,10,FALSE),"Not Specified")</f>
        <v>WA</v>
      </c>
      <c r="J1153" t="str">
        <f>VLOOKUP(B1153,[1]Product!A:B,2,FALSE)</f>
        <v>Product HLGZA</v>
      </c>
      <c r="K1153" t="str">
        <f>VLOOKUP(VLOOKUP(B1153,[1]Product!A:D,4,FALSE),[1]Category!A:B,2,FALSE)</f>
        <v>Confections</v>
      </c>
      <c r="L1153" s="10">
        <f>IFERROR(VLOOKUP(A1153,'[1]Sales Order'!A:D,4,FALSE),"")</f>
        <v>39355</v>
      </c>
      <c r="M1153" s="10">
        <f>IFERROR(VLOOKUP(A1153,'[1]Sales Order'!A:F,6,FALSE),"")</f>
        <v>39363</v>
      </c>
      <c r="N1153" t="str">
        <f>IFERROR(VLOOKUP(VLOOKUP(A1153,'[1]Sales Order'!A:G,7,FALSE),[1]Shipper!A:B,2,FALSE),"Not Specified")</f>
        <v>Shipper GVSUA</v>
      </c>
      <c r="O1153" t="str">
        <f>IFERROR(VLOOKUP(A1153,'[1]Sales Order'!A:I,9,FALSE),"Not Specified")</f>
        <v>Ship to 59-B</v>
      </c>
      <c r="P1153" t="str">
        <f>IFERROR(VLOOKUP(A1153,'[1]Sales Order'!A:N,14,FALSE),"Not Specified")</f>
        <v>Austria</v>
      </c>
      <c r="Q1153" t="str">
        <f>VLOOKUP(VLOOKUP(B1153,[1]Product!A:C,3,FALSE),[1]Supplier!A:B,2,FALSE)</f>
        <v>Supplier ZPYVS</v>
      </c>
      <c r="R1153" t="str">
        <f>VLOOKUP(VLOOKUP(B1153,[1]Product!A:C,3,FALSE),[1]Supplier!A:I,9,FALSE)</f>
        <v>Germany</v>
      </c>
      <c r="S1153" t="str">
        <f>IFERROR(IF(VLOOKUP(A1153,'[1]Sales Order'!A:H,8,FALSE)&gt;100,"High Freight","Low Freight"),"Not Specified")</f>
        <v>Low Freight</v>
      </c>
      <c r="T1153">
        <f t="shared" si="35"/>
        <v>468.45</v>
      </c>
    </row>
    <row r="1154" spans="1:20">
      <c r="A1154" s="1">
        <v>10687</v>
      </c>
      <c r="B1154" s="2">
        <v>9</v>
      </c>
      <c r="C1154" s="2">
        <v>97</v>
      </c>
      <c r="D1154" s="2">
        <v>50</v>
      </c>
      <c r="E1154" s="3">
        <v>0.25</v>
      </c>
      <c r="F1154" s="2" t="str">
        <f>IFERROR(VLOOKUP(VLOOKUP(A1154,'[1]Sales Order'!A:B,2,FALSE),[1]Customer!A:C,3,FALSE),"Not Specified")</f>
        <v>Crăciun, Ovidiu V.</v>
      </c>
      <c r="G1154" s="2" t="str">
        <f t="shared" si="34"/>
        <v>Crăciun Ovidiu V.</v>
      </c>
      <c r="H1154" s="8" t="str">
        <f>IFERROR(VLOOKUP(VLOOKUP(A1154,'[1]Sales Order'!A:C,3,FALSE),[1]Employee!A:E,5,FALSE)&amp;" "&amp;VLOOKUP(VLOOKUP(A1154,'[1]Sales Order'!A:C,3,FALSE),[1]Employee!A:C,3,FALSE)&amp;" "&amp;VLOOKUP(VLOOKUP(A1154,'[1]Sales Order'!A:C,3,FALSE),[1]Employee!A:B,2,FALSE),"Not Specified")</f>
        <v>Ms. Zoya Dolgopyatova</v>
      </c>
      <c r="I1154">
        <f>IFERROR(VLOOKUP(VLOOKUP(A1154,'[1]Sales Order'!A:C,3,FALSE),[1]Employee!A:J,10,FALSE),"Not Specified")</f>
        <v>0</v>
      </c>
      <c r="J1154" t="str">
        <f>VLOOKUP(B1154,[1]Product!A:B,2,FALSE)</f>
        <v>Product AOZBW</v>
      </c>
      <c r="K1154" t="str">
        <f>VLOOKUP(VLOOKUP(B1154,[1]Product!A:D,4,FALSE),[1]Category!A:B,2,FALSE)</f>
        <v>Meat/Poultry</v>
      </c>
      <c r="L1154" s="10">
        <f>IFERROR(VLOOKUP(A1154,'[1]Sales Order'!A:D,4,FALSE),"")</f>
        <v>39355</v>
      </c>
      <c r="M1154" s="10">
        <f>IFERROR(VLOOKUP(A1154,'[1]Sales Order'!A:F,6,FALSE),"")</f>
        <v>39385</v>
      </c>
      <c r="N1154" t="str">
        <f>IFERROR(VLOOKUP(VLOOKUP(A1154,'[1]Sales Order'!A:G,7,FALSE),[1]Shipper!A:B,2,FALSE),"Not Specified")</f>
        <v>Shipper ETYNR</v>
      </c>
      <c r="O1154" t="str">
        <f>IFERROR(VLOOKUP(A1154,'[1]Sales Order'!A:I,9,FALSE),"Not Specified")</f>
        <v>Destination KPVYJ</v>
      </c>
      <c r="P1154" t="str">
        <f>IFERROR(VLOOKUP(A1154,'[1]Sales Order'!A:N,14,FALSE),"Not Specified")</f>
        <v>Ireland</v>
      </c>
      <c r="Q1154" t="str">
        <f>VLOOKUP(VLOOKUP(B1154,[1]Product!A:C,3,FALSE),[1]Supplier!A:B,2,FALSE)</f>
        <v>Supplier QOVFD</v>
      </c>
      <c r="R1154" t="str">
        <f>VLOOKUP(VLOOKUP(B1154,[1]Product!A:C,3,FALSE),[1]Supplier!A:I,9,FALSE)</f>
        <v>Japan</v>
      </c>
      <c r="S1154" t="str">
        <f>IFERROR(IF(VLOOKUP(A1154,'[1]Sales Order'!A:H,8,FALSE)&gt;100,"High Freight","Low Freight"),"Not Specified")</f>
        <v>High Freight</v>
      </c>
      <c r="T1154">
        <f t="shared" si="35"/>
        <v>3637.5</v>
      </c>
    </row>
    <row r="1155" spans="1:20">
      <c r="A1155" s="1">
        <v>10687</v>
      </c>
      <c r="B1155" s="2">
        <v>29</v>
      </c>
      <c r="C1155" s="2">
        <v>123.79</v>
      </c>
      <c r="D1155" s="2">
        <v>10</v>
      </c>
      <c r="E1155" s="3">
        <v>0</v>
      </c>
      <c r="F1155" s="2" t="str">
        <f>IFERROR(VLOOKUP(VLOOKUP(A1155,'[1]Sales Order'!A:B,2,FALSE),[1]Customer!A:C,3,FALSE),"Not Specified")</f>
        <v>Crăciun, Ovidiu V.</v>
      </c>
      <c r="G1155" s="2" t="str">
        <f t="shared" ref="G1155:G1218" si="36">SUBSTITUTE(F1155,",","",1)</f>
        <v>Crăciun Ovidiu V.</v>
      </c>
      <c r="H1155" s="8" t="str">
        <f>IFERROR(VLOOKUP(VLOOKUP(A1155,'[1]Sales Order'!A:C,3,FALSE),[1]Employee!A:E,5,FALSE)&amp;" "&amp;VLOOKUP(VLOOKUP(A1155,'[1]Sales Order'!A:C,3,FALSE),[1]Employee!A:C,3,FALSE)&amp;" "&amp;VLOOKUP(VLOOKUP(A1155,'[1]Sales Order'!A:C,3,FALSE),[1]Employee!A:B,2,FALSE),"Not Specified")</f>
        <v>Ms. Zoya Dolgopyatova</v>
      </c>
      <c r="I1155">
        <f>IFERROR(VLOOKUP(VLOOKUP(A1155,'[1]Sales Order'!A:C,3,FALSE),[1]Employee!A:J,10,FALSE),"Not Specified")</f>
        <v>0</v>
      </c>
      <c r="J1155" t="str">
        <f>VLOOKUP(B1155,[1]Product!A:B,2,FALSE)</f>
        <v>Product VJXYN</v>
      </c>
      <c r="K1155" t="str">
        <f>VLOOKUP(VLOOKUP(B1155,[1]Product!A:D,4,FALSE),[1]Category!A:B,2,FALSE)</f>
        <v>Meat/Poultry</v>
      </c>
      <c r="L1155" s="10">
        <f>IFERROR(VLOOKUP(A1155,'[1]Sales Order'!A:D,4,FALSE),"")</f>
        <v>39355</v>
      </c>
      <c r="M1155" s="10">
        <f>IFERROR(VLOOKUP(A1155,'[1]Sales Order'!A:F,6,FALSE),"")</f>
        <v>39385</v>
      </c>
      <c r="N1155" t="str">
        <f>IFERROR(VLOOKUP(VLOOKUP(A1155,'[1]Sales Order'!A:G,7,FALSE),[1]Shipper!A:B,2,FALSE),"Not Specified")</f>
        <v>Shipper ETYNR</v>
      </c>
      <c r="O1155" t="str">
        <f>IFERROR(VLOOKUP(A1155,'[1]Sales Order'!A:I,9,FALSE),"Not Specified")</f>
        <v>Destination KPVYJ</v>
      </c>
      <c r="P1155" t="str">
        <f>IFERROR(VLOOKUP(A1155,'[1]Sales Order'!A:N,14,FALSE),"Not Specified")</f>
        <v>Ireland</v>
      </c>
      <c r="Q1155" t="str">
        <f>VLOOKUP(VLOOKUP(B1155,[1]Product!A:C,3,FALSE),[1]Supplier!A:B,2,FALSE)</f>
        <v>Supplier SVIYA</v>
      </c>
      <c r="R1155" t="str">
        <f>VLOOKUP(VLOOKUP(B1155,[1]Product!A:C,3,FALSE),[1]Supplier!A:I,9,FALSE)</f>
        <v>Germany</v>
      </c>
      <c r="S1155" t="str">
        <f>IFERROR(IF(VLOOKUP(A1155,'[1]Sales Order'!A:H,8,FALSE)&gt;100,"High Freight","Low Freight"),"Not Specified")</f>
        <v>High Freight</v>
      </c>
      <c r="T1155">
        <f t="shared" ref="T1155:T1218" si="37">C1155*D1155*(1-E1155)</f>
        <v>1237.9000000000001</v>
      </c>
    </row>
    <row r="1156" spans="1:20">
      <c r="A1156" s="1">
        <v>10687</v>
      </c>
      <c r="B1156" s="2">
        <v>36</v>
      </c>
      <c r="C1156" s="2">
        <v>19</v>
      </c>
      <c r="D1156" s="2">
        <v>6</v>
      </c>
      <c r="E1156" s="3">
        <v>0.25</v>
      </c>
      <c r="F1156" s="2" t="str">
        <f>IFERROR(VLOOKUP(VLOOKUP(A1156,'[1]Sales Order'!A:B,2,FALSE),[1]Customer!A:C,3,FALSE),"Not Specified")</f>
        <v>Crăciun, Ovidiu V.</v>
      </c>
      <c r="G1156" s="2" t="str">
        <f t="shared" si="36"/>
        <v>Crăciun Ovidiu V.</v>
      </c>
      <c r="H1156" s="8" t="str">
        <f>IFERROR(VLOOKUP(VLOOKUP(A1156,'[1]Sales Order'!A:C,3,FALSE),[1]Employee!A:E,5,FALSE)&amp;" "&amp;VLOOKUP(VLOOKUP(A1156,'[1]Sales Order'!A:C,3,FALSE),[1]Employee!A:C,3,FALSE)&amp;" "&amp;VLOOKUP(VLOOKUP(A1156,'[1]Sales Order'!A:C,3,FALSE),[1]Employee!A:B,2,FALSE),"Not Specified")</f>
        <v>Ms. Zoya Dolgopyatova</v>
      </c>
      <c r="I1156">
        <f>IFERROR(VLOOKUP(VLOOKUP(A1156,'[1]Sales Order'!A:C,3,FALSE),[1]Employee!A:J,10,FALSE),"Not Specified")</f>
        <v>0</v>
      </c>
      <c r="J1156" t="str">
        <f>VLOOKUP(B1156,[1]Product!A:B,2,FALSE)</f>
        <v>Product GMKIJ</v>
      </c>
      <c r="K1156" t="str">
        <f>VLOOKUP(VLOOKUP(B1156,[1]Product!A:D,4,FALSE),[1]Category!A:B,2,FALSE)</f>
        <v>Seafood</v>
      </c>
      <c r="L1156" s="10">
        <f>IFERROR(VLOOKUP(A1156,'[1]Sales Order'!A:D,4,FALSE),"")</f>
        <v>39355</v>
      </c>
      <c r="M1156" s="10">
        <f>IFERROR(VLOOKUP(A1156,'[1]Sales Order'!A:F,6,FALSE),"")</f>
        <v>39385</v>
      </c>
      <c r="N1156" t="str">
        <f>IFERROR(VLOOKUP(VLOOKUP(A1156,'[1]Sales Order'!A:G,7,FALSE),[1]Shipper!A:B,2,FALSE),"Not Specified")</f>
        <v>Shipper ETYNR</v>
      </c>
      <c r="O1156" t="str">
        <f>IFERROR(VLOOKUP(A1156,'[1]Sales Order'!A:I,9,FALSE),"Not Specified")</f>
        <v>Destination KPVYJ</v>
      </c>
      <c r="P1156" t="str">
        <f>IFERROR(VLOOKUP(A1156,'[1]Sales Order'!A:N,14,FALSE),"Not Specified")</f>
        <v>Ireland</v>
      </c>
      <c r="Q1156" t="str">
        <f>VLOOKUP(VLOOKUP(B1156,[1]Product!A:C,3,FALSE),[1]Supplier!A:B,2,FALSE)</f>
        <v>Supplier QZGUF</v>
      </c>
      <c r="R1156" t="str">
        <f>VLOOKUP(VLOOKUP(B1156,[1]Product!A:C,3,FALSE),[1]Supplier!A:I,9,FALSE)</f>
        <v>Sweden</v>
      </c>
      <c r="S1156" t="str">
        <f>IFERROR(IF(VLOOKUP(A1156,'[1]Sales Order'!A:H,8,FALSE)&gt;100,"High Freight","Low Freight"),"Not Specified")</f>
        <v>High Freight</v>
      </c>
      <c r="T1156">
        <f t="shared" si="37"/>
        <v>85.5</v>
      </c>
    </row>
    <row r="1157" spans="1:20">
      <c r="A1157" s="1">
        <v>10688</v>
      </c>
      <c r="B1157" s="2">
        <v>10</v>
      </c>
      <c r="C1157" s="2">
        <v>31</v>
      </c>
      <c r="D1157" s="2">
        <v>18</v>
      </c>
      <c r="E1157" s="3">
        <v>0.1</v>
      </c>
      <c r="F1157" s="2" t="str">
        <f>IFERROR(VLOOKUP(VLOOKUP(A1157,'[1]Sales Order'!A:B,2,FALSE),[1]Customer!A:C,3,FALSE),"Not Specified")</f>
        <v>Fonteneau, Karl</v>
      </c>
      <c r="G1157" s="2" t="str">
        <f t="shared" si="36"/>
        <v>Fonteneau Karl</v>
      </c>
      <c r="H1157" s="8" t="str">
        <f>IFERROR(VLOOKUP(VLOOKUP(A1157,'[1]Sales Order'!A:C,3,FALSE),[1]Employee!A:E,5,FALSE)&amp;" "&amp;VLOOKUP(VLOOKUP(A1157,'[1]Sales Order'!A:C,3,FALSE),[1]Employee!A:C,3,FALSE)&amp;" "&amp;VLOOKUP(VLOOKUP(A1157,'[1]Sales Order'!A:C,3,FALSE),[1]Employee!A:B,2,FALSE),"Not Specified")</f>
        <v>Mrs. Yael Peled</v>
      </c>
      <c r="I1157" t="str">
        <f>IFERROR(VLOOKUP(VLOOKUP(A1157,'[1]Sales Order'!A:C,3,FALSE),[1]Employee!A:J,10,FALSE),"Not Specified")</f>
        <v>WA</v>
      </c>
      <c r="J1157" t="str">
        <f>VLOOKUP(B1157,[1]Product!A:B,2,FALSE)</f>
        <v>Product YHXGE</v>
      </c>
      <c r="K1157" t="str">
        <f>VLOOKUP(VLOOKUP(B1157,[1]Product!A:D,4,FALSE),[1]Category!A:B,2,FALSE)</f>
        <v>Seafood</v>
      </c>
      <c r="L1157" s="10">
        <f>IFERROR(VLOOKUP(A1157,'[1]Sales Order'!A:D,4,FALSE),"")</f>
        <v>39356</v>
      </c>
      <c r="M1157" s="10">
        <f>IFERROR(VLOOKUP(A1157,'[1]Sales Order'!A:F,6,FALSE),"")</f>
        <v>39362</v>
      </c>
      <c r="N1157" t="str">
        <f>IFERROR(VLOOKUP(VLOOKUP(A1157,'[1]Sales Order'!A:G,7,FALSE),[1]Shipper!A:B,2,FALSE),"Not Specified")</f>
        <v>Shipper ETYNR</v>
      </c>
      <c r="O1157" t="str">
        <f>IFERROR(VLOOKUP(A1157,'[1]Sales Order'!A:I,9,FALSE),"Not Specified")</f>
        <v>Ship to 83-A</v>
      </c>
      <c r="P1157" t="str">
        <f>IFERROR(VLOOKUP(A1157,'[1]Sales Order'!A:N,14,FALSE),"Not Specified")</f>
        <v>Denmark</v>
      </c>
      <c r="Q1157" t="str">
        <f>VLOOKUP(VLOOKUP(B1157,[1]Product!A:C,3,FALSE),[1]Supplier!A:B,2,FALSE)</f>
        <v>Supplier QOVFD</v>
      </c>
      <c r="R1157" t="str">
        <f>VLOOKUP(VLOOKUP(B1157,[1]Product!A:C,3,FALSE),[1]Supplier!A:I,9,FALSE)</f>
        <v>Japan</v>
      </c>
      <c r="S1157" t="str">
        <f>IFERROR(IF(VLOOKUP(A1157,'[1]Sales Order'!A:H,8,FALSE)&gt;100,"High Freight","Low Freight"),"Not Specified")</f>
        <v>High Freight</v>
      </c>
      <c r="T1157">
        <f t="shared" si="37"/>
        <v>502.2</v>
      </c>
    </row>
    <row r="1158" spans="1:20">
      <c r="A1158" s="1">
        <v>10688</v>
      </c>
      <c r="B1158" s="2">
        <v>28</v>
      </c>
      <c r="C1158" s="2">
        <v>45.6</v>
      </c>
      <c r="D1158" s="2">
        <v>60</v>
      </c>
      <c r="E1158" s="3">
        <v>0.1</v>
      </c>
      <c r="F1158" s="2" t="str">
        <f>IFERROR(VLOOKUP(VLOOKUP(A1158,'[1]Sales Order'!A:B,2,FALSE),[1]Customer!A:C,3,FALSE),"Not Specified")</f>
        <v>Fonteneau, Karl</v>
      </c>
      <c r="G1158" s="2" t="str">
        <f t="shared" si="36"/>
        <v>Fonteneau Karl</v>
      </c>
      <c r="H1158" s="8" t="str">
        <f>IFERROR(VLOOKUP(VLOOKUP(A1158,'[1]Sales Order'!A:C,3,FALSE),[1]Employee!A:E,5,FALSE)&amp;" "&amp;VLOOKUP(VLOOKUP(A1158,'[1]Sales Order'!A:C,3,FALSE),[1]Employee!A:C,3,FALSE)&amp;" "&amp;VLOOKUP(VLOOKUP(A1158,'[1]Sales Order'!A:C,3,FALSE),[1]Employee!A:B,2,FALSE),"Not Specified")</f>
        <v>Mrs. Yael Peled</v>
      </c>
      <c r="I1158" t="str">
        <f>IFERROR(VLOOKUP(VLOOKUP(A1158,'[1]Sales Order'!A:C,3,FALSE),[1]Employee!A:J,10,FALSE),"Not Specified")</f>
        <v>WA</v>
      </c>
      <c r="J1158" t="str">
        <f>VLOOKUP(B1158,[1]Product!A:B,2,FALSE)</f>
        <v>Product OFBNT</v>
      </c>
      <c r="K1158" t="str">
        <f>VLOOKUP(VLOOKUP(B1158,[1]Product!A:D,4,FALSE),[1]Category!A:B,2,FALSE)</f>
        <v>Produce</v>
      </c>
      <c r="L1158" s="10">
        <f>IFERROR(VLOOKUP(A1158,'[1]Sales Order'!A:D,4,FALSE),"")</f>
        <v>39356</v>
      </c>
      <c r="M1158" s="10">
        <f>IFERROR(VLOOKUP(A1158,'[1]Sales Order'!A:F,6,FALSE),"")</f>
        <v>39362</v>
      </c>
      <c r="N1158" t="str">
        <f>IFERROR(VLOOKUP(VLOOKUP(A1158,'[1]Sales Order'!A:G,7,FALSE),[1]Shipper!A:B,2,FALSE),"Not Specified")</f>
        <v>Shipper ETYNR</v>
      </c>
      <c r="O1158" t="str">
        <f>IFERROR(VLOOKUP(A1158,'[1]Sales Order'!A:I,9,FALSE),"Not Specified")</f>
        <v>Ship to 83-A</v>
      </c>
      <c r="P1158" t="str">
        <f>IFERROR(VLOOKUP(A1158,'[1]Sales Order'!A:N,14,FALSE),"Not Specified")</f>
        <v>Denmark</v>
      </c>
      <c r="Q1158" t="str">
        <f>VLOOKUP(VLOOKUP(B1158,[1]Product!A:C,3,FALSE),[1]Supplier!A:B,2,FALSE)</f>
        <v>Supplier SVIYA</v>
      </c>
      <c r="R1158" t="str">
        <f>VLOOKUP(VLOOKUP(B1158,[1]Product!A:C,3,FALSE),[1]Supplier!A:I,9,FALSE)</f>
        <v>Germany</v>
      </c>
      <c r="S1158" t="str">
        <f>IFERROR(IF(VLOOKUP(A1158,'[1]Sales Order'!A:H,8,FALSE)&gt;100,"High Freight","Low Freight"),"Not Specified")</f>
        <v>High Freight</v>
      </c>
      <c r="T1158">
        <f t="shared" si="37"/>
        <v>2462.4</v>
      </c>
    </row>
    <row r="1159" spans="1:20">
      <c r="A1159" s="1">
        <v>10688</v>
      </c>
      <c r="B1159" s="2">
        <v>34</v>
      </c>
      <c r="C1159" s="2">
        <v>14</v>
      </c>
      <c r="D1159" s="2">
        <v>14</v>
      </c>
      <c r="E1159" s="3">
        <v>0</v>
      </c>
      <c r="F1159" s="2" t="str">
        <f>IFERROR(VLOOKUP(VLOOKUP(A1159,'[1]Sales Order'!A:B,2,FALSE),[1]Customer!A:C,3,FALSE),"Not Specified")</f>
        <v>Fonteneau, Karl</v>
      </c>
      <c r="G1159" s="2" t="str">
        <f t="shared" si="36"/>
        <v>Fonteneau Karl</v>
      </c>
      <c r="H1159" s="8" t="str">
        <f>IFERROR(VLOOKUP(VLOOKUP(A1159,'[1]Sales Order'!A:C,3,FALSE),[1]Employee!A:E,5,FALSE)&amp;" "&amp;VLOOKUP(VLOOKUP(A1159,'[1]Sales Order'!A:C,3,FALSE),[1]Employee!A:C,3,FALSE)&amp;" "&amp;VLOOKUP(VLOOKUP(A1159,'[1]Sales Order'!A:C,3,FALSE),[1]Employee!A:B,2,FALSE),"Not Specified")</f>
        <v>Mrs. Yael Peled</v>
      </c>
      <c r="I1159" t="str">
        <f>IFERROR(VLOOKUP(VLOOKUP(A1159,'[1]Sales Order'!A:C,3,FALSE),[1]Employee!A:J,10,FALSE),"Not Specified")</f>
        <v>WA</v>
      </c>
      <c r="J1159" t="str">
        <f>VLOOKUP(B1159,[1]Product!A:B,2,FALSE)</f>
        <v>Product SWNJY</v>
      </c>
      <c r="K1159" t="str">
        <f>VLOOKUP(VLOOKUP(B1159,[1]Product!A:D,4,FALSE),[1]Category!A:B,2,FALSE)</f>
        <v>Beverages</v>
      </c>
      <c r="L1159" s="10">
        <f>IFERROR(VLOOKUP(A1159,'[1]Sales Order'!A:D,4,FALSE),"")</f>
        <v>39356</v>
      </c>
      <c r="M1159" s="10">
        <f>IFERROR(VLOOKUP(A1159,'[1]Sales Order'!A:F,6,FALSE),"")</f>
        <v>39362</v>
      </c>
      <c r="N1159" t="str">
        <f>IFERROR(VLOOKUP(VLOOKUP(A1159,'[1]Sales Order'!A:G,7,FALSE),[1]Shipper!A:B,2,FALSE),"Not Specified")</f>
        <v>Shipper ETYNR</v>
      </c>
      <c r="O1159" t="str">
        <f>IFERROR(VLOOKUP(A1159,'[1]Sales Order'!A:I,9,FALSE),"Not Specified")</f>
        <v>Ship to 83-A</v>
      </c>
      <c r="P1159" t="str">
        <f>IFERROR(VLOOKUP(A1159,'[1]Sales Order'!A:N,14,FALSE),"Not Specified")</f>
        <v>Denmark</v>
      </c>
      <c r="Q1159" t="str">
        <f>VLOOKUP(VLOOKUP(B1159,[1]Product!A:C,3,FALSE),[1]Supplier!A:B,2,FALSE)</f>
        <v>Supplier UHZRG</v>
      </c>
      <c r="R1159" t="str">
        <f>VLOOKUP(VLOOKUP(B1159,[1]Product!A:C,3,FALSE),[1]Supplier!A:I,9,FALSE)</f>
        <v>USA</v>
      </c>
      <c r="S1159" t="str">
        <f>IFERROR(IF(VLOOKUP(A1159,'[1]Sales Order'!A:H,8,FALSE)&gt;100,"High Freight","Low Freight"),"Not Specified")</f>
        <v>High Freight</v>
      </c>
      <c r="T1159">
        <f t="shared" si="37"/>
        <v>196</v>
      </c>
    </row>
    <row r="1160" spans="1:20">
      <c r="A1160" s="1">
        <v>10689</v>
      </c>
      <c r="B1160" s="2">
        <v>1</v>
      </c>
      <c r="C1160" s="2">
        <v>18</v>
      </c>
      <c r="D1160" s="2">
        <v>35</v>
      </c>
      <c r="E1160" s="3">
        <v>0.25</v>
      </c>
      <c r="F1160" s="2" t="str">
        <f>IFERROR(VLOOKUP(VLOOKUP(A1160,'[1]Sales Order'!A:B,2,FALSE),[1]Customer!A:C,3,FALSE),"Not Specified")</f>
        <v>Higginbotham, Tom</v>
      </c>
      <c r="G1160" s="2" t="str">
        <f t="shared" si="36"/>
        <v>Higginbotham Tom</v>
      </c>
      <c r="H1160" s="8" t="str">
        <f>IFERROR(VLOOKUP(VLOOKUP(A1160,'[1]Sales Order'!A:C,3,FALSE),[1]Employee!A:E,5,FALSE)&amp;" "&amp;VLOOKUP(VLOOKUP(A1160,'[1]Sales Order'!A:C,3,FALSE),[1]Employee!A:C,3,FALSE)&amp;" "&amp;VLOOKUP(VLOOKUP(A1160,'[1]Sales Order'!A:C,3,FALSE),[1]Employee!A:B,2,FALSE),"Not Specified")</f>
        <v>Ms. Sara Davis</v>
      </c>
      <c r="I1160" t="str">
        <f>IFERROR(VLOOKUP(VLOOKUP(A1160,'[1]Sales Order'!A:C,3,FALSE),[1]Employee!A:J,10,FALSE),"Not Specified")</f>
        <v>WA</v>
      </c>
      <c r="J1160" t="str">
        <f>VLOOKUP(B1160,[1]Product!A:B,2,FALSE)</f>
        <v>Product HHYDP</v>
      </c>
      <c r="K1160" t="str">
        <f>VLOOKUP(VLOOKUP(B1160,[1]Product!A:D,4,FALSE),[1]Category!A:B,2,FALSE)</f>
        <v>Beverages</v>
      </c>
      <c r="L1160" s="10">
        <f>IFERROR(VLOOKUP(A1160,'[1]Sales Order'!A:D,4,FALSE),"")</f>
        <v>39356</v>
      </c>
      <c r="M1160" s="10">
        <f>IFERROR(VLOOKUP(A1160,'[1]Sales Order'!A:F,6,FALSE),"")</f>
        <v>39362</v>
      </c>
      <c r="N1160" t="str">
        <f>IFERROR(VLOOKUP(VLOOKUP(A1160,'[1]Sales Order'!A:G,7,FALSE),[1]Shipper!A:B,2,FALSE),"Not Specified")</f>
        <v>Shipper ETYNR</v>
      </c>
      <c r="O1160" t="str">
        <f>IFERROR(VLOOKUP(A1160,'[1]Sales Order'!A:I,9,FALSE),"Not Specified")</f>
        <v>Ship to 5-B</v>
      </c>
      <c r="P1160" t="str">
        <f>IFERROR(VLOOKUP(A1160,'[1]Sales Order'!A:N,14,FALSE),"Not Specified")</f>
        <v>Sweden</v>
      </c>
      <c r="Q1160" t="str">
        <f>VLOOKUP(VLOOKUP(B1160,[1]Product!A:C,3,FALSE),[1]Supplier!A:B,2,FALSE)</f>
        <v>Supplier SWRXU</v>
      </c>
      <c r="R1160" t="str">
        <f>VLOOKUP(VLOOKUP(B1160,[1]Product!A:C,3,FALSE),[1]Supplier!A:I,9,FALSE)</f>
        <v>UK</v>
      </c>
      <c r="S1160" t="str">
        <f>IFERROR(IF(VLOOKUP(A1160,'[1]Sales Order'!A:H,8,FALSE)&gt;100,"High Freight","Low Freight"),"Not Specified")</f>
        <v>Low Freight</v>
      </c>
      <c r="T1160">
        <f t="shared" si="37"/>
        <v>472.5</v>
      </c>
    </row>
    <row r="1161" spans="1:20">
      <c r="A1161" s="1">
        <v>10690</v>
      </c>
      <c r="B1161" s="2">
        <v>56</v>
      </c>
      <c r="C1161" s="2">
        <v>38</v>
      </c>
      <c r="D1161" s="2">
        <v>20</v>
      </c>
      <c r="E1161" s="3">
        <v>0.25</v>
      </c>
      <c r="F1161" s="2" t="str">
        <f>IFERROR(VLOOKUP(VLOOKUP(A1161,'[1]Sales Order'!A:B,2,FALSE),[1]Customer!A:C,3,FALSE),"Not Specified")</f>
        <v>Cohen, Shy</v>
      </c>
      <c r="G1161" s="2" t="str">
        <f t="shared" si="36"/>
        <v>Cohen Shy</v>
      </c>
      <c r="H1161" s="8" t="str">
        <f>IFERROR(VLOOKUP(VLOOKUP(A1161,'[1]Sales Order'!A:C,3,FALSE),[1]Employee!A:E,5,FALSE)&amp;" "&amp;VLOOKUP(VLOOKUP(A1161,'[1]Sales Order'!A:C,3,FALSE),[1]Employee!A:C,3,FALSE)&amp;" "&amp;VLOOKUP(VLOOKUP(A1161,'[1]Sales Order'!A:C,3,FALSE),[1]Employee!A:B,2,FALSE),"Not Specified")</f>
        <v>Ms. Sara Davis</v>
      </c>
      <c r="I1161" t="str">
        <f>IFERROR(VLOOKUP(VLOOKUP(A1161,'[1]Sales Order'!A:C,3,FALSE),[1]Employee!A:J,10,FALSE),"Not Specified")</f>
        <v>WA</v>
      </c>
      <c r="J1161" t="str">
        <f>VLOOKUP(B1161,[1]Product!A:B,2,FALSE)</f>
        <v>Product VKCMF</v>
      </c>
      <c r="K1161" t="str">
        <f>VLOOKUP(VLOOKUP(B1161,[1]Product!A:D,4,FALSE),[1]Category!A:B,2,FALSE)</f>
        <v>Grains/Cereals</v>
      </c>
      <c r="L1161" s="10">
        <f>IFERROR(VLOOKUP(A1161,'[1]Sales Order'!A:D,4,FALSE),"")</f>
        <v>39357</v>
      </c>
      <c r="M1161" s="10">
        <f>IFERROR(VLOOKUP(A1161,'[1]Sales Order'!A:F,6,FALSE),"")</f>
        <v>39358</v>
      </c>
      <c r="N1161" t="str">
        <f>IFERROR(VLOOKUP(VLOOKUP(A1161,'[1]Sales Order'!A:G,7,FALSE),[1]Shipper!A:B,2,FALSE),"Not Specified")</f>
        <v>Shipper GVSUA</v>
      </c>
      <c r="O1161" t="str">
        <f>IFERROR(VLOOKUP(A1161,'[1]Sales Order'!A:I,9,FALSE),"Not Specified")</f>
        <v>Destination JPAIY</v>
      </c>
      <c r="P1161" t="str">
        <f>IFERROR(VLOOKUP(A1161,'[1]Sales Order'!A:N,14,FALSE),"Not Specified")</f>
        <v>Brazil</v>
      </c>
      <c r="Q1161" t="str">
        <f>VLOOKUP(VLOOKUP(B1161,[1]Product!A:C,3,FALSE),[1]Supplier!A:B,2,FALSE)</f>
        <v>Supplier ZWZDM</v>
      </c>
      <c r="R1161" t="str">
        <f>VLOOKUP(VLOOKUP(B1161,[1]Product!A:C,3,FALSE),[1]Supplier!A:I,9,FALSE)</f>
        <v>Italy</v>
      </c>
      <c r="S1161" t="str">
        <f>IFERROR(IF(VLOOKUP(A1161,'[1]Sales Order'!A:H,8,FALSE)&gt;100,"High Freight","Low Freight"),"Not Specified")</f>
        <v>Low Freight</v>
      </c>
      <c r="T1161">
        <f t="shared" si="37"/>
        <v>570</v>
      </c>
    </row>
    <row r="1162" spans="1:20">
      <c r="A1162" s="1">
        <v>10690</v>
      </c>
      <c r="B1162" s="2">
        <v>77</v>
      </c>
      <c r="C1162" s="2">
        <v>13</v>
      </c>
      <c r="D1162" s="2">
        <v>30</v>
      </c>
      <c r="E1162" s="3">
        <v>0.25</v>
      </c>
      <c r="F1162" s="2" t="str">
        <f>IFERROR(VLOOKUP(VLOOKUP(A1162,'[1]Sales Order'!A:B,2,FALSE),[1]Customer!A:C,3,FALSE),"Not Specified")</f>
        <v>Cohen, Shy</v>
      </c>
      <c r="G1162" s="2" t="str">
        <f t="shared" si="36"/>
        <v>Cohen Shy</v>
      </c>
      <c r="H1162" s="8" t="str">
        <f>IFERROR(VLOOKUP(VLOOKUP(A1162,'[1]Sales Order'!A:C,3,FALSE),[1]Employee!A:E,5,FALSE)&amp;" "&amp;VLOOKUP(VLOOKUP(A1162,'[1]Sales Order'!A:C,3,FALSE),[1]Employee!A:C,3,FALSE)&amp;" "&amp;VLOOKUP(VLOOKUP(A1162,'[1]Sales Order'!A:C,3,FALSE),[1]Employee!A:B,2,FALSE),"Not Specified")</f>
        <v>Ms. Sara Davis</v>
      </c>
      <c r="I1162" t="str">
        <f>IFERROR(VLOOKUP(VLOOKUP(A1162,'[1]Sales Order'!A:C,3,FALSE),[1]Employee!A:J,10,FALSE),"Not Specified")</f>
        <v>WA</v>
      </c>
      <c r="J1162" t="str">
        <f>VLOOKUP(B1162,[1]Product!A:B,2,FALSE)</f>
        <v>Product LUNZZ</v>
      </c>
      <c r="K1162" t="str">
        <f>VLOOKUP(VLOOKUP(B1162,[1]Product!A:D,4,FALSE),[1]Category!A:B,2,FALSE)</f>
        <v>Condiments</v>
      </c>
      <c r="L1162" s="10">
        <f>IFERROR(VLOOKUP(A1162,'[1]Sales Order'!A:D,4,FALSE),"")</f>
        <v>39357</v>
      </c>
      <c r="M1162" s="10">
        <f>IFERROR(VLOOKUP(A1162,'[1]Sales Order'!A:F,6,FALSE),"")</f>
        <v>39358</v>
      </c>
      <c r="N1162" t="str">
        <f>IFERROR(VLOOKUP(VLOOKUP(A1162,'[1]Sales Order'!A:G,7,FALSE),[1]Shipper!A:B,2,FALSE),"Not Specified")</f>
        <v>Shipper GVSUA</v>
      </c>
      <c r="O1162" t="str">
        <f>IFERROR(VLOOKUP(A1162,'[1]Sales Order'!A:I,9,FALSE),"Not Specified")</f>
        <v>Destination JPAIY</v>
      </c>
      <c r="P1162" t="str">
        <f>IFERROR(VLOOKUP(A1162,'[1]Sales Order'!A:N,14,FALSE),"Not Specified")</f>
        <v>Brazil</v>
      </c>
      <c r="Q1162" t="str">
        <f>VLOOKUP(VLOOKUP(B1162,[1]Product!A:C,3,FALSE),[1]Supplier!A:B,2,FALSE)</f>
        <v>Supplier SVIYA</v>
      </c>
      <c r="R1162" t="str">
        <f>VLOOKUP(VLOOKUP(B1162,[1]Product!A:C,3,FALSE),[1]Supplier!A:I,9,FALSE)</f>
        <v>Germany</v>
      </c>
      <c r="S1162" t="str">
        <f>IFERROR(IF(VLOOKUP(A1162,'[1]Sales Order'!A:H,8,FALSE)&gt;100,"High Freight","Low Freight"),"Not Specified")</f>
        <v>Low Freight</v>
      </c>
      <c r="T1162">
        <f t="shared" si="37"/>
        <v>292.5</v>
      </c>
    </row>
    <row r="1163" spans="1:20">
      <c r="A1163" s="1">
        <v>10691</v>
      </c>
      <c r="B1163" s="2">
        <v>1</v>
      </c>
      <c r="C1163" s="2">
        <v>18</v>
      </c>
      <c r="D1163" s="2">
        <v>30</v>
      </c>
      <c r="E1163" s="3">
        <v>0</v>
      </c>
      <c r="F1163" s="2" t="str">
        <f>IFERROR(VLOOKUP(VLOOKUP(A1163,'[1]Sales Order'!A:B,2,FALSE),[1]Customer!A:C,3,FALSE),"Not Specified")</f>
        <v>Veronesi, Giorgio</v>
      </c>
      <c r="G1163" s="2" t="str">
        <f t="shared" si="36"/>
        <v>Veronesi Giorgio</v>
      </c>
      <c r="H1163" s="8" t="str">
        <f>IFERROR(VLOOKUP(VLOOKUP(A1163,'[1]Sales Order'!A:C,3,FALSE),[1]Employee!A:E,5,FALSE)&amp;" "&amp;VLOOKUP(VLOOKUP(A1163,'[1]Sales Order'!A:C,3,FALSE),[1]Employee!A:C,3,FALSE)&amp;" "&amp;VLOOKUP(VLOOKUP(A1163,'[1]Sales Order'!A:C,3,FALSE),[1]Employee!A:B,2,FALSE),"Not Specified")</f>
        <v>Dr. Don Funk</v>
      </c>
      <c r="I1163" t="str">
        <f>IFERROR(VLOOKUP(VLOOKUP(A1163,'[1]Sales Order'!A:C,3,FALSE),[1]Employee!A:J,10,FALSE),"Not Specified")</f>
        <v>WA</v>
      </c>
      <c r="J1163" t="str">
        <f>VLOOKUP(B1163,[1]Product!A:B,2,FALSE)</f>
        <v>Product HHYDP</v>
      </c>
      <c r="K1163" t="str">
        <f>VLOOKUP(VLOOKUP(B1163,[1]Product!A:D,4,FALSE),[1]Category!A:B,2,FALSE)</f>
        <v>Beverages</v>
      </c>
      <c r="L1163" s="10">
        <f>IFERROR(VLOOKUP(A1163,'[1]Sales Order'!A:D,4,FALSE),"")</f>
        <v>39358</v>
      </c>
      <c r="M1163" s="10">
        <f>IFERROR(VLOOKUP(A1163,'[1]Sales Order'!A:F,6,FALSE),"")</f>
        <v>39377</v>
      </c>
      <c r="N1163" t="str">
        <f>IFERROR(VLOOKUP(VLOOKUP(A1163,'[1]Sales Order'!A:G,7,FALSE),[1]Shipper!A:B,2,FALSE),"Not Specified")</f>
        <v>Shipper ETYNR</v>
      </c>
      <c r="O1163" t="str">
        <f>IFERROR(VLOOKUP(A1163,'[1]Sales Order'!A:I,9,FALSE),"Not Specified")</f>
        <v>Ship to 63-B</v>
      </c>
      <c r="P1163" t="str">
        <f>IFERROR(VLOOKUP(A1163,'[1]Sales Order'!A:N,14,FALSE),"Not Specified")</f>
        <v>Germany</v>
      </c>
      <c r="Q1163" t="str">
        <f>VLOOKUP(VLOOKUP(B1163,[1]Product!A:C,3,FALSE),[1]Supplier!A:B,2,FALSE)</f>
        <v>Supplier SWRXU</v>
      </c>
      <c r="R1163" t="str">
        <f>VLOOKUP(VLOOKUP(B1163,[1]Product!A:C,3,FALSE),[1]Supplier!A:I,9,FALSE)</f>
        <v>UK</v>
      </c>
      <c r="S1163" t="str">
        <f>IFERROR(IF(VLOOKUP(A1163,'[1]Sales Order'!A:H,8,FALSE)&gt;100,"High Freight","Low Freight"),"Not Specified")</f>
        <v>High Freight</v>
      </c>
      <c r="T1163">
        <f t="shared" si="37"/>
        <v>540</v>
      </c>
    </row>
    <row r="1164" spans="1:20">
      <c r="A1164" s="1">
        <v>10691</v>
      </c>
      <c r="B1164" s="2">
        <v>29</v>
      </c>
      <c r="C1164" s="2">
        <v>123.79</v>
      </c>
      <c r="D1164" s="2">
        <v>40</v>
      </c>
      <c r="E1164" s="3">
        <v>0</v>
      </c>
      <c r="F1164" s="2" t="str">
        <f>IFERROR(VLOOKUP(VLOOKUP(A1164,'[1]Sales Order'!A:B,2,FALSE),[1]Customer!A:C,3,FALSE),"Not Specified")</f>
        <v>Veronesi, Giorgio</v>
      </c>
      <c r="G1164" s="2" t="str">
        <f t="shared" si="36"/>
        <v>Veronesi Giorgio</v>
      </c>
      <c r="H1164" s="8" t="str">
        <f>IFERROR(VLOOKUP(VLOOKUP(A1164,'[1]Sales Order'!A:C,3,FALSE),[1]Employee!A:E,5,FALSE)&amp;" "&amp;VLOOKUP(VLOOKUP(A1164,'[1]Sales Order'!A:C,3,FALSE),[1]Employee!A:C,3,FALSE)&amp;" "&amp;VLOOKUP(VLOOKUP(A1164,'[1]Sales Order'!A:C,3,FALSE),[1]Employee!A:B,2,FALSE),"Not Specified")</f>
        <v>Dr. Don Funk</v>
      </c>
      <c r="I1164" t="str">
        <f>IFERROR(VLOOKUP(VLOOKUP(A1164,'[1]Sales Order'!A:C,3,FALSE),[1]Employee!A:J,10,FALSE),"Not Specified")</f>
        <v>WA</v>
      </c>
      <c r="J1164" t="str">
        <f>VLOOKUP(B1164,[1]Product!A:B,2,FALSE)</f>
        <v>Product VJXYN</v>
      </c>
      <c r="K1164" t="str">
        <f>VLOOKUP(VLOOKUP(B1164,[1]Product!A:D,4,FALSE),[1]Category!A:B,2,FALSE)</f>
        <v>Meat/Poultry</v>
      </c>
      <c r="L1164" s="10">
        <f>IFERROR(VLOOKUP(A1164,'[1]Sales Order'!A:D,4,FALSE),"")</f>
        <v>39358</v>
      </c>
      <c r="M1164" s="10">
        <f>IFERROR(VLOOKUP(A1164,'[1]Sales Order'!A:F,6,FALSE),"")</f>
        <v>39377</v>
      </c>
      <c r="N1164" t="str">
        <f>IFERROR(VLOOKUP(VLOOKUP(A1164,'[1]Sales Order'!A:G,7,FALSE),[1]Shipper!A:B,2,FALSE),"Not Specified")</f>
        <v>Shipper ETYNR</v>
      </c>
      <c r="O1164" t="str">
        <f>IFERROR(VLOOKUP(A1164,'[1]Sales Order'!A:I,9,FALSE),"Not Specified")</f>
        <v>Ship to 63-B</v>
      </c>
      <c r="P1164" t="str">
        <f>IFERROR(VLOOKUP(A1164,'[1]Sales Order'!A:N,14,FALSE),"Not Specified")</f>
        <v>Germany</v>
      </c>
      <c r="Q1164" t="str">
        <f>VLOOKUP(VLOOKUP(B1164,[1]Product!A:C,3,FALSE),[1]Supplier!A:B,2,FALSE)</f>
        <v>Supplier SVIYA</v>
      </c>
      <c r="R1164" t="str">
        <f>VLOOKUP(VLOOKUP(B1164,[1]Product!A:C,3,FALSE),[1]Supplier!A:I,9,FALSE)</f>
        <v>Germany</v>
      </c>
      <c r="S1164" t="str">
        <f>IFERROR(IF(VLOOKUP(A1164,'[1]Sales Order'!A:H,8,FALSE)&gt;100,"High Freight","Low Freight"),"Not Specified")</f>
        <v>High Freight</v>
      </c>
      <c r="T1164">
        <f t="shared" si="37"/>
        <v>4951.6000000000004</v>
      </c>
    </row>
    <row r="1165" spans="1:20">
      <c r="A1165" s="1">
        <v>10691</v>
      </c>
      <c r="B1165" s="2">
        <v>43</v>
      </c>
      <c r="C1165" s="2">
        <v>46</v>
      </c>
      <c r="D1165" s="2">
        <v>40</v>
      </c>
      <c r="E1165" s="3">
        <v>0</v>
      </c>
      <c r="F1165" s="2" t="str">
        <f>IFERROR(VLOOKUP(VLOOKUP(A1165,'[1]Sales Order'!A:B,2,FALSE),[1]Customer!A:C,3,FALSE),"Not Specified")</f>
        <v>Veronesi, Giorgio</v>
      </c>
      <c r="G1165" s="2" t="str">
        <f t="shared" si="36"/>
        <v>Veronesi Giorgio</v>
      </c>
      <c r="H1165" s="8" t="str">
        <f>IFERROR(VLOOKUP(VLOOKUP(A1165,'[1]Sales Order'!A:C,3,FALSE),[1]Employee!A:E,5,FALSE)&amp;" "&amp;VLOOKUP(VLOOKUP(A1165,'[1]Sales Order'!A:C,3,FALSE),[1]Employee!A:C,3,FALSE)&amp;" "&amp;VLOOKUP(VLOOKUP(A1165,'[1]Sales Order'!A:C,3,FALSE),[1]Employee!A:B,2,FALSE),"Not Specified")</f>
        <v>Dr. Don Funk</v>
      </c>
      <c r="I1165" t="str">
        <f>IFERROR(VLOOKUP(VLOOKUP(A1165,'[1]Sales Order'!A:C,3,FALSE),[1]Employee!A:J,10,FALSE),"Not Specified")</f>
        <v>WA</v>
      </c>
      <c r="J1165" t="str">
        <f>VLOOKUP(B1165,[1]Product!A:B,2,FALSE)</f>
        <v>Product ZZZHR</v>
      </c>
      <c r="K1165" t="str">
        <f>VLOOKUP(VLOOKUP(B1165,[1]Product!A:D,4,FALSE),[1]Category!A:B,2,FALSE)</f>
        <v>Beverages</v>
      </c>
      <c r="L1165" s="10">
        <f>IFERROR(VLOOKUP(A1165,'[1]Sales Order'!A:D,4,FALSE),"")</f>
        <v>39358</v>
      </c>
      <c r="M1165" s="10">
        <f>IFERROR(VLOOKUP(A1165,'[1]Sales Order'!A:F,6,FALSE),"")</f>
        <v>39377</v>
      </c>
      <c r="N1165" t="str">
        <f>IFERROR(VLOOKUP(VLOOKUP(A1165,'[1]Sales Order'!A:G,7,FALSE),[1]Shipper!A:B,2,FALSE),"Not Specified")</f>
        <v>Shipper ETYNR</v>
      </c>
      <c r="O1165" t="str">
        <f>IFERROR(VLOOKUP(A1165,'[1]Sales Order'!A:I,9,FALSE),"Not Specified")</f>
        <v>Ship to 63-B</v>
      </c>
      <c r="P1165" t="str">
        <f>IFERROR(VLOOKUP(A1165,'[1]Sales Order'!A:N,14,FALSE),"Not Specified")</f>
        <v>Germany</v>
      </c>
      <c r="Q1165" t="str">
        <f>VLOOKUP(VLOOKUP(B1165,[1]Product!A:C,3,FALSE),[1]Supplier!A:B,2,FALSE)</f>
        <v>Supplier CIYNM</v>
      </c>
      <c r="R1165" t="str">
        <f>VLOOKUP(VLOOKUP(B1165,[1]Product!A:C,3,FALSE),[1]Supplier!A:I,9,FALSE)</f>
        <v>Singapore</v>
      </c>
      <c r="S1165" t="str">
        <f>IFERROR(IF(VLOOKUP(A1165,'[1]Sales Order'!A:H,8,FALSE)&gt;100,"High Freight","Low Freight"),"Not Specified")</f>
        <v>High Freight</v>
      </c>
      <c r="T1165">
        <f t="shared" si="37"/>
        <v>1840</v>
      </c>
    </row>
    <row r="1166" spans="1:20">
      <c r="A1166" s="1">
        <v>10691</v>
      </c>
      <c r="B1166" s="2">
        <v>44</v>
      </c>
      <c r="C1166" s="2">
        <v>19.45</v>
      </c>
      <c r="D1166" s="2">
        <v>24</v>
      </c>
      <c r="E1166" s="3">
        <v>0</v>
      </c>
      <c r="F1166" s="2" t="str">
        <f>IFERROR(VLOOKUP(VLOOKUP(A1166,'[1]Sales Order'!A:B,2,FALSE),[1]Customer!A:C,3,FALSE),"Not Specified")</f>
        <v>Veronesi, Giorgio</v>
      </c>
      <c r="G1166" s="2" t="str">
        <f t="shared" si="36"/>
        <v>Veronesi Giorgio</v>
      </c>
      <c r="H1166" s="8" t="str">
        <f>IFERROR(VLOOKUP(VLOOKUP(A1166,'[1]Sales Order'!A:C,3,FALSE),[1]Employee!A:E,5,FALSE)&amp;" "&amp;VLOOKUP(VLOOKUP(A1166,'[1]Sales Order'!A:C,3,FALSE),[1]Employee!A:C,3,FALSE)&amp;" "&amp;VLOOKUP(VLOOKUP(A1166,'[1]Sales Order'!A:C,3,FALSE),[1]Employee!A:B,2,FALSE),"Not Specified")</f>
        <v>Dr. Don Funk</v>
      </c>
      <c r="I1166" t="str">
        <f>IFERROR(VLOOKUP(VLOOKUP(A1166,'[1]Sales Order'!A:C,3,FALSE),[1]Employee!A:J,10,FALSE),"Not Specified")</f>
        <v>WA</v>
      </c>
      <c r="J1166" t="str">
        <f>VLOOKUP(B1166,[1]Product!A:B,2,FALSE)</f>
        <v>Product VJIEO</v>
      </c>
      <c r="K1166" t="str">
        <f>VLOOKUP(VLOOKUP(B1166,[1]Product!A:D,4,FALSE),[1]Category!A:B,2,FALSE)</f>
        <v>Condiments</v>
      </c>
      <c r="L1166" s="10">
        <f>IFERROR(VLOOKUP(A1166,'[1]Sales Order'!A:D,4,FALSE),"")</f>
        <v>39358</v>
      </c>
      <c r="M1166" s="10">
        <f>IFERROR(VLOOKUP(A1166,'[1]Sales Order'!A:F,6,FALSE),"")</f>
        <v>39377</v>
      </c>
      <c r="N1166" t="str">
        <f>IFERROR(VLOOKUP(VLOOKUP(A1166,'[1]Sales Order'!A:G,7,FALSE),[1]Shipper!A:B,2,FALSE),"Not Specified")</f>
        <v>Shipper ETYNR</v>
      </c>
      <c r="O1166" t="str">
        <f>IFERROR(VLOOKUP(A1166,'[1]Sales Order'!A:I,9,FALSE),"Not Specified")</f>
        <v>Ship to 63-B</v>
      </c>
      <c r="P1166" t="str">
        <f>IFERROR(VLOOKUP(A1166,'[1]Sales Order'!A:N,14,FALSE),"Not Specified")</f>
        <v>Germany</v>
      </c>
      <c r="Q1166" t="str">
        <f>VLOOKUP(VLOOKUP(B1166,[1]Product!A:C,3,FALSE),[1]Supplier!A:B,2,FALSE)</f>
        <v>Supplier CIYNM</v>
      </c>
      <c r="R1166" t="str">
        <f>VLOOKUP(VLOOKUP(B1166,[1]Product!A:C,3,FALSE),[1]Supplier!A:I,9,FALSE)</f>
        <v>Singapore</v>
      </c>
      <c r="S1166" t="str">
        <f>IFERROR(IF(VLOOKUP(A1166,'[1]Sales Order'!A:H,8,FALSE)&gt;100,"High Freight","Low Freight"),"Not Specified")</f>
        <v>High Freight</v>
      </c>
      <c r="T1166">
        <f t="shared" si="37"/>
        <v>466.79999999999995</v>
      </c>
    </row>
    <row r="1167" spans="1:20">
      <c r="A1167" s="1">
        <v>10691</v>
      </c>
      <c r="B1167" s="2">
        <v>62</v>
      </c>
      <c r="C1167" s="2">
        <v>49.3</v>
      </c>
      <c r="D1167" s="2">
        <v>48</v>
      </c>
      <c r="E1167" s="3">
        <v>0</v>
      </c>
      <c r="F1167" s="2" t="str">
        <f>IFERROR(VLOOKUP(VLOOKUP(A1167,'[1]Sales Order'!A:B,2,FALSE),[1]Customer!A:C,3,FALSE),"Not Specified")</f>
        <v>Veronesi, Giorgio</v>
      </c>
      <c r="G1167" s="2" t="str">
        <f t="shared" si="36"/>
        <v>Veronesi Giorgio</v>
      </c>
      <c r="H1167" s="8" t="str">
        <f>IFERROR(VLOOKUP(VLOOKUP(A1167,'[1]Sales Order'!A:C,3,FALSE),[1]Employee!A:E,5,FALSE)&amp;" "&amp;VLOOKUP(VLOOKUP(A1167,'[1]Sales Order'!A:C,3,FALSE),[1]Employee!A:C,3,FALSE)&amp;" "&amp;VLOOKUP(VLOOKUP(A1167,'[1]Sales Order'!A:C,3,FALSE),[1]Employee!A:B,2,FALSE),"Not Specified")</f>
        <v>Dr. Don Funk</v>
      </c>
      <c r="I1167" t="str">
        <f>IFERROR(VLOOKUP(VLOOKUP(A1167,'[1]Sales Order'!A:C,3,FALSE),[1]Employee!A:J,10,FALSE),"Not Specified")</f>
        <v>WA</v>
      </c>
      <c r="J1167" t="str">
        <f>VLOOKUP(B1167,[1]Product!A:B,2,FALSE)</f>
        <v>Product WUXYK</v>
      </c>
      <c r="K1167" t="str">
        <f>VLOOKUP(VLOOKUP(B1167,[1]Product!A:D,4,FALSE),[1]Category!A:B,2,FALSE)</f>
        <v>Confections</v>
      </c>
      <c r="L1167" s="10">
        <f>IFERROR(VLOOKUP(A1167,'[1]Sales Order'!A:D,4,FALSE),"")</f>
        <v>39358</v>
      </c>
      <c r="M1167" s="10">
        <f>IFERROR(VLOOKUP(A1167,'[1]Sales Order'!A:F,6,FALSE),"")</f>
        <v>39377</v>
      </c>
      <c r="N1167" t="str">
        <f>IFERROR(VLOOKUP(VLOOKUP(A1167,'[1]Sales Order'!A:G,7,FALSE),[1]Shipper!A:B,2,FALSE),"Not Specified")</f>
        <v>Shipper ETYNR</v>
      </c>
      <c r="O1167" t="str">
        <f>IFERROR(VLOOKUP(A1167,'[1]Sales Order'!A:I,9,FALSE),"Not Specified")</f>
        <v>Ship to 63-B</v>
      </c>
      <c r="P1167" t="str">
        <f>IFERROR(VLOOKUP(A1167,'[1]Sales Order'!A:N,14,FALSE),"Not Specified")</f>
        <v>Germany</v>
      </c>
      <c r="Q1167" t="str">
        <f>VLOOKUP(VLOOKUP(B1167,[1]Product!A:C,3,FALSE),[1]Supplier!A:B,2,FALSE)</f>
        <v>Supplier OGLRK</v>
      </c>
      <c r="R1167" t="str">
        <f>VLOOKUP(VLOOKUP(B1167,[1]Product!A:C,3,FALSE),[1]Supplier!A:I,9,FALSE)</f>
        <v>Canada</v>
      </c>
      <c r="S1167" t="str">
        <f>IFERROR(IF(VLOOKUP(A1167,'[1]Sales Order'!A:H,8,FALSE)&gt;100,"High Freight","Low Freight"),"Not Specified")</f>
        <v>High Freight</v>
      </c>
      <c r="T1167">
        <f t="shared" si="37"/>
        <v>2366.3999999999996</v>
      </c>
    </row>
    <row r="1168" spans="1:20">
      <c r="A1168" s="1">
        <v>10692</v>
      </c>
      <c r="B1168" s="2">
        <v>63</v>
      </c>
      <c r="C1168" s="2">
        <v>43.9</v>
      </c>
      <c r="D1168" s="2">
        <v>20</v>
      </c>
      <c r="E1168" s="3">
        <v>0</v>
      </c>
      <c r="F1168" s="2" t="str">
        <f>IFERROR(VLOOKUP(VLOOKUP(A1168,'[1]Sales Order'!A:B,2,FALSE),[1]Customer!A:C,3,FALSE),"Not Specified")</f>
        <v>Allen, Michael</v>
      </c>
      <c r="G1168" s="2" t="str">
        <f t="shared" si="36"/>
        <v>Allen Michael</v>
      </c>
      <c r="H1168" s="8" t="str">
        <f>IFERROR(VLOOKUP(VLOOKUP(A1168,'[1]Sales Order'!A:C,3,FALSE),[1]Employee!A:E,5,FALSE)&amp;" "&amp;VLOOKUP(VLOOKUP(A1168,'[1]Sales Order'!A:C,3,FALSE),[1]Employee!A:C,3,FALSE)&amp;" "&amp;VLOOKUP(VLOOKUP(A1168,'[1]Sales Order'!A:C,3,FALSE),[1]Employee!A:B,2,FALSE),"Not Specified")</f>
        <v>Mrs. Yael Peled</v>
      </c>
      <c r="I1168" t="str">
        <f>IFERROR(VLOOKUP(VLOOKUP(A1168,'[1]Sales Order'!A:C,3,FALSE),[1]Employee!A:J,10,FALSE),"Not Specified")</f>
        <v>WA</v>
      </c>
      <c r="J1168" t="str">
        <f>VLOOKUP(B1168,[1]Product!A:B,2,FALSE)</f>
        <v>Product ICKNK</v>
      </c>
      <c r="K1168" t="str">
        <f>VLOOKUP(VLOOKUP(B1168,[1]Product!A:D,4,FALSE),[1]Category!A:B,2,FALSE)</f>
        <v>Condiments</v>
      </c>
      <c r="L1168" s="10">
        <f>IFERROR(VLOOKUP(A1168,'[1]Sales Order'!A:D,4,FALSE),"")</f>
        <v>39358</v>
      </c>
      <c r="M1168" s="10">
        <f>IFERROR(VLOOKUP(A1168,'[1]Sales Order'!A:F,6,FALSE),"")</f>
        <v>39368</v>
      </c>
      <c r="N1168" t="str">
        <f>IFERROR(VLOOKUP(VLOOKUP(A1168,'[1]Sales Order'!A:G,7,FALSE),[1]Shipper!A:B,2,FALSE),"Not Specified")</f>
        <v>Shipper ETYNR</v>
      </c>
      <c r="O1168" t="str">
        <f>IFERROR(VLOOKUP(A1168,'[1]Sales Order'!A:I,9,FALSE),"Not Specified")</f>
        <v>Destination RSVRP</v>
      </c>
      <c r="P1168" t="str">
        <f>IFERROR(VLOOKUP(A1168,'[1]Sales Order'!A:N,14,FALSE),"Not Specified")</f>
        <v>Germany</v>
      </c>
      <c r="Q1168" t="str">
        <f>VLOOKUP(VLOOKUP(B1168,[1]Product!A:C,3,FALSE),[1]Supplier!A:B,2,FALSE)</f>
        <v>Supplier GQRCV</v>
      </c>
      <c r="R1168" t="str">
        <f>VLOOKUP(VLOOKUP(B1168,[1]Product!A:C,3,FALSE),[1]Supplier!A:I,9,FALSE)</f>
        <v>Australia</v>
      </c>
      <c r="S1168" t="str">
        <f>IFERROR(IF(VLOOKUP(A1168,'[1]Sales Order'!A:H,8,FALSE)&gt;100,"High Freight","Low Freight"),"Not Specified")</f>
        <v>Low Freight</v>
      </c>
      <c r="T1168">
        <f t="shared" si="37"/>
        <v>878</v>
      </c>
    </row>
    <row r="1169" spans="1:20">
      <c r="A1169" s="1">
        <v>10693</v>
      </c>
      <c r="B1169" s="2">
        <v>9</v>
      </c>
      <c r="C1169" s="2">
        <v>97</v>
      </c>
      <c r="D1169" s="2">
        <v>6</v>
      </c>
      <c r="E1169" s="3">
        <v>0</v>
      </c>
      <c r="F1169" s="2" t="str">
        <f>IFERROR(VLOOKUP(VLOOKUP(A1169,'[1]Sales Order'!A:B,2,FALSE),[1]Customer!A:C,3,FALSE),"Not Specified")</f>
        <v>Smith Jr., Ronaldo</v>
      </c>
      <c r="G1169" s="2" t="str">
        <f t="shared" si="36"/>
        <v>Smith Jr. Ronaldo</v>
      </c>
      <c r="H1169" s="8" t="str">
        <f>IFERROR(VLOOKUP(VLOOKUP(A1169,'[1]Sales Order'!A:C,3,FALSE),[1]Employee!A:E,5,FALSE)&amp;" "&amp;VLOOKUP(VLOOKUP(A1169,'[1]Sales Order'!A:C,3,FALSE),[1]Employee!A:C,3,FALSE)&amp;" "&amp;VLOOKUP(VLOOKUP(A1169,'[1]Sales Order'!A:C,3,FALSE),[1]Employee!A:B,2,FALSE),"Not Specified")</f>
        <v>Ms. Judy Lew</v>
      </c>
      <c r="I1169" t="str">
        <f>IFERROR(VLOOKUP(VLOOKUP(A1169,'[1]Sales Order'!A:C,3,FALSE),[1]Employee!A:J,10,FALSE),"Not Specified")</f>
        <v>WA</v>
      </c>
      <c r="J1169" t="str">
        <f>VLOOKUP(B1169,[1]Product!A:B,2,FALSE)</f>
        <v>Product AOZBW</v>
      </c>
      <c r="K1169" t="str">
        <f>VLOOKUP(VLOOKUP(B1169,[1]Product!A:D,4,FALSE),[1]Category!A:B,2,FALSE)</f>
        <v>Meat/Poultry</v>
      </c>
      <c r="L1169" s="10">
        <f>IFERROR(VLOOKUP(A1169,'[1]Sales Order'!A:D,4,FALSE),"")</f>
        <v>39361</v>
      </c>
      <c r="M1169" s="10">
        <f>IFERROR(VLOOKUP(A1169,'[1]Sales Order'!A:F,6,FALSE),"")</f>
        <v>39365</v>
      </c>
      <c r="N1169" t="str">
        <f>IFERROR(VLOOKUP(VLOOKUP(A1169,'[1]Sales Order'!A:G,7,FALSE),[1]Shipper!A:B,2,FALSE),"Not Specified")</f>
        <v>Shipper ZHISN</v>
      </c>
      <c r="O1169" t="str">
        <f>IFERROR(VLOOKUP(A1169,'[1]Sales Order'!A:I,9,FALSE),"Not Specified")</f>
        <v>Ship to 89-C</v>
      </c>
      <c r="P1169" t="str">
        <f>IFERROR(VLOOKUP(A1169,'[1]Sales Order'!A:N,14,FALSE),"Not Specified")</f>
        <v>USA</v>
      </c>
      <c r="Q1169" t="str">
        <f>VLOOKUP(VLOOKUP(B1169,[1]Product!A:C,3,FALSE),[1]Supplier!A:B,2,FALSE)</f>
        <v>Supplier QOVFD</v>
      </c>
      <c r="R1169" t="str">
        <f>VLOOKUP(VLOOKUP(B1169,[1]Product!A:C,3,FALSE),[1]Supplier!A:I,9,FALSE)</f>
        <v>Japan</v>
      </c>
      <c r="S1169" t="str">
        <f>IFERROR(IF(VLOOKUP(A1169,'[1]Sales Order'!A:H,8,FALSE)&gt;100,"High Freight","Low Freight"),"Not Specified")</f>
        <v>High Freight</v>
      </c>
      <c r="T1169">
        <f t="shared" si="37"/>
        <v>582</v>
      </c>
    </row>
    <row r="1170" spans="1:20">
      <c r="A1170" s="1">
        <v>10693</v>
      </c>
      <c r="B1170" s="2">
        <v>54</v>
      </c>
      <c r="C1170" s="2">
        <v>7.45</v>
      </c>
      <c r="D1170" s="2">
        <v>60</v>
      </c>
      <c r="E1170" s="3">
        <v>0.15</v>
      </c>
      <c r="F1170" s="2" t="str">
        <f>IFERROR(VLOOKUP(VLOOKUP(A1170,'[1]Sales Order'!A:B,2,FALSE),[1]Customer!A:C,3,FALSE),"Not Specified")</f>
        <v>Smith Jr., Ronaldo</v>
      </c>
      <c r="G1170" s="2" t="str">
        <f t="shared" si="36"/>
        <v>Smith Jr. Ronaldo</v>
      </c>
      <c r="H1170" s="8" t="str">
        <f>IFERROR(VLOOKUP(VLOOKUP(A1170,'[1]Sales Order'!A:C,3,FALSE),[1]Employee!A:E,5,FALSE)&amp;" "&amp;VLOOKUP(VLOOKUP(A1170,'[1]Sales Order'!A:C,3,FALSE),[1]Employee!A:C,3,FALSE)&amp;" "&amp;VLOOKUP(VLOOKUP(A1170,'[1]Sales Order'!A:C,3,FALSE),[1]Employee!A:B,2,FALSE),"Not Specified")</f>
        <v>Ms. Judy Lew</v>
      </c>
      <c r="I1170" t="str">
        <f>IFERROR(VLOOKUP(VLOOKUP(A1170,'[1]Sales Order'!A:C,3,FALSE),[1]Employee!A:J,10,FALSE),"Not Specified")</f>
        <v>WA</v>
      </c>
      <c r="J1170" t="str">
        <f>VLOOKUP(B1170,[1]Product!A:B,2,FALSE)</f>
        <v>Product QAQRL</v>
      </c>
      <c r="K1170" t="str">
        <f>VLOOKUP(VLOOKUP(B1170,[1]Product!A:D,4,FALSE),[1]Category!A:B,2,FALSE)</f>
        <v>Meat/Poultry</v>
      </c>
      <c r="L1170" s="10">
        <f>IFERROR(VLOOKUP(A1170,'[1]Sales Order'!A:D,4,FALSE),"")</f>
        <v>39361</v>
      </c>
      <c r="M1170" s="10">
        <f>IFERROR(VLOOKUP(A1170,'[1]Sales Order'!A:F,6,FALSE),"")</f>
        <v>39365</v>
      </c>
      <c r="N1170" t="str">
        <f>IFERROR(VLOOKUP(VLOOKUP(A1170,'[1]Sales Order'!A:G,7,FALSE),[1]Shipper!A:B,2,FALSE),"Not Specified")</f>
        <v>Shipper ZHISN</v>
      </c>
      <c r="O1170" t="str">
        <f>IFERROR(VLOOKUP(A1170,'[1]Sales Order'!A:I,9,FALSE),"Not Specified")</f>
        <v>Ship to 89-C</v>
      </c>
      <c r="P1170" t="str">
        <f>IFERROR(VLOOKUP(A1170,'[1]Sales Order'!A:N,14,FALSE),"Not Specified")</f>
        <v>USA</v>
      </c>
      <c r="Q1170" t="str">
        <f>VLOOKUP(VLOOKUP(B1170,[1]Product!A:C,3,FALSE),[1]Supplier!A:B,2,FALSE)</f>
        <v>Supplier ERVYZ</v>
      </c>
      <c r="R1170" t="str">
        <f>VLOOKUP(VLOOKUP(B1170,[1]Product!A:C,3,FALSE),[1]Supplier!A:I,9,FALSE)</f>
        <v>Canada</v>
      </c>
      <c r="S1170" t="str">
        <f>IFERROR(IF(VLOOKUP(A1170,'[1]Sales Order'!A:H,8,FALSE)&gt;100,"High Freight","Low Freight"),"Not Specified")</f>
        <v>High Freight</v>
      </c>
      <c r="T1170">
        <f t="shared" si="37"/>
        <v>379.95</v>
      </c>
    </row>
    <row r="1171" spans="1:20">
      <c r="A1171" s="1">
        <v>10693</v>
      </c>
      <c r="B1171" s="2">
        <v>69</v>
      </c>
      <c r="C1171" s="2">
        <v>36</v>
      </c>
      <c r="D1171" s="2">
        <v>30</v>
      </c>
      <c r="E1171" s="3">
        <v>0.15</v>
      </c>
      <c r="F1171" s="2" t="str">
        <f>IFERROR(VLOOKUP(VLOOKUP(A1171,'[1]Sales Order'!A:B,2,FALSE),[1]Customer!A:C,3,FALSE),"Not Specified")</f>
        <v>Smith Jr., Ronaldo</v>
      </c>
      <c r="G1171" s="2" t="str">
        <f t="shared" si="36"/>
        <v>Smith Jr. Ronaldo</v>
      </c>
      <c r="H1171" s="8" t="str">
        <f>IFERROR(VLOOKUP(VLOOKUP(A1171,'[1]Sales Order'!A:C,3,FALSE),[1]Employee!A:E,5,FALSE)&amp;" "&amp;VLOOKUP(VLOOKUP(A1171,'[1]Sales Order'!A:C,3,FALSE),[1]Employee!A:C,3,FALSE)&amp;" "&amp;VLOOKUP(VLOOKUP(A1171,'[1]Sales Order'!A:C,3,FALSE),[1]Employee!A:B,2,FALSE),"Not Specified")</f>
        <v>Ms. Judy Lew</v>
      </c>
      <c r="I1171" t="str">
        <f>IFERROR(VLOOKUP(VLOOKUP(A1171,'[1]Sales Order'!A:C,3,FALSE),[1]Employee!A:J,10,FALSE),"Not Specified")</f>
        <v>WA</v>
      </c>
      <c r="J1171" t="str">
        <f>VLOOKUP(B1171,[1]Product!A:B,2,FALSE)</f>
        <v>Product COAXA</v>
      </c>
      <c r="K1171" t="str">
        <f>VLOOKUP(VLOOKUP(B1171,[1]Product!A:D,4,FALSE),[1]Category!A:B,2,FALSE)</f>
        <v>Dairy Product</v>
      </c>
      <c r="L1171" s="10">
        <f>IFERROR(VLOOKUP(A1171,'[1]Sales Order'!A:D,4,FALSE),"")</f>
        <v>39361</v>
      </c>
      <c r="M1171" s="10">
        <f>IFERROR(VLOOKUP(A1171,'[1]Sales Order'!A:F,6,FALSE),"")</f>
        <v>39365</v>
      </c>
      <c r="N1171" t="str">
        <f>IFERROR(VLOOKUP(VLOOKUP(A1171,'[1]Sales Order'!A:G,7,FALSE),[1]Shipper!A:B,2,FALSE),"Not Specified")</f>
        <v>Shipper ZHISN</v>
      </c>
      <c r="O1171" t="str">
        <f>IFERROR(VLOOKUP(A1171,'[1]Sales Order'!A:I,9,FALSE),"Not Specified")</f>
        <v>Ship to 89-C</v>
      </c>
      <c r="P1171" t="str">
        <f>IFERROR(VLOOKUP(A1171,'[1]Sales Order'!A:N,14,FALSE),"Not Specified")</f>
        <v>USA</v>
      </c>
      <c r="Q1171" t="str">
        <f>VLOOKUP(VLOOKUP(B1171,[1]Product!A:C,3,FALSE),[1]Supplier!A:B,2,FALSE)</f>
        <v>Supplier NZLIF</v>
      </c>
      <c r="R1171" t="str">
        <f>VLOOKUP(VLOOKUP(B1171,[1]Product!A:C,3,FALSE),[1]Supplier!A:I,9,FALSE)</f>
        <v>Norway</v>
      </c>
      <c r="S1171" t="str">
        <f>IFERROR(IF(VLOOKUP(A1171,'[1]Sales Order'!A:H,8,FALSE)&gt;100,"High Freight","Low Freight"),"Not Specified")</f>
        <v>High Freight</v>
      </c>
      <c r="T1171">
        <f t="shared" si="37"/>
        <v>918</v>
      </c>
    </row>
    <row r="1172" spans="1:20">
      <c r="A1172" s="1">
        <v>10693</v>
      </c>
      <c r="B1172" s="2">
        <v>73</v>
      </c>
      <c r="C1172" s="2">
        <v>15</v>
      </c>
      <c r="D1172" s="2">
        <v>15</v>
      </c>
      <c r="E1172" s="3">
        <v>0.15</v>
      </c>
      <c r="F1172" s="2" t="str">
        <f>IFERROR(VLOOKUP(VLOOKUP(A1172,'[1]Sales Order'!A:B,2,FALSE),[1]Customer!A:C,3,FALSE),"Not Specified")</f>
        <v>Smith Jr., Ronaldo</v>
      </c>
      <c r="G1172" s="2" t="str">
        <f t="shared" si="36"/>
        <v>Smith Jr. Ronaldo</v>
      </c>
      <c r="H1172" s="8" t="str">
        <f>IFERROR(VLOOKUP(VLOOKUP(A1172,'[1]Sales Order'!A:C,3,FALSE),[1]Employee!A:E,5,FALSE)&amp;" "&amp;VLOOKUP(VLOOKUP(A1172,'[1]Sales Order'!A:C,3,FALSE),[1]Employee!A:C,3,FALSE)&amp;" "&amp;VLOOKUP(VLOOKUP(A1172,'[1]Sales Order'!A:C,3,FALSE),[1]Employee!A:B,2,FALSE),"Not Specified")</f>
        <v>Ms. Judy Lew</v>
      </c>
      <c r="I1172" t="str">
        <f>IFERROR(VLOOKUP(VLOOKUP(A1172,'[1]Sales Order'!A:C,3,FALSE),[1]Employee!A:J,10,FALSE),"Not Specified")</f>
        <v>WA</v>
      </c>
      <c r="J1172" t="str">
        <f>VLOOKUP(B1172,[1]Product!A:B,2,FALSE)</f>
        <v>Product WEUJZ</v>
      </c>
      <c r="K1172" t="str">
        <f>VLOOKUP(VLOOKUP(B1172,[1]Product!A:D,4,FALSE),[1]Category!A:B,2,FALSE)</f>
        <v>Seafood</v>
      </c>
      <c r="L1172" s="10">
        <f>IFERROR(VLOOKUP(A1172,'[1]Sales Order'!A:D,4,FALSE),"")</f>
        <v>39361</v>
      </c>
      <c r="M1172" s="10">
        <f>IFERROR(VLOOKUP(A1172,'[1]Sales Order'!A:F,6,FALSE),"")</f>
        <v>39365</v>
      </c>
      <c r="N1172" t="str">
        <f>IFERROR(VLOOKUP(VLOOKUP(A1172,'[1]Sales Order'!A:G,7,FALSE),[1]Shipper!A:B,2,FALSE),"Not Specified")</f>
        <v>Shipper ZHISN</v>
      </c>
      <c r="O1172" t="str">
        <f>IFERROR(VLOOKUP(A1172,'[1]Sales Order'!A:I,9,FALSE),"Not Specified")</f>
        <v>Ship to 89-C</v>
      </c>
      <c r="P1172" t="str">
        <f>IFERROR(VLOOKUP(A1172,'[1]Sales Order'!A:N,14,FALSE),"Not Specified")</f>
        <v>USA</v>
      </c>
      <c r="Q1172" t="str">
        <f>VLOOKUP(VLOOKUP(B1172,[1]Product!A:C,3,FALSE),[1]Supplier!A:B,2,FALSE)</f>
        <v>Supplier QZGUF</v>
      </c>
      <c r="R1172" t="str">
        <f>VLOOKUP(VLOOKUP(B1172,[1]Product!A:C,3,FALSE),[1]Supplier!A:I,9,FALSE)</f>
        <v>Sweden</v>
      </c>
      <c r="S1172" t="str">
        <f>IFERROR(IF(VLOOKUP(A1172,'[1]Sales Order'!A:H,8,FALSE)&gt;100,"High Freight","Low Freight"),"Not Specified")</f>
        <v>High Freight</v>
      </c>
      <c r="T1172">
        <f t="shared" si="37"/>
        <v>191.25</v>
      </c>
    </row>
    <row r="1173" spans="1:20">
      <c r="A1173" s="1">
        <v>10694</v>
      </c>
      <c r="B1173" s="2">
        <v>7</v>
      </c>
      <c r="C1173" s="2">
        <v>30</v>
      </c>
      <c r="D1173" s="2">
        <v>90</v>
      </c>
      <c r="E1173" s="3">
        <v>0</v>
      </c>
      <c r="F1173" s="2" t="str">
        <f>IFERROR(VLOOKUP(VLOOKUP(A1173,'[1]Sales Order'!A:B,2,FALSE),[1]Customer!A:C,3,FALSE),"Not Specified")</f>
        <v>Veronesi, Giorgio</v>
      </c>
      <c r="G1173" s="2" t="str">
        <f t="shared" si="36"/>
        <v>Veronesi Giorgio</v>
      </c>
      <c r="H1173" s="8" t="str">
        <f>IFERROR(VLOOKUP(VLOOKUP(A1173,'[1]Sales Order'!A:C,3,FALSE),[1]Employee!A:E,5,FALSE)&amp;" "&amp;VLOOKUP(VLOOKUP(A1173,'[1]Sales Order'!A:C,3,FALSE),[1]Employee!A:C,3,FALSE)&amp;" "&amp;VLOOKUP(VLOOKUP(A1173,'[1]Sales Order'!A:C,3,FALSE),[1]Employee!A:B,2,FALSE),"Not Specified")</f>
        <v>Ms. Maria Cameron</v>
      </c>
      <c r="I1173" t="str">
        <f>IFERROR(VLOOKUP(VLOOKUP(A1173,'[1]Sales Order'!A:C,3,FALSE),[1]Employee!A:J,10,FALSE),"Not Specified")</f>
        <v>WA</v>
      </c>
      <c r="J1173" t="str">
        <f>VLOOKUP(B1173,[1]Product!A:B,2,FALSE)</f>
        <v>Product HMLNI</v>
      </c>
      <c r="K1173" t="str">
        <f>VLOOKUP(VLOOKUP(B1173,[1]Product!A:D,4,FALSE),[1]Category!A:B,2,FALSE)</f>
        <v>Produce</v>
      </c>
      <c r="L1173" s="10">
        <f>IFERROR(VLOOKUP(A1173,'[1]Sales Order'!A:D,4,FALSE),"")</f>
        <v>39361</v>
      </c>
      <c r="M1173" s="10">
        <f>IFERROR(VLOOKUP(A1173,'[1]Sales Order'!A:F,6,FALSE),"")</f>
        <v>39364</v>
      </c>
      <c r="N1173" t="str">
        <f>IFERROR(VLOOKUP(VLOOKUP(A1173,'[1]Sales Order'!A:G,7,FALSE),[1]Shipper!A:B,2,FALSE),"Not Specified")</f>
        <v>Shipper ZHISN</v>
      </c>
      <c r="O1173" t="str">
        <f>IFERROR(VLOOKUP(A1173,'[1]Sales Order'!A:I,9,FALSE),"Not Specified")</f>
        <v>Ship to 63-A</v>
      </c>
      <c r="P1173" t="str">
        <f>IFERROR(VLOOKUP(A1173,'[1]Sales Order'!A:N,14,FALSE),"Not Specified")</f>
        <v>Germany</v>
      </c>
      <c r="Q1173" t="str">
        <f>VLOOKUP(VLOOKUP(B1173,[1]Product!A:C,3,FALSE),[1]Supplier!A:B,2,FALSE)</f>
        <v>Supplier STUAZ</v>
      </c>
      <c r="R1173" t="str">
        <f>VLOOKUP(VLOOKUP(B1173,[1]Product!A:C,3,FALSE),[1]Supplier!A:I,9,FALSE)</f>
        <v>USA</v>
      </c>
      <c r="S1173" t="str">
        <f>IFERROR(IF(VLOOKUP(A1173,'[1]Sales Order'!A:H,8,FALSE)&gt;100,"High Freight","Low Freight"),"Not Specified")</f>
        <v>High Freight</v>
      </c>
      <c r="T1173">
        <f t="shared" si="37"/>
        <v>2700</v>
      </c>
    </row>
    <row r="1174" spans="1:20">
      <c r="A1174" s="1">
        <v>10694</v>
      </c>
      <c r="B1174" s="2">
        <v>59</v>
      </c>
      <c r="C1174" s="2">
        <v>55</v>
      </c>
      <c r="D1174" s="2">
        <v>25</v>
      </c>
      <c r="E1174" s="3">
        <v>0</v>
      </c>
      <c r="F1174" s="2" t="str">
        <f>IFERROR(VLOOKUP(VLOOKUP(A1174,'[1]Sales Order'!A:B,2,FALSE),[1]Customer!A:C,3,FALSE),"Not Specified")</f>
        <v>Veronesi, Giorgio</v>
      </c>
      <c r="G1174" s="2" t="str">
        <f t="shared" si="36"/>
        <v>Veronesi Giorgio</v>
      </c>
      <c r="H1174" s="8" t="str">
        <f>IFERROR(VLOOKUP(VLOOKUP(A1174,'[1]Sales Order'!A:C,3,FALSE),[1]Employee!A:E,5,FALSE)&amp;" "&amp;VLOOKUP(VLOOKUP(A1174,'[1]Sales Order'!A:C,3,FALSE),[1]Employee!A:C,3,FALSE)&amp;" "&amp;VLOOKUP(VLOOKUP(A1174,'[1]Sales Order'!A:C,3,FALSE),[1]Employee!A:B,2,FALSE),"Not Specified")</f>
        <v>Ms. Maria Cameron</v>
      </c>
      <c r="I1174" t="str">
        <f>IFERROR(VLOOKUP(VLOOKUP(A1174,'[1]Sales Order'!A:C,3,FALSE),[1]Employee!A:J,10,FALSE),"Not Specified")</f>
        <v>WA</v>
      </c>
      <c r="J1174" t="str">
        <f>VLOOKUP(B1174,[1]Product!A:B,2,FALSE)</f>
        <v>Product UKXRI</v>
      </c>
      <c r="K1174" t="str">
        <f>VLOOKUP(VLOOKUP(B1174,[1]Product!A:D,4,FALSE),[1]Category!A:B,2,FALSE)</f>
        <v>Dairy Product</v>
      </c>
      <c r="L1174" s="10">
        <f>IFERROR(VLOOKUP(A1174,'[1]Sales Order'!A:D,4,FALSE),"")</f>
        <v>39361</v>
      </c>
      <c r="M1174" s="10">
        <f>IFERROR(VLOOKUP(A1174,'[1]Sales Order'!A:F,6,FALSE),"")</f>
        <v>39364</v>
      </c>
      <c r="N1174" t="str">
        <f>IFERROR(VLOOKUP(VLOOKUP(A1174,'[1]Sales Order'!A:G,7,FALSE),[1]Shipper!A:B,2,FALSE),"Not Specified")</f>
        <v>Shipper ZHISN</v>
      </c>
      <c r="O1174" t="str">
        <f>IFERROR(VLOOKUP(A1174,'[1]Sales Order'!A:I,9,FALSE),"Not Specified")</f>
        <v>Ship to 63-A</v>
      </c>
      <c r="P1174" t="str">
        <f>IFERROR(VLOOKUP(A1174,'[1]Sales Order'!A:N,14,FALSE),"Not Specified")</f>
        <v>Germany</v>
      </c>
      <c r="Q1174" t="str">
        <f>VLOOKUP(VLOOKUP(B1174,[1]Product!A:C,3,FALSE),[1]Supplier!A:B,2,FALSE)</f>
        <v>Supplier OAVQT</v>
      </c>
      <c r="R1174" t="str">
        <f>VLOOKUP(VLOOKUP(B1174,[1]Product!A:C,3,FALSE),[1]Supplier!A:I,9,FALSE)</f>
        <v>France</v>
      </c>
      <c r="S1174" t="str">
        <f>IFERROR(IF(VLOOKUP(A1174,'[1]Sales Order'!A:H,8,FALSE)&gt;100,"High Freight","Low Freight"),"Not Specified")</f>
        <v>High Freight</v>
      </c>
      <c r="T1174">
        <f t="shared" si="37"/>
        <v>1375</v>
      </c>
    </row>
    <row r="1175" spans="1:20">
      <c r="A1175" s="1">
        <v>10694</v>
      </c>
      <c r="B1175" s="2">
        <v>70</v>
      </c>
      <c r="C1175" s="2">
        <v>15</v>
      </c>
      <c r="D1175" s="2">
        <v>50</v>
      </c>
      <c r="E1175" s="3">
        <v>0</v>
      </c>
      <c r="F1175" s="2" t="str">
        <f>IFERROR(VLOOKUP(VLOOKUP(A1175,'[1]Sales Order'!A:B,2,FALSE),[1]Customer!A:C,3,FALSE),"Not Specified")</f>
        <v>Veronesi, Giorgio</v>
      </c>
      <c r="G1175" s="2" t="str">
        <f t="shared" si="36"/>
        <v>Veronesi Giorgio</v>
      </c>
      <c r="H1175" s="8" t="str">
        <f>IFERROR(VLOOKUP(VLOOKUP(A1175,'[1]Sales Order'!A:C,3,FALSE),[1]Employee!A:E,5,FALSE)&amp;" "&amp;VLOOKUP(VLOOKUP(A1175,'[1]Sales Order'!A:C,3,FALSE),[1]Employee!A:C,3,FALSE)&amp;" "&amp;VLOOKUP(VLOOKUP(A1175,'[1]Sales Order'!A:C,3,FALSE),[1]Employee!A:B,2,FALSE),"Not Specified")</f>
        <v>Ms. Maria Cameron</v>
      </c>
      <c r="I1175" t="str">
        <f>IFERROR(VLOOKUP(VLOOKUP(A1175,'[1]Sales Order'!A:C,3,FALSE),[1]Employee!A:J,10,FALSE),"Not Specified")</f>
        <v>WA</v>
      </c>
      <c r="J1175" t="str">
        <f>VLOOKUP(B1175,[1]Product!A:B,2,FALSE)</f>
        <v>Product TOONT</v>
      </c>
      <c r="K1175" t="str">
        <f>VLOOKUP(VLOOKUP(B1175,[1]Product!A:D,4,FALSE),[1]Category!A:B,2,FALSE)</f>
        <v>Beverages</v>
      </c>
      <c r="L1175" s="10">
        <f>IFERROR(VLOOKUP(A1175,'[1]Sales Order'!A:D,4,FALSE),"")</f>
        <v>39361</v>
      </c>
      <c r="M1175" s="10">
        <f>IFERROR(VLOOKUP(A1175,'[1]Sales Order'!A:F,6,FALSE),"")</f>
        <v>39364</v>
      </c>
      <c r="N1175" t="str">
        <f>IFERROR(VLOOKUP(VLOOKUP(A1175,'[1]Sales Order'!A:G,7,FALSE),[1]Shipper!A:B,2,FALSE),"Not Specified")</f>
        <v>Shipper ZHISN</v>
      </c>
      <c r="O1175" t="str">
        <f>IFERROR(VLOOKUP(A1175,'[1]Sales Order'!A:I,9,FALSE),"Not Specified")</f>
        <v>Ship to 63-A</v>
      </c>
      <c r="P1175" t="str">
        <f>IFERROR(VLOOKUP(A1175,'[1]Sales Order'!A:N,14,FALSE),"Not Specified")</f>
        <v>Germany</v>
      </c>
      <c r="Q1175" t="str">
        <f>VLOOKUP(VLOOKUP(B1175,[1]Product!A:C,3,FALSE),[1]Supplier!A:B,2,FALSE)</f>
        <v>Supplier GQRCV</v>
      </c>
      <c r="R1175" t="str">
        <f>VLOOKUP(VLOOKUP(B1175,[1]Product!A:C,3,FALSE),[1]Supplier!A:I,9,FALSE)</f>
        <v>Australia</v>
      </c>
      <c r="S1175" t="str">
        <f>IFERROR(IF(VLOOKUP(A1175,'[1]Sales Order'!A:H,8,FALSE)&gt;100,"High Freight","Low Freight"),"Not Specified")</f>
        <v>High Freight</v>
      </c>
      <c r="T1175">
        <f t="shared" si="37"/>
        <v>750</v>
      </c>
    </row>
    <row r="1176" spans="1:20">
      <c r="A1176" s="1">
        <v>10695</v>
      </c>
      <c r="B1176" s="2">
        <v>8</v>
      </c>
      <c r="C1176" s="2">
        <v>40</v>
      </c>
      <c r="D1176" s="2">
        <v>10</v>
      </c>
      <c r="E1176" s="3">
        <v>0</v>
      </c>
      <c r="F1176" s="2" t="str">
        <f>IFERROR(VLOOKUP(VLOOKUP(A1176,'[1]Sales Order'!A:B,2,FALSE),[1]Customer!A:C,3,FALSE),"Not Specified")</f>
        <v>Larsson, Katarina</v>
      </c>
      <c r="G1176" s="2" t="str">
        <f t="shared" si="36"/>
        <v>Larsson Katarina</v>
      </c>
      <c r="H1176" s="8" t="str">
        <f>IFERROR(VLOOKUP(VLOOKUP(A1176,'[1]Sales Order'!A:C,3,FALSE),[1]Employee!A:E,5,FALSE)&amp;" "&amp;VLOOKUP(VLOOKUP(A1176,'[1]Sales Order'!A:C,3,FALSE),[1]Employee!A:C,3,FALSE)&amp;" "&amp;VLOOKUP(VLOOKUP(A1176,'[1]Sales Order'!A:C,3,FALSE),[1]Employee!A:B,2,FALSE),"Not Specified")</f>
        <v>Mr. Russell King</v>
      </c>
      <c r="I1176">
        <f>IFERROR(VLOOKUP(VLOOKUP(A1176,'[1]Sales Order'!A:C,3,FALSE),[1]Employee!A:J,10,FALSE),"Not Specified")</f>
        <v>0</v>
      </c>
      <c r="J1176" t="str">
        <f>VLOOKUP(B1176,[1]Product!A:B,2,FALSE)</f>
        <v>Product WVJFP</v>
      </c>
      <c r="K1176" t="str">
        <f>VLOOKUP(VLOOKUP(B1176,[1]Product!A:D,4,FALSE),[1]Category!A:B,2,FALSE)</f>
        <v>Condiments</v>
      </c>
      <c r="L1176" s="10">
        <f>IFERROR(VLOOKUP(A1176,'[1]Sales Order'!A:D,4,FALSE),"")</f>
        <v>39362</v>
      </c>
      <c r="M1176" s="10">
        <f>IFERROR(VLOOKUP(A1176,'[1]Sales Order'!A:F,6,FALSE),"")</f>
        <v>39369</v>
      </c>
      <c r="N1176" t="str">
        <f>IFERROR(VLOOKUP(VLOOKUP(A1176,'[1]Sales Order'!A:G,7,FALSE),[1]Shipper!A:B,2,FALSE),"Not Specified")</f>
        <v>Shipper GVSUA</v>
      </c>
      <c r="O1176" t="str">
        <f>IFERROR(VLOOKUP(A1176,'[1]Sales Order'!A:I,9,FALSE),"Not Specified")</f>
        <v>Ship to 90-C</v>
      </c>
      <c r="P1176" t="str">
        <f>IFERROR(VLOOKUP(A1176,'[1]Sales Order'!A:N,14,FALSE),"Not Specified")</f>
        <v>Finland</v>
      </c>
      <c r="Q1176" t="str">
        <f>VLOOKUP(VLOOKUP(B1176,[1]Product!A:C,3,FALSE),[1]Supplier!A:B,2,FALSE)</f>
        <v>Supplier STUAZ</v>
      </c>
      <c r="R1176" t="str">
        <f>VLOOKUP(VLOOKUP(B1176,[1]Product!A:C,3,FALSE),[1]Supplier!A:I,9,FALSE)</f>
        <v>USA</v>
      </c>
      <c r="S1176" t="str">
        <f>IFERROR(IF(VLOOKUP(A1176,'[1]Sales Order'!A:H,8,FALSE)&gt;100,"High Freight","Low Freight"),"Not Specified")</f>
        <v>Low Freight</v>
      </c>
      <c r="T1176">
        <f t="shared" si="37"/>
        <v>400</v>
      </c>
    </row>
    <row r="1177" spans="1:20">
      <c r="A1177" s="1">
        <v>10695</v>
      </c>
      <c r="B1177" s="2">
        <v>12</v>
      </c>
      <c r="C1177" s="2">
        <v>38</v>
      </c>
      <c r="D1177" s="2">
        <v>4</v>
      </c>
      <c r="E1177" s="3">
        <v>0</v>
      </c>
      <c r="F1177" s="2" t="str">
        <f>IFERROR(VLOOKUP(VLOOKUP(A1177,'[1]Sales Order'!A:B,2,FALSE),[1]Customer!A:C,3,FALSE),"Not Specified")</f>
        <v>Larsson, Katarina</v>
      </c>
      <c r="G1177" s="2" t="str">
        <f t="shared" si="36"/>
        <v>Larsson Katarina</v>
      </c>
      <c r="H1177" s="8" t="str">
        <f>IFERROR(VLOOKUP(VLOOKUP(A1177,'[1]Sales Order'!A:C,3,FALSE),[1]Employee!A:E,5,FALSE)&amp;" "&amp;VLOOKUP(VLOOKUP(A1177,'[1]Sales Order'!A:C,3,FALSE),[1]Employee!A:C,3,FALSE)&amp;" "&amp;VLOOKUP(VLOOKUP(A1177,'[1]Sales Order'!A:C,3,FALSE),[1]Employee!A:B,2,FALSE),"Not Specified")</f>
        <v>Mr. Russell King</v>
      </c>
      <c r="I1177">
        <f>IFERROR(VLOOKUP(VLOOKUP(A1177,'[1]Sales Order'!A:C,3,FALSE),[1]Employee!A:J,10,FALSE),"Not Specified")</f>
        <v>0</v>
      </c>
      <c r="J1177" t="str">
        <f>VLOOKUP(B1177,[1]Product!A:B,2,FALSE)</f>
        <v>Product OSFNS</v>
      </c>
      <c r="K1177" t="str">
        <f>VLOOKUP(VLOOKUP(B1177,[1]Product!A:D,4,FALSE),[1]Category!A:B,2,FALSE)</f>
        <v>Dairy Product</v>
      </c>
      <c r="L1177" s="10">
        <f>IFERROR(VLOOKUP(A1177,'[1]Sales Order'!A:D,4,FALSE),"")</f>
        <v>39362</v>
      </c>
      <c r="M1177" s="10">
        <f>IFERROR(VLOOKUP(A1177,'[1]Sales Order'!A:F,6,FALSE),"")</f>
        <v>39369</v>
      </c>
      <c r="N1177" t="str">
        <f>IFERROR(VLOOKUP(VLOOKUP(A1177,'[1]Sales Order'!A:G,7,FALSE),[1]Shipper!A:B,2,FALSE),"Not Specified")</f>
        <v>Shipper GVSUA</v>
      </c>
      <c r="O1177" t="str">
        <f>IFERROR(VLOOKUP(A1177,'[1]Sales Order'!A:I,9,FALSE),"Not Specified")</f>
        <v>Ship to 90-C</v>
      </c>
      <c r="P1177" t="str">
        <f>IFERROR(VLOOKUP(A1177,'[1]Sales Order'!A:N,14,FALSE),"Not Specified")</f>
        <v>Finland</v>
      </c>
      <c r="Q1177" t="str">
        <f>VLOOKUP(VLOOKUP(B1177,[1]Product!A:C,3,FALSE),[1]Supplier!A:B,2,FALSE)</f>
        <v>Supplier EQPNC</v>
      </c>
      <c r="R1177" t="str">
        <f>VLOOKUP(VLOOKUP(B1177,[1]Product!A:C,3,FALSE),[1]Supplier!A:I,9,FALSE)</f>
        <v>Spain</v>
      </c>
      <c r="S1177" t="str">
        <f>IFERROR(IF(VLOOKUP(A1177,'[1]Sales Order'!A:H,8,FALSE)&gt;100,"High Freight","Low Freight"),"Not Specified")</f>
        <v>Low Freight</v>
      </c>
      <c r="T1177">
        <f t="shared" si="37"/>
        <v>152</v>
      </c>
    </row>
    <row r="1178" spans="1:20">
      <c r="A1178" s="1">
        <v>10695</v>
      </c>
      <c r="B1178" s="2">
        <v>24</v>
      </c>
      <c r="C1178" s="2">
        <v>4.5</v>
      </c>
      <c r="D1178" s="2">
        <v>20</v>
      </c>
      <c r="E1178" s="3">
        <v>0</v>
      </c>
      <c r="F1178" s="2" t="str">
        <f>IFERROR(VLOOKUP(VLOOKUP(A1178,'[1]Sales Order'!A:B,2,FALSE),[1]Customer!A:C,3,FALSE),"Not Specified")</f>
        <v>Larsson, Katarina</v>
      </c>
      <c r="G1178" s="2" t="str">
        <f t="shared" si="36"/>
        <v>Larsson Katarina</v>
      </c>
      <c r="H1178" s="8" t="str">
        <f>IFERROR(VLOOKUP(VLOOKUP(A1178,'[1]Sales Order'!A:C,3,FALSE),[1]Employee!A:E,5,FALSE)&amp;" "&amp;VLOOKUP(VLOOKUP(A1178,'[1]Sales Order'!A:C,3,FALSE),[1]Employee!A:C,3,FALSE)&amp;" "&amp;VLOOKUP(VLOOKUP(A1178,'[1]Sales Order'!A:C,3,FALSE),[1]Employee!A:B,2,FALSE),"Not Specified")</f>
        <v>Mr. Russell King</v>
      </c>
      <c r="I1178">
        <f>IFERROR(VLOOKUP(VLOOKUP(A1178,'[1]Sales Order'!A:C,3,FALSE),[1]Employee!A:J,10,FALSE),"Not Specified")</f>
        <v>0</v>
      </c>
      <c r="J1178" t="str">
        <f>VLOOKUP(B1178,[1]Product!A:B,2,FALSE)</f>
        <v>Product QOGNU</v>
      </c>
      <c r="K1178" t="str">
        <f>VLOOKUP(VLOOKUP(B1178,[1]Product!A:D,4,FALSE),[1]Category!A:B,2,FALSE)</f>
        <v>Beverages</v>
      </c>
      <c r="L1178" s="10">
        <f>IFERROR(VLOOKUP(A1178,'[1]Sales Order'!A:D,4,FALSE),"")</f>
        <v>39362</v>
      </c>
      <c r="M1178" s="10">
        <f>IFERROR(VLOOKUP(A1178,'[1]Sales Order'!A:F,6,FALSE),"")</f>
        <v>39369</v>
      </c>
      <c r="N1178" t="str">
        <f>IFERROR(VLOOKUP(VLOOKUP(A1178,'[1]Sales Order'!A:G,7,FALSE),[1]Shipper!A:B,2,FALSE),"Not Specified")</f>
        <v>Shipper GVSUA</v>
      </c>
      <c r="O1178" t="str">
        <f>IFERROR(VLOOKUP(A1178,'[1]Sales Order'!A:I,9,FALSE),"Not Specified")</f>
        <v>Ship to 90-C</v>
      </c>
      <c r="P1178" t="str">
        <f>IFERROR(VLOOKUP(A1178,'[1]Sales Order'!A:N,14,FALSE),"Not Specified")</f>
        <v>Finland</v>
      </c>
      <c r="Q1178" t="str">
        <f>VLOOKUP(VLOOKUP(B1178,[1]Product!A:C,3,FALSE),[1]Supplier!A:B,2,FALSE)</f>
        <v>Supplier UNAHG</v>
      </c>
      <c r="R1178" t="str">
        <f>VLOOKUP(VLOOKUP(B1178,[1]Product!A:C,3,FALSE),[1]Supplier!A:I,9,FALSE)</f>
        <v>Brazil</v>
      </c>
      <c r="S1178" t="str">
        <f>IFERROR(IF(VLOOKUP(A1178,'[1]Sales Order'!A:H,8,FALSE)&gt;100,"High Freight","Low Freight"),"Not Specified")</f>
        <v>Low Freight</v>
      </c>
      <c r="T1178">
        <f t="shared" si="37"/>
        <v>90</v>
      </c>
    </row>
    <row r="1179" spans="1:20">
      <c r="A1179" s="1">
        <v>10696</v>
      </c>
      <c r="B1179" s="2">
        <v>17</v>
      </c>
      <c r="C1179" s="2">
        <v>39</v>
      </c>
      <c r="D1179" s="2">
        <v>20</v>
      </c>
      <c r="E1179" s="3">
        <v>0</v>
      </c>
      <c r="F1179" s="2" t="str">
        <f>IFERROR(VLOOKUP(VLOOKUP(A1179,'[1]Sales Order'!A:B,2,FALSE),[1]Customer!A:C,3,FALSE),"Not Specified")</f>
        <v>Smith Jr., Ronaldo</v>
      </c>
      <c r="G1179" s="2" t="str">
        <f t="shared" si="36"/>
        <v>Smith Jr. Ronaldo</v>
      </c>
      <c r="H1179" s="8" t="str">
        <f>IFERROR(VLOOKUP(VLOOKUP(A1179,'[1]Sales Order'!A:C,3,FALSE),[1]Employee!A:E,5,FALSE)&amp;" "&amp;VLOOKUP(VLOOKUP(A1179,'[1]Sales Order'!A:C,3,FALSE),[1]Employee!A:C,3,FALSE)&amp;" "&amp;VLOOKUP(VLOOKUP(A1179,'[1]Sales Order'!A:C,3,FALSE),[1]Employee!A:B,2,FALSE),"Not Specified")</f>
        <v>Ms. Maria Cameron</v>
      </c>
      <c r="I1179" t="str">
        <f>IFERROR(VLOOKUP(VLOOKUP(A1179,'[1]Sales Order'!A:C,3,FALSE),[1]Employee!A:J,10,FALSE),"Not Specified")</f>
        <v>WA</v>
      </c>
      <c r="J1179" t="str">
        <f>VLOOKUP(B1179,[1]Product!A:B,2,FALSE)</f>
        <v>Product BLCAX</v>
      </c>
      <c r="K1179" t="str">
        <f>VLOOKUP(VLOOKUP(B1179,[1]Product!A:D,4,FALSE),[1]Category!A:B,2,FALSE)</f>
        <v>Meat/Poultry</v>
      </c>
      <c r="L1179" s="10">
        <f>IFERROR(VLOOKUP(A1179,'[1]Sales Order'!A:D,4,FALSE),"")</f>
        <v>39363</v>
      </c>
      <c r="M1179" s="10">
        <f>IFERROR(VLOOKUP(A1179,'[1]Sales Order'!A:F,6,FALSE),"")</f>
        <v>39369</v>
      </c>
      <c r="N1179" t="str">
        <f>IFERROR(VLOOKUP(VLOOKUP(A1179,'[1]Sales Order'!A:G,7,FALSE),[1]Shipper!A:B,2,FALSE),"Not Specified")</f>
        <v>Shipper ZHISN</v>
      </c>
      <c r="O1179" t="str">
        <f>IFERROR(VLOOKUP(A1179,'[1]Sales Order'!A:I,9,FALSE),"Not Specified")</f>
        <v>Ship to 89-A</v>
      </c>
      <c r="P1179" t="str">
        <f>IFERROR(VLOOKUP(A1179,'[1]Sales Order'!A:N,14,FALSE),"Not Specified")</f>
        <v>USA</v>
      </c>
      <c r="Q1179" t="str">
        <f>VLOOKUP(VLOOKUP(B1179,[1]Product!A:C,3,FALSE),[1]Supplier!A:B,2,FALSE)</f>
        <v>Supplier GQRCV</v>
      </c>
      <c r="R1179" t="str">
        <f>VLOOKUP(VLOOKUP(B1179,[1]Product!A:C,3,FALSE),[1]Supplier!A:I,9,FALSE)</f>
        <v>Australia</v>
      </c>
      <c r="S1179" t="str">
        <f>IFERROR(IF(VLOOKUP(A1179,'[1]Sales Order'!A:H,8,FALSE)&gt;100,"High Freight","Low Freight"),"Not Specified")</f>
        <v>High Freight</v>
      </c>
      <c r="T1179">
        <f t="shared" si="37"/>
        <v>780</v>
      </c>
    </row>
    <row r="1180" spans="1:20">
      <c r="A1180" s="1">
        <v>10696</v>
      </c>
      <c r="B1180" s="2">
        <v>46</v>
      </c>
      <c r="C1180" s="2">
        <v>12</v>
      </c>
      <c r="D1180" s="2">
        <v>18</v>
      </c>
      <c r="E1180" s="3">
        <v>0</v>
      </c>
      <c r="F1180" s="2" t="str">
        <f>IFERROR(VLOOKUP(VLOOKUP(A1180,'[1]Sales Order'!A:B,2,FALSE),[1]Customer!A:C,3,FALSE),"Not Specified")</f>
        <v>Smith Jr., Ronaldo</v>
      </c>
      <c r="G1180" s="2" t="str">
        <f t="shared" si="36"/>
        <v>Smith Jr. Ronaldo</v>
      </c>
      <c r="H1180" s="8" t="str">
        <f>IFERROR(VLOOKUP(VLOOKUP(A1180,'[1]Sales Order'!A:C,3,FALSE),[1]Employee!A:E,5,FALSE)&amp;" "&amp;VLOOKUP(VLOOKUP(A1180,'[1]Sales Order'!A:C,3,FALSE),[1]Employee!A:C,3,FALSE)&amp;" "&amp;VLOOKUP(VLOOKUP(A1180,'[1]Sales Order'!A:C,3,FALSE),[1]Employee!A:B,2,FALSE),"Not Specified")</f>
        <v>Ms. Maria Cameron</v>
      </c>
      <c r="I1180" t="str">
        <f>IFERROR(VLOOKUP(VLOOKUP(A1180,'[1]Sales Order'!A:C,3,FALSE),[1]Employee!A:J,10,FALSE),"Not Specified")</f>
        <v>WA</v>
      </c>
      <c r="J1180" t="str">
        <f>VLOOKUP(B1180,[1]Product!A:B,2,FALSE)</f>
        <v>Product CBRRL</v>
      </c>
      <c r="K1180" t="str">
        <f>VLOOKUP(VLOOKUP(B1180,[1]Product!A:D,4,FALSE),[1]Category!A:B,2,FALSE)</f>
        <v>Seafood</v>
      </c>
      <c r="L1180" s="10">
        <f>IFERROR(VLOOKUP(A1180,'[1]Sales Order'!A:D,4,FALSE),"")</f>
        <v>39363</v>
      </c>
      <c r="M1180" s="10">
        <f>IFERROR(VLOOKUP(A1180,'[1]Sales Order'!A:F,6,FALSE),"")</f>
        <v>39369</v>
      </c>
      <c r="N1180" t="str">
        <f>IFERROR(VLOOKUP(VLOOKUP(A1180,'[1]Sales Order'!A:G,7,FALSE),[1]Shipper!A:B,2,FALSE),"Not Specified")</f>
        <v>Shipper ZHISN</v>
      </c>
      <c r="O1180" t="str">
        <f>IFERROR(VLOOKUP(A1180,'[1]Sales Order'!A:I,9,FALSE),"Not Specified")</f>
        <v>Ship to 89-A</v>
      </c>
      <c r="P1180" t="str">
        <f>IFERROR(VLOOKUP(A1180,'[1]Sales Order'!A:N,14,FALSE),"Not Specified")</f>
        <v>USA</v>
      </c>
      <c r="Q1180" t="str">
        <f>VLOOKUP(VLOOKUP(B1180,[1]Product!A:C,3,FALSE),[1]Supplier!A:B,2,FALSE)</f>
        <v>Supplier XOXZA</v>
      </c>
      <c r="R1180" t="str">
        <f>VLOOKUP(VLOOKUP(B1180,[1]Product!A:C,3,FALSE),[1]Supplier!A:I,9,FALSE)</f>
        <v>Denmark</v>
      </c>
      <c r="S1180" t="str">
        <f>IFERROR(IF(VLOOKUP(A1180,'[1]Sales Order'!A:H,8,FALSE)&gt;100,"High Freight","Low Freight"),"Not Specified")</f>
        <v>High Freight</v>
      </c>
      <c r="T1180">
        <f t="shared" si="37"/>
        <v>216</v>
      </c>
    </row>
    <row r="1181" spans="1:20">
      <c r="A1181" s="1">
        <v>10697</v>
      </c>
      <c r="B1181" s="2">
        <v>19</v>
      </c>
      <c r="C1181" s="2">
        <v>9.1999999999999993</v>
      </c>
      <c r="D1181" s="2">
        <v>7</v>
      </c>
      <c r="E1181" s="3">
        <v>0.25</v>
      </c>
      <c r="F1181" s="2" t="str">
        <f>IFERROR(VLOOKUP(VLOOKUP(A1181,'[1]Sales Order'!A:B,2,FALSE),[1]Customer!A:C,3,FALSE),"Not Specified")</f>
        <v>Lupu, Cornel</v>
      </c>
      <c r="G1181" s="2" t="str">
        <f t="shared" si="36"/>
        <v>Lupu Cornel</v>
      </c>
      <c r="H1181" s="8" t="str">
        <f>IFERROR(VLOOKUP(VLOOKUP(A1181,'[1]Sales Order'!A:C,3,FALSE),[1]Employee!A:E,5,FALSE)&amp;" "&amp;VLOOKUP(VLOOKUP(A1181,'[1]Sales Order'!A:C,3,FALSE),[1]Employee!A:C,3,FALSE)&amp;" "&amp;VLOOKUP(VLOOKUP(A1181,'[1]Sales Order'!A:C,3,FALSE),[1]Employee!A:B,2,FALSE),"Not Specified")</f>
        <v>Ms. Judy Lew</v>
      </c>
      <c r="I1181" t="str">
        <f>IFERROR(VLOOKUP(VLOOKUP(A1181,'[1]Sales Order'!A:C,3,FALSE),[1]Employee!A:J,10,FALSE),"Not Specified")</f>
        <v>WA</v>
      </c>
      <c r="J1181" t="str">
        <f>VLOOKUP(B1181,[1]Product!A:B,2,FALSE)</f>
        <v>Product XKXDO</v>
      </c>
      <c r="K1181" t="str">
        <f>VLOOKUP(VLOOKUP(B1181,[1]Product!A:D,4,FALSE),[1]Category!A:B,2,FALSE)</f>
        <v>Confections</v>
      </c>
      <c r="L1181" s="10">
        <f>IFERROR(VLOOKUP(A1181,'[1]Sales Order'!A:D,4,FALSE),"")</f>
        <v>39363</v>
      </c>
      <c r="M1181" s="10">
        <f>IFERROR(VLOOKUP(A1181,'[1]Sales Order'!A:F,6,FALSE),"")</f>
        <v>39369</v>
      </c>
      <c r="N1181" t="str">
        <f>IFERROR(VLOOKUP(VLOOKUP(A1181,'[1]Sales Order'!A:G,7,FALSE),[1]Shipper!A:B,2,FALSE),"Not Specified")</f>
        <v>Shipper GVSUA</v>
      </c>
      <c r="O1181" t="str">
        <f>IFERROR(VLOOKUP(A1181,'[1]Sales Order'!A:I,9,FALSE),"Not Specified")</f>
        <v>Ship to 47-B</v>
      </c>
      <c r="P1181" t="str">
        <f>IFERROR(VLOOKUP(A1181,'[1]Sales Order'!A:N,14,FALSE),"Not Specified")</f>
        <v>Venezuela</v>
      </c>
      <c r="Q1181" t="str">
        <f>VLOOKUP(VLOOKUP(B1181,[1]Product!A:C,3,FALSE),[1]Supplier!A:B,2,FALSE)</f>
        <v>Supplier BWGYE</v>
      </c>
      <c r="R1181" t="str">
        <f>VLOOKUP(VLOOKUP(B1181,[1]Product!A:C,3,FALSE),[1]Supplier!A:I,9,FALSE)</f>
        <v>UK</v>
      </c>
      <c r="S1181" t="str">
        <f>IFERROR(IF(VLOOKUP(A1181,'[1]Sales Order'!A:H,8,FALSE)&gt;100,"High Freight","Low Freight"),"Not Specified")</f>
        <v>Low Freight</v>
      </c>
      <c r="T1181">
        <f t="shared" si="37"/>
        <v>48.3</v>
      </c>
    </row>
    <row r="1182" spans="1:20">
      <c r="A1182" s="1">
        <v>10697</v>
      </c>
      <c r="B1182" s="2">
        <v>35</v>
      </c>
      <c r="C1182" s="2">
        <v>18</v>
      </c>
      <c r="D1182" s="2">
        <v>9</v>
      </c>
      <c r="E1182" s="3">
        <v>0.25</v>
      </c>
      <c r="F1182" s="2" t="str">
        <f>IFERROR(VLOOKUP(VLOOKUP(A1182,'[1]Sales Order'!A:B,2,FALSE),[1]Customer!A:C,3,FALSE),"Not Specified")</f>
        <v>Lupu, Cornel</v>
      </c>
      <c r="G1182" s="2" t="str">
        <f t="shared" si="36"/>
        <v>Lupu Cornel</v>
      </c>
      <c r="H1182" s="8" t="str">
        <f>IFERROR(VLOOKUP(VLOOKUP(A1182,'[1]Sales Order'!A:C,3,FALSE),[1]Employee!A:E,5,FALSE)&amp;" "&amp;VLOOKUP(VLOOKUP(A1182,'[1]Sales Order'!A:C,3,FALSE),[1]Employee!A:C,3,FALSE)&amp;" "&amp;VLOOKUP(VLOOKUP(A1182,'[1]Sales Order'!A:C,3,FALSE),[1]Employee!A:B,2,FALSE),"Not Specified")</f>
        <v>Ms. Judy Lew</v>
      </c>
      <c r="I1182" t="str">
        <f>IFERROR(VLOOKUP(VLOOKUP(A1182,'[1]Sales Order'!A:C,3,FALSE),[1]Employee!A:J,10,FALSE),"Not Specified")</f>
        <v>WA</v>
      </c>
      <c r="J1182" t="str">
        <f>VLOOKUP(B1182,[1]Product!A:B,2,FALSE)</f>
        <v>Product NEVTJ</v>
      </c>
      <c r="K1182" t="str">
        <f>VLOOKUP(VLOOKUP(B1182,[1]Product!A:D,4,FALSE),[1]Category!A:B,2,FALSE)</f>
        <v>Beverages</v>
      </c>
      <c r="L1182" s="10">
        <f>IFERROR(VLOOKUP(A1182,'[1]Sales Order'!A:D,4,FALSE),"")</f>
        <v>39363</v>
      </c>
      <c r="M1182" s="10">
        <f>IFERROR(VLOOKUP(A1182,'[1]Sales Order'!A:F,6,FALSE),"")</f>
        <v>39369</v>
      </c>
      <c r="N1182" t="str">
        <f>IFERROR(VLOOKUP(VLOOKUP(A1182,'[1]Sales Order'!A:G,7,FALSE),[1]Shipper!A:B,2,FALSE),"Not Specified")</f>
        <v>Shipper GVSUA</v>
      </c>
      <c r="O1182" t="str">
        <f>IFERROR(VLOOKUP(A1182,'[1]Sales Order'!A:I,9,FALSE),"Not Specified")</f>
        <v>Ship to 47-B</v>
      </c>
      <c r="P1182" t="str">
        <f>IFERROR(VLOOKUP(A1182,'[1]Sales Order'!A:N,14,FALSE),"Not Specified")</f>
        <v>Venezuela</v>
      </c>
      <c r="Q1182" t="str">
        <f>VLOOKUP(VLOOKUP(B1182,[1]Product!A:C,3,FALSE),[1]Supplier!A:B,2,FALSE)</f>
        <v>Supplier UHZRG</v>
      </c>
      <c r="R1182" t="str">
        <f>VLOOKUP(VLOOKUP(B1182,[1]Product!A:C,3,FALSE),[1]Supplier!A:I,9,FALSE)</f>
        <v>USA</v>
      </c>
      <c r="S1182" t="str">
        <f>IFERROR(IF(VLOOKUP(A1182,'[1]Sales Order'!A:H,8,FALSE)&gt;100,"High Freight","Low Freight"),"Not Specified")</f>
        <v>Low Freight</v>
      </c>
      <c r="T1182">
        <f t="shared" si="37"/>
        <v>121.5</v>
      </c>
    </row>
    <row r="1183" spans="1:20">
      <c r="A1183" s="1">
        <v>10697</v>
      </c>
      <c r="B1183" s="2">
        <v>58</v>
      </c>
      <c r="C1183" s="2">
        <v>13.25</v>
      </c>
      <c r="D1183" s="2">
        <v>30</v>
      </c>
      <c r="E1183" s="3">
        <v>0.25</v>
      </c>
      <c r="F1183" s="2" t="str">
        <f>IFERROR(VLOOKUP(VLOOKUP(A1183,'[1]Sales Order'!A:B,2,FALSE),[1]Customer!A:C,3,FALSE),"Not Specified")</f>
        <v>Lupu, Cornel</v>
      </c>
      <c r="G1183" s="2" t="str">
        <f t="shared" si="36"/>
        <v>Lupu Cornel</v>
      </c>
      <c r="H1183" s="8" t="str">
        <f>IFERROR(VLOOKUP(VLOOKUP(A1183,'[1]Sales Order'!A:C,3,FALSE),[1]Employee!A:E,5,FALSE)&amp;" "&amp;VLOOKUP(VLOOKUP(A1183,'[1]Sales Order'!A:C,3,FALSE),[1]Employee!A:C,3,FALSE)&amp;" "&amp;VLOOKUP(VLOOKUP(A1183,'[1]Sales Order'!A:C,3,FALSE),[1]Employee!A:B,2,FALSE),"Not Specified")</f>
        <v>Ms. Judy Lew</v>
      </c>
      <c r="I1183" t="str">
        <f>IFERROR(VLOOKUP(VLOOKUP(A1183,'[1]Sales Order'!A:C,3,FALSE),[1]Employee!A:J,10,FALSE),"Not Specified")</f>
        <v>WA</v>
      </c>
      <c r="J1183" t="str">
        <f>VLOOKUP(B1183,[1]Product!A:B,2,FALSE)</f>
        <v>Product ACRVI</v>
      </c>
      <c r="K1183" t="str">
        <f>VLOOKUP(VLOOKUP(B1183,[1]Product!A:D,4,FALSE),[1]Category!A:B,2,FALSE)</f>
        <v>Seafood</v>
      </c>
      <c r="L1183" s="10">
        <f>IFERROR(VLOOKUP(A1183,'[1]Sales Order'!A:D,4,FALSE),"")</f>
        <v>39363</v>
      </c>
      <c r="M1183" s="10">
        <f>IFERROR(VLOOKUP(A1183,'[1]Sales Order'!A:F,6,FALSE),"")</f>
        <v>39369</v>
      </c>
      <c r="N1183" t="str">
        <f>IFERROR(VLOOKUP(VLOOKUP(A1183,'[1]Sales Order'!A:G,7,FALSE),[1]Shipper!A:B,2,FALSE),"Not Specified")</f>
        <v>Shipper GVSUA</v>
      </c>
      <c r="O1183" t="str">
        <f>IFERROR(VLOOKUP(A1183,'[1]Sales Order'!A:I,9,FALSE),"Not Specified")</f>
        <v>Ship to 47-B</v>
      </c>
      <c r="P1183" t="str">
        <f>IFERROR(VLOOKUP(A1183,'[1]Sales Order'!A:N,14,FALSE),"Not Specified")</f>
        <v>Venezuela</v>
      </c>
      <c r="Q1183" t="str">
        <f>VLOOKUP(VLOOKUP(B1183,[1]Product!A:C,3,FALSE),[1]Supplier!A:B,2,FALSE)</f>
        <v>Supplier ZRYDZ</v>
      </c>
      <c r="R1183" t="str">
        <f>VLOOKUP(VLOOKUP(B1183,[1]Product!A:C,3,FALSE),[1]Supplier!A:I,9,FALSE)</f>
        <v>France</v>
      </c>
      <c r="S1183" t="str">
        <f>IFERROR(IF(VLOOKUP(A1183,'[1]Sales Order'!A:H,8,FALSE)&gt;100,"High Freight","Low Freight"),"Not Specified")</f>
        <v>Low Freight</v>
      </c>
      <c r="T1183">
        <f t="shared" si="37"/>
        <v>298.125</v>
      </c>
    </row>
    <row r="1184" spans="1:20">
      <c r="A1184" s="1">
        <v>10697</v>
      </c>
      <c r="B1184" s="2">
        <v>70</v>
      </c>
      <c r="C1184" s="2">
        <v>15</v>
      </c>
      <c r="D1184" s="2">
        <v>30</v>
      </c>
      <c r="E1184" s="3">
        <v>0.25</v>
      </c>
      <c r="F1184" s="2" t="str">
        <f>IFERROR(VLOOKUP(VLOOKUP(A1184,'[1]Sales Order'!A:B,2,FALSE),[1]Customer!A:C,3,FALSE),"Not Specified")</f>
        <v>Lupu, Cornel</v>
      </c>
      <c r="G1184" s="2" t="str">
        <f t="shared" si="36"/>
        <v>Lupu Cornel</v>
      </c>
      <c r="H1184" s="8" t="str">
        <f>IFERROR(VLOOKUP(VLOOKUP(A1184,'[1]Sales Order'!A:C,3,FALSE),[1]Employee!A:E,5,FALSE)&amp;" "&amp;VLOOKUP(VLOOKUP(A1184,'[1]Sales Order'!A:C,3,FALSE),[1]Employee!A:C,3,FALSE)&amp;" "&amp;VLOOKUP(VLOOKUP(A1184,'[1]Sales Order'!A:C,3,FALSE),[1]Employee!A:B,2,FALSE),"Not Specified")</f>
        <v>Ms. Judy Lew</v>
      </c>
      <c r="I1184" t="str">
        <f>IFERROR(VLOOKUP(VLOOKUP(A1184,'[1]Sales Order'!A:C,3,FALSE),[1]Employee!A:J,10,FALSE),"Not Specified")</f>
        <v>WA</v>
      </c>
      <c r="J1184" t="str">
        <f>VLOOKUP(B1184,[1]Product!A:B,2,FALSE)</f>
        <v>Product TOONT</v>
      </c>
      <c r="K1184" t="str">
        <f>VLOOKUP(VLOOKUP(B1184,[1]Product!A:D,4,FALSE),[1]Category!A:B,2,FALSE)</f>
        <v>Beverages</v>
      </c>
      <c r="L1184" s="10">
        <f>IFERROR(VLOOKUP(A1184,'[1]Sales Order'!A:D,4,FALSE),"")</f>
        <v>39363</v>
      </c>
      <c r="M1184" s="10">
        <f>IFERROR(VLOOKUP(A1184,'[1]Sales Order'!A:F,6,FALSE),"")</f>
        <v>39369</v>
      </c>
      <c r="N1184" t="str">
        <f>IFERROR(VLOOKUP(VLOOKUP(A1184,'[1]Sales Order'!A:G,7,FALSE),[1]Shipper!A:B,2,FALSE),"Not Specified")</f>
        <v>Shipper GVSUA</v>
      </c>
      <c r="O1184" t="str">
        <f>IFERROR(VLOOKUP(A1184,'[1]Sales Order'!A:I,9,FALSE),"Not Specified")</f>
        <v>Ship to 47-B</v>
      </c>
      <c r="P1184" t="str">
        <f>IFERROR(VLOOKUP(A1184,'[1]Sales Order'!A:N,14,FALSE),"Not Specified")</f>
        <v>Venezuela</v>
      </c>
      <c r="Q1184" t="str">
        <f>VLOOKUP(VLOOKUP(B1184,[1]Product!A:C,3,FALSE),[1]Supplier!A:B,2,FALSE)</f>
        <v>Supplier GQRCV</v>
      </c>
      <c r="R1184" t="str">
        <f>VLOOKUP(VLOOKUP(B1184,[1]Product!A:C,3,FALSE),[1]Supplier!A:I,9,FALSE)</f>
        <v>Australia</v>
      </c>
      <c r="S1184" t="str">
        <f>IFERROR(IF(VLOOKUP(A1184,'[1]Sales Order'!A:H,8,FALSE)&gt;100,"High Freight","Low Freight"),"Not Specified")</f>
        <v>Low Freight</v>
      </c>
      <c r="T1184">
        <f t="shared" si="37"/>
        <v>337.5</v>
      </c>
    </row>
    <row r="1185" spans="1:20">
      <c r="A1185" s="1">
        <v>10698</v>
      </c>
      <c r="B1185" s="2">
        <v>11</v>
      </c>
      <c r="C1185" s="2">
        <v>21</v>
      </c>
      <c r="D1185" s="2">
        <v>15</v>
      </c>
      <c r="E1185" s="3">
        <v>0</v>
      </c>
      <c r="F1185" s="2" t="str">
        <f>IFERROR(VLOOKUP(VLOOKUP(A1185,'[1]Sales Order'!A:B,2,FALSE),[1]Customer!A:C,3,FALSE),"Not Specified")</f>
        <v>Kane, John</v>
      </c>
      <c r="G1185" s="2" t="str">
        <f t="shared" si="36"/>
        <v>Kane John</v>
      </c>
      <c r="H1185" s="8" t="str">
        <f>IFERROR(VLOOKUP(VLOOKUP(A1185,'[1]Sales Order'!A:C,3,FALSE),[1]Employee!A:E,5,FALSE)&amp;" "&amp;VLOOKUP(VLOOKUP(A1185,'[1]Sales Order'!A:C,3,FALSE),[1]Employee!A:C,3,FALSE)&amp;" "&amp;VLOOKUP(VLOOKUP(A1185,'[1]Sales Order'!A:C,3,FALSE),[1]Employee!A:B,2,FALSE),"Not Specified")</f>
        <v>Mrs. Yael Peled</v>
      </c>
      <c r="I1185" t="str">
        <f>IFERROR(VLOOKUP(VLOOKUP(A1185,'[1]Sales Order'!A:C,3,FALSE),[1]Employee!A:J,10,FALSE),"Not Specified")</f>
        <v>WA</v>
      </c>
      <c r="J1185" t="str">
        <f>VLOOKUP(B1185,[1]Product!A:B,2,FALSE)</f>
        <v>Product QMVUN</v>
      </c>
      <c r="K1185" t="str">
        <f>VLOOKUP(VLOOKUP(B1185,[1]Product!A:D,4,FALSE),[1]Category!A:B,2,FALSE)</f>
        <v>Dairy Product</v>
      </c>
      <c r="L1185" s="10">
        <f>IFERROR(VLOOKUP(A1185,'[1]Sales Order'!A:D,4,FALSE),"")</f>
        <v>39364</v>
      </c>
      <c r="M1185" s="10">
        <f>IFERROR(VLOOKUP(A1185,'[1]Sales Order'!A:F,6,FALSE),"")</f>
        <v>39372</v>
      </c>
      <c r="N1185" t="str">
        <f>IFERROR(VLOOKUP(VLOOKUP(A1185,'[1]Sales Order'!A:G,7,FALSE),[1]Shipper!A:B,2,FALSE),"Not Specified")</f>
        <v>Shipper GVSUA</v>
      </c>
      <c r="O1185" t="str">
        <f>IFERROR(VLOOKUP(A1185,'[1]Sales Order'!A:I,9,FALSE),"Not Specified")</f>
        <v>Destination RVDMF</v>
      </c>
      <c r="P1185" t="str">
        <f>IFERROR(VLOOKUP(A1185,'[1]Sales Order'!A:N,14,FALSE),"Not Specified")</f>
        <v>Austria</v>
      </c>
      <c r="Q1185" t="str">
        <f>VLOOKUP(VLOOKUP(B1185,[1]Product!A:C,3,FALSE),[1]Supplier!A:B,2,FALSE)</f>
        <v>Supplier EQPNC</v>
      </c>
      <c r="R1185" t="str">
        <f>VLOOKUP(VLOOKUP(B1185,[1]Product!A:C,3,FALSE),[1]Supplier!A:I,9,FALSE)</f>
        <v>Spain</v>
      </c>
      <c r="S1185" t="str">
        <f>IFERROR(IF(VLOOKUP(A1185,'[1]Sales Order'!A:H,8,FALSE)&gt;100,"High Freight","Low Freight"),"Not Specified")</f>
        <v>High Freight</v>
      </c>
      <c r="T1185">
        <f t="shared" si="37"/>
        <v>315</v>
      </c>
    </row>
    <row r="1186" spans="1:20">
      <c r="A1186" s="1">
        <v>10698</v>
      </c>
      <c r="B1186" s="2">
        <v>17</v>
      </c>
      <c r="C1186" s="2">
        <v>39</v>
      </c>
      <c r="D1186" s="2">
        <v>8</v>
      </c>
      <c r="E1186" s="3">
        <v>0.05</v>
      </c>
      <c r="F1186" s="2" t="str">
        <f>IFERROR(VLOOKUP(VLOOKUP(A1186,'[1]Sales Order'!A:B,2,FALSE),[1]Customer!A:C,3,FALSE),"Not Specified")</f>
        <v>Kane, John</v>
      </c>
      <c r="G1186" s="2" t="str">
        <f t="shared" si="36"/>
        <v>Kane John</v>
      </c>
      <c r="H1186" s="8" t="str">
        <f>IFERROR(VLOOKUP(VLOOKUP(A1186,'[1]Sales Order'!A:C,3,FALSE),[1]Employee!A:E,5,FALSE)&amp;" "&amp;VLOOKUP(VLOOKUP(A1186,'[1]Sales Order'!A:C,3,FALSE),[1]Employee!A:C,3,FALSE)&amp;" "&amp;VLOOKUP(VLOOKUP(A1186,'[1]Sales Order'!A:C,3,FALSE),[1]Employee!A:B,2,FALSE),"Not Specified")</f>
        <v>Mrs. Yael Peled</v>
      </c>
      <c r="I1186" t="str">
        <f>IFERROR(VLOOKUP(VLOOKUP(A1186,'[1]Sales Order'!A:C,3,FALSE),[1]Employee!A:J,10,FALSE),"Not Specified")</f>
        <v>WA</v>
      </c>
      <c r="J1186" t="str">
        <f>VLOOKUP(B1186,[1]Product!A:B,2,FALSE)</f>
        <v>Product BLCAX</v>
      </c>
      <c r="K1186" t="str">
        <f>VLOOKUP(VLOOKUP(B1186,[1]Product!A:D,4,FALSE),[1]Category!A:B,2,FALSE)</f>
        <v>Meat/Poultry</v>
      </c>
      <c r="L1186" s="10">
        <f>IFERROR(VLOOKUP(A1186,'[1]Sales Order'!A:D,4,FALSE),"")</f>
        <v>39364</v>
      </c>
      <c r="M1186" s="10">
        <f>IFERROR(VLOOKUP(A1186,'[1]Sales Order'!A:F,6,FALSE),"")</f>
        <v>39372</v>
      </c>
      <c r="N1186" t="str">
        <f>IFERROR(VLOOKUP(VLOOKUP(A1186,'[1]Sales Order'!A:G,7,FALSE),[1]Shipper!A:B,2,FALSE),"Not Specified")</f>
        <v>Shipper GVSUA</v>
      </c>
      <c r="O1186" t="str">
        <f>IFERROR(VLOOKUP(A1186,'[1]Sales Order'!A:I,9,FALSE),"Not Specified")</f>
        <v>Destination RVDMF</v>
      </c>
      <c r="P1186" t="str">
        <f>IFERROR(VLOOKUP(A1186,'[1]Sales Order'!A:N,14,FALSE),"Not Specified")</f>
        <v>Austria</v>
      </c>
      <c r="Q1186" t="str">
        <f>VLOOKUP(VLOOKUP(B1186,[1]Product!A:C,3,FALSE),[1]Supplier!A:B,2,FALSE)</f>
        <v>Supplier GQRCV</v>
      </c>
      <c r="R1186" t="str">
        <f>VLOOKUP(VLOOKUP(B1186,[1]Product!A:C,3,FALSE),[1]Supplier!A:I,9,FALSE)</f>
        <v>Australia</v>
      </c>
      <c r="S1186" t="str">
        <f>IFERROR(IF(VLOOKUP(A1186,'[1]Sales Order'!A:H,8,FALSE)&gt;100,"High Freight","Low Freight"),"Not Specified")</f>
        <v>High Freight</v>
      </c>
      <c r="T1186">
        <f t="shared" si="37"/>
        <v>296.39999999999998</v>
      </c>
    </row>
    <row r="1187" spans="1:20">
      <c r="A1187" s="1">
        <v>10698</v>
      </c>
      <c r="B1187" s="2">
        <v>29</v>
      </c>
      <c r="C1187" s="2">
        <v>123.79</v>
      </c>
      <c r="D1187" s="2">
        <v>12</v>
      </c>
      <c r="E1187" s="3">
        <v>0.05</v>
      </c>
      <c r="F1187" s="2" t="str">
        <f>IFERROR(VLOOKUP(VLOOKUP(A1187,'[1]Sales Order'!A:B,2,FALSE),[1]Customer!A:C,3,FALSE),"Not Specified")</f>
        <v>Kane, John</v>
      </c>
      <c r="G1187" s="2" t="str">
        <f t="shared" si="36"/>
        <v>Kane John</v>
      </c>
      <c r="H1187" s="8" t="str">
        <f>IFERROR(VLOOKUP(VLOOKUP(A1187,'[1]Sales Order'!A:C,3,FALSE),[1]Employee!A:E,5,FALSE)&amp;" "&amp;VLOOKUP(VLOOKUP(A1187,'[1]Sales Order'!A:C,3,FALSE),[1]Employee!A:C,3,FALSE)&amp;" "&amp;VLOOKUP(VLOOKUP(A1187,'[1]Sales Order'!A:C,3,FALSE),[1]Employee!A:B,2,FALSE),"Not Specified")</f>
        <v>Mrs. Yael Peled</v>
      </c>
      <c r="I1187" t="str">
        <f>IFERROR(VLOOKUP(VLOOKUP(A1187,'[1]Sales Order'!A:C,3,FALSE),[1]Employee!A:J,10,FALSE),"Not Specified")</f>
        <v>WA</v>
      </c>
      <c r="J1187" t="str">
        <f>VLOOKUP(B1187,[1]Product!A:B,2,FALSE)</f>
        <v>Product VJXYN</v>
      </c>
      <c r="K1187" t="str">
        <f>VLOOKUP(VLOOKUP(B1187,[1]Product!A:D,4,FALSE),[1]Category!A:B,2,FALSE)</f>
        <v>Meat/Poultry</v>
      </c>
      <c r="L1187" s="10">
        <f>IFERROR(VLOOKUP(A1187,'[1]Sales Order'!A:D,4,FALSE),"")</f>
        <v>39364</v>
      </c>
      <c r="M1187" s="10">
        <f>IFERROR(VLOOKUP(A1187,'[1]Sales Order'!A:F,6,FALSE),"")</f>
        <v>39372</v>
      </c>
      <c r="N1187" t="str">
        <f>IFERROR(VLOOKUP(VLOOKUP(A1187,'[1]Sales Order'!A:G,7,FALSE),[1]Shipper!A:B,2,FALSE),"Not Specified")</f>
        <v>Shipper GVSUA</v>
      </c>
      <c r="O1187" t="str">
        <f>IFERROR(VLOOKUP(A1187,'[1]Sales Order'!A:I,9,FALSE),"Not Specified")</f>
        <v>Destination RVDMF</v>
      </c>
      <c r="P1187" t="str">
        <f>IFERROR(VLOOKUP(A1187,'[1]Sales Order'!A:N,14,FALSE),"Not Specified")</f>
        <v>Austria</v>
      </c>
      <c r="Q1187" t="str">
        <f>VLOOKUP(VLOOKUP(B1187,[1]Product!A:C,3,FALSE),[1]Supplier!A:B,2,FALSE)</f>
        <v>Supplier SVIYA</v>
      </c>
      <c r="R1187" t="str">
        <f>VLOOKUP(VLOOKUP(B1187,[1]Product!A:C,3,FALSE),[1]Supplier!A:I,9,FALSE)</f>
        <v>Germany</v>
      </c>
      <c r="S1187" t="str">
        <f>IFERROR(IF(VLOOKUP(A1187,'[1]Sales Order'!A:H,8,FALSE)&gt;100,"High Freight","Low Freight"),"Not Specified")</f>
        <v>High Freight</v>
      </c>
      <c r="T1187">
        <f t="shared" si="37"/>
        <v>1411.2059999999999</v>
      </c>
    </row>
    <row r="1188" spans="1:20">
      <c r="A1188" s="1">
        <v>10698</v>
      </c>
      <c r="B1188" s="2">
        <v>65</v>
      </c>
      <c r="C1188" s="2">
        <v>21.05</v>
      </c>
      <c r="D1188" s="2">
        <v>65</v>
      </c>
      <c r="E1188" s="3">
        <v>0.05</v>
      </c>
      <c r="F1188" s="2" t="str">
        <f>IFERROR(VLOOKUP(VLOOKUP(A1188,'[1]Sales Order'!A:B,2,FALSE),[1]Customer!A:C,3,FALSE),"Not Specified")</f>
        <v>Kane, John</v>
      </c>
      <c r="G1188" s="2" t="str">
        <f t="shared" si="36"/>
        <v>Kane John</v>
      </c>
      <c r="H1188" s="8" t="str">
        <f>IFERROR(VLOOKUP(VLOOKUP(A1188,'[1]Sales Order'!A:C,3,FALSE),[1]Employee!A:E,5,FALSE)&amp;" "&amp;VLOOKUP(VLOOKUP(A1188,'[1]Sales Order'!A:C,3,FALSE),[1]Employee!A:C,3,FALSE)&amp;" "&amp;VLOOKUP(VLOOKUP(A1188,'[1]Sales Order'!A:C,3,FALSE),[1]Employee!A:B,2,FALSE),"Not Specified")</f>
        <v>Mrs. Yael Peled</v>
      </c>
      <c r="I1188" t="str">
        <f>IFERROR(VLOOKUP(VLOOKUP(A1188,'[1]Sales Order'!A:C,3,FALSE),[1]Employee!A:J,10,FALSE),"Not Specified")</f>
        <v>WA</v>
      </c>
      <c r="J1188" t="str">
        <f>VLOOKUP(B1188,[1]Product!A:B,2,FALSE)</f>
        <v>Product XYWBZ</v>
      </c>
      <c r="K1188" t="str">
        <f>VLOOKUP(VLOOKUP(B1188,[1]Product!A:D,4,FALSE),[1]Category!A:B,2,FALSE)</f>
        <v>Condiments</v>
      </c>
      <c r="L1188" s="10">
        <f>IFERROR(VLOOKUP(A1188,'[1]Sales Order'!A:D,4,FALSE),"")</f>
        <v>39364</v>
      </c>
      <c r="M1188" s="10">
        <f>IFERROR(VLOOKUP(A1188,'[1]Sales Order'!A:F,6,FALSE),"")</f>
        <v>39372</v>
      </c>
      <c r="N1188" t="str">
        <f>IFERROR(VLOOKUP(VLOOKUP(A1188,'[1]Sales Order'!A:G,7,FALSE),[1]Shipper!A:B,2,FALSE),"Not Specified")</f>
        <v>Shipper GVSUA</v>
      </c>
      <c r="O1188" t="str">
        <f>IFERROR(VLOOKUP(A1188,'[1]Sales Order'!A:I,9,FALSE),"Not Specified")</f>
        <v>Destination RVDMF</v>
      </c>
      <c r="P1188" t="str">
        <f>IFERROR(VLOOKUP(A1188,'[1]Sales Order'!A:N,14,FALSE),"Not Specified")</f>
        <v>Austria</v>
      </c>
      <c r="Q1188" t="str">
        <f>VLOOKUP(VLOOKUP(B1188,[1]Product!A:C,3,FALSE),[1]Supplier!A:B,2,FALSE)</f>
        <v>Supplier VHQZD</v>
      </c>
      <c r="R1188" t="str">
        <f>VLOOKUP(VLOOKUP(B1188,[1]Product!A:C,3,FALSE),[1]Supplier!A:I,9,FALSE)</f>
        <v>USA</v>
      </c>
      <c r="S1188" t="str">
        <f>IFERROR(IF(VLOOKUP(A1188,'[1]Sales Order'!A:H,8,FALSE)&gt;100,"High Freight","Low Freight"),"Not Specified")</f>
        <v>High Freight</v>
      </c>
      <c r="T1188">
        <f t="shared" si="37"/>
        <v>1299.8374999999999</v>
      </c>
    </row>
    <row r="1189" spans="1:20">
      <c r="A1189" s="1">
        <v>10698</v>
      </c>
      <c r="B1189" s="2">
        <v>70</v>
      </c>
      <c r="C1189" s="2">
        <v>15</v>
      </c>
      <c r="D1189" s="2">
        <v>8</v>
      </c>
      <c r="E1189" s="3">
        <v>0.05</v>
      </c>
      <c r="F1189" s="2" t="str">
        <f>IFERROR(VLOOKUP(VLOOKUP(A1189,'[1]Sales Order'!A:B,2,FALSE),[1]Customer!A:C,3,FALSE),"Not Specified")</f>
        <v>Kane, John</v>
      </c>
      <c r="G1189" s="2" t="str">
        <f t="shared" si="36"/>
        <v>Kane John</v>
      </c>
      <c r="H1189" s="8" t="str">
        <f>IFERROR(VLOOKUP(VLOOKUP(A1189,'[1]Sales Order'!A:C,3,FALSE),[1]Employee!A:E,5,FALSE)&amp;" "&amp;VLOOKUP(VLOOKUP(A1189,'[1]Sales Order'!A:C,3,FALSE),[1]Employee!A:C,3,FALSE)&amp;" "&amp;VLOOKUP(VLOOKUP(A1189,'[1]Sales Order'!A:C,3,FALSE),[1]Employee!A:B,2,FALSE),"Not Specified")</f>
        <v>Mrs. Yael Peled</v>
      </c>
      <c r="I1189" t="str">
        <f>IFERROR(VLOOKUP(VLOOKUP(A1189,'[1]Sales Order'!A:C,3,FALSE),[1]Employee!A:J,10,FALSE),"Not Specified")</f>
        <v>WA</v>
      </c>
      <c r="J1189" t="str">
        <f>VLOOKUP(B1189,[1]Product!A:B,2,FALSE)</f>
        <v>Product TOONT</v>
      </c>
      <c r="K1189" t="str">
        <f>VLOOKUP(VLOOKUP(B1189,[1]Product!A:D,4,FALSE),[1]Category!A:B,2,FALSE)</f>
        <v>Beverages</v>
      </c>
      <c r="L1189" s="10">
        <f>IFERROR(VLOOKUP(A1189,'[1]Sales Order'!A:D,4,FALSE),"")</f>
        <v>39364</v>
      </c>
      <c r="M1189" s="10">
        <f>IFERROR(VLOOKUP(A1189,'[1]Sales Order'!A:F,6,FALSE),"")</f>
        <v>39372</v>
      </c>
      <c r="N1189" t="str">
        <f>IFERROR(VLOOKUP(VLOOKUP(A1189,'[1]Sales Order'!A:G,7,FALSE),[1]Shipper!A:B,2,FALSE),"Not Specified")</f>
        <v>Shipper GVSUA</v>
      </c>
      <c r="O1189" t="str">
        <f>IFERROR(VLOOKUP(A1189,'[1]Sales Order'!A:I,9,FALSE),"Not Specified")</f>
        <v>Destination RVDMF</v>
      </c>
      <c r="P1189" t="str">
        <f>IFERROR(VLOOKUP(A1189,'[1]Sales Order'!A:N,14,FALSE),"Not Specified")</f>
        <v>Austria</v>
      </c>
      <c r="Q1189" t="str">
        <f>VLOOKUP(VLOOKUP(B1189,[1]Product!A:C,3,FALSE),[1]Supplier!A:B,2,FALSE)</f>
        <v>Supplier GQRCV</v>
      </c>
      <c r="R1189" t="str">
        <f>VLOOKUP(VLOOKUP(B1189,[1]Product!A:C,3,FALSE),[1]Supplier!A:I,9,FALSE)</f>
        <v>Australia</v>
      </c>
      <c r="S1189" t="str">
        <f>IFERROR(IF(VLOOKUP(A1189,'[1]Sales Order'!A:H,8,FALSE)&gt;100,"High Freight","Low Freight"),"Not Specified")</f>
        <v>High Freight</v>
      </c>
      <c r="T1189">
        <f t="shared" si="37"/>
        <v>114</v>
      </c>
    </row>
    <row r="1190" spans="1:20">
      <c r="A1190" s="1">
        <v>10699</v>
      </c>
      <c r="B1190" s="2">
        <v>47</v>
      </c>
      <c r="C1190" s="2">
        <v>9.5</v>
      </c>
      <c r="D1190" s="2">
        <v>12</v>
      </c>
      <c r="E1190" s="3">
        <v>0</v>
      </c>
      <c r="F1190" s="2" t="str">
        <f>IFERROR(VLOOKUP(VLOOKUP(A1190,'[1]Sales Order'!A:B,2,FALSE),[1]Customer!A:C,3,FALSE),"Not Specified")</f>
        <v>Dupont-Roc, Patrice</v>
      </c>
      <c r="G1190" s="2" t="str">
        <f t="shared" si="36"/>
        <v>Dupont-Roc Patrice</v>
      </c>
      <c r="H1190" s="8" t="str">
        <f>IFERROR(VLOOKUP(VLOOKUP(A1190,'[1]Sales Order'!A:C,3,FALSE),[1]Employee!A:E,5,FALSE)&amp;" "&amp;VLOOKUP(VLOOKUP(A1190,'[1]Sales Order'!A:C,3,FALSE),[1]Employee!A:C,3,FALSE)&amp;" "&amp;VLOOKUP(VLOOKUP(A1190,'[1]Sales Order'!A:C,3,FALSE),[1]Employee!A:B,2,FALSE),"Not Specified")</f>
        <v>Ms. Judy Lew</v>
      </c>
      <c r="I1190" t="str">
        <f>IFERROR(VLOOKUP(VLOOKUP(A1190,'[1]Sales Order'!A:C,3,FALSE),[1]Employee!A:J,10,FALSE),"Not Specified")</f>
        <v>WA</v>
      </c>
      <c r="J1190" t="str">
        <f>VLOOKUP(B1190,[1]Product!A:B,2,FALSE)</f>
        <v>Product EZZPR</v>
      </c>
      <c r="K1190" t="str">
        <f>VLOOKUP(VLOOKUP(B1190,[1]Product!A:D,4,FALSE),[1]Category!A:B,2,FALSE)</f>
        <v>Confections</v>
      </c>
      <c r="L1190" s="10">
        <f>IFERROR(VLOOKUP(A1190,'[1]Sales Order'!A:D,4,FALSE),"")</f>
        <v>39364</v>
      </c>
      <c r="M1190" s="10">
        <f>IFERROR(VLOOKUP(A1190,'[1]Sales Order'!A:F,6,FALSE),"")</f>
        <v>39368</v>
      </c>
      <c r="N1190" t="str">
        <f>IFERROR(VLOOKUP(VLOOKUP(A1190,'[1]Sales Order'!A:G,7,FALSE),[1]Shipper!A:B,2,FALSE),"Not Specified")</f>
        <v>Shipper ZHISN</v>
      </c>
      <c r="O1190" t="str">
        <f>IFERROR(VLOOKUP(A1190,'[1]Sales Order'!A:I,9,FALSE),"Not Specified")</f>
        <v>Ship to 52-B</v>
      </c>
      <c r="P1190" t="str">
        <f>IFERROR(VLOOKUP(A1190,'[1]Sales Order'!A:N,14,FALSE),"Not Specified")</f>
        <v>Germany</v>
      </c>
      <c r="Q1190" t="str">
        <f>VLOOKUP(VLOOKUP(B1190,[1]Product!A:C,3,FALSE),[1]Supplier!A:B,2,FALSE)</f>
        <v>Supplier FNUXM</v>
      </c>
      <c r="R1190" t="str">
        <f>VLOOKUP(VLOOKUP(B1190,[1]Product!A:C,3,FALSE),[1]Supplier!A:I,9,FALSE)</f>
        <v>Netherlands</v>
      </c>
      <c r="S1190" t="str">
        <f>IFERROR(IF(VLOOKUP(A1190,'[1]Sales Order'!A:H,8,FALSE)&gt;100,"High Freight","Low Freight"),"Not Specified")</f>
        <v>Low Freight</v>
      </c>
      <c r="T1190">
        <f t="shared" si="37"/>
        <v>114</v>
      </c>
    </row>
    <row r="1191" spans="1:20">
      <c r="A1191" s="1">
        <v>10700</v>
      </c>
      <c r="B1191" s="2">
        <v>1</v>
      </c>
      <c r="C1191" s="2">
        <v>18</v>
      </c>
      <c r="D1191" s="2">
        <v>5</v>
      </c>
      <c r="E1191" s="3">
        <v>0.2</v>
      </c>
      <c r="F1191" s="2" t="str">
        <f>IFERROR(VLOOKUP(VLOOKUP(A1191,'[1]Sales Order'!A:B,2,FALSE),[1]Customer!A:C,3,FALSE),"Not Specified")</f>
        <v>Navarro, Tomás</v>
      </c>
      <c r="G1191" s="2" t="str">
        <f t="shared" si="36"/>
        <v>Navarro Tomás</v>
      </c>
      <c r="H1191" s="8" t="str">
        <f>IFERROR(VLOOKUP(VLOOKUP(A1191,'[1]Sales Order'!A:C,3,FALSE),[1]Employee!A:E,5,FALSE)&amp;" "&amp;VLOOKUP(VLOOKUP(A1191,'[1]Sales Order'!A:C,3,FALSE),[1]Employee!A:C,3,FALSE)&amp;" "&amp;VLOOKUP(VLOOKUP(A1191,'[1]Sales Order'!A:C,3,FALSE),[1]Employee!A:B,2,FALSE),"Not Specified")</f>
        <v>Ms. Judy Lew</v>
      </c>
      <c r="I1191" t="str">
        <f>IFERROR(VLOOKUP(VLOOKUP(A1191,'[1]Sales Order'!A:C,3,FALSE),[1]Employee!A:J,10,FALSE),"Not Specified")</f>
        <v>WA</v>
      </c>
      <c r="J1191" t="str">
        <f>VLOOKUP(B1191,[1]Product!A:B,2,FALSE)</f>
        <v>Product HHYDP</v>
      </c>
      <c r="K1191" t="str">
        <f>VLOOKUP(VLOOKUP(B1191,[1]Product!A:D,4,FALSE),[1]Category!A:B,2,FALSE)</f>
        <v>Beverages</v>
      </c>
      <c r="L1191" s="10">
        <f>IFERROR(VLOOKUP(A1191,'[1]Sales Order'!A:D,4,FALSE),"")</f>
        <v>39365</v>
      </c>
      <c r="M1191" s="10">
        <f>IFERROR(VLOOKUP(A1191,'[1]Sales Order'!A:F,6,FALSE),"")</f>
        <v>39371</v>
      </c>
      <c r="N1191" t="str">
        <f>IFERROR(VLOOKUP(VLOOKUP(A1191,'[1]Sales Order'!A:G,7,FALSE),[1]Shipper!A:B,2,FALSE),"Not Specified")</f>
        <v>Shipper GVSUA</v>
      </c>
      <c r="O1191" t="str">
        <f>IFERROR(VLOOKUP(A1191,'[1]Sales Order'!A:I,9,FALSE),"Not Specified")</f>
        <v>Ship to 71-C</v>
      </c>
      <c r="P1191" t="str">
        <f>IFERROR(VLOOKUP(A1191,'[1]Sales Order'!A:N,14,FALSE),"Not Specified")</f>
        <v>USA</v>
      </c>
      <c r="Q1191" t="str">
        <f>VLOOKUP(VLOOKUP(B1191,[1]Product!A:C,3,FALSE),[1]Supplier!A:B,2,FALSE)</f>
        <v>Supplier SWRXU</v>
      </c>
      <c r="R1191" t="str">
        <f>VLOOKUP(VLOOKUP(B1191,[1]Product!A:C,3,FALSE),[1]Supplier!A:I,9,FALSE)</f>
        <v>UK</v>
      </c>
      <c r="S1191" t="str">
        <f>IFERROR(IF(VLOOKUP(A1191,'[1]Sales Order'!A:H,8,FALSE)&gt;100,"High Freight","Low Freight"),"Not Specified")</f>
        <v>Low Freight</v>
      </c>
      <c r="T1191">
        <f t="shared" si="37"/>
        <v>72</v>
      </c>
    </row>
    <row r="1192" spans="1:20">
      <c r="A1192" s="1">
        <v>10700</v>
      </c>
      <c r="B1192" s="2">
        <v>34</v>
      </c>
      <c r="C1192" s="2">
        <v>14</v>
      </c>
      <c r="D1192" s="2">
        <v>12</v>
      </c>
      <c r="E1192" s="3">
        <v>0.2</v>
      </c>
      <c r="F1192" s="2" t="str">
        <f>IFERROR(VLOOKUP(VLOOKUP(A1192,'[1]Sales Order'!A:B,2,FALSE),[1]Customer!A:C,3,FALSE),"Not Specified")</f>
        <v>Navarro, Tomás</v>
      </c>
      <c r="G1192" s="2" t="str">
        <f t="shared" si="36"/>
        <v>Navarro Tomás</v>
      </c>
      <c r="H1192" s="8" t="str">
        <f>IFERROR(VLOOKUP(VLOOKUP(A1192,'[1]Sales Order'!A:C,3,FALSE),[1]Employee!A:E,5,FALSE)&amp;" "&amp;VLOOKUP(VLOOKUP(A1192,'[1]Sales Order'!A:C,3,FALSE),[1]Employee!A:C,3,FALSE)&amp;" "&amp;VLOOKUP(VLOOKUP(A1192,'[1]Sales Order'!A:C,3,FALSE),[1]Employee!A:B,2,FALSE),"Not Specified")</f>
        <v>Ms. Judy Lew</v>
      </c>
      <c r="I1192" t="str">
        <f>IFERROR(VLOOKUP(VLOOKUP(A1192,'[1]Sales Order'!A:C,3,FALSE),[1]Employee!A:J,10,FALSE),"Not Specified")</f>
        <v>WA</v>
      </c>
      <c r="J1192" t="str">
        <f>VLOOKUP(B1192,[1]Product!A:B,2,FALSE)</f>
        <v>Product SWNJY</v>
      </c>
      <c r="K1192" t="str">
        <f>VLOOKUP(VLOOKUP(B1192,[1]Product!A:D,4,FALSE),[1]Category!A:B,2,FALSE)</f>
        <v>Beverages</v>
      </c>
      <c r="L1192" s="10">
        <f>IFERROR(VLOOKUP(A1192,'[1]Sales Order'!A:D,4,FALSE),"")</f>
        <v>39365</v>
      </c>
      <c r="M1192" s="10">
        <f>IFERROR(VLOOKUP(A1192,'[1]Sales Order'!A:F,6,FALSE),"")</f>
        <v>39371</v>
      </c>
      <c r="N1192" t="str">
        <f>IFERROR(VLOOKUP(VLOOKUP(A1192,'[1]Sales Order'!A:G,7,FALSE),[1]Shipper!A:B,2,FALSE),"Not Specified")</f>
        <v>Shipper GVSUA</v>
      </c>
      <c r="O1192" t="str">
        <f>IFERROR(VLOOKUP(A1192,'[1]Sales Order'!A:I,9,FALSE),"Not Specified")</f>
        <v>Ship to 71-C</v>
      </c>
      <c r="P1192" t="str">
        <f>IFERROR(VLOOKUP(A1192,'[1]Sales Order'!A:N,14,FALSE),"Not Specified")</f>
        <v>USA</v>
      </c>
      <c r="Q1192" t="str">
        <f>VLOOKUP(VLOOKUP(B1192,[1]Product!A:C,3,FALSE),[1]Supplier!A:B,2,FALSE)</f>
        <v>Supplier UHZRG</v>
      </c>
      <c r="R1192" t="str">
        <f>VLOOKUP(VLOOKUP(B1192,[1]Product!A:C,3,FALSE),[1]Supplier!A:I,9,FALSE)</f>
        <v>USA</v>
      </c>
      <c r="S1192" t="str">
        <f>IFERROR(IF(VLOOKUP(A1192,'[1]Sales Order'!A:H,8,FALSE)&gt;100,"High Freight","Low Freight"),"Not Specified")</f>
        <v>Low Freight</v>
      </c>
      <c r="T1192">
        <f t="shared" si="37"/>
        <v>134.4</v>
      </c>
    </row>
    <row r="1193" spans="1:20">
      <c r="A1193" s="1">
        <v>10700</v>
      </c>
      <c r="B1193" s="2">
        <v>68</v>
      </c>
      <c r="C1193" s="2">
        <v>12.5</v>
      </c>
      <c r="D1193" s="2">
        <v>40</v>
      </c>
      <c r="E1193" s="3">
        <v>0.2</v>
      </c>
      <c r="F1193" s="2" t="str">
        <f>IFERROR(VLOOKUP(VLOOKUP(A1193,'[1]Sales Order'!A:B,2,FALSE),[1]Customer!A:C,3,FALSE),"Not Specified")</f>
        <v>Navarro, Tomás</v>
      </c>
      <c r="G1193" s="2" t="str">
        <f t="shared" si="36"/>
        <v>Navarro Tomás</v>
      </c>
      <c r="H1193" s="8" t="str">
        <f>IFERROR(VLOOKUP(VLOOKUP(A1193,'[1]Sales Order'!A:C,3,FALSE),[1]Employee!A:E,5,FALSE)&amp;" "&amp;VLOOKUP(VLOOKUP(A1193,'[1]Sales Order'!A:C,3,FALSE),[1]Employee!A:C,3,FALSE)&amp;" "&amp;VLOOKUP(VLOOKUP(A1193,'[1]Sales Order'!A:C,3,FALSE),[1]Employee!A:B,2,FALSE),"Not Specified")</f>
        <v>Ms. Judy Lew</v>
      </c>
      <c r="I1193" t="str">
        <f>IFERROR(VLOOKUP(VLOOKUP(A1193,'[1]Sales Order'!A:C,3,FALSE),[1]Employee!A:J,10,FALSE),"Not Specified")</f>
        <v>WA</v>
      </c>
      <c r="J1193" t="str">
        <f>VLOOKUP(B1193,[1]Product!A:B,2,FALSE)</f>
        <v>Product TBTBL</v>
      </c>
      <c r="K1193" t="str">
        <f>VLOOKUP(VLOOKUP(B1193,[1]Product!A:D,4,FALSE),[1]Category!A:B,2,FALSE)</f>
        <v>Confections</v>
      </c>
      <c r="L1193" s="10">
        <f>IFERROR(VLOOKUP(A1193,'[1]Sales Order'!A:D,4,FALSE),"")</f>
        <v>39365</v>
      </c>
      <c r="M1193" s="10">
        <f>IFERROR(VLOOKUP(A1193,'[1]Sales Order'!A:F,6,FALSE),"")</f>
        <v>39371</v>
      </c>
      <c r="N1193" t="str">
        <f>IFERROR(VLOOKUP(VLOOKUP(A1193,'[1]Sales Order'!A:G,7,FALSE),[1]Shipper!A:B,2,FALSE),"Not Specified")</f>
        <v>Shipper GVSUA</v>
      </c>
      <c r="O1193" t="str">
        <f>IFERROR(VLOOKUP(A1193,'[1]Sales Order'!A:I,9,FALSE),"Not Specified")</f>
        <v>Ship to 71-C</v>
      </c>
      <c r="P1193" t="str">
        <f>IFERROR(VLOOKUP(A1193,'[1]Sales Order'!A:N,14,FALSE),"Not Specified")</f>
        <v>USA</v>
      </c>
      <c r="Q1193" t="str">
        <f>VLOOKUP(VLOOKUP(B1193,[1]Product!A:C,3,FALSE),[1]Supplier!A:B,2,FALSE)</f>
        <v>Supplier BWGYE</v>
      </c>
      <c r="R1193" t="str">
        <f>VLOOKUP(VLOOKUP(B1193,[1]Product!A:C,3,FALSE),[1]Supplier!A:I,9,FALSE)</f>
        <v>UK</v>
      </c>
      <c r="S1193" t="str">
        <f>IFERROR(IF(VLOOKUP(A1193,'[1]Sales Order'!A:H,8,FALSE)&gt;100,"High Freight","Low Freight"),"Not Specified")</f>
        <v>Low Freight</v>
      </c>
      <c r="T1193">
        <f t="shared" si="37"/>
        <v>400</v>
      </c>
    </row>
    <row r="1194" spans="1:20">
      <c r="A1194" s="1">
        <v>10700</v>
      </c>
      <c r="B1194" s="2">
        <v>71</v>
      </c>
      <c r="C1194" s="2">
        <v>21.5</v>
      </c>
      <c r="D1194" s="2">
        <v>60</v>
      </c>
      <c r="E1194" s="3">
        <v>0.2</v>
      </c>
      <c r="F1194" s="2" t="str">
        <f>IFERROR(VLOOKUP(VLOOKUP(A1194,'[1]Sales Order'!A:B,2,FALSE),[1]Customer!A:C,3,FALSE),"Not Specified")</f>
        <v>Navarro, Tomás</v>
      </c>
      <c r="G1194" s="2" t="str">
        <f t="shared" si="36"/>
        <v>Navarro Tomás</v>
      </c>
      <c r="H1194" s="8" t="str">
        <f>IFERROR(VLOOKUP(VLOOKUP(A1194,'[1]Sales Order'!A:C,3,FALSE),[1]Employee!A:E,5,FALSE)&amp;" "&amp;VLOOKUP(VLOOKUP(A1194,'[1]Sales Order'!A:C,3,FALSE),[1]Employee!A:C,3,FALSE)&amp;" "&amp;VLOOKUP(VLOOKUP(A1194,'[1]Sales Order'!A:C,3,FALSE),[1]Employee!A:B,2,FALSE),"Not Specified")</f>
        <v>Ms. Judy Lew</v>
      </c>
      <c r="I1194" t="str">
        <f>IFERROR(VLOOKUP(VLOOKUP(A1194,'[1]Sales Order'!A:C,3,FALSE),[1]Employee!A:J,10,FALSE),"Not Specified")</f>
        <v>WA</v>
      </c>
      <c r="J1194" t="str">
        <f>VLOOKUP(B1194,[1]Product!A:B,2,FALSE)</f>
        <v>Product MYMOI</v>
      </c>
      <c r="K1194" t="str">
        <f>VLOOKUP(VLOOKUP(B1194,[1]Product!A:D,4,FALSE),[1]Category!A:B,2,FALSE)</f>
        <v>Dairy Product</v>
      </c>
      <c r="L1194" s="10">
        <f>IFERROR(VLOOKUP(A1194,'[1]Sales Order'!A:D,4,FALSE),"")</f>
        <v>39365</v>
      </c>
      <c r="M1194" s="10">
        <f>IFERROR(VLOOKUP(A1194,'[1]Sales Order'!A:F,6,FALSE),"")</f>
        <v>39371</v>
      </c>
      <c r="N1194" t="str">
        <f>IFERROR(VLOOKUP(VLOOKUP(A1194,'[1]Sales Order'!A:G,7,FALSE),[1]Shipper!A:B,2,FALSE),"Not Specified")</f>
        <v>Shipper GVSUA</v>
      </c>
      <c r="O1194" t="str">
        <f>IFERROR(VLOOKUP(A1194,'[1]Sales Order'!A:I,9,FALSE),"Not Specified")</f>
        <v>Ship to 71-C</v>
      </c>
      <c r="P1194" t="str">
        <f>IFERROR(VLOOKUP(A1194,'[1]Sales Order'!A:N,14,FALSE),"Not Specified")</f>
        <v>USA</v>
      </c>
      <c r="Q1194" t="str">
        <f>VLOOKUP(VLOOKUP(B1194,[1]Product!A:C,3,FALSE),[1]Supplier!A:B,2,FALSE)</f>
        <v>Supplier NZLIF</v>
      </c>
      <c r="R1194" t="str">
        <f>VLOOKUP(VLOOKUP(B1194,[1]Product!A:C,3,FALSE),[1]Supplier!A:I,9,FALSE)</f>
        <v>Norway</v>
      </c>
      <c r="S1194" t="str">
        <f>IFERROR(IF(VLOOKUP(A1194,'[1]Sales Order'!A:H,8,FALSE)&gt;100,"High Freight","Low Freight"),"Not Specified")</f>
        <v>Low Freight</v>
      </c>
      <c r="T1194">
        <f t="shared" si="37"/>
        <v>1032</v>
      </c>
    </row>
    <row r="1195" spans="1:20">
      <c r="A1195" s="1">
        <v>10701</v>
      </c>
      <c r="B1195" s="2">
        <v>59</v>
      </c>
      <c r="C1195" s="2">
        <v>55</v>
      </c>
      <c r="D1195" s="2">
        <v>42</v>
      </c>
      <c r="E1195" s="3">
        <v>0.15</v>
      </c>
      <c r="F1195" s="2" t="str">
        <f>IFERROR(VLOOKUP(VLOOKUP(A1195,'[1]Sales Order'!A:B,2,FALSE),[1]Customer!A:C,3,FALSE),"Not Specified")</f>
        <v>Crăciun, Ovidiu V.</v>
      </c>
      <c r="G1195" s="2" t="str">
        <f t="shared" si="36"/>
        <v>Crăciun Ovidiu V.</v>
      </c>
      <c r="H1195" s="8" t="str">
        <f>IFERROR(VLOOKUP(VLOOKUP(A1195,'[1]Sales Order'!A:C,3,FALSE),[1]Employee!A:E,5,FALSE)&amp;" "&amp;VLOOKUP(VLOOKUP(A1195,'[1]Sales Order'!A:C,3,FALSE),[1]Employee!A:C,3,FALSE)&amp;" "&amp;VLOOKUP(VLOOKUP(A1195,'[1]Sales Order'!A:C,3,FALSE),[1]Employee!A:B,2,FALSE),"Not Specified")</f>
        <v>Mr. Paul Suurs</v>
      </c>
      <c r="I1195">
        <f>IFERROR(VLOOKUP(VLOOKUP(A1195,'[1]Sales Order'!A:C,3,FALSE),[1]Employee!A:J,10,FALSE),"Not Specified")</f>
        <v>0</v>
      </c>
      <c r="J1195" t="str">
        <f>VLOOKUP(B1195,[1]Product!A:B,2,FALSE)</f>
        <v>Product UKXRI</v>
      </c>
      <c r="K1195" t="str">
        <f>VLOOKUP(VLOOKUP(B1195,[1]Product!A:D,4,FALSE),[1]Category!A:B,2,FALSE)</f>
        <v>Dairy Product</v>
      </c>
      <c r="L1195" s="10">
        <f>IFERROR(VLOOKUP(A1195,'[1]Sales Order'!A:D,4,FALSE),"")</f>
        <v>39368</v>
      </c>
      <c r="M1195" s="10">
        <f>IFERROR(VLOOKUP(A1195,'[1]Sales Order'!A:F,6,FALSE),"")</f>
        <v>39370</v>
      </c>
      <c r="N1195" t="str">
        <f>IFERROR(VLOOKUP(VLOOKUP(A1195,'[1]Sales Order'!A:G,7,FALSE),[1]Shipper!A:B,2,FALSE),"Not Specified")</f>
        <v>Shipper ZHISN</v>
      </c>
      <c r="O1195" t="str">
        <f>IFERROR(VLOOKUP(A1195,'[1]Sales Order'!A:I,9,FALSE),"Not Specified")</f>
        <v>Destination KPVYJ</v>
      </c>
      <c r="P1195" t="str">
        <f>IFERROR(VLOOKUP(A1195,'[1]Sales Order'!A:N,14,FALSE),"Not Specified")</f>
        <v>Ireland</v>
      </c>
      <c r="Q1195" t="str">
        <f>VLOOKUP(VLOOKUP(B1195,[1]Product!A:C,3,FALSE),[1]Supplier!A:B,2,FALSE)</f>
        <v>Supplier OAVQT</v>
      </c>
      <c r="R1195" t="str">
        <f>VLOOKUP(VLOOKUP(B1195,[1]Product!A:C,3,FALSE),[1]Supplier!A:I,9,FALSE)</f>
        <v>France</v>
      </c>
      <c r="S1195" t="str">
        <f>IFERROR(IF(VLOOKUP(A1195,'[1]Sales Order'!A:H,8,FALSE)&gt;100,"High Freight","Low Freight"),"Not Specified")</f>
        <v>High Freight</v>
      </c>
      <c r="T1195">
        <f t="shared" si="37"/>
        <v>1963.5</v>
      </c>
    </row>
    <row r="1196" spans="1:20">
      <c r="A1196" s="1">
        <v>10701</v>
      </c>
      <c r="B1196" s="2">
        <v>71</v>
      </c>
      <c r="C1196" s="2">
        <v>21.5</v>
      </c>
      <c r="D1196" s="2">
        <v>20</v>
      </c>
      <c r="E1196" s="3">
        <v>0.15</v>
      </c>
      <c r="F1196" s="2" t="str">
        <f>IFERROR(VLOOKUP(VLOOKUP(A1196,'[1]Sales Order'!A:B,2,FALSE),[1]Customer!A:C,3,FALSE),"Not Specified")</f>
        <v>Crăciun, Ovidiu V.</v>
      </c>
      <c r="G1196" s="2" t="str">
        <f t="shared" si="36"/>
        <v>Crăciun Ovidiu V.</v>
      </c>
      <c r="H1196" s="8" t="str">
        <f>IFERROR(VLOOKUP(VLOOKUP(A1196,'[1]Sales Order'!A:C,3,FALSE),[1]Employee!A:E,5,FALSE)&amp;" "&amp;VLOOKUP(VLOOKUP(A1196,'[1]Sales Order'!A:C,3,FALSE),[1]Employee!A:C,3,FALSE)&amp;" "&amp;VLOOKUP(VLOOKUP(A1196,'[1]Sales Order'!A:C,3,FALSE),[1]Employee!A:B,2,FALSE),"Not Specified")</f>
        <v>Mr. Paul Suurs</v>
      </c>
      <c r="I1196">
        <f>IFERROR(VLOOKUP(VLOOKUP(A1196,'[1]Sales Order'!A:C,3,FALSE),[1]Employee!A:J,10,FALSE),"Not Specified")</f>
        <v>0</v>
      </c>
      <c r="J1196" t="str">
        <f>VLOOKUP(B1196,[1]Product!A:B,2,FALSE)</f>
        <v>Product MYMOI</v>
      </c>
      <c r="K1196" t="str">
        <f>VLOOKUP(VLOOKUP(B1196,[1]Product!A:D,4,FALSE),[1]Category!A:B,2,FALSE)</f>
        <v>Dairy Product</v>
      </c>
      <c r="L1196" s="10">
        <f>IFERROR(VLOOKUP(A1196,'[1]Sales Order'!A:D,4,FALSE),"")</f>
        <v>39368</v>
      </c>
      <c r="M1196" s="10">
        <f>IFERROR(VLOOKUP(A1196,'[1]Sales Order'!A:F,6,FALSE),"")</f>
        <v>39370</v>
      </c>
      <c r="N1196" t="str">
        <f>IFERROR(VLOOKUP(VLOOKUP(A1196,'[1]Sales Order'!A:G,7,FALSE),[1]Shipper!A:B,2,FALSE),"Not Specified")</f>
        <v>Shipper ZHISN</v>
      </c>
      <c r="O1196" t="str">
        <f>IFERROR(VLOOKUP(A1196,'[1]Sales Order'!A:I,9,FALSE),"Not Specified")</f>
        <v>Destination KPVYJ</v>
      </c>
      <c r="P1196" t="str">
        <f>IFERROR(VLOOKUP(A1196,'[1]Sales Order'!A:N,14,FALSE),"Not Specified")</f>
        <v>Ireland</v>
      </c>
      <c r="Q1196" t="str">
        <f>VLOOKUP(VLOOKUP(B1196,[1]Product!A:C,3,FALSE),[1]Supplier!A:B,2,FALSE)</f>
        <v>Supplier NZLIF</v>
      </c>
      <c r="R1196" t="str">
        <f>VLOOKUP(VLOOKUP(B1196,[1]Product!A:C,3,FALSE),[1]Supplier!A:I,9,FALSE)</f>
        <v>Norway</v>
      </c>
      <c r="S1196" t="str">
        <f>IFERROR(IF(VLOOKUP(A1196,'[1]Sales Order'!A:H,8,FALSE)&gt;100,"High Freight","Low Freight"),"Not Specified")</f>
        <v>High Freight</v>
      </c>
      <c r="T1196">
        <f t="shared" si="37"/>
        <v>365.5</v>
      </c>
    </row>
    <row r="1197" spans="1:20">
      <c r="A1197" s="1">
        <v>10701</v>
      </c>
      <c r="B1197" s="2">
        <v>76</v>
      </c>
      <c r="C1197" s="2">
        <v>18</v>
      </c>
      <c r="D1197" s="2">
        <v>35</v>
      </c>
      <c r="E1197" s="3">
        <v>0.15</v>
      </c>
      <c r="F1197" s="2" t="str">
        <f>IFERROR(VLOOKUP(VLOOKUP(A1197,'[1]Sales Order'!A:B,2,FALSE),[1]Customer!A:C,3,FALSE),"Not Specified")</f>
        <v>Crăciun, Ovidiu V.</v>
      </c>
      <c r="G1197" s="2" t="str">
        <f t="shared" si="36"/>
        <v>Crăciun Ovidiu V.</v>
      </c>
      <c r="H1197" s="8" t="str">
        <f>IFERROR(VLOOKUP(VLOOKUP(A1197,'[1]Sales Order'!A:C,3,FALSE),[1]Employee!A:E,5,FALSE)&amp;" "&amp;VLOOKUP(VLOOKUP(A1197,'[1]Sales Order'!A:C,3,FALSE),[1]Employee!A:C,3,FALSE)&amp;" "&amp;VLOOKUP(VLOOKUP(A1197,'[1]Sales Order'!A:C,3,FALSE),[1]Employee!A:B,2,FALSE),"Not Specified")</f>
        <v>Mr. Paul Suurs</v>
      </c>
      <c r="I1197">
        <f>IFERROR(VLOOKUP(VLOOKUP(A1197,'[1]Sales Order'!A:C,3,FALSE),[1]Employee!A:J,10,FALSE),"Not Specified")</f>
        <v>0</v>
      </c>
      <c r="J1197" t="str">
        <f>VLOOKUP(B1197,[1]Product!A:B,2,FALSE)</f>
        <v>Product JYGFE</v>
      </c>
      <c r="K1197" t="str">
        <f>VLOOKUP(VLOOKUP(B1197,[1]Product!A:D,4,FALSE),[1]Category!A:B,2,FALSE)</f>
        <v>Beverages</v>
      </c>
      <c r="L1197" s="10">
        <f>IFERROR(VLOOKUP(A1197,'[1]Sales Order'!A:D,4,FALSE),"")</f>
        <v>39368</v>
      </c>
      <c r="M1197" s="10">
        <f>IFERROR(VLOOKUP(A1197,'[1]Sales Order'!A:F,6,FALSE),"")</f>
        <v>39370</v>
      </c>
      <c r="N1197" t="str">
        <f>IFERROR(VLOOKUP(VLOOKUP(A1197,'[1]Sales Order'!A:G,7,FALSE),[1]Shipper!A:B,2,FALSE),"Not Specified")</f>
        <v>Shipper ZHISN</v>
      </c>
      <c r="O1197" t="str">
        <f>IFERROR(VLOOKUP(A1197,'[1]Sales Order'!A:I,9,FALSE),"Not Specified")</f>
        <v>Destination KPVYJ</v>
      </c>
      <c r="P1197" t="str">
        <f>IFERROR(VLOOKUP(A1197,'[1]Sales Order'!A:N,14,FALSE),"Not Specified")</f>
        <v>Ireland</v>
      </c>
      <c r="Q1197" t="str">
        <f>VLOOKUP(VLOOKUP(B1197,[1]Product!A:C,3,FALSE),[1]Supplier!A:B,2,FALSE)</f>
        <v>Supplier ELCRN</v>
      </c>
      <c r="R1197" t="str">
        <f>VLOOKUP(VLOOKUP(B1197,[1]Product!A:C,3,FALSE),[1]Supplier!A:I,9,FALSE)</f>
        <v>Finland</v>
      </c>
      <c r="S1197" t="str">
        <f>IFERROR(IF(VLOOKUP(A1197,'[1]Sales Order'!A:H,8,FALSE)&gt;100,"High Freight","Low Freight"),"Not Specified")</f>
        <v>High Freight</v>
      </c>
      <c r="T1197">
        <f t="shared" si="37"/>
        <v>535.5</v>
      </c>
    </row>
    <row r="1198" spans="1:20">
      <c r="A1198" s="1">
        <v>10702</v>
      </c>
      <c r="B1198" s="2">
        <v>3</v>
      </c>
      <c r="C1198" s="2">
        <v>10</v>
      </c>
      <c r="D1198" s="2">
        <v>6</v>
      </c>
      <c r="E1198" s="3">
        <v>0</v>
      </c>
      <c r="F1198" s="2" t="str">
        <f>IFERROR(VLOOKUP(VLOOKUP(A1198,'[1]Sales Order'!A:B,2,FALSE),[1]Customer!A:C,3,FALSE),"Not Specified")</f>
        <v>Allen, Michael</v>
      </c>
      <c r="G1198" s="2" t="str">
        <f t="shared" si="36"/>
        <v>Allen Michael</v>
      </c>
      <c r="H1198" s="8" t="str">
        <f>IFERROR(VLOOKUP(VLOOKUP(A1198,'[1]Sales Order'!A:C,3,FALSE),[1]Employee!A:E,5,FALSE)&amp;" "&amp;VLOOKUP(VLOOKUP(A1198,'[1]Sales Order'!A:C,3,FALSE),[1]Employee!A:C,3,FALSE)&amp;" "&amp;VLOOKUP(VLOOKUP(A1198,'[1]Sales Order'!A:C,3,FALSE),[1]Employee!A:B,2,FALSE),"Not Specified")</f>
        <v>Mrs. Yael Peled</v>
      </c>
      <c r="I1198" t="str">
        <f>IFERROR(VLOOKUP(VLOOKUP(A1198,'[1]Sales Order'!A:C,3,FALSE),[1]Employee!A:J,10,FALSE),"Not Specified")</f>
        <v>WA</v>
      </c>
      <c r="J1198" t="str">
        <f>VLOOKUP(B1198,[1]Product!A:B,2,FALSE)</f>
        <v>Product IMEHJ</v>
      </c>
      <c r="K1198" t="str">
        <f>VLOOKUP(VLOOKUP(B1198,[1]Product!A:D,4,FALSE),[1]Category!A:B,2,FALSE)</f>
        <v>Condiments</v>
      </c>
      <c r="L1198" s="10">
        <f>IFERROR(VLOOKUP(A1198,'[1]Sales Order'!A:D,4,FALSE),"")</f>
        <v>39368</v>
      </c>
      <c r="M1198" s="10">
        <f>IFERROR(VLOOKUP(A1198,'[1]Sales Order'!A:F,6,FALSE),"")</f>
        <v>39376</v>
      </c>
      <c r="N1198" t="str">
        <f>IFERROR(VLOOKUP(VLOOKUP(A1198,'[1]Sales Order'!A:G,7,FALSE),[1]Shipper!A:B,2,FALSE),"Not Specified")</f>
        <v>Shipper GVSUA</v>
      </c>
      <c r="O1198" t="str">
        <f>IFERROR(VLOOKUP(A1198,'[1]Sales Order'!A:I,9,FALSE),"Not Specified")</f>
        <v>Destination ZELZJ</v>
      </c>
      <c r="P1198" t="str">
        <f>IFERROR(VLOOKUP(A1198,'[1]Sales Order'!A:N,14,FALSE),"Not Specified")</f>
        <v>Germany</v>
      </c>
      <c r="Q1198" t="str">
        <f>VLOOKUP(VLOOKUP(B1198,[1]Product!A:C,3,FALSE),[1]Supplier!A:B,2,FALSE)</f>
        <v>Supplier SWRXU</v>
      </c>
      <c r="R1198" t="str">
        <f>VLOOKUP(VLOOKUP(B1198,[1]Product!A:C,3,FALSE),[1]Supplier!A:I,9,FALSE)</f>
        <v>UK</v>
      </c>
      <c r="S1198" t="str">
        <f>IFERROR(IF(VLOOKUP(A1198,'[1]Sales Order'!A:H,8,FALSE)&gt;100,"High Freight","Low Freight"),"Not Specified")</f>
        <v>Low Freight</v>
      </c>
      <c r="T1198">
        <f t="shared" si="37"/>
        <v>60</v>
      </c>
    </row>
    <row r="1199" spans="1:20">
      <c r="A1199" s="1">
        <v>10702</v>
      </c>
      <c r="B1199" s="2">
        <v>76</v>
      </c>
      <c r="C1199" s="2">
        <v>18</v>
      </c>
      <c r="D1199" s="2">
        <v>15</v>
      </c>
      <c r="E1199" s="3">
        <v>0</v>
      </c>
      <c r="F1199" s="2" t="str">
        <f>IFERROR(VLOOKUP(VLOOKUP(A1199,'[1]Sales Order'!A:B,2,FALSE),[1]Customer!A:C,3,FALSE),"Not Specified")</f>
        <v>Allen, Michael</v>
      </c>
      <c r="G1199" s="2" t="str">
        <f t="shared" si="36"/>
        <v>Allen Michael</v>
      </c>
      <c r="H1199" s="8" t="str">
        <f>IFERROR(VLOOKUP(VLOOKUP(A1199,'[1]Sales Order'!A:C,3,FALSE),[1]Employee!A:E,5,FALSE)&amp;" "&amp;VLOOKUP(VLOOKUP(A1199,'[1]Sales Order'!A:C,3,FALSE),[1]Employee!A:C,3,FALSE)&amp;" "&amp;VLOOKUP(VLOOKUP(A1199,'[1]Sales Order'!A:C,3,FALSE),[1]Employee!A:B,2,FALSE),"Not Specified")</f>
        <v>Mrs. Yael Peled</v>
      </c>
      <c r="I1199" t="str">
        <f>IFERROR(VLOOKUP(VLOOKUP(A1199,'[1]Sales Order'!A:C,3,FALSE),[1]Employee!A:J,10,FALSE),"Not Specified")</f>
        <v>WA</v>
      </c>
      <c r="J1199" t="str">
        <f>VLOOKUP(B1199,[1]Product!A:B,2,FALSE)</f>
        <v>Product JYGFE</v>
      </c>
      <c r="K1199" t="str">
        <f>VLOOKUP(VLOOKUP(B1199,[1]Product!A:D,4,FALSE),[1]Category!A:B,2,FALSE)</f>
        <v>Beverages</v>
      </c>
      <c r="L1199" s="10">
        <f>IFERROR(VLOOKUP(A1199,'[1]Sales Order'!A:D,4,FALSE),"")</f>
        <v>39368</v>
      </c>
      <c r="M1199" s="10">
        <f>IFERROR(VLOOKUP(A1199,'[1]Sales Order'!A:F,6,FALSE),"")</f>
        <v>39376</v>
      </c>
      <c r="N1199" t="str">
        <f>IFERROR(VLOOKUP(VLOOKUP(A1199,'[1]Sales Order'!A:G,7,FALSE),[1]Shipper!A:B,2,FALSE),"Not Specified")</f>
        <v>Shipper GVSUA</v>
      </c>
      <c r="O1199" t="str">
        <f>IFERROR(VLOOKUP(A1199,'[1]Sales Order'!A:I,9,FALSE),"Not Specified")</f>
        <v>Destination ZELZJ</v>
      </c>
      <c r="P1199" t="str">
        <f>IFERROR(VLOOKUP(A1199,'[1]Sales Order'!A:N,14,FALSE),"Not Specified")</f>
        <v>Germany</v>
      </c>
      <c r="Q1199" t="str">
        <f>VLOOKUP(VLOOKUP(B1199,[1]Product!A:C,3,FALSE),[1]Supplier!A:B,2,FALSE)</f>
        <v>Supplier ELCRN</v>
      </c>
      <c r="R1199" t="str">
        <f>VLOOKUP(VLOOKUP(B1199,[1]Product!A:C,3,FALSE),[1]Supplier!A:I,9,FALSE)</f>
        <v>Finland</v>
      </c>
      <c r="S1199" t="str">
        <f>IFERROR(IF(VLOOKUP(A1199,'[1]Sales Order'!A:H,8,FALSE)&gt;100,"High Freight","Low Freight"),"Not Specified")</f>
        <v>Low Freight</v>
      </c>
      <c r="T1199">
        <f t="shared" si="37"/>
        <v>270</v>
      </c>
    </row>
    <row r="1200" spans="1:20">
      <c r="A1200" s="1">
        <v>10703</v>
      </c>
      <c r="B1200" s="2">
        <v>2</v>
      </c>
      <c r="C1200" s="2">
        <v>19</v>
      </c>
      <c r="D1200" s="2">
        <v>5</v>
      </c>
      <c r="E1200" s="3">
        <v>0</v>
      </c>
      <c r="F1200" s="2" t="str">
        <f>IFERROR(VLOOKUP(VLOOKUP(A1200,'[1]Sales Order'!A:B,2,FALSE),[1]Customer!A:C,3,FALSE),"Not Specified")</f>
        <v>San Juan, Patricia</v>
      </c>
      <c r="G1200" s="2" t="str">
        <f t="shared" si="36"/>
        <v>San Juan Patricia</v>
      </c>
      <c r="H1200" s="8" t="str">
        <f>IFERROR(VLOOKUP(VLOOKUP(A1200,'[1]Sales Order'!A:C,3,FALSE),[1]Employee!A:E,5,FALSE)&amp;" "&amp;VLOOKUP(VLOOKUP(A1200,'[1]Sales Order'!A:C,3,FALSE),[1]Employee!A:C,3,FALSE)&amp;" "&amp;VLOOKUP(VLOOKUP(A1200,'[1]Sales Order'!A:C,3,FALSE),[1]Employee!A:B,2,FALSE),"Not Specified")</f>
        <v>Mr. Paul Suurs</v>
      </c>
      <c r="I1200">
        <f>IFERROR(VLOOKUP(VLOOKUP(A1200,'[1]Sales Order'!A:C,3,FALSE),[1]Employee!A:J,10,FALSE),"Not Specified")</f>
        <v>0</v>
      </c>
      <c r="J1200" t="str">
        <f>VLOOKUP(B1200,[1]Product!A:B,2,FALSE)</f>
        <v>Product RECZE</v>
      </c>
      <c r="K1200" t="str">
        <f>VLOOKUP(VLOOKUP(B1200,[1]Product!A:D,4,FALSE),[1]Category!A:B,2,FALSE)</f>
        <v>Beverages</v>
      </c>
      <c r="L1200" s="10">
        <f>IFERROR(VLOOKUP(A1200,'[1]Sales Order'!A:D,4,FALSE),"")</f>
        <v>39369</v>
      </c>
      <c r="M1200" s="10">
        <f>IFERROR(VLOOKUP(A1200,'[1]Sales Order'!A:F,6,FALSE),"")</f>
        <v>39375</v>
      </c>
      <c r="N1200" t="str">
        <f>IFERROR(VLOOKUP(VLOOKUP(A1200,'[1]Sales Order'!A:G,7,FALSE),[1]Shipper!A:B,2,FALSE),"Not Specified")</f>
        <v>Shipper ETYNR</v>
      </c>
      <c r="O1200" t="str">
        <f>IFERROR(VLOOKUP(A1200,'[1]Sales Order'!A:I,9,FALSE),"Not Specified")</f>
        <v>Destination KBSBN</v>
      </c>
      <c r="P1200" t="str">
        <f>IFERROR(VLOOKUP(A1200,'[1]Sales Order'!A:N,14,FALSE),"Not Specified")</f>
        <v>Sweden</v>
      </c>
      <c r="Q1200" t="str">
        <f>VLOOKUP(VLOOKUP(B1200,[1]Product!A:C,3,FALSE),[1]Supplier!A:B,2,FALSE)</f>
        <v>Supplier SWRXU</v>
      </c>
      <c r="R1200" t="str">
        <f>VLOOKUP(VLOOKUP(B1200,[1]Product!A:C,3,FALSE),[1]Supplier!A:I,9,FALSE)</f>
        <v>UK</v>
      </c>
      <c r="S1200" t="str">
        <f>IFERROR(IF(VLOOKUP(A1200,'[1]Sales Order'!A:H,8,FALSE)&gt;100,"High Freight","Low Freight"),"Not Specified")</f>
        <v>High Freight</v>
      </c>
      <c r="T1200">
        <f t="shared" si="37"/>
        <v>95</v>
      </c>
    </row>
    <row r="1201" spans="1:20">
      <c r="A1201" s="1">
        <v>10703</v>
      </c>
      <c r="B1201" s="2">
        <v>59</v>
      </c>
      <c r="C1201" s="2">
        <v>55</v>
      </c>
      <c r="D1201" s="2">
        <v>35</v>
      </c>
      <c r="E1201" s="3">
        <v>0</v>
      </c>
      <c r="F1201" s="2" t="str">
        <f>IFERROR(VLOOKUP(VLOOKUP(A1201,'[1]Sales Order'!A:B,2,FALSE),[1]Customer!A:C,3,FALSE),"Not Specified")</f>
        <v>San Juan, Patricia</v>
      </c>
      <c r="G1201" s="2" t="str">
        <f t="shared" si="36"/>
        <v>San Juan Patricia</v>
      </c>
      <c r="H1201" s="8" t="str">
        <f>IFERROR(VLOOKUP(VLOOKUP(A1201,'[1]Sales Order'!A:C,3,FALSE),[1]Employee!A:E,5,FALSE)&amp;" "&amp;VLOOKUP(VLOOKUP(A1201,'[1]Sales Order'!A:C,3,FALSE),[1]Employee!A:C,3,FALSE)&amp;" "&amp;VLOOKUP(VLOOKUP(A1201,'[1]Sales Order'!A:C,3,FALSE),[1]Employee!A:B,2,FALSE),"Not Specified")</f>
        <v>Mr. Paul Suurs</v>
      </c>
      <c r="I1201">
        <f>IFERROR(VLOOKUP(VLOOKUP(A1201,'[1]Sales Order'!A:C,3,FALSE),[1]Employee!A:J,10,FALSE),"Not Specified")</f>
        <v>0</v>
      </c>
      <c r="J1201" t="str">
        <f>VLOOKUP(B1201,[1]Product!A:B,2,FALSE)</f>
        <v>Product UKXRI</v>
      </c>
      <c r="K1201" t="str">
        <f>VLOOKUP(VLOOKUP(B1201,[1]Product!A:D,4,FALSE),[1]Category!A:B,2,FALSE)</f>
        <v>Dairy Product</v>
      </c>
      <c r="L1201" s="10">
        <f>IFERROR(VLOOKUP(A1201,'[1]Sales Order'!A:D,4,FALSE),"")</f>
        <v>39369</v>
      </c>
      <c r="M1201" s="10">
        <f>IFERROR(VLOOKUP(A1201,'[1]Sales Order'!A:F,6,FALSE),"")</f>
        <v>39375</v>
      </c>
      <c r="N1201" t="str">
        <f>IFERROR(VLOOKUP(VLOOKUP(A1201,'[1]Sales Order'!A:G,7,FALSE),[1]Shipper!A:B,2,FALSE),"Not Specified")</f>
        <v>Shipper ETYNR</v>
      </c>
      <c r="O1201" t="str">
        <f>IFERROR(VLOOKUP(A1201,'[1]Sales Order'!A:I,9,FALSE),"Not Specified")</f>
        <v>Destination KBSBN</v>
      </c>
      <c r="P1201" t="str">
        <f>IFERROR(VLOOKUP(A1201,'[1]Sales Order'!A:N,14,FALSE),"Not Specified")</f>
        <v>Sweden</v>
      </c>
      <c r="Q1201" t="str">
        <f>VLOOKUP(VLOOKUP(B1201,[1]Product!A:C,3,FALSE),[1]Supplier!A:B,2,FALSE)</f>
        <v>Supplier OAVQT</v>
      </c>
      <c r="R1201" t="str">
        <f>VLOOKUP(VLOOKUP(B1201,[1]Product!A:C,3,FALSE),[1]Supplier!A:I,9,FALSE)</f>
        <v>France</v>
      </c>
      <c r="S1201" t="str">
        <f>IFERROR(IF(VLOOKUP(A1201,'[1]Sales Order'!A:H,8,FALSE)&gt;100,"High Freight","Low Freight"),"Not Specified")</f>
        <v>High Freight</v>
      </c>
      <c r="T1201">
        <f t="shared" si="37"/>
        <v>1925</v>
      </c>
    </row>
    <row r="1202" spans="1:20">
      <c r="A1202" s="1">
        <v>10703</v>
      </c>
      <c r="B1202" s="2">
        <v>73</v>
      </c>
      <c r="C1202" s="2">
        <v>15</v>
      </c>
      <c r="D1202" s="2">
        <v>35</v>
      </c>
      <c r="E1202" s="3">
        <v>0</v>
      </c>
      <c r="F1202" s="2" t="str">
        <f>IFERROR(VLOOKUP(VLOOKUP(A1202,'[1]Sales Order'!A:B,2,FALSE),[1]Customer!A:C,3,FALSE),"Not Specified")</f>
        <v>San Juan, Patricia</v>
      </c>
      <c r="G1202" s="2" t="str">
        <f t="shared" si="36"/>
        <v>San Juan Patricia</v>
      </c>
      <c r="H1202" s="8" t="str">
        <f>IFERROR(VLOOKUP(VLOOKUP(A1202,'[1]Sales Order'!A:C,3,FALSE),[1]Employee!A:E,5,FALSE)&amp;" "&amp;VLOOKUP(VLOOKUP(A1202,'[1]Sales Order'!A:C,3,FALSE),[1]Employee!A:C,3,FALSE)&amp;" "&amp;VLOOKUP(VLOOKUP(A1202,'[1]Sales Order'!A:C,3,FALSE),[1]Employee!A:B,2,FALSE),"Not Specified")</f>
        <v>Mr. Paul Suurs</v>
      </c>
      <c r="I1202">
        <f>IFERROR(VLOOKUP(VLOOKUP(A1202,'[1]Sales Order'!A:C,3,FALSE),[1]Employee!A:J,10,FALSE),"Not Specified")</f>
        <v>0</v>
      </c>
      <c r="J1202" t="str">
        <f>VLOOKUP(B1202,[1]Product!A:B,2,FALSE)</f>
        <v>Product WEUJZ</v>
      </c>
      <c r="K1202" t="str">
        <f>VLOOKUP(VLOOKUP(B1202,[1]Product!A:D,4,FALSE),[1]Category!A:B,2,FALSE)</f>
        <v>Seafood</v>
      </c>
      <c r="L1202" s="10">
        <f>IFERROR(VLOOKUP(A1202,'[1]Sales Order'!A:D,4,FALSE),"")</f>
        <v>39369</v>
      </c>
      <c r="M1202" s="10">
        <f>IFERROR(VLOOKUP(A1202,'[1]Sales Order'!A:F,6,FALSE),"")</f>
        <v>39375</v>
      </c>
      <c r="N1202" t="str">
        <f>IFERROR(VLOOKUP(VLOOKUP(A1202,'[1]Sales Order'!A:G,7,FALSE),[1]Shipper!A:B,2,FALSE),"Not Specified")</f>
        <v>Shipper ETYNR</v>
      </c>
      <c r="O1202" t="str">
        <f>IFERROR(VLOOKUP(A1202,'[1]Sales Order'!A:I,9,FALSE),"Not Specified")</f>
        <v>Destination KBSBN</v>
      </c>
      <c r="P1202" t="str">
        <f>IFERROR(VLOOKUP(A1202,'[1]Sales Order'!A:N,14,FALSE),"Not Specified")</f>
        <v>Sweden</v>
      </c>
      <c r="Q1202" t="str">
        <f>VLOOKUP(VLOOKUP(B1202,[1]Product!A:C,3,FALSE),[1]Supplier!A:B,2,FALSE)</f>
        <v>Supplier QZGUF</v>
      </c>
      <c r="R1202" t="str">
        <f>VLOOKUP(VLOOKUP(B1202,[1]Product!A:C,3,FALSE),[1]Supplier!A:I,9,FALSE)</f>
        <v>Sweden</v>
      </c>
      <c r="S1202" t="str">
        <f>IFERROR(IF(VLOOKUP(A1202,'[1]Sales Order'!A:H,8,FALSE)&gt;100,"High Freight","Low Freight"),"Not Specified")</f>
        <v>High Freight</v>
      </c>
      <c r="T1202">
        <f t="shared" si="37"/>
        <v>525</v>
      </c>
    </row>
    <row r="1203" spans="1:20">
      <c r="A1203" s="1">
        <v>10704</v>
      </c>
      <c r="B1203" s="2">
        <v>4</v>
      </c>
      <c r="C1203" s="2">
        <v>22</v>
      </c>
      <c r="D1203" s="2">
        <v>6</v>
      </c>
      <c r="E1203" s="3">
        <v>0</v>
      </c>
      <c r="F1203" s="2" t="str">
        <f>IFERROR(VLOOKUP(VLOOKUP(A1203,'[1]Sales Order'!A:B,2,FALSE),[1]Customer!A:C,3,FALSE),"Not Specified")</f>
        <v>Misiec, Anna</v>
      </c>
      <c r="G1203" s="2" t="str">
        <f t="shared" si="36"/>
        <v>Misiec Anna</v>
      </c>
      <c r="H1203" s="8" t="str">
        <f>IFERROR(VLOOKUP(VLOOKUP(A1203,'[1]Sales Order'!A:C,3,FALSE),[1]Employee!A:E,5,FALSE)&amp;" "&amp;VLOOKUP(VLOOKUP(A1203,'[1]Sales Order'!A:C,3,FALSE),[1]Employee!A:C,3,FALSE)&amp;" "&amp;VLOOKUP(VLOOKUP(A1203,'[1]Sales Order'!A:C,3,FALSE),[1]Employee!A:B,2,FALSE),"Not Specified")</f>
        <v>Mr. Paul Suurs</v>
      </c>
      <c r="I1203">
        <f>IFERROR(VLOOKUP(VLOOKUP(A1203,'[1]Sales Order'!A:C,3,FALSE),[1]Employee!A:J,10,FALSE),"Not Specified")</f>
        <v>0</v>
      </c>
      <c r="J1203" t="str">
        <f>VLOOKUP(B1203,[1]Product!A:B,2,FALSE)</f>
        <v>Product KSBRM</v>
      </c>
      <c r="K1203" t="str">
        <f>VLOOKUP(VLOOKUP(B1203,[1]Product!A:D,4,FALSE),[1]Category!A:B,2,FALSE)</f>
        <v>Condiments</v>
      </c>
      <c r="L1203" s="10">
        <f>IFERROR(VLOOKUP(A1203,'[1]Sales Order'!A:D,4,FALSE),"")</f>
        <v>39369</v>
      </c>
      <c r="M1203" s="10">
        <f>IFERROR(VLOOKUP(A1203,'[1]Sales Order'!A:F,6,FALSE),"")</f>
        <v>39393</v>
      </c>
      <c r="N1203" t="str">
        <f>IFERROR(VLOOKUP(VLOOKUP(A1203,'[1]Sales Order'!A:G,7,FALSE),[1]Shipper!A:B,2,FALSE),"Not Specified")</f>
        <v>Shipper GVSUA</v>
      </c>
      <c r="O1203" t="str">
        <f>IFERROR(VLOOKUP(A1203,'[1]Sales Order'!A:I,9,FALSE),"Not Specified")</f>
        <v>Ship to 62-C</v>
      </c>
      <c r="P1203" t="str">
        <f>IFERROR(VLOOKUP(A1203,'[1]Sales Order'!A:N,14,FALSE),"Not Specified")</f>
        <v>Brazil</v>
      </c>
      <c r="Q1203" t="str">
        <f>VLOOKUP(VLOOKUP(B1203,[1]Product!A:C,3,FALSE),[1]Supplier!A:B,2,FALSE)</f>
        <v>Supplier VHQZD</v>
      </c>
      <c r="R1203" t="str">
        <f>VLOOKUP(VLOOKUP(B1203,[1]Product!A:C,3,FALSE),[1]Supplier!A:I,9,FALSE)</f>
        <v>USA</v>
      </c>
      <c r="S1203" t="str">
        <f>IFERROR(IF(VLOOKUP(A1203,'[1]Sales Order'!A:H,8,FALSE)&gt;100,"High Freight","Low Freight"),"Not Specified")</f>
        <v>Low Freight</v>
      </c>
      <c r="T1203">
        <f t="shared" si="37"/>
        <v>132</v>
      </c>
    </row>
    <row r="1204" spans="1:20">
      <c r="A1204" s="1">
        <v>10704</v>
      </c>
      <c r="B1204" s="2">
        <v>24</v>
      </c>
      <c r="C1204" s="2">
        <v>4.5</v>
      </c>
      <c r="D1204" s="2">
        <v>35</v>
      </c>
      <c r="E1204" s="3">
        <v>0</v>
      </c>
      <c r="F1204" s="2" t="str">
        <f>IFERROR(VLOOKUP(VLOOKUP(A1204,'[1]Sales Order'!A:B,2,FALSE),[1]Customer!A:C,3,FALSE),"Not Specified")</f>
        <v>Misiec, Anna</v>
      </c>
      <c r="G1204" s="2" t="str">
        <f t="shared" si="36"/>
        <v>Misiec Anna</v>
      </c>
      <c r="H1204" s="8" t="str">
        <f>IFERROR(VLOOKUP(VLOOKUP(A1204,'[1]Sales Order'!A:C,3,FALSE),[1]Employee!A:E,5,FALSE)&amp;" "&amp;VLOOKUP(VLOOKUP(A1204,'[1]Sales Order'!A:C,3,FALSE),[1]Employee!A:C,3,FALSE)&amp;" "&amp;VLOOKUP(VLOOKUP(A1204,'[1]Sales Order'!A:C,3,FALSE),[1]Employee!A:B,2,FALSE),"Not Specified")</f>
        <v>Mr. Paul Suurs</v>
      </c>
      <c r="I1204">
        <f>IFERROR(VLOOKUP(VLOOKUP(A1204,'[1]Sales Order'!A:C,3,FALSE),[1]Employee!A:J,10,FALSE),"Not Specified")</f>
        <v>0</v>
      </c>
      <c r="J1204" t="str">
        <f>VLOOKUP(B1204,[1]Product!A:B,2,FALSE)</f>
        <v>Product QOGNU</v>
      </c>
      <c r="K1204" t="str">
        <f>VLOOKUP(VLOOKUP(B1204,[1]Product!A:D,4,FALSE),[1]Category!A:B,2,FALSE)</f>
        <v>Beverages</v>
      </c>
      <c r="L1204" s="10">
        <f>IFERROR(VLOOKUP(A1204,'[1]Sales Order'!A:D,4,FALSE),"")</f>
        <v>39369</v>
      </c>
      <c r="M1204" s="10">
        <f>IFERROR(VLOOKUP(A1204,'[1]Sales Order'!A:F,6,FALSE),"")</f>
        <v>39393</v>
      </c>
      <c r="N1204" t="str">
        <f>IFERROR(VLOOKUP(VLOOKUP(A1204,'[1]Sales Order'!A:G,7,FALSE),[1]Shipper!A:B,2,FALSE),"Not Specified")</f>
        <v>Shipper GVSUA</v>
      </c>
      <c r="O1204" t="str">
        <f>IFERROR(VLOOKUP(A1204,'[1]Sales Order'!A:I,9,FALSE),"Not Specified")</f>
        <v>Ship to 62-C</v>
      </c>
      <c r="P1204" t="str">
        <f>IFERROR(VLOOKUP(A1204,'[1]Sales Order'!A:N,14,FALSE),"Not Specified")</f>
        <v>Brazil</v>
      </c>
      <c r="Q1204" t="str">
        <f>VLOOKUP(VLOOKUP(B1204,[1]Product!A:C,3,FALSE),[1]Supplier!A:B,2,FALSE)</f>
        <v>Supplier UNAHG</v>
      </c>
      <c r="R1204" t="str">
        <f>VLOOKUP(VLOOKUP(B1204,[1]Product!A:C,3,FALSE),[1]Supplier!A:I,9,FALSE)</f>
        <v>Brazil</v>
      </c>
      <c r="S1204" t="str">
        <f>IFERROR(IF(VLOOKUP(A1204,'[1]Sales Order'!A:H,8,FALSE)&gt;100,"High Freight","Low Freight"),"Not Specified")</f>
        <v>Low Freight</v>
      </c>
      <c r="T1204">
        <f t="shared" si="37"/>
        <v>157.5</v>
      </c>
    </row>
    <row r="1205" spans="1:20">
      <c r="A1205" s="1">
        <v>10704</v>
      </c>
      <c r="B1205" s="2">
        <v>48</v>
      </c>
      <c r="C1205" s="2">
        <v>12.75</v>
      </c>
      <c r="D1205" s="2">
        <v>24</v>
      </c>
      <c r="E1205" s="3">
        <v>0</v>
      </c>
      <c r="F1205" s="2" t="str">
        <f>IFERROR(VLOOKUP(VLOOKUP(A1205,'[1]Sales Order'!A:B,2,FALSE),[1]Customer!A:C,3,FALSE),"Not Specified")</f>
        <v>Misiec, Anna</v>
      </c>
      <c r="G1205" s="2" t="str">
        <f t="shared" si="36"/>
        <v>Misiec Anna</v>
      </c>
      <c r="H1205" s="8" t="str">
        <f>IFERROR(VLOOKUP(VLOOKUP(A1205,'[1]Sales Order'!A:C,3,FALSE),[1]Employee!A:E,5,FALSE)&amp;" "&amp;VLOOKUP(VLOOKUP(A1205,'[1]Sales Order'!A:C,3,FALSE),[1]Employee!A:C,3,FALSE)&amp;" "&amp;VLOOKUP(VLOOKUP(A1205,'[1]Sales Order'!A:C,3,FALSE),[1]Employee!A:B,2,FALSE),"Not Specified")</f>
        <v>Mr. Paul Suurs</v>
      </c>
      <c r="I1205">
        <f>IFERROR(VLOOKUP(VLOOKUP(A1205,'[1]Sales Order'!A:C,3,FALSE),[1]Employee!A:J,10,FALSE),"Not Specified")</f>
        <v>0</v>
      </c>
      <c r="J1205" t="str">
        <f>VLOOKUP(B1205,[1]Product!A:B,2,FALSE)</f>
        <v>Product MYNXN</v>
      </c>
      <c r="K1205" t="str">
        <f>VLOOKUP(VLOOKUP(B1205,[1]Product!A:D,4,FALSE),[1]Category!A:B,2,FALSE)</f>
        <v>Confections</v>
      </c>
      <c r="L1205" s="10">
        <f>IFERROR(VLOOKUP(A1205,'[1]Sales Order'!A:D,4,FALSE),"")</f>
        <v>39369</v>
      </c>
      <c r="M1205" s="10">
        <f>IFERROR(VLOOKUP(A1205,'[1]Sales Order'!A:F,6,FALSE),"")</f>
        <v>39393</v>
      </c>
      <c r="N1205" t="str">
        <f>IFERROR(VLOOKUP(VLOOKUP(A1205,'[1]Sales Order'!A:G,7,FALSE),[1]Shipper!A:B,2,FALSE),"Not Specified")</f>
        <v>Shipper GVSUA</v>
      </c>
      <c r="O1205" t="str">
        <f>IFERROR(VLOOKUP(A1205,'[1]Sales Order'!A:I,9,FALSE),"Not Specified")</f>
        <v>Ship to 62-C</v>
      </c>
      <c r="P1205" t="str">
        <f>IFERROR(VLOOKUP(A1205,'[1]Sales Order'!A:N,14,FALSE),"Not Specified")</f>
        <v>Brazil</v>
      </c>
      <c r="Q1205" t="str">
        <f>VLOOKUP(VLOOKUP(B1205,[1]Product!A:C,3,FALSE),[1]Supplier!A:B,2,FALSE)</f>
        <v>Supplier FNUXM</v>
      </c>
      <c r="R1205" t="str">
        <f>VLOOKUP(VLOOKUP(B1205,[1]Product!A:C,3,FALSE),[1]Supplier!A:I,9,FALSE)</f>
        <v>Netherlands</v>
      </c>
      <c r="S1205" t="str">
        <f>IFERROR(IF(VLOOKUP(A1205,'[1]Sales Order'!A:H,8,FALSE)&gt;100,"High Freight","Low Freight"),"Not Specified")</f>
        <v>Low Freight</v>
      </c>
      <c r="T1205">
        <f t="shared" si="37"/>
        <v>306</v>
      </c>
    </row>
    <row r="1206" spans="1:20">
      <c r="A1206" s="1">
        <v>10705</v>
      </c>
      <c r="B1206" s="2">
        <v>31</v>
      </c>
      <c r="C1206" s="2">
        <v>12.5</v>
      </c>
      <c r="D1206" s="2">
        <v>20</v>
      </c>
      <c r="E1206" s="3">
        <v>0</v>
      </c>
      <c r="F1206" s="2" t="str">
        <f>IFERROR(VLOOKUP(VLOOKUP(A1206,'[1]Sales Order'!A:B,2,FALSE),[1]Customer!A:C,3,FALSE),"Not Specified")</f>
        <v>Langohr, Kris</v>
      </c>
      <c r="G1206" s="2" t="str">
        <f t="shared" si="36"/>
        <v>Langohr Kris</v>
      </c>
      <c r="H1206" s="8" t="str">
        <f>IFERROR(VLOOKUP(VLOOKUP(A1206,'[1]Sales Order'!A:C,3,FALSE),[1]Employee!A:E,5,FALSE)&amp;" "&amp;VLOOKUP(VLOOKUP(A1206,'[1]Sales Order'!A:C,3,FALSE),[1]Employee!A:C,3,FALSE)&amp;" "&amp;VLOOKUP(VLOOKUP(A1206,'[1]Sales Order'!A:C,3,FALSE),[1]Employee!A:B,2,FALSE),"Not Specified")</f>
        <v>Ms. Zoya Dolgopyatova</v>
      </c>
      <c r="I1206">
        <f>IFERROR(VLOOKUP(VLOOKUP(A1206,'[1]Sales Order'!A:C,3,FALSE),[1]Employee!A:J,10,FALSE),"Not Specified")</f>
        <v>0</v>
      </c>
      <c r="J1206" t="str">
        <f>VLOOKUP(B1206,[1]Product!A:B,2,FALSE)</f>
        <v>Product XWOXC</v>
      </c>
      <c r="K1206" t="str">
        <f>VLOOKUP(VLOOKUP(B1206,[1]Product!A:D,4,FALSE),[1]Category!A:B,2,FALSE)</f>
        <v>Dairy Product</v>
      </c>
      <c r="L1206" s="10">
        <f>IFERROR(VLOOKUP(A1206,'[1]Sales Order'!A:D,4,FALSE),"")</f>
        <v>39370</v>
      </c>
      <c r="M1206" s="10">
        <f>IFERROR(VLOOKUP(A1206,'[1]Sales Order'!A:F,6,FALSE),"")</f>
        <v>39404</v>
      </c>
      <c r="N1206" t="str">
        <f>IFERROR(VLOOKUP(VLOOKUP(A1206,'[1]Sales Order'!A:G,7,FALSE),[1]Shipper!A:B,2,FALSE),"Not Specified")</f>
        <v>Shipper ETYNR</v>
      </c>
      <c r="O1206" t="str">
        <f>IFERROR(VLOOKUP(A1206,'[1]Sales Order'!A:I,9,FALSE),"Not Specified")</f>
        <v>Destination JYDLM</v>
      </c>
      <c r="P1206" t="str">
        <f>IFERROR(VLOOKUP(A1206,'[1]Sales Order'!A:N,14,FALSE),"Not Specified")</f>
        <v>Venezuela</v>
      </c>
      <c r="Q1206" t="str">
        <f>VLOOKUP(VLOOKUP(B1206,[1]Product!A:C,3,FALSE),[1]Supplier!A:B,2,FALSE)</f>
        <v>Supplier KEREV</v>
      </c>
      <c r="R1206" t="str">
        <f>VLOOKUP(VLOOKUP(B1206,[1]Product!A:C,3,FALSE),[1]Supplier!A:I,9,FALSE)</f>
        <v>Italy</v>
      </c>
      <c r="S1206" t="str">
        <f>IFERROR(IF(VLOOKUP(A1206,'[1]Sales Order'!A:H,8,FALSE)&gt;100,"High Freight","Low Freight"),"Not Specified")</f>
        <v>Low Freight</v>
      </c>
      <c r="T1206">
        <f t="shared" si="37"/>
        <v>250</v>
      </c>
    </row>
    <row r="1207" spans="1:20">
      <c r="A1207" s="1">
        <v>10705</v>
      </c>
      <c r="B1207" s="2">
        <v>32</v>
      </c>
      <c r="C1207" s="2">
        <v>32</v>
      </c>
      <c r="D1207" s="2">
        <v>4</v>
      </c>
      <c r="E1207" s="3">
        <v>0</v>
      </c>
      <c r="F1207" s="2" t="str">
        <f>IFERROR(VLOOKUP(VLOOKUP(A1207,'[1]Sales Order'!A:B,2,FALSE),[1]Customer!A:C,3,FALSE),"Not Specified")</f>
        <v>Langohr, Kris</v>
      </c>
      <c r="G1207" s="2" t="str">
        <f t="shared" si="36"/>
        <v>Langohr Kris</v>
      </c>
      <c r="H1207" s="8" t="str">
        <f>IFERROR(VLOOKUP(VLOOKUP(A1207,'[1]Sales Order'!A:C,3,FALSE),[1]Employee!A:E,5,FALSE)&amp;" "&amp;VLOOKUP(VLOOKUP(A1207,'[1]Sales Order'!A:C,3,FALSE),[1]Employee!A:C,3,FALSE)&amp;" "&amp;VLOOKUP(VLOOKUP(A1207,'[1]Sales Order'!A:C,3,FALSE),[1]Employee!A:B,2,FALSE),"Not Specified")</f>
        <v>Ms. Zoya Dolgopyatova</v>
      </c>
      <c r="I1207">
        <f>IFERROR(VLOOKUP(VLOOKUP(A1207,'[1]Sales Order'!A:C,3,FALSE),[1]Employee!A:J,10,FALSE),"Not Specified")</f>
        <v>0</v>
      </c>
      <c r="J1207" t="str">
        <f>VLOOKUP(B1207,[1]Product!A:B,2,FALSE)</f>
        <v>Product NUNAW</v>
      </c>
      <c r="K1207" t="str">
        <f>VLOOKUP(VLOOKUP(B1207,[1]Product!A:D,4,FALSE),[1]Category!A:B,2,FALSE)</f>
        <v>Dairy Product</v>
      </c>
      <c r="L1207" s="10">
        <f>IFERROR(VLOOKUP(A1207,'[1]Sales Order'!A:D,4,FALSE),"")</f>
        <v>39370</v>
      </c>
      <c r="M1207" s="10">
        <f>IFERROR(VLOOKUP(A1207,'[1]Sales Order'!A:F,6,FALSE),"")</f>
        <v>39404</v>
      </c>
      <c r="N1207" t="str">
        <f>IFERROR(VLOOKUP(VLOOKUP(A1207,'[1]Sales Order'!A:G,7,FALSE),[1]Shipper!A:B,2,FALSE),"Not Specified")</f>
        <v>Shipper ETYNR</v>
      </c>
      <c r="O1207" t="str">
        <f>IFERROR(VLOOKUP(A1207,'[1]Sales Order'!A:I,9,FALSE),"Not Specified")</f>
        <v>Destination JYDLM</v>
      </c>
      <c r="P1207" t="str">
        <f>IFERROR(VLOOKUP(A1207,'[1]Sales Order'!A:N,14,FALSE),"Not Specified")</f>
        <v>Venezuela</v>
      </c>
      <c r="Q1207" t="str">
        <f>VLOOKUP(VLOOKUP(B1207,[1]Product!A:C,3,FALSE),[1]Supplier!A:B,2,FALSE)</f>
        <v>Supplier KEREV</v>
      </c>
      <c r="R1207" t="str">
        <f>VLOOKUP(VLOOKUP(B1207,[1]Product!A:C,3,FALSE),[1]Supplier!A:I,9,FALSE)</f>
        <v>Italy</v>
      </c>
      <c r="S1207" t="str">
        <f>IFERROR(IF(VLOOKUP(A1207,'[1]Sales Order'!A:H,8,FALSE)&gt;100,"High Freight","Low Freight"),"Not Specified")</f>
        <v>Low Freight</v>
      </c>
      <c r="T1207">
        <f t="shared" si="37"/>
        <v>128</v>
      </c>
    </row>
    <row r="1208" spans="1:20">
      <c r="A1208" s="1">
        <v>10706</v>
      </c>
      <c r="B1208" s="2">
        <v>16</v>
      </c>
      <c r="C1208" s="2">
        <v>17.45</v>
      </c>
      <c r="D1208" s="2">
        <v>20</v>
      </c>
      <c r="E1208" s="3">
        <v>0</v>
      </c>
      <c r="F1208" s="2" t="str">
        <f>IFERROR(VLOOKUP(VLOOKUP(A1208,'[1]Sales Order'!A:B,2,FALSE),[1]Customer!A:C,3,FALSE),"Not Specified")</f>
        <v>Egelund-Muller, Anja</v>
      </c>
      <c r="G1208" s="2" t="str">
        <f t="shared" si="36"/>
        <v>Egelund-Muller Anja</v>
      </c>
      <c r="H1208" s="8" t="str">
        <f>IFERROR(VLOOKUP(VLOOKUP(A1208,'[1]Sales Order'!A:C,3,FALSE),[1]Employee!A:E,5,FALSE)&amp;" "&amp;VLOOKUP(VLOOKUP(A1208,'[1]Sales Order'!A:C,3,FALSE),[1]Employee!A:C,3,FALSE)&amp;" "&amp;VLOOKUP(VLOOKUP(A1208,'[1]Sales Order'!A:C,3,FALSE),[1]Employee!A:B,2,FALSE),"Not Specified")</f>
        <v>Ms. Maria Cameron</v>
      </c>
      <c r="I1208" t="str">
        <f>IFERROR(VLOOKUP(VLOOKUP(A1208,'[1]Sales Order'!A:C,3,FALSE),[1]Employee!A:J,10,FALSE),"Not Specified")</f>
        <v>WA</v>
      </c>
      <c r="J1208" t="str">
        <f>VLOOKUP(B1208,[1]Product!A:B,2,FALSE)</f>
        <v>Product PAFRH</v>
      </c>
      <c r="K1208" t="str">
        <f>VLOOKUP(VLOOKUP(B1208,[1]Product!A:D,4,FALSE),[1]Category!A:B,2,FALSE)</f>
        <v>Confections</v>
      </c>
      <c r="L1208" s="10">
        <f>IFERROR(VLOOKUP(A1208,'[1]Sales Order'!A:D,4,FALSE),"")</f>
        <v>39371</v>
      </c>
      <c r="M1208" s="10">
        <f>IFERROR(VLOOKUP(A1208,'[1]Sales Order'!A:F,6,FALSE),"")</f>
        <v>39376</v>
      </c>
      <c r="N1208" t="str">
        <f>IFERROR(VLOOKUP(VLOOKUP(A1208,'[1]Sales Order'!A:G,7,FALSE),[1]Shipper!A:B,2,FALSE),"Not Specified")</f>
        <v>Shipper ZHISN</v>
      </c>
      <c r="O1208" t="str">
        <f>IFERROR(VLOOKUP(A1208,'[1]Sales Order'!A:I,9,FALSE),"Not Specified")</f>
        <v>Ship to 55-C</v>
      </c>
      <c r="P1208" t="str">
        <f>IFERROR(VLOOKUP(A1208,'[1]Sales Order'!A:N,14,FALSE),"Not Specified")</f>
        <v>USA</v>
      </c>
      <c r="Q1208" t="str">
        <f>VLOOKUP(VLOOKUP(B1208,[1]Product!A:C,3,FALSE),[1]Supplier!A:B,2,FALSE)</f>
        <v>Supplier GQRCV</v>
      </c>
      <c r="R1208" t="str">
        <f>VLOOKUP(VLOOKUP(B1208,[1]Product!A:C,3,FALSE),[1]Supplier!A:I,9,FALSE)</f>
        <v>Australia</v>
      </c>
      <c r="S1208" t="str">
        <f>IFERROR(IF(VLOOKUP(A1208,'[1]Sales Order'!A:H,8,FALSE)&gt;100,"High Freight","Low Freight"),"Not Specified")</f>
        <v>High Freight</v>
      </c>
      <c r="T1208">
        <f t="shared" si="37"/>
        <v>349</v>
      </c>
    </row>
    <row r="1209" spans="1:20">
      <c r="A1209" s="1">
        <v>10706</v>
      </c>
      <c r="B1209" s="2">
        <v>43</v>
      </c>
      <c r="C1209" s="2">
        <v>46</v>
      </c>
      <c r="D1209" s="2">
        <v>24</v>
      </c>
      <c r="E1209" s="3">
        <v>0</v>
      </c>
      <c r="F1209" s="2" t="str">
        <f>IFERROR(VLOOKUP(VLOOKUP(A1209,'[1]Sales Order'!A:B,2,FALSE),[1]Customer!A:C,3,FALSE),"Not Specified")</f>
        <v>Egelund-Muller, Anja</v>
      </c>
      <c r="G1209" s="2" t="str">
        <f t="shared" si="36"/>
        <v>Egelund-Muller Anja</v>
      </c>
      <c r="H1209" s="8" t="str">
        <f>IFERROR(VLOOKUP(VLOOKUP(A1209,'[1]Sales Order'!A:C,3,FALSE),[1]Employee!A:E,5,FALSE)&amp;" "&amp;VLOOKUP(VLOOKUP(A1209,'[1]Sales Order'!A:C,3,FALSE),[1]Employee!A:C,3,FALSE)&amp;" "&amp;VLOOKUP(VLOOKUP(A1209,'[1]Sales Order'!A:C,3,FALSE),[1]Employee!A:B,2,FALSE),"Not Specified")</f>
        <v>Ms. Maria Cameron</v>
      </c>
      <c r="I1209" t="str">
        <f>IFERROR(VLOOKUP(VLOOKUP(A1209,'[1]Sales Order'!A:C,3,FALSE),[1]Employee!A:J,10,FALSE),"Not Specified")</f>
        <v>WA</v>
      </c>
      <c r="J1209" t="str">
        <f>VLOOKUP(B1209,[1]Product!A:B,2,FALSE)</f>
        <v>Product ZZZHR</v>
      </c>
      <c r="K1209" t="str">
        <f>VLOOKUP(VLOOKUP(B1209,[1]Product!A:D,4,FALSE),[1]Category!A:B,2,FALSE)</f>
        <v>Beverages</v>
      </c>
      <c r="L1209" s="10">
        <f>IFERROR(VLOOKUP(A1209,'[1]Sales Order'!A:D,4,FALSE),"")</f>
        <v>39371</v>
      </c>
      <c r="M1209" s="10">
        <f>IFERROR(VLOOKUP(A1209,'[1]Sales Order'!A:F,6,FALSE),"")</f>
        <v>39376</v>
      </c>
      <c r="N1209" t="str">
        <f>IFERROR(VLOOKUP(VLOOKUP(A1209,'[1]Sales Order'!A:G,7,FALSE),[1]Shipper!A:B,2,FALSE),"Not Specified")</f>
        <v>Shipper ZHISN</v>
      </c>
      <c r="O1209" t="str">
        <f>IFERROR(VLOOKUP(A1209,'[1]Sales Order'!A:I,9,FALSE),"Not Specified")</f>
        <v>Ship to 55-C</v>
      </c>
      <c r="P1209" t="str">
        <f>IFERROR(VLOOKUP(A1209,'[1]Sales Order'!A:N,14,FALSE),"Not Specified")</f>
        <v>USA</v>
      </c>
      <c r="Q1209" t="str">
        <f>VLOOKUP(VLOOKUP(B1209,[1]Product!A:C,3,FALSE),[1]Supplier!A:B,2,FALSE)</f>
        <v>Supplier CIYNM</v>
      </c>
      <c r="R1209" t="str">
        <f>VLOOKUP(VLOOKUP(B1209,[1]Product!A:C,3,FALSE),[1]Supplier!A:I,9,FALSE)</f>
        <v>Singapore</v>
      </c>
      <c r="S1209" t="str">
        <f>IFERROR(IF(VLOOKUP(A1209,'[1]Sales Order'!A:H,8,FALSE)&gt;100,"High Freight","Low Freight"),"Not Specified")</f>
        <v>High Freight</v>
      </c>
      <c r="T1209">
        <f t="shared" si="37"/>
        <v>1104</v>
      </c>
    </row>
    <row r="1210" spans="1:20">
      <c r="A1210" s="1">
        <v>10706</v>
      </c>
      <c r="B1210" s="2">
        <v>59</v>
      </c>
      <c r="C1210" s="2">
        <v>55</v>
      </c>
      <c r="D1210" s="2">
        <v>8</v>
      </c>
      <c r="E1210" s="3">
        <v>0</v>
      </c>
      <c r="F1210" s="2" t="str">
        <f>IFERROR(VLOOKUP(VLOOKUP(A1210,'[1]Sales Order'!A:B,2,FALSE),[1]Customer!A:C,3,FALSE),"Not Specified")</f>
        <v>Egelund-Muller, Anja</v>
      </c>
      <c r="G1210" s="2" t="str">
        <f t="shared" si="36"/>
        <v>Egelund-Muller Anja</v>
      </c>
      <c r="H1210" s="8" t="str">
        <f>IFERROR(VLOOKUP(VLOOKUP(A1210,'[1]Sales Order'!A:C,3,FALSE),[1]Employee!A:E,5,FALSE)&amp;" "&amp;VLOOKUP(VLOOKUP(A1210,'[1]Sales Order'!A:C,3,FALSE),[1]Employee!A:C,3,FALSE)&amp;" "&amp;VLOOKUP(VLOOKUP(A1210,'[1]Sales Order'!A:C,3,FALSE),[1]Employee!A:B,2,FALSE),"Not Specified")</f>
        <v>Ms. Maria Cameron</v>
      </c>
      <c r="I1210" t="str">
        <f>IFERROR(VLOOKUP(VLOOKUP(A1210,'[1]Sales Order'!A:C,3,FALSE),[1]Employee!A:J,10,FALSE),"Not Specified")</f>
        <v>WA</v>
      </c>
      <c r="J1210" t="str">
        <f>VLOOKUP(B1210,[1]Product!A:B,2,FALSE)</f>
        <v>Product UKXRI</v>
      </c>
      <c r="K1210" t="str">
        <f>VLOOKUP(VLOOKUP(B1210,[1]Product!A:D,4,FALSE),[1]Category!A:B,2,FALSE)</f>
        <v>Dairy Product</v>
      </c>
      <c r="L1210" s="10">
        <f>IFERROR(VLOOKUP(A1210,'[1]Sales Order'!A:D,4,FALSE),"")</f>
        <v>39371</v>
      </c>
      <c r="M1210" s="10">
        <f>IFERROR(VLOOKUP(A1210,'[1]Sales Order'!A:F,6,FALSE),"")</f>
        <v>39376</v>
      </c>
      <c r="N1210" t="str">
        <f>IFERROR(VLOOKUP(VLOOKUP(A1210,'[1]Sales Order'!A:G,7,FALSE),[1]Shipper!A:B,2,FALSE),"Not Specified")</f>
        <v>Shipper ZHISN</v>
      </c>
      <c r="O1210" t="str">
        <f>IFERROR(VLOOKUP(A1210,'[1]Sales Order'!A:I,9,FALSE),"Not Specified")</f>
        <v>Ship to 55-C</v>
      </c>
      <c r="P1210" t="str">
        <f>IFERROR(VLOOKUP(A1210,'[1]Sales Order'!A:N,14,FALSE),"Not Specified")</f>
        <v>USA</v>
      </c>
      <c r="Q1210" t="str">
        <f>VLOOKUP(VLOOKUP(B1210,[1]Product!A:C,3,FALSE),[1]Supplier!A:B,2,FALSE)</f>
        <v>Supplier OAVQT</v>
      </c>
      <c r="R1210" t="str">
        <f>VLOOKUP(VLOOKUP(B1210,[1]Product!A:C,3,FALSE),[1]Supplier!A:I,9,FALSE)</f>
        <v>France</v>
      </c>
      <c r="S1210" t="str">
        <f>IFERROR(IF(VLOOKUP(A1210,'[1]Sales Order'!A:H,8,FALSE)&gt;100,"High Freight","Low Freight"),"Not Specified")</f>
        <v>High Freight</v>
      </c>
      <c r="T1210">
        <f t="shared" si="37"/>
        <v>440</v>
      </c>
    </row>
    <row r="1211" spans="1:20">
      <c r="A1211" s="1">
        <v>10707</v>
      </c>
      <c r="B1211" s="2">
        <v>55</v>
      </c>
      <c r="C1211" s="2">
        <v>24</v>
      </c>
      <c r="D1211" s="2">
        <v>21</v>
      </c>
      <c r="E1211" s="3">
        <v>0</v>
      </c>
      <c r="F1211" s="2" t="str">
        <f>IFERROR(VLOOKUP(VLOOKUP(A1211,'[1]Sales Order'!A:B,2,FALSE),[1]Customer!A:C,3,FALSE),"Not Specified")</f>
        <v>Arndt, Torsten</v>
      </c>
      <c r="G1211" s="2" t="str">
        <f t="shared" si="36"/>
        <v>Arndt Torsten</v>
      </c>
      <c r="H1211" s="8" t="str">
        <f>IFERROR(VLOOKUP(VLOOKUP(A1211,'[1]Sales Order'!A:C,3,FALSE),[1]Employee!A:E,5,FALSE)&amp;" "&amp;VLOOKUP(VLOOKUP(A1211,'[1]Sales Order'!A:C,3,FALSE),[1]Employee!A:C,3,FALSE)&amp;" "&amp;VLOOKUP(VLOOKUP(A1211,'[1]Sales Order'!A:C,3,FALSE),[1]Employee!A:B,2,FALSE),"Not Specified")</f>
        <v>Mrs. Yael Peled</v>
      </c>
      <c r="I1211" t="str">
        <f>IFERROR(VLOOKUP(VLOOKUP(A1211,'[1]Sales Order'!A:C,3,FALSE),[1]Employee!A:J,10,FALSE),"Not Specified")</f>
        <v>WA</v>
      </c>
      <c r="J1211" t="str">
        <f>VLOOKUP(B1211,[1]Product!A:B,2,FALSE)</f>
        <v>Product YYWRT</v>
      </c>
      <c r="K1211" t="str">
        <f>VLOOKUP(VLOOKUP(B1211,[1]Product!A:D,4,FALSE),[1]Category!A:B,2,FALSE)</f>
        <v>Meat/Poultry</v>
      </c>
      <c r="L1211" s="10">
        <f>IFERROR(VLOOKUP(A1211,'[1]Sales Order'!A:D,4,FALSE),"")</f>
        <v>39371</v>
      </c>
      <c r="M1211" s="10">
        <f>IFERROR(VLOOKUP(A1211,'[1]Sales Order'!A:F,6,FALSE),"")</f>
        <v>39378</v>
      </c>
      <c r="N1211" t="str">
        <f>IFERROR(VLOOKUP(VLOOKUP(A1211,'[1]Sales Order'!A:G,7,FALSE),[1]Shipper!A:B,2,FALSE),"Not Specified")</f>
        <v>Shipper ZHISN</v>
      </c>
      <c r="O1211" t="str">
        <f>IFERROR(VLOOKUP(A1211,'[1]Sales Order'!A:I,9,FALSE),"Not Specified")</f>
        <v>Ship to 4-A</v>
      </c>
      <c r="P1211" t="str">
        <f>IFERROR(VLOOKUP(A1211,'[1]Sales Order'!A:N,14,FALSE),"Not Specified")</f>
        <v>UK</v>
      </c>
      <c r="Q1211" t="str">
        <f>VLOOKUP(VLOOKUP(B1211,[1]Product!A:C,3,FALSE),[1]Supplier!A:B,2,FALSE)</f>
        <v>Supplier ERVYZ</v>
      </c>
      <c r="R1211" t="str">
        <f>VLOOKUP(VLOOKUP(B1211,[1]Product!A:C,3,FALSE),[1]Supplier!A:I,9,FALSE)</f>
        <v>Canada</v>
      </c>
      <c r="S1211" t="str">
        <f>IFERROR(IF(VLOOKUP(A1211,'[1]Sales Order'!A:H,8,FALSE)&gt;100,"High Freight","Low Freight"),"Not Specified")</f>
        <v>Low Freight</v>
      </c>
      <c r="T1211">
        <f t="shared" si="37"/>
        <v>504</v>
      </c>
    </row>
    <row r="1212" spans="1:20">
      <c r="A1212" s="1">
        <v>10707</v>
      </c>
      <c r="B1212" s="2">
        <v>57</v>
      </c>
      <c r="C1212" s="2">
        <v>19.5</v>
      </c>
      <c r="D1212" s="2">
        <v>40</v>
      </c>
      <c r="E1212" s="3">
        <v>0</v>
      </c>
      <c r="F1212" s="2" t="str">
        <f>IFERROR(VLOOKUP(VLOOKUP(A1212,'[1]Sales Order'!A:B,2,FALSE),[1]Customer!A:C,3,FALSE),"Not Specified")</f>
        <v>Arndt, Torsten</v>
      </c>
      <c r="G1212" s="2" t="str">
        <f t="shared" si="36"/>
        <v>Arndt Torsten</v>
      </c>
      <c r="H1212" s="8" t="str">
        <f>IFERROR(VLOOKUP(VLOOKUP(A1212,'[1]Sales Order'!A:C,3,FALSE),[1]Employee!A:E,5,FALSE)&amp;" "&amp;VLOOKUP(VLOOKUP(A1212,'[1]Sales Order'!A:C,3,FALSE),[1]Employee!A:C,3,FALSE)&amp;" "&amp;VLOOKUP(VLOOKUP(A1212,'[1]Sales Order'!A:C,3,FALSE),[1]Employee!A:B,2,FALSE),"Not Specified")</f>
        <v>Mrs. Yael Peled</v>
      </c>
      <c r="I1212" t="str">
        <f>IFERROR(VLOOKUP(VLOOKUP(A1212,'[1]Sales Order'!A:C,3,FALSE),[1]Employee!A:J,10,FALSE),"Not Specified")</f>
        <v>WA</v>
      </c>
      <c r="J1212" t="str">
        <f>VLOOKUP(B1212,[1]Product!A:B,2,FALSE)</f>
        <v>Product OVLQI</v>
      </c>
      <c r="K1212" t="str">
        <f>VLOOKUP(VLOOKUP(B1212,[1]Product!A:D,4,FALSE),[1]Category!A:B,2,FALSE)</f>
        <v>Grains/Cereals</v>
      </c>
      <c r="L1212" s="10">
        <f>IFERROR(VLOOKUP(A1212,'[1]Sales Order'!A:D,4,FALSE),"")</f>
        <v>39371</v>
      </c>
      <c r="M1212" s="10">
        <f>IFERROR(VLOOKUP(A1212,'[1]Sales Order'!A:F,6,FALSE),"")</f>
        <v>39378</v>
      </c>
      <c r="N1212" t="str">
        <f>IFERROR(VLOOKUP(VLOOKUP(A1212,'[1]Sales Order'!A:G,7,FALSE),[1]Shipper!A:B,2,FALSE),"Not Specified")</f>
        <v>Shipper ZHISN</v>
      </c>
      <c r="O1212" t="str">
        <f>IFERROR(VLOOKUP(A1212,'[1]Sales Order'!A:I,9,FALSE),"Not Specified")</f>
        <v>Ship to 4-A</v>
      </c>
      <c r="P1212" t="str">
        <f>IFERROR(VLOOKUP(A1212,'[1]Sales Order'!A:N,14,FALSE),"Not Specified")</f>
        <v>UK</v>
      </c>
      <c r="Q1212" t="str">
        <f>VLOOKUP(VLOOKUP(B1212,[1]Product!A:C,3,FALSE),[1]Supplier!A:B,2,FALSE)</f>
        <v>Supplier ZWZDM</v>
      </c>
      <c r="R1212" t="str">
        <f>VLOOKUP(VLOOKUP(B1212,[1]Product!A:C,3,FALSE),[1]Supplier!A:I,9,FALSE)</f>
        <v>Italy</v>
      </c>
      <c r="S1212" t="str">
        <f>IFERROR(IF(VLOOKUP(A1212,'[1]Sales Order'!A:H,8,FALSE)&gt;100,"High Freight","Low Freight"),"Not Specified")</f>
        <v>Low Freight</v>
      </c>
      <c r="T1212">
        <f t="shared" si="37"/>
        <v>780</v>
      </c>
    </row>
    <row r="1213" spans="1:20">
      <c r="A1213" s="1">
        <v>10707</v>
      </c>
      <c r="B1213" s="2">
        <v>70</v>
      </c>
      <c r="C1213" s="2">
        <v>15</v>
      </c>
      <c r="D1213" s="2">
        <v>28</v>
      </c>
      <c r="E1213" s="3">
        <v>0.15</v>
      </c>
      <c r="F1213" s="2" t="str">
        <f>IFERROR(VLOOKUP(VLOOKUP(A1213,'[1]Sales Order'!A:B,2,FALSE),[1]Customer!A:C,3,FALSE),"Not Specified")</f>
        <v>Arndt, Torsten</v>
      </c>
      <c r="G1213" s="2" t="str">
        <f t="shared" si="36"/>
        <v>Arndt Torsten</v>
      </c>
      <c r="H1213" s="8" t="str">
        <f>IFERROR(VLOOKUP(VLOOKUP(A1213,'[1]Sales Order'!A:C,3,FALSE),[1]Employee!A:E,5,FALSE)&amp;" "&amp;VLOOKUP(VLOOKUP(A1213,'[1]Sales Order'!A:C,3,FALSE),[1]Employee!A:C,3,FALSE)&amp;" "&amp;VLOOKUP(VLOOKUP(A1213,'[1]Sales Order'!A:C,3,FALSE),[1]Employee!A:B,2,FALSE),"Not Specified")</f>
        <v>Mrs. Yael Peled</v>
      </c>
      <c r="I1213" t="str">
        <f>IFERROR(VLOOKUP(VLOOKUP(A1213,'[1]Sales Order'!A:C,3,FALSE),[1]Employee!A:J,10,FALSE),"Not Specified")</f>
        <v>WA</v>
      </c>
      <c r="J1213" t="str">
        <f>VLOOKUP(B1213,[1]Product!A:B,2,FALSE)</f>
        <v>Product TOONT</v>
      </c>
      <c r="K1213" t="str">
        <f>VLOOKUP(VLOOKUP(B1213,[1]Product!A:D,4,FALSE),[1]Category!A:B,2,FALSE)</f>
        <v>Beverages</v>
      </c>
      <c r="L1213" s="10">
        <f>IFERROR(VLOOKUP(A1213,'[1]Sales Order'!A:D,4,FALSE),"")</f>
        <v>39371</v>
      </c>
      <c r="M1213" s="10">
        <f>IFERROR(VLOOKUP(A1213,'[1]Sales Order'!A:F,6,FALSE),"")</f>
        <v>39378</v>
      </c>
      <c r="N1213" t="str">
        <f>IFERROR(VLOOKUP(VLOOKUP(A1213,'[1]Sales Order'!A:G,7,FALSE),[1]Shipper!A:B,2,FALSE),"Not Specified")</f>
        <v>Shipper ZHISN</v>
      </c>
      <c r="O1213" t="str">
        <f>IFERROR(VLOOKUP(A1213,'[1]Sales Order'!A:I,9,FALSE),"Not Specified")</f>
        <v>Ship to 4-A</v>
      </c>
      <c r="P1213" t="str">
        <f>IFERROR(VLOOKUP(A1213,'[1]Sales Order'!A:N,14,FALSE),"Not Specified")</f>
        <v>UK</v>
      </c>
      <c r="Q1213" t="str">
        <f>VLOOKUP(VLOOKUP(B1213,[1]Product!A:C,3,FALSE),[1]Supplier!A:B,2,FALSE)</f>
        <v>Supplier GQRCV</v>
      </c>
      <c r="R1213" t="str">
        <f>VLOOKUP(VLOOKUP(B1213,[1]Product!A:C,3,FALSE),[1]Supplier!A:I,9,FALSE)</f>
        <v>Australia</v>
      </c>
      <c r="S1213" t="str">
        <f>IFERROR(IF(VLOOKUP(A1213,'[1]Sales Order'!A:H,8,FALSE)&gt;100,"High Freight","Low Freight"),"Not Specified")</f>
        <v>Low Freight</v>
      </c>
      <c r="T1213">
        <f t="shared" si="37"/>
        <v>357</v>
      </c>
    </row>
    <row r="1214" spans="1:20">
      <c r="A1214" s="1">
        <v>10708</v>
      </c>
      <c r="B1214" s="2">
        <v>5</v>
      </c>
      <c r="C1214" s="2">
        <v>21.35</v>
      </c>
      <c r="D1214" s="2">
        <v>4</v>
      </c>
      <c r="E1214" s="3">
        <v>0</v>
      </c>
      <c r="F1214" s="2" t="str">
        <f>IFERROR(VLOOKUP(VLOOKUP(A1214,'[1]Sales Order'!A:B,2,FALSE),[1]Customer!A:C,3,FALSE),"Not Specified")</f>
        <v>Osorio, Cristian</v>
      </c>
      <c r="G1214" s="2" t="str">
        <f t="shared" si="36"/>
        <v>Osorio Cristian</v>
      </c>
      <c r="H1214" s="8" t="str">
        <f>IFERROR(VLOOKUP(VLOOKUP(A1214,'[1]Sales Order'!A:C,3,FALSE),[1]Employee!A:E,5,FALSE)&amp;" "&amp;VLOOKUP(VLOOKUP(A1214,'[1]Sales Order'!A:C,3,FALSE),[1]Employee!A:C,3,FALSE)&amp;" "&amp;VLOOKUP(VLOOKUP(A1214,'[1]Sales Order'!A:C,3,FALSE),[1]Employee!A:B,2,FALSE),"Not Specified")</f>
        <v>Mr. Paul Suurs</v>
      </c>
      <c r="I1214">
        <f>IFERROR(VLOOKUP(VLOOKUP(A1214,'[1]Sales Order'!A:C,3,FALSE),[1]Employee!A:J,10,FALSE),"Not Specified")</f>
        <v>0</v>
      </c>
      <c r="J1214" t="str">
        <f>VLOOKUP(B1214,[1]Product!A:B,2,FALSE)</f>
        <v>Product EPEIM</v>
      </c>
      <c r="K1214" t="str">
        <f>VLOOKUP(VLOOKUP(B1214,[1]Product!A:D,4,FALSE),[1]Category!A:B,2,FALSE)</f>
        <v>Condiments</v>
      </c>
      <c r="L1214" s="10">
        <f>IFERROR(VLOOKUP(A1214,'[1]Sales Order'!A:D,4,FALSE),"")</f>
        <v>39372</v>
      </c>
      <c r="M1214" s="10">
        <f>IFERROR(VLOOKUP(A1214,'[1]Sales Order'!A:F,6,FALSE),"")</f>
        <v>39391</v>
      </c>
      <c r="N1214" t="str">
        <f>IFERROR(VLOOKUP(VLOOKUP(A1214,'[1]Sales Order'!A:G,7,FALSE),[1]Shipper!A:B,2,FALSE),"Not Specified")</f>
        <v>Shipper ETYNR</v>
      </c>
      <c r="O1214" t="str">
        <f>IFERROR(VLOOKUP(A1214,'[1]Sales Order'!A:I,9,FALSE),"Not Specified")</f>
        <v>Ship to 77-C</v>
      </c>
      <c r="P1214" t="str">
        <f>IFERROR(VLOOKUP(A1214,'[1]Sales Order'!A:N,14,FALSE),"Not Specified")</f>
        <v>USA</v>
      </c>
      <c r="Q1214" t="str">
        <f>VLOOKUP(VLOOKUP(B1214,[1]Product!A:C,3,FALSE),[1]Supplier!A:B,2,FALSE)</f>
        <v>Supplier VHQZD</v>
      </c>
      <c r="R1214" t="str">
        <f>VLOOKUP(VLOOKUP(B1214,[1]Product!A:C,3,FALSE),[1]Supplier!A:I,9,FALSE)</f>
        <v>USA</v>
      </c>
      <c r="S1214" t="str">
        <f>IFERROR(IF(VLOOKUP(A1214,'[1]Sales Order'!A:H,8,FALSE)&gt;100,"High Freight","Low Freight"),"Not Specified")</f>
        <v>Low Freight</v>
      </c>
      <c r="T1214">
        <f t="shared" si="37"/>
        <v>85.4</v>
      </c>
    </row>
    <row r="1215" spans="1:20">
      <c r="A1215" s="1">
        <v>10708</v>
      </c>
      <c r="B1215" s="2">
        <v>36</v>
      </c>
      <c r="C1215" s="2">
        <v>19</v>
      </c>
      <c r="D1215" s="2">
        <v>5</v>
      </c>
      <c r="E1215" s="3">
        <v>0</v>
      </c>
      <c r="F1215" s="2" t="str">
        <f>IFERROR(VLOOKUP(VLOOKUP(A1215,'[1]Sales Order'!A:B,2,FALSE),[1]Customer!A:C,3,FALSE),"Not Specified")</f>
        <v>Osorio, Cristian</v>
      </c>
      <c r="G1215" s="2" t="str">
        <f t="shared" si="36"/>
        <v>Osorio Cristian</v>
      </c>
      <c r="H1215" s="8" t="str">
        <f>IFERROR(VLOOKUP(VLOOKUP(A1215,'[1]Sales Order'!A:C,3,FALSE),[1]Employee!A:E,5,FALSE)&amp;" "&amp;VLOOKUP(VLOOKUP(A1215,'[1]Sales Order'!A:C,3,FALSE),[1]Employee!A:C,3,FALSE)&amp;" "&amp;VLOOKUP(VLOOKUP(A1215,'[1]Sales Order'!A:C,3,FALSE),[1]Employee!A:B,2,FALSE),"Not Specified")</f>
        <v>Mr. Paul Suurs</v>
      </c>
      <c r="I1215">
        <f>IFERROR(VLOOKUP(VLOOKUP(A1215,'[1]Sales Order'!A:C,3,FALSE),[1]Employee!A:J,10,FALSE),"Not Specified")</f>
        <v>0</v>
      </c>
      <c r="J1215" t="str">
        <f>VLOOKUP(B1215,[1]Product!A:B,2,FALSE)</f>
        <v>Product GMKIJ</v>
      </c>
      <c r="K1215" t="str">
        <f>VLOOKUP(VLOOKUP(B1215,[1]Product!A:D,4,FALSE),[1]Category!A:B,2,FALSE)</f>
        <v>Seafood</v>
      </c>
      <c r="L1215" s="10">
        <f>IFERROR(VLOOKUP(A1215,'[1]Sales Order'!A:D,4,FALSE),"")</f>
        <v>39372</v>
      </c>
      <c r="M1215" s="10">
        <f>IFERROR(VLOOKUP(A1215,'[1]Sales Order'!A:F,6,FALSE),"")</f>
        <v>39391</v>
      </c>
      <c r="N1215" t="str">
        <f>IFERROR(VLOOKUP(VLOOKUP(A1215,'[1]Sales Order'!A:G,7,FALSE),[1]Shipper!A:B,2,FALSE),"Not Specified")</f>
        <v>Shipper ETYNR</v>
      </c>
      <c r="O1215" t="str">
        <f>IFERROR(VLOOKUP(A1215,'[1]Sales Order'!A:I,9,FALSE),"Not Specified")</f>
        <v>Ship to 77-C</v>
      </c>
      <c r="P1215" t="str">
        <f>IFERROR(VLOOKUP(A1215,'[1]Sales Order'!A:N,14,FALSE),"Not Specified")</f>
        <v>USA</v>
      </c>
      <c r="Q1215" t="str">
        <f>VLOOKUP(VLOOKUP(B1215,[1]Product!A:C,3,FALSE),[1]Supplier!A:B,2,FALSE)</f>
        <v>Supplier QZGUF</v>
      </c>
      <c r="R1215" t="str">
        <f>VLOOKUP(VLOOKUP(B1215,[1]Product!A:C,3,FALSE),[1]Supplier!A:I,9,FALSE)</f>
        <v>Sweden</v>
      </c>
      <c r="S1215" t="str">
        <f>IFERROR(IF(VLOOKUP(A1215,'[1]Sales Order'!A:H,8,FALSE)&gt;100,"High Freight","Low Freight"),"Not Specified")</f>
        <v>Low Freight</v>
      </c>
      <c r="T1215">
        <f t="shared" si="37"/>
        <v>95</v>
      </c>
    </row>
    <row r="1216" spans="1:20">
      <c r="A1216" s="1">
        <v>10709</v>
      </c>
      <c r="B1216" s="2">
        <v>8</v>
      </c>
      <c r="C1216" s="2">
        <v>40</v>
      </c>
      <c r="D1216" s="2">
        <v>40</v>
      </c>
      <c r="E1216" s="3">
        <v>0</v>
      </c>
      <c r="F1216" s="2" t="str">
        <f>IFERROR(VLOOKUP(VLOOKUP(A1216,'[1]Sales Order'!A:B,2,FALSE),[1]Customer!A:C,3,FALSE),"Not Specified")</f>
        <v>Cheng, Yao-Qiang</v>
      </c>
      <c r="G1216" s="2" t="str">
        <f t="shared" si="36"/>
        <v>Cheng Yao-Qiang</v>
      </c>
      <c r="H1216" s="8" t="str">
        <f>IFERROR(VLOOKUP(VLOOKUP(A1216,'[1]Sales Order'!A:C,3,FALSE),[1]Employee!A:E,5,FALSE)&amp;" "&amp;VLOOKUP(VLOOKUP(A1216,'[1]Sales Order'!A:C,3,FALSE),[1]Employee!A:C,3,FALSE)&amp;" "&amp;VLOOKUP(VLOOKUP(A1216,'[1]Sales Order'!A:C,3,FALSE),[1]Employee!A:B,2,FALSE),"Not Specified")</f>
        <v>Ms. Sara Davis</v>
      </c>
      <c r="I1216" t="str">
        <f>IFERROR(VLOOKUP(VLOOKUP(A1216,'[1]Sales Order'!A:C,3,FALSE),[1]Employee!A:J,10,FALSE),"Not Specified")</f>
        <v>WA</v>
      </c>
      <c r="J1216" t="str">
        <f>VLOOKUP(B1216,[1]Product!A:B,2,FALSE)</f>
        <v>Product WVJFP</v>
      </c>
      <c r="K1216" t="str">
        <f>VLOOKUP(VLOOKUP(B1216,[1]Product!A:D,4,FALSE),[1]Category!A:B,2,FALSE)</f>
        <v>Condiments</v>
      </c>
      <c r="L1216" s="10">
        <f>IFERROR(VLOOKUP(A1216,'[1]Sales Order'!A:D,4,FALSE),"")</f>
        <v>39372</v>
      </c>
      <c r="M1216" s="10">
        <f>IFERROR(VLOOKUP(A1216,'[1]Sales Order'!A:F,6,FALSE),"")</f>
        <v>39406</v>
      </c>
      <c r="N1216" t="str">
        <f>IFERROR(VLOOKUP(VLOOKUP(A1216,'[1]Sales Order'!A:G,7,FALSE),[1]Shipper!A:B,2,FALSE),"Not Specified")</f>
        <v>Shipper ZHISN</v>
      </c>
      <c r="O1216" t="str">
        <f>IFERROR(VLOOKUP(A1216,'[1]Sales Order'!A:I,9,FALSE),"Not Specified")</f>
        <v>Destination GWPFK</v>
      </c>
      <c r="P1216" t="str">
        <f>IFERROR(VLOOKUP(A1216,'[1]Sales Order'!A:N,14,FALSE),"Not Specified")</f>
        <v>Brazil</v>
      </c>
      <c r="Q1216" t="str">
        <f>VLOOKUP(VLOOKUP(B1216,[1]Product!A:C,3,FALSE),[1]Supplier!A:B,2,FALSE)</f>
        <v>Supplier STUAZ</v>
      </c>
      <c r="R1216" t="str">
        <f>VLOOKUP(VLOOKUP(B1216,[1]Product!A:C,3,FALSE),[1]Supplier!A:I,9,FALSE)</f>
        <v>USA</v>
      </c>
      <c r="S1216" t="str">
        <f>IFERROR(IF(VLOOKUP(A1216,'[1]Sales Order'!A:H,8,FALSE)&gt;100,"High Freight","Low Freight"),"Not Specified")</f>
        <v>High Freight</v>
      </c>
      <c r="T1216">
        <f t="shared" si="37"/>
        <v>1600</v>
      </c>
    </row>
    <row r="1217" spans="1:20">
      <c r="A1217" s="1">
        <v>10709</v>
      </c>
      <c r="B1217" s="2">
        <v>51</v>
      </c>
      <c r="C1217" s="2">
        <v>53</v>
      </c>
      <c r="D1217" s="2">
        <v>28</v>
      </c>
      <c r="E1217" s="3">
        <v>0</v>
      </c>
      <c r="F1217" s="2" t="str">
        <f>IFERROR(VLOOKUP(VLOOKUP(A1217,'[1]Sales Order'!A:B,2,FALSE),[1]Customer!A:C,3,FALSE),"Not Specified")</f>
        <v>Cheng, Yao-Qiang</v>
      </c>
      <c r="G1217" s="2" t="str">
        <f t="shared" si="36"/>
        <v>Cheng Yao-Qiang</v>
      </c>
      <c r="H1217" s="8" t="str">
        <f>IFERROR(VLOOKUP(VLOOKUP(A1217,'[1]Sales Order'!A:C,3,FALSE),[1]Employee!A:E,5,FALSE)&amp;" "&amp;VLOOKUP(VLOOKUP(A1217,'[1]Sales Order'!A:C,3,FALSE),[1]Employee!A:C,3,FALSE)&amp;" "&amp;VLOOKUP(VLOOKUP(A1217,'[1]Sales Order'!A:C,3,FALSE),[1]Employee!A:B,2,FALSE),"Not Specified")</f>
        <v>Ms. Sara Davis</v>
      </c>
      <c r="I1217" t="str">
        <f>IFERROR(VLOOKUP(VLOOKUP(A1217,'[1]Sales Order'!A:C,3,FALSE),[1]Employee!A:J,10,FALSE),"Not Specified")</f>
        <v>WA</v>
      </c>
      <c r="J1217" t="str">
        <f>VLOOKUP(B1217,[1]Product!A:B,2,FALSE)</f>
        <v>Product APITJ</v>
      </c>
      <c r="K1217" t="str">
        <f>VLOOKUP(VLOOKUP(B1217,[1]Product!A:D,4,FALSE),[1]Category!A:B,2,FALSE)</f>
        <v>Produce</v>
      </c>
      <c r="L1217" s="10">
        <f>IFERROR(VLOOKUP(A1217,'[1]Sales Order'!A:D,4,FALSE),"")</f>
        <v>39372</v>
      </c>
      <c r="M1217" s="10">
        <f>IFERROR(VLOOKUP(A1217,'[1]Sales Order'!A:F,6,FALSE),"")</f>
        <v>39406</v>
      </c>
      <c r="N1217" t="str">
        <f>IFERROR(VLOOKUP(VLOOKUP(A1217,'[1]Sales Order'!A:G,7,FALSE),[1]Shipper!A:B,2,FALSE),"Not Specified")</f>
        <v>Shipper ZHISN</v>
      </c>
      <c r="O1217" t="str">
        <f>IFERROR(VLOOKUP(A1217,'[1]Sales Order'!A:I,9,FALSE),"Not Specified")</f>
        <v>Destination GWPFK</v>
      </c>
      <c r="P1217" t="str">
        <f>IFERROR(VLOOKUP(A1217,'[1]Sales Order'!A:N,14,FALSE),"Not Specified")</f>
        <v>Brazil</v>
      </c>
      <c r="Q1217" t="str">
        <f>VLOOKUP(VLOOKUP(B1217,[1]Product!A:C,3,FALSE),[1]Supplier!A:B,2,FALSE)</f>
        <v>Supplier JNNES</v>
      </c>
      <c r="R1217" t="str">
        <f>VLOOKUP(VLOOKUP(B1217,[1]Product!A:C,3,FALSE),[1]Supplier!A:I,9,FALSE)</f>
        <v>Australia</v>
      </c>
      <c r="S1217" t="str">
        <f>IFERROR(IF(VLOOKUP(A1217,'[1]Sales Order'!A:H,8,FALSE)&gt;100,"High Freight","Low Freight"),"Not Specified")</f>
        <v>High Freight</v>
      </c>
      <c r="T1217">
        <f t="shared" si="37"/>
        <v>1484</v>
      </c>
    </row>
    <row r="1218" spans="1:20">
      <c r="A1218" s="1">
        <v>10709</v>
      </c>
      <c r="B1218" s="2">
        <v>60</v>
      </c>
      <c r="C1218" s="2">
        <v>34</v>
      </c>
      <c r="D1218" s="2">
        <v>10</v>
      </c>
      <c r="E1218" s="3">
        <v>0</v>
      </c>
      <c r="F1218" s="2" t="str">
        <f>IFERROR(VLOOKUP(VLOOKUP(A1218,'[1]Sales Order'!A:B,2,FALSE),[1]Customer!A:C,3,FALSE),"Not Specified")</f>
        <v>Cheng, Yao-Qiang</v>
      </c>
      <c r="G1218" s="2" t="str">
        <f t="shared" si="36"/>
        <v>Cheng Yao-Qiang</v>
      </c>
      <c r="H1218" s="8" t="str">
        <f>IFERROR(VLOOKUP(VLOOKUP(A1218,'[1]Sales Order'!A:C,3,FALSE),[1]Employee!A:E,5,FALSE)&amp;" "&amp;VLOOKUP(VLOOKUP(A1218,'[1]Sales Order'!A:C,3,FALSE),[1]Employee!A:C,3,FALSE)&amp;" "&amp;VLOOKUP(VLOOKUP(A1218,'[1]Sales Order'!A:C,3,FALSE),[1]Employee!A:B,2,FALSE),"Not Specified")</f>
        <v>Ms. Sara Davis</v>
      </c>
      <c r="I1218" t="str">
        <f>IFERROR(VLOOKUP(VLOOKUP(A1218,'[1]Sales Order'!A:C,3,FALSE),[1]Employee!A:J,10,FALSE),"Not Specified")</f>
        <v>WA</v>
      </c>
      <c r="J1218" t="str">
        <f>VLOOKUP(B1218,[1]Product!A:B,2,FALSE)</f>
        <v>Product WHBYK</v>
      </c>
      <c r="K1218" t="str">
        <f>VLOOKUP(VLOOKUP(B1218,[1]Product!A:D,4,FALSE),[1]Category!A:B,2,FALSE)</f>
        <v>Dairy Product</v>
      </c>
      <c r="L1218" s="10">
        <f>IFERROR(VLOOKUP(A1218,'[1]Sales Order'!A:D,4,FALSE),"")</f>
        <v>39372</v>
      </c>
      <c r="M1218" s="10">
        <f>IFERROR(VLOOKUP(A1218,'[1]Sales Order'!A:F,6,FALSE),"")</f>
        <v>39406</v>
      </c>
      <c r="N1218" t="str">
        <f>IFERROR(VLOOKUP(VLOOKUP(A1218,'[1]Sales Order'!A:G,7,FALSE),[1]Shipper!A:B,2,FALSE),"Not Specified")</f>
        <v>Shipper ZHISN</v>
      </c>
      <c r="O1218" t="str">
        <f>IFERROR(VLOOKUP(A1218,'[1]Sales Order'!A:I,9,FALSE),"Not Specified")</f>
        <v>Destination GWPFK</v>
      </c>
      <c r="P1218" t="str">
        <f>IFERROR(VLOOKUP(A1218,'[1]Sales Order'!A:N,14,FALSE),"Not Specified")</f>
        <v>Brazil</v>
      </c>
      <c r="Q1218" t="str">
        <f>VLOOKUP(VLOOKUP(B1218,[1]Product!A:C,3,FALSE),[1]Supplier!A:B,2,FALSE)</f>
        <v>Supplier OAVQT</v>
      </c>
      <c r="R1218" t="str">
        <f>VLOOKUP(VLOOKUP(B1218,[1]Product!A:C,3,FALSE),[1]Supplier!A:I,9,FALSE)</f>
        <v>France</v>
      </c>
      <c r="S1218" t="str">
        <f>IFERROR(IF(VLOOKUP(A1218,'[1]Sales Order'!A:H,8,FALSE)&gt;100,"High Freight","Low Freight"),"Not Specified")</f>
        <v>High Freight</v>
      </c>
      <c r="T1218">
        <f t="shared" si="37"/>
        <v>340</v>
      </c>
    </row>
    <row r="1219" spans="1:20">
      <c r="A1219" s="1">
        <v>10710</v>
      </c>
      <c r="B1219" s="2">
        <v>19</v>
      </c>
      <c r="C1219" s="2">
        <v>9.1999999999999993</v>
      </c>
      <c r="D1219" s="2">
        <v>5</v>
      </c>
      <c r="E1219" s="3">
        <v>0</v>
      </c>
      <c r="F1219" s="2" t="str">
        <f>IFERROR(VLOOKUP(VLOOKUP(A1219,'[1]Sales Order'!A:B,2,FALSE),[1]Customer!A:C,3,FALSE),"Not Specified")</f>
        <v>Schmöllerl, Martin</v>
      </c>
      <c r="G1219" s="2" t="str">
        <f t="shared" ref="G1219:G1282" si="38">SUBSTITUTE(F1219,",","",1)</f>
        <v>Schmöllerl Martin</v>
      </c>
      <c r="H1219" s="8" t="str">
        <f>IFERROR(VLOOKUP(VLOOKUP(A1219,'[1]Sales Order'!A:C,3,FALSE),[1]Employee!A:E,5,FALSE)&amp;" "&amp;VLOOKUP(VLOOKUP(A1219,'[1]Sales Order'!A:C,3,FALSE),[1]Employee!A:C,3,FALSE)&amp;" "&amp;VLOOKUP(VLOOKUP(A1219,'[1]Sales Order'!A:C,3,FALSE),[1]Employee!A:B,2,FALSE),"Not Specified")</f>
        <v>Ms. Sara Davis</v>
      </c>
      <c r="I1219" t="str">
        <f>IFERROR(VLOOKUP(VLOOKUP(A1219,'[1]Sales Order'!A:C,3,FALSE),[1]Employee!A:J,10,FALSE),"Not Specified")</f>
        <v>WA</v>
      </c>
      <c r="J1219" t="str">
        <f>VLOOKUP(B1219,[1]Product!A:B,2,FALSE)</f>
        <v>Product XKXDO</v>
      </c>
      <c r="K1219" t="str">
        <f>VLOOKUP(VLOOKUP(B1219,[1]Product!A:D,4,FALSE),[1]Category!A:B,2,FALSE)</f>
        <v>Confections</v>
      </c>
      <c r="L1219" s="10">
        <f>IFERROR(VLOOKUP(A1219,'[1]Sales Order'!A:D,4,FALSE),"")</f>
        <v>39375</v>
      </c>
      <c r="M1219" s="10">
        <f>IFERROR(VLOOKUP(A1219,'[1]Sales Order'!A:F,6,FALSE),"")</f>
        <v>39378</v>
      </c>
      <c r="N1219" t="str">
        <f>IFERROR(VLOOKUP(VLOOKUP(A1219,'[1]Sales Order'!A:G,7,FALSE),[1]Shipper!A:B,2,FALSE),"Not Specified")</f>
        <v>Shipper GVSUA</v>
      </c>
      <c r="O1219" t="str">
        <f>IFERROR(VLOOKUP(A1219,'[1]Sales Order'!A:I,9,FALSE),"Not Specified")</f>
        <v>Destination FFLQT</v>
      </c>
      <c r="P1219" t="str">
        <f>IFERROR(VLOOKUP(A1219,'[1]Sales Order'!A:N,14,FALSE),"Not Specified")</f>
        <v>Italy</v>
      </c>
      <c r="Q1219" t="str">
        <f>VLOOKUP(VLOOKUP(B1219,[1]Product!A:C,3,FALSE),[1]Supplier!A:B,2,FALSE)</f>
        <v>Supplier BWGYE</v>
      </c>
      <c r="R1219" t="str">
        <f>VLOOKUP(VLOOKUP(B1219,[1]Product!A:C,3,FALSE),[1]Supplier!A:I,9,FALSE)</f>
        <v>UK</v>
      </c>
      <c r="S1219" t="str">
        <f>IFERROR(IF(VLOOKUP(A1219,'[1]Sales Order'!A:H,8,FALSE)&gt;100,"High Freight","Low Freight"),"Not Specified")</f>
        <v>Low Freight</v>
      </c>
      <c r="T1219">
        <f t="shared" ref="T1219:T1282" si="39">C1219*D1219*(1-E1219)</f>
        <v>46</v>
      </c>
    </row>
    <row r="1220" spans="1:20">
      <c r="A1220" s="1">
        <v>10710</v>
      </c>
      <c r="B1220" s="2">
        <v>47</v>
      </c>
      <c r="C1220" s="2">
        <v>9.5</v>
      </c>
      <c r="D1220" s="2">
        <v>5</v>
      </c>
      <c r="E1220" s="3">
        <v>0</v>
      </c>
      <c r="F1220" s="2" t="str">
        <f>IFERROR(VLOOKUP(VLOOKUP(A1220,'[1]Sales Order'!A:B,2,FALSE),[1]Customer!A:C,3,FALSE),"Not Specified")</f>
        <v>Schmöllerl, Martin</v>
      </c>
      <c r="G1220" s="2" t="str">
        <f t="shared" si="38"/>
        <v>Schmöllerl Martin</v>
      </c>
      <c r="H1220" s="8" t="str">
        <f>IFERROR(VLOOKUP(VLOOKUP(A1220,'[1]Sales Order'!A:C,3,FALSE),[1]Employee!A:E,5,FALSE)&amp;" "&amp;VLOOKUP(VLOOKUP(A1220,'[1]Sales Order'!A:C,3,FALSE),[1]Employee!A:C,3,FALSE)&amp;" "&amp;VLOOKUP(VLOOKUP(A1220,'[1]Sales Order'!A:C,3,FALSE),[1]Employee!A:B,2,FALSE),"Not Specified")</f>
        <v>Ms. Sara Davis</v>
      </c>
      <c r="I1220" t="str">
        <f>IFERROR(VLOOKUP(VLOOKUP(A1220,'[1]Sales Order'!A:C,3,FALSE),[1]Employee!A:J,10,FALSE),"Not Specified")</f>
        <v>WA</v>
      </c>
      <c r="J1220" t="str">
        <f>VLOOKUP(B1220,[1]Product!A:B,2,FALSE)</f>
        <v>Product EZZPR</v>
      </c>
      <c r="K1220" t="str">
        <f>VLOOKUP(VLOOKUP(B1220,[1]Product!A:D,4,FALSE),[1]Category!A:B,2,FALSE)</f>
        <v>Confections</v>
      </c>
      <c r="L1220" s="10">
        <f>IFERROR(VLOOKUP(A1220,'[1]Sales Order'!A:D,4,FALSE),"")</f>
        <v>39375</v>
      </c>
      <c r="M1220" s="10">
        <f>IFERROR(VLOOKUP(A1220,'[1]Sales Order'!A:F,6,FALSE),"")</f>
        <v>39378</v>
      </c>
      <c r="N1220" t="str">
        <f>IFERROR(VLOOKUP(VLOOKUP(A1220,'[1]Sales Order'!A:G,7,FALSE),[1]Shipper!A:B,2,FALSE),"Not Specified")</f>
        <v>Shipper GVSUA</v>
      </c>
      <c r="O1220" t="str">
        <f>IFERROR(VLOOKUP(A1220,'[1]Sales Order'!A:I,9,FALSE),"Not Specified")</f>
        <v>Destination FFLQT</v>
      </c>
      <c r="P1220" t="str">
        <f>IFERROR(VLOOKUP(A1220,'[1]Sales Order'!A:N,14,FALSE),"Not Specified")</f>
        <v>Italy</v>
      </c>
      <c r="Q1220" t="str">
        <f>VLOOKUP(VLOOKUP(B1220,[1]Product!A:C,3,FALSE),[1]Supplier!A:B,2,FALSE)</f>
        <v>Supplier FNUXM</v>
      </c>
      <c r="R1220" t="str">
        <f>VLOOKUP(VLOOKUP(B1220,[1]Product!A:C,3,FALSE),[1]Supplier!A:I,9,FALSE)</f>
        <v>Netherlands</v>
      </c>
      <c r="S1220" t="str">
        <f>IFERROR(IF(VLOOKUP(A1220,'[1]Sales Order'!A:H,8,FALSE)&gt;100,"High Freight","Low Freight"),"Not Specified")</f>
        <v>Low Freight</v>
      </c>
      <c r="T1220">
        <f t="shared" si="39"/>
        <v>47.5</v>
      </c>
    </row>
    <row r="1221" spans="1:20">
      <c r="A1221" s="1">
        <v>10711</v>
      </c>
      <c r="B1221" s="2">
        <v>19</v>
      </c>
      <c r="C1221" s="2">
        <v>9.1999999999999993</v>
      </c>
      <c r="D1221" s="2">
        <v>12</v>
      </c>
      <c r="E1221" s="3">
        <v>0</v>
      </c>
      <c r="F1221" s="2" t="str">
        <f>IFERROR(VLOOKUP(VLOOKUP(A1221,'[1]Sales Order'!A:B,2,FALSE),[1]Customer!A:C,3,FALSE),"Not Specified")</f>
        <v>Navarro, Tomás</v>
      </c>
      <c r="G1221" s="2" t="str">
        <f t="shared" si="38"/>
        <v>Navarro Tomás</v>
      </c>
      <c r="H1221" s="8" t="str">
        <f>IFERROR(VLOOKUP(VLOOKUP(A1221,'[1]Sales Order'!A:C,3,FALSE),[1]Employee!A:E,5,FALSE)&amp;" "&amp;VLOOKUP(VLOOKUP(A1221,'[1]Sales Order'!A:C,3,FALSE),[1]Employee!A:C,3,FALSE)&amp;" "&amp;VLOOKUP(VLOOKUP(A1221,'[1]Sales Order'!A:C,3,FALSE),[1]Employee!A:B,2,FALSE),"Not Specified")</f>
        <v>Mr. Sven Buck</v>
      </c>
      <c r="I1221">
        <f>IFERROR(VLOOKUP(VLOOKUP(A1221,'[1]Sales Order'!A:C,3,FALSE),[1]Employee!A:J,10,FALSE),"Not Specified")</f>
        <v>0</v>
      </c>
      <c r="J1221" t="str">
        <f>VLOOKUP(B1221,[1]Product!A:B,2,FALSE)</f>
        <v>Product XKXDO</v>
      </c>
      <c r="K1221" t="str">
        <f>VLOOKUP(VLOOKUP(B1221,[1]Product!A:D,4,FALSE),[1]Category!A:B,2,FALSE)</f>
        <v>Confections</v>
      </c>
      <c r="L1221" s="10">
        <f>IFERROR(VLOOKUP(A1221,'[1]Sales Order'!A:D,4,FALSE),"")</f>
        <v>39376</v>
      </c>
      <c r="M1221" s="10">
        <f>IFERROR(VLOOKUP(A1221,'[1]Sales Order'!A:F,6,FALSE),"")</f>
        <v>39384</v>
      </c>
      <c r="N1221" t="str">
        <f>IFERROR(VLOOKUP(VLOOKUP(A1221,'[1]Sales Order'!A:G,7,FALSE),[1]Shipper!A:B,2,FALSE),"Not Specified")</f>
        <v>Shipper ETYNR</v>
      </c>
      <c r="O1221" t="str">
        <f>IFERROR(VLOOKUP(A1221,'[1]Sales Order'!A:I,9,FALSE),"Not Specified")</f>
        <v>Ship to 71-A</v>
      </c>
      <c r="P1221" t="str">
        <f>IFERROR(VLOOKUP(A1221,'[1]Sales Order'!A:N,14,FALSE),"Not Specified")</f>
        <v>USA</v>
      </c>
      <c r="Q1221" t="str">
        <f>VLOOKUP(VLOOKUP(B1221,[1]Product!A:C,3,FALSE),[1]Supplier!A:B,2,FALSE)</f>
        <v>Supplier BWGYE</v>
      </c>
      <c r="R1221" t="str">
        <f>VLOOKUP(VLOOKUP(B1221,[1]Product!A:C,3,FALSE),[1]Supplier!A:I,9,FALSE)</f>
        <v>UK</v>
      </c>
      <c r="S1221" t="str">
        <f>IFERROR(IF(VLOOKUP(A1221,'[1]Sales Order'!A:H,8,FALSE)&gt;100,"High Freight","Low Freight"),"Not Specified")</f>
        <v>Low Freight</v>
      </c>
      <c r="T1221">
        <f t="shared" si="39"/>
        <v>110.39999999999999</v>
      </c>
    </row>
    <row r="1222" spans="1:20">
      <c r="A1222" s="1">
        <v>10711</v>
      </c>
      <c r="B1222" s="2">
        <v>41</v>
      </c>
      <c r="C1222" s="2">
        <v>9.65</v>
      </c>
      <c r="D1222" s="2">
        <v>42</v>
      </c>
      <c r="E1222" s="3">
        <v>0</v>
      </c>
      <c r="F1222" s="2" t="str">
        <f>IFERROR(VLOOKUP(VLOOKUP(A1222,'[1]Sales Order'!A:B,2,FALSE),[1]Customer!A:C,3,FALSE),"Not Specified")</f>
        <v>Navarro, Tomás</v>
      </c>
      <c r="G1222" s="2" t="str">
        <f t="shared" si="38"/>
        <v>Navarro Tomás</v>
      </c>
      <c r="H1222" s="8" t="str">
        <f>IFERROR(VLOOKUP(VLOOKUP(A1222,'[1]Sales Order'!A:C,3,FALSE),[1]Employee!A:E,5,FALSE)&amp;" "&amp;VLOOKUP(VLOOKUP(A1222,'[1]Sales Order'!A:C,3,FALSE),[1]Employee!A:C,3,FALSE)&amp;" "&amp;VLOOKUP(VLOOKUP(A1222,'[1]Sales Order'!A:C,3,FALSE),[1]Employee!A:B,2,FALSE),"Not Specified")</f>
        <v>Mr. Sven Buck</v>
      </c>
      <c r="I1222">
        <f>IFERROR(VLOOKUP(VLOOKUP(A1222,'[1]Sales Order'!A:C,3,FALSE),[1]Employee!A:J,10,FALSE),"Not Specified")</f>
        <v>0</v>
      </c>
      <c r="J1222" t="str">
        <f>VLOOKUP(B1222,[1]Product!A:B,2,FALSE)</f>
        <v>Product TTEEX</v>
      </c>
      <c r="K1222" t="str">
        <f>VLOOKUP(VLOOKUP(B1222,[1]Product!A:D,4,FALSE),[1]Category!A:B,2,FALSE)</f>
        <v>Seafood</v>
      </c>
      <c r="L1222" s="10">
        <f>IFERROR(VLOOKUP(A1222,'[1]Sales Order'!A:D,4,FALSE),"")</f>
        <v>39376</v>
      </c>
      <c r="M1222" s="10">
        <f>IFERROR(VLOOKUP(A1222,'[1]Sales Order'!A:F,6,FALSE),"")</f>
        <v>39384</v>
      </c>
      <c r="N1222" t="str">
        <f>IFERROR(VLOOKUP(VLOOKUP(A1222,'[1]Sales Order'!A:G,7,FALSE),[1]Shipper!A:B,2,FALSE),"Not Specified")</f>
        <v>Shipper ETYNR</v>
      </c>
      <c r="O1222" t="str">
        <f>IFERROR(VLOOKUP(A1222,'[1]Sales Order'!A:I,9,FALSE),"Not Specified")</f>
        <v>Ship to 71-A</v>
      </c>
      <c r="P1222" t="str">
        <f>IFERROR(VLOOKUP(A1222,'[1]Sales Order'!A:N,14,FALSE),"Not Specified")</f>
        <v>USA</v>
      </c>
      <c r="Q1222" t="str">
        <f>VLOOKUP(VLOOKUP(B1222,[1]Product!A:C,3,FALSE),[1]Supplier!A:B,2,FALSE)</f>
        <v>Supplier JDNUG</v>
      </c>
      <c r="R1222" t="str">
        <f>VLOOKUP(VLOOKUP(B1222,[1]Product!A:C,3,FALSE),[1]Supplier!A:I,9,FALSE)</f>
        <v>USA</v>
      </c>
      <c r="S1222" t="str">
        <f>IFERROR(IF(VLOOKUP(A1222,'[1]Sales Order'!A:H,8,FALSE)&gt;100,"High Freight","Low Freight"),"Not Specified")</f>
        <v>Low Freight</v>
      </c>
      <c r="T1222">
        <f t="shared" si="39"/>
        <v>405.3</v>
      </c>
    </row>
    <row r="1223" spans="1:20">
      <c r="A1223" s="1">
        <v>10711</v>
      </c>
      <c r="B1223" s="2">
        <v>53</v>
      </c>
      <c r="C1223" s="2">
        <v>32.799999999999997</v>
      </c>
      <c r="D1223" s="2">
        <v>120</v>
      </c>
      <c r="E1223" s="3">
        <v>0</v>
      </c>
      <c r="F1223" s="2" t="str">
        <f>IFERROR(VLOOKUP(VLOOKUP(A1223,'[1]Sales Order'!A:B,2,FALSE),[1]Customer!A:C,3,FALSE),"Not Specified")</f>
        <v>Navarro, Tomás</v>
      </c>
      <c r="G1223" s="2" t="str">
        <f t="shared" si="38"/>
        <v>Navarro Tomás</v>
      </c>
      <c r="H1223" s="8" t="str">
        <f>IFERROR(VLOOKUP(VLOOKUP(A1223,'[1]Sales Order'!A:C,3,FALSE),[1]Employee!A:E,5,FALSE)&amp;" "&amp;VLOOKUP(VLOOKUP(A1223,'[1]Sales Order'!A:C,3,FALSE),[1]Employee!A:C,3,FALSE)&amp;" "&amp;VLOOKUP(VLOOKUP(A1223,'[1]Sales Order'!A:C,3,FALSE),[1]Employee!A:B,2,FALSE),"Not Specified")</f>
        <v>Mr. Sven Buck</v>
      </c>
      <c r="I1223">
        <f>IFERROR(VLOOKUP(VLOOKUP(A1223,'[1]Sales Order'!A:C,3,FALSE),[1]Employee!A:J,10,FALSE),"Not Specified")</f>
        <v>0</v>
      </c>
      <c r="J1223" t="str">
        <f>VLOOKUP(B1223,[1]Product!A:B,2,FALSE)</f>
        <v>Product BKGEA</v>
      </c>
      <c r="K1223" t="str">
        <f>VLOOKUP(VLOOKUP(B1223,[1]Product!A:D,4,FALSE),[1]Category!A:B,2,FALSE)</f>
        <v>Meat/Poultry</v>
      </c>
      <c r="L1223" s="10">
        <f>IFERROR(VLOOKUP(A1223,'[1]Sales Order'!A:D,4,FALSE),"")</f>
        <v>39376</v>
      </c>
      <c r="M1223" s="10">
        <f>IFERROR(VLOOKUP(A1223,'[1]Sales Order'!A:F,6,FALSE),"")</f>
        <v>39384</v>
      </c>
      <c r="N1223" t="str">
        <f>IFERROR(VLOOKUP(VLOOKUP(A1223,'[1]Sales Order'!A:G,7,FALSE),[1]Shipper!A:B,2,FALSE),"Not Specified")</f>
        <v>Shipper ETYNR</v>
      </c>
      <c r="O1223" t="str">
        <f>IFERROR(VLOOKUP(A1223,'[1]Sales Order'!A:I,9,FALSE),"Not Specified")</f>
        <v>Ship to 71-A</v>
      </c>
      <c r="P1223" t="str">
        <f>IFERROR(VLOOKUP(A1223,'[1]Sales Order'!A:N,14,FALSE),"Not Specified")</f>
        <v>USA</v>
      </c>
      <c r="Q1223" t="str">
        <f>VLOOKUP(VLOOKUP(B1223,[1]Product!A:C,3,FALSE),[1]Supplier!A:B,2,FALSE)</f>
        <v>Supplier JNNES</v>
      </c>
      <c r="R1223" t="str">
        <f>VLOOKUP(VLOOKUP(B1223,[1]Product!A:C,3,FALSE),[1]Supplier!A:I,9,FALSE)</f>
        <v>Australia</v>
      </c>
      <c r="S1223" t="str">
        <f>IFERROR(IF(VLOOKUP(A1223,'[1]Sales Order'!A:H,8,FALSE)&gt;100,"High Freight","Low Freight"),"Not Specified")</f>
        <v>Low Freight</v>
      </c>
      <c r="T1223">
        <f t="shared" si="39"/>
        <v>3935.9999999999995</v>
      </c>
    </row>
    <row r="1224" spans="1:20">
      <c r="A1224" s="1">
        <v>10712</v>
      </c>
      <c r="B1224" s="2">
        <v>53</v>
      </c>
      <c r="C1224" s="2">
        <v>32.799999999999997</v>
      </c>
      <c r="D1224" s="2">
        <v>3</v>
      </c>
      <c r="E1224" s="3">
        <v>0.05</v>
      </c>
      <c r="F1224" s="2" t="str">
        <f>IFERROR(VLOOKUP(VLOOKUP(A1224,'[1]Sales Order'!A:B,2,FALSE),[1]Customer!A:C,3,FALSE),"Not Specified")</f>
        <v>Crăciun, Ovidiu V.</v>
      </c>
      <c r="G1224" s="2" t="str">
        <f t="shared" si="38"/>
        <v>Crăciun Ovidiu V.</v>
      </c>
      <c r="H1224" s="8" t="str">
        <f>IFERROR(VLOOKUP(VLOOKUP(A1224,'[1]Sales Order'!A:C,3,FALSE),[1]Employee!A:E,5,FALSE)&amp;" "&amp;VLOOKUP(VLOOKUP(A1224,'[1]Sales Order'!A:C,3,FALSE),[1]Employee!A:C,3,FALSE)&amp;" "&amp;VLOOKUP(VLOOKUP(A1224,'[1]Sales Order'!A:C,3,FALSE),[1]Employee!A:B,2,FALSE),"Not Specified")</f>
        <v>Ms. Judy Lew</v>
      </c>
      <c r="I1224" t="str">
        <f>IFERROR(VLOOKUP(VLOOKUP(A1224,'[1]Sales Order'!A:C,3,FALSE),[1]Employee!A:J,10,FALSE),"Not Specified")</f>
        <v>WA</v>
      </c>
      <c r="J1224" t="str">
        <f>VLOOKUP(B1224,[1]Product!A:B,2,FALSE)</f>
        <v>Product BKGEA</v>
      </c>
      <c r="K1224" t="str">
        <f>VLOOKUP(VLOOKUP(B1224,[1]Product!A:D,4,FALSE),[1]Category!A:B,2,FALSE)</f>
        <v>Meat/Poultry</v>
      </c>
      <c r="L1224" s="10">
        <f>IFERROR(VLOOKUP(A1224,'[1]Sales Order'!A:D,4,FALSE),"")</f>
        <v>39376</v>
      </c>
      <c r="M1224" s="10">
        <f>IFERROR(VLOOKUP(A1224,'[1]Sales Order'!A:F,6,FALSE),"")</f>
        <v>39386</v>
      </c>
      <c r="N1224" t="str">
        <f>IFERROR(VLOOKUP(VLOOKUP(A1224,'[1]Sales Order'!A:G,7,FALSE),[1]Shipper!A:B,2,FALSE),"Not Specified")</f>
        <v>Shipper GVSUA</v>
      </c>
      <c r="O1224" t="str">
        <f>IFERROR(VLOOKUP(A1224,'[1]Sales Order'!A:I,9,FALSE),"Not Specified")</f>
        <v>Destination KPVYJ</v>
      </c>
      <c r="P1224" t="str">
        <f>IFERROR(VLOOKUP(A1224,'[1]Sales Order'!A:N,14,FALSE),"Not Specified")</f>
        <v>Ireland</v>
      </c>
      <c r="Q1224" t="str">
        <f>VLOOKUP(VLOOKUP(B1224,[1]Product!A:C,3,FALSE),[1]Supplier!A:B,2,FALSE)</f>
        <v>Supplier JNNES</v>
      </c>
      <c r="R1224" t="str">
        <f>VLOOKUP(VLOOKUP(B1224,[1]Product!A:C,3,FALSE),[1]Supplier!A:I,9,FALSE)</f>
        <v>Australia</v>
      </c>
      <c r="S1224" t="str">
        <f>IFERROR(IF(VLOOKUP(A1224,'[1]Sales Order'!A:H,8,FALSE)&gt;100,"High Freight","Low Freight"),"Not Specified")</f>
        <v>Low Freight</v>
      </c>
      <c r="T1224">
        <f t="shared" si="39"/>
        <v>93.47999999999999</v>
      </c>
    </row>
    <row r="1225" spans="1:20">
      <c r="A1225" s="1">
        <v>10712</v>
      </c>
      <c r="B1225" s="2">
        <v>56</v>
      </c>
      <c r="C1225" s="2">
        <v>38</v>
      </c>
      <c r="D1225" s="2">
        <v>30</v>
      </c>
      <c r="E1225" s="3">
        <v>0</v>
      </c>
      <c r="F1225" s="2" t="str">
        <f>IFERROR(VLOOKUP(VLOOKUP(A1225,'[1]Sales Order'!A:B,2,FALSE),[1]Customer!A:C,3,FALSE),"Not Specified")</f>
        <v>Crăciun, Ovidiu V.</v>
      </c>
      <c r="G1225" s="2" t="str">
        <f t="shared" si="38"/>
        <v>Crăciun Ovidiu V.</v>
      </c>
      <c r="H1225" s="8" t="str">
        <f>IFERROR(VLOOKUP(VLOOKUP(A1225,'[1]Sales Order'!A:C,3,FALSE),[1]Employee!A:E,5,FALSE)&amp;" "&amp;VLOOKUP(VLOOKUP(A1225,'[1]Sales Order'!A:C,3,FALSE),[1]Employee!A:C,3,FALSE)&amp;" "&amp;VLOOKUP(VLOOKUP(A1225,'[1]Sales Order'!A:C,3,FALSE),[1]Employee!A:B,2,FALSE),"Not Specified")</f>
        <v>Ms. Judy Lew</v>
      </c>
      <c r="I1225" t="str">
        <f>IFERROR(VLOOKUP(VLOOKUP(A1225,'[1]Sales Order'!A:C,3,FALSE),[1]Employee!A:J,10,FALSE),"Not Specified")</f>
        <v>WA</v>
      </c>
      <c r="J1225" t="str">
        <f>VLOOKUP(B1225,[1]Product!A:B,2,FALSE)</f>
        <v>Product VKCMF</v>
      </c>
      <c r="K1225" t="str">
        <f>VLOOKUP(VLOOKUP(B1225,[1]Product!A:D,4,FALSE),[1]Category!A:B,2,FALSE)</f>
        <v>Grains/Cereals</v>
      </c>
      <c r="L1225" s="10">
        <f>IFERROR(VLOOKUP(A1225,'[1]Sales Order'!A:D,4,FALSE),"")</f>
        <v>39376</v>
      </c>
      <c r="M1225" s="10">
        <f>IFERROR(VLOOKUP(A1225,'[1]Sales Order'!A:F,6,FALSE),"")</f>
        <v>39386</v>
      </c>
      <c r="N1225" t="str">
        <f>IFERROR(VLOOKUP(VLOOKUP(A1225,'[1]Sales Order'!A:G,7,FALSE),[1]Shipper!A:B,2,FALSE),"Not Specified")</f>
        <v>Shipper GVSUA</v>
      </c>
      <c r="O1225" t="str">
        <f>IFERROR(VLOOKUP(A1225,'[1]Sales Order'!A:I,9,FALSE),"Not Specified")</f>
        <v>Destination KPVYJ</v>
      </c>
      <c r="P1225" t="str">
        <f>IFERROR(VLOOKUP(A1225,'[1]Sales Order'!A:N,14,FALSE),"Not Specified")</f>
        <v>Ireland</v>
      </c>
      <c r="Q1225" t="str">
        <f>VLOOKUP(VLOOKUP(B1225,[1]Product!A:C,3,FALSE),[1]Supplier!A:B,2,FALSE)</f>
        <v>Supplier ZWZDM</v>
      </c>
      <c r="R1225" t="str">
        <f>VLOOKUP(VLOOKUP(B1225,[1]Product!A:C,3,FALSE),[1]Supplier!A:I,9,FALSE)</f>
        <v>Italy</v>
      </c>
      <c r="S1225" t="str">
        <f>IFERROR(IF(VLOOKUP(A1225,'[1]Sales Order'!A:H,8,FALSE)&gt;100,"High Freight","Low Freight"),"Not Specified")</f>
        <v>Low Freight</v>
      </c>
      <c r="T1225">
        <f t="shared" si="39"/>
        <v>1140</v>
      </c>
    </row>
    <row r="1226" spans="1:20">
      <c r="A1226" s="1">
        <v>10713</v>
      </c>
      <c r="B1226" s="2">
        <v>10</v>
      </c>
      <c r="C1226" s="2">
        <v>31</v>
      </c>
      <c r="D1226" s="2">
        <v>18</v>
      </c>
      <c r="E1226" s="3">
        <v>0</v>
      </c>
      <c r="F1226" s="2" t="str">
        <f>IFERROR(VLOOKUP(VLOOKUP(A1226,'[1]Sales Order'!A:B,2,FALSE),[1]Customer!A:C,3,FALSE),"Not Specified")</f>
        <v>Navarro, Tomás</v>
      </c>
      <c r="G1226" s="2" t="str">
        <f t="shared" si="38"/>
        <v>Navarro Tomás</v>
      </c>
      <c r="H1226" s="8" t="str">
        <f>IFERROR(VLOOKUP(VLOOKUP(A1226,'[1]Sales Order'!A:C,3,FALSE),[1]Employee!A:E,5,FALSE)&amp;" "&amp;VLOOKUP(VLOOKUP(A1226,'[1]Sales Order'!A:C,3,FALSE),[1]Employee!A:C,3,FALSE)&amp;" "&amp;VLOOKUP(VLOOKUP(A1226,'[1]Sales Order'!A:C,3,FALSE),[1]Employee!A:B,2,FALSE),"Not Specified")</f>
        <v>Ms. Sara Davis</v>
      </c>
      <c r="I1226" t="str">
        <f>IFERROR(VLOOKUP(VLOOKUP(A1226,'[1]Sales Order'!A:C,3,FALSE),[1]Employee!A:J,10,FALSE),"Not Specified")</f>
        <v>WA</v>
      </c>
      <c r="J1226" t="str">
        <f>VLOOKUP(B1226,[1]Product!A:B,2,FALSE)</f>
        <v>Product YHXGE</v>
      </c>
      <c r="K1226" t="str">
        <f>VLOOKUP(VLOOKUP(B1226,[1]Product!A:D,4,FALSE),[1]Category!A:B,2,FALSE)</f>
        <v>Seafood</v>
      </c>
      <c r="L1226" s="10">
        <f>IFERROR(VLOOKUP(A1226,'[1]Sales Order'!A:D,4,FALSE),"")</f>
        <v>39377</v>
      </c>
      <c r="M1226" s="10">
        <f>IFERROR(VLOOKUP(A1226,'[1]Sales Order'!A:F,6,FALSE),"")</f>
        <v>39379</v>
      </c>
      <c r="N1226" t="str">
        <f>IFERROR(VLOOKUP(VLOOKUP(A1226,'[1]Sales Order'!A:G,7,FALSE),[1]Shipper!A:B,2,FALSE),"Not Specified")</f>
        <v>Shipper GVSUA</v>
      </c>
      <c r="O1226" t="str">
        <f>IFERROR(VLOOKUP(A1226,'[1]Sales Order'!A:I,9,FALSE),"Not Specified")</f>
        <v>Ship to 71-C</v>
      </c>
      <c r="P1226" t="str">
        <f>IFERROR(VLOOKUP(A1226,'[1]Sales Order'!A:N,14,FALSE),"Not Specified")</f>
        <v>USA</v>
      </c>
      <c r="Q1226" t="str">
        <f>VLOOKUP(VLOOKUP(B1226,[1]Product!A:C,3,FALSE),[1]Supplier!A:B,2,FALSE)</f>
        <v>Supplier QOVFD</v>
      </c>
      <c r="R1226" t="str">
        <f>VLOOKUP(VLOOKUP(B1226,[1]Product!A:C,3,FALSE),[1]Supplier!A:I,9,FALSE)</f>
        <v>Japan</v>
      </c>
      <c r="S1226" t="str">
        <f>IFERROR(IF(VLOOKUP(A1226,'[1]Sales Order'!A:H,8,FALSE)&gt;100,"High Freight","Low Freight"),"Not Specified")</f>
        <v>High Freight</v>
      </c>
      <c r="T1226">
        <f t="shared" si="39"/>
        <v>558</v>
      </c>
    </row>
    <row r="1227" spans="1:20">
      <c r="A1227" s="1">
        <v>10713</v>
      </c>
      <c r="B1227" s="2">
        <v>26</v>
      </c>
      <c r="C1227" s="2">
        <v>31.23</v>
      </c>
      <c r="D1227" s="2">
        <v>30</v>
      </c>
      <c r="E1227" s="3">
        <v>0</v>
      </c>
      <c r="F1227" s="2" t="str">
        <f>IFERROR(VLOOKUP(VLOOKUP(A1227,'[1]Sales Order'!A:B,2,FALSE),[1]Customer!A:C,3,FALSE),"Not Specified")</f>
        <v>Navarro, Tomás</v>
      </c>
      <c r="G1227" s="2" t="str">
        <f t="shared" si="38"/>
        <v>Navarro Tomás</v>
      </c>
      <c r="H1227" s="8" t="str">
        <f>IFERROR(VLOOKUP(VLOOKUP(A1227,'[1]Sales Order'!A:C,3,FALSE),[1]Employee!A:E,5,FALSE)&amp;" "&amp;VLOOKUP(VLOOKUP(A1227,'[1]Sales Order'!A:C,3,FALSE),[1]Employee!A:C,3,FALSE)&amp;" "&amp;VLOOKUP(VLOOKUP(A1227,'[1]Sales Order'!A:C,3,FALSE),[1]Employee!A:B,2,FALSE),"Not Specified")</f>
        <v>Ms. Sara Davis</v>
      </c>
      <c r="I1227" t="str">
        <f>IFERROR(VLOOKUP(VLOOKUP(A1227,'[1]Sales Order'!A:C,3,FALSE),[1]Employee!A:J,10,FALSE),"Not Specified")</f>
        <v>WA</v>
      </c>
      <c r="J1227" t="str">
        <f>VLOOKUP(B1227,[1]Product!A:B,2,FALSE)</f>
        <v>Product HLGZA</v>
      </c>
      <c r="K1227" t="str">
        <f>VLOOKUP(VLOOKUP(B1227,[1]Product!A:D,4,FALSE),[1]Category!A:B,2,FALSE)</f>
        <v>Confections</v>
      </c>
      <c r="L1227" s="10">
        <f>IFERROR(VLOOKUP(A1227,'[1]Sales Order'!A:D,4,FALSE),"")</f>
        <v>39377</v>
      </c>
      <c r="M1227" s="10">
        <f>IFERROR(VLOOKUP(A1227,'[1]Sales Order'!A:F,6,FALSE),"")</f>
        <v>39379</v>
      </c>
      <c r="N1227" t="str">
        <f>IFERROR(VLOOKUP(VLOOKUP(A1227,'[1]Sales Order'!A:G,7,FALSE),[1]Shipper!A:B,2,FALSE),"Not Specified")</f>
        <v>Shipper GVSUA</v>
      </c>
      <c r="O1227" t="str">
        <f>IFERROR(VLOOKUP(A1227,'[1]Sales Order'!A:I,9,FALSE),"Not Specified")</f>
        <v>Ship to 71-C</v>
      </c>
      <c r="P1227" t="str">
        <f>IFERROR(VLOOKUP(A1227,'[1]Sales Order'!A:N,14,FALSE),"Not Specified")</f>
        <v>USA</v>
      </c>
      <c r="Q1227" t="str">
        <f>VLOOKUP(VLOOKUP(B1227,[1]Product!A:C,3,FALSE),[1]Supplier!A:B,2,FALSE)</f>
        <v>Supplier ZPYVS</v>
      </c>
      <c r="R1227" t="str">
        <f>VLOOKUP(VLOOKUP(B1227,[1]Product!A:C,3,FALSE),[1]Supplier!A:I,9,FALSE)</f>
        <v>Germany</v>
      </c>
      <c r="S1227" t="str">
        <f>IFERROR(IF(VLOOKUP(A1227,'[1]Sales Order'!A:H,8,FALSE)&gt;100,"High Freight","Low Freight"),"Not Specified")</f>
        <v>High Freight</v>
      </c>
      <c r="T1227">
        <f t="shared" si="39"/>
        <v>936.9</v>
      </c>
    </row>
    <row r="1228" spans="1:20">
      <c r="A1228" s="1">
        <v>10713</v>
      </c>
      <c r="B1228" s="2">
        <v>45</v>
      </c>
      <c r="C1228" s="2">
        <v>9.5</v>
      </c>
      <c r="D1228" s="2">
        <v>110</v>
      </c>
      <c r="E1228" s="3">
        <v>0</v>
      </c>
      <c r="F1228" s="2" t="str">
        <f>IFERROR(VLOOKUP(VLOOKUP(A1228,'[1]Sales Order'!A:B,2,FALSE),[1]Customer!A:C,3,FALSE),"Not Specified")</f>
        <v>Navarro, Tomás</v>
      </c>
      <c r="G1228" s="2" t="str">
        <f t="shared" si="38"/>
        <v>Navarro Tomás</v>
      </c>
      <c r="H1228" s="8" t="str">
        <f>IFERROR(VLOOKUP(VLOOKUP(A1228,'[1]Sales Order'!A:C,3,FALSE),[1]Employee!A:E,5,FALSE)&amp;" "&amp;VLOOKUP(VLOOKUP(A1228,'[1]Sales Order'!A:C,3,FALSE),[1]Employee!A:C,3,FALSE)&amp;" "&amp;VLOOKUP(VLOOKUP(A1228,'[1]Sales Order'!A:C,3,FALSE),[1]Employee!A:B,2,FALSE),"Not Specified")</f>
        <v>Ms. Sara Davis</v>
      </c>
      <c r="I1228" t="str">
        <f>IFERROR(VLOOKUP(VLOOKUP(A1228,'[1]Sales Order'!A:C,3,FALSE),[1]Employee!A:J,10,FALSE),"Not Specified")</f>
        <v>WA</v>
      </c>
      <c r="J1228" t="str">
        <f>VLOOKUP(B1228,[1]Product!A:B,2,FALSE)</f>
        <v>Product AQOKR</v>
      </c>
      <c r="K1228" t="str">
        <f>VLOOKUP(VLOOKUP(B1228,[1]Product!A:D,4,FALSE),[1]Category!A:B,2,FALSE)</f>
        <v>Seafood</v>
      </c>
      <c r="L1228" s="10">
        <f>IFERROR(VLOOKUP(A1228,'[1]Sales Order'!A:D,4,FALSE),"")</f>
        <v>39377</v>
      </c>
      <c r="M1228" s="10">
        <f>IFERROR(VLOOKUP(A1228,'[1]Sales Order'!A:F,6,FALSE),"")</f>
        <v>39379</v>
      </c>
      <c r="N1228" t="str">
        <f>IFERROR(VLOOKUP(VLOOKUP(A1228,'[1]Sales Order'!A:G,7,FALSE),[1]Shipper!A:B,2,FALSE),"Not Specified")</f>
        <v>Shipper GVSUA</v>
      </c>
      <c r="O1228" t="str">
        <f>IFERROR(VLOOKUP(A1228,'[1]Sales Order'!A:I,9,FALSE),"Not Specified")</f>
        <v>Ship to 71-C</v>
      </c>
      <c r="P1228" t="str">
        <f>IFERROR(VLOOKUP(A1228,'[1]Sales Order'!A:N,14,FALSE),"Not Specified")</f>
        <v>USA</v>
      </c>
      <c r="Q1228" t="str">
        <f>VLOOKUP(VLOOKUP(B1228,[1]Product!A:C,3,FALSE),[1]Supplier!A:B,2,FALSE)</f>
        <v>Supplier XOXZA</v>
      </c>
      <c r="R1228" t="str">
        <f>VLOOKUP(VLOOKUP(B1228,[1]Product!A:C,3,FALSE),[1]Supplier!A:I,9,FALSE)</f>
        <v>Denmark</v>
      </c>
      <c r="S1228" t="str">
        <f>IFERROR(IF(VLOOKUP(A1228,'[1]Sales Order'!A:H,8,FALSE)&gt;100,"High Freight","Low Freight"),"Not Specified")</f>
        <v>High Freight</v>
      </c>
      <c r="T1228">
        <f t="shared" si="39"/>
        <v>1045</v>
      </c>
    </row>
    <row r="1229" spans="1:20">
      <c r="A1229" s="1">
        <v>10713</v>
      </c>
      <c r="B1229" s="2">
        <v>46</v>
      </c>
      <c r="C1229" s="2">
        <v>12</v>
      </c>
      <c r="D1229" s="2">
        <v>24</v>
      </c>
      <c r="E1229" s="3">
        <v>0</v>
      </c>
      <c r="F1229" s="2" t="str">
        <f>IFERROR(VLOOKUP(VLOOKUP(A1229,'[1]Sales Order'!A:B,2,FALSE),[1]Customer!A:C,3,FALSE),"Not Specified")</f>
        <v>Navarro, Tomás</v>
      </c>
      <c r="G1229" s="2" t="str">
        <f t="shared" si="38"/>
        <v>Navarro Tomás</v>
      </c>
      <c r="H1229" s="8" t="str">
        <f>IFERROR(VLOOKUP(VLOOKUP(A1229,'[1]Sales Order'!A:C,3,FALSE),[1]Employee!A:E,5,FALSE)&amp;" "&amp;VLOOKUP(VLOOKUP(A1229,'[1]Sales Order'!A:C,3,FALSE),[1]Employee!A:C,3,FALSE)&amp;" "&amp;VLOOKUP(VLOOKUP(A1229,'[1]Sales Order'!A:C,3,FALSE),[1]Employee!A:B,2,FALSE),"Not Specified")</f>
        <v>Ms. Sara Davis</v>
      </c>
      <c r="I1229" t="str">
        <f>IFERROR(VLOOKUP(VLOOKUP(A1229,'[1]Sales Order'!A:C,3,FALSE),[1]Employee!A:J,10,FALSE),"Not Specified")</f>
        <v>WA</v>
      </c>
      <c r="J1229" t="str">
        <f>VLOOKUP(B1229,[1]Product!A:B,2,FALSE)</f>
        <v>Product CBRRL</v>
      </c>
      <c r="K1229" t="str">
        <f>VLOOKUP(VLOOKUP(B1229,[1]Product!A:D,4,FALSE),[1]Category!A:B,2,FALSE)</f>
        <v>Seafood</v>
      </c>
      <c r="L1229" s="10">
        <f>IFERROR(VLOOKUP(A1229,'[1]Sales Order'!A:D,4,FALSE),"")</f>
        <v>39377</v>
      </c>
      <c r="M1229" s="10">
        <f>IFERROR(VLOOKUP(A1229,'[1]Sales Order'!A:F,6,FALSE),"")</f>
        <v>39379</v>
      </c>
      <c r="N1229" t="str">
        <f>IFERROR(VLOOKUP(VLOOKUP(A1229,'[1]Sales Order'!A:G,7,FALSE),[1]Shipper!A:B,2,FALSE),"Not Specified")</f>
        <v>Shipper GVSUA</v>
      </c>
      <c r="O1229" t="str">
        <f>IFERROR(VLOOKUP(A1229,'[1]Sales Order'!A:I,9,FALSE),"Not Specified")</f>
        <v>Ship to 71-C</v>
      </c>
      <c r="P1229" t="str">
        <f>IFERROR(VLOOKUP(A1229,'[1]Sales Order'!A:N,14,FALSE),"Not Specified")</f>
        <v>USA</v>
      </c>
      <c r="Q1229" t="str">
        <f>VLOOKUP(VLOOKUP(B1229,[1]Product!A:C,3,FALSE),[1]Supplier!A:B,2,FALSE)</f>
        <v>Supplier XOXZA</v>
      </c>
      <c r="R1229" t="str">
        <f>VLOOKUP(VLOOKUP(B1229,[1]Product!A:C,3,FALSE),[1]Supplier!A:I,9,FALSE)</f>
        <v>Denmark</v>
      </c>
      <c r="S1229" t="str">
        <f>IFERROR(IF(VLOOKUP(A1229,'[1]Sales Order'!A:H,8,FALSE)&gt;100,"High Freight","Low Freight"),"Not Specified")</f>
        <v>High Freight</v>
      </c>
      <c r="T1229">
        <f t="shared" si="39"/>
        <v>288</v>
      </c>
    </row>
    <row r="1230" spans="1:20">
      <c r="A1230" s="1">
        <v>10714</v>
      </c>
      <c r="B1230" s="2">
        <v>2</v>
      </c>
      <c r="C1230" s="2">
        <v>19</v>
      </c>
      <c r="D1230" s="2">
        <v>30</v>
      </c>
      <c r="E1230" s="3">
        <v>0.25</v>
      </c>
      <c r="F1230" s="2" t="str">
        <f>IFERROR(VLOOKUP(VLOOKUP(A1230,'[1]Sales Order'!A:B,2,FALSE),[1]Customer!A:C,3,FALSE),"Not Specified")</f>
        <v>Navarro, Tomás</v>
      </c>
      <c r="G1230" s="2" t="str">
        <f t="shared" si="38"/>
        <v>Navarro Tomás</v>
      </c>
      <c r="H1230" s="8" t="str">
        <f>IFERROR(VLOOKUP(VLOOKUP(A1230,'[1]Sales Order'!A:C,3,FALSE),[1]Employee!A:E,5,FALSE)&amp;" "&amp;VLOOKUP(VLOOKUP(A1230,'[1]Sales Order'!A:C,3,FALSE),[1]Employee!A:C,3,FALSE)&amp;" "&amp;VLOOKUP(VLOOKUP(A1230,'[1]Sales Order'!A:C,3,FALSE),[1]Employee!A:B,2,FALSE),"Not Specified")</f>
        <v>Mr. Sven Buck</v>
      </c>
      <c r="I1230">
        <f>IFERROR(VLOOKUP(VLOOKUP(A1230,'[1]Sales Order'!A:C,3,FALSE),[1]Employee!A:J,10,FALSE),"Not Specified")</f>
        <v>0</v>
      </c>
      <c r="J1230" t="str">
        <f>VLOOKUP(B1230,[1]Product!A:B,2,FALSE)</f>
        <v>Product RECZE</v>
      </c>
      <c r="K1230" t="str">
        <f>VLOOKUP(VLOOKUP(B1230,[1]Product!A:D,4,FALSE),[1]Category!A:B,2,FALSE)</f>
        <v>Beverages</v>
      </c>
      <c r="L1230" s="10">
        <f>IFERROR(VLOOKUP(A1230,'[1]Sales Order'!A:D,4,FALSE),"")</f>
        <v>39377</v>
      </c>
      <c r="M1230" s="10">
        <f>IFERROR(VLOOKUP(A1230,'[1]Sales Order'!A:F,6,FALSE),"")</f>
        <v>39382</v>
      </c>
      <c r="N1230" t="str">
        <f>IFERROR(VLOOKUP(VLOOKUP(A1230,'[1]Sales Order'!A:G,7,FALSE),[1]Shipper!A:B,2,FALSE),"Not Specified")</f>
        <v>Shipper ZHISN</v>
      </c>
      <c r="O1230" t="str">
        <f>IFERROR(VLOOKUP(A1230,'[1]Sales Order'!A:I,9,FALSE),"Not Specified")</f>
        <v>Ship to 71-A</v>
      </c>
      <c r="P1230" t="str">
        <f>IFERROR(VLOOKUP(A1230,'[1]Sales Order'!A:N,14,FALSE),"Not Specified")</f>
        <v>USA</v>
      </c>
      <c r="Q1230" t="str">
        <f>VLOOKUP(VLOOKUP(B1230,[1]Product!A:C,3,FALSE),[1]Supplier!A:B,2,FALSE)</f>
        <v>Supplier SWRXU</v>
      </c>
      <c r="R1230" t="str">
        <f>VLOOKUP(VLOOKUP(B1230,[1]Product!A:C,3,FALSE),[1]Supplier!A:I,9,FALSE)</f>
        <v>UK</v>
      </c>
      <c r="S1230" t="str">
        <f>IFERROR(IF(VLOOKUP(A1230,'[1]Sales Order'!A:H,8,FALSE)&gt;100,"High Freight","Low Freight"),"Not Specified")</f>
        <v>Low Freight</v>
      </c>
      <c r="T1230">
        <f t="shared" si="39"/>
        <v>427.5</v>
      </c>
    </row>
    <row r="1231" spans="1:20">
      <c r="A1231" s="1">
        <v>10714</v>
      </c>
      <c r="B1231" s="2">
        <v>17</v>
      </c>
      <c r="C1231" s="2">
        <v>39</v>
      </c>
      <c r="D1231" s="2">
        <v>27</v>
      </c>
      <c r="E1231" s="3">
        <v>0.25</v>
      </c>
      <c r="F1231" s="2" t="str">
        <f>IFERROR(VLOOKUP(VLOOKUP(A1231,'[1]Sales Order'!A:B,2,FALSE),[1]Customer!A:C,3,FALSE),"Not Specified")</f>
        <v>Navarro, Tomás</v>
      </c>
      <c r="G1231" s="2" t="str">
        <f t="shared" si="38"/>
        <v>Navarro Tomás</v>
      </c>
      <c r="H1231" s="8" t="str">
        <f>IFERROR(VLOOKUP(VLOOKUP(A1231,'[1]Sales Order'!A:C,3,FALSE),[1]Employee!A:E,5,FALSE)&amp;" "&amp;VLOOKUP(VLOOKUP(A1231,'[1]Sales Order'!A:C,3,FALSE),[1]Employee!A:C,3,FALSE)&amp;" "&amp;VLOOKUP(VLOOKUP(A1231,'[1]Sales Order'!A:C,3,FALSE),[1]Employee!A:B,2,FALSE),"Not Specified")</f>
        <v>Mr. Sven Buck</v>
      </c>
      <c r="I1231">
        <f>IFERROR(VLOOKUP(VLOOKUP(A1231,'[1]Sales Order'!A:C,3,FALSE),[1]Employee!A:J,10,FALSE),"Not Specified")</f>
        <v>0</v>
      </c>
      <c r="J1231" t="str">
        <f>VLOOKUP(B1231,[1]Product!A:B,2,FALSE)</f>
        <v>Product BLCAX</v>
      </c>
      <c r="K1231" t="str">
        <f>VLOOKUP(VLOOKUP(B1231,[1]Product!A:D,4,FALSE),[1]Category!A:B,2,FALSE)</f>
        <v>Meat/Poultry</v>
      </c>
      <c r="L1231" s="10">
        <f>IFERROR(VLOOKUP(A1231,'[1]Sales Order'!A:D,4,FALSE),"")</f>
        <v>39377</v>
      </c>
      <c r="M1231" s="10">
        <f>IFERROR(VLOOKUP(A1231,'[1]Sales Order'!A:F,6,FALSE),"")</f>
        <v>39382</v>
      </c>
      <c r="N1231" t="str">
        <f>IFERROR(VLOOKUP(VLOOKUP(A1231,'[1]Sales Order'!A:G,7,FALSE),[1]Shipper!A:B,2,FALSE),"Not Specified")</f>
        <v>Shipper ZHISN</v>
      </c>
      <c r="O1231" t="str">
        <f>IFERROR(VLOOKUP(A1231,'[1]Sales Order'!A:I,9,FALSE),"Not Specified")</f>
        <v>Ship to 71-A</v>
      </c>
      <c r="P1231" t="str">
        <f>IFERROR(VLOOKUP(A1231,'[1]Sales Order'!A:N,14,FALSE),"Not Specified")</f>
        <v>USA</v>
      </c>
      <c r="Q1231" t="str">
        <f>VLOOKUP(VLOOKUP(B1231,[1]Product!A:C,3,FALSE),[1]Supplier!A:B,2,FALSE)</f>
        <v>Supplier GQRCV</v>
      </c>
      <c r="R1231" t="str">
        <f>VLOOKUP(VLOOKUP(B1231,[1]Product!A:C,3,FALSE),[1]Supplier!A:I,9,FALSE)</f>
        <v>Australia</v>
      </c>
      <c r="S1231" t="str">
        <f>IFERROR(IF(VLOOKUP(A1231,'[1]Sales Order'!A:H,8,FALSE)&gt;100,"High Freight","Low Freight"),"Not Specified")</f>
        <v>Low Freight</v>
      </c>
      <c r="T1231">
        <f t="shared" si="39"/>
        <v>789.75</v>
      </c>
    </row>
    <row r="1232" spans="1:20">
      <c r="A1232" s="1">
        <v>10714</v>
      </c>
      <c r="B1232" s="2">
        <v>47</v>
      </c>
      <c r="C1232" s="2">
        <v>9.5</v>
      </c>
      <c r="D1232" s="2">
        <v>50</v>
      </c>
      <c r="E1232" s="3">
        <v>0.25</v>
      </c>
      <c r="F1232" s="2" t="str">
        <f>IFERROR(VLOOKUP(VLOOKUP(A1232,'[1]Sales Order'!A:B,2,FALSE),[1]Customer!A:C,3,FALSE),"Not Specified")</f>
        <v>Navarro, Tomás</v>
      </c>
      <c r="G1232" s="2" t="str">
        <f t="shared" si="38"/>
        <v>Navarro Tomás</v>
      </c>
      <c r="H1232" s="8" t="str">
        <f>IFERROR(VLOOKUP(VLOOKUP(A1232,'[1]Sales Order'!A:C,3,FALSE),[1]Employee!A:E,5,FALSE)&amp;" "&amp;VLOOKUP(VLOOKUP(A1232,'[1]Sales Order'!A:C,3,FALSE),[1]Employee!A:C,3,FALSE)&amp;" "&amp;VLOOKUP(VLOOKUP(A1232,'[1]Sales Order'!A:C,3,FALSE),[1]Employee!A:B,2,FALSE),"Not Specified")</f>
        <v>Mr. Sven Buck</v>
      </c>
      <c r="I1232">
        <f>IFERROR(VLOOKUP(VLOOKUP(A1232,'[1]Sales Order'!A:C,3,FALSE),[1]Employee!A:J,10,FALSE),"Not Specified")</f>
        <v>0</v>
      </c>
      <c r="J1232" t="str">
        <f>VLOOKUP(B1232,[1]Product!A:B,2,FALSE)</f>
        <v>Product EZZPR</v>
      </c>
      <c r="K1232" t="str">
        <f>VLOOKUP(VLOOKUP(B1232,[1]Product!A:D,4,FALSE),[1]Category!A:B,2,FALSE)</f>
        <v>Confections</v>
      </c>
      <c r="L1232" s="10">
        <f>IFERROR(VLOOKUP(A1232,'[1]Sales Order'!A:D,4,FALSE),"")</f>
        <v>39377</v>
      </c>
      <c r="M1232" s="10">
        <f>IFERROR(VLOOKUP(A1232,'[1]Sales Order'!A:F,6,FALSE),"")</f>
        <v>39382</v>
      </c>
      <c r="N1232" t="str">
        <f>IFERROR(VLOOKUP(VLOOKUP(A1232,'[1]Sales Order'!A:G,7,FALSE),[1]Shipper!A:B,2,FALSE),"Not Specified")</f>
        <v>Shipper ZHISN</v>
      </c>
      <c r="O1232" t="str">
        <f>IFERROR(VLOOKUP(A1232,'[1]Sales Order'!A:I,9,FALSE),"Not Specified")</f>
        <v>Ship to 71-A</v>
      </c>
      <c r="P1232" t="str">
        <f>IFERROR(VLOOKUP(A1232,'[1]Sales Order'!A:N,14,FALSE),"Not Specified")</f>
        <v>USA</v>
      </c>
      <c r="Q1232" t="str">
        <f>VLOOKUP(VLOOKUP(B1232,[1]Product!A:C,3,FALSE),[1]Supplier!A:B,2,FALSE)</f>
        <v>Supplier FNUXM</v>
      </c>
      <c r="R1232" t="str">
        <f>VLOOKUP(VLOOKUP(B1232,[1]Product!A:C,3,FALSE),[1]Supplier!A:I,9,FALSE)</f>
        <v>Netherlands</v>
      </c>
      <c r="S1232" t="str">
        <f>IFERROR(IF(VLOOKUP(A1232,'[1]Sales Order'!A:H,8,FALSE)&gt;100,"High Freight","Low Freight"),"Not Specified")</f>
        <v>Low Freight</v>
      </c>
      <c r="T1232">
        <f t="shared" si="39"/>
        <v>356.25</v>
      </c>
    </row>
    <row r="1233" spans="1:20">
      <c r="A1233" s="1">
        <v>10714</v>
      </c>
      <c r="B1233" s="2">
        <v>56</v>
      </c>
      <c r="C1233" s="2">
        <v>38</v>
      </c>
      <c r="D1233" s="2">
        <v>18</v>
      </c>
      <c r="E1233" s="3">
        <v>0.25</v>
      </c>
      <c r="F1233" s="2" t="str">
        <f>IFERROR(VLOOKUP(VLOOKUP(A1233,'[1]Sales Order'!A:B,2,FALSE),[1]Customer!A:C,3,FALSE),"Not Specified")</f>
        <v>Navarro, Tomás</v>
      </c>
      <c r="G1233" s="2" t="str">
        <f t="shared" si="38"/>
        <v>Navarro Tomás</v>
      </c>
      <c r="H1233" s="8" t="str">
        <f>IFERROR(VLOOKUP(VLOOKUP(A1233,'[1]Sales Order'!A:C,3,FALSE),[1]Employee!A:E,5,FALSE)&amp;" "&amp;VLOOKUP(VLOOKUP(A1233,'[1]Sales Order'!A:C,3,FALSE),[1]Employee!A:C,3,FALSE)&amp;" "&amp;VLOOKUP(VLOOKUP(A1233,'[1]Sales Order'!A:C,3,FALSE),[1]Employee!A:B,2,FALSE),"Not Specified")</f>
        <v>Mr. Sven Buck</v>
      </c>
      <c r="I1233">
        <f>IFERROR(VLOOKUP(VLOOKUP(A1233,'[1]Sales Order'!A:C,3,FALSE),[1]Employee!A:J,10,FALSE),"Not Specified")</f>
        <v>0</v>
      </c>
      <c r="J1233" t="str">
        <f>VLOOKUP(B1233,[1]Product!A:B,2,FALSE)</f>
        <v>Product VKCMF</v>
      </c>
      <c r="K1233" t="str">
        <f>VLOOKUP(VLOOKUP(B1233,[1]Product!A:D,4,FALSE),[1]Category!A:B,2,FALSE)</f>
        <v>Grains/Cereals</v>
      </c>
      <c r="L1233" s="10">
        <f>IFERROR(VLOOKUP(A1233,'[1]Sales Order'!A:D,4,FALSE),"")</f>
        <v>39377</v>
      </c>
      <c r="M1233" s="10">
        <f>IFERROR(VLOOKUP(A1233,'[1]Sales Order'!A:F,6,FALSE),"")</f>
        <v>39382</v>
      </c>
      <c r="N1233" t="str">
        <f>IFERROR(VLOOKUP(VLOOKUP(A1233,'[1]Sales Order'!A:G,7,FALSE),[1]Shipper!A:B,2,FALSE),"Not Specified")</f>
        <v>Shipper ZHISN</v>
      </c>
      <c r="O1233" t="str">
        <f>IFERROR(VLOOKUP(A1233,'[1]Sales Order'!A:I,9,FALSE),"Not Specified")</f>
        <v>Ship to 71-A</v>
      </c>
      <c r="P1233" t="str">
        <f>IFERROR(VLOOKUP(A1233,'[1]Sales Order'!A:N,14,FALSE),"Not Specified")</f>
        <v>USA</v>
      </c>
      <c r="Q1233" t="str">
        <f>VLOOKUP(VLOOKUP(B1233,[1]Product!A:C,3,FALSE),[1]Supplier!A:B,2,FALSE)</f>
        <v>Supplier ZWZDM</v>
      </c>
      <c r="R1233" t="str">
        <f>VLOOKUP(VLOOKUP(B1233,[1]Product!A:C,3,FALSE),[1]Supplier!A:I,9,FALSE)</f>
        <v>Italy</v>
      </c>
      <c r="S1233" t="str">
        <f>IFERROR(IF(VLOOKUP(A1233,'[1]Sales Order'!A:H,8,FALSE)&gt;100,"High Freight","Low Freight"),"Not Specified")</f>
        <v>Low Freight</v>
      </c>
      <c r="T1233">
        <f t="shared" si="39"/>
        <v>513</v>
      </c>
    </row>
    <row r="1234" spans="1:20">
      <c r="A1234" s="1">
        <v>10714</v>
      </c>
      <c r="B1234" s="2">
        <v>58</v>
      </c>
      <c r="C1234" s="2">
        <v>13.25</v>
      </c>
      <c r="D1234" s="2">
        <v>12</v>
      </c>
      <c r="E1234" s="3">
        <v>0.25</v>
      </c>
      <c r="F1234" s="2" t="str">
        <f>IFERROR(VLOOKUP(VLOOKUP(A1234,'[1]Sales Order'!A:B,2,FALSE),[1]Customer!A:C,3,FALSE),"Not Specified")</f>
        <v>Navarro, Tomás</v>
      </c>
      <c r="G1234" s="2" t="str">
        <f t="shared" si="38"/>
        <v>Navarro Tomás</v>
      </c>
      <c r="H1234" s="8" t="str">
        <f>IFERROR(VLOOKUP(VLOOKUP(A1234,'[1]Sales Order'!A:C,3,FALSE),[1]Employee!A:E,5,FALSE)&amp;" "&amp;VLOOKUP(VLOOKUP(A1234,'[1]Sales Order'!A:C,3,FALSE),[1]Employee!A:C,3,FALSE)&amp;" "&amp;VLOOKUP(VLOOKUP(A1234,'[1]Sales Order'!A:C,3,FALSE),[1]Employee!A:B,2,FALSE),"Not Specified")</f>
        <v>Mr. Sven Buck</v>
      </c>
      <c r="I1234">
        <f>IFERROR(VLOOKUP(VLOOKUP(A1234,'[1]Sales Order'!A:C,3,FALSE),[1]Employee!A:J,10,FALSE),"Not Specified")</f>
        <v>0</v>
      </c>
      <c r="J1234" t="str">
        <f>VLOOKUP(B1234,[1]Product!A:B,2,FALSE)</f>
        <v>Product ACRVI</v>
      </c>
      <c r="K1234" t="str">
        <f>VLOOKUP(VLOOKUP(B1234,[1]Product!A:D,4,FALSE),[1]Category!A:B,2,FALSE)</f>
        <v>Seafood</v>
      </c>
      <c r="L1234" s="10">
        <f>IFERROR(VLOOKUP(A1234,'[1]Sales Order'!A:D,4,FALSE),"")</f>
        <v>39377</v>
      </c>
      <c r="M1234" s="10">
        <f>IFERROR(VLOOKUP(A1234,'[1]Sales Order'!A:F,6,FALSE),"")</f>
        <v>39382</v>
      </c>
      <c r="N1234" t="str">
        <f>IFERROR(VLOOKUP(VLOOKUP(A1234,'[1]Sales Order'!A:G,7,FALSE),[1]Shipper!A:B,2,FALSE),"Not Specified")</f>
        <v>Shipper ZHISN</v>
      </c>
      <c r="O1234" t="str">
        <f>IFERROR(VLOOKUP(A1234,'[1]Sales Order'!A:I,9,FALSE),"Not Specified")</f>
        <v>Ship to 71-A</v>
      </c>
      <c r="P1234" t="str">
        <f>IFERROR(VLOOKUP(A1234,'[1]Sales Order'!A:N,14,FALSE),"Not Specified")</f>
        <v>USA</v>
      </c>
      <c r="Q1234" t="str">
        <f>VLOOKUP(VLOOKUP(B1234,[1]Product!A:C,3,FALSE),[1]Supplier!A:B,2,FALSE)</f>
        <v>Supplier ZRYDZ</v>
      </c>
      <c r="R1234" t="str">
        <f>VLOOKUP(VLOOKUP(B1234,[1]Product!A:C,3,FALSE),[1]Supplier!A:I,9,FALSE)</f>
        <v>France</v>
      </c>
      <c r="S1234" t="str">
        <f>IFERROR(IF(VLOOKUP(A1234,'[1]Sales Order'!A:H,8,FALSE)&gt;100,"High Freight","Low Freight"),"Not Specified")</f>
        <v>Low Freight</v>
      </c>
      <c r="T1234">
        <f t="shared" si="39"/>
        <v>119.25</v>
      </c>
    </row>
    <row r="1235" spans="1:20">
      <c r="A1235" s="1">
        <v>10715</v>
      </c>
      <c r="B1235" s="2">
        <v>10</v>
      </c>
      <c r="C1235" s="2">
        <v>31</v>
      </c>
      <c r="D1235" s="2">
        <v>21</v>
      </c>
      <c r="E1235" s="3">
        <v>0</v>
      </c>
      <c r="F1235" s="2" t="str">
        <f>IFERROR(VLOOKUP(VLOOKUP(A1235,'[1]Sales Order'!A:B,2,FALSE),[1]Customer!A:C,3,FALSE),"Not Specified")</f>
        <v>Raghav, Amritansh</v>
      </c>
      <c r="G1235" s="2" t="str">
        <f t="shared" si="38"/>
        <v>Raghav Amritansh</v>
      </c>
      <c r="H1235" s="8" t="str">
        <f>IFERROR(VLOOKUP(VLOOKUP(A1235,'[1]Sales Order'!A:C,3,FALSE),[1]Employee!A:E,5,FALSE)&amp;" "&amp;VLOOKUP(VLOOKUP(A1235,'[1]Sales Order'!A:C,3,FALSE),[1]Employee!A:C,3,FALSE)&amp;" "&amp;VLOOKUP(VLOOKUP(A1235,'[1]Sales Order'!A:C,3,FALSE),[1]Employee!A:B,2,FALSE),"Not Specified")</f>
        <v>Ms. Judy Lew</v>
      </c>
      <c r="I1235" t="str">
        <f>IFERROR(VLOOKUP(VLOOKUP(A1235,'[1]Sales Order'!A:C,3,FALSE),[1]Employee!A:J,10,FALSE),"Not Specified")</f>
        <v>WA</v>
      </c>
      <c r="J1235" t="str">
        <f>VLOOKUP(B1235,[1]Product!A:B,2,FALSE)</f>
        <v>Product YHXGE</v>
      </c>
      <c r="K1235" t="str">
        <f>VLOOKUP(VLOOKUP(B1235,[1]Product!A:D,4,FALSE),[1]Category!A:B,2,FALSE)</f>
        <v>Seafood</v>
      </c>
      <c r="L1235" s="10">
        <f>IFERROR(VLOOKUP(A1235,'[1]Sales Order'!A:D,4,FALSE),"")</f>
        <v>39378</v>
      </c>
      <c r="M1235" s="10">
        <f>IFERROR(VLOOKUP(A1235,'[1]Sales Order'!A:F,6,FALSE),"")</f>
        <v>39384</v>
      </c>
      <c r="N1235" t="str">
        <f>IFERROR(VLOOKUP(VLOOKUP(A1235,'[1]Sales Order'!A:G,7,FALSE),[1]Shipper!A:B,2,FALSE),"Not Specified")</f>
        <v>Shipper GVSUA</v>
      </c>
      <c r="O1235" t="str">
        <f>IFERROR(VLOOKUP(A1235,'[1]Sales Order'!A:I,9,FALSE),"Not Specified")</f>
        <v>Ship to 9-B</v>
      </c>
      <c r="P1235" t="str">
        <f>IFERROR(VLOOKUP(A1235,'[1]Sales Order'!A:N,14,FALSE),"Not Specified")</f>
        <v>France</v>
      </c>
      <c r="Q1235" t="str">
        <f>VLOOKUP(VLOOKUP(B1235,[1]Product!A:C,3,FALSE),[1]Supplier!A:B,2,FALSE)</f>
        <v>Supplier QOVFD</v>
      </c>
      <c r="R1235" t="str">
        <f>VLOOKUP(VLOOKUP(B1235,[1]Product!A:C,3,FALSE),[1]Supplier!A:I,9,FALSE)</f>
        <v>Japan</v>
      </c>
      <c r="S1235" t="str">
        <f>IFERROR(IF(VLOOKUP(A1235,'[1]Sales Order'!A:H,8,FALSE)&gt;100,"High Freight","Low Freight"),"Not Specified")</f>
        <v>Low Freight</v>
      </c>
      <c r="T1235">
        <f t="shared" si="39"/>
        <v>651</v>
      </c>
    </row>
    <row r="1236" spans="1:20">
      <c r="A1236" s="1">
        <v>10715</v>
      </c>
      <c r="B1236" s="2">
        <v>71</v>
      </c>
      <c r="C1236" s="2">
        <v>21.5</v>
      </c>
      <c r="D1236" s="2">
        <v>30</v>
      </c>
      <c r="E1236" s="3">
        <v>0</v>
      </c>
      <c r="F1236" s="2" t="str">
        <f>IFERROR(VLOOKUP(VLOOKUP(A1236,'[1]Sales Order'!A:B,2,FALSE),[1]Customer!A:C,3,FALSE),"Not Specified")</f>
        <v>Raghav, Amritansh</v>
      </c>
      <c r="G1236" s="2" t="str">
        <f t="shared" si="38"/>
        <v>Raghav Amritansh</v>
      </c>
      <c r="H1236" s="8" t="str">
        <f>IFERROR(VLOOKUP(VLOOKUP(A1236,'[1]Sales Order'!A:C,3,FALSE),[1]Employee!A:E,5,FALSE)&amp;" "&amp;VLOOKUP(VLOOKUP(A1236,'[1]Sales Order'!A:C,3,FALSE),[1]Employee!A:C,3,FALSE)&amp;" "&amp;VLOOKUP(VLOOKUP(A1236,'[1]Sales Order'!A:C,3,FALSE),[1]Employee!A:B,2,FALSE),"Not Specified")</f>
        <v>Ms. Judy Lew</v>
      </c>
      <c r="I1236" t="str">
        <f>IFERROR(VLOOKUP(VLOOKUP(A1236,'[1]Sales Order'!A:C,3,FALSE),[1]Employee!A:J,10,FALSE),"Not Specified")</f>
        <v>WA</v>
      </c>
      <c r="J1236" t="str">
        <f>VLOOKUP(B1236,[1]Product!A:B,2,FALSE)</f>
        <v>Product MYMOI</v>
      </c>
      <c r="K1236" t="str">
        <f>VLOOKUP(VLOOKUP(B1236,[1]Product!A:D,4,FALSE),[1]Category!A:B,2,FALSE)</f>
        <v>Dairy Product</v>
      </c>
      <c r="L1236" s="10">
        <f>IFERROR(VLOOKUP(A1236,'[1]Sales Order'!A:D,4,FALSE),"")</f>
        <v>39378</v>
      </c>
      <c r="M1236" s="10">
        <f>IFERROR(VLOOKUP(A1236,'[1]Sales Order'!A:F,6,FALSE),"")</f>
        <v>39384</v>
      </c>
      <c r="N1236" t="str">
        <f>IFERROR(VLOOKUP(VLOOKUP(A1236,'[1]Sales Order'!A:G,7,FALSE),[1]Shipper!A:B,2,FALSE),"Not Specified")</f>
        <v>Shipper GVSUA</v>
      </c>
      <c r="O1236" t="str">
        <f>IFERROR(VLOOKUP(A1236,'[1]Sales Order'!A:I,9,FALSE),"Not Specified")</f>
        <v>Ship to 9-B</v>
      </c>
      <c r="P1236" t="str">
        <f>IFERROR(VLOOKUP(A1236,'[1]Sales Order'!A:N,14,FALSE),"Not Specified")</f>
        <v>France</v>
      </c>
      <c r="Q1236" t="str">
        <f>VLOOKUP(VLOOKUP(B1236,[1]Product!A:C,3,FALSE),[1]Supplier!A:B,2,FALSE)</f>
        <v>Supplier NZLIF</v>
      </c>
      <c r="R1236" t="str">
        <f>VLOOKUP(VLOOKUP(B1236,[1]Product!A:C,3,FALSE),[1]Supplier!A:I,9,FALSE)</f>
        <v>Norway</v>
      </c>
      <c r="S1236" t="str">
        <f>IFERROR(IF(VLOOKUP(A1236,'[1]Sales Order'!A:H,8,FALSE)&gt;100,"High Freight","Low Freight"),"Not Specified")</f>
        <v>Low Freight</v>
      </c>
      <c r="T1236">
        <f t="shared" si="39"/>
        <v>645</v>
      </c>
    </row>
    <row r="1237" spans="1:20">
      <c r="A1237" s="1">
        <v>10716</v>
      </c>
      <c r="B1237" s="2">
        <v>21</v>
      </c>
      <c r="C1237" s="2">
        <v>10</v>
      </c>
      <c r="D1237" s="2">
        <v>5</v>
      </c>
      <c r="E1237" s="3">
        <v>0</v>
      </c>
      <c r="F1237" s="2" t="str">
        <f>IFERROR(VLOOKUP(VLOOKUP(A1237,'[1]Sales Order'!A:B,2,FALSE),[1]Customer!A:C,3,FALSE),"Not Specified")</f>
        <v>Gaffney, Lawrie</v>
      </c>
      <c r="G1237" s="2" t="str">
        <f t="shared" si="38"/>
        <v>Gaffney Lawrie</v>
      </c>
      <c r="H1237" s="8" t="str">
        <f>IFERROR(VLOOKUP(VLOOKUP(A1237,'[1]Sales Order'!A:C,3,FALSE),[1]Employee!A:E,5,FALSE)&amp;" "&amp;VLOOKUP(VLOOKUP(A1237,'[1]Sales Order'!A:C,3,FALSE),[1]Employee!A:C,3,FALSE)&amp;" "&amp;VLOOKUP(VLOOKUP(A1237,'[1]Sales Order'!A:C,3,FALSE),[1]Employee!A:B,2,FALSE),"Not Specified")</f>
        <v>Mrs. Yael Peled</v>
      </c>
      <c r="I1237" t="str">
        <f>IFERROR(VLOOKUP(VLOOKUP(A1237,'[1]Sales Order'!A:C,3,FALSE),[1]Employee!A:J,10,FALSE),"Not Specified")</f>
        <v>WA</v>
      </c>
      <c r="J1237" t="str">
        <f>VLOOKUP(B1237,[1]Product!A:B,2,FALSE)</f>
        <v>Product VJZZH</v>
      </c>
      <c r="K1237" t="str">
        <f>VLOOKUP(VLOOKUP(B1237,[1]Product!A:D,4,FALSE),[1]Category!A:B,2,FALSE)</f>
        <v>Confections</v>
      </c>
      <c r="L1237" s="10">
        <f>IFERROR(VLOOKUP(A1237,'[1]Sales Order'!A:D,4,FALSE),"")</f>
        <v>39379</v>
      </c>
      <c r="M1237" s="10">
        <f>IFERROR(VLOOKUP(A1237,'[1]Sales Order'!A:F,6,FALSE),"")</f>
        <v>39382</v>
      </c>
      <c r="N1237" t="str">
        <f>IFERROR(VLOOKUP(VLOOKUP(A1237,'[1]Sales Order'!A:G,7,FALSE),[1]Shipper!A:B,2,FALSE),"Not Specified")</f>
        <v>Shipper ETYNR</v>
      </c>
      <c r="O1237" t="str">
        <f>IFERROR(VLOOKUP(A1237,'[1]Sales Order'!A:I,9,FALSE),"Not Specified")</f>
        <v>Ship to 64-B</v>
      </c>
      <c r="P1237" t="str">
        <f>IFERROR(VLOOKUP(A1237,'[1]Sales Order'!A:N,14,FALSE),"Not Specified")</f>
        <v>Argentina</v>
      </c>
      <c r="Q1237" t="str">
        <f>VLOOKUP(VLOOKUP(B1237,[1]Product!A:C,3,FALSE),[1]Supplier!A:B,2,FALSE)</f>
        <v>Supplier BWGYE</v>
      </c>
      <c r="R1237" t="str">
        <f>VLOOKUP(VLOOKUP(B1237,[1]Product!A:C,3,FALSE),[1]Supplier!A:I,9,FALSE)</f>
        <v>UK</v>
      </c>
      <c r="S1237" t="str">
        <f>IFERROR(IF(VLOOKUP(A1237,'[1]Sales Order'!A:H,8,FALSE)&gt;100,"High Freight","Low Freight"),"Not Specified")</f>
        <v>Low Freight</v>
      </c>
      <c r="T1237">
        <f t="shared" si="39"/>
        <v>50</v>
      </c>
    </row>
    <row r="1238" spans="1:20">
      <c r="A1238" s="1">
        <v>10716</v>
      </c>
      <c r="B1238" s="2">
        <v>51</v>
      </c>
      <c r="C1238" s="2">
        <v>53</v>
      </c>
      <c r="D1238" s="2">
        <v>7</v>
      </c>
      <c r="E1238" s="3">
        <v>0</v>
      </c>
      <c r="F1238" s="2" t="str">
        <f>IFERROR(VLOOKUP(VLOOKUP(A1238,'[1]Sales Order'!A:B,2,FALSE),[1]Customer!A:C,3,FALSE),"Not Specified")</f>
        <v>Gaffney, Lawrie</v>
      </c>
      <c r="G1238" s="2" t="str">
        <f t="shared" si="38"/>
        <v>Gaffney Lawrie</v>
      </c>
      <c r="H1238" s="8" t="str">
        <f>IFERROR(VLOOKUP(VLOOKUP(A1238,'[1]Sales Order'!A:C,3,FALSE),[1]Employee!A:E,5,FALSE)&amp;" "&amp;VLOOKUP(VLOOKUP(A1238,'[1]Sales Order'!A:C,3,FALSE),[1]Employee!A:C,3,FALSE)&amp;" "&amp;VLOOKUP(VLOOKUP(A1238,'[1]Sales Order'!A:C,3,FALSE),[1]Employee!A:B,2,FALSE),"Not Specified")</f>
        <v>Mrs. Yael Peled</v>
      </c>
      <c r="I1238" t="str">
        <f>IFERROR(VLOOKUP(VLOOKUP(A1238,'[1]Sales Order'!A:C,3,FALSE),[1]Employee!A:J,10,FALSE),"Not Specified")</f>
        <v>WA</v>
      </c>
      <c r="J1238" t="str">
        <f>VLOOKUP(B1238,[1]Product!A:B,2,FALSE)</f>
        <v>Product APITJ</v>
      </c>
      <c r="K1238" t="str">
        <f>VLOOKUP(VLOOKUP(B1238,[1]Product!A:D,4,FALSE),[1]Category!A:B,2,FALSE)</f>
        <v>Produce</v>
      </c>
      <c r="L1238" s="10">
        <f>IFERROR(VLOOKUP(A1238,'[1]Sales Order'!A:D,4,FALSE),"")</f>
        <v>39379</v>
      </c>
      <c r="M1238" s="10">
        <f>IFERROR(VLOOKUP(A1238,'[1]Sales Order'!A:F,6,FALSE),"")</f>
        <v>39382</v>
      </c>
      <c r="N1238" t="str">
        <f>IFERROR(VLOOKUP(VLOOKUP(A1238,'[1]Sales Order'!A:G,7,FALSE),[1]Shipper!A:B,2,FALSE),"Not Specified")</f>
        <v>Shipper ETYNR</v>
      </c>
      <c r="O1238" t="str">
        <f>IFERROR(VLOOKUP(A1238,'[1]Sales Order'!A:I,9,FALSE),"Not Specified")</f>
        <v>Ship to 64-B</v>
      </c>
      <c r="P1238" t="str">
        <f>IFERROR(VLOOKUP(A1238,'[1]Sales Order'!A:N,14,FALSE),"Not Specified")</f>
        <v>Argentina</v>
      </c>
      <c r="Q1238" t="str">
        <f>VLOOKUP(VLOOKUP(B1238,[1]Product!A:C,3,FALSE),[1]Supplier!A:B,2,FALSE)</f>
        <v>Supplier JNNES</v>
      </c>
      <c r="R1238" t="str">
        <f>VLOOKUP(VLOOKUP(B1238,[1]Product!A:C,3,FALSE),[1]Supplier!A:I,9,FALSE)</f>
        <v>Australia</v>
      </c>
      <c r="S1238" t="str">
        <f>IFERROR(IF(VLOOKUP(A1238,'[1]Sales Order'!A:H,8,FALSE)&gt;100,"High Freight","Low Freight"),"Not Specified")</f>
        <v>Low Freight</v>
      </c>
      <c r="T1238">
        <f t="shared" si="39"/>
        <v>371</v>
      </c>
    </row>
    <row r="1239" spans="1:20">
      <c r="A1239" s="1">
        <v>10716</v>
      </c>
      <c r="B1239" s="2">
        <v>61</v>
      </c>
      <c r="C1239" s="2">
        <v>28.5</v>
      </c>
      <c r="D1239" s="2">
        <v>10</v>
      </c>
      <c r="E1239" s="3">
        <v>0</v>
      </c>
      <c r="F1239" s="2" t="str">
        <f>IFERROR(VLOOKUP(VLOOKUP(A1239,'[1]Sales Order'!A:B,2,FALSE),[1]Customer!A:C,3,FALSE),"Not Specified")</f>
        <v>Gaffney, Lawrie</v>
      </c>
      <c r="G1239" s="2" t="str">
        <f t="shared" si="38"/>
        <v>Gaffney Lawrie</v>
      </c>
      <c r="H1239" s="8" t="str">
        <f>IFERROR(VLOOKUP(VLOOKUP(A1239,'[1]Sales Order'!A:C,3,FALSE),[1]Employee!A:E,5,FALSE)&amp;" "&amp;VLOOKUP(VLOOKUP(A1239,'[1]Sales Order'!A:C,3,FALSE),[1]Employee!A:C,3,FALSE)&amp;" "&amp;VLOOKUP(VLOOKUP(A1239,'[1]Sales Order'!A:C,3,FALSE),[1]Employee!A:B,2,FALSE),"Not Specified")</f>
        <v>Mrs. Yael Peled</v>
      </c>
      <c r="I1239" t="str">
        <f>IFERROR(VLOOKUP(VLOOKUP(A1239,'[1]Sales Order'!A:C,3,FALSE),[1]Employee!A:J,10,FALSE),"Not Specified")</f>
        <v>WA</v>
      </c>
      <c r="J1239" t="str">
        <f>VLOOKUP(B1239,[1]Product!A:B,2,FALSE)</f>
        <v>Product XYZPE</v>
      </c>
      <c r="K1239" t="str">
        <f>VLOOKUP(VLOOKUP(B1239,[1]Product!A:D,4,FALSE),[1]Category!A:B,2,FALSE)</f>
        <v>Condiments</v>
      </c>
      <c r="L1239" s="10">
        <f>IFERROR(VLOOKUP(A1239,'[1]Sales Order'!A:D,4,FALSE),"")</f>
        <v>39379</v>
      </c>
      <c r="M1239" s="10">
        <f>IFERROR(VLOOKUP(A1239,'[1]Sales Order'!A:F,6,FALSE),"")</f>
        <v>39382</v>
      </c>
      <c r="N1239" t="str">
        <f>IFERROR(VLOOKUP(VLOOKUP(A1239,'[1]Sales Order'!A:G,7,FALSE),[1]Shipper!A:B,2,FALSE),"Not Specified")</f>
        <v>Shipper ETYNR</v>
      </c>
      <c r="O1239" t="str">
        <f>IFERROR(VLOOKUP(A1239,'[1]Sales Order'!A:I,9,FALSE),"Not Specified")</f>
        <v>Ship to 64-B</v>
      </c>
      <c r="P1239" t="str">
        <f>IFERROR(VLOOKUP(A1239,'[1]Sales Order'!A:N,14,FALSE),"Not Specified")</f>
        <v>Argentina</v>
      </c>
      <c r="Q1239" t="str">
        <f>VLOOKUP(VLOOKUP(B1239,[1]Product!A:C,3,FALSE),[1]Supplier!A:B,2,FALSE)</f>
        <v>Supplier OGLRK</v>
      </c>
      <c r="R1239" t="str">
        <f>VLOOKUP(VLOOKUP(B1239,[1]Product!A:C,3,FALSE),[1]Supplier!A:I,9,FALSE)</f>
        <v>Canada</v>
      </c>
      <c r="S1239" t="str">
        <f>IFERROR(IF(VLOOKUP(A1239,'[1]Sales Order'!A:H,8,FALSE)&gt;100,"High Freight","Low Freight"),"Not Specified")</f>
        <v>Low Freight</v>
      </c>
      <c r="T1239">
        <f t="shared" si="39"/>
        <v>285</v>
      </c>
    </row>
    <row r="1240" spans="1:20">
      <c r="A1240" s="1">
        <v>10717</v>
      </c>
      <c r="B1240" s="2">
        <v>21</v>
      </c>
      <c r="C1240" s="2">
        <v>10</v>
      </c>
      <c r="D1240" s="2">
        <v>32</v>
      </c>
      <c r="E1240" s="3">
        <v>0.05</v>
      </c>
      <c r="F1240" s="2" t="str">
        <f>IFERROR(VLOOKUP(VLOOKUP(A1240,'[1]Sales Order'!A:B,2,FALSE),[1]Customer!A:C,3,FALSE),"Not Specified")</f>
        <v>Carlson, Jason</v>
      </c>
      <c r="G1240" s="2" t="str">
        <f t="shared" si="38"/>
        <v>Carlson Jason</v>
      </c>
      <c r="H1240" s="8" t="str">
        <f>IFERROR(VLOOKUP(VLOOKUP(A1240,'[1]Sales Order'!A:C,3,FALSE),[1]Employee!A:E,5,FALSE)&amp;" "&amp;VLOOKUP(VLOOKUP(A1240,'[1]Sales Order'!A:C,3,FALSE),[1]Employee!A:C,3,FALSE)&amp;" "&amp;VLOOKUP(VLOOKUP(A1240,'[1]Sales Order'!A:C,3,FALSE),[1]Employee!A:B,2,FALSE),"Not Specified")</f>
        <v>Ms. Sara Davis</v>
      </c>
      <c r="I1240" t="str">
        <f>IFERROR(VLOOKUP(VLOOKUP(A1240,'[1]Sales Order'!A:C,3,FALSE),[1]Employee!A:J,10,FALSE),"Not Specified")</f>
        <v>WA</v>
      </c>
      <c r="J1240" t="str">
        <f>VLOOKUP(B1240,[1]Product!A:B,2,FALSE)</f>
        <v>Product VJZZH</v>
      </c>
      <c r="K1240" t="str">
        <f>VLOOKUP(VLOOKUP(B1240,[1]Product!A:D,4,FALSE),[1]Category!A:B,2,FALSE)</f>
        <v>Confections</v>
      </c>
      <c r="L1240" s="10">
        <f>IFERROR(VLOOKUP(A1240,'[1]Sales Order'!A:D,4,FALSE),"")</f>
        <v>39379</v>
      </c>
      <c r="M1240" s="10">
        <f>IFERROR(VLOOKUP(A1240,'[1]Sales Order'!A:F,6,FALSE),"")</f>
        <v>39384</v>
      </c>
      <c r="N1240" t="str">
        <f>IFERROR(VLOOKUP(VLOOKUP(A1240,'[1]Sales Order'!A:G,7,FALSE),[1]Shipper!A:B,2,FALSE),"Not Specified")</f>
        <v>Shipper ETYNR</v>
      </c>
      <c r="O1240" t="str">
        <f>IFERROR(VLOOKUP(A1240,'[1]Sales Order'!A:I,9,FALSE),"Not Specified")</f>
        <v>Destination QOCBL</v>
      </c>
      <c r="P1240" t="str">
        <f>IFERROR(VLOOKUP(A1240,'[1]Sales Order'!A:N,14,FALSE),"Not Specified")</f>
        <v>Germany</v>
      </c>
      <c r="Q1240" t="str">
        <f>VLOOKUP(VLOOKUP(B1240,[1]Product!A:C,3,FALSE),[1]Supplier!A:B,2,FALSE)</f>
        <v>Supplier BWGYE</v>
      </c>
      <c r="R1240" t="str">
        <f>VLOOKUP(VLOOKUP(B1240,[1]Product!A:C,3,FALSE),[1]Supplier!A:I,9,FALSE)</f>
        <v>UK</v>
      </c>
      <c r="S1240" t="str">
        <f>IFERROR(IF(VLOOKUP(A1240,'[1]Sales Order'!A:H,8,FALSE)&gt;100,"High Freight","Low Freight"),"Not Specified")</f>
        <v>Low Freight</v>
      </c>
      <c r="T1240">
        <f t="shared" si="39"/>
        <v>304</v>
      </c>
    </row>
    <row r="1241" spans="1:20">
      <c r="A1241" s="1">
        <v>10717</v>
      </c>
      <c r="B1241" s="2">
        <v>54</v>
      </c>
      <c r="C1241" s="2">
        <v>7.45</v>
      </c>
      <c r="D1241" s="2">
        <v>15</v>
      </c>
      <c r="E1241" s="3">
        <v>0</v>
      </c>
      <c r="F1241" s="2" t="str">
        <f>IFERROR(VLOOKUP(VLOOKUP(A1241,'[1]Sales Order'!A:B,2,FALSE),[1]Customer!A:C,3,FALSE),"Not Specified")</f>
        <v>Carlson, Jason</v>
      </c>
      <c r="G1241" s="2" t="str">
        <f t="shared" si="38"/>
        <v>Carlson Jason</v>
      </c>
      <c r="H1241" s="8" t="str">
        <f>IFERROR(VLOOKUP(VLOOKUP(A1241,'[1]Sales Order'!A:C,3,FALSE),[1]Employee!A:E,5,FALSE)&amp;" "&amp;VLOOKUP(VLOOKUP(A1241,'[1]Sales Order'!A:C,3,FALSE),[1]Employee!A:C,3,FALSE)&amp;" "&amp;VLOOKUP(VLOOKUP(A1241,'[1]Sales Order'!A:C,3,FALSE),[1]Employee!A:B,2,FALSE),"Not Specified")</f>
        <v>Ms. Sara Davis</v>
      </c>
      <c r="I1241" t="str">
        <f>IFERROR(VLOOKUP(VLOOKUP(A1241,'[1]Sales Order'!A:C,3,FALSE),[1]Employee!A:J,10,FALSE),"Not Specified")</f>
        <v>WA</v>
      </c>
      <c r="J1241" t="str">
        <f>VLOOKUP(B1241,[1]Product!A:B,2,FALSE)</f>
        <v>Product QAQRL</v>
      </c>
      <c r="K1241" t="str">
        <f>VLOOKUP(VLOOKUP(B1241,[1]Product!A:D,4,FALSE),[1]Category!A:B,2,FALSE)</f>
        <v>Meat/Poultry</v>
      </c>
      <c r="L1241" s="10">
        <f>IFERROR(VLOOKUP(A1241,'[1]Sales Order'!A:D,4,FALSE),"")</f>
        <v>39379</v>
      </c>
      <c r="M1241" s="10">
        <f>IFERROR(VLOOKUP(A1241,'[1]Sales Order'!A:F,6,FALSE),"")</f>
        <v>39384</v>
      </c>
      <c r="N1241" t="str">
        <f>IFERROR(VLOOKUP(VLOOKUP(A1241,'[1]Sales Order'!A:G,7,FALSE),[1]Shipper!A:B,2,FALSE),"Not Specified")</f>
        <v>Shipper ETYNR</v>
      </c>
      <c r="O1241" t="str">
        <f>IFERROR(VLOOKUP(A1241,'[1]Sales Order'!A:I,9,FALSE),"Not Specified")</f>
        <v>Destination QOCBL</v>
      </c>
      <c r="P1241" t="str">
        <f>IFERROR(VLOOKUP(A1241,'[1]Sales Order'!A:N,14,FALSE),"Not Specified")</f>
        <v>Germany</v>
      </c>
      <c r="Q1241" t="str">
        <f>VLOOKUP(VLOOKUP(B1241,[1]Product!A:C,3,FALSE),[1]Supplier!A:B,2,FALSE)</f>
        <v>Supplier ERVYZ</v>
      </c>
      <c r="R1241" t="str">
        <f>VLOOKUP(VLOOKUP(B1241,[1]Product!A:C,3,FALSE),[1]Supplier!A:I,9,FALSE)</f>
        <v>Canada</v>
      </c>
      <c r="S1241" t="str">
        <f>IFERROR(IF(VLOOKUP(A1241,'[1]Sales Order'!A:H,8,FALSE)&gt;100,"High Freight","Low Freight"),"Not Specified")</f>
        <v>Low Freight</v>
      </c>
      <c r="T1241">
        <f t="shared" si="39"/>
        <v>111.75</v>
      </c>
    </row>
    <row r="1242" spans="1:20">
      <c r="A1242" s="1">
        <v>10717</v>
      </c>
      <c r="B1242" s="2">
        <v>69</v>
      </c>
      <c r="C1242" s="2">
        <v>36</v>
      </c>
      <c r="D1242" s="2">
        <v>25</v>
      </c>
      <c r="E1242" s="3">
        <v>0.05</v>
      </c>
      <c r="F1242" s="2" t="str">
        <f>IFERROR(VLOOKUP(VLOOKUP(A1242,'[1]Sales Order'!A:B,2,FALSE),[1]Customer!A:C,3,FALSE),"Not Specified")</f>
        <v>Carlson, Jason</v>
      </c>
      <c r="G1242" s="2" t="str">
        <f t="shared" si="38"/>
        <v>Carlson Jason</v>
      </c>
      <c r="H1242" s="8" t="str">
        <f>IFERROR(VLOOKUP(VLOOKUP(A1242,'[1]Sales Order'!A:C,3,FALSE),[1]Employee!A:E,5,FALSE)&amp;" "&amp;VLOOKUP(VLOOKUP(A1242,'[1]Sales Order'!A:C,3,FALSE),[1]Employee!A:C,3,FALSE)&amp;" "&amp;VLOOKUP(VLOOKUP(A1242,'[1]Sales Order'!A:C,3,FALSE),[1]Employee!A:B,2,FALSE),"Not Specified")</f>
        <v>Ms. Sara Davis</v>
      </c>
      <c r="I1242" t="str">
        <f>IFERROR(VLOOKUP(VLOOKUP(A1242,'[1]Sales Order'!A:C,3,FALSE),[1]Employee!A:J,10,FALSE),"Not Specified")</f>
        <v>WA</v>
      </c>
      <c r="J1242" t="str">
        <f>VLOOKUP(B1242,[1]Product!A:B,2,FALSE)</f>
        <v>Product COAXA</v>
      </c>
      <c r="K1242" t="str">
        <f>VLOOKUP(VLOOKUP(B1242,[1]Product!A:D,4,FALSE),[1]Category!A:B,2,FALSE)</f>
        <v>Dairy Product</v>
      </c>
      <c r="L1242" s="10">
        <f>IFERROR(VLOOKUP(A1242,'[1]Sales Order'!A:D,4,FALSE),"")</f>
        <v>39379</v>
      </c>
      <c r="M1242" s="10">
        <f>IFERROR(VLOOKUP(A1242,'[1]Sales Order'!A:F,6,FALSE),"")</f>
        <v>39384</v>
      </c>
      <c r="N1242" t="str">
        <f>IFERROR(VLOOKUP(VLOOKUP(A1242,'[1]Sales Order'!A:G,7,FALSE),[1]Shipper!A:B,2,FALSE),"Not Specified")</f>
        <v>Shipper ETYNR</v>
      </c>
      <c r="O1242" t="str">
        <f>IFERROR(VLOOKUP(A1242,'[1]Sales Order'!A:I,9,FALSE),"Not Specified")</f>
        <v>Destination QOCBL</v>
      </c>
      <c r="P1242" t="str">
        <f>IFERROR(VLOOKUP(A1242,'[1]Sales Order'!A:N,14,FALSE),"Not Specified")</f>
        <v>Germany</v>
      </c>
      <c r="Q1242" t="str">
        <f>VLOOKUP(VLOOKUP(B1242,[1]Product!A:C,3,FALSE),[1]Supplier!A:B,2,FALSE)</f>
        <v>Supplier NZLIF</v>
      </c>
      <c r="R1242" t="str">
        <f>VLOOKUP(VLOOKUP(B1242,[1]Product!A:C,3,FALSE),[1]Supplier!A:I,9,FALSE)</f>
        <v>Norway</v>
      </c>
      <c r="S1242" t="str">
        <f>IFERROR(IF(VLOOKUP(A1242,'[1]Sales Order'!A:H,8,FALSE)&gt;100,"High Freight","Low Freight"),"Not Specified")</f>
        <v>Low Freight</v>
      </c>
      <c r="T1242">
        <f t="shared" si="39"/>
        <v>855</v>
      </c>
    </row>
    <row r="1243" spans="1:20">
      <c r="A1243" s="1">
        <v>10718</v>
      </c>
      <c r="B1243" s="2">
        <v>12</v>
      </c>
      <c r="C1243" s="2">
        <v>38</v>
      </c>
      <c r="D1243" s="2">
        <v>36</v>
      </c>
      <c r="E1243" s="3">
        <v>0</v>
      </c>
      <c r="F1243" s="2" t="str">
        <f>IFERROR(VLOOKUP(VLOOKUP(A1243,'[1]Sales Order'!A:B,2,FALSE),[1]Customer!A:C,3,FALSE),"Not Specified")</f>
        <v>Song, Lolan</v>
      </c>
      <c r="G1243" s="2" t="str">
        <f t="shared" si="38"/>
        <v>Song Lolan</v>
      </c>
      <c r="H1243" s="8" t="str">
        <f>IFERROR(VLOOKUP(VLOOKUP(A1243,'[1]Sales Order'!A:C,3,FALSE),[1]Employee!A:E,5,FALSE)&amp;" "&amp;VLOOKUP(VLOOKUP(A1243,'[1]Sales Order'!A:C,3,FALSE),[1]Employee!A:C,3,FALSE)&amp;" "&amp;VLOOKUP(VLOOKUP(A1243,'[1]Sales Order'!A:C,3,FALSE),[1]Employee!A:B,2,FALSE),"Not Specified")</f>
        <v>Ms. Sara Davis</v>
      </c>
      <c r="I1243" t="str">
        <f>IFERROR(VLOOKUP(VLOOKUP(A1243,'[1]Sales Order'!A:C,3,FALSE),[1]Employee!A:J,10,FALSE),"Not Specified")</f>
        <v>WA</v>
      </c>
      <c r="J1243" t="str">
        <f>VLOOKUP(B1243,[1]Product!A:B,2,FALSE)</f>
        <v>Product OSFNS</v>
      </c>
      <c r="K1243" t="str">
        <f>VLOOKUP(VLOOKUP(B1243,[1]Product!A:D,4,FALSE),[1]Category!A:B,2,FALSE)</f>
        <v>Dairy Product</v>
      </c>
      <c r="L1243" s="10">
        <f>IFERROR(VLOOKUP(A1243,'[1]Sales Order'!A:D,4,FALSE),"")</f>
        <v>39382</v>
      </c>
      <c r="M1243" s="10">
        <f>IFERROR(VLOOKUP(A1243,'[1]Sales Order'!A:F,6,FALSE),"")</f>
        <v>39384</v>
      </c>
      <c r="N1243" t="str">
        <f>IFERROR(VLOOKUP(VLOOKUP(A1243,'[1]Sales Order'!A:G,7,FALSE),[1]Shipper!A:B,2,FALSE),"Not Specified")</f>
        <v>Shipper ZHISN</v>
      </c>
      <c r="O1243" t="str">
        <f>IFERROR(VLOOKUP(A1243,'[1]Sales Order'!A:I,9,FALSE),"Not Specified")</f>
        <v>Destination DKMQA</v>
      </c>
      <c r="P1243" t="str">
        <f>IFERROR(VLOOKUP(A1243,'[1]Sales Order'!A:N,14,FALSE),"Not Specified")</f>
        <v>Germany</v>
      </c>
      <c r="Q1243" t="str">
        <f>VLOOKUP(VLOOKUP(B1243,[1]Product!A:C,3,FALSE),[1]Supplier!A:B,2,FALSE)</f>
        <v>Supplier EQPNC</v>
      </c>
      <c r="R1243" t="str">
        <f>VLOOKUP(VLOOKUP(B1243,[1]Product!A:C,3,FALSE),[1]Supplier!A:I,9,FALSE)</f>
        <v>Spain</v>
      </c>
      <c r="S1243" t="str">
        <f>IFERROR(IF(VLOOKUP(A1243,'[1]Sales Order'!A:H,8,FALSE)&gt;100,"High Freight","Low Freight"),"Not Specified")</f>
        <v>High Freight</v>
      </c>
      <c r="T1243">
        <f t="shared" si="39"/>
        <v>1368</v>
      </c>
    </row>
    <row r="1244" spans="1:20">
      <c r="A1244" s="1">
        <v>10718</v>
      </c>
      <c r="B1244" s="2">
        <v>16</v>
      </c>
      <c r="C1244" s="2">
        <v>17.45</v>
      </c>
      <c r="D1244" s="2">
        <v>20</v>
      </c>
      <c r="E1244" s="3">
        <v>0</v>
      </c>
      <c r="F1244" s="2" t="str">
        <f>IFERROR(VLOOKUP(VLOOKUP(A1244,'[1]Sales Order'!A:B,2,FALSE),[1]Customer!A:C,3,FALSE),"Not Specified")</f>
        <v>Song, Lolan</v>
      </c>
      <c r="G1244" s="2" t="str">
        <f t="shared" si="38"/>
        <v>Song Lolan</v>
      </c>
      <c r="H1244" s="8" t="str">
        <f>IFERROR(VLOOKUP(VLOOKUP(A1244,'[1]Sales Order'!A:C,3,FALSE),[1]Employee!A:E,5,FALSE)&amp;" "&amp;VLOOKUP(VLOOKUP(A1244,'[1]Sales Order'!A:C,3,FALSE),[1]Employee!A:C,3,FALSE)&amp;" "&amp;VLOOKUP(VLOOKUP(A1244,'[1]Sales Order'!A:C,3,FALSE),[1]Employee!A:B,2,FALSE),"Not Specified")</f>
        <v>Ms. Sara Davis</v>
      </c>
      <c r="I1244" t="str">
        <f>IFERROR(VLOOKUP(VLOOKUP(A1244,'[1]Sales Order'!A:C,3,FALSE),[1]Employee!A:J,10,FALSE),"Not Specified")</f>
        <v>WA</v>
      </c>
      <c r="J1244" t="str">
        <f>VLOOKUP(B1244,[1]Product!A:B,2,FALSE)</f>
        <v>Product PAFRH</v>
      </c>
      <c r="K1244" t="str">
        <f>VLOOKUP(VLOOKUP(B1244,[1]Product!A:D,4,FALSE),[1]Category!A:B,2,FALSE)</f>
        <v>Confections</v>
      </c>
      <c r="L1244" s="10">
        <f>IFERROR(VLOOKUP(A1244,'[1]Sales Order'!A:D,4,FALSE),"")</f>
        <v>39382</v>
      </c>
      <c r="M1244" s="10">
        <f>IFERROR(VLOOKUP(A1244,'[1]Sales Order'!A:F,6,FALSE),"")</f>
        <v>39384</v>
      </c>
      <c r="N1244" t="str">
        <f>IFERROR(VLOOKUP(VLOOKUP(A1244,'[1]Sales Order'!A:G,7,FALSE),[1]Shipper!A:B,2,FALSE),"Not Specified")</f>
        <v>Shipper ZHISN</v>
      </c>
      <c r="O1244" t="str">
        <f>IFERROR(VLOOKUP(A1244,'[1]Sales Order'!A:I,9,FALSE),"Not Specified")</f>
        <v>Destination DKMQA</v>
      </c>
      <c r="P1244" t="str">
        <f>IFERROR(VLOOKUP(A1244,'[1]Sales Order'!A:N,14,FALSE),"Not Specified")</f>
        <v>Germany</v>
      </c>
      <c r="Q1244" t="str">
        <f>VLOOKUP(VLOOKUP(B1244,[1]Product!A:C,3,FALSE),[1]Supplier!A:B,2,FALSE)</f>
        <v>Supplier GQRCV</v>
      </c>
      <c r="R1244" t="str">
        <f>VLOOKUP(VLOOKUP(B1244,[1]Product!A:C,3,FALSE),[1]Supplier!A:I,9,FALSE)</f>
        <v>Australia</v>
      </c>
      <c r="S1244" t="str">
        <f>IFERROR(IF(VLOOKUP(A1244,'[1]Sales Order'!A:H,8,FALSE)&gt;100,"High Freight","Low Freight"),"Not Specified")</f>
        <v>High Freight</v>
      </c>
      <c r="T1244">
        <f t="shared" si="39"/>
        <v>349</v>
      </c>
    </row>
    <row r="1245" spans="1:20">
      <c r="A1245" s="1">
        <v>10718</v>
      </c>
      <c r="B1245" s="2">
        <v>36</v>
      </c>
      <c r="C1245" s="2">
        <v>19</v>
      </c>
      <c r="D1245" s="2">
        <v>40</v>
      </c>
      <c r="E1245" s="3">
        <v>0</v>
      </c>
      <c r="F1245" s="2" t="str">
        <f>IFERROR(VLOOKUP(VLOOKUP(A1245,'[1]Sales Order'!A:B,2,FALSE),[1]Customer!A:C,3,FALSE),"Not Specified")</f>
        <v>Song, Lolan</v>
      </c>
      <c r="G1245" s="2" t="str">
        <f t="shared" si="38"/>
        <v>Song Lolan</v>
      </c>
      <c r="H1245" s="8" t="str">
        <f>IFERROR(VLOOKUP(VLOOKUP(A1245,'[1]Sales Order'!A:C,3,FALSE),[1]Employee!A:E,5,FALSE)&amp;" "&amp;VLOOKUP(VLOOKUP(A1245,'[1]Sales Order'!A:C,3,FALSE),[1]Employee!A:C,3,FALSE)&amp;" "&amp;VLOOKUP(VLOOKUP(A1245,'[1]Sales Order'!A:C,3,FALSE),[1]Employee!A:B,2,FALSE),"Not Specified")</f>
        <v>Ms. Sara Davis</v>
      </c>
      <c r="I1245" t="str">
        <f>IFERROR(VLOOKUP(VLOOKUP(A1245,'[1]Sales Order'!A:C,3,FALSE),[1]Employee!A:J,10,FALSE),"Not Specified")</f>
        <v>WA</v>
      </c>
      <c r="J1245" t="str">
        <f>VLOOKUP(B1245,[1]Product!A:B,2,FALSE)</f>
        <v>Product GMKIJ</v>
      </c>
      <c r="K1245" t="str">
        <f>VLOOKUP(VLOOKUP(B1245,[1]Product!A:D,4,FALSE),[1]Category!A:B,2,FALSE)</f>
        <v>Seafood</v>
      </c>
      <c r="L1245" s="10">
        <f>IFERROR(VLOOKUP(A1245,'[1]Sales Order'!A:D,4,FALSE),"")</f>
        <v>39382</v>
      </c>
      <c r="M1245" s="10">
        <f>IFERROR(VLOOKUP(A1245,'[1]Sales Order'!A:F,6,FALSE),"")</f>
        <v>39384</v>
      </c>
      <c r="N1245" t="str">
        <f>IFERROR(VLOOKUP(VLOOKUP(A1245,'[1]Sales Order'!A:G,7,FALSE),[1]Shipper!A:B,2,FALSE),"Not Specified")</f>
        <v>Shipper ZHISN</v>
      </c>
      <c r="O1245" t="str">
        <f>IFERROR(VLOOKUP(A1245,'[1]Sales Order'!A:I,9,FALSE),"Not Specified")</f>
        <v>Destination DKMQA</v>
      </c>
      <c r="P1245" t="str">
        <f>IFERROR(VLOOKUP(A1245,'[1]Sales Order'!A:N,14,FALSE),"Not Specified")</f>
        <v>Germany</v>
      </c>
      <c r="Q1245" t="str">
        <f>VLOOKUP(VLOOKUP(B1245,[1]Product!A:C,3,FALSE),[1]Supplier!A:B,2,FALSE)</f>
        <v>Supplier QZGUF</v>
      </c>
      <c r="R1245" t="str">
        <f>VLOOKUP(VLOOKUP(B1245,[1]Product!A:C,3,FALSE),[1]Supplier!A:I,9,FALSE)</f>
        <v>Sweden</v>
      </c>
      <c r="S1245" t="str">
        <f>IFERROR(IF(VLOOKUP(A1245,'[1]Sales Order'!A:H,8,FALSE)&gt;100,"High Freight","Low Freight"),"Not Specified")</f>
        <v>High Freight</v>
      </c>
      <c r="T1245">
        <f t="shared" si="39"/>
        <v>760</v>
      </c>
    </row>
    <row r="1246" spans="1:20">
      <c r="A1246" s="1">
        <v>10718</v>
      </c>
      <c r="B1246" s="2">
        <v>62</v>
      </c>
      <c r="C1246" s="2">
        <v>49.3</v>
      </c>
      <c r="D1246" s="2">
        <v>20</v>
      </c>
      <c r="E1246" s="3">
        <v>0</v>
      </c>
      <c r="F1246" s="2" t="str">
        <f>IFERROR(VLOOKUP(VLOOKUP(A1246,'[1]Sales Order'!A:B,2,FALSE),[1]Customer!A:C,3,FALSE),"Not Specified")</f>
        <v>Song, Lolan</v>
      </c>
      <c r="G1246" s="2" t="str">
        <f t="shared" si="38"/>
        <v>Song Lolan</v>
      </c>
      <c r="H1246" s="8" t="str">
        <f>IFERROR(VLOOKUP(VLOOKUP(A1246,'[1]Sales Order'!A:C,3,FALSE),[1]Employee!A:E,5,FALSE)&amp;" "&amp;VLOOKUP(VLOOKUP(A1246,'[1]Sales Order'!A:C,3,FALSE),[1]Employee!A:C,3,FALSE)&amp;" "&amp;VLOOKUP(VLOOKUP(A1246,'[1]Sales Order'!A:C,3,FALSE),[1]Employee!A:B,2,FALSE),"Not Specified")</f>
        <v>Ms. Sara Davis</v>
      </c>
      <c r="I1246" t="str">
        <f>IFERROR(VLOOKUP(VLOOKUP(A1246,'[1]Sales Order'!A:C,3,FALSE),[1]Employee!A:J,10,FALSE),"Not Specified")</f>
        <v>WA</v>
      </c>
      <c r="J1246" t="str">
        <f>VLOOKUP(B1246,[1]Product!A:B,2,FALSE)</f>
        <v>Product WUXYK</v>
      </c>
      <c r="K1246" t="str">
        <f>VLOOKUP(VLOOKUP(B1246,[1]Product!A:D,4,FALSE),[1]Category!A:B,2,FALSE)</f>
        <v>Confections</v>
      </c>
      <c r="L1246" s="10">
        <f>IFERROR(VLOOKUP(A1246,'[1]Sales Order'!A:D,4,FALSE),"")</f>
        <v>39382</v>
      </c>
      <c r="M1246" s="10">
        <f>IFERROR(VLOOKUP(A1246,'[1]Sales Order'!A:F,6,FALSE),"")</f>
        <v>39384</v>
      </c>
      <c r="N1246" t="str">
        <f>IFERROR(VLOOKUP(VLOOKUP(A1246,'[1]Sales Order'!A:G,7,FALSE),[1]Shipper!A:B,2,FALSE),"Not Specified")</f>
        <v>Shipper ZHISN</v>
      </c>
      <c r="O1246" t="str">
        <f>IFERROR(VLOOKUP(A1246,'[1]Sales Order'!A:I,9,FALSE),"Not Specified")</f>
        <v>Destination DKMQA</v>
      </c>
      <c r="P1246" t="str">
        <f>IFERROR(VLOOKUP(A1246,'[1]Sales Order'!A:N,14,FALSE),"Not Specified")</f>
        <v>Germany</v>
      </c>
      <c r="Q1246" t="str">
        <f>VLOOKUP(VLOOKUP(B1246,[1]Product!A:C,3,FALSE),[1]Supplier!A:B,2,FALSE)</f>
        <v>Supplier OGLRK</v>
      </c>
      <c r="R1246" t="str">
        <f>VLOOKUP(VLOOKUP(B1246,[1]Product!A:C,3,FALSE),[1]Supplier!A:I,9,FALSE)</f>
        <v>Canada</v>
      </c>
      <c r="S1246" t="str">
        <f>IFERROR(IF(VLOOKUP(A1246,'[1]Sales Order'!A:H,8,FALSE)&gt;100,"High Freight","Low Freight"),"Not Specified")</f>
        <v>High Freight</v>
      </c>
      <c r="T1246">
        <f t="shared" si="39"/>
        <v>986</v>
      </c>
    </row>
    <row r="1247" spans="1:20">
      <c r="A1247" s="1">
        <v>10719</v>
      </c>
      <c r="B1247" s="2">
        <v>18</v>
      </c>
      <c r="C1247" s="2">
        <v>62.5</v>
      </c>
      <c r="D1247" s="2">
        <v>12</v>
      </c>
      <c r="E1247" s="3">
        <v>0.25</v>
      </c>
      <c r="F1247" s="2" t="str">
        <f>IFERROR(VLOOKUP(VLOOKUP(A1247,'[1]Sales Order'!A:B,2,FALSE),[1]Customer!A:C,3,FALSE),"Not Specified")</f>
        <v>Sunkammurali, Krishna</v>
      </c>
      <c r="G1247" s="2" t="str">
        <f t="shared" si="38"/>
        <v>Sunkammurali Krishna</v>
      </c>
      <c r="H1247" s="8" t="str">
        <f>IFERROR(VLOOKUP(VLOOKUP(A1247,'[1]Sales Order'!A:C,3,FALSE),[1]Employee!A:E,5,FALSE)&amp;" "&amp;VLOOKUP(VLOOKUP(A1247,'[1]Sales Order'!A:C,3,FALSE),[1]Employee!A:C,3,FALSE)&amp;" "&amp;VLOOKUP(VLOOKUP(A1247,'[1]Sales Order'!A:C,3,FALSE),[1]Employee!A:B,2,FALSE),"Not Specified")</f>
        <v>Ms. Maria Cameron</v>
      </c>
      <c r="I1247" t="str">
        <f>IFERROR(VLOOKUP(VLOOKUP(A1247,'[1]Sales Order'!A:C,3,FALSE),[1]Employee!A:J,10,FALSE),"Not Specified")</f>
        <v>WA</v>
      </c>
      <c r="J1247" t="str">
        <f>VLOOKUP(B1247,[1]Product!A:B,2,FALSE)</f>
        <v>Product CKEDC</v>
      </c>
      <c r="K1247" t="str">
        <f>VLOOKUP(VLOOKUP(B1247,[1]Product!A:D,4,FALSE),[1]Category!A:B,2,FALSE)</f>
        <v>Seafood</v>
      </c>
      <c r="L1247" s="10">
        <f>IFERROR(VLOOKUP(A1247,'[1]Sales Order'!A:D,4,FALSE),"")</f>
        <v>39382</v>
      </c>
      <c r="M1247" s="10">
        <f>IFERROR(VLOOKUP(A1247,'[1]Sales Order'!A:F,6,FALSE),"")</f>
        <v>39391</v>
      </c>
      <c r="N1247" t="str">
        <f>IFERROR(VLOOKUP(VLOOKUP(A1247,'[1]Sales Order'!A:G,7,FALSE),[1]Shipper!A:B,2,FALSE),"Not Specified")</f>
        <v>Shipper ETYNR</v>
      </c>
      <c r="O1247" t="str">
        <f>IFERROR(VLOOKUP(A1247,'[1]Sales Order'!A:I,9,FALSE),"Not Specified")</f>
        <v>Ship to 45-A</v>
      </c>
      <c r="P1247" t="str">
        <f>IFERROR(VLOOKUP(A1247,'[1]Sales Order'!A:N,14,FALSE),"Not Specified")</f>
        <v>USA</v>
      </c>
      <c r="Q1247" t="str">
        <f>VLOOKUP(VLOOKUP(B1247,[1]Product!A:C,3,FALSE),[1]Supplier!A:B,2,FALSE)</f>
        <v>Supplier GQRCV</v>
      </c>
      <c r="R1247" t="str">
        <f>VLOOKUP(VLOOKUP(B1247,[1]Product!A:C,3,FALSE),[1]Supplier!A:I,9,FALSE)</f>
        <v>Australia</v>
      </c>
      <c r="S1247" t="str">
        <f>IFERROR(IF(VLOOKUP(A1247,'[1]Sales Order'!A:H,8,FALSE)&gt;100,"High Freight","Low Freight"),"Not Specified")</f>
        <v>Low Freight</v>
      </c>
      <c r="T1247">
        <f t="shared" si="39"/>
        <v>562.5</v>
      </c>
    </row>
    <row r="1248" spans="1:20">
      <c r="A1248" s="1">
        <v>10719</v>
      </c>
      <c r="B1248" s="2">
        <v>30</v>
      </c>
      <c r="C1248" s="2">
        <v>25.89</v>
      </c>
      <c r="D1248" s="2">
        <v>3</v>
      </c>
      <c r="E1248" s="3">
        <v>0.25</v>
      </c>
      <c r="F1248" s="2" t="str">
        <f>IFERROR(VLOOKUP(VLOOKUP(A1248,'[1]Sales Order'!A:B,2,FALSE),[1]Customer!A:C,3,FALSE),"Not Specified")</f>
        <v>Sunkammurali, Krishna</v>
      </c>
      <c r="G1248" s="2" t="str">
        <f t="shared" si="38"/>
        <v>Sunkammurali Krishna</v>
      </c>
      <c r="H1248" s="8" t="str">
        <f>IFERROR(VLOOKUP(VLOOKUP(A1248,'[1]Sales Order'!A:C,3,FALSE),[1]Employee!A:E,5,FALSE)&amp;" "&amp;VLOOKUP(VLOOKUP(A1248,'[1]Sales Order'!A:C,3,FALSE),[1]Employee!A:C,3,FALSE)&amp;" "&amp;VLOOKUP(VLOOKUP(A1248,'[1]Sales Order'!A:C,3,FALSE),[1]Employee!A:B,2,FALSE),"Not Specified")</f>
        <v>Ms. Maria Cameron</v>
      </c>
      <c r="I1248" t="str">
        <f>IFERROR(VLOOKUP(VLOOKUP(A1248,'[1]Sales Order'!A:C,3,FALSE),[1]Employee!A:J,10,FALSE),"Not Specified")</f>
        <v>WA</v>
      </c>
      <c r="J1248" t="str">
        <f>VLOOKUP(B1248,[1]Product!A:B,2,FALSE)</f>
        <v>Product LYERX</v>
      </c>
      <c r="K1248" t="str">
        <f>VLOOKUP(VLOOKUP(B1248,[1]Product!A:D,4,FALSE),[1]Category!A:B,2,FALSE)</f>
        <v>Seafood</v>
      </c>
      <c r="L1248" s="10">
        <f>IFERROR(VLOOKUP(A1248,'[1]Sales Order'!A:D,4,FALSE),"")</f>
        <v>39382</v>
      </c>
      <c r="M1248" s="10">
        <f>IFERROR(VLOOKUP(A1248,'[1]Sales Order'!A:F,6,FALSE),"")</f>
        <v>39391</v>
      </c>
      <c r="N1248" t="str">
        <f>IFERROR(VLOOKUP(VLOOKUP(A1248,'[1]Sales Order'!A:G,7,FALSE),[1]Shipper!A:B,2,FALSE),"Not Specified")</f>
        <v>Shipper ETYNR</v>
      </c>
      <c r="O1248" t="str">
        <f>IFERROR(VLOOKUP(A1248,'[1]Sales Order'!A:I,9,FALSE),"Not Specified")</f>
        <v>Ship to 45-A</v>
      </c>
      <c r="P1248" t="str">
        <f>IFERROR(VLOOKUP(A1248,'[1]Sales Order'!A:N,14,FALSE),"Not Specified")</f>
        <v>USA</v>
      </c>
      <c r="Q1248" t="str">
        <f>VLOOKUP(VLOOKUP(B1248,[1]Product!A:C,3,FALSE),[1]Supplier!A:B,2,FALSE)</f>
        <v>Supplier TEGSC</v>
      </c>
      <c r="R1248" t="str">
        <f>VLOOKUP(VLOOKUP(B1248,[1]Product!A:C,3,FALSE),[1]Supplier!A:I,9,FALSE)</f>
        <v>Germany</v>
      </c>
      <c r="S1248" t="str">
        <f>IFERROR(IF(VLOOKUP(A1248,'[1]Sales Order'!A:H,8,FALSE)&gt;100,"High Freight","Low Freight"),"Not Specified")</f>
        <v>Low Freight</v>
      </c>
      <c r="T1248">
        <f t="shared" si="39"/>
        <v>58.252499999999998</v>
      </c>
    </row>
    <row r="1249" spans="1:20">
      <c r="A1249" s="1">
        <v>10719</v>
      </c>
      <c r="B1249" s="2">
        <v>54</v>
      </c>
      <c r="C1249" s="2">
        <v>7.45</v>
      </c>
      <c r="D1249" s="2">
        <v>40</v>
      </c>
      <c r="E1249" s="3">
        <v>0.25</v>
      </c>
      <c r="F1249" s="2" t="str">
        <f>IFERROR(VLOOKUP(VLOOKUP(A1249,'[1]Sales Order'!A:B,2,FALSE),[1]Customer!A:C,3,FALSE),"Not Specified")</f>
        <v>Sunkammurali, Krishna</v>
      </c>
      <c r="G1249" s="2" t="str">
        <f t="shared" si="38"/>
        <v>Sunkammurali Krishna</v>
      </c>
      <c r="H1249" s="8" t="str">
        <f>IFERROR(VLOOKUP(VLOOKUP(A1249,'[1]Sales Order'!A:C,3,FALSE),[1]Employee!A:E,5,FALSE)&amp;" "&amp;VLOOKUP(VLOOKUP(A1249,'[1]Sales Order'!A:C,3,FALSE),[1]Employee!A:C,3,FALSE)&amp;" "&amp;VLOOKUP(VLOOKUP(A1249,'[1]Sales Order'!A:C,3,FALSE),[1]Employee!A:B,2,FALSE),"Not Specified")</f>
        <v>Ms. Maria Cameron</v>
      </c>
      <c r="I1249" t="str">
        <f>IFERROR(VLOOKUP(VLOOKUP(A1249,'[1]Sales Order'!A:C,3,FALSE),[1]Employee!A:J,10,FALSE),"Not Specified")</f>
        <v>WA</v>
      </c>
      <c r="J1249" t="str">
        <f>VLOOKUP(B1249,[1]Product!A:B,2,FALSE)</f>
        <v>Product QAQRL</v>
      </c>
      <c r="K1249" t="str">
        <f>VLOOKUP(VLOOKUP(B1249,[1]Product!A:D,4,FALSE),[1]Category!A:B,2,FALSE)</f>
        <v>Meat/Poultry</v>
      </c>
      <c r="L1249" s="10">
        <f>IFERROR(VLOOKUP(A1249,'[1]Sales Order'!A:D,4,FALSE),"")</f>
        <v>39382</v>
      </c>
      <c r="M1249" s="10">
        <f>IFERROR(VLOOKUP(A1249,'[1]Sales Order'!A:F,6,FALSE),"")</f>
        <v>39391</v>
      </c>
      <c r="N1249" t="str">
        <f>IFERROR(VLOOKUP(VLOOKUP(A1249,'[1]Sales Order'!A:G,7,FALSE),[1]Shipper!A:B,2,FALSE),"Not Specified")</f>
        <v>Shipper ETYNR</v>
      </c>
      <c r="O1249" t="str">
        <f>IFERROR(VLOOKUP(A1249,'[1]Sales Order'!A:I,9,FALSE),"Not Specified")</f>
        <v>Ship to 45-A</v>
      </c>
      <c r="P1249" t="str">
        <f>IFERROR(VLOOKUP(A1249,'[1]Sales Order'!A:N,14,FALSE),"Not Specified")</f>
        <v>USA</v>
      </c>
      <c r="Q1249" t="str">
        <f>VLOOKUP(VLOOKUP(B1249,[1]Product!A:C,3,FALSE),[1]Supplier!A:B,2,FALSE)</f>
        <v>Supplier ERVYZ</v>
      </c>
      <c r="R1249" t="str">
        <f>VLOOKUP(VLOOKUP(B1249,[1]Product!A:C,3,FALSE),[1]Supplier!A:I,9,FALSE)</f>
        <v>Canada</v>
      </c>
      <c r="S1249" t="str">
        <f>IFERROR(IF(VLOOKUP(A1249,'[1]Sales Order'!A:H,8,FALSE)&gt;100,"High Freight","Low Freight"),"Not Specified")</f>
        <v>Low Freight</v>
      </c>
      <c r="T1249">
        <f t="shared" si="39"/>
        <v>223.5</v>
      </c>
    </row>
    <row r="1250" spans="1:20">
      <c r="A1250" s="1">
        <v>10720</v>
      </c>
      <c r="B1250" s="2">
        <v>35</v>
      </c>
      <c r="C1250" s="2">
        <v>18</v>
      </c>
      <c r="D1250" s="2">
        <v>21</v>
      </c>
      <c r="E1250" s="3">
        <v>0</v>
      </c>
      <c r="F1250" s="2" t="str">
        <f>IFERROR(VLOOKUP(VLOOKUP(A1250,'[1]Sales Order'!A:B,2,FALSE),[1]Customer!A:C,3,FALSE),"Not Specified")</f>
        <v>Florczyk, Krzysztof</v>
      </c>
      <c r="G1250" s="2" t="str">
        <f t="shared" si="38"/>
        <v>Florczyk Krzysztof</v>
      </c>
      <c r="H1250" s="8" t="str">
        <f>IFERROR(VLOOKUP(VLOOKUP(A1250,'[1]Sales Order'!A:C,3,FALSE),[1]Employee!A:E,5,FALSE)&amp;" "&amp;VLOOKUP(VLOOKUP(A1250,'[1]Sales Order'!A:C,3,FALSE),[1]Employee!A:C,3,FALSE)&amp;" "&amp;VLOOKUP(VLOOKUP(A1250,'[1]Sales Order'!A:C,3,FALSE),[1]Employee!A:B,2,FALSE),"Not Specified")</f>
        <v>Ms. Maria Cameron</v>
      </c>
      <c r="I1250" t="str">
        <f>IFERROR(VLOOKUP(VLOOKUP(A1250,'[1]Sales Order'!A:C,3,FALSE),[1]Employee!A:J,10,FALSE),"Not Specified")</f>
        <v>WA</v>
      </c>
      <c r="J1250" t="str">
        <f>VLOOKUP(B1250,[1]Product!A:B,2,FALSE)</f>
        <v>Product NEVTJ</v>
      </c>
      <c r="K1250" t="str">
        <f>VLOOKUP(VLOOKUP(B1250,[1]Product!A:D,4,FALSE),[1]Category!A:B,2,FALSE)</f>
        <v>Beverages</v>
      </c>
      <c r="L1250" s="10">
        <f>IFERROR(VLOOKUP(A1250,'[1]Sales Order'!A:D,4,FALSE),"")</f>
        <v>39383</v>
      </c>
      <c r="M1250" s="10">
        <f>IFERROR(VLOOKUP(A1250,'[1]Sales Order'!A:F,6,FALSE),"")</f>
        <v>39391</v>
      </c>
      <c r="N1250" t="str">
        <f>IFERROR(VLOOKUP(VLOOKUP(A1250,'[1]Sales Order'!A:G,7,FALSE),[1]Shipper!A:B,2,FALSE),"Not Specified")</f>
        <v>Shipper ETYNR</v>
      </c>
      <c r="O1250" t="str">
        <f>IFERROR(VLOOKUP(A1250,'[1]Sales Order'!A:I,9,FALSE),"Not Specified")</f>
        <v>Ship to 61-C</v>
      </c>
      <c r="P1250" t="str">
        <f>IFERROR(VLOOKUP(A1250,'[1]Sales Order'!A:N,14,FALSE),"Not Specified")</f>
        <v>Brazil</v>
      </c>
      <c r="Q1250" t="str">
        <f>VLOOKUP(VLOOKUP(B1250,[1]Product!A:C,3,FALSE),[1]Supplier!A:B,2,FALSE)</f>
        <v>Supplier UHZRG</v>
      </c>
      <c r="R1250" t="str">
        <f>VLOOKUP(VLOOKUP(B1250,[1]Product!A:C,3,FALSE),[1]Supplier!A:I,9,FALSE)</f>
        <v>USA</v>
      </c>
      <c r="S1250" t="str">
        <f>IFERROR(IF(VLOOKUP(A1250,'[1]Sales Order'!A:H,8,FALSE)&gt;100,"High Freight","Low Freight"),"Not Specified")</f>
        <v>Low Freight</v>
      </c>
      <c r="T1250">
        <f t="shared" si="39"/>
        <v>378</v>
      </c>
    </row>
    <row r="1251" spans="1:20">
      <c r="A1251" s="1">
        <v>10720</v>
      </c>
      <c r="B1251" s="2">
        <v>71</v>
      </c>
      <c r="C1251" s="2">
        <v>21.5</v>
      </c>
      <c r="D1251" s="2">
        <v>8</v>
      </c>
      <c r="E1251" s="3">
        <v>0</v>
      </c>
      <c r="F1251" s="2" t="str">
        <f>IFERROR(VLOOKUP(VLOOKUP(A1251,'[1]Sales Order'!A:B,2,FALSE),[1]Customer!A:C,3,FALSE),"Not Specified")</f>
        <v>Florczyk, Krzysztof</v>
      </c>
      <c r="G1251" s="2" t="str">
        <f t="shared" si="38"/>
        <v>Florczyk Krzysztof</v>
      </c>
      <c r="H1251" s="8" t="str">
        <f>IFERROR(VLOOKUP(VLOOKUP(A1251,'[1]Sales Order'!A:C,3,FALSE),[1]Employee!A:E,5,FALSE)&amp;" "&amp;VLOOKUP(VLOOKUP(A1251,'[1]Sales Order'!A:C,3,FALSE),[1]Employee!A:C,3,FALSE)&amp;" "&amp;VLOOKUP(VLOOKUP(A1251,'[1]Sales Order'!A:C,3,FALSE),[1]Employee!A:B,2,FALSE),"Not Specified")</f>
        <v>Ms. Maria Cameron</v>
      </c>
      <c r="I1251" t="str">
        <f>IFERROR(VLOOKUP(VLOOKUP(A1251,'[1]Sales Order'!A:C,3,FALSE),[1]Employee!A:J,10,FALSE),"Not Specified")</f>
        <v>WA</v>
      </c>
      <c r="J1251" t="str">
        <f>VLOOKUP(B1251,[1]Product!A:B,2,FALSE)</f>
        <v>Product MYMOI</v>
      </c>
      <c r="K1251" t="str">
        <f>VLOOKUP(VLOOKUP(B1251,[1]Product!A:D,4,FALSE),[1]Category!A:B,2,FALSE)</f>
        <v>Dairy Product</v>
      </c>
      <c r="L1251" s="10">
        <f>IFERROR(VLOOKUP(A1251,'[1]Sales Order'!A:D,4,FALSE),"")</f>
        <v>39383</v>
      </c>
      <c r="M1251" s="10">
        <f>IFERROR(VLOOKUP(A1251,'[1]Sales Order'!A:F,6,FALSE),"")</f>
        <v>39391</v>
      </c>
      <c r="N1251" t="str">
        <f>IFERROR(VLOOKUP(VLOOKUP(A1251,'[1]Sales Order'!A:G,7,FALSE),[1]Shipper!A:B,2,FALSE),"Not Specified")</f>
        <v>Shipper ETYNR</v>
      </c>
      <c r="O1251" t="str">
        <f>IFERROR(VLOOKUP(A1251,'[1]Sales Order'!A:I,9,FALSE),"Not Specified")</f>
        <v>Ship to 61-C</v>
      </c>
      <c r="P1251" t="str">
        <f>IFERROR(VLOOKUP(A1251,'[1]Sales Order'!A:N,14,FALSE),"Not Specified")</f>
        <v>Brazil</v>
      </c>
      <c r="Q1251" t="str">
        <f>VLOOKUP(VLOOKUP(B1251,[1]Product!A:C,3,FALSE),[1]Supplier!A:B,2,FALSE)</f>
        <v>Supplier NZLIF</v>
      </c>
      <c r="R1251" t="str">
        <f>VLOOKUP(VLOOKUP(B1251,[1]Product!A:C,3,FALSE),[1]Supplier!A:I,9,FALSE)</f>
        <v>Norway</v>
      </c>
      <c r="S1251" t="str">
        <f>IFERROR(IF(VLOOKUP(A1251,'[1]Sales Order'!A:H,8,FALSE)&gt;100,"High Freight","Low Freight"),"Not Specified")</f>
        <v>Low Freight</v>
      </c>
      <c r="T1251">
        <f t="shared" si="39"/>
        <v>172</v>
      </c>
    </row>
    <row r="1252" spans="1:20">
      <c r="A1252" s="1">
        <v>10721</v>
      </c>
      <c r="B1252" s="2">
        <v>44</v>
      </c>
      <c r="C1252" s="2">
        <v>19.45</v>
      </c>
      <c r="D1252" s="2">
        <v>50</v>
      </c>
      <c r="E1252" s="3">
        <v>0.05</v>
      </c>
      <c r="F1252" s="2" t="str">
        <f>IFERROR(VLOOKUP(VLOOKUP(A1252,'[1]Sales Order'!A:B,2,FALSE),[1]Customer!A:C,3,FALSE),"Not Specified")</f>
        <v>Veronesi, Giorgio</v>
      </c>
      <c r="G1252" s="2" t="str">
        <f t="shared" si="38"/>
        <v>Veronesi Giorgio</v>
      </c>
      <c r="H1252" s="8" t="str">
        <f>IFERROR(VLOOKUP(VLOOKUP(A1252,'[1]Sales Order'!A:C,3,FALSE),[1]Employee!A:E,5,FALSE)&amp;" "&amp;VLOOKUP(VLOOKUP(A1252,'[1]Sales Order'!A:C,3,FALSE),[1]Employee!A:C,3,FALSE)&amp;" "&amp;VLOOKUP(VLOOKUP(A1252,'[1]Sales Order'!A:C,3,FALSE),[1]Employee!A:B,2,FALSE),"Not Specified")</f>
        <v>Mr. Sven Buck</v>
      </c>
      <c r="I1252">
        <f>IFERROR(VLOOKUP(VLOOKUP(A1252,'[1]Sales Order'!A:C,3,FALSE),[1]Employee!A:J,10,FALSE),"Not Specified")</f>
        <v>0</v>
      </c>
      <c r="J1252" t="str">
        <f>VLOOKUP(B1252,[1]Product!A:B,2,FALSE)</f>
        <v>Product VJIEO</v>
      </c>
      <c r="K1252" t="str">
        <f>VLOOKUP(VLOOKUP(B1252,[1]Product!A:D,4,FALSE),[1]Category!A:B,2,FALSE)</f>
        <v>Condiments</v>
      </c>
      <c r="L1252" s="10">
        <f>IFERROR(VLOOKUP(A1252,'[1]Sales Order'!A:D,4,FALSE),"")</f>
        <v>39384</v>
      </c>
      <c r="M1252" s="10">
        <f>IFERROR(VLOOKUP(A1252,'[1]Sales Order'!A:F,6,FALSE),"")</f>
        <v>39386</v>
      </c>
      <c r="N1252" t="str">
        <f>IFERROR(VLOOKUP(VLOOKUP(A1252,'[1]Sales Order'!A:G,7,FALSE),[1]Shipper!A:B,2,FALSE),"Not Specified")</f>
        <v>Shipper ZHISN</v>
      </c>
      <c r="O1252" t="str">
        <f>IFERROR(VLOOKUP(A1252,'[1]Sales Order'!A:I,9,FALSE),"Not Specified")</f>
        <v>Ship to 63-A</v>
      </c>
      <c r="P1252" t="str">
        <f>IFERROR(VLOOKUP(A1252,'[1]Sales Order'!A:N,14,FALSE),"Not Specified")</f>
        <v>Germany</v>
      </c>
      <c r="Q1252" t="str">
        <f>VLOOKUP(VLOOKUP(B1252,[1]Product!A:C,3,FALSE),[1]Supplier!A:B,2,FALSE)</f>
        <v>Supplier CIYNM</v>
      </c>
      <c r="R1252" t="str">
        <f>VLOOKUP(VLOOKUP(B1252,[1]Product!A:C,3,FALSE),[1]Supplier!A:I,9,FALSE)</f>
        <v>Singapore</v>
      </c>
      <c r="S1252" t="str">
        <f>IFERROR(IF(VLOOKUP(A1252,'[1]Sales Order'!A:H,8,FALSE)&gt;100,"High Freight","Low Freight"),"Not Specified")</f>
        <v>Low Freight</v>
      </c>
      <c r="T1252">
        <f t="shared" si="39"/>
        <v>923.875</v>
      </c>
    </row>
    <row r="1253" spans="1:20">
      <c r="A1253" s="1">
        <v>10722</v>
      </c>
      <c r="B1253" s="2">
        <v>2</v>
      </c>
      <c r="C1253" s="2">
        <v>19</v>
      </c>
      <c r="D1253" s="2">
        <v>3</v>
      </c>
      <c r="E1253" s="3">
        <v>0</v>
      </c>
      <c r="F1253" s="2" t="str">
        <f>IFERROR(VLOOKUP(VLOOKUP(A1253,'[1]Sales Order'!A:B,2,FALSE),[1]Customer!A:C,3,FALSE),"Not Specified")</f>
        <v>Navarro, Tomás</v>
      </c>
      <c r="G1253" s="2" t="str">
        <f t="shared" si="38"/>
        <v>Navarro Tomás</v>
      </c>
      <c r="H1253" s="8" t="str">
        <f>IFERROR(VLOOKUP(VLOOKUP(A1253,'[1]Sales Order'!A:C,3,FALSE),[1]Employee!A:E,5,FALSE)&amp;" "&amp;VLOOKUP(VLOOKUP(A1253,'[1]Sales Order'!A:C,3,FALSE),[1]Employee!A:C,3,FALSE)&amp;" "&amp;VLOOKUP(VLOOKUP(A1253,'[1]Sales Order'!A:C,3,FALSE),[1]Employee!A:B,2,FALSE),"Not Specified")</f>
        <v>Ms. Maria Cameron</v>
      </c>
      <c r="I1253" t="str">
        <f>IFERROR(VLOOKUP(VLOOKUP(A1253,'[1]Sales Order'!A:C,3,FALSE),[1]Employee!A:J,10,FALSE),"Not Specified")</f>
        <v>WA</v>
      </c>
      <c r="J1253" t="str">
        <f>VLOOKUP(B1253,[1]Product!A:B,2,FALSE)</f>
        <v>Product RECZE</v>
      </c>
      <c r="K1253" t="str">
        <f>VLOOKUP(VLOOKUP(B1253,[1]Product!A:D,4,FALSE),[1]Category!A:B,2,FALSE)</f>
        <v>Beverages</v>
      </c>
      <c r="L1253" s="10">
        <f>IFERROR(VLOOKUP(A1253,'[1]Sales Order'!A:D,4,FALSE),"")</f>
        <v>39384</v>
      </c>
      <c r="M1253" s="10">
        <f>IFERROR(VLOOKUP(A1253,'[1]Sales Order'!A:F,6,FALSE),"")</f>
        <v>39390</v>
      </c>
      <c r="N1253" t="str">
        <f>IFERROR(VLOOKUP(VLOOKUP(A1253,'[1]Sales Order'!A:G,7,FALSE),[1]Shipper!A:B,2,FALSE),"Not Specified")</f>
        <v>Shipper GVSUA</v>
      </c>
      <c r="O1253" t="str">
        <f>IFERROR(VLOOKUP(A1253,'[1]Sales Order'!A:I,9,FALSE),"Not Specified")</f>
        <v>Ship to 71-A</v>
      </c>
      <c r="P1253" t="str">
        <f>IFERROR(VLOOKUP(A1253,'[1]Sales Order'!A:N,14,FALSE),"Not Specified")</f>
        <v>USA</v>
      </c>
      <c r="Q1253" t="str">
        <f>VLOOKUP(VLOOKUP(B1253,[1]Product!A:C,3,FALSE),[1]Supplier!A:B,2,FALSE)</f>
        <v>Supplier SWRXU</v>
      </c>
      <c r="R1253" t="str">
        <f>VLOOKUP(VLOOKUP(B1253,[1]Product!A:C,3,FALSE),[1]Supplier!A:I,9,FALSE)</f>
        <v>UK</v>
      </c>
      <c r="S1253" t="str">
        <f>IFERROR(IF(VLOOKUP(A1253,'[1]Sales Order'!A:H,8,FALSE)&gt;100,"High Freight","Low Freight"),"Not Specified")</f>
        <v>Low Freight</v>
      </c>
      <c r="T1253">
        <f t="shared" si="39"/>
        <v>57</v>
      </c>
    </row>
    <row r="1254" spans="1:20">
      <c r="A1254" s="1">
        <v>10722</v>
      </c>
      <c r="B1254" s="2">
        <v>31</v>
      </c>
      <c r="C1254" s="2">
        <v>12.5</v>
      </c>
      <c r="D1254" s="2">
        <v>50</v>
      </c>
      <c r="E1254" s="3">
        <v>0</v>
      </c>
      <c r="F1254" s="2" t="str">
        <f>IFERROR(VLOOKUP(VLOOKUP(A1254,'[1]Sales Order'!A:B,2,FALSE),[1]Customer!A:C,3,FALSE),"Not Specified")</f>
        <v>Navarro, Tomás</v>
      </c>
      <c r="G1254" s="2" t="str">
        <f t="shared" si="38"/>
        <v>Navarro Tomás</v>
      </c>
      <c r="H1254" s="8" t="str">
        <f>IFERROR(VLOOKUP(VLOOKUP(A1254,'[1]Sales Order'!A:C,3,FALSE),[1]Employee!A:E,5,FALSE)&amp;" "&amp;VLOOKUP(VLOOKUP(A1254,'[1]Sales Order'!A:C,3,FALSE),[1]Employee!A:C,3,FALSE)&amp;" "&amp;VLOOKUP(VLOOKUP(A1254,'[1]Sales Order'!A:C,3,FALSE),[1]Employee!A:B,2,FALSE),"Not Specified")</f>
        <v>Ms. Maria Cameron</v>
      </c>
      <c r="I1254" t="str">
        <f>IFERROR(VLOOKUP(VLOOKUP(A1254,'[1]Sales Order'!A:C,3,FALSE),[1]Employee!A:J,10,FALSE),"Not Specified")</f>
        <v>WA</v>
      </c>
      <c r="J1254" t="str">
        <f>VLOOKUP(B1254,[1]Product!A:B,2,FALSE)</f>
        <v>Product XWOXC</v>
      </c>
      <c r="K1254" t="str">
        <f>VLOOKUP(VLOOKUP(B1254,[1]Product!A:D,4,FALSE),[1]Category!A:B,2,FALSE)</f>
        <v>Dairy Product</v>
      </c>
      <c r="L1254" s="10">
        <f>IFERROR(VLOOKUP(A1254,'[1]Sales Order'!A:D,4,FALSE),"")</f>
        <v>39384</v>
      </c>
      <c r="M1254" s="10">
        <f>IFERROR(VLOOKUP(A1254,'[1]Sales Order'!A:F,6,FALSE),"")</f>
        <v>39390</v>
      </c>
      <c r="N1254" t="str">
        <f>IFERROR(VLOOKUP(VLOOKUP(A1254,'[1]Sales Order'!A:G,7,FALSE),[1]Shipper!A:B,2,FALSE),"Not Specified")</f>
        <v>Shipper GVSUA</v>
      </c>
      <c r="O1254" t="str">
        <f>IFERROR(VLOOKUP(A1254,'[1]Sales Order'!A:I,9,FALSE),"Not Specified")</f>
        <v>Ship to 71-A</v>
      </c>
      <c r="P1254" t="str">
        <f>IFERROR(VLOOKUP(A1254,'[1]Sales Order'!A:N,14,FALSE),"Not Specified")</f>
        <v>USA</v>
      </c>
      <c r="Q1254" t="str">
        <f>VLOOKUP(VLOOKUP(B1254,[1]Product!A:C,3,FALSE),[1]Supplier!A:B,2,FALSE)</f>
        <v>Supplier KEREV</v>
      </c>
      <c r="R1254" t="str">
        <f>VLOOKUP(VLOOKUP(B1254,[1]Product!A:C,3,FALSE),[1]Supplier!A:I,9,FALSE)</f>
        <v>Italy</v>
      </c>
      <c r="S1254" t="str">
        <f>IFERROR(IF(VLOOKUP(A1254,'[1]Sales Order'!A:H,8,FALSE)&gt;100,"High Freight","Low Freight"),"Not Specified")</f>
        <v>Low Freight</v>
      </c>
      <c r="T1254">
        <f t="shared" si="39"/>
        <v>625</v>
      </c>
    </row>
    <row r="1255" spans="1:20">
      <c r="A1255" s="1">
        <v>10722</v>
      </c>
      <c r="B1255" s="2">
        <v>68</v>
      </c>
      <c r="C1255" s="2">
        <v>12.5</v>
      </c>
      <c r="D1255" s="2">
        <v>45</v>
      </c>
      <c r="E1255" s="3">
        <v>0</v>
      </c>
      <c r="F1255" s="2" t="str">
        <f>IFERROR(VLOOKUP(VLOOKUP(A1255,'[1]Sales Order'!A:B,2,FALSE),[1]Customer!A:C,3,FALSE),"Not Specified")</f>
        <v>Navarro, Tomás</v>
      </c>
      <c r="G1255" s="2" t="str">
        <f t="shared" si="38"/>
        <v>Navarro Tomás</v>
      </c>
      <c r="H1255" s="8" t="str">
        <f>IFERROR(VLOOKUP(VLOOKUP(A1255,'[1]Sales Order'!A:C,3,FALSE),[1]Employee!A:E,5,FALSE)&amp;" "&amp;VLOOKUP(VLOOKUP(A1255,'[1]Sales Order'!A:C,3,FALSE),[1]Employee!A:C,3,FALSE)&amp;" "&amp;VLOOKUP(VLOOKUP(A1255,'[1]Sales Order'!A:C,3,FALSE),[1]Employee!A:B,2,FALSE),"Not Specified")</f>
        <v>Ms. Maria Cameron</v>
      </c>
      <c r="I1255" t="str">
        <f>IFERROR(VLOOKUP(VLOOKUP(A1255,'[1]Sales Order'!A:C,3,FALSE),[1]Employee!A:J,10,FALSE),"Not Specified")</f>
        <v>WA</v>
      </c>
      <c r="J1255" t="str">
        <f>VLOOKUP(B1255,[1]Product!A:B,2,FALSE)</f>
        <v>Product TBTBL</v>
      </c>
      <c r="K1255" t="str">
        <f>VLOOKUP(VLOOKUP(B1255,[1]Product!A:D,4,FALSE),[1]Category!A:B,2,FALSE)</f>
        <v>Confections</v>
      </c>
      <c r="L1255" s="10">
        <f>IFERROR(VLOOKUP(A1255,'[1]Sales Order'!A:D,4,FALSE),"")</f>
        <v>39384</v>
      </c>
      <c r="M1255" s="10">
        <f>IFERROR(VLOOKUP(A1255,'[1]Sales Order'!A:F,6,FALSE),"")</f>
        <v>39390</v>
      </c>
      <c r="N1255" t="str">
        <f>IFERROR(VLOOKUP(VLOOKUP(A1255,'[1]Sales Order'!A:G,7,FALSE),[1]Shipper!A:B,2,FALSE),"Not Specified")</f>
        <v>Shipper GVSUA</v>
      </c>
      <c r="O1255" t="str">
        <f>IFERROR(VLOOKUP(A1255,'[1]Sales Order'!A:I,9,FALSE),"Not Specified")</f>
        <v>Ship to 71-A</v>
      </c>
      <c r="P1255" t="str">
        <f>IFERROR(VLOOKUP(A1255,'[1]Sales Order'!A:N,14,FALSE),"Not Specified")</f>
        <v>USA</v>
      </c>
      <c r="Q1255" t="str">
        <f>VLOOKUP(VLOOKUP(B1255,[1]Product!A:C,3,FALSE),[1]Supplier!A:B,2,FALSE)</f>
        <v>Supplier BWGYE</v>
      </c>
      <c r="R1255" t="str">
        <f>VLOOKUP(VLOOKUP(B1255,[1]Product!A:C,3,FALSE),[1]Supplier!A:I,9,FALSE)</f>
        <v>UK</v>
      </c>
      <c r="S1255" t="str">
        <f>IFERROR(IF(VLOOKUP(A1255,'[1]Sales Order'!A:H,8,FALSE)&gt;100,"High Freight","Low Freight"),"Not Specified")</f>
        <v>Low Freight</v>
      </c>
      <c r="T1255">
        <f t="shared" si="39"/>
        <v>562.5</v>
      </c>
    </row>
    <row r="1256" spans="1:20">
      <c r="A1256" s="1">
        <v>10722</v>
      </c>
      <c r="B1256" s="2">
        <v>75</v>
      </c>
      <c r="C1256" s="2">
        <v>7.75</v>
      </c>
      <c r="D1256" s="2">
        <v>42</v>
      </c>
      <c r="E1256" s="3">
        <v>0</v>
      </c>
      <c r="F1256" s="2" t="str">
        <f>IFERROR(VLOOKUP(VLOOKUP(A1256,'[1]Sales Order'!A:B,2,FALSE),[1]Customer!A:C,3,FALSE),"Not Specified")</f>
        <v>Navarro, Tomás</v>
      </c>
      <c r="G1256" s="2" t="str">
        <f t="shared" si="38"/>
        <v>Navarro Tomás</v>
      </c>
      <c r="H1256" s="8" t="str">
        <f>IFERROR(VLOOKUP(VLOOKUP(A1256,'[1]Sales Order'!A:C,3,FALSE),[1]Employee!A:E,5,FALSE)&amp;" "&amp;VLOOKUP(VLOOKUP(A1256,'[1]Sales Order'!A:C,3,FALSE),[1]Employee!A:C,3,FALSE)&amp;" "&amp;VLOOKUP(VLOOKUP(A1256,'[1]Sales Order'!A:C,3,FALSE),[1]Employee!A:B,2,FALSE),"Not Specified")</f>
        <v>Ms. Maria Cameron</v>
      </c>
      <c r="I1256" t="str">
        <f>IFERROR(VLOOKUP(VLOOKUP(A1256,'[1]Sales Order'!A:C,3,FALSE),[1]Employee!A:J,10,FALSE),"Not Specified")</f>
        <v>WA</v>
      </c>
      <c r="J1256" t="str">
        <f>VLOOKUP(B1256,[1]Product!A:B,2,FALSE)</f>
        <v>Product BWRLG</v>
      </c>
      <c r="K1256" t="str">
        <f>VLOOKUP(VLOOKUP(B1256,[1]Product!A:D,4,FALSE),[1]Category!A:B,2,FALSE)</f>
        <v>Beverages</v>
      </c>
      <c r="L1256" s="10">
        <f>IFERROR(VLOOKUP(A1256,'[1]Sales Order'!A:D,4,FALSE),"")</f>
        <v>39384</v>
      </c>
      <c r="M1256" s="10">
        <f>IFERROR(VLOOKUP(A1256,'[1]Sales Order'!A:F,6,FALSE),"")</f>
        <v>39390</v>
      </c>
      <c r="N1256" t="str">
        <f>IFERROR(VLOOKUP(VLOOKUP(A1256,'[1]Sales Order'!A:G,7,FALSE),[1]Shipper!A:B,2,FALSE),"Not Specified")</f>
        <v>Shipper GVSUA</v>
      </c>
      <c r="O1256" t="str">
        <f>IFERROR(VLOOKUP(A1256,'[1]Sales Order'!A:I,9,FALSE),"Not Specified")</f>
        <v>Ship to 71-A</v>
      </c>
      <c r="P1256" t="str">
        <f>IFERROR(VLOOKUP(A1256,'[1]Sales Order'!A:N,14,FALSE),"Not Specified")</f>
        <v>USA</v>
      </c>
      <c r="Q1256" t="str">
        <f>VLOOKUP(VLOOKUP(B1256,[1]Product!A:C,3,FALSE),[1]Supplier!A:B,2,FALSE)</f>
        <v>Supplier SVIYA</v>
      </c>
      <c r="R1256" t="str">
        <f>VLOOKUP(VLOOKUP(B1256,[1]Product!A:C,3,FALSE),[1]Supplier!A:I,9,FALSE)</f>
        <v>Germany</v>
      </c>
      <c r="S1256" t="str">
        <f>IFERROR(IF(VLOOKUP(A1256,'[1]Sales Order'!A:H,8,FALSE)&gt;100,"High Freight","Low Freight"),"Not Specified")</f>
        <v>Low Freight</v>
      </c>
      <c r="T1256">
        <f t="shared" si="39"/>
        <v>325.5</v>
      </c>
    </row>
    <row r="1257" spans="1:20">
      <c r="A1257" s="1">
        <v>10723</v>
      </c>
      <c r="B1257" s="2">
        <v>26</v>
      </c>
      <c r="C1257" s="2">
        <v>31.23</v>
      </c>
      <c r="D1257" s="2">
        <v>15</v>
      </c>
      <c r="E1257" s="3">
        <v>0</v>
      </c>
      <c r="F1257" s="2" t="str">
        <f>IFERROR(VLOOKUP(VLOOKUP(A1257,'[1]Sales Order'!A:B,2,FALSE),[1]Customer!A:C,3,FALSE),"Not Specified")</f>
        <v>Smith Jr., Ronaldo</v>
      </c>
      <c r="G1257" s="2" t="str">
        <f t="shared" si="38"/>
        <v>Smith Jr. Ronaldo</v>
      </c>
      <c r="H1257" s="8" t="str">
        <f>IFERROR(VLOOKUP(VLOOKUP(A1257,'[1]Sales Order'!A:C,3,FALSE),[1]Employee!A:E,5,FALSE)&amp;" "&amp;VLOOKUP(VLOOKUP(A1257,'[1]Sales Order'!A:C,3,FALSE),[1]Employee!A:C,3,FALSE)&amp;" "&amp;VLOOKUP(VLOOKUP(A1257,'[1]Sales Order'!A:C,3,FALSE),[1]Employee!A:B,2,FALSE),"Not Specified")</f>
        <v>Ms. Judy Lew</v>
      </c>
      <c r="I1257" t="str">
        <f>IFERROR(VLOOKUP(VLOOKUP(A1257,'[1]Sales Order'!A:C,3,FALSE),[1]Employee!A:J,10,FALSE),"Not Specified")</f>
        <v>WA</v>
      </c>
      <c r="J1257" t="str">
        <f>VLOOKUP(B1257,[1]Product!A:B,2,FALSE)</f>
        <v>Product HLGZA</v>
      </c>
      <c r="K1257" t="str">
        <f>VLOOKUP(VLOOKUP(B1257,[1]Product!A:D,4,FALSE),[1]Category!A:B,2,FALSE)</f>
        <v>Confections</v>
      </c>
      <c r="L1257" s="10">
        <f>IFERROR(VLOOKUP(A1257,'[1]Sales Order'!A:D,4,FALSE),"")</f>
        <v>39385</v>
      </c>
      <c r="M1257" s="10">
        <f>IFERROR(VLOOKUP(A1257,'[1]Sales Order'!A:F,6,FALSE),"")</f>
        <v>39411</v>
      </c>
      <c r="N1257" t="str">
        <f>IFERROR(VLOOKUP(VLOOKUP(A1257,'[1]Sales Order'!A:G,7,FALSE),[1]Shipper!A:B,2,FALSE),"Not Specified")</f>
        <v>Shipper GVSUA</v>
      </c>
      <c r="O1257" t="str">
        <f>IFERROR(VLOOKUP(A1257,'[1]Sales Order'!A:I,9,FALSE),"Not Specified")</f>
        <v>Ship to 89-C</v>
      </c>
      <c r="P1257" t="str">
        <f>IFERROR(VLOOKUP(A1257,'[1]Sales Order'!A:N,14,FALSE),"Not Specified")</f>
        <v>USA</v>
      </c>
      <c r="Q1257" t="str">
        <f>VLOOKUP(VLOOKUP(B1257,[1]Product!A:C,3,FALSE),[1]Supplier!A:B,2,FALSE)</f>
        <v>Supplier ZPYVS</v>
      </c>
      <c r="R1257" t="str">
        <f>VLOOKUP(VLOOKUP(B1257,[1]Product!A:C,3,FALSE),[1]Supplier!A:I,9,FALSE)</f>
        <v>Germany</v>
      </c>
      <c r="S1257" t="str">
        <f>IFERROR(IF(VLOOKUP(A1257,'[1]Sales Order'!A:H,8,FALSE)&gt;100,"High Freight","Low Freight"),"Not Specified")</f>
        <v>Low Freight</v>
      </c>
      <c r="T1257">
        <f t="shared" si="39"/>
        <v>468.45</v>
      </c>
    </row>
    <row r="1258" spans="1:20">
      <c r="A1258" s="1">
        <v>10724</v>
      </c>
      <c r="B1258" s="2">
        <v>10</v>
      </c>
      <c r="C1258" s="2">
        <v>31</v>
      </c>
      <c r="D1258" s="2">
        <v>16</v>
      </c>
      <c r="E1258" s="3">
        <v>0</v>
      </c>
      <c r="F1258" s="2" t="str">
        <f>IFERROR(VLOOKUP(VLOOKUP(A1258,'[1]Sales Order'!A:B,2,FALSE),[1]Customer!A:C,3,FALSE),"Not Specified")</f>
        <v>Taylor, Maurice</v>
      </c>
      <c r="G1258" s="2" t="str">
        <f t="shared" si="38"/>
        <v>Taylor Maurice</v>
      </c>
      <c r="H1258" s="8" t="str">
        <f>IFERROR(VLOOKUP(VLOOKUP(A1258,'[1]Sales Order'!A:C,3,FALSE),[1]Employee!A:E,5,FALSE)&amp;" "&amp;VLOOKUP(VLOOKUP(A1258,'[1]Sales Order'!A:C,3,FALSE),[1]Employee!A:C,3,FALSE)&amp;" "&amp;VLOOKUP(VLOOKUP(A1258,'[1]Sales Order'!A:C,3,FALSE),[1]Employee!A:B,2,FALSE),"Not Specified")</f>
        <v>Ms. Maria Cameron</v>
      </c>
      <c r="I1258" t="str">
        <f>IFERROR(VLOOKUP(VLOOKUP(A1258,'[1]Sales Order'!A:C,3,FALSE),[1]Employee!A:J,10,FALSE),"Not Specified")</f>
        <v>WA</v>
      </c>
      <c r="J1258" t="str">
        <f>VLOOKUP(B1258,[1]Product!A:B,2,FALSE)</f>
        <v>Product YHXGE</v>
      </c>
      <c r="K1258" t="str">
        <f>VLOOKUP(VLOOKUP(B1258,[1]Product!A:D,4,FALSE),[1]Category!A:B,2,FALSE)</f>
        <v>Seafood</v>
      </c>
      <c r="L1258" s="10">
        <f>IFERROR(VLOOKUP(A1258,'[1]Sales Order'!A:D,4,FALSE),"")</f>
        <v>39385</v>
      </c>
      <c r="M1258" s="10">
        <f>IFERROR(VLOOKUP(A1258,'[1]Sales Order'!A:F,6,FALSE),"")</f>
        <v>39391</v>
      </c>
      <c r="N1258" t="str">
        <f>IFERROR(VLOOKUP(VLOOKUP(A1258,'[1]Sales Order'!A:G,7,FALSE),[1]Shipper!A:B,2,FALSE),"Not Specified")</f>
        <v>Shipper ETYNR</v>
      </c>
      <c r="O1258" t="str">
        <f>IFERROR(VLOOKUP(A1258,'[1]Sales Order'!A:I,9,FALSE),"Not Specified")</f>
        <v>Ship to 51-A</v>
      </c>
      <c r="P1258" t="str">
        <f>IFERROR(VLOOKUP(A1258,'[1]Sales Order'!A:N,14,FALSE),"Not Specified")</f>
        <v>Canada</v>
      </c>
      <c r="Q1258" t="str">
        <f>VLOOKUP(VLOOKUP(B1258,[1]Product!A:C,3,FALSE),[1]Supplier!A:B,2,FALSE)</f>
        <v>Supplier QOVFD</v>
      </c>
      <c r="R1258" t="str">
        <f>VLOOKUP(VLOOKUP(B1258,[1]Product!A:C,3,FALSE),[1]Supplier!A:I,9,FALSE)</f>
        <v>Japan</v>
      </c>
      <c r="S1258" t="str">
        <f>IFERROR(IF(VLOOKUP(A1258,'[1]Sales Order'!A:H,8,FALSE)&gt;100,"High Freight","Low Freight"),"Not Specified")</f>
        <v>Low Freight</v>
      </c>
      <c r="T1258">
        <f t="shared" si="39"/>
        <v>496</v>
      </c>
    </row>
    <row r="1259" spans="1:20">
      <c r="A1259" s="1">
        <v>10724</v>
      </c>
      <c r="B1259" s="2">
        <v>61</v>
      </c>
      <c r="C1259" s="2">
        <v>28.5</v>
      </c>
      <c r="D1259" s="2">
        <v>5</v>
      </c>
      <c r="E1259" s="3">
        <v>0</v>
      </c>
      <c r="F1259" s="2" t="str">
        <f>IFERROR(VLOOKUP(VLOOKUP(A1259,'[1]Sales Order'!A:B,2,FALSE),[1]Customer!A:C,3,FALSE),"Not Specified")</f>
        <v>Taylor, Maurice</v>
      </c>
      <c r="G1259" s="2" t="str">
        <f t="shared" si="38"/>
        <v>Taylor Maurice</v>
      </c>
      <c r="H1259" s="8" t="str">
        <f>IFERROR(VLOOKUP(VLOOKUP(A1259,'[1]Sales Order'!A:C,3,FALSE),[1]Employee!A:E,5,FALSE)&amp;" "&amp;VLOOKUP(VLOOKUP(A1259,'[1]Sales Order'!A:C,3,FALSE),[1]Employee!A:C,3,FALSE)&amp;" "&amp;VLOOKUP(VLOOKUP(A1259,'[1]Sales Order'!A:C,3,FALSE),[1]Employee!A:B,2,FALSE),"Not Specified")</f>
        <v>Ms. Maria Cameron</v>
      </c>
      <c r="I1259" t="str">
        <f>IFERROR(VLOOKUP(VLOOKUP(A1259,'[1]Sales Order'!A:C,3,FALSE),[1]Employee!A:J,10,FALSE),"Not Specified")</f>
        <v>WA</v>
      </c>
      <c r="J1259" t="str">
        <f>VLOOKUP(B1259,[1]Product!A:B,2,FALSE)</f>
        <v>Product XYZPE</v>
      </c>
      <c r="K1259" t="str">
        <f>VLOOKUP(VLOOKUP(B1259,[1]Product!A:D,4,FALSE),[1]Category!A:B,2,FALSE)</f>
        <v>Condiments</v>
      </c>
      <c r="L1259" s="10">
        <f>IFERROR(VLOOKUP(A1259,'[1]Sales Order'!A:D,4,FALSE),"")</f>
        <v>39385</v>
      </c>
      <c r="M1259" s="10">
        <f>IFERROR(VLOOKUP(A1259,'[1]Sales Order'!A:F,6,FALSE),"")</f>
        <v>39391</v>
      </c>
      <c r="N1259" t="str">
        <f>IFERROR(VLOOKUP(VLOOKUP(A1259,'[1]Sales Order'!A:G,7,FALSE),[1]Shipper!A:B,2,FALSE),"Not Specified")</f>
        <v>Shipper ETYNR</v>
      </c>
      <c r="O1259" t="str">
        <f>IFERROR(VLOOKUP(A1259,'[1]Sales Order'!A:I,9,FALSE),"Not Specified")</f>
        <v>Ship to 51-A</v>
      </c>
      <c r="P1259" t="str">
        <f>IFERROR(VLOOKUP(A1259,'[1]Sales Order'!A:N,14,FALSE),"Not Specified")</f>
        <v>Canada</v>
      </c>
      <c r="Q1259" t="str">
        <f>VLOOKUP(VLOOKUP(B1259,[1]Product!A:C,3,FALSE),[1]Supplier!A:B,2,FALSE)</f>
        <v>Supplier OGLRK</v>
      </c>
      <c r="R1259" t="str">
        <f>VLOOKUP(VLOOKUP(B1259,[1]Product!A:C,3,FALSE),[1]Supplier!A:I,9,FALSE)</f>
        <v>Canada</v>
      </c>
      <c r="S1259" t="str">
        <f>IFERROR(IF(VLOOKUP(A1259,'[1]Sales Order'!A:H,8,FALSE)&gt;100,"High Freight","Low Freight"),"Not Specified")</f>
        <v>Low Freight</v>
      </c>
      <c r="T1259">
        <f t="shared" si="39"/>
        <v>142.5</v>
      </c>
    </row>
    <row r="1260" spans="1:20">
      <c r="A1260" s="1">
        <v>10725</v>
      </c>
      <c r="B1260" s="2">
        <v>41</v>
      </c>
      <c r="C1260" s="2">
        <v>9.65</v>
      </c>
      <c r="D1260" s="2">
        <v>12</v>
      </c>
      <c r="E1260" s="3">
        <v>0</v>
      </c>
      <c r="F1260" s="2" t="str">
        <f>IFERROR(VLOOKUP(VLOOKUP(A1260,'[1]Sales Order'!A:B,2,FALSE),[1]Customer!A:C,3,FALSE),"Not Specified")</f>
        <v>Russo, Giuseppe</v>
      </c>
      <c r="G1260" s="2" t="str">
        <f t="shared" si="38"/>
        <v>Russo Giuseppe</v>
      </c>
      <c r="H1260" s="8" t="str">
        <f>IFERROR(VLOOKUP(VLOOKUP(A1260,'[1]Sales Order'!A:C,3,FALSE),[1]Employee!A:E,5,FALSE)&amp;" "&amp;VLOOKUP(VLOOKUP(A1260,'[1]Sales Order'!A:C,3,FALSE),[1]Employee!A:C,3,FALSE)&amp;" "&amp;VLOOKUP(VLOOKUP(A1260,'[1]Sales Order'!A:C,3,FALSE),[1]Employee!A:B,2,FALSE),"Not Specified")</f>
        <v>Mrs. Yael Peled</v>
      </c>
      <c r="I1260" t="str">
        <f>IFERROR(VLOOKUP(VLOOKUP(A1260,'[1]Sales Order'!A:C,3,FALSE),[1]Employee!A:J,10,FALSE),"Not Specified")</f>
        <v>WA</v>
      </c>
      <c r="J1260" t="str">
        <f>VLOOKUP(B1260,[1]Product!A:B,2,FALSE)</f>
        <v>Product TTEEX</v>
      </c>
      <c r="K1260" t="str">
        <f>VLOOKUP(VLOOKUP(B1260,[1]Product!A:D,4,FALSE),[1]Category!A:B,2,FALSE)</f>
        <v>Seafood</v>
      </c>
      <c r="L1260" s="10">
        <f>IFERROR(VLOOKUP(A1260,'[1]Sales Order'!A:D,4,FALSE),"")</f>
        <v>39386</v>
      </c>
      <c r="M1260" s="10">
        <f>IFERROR(VLOOKUP(A1260,'[1]Sales Order'!A:F,6,FALSE),"")</f>
        <v>39391</v>
      </c>
      <c r="N1260" t="str">
        <f>IFERROR(VLOOKUP(VLOOKUP(A1260,'[1]Sales Order'!A:G,7,FALSE),[1]Shipper!A:B,2,FALSE),"Not Specified")</f>
        <v>Shipper ZHISN</v>
      </c>
      <c r="O1260" t="str">
        <f>IFERROR(VLOOKUP(A1260,'[1]Sales Order'!A:I,9,FALSE),"Not Specified")</f>
        <v>Destination KKELL</v>
      </c>
      <c r="P1260" t="str">
        <f>IFERROR(VLOOKUP(A1260,'[1]Sales Order'!A:N,14,FALSE),"Not Specified")</f>
        <v>Brazil</v>
      </c>
      <c r="Q1260" t="str">
        <f>VLOOKUP(VLOOKUP(B1260,[1]Product!A:C,3,FALSE),[1]Supplier!A:B,2,FALSE)</f>
        <v>Supplier JDNUG</v>
      </c>
      <c r="R1260" t="str">
        <f>VLOOKUP(VLOOKUP(B1260,[1]Product!A:C,3,FALSE),[1]Supplier!A:I,9,FALSE)</f>
        <v>USA</v>
      </c>
      <c r="S1260" t="str">
        <f>IFERROR(IF(VLOOKUP(A1260,'[1]Sales Order'!A:H,8,FALSE)&gt;100,"High Freight","Low Freight"),"Not Specified")</f>
        <v>Low Freight</v>
      </c>
      <c r="T1260">
        <f t="shared" si="39"/>
        <v>115.80000000000001</v>
      </c>
    </row>
    <row r="1261" spans="1:20">
      <c r="A1261" s="1">
        <v>10725</v>
      </c>
      <c r="B1261" s="2">
        <v>52</v>
      </c>
      <c r="C1261" s="2">
        <v>7</v>
      </c>
      <c r="D1261" s="2">
        <v>4</v>
      </c>
      <c r="E1261" s="3">
        <v>0</v>
      </c>
      <c r="F1261" s="2" t="str">
        <f>IFERROR(VLOOKUP(VLOOKUP(A1261,'[1]Sales Order'!A:B,2,FALSE),[1]Customer!A:C,3,FALSE),"Not Specified")</f>
        <v>Russo, Giuseppe</v>
      </c>
      <c r="G1261" s="2" t="str">
        <f t="shared" si="38"/>
        <v>Russo Giuseppe</v>
      </c>
      <c r="H1261" s="8" t="str">
        <f>IFERROR(VLOOKUP(VLOOKUP(A1261,'[1]Sales Order'!A:C,3,FALSE),[1]Employee!A:E,5,FALSE)&amp;" "&amp;VLOOKUP(VLOOKUP(A1261,'[1]Sales Order'!A:C,3,FALSE),[1]Employee!A:C,3,FALSE)&amp;" "&amp;VLOOKUP(VLOOKUP(A1261,'[1]Sales Order'!A:C,3,FALSE),[1]Employee!A:B,2,FALSE),"Not Specified")</f>
        <v>Mrs. Yael Peled</v>
      </c>
      <c r="I1261" t="str">
        <f>IFERROR(VLOOKUP(VLOOKUP(A1261,'[1]Sales Order'!A:C,3,FALSE),[1]Employee!A:J,10,FALSE),"Not Specified")</f>
        <v>WA</v>
      </c>
      <c r="J1261" t="str">
        <f>VLOOKUP(B1261,[1]Product!A:B,2,FALSE)</f>
        <v>Product QSRXF</v>
      </c>
      <c r="K1261" t="str">
        <f>VLOOKUP(VLOOKUP(B1261,[1]Product!A:D,4,FALSE),[1]Category!A:B,2,FALSE)</f>
        <v>Grains/Cereals</v>
      </c>
      <c r="L1261" s="10">
        <f>IFERROR(VLOOKUP(A1261,'[1]Sales Order'!A:D,4,FALSE),"")</f>
        <v>39386</v>
      </c>
      <c r="M1261" s="10">
        <f>IFERROR(VLOOKUP(A1261,'[1]Sales Order'!A:F,6,FALSE),"")</f>
        <v>39391</v>
      </c>
      <c r="N1261" t="str">
        <f>IFERROR(VLOOKUP(VLOOKUP(A1261,'[1]Sales Order'!A:G,7,FALSE),[1]Shipper!A:B,2,FALSE),"Not Specified")</f>
        <v>Shipper ZHISN</v>
      </c>
      <c r="O1261" t="str">
        <f>IFERROR(VLOOKUP(A1261,'[1]Sales Order'!A:I,9,FALSE),"Not Specified")</f>
        <v>Destination KKELL</v>
      </c>
      <c r="P1261" t="str">
        <f>IFERROR(VLOOKUP(A1261,'[1]Sales Order'!A:N,14,FALSE),"Not Specified")</f>
        <v>Brazil</v>
      </c>
      <c r="Q1261" t="str">
        <f>VLOOKUP(VLOOKUP(B1261,[1]Product!A:C,3,FALSE),[1]Supplier!A:B,2,FALSE)</f>
        <v>Supplier JNNES</v>
      </c>
      <c r="R1261" t="str">
        <f>VLOOKUP(VLOOKUP(B1261,[1]Product!A:C,3,FALSE),[1]Supplier!A:I,9,FALSE)</f>
        <v>Australia</v>
      </c>
      <c r="S1261" t="str">
        <f>IFERROR(IF(VLOOKUP(A1261,'[1]Sales Order'!A:H,8,FALSE)&gt;100,"High Freight","Low Freight"),"Not Specified")</f>
        <v>Low Freight</v>
      </c>
      <c r="T1261">
        <f t="shared" si="39"/>
        <v>28</v>
      </c>
    </row>
    <row r="1262" spans="1:20">
      <c r="A1262" s="1">
        <v>10725</v>
      </c>
      <c r="B1262" s="2">
        <v>55</v>
      </c>
      <c r="C1262" s="2">
        <v>24</v>
      </c>
      <c r="D1262" s="2">
        <v>6</v>
      </c>
      <c r="E1262" s="3">
        <v>0</v>
      </c>
      <c r="F1262" s="2" t="str">
        <f>IFERROR(VLOOKUP(VLOOKUP(A1262,'[1]Sales Order'!A:B,2,FALSE),[1]Customer!A:C,3,FALSE),"Not Specified")</f>
        <v>Russo, Giuseppe</v>
      </c>
      <c r="G1262" s="2" t="str">
        <f t="shared" si="38"/>
        <v>Russo Giuseppe</v>
      </c>
      <c r="H1262" s="8" t="str">
        <f>IFERROR(VLOOKUP(VLOOKUP(A1262,'[1]Sales Order'!A:C,3,FALSE),[1]Employee!A:E,5,FALSE)&amp;" "&amp;VLOOKUP(VLOOKUP(A1262,'[1]Sales Order'!A:C,3,FALSE),[1]Employee!A:C,3,FALSE)&amp;" "&amp;VLOOKUP(VLOOKUP(A1262,'[1]Sales Order'!A:C,3,FALSE),[1]Employee!A:B,2,FALSE),"Not Specified")</f>
        <v>Mrs. Yael Peled</v>
      </c>
      <c r="I1262" t="str">
        <f>IFERROR(VLOOKUP(VLOOKUP(A1262,'[1]Sales Order'!A:C,3,FALSE),[1]Employee!A:J,10,FALSE),"Not Specified")</f>
        <v>WA</v>
      </c>
      <c r="J1262" t="str">
        <f>VLOOKUP(B1262,[1]Product!A:B,2,FALSE)</f>
        <v>Product YYWRT</v>
      </c>
      <c r="K1262" t="str">
        <f>VLOOKUP(VLOOKUP(B1262,[1]Product!A:D,4,FALSE),[1]Category!A:B,2,FALSE)</f>
        <v>Meat/Poultry</v>
      </c>
      <c r="L1262" s="10">
        <f>IFERROR(VLOOKUP(A1262,'[1]Sales Order'!A:D,4,FALSE),"")</f>
        <v>39386</v>
      </c>
      <c r="M1262" s="10">
        <f>IFERROR(VLOOKUP(A1262,'[1]Sales Order'!A:F,6,FALSE),"")</f>
        <v>39391</v>
      </c>
      <c r="N1262" t="str">
        <f>IFERROR(VLOOKUP(VLOOKUP(A1262,'[1]Sales Order'!A:G,7,FALSE),[1]Shipper!A:B,2,FALSE),"Not Specified")</f>
        <v>Shipper ZHISN</v>
      </c>
      <c r="O1262" t="str">
        <f>IFERROR(VLOOKUP(A1262,'[1]Sales Order'!A:I,9,FALSE),"Not Specified")</f>
        <v>Destination KKELL</v>
      </c>
      <c r="P1262" t="str">
        <f>IFERROR(VLOOKUP(A1262,'[1]Sales Order'!A:N,14,FALSE),"Not Specified")</f>
        <v>Brazil</v>
      </c>
      <c r="Q1262" t="str">
        <f>VLOOKUP(VLOOKUP(B1262,[1]Product!A:C,3,FALSE),[1]Supplier!A:B,2,FALSE)</f>
        <v>Supplier ERVYZ</v>
      </c>
      <c r="R1262" t="str">
        <f>VLOOKUP(VLOOKUP(B1262,[1]Product!A:C,3,FALSE),[1]Supplier!A:I,9,FALSE)</f>
        <v>Canada</v>
      </c>
      <c r="S1262" t="str">
        <f>IFERROR(IF(VLOOKUP(A1262,'[1]Sales Order'!A:H,8,FALSE)&gt;100,"High Freight","Low Freight"),"Not Specified")</f>
        <v>Low Freight</v>
      </c>
      <c r="T1262">
        <f t="shared" si="39"/>
        <v>144</v>
      </c>
    </row>
    <row r="1263" spans="1:20">
      <c r="A1263" s="1">
        <v>10726</v>
      </c>
      <c r="B1263" s="2">
        <v>4</v>
      </c>
      <c r="C1263" s="2">
        <v>22</v>
      </c>
      <c r="D1263" s="2">
        <v>25</v>
      </c>
      <c r="E1263" s="3">
        <v>0</v>
      </c>
      <c r="F1263" s="2" t="str">
        <f>IFERROR(VLOOKUP(VLOOKUP(A1263,'[1]Sales Order'!A:B,2,FALSE),[1]Customer!A:C,3,FALSE),"Not Specified")</f>
        <v>Boseman, Randall</v>
      </c>
      <c r="G1263" s="2" t="str">
        <f t="shared" si="38"/>
        <v>Boseman Randall</v>
      </c>
      <c r="H1263" s="8" t="str">
        <f>IFERROR(VLOOKUP(VLOOKUP(A1263,'[1]Sales Order'!A:C,3,FALSE),[1]Employee!A:E,5,FALSE)&amp;" "&amp;VLOOKUP(VLOOKUP(A1263,'[1]Sales Order'!A:C,3,FALSE),[1]Employee!A:C,3,FALSE)&amp;" "&amp;VLOOKUP(VLOOKUP(A1263,'[1]Sales Order'!A:C,3,FALSE),[1]Employee!A:B,2,FALSE),"Not Specified")</f>
        <v>Mrs. Yael Peled</v>
      </c>
      <c r="I1263" t="str">
        <f>IFERROR(VLOOKUP(VLOOKUP(A1263,'[1]Sales Order'!A:C,3,FALSE),[1]Employee!A:J,10,FALSE),"Not Specified")</f>
        <v>WA</v>
      </c>
      <c r="J1263" t="str">
        <f>VLOOKUP(B1263,[1]Product!A:B,2,FALSE)</f>
        <v>Product KSBRM</v>
      </c>
      <c r="K1263" t="str">
        <f>VLOOKUP(VLOOKUP(B1263,[1]Product!A:D,4,FALSE),[1]Category!A:B,2,FALSE)</f>
        <v>Condiments</v>
      </c>
      <c r="L1263" s="10">
        <f>IFERROR(VLOOKUP(A1263,'[1]Sales Order'!A:D,4,FALSE),"")</f>
        <v>39389</v>
      </c>
      <c r="M1263" s="10">
        <f>IFERROR(VLOOKUP(A1263,'[1]Sales Order'!A:F,6,FALSE),"")</f>
        <v>39421</v>
      </c>
      <c r="N1263" t="str">
        <f>IFERROR(VLOOKUP(VLOOKUP(A1263,'[1]Sales Order'!A:G,7,FALSE),[1]Shipper!A:B,2,FALSE),"Not Specified")</f>
        <v>Shipper GVSUA</v>
      </c>
      <c r="O1263" t="str">
        <f>IFERROR(VLOOKUP(A1263,'[1]Sales Order'!A:I,9,FALSE),"Not Specified")</f>
        <v>Destination FRCGJ</v>
      </c>
      <c r="P1263" t="str">
        <f>IFERROR(VLOOKUP(A1263,'[1]Sales Order'!A:N,14,FALSE),"Not Specified")</f>
        <v>UK</v>
      </c>
      <c r="Q1263" t="str">
        <f>VLOOKUP(VLOOKUP(B1263,[1]Product!A:C,3,FALSE),[1]Supplier!A:B,2,FALSE)</f>
        <v>Supplier VHQZD</v>
      </c>
      <c r="R1263" t="str">
        <f>VLOOKUP(VLOOKUP(B1263,[1]Product!A:C,3,FALSE),[1]Supplier!A:I,9,FALSE)</f>
        <v>USA</v>
      </c>
      <c r="S1263" t="str">
        <f>IFERROR(IF(VLOOKUP(A1263,'[1]Sales Order'!A:H,8,FALSE)&gt;100,"High Freight","Low Freight"),"Not Specified")</f>
        <v>Low Freight</v>
      </c>
      <c r="T1263">
        <f t="shared" si="39"/>
        <v>550</v>
      </c>
    </row>
    <row r="1264" spans="1:20">
      <c r="A1264" s="1">
        <v>10726</v>
      </c>
      <c r="B1264" s="2">
        <v>11</v>
      </c>
      <c r="C1264" s="2">
        <v>21</v>
      </c>
      <c r="D1264" s="2">
        <v>5</v>
      </c>
      <c r="E1264" s="3">
        <v>0</v>
      </c>
      <c r="F1264" s="2" t="str">
        <f>IFERROR(VLOOKUP(VLOOKUP(A1264,'[1]Sales Order'!A:B,2,FALSE),[1]Customer!A:C,3,FALSE),"Not Specified")</f>
        <v>Boseman, Randall</v>
      </c>
      <c r="G1264" s="2" t="str">
        <f t="shared" si="38"/>
        <v>Boseman Randall</v>
      </c>
      <c r="H1264" s="8" t="str">
        <f>IFERROR(VLOOKUP(VLOOKUP(A1264,'[1]Sales Order'!A:C,3,FALSE),[1]Employee!A:E,5,FALSE)&amp;" "&amp;VLOOKUP(VLOOKUP(A1264,'[1]Sales Order'!A:C,3,FALSE),[1]Employee!A:C,3,FALSE)&amp;" "&amp;VLOOKUP(VLOOKUP(A1264,'[1]Sales Order'!A:C,3,FALSE),[1]Employee!A:B,2,FALSE),"Not Specified")</f>
        <v>Mrs. Yael Peled</v>
      </c>
      <c r="I1264" t="str">
        <f>IFERROR(VLOOKUP(VLOOKUP(A1264,'[1]Sales Order'!A:C,3,FALSE),[1]Employee!A:J,10,FALSE),"Not Specified")</f>
        <v>WA</v>
      </c>
      <c r="J1264" t="str">
        <f>VLOOKUP(B1264,[1]Product!A:B,2,FALSE)</f>
        <v>Product QMVUN</v>
      </c>
      <c r="K1264" t="str">
        <f>VLOOKUP(VLOOKUP(B1264,[1]Product!A:D,4,FALSE),[1]Category!A:B,2,FALSE)</f>
        <v>Dairy Product</v>
      </c>
      <c r="L1264" s="10">
        <f>IFERROR(VLOOKUP(A1264,'[1]Sales Order'!A:D,4,FALSE),"")</f>
        <v>39389</v>
      </c>
      <c r="M1264" s="10">
        <f>IFERROR(VLOOKUP(A1264,'[1]Sales Order'!A:F,6,FALSE),"")</f>
        <v>39421</v>
      </c>
      <c r="N1264" t="str">
        <f>IFERROR(VLOOKUP(VLOOKUP(A1264,'[1]Sales Order'!A:G,7,FALSE),[1]Shipper!A:B,2,FALSE),"Not Specified")</f>
        <v>Shipper GVSUA</v>
      </c>
      <c r="O1264" t="str">
        <f>IFERROR(VLOOKUP(A1264,'[1]Sales Order'!A:I,9,FALSE),"Not Specified")</f>
        <v>Destination FRCGJ</v>
      </c>
      <c r="P1264" t="str">
        <f>IFERROR(VLOOKUP(A1264,'[1]Sales Order'!A:N,14,FALSE),"Not Specified")</f>
        <v>UK</v>
      </c>
      <c r="Q1264" t="str">
        <f>VLOOKUP(VLOOKUP(B1264,[1]Product!A:C,3,FALSE),[1]Supplier!A:B,2,FALSE)</f>
        <v>Supplier EQPNC</v>
      </c>
      <c r="R1264" t="str">
        <f>VLOOKUP(VLOOKUP(B1264,[1]Product!A:C,3,FALSE),[1]Supplier!A:I,9,FALSE)</f>
        <v>Spain</v>
      </c>
      <c r="S1264" t="str">
        <f>IFERROR(IF(VLOOKUP(A1264,'[1]Sales Order'!A:H,8,FALSE)&gt;100,"High Freight","Low Freight"),"Not Specified")</f>
        <v>Low Freight</v>
      </c>
      <c r="T1264">
        <f t="shared" si="39"/>
        <v>105</v>
      </c>
    </row>
    <row r="1265" spans="1:20">
      <c r="A1265" s="1">
        <v>10727</v>
      </c>
      <c r="B1265" s="2">
        <v>17</v>
      </c>
      <c r="C1265" s="2">
        <v>39</v>
      </c>
      <c r="D1265" s="2">
        <v>20</v>
      </c>
      <c r="E1265" s="3">
        <v>0.05</v>
      </c>
      <c r="F1265" s="2" t="str">
        <f>IFERROR(VLOOKUP(VLOOKUP(A1265,'[1]Sales Order'!A:B,2,FALSE),[1]Customer!A:C,3,FALSE),"Not Specified")</f>
        <v>Voss, Florian</v>
      </c>
      <c r="G1265" s="2" t="str">
        <f t="shared" si="38"/>
        <v>Voss Florian</v>
      </c>
      <c r="H1265" s="8" t="str">
        <f>IFERROR(VLOOKUP(VLOOKUP(A1265,'[1]Sales Order'!A:C,3,FALSE),[1]Employee!A:E,5,FALSE)&amp;" "&amp;VLOOKUP(VLOOKUP(A1265,'[1]Sales Order'!A:C,3,FALSE),[1]Employee!A:C,3,FALSE)&amp;" "&amp;VLOOKUP(VLOOKUP(A1265,'[1]Sales Order'!A:C,3,FALSE),[1]Employee!A:B,2,FALSE),"Not Specified")</f>
        <v>Dr. Don Funk</v>
      </c>
      <c r="I1265" t="str">
        <f>IFERROR(VLOOKUP(VLOOKUP(A1265,'[1]Sales Order'!A:C,3,FALSE),[1]Employee!A:J,10,FALSE),"Not Specified")</f>
        <v>WA</v>
      </c>
      <c r="J1265" t="str">
        <f>VLOOKUP(B1265,[1]Product!A:B,2,FALSE)</f>
        <v>Product BLCAX</v>
      </c>
      <c r="K1265" t="str">
        <f>VLOOKUP(VLOOKUP(B1265,[1]Product!A:D,4,FALSE),[1]Category!A:B,2,FALSE)</f>
        <v>Meat/Poultry</v>
      </c>
      <c r="L1265" s="10">
        <f>IFERROR(VLOOKUP(A1265,'[1]Sales Order'!A:D,4,FALSE),"")</f>
        <v>39389</v>
      </c>
      <c r="M1265" s="10">
        <f>IFERROR(VLOOKUP(A1265,'[1]Sales Order'!A:F,6,FALSE),"")</f>
        <v>39421</v>
      </c>
      <c r="N1265" t="str">
        <f>IFERROR(VLOOKUP(VLOOKUP(A1265,'[1]Sales Order'!A:G,7,FALSE),[1]Shipper!A:B,2,FALSE),"Not Specified")</f>
        <v>Shipper GVSUA</v>
      </c>
      <c r="O1265" t="str">
        <f>IFERROR(VLOOKUP(A1265,'[1]Sales Order'!A:I,9,FALSE),"Not Specified")</f>
        <v>Ship to 66-A</v>
      </c>
      <c r="P1265" t="str">
        <f>IFERROR(VLOOKUP(A1265,'[1]Sales Order'!A:N,14,FALSE),"Not Specified")</f>
        <v>Italy</v>
      </c>
      <c r="Q1265" t="str">
        <f>VLOOKUP(VLOOKUP(B1265,[1]Product!A:C,3,FALSE),[1]Supplier!A:B,2,FALSE)</f>
        <v>Supplier GQRCV</v>
      </c>
      <c r="R1265" t="str">
        <f>VLOOKUP(VLOOKUP(B1265,[1]Product!A:C,3,FALSE),[1]Supplier!A:I,9,FALSE)</f>
        <v>Australia</v>
      </c>
      <c r="S1265" t="str">
        <f>IFERROR(IF(VLOOKUP(A1265,'[1]Sales Order'!A:H,8,FALSE)&gt;100,"High Freight","Low Freight"),"Not Specified")</f>
        <v>Low Freight</v>
      </c>
      <c r="T1265">
        <f t="shared" si="39"/>
        <v>741</v>
      </c>
    </row>
    <row r="1266" spans="1:20">
      <c r="A1266" s="1">
        <v>10727</v>
      </c>
      <c r="B1266" s="2">
        <v>56</v>
      </c>
      <c r="C1266" s="2">
        <v>38</v>
      </c>
      <c r="D1266" s="2">
        <v>10</v>
      </c>
      <c r="E1266" s="3">
        <v>0.05</v>
      </c>
      <c r="F1266" s="2" t="str">
        <f>IFERROR(VLOOKUP(VLOOKUP(A1266,'[1]Sales Order'!A:B,2,FALSE),[1]Customer!A:C,3,FALSE),"Not Specified")</f>
        <v>Voss, Florian</v>
      </c>
      <c r="G1266" s="2" t="str">
        <f t="shared" si="38"/>
        <v>Voss Florian</v>
      </c>
      <c r="H1266" s="8" t="str">
        <f>IFERROR(VLOOKUP(VLOOKUP(A1266,'[1]Sales Order'!A:C,3,FALSE),[1]Employee!A:E,5,FALSE)&amp;" "&amp;VLOOKUP(VLOOKUP(A1266,'[1]Sales Order'!A:C,3,FALSE),[1]Employee!A:C,3,FALSE)&amp;" "&amp;VLOOKUP(VLOOKUP(A1266,'[1]Sales Order'!A:C,3,FALSE),[1]Employee!A:B,2,FALSE),"Not Specified")</f>
        <v>Dr. Don Funk</v>
      </c>
      <c r="I1266" t="str">
        <f>IFERROR(VLOOKUP(VLOOKUP(A1266,'[1]Sales Order'!A:C,3,FALSE),[1]Employee!A:J,10,FALSE),"Not Specified")</f>
        <v>WA</v>
      </c>
      <c r="J1266" t="str">
        <f>VLOOKUP(B1266,[1]Product!A:B,2,FALSE)</f>
        <v>Product VKCMF</v>
      </c>
      <c r="K1266" t="str">
        <f>VLOOKUP(VLOOKUP(B1266,[1]Product!A:D,4,FALSE),[1]Category!A:B,2,FALSE)</f>
        <v>Grains/Cereals</v>
      </c>
      <c r="L1266" s="10">
        <f>IFERROR(VLOOKUP(A1266,'[1]Sales Order'!A:D,4,FALSE),"")</f>
        <v>39389</v>
      </c>
      <c r="M1266" s="10">
        <f>IFERROR(VLOOKUP(A1266,'[1]Sales Order'!A:F,6,FALSE),"")</f>
        <v>39421</v>
      </c>
      <c r="N1266" t="str">
        <f>IFERROR(VLOOKUP(VLOOKUP(A1266,'[1]Sales Order'!A:G,7,FALSE),[1]Shipper!A:B,2,FALSE),"Not Specified")</f>
        <v>Shipper GVSUA</v>
      </c>
      <c r="O1266" t="str">
        <f>IFERROR(VLOOKUP(A1266,'[1]Sales Order'!A:I,9,FALSE),"Not Specified")</f>
        <v>Ship to 66-A</v>
      </c>
      <c r="P1266" t="str">
        <f>IFERROR(VLOOKUP(A1266,'[1]Sales Order'!A:N,14,FALSE),"Not Specified")</f>
        <v>Italy</v>
      </c>
      <c r="Q1266" t="str">
        <f>VLOOKUP(VLOOKUP(B1266,[1]Product!A:C,3,FALSE),[1]Supplier!A:B,2,FALSE)</f>
        <v>Supplier ZWZDM</v>
      </c>
      <c r="R1266" t="str">
        <f>VLOOKUP(VLOOKUP(B1266,[1]Product!A:C,3,FALSE),[1]Supplier!A:I,9,FALSE)</f>
        <v>Italy</v>
      </c>
      <c r="S1266" t="str">
        <f>IFERROR(IF(VLOOKUP(A1266,'[1]Sales Order'!A:H,8,FALSE)&gt;100,"High Freight","Low Freight"),"Not Specified")</f>
        <v>Low Freight</v>
      </c>
      <c r="T1266">
        <f t="shared" si="39"/>
        <v>361</v>
      </c>
    </row>
    <row r="1267" spans="1:20">
      <c r="A1267" s="1">
        <v>10727</v>
      </c>
      <c r="B1267" s="2">
        <v>59</v>
      </c>
      <c r="C1267" s="2">
        <v>55</v>
      </c>
      <c r="D1267" s="2">
        <v>10</v>
      </c>
      <c r="E1267" s="3">
        <v>0.05</v>
      </c>
      <c r="F1267" s="2" t="str">
        <f>IFERROR(VLOOKUP(VLOOKUP(A1267,'[1]Sales Order'!A:B,2,FALSE),[1]Customer!A:C,3,FALSE),"Not Specified")</f>
        <v>Voss, Florian</v>
      </c>
      <c r="G1267" s="2" t="str">
        <f t="shared" si="38"/>
        <v>Voss Florian</v>
      </c>
      <c r="H1267" s="8" t="str">
        <f>IFERROR(VLOOKUP(VLOOKUP(A1267,'[1]Sales Order'!A:C,3,FALSE),[1]Employee!A:E,5,FALSE)&amp;" "&amp;VLOOKUP(VLOOKUP(A1267,'[1]Sales Order'!A:C,3,FALSE),[1]Employee!A:C,3,FALSE)&amp;" "&amp;VLOOKUP(VLOOKUP(A1267,'[1]Sales Order'!A:C,3,FALSE),[1]Employee!A:B,2,FALSE),"Not Specified")</f>
        <v>Dr. Don Funk</v>
      </c>
      <c r="I1267" t="str">
        <f>IFERROR(VLOOKUP(VLOOKUP(A1267,'[1]Sales Order'!A:C,3,FALSE),[1]Employee!A:J,10,FALSE),"Not Specified")</f>
        <v>WA</v>
      </c>
      <c r="J1267" t="str">
        <f>VLOOKUP(B1267,[1]Product!A:B,2,FALSE)</f>
        <v>Product UKXRI</v>
      </c>
      <c r="K1267" t="str">
        <f>VLOOKUP(VLOOKUP(B1267,[1]Product!A:D,4,FALSE),[1]Category!A:B,2,FALSE)</f>
        <v>Dairy Product</v>
      </c>
      <c r="L1267" s="10">
        <f>IFERROR(VLOOKUP(A1267,'[1]Sales Order'!A:D,4,FALSE),"")</f>
        <v>39389</v>
      </c>
      <c r="M1267" s="10">
        <f>IFERROR(VLOOKUP(A1267,'[1]Sales Order'!A:F,6,FALSE),"")</f>
        <v>39421</v>
      </c>
      <c r="N1267" t="str">
        <f>IFERROR(VLOOKUP(VLOOKUP(A1267,'[1]Sales Order'!A:G,7,FALSE),[1]Shipper!A:B,2,FALSE),"Not Specified")</f>
        <v>Shipper GVSUA</v>
      </c>
      <c r="O1267" t="str">
        <f>IFERROR(VLOOKUP(A1267,'[1]Sales Order'!A:I,9,FALSE),"Not Specified")</f>
        <v>Ship to 66-A</v>
      </c>
      <c r="P1267" t="str">
        <f>IFERROR(VLOOKUP(A1267,'[1]Sales Order'!A:N,14,FALSE),"Not Specified")</f>
        <v>Italy</v>
      </c>
      <c r="Q1267" t="str">
        <f>VLOOKUP(VLOOKUP(B1267,[1]Product!A:C,3,FALSE),[1]Supplier!A:B,2,FALSE)</f>
        <v>Supplier OAVQT</v>
      </c>
      <c r="R1267" t="str">
        <f>VLOOKUP(VLOOKUP(B1267,[1]Product!A:C,3,FALSE),[1]Supplier!A:I,9,FALSE)</f>
        <v>France</v>
      </c>
      <c r="S1267" t="str">
        <f>IFERROR(IF(VLOOKUP(A1267,'[1]Sales Order'!A:H,8,FALSE)&gt;100,"High Freight","Low Freight"),"Not Specified")</f>
        <v>Low Freight</v>
      </c>
      <c r="T1267">
        <f t="shared" si="39"/>
        <v>522.5</v>
      </c>
    </row>
    <row r="1268" spans="1:20">
      <c r="A1268" s="1">
        <v>10728</v>
      </c>
      <c r="B1268" s="2">
        <v>30</v>
      </c>
      <c r="C1268" s="2">
        <v>25.89</v>
      </c>
      <c r="D1268" s="2">
        <v>15</v>
      </c>
      <c r="E1268" s="3">
        <v>0</v>
      </c>
      <c r="F1268" s="2" t="str">
        <f>IFERROR(VLOOKUP(VLOOKUP(A1268,'[1]Sales Order'!A:B,2,FALSE),[1]Customer!A:C,3,FALSE),"Not Specified")</f>
        <v>Misiec, Anna</v>
      </c>
      <c r="G1268" s="2" t="str">
        <f t="shared" si="38"/>
        <v>Misiec Anna</v>
      </c>
      <c r="H1268" s="8" t="str">
        <f>IFERROR(VLOOKUP(VLOOKUP(A1268,'[1]Sales Order'!A:C,3,FALSE),[1]Employee!A:E,5,FALSE)&amp;" "&amp;VLOOKUP(VLOOKUP(A1268,'[1]Sales Order'!A:C,3,FALSE),[1]Employee!A:C,3,FALSE)&amp;" "&amp;VLOOKUP(VLOOKUP(A1268,'[1]Sales Order'!A:C,3,FALSE),[1]Employee!A:B,2,FALSE),"Not Specified")</f>
        <v>Mrs. Yael Peled</v>
      </c>
      <c r="I1268" t="str">
        <f>IFERROR(VLOOKUP(VLOOKUP(A1268,'[1]Sales Order'!A:C,3,FALSE),[1]Employee!A:J,10,FALSE),"Not Specified")</f>
        <v>WA</v>
      </c>
      <c r="J1268" t="str">
        <f>VLOOKUP(B1268,[1]Product!A:B,2,FALSE)</f>
        <v>Product LYERX</v>
      </c>
      <c r="K1268" t="str">
        <f>VLOOKUP(VLOOKUP(B1268,[1]Product!A:D,4,FALSE),[1]Category!A:B,2,FALSE)</f>
        <v>Seafood</v>
      </c>
      <c r="L1268" s="10">
        <f>IFERROR(VLOOKUP(A1268,'[1]Sales Order'!A:D,4,FALSE),"")</f>
        <v>39390</v>
      </c>
      <c r="M1268" s="10">
        <f>IFERROR(VLOOKUP(A1268,'[1]Sales Order'!A:F,6,FALSE),"")</f>
        <v>39397</v>
      </c>
      <c r="N1268" t="str">
        <f>IFERROR(VLOOKUP(VLOOKUP(A1268,'[1]Sales Order'!A:G,7,FALSE),[1]Shipper!A:B,2,FALSE),"Not Specified")</f>
        <v>Shipper ETYNR</v>
      </c>
      <c r="O1268" t="str">
        <f>IFERROR(VLOOKUP(A1268,'[1]Sales Order'!A:I,9,FALSE),"Not Specified")</f>
        <v>Ship to 62-A</v>
      </c>
      <c r="P1268" t="str">
        <f>IFERROR(VLOOKUP(A1268,'[1]Sales Order'!A:N,14,FALSE),"Not Specified")</f>
        <v>Brazil</v>
      </c>
      <c r="Q1268" t="str">
        <f>VLOOKUP(VLOOKUP(B1268,[1]Product!A:C,3,FALSE),[1]Supplier!A:B,2,FALSE)</f>
        <v>Supplier TEGSC</v>
      </c>
      <c r="R1268" t="str">
        <f>VLOOKUP(VLOOKUP(B1268,[1]Product!A:C,3,FALSE),[1]Supplier!A:I,9,FALSE)</f>
        <v>Germany</v>
      </c>
      <c r="S1268" t="str">
        <f>IFERROR(IF(VLOOKUP(A1268,'[1]Sales Order'!A:H,8,FALSE)&gt;100,"High Freight","Low Freight"),"Not Specified")</f>
        <v>Low Freight</v>
      </c>
      <c r="T1268">
        <f t="shared" si="39"/>
        <v>388.35</v>
      </c>
    </row>
    <row r="1269" spans="1:20">
      <c r="A1269" s="1">
        <v>10728</v>
      </c>
      <c r="B1269" s="2">
        <v>40</v>
      </c>
      <c r="C1269" s="2">
        <v>18.399999999999999</v>
      </c>
      <c r="D1269" s="2">
        <v>6</v>
      </c>
      <c r="E1269" s="3">
        <v>0</v>
      </c>
      <c r="F1269" s="2" t="str">
        <f>IFERROR(VLOOKUP(VLOOKUP(A1269,'[1]Sales Order'!A:B,2,FALSE),[1]Customer!A:C,3,FALSE),"Not Specified")</f>
        <v>Misiec, Anna</v>
      </c>
      <c r="G1269" s="2" t="str">
        <f t="shared" si="38"/>
        <v>Misiec Anna</v>
      </c>
      <c r="H1269" s="8" t="str">
        <f>IFERROR(VLOOKUP(VLOOKUP(A1269,'[1]Sales Order'!A:C,3,FALSE),[1]Employee!A:E,5,FALSE)&amp;" "&amp;VLOOKUP(VLOOKUP(A1269,'[1]Sales Order'!A:C,3,FALSE),[1]Employee!A:C,3,FALSE)&amp;" "&amp;VLOOKUP(VLOOKUP(A1269,'[1]Sales Order'!A:C,3,FALSE),[1]Employee!A:B,2,FALSE),"Not Specified")</f>
        <v>Mrs. Yael Peled</v>
      </c>
      <c r="I1269" t="str">
        <f>IFERROR(VLOOKUP(VLOOKUP(A1269,'[1]Sales Order'!A:C,3,FALSE),[1]Employee!A:J,10,FALSE),"Not Specified")</f>
        <v>WA</v>
      </c>
      <c r="J1269" t="str">
        <f>VLOOKUP(B1269,[1]Product!A:B,2,FALSE)</f>
        <v>Product YZIXQ</v>
      </c>
      <c r="K1269" t="str">
        <f>VLOOKUP(VLOOKUP(B1269,[1]Product!A:D,4,FALSE),[1]Category!A:B,2,FALSE)</f>
        <v>Seafood</v>
      </c>
      <c r="L1269" s="10">
        <f>IFERROR(VLOOKUP(A1269,'[1]Sales Order'!A:D,4,FALSE),"")</f>
        <v>39390</v>
      </c>
      <c r="M1269" s="10">
        <f>IFERROR(VLOOKUP(A1269,'[1]Sales Order'!A:F,6,FALSE),"")</f>
        <v>39397</v>
      </c>
      <c r="N1269" t="str">
        <f>IFERROR(VLOOKUP(VLOOKUP(A1269,'[1]Sales Order'!A:G,7,FALSE),[1]Shipper!A:B,2,FALSE),"Not Specified")</f>
        <v>Shipper ETYNR</v>
      </c>
      <c r="O1269" t="str">
        <f>IFERROR(VLOOKUP(A1269,'[1]Sales Order'!A:I,9,FALSE),"Not Specified")</f>
        <v>Ship to 62-A</v>
      </c>
      <c r="P1269" t="str">
        <f>IFERROR(VLOOKUP(A1269,'[1]Sales Order'!A:N,14,FALSE),"Not Specified")</f>
        <v>Brazil</v>
      </c>
      <c r="Q1269" t="str">
        <f>VLOOKUP(VLOOKUP(B1269,[1]Product!A:C,3,FALSE),[1]Supplier!A:B,2,FALSE)</f>
        <v>Supplier JDNUG</v>
      </c>
      <c r="R1269" t="str">
        <f>VLOOKUP(VLOOKUP(B1269,[1]Product!A:C,3,FALSE),[1]Supplier!A:I,9,FALSE)</f>
        <v>USA</v>
      </c>
      <c r="S1269" t="str">
        <f>IFERROR(IF(VLOOKUP(A1269,'[1]Sales Order'!A:H,8,FALSE)&gt;100,"High Freight","Low Freight"),"Not Specified")</f>
        <v>Low Freight</v>
      </c>
      <c r="T1269">
        <f t="shared" si="39"/>
        <v>110.39999999999999</v>
      </c>
    </row>
    <row r="1270" spans="1:20">
      <c r="A1270" s="1">
        <v>10728</v>
      </c>
      <c r="B1270" s="2">
        <v>55</v>
      </c>
      <c r="C1270" s="2">
        <v>24</v>
      </c>
      <c r="D1270" s="2">
        <v>12</v>
      </c>
      <c r="E1270" s="3">
        <v>0</v>
      </c>
      <c r="F1270" s="2" t="str">
        <f>IFERROR(VLOOKUP(VLOOKUP(A1270,'[1]Sales Order'!A:B,2,FALSE),[1]Customer!A:C,3,FALSE),"Not Specified")</f>
        <v>Misiec, Anna</v>
      </c>
      <c r="G1270" s="2" t="str">
        <f t="shared" si="38"/>
        <v>Misiec Anna</v>
      </c>
      <c r="H1270" s="8" t="str">
        <f>IFERROR(VLOOKUP(VLOOKUP(A1270,'[1]Sales Order'!A:C,3,FALSE),[1]Employee!A:E,5,FALSE)&amp;" "&amp;VLOOKUP(VLOOKUP(A1270,'[1]Sales Order'!A:C,3,FALSE),[1]Employee!A:C,3,FALSE)&amp;" "&amp;VLOOKUP(VLOOKUP(A1270,'[1]Sales Order'!A:C,3,FALSE),[1]Employee!A:B,2,FALSE),"Not Specified")</f>
        <v>Mrs. Yael Peled</v>
      </c>
      <c r="I1270" t="str">
        <f>IFERROR(VLOOKUP(VLOOKUP(A1270,'[1]Sales Order'!A:C,3,FALSE),[1]Employee!A:J,10,FALSE),"Not Specified")</f>
        <v>WA</v>
      </c>
      <c r="J1270" t="str">
        <f>VLOOKUP(B1270,[1]Product!A:B,2,FALSE)</f>
        <v>Product YYWRT</v>
      </c>
      <c r="K1270" t="str">
        <f>VLOOKUP(VLOOKUP(B1270,[1]Product!A:D,4,FALSE),[1]Category!A:B,2,FALSE)</f>
        <v>Meat/Poultry</v>
      </c>
      <c r="L1270" s="10">
        <f>IFERROR(VLOOKUP(A1270,'[1]Sales Order'!A:D,4,FALSE),"")</f>
        <v>39390</v>
      </c>
      <c r="M1270" s="10">
        <f>IFERROR(VLOOKUP(A1270,'[1]Sales Order'!A:F,6,FALSE),"")</f>
        <v>39397</v>
      </c>
      <c r="N1270" t="str">
        <f>IFERROR(VLOOKUP(VLOOKUP(A1270,'[1]Sales Order'!A:G,7,FALSE),[1]Shipper!A:B,2,FALSE),"Not Specified")</f>
        <v>Shipper ETYNR</v>
      </c>
      <c r="O1270" t="str">
        <f>IFERROR(VLOOKUP(A1270,'[1]Sales Order'!A:I,9,FALSE),"Not Specified")</f>
        <v>Ship to 62-A</v>
      </c>
      <c r="P1270" t="str">
        <f>IFERROR(VLOOKUP(A1270,'[1]Sales Order'!A:N,14,FALSE),"Not Specified")</f>
        <v>Brazil</v>
      </c>
      <c r="Q1270" t="str">
        <f>VLOOKUP(VLOOKUP(B1270,[1]Product!A:C,3,FALSE),[1]Supplier!A:B,2,FALSE)</f>
        <v>Supplier ERVYZ</v>
      </c>
      <c r="R1270" t="str">
        <f>VLOOKUP(VLOOKUP(B1270,[1]Product!A:C,3,FALSE),[1]Supplier!A:I,9,FALSE)</f>
        <v>Canada</v>
      </c>
      <c r="S1270" t="str">
        <f>IFERROR(IF(VLOOKUP(A1270,'[1]Sales Order'!A:H,8,FALSE)&gt;100,"High Freight","Low Freight"),"Not Specified")</f>
        <v>Low Freight</v>
      </c>
      <c r="T1270">
        <f t="shared" si="39"/>
        <v>288</v>
      </c>
    </row>
    <row r="1271" spans="1:20">
      <c r="A1271" s="1">
        <v>10728</v>
      </c>
      <c r="B1271" s="2">
        <v>60</v>
      </c>
      <c r="C1271" s="2">
        <v>34</v>
      </c>
      <c r="D1271" s="2">
        <v>15</v>
      </c>
      <c r="E1271" s="3">
        <v>0</v>
      </c>
      <c r="F1271" s="2" t="str">
        <f>IFERROR(VLOOKUP(VLOOKUP(A1271,'[1]Sales Order'!A:B,2,FALSE),[1]Customer!A:C,3,FALSE),"Not Specified")</f>
        <v>Misiec, Anna</v>
      </c>
      <c r="G1271" s="2" t="str">
        <f t="shared" si="38"/>
        <v>Misiec Anna</v>
      </c>
      <c r="H1271" s="8" t="str">
        <f>IFERROR(VLOOKUP(VLOOKUP(A1271,'[1]Sales Order'!A:C,3,FALSE),[1]Employee!A:E,5,FALSE)&amp;" "&amp;VLOOKUP(VLOOKUP(A1271,'[1]Sales Order'!A:C,3,FALSE),[1]Employee!A:C,3,FALSE)&amp;" "&amp;VLOOKUP(VLOOKUP(A1271,'[1]Sales Order'!A:C,3,FALSE),[1]Employee!A:B,2,FALSE),"Not Specified")</f>
        <v>Mrs. Yael Peled</v>
      </c>
      <c r="I1271" t="str">
        <f>IFERROR(VLOOKUP(VLOOKUP(A1271,'[1]Sales Order'!A:C,3,FALSE),[1]Employee!A:J,10,FALSE),"Not Specified")</f>
        <v>WA</v>
      </c>
      <c r="J1271" t="str">
        <f>VLOOKUP(B1271,[1]Product!A:B,2,FALSE)</f>
        <v>Product WHBYK</v>
      </c>
      <c r="K1271" t="str">
        <f>VLOOKUP(VLOOKUP(B1271,[1]Product!A:D,4,FALSE),[1]Category!A:B,2,FALSE)</f>
        <v>Dairy Product</v>
      </c>
      <c r="L1271" s="10">
        <f>IFERROR(VLOOKUP(A1271,'[1]Sales Order'!A:D,4,FALSE),"")</f>
        <v>39390</v>
      </c>
      <c r="M1271" s="10">
        <f>IFERROR(VLOOKUP(A1271,'[1]Sales Order'!A:F,6,FALSE),"")</f>
        <v>39397</v>
      </c>
      <c r="N1271" t="str">
        <f>IFERROR(VLOOKUP(VLOOKUP(A1271,'[1]Sales Order'!A:G,7,FALSE),[1]Shipper!A:B,2,FALSE),"Not Specified")</f>
        <v>Shipper ETYNR</v>
      </c>
      <c r="O1271" t="str">
        <f>IFERROR(VLOOKUP(A1271,'[1]Sales Order'!A:I,9,FALSE),"Not Specified")</f>
        <v>Ship to 62-A</v>
      </c>
      <c r="P1271" t="str">
        <f>IFERROR(VLOOKUP(A1271,'[1]Sales Order'!A:N,14,FALSE),"Not Specified")</f>
        <v>Brazil</v>
      </c>
      <c r="Q1271" t="str">
        <f>VLOOKUP(VLOOKUP(B1271,[1]Product!A:C,3,FALSE),[1]Supplier!A:B,2,FALSE)</f>
        <v>Supplier OAVQT</v>
      </c>
      <c r="R1271" t="str">
        <f>VLOOKUP(VLOOKUP(B1271,[1]Product!A:C,3,FALSE),[1]Supplier!A:I,9,FALSE)</f>
        <v>France</v>
      </c>
      <c r="S1271" t="str">
        <f>IFERROR(IF(VLOOKUP(A1271,'[1]Sales Order'!A:H,8,FALSE)&gt;100,"High Freight","Low Freight"),"Not Specified")</f>
        <v>Low Freight</v>
      </c>
      <c r="T1271">
        <f t="shared" si="39"/>
        <v>510</v>
      </c>
    </row>
    <row r="1272" spans="1:20">
      <c r="A1272" s="1">
        <v>10729</v>
      </c>
      <c r="B1272" s="2">
        <v>1</v>
      </c>
      <c r="C1272" s="2">
        <v>18</v>
      </c>
      <c r="D1272" s="2">
        <v>50</v>
      </c>
      <c r="E1272" s="3">
        <v>0</v>
      </c>
      <c r="F1272" s="2" t="str">
        <f>IFERROR(VLOOKUP(VLOOKUP(A1272,'[1]Sales Order'!A:B,2,FALSE),[1]Customer!A:C,3,FALSE),"Not Specified")</f>
        <v>Lupu, Cornel</v>
      </c>
      <c r="G1272" s="2" t="str">
        <f t="shared" si="38"/>
        <v>Lupu Cornel</v>
      </c>
      <c r="H1272" s="8" t="str">
        <f>IFERROR(VLOOKUP(VLOOKUP(A1272,'[1]Sales Order'!A:C,3,FALSE),[1]Employee!A:E,5,FALSE)&amp;" "&amp;VLOOKUP(VLOOKUP(A1272,'[1]Sales Order'!A:C,3,FALSE),[1]Employee!A:C,3,FALSE)&amp;" "&amp;VLOOKUP(VLOOKUP(A1272,'[1]Sales Order'!A:C,3,FALSE),[1]Employee!A:B,2,FALSE),"Not Specified")</f>
        <v>Ms. Maria Cameron</v>
      </c>
      <c r="I1272" t="str">
        <f>IFERROR(VLOOKUP(VLOOKUP(A1272,'[1]Sales Order'!A:C,3,FALSE),[1]Employee!A:J,10,FALSE),"Not Specified")</f>
        <v>WA</v>
      </c>
      <c r="J1272" t="str">
        <f>VLOOKUP(B1272,[1]Product!A:B,2,FALSE)</f>
        <v>Product HHYDP</v>
      </c>
      <c r="K1272" t="str">
        <f>VLOOKUP(VLOOKUP(B1272,[1]Product!A:D,4,FALSE),[1]Category!A:B,2,FALSE)</f>
        <v>Beverages</v>
      </c>
      <c r="L1272" s="10">
        <f>IFERROR(VLOOKUP(A1272,'[1]Sales Order'!A:D,4,FALSE),"")</f>
        <v>39390</v>
      </c>
      <c r="M1272" s="10">
        <f>IFERROR(VLOOKUP(A1272,'[1]Sales Order'!A:F,6,FALSE),"")</f>
        <v>39400</v>
      </c>
      <c r="N1272" t="str">
        <f>IFERROR(VLOOKUP(VLOOKUP(A1272,'[1]Sales Order'!A:G,7,FALSE),[1]Shipper!A:B,2,FALSE),"Not Specified")</f>
        <v>Shipper ZHISN</v>
      </c>
      <c r="O1272" t="str">
        <f>IFERROR(VLOOKUP(A1272,'[1]Sales Order'!A:I,9,FALSE),"Not Specified")</f>
        <v>Ship to 47-A</v>
      </c>
      <c r="P1272" t="str">
        <f>IFERROR(VLOOKUP(A1272,'[1]Sales Order'!A:N,14,FALSE),"Not Specified")</f>
        <v>Venezuela</v>
      </c>
      <c r="Q1272" t="str">
        <f>VLOOKUP(VLOOKUP(B1272,[1]Product!A:C,3,FALSE),[1]Supplier!A:B,2,FALSE)</f>
        <v>Supplier SWRXU</v>
      </c>
      <c r="R1272" t="str">
        <f>VLOOKUP(VLOOKUP(B1272,[1]Product!A:C,3,FALSE),[1]Supplier!A:I,9,FALSE)</f>
        <v>UK</v>
      </c>
      <c r="S1272" t="str">
        <f>IFERROR(IF(VLOOKUP(A1272,'[1]Sales Order'!A:H,8,FALSE)&gt;100,"High Freight","Low Freight"),"Not Specified")</f>
        <v>High Freight</v>
      </c>
      <c r="T1272">
        <f t="shared" si="39"/>
        <v>900</v>
      </c>
    </row>
    <row r="1273" spans="1:20">
      <c r="A1273" s="1">
        <v>10729</v>
      </c>
      <c r="B1273" s="2">
        <v>21</v>
      </c>
      <c r="C1273" s="2">
        <v>10</v>
      </c>
      <c r="D1273" s="2">
        <v>30</v>
      </c>
      <c r="E1273" s="3">
        <v>0</v>
      </c>
      <c r="F1273" s="2" t="str">
        <f>IFERROR(VLOOKUP(VLOOKUP(A1273,'[1]Sales Order'!A:B,2,FALSE),[1]Customer!A:C,3,FALSE),"Not Specified")</f>
        <v>Lupu, Cornel</v>
      </c>
      <c r="G1273" s="2" t="str">
        <f t="shared" si="38"/>
        <v>Lupu Cornel</v>
      </c>
      <c r="H1273" s="8" t="str">
        <f>IFERROR(VLOOKUP(VLOOKUP(A1273,'[1]Sales Order'!A:C,3,FALSE),[1]Employee!A:E,5,FALSE)&amp;" "&amp;VLOOKUP(VLOOKUP(A1273,'[1]Sales Order'!A:C,3,FALSE),[1]Employee!A:C,3,FALSE)&amp;" "&amp;VLOOKUP(VLOOKUP(A1273,'[1]Sales Order'!A:C,3,FALSE),[1]Employee!A:B,2,FALSE),"Not Specified")</f>
        <v>Ms. Maria Cameron</v>
      </c>
      <c r="I1273" t="str">
        <f>IFERROR(VLOOKUP(VLOOKUP(A1273,'[1]Sales Order'!A:C,3,FALSE),[1]Employee!A:J,10,FALSE),"Not Specified")</f>
        <v>WA</v>
      </c>
      <c r="J1273" t="str">
        <f>VLOOKUP(B1273,[1]Product!A:B,2,FALSE)</f>
        <v>Product VJZZH</v>
      </c>
      <c r="K1273" t="str">
        <f>VLOOKUP(VLOOKUP(B1273,[1]Product!A:D,4,FALSE),[1]Category!A:B,2,FALSE)</f>
        <v>Confections</v>
      </c>
      <c r="L1273" s="10">
        <f>IFERROR(VLOOKUP(A1273,'[1]Sales Order'!A:D,4,FALSE),"")</f>
        <v>39390</v>
      </c>
      <c r="M1273" s="10">
        <f>IFERROR(VLOOKUP(A1273,'[1]Sales Order'!A:F,6,FALSE),"")</f>
        <v>39400</v>
      </c>
      <c r="N1273" t="str">
        <f>IFERROR(VLOOKUP(VLOOKUP(A1273,'[1]Sales Order'!A:G,7,FALSE),[1]Shipper!A:B,2,FALSE),"Not Specified")</f>
        <v>Shipper ZHISN</v>
      </c>
      <c r="O1273" t="str">
        <f>IFERROR(VLOOKUP(A1273,'[1]Sales Order'!A:I,9,FALSE),"Not Specified")</f>
        <v>Ship to 47-A</v>
      </c>
      <c r="P1273" t="str">
        <f>IFERROR(VLOOKUP(A1273,'[1]Sales Order'!A:N,14,FALSE),"Not Specified")</f>
        <v>Venezuela</v>
      </c>
      <c r="Q1273" t="str">
        <f>VLOOKUP(VLOOKUP(B1273,[1]Product!A:C,3,FALSE),[1]Supplier!A:B,2,FALSE)</f>
        <v>Supplier BWGYE</v>
      </c>
      <c r="R1273" t="str">
        <f>VLOOKUP(VLOOKUP(B1273,[1]Product!A:C,3,FALSE),[1]Supplier!A:I,9,FALSE)</f>
        <v>UK</v>
      </c>
      <c r="S1273" t="str">
        <f>IFERROR(IF(VLOOKUP(A1273,'[1]Sales Order'!A:H,8,FALSE)&gt;100,"High Freight","Low Freight"),"Not Specified")</f>
        <v>High Freight</v>
      </c>
      <c r="T1273">
        <f t="shared" si="39"/>
        <v>300</v>
      </c>
    </row>
    <row r="1274" spans="1:20">
      <c r="A1274" s="1">
        <v>10729</v>
      </c>
      <c r="B1274" s="2">
        <v>50</v>
      </c>
      <c r="C1274" s="2">
        <v>16.25</v>
      </c>
      <c r="D1274" s="2">
        <v>40</v>
      </c>
      <c r="E1274" s="3">
        <v>0</v>
      </c>
      <c r="F1274" s="2" t="str">
        <f>IFERROR(VLOOKUP(VLOOKUP(A1274,'[1]Sales Order'!A:B,2,FALSE),[1]Customer!A:C,3,FALSE),"Not Specified")</f>
        <v>Lupu, Cornel</v>
      </c>
      <c r="G1274" s="2" t="str">
        <f t="shared" si="38"/>
        <v>Lupu Cornel</v>
      </c>
      <c r="H1274" s="8" t="str">
        <f>IFERROR(VLOOKUP(VLOOKUP(A1274,'[1]Sales Order'!A:C,3,FALSE),[1]Employee!A:E,5,FALSE)&amp;" "&amp;VLOOKUP(VLOOKUP(A1274,'[1]Sales Order'!A:C,3,FALSE),[1]Employee!A:C,3,FALSE)&amp;" "&amp;VLOOKUP(VLOOKUP(A1274,'[1]Sales Order'!A:C,3,FALSE),[1]Employee!A:B,2,FALSE),"Not Specified")</f>
        <v>Ms. Maria Cameron</v>
      </c>
      <c r="I1274" t="str">
        <f>IFERROR(VLOOKUP(VLOOKUP(A1274,'[1]Sales Order'!A:C,3,FALSE),[1]Employee!A:J,10,FALSE),"Not Specified")</f>
        <v>WA</v>
      </c>
      <c r="J1274" t="str">
        <f>VLOOKUP(B1274,[1]Product!A:B,2,FALSE)</f>
        <v>Product BIUDV</v>
      </c>
      <c r="K1274" t="str">
        <f>VLOOKUP(VLOOKUP(B1274,[1]Product!A:D,4,FALSE),[1]Category!A:B,2,FALSE)</f>
        <v>Confections</v>
      </c>
      <c r="L1274" s="10">
        <f>IFERROR(VLOOKUP(A1274,'[1]Sales Order'!A:D,4,FALSE),"")</f>
        <v>39390</v>
      </c>
      <c r="M1274" s="10">
        <f>IFERROR(VLOOKUP(A1274,'[1]Sales Order'!A:F,6,FALSE),"")</f>
        <v>39400</v>
      </c>
      <c r="N1274" t="str">
        <f>IFERROR(VLOOKUP(VLOOKUP(A1274,'[1]Sales Order'!A:G,7,FALSE),[1]Shipper!A:B,2,FALSE),"Not Specified")</f>
        <v>Shipper ZHISN</v>
      </c>
      <c r="O1274" t="str">
        <f>IFERROR(VLOOKUP(A1274,'[1]Sales Order'!A:I,9,FALSE),"Not Specified")</f>
        <v>Ship to 47-A</v>
      </c>
      <c r="P1274" t="str">
        <f>IFERROR(VLOOKUP(A1274,'[1]Sales Order'!A:N,14,FALSE),"Not Specified")</f>
        <v>Venezuela</v>
      </c>
      <c r="Q1274" t="str">
        <f>VLOOKUP(VLOOKUP(B1274,[1]Product!A:C,3,FALSE),[1]Supplier!A:B,2,FALSE)</f>
        <v>Supplier ELCRN</v>
      </c>
      <c r="R1274" t="str">
        <f>VLOOKUP(VLOOKUP(B1274,[1]Product!A:C,3,FALSE),[1]Supplier!A:I,9,FALSE)</f>
        <v>Finland</v>
      </c>
      <c r="S1274" t="str">
        <f>IFERROR(IF(VLOOKUP(A1274,'[1]Sales Order'!A:H,8,FALSE)&gt;100,"High Freight","Low Freight"),"Not Specified")</f>
        <v>High Freight</v>
      </c>
      <c r="T1274">
        <f t="shared" si="39"/>
        <v>650</v>
      </c>
    </row>
    <row r="1275" spans="1:20">
      <c r="A1275" s="1">
        <v>10730</v>
      </c>
      <c r="B1275" s="2">
        <v>16</v>
      </c>
      <c r="C1275" s="2">
        <v>17.45</v>
      </c>
      <c r="D1275" s="2">
        <v>15</v>
      </c>
      <c r="E1275" s="3">
        <v>0.05</v>
      </c>
      <c r="F1275" s="2" t="str">
        <f>IFERROR(VLOOKUP(VLOOKUP(A1275,'[1]Sales Order'!A:B,2,FALSE),[1]Customer!A:C,3,FALSE),"Not Specified")</f>
        <v>Raghav, Amritansh</v>
      </c>
      <c r="G1275" s="2" t="str">
        <f t="shared" si="38"/>
        <v>Raghav Amritansh</v>
      </c>
      <c r="H1275" s="8" t="str">
        <f>IFERROR(VLOOKUP(VLOOKUP(A1275,'[1]Sales Order'!A:C,3,FALSE),[1]Employee!A:E,5,FALSE)&amp;" "&amp;VLOOKUP(VLOOKUP(A1275,'[1]Sales Order'!A:C,3,FALSE),[1]Employee!A:C,3,FALSE)&amp;" "&amp;VLOOKUP(VLOOKUP(A1275,'[1]Sales Order'!A:C,3,FALSE),[1]Employee!A:B,2,FALSE),"Not Specified")</f>
        <v>Mr. Sven Buck</v>
      </c>
      <c r="I1275">
        <f>IFERROR(VLOOKUP(VLOOKUP(A1275,'[1]Sales Order'!A:C,3,FALSE),[1]Employee!A:J,10,FALSE),"Not Specified")</f>
        <v>0</v>
      </c>
      <c r="J1275" t="str">
        <f>VLOOKUP(B1275,[1]Product!A:B,2,FALSE)</f>
        <v>Product PAFRH</v>
      </c>
      <c r="K1275" t="str">
        <f>VLOOKUP(VLOOKUP(B1275,[1]Product!A:D,4,FALSE),[1]Category!A:B,2,FALSE)</f>
        <v>Confections</v>
      </c>
      <c r="L1275" s="10">
        <f>IFERROR(VLOOKUP(A1275,'[1]Sales Order'!A:D,4,FALSE),"")</f>
        <v>39391</v>
      </c>
      <c r="M1275" s="10">
        <f>IFERROR(VLOOKUP(A1275,'[1]Sales Order'!A:F,6,FALSE),"")</f>
        <v>39400</v>
      </c>
      <c r="N1275" t="str">
        <f>IFERROR(VLOOKUP(VLOOKUP(A1275,'[1]Sales Order'!A:G,7,FALSE),[1]Shipper!A:B,2,FALSE),"Not Specified")</f>
        <v>Shipper GVSUA</v>
      </c>
      <c r="O1275" t="str">
        <f>IFERROR(VLOOKUP(A1275,'[1]Sales Order'!A:I,9,FALSE),"Not Specified")</f>
        <v>Ship to 9-A</v>
      </c>
      <c r="P1275" t="str">
        <f>IFERROR(VLOOKUP(A1275,'[1]Sales Order'!A:N,14,FALSE),"Not Specified")</f>
        <v>France</v>
      </c>
      <c r="Q1275" t="str">
        <f>VLOOKUP(VLOOKUP(B1275,[1]Product!A:C,3,FALSE),[1]Supplier!A:B,2,FALSE)</f>
        <v>Supplier GQRCV</v>
      </c>
      <c r="R1275" t="str">
        <f>VLOOKUP(VLOOKUP(B1275,[1]Product!A:C,3,FALSE),[1]Supplier!A:I,9,FALSE)</f>
        <v>Australia</v>
      </c>
      <c r="S1275" t="str">
        <f>IFERROR(IF(VLOOKUP(A1275,'[1]Sales Order'!A:H,8,FALSE)&gt;100,"High Freight","Low Freight"),"Not Specified")</f>
        <v>Low Freight</v>
      </c>
      <c r="T1275">
        <f t="shared" si="39"/>
        <v>248.66249999999999</v>
      </c>
    </row>
    <row r="1276" spans="1:20">
      <c r="A1276" s="1">
        <v>10730</v>
      </c>
      <c r="B1276" s="2">
        <v>31</v>
      </c>
      <c r="C1276" s="2">
        <v>12.5</v>
      </c>
      <c r="D1276" s="2">
        <v>3</v>
      </c>
      <c r="E1276" s="3">
        <v>0.05</v>
      </c>
      <c r="F1276" s="2" t="str">
        <f>IFERROR(VLOOKUP(VLOOKUP(A1276,'[1]Sales Order'!A:B,2,FALSE),[1]Customer!A:C,3,FALSE),"Not Specified")</f>
        <v>Raghav, Amritansh</v>
      </c>
      <c r="G1276" s="2" t="str">
        <f t="shared" si="38"/>
        <v>Raghav Amritansh</v>
      </c>
      <c r="H1276" s="8" t="str">
        <f>IFERROR(VLOOKUP(VLOOKUP(A1276,'[1]Sales Order'!A:C,3,FALSE),[1]Employee!A:E,5,FALSE)&amp;" "&amp;VLOOKUP(VLOOKUP(A1276,'[1]Sales Order'!A:C,3,FALSE),[1]Employee!A:C,3,FALSE)&amp;" "&amp;VLOOKUP(VLOOKUP(A1276,'[1]Sales Order'!A:C,3,FALSE),[1]Employee!A:B,2,FALSE),"Not Specified")</f>
        <v>Mr. Sven Buck</v>
      </c>
      <c r="I1276">
        <f>IFERROR(VLOOKUP(VLOOKUP(A1276,'[1]Sales Order'!A:C,3,FALSE),[1]Employee!A:J,10,FALSE),"Not Specified")</f>
        <v>0</v>
      </c>
      <c r="J1276" t="str">
        <f>VLOOKUP(B1276,[1]Product!A:B,2,FALSE)</f>
        <v>Product XWOXC</v>
      </c>
      <c r="K1276" t="str">
        <f>VLOOKUP(VLOOKUP(B1276,[1]Product!A:D,4,FALSE),[1]Category!A:B,2,FALSE)</f>
        <v>Dairy Product</v>
      </c>
      <c r="L1276" s="10">
        <f>IFERROR(VLOOKUP(A1276,'[1]Sales Order'!A:D,4,FALSE),"")</f>
        <v>39391</v>
      </c>
      <c r="M1276" s="10">
        <f>IFERROR(VLOOKUP(A1276,'[1]Sales Order'!A:F,6,FALSE),"")</f>
        <v>39400</v>
      </c>
      <c r="N1276" t="str">
        <f>IFERROR(VLOOKUP(VLOOKUP(A1276,'[1]Sales Order'!A:G,7,FALSE),[1]Shipper!A:B,2,FALSE),"Not Specified")</f>
        <v>Shipper GVSUA</v>
      </c>
      <c r="O1276" t="str">
        <f>IFERROR(VLOOKUP(A1276,'[1]Sales Order'!A:I,9,FALSE),"Not Specified")</f>
        <v>Ship to 9-A</v>
      </c>
      <c r="P1276" t="str">
        <f>IFERROR(VLOOKUP(A1276,'[1]Sales Order'!A:N,14,FALSE),"Not Specified")</f>
        <v>France</v>
      </c>
      <c r="Q1276" t="str">
        <f>VLOOKUP(VLOOKUP(B1276,[1]Product!A:C,3,FALSE),[1]Supplier!A:B,2,FALSE)</f>
        <v>Supplier KEREV</v>
      </c>
      <c r="R1276" t="str">
        <f>VLOOKUP(VLOOKUP(B1276,[1]Product!A:C,3,FALSE),[1]Supplier!A:I,9,FALSE)</f>
        <v>Italy</v>
      </c>
      <c r="S1276" t="str">
        <f>IFERROR(IF(VLOOKUP(A1276,'[1]Sales Order'!A:H,8,FALSE)&gt;100,"High Freight","Low Freight"),"Not Specified")</f>
        <v>Low Freight</v>
      </c>
      <c r="T1276">
        <f t="shared" si="39"/>
        <v>35.625</v>
      </c>
    </row>
    <row r="1277" spans="1:20">
      <c r="A1277" s="1">
        <v>10730</v>
      </c>
      <c r="B1277" s="2">
        <v>65</v>
      </c>
      <c r="C1277" s="2">
        <v>21.05</v>
      </c>
      <c r="D1277" s="2">
        <v>10</v>
      </c>
      <c r="E1277" s="3">
        <v>0.05</v>
      </c>
      <c r="F1277" s="2" t="str">
        <f>IFERROR(VLOOKUP(VLOOKUP(A1277,'[1]Sales Order'!A:B,2,FALSE),[1]Customer!A:C,3,FALSE),"Not Specified")</f>
        <v>Raghav, Amritansh</v>
      </c>
      <c r="G1277" s="2" t="str">
        <f t="shared" si="38"/>
        <v>Raghav Amritansh</v>
      </c>
      <c r="H1277" s="8" t="str">
        <f>IFERROR(VLOOKUP(VLOOKUP(A1277,'[1]Sales Order'!A:C,3,FALSE),[1]Employee!A:E,5,FALSE)&amp;" "&amp;VLOOKUP(VLOOKUP(A1277,'[1]Sales Order'!A:C,3,FALSE),[1]Employee!A:C,3,FALSE)&amp;" "&amp;VLOOKUP(VLOOKUP(A1277,'[1]Sales Order'!A:C,3,FALSE),[1]Employee!A:B,2,FALSE),"Not Specified")</f>
        <v>Mr. Sven Buck</v>
      </c>
      <c r="I1277">
        <f>IFERROR(VLOOKUP(VLOOKUP(A1277,'[1]Sales Order'!A:C,3,FALSE),[1]Employee!A:J,10,FALSE),"Not Specified")</f>
        <v>0</v>
      </c>
      <c r="J1277" t="str">
        <f>VLOOKUP(B1277,[1]Product!A:B,2,FALSE)</f>
        <v>Product XYWBZ</v>
      </c>
      <c r="K1277" t="str">
        <f>VLOOKUP(VLOOKUP(B1277,[1]Product!A:D,4,FALSE),[1]Category!A:B,2,FALSE)</f>
        <v>Condiments</v>
      </c>
      <c r="L1277" s="10">
        <f>IFERROR(VLOOKUP(A1277,'[1]Sales Order'!A:D,4,FALSE),"")</f>
        <v>39391</v>
      </c>
      <c r="M1277" s="10">
        <f>IFERROR(VLOOKUP(A1277,'[1]Sales Order'!A:F,6,FALSE),"")</f>
        <v>39400</v>
      </c>
      <c r="N1277" t="str">
        <f>IFERROR(VLOOKUP(VLOOKUP(A1277,'[1]Sales Order'!A:G,7,FALSE),[1]Shipper!A:B,2,FALSE),"Not Specified")</f>
        <v>Shipper GVSUA</v>
      </c>
      <c r="O1277" t="str">
        <f>IFERROR(VLOOKUP(A1277,'[1]Sales Order'!A:I,9,FALSE),"Not Specified")</f>
        <v>Ship to 9-A</v>
      </c>
      <c r="P1277" t="str">
        <f>IFERROR(VLOOKUP(A1277,'[1]Sales Order'!A:N,14,FALSE),"Not Specified")</f>
        <v>France</v>
      </c>
      <c r="Q1277" t="str">
        <f>VLOOKUP(VLOOKUP(B1277,[1]Product!A:C,3,FALSE),[1]Supplier!A:B,2,FALSE)</f>
        <v>Supplier VHQZD</v>
      </c>
      <c r="R1277" t="str">
        <f>VLOOKUP(VLOOKUP(B1277,[1]Product!A:C,3,FALSE),[1]Supplier!A:I,9,FALSE)</f>
        <v>USA</v>
      </c>
      <c r="S1277" t="str">
        <f>IFERROR(IF(VLOOKUP(A1277,'[1]Sales Order'!A:H,8,FALSE)&gt;100,"High Freight","Low Freight"),"Not Specified")</f>
        <v>Low Freight</v>
      </c>
      <c r="T1277">
        <f t="shared" si="39"/>
        <v>199.97499999999999</v>
      </c>
    </row>
    <row r="1278" spans="1:20">
      <c r="A1278" s="1">
        <v>10731</v>
      </c>
      <c r="B1278" s="2">
        <v>21</v>
      </c>
      <c r="C1278" s="2">
        <v>10</v>
      </c>
      <c r="D1278" s="2">
        <v>40</v>
      </c>
      <c r="E1278" s="3">
        <v>0.05</v>
      </c>
      <c r="F1278" s="2" t="str">
        <f>IFERROR(VLOOKUP(VLOOKUP(A1278,'[1]Sales Order'!A:B,2,FALSE),[1]Customer!A:C,3,FALSE),"Not Specified")</f>
        <v>Jelitto, Jacek</v>
      </c>
      <c r="G1278" s="2" t="str">
        <f t="shared" si="38"/>
        <v>Jelitto Jacek</v>
      </c>
      <c r="H1278" s="8" t="str">
        <f>IFERROR(VLOOKUP(VLOOKUP(A1278,'[1]Sales Order'!A:C,3,FALSE),[1]Employee!A:E,5,FALSE)&amp;" "&amp;VLOOKUP(VLOOKUP(A1278,'[1]Sales Order'!A:C,3,FALSE),[1]Employee!A:C,3,FALSE)&amp;" "&amp;VLOOKUP(VLOOKUP(A1278,'[1]Sales Order'!A:C,3,FALSE),[1]Employee!A:B,2,FALSE),"Not Specified")</f>
        <v>Mr. Russell King</v>
      </c>
      <c r="I1278">
        <f>IFERROR(VLOOKUP(VLOOKUP(A1278,'[1]Sales Order'!A:C,3,FALSE),[1]Employee!A:J,10,FALSE),"Not Specified")</f>
        <v>0</v>
      </c>
      <c r="J1278" t="str">
        <f>VLOOKUP(B1278,[1]Product!A:B,2,FALSE)</f>
        <v>Product VJZZH</v>
      </c>
      <c r="K1278" t="str">
        <f>VLOOKUP(VLOOKUP(B1278,[1]Product!A:D,4,FALSE),[1]Category!A:B,2,FALSE)</f>
        <v>Confections</v>
      </c>
      <c r="L1278" s="10">
        <f>IFERROR(VLOOKUP(A1278,'[1]Sales Order'!A:D,4,FALSE),"")</f>
        <v>39392</v>
      </c>
      <c r="M1278" s="10">
        <f>IFERROR(VLOOKUP(A1278,'[1]Sales Order'!A:F,6,FALSE),"")</f>
        <v>39400</v>
      </c>
      <c r="N1278" t="str">
        <f>IFERROR(VLOOKUP(VLOOKUP(A1278,'[1]Sales Order'!A:G,7,FALSE),[1]Shipper!A:B,2,FALSE),"Not Specified")</f>
        <v>Shipper GVSUA</v>
      </c>
      <c r="O1278" t="str">
        <f>IFERROR(VLOOKUP(A1278,'[1]Sales Order'!A:I,9,FALSE),"Not Specified")</f>
        <v>Destination YUJRD</v>
      </c>
      <c r="P1278" t="str">
        <f>IFERROR(VLOOKUP(A1278,'[1]Sales Order'!A:N,14,FALSE),"Not Specified")</f>
        <v>Switzerland</v>
      </c>
      <c r="Q1278" t="str">
        <f>VLOOKUP(VLOOKUP(B1278,[1]Product!A:C,3,FALSE),[1]Supplier!A:B,2,FALSE)</f>
        <v>Supplier BWGYE</v>
      </c>
      <c r="R1278" t="str">
        <f>VLOOKUP(VLOOKUP(B1278,[1]Product!A:C,3,FALSE),[1]Supplier!A:I,9,FALSE)</f>
        <v>UK</v>
      </c>
      <c r="S1278" t="str">
        <f>IFERROR(IF(VLOOKUP(A1278,'[1]Sales Order'!A:H,8,FALSE)&gt;100,"High Freight","Low Freight"),"Not Specified")</f>
        <v>Low Freight</v>
      </c>
      <c r="T1278">
        <f t="shared" si="39"/>
        <v>380</v>
      </c>
    </row>
    <row r="1279" spans="1:20">
      <c r="A1279" s="1">
        <v>10731</v>
      </c>
      <c r="B1279" s="2">
        <v>51</v>
      </c>
      <c r="C1279" s="2">
        <v>53</v>
      </c>
      <c r="D1279" s="2">
        <v>30</v>
      </c>
      <c r="E1279" s="3">
        <v>0.05</v>
      </c>
      <c r="F1279" s="2" t="str">
        <f>IFERROR(VLOOKUP(VLOOKUP(A1279,'[1]Sales Order'!A:B,2,FALSE),[1]Customer!A:C,3,FALSE),"Not Specified")</f>
        <v>Jelitto, Jacek</v>
      </c>
      <c r="G1279" s="2" t="str">
        <f t="shared" si="38"/>
        <v>Jelitto Jacek</v>
      </c>
      <c r="H1279" s="8" t="str">
        <f>IFERROR(VLOOKUP(VLOOKUP(A1279,'[1]Sales Order'!A:C,3,FALSE),[1]Employee!A:E,5,FALSE)&amp;" "&amp;VLOOKUP(VLOOKUP(A1279,'[1]Sales Order'!A:C,3,FALSE),[1]Employee!A:C,3,FALSE)&amp;" "&amp;VLOOKUP(VLOOKUP(A1279,'[1]Sales Order'!A:C,3,FALSE),[1]Employee!A:B,2,FALSE),"Not Specified")</f>
        <v>Mr. Russell King</v>
      </c>
      <c r="I1279">
        <f>IFERROR(VLOOKUP(VLOOKUP(A1279,'[1]Sales Order'!A:C,3,FALSE),[1]Employee!A:J,10,FALSE),"Not Specified")</f>
        <v>0</v>
      </c>
      <c r="J1279" t="str">
        <f>VLOOKUP(B1279,[1]Product!A:B,2,FALSE)</f>
        <v>Product APITJ</v>
      </c>
      <c r="K1279" t="str">
        <f>VLOOKUP(VLOOKUP(B1279,[1]Product!A:D,4,FALSE),[1]Category!A:B,2,FALSE)</f>
        <v>Produce</v>
      </c>
      <c r="L1279" s="10">
        <f>IFERROR(VLOOKUP(A1279,'[1]Sales Order'!A:D,4,FALSE),"")</f>
        <v>39392</v>
      </c>
      <c r="M1279" s="10">
        <f>IFERROR(VLOOKUP(A1279,'[1]Sales Order'!A:F,6,FALSE),"")</f>
        <v>39400</v>
      </c>
      <c r="N1279" t="str">
        <f>IFERROR(VLOOKUP(VLOOKUP(A1279,'[1]Sales Order'!A:G,7,FALSE),[1]Shipper!A:B,2,FALSE),"Not Specified")</f>
        <v>Shipper GVSUA</v>
      </c>
      <c r="O1279" t="str">
        <f>IFERROR(VLOOKUP(A1279,'[1]Sales Order'!A:I,9,FALSE),"Not Specified")</f>
        <v>Destination YUJRD</v>
      </c>
      <c r="P1279" t="str">
        <f>IFERROR(VLOOKUP(A1279,'[1]Sales Order'!A:N,14,FALSE),"Not Specified")</f>
        <v>Switzerland</v>
      </c>
      <c r="Q1279" t="str">
        <f>VLOOKUP(VLOOKUP(B1279,[1]Product!A:C,3,FALSE),[1]Supplier!A:B,2,FALSE)</f>
        <v>Supplier JNNES</v>
      </c>
      <c r="R1279" t="str">
        <f>VLOOKUP(VLOOKUP(B1279,[1]Product!A:C,3,FALSE),[1]Supplier!A:I,9,FALSE)</f>
        <v>Australia</v>
      </c>
      <c r="S1279" t="str">
        <f>IFERROR(IF(VLOOKUP(A1279,'[1]Sales Order'!A:H,8,FALSE)&gt;100,"High Freight","Low Freight"),"Not Specified")</f>
        <v>Low Freight</v>
      </c>
      <c r="T1279">
        <f t="shared" si="39"/>
        <v>1510.5</v>
      </c>
    </row>
    <row r="1280" spans="1:20">
      <c r="A1280" s="1">
        <v>10732</v>
      </c>
      <c r="B1280" s="2">
        <v>76</v>
      </c>
      <c r="C1280" s="2">
        <v>18</v>
      </c>
      <c r="D1280" s="2">
        <v>20</v>
      </c>
      <c r="E1280" s="3">
        <v>0</v>
      </c>
      <c r="F1280" s="2" t="str">
        <f>IFERROR(VLOOKUP(VLOOKUP(A1280,'[1]Sales Order'!A:B,2,FALSE),[1]Customer!A:C,3,FALSE),"Not Specified")</f>
        <v>Raghav, Amritansh</v>
      </c>
      <c r="G1280" s="2" t="str">
        <f t="shared" si="38"/>
        <v>Raghav Amritansh</v>
      </c>
      <c r="H1280" s="8" t="str">
        <f>IFERROR(VLOOKUP(VLOOKUP(A1280,'[1]Sales Order'!A:C,3,FALSE),[1]Employee!A:E,5,FALSE)&amp;" "&amp;VLOOKUP(VLOOKUP(A1280,'[1]Sales Order'!A:C,3,FALSE),[1]Employee!A:C,3,FALSE)&amp;" "&amp;VLOOKUP(VLOOKUP(A1280,'[1]Sales Order'!A:C,3,FALSE),[1]Employee!A:B,2,FALSE),"Not Specified")</f>
        <v>Ms. Judy Lew</v>
      </c>
      <c r="I1280" t="str">
        <f>IFERROR(VLOOKUP(VLOOKUP(A1280,'[1]Sales Order'!A:C,3,FALSE),[1]Employee!A:J,10,FALSE),"Not Specified")</f>
        <v>WA</v>
      </c>
      <c r="J1280" t="str">
        <f>VLOOKUP(B1280,[1]Product!A:B,2,FALSE)</f>
        <v>Product JYGFE</v>
      </c>
      <c r="K1280" t="str">
        <f>VLOOKUP(VLOOKUP(B1280,[1]Product!A:D,4,FALSE),[1]Category!A:B,2,FALSE)</f>
        <v>Beverages</v>
      </c>
      <c r="L1280" s="10">
        <f>IFERROR(VLOOKUP(A1280,'[1]Sales Order'!A:D,4,FALSE),"")</f>
        <v>39392</v>
      </c>
      <c r="M1280" s="10">
        <f>IFERROR(VLOOKUP(A1280,'[1]Sales Order'!A:F,6,FALSE),"")</f>
        <v>39393</v>
      </c>
      <c r="N1280" t="str">
        <f>IFERROR(VLOOKUP(VLOOKUP(A1280,'[1]Sales Order'!A:G,7,FALSE),[1]Shipper!A:B,2,FALSE),"Not Specified")</f>
        <v>Shipper GVSUA</v>
      </c>
      <c r="O1280" t="str">
        <f>IFERROR(VLOOKUP(A1280,'[1]Sales Order'!A:I,9,FALSE),"Not Specified")</f>
        <v>Ship to 9-A</v>
      </c>
      <c r="P1280" t="str">
        <f>IFERROR(VLOOKUP(A1280,'[1]Sales Order'!A:N,14,FALSE),"Not Specified")</f>
        <v>France</v>
      </c>
      <c r="Q1280" t="str">
        <f>VLOOKUP(VLOOKUP(B1280,[1]Product!A:C,3,FALSE),[1]Supplier!A:B,2,FALSE)</f>
        <v>Supplier ELCRN</v>
      </c>
      <c r="R1280" t="str">
        <f>VLOOKUP(VLOOKUP(B1280,[1]Product!A:C,3,FALSE),[1]Supplier!A:I,9,FALSE)</f>
        <v>Finland</v>
      </c>
      <c r="S1280" t="str">
        <f>IFERROR(IF(VLOOKUP(A1280,'[1]Sales Order'!A:H,8,FALSE)&gt;100,"High Freight","Low Freight"),"Not Specified")</f>
        <v>Low Freight</v>
      </c>
      <c r="T1280">
        <f t="shared" si="39"/>
        <v>360</v>
      </c>
    </row>
    <row r="1281" spans="1:20">
      <c r="A1281" s="1">
        <v>10733</v>
      </c>
      <c r="B1281" s="2">
        <v>14</v>
      </c>
      <c r="C1281" s="2">
        <v>23.25</v>
      </c>
      <c r="D1281" s="2">
        <v>16</v>
      </c>
      <c r="E1281" s="3">
        <v>0</v>
      </c>
      <c r="F1281" s="2" t="str">
        <f>IFERROR(VLOOKUP(VLOOKUP(A1281,'[1]Sales Order'!A:B,2,FALSE),[1]Customer!A:C,3,FALSE),"Not Specified")</f>
        <v>Higginbotham, Tom</v>
      </c>
      <c r="G1281" s="2" t="str">
        <f t="shared" si="38"/>
        <v>Higginbotham Tom</v>
      </c>
      <c r="H1281" s="8" t="str">
        <f>IFERROR(VLOOKUP(VLOOKUP(A1281,'[1]Sales Order'!A:C,3,FALSE),[1]Employee!A:E,5,FALSE)&amp;" "&amp;VLOOKUP(VLOOKUP(A1281,'[1]Sales Order'!A:C,3,FALSE),[1]Employee!A:C,3,FALSE)&amp;" "&amp;VLOOKUP(VLOOKUP(A1281,'[1]Sales Order'!A:C,3,FALSE),[1]Employee!A:B,2,FALSE),"Not Specified")</f>
        <v>Ms. Sara Davis</v>
      </c>
      <c r="I1281" t="str">
        <f>IFERROR(VLOOKUP(VLOOKUP(A1281,'[1]Sales Order'!A:C,3,FALSE),[1]Employee!A:J,10,FALSE),"Not Specified")</f>
        <v>WA</v>
      </c>
      <c r="J1281" t="str">
        <f>VLOOKUP(B1281,[1]Product!A:B,2,FALSE)</f>
        <v>Product PWCJB</v>
      </c>
      <c r="K1281" t="str">
        <f>VLOOKUP(VLOOKUP(B1281,[1]Product!A:D,4,FALSE),[1]Category!A:B,2,FALSE)</f>
        <v>Produce</v>
      </c>
      <c r="L1281" s="10">
        <f>IFERROR(VLOOKUP(A1281,'[1]Sales Order'!A:D,4,FALSE),"")</f>
        <v>39393</v>
      </c>
      <c r="M1281" s="10">
        <f>IFERROR(VLOOKUP(A1281,'[1]Sales Order'!A:F,6,FALSE),"")</f>
        <v>39396</v>
      </c>
      <c r="N1281" t="str">
        <f>IFERROR(VLOOKUP(VLOOKUP(A1281,'[1]Sales Order'!A:G,7,FALSE),[1]Shipper!A:B,2,FALSE),"Not Specified")</f>
        <v>Shipper ZHISN</v>
      </c>
      <c r="O1281" t="str">
        <f>IFERROR(VLOOKUP(A1281,'[1]Sales Order'!A:I,9,FALSE),"Not Specified")</f>
        <v>Ship to 5-A</v>
      </c>
      <c r="P1281" t="str">
        <f>IFERROR(VLOOKUP(A1281,'[1]Sales Order'!A:N,14,FALSE),"Not Specified")</f>
        <v>Sweden</v>
      </c>
      <c r="Q1281" t="str">
        <f>VLOOKUP(VLOOKUP(B1281,[1]Product!A:C,3,FALSE),[1]Supplier!A:B,2,FALSE)</f>
        <v>Supplier QWUSF</v>
      </c>
      <c r="R1281" t="str">
        <f>VLOOKUP(VLOOKUP(B1281,[1]Product!A:C,3,FALSE),[1]Supplier!A:I,9,FALSE)</f>
        <v>Japan</v>
      </c>
      <c r="S1281" t="str">
        <f>IFERROR(IF(VLOOKUP(A1281,'[1]Sales Order'!A:H,8,FALSE)&gt;100,"High Freight","Low Freight"),"Not Specified")</f>
        <v>High Freight</v>
      </c>
      <c r="T1281">
        <f t="shared" si="39"/>
        <v>372</v>
      </c>
    </row>
    <row r="1282" spans="1:20">
      <c r="A1282" s="1">
        <v>10733</v>
      </c>
      <c r="B1282" s="2">
        <v>28</v>
      </c>
      <c r="C1282" s="2">
        <v>45.6</v>
      </c>
      <c r="D1282" s="2">
        <v>20</v>
      </c>
      <c r="E1282" s="3">
        <v>0</v>
      </c>
      <c r="F1282" s="2" t="str">
        <f>IFERROR(VLOOKUP(VLOOKUP(A1282,'[1]Sales Order'!A:B,2,FALSE),[1]Customer!A:C,3,FALSE),"Not Specified")</f>
        <v>Higginbotham, Tom</v>
      </c>
      <c r="G1282" s="2" t="str">
        <f t="shared" si="38"/>
        <v>Higginbotham Tom</v>
      </c>
      <c r="H1282" s="8" t="str">
        <f>IFERROR(VLOOKUP(VLOOKUP(A1282,'[1]Sales Order'!A:C,3,FALSE),[1]Employee!A:E,5,FALSE)&amp;" "&amp;VLOOKUP(VLOOKUP(A1282,'[1]Sales Order'!A:C,3,FALSE),[1]Employee!A:C,3,FALSE)&amp;" "&amp;VLOOKUP(VLOOKUP(A1282,'[1]Sales Order'!A:C,3,FALSE),[1]Employee!A:B,2,FALSE),"Not Specified")</f>
        <v>Ms. Sara Davis</v>
      </c>
      <c r="I1282" t="str">
        <f>IFERROR(VLOOKUP(VLOOKUP(A1282,'[1]Sales Order'!A:C,3,FALSE),[1]Employee!A:J,10,FALSE),"Not Specified")</f>
        <v>WA</v>
      </c>
      <c r="J1282" t="str">
        <f>VLOOKUP(B1282,[1]Product!A:B,2,FALSE)</f>
        <v>Product OFBNT</v>
      </c>
      <c r="K1282" t="str">
        <f>VLOOKUP(VLOOKUP(B1282,[1]Product!A:D,4,FALSE),[1]Category!A:B,2,FALSE)</f>
        <v>Produce</v>
      </c>
      <c r="L1282" s="10">
        <f>IFERROR(VLOOKUP(A1282,'[1]Sales Order'!A:D,4,FALSE),"")</f>
        <v>39393</v>
      </c>
      <c r="M1282" s="10">
        <f>IFERROR(VLOOKUP(A1282,'[1]Sales Order'!A:F,6,FALSE),"")</f>
        <v>39396</v>
      </c>
      <c r="N1282" t="str">
        <f>IFERROR(VLOOKUP(VLOOKUP(A1282,'[1]Sales Order'!A:G,7,FALSE),[1]Shipper!A:B,2,FALSE),"Not Specified")</f>
        <v>Shipper ZHISN</v>
      </c>
      <c r="O1282" t="str">
        <f>IFERROR(VLOOKUP(A1282,'[1]Sales Order'!A:I,9,FALSE),"Not Specified")</f>
        <v>Ship to 5-A</v>
      </c>
      <c r="P1282" t="str">
        <f>IFERROR(VLOOKUP(A1282,'[1]Sales Order'!A:N,14,FALSE),"Not Specified")</f>
        <v>Sweden</v>
      </c>
      <c r="Q1282" t="str">
        <f>VLOOKUP(VLOOKUP(B1282,[1]Product!A:C,3,FALSE),[1]Supplier!A:B,2,FALSE)</f>
        <v>Supplier SVIYA</v>
      </c>
      <c r="R1282" t="str">
        <f>VLOOKUP(VLOOKUP(B1282,[1]Product!A:C,3,FALSE),[1]Supplier!A:I,9,FALSE)</f>
        <v>Germany</v>
      </c>
      <c r="S1282" t="str">
        <f>IFERROR(IF(VLOOKUP(A1282,'[1]Sales Order'!A:H,8,FALSE)&gt;100,"High Freight","Low Freight"),"Not Specified")</f>
        <v>High Freight</v>
      </c>
      <c r="T1282">
        <f t="shared" si="39"/>
        <v>912</v>
      </c>
    </row>
    <row r="1283" spans="1:20">
      <c r="A1283" s="1">
        <v>10733</v>
      </c>
      <c r="B1283" s="2">
        <v>52</v>
      </c>
      <c r="C1283" s="2">
        <v>7</v>
      </c>
      <c r="D1283" s="2">
        <v>25</v>
      </c>
      <c r="E1283" s="3">
        <v>0</v>
      </c>
      <c r="F1283" s="2" t="str">
        <f>IFERROR(VLOOKUP(VLOOKUP(A1283,'[1]Sales Order'!A:B,2,FALSE),[1]Customer!A:C,3,FALSE),"Not Specified")</f>
        <v>Higginbotham, Tom</v>
      </c>
      <c r="G1283" s="2" t="str">
        <f t="shared" ref="G1283:G1346" si="40">SUBSTITUTE(F1283,",","",1)</f>
        <v>Higginbotham Tom</v>
      </c>
      <c r="H1283" s="8" t="str">
        <f>IFERROR(VLOOKUP(VLOOKUP(A1283,'[1]Sales Order'!A:C,3,FALSE),[1]Employee!A:E,5,FALSE)&amp;" "&amp;VLOOKUP(VLOOKUP(A1283,'[1]Sales Order'!A:C,3,FALSE),[1]Employee!A:C,3,FALSE)&amp;" "&amp;VLOOKUP(VLOOKUP(A1283,'[1]Sales Order'!A:C,3,FALSE),[1]Employee!A:B,2,FALSE),"Not Specified")</f>
        <v>Ms. Sara Davis</v>
      </c>
      <c r="I1283" t="str">
        <f>IFERROR(VLOOKUP(VLOOKUP(A1283,'[1]Sales Order'!A:C,3,FALSE),[1]Employee!A:J,10,FALSE),"Not Specified")</f>
        <v>WA</v>
      </c>
      <c r="J1283" t="str">
        <f>VLOOKUP(B1283,[1]Product!A:B,2,FALSE)</f>
        <v>Product QSRXF</v>
      </c>
      <c r="K1283" t="str">
        <f>VLOOKUP(VLOOKUP(B1283,[1]Product!A:D,4,FALSE),[1]Category!A:B,2,FALSE)</f>
        <v>Grains/Cereals</v>
      </c>
      <c r="L1283" s="10">
        <f>IFERROR(VLOOKUP(A1283,'[1]Sales Order'!A:D,4,FALSE),"")</f>
        <v>39393</v>
      </c>
      <c r="M1283" s="10">
        <f>IFERROR(VLOOKUP(A1283,'[1]Sales Order'!A:F,6,FALSE),"")</f>
        <v>39396</v>
      </c>
      <c r="N1283" t="str">
        <f>IFERROR(VLOOKUP(VLOOKUP(A1283,'[1]Sales Order'!A:G,7,FALSE),[1]Shipper!A:B,2,FALSE),"Not Specified")</f>
        <v>Shipper ZHISN</v>
      </c>
      <c r="O1283" t="str">
        <f>IFERROR(VLOOKUP(A1283,'[1]Sales Order'!A:I,9,FALSE),"Not Specified")</f>
        <v>Ship to 5-A</v>
      </c>
      <c r="P1283" t="str">
        <f>IFERROR(VLOOKUP(A1283,'[1]Sales Order'!A:N,14,FALSE),"Not Specified")</f>
        <v>Sweden</v>
      </c>
      <c r="Q1283" t="str">
        <f>VLOOKUP(VLOOKUP(B1283,[1]Product!A:C,3,FALSE),[1]Supplier!A:B,2,FALSE)</f>
        <v>Supplier JNNES</v>
      </c>
      <c r="R1283" t="str">
        <f>VLOOKUP(VLOOKUP(B1283,[1]Product!A:C,3,FALSE),[1]Supplier!A:I,9,FALSE)</f>
        <v>Australia</v>
      </c>
      <c r="S1283" t="str">
        <f>IFERROR(IF(VLOOKUP(A1283,'[1]Sales Order'!A:H,8,FALSE)&gt;100,"High Freight","Low Freight"),"Not Specified")</f>
        <v>High Freight</v>
      </c>
      <c r="T1283">
        <f t="shared" ref="T1283:T1346" si="41">C1283*D1283*(1-E1283)</f>
        <v>175</v>
      </c>
    </row>
    <row r="1284" spans="1:20">
      <c r="A1284" s="1">
        <v>10734</v>
      </c>
      <c r="B1284" s="2">
        <v>6</v>
      </c>
      <c r="C1284" s="2">
        <v>25</v>
      </c>
      <c r="D1284" s="2">
        <v>30</v>
      </c>
      <c r="E1284" s="3">
        <v>0</v>
      </c>
      <c r="F1284" s="2" t="str">
        <f>IFERROR(VLOOKUP(VLOOKUP(A1284,'[1]Sales Order'!A:B,2,FALSE),[1]Customer!A:C,3,FALSE),"Not Specified")</f>
        <v>Cheng, Yao-Qiang</v>
      </c>
      <c r="G1284" s="2" t="str">
        <f t="shared" si="40"/>
        <v>Cheng Yao-Qiang</v>
      </c>
      <c r="H1284" s="8" t="str">
        <f>IFERROR(VLOOKUP(VLOOKUP(A1284,'[1]Sales Order'!A:C,3,FALSE),[1]Employee!A:E,5,FALSE)&amp;" "&amp;VLOOKUP(VLOOKUP(A1284,'[1]Sales Order'!A:C,3,FALSE),[1]Employee!A:C,3,FALSE)&amp;" "&amp;VLOOKUP(VLOOKUP(A1284,'[1]Sales Order'!A:C,3,FALSE),[1]Employee!A:B,2,FALSE),"Not Specified")</f>
        <v>Dr. Don Funk</v>
      </c>
      <c r="I1284" t="str">
        <f>IFERROR(VLOOKUP(VLOOKUP(A1284,'[1]Sales Order'!A:C,3,FALSE),[1]Employee!A:J,10,FALSE),"Not Specified")</f>
        <v>WA</v>
      </c>
      <c r="J1284" t="str">
        <f>VLOOKUP(B1284,[1]Product!A:B,2,FALSE)</f>
        <v>Product VAIIV</v>
      </c>
      <c r="K1284" t="str">
        <f>VLOOKUP(VLOOKUP(B1284,[1]Product!A:D,4,FALSE),[1]Category!A:B,2,FALSE)</f>
        <v>Condiments</v>
      </c>
      <c r="L1284" s="10">
        <f>IFERROR(VLOOKUP(A1284,'[1]Sales Order'!A:D,4,FALSE),"")</f>
        <v>39393</v>
      </c>
      <c r="M1284" s="10">
        <f>IFERROR(VLOOKUP(A1284,'[1]Sales Order'!A:F,6,FALSE),"")</f>
        <v>39398</v>
      </c>
      <c r="N1284" t="str">
        <f>IFERROR(VLOOKUP(VLOOKUP(A1284,'[1]Sales Order'!A:G,7,FALSE),[1]Shipper!A:B,2,FALSE),"Not Specified")</f>
        <v>Shipper ZHISN</v>
      </c>
      <c r="O1284" t="str">
        <f>IFERROR(VLOOKUP(A1284,'[1]Sales Order'!A:I,9,FALSE),"Not Specified")</f>
        <v>Destination VNIAG</v>
      </c>
      <c r="P1284" t="str">
        <f>IFERROR(VLOOKUP(A1284,'[1]Sales Order'!A:N,14,FALSE),"Not Specified")</f>
        <v>Brazil</v>
      </c>
      <c r="Q1284" t="str">
        <f>VLOOKUP(VLOOKUP(B1284,[1]Product!A:C,3,FALSE),[1]Supplier!A:B,2,FALSE)</f>
        <v>Supplier STUAZ</v>
      </c>
      <c r="R1284" t="str">
        <f>VLOOKUP(VLOOKUP(B1284,[1]Product!A:C,3,FALSE),[1]Supplier!A:I,9,FALSE)</f>
        <v>USA</v>
      </c>
      <c r="S1284" t="str">
        <f>IFERROR(IF(VLOOKUP(A1284,'[1]Sales Order'!A:H,8,FALSE)&gt;100,"High Freight","Low Freight"),"Not Specified")</f>
        <v>Low Freight</v>
      </c>
      <c r="T1284">
        <f t="shared" si="41"/>
        <v>750</v>
      </c>
    </row>
    <row r="1285" spans="1:20">
      <c r="A1285" s="1">
        <v>10734</v>
      </c>
      <c r="B1285" s="2">
        <v>30</v>
      </c>
      <c r="C1285" s="2">
        <v>25.89</v>
      </c>
      <c r="D1285" s="2">
        <v>15</v>
      </c>
      <c r="E1285" s="3">
        <v>0</v>
      </c>
      <c r="F1285" s="2" t="str">
        <f>IFERROR(VLOOKUP(VLOOKUP(A1285,'[1]Sales Order'!A:B,2,FALSE),[1]Customer!A:C,3,FALSE),"Not Specified")</f>
        <v>Cheng, Yao-Qiang</v>
      </c>
      <c r="G1285" s="2" t="str">
        <f t="shared" si="40"/>
        <v>Cheng Yao-Qiang</v>
      </c>
      <c r="H1285" s="8" t="str">
        <f>IFERROR(VLOOKUP(VLOOKUP(A1285,'[1]Sales Order'!A:C,3,FALSE),[1]Employee!A:E,5,FALSE)&amp;" "&amp;VLOOKUP(VLOOKUP(A1285,'[1]Sales Order'!A:C,3,FALSE),[1]Employee!A:C,3,FALSE)&amp;" "&amp;VLOOKUP(VLOOKUP(A1285,'[1]Sales Order'!A:C,3,FALSE),[1]Employee!A:B,2,FALSE),"Not Specified")</f>
        <v>Dr. Don Funk</v>
      </c>
      <c r="I1285" t="str">
        <f>IFERROR(VLOOKUP(VLOOKUP(A1285,'[1]Sales Order'!A:C,3,FALSE),[1]Employee!A:J,10,FALSE),"Not Specified")</f>
        <v>WA</v>
      </c>
      <c r="J1285" t="str">
        <f>VLOOKUP(B1285,[1]Product!A:B,2,FALSE)</f>
        <v>Product LYERX</v>
      </c>
      <c r="K1285" t="str">
        <f>VLOOKUP(VLOOKUP(B1285,[1]Product!A:D,4,FALSE),[1]Category!A:B,2,FALSE)</f>
        <v>Seafood</v>
      </c>
      <c r="L1285" s="10">
        <f>IFERROR(VLOOKUP(A1285,'[1]Sales Order'!A:D,4,FALSE),"")</f>
        <v>39393</v>
      </c>
      <c r="M1285" s="10">
        <f>IFERROR(VLOOKUP(A1285,'[1]Sales Order'!A:F,6,FALSE),"")</f>
        <v>39398</v>
      </c>
      <c r="N1285" t="str">
        <f>IFERROR(VLOOKUP(VLOOKUP(A1285,'[1]Sales Order'!A:G,7,FALSE),[1]Shipper!A:B,2,FALSE),"Not Specified")</f>
        <v>Shipper ZHISN</v>
      </c>
      <c r="O1285" t="str">
        <f>IFERROR(VLOOKUP(A1285,'[1]Sales Order'!A:I,9,FALSE),"Not Specified")</f>
        <v>Destination VNIAG</v>
      </c>
      <c r="P1285" t="str">
        <f>IFERROR(VLOOKUP(A1285,'[1]Sales Order'!A:N,14,FALSE),"Not Specified")</f>
        <v>Brazil</v>
      </c>
      <c r="Q1285" t="str">
        <f>VLOOKUP(VLOOKUP(B1285,[1]Product!A:C,3,FALSE),[1]Supplier!A:B,2,FALSE)</f>
        <v>Supplier TEGSC</v>
      </c>
      <c r="R1285" t="str">
        <f>VLOOKUP(VLOOKUP(B1285,[1]Product!A:C,3,FALSE),[1]Supplier!A:I,9,FALSE)</f>
        <v>Germany</v>
      </c>
      <c r="S1285" t="str">
        <f>IFERROR(IF(VLOOKUP(A1285,'[1]Sales Order'!A:H,8,FALSE)&gt;100,"High Freight","Low Freight"),"Not Specified")</f>
        <v>Low Freight</v>
      </c>
      <c r="T1285">
        <f t="shared" si="41"/>
        <v>388.35</v>
      </c>
    </row>
    <row r="1286" spans="1:20">
      <c r="A1286" s="1">
        <v>10734</v>
      </c>
      <c r="B1286" s="2">
        <v>76</v>
      </c>
      <c r="C1286" s="2">
        <v>18</v>
      </c>
      <c r="D1286" s="2">
        <v>20</v>
      </c>
      <c r="E1286" s="3">
        <v>0</v>
      </c>
      <c r="F1286" s="2" t="str">
        <f>IFERROR(VLOOKUP(VLOOKUP(A1286,'[1]Sales Order'!A:B,2,FALSE),[1]Customer!A:C,3,FALSE),"Not Specified")</f>
        <v>Cheng, Yao-Qiang</v>
      </c>
      <c r="G1286" s="2" t="str">
        <f t="shared" si="40"/>
        <v>Cheng Yao-Qiang</v>
      </c>
      <c r="H1286" s="8" t="str">
        <f>IFERROR(VLOOKUP(VLOOKUP(A1286,'[1]Sales Order'!A:C,3,FALSE),[1]Employee!A:E,5,FALSE)&amp;" "&amp;VLOOKUP(VLOOKUP(A1286,'[1]Sales Order'!A:C,3,FALSE),[1]Employee!A:C,3,FALSE)&amp;" "&amp;VLOOKUP(VLOOKUP(A1286,'[1]Sales Order'!A:C,3,FALSE),[1]Employee!A:B,2,FALSE),"Not Specified")</f>
        <v>Dr. Don Funk</v>
      </c>
      <c r="I1286" t="str">
        <f>IFERROR(VLOOKUP(VLOOKUP(A1286,'[1]Sales Order'!A:C,3,FALSE),[1]Employee!A:J,10,FALSE),"Not Specified")</f>
        <v>WA</v>
      </c>
      <c r="J1286" t="str">
        <f>VLOOKUP(B1286,[1]Product!A:B,2,FALSE)</f>
        <v>Product JYGFE</v>
      </c>
      <c r="K1286" t="str">
        <f>VLOOKUP(VLOOKUP(B1286,[1]Product!A:D,4,FALSE),[1]Category!A:B,2,FALSE)</f>
        <v>Beverages</v>
      </c>
      <c r="L1286" s="10">
        <f>IFERROR(VLOOKUP(A1286,'[1]Sales Order'!A:D,4,FALSE),"")</f>
        <v>39393</v>
      </c>
      <c r="M1286" s="10">
        <f>IFERROR(VLOOKUP(A1286,'[1]Sales Order'!A:F,6,FALSE),"")</f>
        <v>39398</v>
      </c>
      <c r="N1286" t="str">
        <f>IFERROR(VLOOKUP(VLOOKUP(A1286,'[1]Sales Order'!A:G,7,FALSE),[1]Shipper!A:B,2,FALSE),"Not Specified")</f>
        <v>Shipper ZHISN</v>
      </c>
      <c r="O1286" t="str">
        <f>IFERROR(VLOOKUP(A1286,'[1]Sales Order'!A:I,9,FALSE),"Not Specified")</f>
        <v>Destination VNIAG</v>
      </c>
      <c r="P1286" t="str">
        <f>IFERROR(VLOOKUP(A1286,'[1]Sales Order'!A:N,14,FALSE),"Not Specified")</f>
        <v>Brazil</v>
      </c>
      <c r="Q1286" t="str">
        <f>VLOOKUP(VLOOKUP(B1286,[1]Product!A:C,3,FALSE),[1]Supplier!A:B,2,FALSE)</f>
        <v>Supplier ELCRN</v>
      </c>
      <c r="R1286" t="str">
        <f>VLOOKUP(VLOOKUP(B1286,[1]Product!A:C,3,FALSE),[1]Supplier!A:I,9,FALSE)</f>
        <v>Finland</v>
      </c>
      <c r="S1286" t="str">
        <f>IFERROR(IF(VLOOKUP(A1286,'[1]Sales Order'!A:H,8,FALSE)&gt;100,"High Freight","Low Freight"),"Not Specified")</f>
        <v>Low Freight</v>
      </c>
      <c r="T1286">
        <f t="shared" si="41"/>
        <v>360</v>
      </c>
    </row>
    <row r="1287" spans="1:20">
      <c r="A1287" s="1">
        <v>10735</v>
      </c>
      <c r="B1287" s="2">
        <v>61</v>
      </c>
      <c r="C1287" s="2">
        <v>28.5</v>
      </c>
      <c r="D1287" s="2">
        <v>20</v>
      </c>
      <c r="E1287" s="3">
        <v>0.1</v>
      </c>
      <c r="F1287" s="2" t="str">
        <f>IFERROR(VLOOKUP(VLOOKUP(A1287,'[1]Sales Order'!A:B,2,FALSE),[1]Customer!A:C,3,FALSE),"Not Specified")</f>
        <v>Sunkammurali, Krishna</v>
      </c>
      <c r="G1287" s="2" t="str">
        <f t="shared" si="40"/>
        <v>Sunkammurali Krishna</v>
      </c>
      <c r="H1287" s="8" t="str">
        <f>IFERROR(VLOOKUP(VLOOKUP(A1287,'[1]Sales Order'!A:C,3,FALSE),[1]Employee!A:E,5,FALSE)&amp;" "&amp;VLOOKUP(VLOOKUP(A1287,'[1]Sales Order'!A:C,3,FALSE),[1]Employee!A:C,3,FALSE)&amp;" "&amp;VLOOKUP(VLOOKUP(A1287,'[1]Sales Order'!A:C,3,FALSE),[1]Employee!A:B,2,FALSE),"Not Specified")</f>
        <v>Mr. Paul Suurs</v>
      </c>
      <c r="I1287">
        <f>IFERROR(VLOOKUP(VLOOKUP(A1287,'[1]Sales Order'!A:C,3,FALSE),[1]Employee!A:J,10,FALSE),"Not Specified")</f>
        <v>0</v>
      </c>
      <c r="J1287" t="str">
        <f>VLOOKUP(B1287,[1]Product!A:B,2,FALSE)</f>
        <v>Product XYZPE</v>
      </c>
      <c r="K1287" t="str">
        <f>VLOOKUP(VLOOKUP(B1287,[1]Product!A:D,4,FALSE),[1]Category!A:B,2,FALSE)</f>
        <v>Condiments</v>
      </c>
      <c r="L1287" s="10">
        <f>IFERROR(VLOOKUP(A1287,'[1]Sales Order'!A:D,4,FALSE),"")</f>
        <v>39396</v>
      </c>
      <c r="M1287" s="10">
        <f>IFERROR(VLOOKUP(A1287,'[1]Sales Order'!A:F,6,FALSE),"")</f>
        <v>39407</v>
      </c>
      <c r="N1287" t="str">
        <f>IFERROR(VLOOKUP(VLOOKUP(A1287,'[1]Sales Order'!A:G,7,FALSE),[1]Shipper!A:B,2,FALSE),"Not Specified")</f>
        <v>Shipper ETYNR</v>
      </c>
      <c r="O1287" t="str">
        <f>IFERROR(VLOOKUP(A1287,'[1]Sales Order'!A:I,9,FALSE),"Not Specified")</f>
        <v>Ship to 45-A</v>
      </c>
      <c r="P1287" t="str">
        <f>IFERROR(VLOOKUP(A1287,'[1]Sales Order'!A:N,14,FALSE),"Not Specified")</f>
        <v>USA</v>
      </c>
      <c r="Q1287" t="str">
        <f>VLOOKUP(VLOOKUP(B1287,[1]Product!A:C,3,FALSE),[1]Supplier!A:B,2,FALSE)</f>
        <v>Supplier OGLRK</v>
      </c>
      <c r="R1287" t="str">
        <f>VLOOKUP(VLOOKUP(B1287,[1]Product!A:C,3,FALSE),[1]Supplier!A:I,9,FALSE)</f>
        <v>Canada</v>
      </c>
      <c r="S1287" t="str">
        <f>IFERROR(IF(VLOOKUP(A1287,'[1]Sales Order'!A:H,8,FALSE)&gt;100,"High Freight","Low Freight"),"Not Specified")</f>
        <v>Low Freight</v>
      </c>
      <c r="T1287">
        <f t="shared" si="41"/>
        <v>513</v>
      </c>
    </row>
    <row r="1288" spans="1:20">
      <c r="A1288" s="1">
        <v>10735</v>
      </c>
      <c r="B1288" s="2">
        <v>77</v>
      </c>
      <c r="C1288" s="2">
        <v>13</v>
      </c>
      <c r="D1288" s="2">
        <v>2</v>
      </c>
      <c r="E1288" s="3">
        <v>0.1</v>
      </c>
      <c r="F1288" s="2" t="str">
        <f>IFERROR(VLOOKUP(VLOOKUP(A1288,'[1]Sales Order'!A:B,2,FALSE),[1]Customer!A:C,3,FALSE),"Not Specified")</f>
        <v>Sunkammurali, Krishna</v>
      </c>
      <c r="G1288" s="2" t="str">
        <f t="shared" si="40"/>
        <v>Sunkammurali Krishna</v>
      </c>
      <c r="H1288" s="8" t="str">
        <f>IFERROR(VLOOKUP(VLOOKUP(A1288,'[1]Sales Order'!A:C,3,FALSE),[1]Employee!A:E,5,FALSE)&amp;" "&amp;VLOOKUP(VLOOKUP(A1288,'[1]Sales Order'!A:C,3,FALSE),[1]Employee!A:C,3,FALSE)&amp;" "&amp;VLOOKUP(VLOOKUP(A1288,'[1]Sales Order'!A:C,3,FALSE),[1]Employee!A:B,2,FALSE),"Not Specified")</f>
        <v>Mr. Paul Suurs</v>
      </c>
      <c r="I1288">
        <f>IFERROR(VLOOKUP(VLOOKUP(A1288,'[1]Sales Order'!A:C,3,FALSE),[1]Employee!A:J,10,FALSE),"Not Specified")</f>
        <v>0</v>
      </c>
      <c r="J1288" t="str">
        <f>VLOOKUP(B1288,[1]Product!A:B,2,FALSE)</f>
        <v>Product LUNZZ</v>
      </c>
      <c r="K1288" t="str">
        <f>VLOOKUP(VLOOKUP(B1288,[1]Product!A:D,4,FALSE),[1]Category!A:B,2,FALSE)</f>
        <v>Condiments</v>
      </c>
      <c r="L1288" s="10">
        <f>IFERROR(VLOOKUP(A1288,'[1]Sales Order'!A:D,4,FALSE),"")</f>
        <v>39396</v>
      </c>
      <c r="M1288" s="10">
        <f>IFERROR(VLOOKUP(A1288,'[1]Sales Order'!A:F,6,FALSE),"")</f>
        <v>39407</v>
      </c>
      <c r="N1288" t="str">
        <f>IFERROR(VLOOKUP(VLOOKUP(A1288,'[1]Sales Order'!A:G,7,FALSE),[1]Shipper!A:B,2,FALSE),"Not Specified")</f>
        <v>Shipper ETYNR</v>
      </c>
      <c r="O1288" t="str">
        <f>IFERROR(VLOOKUP(A1288,'[1]Sales Order'!A:I,9,FALSE),"Not Specified")</f>
        <v>Ship to 45-A</v>
      </c>
      <c r="P1288" t="str">
        <f>IFERROR(VLOOKUP(A1288,'[1]Sales Order'!A:N,14,FALSE),"Not Specified")</f>
        <v>USA</v>
      </c>
      <c r="Q1288" t="str">
        <f>VLOOKUP(VLOOKUP(B1288,[1]Product!A:C,3,FALSE),[1]Supplier!A:B,2,FALSE)</f>
        <v>Supplier SVIYA</v>
      </c>
      <c r="R1288" t="str">
        <f>VLOOKUP(VLOOKUP(B1288,[1]Product!A:C,3,FALSE),[1]Supplier!A:I,9,FALSE)</f>
        <v>Germany</v>
      </c>
      <c r="S1288" t="str">
        <f>IFERROR(IF(VLOOKUP(A1288,'[1]Sales Order'!A:H,8,FALSE)&gt;100,"High Freight","Low Freight"),"Not Specified")</f>
        <v>Low Freight</v>
      </c>
      <c r="T1288">
        <f t="shared" si="41"/>
        <v>23.400000000000002</v>
      </c>
    </row>
    <row r="1289" spans="1:20">
      <c r="A1289" s="1">
        <v>10736</v>
      </c>
      <c r="B1289" s="2">
        <v>65</v>
      </c>
      <c r="C1289" s="2">
        <v>21.05</v>
      </c>
      <c r="D1289" s="2">
        <v>40</v>
      </c>
      <c r="E1289" s="3">
        <v>0</v>
      </c>
      <c r="F1289" s="2" t="str">
        <f>IFERROR(VLOOKUP(VLOOKUP(A1289,'[1]Sales Order'!A:B,2,FALSE),[1]Customer!A:C,3,FALSE),"Not Specified")</f>
        <v>Crăciun, Ovidiu V.</v>
      </c>
      <c r="G1289" s="2" t="str">
        <f t="shared" si="40"/>
        <v>Crăciun Ovidiu V.</v>
      </c>
      <c r="H1289" s="8" t="str">
        <f>IFERROR(VLOOKUP(VLOOKUP(A1289,'[1]Sales Order'!A:C,3,FALSE),[1]Employee!A:E,5,FALSE)&amp;" "&amp;VLOOKUP(VLOOKUP(A1289,'[1]Sales Order'!A:C,3,FALSE),[1]Employee!A:C,3,FALSE)&amp;" "&amp;VLOOKUP(VLOOKUP(A1289,'[1]Sales Order'!A:C,3,FALSE),[1]Employee!A:B,2,FALSE),"Not Specified")</f>
        <v>Ms. Zoya Dolgopyatova</v>
      </c>
      <c r="I1289">
        <f>IFERROR(VLOOKUP(VLOOKUP(A1289,'[1]Sales Order'!A:C,3,FALSE),[1]Employee!A:J,10,FALSE),"Not Specified")</f>
        <v>0</v>
      </c>
      <c r="J1289" t="str">
        <f>VLOOKUP(B1289,[1]Product!A:B,2,FALSE)</f>
        <v>Product XYWBZ</v>
      </c>
      <c r="K1289" t="str">
        <f>VLOOKUP(VLOOKUP(B1289,[1]Product!A:D,4,FALSE),[1]Category!A:B,2,FALSE)</f>
        <v>Condiments</v>
      </c>
      <c r="L1289" s="10">
        <f>IFERROR(VLOOKUP(A1289,'[1]Sales Order'!A:D,4,FALSE),"")</f>
        <v>39397</v>
      </c>
      <c r="M1289" s="10">
        <f>IFERROR(VLOOKUP(A1289,'[1]Sales Order'!A:F,6,FALSE),"")</f>
        <v>39407</v>
      </c>
      <c r="N1289" t="str">
        <f>IFERROR(VLOOKUP(VLOOKUP(A1289,'[1]Sales Order'!A:G,7,FALSE),[1]Shipper!A:B,2,FALSE),"Not Specified")</f>
        <v>Shipper ETYNR</v>
      </c>
      <c r="O1289" t="str">
        <f>IFERROR(VLOOKUP(A1289,'[1]Sales Order'!A:I,9,FALSE),"Not Specified")</f>
        <v>Destination DGKOU</v>
      </c>
      <c r="P1289" t="str">
        <f>IFERROR(VLOOKUP(A1289,'[1]Sales Order'!A:N,14,FALSE),"Not Specified")</f>
        <v>Ireland</v>
      </c>
      <c r="Q1289" t="str">
        <f>VLOOKUP(VLOOKUP(B1289,[1]Product!A:C,3,FALSE),[1]Supplier!A:B,2,FALSE)</f>
        <v>Supplier VHQZD</v>
      </c>
      <c r="R1289" t="str">
        <f>VLOOKUP(VLOOKUP(B1289,[1]Product!A:C,3,FALSE),[1]Supplier!A:I,9,FALSE)</f>
        <v>USA</v>
      </c>
      <c r="S1289" t="str">
        <f>IFERROR(IF(VLOOKUP(A1289,'[1]Sales Order'!A:H,8,FALSE)&gt;100,"High Freight","Low Freight"),"Not Specified")</f>
        <v>Low Freight</v>
      </c>
      <c r="T1289">
        <f t="shared" si="41"/>
        <v>842</v>
      </c>
    </row>
    <row r="1290" spans="1:20">
      <c r="A1290" s="1">
        <v>10736</v>
      </c>
      <c r="B1290" s="2">
        <v>75</v>
      </c>
      <c r="C1290" s="2">
        <v>7.75</v>
      </c>
      <c r="D1290" s="2">
        <v>20</v>
      </c>
      <c r="E1290" s="3">
        <v>0</v>
      </c>
      <c r="F1290" s="2" t="str">
        <f>IFERROR(VLOOKUP(VLOOKUP(A1290,'[1]Sales Order'!A:B,2,FALSE),[1]Customer!A:C,3,FALSE),"Not Specified")</f>
        <v>Crăciun, Ovidiu V.</v>
      </c>
      <c r="G1290" s="2" t="str">
        <f t="shared" si="40"/>
        <v>Crăciun Ovidiu V.</v>
      </c>
      <c r="H1290" s="8" t="str">
        <f>IFERROR(VLOOKUP(VLOOKUP(A1290,'[1]Sales Order'!A:C,3,FALSE),[1]Employee!A:E,5,FALSE)&amp;" "&amp;VLOOKUP(VLOOKUP(A1290,'[1]Sales Order'!A:C,3,FALSE),[1]Employee!A:C,3,FALSE)&amp;" "&amp;VLOOKUP(VLOOKUP(A1290,'[1]Sales Order'!A:C,3,FALSE),[1]Employee!A:B,2,FALSE),"Not Specified")</f>
        <v>Ms. Zoya Dolgopyatova</v>
      </c>
      <c r="I1290">
        <f>IFERROR(VLOOKUP(VLOOKUP(A1290,'[1]Sales Order'!A:C,3,FALSE),[1]Employee!A:J,10,FALSE),"Not Specified")</f>
        <v>0</v>
      </c>
      <c r="J1290" t="str">
        <f>VLOOKUP(B1290,[1]Product!A:B,2,FALSE)</f>
        <v>Product BWRLG</v>
      </c>
      <c r="K1290" t="str">
        <f>VLOOKUP(VLOOKUP(B1290,[1]Product!A:D,4,FALSE),[1]Category!A:B,2,FALSE)</f>
        <v>Beverages</v>
      </c>
      <c r="L1290" s="10">
        <f>IFERROR(VLOOKUP(A1290,'[1]Sales Order'!A:D,4,FALSE),"")</f>
        <v>39397</v>
      </c>
      <c r="M1290" s="10">
        <f>IFERROR(VLOOKUP(A1290,'[1]Sales Order'!A:F,6,FALSE),"")</f>
        <v>39407</v>
      </c>
      <c r="N1290" t="str">
        <f>IFERROR(VLOOKUP(VLOOKUP(A1290,'[1]Sales Order'!A:G,7,FALSE),[1]Shipper!A:B,2,FALSE),"Not Specified")</f>
        <v>Shipper ETYNR</v>
      </c>
      <c r="O1290" t="str">
        <f>IFERROR(VLOOKUP(A1290,'[1]Sales Order'!A:I,9,FALSE),"Not Specified")</f>
        <v>Destination DGKOU</v>
      </c>
      <c r="P1290" t="str">
        <f>IFERROR(VLOOKUP(A1290,'[1]Sales Order'!A:N,14,FALSE),"Not Specified")</f>
        <v>Ireland</v>
      </c>
      <c r="Q1290" t="str">
        <f>VLOOKUP(VLOOKUP(B1290,[1]Product!A:C,3,FALSE),[1]Supplier!A:B,2,FALSE)</f>
        <v>Supplier SVIYA</v>
      </c>
      <c r="R1290" t="str">
        <f>VLOOKUP(VLOOKUP(B1290,[1]Product!A:C,3,FALSE),[1]Supplier!A:I,9,FALSE)</f>
        <v>Germany</v>
      </c>
      <c r="S1290" t="str">
        <f>IFERROR(IF(VLOOKUP(A1290,'[1]Sales Order'!A:H,8,FALSE)&gt;100,"High Freight","Low Freight"),"Not Specified")</f>
        <v>Low Freight</v>
      </c>
      <c r="T1290">
        <f t="shared" si="41"/>
        <v>155</v>
      </c>
    </row>
    <row r="1291" spans="1:20">
      <c r="A1291" s="1">
        <v>10737</v>
      </c>
      <c r="B1291" s="2">
        <v>13</v>
      </c>
      <c r="C1291" s="2">
        <v>6</v>
      </c>
      <c r="D1291" s="2">
        <v>4</v>
      </c>
      <c r="E1291" s="3">
        <v>0</v>
      </c>
      <c r="F1291" s="2" t="str">
        <f>IFERROR(VLOOKUP(VLOOKUP(A1291,'[1]Sales Order'!A:B,2,FALSE),[1]Customer!A:C,3,FALSE),"Not Specified")</f>
        <v>McLin, Nkenge</v>
      </c>
      <c r="G1291" s="2" t="str">
        <f t="shared" si="40"/>
        <v>McLin Nkenge</v>
      </c>
      <c r="H1291" s="8" t="str">
        <f>IFERROR(VLOOKUP(VLOOKUP(A1291,'[1]Sales Order'!A:C,3,FALSE),[1]Employee!A:E,5,FALSE)&amp;" "&amp;VLOOKUP(VLOOKUP(A1291,'[1]Sales Order'!A:C,3,FALSE),[1]Employee!A:C,3,FALSE)&amp;" "&amp;VLOOKUP(VLOOKUP(A1291,'[1]Sales Order'!A:C,3,FALSE),[1]Employee!A:B,2,FALSE),"Not Specified")</f>
        <v>Dr. Don Funk</v>
      </c>
      <c r="I1291" t="str">
        <f>IFERROR(VLOOKUP(VLOOKUP(A1291,'[1]Sales Order'!A:C,3,FALSE),[1]Employee!A:J,10,FALSE),"Not Specified")</f>
        <v>WA</v>
      </c>
      <c r="J1291" t="str">
        <f>VLOOKUP(B1291,[1]Product!A:B,2,FALSE)</f>
        <v>Product POXFU</v>
      </c>
      <c r="K1291" t="str">
        <f>VLOOKUP(VLOOKUP(B1291,[1]Product!A:D,4,FALSE),[1]Category!A:B,2,FALSE)</f>
        <v>Seafood</v>
      </c>
      <c r="L1291" s="10">
        <f>IFERROR(VLOOKUP(A1291,'[1]Sales Order'!A:D,4,FALSE),"")</f>
        <v>39397</v>
      </c>
      <c r="M1291" s="10">
        <f>IFERROR(VLOOKUP(A1291,'[1]Sales Order'!A:F,6,FALSE),"")</f>
        <v>39404</v>
      </c>
      <c r="N1291" t="str">
        <f>IFERROR(VLOOKUP(VLOOKUP(A1291,'[1]Sales Order'!A:G,7,FALSE),[1]Shipper!A:B,2,FALSE),"Not Specified")</f>
        <v>Shipper ETYNR</v>
      </c>
      <c r="O1291" t="str">
        <f>IFERROR(VLOOKUP(A1291,'[1]Sales Order'!A:I,9,FALSE),"Not Specified")</f>
        <v>Ship to 85-C</v>
      </c>
      <c r="P1291" t="str">
        <f>IFERROR(VLOOKUP(A1291,'[1]Sales Order'!A:N,14,FALSE),"Not Specified")</f>
        <v>France</v>
      </c>
      <c r="Q1291" t="str">
        <f>VLOOKUP(VLOOKUP(B1291,[1]Product!A:C,3,FALSE),[1]Supplier!A:B,2,FALSE)</f>
        <v>Supplier QWUSF</v>
      </c>
      <c r="R1291" t="str">
        <f>VLOOKUP(VLOOKUP(B1291,[1]Product!A:C,3,FALSE),[1]Supplier!A:I,9,FALSE)</f>
        <v>Japan</v>
      </c>
      <c r="S1291" t="str">
        <f>IFERROR(IF(VLOOKUP(A1291,'[1]Sales Order'!A:H,8,FALSE)&gt;100,"High Freight","Low Freight"),"Not Specified")</f>
        <v>Low Freight</v>
      </c>
      <c r="T1291">
        <f t="shared" si="41"/>
        <v>24</v>
      </c>
    </row>
    <row r="1292" spans="1:20">
      <c r="A1292" s="1">
        <v>10737</v>
      </c>
      <c r="B1292" s="2">
        <v>41</v>
      </c>
      <c r="C1292" s="2">
        <v>9.65</v>
      </c>
      <c r="D1292" s="2">
        <v>12</v>
      </c>
      <c r="E1292" s="3">
        <v>0</v>
      </c>
      <c r="F1292" s="2" t="str">
        <f>IFERROR(VLOOKUP(VLOOKUP(A1292,'[1]Sales Order'!A:B,2,FALSE),[1]Customer!A:C,3,FALSE),"Not Specified")</f>
        <v>McLin, Nkenge</v>
      </c>
      <c r="G1292" s="2" t="str">
        <f t="shared" si="40"/>
        <v>McLin Nkenge</v>
      </c>
      <c r="H1292" s="8" t="str">
        <f>IFERROR(VLOOKUP(VLOOKUP(A1292,'[1]Sales Order'!A:C,3,FALSE),[1]Employee!A:E,5,FALSE)&amp;" "&amp;VLOOKUP(VLOOKUP(A1292,'[1]Sales Order'!A:C,3,FALSE),[1]Employee!A:C,3,FALSE)&amp;" "&amp;VLOOKUP(VLOOKUP(A1292,'[1]Sales Order'!A:C,3,FALSE),[1]Employee!A:B,2,FALSE),"Not Specified")</f>
        <v>Dr. Don Funk</v>
      </c>
      <c r="I1292" t="str">
        <f>IFERROR(VLOOKUP(VLOOKUP(A1292,'[1]Sales Order'!A:C,3,FALSE),[1]Employee!A:J,10,FALSE),"Not Specified")</f>
        <v>WA</v>
      </c>
      <c r="J1292" t="str">
        <f>VLOOKUP(B1292,[1]Product!A:B,2,FALSE)</f>
        <v>Product TTEEX</v>
      </c>
      <c r="K1292" t="str">
        <f>VLOOKUP(VLOOKUP(B1292,[1]Product!A:D,4,FALSE),[1]Category!A:B,2,FALSE)</f>
        <v>Seafood</v>
      </c>
      <c r="L1292" s="10">
        <f>IFERROR(VLOOKUP(A1292,'[1]Sales Order'!A:D,4,FALSE),"")</f>
        <v>39397</v>
      </c>
      <c r="M1292" s="10">
        <f>IFERROR(VLOOKUP(A1292,'[1]Sales Order'!A:F,6,FALSE),"")</f>
        <v>39404</v>
      </c>
      <c r="N1292" t="str">
        <f>IFERROR(VLOOKUP(VLOOKUP(A1292,'[1]Sales Order'!A:G,7,FALSE),[1]Shipper!A:B,2,FALSE),"Not Specified")</f>
        <v>Shipper ETYNR</v>
      </c>
      <c r="O1292" t="str">
        <f>IFERROR(VLOOKUP(A1292,'[1]Sales Order'!A:I,9,FALSE),"Not Specified")</f>
        <v>Ship to 85-C</v>
      </c>
      <c r="P1292" t="str">
        <f>IFERROR(VLOOKUP(A1292,'[1]Sales Order'!A:N,14,FALSE),"Not Specified")</f>
        <v>France</v>
      </c>
      <c r="Q1292" t="str">
        <f>VLOOKUP(VLOOKUP(B1292,[1]Product!A:C,3,FALSE),[1]Supplier!A:B,2,FALSE)</f>
        <v>Supplier JDNUG</v>
      </c>
      <c r="R1292" t="str">
        <f>VLOOKUP(VLOOKUP(B1292,[1]Product!A:C,3,FALSE),[1]Supplier!A:I,9,FALSE)</f>
        <v>USA</v>
      </c>
      <c r="S1292" t="str">
        <f>IFERROR(IF(VLOOKUP(A1292,'[1]Sales Order'!A:H,8,FALSE)&gt;100,"High Freight","Low Freight"),"Not Specified")</f>
        <v>Low Freight</v>
      </c>
      <c r="T1292">
        <f t="shared" si="41"/>
        <v>115.80000000000001</v>
      </c>
    </row>
    <row r="1293" spans="1:20">
      <c r="A1293" s="1">
        <v>10738</v>
      </c>
      <c r="B1293" s="2">
        <v>16</v>
      </c>
      <c r="C1293" s="2">
        <v>17.45</v>
      </c>
      <c r="D1293" s="2">
        <v>3</v>
      </c>
      <c r="E1293" s="3">
        <v>0</v>
      </c>
      <c r="F1293" s="2" t="str">
        <f>IFERROR(VLOOKUP(VLOOKUP(A1293,'[1]Sales Order'!A:B,2,FALSE),[1]Customer!A:C,3,FALSE),"Not Specified")</f>
        <v>O’Brien, Dave</v>
      </c>
      <c r="G1293" s="2" t="str">
        <f t="shared" si="40"/>
        <v>O’Brien Dave</v>
      </c>
      <c r="H1293" s="8" t="str">
        <f>IFERROR(VLOOKUP(VLOOKUP(A1293,'[1]Sales Order'!A:C,3,FALSE),[1]Employee!A:E,5,FALSE)&amp;" "&amp;VLOOKUP(VLOOKUP(A1293,'[1]Sales Order'!A:C,3,FALSE),[1]Employee!A:C,3,FALSE)&amp;" "&amp;VLOOKUP(VLOOKUP(A1293,'[1]Sales Order'!A:C,3,FALSE),[1]Employee!A:B,2,FALSE),"Not Specified")</f>
        <v>Dr. Don Funk</v>
      </c>
      <c r="I1293" t="str">
        <f>IFERROR(VLOOKUP(VLOOKUP(A1293,'[1]Sales Order'!A:C,3,FALSE),[1]Employee!A:J,10,FALSE),"Not Specified")</f>
        <v>WA</v>
      </c>
      <c r="J1293" t="str">
        <f>VLOOKUP(B1293,[1]Product!A:B,2,FALSE)</f>
        <v>Product PAFRH</v>
      </c>
      <c r="K1293" t="str">
        <f>VLOOKUP(VLOOKUP(B1293,[1]Product!A:D,4,FALSE),[1]Category!A:B,2,FALSE)</f>
        <v>Confections</v>
      </c>
      <c r="L1293" s="10">
        <f>IFERROR(VLOOKUP(A1293,'[1]Sales Order'!A:D,4,FALSE),"")</f>
        <v>39398</v>
      </c>
      <c r="M1293" s="10">
        <f>IFERROR(VLOOKUP(A1293,'[1]Sales Order'!A:F,6,FALSE),"")</f>
        <v>39404</v>
      </c>
      <c r="N1293" t="str">
        <f>IFERROR(VLOOKUP(VLOOKUP(A1293,'[1]Sales Order'!A:G,7,FALSE),[1]Shipper!A:B,2,FALSE),"Not Specified")</f>
        <v>Shipper GVSUA</v>
      </c>
      <c r="O1293" t="str">
        <f>IFERROR(VLOOKUP(A1293,'[1]Sales Order'!A:I,9,FALSE),"Not Specified")</f>
        <v>Ship to 74-A</v>
      </c>
      <c r="P1293" t="str">
        <f>IFERROR(VLOOKUP(A1293,'[1]Sales Order'!A:N,14,FALSE),"Not Specified")</f>
        <v>France</v>
      </c>
      <c r="Q1293" t="str">
        <f>VLOOKUP(VLOOKUP(B1293,[1]Product!A:C,3,FALSE),[1]Supplier!A:B,2,FALSE)</f>
        <v>Supplier GQRCV</v>
      </c>
      <c r="R1293" t="str">
        <f>VLOOKUP(VLOOKUP(B1293,[1]Product!A:C,3,FALSE),[1]Supplier!A:I,9,FALSE)</f>
        <v>Australia</v>
      </c>
      <c r="S1293" t="str">
        <f>IFERROR(IF(VLOOKUP(A1293,'[1]Sales Order'!A:H,8,FALSE)&gt;100,"High Freight","Low Freight"),"Not Specified")</f>
        <v>Low Freight</v>
      </c>
      <c r="T1293">
        <f t="shared" si="41"/>
        <v>52.349999999999994</v>
      </c>
    </row>
    <row r="1294" spans="1:20">
      <c r="A1294" s="1">
        <v>10739</v>
      </c>
      <c r="B1294" s="2">
        <v>36</v>
      </c>
      <c r="C1294" s="2">
        <v>19</v>
      </c>
      <c r="D1294" s="2">
        <v>6</v>
      </c>
      <c r="E1294" s="3">
        <v>0</v>
      </c>
      <c r="F1294" s="2" t="str">
        <f>IFERROR(VLOOKUP(VLOOKUP(A1294,'[1]Sales Order'!A:B,2,FALSE),[1]Customer!A:C,3,FALSE),"Not Specified")</f>
        <v>McLin, Nkenge</v>
      </c>
      <c r="G1294" s="2" t="str">
        <f t="shared" si="40"/>
        <v>McLin Nkenge</v>
      </c>
      <c r="H1294" s="8" t="str">
        <f>IFERROR(VLOOKUP(VLOOKUP(A1294,'[1]Sales Order'!A:C,3,FALSE),[1]Employee!A:E,5,FALSE)&amp;" "&amp;VLOOKUP(VLOOKUP(A1294,'[1]Sales Order'!A:C,3,FALSE),[1]Employee!A:C,3,FALSE)&amp;" "&amp;VLOOKUP(VLOOKUP(A1294,'[1]Sales Order'!A:C,3,FALSE),[1]Employee!A:B,2,FALSE),"Not Specified")</f>
        <v>Ms. Judy Lew</v>
      </c>
      <c r="I1294" t="str">
        <f>IFERROR(VLOOKUP(VLOOKUP(A1294,'[1]Sales Order'!A:C,3,FALSE),[1]Employee!A:J,10,FALSE),"Not Specified")</f>
        <v>WA</v>
      </c>
      <c r="J1294" t="str">
        <f>VLOOKUP(B1294,[1]Product!A:B,2,FALSE)</f>
        <v>Product GMKIJ</v>
      </c>
      <c r="K1294" t="str">
        <f>VLOOKUP(VLOOKUP(B1294,[1]Product!A:D,4,FALSE),[1]Category!A:B,2,FALSE)</f>
        <v>Seafood</v>
      </c>
      <c r="L1294" s="10">
        <f>IFERROR(VLOOKUP(A1294,'[1]Sales Order'!A:D,4,FALSE),"")</f>
        <v>39398</v>
      </c>
      <c r="M1294" s="10">
        <f>IFERROR(VLOOKUP(A1294,'[1]Sales Order'!A:F,6,FALSE),"")</f>
        <v>39403</v>
      </c>
      <c r="N1294" t="str">
        <f>IFERROR(VLOOKUP(VLOOKUP(A1294,'[1]Sales Order'!A:G,7,FALSE),[1]Shipper!A:B,2,FALSE),"Not Specified")</f>
        <v>Shipper ZHISN</v>
      </c>
      <c r="O1294" t="str">
        <f>IFERROR(VLOOKUP(A1294,'[1]Sales Order'!A:I,9,FALSE),"Not Specified")</f>
        <v>Ship to 85-C</v>
      </c>
      <c r="P1294" t="str">
        <f>IFERROR(VLOOKUP(A1294,'[1]Sales Order'!A:N,14,FALSE),"Not Specified")</f>
        <v>France</v>
      </c>
      <c r="Q1294" t="str">
        <f>VLOOKUP(VLOOKUP(B1294,[1]Product!A:C,3,FALSE),[1]Supplier!A:B,2,FALSE)</f>
        <v>Supplier QZGUF</v>
      </c>
      <c r="R1294" t="str">
        <f>VLOOKUP(VLOOKUP(B1294,[1]Product!A:C,3,FALSE),[1]Supplier!A:I,9,FALSE)</f>
        <v>Sweden</v>
      </c>
      <c r="S1294" t="str">
        <f>IFERROR(IF(VLOOKUP(A1294,'[1]Sales Order'!A:H,8,FALSE)&gt;100,"High Freight","Low Freight"),"Not Specified")</f>
        <v>Low Freight</v>
      </c>
      <c r="T1294">
        <f t="shared" si="41"/>
        <v>114</v>
      </c>
    </row>
    <row r="1295" spans="1:20">
      <c r="A1295" s="1">
        <v>10739</v>
      </c>
      <c r="B1295" s="2">
        <v>52</v>
      </c>
      <c r="C1295" s="2">
        <v>7</v>
      </c>
      <c r="D1295" s="2">
        <v>18</v>
      </c>
      <c r="E1295" s="3">
        <v>0</v>
      </c>
      <c r="F1295" s="2" t="str">
        <f>IFERROR(VLOOKUP(VLOOKUP(A1295,'[1]Sales Order'!A:B,2,FALSE),[1]Customer!A:C,3,FALSE),"Not Specified")</f>
        <v>McLin, Nkenge</v>
      </c>
      <c r="G1295" s="2" t="str">
        <f t="shared" si="40"/>
        <v>McLin Nkenge</v>
      </c>
      <c r="H1295" s="8" t="str">
        <f>IFERROR(VLOOKUP(VLOOKUP(A1295,'[1]Sales Order'!A:C,3,FALSE),[1]Employee!A:E,5,FALSE)&amp;" "&amp;VLOOKUP(VLOOKUP(A1295,'[1]Sales Order'!A:C,3,FALSE),[1]Employee!A:C,3,FALSE)&amp;" "&amp;VLOOKUP(VLOOKUP(A1295,'[1]Sales Order'!A:C,3,FALSE),[1]Employee!A:B,2,FALSE),"Not Specified")</f>
        <v>Ms. Judy Lew</v>
      </c>
      <c r="I1295" t="str">
        <f>IFERROR(VLOOKUP(VLOOKUP(A1295,'[1]Sales Order'!A:C,3,FALSE),[1]Employee!A:J,10,FALSE),"Not Specified")</f>
        <v>WA</v>
      </c>
      <c r="J1295" t="str">
        <f>VLOOKUP(B1295,[1]Product!A:B,2,FALSE)</f>
        <v>Product QSRXF</v>
      </c>
      <c r="K1295" t="str">
        <f>VLOOKUP(VLOOKUP(B1295,[1]Product!A:D,4,FALSE),[1]Category!A:B,2,FALSE)</f>
        <v>Grains/Cereals</v>
      </c>
      <c r="L1295" s="10">
        <f>IFERROR(VLOOKUP(A1295,'[1]Sales Order'!A:D,4,FALSE),"")</f>
        <v>39398</v>
      </c>
      <c r="M1295" s="10">
        <f>IFERROR(VLOOKUP(A1295,'[1]Sales Order'!A:F,6,FALSE),"")</f>
        <v>39403</v>
      </c>
      <c r="N1295" t="str">
        <f>IFERROR(VLOOKUP(VLOOKUP(A1295,'[1]Sales Order'!A:G,7,FALSE),[1]Shipper!A:B,2,FALSE),"Not Specified")</f>
        <v>Shipper ZHISN</v>
      </c>
      <c r="O1295" t="str">
        <f>IFERROR(VLOOKUP(A1295,'[1]Sales Order'!A:I,9,FALSE),"Not Specified")</f>
        <v>Ship to 85-C</v>
      </c>
      <c r="P1295" t="str">
        <f>IFERROR(VLOOKUP(A1295,'[1]Sales Order'!A:N,14,FALSE),"Not Specified")</f>
        <v>France</v>
      </c>
      <c r="Q1295" t="str">
        <f>VLOOKUP(VLOOKUP(B1295,[1]Product!A:C,3,FALSE),[1]Supplier!A:B,2,FALSE)</f>
        <v>Supplier JNNES</v>
      </c>
      <c r="R1295" t="str">
        <f>VLOOKUP(VLOOKUP(B1295,[1]Product!A:C,3,FALSE),[1]Supplier!A:I,9,FALSE)</f>
        <v>Australia</v>
      </c>
      <c r="S1295" t="str">
        <f>IFERROR(IF(VLOOKUP(A1295,'[1]Sales Order'!A:H,8,FALSE)&gt;100,"High Freight","Low Freight"),"Not Specified")</f>
        <v>Low Freight</v>
      </c>
      <c r="T1295">
        <f t="shared" si="41"/>
        <v>126</v>
      </c>
    </row>
    <row r="1296" spans="1:20">
      <c r="A1296" s="1">
        <v>10740</v>
      </c>
      <c r="B1296" s="2">
        <v>28</v>
      </c>
      <c r="C1296" s="2">
        <v>45.6</v>
      </c>
      <c r="D1296" s="2">
        <v>5</v>
      </c>
      <c r="E1296" s="3">
        <v>0.2</v>
      </c>
      <c r="F1296" s="2" t="str">
        <f>IFERROR(VLOOKUP(VLOOKUP(A1296,'[1]Sales Order'!A:B,2,FALSE),[1]Customer!A:C,3,FALSE),"Not Specified")</f>
        <v>Smith Jr., Ronaldo</v>
      </c>
      <c r="G1296" s="2" t="str">
        <f t="shared" si="40"/>
        <v>Smith Jr. Ronaldo</v>
      </c>
      <c r="H1296" s="8" t="str">
        <f>IFERROR(VLOOKUP(VLOOKUP(A1296,'[1]Sales Order'!A:C,3,FALSE),[1]Employee!A:E,5,FALSE)&amp;" "&amp;VLOOKUP(VLOOKUP(A1296,'[1]Sales Order'!A:C,3,FALSE),[1]Employee!A:C,3,FALSE)&amp;" "&amp;VLOOKUP(VLOOKUP(A1296,'[1]Sales Order'!A:C,3,FALSE),[1]Employee!A:B,2,FALSE),"Not Specified")</f>
        <v>Mrs. Yael Peled</v>
      </c>
      <c r="I1296" t="str">
        <f>IFERROR(VLOOKUP(VLOOKUP(A1296,'[1]Sales Order'!A:C,3,FALSE),[1]Employee!A:J,10,FALSE),"Not Specified")</f>
        <v>WA</v>
      </c>
      <c r="J1296" t="str">
        <f>VLOOKUP(B1296,[1]Product!A:B,2,FALSE)</f>
        <v>Product OFBNT</v>
      </c>
      <c r="K1296" t="str">
        <f>VLOOKUP(VLOOKUP(B1296,[1]Product!A:D,4,FALSE),[1]Category!A:B,2,FALSE)</f>
        <v>Produce</v>
      </c>
      <c r="L1296" s="10">
        <f>IFERROR(VLOOKUP(A1296,'[1]Sales Order'!A:D,4,FALSE),"")</f>
        <v>39399</v>
      </c>
      <c r="M1296" s="10">
        <f>IFERROR(VLOOKUP(A1296,'[1]Sales Order'!A:F,6,FALSE),"")</f>
        <v>39411</v>
      </c>
      <c r="N1296" t="str">
        <f>IFERROR(VLOOKUP(VLOOKUP(A1296,'[1]Sales Order'!A:G,7,FALSE),[1]Shipper!A:B,2,FALSE),"Not Specified")</f>
        <v>Shipper ETYNR</v>
      </c>
      <c r="O1296" t="str">
        <f>IFERROR(VLOOKUP(A1296,'[1]Sales Order'!A:I,9,FALSE),"Not Specified")</f>
        <v>Ship to 89-B</v>
      </c>
      <c r="P1296" t="str">
        <f>IFERROR(VLOOKUP(A1296,'[1]Sales Order'!A:N,14,FALSE),"Not Specified")</f>
        <v>USA</v>
      </c>
      <c r="Q1296" t="str">
        <f>VLOOKUP(VLOOKUP(B1296,[1]Product!A:C,3,FALSE),[1]Supplier!A:B,2,FALSE)</f>
        <v>Supplier SVIYA</v>
      </c>
      <c r="R1296" t="str">
        <f>VLOOKUP(VLOOKUP(B1296,[1]Product!A:C,3,FALSE),[1]Supplier!A:I,9,FALSE)</f>
        <v>Germany</v>
      </c>
      <c r="S1296" t="str">
        <f>IFERROR(IF(VLOOKUP(A1296,'[1]Sales Order'!A:H,8,FALSE)&gt;100,"High Freight","Low Freight"),"Not Specified")</f>
        <v>Low Freight</v>
      </c>
      <c r="T1296">
        <f t="shared" si="41"/>
        <v>182.4</v>
      </c>
    </row>
    <row r="1297" spans="1:20">
      <c r="A1297" s="1">
        <v>10740</v>
      </c>
      <c r="B1297" s="2">
        <v>35</v>
      </c>
      <c r="C1297" s="2">
        <v>18</v>
      </c>
      <c r="D1297" s="2">
        <v>35</v>
      </c>
      <c r="E1297" s="3">
        <v>0.2</v>
      </c>
      <c r="F1297" s="2" t="str">
        <f>IFERROR(VLOOKUP(VLOOKUP(A1297,'[1]Sales Order'!A:B,2,FALSE),[1]Customer!A:C,3,FALSE),"Not Specified")</f>
        <v>Smith Jr., Ronaldo</v>
      </c>
      <c r="G1297" s="2" t="str">
        <f t="shared" si="40"/>
        <v>Smith Jr. Ronaldo</v>
      </c>
      <c r="H1297" s="8" t="str">
        <f>IFERROR(VLOOKUP(VLOOKUP(A1297,'[1]Sales Order'!A:C,3,FALSE),[1]Employee!A:E,5,FALSE)&amp;" "&amp;VLOOKUP(VLOOKUP(A1297,'[1]Sales Order'!A:C,3,FALSE),[1]Employee!A:C,3,FALSE)&amp;" "&amp;VLOOKUP(VLOOKUP(A1297,'[1]Sales Order'!A:C,3,FALSE),[1]Employee!A:B,2,FALSE),"Not Specified")</f>
        <v>Mrs. Yael Peled</v>
      </c>
      <c r="I1297" t="str">
        <f>IFERROR(VLOOKUP(VLOOKUP(A1297,'[1]Sales Order'!A:C,3,FALSE),[1]Employee!A:J,10,FALSE),"Not Specified")</f>
        <v>WA</v>
      </c>
      <c r="J1297" t="str">
        <f>VLOOKUP(B1297,[1]Product!A:B,2,FALSE)</f>
        <v>Product NEVTJ</v>
      </c>
      <c r="K1297" t="str">
        <f>VLOOKUP(VLOOKUP(B1297,[1]Product!A:D,4,FALSE),[1]Category!A:B,2,FALSE)</f>
        <v>Beverages</v>
      </c>
      <c r="L1297" s="10">
        <f>IFERROR(VLOOKUP(A1297,'[1]Sales Order'!A:D,4,FALSE),"")</f>
        <v>39399</v>
      </c>
      <c r="M1297" s="10">
        <f>IFERROR(VLOOKUP(A1297,'[1]Sales Order'!A:F,6,FALSE),"")</f>
        <v>39411</v>
      </c>
      <c r="N1297" t="str">
        <f>IFERROR(VLOOKUP(VLOOKUP(A1297,'[1]Sales Order'!A:G,7,FALSE),[1]Shipper!A:B,2,FALSE),"Not Specified")</f>
        <v>Shipper ETYNR</v>
      </c>
      <c r="O1297" t="str">
        <f>IFERROR(VLOOKUP(A1297,'[1]Sales Order'!A:I,9,FALSE),"Not Specified")</f>
        <v>Ship to 89-B</v>
      </c>
      <c r="P1297" t="str">
        <f>IFERROR(VLOOKUP(A1297,'[1]Sales Order'!A:N,14,FALSE),"Not Specified")</f>
        <v>USA</v>
      </c>
      <c r="Q1297" t="str">
        <f>VLOOKUP(VLOOKUP(B1297,[1]Product!A:C,3,FALSE),[1]Supplier!A:B,2,FALSE)</f>
        <v>Supplier UHZRG</v>
      </c>
      <c r="R1297" t="str">
        <f>VLOOKUP(VLOOKUP(B1297,[1]Product!A:C,3,FALSE),[1]Supplier!A:I,9,FALSE)</f>
        <v>USA</v>
      </c>
      <c r="S1297" t="str">
        <f>IFERROR(IF(VLOOKUP(A1297,'[1]Sales Order'!A:H,8,FALSE)&gt;100,"High Freight","Low Freight"),"Not Specified")</f>
        <v>Low Freight</v>
      </c>
      <c r="T1297">
        <f t="shared" si="41"/>
        <v>504</v>
      </c>
    </row>
    <row r="1298" spans="1:20">
      <c r="A1298" s="1">
        <v>10740</v>
      </c>
      <c r="B1298" s="2">
        <v>45</v>
      </c>
      <c r="C1298" s="2">
        <v>9.5</v>
      </c>
      <c r="D1298" s="2">
        <v>40</v>
      </c>
      <c r="E1298" s="3">
        <v>0.2</v>
      </c>
      <c r="F1298" s="2" t="str">
        <f>IFERROR(VLOOKUP(VLOOKUP(A1298,'[1]Sales Order'!A:B,2,FALSE),[1]Customer!A:C,3,FALSE),"Not Specified")</f>
        <v>Smith Jr., Ronaldo</v>
      </c>
      <c r="G1298" s="2" t="str">
        <f t="shared" si="40"/>
        <v>Smith Jr. Ronaldo</v>
      </c>
      <c r="H1298" s="8" t="str">
        <f>IFERROR(VLOOKUP(VLOOKUP(A1298,'[1]Sales Order'!A:C,3,FALSE),[1]Employee!A:E,5,FALSE)&amp;" "&amp;VLOOKUP(VLOOKUP(A1298,'[1]Sales Order'!A:C,3,FALSE),[1]Employee!A:C,3,FALSE)&amp;" "&amp;VLOOKUP(VLOOKUP(A1298,'[1]Sales Order'!A:C,3,FALSE),[1]Employee!A:B,2,FALSE),"Not Specified")</f>
        <v>Mrs. Yael Peled</v>
      </c>
      <c r="I1298" t="str">
        <f>IFERROR(VLOOKUP(VLOOKUP(A1298,'[1]Sales Order'!A:C,3,FALSE),[1]Employee!A:J,10,FALSE),"Not Specified")</f>
        <v>WA</v>
      </c>
      <c r="J1298" t="str">
        <f>VLOOKUP(B1298,[1]Product!A:B,2,FALSE)</f>
        <v>Product AQOKR</v>
      </c>
      <c r="K1298" t="str">
        <f>VLOOKUP(VLOOKUP(B1298,[1]Product!A:D,4,FALSE),[1]Category!A:B,2,FALSE)</f>
        <v>Seafood</v>
      </c>
      <c r="L1298" s="10">
        <f>IFERROR(VLOOKUP(A1298,'[1]Sales Order'!A:D,4,FALSE),"")</f>
        <v>39399</v>
      </c>
      <c r="M1298" s="10">
        <f>IFERROR(VLOOKUP(A1298,'[1]Sales Order'!A:F,6,FALSE),"")</f>
        <v>39411</v>
      </c>
      <c r="N1298" t="str">
        <f>IFERROR(VLOOKUP(VLOOKUP(A1298,'[1]Sales Order'!A:G,7,FALSE),[1]Shipper!A:B,2,FALSE),"Not Specified")</f>
        <v>Shipper ETYNR</v>
      </c>
      <c r="O1298" t="str">
        <f>IFERROR(VLOOKUP(A1298,'[1]Sales Order'!A:I,9,FALSE),"Not Specified")</f>
        <v>Ship to 89-B</v>
      </c>
      <c r="P1298" t="str">
        <f>IFERROR(VLOOKUP(A1298,'[1]Sales Order'!A:N,14,FALSE),"Not Specified")</f>
        <v>USA</v>
      </c>
      <c r="Q1298" t="str">
        <f>VLOOKUP(VLOOKUP(B1298,[1]Product!A:C,3,FALSE),[1]Supplier!A:B,2,FALSE)</f>
        <v>Supplier XOXZA</v>
      </c>
      <c r="R1298" t="str">
        <f>VLOOKUP(VLOOKUP(B1298,[1]Product!A:C,3,FALSE),[1]Supplier!A:I,9,FALSE)</f>
        <v>Denmark</v>
      </c>
      <c r="S1298" t="str">
        <f>IFERROR(IF(VLOOKUP(A1298,'[1]Sales Order'!A:H,8,FALSE)&gt;100,"High Freight","Low Freight"),"Not Specified")</f>
        <v>Low Freight</v>
      </c>
      <c r="T1298">
        <f t="shared" si="41"/>
        <v>304</v>
      </c>
    </row>
    <row r="1299" spans="1:20">
      <c r="A1299" s="1">
        <v>10740</v>
      </c>
      <c r="B1299" s="2">
        <v>56</v>
      </c>
      <c r="C1299" s="2">
        <v>38</v>
      </c>
      <c r="D1299" s="2">
        <v>14</v>
      </c>
      <c r="E1299" s="3">
        <v>0.2</v>
      </c>
      <c r="F1299" s="2" t="str">
        <f>IFERROR(VLOOKUP(VLOOKUP(A1299,'[1]Sales Order'!A:B,2,FALSE),[1]Customer!A:C,3,FALSE),"Not Specified")</f>
        <v>Smith Jr., Ronaldo</v>
      </c>
      <c r="G1299" s="2" t="str">
        <f t="shared" si="40"/>
        <v>Smith Jr. Ronaldo</v>
      </c>
      <c r="H1299" s="8" t="str">
        <f>IFERROR(VLOOKUP(VLOOKUP(A1299,'[1]Sales Order'!A:C,3,FALSE),[1]Employee!A:E,5,FALSE)&amp;" "&amp;VLOOKUP(VLOOKUP(A1299,'[1]Sales Order'!A:C,3,FALSE),[1]Employee!A:C,3,FALSE)&amp;" "&amp;VLOOKUP(VLOOKUP(A1299,'[1]Sales Order'!A:C,3,FALSE),[1]Employee!A:B,2,FALSE),"Not Specified")</f>
        <v>Mrs. Yael Peled</v>
      </c>
      <c r="I1299" t="str">
        <f>IFERROR(VLOOKUP(VLOOKUP(A1299,'[1]Sales Order'!A:C,3,FALSE),[1]Employee!A:J,10,FALSE),"Not Specified")</f>
        <v>WA</v>
      </c>
      <c r="J1299" t="str">
        <f>VLOOKUP(B1299,[1]Product!A:B,2,FALSE)</f>
        <v>Product VKCMF</v>
      </c>
      <c r="K1299" t="str">
        <f>VLOOKUP(VLOOKUP(B1299,[1]Product!A:D,4,FALSE),[1]Category!A:B,2,FALSE)</f>
        <v>Grains/Cereals</v>
      </c>
      <c r="L1299" s="10">
        <f>IFERROR(VLOOKUP(A1299,'[1]Sales Order'!A:D,4,FALSE),"")</f>
        <v>39399</v>
      </c>
      <c r="M1299" s="10">
        <f>IFERROR(VLOOKUP(A1299,'[1]Sales Order'!A:F,6,FALSE),"")</f>
        <v>39411</v>
      </c>
      <c r="N1299" t="str">
        <f>IFERROR(VLOOKUP(VLOOKUP(A1299,'[1]Sales Order'!A:G,7,FALSE),[1]Shipper!A:B,2,FALSE),"Not Specified")</f>
        <v>Shipper ETYNR</v>
      </c>
      <c r="O1299" t="str">
        <f>IFERROR(VLOOKUP(A1299,'[1]Sales Order'!A:I,9,FALSE),"Not Specified")</f>
        <v>Ship to 89-B</v>
      </c>
      <c r="P1299" t="str">
        <f>IFERROR(VLOOKUP(A1299,'[1]Sales Order'!A:N,14,FALSE),"Not Specified")</f>
        <v>USA</v>
      </c>
      <c r="Q1299" t="str">
        <f>VLOOKUP(VLOOKUP(B1299,[1]Product!A:C,3,FALSE),[1]Supplier!A:B,2,FALSE)</f>
        <v>Supplier ZWZDM</v>
      </c>
      <c r="R1299" t="str">
        <f>VLOOKUP(VLOOKUP(B1299,[1]Product!A:C,3,FALSE),[1]Supplier!A:I,9,FALSE)</f>
        <v>Italy</v>
      </c>
      <c r="S1299" t="str">
        <f>IFERROR(IF(VLOOKUP(A1299,'[1]Sales Order'!A:H,8,FALSE)&gt;100,"High Freight","Low Freight"),"Not Specified")</f>
        <v>Low Freight</v>
      </c>
      <c r="T1299">
        <f t="shared" si="41"/>
        <v>425.6</v>
      </c>
    </row>
    <row r="1300" spans="1:20">
      <c r="A1300" s="1">
        <v>10741</v>
      </c>
      <c r="B1300" s="2">
        <v>2</v>
      </c>
      <c r="C1300" s="2">
        <v>19</v>
      </c>
      <c r="D1300" s="2">
        <v>15</v>
      </c>
      <c r="E1300" s="3">
        <v>0.2</v>
      </c>
      <c r="F1300" s="2" t="str">
        <f>IFERROR(VLOOKUP(VLOOKUP(A1300,'[1]Sales Order'!A:B,2,FALSE),[1]Customer!A:C,3,FALSE),"Not Specified")</f>
        <v>Arndt, Torsten</v>
      </c>
      <c r="G1300" s="2" t="str">
        <f t="shared" si="40"/>
        <v>Arndt Torsten</v>
      </c>
      <c r="H1300" s="8" t="str">
        <f>IFERROR(VLOOKUP(VLOOKUP(A1300,'[1]Sales Order'!A:C,3,FALSE),[1]Employee!A:E,5,FALSE)&amp;" "&amp;VLOOKUP(VLOOKUP(A1300,'[1]Sales Order'!A:C,3,FALSE),[1]Employee!A:C,3,FALSE)&amp;" "&amp;VLOOKUP(VLOOKUP(A1300,'[1]Sales Order'!A:C,3,FALSE),[1]Employee!A:B,2,FALSE),"Not Specified")</f>
        <v>Mrs. Yael Peled</v>
      </c>
      <c r="I1300" t="str">
        <f>IFERROR(VLOOKUP(VLOOKUP(A1300,'[1]Sales Order'!A:C,3,FALSE),[1]Employee!A:J,10,FALSE),"Not Specified")</f>
        <v>WA</v>
      </c>
      <c r="J1300" t="str">
        <f>VLOOKUP(B1300,[1]Product!A:B,2,FALSE)</f>
        <v>Product RECZE</v>
      </c>
      <c r="K1300" t="str">
        <f>VLOOKUP(VLOOKUP(B1300,[1]Product!A:D,4,FALSE),[1]Category!A:B,2,FALSE)</f>
        <v>Beverages</v>
      </c>
      <c r="L1300" s="10">
        <f>IFERROR(VLOOKUP(A1300,'[1]Sales Order'!A:D,4,FALSE),"")</f>
        <v>39400</v>
      </c>
      <c r="M1300" s="10">
        <f>IFERROR(VLOOKUP(A1300,'[1]Sales Order'!A:F,6,FALSE),"")</f>
        <v>39404</v>
      </c>
      <c r="N1300" t="str">
        <f>IFERROR(VLOOKUP(VLOOKUP(A1300,'[1]Sales Order'!A:G,7,FALSE),[1]Shipper!A:B,2,FALSE),"Not Specified")</f>
        <v>Shipper ZHISN</v>
      </c>
      <c r="O1300" t="str">
        <f>IFERROR(VLOOKUP(A1300,'[1]Sales Order'!A:I,9,FALSE),"Not Specified")</f>
        <v>Ship to 4-C</v>
      </c>
      <c r="P1300" t="str">
        <f>IFERROR(VLOOKUP(A1300,'[1]Sales Order'!A:N,14,FALSE),"Not Specified")</f>
        <v>UK</v>
      </c>
      <c r="Q1300" t="str">
        <f>VLOOKUP(VLOOKUP(B1300,[1]Product!A:C,3,FALSE),[1]Supplier!A:B,2,FALSE)</f>
        <v>Supplier SWRXU</v>
      </c>
      <c r="R1300" t="str">
        <f>VLOOKUP(VLOOKUP(B1300,[1]Product!A:C,3,FALSE),[1]Supplier!A:I,9,FALSE)</f>
        <v>UK</v>
      </c>
      <c r="S1300" t="str">
        <f>IFERROR(IF(VLOOKUP(A1300,'[1]Sales Order'!A:H,8,FALSE)&gt;100,"High Freight","Low Freight"),"Not Specified")</f>
        <v>Low Freight</v>
      </c>
      <c r="T1300">
        <f t="shared" si="41"/>
        <v>228</v>
      </c>
    </row>
    <row r="1301" spans="1:20">
      <c r="A1301" s="1">
        <v>10742</v>
      </c>
      <c r="B1301" s="2">
        <v>3</v>
      </c>
      <c r="C1301" s="2">
        <v>10</v>
      </c>
      <c r="D1301" s="2">
        <v>20</v>
      </c>
      <c r="E1301" s="3">
        <v>0</v>
      </c>
      <c r="F1301" s="2" t="str">
        <f>IFERROR(VLOOKUP(VLOOKUP(A1301,'[1]Sales Order'!A:B,2,FALSE),[1]Customer!A:C,3,FALSE),"Not Specified")</f>
        <v>Bassols, Pilar Colome</v>
      </c>
      <c r="G1301" s="2" t="str">
        <f t="shared" si="40"/>
        <v>Bassols Pilar Colome</v>
      </c>
      <c r="H1301" s="8" t="str">
        <f>IFERROR(VLOOKUP(VLOOKUP(A1301,'[1]Sales Order'!A:C,3,FALSE),[1]Employee!A:E,5,FALSE)&amp;" "&amp;VLOOKUP(VLOOKUP(A1301,'[1]Sales Order'!A:C,3,FALSE),[1]Employee!A:C,3,FALSE)&amp;" "&amp;VLOOKUP(VLOOKUP(A1301,'[1]Sales Order'!A:C,3,FALSE),[1]Employee!A:B,2,FALSE),"Not Specified")</f>
        <v>Ms. Judy Lew</v>
      </c>
      <c r="I1301" t="str">
        <f>IFERROR(VLOOKUP(VLOOKUP(A1301,'[1]Sales Order'!A:C,3,FALSE),[1]Employee!A:J,10,FALSE),"Not Specified")</f>
        <v>WA</v>
      </c>
      <c r="J1301" t="str">
        <f>VLOOKUP(B1301,[1]Product!A:B,2,FALSE)</f>
        <v>Product IMEHJ</v>
      </c>
      <c r="K1301" t="str">
        <f>VLOOKUP(VLOOKUP(B1301,[1]Product!A:D,4,FALSE),[1]Category!A:B,2,FALSE)</f>
        <v>Condiments</v>
      </c>
      <c r="L1301" s="10">
        <f>IFERROR(VLOOKUP(A1301,'[1]Sales Order'!A:D,4,FALSE),"")</f>
        <v>39400</v>
      </c>
      <c r="M1301" s="10">
        <f>IFERROR(VLOOKUP(A1301,'[1]Sales Order'!A:F,6,FALSE),"")</f>
        <v>39404</v>
      </c>
      <c r="N1301" t="str">
        <f>IFERROR(VLOOKUP(VLOOKUP(A1301,'[1]Sales Order'!A:G,7,FALSE),[1]Shipper!A:B,2,FALSE),"Not Specified")</f>
        <v>Shipper ZHISN</v>
      </c>
      <c r="O1301" t="str">
        <f>IFERROR(VLOOKUP(A1301,'[1]Sales Order'!A:I,9,FALSE),"Not Specified")</f>
        <v>Destination LPHSI</v>
      </c>
      <c r="P1301" t="str">
        <f>IFERROR(VLOOKUP(A1301,'[1]Sales Order'!A:N,14,FALSE),"Not Specified")</f>
        <v>Canada</v>
      </c>
      <c r="Q1301" t="str">
        <f>VLOOKUP(VLOOKUP(B1301,[1]Product!A:C,3,FALSE),[1]Supplier!A:B,2,FALSE)</f>
        <v>Supplier SWRXU</v>
      </c>
      <c r="R1301" t="str">
        <f>VLOOKUP(VLOOKUP(B1301,[1]Product!A:C,3,FALSE),[1]Supplier!A:I,9,FALSE)</f>
        <v>UK</v>
      </c>
      <c r="S1301" t="str">
        <f>IFERROR(IF(VLOOKUP(A1301,'[1]Sales Order'!A:H,8,FALSE)&gt;100,"High Freight","Low Freight"),"Not Specified")</f>
        <v>High Freight</v>
      </c>
      <c r="T1301">
        <f t="shared" si="41"/>
        <v>200</v>
      </c>
    </row>
    <row r="1302" spans="1:20">
      <c r="A1302" s="1">
        <v>10742</v>
      </c>
      <c r="B1302" s="2">
        <v>60</v>
      </c>
      <c r="C1302" s="2">
        <v>34</v>
      </c>
      <c r="D1302" s="2">
        <v>50</v>
      </c>
      <c r="E1302" s="3">
        <v>0</v>
      </c>
      <c r="F1302" s="2" t="str">
        <f>IFERROR(VLOOKUP(VLOOKUP(A1302,'[1]Sales Order'!A:B,2,FALSE),[1]Customer!A:C,3,FALSE),"Not Specified")</f>
        <v>Bassols, Pilar Colome</v>
      </c>
      <c r="G1302" s="2" t="str">
        <f t="shared" si="40"/>
        <v>Bassols Pilar Colome</v>
      </c>
      <c r="H1302" s="8" t="str">
        <f>IFERROR(VLOOKUP(VLOOKUP(A1302,'[1]Sales Order'!A:C,3,FALSE),[1]Employee!A:E,5,FALSE)&amp;" "&amp;VLOOKUP(VLOOKUP(A1302,'[1]Sales Order'!A:C,3,FALSE),[1]Employee!A:C,3,FALSE)&amp;" "&amp;VLOOKUP(VLOOKUP(A1302,'[1]Sales Order'!A:C,3,FALSE),[1]Employee!A:B,2,FALSE),"Not Specified")</f>
        <v>Ms. Judy Lew</v>
      </c>
      <c r="I1302" t="str">
        <f>IFERROR(VLOOKUP(VLOOKUP(A1302,'[1]Sales Order'!A:C,3,FALSE),[1]Employee!A:J,10,FALSE),"Not Specified")</f>
        <v>WA</v>
      </c>
      <c r="J1302" t="str">
        <f>VLOOKUP(B1302,[1]Product!A:B,2,FALSE)</f>
        <v>Product WHBYK</v>
      </c>
      <c r="K1302" t="str">
        <f>VLOOKUP(VLOOKUP(B1302,[1]Product!A:D,4,FALSE),[1]Category!A:B,2,FALSE)</f>
        <v>Dairy Product</v>
      </c>
      <c r="L1302" s="10">
        <f>IFERROR(VLOOKUP(A1302,'[1]Sales Order'!A:D,4,FALSE),"")</f>
        <v>39400</v>
      </c>
      <c r="M1302" s="10">
        <f>IFERROR(VLOOKUP(A1302,'[1]Sales Order'!A:F,6,FALSE),"")</f>
        <v>39404</v>
      </c>
      <c r="N1302" t="str">
        <f>IFERROR(VLOOKUP(VLOOKUP(A1302,'[1]Sales Order'!A:G,7,FALSE),[1]Shipper!A:B,2,FALSE),"Not Specified")</f>
        <v>Shipper ZHISN</v>
      </c>
      <c r="O1302" t="str">
        <f>IFERROR(VLOOKUP(A1302,'[1]Sales Order'!A:I,9,FALSE),"Not Specified")</f>
        <v>Destination LPHSI</v>
      </c>
      <c r="P1302" t="str">
        <f>IFERROR(VLOOKUP(A1302,'[1]Sales Order'!A:N,14,FALSE),"Not Specified")</f>
        <v>Canada</v>
      </c>
      <c r="Q1302" t="str">
        <f>VLOOKUP(VLOOKUP(B1302,[1]Product!A:C,3,FALSE),[1]Supplier!A:B,2,FALSE)</f>
        <v>Supplier OAVQT</v>
      </c>
      <c r="R1302" t="str">
        <f>VLOOKUP(VLOOKUP(B1302,[1]Product!A:C,3,FALSE),[1]Supplier!A:I,9,FALSE)</f>
        <v>France</v>
      </c>
      <c r="S1302" t="str">
        <f>IFERROR(IF(VLOOKUP(A1302,'[1]Sales Order'!A:H,8,FALSE)&gt;100,"High Freight","Low Freight"),"Not Specified")</f>
        <v>High Freight</v>
      </c>
      <c r="T1302">
        <f t="shared" si="41"/>
        <v>1700</v>
      </c>
    </row>
    <row r="1303" spans="1:20">
      <c r="A1303" s="1">
        <v>10742</v>
      </c>
      <c r="B1303" s="2">
        <v>72</v>
      </c>
      <c r="C1303" s="2">
        <v>34.799999999999997</v>
      </c>
      <c r="D1303" s="2">
        <v>35</v>
      </c>
      <c r="E1303" s="3">
        <v>0</v>
      </c>
      <c r="F1303" s="2" t="str">
        <f>IFERROR(VLOOKUP(VLOOKUP(A1303,'[1]Sales Order'!A:B,2,FALSE),[1]Customer!A:C,3,FALSE),"Not Specified")</f>
        <v>Bassols, Pilar Colome</v>
      </c>
      <c r="G1303" s="2" t="str">
        <f t="shared" si="40"/>
        <v>Bassols Pilar Colome</v>
      </c>
      <c r="H1303" s="8" t="str">
        <f>IFERROR(VLOOKUP(VLOOKUP(A1303,'[1]Sales Order'!A:C,3,FALSE),[1]Employee!A:E,5,FALSE)&amp;" "&amp;VLOOKUP(VLOOKUP(A1303,'[1]Sales Order'!A:C,3,FALSE),[1]Employee!A:C,3,FALSE)&amp;" "&amp;VLOOKUP(VLOOKUP(A1303,'[1]Sales Order'!A:C,3,FALSE),[1]Employee!A:B,2,FALSE),"Not Specified")</f>
        <v>Ms. Judy Lew</v>
      </c>
      <c r="I1303" t="str">
        <f>IFERROR(VLOOKUP(VLOOKUP(A1303,'[1]Sales Order'!A:C,3,FALSE),[1]Employee!A:J,10,FALSE),"Not Specified")</f>
        <v>WA</v>
      </c>
      <c r="J1303" t="str">
        <f>VLOOKUP(B1303,[1]Product!A:B,2,FALSE)</f>
        <v>Product GEEOO</v>
      </c>
      <c r="K1303" t="str">
        <f>VLOOKUP(VLOOKUP(B1303,[1]Product!A:D,4,FALSE),[1]Category!A:B,2,FALSE)</f>
        <v>Dairy Product</v>
      </c>
      <c r="L1303" s="10">
        <f>IFERROR(VLOOKUP(A1303,'[1]Sales Order'!A:D,4,FALSE),"")</f>
        <v>39400</v>
      </c>
      <c r="M1303" s="10">
        <f>IFERROR(VLOOKUP(A1303,'[1]Sales Order'!A:F,6,FALSE),"")</f>
        <v>39404</v>
      </c>
      <c r="N1303" t="str">
        <f>IFERROR(VLOOKUP(VLOOKUP(A1303,'[1]Sales Order'!A:G,7,FALSE),[1]Shipper!A:B,2,FALSE),"Not Specified")</f>
        <v>Shipper ZHISN</v>
      </c>
      <c r="O1303" t="str">
        <f>IFERROR(VLOOKUP(A1303,'[1]Sales Order'!A:I,9,FALSE),"Not Specified")</f>
        <v>Destination LPHSI</v>
      </c>
      <c r="P1303" t="str">
        <f>IFERROR(VLOOKUP(A1303,'[1]Sales Order'!A:N,14,FALSE),"Not Specified")</f>
        <v>Canada</v>
      </c>
      <c r="Q1303" t="str">
        <f>VLOOKUP(VLOOKUP(B1303,[1]Product!A:C,3,FALSE),[1]Supplier!A:B,2,FALSE)</f>
        <v>Supplier KEREV</v>
      </c>
      <c r="R1303" t="str">
        <f>VLOOKUP(VLOOKUP(B1303,[1]Product!A:C,3,FALSE),[1]Supplier!A:I,9,FALSE)</f>
        <v>Italy</v>
      </c>
      <c r="S1303" t="str">
        <f>IFERROR(IF(VLOOKUP(A1303,'[1]Sales Order'!A:H,8,FALSE)&gt;100,"High Freight","Low Freight"),"Not Specified")</f>
        <v>High Freight</v>
      </c>
      <c r="T1303">
        <f t="shared" si="41"/>
        <v>1218</v>
      </c>
    </row>
    <row r="1304" spans="1:20">
      <c r="A1304" s="1">
        <v>10743</v>
      </c>
      <c r="B1304" s="2">
        <v>46</v>
      </c>
      <c r="C1304" s="2">
        <v>12</v>
      </c>
      <c r="D1304" s="2">
        <v>28</v>
      </c>
      <c r="E1304" s="3">
        <v>0.05</v>
      </c>
      <c r="F1304" s="2" t="str">
        <f>IFERROR(VLOOKUP(VLOOKUP(A1304,'[1]Sales Order'!A:B,2,FALSE),[1]Customer!A:C,3,FALSE),"Not Specified")</f>
        <v>Arndt, Torsten</v>
      </c>
      <c r="G1304" s="2" t="str">
        <f t="shared" si="40"/>
        <v>Arndt Torsten</v>
      </c>
      <c r="H1304" s="8" t="str">
        <f>IFERROR(VLOOKUP(VLOOKUP(A1304,'[1]Sales Order'!A:C,3,FALSE),[1]Employee!A:E,5,FALSE)&amp;" "&amp;VLOOKUP(VLOOKUP(A1304,'[1]Sales Order'!A:C,3,FALSE),[1]Employee!A:C,3,FALSE)&amp;" "&amp;VLOOKUP(VLOOKUP(A1304,'[1]Sales Order'!A:C,3,FALSE),[1]Employee!A:B,2,FALSE),"Not Specified")</f>
        <v>Ms. Sara Davis</v>
      </c>
      <c r="I1304" t="str">
        <f>IFERROR(VLOOKUP(VLOOKUP(A1304,'[1]Sales Order'!A:C,3,FALSE),[1]Employee!A:J,10,FALSE),"Not Specified")</f>
        <v>WA</v>
      </c>
      <c r="J1304" t="str">
        <f>VLOOKUP(B1304,[1]Product!A:B,2,FALSE)</f>
        <v>Product CBRRL</v>
      </c>
      <c r="K1304" t="str">
        <f>VLOOKUP(VLOOKUP(B1304,[1]Product!A:D,4,FALSE),[1]Category!A:B,2,FALSE)</f>
        <v>Seafood</v>
      </c>
      <c r="L1304" s="10">
        <f>IFERROR(VLOOKUP(A1304,'[1]Sales Order'!A:D,4,FALSE),"")</f>
        <v>39403</v>
      </c>
      <c r="M1304" s="10">
        <f>IFERROR(VLOOKUP(A1304,'[1]Sales Order'!A:F,6,FALSE),"")</f>
        <v>39407</v>
      </c>
      <c r="N1304" t="str">
        <f>IFERROR(VLOOKUP(VLOOKUP(A1304,'[1]Sales Order'!A:G,7,FALSE),[1]Shipper!A:B,2,FALSE),"Not Specified")</f>
        <v>Shipper ETYNR</v>
      </c>
      <c r="O1304" t="str">
        <f>IFERROR(VLOOKUP(A1304,'[1]Sales Order'!A:I,9,FALSE),"Not Specified")</f>
        <v>Ship to 4-C</v>
      </c>
      <c r="P1304" t="str">
        <f>IFERROR(VLOOKUP(A1304,'[1]Sales Order'!A:N,14,FALSE),"Not Specified")</f>
        <v>UK</v>
      </c>
      <c r="Q1304" t="str">
        <f>VLOOKUP(VLOOKUP(B1304,[1]Product!A:C,3,FALSE),[1]Supplier!A:B,2,FALSE)</f>
        <v>Supplier XOXZA</v>
      </c>
      <c r="R1304" t="str">
        <f>VLOOKUP(VLOOKUP(B1304,[1]Product!A:C,3,FALSE),[1]Supplier!A:I,9,FALSE)</f>
        <v>Denmark</v>
      </c>
      <c r="S1304" t="str">
        <f>IFERROR(IF(VLOOKUP(A1304,'[1]Sales Order'!A:H,8,FALSE)&gt;100,"High Freight","Low Freight"),"Not Specified")</f>
        <v>Low Freight</v>
      </c>
      <c r="T1304">
        <f t="shared" si="41"/>
        <v>319.2</v>
      </c>
    </row>
    <row r="1305" spans="1:20">
      <c r="A1305" s="1">
        <v>10744</v>
      </c>
      <c r="B1305" s="2">
        <v>40</v>
      </c>
      <c r="C1305" s="2">
        <v>18.399999999999999</v>
      </c>
      <c r="D1305" s="2">
        <v>50</v>
      </c>
      <c r="E1305" s="3">
        <v>0.2</v>
      </c>
      <c r="F1305" s="2" t="str">
        <f>IFERROR(VLOOKUP(VLOOKUP(A1305,'[1]Sales Order'!A:B,2,FALSE),[1]Customer!A:C,3,FALSE),"Not Specified")</f>
        <v>Fonteneau, Karl</v>
      </c>
      <c r="G1305" s="2" t="str">
        <f t="shared" si="40"/>
        <v>Fonteneau Karl</v>
      </c>
      <c r="H1305" s="8" t="str">
        <f>IFERROR(VLOOKUP(VLOOKUP(A1305,'[1]Sales Order'!A:C,3,FALSE),[1]Employee!A:E,5,FALSE)&amp;" "&amp;VLOOKUP(VLOOKUP(A1305,'[1]Sales Order'!A:C,3,FALSE),[1]Employee!A:C,3,FALSE)&amp;" "&amp;VLOOKUP(VLOOKUP(A1305,'[1]Sales Order'!A:C,3,FALSE),[1]Employee!A:B,2,FALSE),"Not Specified")</f>
        <v>Mr. Paul Suurs</v>
      </c>
      <c r="I1305">
        <f>IFERROR(VLOOKUP(VLOOKUP(A1305,'[1]Sales Order'!A:C,3,FALSE),[1]Employee!A:J,10,FALSE),"Not Specified")</f>
        <v>0</v>
      </c>
      <c r="J1305" t="str">
        <f>VLOOKUP(B1305,[1]Product!A:B,2,FALSE)</f>
        <v>Product YZIXQ</v>
      </c>
      <c r="K1305" t="str">
        <f>VLOOKUP(VLOOKUP(B1305,[1]Product!A:D,4,FALSE),[1]Category!A:B,2,FALSE)</f>
        <v>Seafood</v>
      </c>
      <c r="L1305" s="10">
        <f>IFERROR(VLOOKUP(A1305,'[1]Sales Order'!A:D,4,FALSE),"")</f>
        <v>39403</v>
      </c>
      <c r="M1305" s="10">
        <f>IFERROR(VLOOKUP(A1305,'[1]Sales Order'!A:F,6,FALSE),"")</f>
        <v>39410</v>
      </c>
      <c r="N1305" t="str">
        <f>IFERROR(VLOOKUP(VLOOKUP(A1305,'[1]Sales Order'!A:G,7,FALSE),[1]Shipper!A:B,2,FALSE),"Not Specified")</f>
        <v>Shipper GVSUA</v>
      </c>
      <c r="O1305" t="str">
        <f>IFERROR(VLOOKUP(A1305,'[1]Sales Order'!A:I,9,FALSE),"Not Specified")</f>
        <v>Ship to 83-A</v>
      </c>
      <c r="P1305" t="str">
        <f>IFERROR(VLOOKUP(A1305,'[1]Sales Order'!A:N,14,FALSE),"Not Specified")</f>
        <v>Denmark</v>
      </c>
      <c r="Q1305" t="str">
        <f>VLOOKUP(VLOOKUP(B1305,[1]Product!A:C,3,FALSE),[1]Supplier!A:B,2,FALSE)</f>
        <v>Supplier JDNUG</v>
      </c>
      <c r="R1305" t="str">
        <f>VLOOKUP(VLOOKUP(B1305,[1]Product!A:C,3,FALSE),[1]Supplier!A:I,9,FALSE)</f>
        <v>USA</v>
      </c>
      <c r="S1305" t="str">
        <f>IFERROR(IF(VLOOKUP(A1305,'[1]Sales Order'!A:H,8,FALSE)&gt;100,"High Freight","Low Freight"),"Not Specified")</f>
        <v>Low Freight</v>
      </c>
      <c r="T1305">
        <f t="shared" si="41"/>
        <v>736</v>
      </c>
    </row>
    <row r="1306" spans="1:20">
      <c r="A1306" s="1">
        <v>10745</v>
      </c>
      <c r="B1306" s="2">
        <v>18</v>
      </c>
      <c r="C1306" s="2">
        <v>62.5</v>
      </c>
      <c r="D1306" s="2">
        <v>24</v>
      </c>
      <c r="E1306" s="3">
        <v>0</v>
      </c>
      <c r="F1306" s="2" t="str">
        <f>IFERROR(VLOOKUP(VLOOKUP(A1306,'[1]Sales Order'!A:B,2,FALSE),[1]Customer!A:C,3,FALSE),"Not Specified")</f>
        <v>Veronesi, Giorgio</v>
      </c>
      <c r="G1306" s="2" t="str">
        <f t="shared" si="40"/>
        <v>Veronesi Giorgio</v>
      </c>
      <c r="H1306" s="8" t="str">
        <f>IFERROR(VLOOKUP(VLOOKUP(A1306,'[1]Sales Order'!A:C,3,FALSE),[1]Employee!A:E,5,FALSE)&amp;" "&amp;VLOOKUP(VLOOKUP(A1306,'[1]Sales Order'!A:C,3,FALSE),[1]Employee!A:C,3,FALSE)&amp;" "&amp;VLOOKUP(VLOOKUP(A1306,'[1]Sales Order'!A:C,3,FALSE),[1]Employee!A:B,2,FALSE),"Not Specified")</f>
        <v>Ms. Zoya Dolgopyatova</v>
      </c>
      <c r="I1306">
        <f>IFERROR(VLOOKUP(VLOOKUP(A1306,'[1]Sales Order'!A:C,3,FALSE),[1]Employee!A:J,10,FALSE),"Not Specified")</f>
        <v>0</v>
      </c>
      <c r="J1306" t="str">
        <f>VLOOKUP(B1306,[1]Product!A:B,2,FALSE)</f>
        <v>Product CKEDC</v>
      </c>
      <c r="K1306" t="str">
        <f>VLOOKUP(VLOOKUP(B1306,[1]Product!A:D,4,FALSE),[1]Category!A:B,2,FALSE)</f>
        <v>Seafood</v>
      </c>
      <c r="L1306" s="10">
        <f>IFERROR(VLOOKUP(A1306,'[1]Sales Order'!A:D,4,FALSE),"")</f>
        <v>39404</v>
      </c>
      <c r="M1306" s="10">
        <f>IFERROR(VLOOKUP(A1306,'[1]Sales Order'!A:F,6,FALSE),"")</f>
        <v>39413</v>
      </c>
      <c r="N1306" t="str">
        <f>IFERROR(VLOOKUP(VLOOKUP(A1306,'[1]Sales Order'!A:G,7,FALSE),[1]Shipper!A:B,2,FALSE),"Not Specified")</f>
        <v>Shipper GVSUA</v>
      </c>
      <c r="O1306" t="str">
        <f>IFERROR(VLOOKUP(A1306,'[1]Sales Order'!A:I,9,FALSE),"Not Specified")</f>
        <v>Ship to 63-C</v>
      </c>
      <c r="P1306" t="str">
        <f>IFERROR(VLOOKUP(A1306,'[1]Sales Order'!A:N,14,FALSE),"Not Specified")</f>
        <v>Germany</v>
      </c>
      <c r="Q1306" t="str">
        <f>VLOOKUP(VLOOKUP(B1306,[1]Product!A:C,3,FALSE),[1]Supplier!A:B,2,FALSE)</f>
        <v>Supplier GQRCV</v>
      </c>
      <c r="R1306" t="str">
        <f>VLOOKUP(VLOOKUP(B1306,[1]Product!A:C,3,FALSE),[1]Supplier!A:I,9,FALSE)</f>
        <v>Australia</v>
      </c>
      <c r="S1306" t="str">
        <f>IFERROR(IF(VLOOKUP(A1306,'[1]Sales Order'!A:H,8,FALSE)&gt;100,"High Freight","Low Freight"),"Not Specified")</f>
        <v>Low Freight</v>
      </c>
      <c r="T1306">
        <f t="shared" si="41"/>
        <v>1500</v>
      </c>
    </row>
    <row r="1307" spans="1:20">
      <c r="A1307" s="1">
        <v>10745</v>
      </c>
      <c r="B1307" s="2">
        <v>44</v>
      </c>
      <c r="C1307" s="2">
        <v>19.45</v>
      </c>
      <c r="D1307" s="2">
        <v>16</v>
      </c>
      <c r="E1307" s="3">
        <v>0</v>
      </c>
      <c r="F1307" s="2" t="str">
        <f>IFERROR(VLOOKUP(VLOOKUP(A1307,'[1]Sales Order'!A:B,2,FALSE),[1]Customer!A:C,3,FALSE),"Not Specified")</f>
        <v>Veronesi, Giorgio</v>
      </c>
      <c r="G1307" s="2" t="str">
        <f t="shared" si="40"/>
        <v>Veronesi Giorgio</v>
      </c>
      <c r="H1307" s="8" t="str">
        <f>IFERROR(VLOOKUP(VLOOKUP(A1307,'[1]Sales Order'!A:C,3,FALSE),[1]Employee!A:E,5,FALSE)&amp;" "&amp;VLOOKUP(VLOOKUP(A1307,'[1]Sales Order'!A:C,3,FALSE),[1]Employee!A:C,3,FALSE)&amp;" "&amp;VLOOKUP(VLOOKUP(A1307,'[1]Sales Order'!A:C,3,FALSE),[1]Employee!A:B,2,FALSE),"Not Specified")</f>
        <v>Ms. Zoya Dolgopyatova</v>
      </c>
      <c r="I1307">
        <f>IFERROR(VLOOKUP(VLOOKUP(A1307,'[1]Sales Order'!A:C,3,FALSE),[1]Employee!A:J,10,FALSE),"Not Specified")</f>
        <v>0</v>
      </c>
      <c r="J1307" t="str">
        <f>VLOOKUP(B1307,[1]Product!A:B,2,FALSE)</f>
        <v>Product VJIEO</v>
      </c>
      <c r="K1307" t="str">
        <f>VLOOKUP(VLOOKUP(B1307,[1]Product!A:D,4,FALSE),[1]Category!A:B,2,FALSE)</f>
        <v>Condiments</v>
      </c>
      <c r="L1307" s="10">
        <f>IFERROR(VLOOKUP(A1307,'[1]Sales Order'!A:D,4,FALSE),"")</f>
        <v>39404</v>
      </c>
      <c r="M1307" s="10">
        <f>IFERROR(VLOOKUP(A1307,'[1]Sales Order'!A:F,6,FALSE),"")</f>
        <v>39413</v>
      </c>
      <c r="N1307" t="str">
        <f>IFERROR(VLOOKUP(VLOOKUP(A1307,'[1]Sales Order'!A:G,7,FALSE),[1]Shipper!A:B,2,FALSE),"Not Specified")</f>
        <v>Shipper GVSUA</v>
      </c>
      <c r="O1307" t="str">
        <f>IFERROR(VLOOKUP(A1307,'[1]Sales Order'!A:I,9,FALSE),"Not Specified")</f>
        <v>Ship to 63-C</v>
      </c>
      <c r="P1307" t="str">
        <f>IFERROR(VLOOKUP(A1307,'[1]Sales Order'!A:N,14,FALSE),"Not Specified")</f>
        <v>Germany</v>
      </c>
      <c r="Q1307" t="str">
        <f>VLOOKUP(VLOOKUP(B1307,[1]Product!A:C,3,FALSE),[1]Supplier!A:B,2,FALSE)</f>
        <v>Supplier CIYNM</v>
      </c>
      <c r="R1307" t="str">
        <f>VLOOKUP(VLOOKUP(B1307,[1]Product!A:C,3,FALSE),[1]Supplier!A:I,9,FALSE)</f>
        <v>Singapore</v>
      </c>
      <c r="S1307" t="str">
        <f>IFERROR(IF(VLOOKUP(A1307,'[1]Sales Order'!A:H,8,FALSE)&gt;100,"High Freight","Low Freight"),"Not Specified")</f>
        <v>Low Freight</v>
      </c>
      <c r="T1307">
        <f t="shared" si="41"/>
        <v>311.2</v>
      </c>
    </row>
    <row r="1308" spans="1:20">
      <c r="A1308" s="1">
        <v>10745</v>
      </c>
      <c r="B1308" s="2">
        <v>59</v>
      </c>
      <c r="C1308" s="2">
        <v>55</v>
      </c>
      <c r="D1308" s="2">
        <v>45</v>
      </c>
      <c r="E1308" s="3">
        <v>0</v>
      </c>
      <c r="F1308" s="2" t="str">
        <f>IFERROR(VLOOKUP(VLOOKUP(A1308,'[1]Sales Order'!A:B,2,FALSE),[1]Customer!A:C,3,FALSE),"Not Specified")</f>
        <v>Veronesi, Giorgio</v>
      </c>
      <c r="G1308" s="2" t="str">
        <f t="shared" si="40"/>
        <v>Veronesi Giorgio</v>
      </c>
      <c r="H1308" s="8" t="str">
        <f>IFERROR(VLOOKUP(VLOOKUP(A1308,'[1]Sales Order'!A:C,3,FALSE),[1]Employee!A:E,5,FALSE)&amp;" "&amp;VLOOKUP(VLOOKUP(A1308,'[1]Sales Order'!A:C,3,FALSE),[1]Employee!A:C,3,FALSE)&amp;" "&amp;VLOOKUP(VLOOKUP(A1308,'[1]Sales Order'!A:C,3,FALSE),[1]Employee!A:B,2,FALSE),"Not Specified")</f>
        <v>Ms. Zoya Dolgopyatova</v>
      </c>
      <c r="I1308">
        <f>IFERROR(VLOOKUP(VLOOKUP(A1308,'[1]Sales Order'!A:C,3,FALSE),[1]Employee!A:J,10,FALSE),"Not Specified")</f>
        <v>0</v>
      </c>
      <c r="J1308" t="str">
        <f>VLOOKUP(B1308,[1]Product!A:B,2,FALSE)</f>
        <v>Product UKXRI</v>
      </c>
      <c r="K1308" t="str">
        <f>VLOOKUP(VLOOKUP(B1308,[1]Product!A:D,4,FALSE),[1]Category!A:B,2,FALSE)</f>
        <v>Dairy Product</v>
      </c>
      <c r="L1308" s="10">
        <f>IFERROR(VLOOKUP(A1308,'[1]Sales Order'!A:D,4,FALSE),"")</f>
        <v>39404</v>
      </c>
      <c r="M1308" s="10">
        <f>IFERROR(VLOOKUP(A1308,'[1]Sales Order'!A:F,6,FALSE),"")</f>
        <v>39413</v>
      </c>
      <c r="N1308" t="str">
        <f>IFERROR(VLOOKUP(VLOOKUP(A1308,'[1]Sales Order'!A:G,7,FALSE),[1]Shipper!A:B,2,FALSE),"Not Specified")</f>
        <v>Shipper GVSUA</v>
      </c>
      <c r="O1308" t="str">
        <f>IFERROR(VLOOKUP(A1308,'[1]Sales Order'!A:I,9,FALSE),"Not Specified")</f>
        <v>Ship to 63-C</v>
      </c>
      <c r="P1308" t="str">
        <f>IFERROR(VLOOKUP(A1308,'[1]Sales Order'!A:N,14,FALSE),"Not Specified")</f>
        <v>Germany</v>
      </c>
      <c r="Q1308" t="str">
        <f>VLOOKUP(VLOOKUP(B1308,[1]Product!A:C,3,FALSE),[1]Supplier!A:B,2,FALSE)</f>
        <v>Supplier OAVQT</v>
      </c>
      <c r="R1308" t="str">
        <f>VLOOKUP(VLOOKUP(B1308,[1]Product!A:C,3,FALSE),[1]Supplier!A:I,9,FALSE)</f>
        <v>France</v>
      </c>
      <c r="S1308" t="str">
        <f>IFERROR(IF(VLOOKUP(A1308,'[1]Sales Order'!A:H,8,FALSE)&gt;100,"High Freight","Low Freight"),"Not Specified")</f>
        <v>Low Freight</v>
      </c>
      <c r="T1308">
        <f t="shared" si="41"/>
        <v>2475</v>
      </c>
    </row>
    <row r="1309" spans="1:20">
      <c r="A1309" s="1">
        <v>10745</v>
      </c>
      <c r="B1309" s="2">
        <v>72</v>
      </c>
      <c r="C1309" s="2">
        <v>34.799999999999997</v>
      </c>
      <c r="D1309" s="2">
        <v>7</v>
      </c>
      <c r="E1309" s="3">
        <v>0</v>
      </c>
      <c r="F1309" s="2" t="str">
        <f>IFERROR(VLOOKUP(VLOOKUP(A1309,'[1]Sales Order'!A:B,2,FALSE),[1]Customer!A:C,3,FALSE),"Not Specified")</f>
        <v>Veronesi, Giorgio</v>
      </c>
      <c r="G1309" s="2" t="str">
        <f t="shared" si="40"/>
        <v>Veronesi Giorgio</v>
      </c>
      <c r="H1309" s="8" t="str">
        <f>IFERROR(VLOOKUP(VLOOKUP(A1309,'[1]Sales Order'!A:C,3,FALSE),[1]Employee!A:E,5,FALSE)&amp;" "&amp;VLOOKUP(VLOOKUP(A1309,'[1]Sales Order'!A:C,3,FALSE),[1]Employee!A:C,3,FALSE)&amp;" "&amp;VLOOKUP(VLOOKUP(A1309,'[1]Sales Order'!A:C,3,FALSE),[1]Employee!A:B,2,FALSE),"Not Specified")</f>
        <v>Ms. Zoya Dolgopyatova</v>
      </c>
      <c r="I1309">
        <f>IFERROR(VLOOKUP(VLOOKUP(A1309,'[1]Sales Order'!A:C,3,FALSE),[1]Employee!A:J,10,FALSE),"Not Specified")</f>
        <v>0</v>
      </c>
      <c r="J1309" t="str">
        <f>VLOOKUP(B1309,[1]Product!A:B,2,FALSE)</f>
        <v>Product GEEOO</v>
      </c>
      <c r="K1309" t="str">
        <f>VLOOKUP(VLOOKUP(B1309,[1]Product!A:D,4,FALSE),[1]Category!A:B,2,FALSE)</f>
        <v>Dairy Product</v>
      </c>
      <c r="L1309" s="10">
        <f>IFERROR(VLOOKUP(A1309,'[1]Sales Order'!A:D,4,FALSE),"")</f>
        <v>39404</v>
      </c>
      <c r="M1309" s="10">
        <f>IFERROR(VLOOKUP(A1309,'[1]Sales Order'!A:F,6,FALSE),"")</f>
        <v>39413</v>
      </c>
      <c r="N1309" t="str">
        <f>IFERROR(VLOOKUP(VLOOKUP(A1309,'[1]Sales Order'!A:G,7,FALSE),[1]Shipper!A:B,2,FALSE),"Not Specified")</f>
        <v>Shipper GVSUA</v>
      </c>
      <c r="O1309" t="str">
        <f>IFERROR(VLOOKUP(A1309,'[1]Sales Order'!A:I,9,FALSE),"Not Specified")</f>
        <v>Ship to 63-C</v>
      </c>
      <c r="P1309" t="str">
        <f>IFERROR(VLOOKUP(A1309,'[1]Sales Order'!A:N,14,FALSE),"Not Specified")</f>
        <v>Germany</v>
      </c>
      <c r="Q1309" t="str">
        <f>VLOOKUP(VLOOKUP(B1309,[1]Product!A:C,3,FALSE),[1]Supplier!A:B,2,FALSE)</f>
        <v>Supplier KEREV</v>
      </c>
      <c r="R1309" t="str">
        <f>VLOOKUP(VLOOKUP(B1309,[1]Product!A:C,3,FALSE),[1]Supplier!A:I,9,FALSE)</f>
        <v>Italy</v>
      </c>
      <c r="S1309" t="str">
        <f>IFERROR(IF(VLOOKUP(A1309,'[1]Sales Order'!A:H,8,FALSE)&gt;100,"High Freight","Low Freight"),"Not Specified")</f>
        <v>Low Freight</v>
      </c>
      <c r="T1309">
        <f t="shared" si="41"/>
        <v>243.59999999999997</v>
      </c>
    </row>
    <row r="1310" spans="1:20">
      <c r="A1310" s="1">
        <v>10746</v>
      </c>
      <c r="B1310" s="2">
        <v>13</v>
      </c>
      <c r="C1310" s="2">
        <v>6</v>
      </c>
      <c r="D1310" s="2">
        <v>6</v>
      </c>
      <c r="E1310" s="3">
        <v>0</v>
      </c>
      <c r="F1310" s="2" t="str">
        <f>IFERROR(VLOOKUP(VLOOKUP(A1310,'[1]Sales Order'!A:B,2,FALSE),[1]Customer!A:C,3,FALSE),"Not Specified")</f>
        <v>Jelitto, Jacek</v>
      </c>
      <c r="G1310" s="2" t="str">
        <f t="shared" si="40"/>
        <v>Jelitto Jacek</v>
      </c>
      <c r="H1310" s="8" t="str">
        <f>IFERROR(VLOOKUP(VLOOKUP(A1310,'[1]Sales Order'!A:C,3,FALSE),[1]Employee!A:E,5,FALSE)&amp;" "&amp;VLOOKUP(VLOOKUP(A1310,'[1]Sales Order'!A:C,3,FALSE),[1]Employee!A:C,3,FALSE)&amp;" "&amp;VLOOKUP(VLOOKUP(A1310,'[1]Sales Order'!A:C,3,FALSE),[1]Employee!A:B,2,FALSE),"Not Specified")</f>
        <v>Ms. Sara Davis</v>
      </c>
      <c r="I1310" t="str">
        <f>IFERROR(VLOOKUP(VLOOKUP(A1310,'[1]Sales Order'!A:C,3,FALSE),[1]Employee!A:J,10,FALSE),"Not Specified")</f>
        <v>WA</v>
      </c>
      <c r="J1310" t="str">
        <f>VLOOKUP(B1310,[1]Product!A:B,2,FALSE)</f>
        <v>Product POXFU</v>
      </c>
      <c r="K1310" t="str">
        <f>VLOOKUP(VLOOKUP(B1310,[1]Product!A:D,4,FALSE),[1]Category!A:B,2,FALSE)</f>
        <v>Seafood</v>
      </c>
      <c r="L1310" s="10">
        <f>IFERROR(VLOOKUP(A1310,'[1]Sales Order'!A:D,4,FALSE),"")</f>
        <v>39405</v>
      </c>
      <c r="M1310" s="10">
        <f>IFERROR(VLOOKUP(A1310,'[1]Sales Order'!A:F,6,FALSE),"")</f>
        <v>39407</v>
      </c>
      <c r="N1310" t="str">
        <f>IFERROR(VLOOKUP(VLOOKUP(A1310,'[1]Sales Order'!A:G,7,FALSE),[1]Shipper!A:B,2,FALSE),"Not Specified")</f>
        <v>Shipper ZHISN</v>
      </c>
      <c r="O1310" t="str">
        <f>IFERROR(VLOOKUP(A1310,'[1]Sales Order'!A:I,9,FALSE),"Not Specified")</f>
        <v>Destination NRTZZ</v>
      </c>
      <c r="P1310" t="str">
        <f>IFERROR(VLOOKUP(A1310,'[1]Sales Order'!A:N,14,FALSE),"Not Specified")</f>
        <v>Switzerland</v>
      </c>
      <c r="Q1310" t="str">
        <f>VLOOKUP(VLOOKUP(B1310,[1]Product!A:C,3,FALSE),[1]Supplier!A:B,2,FALSE)</f>
        <v>Supplier QWUSF</v>
      </c>
      <c r="R1310" t="str">
        <f>VLOOKUP(VLOOKUP(B1310,[1]Product!A:C,3,FALSE),[1]Supplier!A:I,9,FALSE)</f>
        <v>Japan</v>
      </c>
      <c r="S1310" t="str">
        <f>IFERROR(IF(VLOOKUP(A1310,'[1]Sales Order'!A:H,8,FALSE)&gt;100,"High Freight","Low Freight"),"Not Specified")</f>
        <v>Low Freight</v>
      </c>
      <c r="T1310">
        <f t="shared" si="41"/>
        <v>36</v>
      </c>
    </row>
    <row r="1311" spans="1:20">
      <c r="A1311" s="1">
        <v>10746</v>
      </c>
      <c r="B1311" s="2">
        <v>42</v>
      </c>
      <c r="C1311" s="2">
        <v>14</v>
      </c>
      <c r="D1311" s="2">
        <v>28</v>
      </c>
      <c r="E1311" s="3">
        <v>0</v>
      </c>
      <c r="F1311" s="2" t="str">
        <f>IFERROR(VLOOKUP(VLOOKUP(A1311,'[1]Sales Order'!A:B,2,FALSE),[1]Customer!A:C,3,FALSE),"Not Specified")</f>
        <v>Jelitto, Jacek</v>
      </c>
      <c r="G1311" s="2" t="str">
        <f t="shared" si="40"/>
        <v>Jelitto Jacek</v>
      </c>
      <c r="H1311" s="8" t="str">
        <f>IFERROR(VLOOKUP(VLOOKUP(A1311,'[1]Sales Order'!A:C,3,FALSE),[1]Employee!A:E,5,FALSE)&amp;" "&amp;VLOOKUP(VLOOKUP(A1311,'[1]Sales Order'!A:C,3,FALSE),[1]Employee!A:C,3,FALSE)&amp;" "&amp;VLOOKUP(VLOOKUP(A1311,'[1]Sales Order'!A:C,3,FALSE),[1]Employee!A:B,2,FALSE),"Not Specified")</f>
        <v>Ms. Sara Davis</v>
      </c>
      <c r="I1311" t="str">
        <f>IFERROR(VLOOKUP(VLOOKUP(A1311,'[1]Sales Order'!A:C,3,FALSE),[1]Employee!A:J,10,FALSE),"Not Specified")</f>
        <v>WA</v>
      </c>
      <c r="J1311" t="str">
        <f>VLOOKUP(B1311,[1]Product!A:B,2,FALSE)</f>
        <v>Product RJVNM</v>
      </c>
      <c r="K1311" t="str">
        <f>VLOOKUP(VLOOKUP(B1311,[1]Product!A:D,4,FALSE),[1]Category!A:B,2,FALSE)</f>
        <v>Grains/Cereals</v>
      </c>
      <c r="L1311" s="10">
        <f>IFERROR(VLOOKUP(A1311,'[1]Sales Order'!A:D,4,FALSE),"")</f>
        <v>39405</v>
      </c>
      <c r="M1311" s="10">
        <f>IFERROR(VLOOKUP(A1311,'[1]Sales Order'!A:F,6,FALSE),"")</f>
        <v>39407</v>
      </c>
      <c r="N1311" t="str">
        <f>IFERROR(VLOOKUP(VLOOKUP(A1311,'[1]Sales Order'!A:G,7,FALSE),[1]Shipper!A:B,2,FALSE),"Not Specified")</f>
        <v>Shipper ZHISN</v>
      </c>
      <c r="O1311" t="str">
        <f>IFERROR(VLOOKUP(A1311,'[1]Sales Order'!A:I,9,FALSE),"Not Specified")</f>
        <v>Destination NRTZZ</v>
      </c>
      <c r="P1311" t="str">
        <f>IFERROR(VLOOKUP(A1311,'[1]Sales Order'!A:N,14,FALSE),"Not Specified")</f>
        <v>Switzerland</v>
      </c>
      <c r="Q1311" t="str">
        <f>VLOOKUP(VLOOKUP(B1311,[1]Product!A:C,3,FALSE),[1]Supplier!A:B,2,FALSE)</f>
        <v>Supplier CIYNM</v>
      </c>
      <c r="R1311" t="str">
        <f>VLOOKUP(VLOOKUP(B1311,[1]Product!A:C,3,FALSE),[1]Supplier!A:I,9,FALSE)</f>
        <v>Singapore</v>
      </c>
      <c r="S1311" t="str">
        <f>IFERROR(IF(VLOOKUP(A1311,'[1]Sales Order'!A:H,8,FALSE)&gt;100,"High Freight","Low Freight"),"Not Specified")</f>
        <v>Low Freight</v>
      </c>
      <c r="T1311">
        <f t="shared" si="41"/>
        <v>392</v>
      </c>
    </row>
    <row r="1312" spans="1:20">
      <c r="A1312" s="1">
        <v>10746</v>
      </c>
      <c r="B1312" s="2">
        <v>62</v>
      </c>
      <c r="C1312" s="2">
        <v>49.3</v>
      </c>
      <c r="D1312" s="2">
        <v>9</v>
      </c>
      <c r="E1312" s="3">
        <v>0</v>
      </c>
      <c r="F1312" s="2" t="str">
        <f>IFERROR(VLOOKUP(VLOOKUP(A1312,'[1]Sales Order'!A:B,2,FALSE),[1]Customer!A:C,3,FALSE),"Not Specified")</f>
        <v>Jelitto, Jacek</v>
      </c>
      <c r="G1312" s="2" t="str">
        <f t="shared" si="40"/>
        <v>Jelitto Jacek</v>
      </c>
      <c r="H1312" s="8" t="str">
        <f>IFERROR(VLOOKUP(VLOOKUP(A1312,'[1]Sales Order'!A:C,3,FALSE),[1]Employee!A:E,5,FALSE)&amp;" "&amp;VLOOKUP(VLOOKUP(A1312,'[1]Sales Order'!A:C,3,FALSE),[1]Employee!A:C,3,FALSE)&amp;" "&amp;VLOOKUP(VLOOKUP(A1312,'[1]Sales Order'!A:C,3,FALSE),[1]Employee!A:B,2,FALSE),"Not Specified")</f>
        <v>Ms. Sara Davis</v>
      </c>
      <c r="I1312" t="str">
        <f>IFERROR(VLOOKUP(VLOOKUP(A1312,'[1]Sales Order'!A:C,3,FALSE),[1]Employee!A:J,10,FALSE),"Not Specified")</f>
        <v>WA</v>
      </c>
      <c r="J1312" t="str">
        <f>VLOOKUP(B1312,[1]Product!A:B,2,FALSE)</f>
        <v>Product WUXYK</v>
      </c>
      <c r="K1312" t="str">
        <f>VLOOKUP(VLOOKUP(B1312,[1]Product!A:D,4,FALSE),[1]Category!A:B,2,FALSE)</f>
        <v>Confections</v>
      </c>
      <c r="L1312" s="10">
        <f>IFERROR(VLOOKUP(A1312,'[1]Sales Order'!A:D,4,FALSE),"")</f>
        <v>39405</v>
      </c>
      <c r="M1312" s="10">
        <f>IFERROR(VLOOKUP(A1312,'[1]Sales Order'!A:F,6,FALSE),"")</f>
        <v>39407</v>
      </c>
      <c r="N1312" t="str">
        <f>IFERROR(VLOOKUP(VLOOKUP(A1312,'[1]Sales Order'!A:G,7,FALSE),[1]Shipper!A:B,2,FALSE),"Not Specified")</f>
        <v>Shipper ZHISN</v>
      </c>
      <c r="O1312" t="str">
        <f>IFERROR(VLOOKUP(A1312,'[1]Sales Order'!A:I,9,FALSE),"Not Specified")</f>
        <v>Destination NRTZZ</v>
      </c>
      <c r="P1312" t="str">
        <f>IFERROR(VLOOKUP(A1312,'[1]Sales Order'!A:N,14,FALSE),"Not Specified")</f>
        <v>Switzerland</v>
      </c>
      <c r="Q1312" t="str">
        <f>VLOOKUP(VLOOKUP(B1312,[1]Product!A:C,3,FALSE),[1]Supplier!A:B,2,FALSE)</f>
        <v>Supplier OGLRK</v>
      </c>
      <c r="R1312" t="str">
        <f>VLOOKUP(VLOOKUP(B1312,[1]Product!A:C,3,FALSE),[1]Supplier!A:I,9,FALSE)</f>
        <v>Canada</v>
      </c>
      <c r="S1312" t="str">
        <f>IFERROR(IF(VLOOKUP(A1312,'[1]Sales Order'!A:H,8,FALSE)&gt;100,"High Freight","Low Freight"),"Not Specified")</f>
        <v>Low Freight</v>
      </c>
      <c r="T1312">
        <f t="shared" si="41"/>
        <v>443.7</v>
      </c>
    </row>
    <row r="1313" spans="1:20">
      <c r="A1313" s="1">
        <v>10746</v>
      </c>
      <c r="B1313" s="2">
        <v>69</v>
      </c>
      <c r="C1313" s="2">
        <v>36</v>
      </c>
      <c r="D1313" s="2">
        <v>40</v>
      </c>
      <c r="E1313" s="3">
        <v>0</v>
      </c>
      <c r="F1313" s="2" t="str">
        <f>IFERROR(VLOOKUP(VLOOKUP(A1313,'[1]Sales Order'!A:B,2,FALSE),[1]Customer!A:C,3,FALSE),"Not Specified")</f>
        <v>Jelitto, Jacek</v>
      </c>
      <c r="G1313" s="2" t="str">
        <f t="shared" si="40"/>
        <v>Jelitto Jacek</v>
      </c>
      <c r="H1313" s="8" t="str">
        <f>IFERROR(VLOOKUP(VLOOKUP(A1313,'[1]Sales Order'!A:C,3,FALSE),[1]Employee!A:E,5,FALSE)&amp;" "&amp;VLOOKUP(VLOOKUP(A1313,'[1]Sales Order'!A:C,3,FALSE),[1]Employee!A:C,3,FALSE)&amp;" "&amp;VLOOKUP(VLOOKUP(A1313,'[1]Sales Order'!A:C,3,FALSE),[1]Employee!A:B,2,FALSE),"Not Specified")</f>
        <v>Ms. Sara Davis</v>
      </c>
      <c r="I1313" t="str">
        <f>IFERROR(VLOOKUP(VLOOKUP(A1313,'[1]Sales Order'!A:C,3,FALSE),[1]Employee!A:J,10,FALSE),"Not Specified")</f>
        <v>WA</v>
      </c>
      <c r="J1313" t="str">
        <f>VLOOKUP(B1313,[1]Product!A:B,2,FALSE)</f>
        <v>Product COAXA</v>
      </c>
      <c r="K1313" t="str">
        <f>VLOOKUP(VLOOKUP(B1313,[1]Product!A:D,4,FALSE),[1]Category!A:B,2,FALSE)</f>
        <v>Dairy Product</v>
      </c>
      <c r="L1313" s="10">
        <f>IFERROR(VLOOKUP(A1313,'[1]Sales Order'!A:D,4,FALSE),"")</f>
        <v>39405</v>
      </c>
      <c r="M1313" s="10">
        <f>IFERROR(VLOOKUP(A1313,'[1]Sales Order'!A:F,6,FALSE),"")</f>
        <v>39407</v>
      </c>
      <c r="N1313" t="str">
        <f>IFERROR(VLOOKUP(VLOOKUP(A1313,'[1]Sales Order'!A:G,7,FALSE),[1]Shipper!A:B,2,FALSE),"Not Specified")</f>
        <v>Shipper ZHISN</v>
      </c>
      <c r="O1313" t="str">
        <f>IFERROR(VLOOKUP(A1313,'[1]Sales Order'!A:I,9,FALSE),"Not Specified")</f>
        <v>Destination NRTZZ</v>
      </c>
      <c r="P1313" t="str">
        <f>IFERROR(VLOOKUP(A1313,'[1]Sales Order'!A:N,14,FALSE),"Not Specified")</f>
        <v>Switzerland</v>
      </c>
      <c r="Q1313" t="str">
        <f>VLOOKUP(VLOOKUP(B1313,[1]Product!A:C,3,FALSE),[1]Supplier!A:B,2,FALSE)</f>
        <v>Supplier NZLIF</v>
      </c>
      <c r="R1313" t="str">
        <f>VLOOKUP(VLOOKUP(B1313,[1]Product!A:C,3,FALSE),[1]Supplier!A:I,9,FALSE)</f>
        <v>Norway</v>
      </c>
      <c r="S1313" t="str">
        <f>IFERROR(IF(VLOOKUP(A1313,'[1]Sales Order'!A:H,8,FALSE)&gt;100,"High Freight","Low Freight"),"Not Specified")</f>
        <v>Low Freight</v>
      </c>
      <c r="T1313">
        <f t="shared" si="41"/>
        <v>1440</v>
      </c>
    </row>
    <row r="1314" spans="1:20">
      <c r="A1314" s="1">
        <v>10747</v>
      </c>
      <c r="B1314" s="2">
        <v>31</v>
      </c>
      <c r="C1314" s="2">
        <v>12.5</v>
      </c>
      <c r="D1314" s="2">
        <v>8</v>
      </c>
      <c r="E1314" s="3">
        <v>0</v>
      </c>
      <c r="F1314" s="2" t="str">
        <f>IFERROR(VLOOKUP(VLOOKUP(A1314,'[1]Sales Order'!A:B,2,FALSE),[1]Customer!A:C,3,FALSE),"Not Specified")</f>
        <v>Meston, Tosh</v>
      </c>
      <c r="G1314" s="2" t="str">
        <f t="shared" si="40"/>
        <v>Meston Tosh</v>
      </c>
      <c r="H1314" s="8" t="str">
        <f>IFERROR(VLOOKUP(VLOOKUP(A1314,'[1]Sales Order'!A:C,3,FALSE),[1]Employee!A:E,5,FALSE)&amp;" "&amp;VLOOKUP(VLOOKUP(A1314,'[1]Sales Order'!A:C,3,FALSE),[1]Employee!A:C,3,FALSE)&amp;" "&amp;VLOOKUP(VLOOKUP(A1314,'[1]Sales Order'!A:C,3,FALSE),[1]Employee!A:B,2,FALSE),"Not Specified")</f>
        <v>Mr. Paul Suurs</v>
      </c>
      <c r="I1314">
        <f>IFERROR(VLOOKUP(VLOOKUP(A1314,'[1]Sales Order'!A:C,3,FALSE),[1]Employee!A:J,10,FALSE),"Not Specified")</f>
        <v>0</v>
      </c>
      <c r="J1314" t="str">
        <f>VLOOKUP(B1314,[1]Product!A:B,2,FALSE)</f>
        <v>Product XWOXC</v>
      </c>
      <c r="K1314" t="str">
        <f>VLOOKUP(VLOOKUP(B1314,[1]Product!A:D,4,FALSE),[1]Category!A:B,2,FALSE)</f>
        <v>Dairy Product</v>
      </c>
      <c r="L1314" s="10">
        <f>IFERROR(VLOOKUP(A1314,'[1]Sales Order'!A:D,4,FALSE),"")</f>
        <v>39405</v>
      </c>
      <c r="M1314" s="10">
        <f>IFERROR(VLOOKUP(A1314,'[1]Sales Order'!A:F,6,FALSE),"")</f>
        <v>39412</v>
      </c>
      <c r="N1314" t="str">
        <f>IFERROR(VLOOKUP(VLOOKUP(A1314,'[1]Sales Order'!A:G,7,FALSE),[1]Shipper!A:B,2,FALSE),"Not Specified")</f>
        <v>Shipper GVSUA</v>
      </c>
      <c r="O1314" t="str">
        <f>IFERROR(VLOOKUP(A1314,'[1]Sales Order'!A:I,9,FALSE),"Not Specified")</f>
        <v>Ship to 59-B</v>
      </c>
      <c r="P1314" t="str">
        <f>IFERROR(VLOOKUP(A1314,'[1]Sales Order'!A:N,14,FALSE),"Not Specified")</f>
        <v>Austria</v>
      </c>
      <c r="Q1314" t="str">
        <f>VLOOKUP(VLOOKUP(B1314,[1]Product!A:C,3,FALSE),[1]Supplier!A:B,2,FALSE)</f>
        <v>Supplier KEREV</v>
      </c>
      <c r="R1314" t="str">
        <f>VLOOKUP(VLOOKUP(B1314,[1]Product!A:C,3,FALSE),[1]Supplier!A:I,9,FALSE)</f>
        <v>Italy</v>
      </c>
      <c r="S1314" t="str">
        <f>IFERROR(IF(VLOOKUP(A1314,'[1]Sales Order'!A:H,8,FALSE)&gt;100,"High Freight","Low Freight"),"Not Specified")</f>
        <v>High Freight</v>
      </c>
      <c r="T1314">
        <f t="shared" si="41"/>
        <v>100</v>
      </c>
    </row>
    <row r="1315" spans="1:20">
      <c r="A1315" s="1">
        <v>10747</v>
      </c>
      <c r="B1315" s="2">
        <v>41</v>
      </c>
      <c r="C1315" s="2">
        <v>9.65</v>
      </c>
      <c r="D1315" s="2">
        <v>35</v>
      </c>
      <c r="E1315" s="3">
        <v>0</v>
      </c>
      <c r="F1315" s="2" t="str">
        <f>IFERROR(VLOOKUP(VLOOKUP(A1315,'[1]Sales Order'!A:B,2,FALSE),[1]Customer!A:C,3,FALSE),"Not Specified")</f>
        <v>Meston, Tosh</v>
      </c>
      <c r="G1315" s="2" t="str">
        <f t="shared" si="40"/>
        <v>Meston Tosh</v>
      </c>
      <c r="H1315" s="8" t="str">
        <f>IFERROR(VLOOKUP(VLOOKUP(A1315,'[1]Sales Order'!A:C,3,FALSE),[1]Employee!A:E,5,FALSE)&amp;" "&amp;VLOOKUP(VLOOKUP(A1315,'[1]Sales Order'!A:C,3,FALSE),[1]Employee!A:C,3,FALSE)&amp;" "&amp;VLOOKUP(VLOOKUP(A1315,'[1]Sales Order'!A:C,3,FALSE),[1]Employee!A:B,2,FALSE),"Not Specified")</f>
        <v>Mr. Paul Suurs</v>
      </c>
      <c r="I1315">
        <f>IFERROR(VLOOKUP(VLOOKUP(A1315,'[1]Sales Order'!A:C,3,FALSE),[1]Employee!A:J,10,FALSE),"Not Specified")</f>
        <v>0</v>
      </c>
      <c r="J1315" t="str">
        <f>VLOOKUP(B1315,[1]Product!A:B,2,FALSE)</f>
        <v>Product TTEEX</v>
      </c>
      <c r="K1315" t="str">
        <f>VLOOKUP(VLOOKUP(B1315,[1]Product!A:D,4,FALSE),[1]Category!A:B,2,FALSE)</f>
        <v>Seafood</v>
      </c>
      <c r="L1315" s="10">
        <f>IFERROR(VLOOKUP(A1315,'[1]Sales Order'!A:D,4,FALSE),"")</f>
        <v>39405</v>
      </c>
      <c r="M1315" s="10">
        <f>IFERROR(VLOOKUP(A1315,'[1]Sales Order'!A:F,6,FALSE),"")</f>
        <v>39412</v>
      </c>
      <c r="N1315" t="str">
        <f>IFERROR(VLOOKUP(VLOOKUP(A1315,'[1]Sales Order'!A:G,7,FALSE),[1]Shipper!A:B,2,FALSE),"Not Specified")</f>
        <v>Shipper GVSUA</v>
      </c>
      <c r="O1315" t="str">
        <f>IFERROR(VLOOKUP(A1315,'[1]Sales Order'!A:I,9,FALSE),"Not Specified")</f>
        <v>Ship to 59-B</v>
      </c>
      <c r="P1315" t="str">
        <f>IFERROR(VLOOKUP(A1315,'[1]Sales Order'!A:N,14,FALSE),"Not Specified")</f>
        <v>Austria</v>
      </c>
      <c r="Q1315" t="str">
        <f>VLOOKUP(VLOOKUP(B1315,[1]Product!A:C,3,FALSE),[1]Supplier!A:B,2,FALSE)</f>
        <v>Supplier JDNUG</v>
      </c>
      <c r="R1315" t="str">
        <f>VLOOKUP(VLOOKUP(B1315,[1]Product!A:C,3,FALSE),[1]Supplier!A:I,9,FALSE)</f>
        <v>USA</v>
      </c>
      <c r="S1315" t="str">
        <f>IFERROR(IF(VLOOKUP(A1315,'[1]Sales Order'!A:H,8,FALSE)&gt;100,"High Freight","Low Freight"),"Not Specified")</f>
        <v>High Freight</v>
      </c>
      <c r="T1315">
        <f t="shared" si="41"/>
        <v>337.75</v>
      </c>
    </row>
    <row r="1316" spans="1:20">
      <c r="A1316" s="1">
        <v>10747</v>
      </c>
      <c r="B1316" s="2">
        <v>63</v>
      </c>
      <c r="C1316" s="2">
        <v>43.9</v>
      </c>
      <c r="D1316" s="2">
        <v>9</v>
      </c>
      <c r="E1316" s="3">
        <v>0</v>
      </c>
      <c r="F1316" s="2" t="str">
        <f>IFERROR(VLOOKUP(VLOOKUP(A1316,'[1]Sales Order'!A:B,2,FALSE),[1]Customer!A:C,3,FALSE),"Not Specified")</f>
        <v>Meston, Tosh</v>
      </c>
      <c r="G1316" s="2" t="str">
        <f t="shared" si="40"/>
        <v>Meston Tosh</v>
      </c>
      <c r="H1316" s="8" t="str">
        <f>IFERROR(VLOOKUP(VLOOKUP(A1316,'[1]Sales Order'!A:C,3,FALSE),[1]Employee!A:E,5,FALSE)&amp;" "&amp;VLOOKUP(VLOOKUP(A1316,'[1]Sales Order'!A:C,3,FALSE),[1]Employee!A:C,3,FALSE)&amp;" "&amp;VLOOKUP(VLOOKUP(A1316,'[1]Sales Order'!A:C,3,FALSE),[1]Employee!A:B,2,FALSE),"Not Specified")</f>
        <v>Mr. Paul Suurs</v>
      </c>
      <c r="I1316">
        <f>IFERROR(VLOOKUP(VLOOKUP(A1316,'[1]Sales Order'!A:C,3,FALSE),[1]Employee!A:J,10,FALSE),"Not Specified")</f>
        <v>0</v>
      </c>
      <c r="J1316" t="str">
        <f>VLOOKUP(B1316,[1]Product!A:B,2,FALSE)</f>
        <v>Product ICKNK</v>
      </c>
      <c r="K1316" t="str">
        <f>VLOOKUP(VLOOKUP(B1316,[1]Product!A:D,4,FALSE),[1]Category!A:B,2,FALSE)</f>
        <v>Condiments</v>
      </c>
      <c r="L1316" s="10">
        <f>IFERROR(VLOOKUP(A1316,'[1]Sales Order'!A:D,4,FALSE),"")</f>
        <v>39405</v>
      </c>
      <c r="M1316" s="10">
        <f>IFERROR(VLOOKUP(A1316,'[1]Sales Order'!A:F,6,FALSE),"")</f>
        <v>39412</v>
      </c>
      <c r="N1316" t="str">
        <f>IFERROR(VLOOKUP(VLOOKUP(A1316,'[1]Sales Order'!A:G,7,FALSE),[1]Shipper!A:B,2,FALSE),"Not Specified")</f>
        <v>Shipper GVSUA</v>
      </c>
      <c r="O1316" t="str">
        <f>IFERROR(VLOOKUP(A1316,'[1]Sales Order'!A:I,9,FALSE),"Not Specified")</f>
        <v>Ship to 59-B</v>
      </c>
      <c r="P1316" t="str">
        <f>IFERROR(VLOOKUP(A1316,'[1]Sales Order'!A:N,14,FALSE),"Not Specified")</f>
        <v>Austria</v>
      </c>
      <c r="Q1316" t="str">
        <f>VLOOKUP(VLOOKUP(B1316,[1]Product!A:C,3,FALSE),[1]Supplier!A:B,2,FALSE)</f>
        <v>Supplier GQRCV</v>
      </c>
      <c r="R1316" t="str">
        <f>VLOOKUP(VLOOKUP(B1316,[1]Product!A:C,3,FALSE),[1]Supplier!A:I,9,FALSE)</f>
        <v>Australia</v>
      </c>
      <c r="S1316" t="str">
        <f>IFERROR(IF(VLOOKUP(A1316,'[1]Sales Order'!A:H,8,FALSE)&gt;100,"High Freight","Low Freight"),"Not Specified")</f>
        <v>High Freight</v>
      </c>
      <c r="T1316">
        <f t="shared" si="41"/>
        <v>395.09999999999997</v>
      </c>
    </row>
    <row r="1317" spans="1:20">
      <c r="A1317" s="1">
        <v>10747</v>
      </c>
      <c r="B1317" s="2">
        <v>69</v>
      </c>
      <c r="C1317" s="2">
        <v>36</v>
      </c>
      <c r="D1317" s="2">
        <v>30</v>
      </c>
      <c r="E1317" s="3">
        <v>0</v>
      </c>
      <c r="F1317" s="2" t="str">
        <f>IFERROR(VLOOKUP(VLOOKUP(A1317,'[1]Sales Order'!A:B,2,FALSE),[1]Customer!A:C,3,FALSE),"Not Specified")</f>
        <v>Meston, Tosh</v>
      </c>
      <c r="G1317" s="2" t="str">
        <f t="shared" si="40"/>
        <v>Meston Tosh</v>
      </c>
      <c r="H1317" s="8" t="str">
        <f>IFERROR(VLOOKUP(VLOOKUP(A1317,'[1]Sales Order'!A:C,3,FALSE),[1]Employee!A:E,5,FALSE)&amp;" "&amp;VLOOKUP(VLOOKUP(A1317,'[1]Sales Order'!A:C,3,FALSE),[1]Employee!A:C,3,FALSE)&amp;" "&amp;VLOOKUP(VLOOKUP(A1317,'[1]Sales Order'!A:C,3,FALSE),[1]Employee!A:B,2,FALSE),"Not Specified")</f>
        <v>Mr. Paul Suurs</v>
      </c>
      <c r="I1317">
        <f>IFERROR(VLOOKUP(VLOOKUP(A1317,'[1]Sales Order'!A:C,3,FALSE),[1]Employee!A:J,10,FALSE),"Not Specified")</f>
        <v>0</v>
      </c>
      <c r="J1317" t="str">
        <f>VLOOKUP(B1317,[1]Product!A:B,2,FALSE)</f>
        <v>Product COAXA</v>
      </c>
      <c r="K1317" t="str">
        <f>VLOOKUP(VLOOKUP(B1317,[1]Product!A:D,4,FALSE),[1]Category!A:B,2,FALSE)</f>
        <v>Dairy Product</v>
      </c>
      <c r="L1317" s="10">
        <f>IFERROR(VLOOKUP(A1317,'[1]Sales Order'!A:D,4,FALSE),"")</f>
        <v>39405</v>
      </c>
      <c r="M1317" s="10">
        <f>IFERROR(VLOOKUP(A1317,'[1]Sales Order'!A:F,6,FALSE),"")</f>
        <v>39412</v>
      </c>
      <c r="N1317" t="str">
        <f>IFERROR(VLOOKUP(VLOOKUP(A1317,'[1]Sales Order'!A:G,7,FALSE),[1]Shipper!A:B,2,FALSE),"Not Specified")</f>
        <v>Shipper GVSUA</v>
      </c>
      <c r="O1317" t="str">
        <f>IFERROR(VLOOKUP(A1317,'[1]Sales Order'!A:I,9,FALSE),"Not Specified")</f>
        <v>Ship to 59-B</v>
      </c>
      <c r="P1317" t="str">
        <f>IFERROR(VLOOKUP(A1317,'[1]Sales Order'!A:N,14,FALSE),"Not Specified")</f>
        <v>Austria</v>
      </c>
      <c r="Q1317" t="str">
        <f>VLOOKUP(VLOOKUP(B1317,[1]Product!A:C,3,FALSE),[1]Supplier!A:B,2,FALSE)</f>
        <v>Supplier NZLIF</v>
      </c>
      <c r="R1317" t="str">
        <f>VLOOKUP(VLOOKUP(B1317,[1]Product!A:C,3,FALSE),[1]Supplier!A:I,9,FALSE)</f>
        <v>Norway</v>
      </c>
      <c r="S1317" t="str">
        <f>IFERROR(IF(VLOOKUP(A1317,'[1]Sales Order'!A:H,8,FALSE)&gt;100,"High Freight","Low Freight"),"Not Specified")</f>
        <v>High Freight</v>
      </c>
      <c r="T1317">
        <f t="shared" si="41"/>
        <v>1080</v>
      </c>
    </row>
    <row r="1318" spans="1:20">
      <c r="A1318" s="1">
        <v>10748</v>
      </c>
      <c r="B1318" s="2">
        <v>23</v>
      </c>
      <c r="C1318" s="2">
        <v>9</v>
      </c>
      <c r="D1318" s="2">
        <v>44</v>
      </c>
      <c r="E1318" s="3">
        <v>0</v>
      </c>
      <c r="F1318" s="2" t="str">
        <f>IFERROR(VLOOKUP(VLOOKUP(A1318,'[1]Sales Order'!A:B,2,FALSE),[1]Customer!A:C,3,FALSE),"Not Specified")</f>
        <v>Navarro, Tomás</v>
      </c>
      <c r="G1318" s="2" t="str">
        <f t="shared" si="40"/>
        <v>Navarro Tomás</v>
      </c>
      <c r="H1318" s="8" t="str">
        <f>IFERROR(VLOOKUP(VLOOKUP(A1318,'[1]Sales Order'!A:C,3,FALSE),[1]Employee!A:E,5,FALSE)&amp;" "&amp;VLOOKUP(VLOOKUP(A1318,'[1]Sales Order'!A:C,3,FALSE),[1]Employee!A:C,3,FALSE)&amp;" "&amp;VLOOKUP(VLOOKUP(A1318,'[1]Sales Order'!A:C,3,FALSE),[1]Employee!A:B,2,FALSE),"Not Specified")</f>
        <v>Ms. Judy Lew</v>
      </c>
      <c r="I1318" t="str">
        <f>IFERROR(VLOOKUP(VLOOKUP(A1318,'[1]Sales Order'!A:C,3,FALSE),[1]Employee!A:J,10,FALSE),"Not Specified")</f>
        <v>WA</v>
      </c>
      <c r="J1318" t="str">
        <f>VLOOKUP(B1318,[1]Product!A:B,2,FALSE)</f>
        <v>Product JLUDZ</v>
      </c>
      <c r="K1318" t="str">
        <f>VLOOKUP(VLOOKUP(B1318,[1]Product!A:D,4,FALSE),[1]Category!A:B,2,FALSE)</f>
        <v>Grains/Cereals</v>
      </c>
      <c r="L1318" s="10">
        <f>IFERROR(VLOOKUP(A1318,'[1]Sales Order'!A:D,4,FALSE),"")</f>
        <v>39406</v>
      </c>
      <c r="M1318" s="10">
        <f>IFERROR(VLOOKUP(A1318,'[1]Sales Order'!A:F,6,FALSE),"")</f>
        <v>39414</v>
      </c>
      <c r="N1318" t="str">
        <f>IFERROR(VLOOKUP(VLOOKUP(A1318,'[1]Sales Order'!A:G,7,FALSE),[1]Shipper!A:B,2,FALSE),"Not Specified")</f>
        <v>Shipper GVSUA</v>
      </c>
      <c r="O1318" t="str">
        <f>IFERROR(VLOOKUP(A1318,'[1]Sales Order'!A:I,9,FALSE),"Not Specified")</f>
        <v>Ship to 71-B</v>
      </c>
      <c r="P1318" t="str">
        <f>IFERROR(VLOOKUP(A1318,'[1]Sales Order'!A:N,14,FALSE),"Not Specified")</f>
        <v>USA</v>
      </c>
      <c r="Q1318" t="str">
        <f>VLOOKUP(VLOOKUP(B1318,[1]Product!A:C,3,FALSE),[1]Supplier!A:B,2,FALSE)</f>
        <v>Supplier QQYEU</v>
      </c>
      <c r="R1318" t="str">
        <f>VLOOKUP(VLOOKUP(B1318,[1]Product!A:C,3,FALSE),[1]Supplier!A:I,9,FALSE)</f>
        <v>Sweden</v>
      </c>
      <c r="S1318" t="str">
        <f>IFERROR(IF(VLOOKUP(A1318,'[1]Sales Order'!A:H,8,FALSE)&gt;100,"High Freight","Low Freight"),"Not Specified")</f>
        <v>High Freight</v>
      </c>
      <c r="T1318">
        <f t="shared" si="41"/>
        <v>396</v>
      </c>
    </row>
    <row r="1319" spans="1:20">
      <c r="A1319" s="1">
        <v>10748</v>
      </c>
      <c r="B1319" s="2">
        <v>40</v>
      </c>
      <c r="C1319" s="2">
        <v>18.399999999999999</v>
      </c>
      <c r="D1319" s="2">
        <v>40</v>
      </c>
      <c r="E1319" s="3">
        <v>0</v>
      </c>
      <c r="F1319" s="2" t="str">
        <f>IFERROR(VLOOKUP(VLOOKUP(A1319,'[1]Sales Order'!A:B,2,FALSE),[1]Customer!A:C,3,FALSE),"Not Specified")</f>
        <v>Navarro, Tomás</v>
      </c>
      <c r="G1319" s="2" t="str">
        <f t="shared" si="40"/>
        <v>Navarro Tomás</v>
      </c>
      <c r="H1319" s="8" t="str">
        <f>IFERROR(VLOOKUP(VLOOKUP(A1319,'[1]Sales Order'!A:C,3,FALSE),[1]Employee!A:E,5,FALSE)&amp;" "&amp;VLOOKUP(VLOOKUP(A1319,'[1]Sales Order'!A:C,3,FALSE),[1]Employee!A:C,3,FALSE)&amp;" "&amp;VLOOKUP(VLOOKUP(A1319,'[1]Sales Order'!A:C,3,FALSE),[1]Employee!A:B,2,FALSE),"Not Specified")</f>
        <v>Ms. Judy Lew</v>
      </c>
      <c r="I1319" t="str">
        <f>IFERROR(VLOOKUP(VLOOKUP(A1319,'[1]Sales Order'!A:C,3,FALSE),[1]Employee!A:J,10,FALSE),"Not Specified")</f>
        <v>WA</v>
      </c>
      <c r="J1319" t="str">
        <f>VLOOKUP(B1319,[1]Product!A:B,2,FALSE)</f>
        <v>Product YZIXQ</v>
      </c>
      <c r="K1319" t="str">
        <f>VLOOKUP(VLOOKUP(B1319,[1]Product!A:D,4,FALSE),[1]Category!A:B,2,FALSE)</f>
        <v>Seafood</v>
      </c>
      <c r="L1319" s="10">
        <f>IFERROR(VLOOKUP(A1319,'[1]Sales Order'!A:D,4,FALSE),"")</f>
        <v>39406</v>
      </c>
      <c r="M1319" s="10">
        <f>IFERROR(VLOOKUP(A1319,'[1]Sales Order'!A:F,6,FALSE),"")</f>
        <v>39414</v>
      </c>
      <c r="N1319" t="str">
        <f>IFERROR(VLOOKUP(VLOOKUP(A1319,'[1]Sales Order'!A:G,7,FALSE),[1]Shipper!A:B,2,FALSE),"Not Specified")</f>
        <v>Shipper GVSUA</v>
      </c>
      <c r="O1319" t="str">
        <f>IFERROR(VLOOKUP(A1319,'[1]Sales Order'!A:I,9,FALSE),"Not Specified")</f>
        <v>Ship to 71-B</v>
      </c>
      <c r="P1319" t="str">
        <f>IFERROR(VLOOKUP(A1319,'[1]Sales Order'!A:N,14,FALSE),"Not Specified")</f>
        <v>USA</v>
      </c>
      <c r="Q1319" t="str">
        <f>VLOOKUP(VLOOKUP(B1319,[1]Product!A:C,3,FALSE),[1]Supplier!A:B,2,FALSE)</f>
        <v>Supplier JDNUG</v>
      </c>
      <c r="R1319" t="str">
        <f>VLOOKUP(VLOOKUP(B1319,[1]Product!A:C,3,FALSE),[1]Supplier!A:I,9,FALSE)</f>
        <v>USA</v>
      </c>
      <c r="S1319" t="str">
        <f>IFERROR(IF(VLOOKUP(A1319,'[1]Sales Order'!A:H,8,FALSE)&gt;100,"High Freight","Low Freight"),"Not Specified")</f>
        <v>High Freight</v>
      </c>
      <c r="T1319">
        <f t="shared" si="41"/>
        <v>736</v>
      </c>
    </row>
    <row r="1320" spans="1:20">
      <c r="A1320" s="1">
        <v>10748</v>
      </c>
      <c r="B1320" s="2">
        <v>56</v>
      </c>
      <c r="C1320" s="2">
        <v>38</v>
      </c>
      <c r="D1320" s="2">
        <v>28</v>
      </c>
      <c r="E1320" s="3">
        <v>0</v>
      </c>
      <c r="F1320" s="2" t="str">
        <f>IFERROR(VLOOKUP(VLOOKUP(A1320,'[1]Sales Order'!A:B,2,FALSE),[1]Customer!A:C,3,FALSE),"Not Specified")</f>
        <v>Navarro, Tomás</v>
      </c>
      <c r="G1320" s="2" t="str">
        <f t="shared" si="40"/>
        <v>Navarro Tomás</v>
      </c>
      <c r="H1320" s="8" t="str">
        <f>IFERROR(VLOOKUP(VLOOKUP(A1320,'[1]Sales Order'!A:C,3,FALSE),[1]Employee!A:E,5,FALSE)&amp;" "&amp;VLOOKUP(VLOOKUP(A1320,'[1]Sales Order'!A:C,3,FALSE),[1]Employee!A:C,3,FALSE)&amp;" "&amp;VLOOKUP(VLOOKUP(A1320,'[1]Sales Order'!A:C,3,FALSE),[1]Employee!A:B,2,FALSE),"Not Specified")</f>
        <v>Ms. Judy Lew</v>
      </c>
      <c r="I1320" t="str">
        <f>IFERROR(VLOOKUP(VLOOKUP(A1320,'[1]Sales Order'!A:C,3,FALSE),[1]Employee!A:J,10,FALSE),"Not Specified")</f>
        <v>WA</v>
      </c>
      <c r="J1320" t="str">
        <f>VLOOKUP(B1320,[1]Product!A:B,2,FALSE)</f>
        <v>Product VKCMF</v>
      </c>
      <c r="K1320" t="str">
        <f>VLOOKUP(VLOOKUP(B1320,[1]Product!A:D,4,FALSE),[1]Category!A:B,2,FALSE)</f>
        <v>Grains/Cereals</v>
      </c>
      <c r="L1320" s="10">
        <f>IFERROR(VLOOKUP(A1320,'[1]Sales Order'!A:D,4,FALSE),"")</f>
        <v>39406</v>
      </c>
      <c r="M1320" s="10">
        <f>IFERROR(VLOOKUP(A1320,'[1]Sales Order'!A:F,6,FALSE),"")</f>
        <v>39414</v>
      </c>
      <c r="N1320" t="str">
        <f>IFERROR(VLOOKUP(VLOOKUP(A1320,'[1]Sales Order'!A:G,7,FALSE),[1]Shipper!A:B,2,FALSE),"Not Specified")</f>
        <v>Shipper GVSUA</v>
      </c>
      <c r="O1320" t="str">
        <f>IFERROR(VLOOKUP(A1320,'[1]Sales Order'!A:I,9,FALSE),"Not Specified")</f>
        <v>Ship to 71-B</v>
      </c>
      <c r="P1320" t="str">
        <f>IFERROR(VLOOKUP(A1320,'[1]Sales Order'!A:N,14,FALSE),"Not Specified")</f>
        <v>USA</v>
      </c>
      <c r="Q1320" t="str">
        <f>VLOOKUP(VLOOKUP(B1320,[1]Product!A:C,3,FALSE),[1]Supplier!A:B,2,FALSE)</f>
        <v>Supplier ZWZDM</v>
      </c>
      <c r="R1320" t="str">
        <f>VLOOKUP(VLOOKUP(B1320,[1]Product!A:C,3,FALSE),[1]Supplier!A:I,9,FALSE)</f>
        <v>Italy</v>
      </c>
      <c r="S1320" t="str">
        <f>IFERROR(IF(VLOOKUP(A1320,'[1]Sales Order'!A:H,8,FALSE)&gt;100,"High Freight","Low Freight"),"Not Specified")</f>
        <v>High Freight</v>
      </c>
      <c r="T1320">
        <f t="shared" si="41"/>
        <v>1064</v>
      </c>
    </row>
    <row r="1321" spans="1:20">
      <c r="A1321" s="1">
        <v>10749</v>
      </c>
      <c r="B1321" s="2">
        <v>56</v>
      </c>
      <c r="C1321" s="2">
        <v>38</v>
      </c>
      <c r="D1321" s="2">
        <v>15</v>
      </c>
      <c r="E1321" s="3">
        <v>0</v>
      </c>
      <c r="F1321" s="2" t="str">
        <f>IFERROR(VLOOKUP(VLOOKUP(A1321,'[1]Sales Order'!A:B,2,FALSE),[1]Customer!A:C,3,FALSE),"Not Specified")</f>
        <v>Lee, Frank</v>
      </c>
      <c r="G1321" s="2" t="str">
        <f t="shared" si="40"/>
        <v>Lee Frank</v>
      </c>
      <c r="H1321" s="8" t="str">
        <f>IFERROR(VLOOKUP(VLOOKUP(A1321,'[1]Sales Order'!A:C,3,FALSE),[1]Employee!A:E,5,FALSE)&amp;" "&amp;VLOOKUP(VLOOKUP(A1321,'[1]Sales Order'!A:C,3,FALSE),[1]Employee!A:C,3,FALSE)&amp;" "&amp;VLOOKUP(VLOOKUP(A1321,'[1]Sales Order'!A:C,3,FALSE),[1]Employee!A:B,2,FALSE),"Not Specified")</f>
        <v>Mrs. Yael Peled</v>
      </c>
      <c r="I1321" t="str">
        <f>IFERROR(VLOOKUP(VLOOKUP(A1321,'[1]Sales Order'!A:C,3,FALSE),[1]Employee!A:J,10,FALSE),"Not Specified")</f>
        <v>WA</v>
      </c>
      <c r="J1321" t="str">
        <f>VLOOKUP(B1321,[1]Product!A:B,2,FALSE)</f>
        <v>Product VKCMF</v>
      </c>
      <c r="K1321" t="str">
        <f>VLOOKUP(VLOOKUP(B1321,[1]Product!A:D,4,FALSE),[1]Category!A:B,2,FALSE)</f>
        <v>Grains/Cereals</v>
      </c>
      <c r="L1321" s="10">
        <f>IFERROR(VLOOKUP(A1321,'[1]Sales Order'!A:D,4,FALSE),"")</f>
        <v>39406</v>
      </c>
      <c r="M1321" s="10">
        <f>IFERROR(VLOOKUP(A1321,'[1]Sales Order'!A:F,6,FALSE),"")</f>
        <v>39435</v>
      </c>
      <c r="N1321" t="str">
        <f>IFERROR(VLOOKUP(VLOOKUP(A1321,'[1]Sales Order'!A:G,7,FALSE),[1]Shipper!A:B,2,FALSE),"Not Specified")</f>
        <v>Shipper ETYNR</v>
      </c>
      <c r="O1321" t="str">
        <f>IFERROR(VLOOKUP(A1321,'[1]Sales Order'!A:I,9,FALSE),"Not Specified")</f>
        <v>Destination QVTLW</v>
      </c>
      <c r="P1321" t="str">
        <f>IFERROR(VLOOKUP(A1321,'[1]Sales Order'!A:N,14,FALSE),"Not Specified")</f>
        <v>UK</v>
      </c>
      <c r="Q1321" t="str">
        <f>VLOOKUP(VLOOKUP(B1321,[1]Product!A:C,3,FALSE),[1]Supplier!A:B,2,FALSE)</f>
        <v>Supplier ZWZDM</v>
      </c>
      <c r="R1321" t="str">
        <f>VLOOKUP(VLOOKUP(B1321,[1]Product!A:C,3,FALSE),[1]Supplier!A:I,9,FALSE)</f>
        <v>Italy</v>
      </c>
      <c r="S1321" t="str">
        <f>IFERROR(IF(VLOOKUP(A1321,'[1]Sales Order'!A:H,8,FALSE)&gt;100,"High Freight","Low Freight"),"Not Specified")</f>
        <v>Low Freight</v>
      </c>
      <c r="T1321">
        <f t="shared" si="41"/>
        <v>570</v>
      </c>
    </row>
    <row r="1322" spans="1:20">
      <c r="A1322" s="1">
        <v>10749</v>
      </c>
      <c r="B1322" s="2">
        <v>59</v>
      </c>
      <c r="C1322" s="2">
        <v>55</v>
      </c>
      <c r="D1322" s="2">
        <v>6</v>
      </c>
      <c r="E1322" s="3">
        <v>0</v>
      </c>
      <c r="F1322" s="2" t="str">
        <f>IFERROR(VLOOKUP(VLOOKUP(A1322,'[1]Sales Order'!A:B,2,FALSE),[1]Customer!A:C,3,FALSE),"Not Specified")</f>
        <v>Lee, Frank</v>
      </c>
      <c r="G1322" s="2" t="str">
        <f t="shared" si="40"/>
        <v>Lee Frank</v>
      </c>
      <c r="H1322" s="8" t="str">
        <f>IFERROR(VLOOKUP(VLOOKUP(A1322,'[1]Sales Order'!A:C,3,FALSE),[1]Employee!A:E,5,FALSE)&amp;" "&amp;VLOOKUP(VLOOKUP(A1322,'[1]Sales Order'!A:C,3,FALSE),[1]Employee!A:C,3,FALSE)&amp;" "&amp;VLOOKUP(VLOOKUP(A1322,'[1]Sales Order'!A:C,3,FALSE),[1]Employee!A:B,2,FALSE),"Not Specified")</f>
        <v>Mrs. Yael Peled</v>
      </c>
      <c r="I1322" t="str">
        <f>IFERROR(VLOOKUP(VLOOKUP(A1322,'[1]Sales Order'!A:C,3,FALSE),[1]Employee!A:J,10,FALSE),"Not Specified")</f>
        <v>WA</v>
      </c>
      <c r="J1322" t="str">
        <f>VLOOKUP(B1322,[1]Product!A:B,2,FALSE)</f>
        <v>Product UKXRI</v>
      </c>
      <c r="K1322" t="str">
        <f>VLOOKUP(VLOOKUP(B1322,[1]Product!A:D,4,FALSE),[1]Category!A:B,2,FALSE)</f>
        <v>Dairy Product</v>
      </c>
      <c r="L1322" s="10">
        <f>IFERROR(VLOOKUP(A1322,'[1]Sales Order'!A:D,4,FALSE),"")</f>
        <v>39406</v>
      </c>
      <c r="M1322" s="10">
        <f>IFERROR(VLOOKUP(A1322,'[1]Sales Order'!A:F,6,FALSE),"")</f>
        <v>39435</v>
      </c>
      <c r="N1322" t="str">
        <f>IFERROR(VLOOKUP(VLOOKUP(A1322,'[1]Sales Order'!A:G,7,FALSE),[1]Shipper!A:B,2,FALSE),"Not Specified")</f>
        <v>Shipper ETYNR</v>
      </c>
      <c r="O1322" t="str">
        <f>IFERROR(VLOOKUP(A1322,'[1]Sales Order'!A:I,9,FALSE),"Not Specified")</f>
        <v>Destination QVTLW</v>
      </c>
      <c r="P1322" t="str">
        <f>IFERROR(VLOOKUP(A1322,'[1]Sales Order'!A:N,14,FALSE),"Not Specified")</f>
        <v>UK</v>
      </c>
      <c r="Q1322" t="str">
        <f>VLOOKUP(VLOOKUP(B1322,[1]Product!A:C,3,FALSE),[1]Supplier!A:B,2,FALSE)</f>
        <v>Supplier OAVQT</v>
      </c>
      <c r="R1322" t="str">
        <f>VLOOKUP(VLOOKUP(B1322,[1]Product!A:C,3,FALSE),[1]Supplier!A:I,9,FALSE)</f>
        <v>France</v>
      </c>
      <c r="S1322" t="str">
        <f>IFERROR(IF(VLOOKUP(A1322,'[1]Sales Order'!A:H,8,FALSE)&gt;100,"High Freight","Low Freight"),"Not Specified")</f>
        <v>Low Freight</v>
      </c>
      <c r="T1322">
        <f t="shared" si="41"/>
        <v>330</v>
      </c>
    </row>
    <row r="1323" spans="1:20">
      <c r="A1323" s="1">
        <v>10749</v>
      </c>
      <c r="B1323" s="2">
        <v>76</v>
      </c>
      <c r="C1323" s="2">
        <v>18</v>
      </c>
      <c r="D1323" s="2">
        <v>10</v>
      </c>
      <c r="E1323" s="3">
        <v>0</v>
      </c>
      <c r="F1323" s="2" t="str">
        <f>IFERROR(VLOOKUP(VLOOKUP(A1323,'[1]Sales Order'!A:B,2,FALSE),[1]Customer!A:C,3,FALSE),"Not Specified")</f>
        <v>Lee, Frank</v>
      </c>
      <c r="G1323" s="2" t="str">
        <f t="shared" si="40"/>
        <v>Lee Frank</v>
      </c>
      <c r="H1323" s="8" t="str">
        <f>IFERROR(VLOOKUP(VLOOKUP(A1323,'[1]Sales Order'!A:C,3,FALSE),[1]Employee!A:E,5,FALSE)&amp;" "&amp;VLOOKUP(VLOOKUP(A1323,'[1]Sales Order'!A:C,3,FALSE),[1]Employee!A:C,3,FALSE)&amp;" "&amp;VLOOKUP(VLOOKUP(A1323,'[1]Sales Order'!A:C,3,FALSE),[1]Employee!A:B,2,FALSE),"Not Specified")</f>
        <v>Mrs. Yael Peled</v>
      </c>
      <c r="I1323" t="str">
        <f>IFERROR(VLOOKUP(VLOOKUP(A1323,'[1]Sales Order'!A:C,3,FALSE),[1]Employee!A:J,10,FALSE),"Not Specified")</f>
        <v>WA</v>
      </c>
      <c r="J1323" t="str">
        <f>VLOOKUP(B1323,[1]Product!A:B,2,FALSE)</f>
        <v>Product JYGFE</v>
      </c>
      <c r="K1323" t="str">
        <f>VLOOKUP(VLOOKUP(B1323,[1]Product!A:D,4,FALSE),[1]Category!A:B,2,FALSE)</f>
        <v>Beverages</v>
      </c>
      <c r="L1323" s="10">
        <f>IFERROR(VLOOKUP(A1323,'[1]Sales Order'!A:D,4,FALSE),"")</f>
        <v>39406</v>
      </c>
      <c r="M1323" s="10">
        <f>IFERROR(VLOOKUP(A1323,'[1]Sales Order'!A:F,6,FALSE),"")</f>
        <v>39435</v>
      </c>
      <c r="N1323" t="str">
        <f>IFERROR(VLOOKUP(VLOOKUP(A1323,'[1]Sales Order'!A:G,7,FALSE),[1]Shipper!A:B,2,FALSE),"Not Specified")</f>
        <v>Shipper ETYNR</v>
      </c>
      <c r="O1323" t="str">
        <f>IFERROR(VLOOKUP(A1323,'[1]Sales Order'!A:I,9,FALSE),"Not Specified")</f>
        <v>Destination QVTLW</v>
      </c>
      <c r="P1323" t="str">
        <f>IFERROR(VLOOKUP(A1323,'[1]Sales Order'!A:N,14,FALSE),"Not Specified")</f>
        <v>UK</v>
      </c>
      <c r="Q1323" t="str">
        <f>VLOOKUP(VLOOKUP(B1323,[1]Product!A:C,3,FALSE),[1]Supplier!A:B,2,FALSE)</f>
        <v>Supplier ELCRN</v>
      </c>
      <c r="R1323" t="str">
        <f>VLOOKUP(VLOOKUP(B1323,[1]Product!A:C,3,FALSE),[1]Supplier!A:I,9,FALSE)</f>
        <v>Finland</v>
      </c>
      <c r="S1323" t="str">
        <f>IFERROR(IF(VLOOKUP(A1323,'[1]Sales Order'!A:H,8,FALSE)&gt;100,"High Freight","Low Freight"),"Not Specified")</f>
        <v>Low Freight</v>
      </c>
      <c r="T1323">
        <f t="shared" si="41"/>
        <v>180</v>
      </c>
    </row>
    <row r="1324" spans="1:20">
      <c r="A1324" s="1">
        <v>10750</v>
      </c>
      <c r="B1324" s="2">
        <v>14</v>
      </c>
      <c r="C1324" s="2">
        <v>23.25</v>
      </c>
      <c r="D1324" s="2">
        <v>5</v>
      </c>
      <c r="E1324" s="3">
        <v>0.15</v>
      </c>
      <c r="F1324" s="2" t="str">
        <f>IFERROR(VLOOKUP(VLOOKUP(A1324,'[1]Sales Order'!A:B,2,FALSE),[1]Customer!A:C,3,FALSE),"Not Specified")</f>
        <v>Ludwig, Michael</v>
      </c>
      <c r="G1324" s="2" t="str">
        <f t="shared" si="40"/>
        <v>Ludwig Michael</v>
      </c>
      <c r="H1324" s="8" t="str">
        <f>IFERROR(VLOOKUP(VLOOKUP(A1324,'[1]Sales Order'!A:C,3,FALSE),[1]Employee!A:E,5,FALSE)&amp;" "&amp;VLOOKUP(VLOOKUP(A1324,'[1]Sales Order'!A:C,3,FALSE),[1]Employee!A:C,3,FALSE)&amp;" "&amp;VLOOKUP(VLOOKUP(A1324,'[1]Sales Order'!A:C,3,FALSE),[1]Employee!A:B,2,FALSE),"Not Specified")</f>
        <v>Ms. Zoya Dolgopyatova</v>
      </c>
      <c r="I1324">
        <f>IFERROR(VLOOKUP(VLOOKUP(A1324,'[1]Sales Order'!A:C,3,FALSE),[1]Employee!A:J,10,FALSE),"Not Specified")</f>
        <v>0</v>
      </c>
      <c r="J1324" t="str">
        <f>VLOOKUP(B1324,[1]Product!A:B,2,FALSE)</f>
        <v>Product PWCJB</v>
      </c>
      <c r="K1324" t="str">
        <f>VLOOKUP(VLOOKUP(B1324,[1]Product!A:D,4,FALSE),[1]Category!A:B,2,FALSE)</f>
        <v>Produce</v>
      </c>
      <c r="L1324" s="10">
        <f>IFERROR(VLOOKUP(A1324,'[1]Sales Order'!A:D,4,FALSE),"")</f>
        <v>39407</v>
      </c>
      <c r="M1324" s="10">
        <f>IFERROR(VLOOKUP(A1324,'[1]Sales Order'!A:F,6,FALSE),"")</f>
        <v>39410</v>
      </c>
      <c r="N1324" t="str">
        <f>IFERROR(VLOOKUP(VLOOKUP(A1324,'[1]Sales Order'!A:G,7,FALSE),[1]Shipper!A:B,2,FALSE),"Not Specified")</f>
        <v>Shipper GVSUA</v>
      </c>
      <c r="O1324" t="str">
        <f>IFERROR(VLOOKUP(A1324,'[1]Sales Order'!A:I,9,FALSE),"Not Specified")</f>
        <v>Ship to 87-C</v>
      </c>
      <c r="P1324" t="str">
        <f>IFERROR(VLOOKUP(A1324,'[1]Sales Order'!A:N,14,FALSE),"Not Specified")</f>
        <v>Finland</v>
      </c>
      <c r="Q1324" t="str">
        <f>VLOOKUP(VLOOKUP(B1324,[1]Product!A:C,3,FALSE),[1]Supplier!A:B,2,FALSE)</f>
        <v>Supplier QWUSF</v>
      </c>
      <c r="R1324" t="str">
        <f>VLOOKUP(VLOOKUP(B1324,[1]Product!A:C,3,FALSE),[1]Supplier!A:I,9,FALSE)</f>
        <v>Japan</v>
      </c>
      <c r="S1324" t="str">
        <f>IFERROR(IF(VLOOKUP(A1324,'[1]Sales Order'!A:H,8,FALSE)&gt;100,"High Freight","Low Freight"),"Not Specified")</f>
        <v>Low Freight</v>
      </c>
      <c r="T1324">
        <f t="shared" si="41"/>
        <v>98.8125</v>
      </c>
    </row>
    <row r="1325" spans="1:20">
      <c r="A1325" s="1">
        <v>10750</v>
      </c>
      <c r="B1325" s="2">
        <v>45</v>
      </c>
      <c r="C1325" s="2">
        <v>9.5</v>
      </c>
      <c r="D1325" s="2">
        <v>40</v>
      </c>
      <c r="E1325" s="3">
        <v>0.15</v>
      </c>
      <c r="F1325" s="2" t="str">
        <f>IFERROR(VLOOKUP(VLOOKUP(A1325,'[1]Sales Order'!A:B,2,FALSE),[1]Customer!A:C,3,FALSE),"Not Specified")</f>
        <v>Ludwig, Michael</v>
      </c>
      <c r="G1325" s="2" t="str">
        <f t="shared" si="40"/>
        <v>Ludwig Michael</v>
      </c>
      <c r="H1325" s="8" t="str">
        <f>IFERROR(VLOOKUP(VLOOKUP(A1325,'[1]Sales Order'!A:C,3,FALSE),[1]Employee!A:E,5,FALSE)&amp;" "&amp;VLOOKUP(VLOOKUP(A1325,'[1]Sales Order'!A:C,3,FALSE),[1]Employee!A:C,3,FALSE)&amp;" "&amp;VLOOKUP(VLOOKUP(A1325,'[1]Sales Order'!A:C,3,FALSE),[1]Employee!A:B,2,FALSE),"Not Specified")</f>
        <v>Ms. Zoya Dolgopyatova</v>
      </c>
      <c r="I1325">
        <f>IFERROR(VLOOKUP(VLOOKUP(A1325,'[1]Sales Order'!A:C,3,FALSE),[1]Employee!A:J,10,FALSE),"Not Specified")</f>
        <v>0</v>
      </c>
      <c r="J1325" t="str">
        <f>VLOOKUP(B1325,[1]Product!A:B,2,FALSE)</f>
        <v>Product AQOKR</v>
      </c>
      <c r="K1325" t="str">
        <f>VLOOKUP(VLOOKUP(B1325,[1]Product!A:D,4,FALSE),[1]Category!A:B,2,FALSE)</f>
        <v>Seafood</v>
      </c>
      <c r="L1325" s="10">
        <f>IFERROR(VLOOKUP(A1325,'[1]Sales Order'!A:D,4,FALSE),"")</f>
        <v>39407</v>
      </c>
      <c r="M1325" s="10">
        <f>IFERROR(VLOOKUP(A1325,'[1]Sales Order'!A:F,6,FALSE),"")</f>
        <v>39410</v>
      </c>
      <c r="N1325" t="str">
        <f>IFERROR(VLOOKUP(VLOOKUP(A1325,'[1]Sales Order'!A:G,7,FALSE),[1]Shipper!A:B,2,FALSE),"Not Specified")</f>
        <v>Shipper GVSUA</v>
      </c>
      <c r="O1325" t="str">
        <f>IFERROR(VLOOKUP(A1325,'[1]Sales Order'!A:I,9,FALSE),"Not Specified")</f>
        <v>Ship to 87-C</v>
      </c>
      <c r="P1325" t="str">
        <f>IFERROR(VLOOKUP(A1325,'[1]Sales Order'!A:N,14,FALSE),"Not Specified")</f>
        <v>Finland</v>
      </c>
      <c r="Q1325" t="str">
        <f>VLOOKUP(VLOOKUP(B1325,[1]Product!A:C,3,FALSE),[1]Supplier!A:B,2,FALSE)</f>
        <v>Supplier XOXZA</v>
      </c>
      <c r="R1325" t="str">
        <f>VLOOKUP(VLOOKUP(B1325,[1]Product!A:C,3,FALSE),[1]Supplier!A:I,9,FALSE)</f>
        <v>Denmark</v>
      </c>
      <c r="S1325" t="str">
        <f>IFERROR(IF(VLOOKUP(A1325,'[1]Sales Order'!A:H,8,FALSE)&gt;100,"High Freight","Low Freight"),"Not Specified")</f>
        <v>Low Freight</v>
      </c>
      <c r="T1325">
        <f t="shared" si="41"/>
        <v>323</v>
      </c>
    </row>
    <row r="1326" spans="1:20">
      <c r="A1326" s="1">
        <v>10750</v>
      </c>
      <c r="B1326" s="2">
        <v>59</v>
      </c>
      <c r="C1326" s="2">
        <v>55</v>
      </c>
      <c r="D1326" s="2">
        <v>25</v>
      </c>
      <c r="E1326" s="3">
        <v>0.15</v>
      </c>
      <c r="F1326" s="2" t="str">
        <f>IFERROR(VLOOKUP(VLOOKUP(A1326,'[1]Sales Order'!A:B,2,FALSE),[1]Customer!A:C,3,FALSE),"Not Specified")</f>
        <v>Ludwig, Michael</v>
      </c>
      <c r="G1326" s="2" t="str">
        <f t="shared" si="40"/>
        <v>Ludwig Michael</v>
      </c>
      <c r="H1326" s="8" t="str">
        <f>IFERROR(VLOOKUP(VLOOKUP(A1326,'[1]Sales Order'!A:C,3,FALSE),[1]Employee!A:E,5,FALSE)&amp;" "&amp;VLOOKUP(VLOOKUP(A1326,'[1]Sales Order'!A:C,3,FALSE),[1]Employee!A:C,3,FALSE)&amp;" "&amp;VLOOKUP(VLOOKUP(A1326,'[1]Sales Order'!A:C,3,FALSE),[1]Employee!A:B,2,FALSE),"Not Specified")</f>
        <v>Ms. Zoya Dolgopyatova</v>
      </c>
      <c r="I1326">
        <f>IFERROR(VLOOKUP(VLOOKUP(A1326,'[1]Sales Order'!A:C,3,FALSE),[1]Employee!A:J,10,FALSE),"Not Specified")</f>
        <v>0</v>
      </c>
      <c r="J1326" t="str">
        <f>VLOOKUP(B1326,[1]Product!A:B,2,FALSE)</f>
        <v>Product UKXRI</v>
      </c>
      <c r="K1326" t="str">
        <f>VLOOKUP(VLOOKUP(B1326,[1]Product!A:D,4,FALSE),[1]Category!A:B,2,FALSE)</f>
        <v>Dairy Product</v>
      </c>
      <c r="L1326" s="10">
        <f>IFERROR(VLOOKUP(A1326,'[1]Sales Order'!A:D,4,FALSE),"")</f>
        <v>39407</v>
      </c>
      <c r="M1326" s="10">
        <f>IFERROR(VLOOKUP(A1326,'[1]Sales Order'!A:F,6,FALSE),"")</f>
        <v>39410</v>
      </c>
      <c r="N1326" t="str">
        <f>IFERROR(VLOOKUP(VLOOKUP(A1326,'[1]Sales Order'!A:G,7,FALSE),[1]Shipper!A:B,2,FALSE),"Not Specified")</f>
        <v>Shipper GVSUA</v>
      </c>
      <c r="O1326" t="str">
        <f>IFERROR(VLOOKUP(A1326,'[1]Sales Order'!A:I,9,FALSE),"Not Specified")</f>
        <v>Ship to 87-C</v>
      </c>
      <c r="P1326" t="str">
        <f>IFERROR(VLOOKUP(A1326,'[1]Sales Order'!A:N,14,FALSE),"Not Specified")</f>
        <v>Finland</v>
      </c>
      <c r="Q1326" t="str">
        <f>VLOOKUP(VLOOKUP(B1326,[1]Product!A:C,3,FALSE),[1]Supplier!A:B,2,FALSE)</f>
        <v>Supplier OAVQT</v>
      </c>
      <c r="R1326" t="str">
        <f>VLOOKUP(VLOOKUP(B1326,[1]Product!A:C,3,FALSE),[1]Supplier!A:I,9,FALSE)</f>
        <v>France</v>
      </c>
      <c r="S1326" t="str">
        <f>IFERROR(IF(VLOOKUP(A1326,'[1]Sales Order'!A:H,8,FALSE)&gt;100,"High Freight","Low Freight"),"Not Specified")</f>
        <v>Low Freight</v>
      </c>
      <c r="T1326">
        <f t="shared" si="41"/>
        <v>1168.75</v>
      </c>
    </row>
    <row r="1327" spans="1:20">
      <c r="A1327" s="1">
        <v>10751</v>
      </c>
      <c r="B1327" s="2">
        <v>26</v>
      </c>
      <c r="C1327" s="2">
        <v>31.23</v>
      </c>
      <c r="D1327" s="2">
        <v>12</v>
      </c>
      <c r="E1327" s="3">
        <v>0.1</v>
      </c>
      <c r="F1327" s="2" t="str">
        <f>IFERROR(VLOOKUP(VLOOKUP(A1327,'[1]Sales Order'!A:B,2,FALSE),[1]Customer!A:C,3,FALSE),"Not Specified")</f>
        <v>Myrcha, Jacek</v>
      </c>
      <c r="G1327" s="2" t="str">
        <f t="shared" si="40"/>
        <v>Myrcha Jacek</v>
      </c>
      <c r="H1327" s="8" t="str">
        <f>IFERROR(VLOOKUP(VLOOKUP(A1327,'[1]Sales Order'!A:C,3,FALSE),[1]Employee!A:E,5,FALSE)&amp;" "&amp;VLOOKUP(VLOOKUP(A1327,'[1]Sales Order'!A:C,3,FALSE),[1]Employee!A:C,3,FALSE)&amp;" "&amp;VLOOKUP(VLOOKUP(A1327,'[1]Sales Order'!A:C,3,FALSE),[1]Employee!A:B,2,FALSE),"Not Specified")</f>
        <v>Ms. Judy Lew</v>
      </c>
      <c r="I1327" t="str">
        <f>IFERROR(VLOOKUP(VLOOKUP(A1327,'[1]Sales Order'!A:C,3,FALSE),[1]Employee!A:J,10,FALSE),"Not Specified")</f>
        <v>WA</v>
      </c>
      <c r="J1327" t="str">
        <f>VLOOKUP(B1327,[1]Product!A:B,2,FALSE)</f>
        <v>Product HLGZA</v>
      </c>
      <c r="K1327" t="str">
        <f>VLOOKUP(VLOOKUP(B1327,[1]Product!A:D,4,FALSE),[1]Category!A:B,2,FALSE)</f>
        <v>Confections</v>
      </c>
      <c r="L1327" s="10">
        <f>IFERROR(VLOOKUP(A1327,'[1]Sales Order'!A:D,4,FALSE),"")</f>
        <v>39410</v>
      </c>
      <c r="M1327" s="10">
        <f>IFERROR(VLOOKUP(A1327,'[1]Sales Order'!A:F,6,FALSE),"")</f>
        <v>39419</v>
      </c>
      <c r="N1327" t="str">
        <f>IFERROR(VLOOKUP(VLOOKUP(A1327,'[1]Sales Order'!A:G,7,FALSE),[1]Shipper!A:B,2,FALSE),"Not Specified")</f>
        <v>Shipper ZHISN</v>
      </c>
      <c r="O1327" t="str">
        <f>IFERROR(VLOOKUP(A1327,'[1]Sales Order'!A:I,9,FALSE),"Not Specified")</f>
        <v>Ship to 68-A</v>
      </c>
      <c r="P1327" t="str">
        <f>IFERROR(VLOOKUP(A1327,'[1]Sales Order'!A:N,14,FALSE),"Not Specified")</f>
        <v>Switzerland</v>
      </c>
      <c r="Q1327" t="str">
        <f>VLOOKUP(VLOOKUP(B1327,[1]Product!A:C,3,FALSE),[1]Supplier!A:B,2,FALSE)</f>
        <v>Supplier ZPYVS</v>
      </c>
      <c r="R1327" t="str">
        <f>VLOOKUP(VLOOKUP(B1327,[1]Product!A:C,3,FALSE),[1]Supplier!A:I,9,FALSE)</f>
        <v>Germany</v>
      </c>
      <c r="S1327" t="str">
        <f>IFERROR(IF(VLOOKUP(A1327,'[1]Sales Order'!A:H,8,FALSE)&gt;100,"High Freight","Low Freight"),"Not Specified")</f>
        <v>High Freight</v>
      </c>
      <c r="T1327">
        <f t="shared" si="41"/>
        <v>337.28399999999999</v>
      </c>
    </row>
    <row r="1328" spans="1:20">
      <c r="A1328" s="1">
        <v>10751</v>
      </c>
      <c r="B1328" s="2">
        <v>30</v>
      </c>
      <c r="C1328" s="2">
        <v>25.89</v>
      </c>
      <c r="D1328" s="2">
        <v>30</v>
      </c>
      <c r="E1328" s="3">
        <v>0</v>
      </c>
      <c r="F1328" s="2" t="str">
        <f>IFERROR(VLOOKUP(VLOOKUP(A1328,'[1]Sales Order'!A:B,2,FALSE),[1]Customer!A:C,3,FALSE),"Not Specified")</f>
        <v>Myrcha, Jacek</v>
      </c>
      <c r="G1328" s="2" t="str">
        <f t="shared" si="40"/>
        <v>Myrcha Jacek</v>
      </c>
      <c r="H1328" s="8" t="str">
        <f>IFERROR(VLOOKUP(VLOOKUP(A1328,'[1]Sales Order'!A:C,3,FALSE),[1]Employee!A:E,5,FALSE)&amp;" "&amp;VLOOKUP(VLOOKUP(A1328,'[1]Sales Order'!A:C,3,FALSE),[1]Employee!A:C,3,FALSE)&amp;" "&amp;VLOOKUP(VLOOKUP(A1328,'[1]Sales Order'!A:C,3,FALSE),[1]Employee!A:B,2,FALSE),"Not Specified")</f>
        <v>Ms. Judy Lew</v>
      </c>
      <c r="I1328" t="str">
        <f>IFERROR(VLOOKUP(VLOOKUP(A1328,'[1]Sales Order'!A:C,3,FALSE),[1]Employee!A:J,10,FALSE),"Not Specified")</f>
        <v>WA</v>
      </c>
      <c r="J1328" t="str">
        <f>VLOOKUP(B1328,[1]Product!A:B,2,FALSE)</f>
        <v>Product LYERX</v>
      </c>
      <c r="K1328" t="str">
        <f>VLOOKUP(VLOOKUP(B1328,[1]Product!A:D,4,FALSE),[1]Category!A:B,2,FALSE)</f>
        <v>Seafood</v>
      </c>
      <c r="L1328" s="10">
        <f>IFERROR(VLOOKUP(A1328,'[1]Sales Order'!A:D,4,FALSE),"")</f>
        <v>39410</v>
      </c>
      <c r="M1328" s="10">
        <f>IFERROR(VLOOKUP(A1328,'[1]Sales Order'!A:F,6,FALSE),"")</f>
        <v>39419</v>
      </c>
      <c r="N1328" t="str">
        <f>IFERROR(VLOOKUP(VLOOKUP(A1328,'[1]Sales Order'!A:G,7,FALSE),[1]Shipper!A:B,2,FALSE),"Not Specified")</f>
        <v>Shipper ZHISN</v>
      </c>
      <c r="O1328" t="str">
        <f>IFERROR(VLOOKUP(A1328,'[1]Sales Order'!A:I,9,FALSE),"Not Specified")</f>
        <v>Ship to 68-A</v>
      </c>
      <c r="P1328" t="str">
        <f>IFERROR(VLOOKUP(A1328,'[1]Sales Order'!A:N,14,FALSE),"Not Specified")</f>
        <v>Switzerland</v>
      </c>
      <c r="Q1328" t="str">
        <f>VLOOKUP(VLOOKUP(B1328,[1]Product!A:C,3,FALSE),[1]Supplier!A:B,2,FALSE)</f>
        <v>Supplier TEGSC</v>
      </c>
      <c r="R1328" t="str">
        <f>VLOOKUP(VLOOKUP(B1328,[1]Product!A:C,3,FALSE),[1]Supplier!A:I,9,FALSE)</f>
        <v>Germany</v>
      </c>
      <c r="S1328" t="str">
        <f>IFERROR(IF(VLOOKUP(A1328,'[1]Sales Order'!A:H,8,FALSE)&gt;100,"High Freight","Low Freight"),"Not Specified")</f>
        <v>High Freight</v>
      </c>
      <c r="T1328">
        <f t="shared" si="41"/>
        <v>776.7</v>
      </c>
    </row>
    <row r="1329" spans="1:20">
      <c r="A1329" s="1">
        <v>10751</v>
      </c>
      <c r="B1329" s="2">
        <v>50</v>
      </c>
      <c r="C1329" s="2">
        <v>16.25</v>
      </c>
      <c r="D1329" s="2">
        <v>20</v>
      </c>
      <c r="E1329" s="3">
        <v>0.1</v>
      </c>
      <c r="F1329" s="2" t="str">
        <f>IFERROR(VLOOKUP(VLOOKUP(A1329,'[1]Sales Order'!A:B,2,FALSE),[1]Customer!A:C,3,FALSE),"Not Specified")</f>
        <v>Myrcha, Jacek</v>
      </c>
      <c r="G1329" s="2" t="str">
        <f t="shared" si="40"/>
        <v>Myrcha Jacek</v>
      </c>
      <c r="H1329" s="8" t="str">
        <f>IFERROR(VLOOKUP(VLOOKUP(A1329,'[1]Sales Order'!A:C,3,FALSE),[1]Employee!A:E,5,FALSE)&amp;" "&amp;VLOOKUP(VLOOKUP(A1329,'[1]Sales Order'!A:C,3,FALSE),[1]Employee!A:C,3,FALSE)&amp;" "&amp;VLOOKUP(VLOOKUP(A1329,'[1]Sales Order'!A:C,3,FALSE),[1]Employee!A:B,2,FALSE),"Not Specified")</f>
        <v>Ms. Judy Lew</v>
      </c>
      <c r="I1329" t="str">
        <f>IFERROR(VLOOKUP(VLOOKUP(A1329,'[1]Sales Order'!A:C,3,FALSE),[1]Employee!A:J,10,FALSE),"Not Specified")</f>
        <v>WA</v>
      </c>
      <c r="J1329" t="str">
        <f>VLOOKUP(B1329,[1]Product!A:B,2,FALSE)</f>
        <v>Product BIUDV</v>
      </c>
      <c r="K1329" t="str">
        <f>VLOOKUP(VLOOKUP(B1329,[1]Product!A:D,4,FALSE),[1]Category!A:B,2,FALSE)</f>
        <v>Confections</v>
      </c>
      <c r="L1329" s="10">
        <f>IFERROR(VLOOKUP(A1329,'[1]Sales Order'!A:D,4,FALSE),"")</f>
        <v>39410</v>
      </c>
      <c r="M1329" s="10">
        <f>IFERROR(VLOOKUP(A1329,'[1]Sales Order'!A:F,6,FALSE),"")</f>
        <v>39419</v>
      </c>
      <c r="N1329" t="str">
        <f>IFERROR(VLOOKUP(VLOOKUP(A1329,'[1]Sales Order'!A:G,7,FALSE),[1]Shipper!A:B,2,FALSE),"Not Specified")</f>
        <v>Shipper ZHISN</v>
      </c>
      <c r="O1329" t="str">
        <f>IFERROR(VLOOKUP(A1329,'[1]Sales Order'!A:I,9,FALSE),"Not Specified")</f>
        <v>Ship to 68-A</v>
      </c>
      <c r="P1329" t="str">
        <f>IFERROR(VLOOKUP(A1329,'[1]Sales Order'!A:N,14,FALSE),"Not Specified")</f>
        <v>Switzerland</v>
      </c>
      <c r="Q1329" t="str">
        <f>VLOOKUP(VLOOKUP(B1329,[1]Product!A:C,3,FALSE),[1]Supplier!A:B,2,FALSE)</f>
        <v>Supplier ELCRN</v>
      </c>
      <c r="R1329" t="str">
        <f>VLOOKUP(VLOOKUP(B1329,[1]Product!A:C,3,FALSE),[1]Supplier!A:I,9,FALSE)</f>
        <v>Finland</v>
      </c>
      <c r="S1329" t="str">
        <f>IFERROR(IF(VLOOKUP(A1329,'[1]Sales Order'!A:H,8,FALSE)&gt;100,"High Freight","Low Freight"),"Not Specified")</f>
        <v>High Freight</v>
      </c>
      <c r="T1329">
        <f t="shared" si="41"/>
        <v>292.5</v>
      </c>
    </row>
    <row r="1330" spans="1:20">
      <c r="A1330" s="1">
        <v>10751</v>
      </c>
      <c r="B1330" s="2">
        <v>73</v>
      </c>
      <c r="C1330" s="2">
        <v>15</v>
      </c>
      <c r="D1330" s="2">
        <v>15</v>
      </c>
      <c r="E1330" s="3">
        <v>0</v>
      </c>
      <c r="F1330" s="2" t="str">
        <f>IFERROR(VLOOKUP(VLOOKUP(A1330,'[1]Sales Order'!A:B,2,FALSE),[1]Customer!A:C,3,FALSE),"Not Specified")</f>
        <v>Myrcha, Jacek</v>
      </c>
      <c r="G1330" s="2" t="str">
        <f t="shared" si="40"/>
        <v>Myrcha Jacek</v>
      </c>
      <c r="H1330" s="8" t="str">
        <f>IFERROR(VLOOKUP(VLOOKUP(A1330,'[1]Sales Order'!A:C,3,FALSE),[1]Employee!A:E,5,FALSE)&amp;" "&amp;VLOOKUP(VLOOKUP(A1330,'[1]Sales Order'!A:C,3,FALSE),[1]Employee!A:C,3,FALSE)&amp;" "&amp;VLOOKUP(VLOOKUP(A1330,'[1]Sales Order'!A:C,3,FALSE),[1]Employee!A:B,2,FALSE),"Not Specified")</f>
        <v>Ms. Judy Lew</v>
      </c>
      <c r="I1330" t="str">
        <f>IFERROR(VLOOKUP(VLOOKUP(A1330,'[1]Sales Order'!A:C,3,FALSE),[1]Employee!A:J,10,FALSE),"Not Specified")</f>
        <v>WA</v>
      </c>
      <c r="J1330" t="str">
        <f>VLOOKUP(B1330,[1]Product!A:B,2,FALSE)</f>
        <v>Product WEUJZ</v>
      </c>
      <c r="K1330" t="str">
        <f>VLOOKUP(VLOOKUP(B1330,[1]Product!A:D,4,FALSE),[1]Category!A:B,2,FALSE)</f>
        <v>Seafood</v>
      </c>
      <c r="L1330" s="10">
        <f>IFERROR(VLOOKUP(A1330,'[1]Sales Order'!A:D,4,FALSE),"")</f>
        <v>39410</v>
      </c>
      <c r="M1330" s="10">
        <f>IFERROR(VLOOKUP(A1330,'[1]Sales Order'!A:F,6,FALSE),"")</f>
        <v>39419</v>
      </c>
      <c r="N1330" t="str">
        <f>IFERROR(VLOOKUP(VLOOKUP(A1330,'[1]Sales Order'!A:G,7,FALSE),[1]Shipper!A:B,2,FALSE),"Not Specified")</f>
        <v>Shipper ZHISN</v>
      </c>
      <c r="O1330" t="str">
        <f>IFERROR(VLOOKUP(A1330,'[1]Sales Order'!A:I,9,FALSE),"Not Specified")</f>
        <v>Ship to 68-A</v>
      </c>
      <c r="P1330" t="str">
        <f>IFERROR(VLOOKUP(A1330,'[1]Sales Order'!A:N,14,FALSE),"Not Specified")</f>
        <v>Switzerland</v>
      </c>
      <c r="Q1330" t="str">
        <f>VLOOKUP(VLOOKUP(B1330,[1]Product!A:C,3,FALSE),[1]Supplier!A:B,2,FALSE)</f>
        <v>Supplier QZGUF</v>
      </c>
      <c r="R1330" t="str">
        <f>VLOOKUP(VLOOKUP(B1330,[1]Product!A:C,3,FALSE),[1]Supplier!A:I,9,FALSE)</f>
        <v>Sweden</v>
      </c>
      <c r="S1330" t="str">
        <f>IFERROR(IF(VLOOKUP(A1330,'[1]Sales Order'!A:H,8,FALSE)&gt;100,"High Freight","Low Freight"),"Not Specified")</f>
        <v>High Freight</v>
      </c>
      <c r="T1330">
        <f t="shared" si="41"/>
        <v>225</v>
      </c>
    </row>
    <row r="1331" spans="1:20">
      <c r="A1331" s="1">
        <v>10752</v>
      </c>
      <c r="B1331" s="2">
        <v>1</v>
      </c>
      <c r="C1331" s="2">
        <v>18</v>
      </c>
      <c r="D1331" s="2">
        <v>8</v>
      </c>
      <c r="E1331" s="3">
        <v>0</v>
      </c>
      <c r="F1331" s="2" t="str">
        <f>IFERROR(VLOOKUP(VLOOKUP(A1331,'[1]Sales Order'!A:B,2,FALSE),[1]Customer!A:C,3,FALSE),"Not Specified")</f>
        <v>Mallit, Ken</v>
      </c>
      <c r="G1331" s="2" t="str">
        <f t="shared" si="40"/>
        <v>Mallit Ken</v>
      </c>
      <c r="H1331" s="8" t="str">
        <f>IFERROR(VLOOKUP(VLOOKUP(A1331,'[1]Sales Order'!A:C,3,FALSE),[1]Employee!A:E,5,FALSE)&amp;" "&amp;VLOOKUP(VLOOKUP(A1331,'[1]Sales Order'!A:C,3,FALSE),[1]Employee!A:C,3,FALSE)&amp;" "&amp;VLOOKUP(VLOOKUP(A1331,'[1]Sales Order'!A:C,3,FALSE),[1]Employee!A:B,2,FALSE),"Not Specified")</f>
        <v>Dr. Don Funk</v>
      </c>
      <c r="I1331" t="str">
        <f>IFERROR(VLOOKUP(VLOOKUP(A1331,'[1]Sales Order'!A:C,3,FALSE),[1]Employee!A:J,10,FALSE),"Not Specified")</f>
        <v>WA</v>
      </c>
      <c r="J1331" t="str">
        <f>VLOOKUP(B1331,[1]Product!A:B,2,FALSE)</f>
        <v>Product HHYDP</v>
      </c>
      <c r="K1331" t="str">
        <f>VLOOKUP(VLOOKUP(B1331,[1]Product!A:D,4,FALSE),[1]Category!A:B,2,FALSE)</f>
        <v>Beverages</v>
      </c>
      <c r="L1331" s="10">
        <f>IFERROR(VLOOKUP(A1331,'[1]Sales Order'!A:D,4,FALSE),"")</f>
        <v>39410</v>
      </c>
      <c r="M1331" s="10">
        <f>IFERROR(VLOOKUP(A1331,'[1]Sales Order'!A:F,6,FALSE),"")</f>
        <v>39414</v>
      </c>
      <c r="N1331" t="str">
        <f>IFERROR(VLOOKUP(VLOOKUP(A1331,'[1]Sales Order'!A:G,7,FALSE),[1]Shipper!A:B,2,FALSE),"Not Specified")</f>
        <v>Shipper ZHISN</v>
      </c>
      <c r="O1331" t="str">
        <f>IFERROR(VLOOKUP(A1331,'[1]Sales Order'!A:I,9,FALSE),"Not Specified")</f>
        <v>Ship to 53-C</v>
      </c>
      <c r="P1331" t="str">
        <f>IFERROR(VLOOKUP(A1331,'[1]Sales Order'!A:N,14,FALSE),"Not Specified")</f>
        <v>UK</v>
      </c>
      <c r="Q1331" t="str">
        <f>VLOOKUP(VLOOKUP(B1331,[1]Product!A:C,3,FALSE),[1]Supplier!A:B,2,FALSE)</f>
        <v>Supplier SWRXU</v>
      </c>
      <c r="R1331" t="str">
        <f>VLOOKUP(VLOOKUP(B1331,[1]Product!A:C,3,FALSE),[1]Supplier!A:I,9,FALSE)</f>
        <v>UK</v>
      </c>
      <c r="S1331" t="str">
        <f>IFERROR(IF(VLOOKUP(A1331,'[1]Sales Order'!A:H,8,FALSE)&gt;100,"High Freight","Low Freight"),"Not Specified")</f>
        <v>Low Freight</v>
      </c>
      <c r="T1331">
        <f t="shared" si="41"/>
        <v>144</v>
      </c>
    </row>
    <row r="1332" spans="1:20">
      <c r="A1332" s="1">
        <v>10752</v>
      </c>
      <c r="B1332" s="2">
        <v>69</v>
      </c>
      <c r="C1332" s="2">
        <v>36</v>
      </c>
      <c r="D1332" s="2">
        <v>3</v>
      </c>
      <c r="E1332" s="3">
        <v>0</v>
      </c>
      <c r="F1332" s="2" t="str">
        <f>IFERROR(VLOOKUP(VLOOKUP(A1332,'[1]Sales Order'!A:B,2,FALSE),[1]Customer!A:C,3,FALSE),"Not Specified")</f>
        <v>Mallit, Ken</v>
      </c>
      <c r="G1332" s="2" t="str">
        <f t="shared" si="40"/>
        <v>Mallit Ken</v>
      </c>
      <c r="H1332" s="8" t="str">
        <f>IFERROR(VLOOKUP(VLOOKUP(A1332,'[1]Sales Order'!A:C,3,FALSE),[1]Employee!A:E,5,FALSE)&amp;" "&amp;VLOOKUP(VLOOKUP(A1332,'[1]Sales Order'!A:C,3,FALSE),[1]Employee!A:C,3,FALSE)&amp;" "&amp;VLOOKUP(VLOOKUP(A1332,'[1]Sales Order'!A:C,3,FALSE),[1]Employee!A:B,2,FALSE),"Not Specified")</f>
        <v>Dr. Don Funk</v>
      </c>
      <c r="I1332" t="str">
        <f>IFERROR(VLOOKUP(VLOOKUP(A1332,'[1]Sales Order'!A:C,3,FALSE),[1]Employee!A:J,10,FALSE),"Not Specified")</f>
        <v>WA</v>
      </c>
      <c r="J1332" t="str">
        <f>VLOOKUP(B1332,[1]Product!A:B,2,FALSE)</f>
        <v>Product COAXA</v>
      </c>
      <c r="K1332" t="str">
        <f>VLOOKUP(VLOOKUP(B1332,[1]Product!A:D,4,FALSE),[1]Category!A:B,2,FALSE)</f>
        <v>Dairy Product</v>
      </c>
      <c r="L1332" s="10">
        <f>IFERROR(VLOOKUP(A1332,'[1]Sales Order'!A:D,4,FALSE),"")</f>
        <v>39410</v>
      </c>
      <c r="M1332" s="10">
        <f>IFERROR(VLOOKUP(A1332,'[1]Sales Order'!A:F,6,FALSE),"")</f>
        <v>39414</v>
      </c>
      <c r="N1332" t="str">
        <f>IFERROR(VLOOKUP(VLOOKUP(A1332,'[1]Sales Order'!A:G,7,FALSE),[1]Shipper!A:B,2,FALSE),"Not Specified")</f>
        <v>Shipper ZHISN</v>
      </c>
      <c r="O1332" t="str">
        <f>IFERROR(VLOOKUP(A1332,'[1]Sales Order'!A:I,9,FALSE),"Not Specified")</f>
        <v>Ship to 53-C</v>
      </c>
      <c r="P1332" t="str">
        <f>IFERROR(VLOOKUP(A1332,'[1]Sales Order'!A:N,14,FALSE),"Not Specified")</f>
        <v>UK</v>
      </c>
      <c r="Q1332" t="str">
        <f>VLOOKUP(VLOOKUP(B1332,[1]Product!A:C,3,FALSE),[1]Supplier!A:B,2,FALSE)</f>
        <v>Supplier NZLIF</v>
      </c>
      <c r="R1332" t="str">
        <f>VLOOKUP(VLOOKUP(B1332,[1]Product!A:C,3,FALSE),[1]Supplier!A:I,9,FALSE)</f>
        <v>Norway</v>
      </c>
      <c r="S1332" t="str">
        <f>IFERROR(IF(VLOOKUP(A1332,'[1]Sales Order'!A:H,8,FALSE)&gt;100,"High Freight","Low Freight"),"Not Specified")</f>
        <v>Low Freight</v>
      </c>
      <c r="T1332">
        <f t="shared" si="41"/>
        <v>108</v>
      </c>
    </row>
    <row r="1333" spans="1:20">
      <c r="A1333" s="1">
        <v>10753</v>
      </c>
      <c r="B1333" s="2">
        <v>45</v>
      </c>
      <c r="C1333" s="2">
        <v>9.5</v>
      </c>
      <c r="D1333" s="2">
        <v>4</v>
      </c>
      <c r="E1333" s="3">
        <v>0</v>
      </c>
      <c r="F1333" s="2" t="str">
        <f>IFERROR(VLOOKUP(VLOOKUP(A1333,'[1]Sales Order'!A:B,2,FALSE),[1]Customer!A:C,3,FALSE),"Not Specified")</f>
        <v>Schmöllerl, Martin</v>
      </c>
      <c r="G1333" s="2" t="str">
        <f t="shared" si="40"/>
        <v>Schmöllerl Martin</v>
      </c>
      <c r="H1333" s="8" t="str">
        <f>IFERROR(VLOOKUP(VLOOKUP(A1333,'[1]Sales Order'!A:C,3,FALSE),[1]Employee!A:E,5,FALSE)&amp;" "&amp;VLOOKUP(VLOOKUP(A1333,'[1]Sales Order'!A:C,3,FALSE),[1]Employee!A:C,3,FALSE)&amp;" "&amp;VLOOKUP(VLOOKUP(A1333,'[1]Sales Order'!A:C,3,FALSE),[1]Employee!A:B,2,FALSE),"Not Specified")</f>
        <v>Ms. Judy Lew</v>
      </c>
      <c r="I1333" t="str">
        <f>IFERROR(VLOOKUP(VLOOKUP(A1333,'[1]Sales Order'!A:C,3,FALSE),[1]Employee!A:J,10,FALSE),"Not Specified")</f>
        <v>WA</v>
      </c>
      <c r="J1333" t="str">
        <f>VLOOKUP(B1333,[1]Product!A:B,2,FALSE)</f>
        <v>Product AQOKR</v>
      </c>
      <c r="K1333" t="str">
        <f>VLOOKUP(VLOOKUP(B1333,[1]Product!A:D,4,FALSE),[1]Category!A:B,2,FALSE)</f>
        <v>Seafood</v>
      </c>
      <c r="L1333" s="10">
        <f>IFERROR(VLOOKUP(A1333,'[1]Sales Order'!A:D,4,FALSE),"")</f>
        <v>39411</v>
      </c>
      <c r="M1333" s="10">
        <f>IFERROR(VLOOKUP(A1333,'[1]Sales Order'!A:F,6,FALSE),"")</f>
        <v>39413</v>
      </c>
      <c r="N1333" t="str">
        <f>IFERROR(VLOOKUP(VLOOKUP(A1333,'[1]Sales Order'!A:G,7,FALSE),[1]Shipper!A:B,2,FALSE),"Not Specified")</f>
        <v>Shipper GVSUA</v>
      </c>
      <c r="O1333" t="str">
        <f>IFERROR(VLOOKUP(A1333,'[1]Sales Order'!A:I,9,FALSE),"Not Specified")</f>
        <v>Destination DICGM</v>
      </c>
      <c r="P1333" t="str">
        <f>IFERROR(VLOOKUP(A1333,'[1]Sales Order'!A:N,14,FALSE),"Not Specified")</f>
        <v>Italy</v>
      </c>
      <c r="Q1333" t="str">
        <f>VLOOKUP(VLOOKUP(B1333,[1]Product!A:C,3,FALSE),[1]Supplier!A:B,2,FALSE)</f>
        <v>Supplier XOXZA</v>
      </c>
      <c r="R1333" t="str">
        <f>VLOOKUP(VLOOKUP(B1333,[1]Product!A:C,3,FALSE),[1]Supplier!A:I,9,FALSE)</f>
        <v>Denmark</v>
      </c>
      <c r="S1333" t="str">
        <f>IFERROR(IF(VLOOKUP(A1333,'[1]Sales Order'!A:H,8,FALSE)&gt;100,"High Freight","Low Freight"),"Not Specified")</f>
        <v>Low Freight</v>
      </c>
      <c r="T1333">
        <f t="shared" si="41"/>
        <v>38</v>
      </c>
    </row>
    <row r="1334" spans="1:20">
      <c r="A1334" s="1">
        <v>10753</v>
      </c>
      <c r="B1334" s="2">
        <v>74</v>
      </c>
      <c r="C1334" s="2">
        <v>10</v>
      </c>
      <c r="D1334" s="2">
        <v>5</v>
      </c>
      <c r="E1334" s="3">
        <v>0</v>
      </c>
      <c r="F1334" s="2" t="str">
        <f>IFERROR(VLOOKUP(VLOOKUP(A1334,'[1]Sales Order'!A:B,2,FALSE),[1]Customer!A:C,3,FALSE),"Not Specified")</f>
        <v>Schmöllerl, Martin</v>
      </c>
      <c r="G1334" s="2" t="str">
        <f t="shared" si="40"/>
        <v>Schmöllerl Martin</v>
      </c>
      <c r="H1334" s="8" t="str">
        <f>IFERROR(VLOOKUP(VLOOKUP(A1334,'[1]Sales Order'!A:C,3,FALSE),[1]Employee!A:E,5,FALSE)&amp;" "&amp;VLOOKUP(VLOOKUP(A1334,'[1]Sales Order'!A:C,3,FALSE),[1]Employee!A:C,3,FALSE)&amp;" "&amp;VLOOKUP(VLOOKUP(A1334,'[1]Sales Order'!A:C,3,FALSE),[1]Employee!A:B,2,FALSE),"Not Specified")</f>
        <v>Ms. Judy Lew</v>
      </c>
      <c r="I1334" t="str">
        <f>IFERROR(VLOOKUP(VLOOKUP(A1334,'[1]Sales Order'!A:C,3,FALSE),[1]Employee!A:J,10,FALSE),"Not Specified")</f>
        <v>WA</v>
      </c>
      <c r="J1334" t="str">
        <f>VLOOKUP(B1334,[1]Product!A:B,2,FALSE)</f>
        <v>Product BKAZJ</v>
      </c>
      <c r="K1334" t="str">
        <f>VLOOKUP(VLOOKUP(B1334,[1]Product!A:D,4,FALSE),[1]Category!A:B,2,FALSE)</f>
        <v>Produce</v>
      </c>
      <c r="L1334" s="10">
        <f>IFERROR(VLOOKUP(A1334,'[1]Sales Order'!A:D,4,FALSE),"")</f>
        <v>39411</v>
      </c>
      <c r="M1334" s="10">
        <f>IFERROR(VLOOKUP(A1334,'[1]Sales Order'!A:F,6,FALSE),"")</f>
        <v>39413</v>
      </c>
      <c r="N1334" t="str">
        <f>IFERROR(VLOOKUP(VLOOKUP(A1334,'[1]Sales Order'!A:G,7,FALSE),[1]Shipper!A:B,2,FALSE),"Not Specified")</f>
        <v>Shipper GVSUA</v>
      </c>
      <c r="O1334" t="str">
        <f>IFERROR(VLOOKUP(A1334,'[1]Sales Order'!A:I,9,FALSE),"Not Specified")</f>
        <v>Destination DICGM</v>
      </c>
      <c r="P1334" t="str">
        <f>IFERROR(VLOOKUP(A1334,'[1]Sales Order'!A:N,14,FALSE),"Not Specified")</f>
        <v>Italy</v>
      </c>
      <c r="Q1334" t="str">
        <f>VLOOKUP(VLOOKUP(B1334,[1]Product!A:C,3,FALSE),[1]Supplier!A:B,2,FALSE)</f>
        <v>Supplier QOVFD</v>
      </c>
      <c r="R1334" t="str">
        <f>VLOOKUP(VLOOKUP(B1334,[1]Product!A:C,3,FALSE),[1]Supplier!A:I,9,FALSE)</f>
        <v>Japan</v>
      </c>
      <c r="S1334" t="str">
        <f>IFERROR(IF(VLOOKUP(A1334,'[1]Sales Order'!A:H,8,FALSE)&gt;100,"High Freight","Low Freight"),"Not Specified")</f>
        <v>Low Freight</v>
      </c>
      <c r="T1334">
        <f t="shared" si="41"/>
        <v>50</v>
      </c>
    </row>
    <row r="1335" spans="1:20">
      <c r="A1335" s="1">
        <v>10754</v>
      </c>
      <c r="B1335" s="2">
        <v>40</v>
      </c>
      <c r="C1335" s="2">
        <v>18.399999999999999</v>
      </c>
      <c r="D1335" s="2">
        <v>3</v>
      </c>
      <c r="E1335" s="3">
        <v>0</v>
      </c>
      <c r="F1335" s="2" t="str">
        <f>IFERROR(VLOOKUP(VLOOKUP(A1335,'[1]Sales Order'!A:B,2,FALSE),[1]Customer!A:C,3,FALSE),"Not Specified")</f>
        <v>Duerr, Bernard</v>
      </c>
      <c r="G1335" s="2" t="str">
        <f t="shared" si="40"/>
        <v>Duerr Bernard</v>
      </c>
      <c r="H1335" s="8" t="str">
        <f>IFERROR(VLOOKUP(VLOOKUP(A1335,'[1]Sales Order'!A:C,3,FALSE),[1]Employee!A:E,5,FALSE)&amp;" "&amp;VLOOKUP(VLOOKUP(A1335,'[1]Sales Order'!A:C,3,FALSE),[1]Employee!A:C,3,FALSE)&amp;" "&amp;VLOOKUP(VLOOKUP(A1335,'[1]Sales Order'!A:C,3,FALSE),[1]Employee!A:B,2,FALSE),"Not Specified")</f>
        <v>Mr. Paul Suurs</v>
      </c>
      <c r="I1335">
        <f>IFERROR(VLOOKUP(VLOOKUP(A1335,'[1]Sales Order'!A:C,3,FALSE),[1]Employee!A:J,10,FALSE),"Not Specified")</f>
        <v>0</v>
      </c>
      <c r="J1335" t="str">
        <f>VLOOKUP(B1335,[1]Product!A:B,2,FALSE)</f>
        <v>Product YZIXQ</v>
      </c>
      <c r="K1335" t="str">
        <f>VLOOKUP(VLOOKUP(B1335,[1]Product!A:D,4,FALSE),[1]Category!A:B,2,FALSE)</f>
        <v>Seafood</v>
      </c>
      <c r="L1335" s="10">
        <f>IFERROR(VLOOKUP(A1335,'[1]Sales Order'!A:D,4,FALSE),"")</f>
        <v>39411</v>
      </c>
      <c r="M1335" s="10">
        <f>IFERROR(VLOOKUP(A1335,'[1]Sales Order'!A:F,6,FALSE),"")</f>
        <v>39413</v>
      </c>
      <c r="N1335" t="str">
        <f>IFERROR(VLOOKUP(VLOOKUP(A1335,'[1]Sales Order'!A:G,7,FALSE),[1]Shipper!A:B,2,FALSE),"Not Specified")</f>
        <v>Shipper ZHISN</v>
      </c>
      <c r="O1335" t="str">
        <f>IFERROR(VLOOKUP(A1335,'[1]Sales Order'!A:I,9,FALSE),"Not Specified")</f>
        <v>Ship to 49-B</v>
      </c>
      <c r="P1335" t="str">
        <f>IFERROR(VLOOKUP(A1335,'[1]Sales Order'!A:N,14,FALSE),"Not Specified")</f>
        <v>Italy</v>
      </c>
      <c r="Q1335" t="str">
        <f>VLOOKUP(VLOOKUP(B1335,[1]Product!A:C,3,FALSE),[1]Supplier!A:B,2,FALSE)</f>
        <v>Supplier JDNUG</v>
      </c>
      <c r="R1335" t="str">
        <f>VLOOKUP(VLOOKUP(B1335,[1]Product!A:C,3,FALSE),[1]Supplier!A:I,9,FALSE)</f>
        <v>USA</v>
      </c>
      <c r="S1335" t="str">
        <f>IFERROR(IF(VLOOKUP(A1335,'[1]Sales Order'!A:H,8,FALSE)&gt;100,"High Freight","Low Freight"),"Not Specified")</f>
        <v>Low Freight</v>
      </c>
      <c r="T1335">
        <f t="shared" si="41"/>
        <v>55.199999999999996</v>
      </c>
    </row>
    <row r="1336" spans="1:20">
      <c r="A1336" s="1">
        <v>10755</v>
      </c>
      <c r="B1336" s="2">
        <v>47</v>
      </c>
      <c r="C1336" s="2">
        <v>9.5</v>
      </c>
      <c r="D1336" s="2">
        <v>30</v>
      </c>
      <c r="E1336" s="3">
        <v>0.25</v>
      </c>
      <c r="F1336" s="2" t="str">
        <f>IFERROR(VLOOKUP(VLOOKUP(A1336,'[1]Sales Order'!A:B,2,FALSE),[1]Customer!A:C,3,FALSE),"Not Specified")</f>
        <v>Raghav, Amritansh</v>
      </c>
      <c r="G1336" s="2" t="str">
        <f t="shared" si="40"/>
        <v>Raghav Amritansh</v>
      </c>
      <c r="H1336" s="8" t="str">
        <f>IFERROR(VLOOKUP(VLOOKUP(A1336,'[1]Sales Order'!A:C,3,FALSE),[1]Employee!A:E,5,FALSE)&amp;" "&amp;VLOOKUP(VLOOKUP(A1336,'[1]Sales Order'!A:C,3,FALSE),[1]Employee!A:C,3,FALSE)&amp;" "&amp;VLOOKUP(VLOOKUP(A1336,'[1]Sales Order'!A:C,3,FALSE),[1]Employee!A:B,2,FALSE),"Not Specified")</f>
        <v>Mrs. Yael Peled</v>
      </c>
      <c r="I1336" t="str">
        <f>IFERROR(VLOOKUP(VLOOKUP(A1336,'[1]Sales Order'!A:C,3,FALSE),[1]Employee!A:J,10,FALSE),"Not Specified")</f>
        <v>WA</v>
      </c>
      <c r="J1336" t="str">
        <f>VLOOKUP(B1336,[1]Product!A:B,2,FALSE)</f>
        <v>Product EZZPR</v>
      </c>
      <c r="K1336" t="str">
        <f>VLOOKUP(VLOOKUP(B1336,[1]Product!A:D,4,FALSE),[1]Category!A:B,2,FALSE)</f>
        <v>Confections</v>
      </c>
      <c r="L1336" s="10">
        <f>IFERROR(VLOOKUP(A1336,'[1]Sales Order'!A:D,4,FALSE),"")</f>
        <v>39412</v>
      </c>
      <c r="M1336" s="10">
        <f>IFERROR(VLOOKUP(A1336,'[1]Sales Order'!A:F,6,FALSE),"")</f>
        <v>39414</v>
      </c>
      <c r="N1336" t="str">
        <f>IFERROR(VLOOKUP(VLOOKUP(A1336,'[1]Sales Order'!A:G,7,FALSE),[1]Shipper!A:B,2,FALSE),"Not Specified")</f>
        <v>Shipper ETYNR</v>
      </c>
      <c r="O1336" t="str">
        <f>IFERROR(VLOOKUP(A1336,'[1]Sales Order'!A:I,9,FALSE),"Not Specified")</f>
        <v>Ship to 9-C</v>
      </c>
      <c r="P1336" t="str">
        <f>IFERROR(VLOOKUP(A1336,'[1]Sales Order'!A:N,14,FALSE),"Not Specified")</f>
        <v>France</v>
      </c>
      <c r="Q1336" t="str">
        <f>VLOOKUP(VLOOKUP(B1336,[1]Product!A:C,3,FALSE),[1]Supplier!A:B,2,FALSE)</f>
        <v>Supplier FNUXM</v>
      </c>
      <c r="R1336" t="str">
        <f>VLOOKUP(VLOOKUP(B1336,[1]Product!A:C,3,FALSE),[1]Supplier!A:I,9,FALSE)</f>
        <v>Netherlands</v>
      </c>
      <c r="S1336" t="str">
        <f>IFERROR(IF(VLOOKUP(A1336,'[1]Sales Order'!A:H,8,FALSE)&gt;100,"High Freight","Low Freight"),"Not Specified")</f>
        <v>Low Freight</v>
      </c>
      <c r="T1336">
        <f t="shared" si="41"/>
        <v>213.75</v>
      </c>
    </row>
    <row r="1337" spans="1:20">
      <c r="A1337" s="1">
        <v>10755</v>
      </c>
      <c r="B1337" s="2">
        <v>56</v>
      </c>
      <c r="C1337" s="2">
        <v>38</v>
      </c>
      <c r="D1337" s="2">
        <v>30</v>
      </c>
      <c r="E1337" s="3">
        <v>0.25</v>
      </c>
      <c r="F1337" s="2" t="str">
        <f>IFERROR(VLOOKUP(VLOOKUP(A1337,'[1]Sales Order'!A:B,2,FALSE),[1]Customer!A:C,3,FALSE),"Not Specified")</f>
        <v>Raghav, Amritansh</v>
      </c>
      <c r="G1337" s="2" t="str">
        <f t="shared" si="40"/>
        <v>Raghav Amritansh</v>
      </c>
      <c r="H1337" s="8" t="str">
        <f>IFERROR(VLOOKUP(VLOOKUP(A1337,'[1]Sales Order'!A:C,3,FALSE),[1]Employee!A:E,5,FALSE)&amp;" "&amp;VLOOKUP(VLOOKUP(A1337,'[1]Sales Order'!A:C,3,FALSE),[1]Employee!A:C,3,FALSE)&amp;" "&amp;VLOOKUP(VLOOKUP(A1337,'[1]Sales Order'!A:C,3,FALSE),[1]Employee!A:B,2,FALSE),"Not Specified")</f>
        <v>Mrs. Yael Peled</v>
      </c>
      <c r="I1337" t="str">
        <f>IFERROR(VLOOKUP(VLOOKUP(A1337,'[1]Sales Order'!A:C,3,FALSE),[1]Employee!A:J,10,FALSE),"Not Specified")</f>
        <v>WA</v>
      </c>
      <c r="J1337" t="str">
        <f>VLOOKUP(B1337,[1]Product!A:B,2,FALSE)</f>
        <v>Product VKCMF</v>
      </c>
      <c r="K1337" t="str">
        <f>VLOOKUP(VLOOKUP(B1337,[1]Product!A:D,4,FALSE),[1]Category!A:B,2,FALSE)</f>
        <v>Grains/Cereals</v>
      </c>
      <c r="L1337" s="10">
        <f>IFERROR(VLOOKUP(A1337,'[1]Sales Order'!A:D,4,FALSE),"")</f>
        <v>39412</v>
      </c>
      <c r="M1337" s="10">
        <f>IFERROR(VLOOKUP(A1337,'[1]Sales Order'!A:F,6,FALSE),"")</f>
        <v>39414</v>
      </c>
      <c r="N1337" t="str">
        <f>IFERROR(VLOOKUP(VLOOKUP(A1337,'[1]Sales Order'!A:G,7,FALSE),[1]Shipper!A:B,2,FALSE),"Not Specified")</f>
        <v>Shipper ETYNR</v>
      </c>
      <c r="O1337" t="str">
        <f>IFERROR(VLOOKUP(A1337,'[1]Sales Order'!A:I,9,FALSE),"Not Specified")</f>
        <v>Ship to 9-C</v>
      </c>
      <c r="P1337" t="str">
        <f>IFERROR(VLOOKUP(A1337,'[1]Sales Order'!A:N,14,FALSE),"Not Specified")</f>
        <v>France</v>
      </c>
      <c r="Q1337" t="str">
        <f>VLOOKUP(VLOOKUP(B1337,[1]Product!A:C,3,FALSE),[1]Supplier!A:B,2,FALSE)</f>
        <v>Supplier ZWZDM</v>
      </c>
      <c r="R1337" t="str">
        <f>VLOOKUP(VLOOKUP(B1337,[1]Product!A:C,3,FALSE),[1]Supplier!A:I,9,FALSE)</f>
        <v>Italy</v>
      </c>
      <c r="S1337" t="str">
        <f>IFERROR(IF(VLOOKUP(A1337,'[1]Sales Order'!A:H,8,FALSE)&gt;100,"High Freight","Low Freight"),"Not Specified")</f>
        <v>Low Freight</v>
      </c>
      <c r="T1337">
        <f t="shared" si="41"/>
        <v>855</v>
      </c>
    </row>
    <row r="1338" spans="1:20">
      <c r="A1338" s="1">
        <v>10755</v>
      </c>
      <c r="B1338" s="2">
        <v>57</v>
      </c>
      <c r="C1338" s="2">
        <v>19.5</v>
      </c>
      <c r="D1338" s="2">
        <v>14</v>
      </c>
      <c r="E1338" s="3">
        <v>0.25</v>
      </c>
      <c r="F1338" s="2" t="str">
        <f>IFERROR(VLOOKUP(VLOOKUP(A1338,'[1]Sales Order'!A:B,2,FALSE),[1]Customer!A:C,3,FALSE),"Not Specified")</f>
        <v>Raghav, Amritansh</v>
      </c>
      <c r="G1338" s="2" t="str">
        <f t="shared" si="40"/>
        <v>Raghav Amritansh</v>
      </c>
      <c r="H1338" s="8" t="str">
        <f>IFERROR(VLOOKUP(VLOOKUP(A1338,'[1]Sales Order'!A:C,3,FALSE),[1]Employee!A:E,5,FALSE)&amp;" "&amp;VLOOKUP(VLOOKUP(A1338,'[1]Sales Order'!A:C,3,FALSE),[1]Employee!A:C,3,FALSE)&amp;" "&amp;VLOOKUP(VLOOKUP(A1338,'[1]Sales Order'!A:C,3,FALSE),[1]Employee!A:B,2,FALSE),"Not Specified")</f>
        <v>Mrs. Yael Peled</v>
      </c>
      <c r="I1338" t="str">
        <f>IFERROR(VLOOKUP(VLOOKUP(A1338,'[1]Sales Order'!A:C,3,FALSE),[1]Employee!A:J,10,FALSE),"Not Specified")</f>
        <v>WA</v>
      </c>
      <c r="J1338" t="str">
        <f>VLOOKUP(B1338,[1]Product!A:B,2,FALSE)</f>
        <v>Product OVLQI</v>
      </c>
      <c r="K1338" t="str">
        <f>VLOOKUP(VLOOKUP(B1338,[1]Product!A:D,4,FALSE),[1]Category!A:B,2,FALSE)</f>
        <v>Grains/Cereals</v>
      </c>
      <c r="L1338" s="10">
        <f>IFERROR(VLOOKUP(A1338,'[1]Sales Order'!A:D,4,FALSE),"")</f>
        <v>39412</v>
      </c>
      <c r="M1338" s="10">
        <f>IFERROR(VLOOKUP(A1338,'[1]Sales Order'!A:F,6,FALSE),"")</f>
        <v>39414</v>
      </c>
      <c r="N1338" t="str">
        <f>IFERROR(VLOOKUP(VLOOKUP(A1338,'[1]Sales Order'!A:G,7,FALSE),[1]Shipper!A:B,2,FALSE),"Not Specified")</f>
        <v>Shipper ETYNR</v>
      </c>
      <c r="O1338" t="str">
        <f>IFERROR(VLOOKUP(A1338,'[1]Sales Order'!A:I,9,FALSE),"Not Specified")</f>
        <v>Ship to 9-C</v>
      </c>
      <c r="P1338" t="str">
        <f>IFERROR(VLOOKUP(A1338,'[1]Sales Order'!A:N,14,FALSE),"Not Specified")</f>
        <v>France</v>
      </c>
      <c r="Q1338" t="str">
        <f>VLOOKUP(VLOOKUP(B1338,[1]Product!A:C,3,FALSE),[1]Supplier!A:B,2,FALSE)</f>
        <v>Supplier ZWZDM</v>
      </c>
      <c r="R1338" t="str">
        <f>VLOOKUP(VLOOKUP(B1338,[1]Product!A:C,3,FALSE),[1]Supplier!A:I,9,FALSE)</f>
        <v>Italy</v>
      </c>
      <c r="S1338" t="str">
        <f>IFERROR(IF(VLOOKUP(A1338,'[1]Sales Order'!A:H,8,FALSE)&gt;100,"High Freight","Low Freight"),"Not Specified")</f>
        <v>Low Freight</v>
      </c>
      <c r="T1338">
        <f t="shared" si="41"/>
        <v>204.75</v>
      </c>
    </row>
    <row r="1339" spans="1:20">
      <c r="A1339" s="1">
        <v>10755</v>
      </c>
      <c r="B1339" s="2">
        <v>69</v>
      </c>
      <c r="C1339" s="2">
        <v>36</v>
      </c>
      <c r="D1339" s="2">
        <v>25</v>
      </c>
      <c r="E1339" s="3">
        <v>0.25</v>
      </c>
      <c r="F1339" s="2" t="str">
        <f>IFERROR(VLOOKUP(VLOOKUP(A1339,'[1]Sales Order'!A:B,2,FALSE),[1]Customer!A:C,3,FALSE),"Not Specified")</f>
        <v>Raghav, Amritansh</v>
      </c>
      <c r="G1339" s="2" t="str">
        <f t="shared" si="40"/>
        <v>Raghav Amritansh</v>
      </c>
      <c r="H1339" s="8" t="str">
        <f>IFERROR(VLOOKUP(VLOOKUP(A1339,'[1]Sales Order'!A:C,3,FALSE),[1]Employee!A:E,5,FALSE)&amp;" "&amp;VLOOKUP(VLOOKUP(A1339,'[1]Sales Order'!A:C,3,FALSE),[1]Employee!A:C,3,FALSE)&amp;" "&amp;VLOOKUP(VLOOKUP(A1339,'[1]Sales Order'!A:C,3,FALSE),[1]Employee!A:B,2,FALSE),"Not Specified")</f>
        <v>Mrs. Yael Peled</v>
      </c>
      <c r="I1339" t="str">
        <f>IFERROR(VLOOKUP(VLOOKUP(A1339,'[1]Sales Order'!A:C,3,FALSE),[1]Employee!A:J,10,FALSE),"Not Specified")</f>
        <v>WA</v>
      </c>
      <c r="J1339" t="str">
        <f>VLOOKUP(B1339,[1]Product!A:B,2,FALSE)</f>
        <v>Product COAXA</v>
      </c>
      <c r="K1339" t="str">
        <f>VLOOKUP(VLOOKUP(B1339,[1]Product!A:D,4,FALSE),[1]Category!A:B,2,FALSE)</f>
        <v>Dairy Product</v>
      </c>
      <c r="L1339" s="10">
        <f>IFERROR(VLOOKUP(A1339,'[1]Sales Order'!A:D,4,FALSE),"")</f>
        <v>39412</v>
      </c>
      <c r="M1339" s="10">
        <f>IFERROR(VLOOKUP(A1339,'[1]Sales Order'!A:F,6,FALSE),"")</f>
        <v>39414</v>
      </c>
      <c r="N1339" t="str">
        <f>IFERROR(VLOOKUP(VLOOKUP(A1339,'[1]Sales Order'!A:G,7,FALSE),[1]Shipper!A:B,2,FALSE),"Not Specified")</f>
        <v>Shipper ETYNR</v>
      </c>
      <c r="O1339" t="str">
        <f>IFERROR(VLOOKUP(A1339,'[1]Sales Order'!A:I,9,FALSE),"Not Specified")</f>
        <v>Ship to 9-C</v>
      </c>
      <c r="P1339" t="str">
        <f>IFERROR(VLOOKUP(A1339,'[1]Sales Order'!A:N,14,FALSE),"Not Specified")</f>
        <v>France</v>
      </c>
      <c r="Q1339" t="str">
        <f>VLOOKUP(VLOOKUP(B1339,[1]Product!A:C,3,FALSE),[1]Supplier!A:B,2,FALSE)</f>
        <v>Supplier NZLIF</v>
      </c>
      <c r="R1339" t="str">
        <f>VLOOKUP(VLOOKUP(B1339,[1]Product!A:C,3,FALSE),[1]Supplier!A:I,9,FALSE)</f>
        <v>Norway</v>
      </c>
      <c r="S1339" t="str">
        <f>IFERROR(IF(VLOOKUP(A1339,'[1]Sales Order'!A:H,8,FALSE)&gt;100,"High Freight","Low Freight"),"Not Specified")</f>
        <v>Low Freight</v>
      </c>
      <c r="T1339">
        <f t="shared" si="41"/>
        <v>675</v>
      </c>
    </row>
    <row r="1340" spans="1:20">
      <c r="A1340" s="1">
        <v>10756</v>
      </c>
      <c r="B1340" s="2">
        <v>18</v>
      </c>
      <c r="C1340" s="2">
        <v>62.5</v>
      </c>
      <c r="D1340" s="2">
        <v>21</v>
      </c>
      <c r="E1340" s="3">
        <v>0.2</v>
      </c>
      <c r="F1340" s="2" t="str">
        <f>IFERROR(VLOOKUP(VLOOKUP(A1340,'[1]Sales Order'!A:B,2,FALSE),[1]Customer!A:C,3,FALSE),"Not Specified")</f>
        <v>Wojciechowska, Agnieszka</v>
      </c>
      <c r="G1340" s="2" t="str">
        <f t="shared" si="40"/>
        <v>Wojciechowska Agnieszka</v>
      </c>
      <c r="H1340" s="8" t="str">
        <f>IFERROR(VLOOKUP(VLOOKUP(A1340,'[1]Sales Order'!A:C,3,FALSE),[1]Employee!A:E,5,FALSE)&amp;" "&amp;VLOOKUP(VLOOKUP(A1340,'[1]Sales Order'!A:C,3,FALSE),[1]Employee!A:C,3,FALSE)&amp;" "&amp;VLOOKUP(VLOOKUP(A1340,'[1]Sales Order'!A:C,3,FALSE),[1]Employee!A:B,2,FALSE),"Not Specified")</f>
        <v>Ms. Maria Cameron</v>
      </c>
      <c r="I1340" t="str">
        <f>IFERROR(VLOOKUP(VLOOKUP(A1340,'[1]Sales Order'!A:C,3,FALSE),[1]Employee!A:J,10,FALSE),"Not Specified")</f>
        <v>WA</v>
      </c>
      <c r="J1340" t="str">
        <f>VLOOKUP(B1340,[1]Product!A:B,2,FALSE)</f>
        <v>Product CKEDC</v>
      </c>
      <c r="K1340" t="str">
        <f>VLOOKUP(VLOOKUP(B1340,[1]Product!A:D,4,FALSE),[1]Category!A:B,2,FALSE)</f>
        <v>Seafood</v>
      </c>
      <c r="L1340" s="10">
        <f>IFERROR(VLOOKUP(A1340,'[1]Sales Order'!A:D,4,FALSE),"")</f>
        <v>39413</v>
      </c>
      <c r="M1340" s="10">
        <f>IFERROR(VLOOKUP(A1340,'[1]Sales Order'!A:F,6,FALSE),"")</f>
        <v>39418</v>
      </c>
      <c r="N1340" t="str">
        <f>IFERROR(VLOOKUP(VLOOKUP(A1340,'[1]Sales Order'!A:G,7,FALSE),[1]Shipper!A:B,2,FALSE),"Not Specified")</f>
        <v>Shipper ETYNR</v>
      </c>
      <c r="O1340" t="str">
        <f>IFERROR(VLOOKUP(A1340,'[1]Sales Order'!A:I,9,FALSE),"Not Specified")</f>
        <v>Ship to 75-C</v>
      </c>
      <c r="P1340" t="str">
        <f>IFERROR(VLOOKUP(A1340,'[1]Sales Order'!A:N,14,FALSE),"Not Specified")</f>
        <v>USA</v>
      </c>
      <c r="Q1340" t="str">
        <f>VLOOKUP(VLOOKUP(B1340,[1]Product!A:C,3,FALSE),[1]Supplier!A:B,2,FALSE)</f>
        <v>Supplier GQRCV</v>
      </c>
      <c r="R1340" t="str">
        <f>VLOOKUP(VLOOKUP(B1340,[1]Product!A:C,3,FALSE),[1]Supplier!A:I,9,FALSE)</f>
        <v>Australia</v>
      </c>
      <c r="S1340" t="str">
        <f>IFERROR(IF(VLOOKUP(A1340,'[1]Sales Order'!A:H,8,FALSE)&gt;100,"High Freight","Low Freight"),"Not Specified")</f>
        <v>Low Freight</v>
      </c>
      <c r="T1340">
        <f t="shared" si="41"/>
        <v>1050</v>
      </c>
    </row>
    <row r="1341" spans="1:20">
      <c r="A1341" s="1">
        <v>10756</v>
      </c>
      <c r="B1341" s="2">
        <v>36</v>
      </c>
      <c r="C1341" s="2">
        <v>19</v>
      </c>
      <c r="D1341" s="2">
        <v>20</v>
      </c>
      <c r="E1341" s="3">
        <v>0.2</v>
      </c>
      <c r="F1341" s="2" t="str">
        <f>IFERROR(VLOOKUP(VLOOKUP(A1341,'[1]Sales Order'!A:B,2,FALSE),[1]Customer!A:C,3,FALSE),"Not Specified")</f>
        <v>Wojciechowska, Agnieszka</v>
      </c>
      <c r="G1341" s="2" t="str">
        <f t="shared" si="40"/>
        <v>Wojciechowska Agnieszka</v>
      </c>
      <c r="H1341" s="8" t="str">
        <f>IFERROR(VLOOKUP(VLOOKUP(A1341,'[1]Sales Order'!A:C,3,FALSE),[1]Employee!A:E,5,FALSE)&amp;" "&amp;VLOOKUP(VLOOKUP(A1341,'[1]Sales Order'!A:C,3,FALSE),[1]Employee!A:C,3,FALSE)&amp;" "&amp;VLOOKUP(VLOOKUP(A1341,'[1]Sales Order'!A:C,3,FALSE),[1]Employee!A:B,2,FALSE),"Not Specified")</f>
        <v>Ms. Maria Cameron</v>
      </c>
      <c r="I1341" t="str">
        <f>IFERROR(VLOOKUP(VLOOKUP(A1341,'[1]Sales Order'!A:C,3,FALSE),[1]Employee!A:J,10,FALSE),"Not Specified")</f>
        <v>WA</v>
      </c>
      <c r="J1341" t="str">
        <f>VLOOKUP(B1341,[1]Product!A:B,2,FALSE)</f>
        <v>Product GMKIJ</v>
      </c>
      <c r="K1341" t="str">
        <f>VLOOKUP(VLOOKUP(B1341,[1]Product!A:D,4,FALSE),[1]Category!A:B,2,FALSE)</f>
        <v>Seafood</v>
      </c>
      <c r="L1341" s="10">
        <f>IFERROR(VLOOKUP(A1341,'[1]Sales Order'!A:D,4,FALSE),"")</f>
        <v>39413</v>
      </c>
      <c r="M1341" s="10">
        <f>IFERROR(VLOOKUP(A1341,'[1]Sales Order'!A:F,6,FALSE),"")</f>
        <v>39418</v>
      </c>
      <c r="N1341" t="str">
        <f>IFERROR(VLOOKUP(VLOOKUP(A1341,'[1]Sales Order'!A:G,7,FALSE),[1]Shipper!A:B,2,FALSE),"Not Specified")</f>
        <v>Shipper ETYNR</v>
      </c>
      <c r="O1341" t="str">
        <f>IFERROR(VLOOKUP(A1341,'[1]Sales Order'!A:I,9,FALSE),"Not Specified")</f>
        <v>Ship to 75-C</v>
      </c>
      <c r="P1341" t="str">
        <f>IFERROR(VLOOKUP(A1341,'[1]Sales Order'!A:N,14,FALSE),"Not Specified")</f>
        <v>USA</v>
      </c>
      <c r="Q1341" t="str">
        <f>VLOOKUP(VLOOKUP(B1341,[1]Product!A:C,3,FALSE),[1]Supplier!A:B,2,FALSE)</f>
        <v>Supplier QZGUF</v>
      </c>
      <c r="R1341" t="str">
        <f>VLOOKUP(VLOOKUP(B1341,[1]Product!A:C,3,FALSE),[1]Supplier!A:I,9,FALSE)</f>
        <v>Sweden</v>
      </c>
      <c r="S1341" t="str">
        <f>IFERROR(IF(VLOOKUP(A1341,'[1]Sales Order'!A:H,8,FALSE)&gt;100,"High Freight","Low Freight"),"Not Specified")</f>
        <v>Low Freight</v>
      </c>
      <c r="T1341">
        <f t="shared" si="41"/>
        <v>304</v>
      </c>
    </row>
    <row r="1342" spans="1:20">
      <c r="A1342" s="1">
        <v>10756</v>
      </c>
      <c r="B1342" s="2">
        <v>68</v>
      </c>
      <c r="C1342" s="2">
        <v>12.5</v>
      </c>
      <c r="D1342" s="2">
        <v>6</v>
      </c>
      <c r="E1342" s="3">
        <v>0.2</v>
      </c>
      <c r="F1342" s="2" t="str">
        <f>IFERROR(VLOOKUP(VLOOKUP(A1342,'[1]Sales Order'!A:B,2,FALSE),[1]Customer!A:C,3,FALSE),"Not Specified")</f>
        <v>Wojciechowska, Agnieszka</v>
      </c>
      <c r="G1342" s="2" t="str">
        <f t="shared" si="40"/>
        <v>Wojciechowska Agnieszka</v>
      </c>
      <c r="H1342" s="8" t="str">
        <f>IFERROR(VLOOKUP(VLOOKUP(A1342,'[1]Sales Order'!A:C,3,FALSE),[1]Employee!A:E,5,FALSE)&amp;" "&amp;VLOOKUP(VLOOKUP(A1342,'[1]Sales Order'!A:C,3,FALSE),[1]Employee!A:C,3,FALSE)&amp;" "&amp;VLOOKUP(VLOOKUP(A1342,'[1]Sales Order'!A:C,3,FALSE),[1]Employee!A:B,2,FALSE),"Not Specified")</f>
        <v>Ms. Maria Cameron</v>
      </c>
      <c r="I1342" t="str">
        <f>IFERROR(VLOOKUP(VLOOKUP(A1342,'[1]Sales Order'!A:C,3,FALSE),[1]Employee!A:J,10,FALSE),"Not Specified")</f>
        <v>WA</v>
      </c>
      <c r="J1342" t="str">
        <f>VLOOKUP(B1342,[1]Product!A:B,2,FALSE)</f>
        <v>Product TBTBL</v>
      </c>
      <c r="K1342" t="str">
        <f>VLOOKUP(VLOOKUP(B1342,[1]Product!A:D,4,FALSE),[1]Category!A:B,2,FALSE)</f>
        <v>Confections</v>
      </c>
      <c r="L1342" s="10">
        <f>IFERROR(VLOOKUP(A1342,'[1]Sales Order'!A:D,4,FALSE),"")</f>
        <v>39413</v>
      </c>
      <c r="M1342" s="10">
        <f>IFERROR(VLOOKUP(A1342,'[1]Sales Order'!A:F,6,FALSE),"")</f>
        <v>39418</v>
      </c>
      <c r="N1342" t="str">
        <f>IFERROR(VLOOKUP(VLOOKUP(A1342,'[1]Sales Order'!A:G,7,FALSE),[1]Shipper!A:B,2,FALSE),"Not Specified")</f>
        <v>Shipper ETYNR</v>
      </c>
      <c r="O1342" t="str">
        <f>IFERROR(VLOOKUP(A1342,'[1]Sales Order'!A:I,9,FALSE),"Not Specified")</f>
        <v>Ship to 75-C</v>
      </c>
      <c r="P1342" t="str">
        <f>IFERROR(VLOOKUP(A1342,'[1]Sales Order'!A:N,14,FALSE),"Not Specified")</f>
        <v>USA</v>
      </c>
      <c r="Q1342" t="str">
        <f>VLOOKUP(VLOOKUP(B1342,[1]Product!A:C,3,FALSE),[1]Supplier!A:B,2,FALSE)</f>
        <v>Supplier BWGYE</v>
      </c>
      <c r="R1342" t="str">
        <f>VLOOKUP(VLOOKUP(B1342,[1]Product!A:C,3,FALSE),[1]Supplier!A:I,9,FALSE)</f>
        <v>UK</v>
      </c>
      <c r="S1342" t="str">
        <f>IFERROR(IF(VLOOKUP(A1342,'[1]Sales Order'!A:H,8,FALSE)&gt;100,"High Freight","Low Freight"),"Not Specified")</f>
        <v>Low Freight</v>
      </c>
      <c r="T1342">
        <f t="shared" si="41"/>
        <v>60</v>
      </c>
    </row>
    <row r="1343" spans="1:20">
      <c r="A1343" s="1">
        <v>10756</v>
      </c>
      <c r="B1343" s="2">
        <v>69</v>
      </c>
      <c r="C1343" s="2">
        <v>36</v>
      </c>
      <c r="D1343" s="2">
        <v>20</v>
      </c>
      <c r="E1343" s="3">
        <v>0.2</v>
      </c>
      <c r="F1343" s="2" t="str">
        <f>IFERROR(VLOOKUP(VLOOKUP(A1343,'[1]Sales Order'!A:B,2,FALSE),[1]Customer!A:C,3,FALSE),"Not Specified")</f>
        <v>Wojciechowska, Agnieszka</v>
      </c>
      <c r="G1343" s="2" t="str">
        <f t="shared" si="40"/>
        <v>Wojciechowska Agnieszka</v>
      </c>
      <c r="H1343" s="8" t="str">
        <f>IFERROR(VLOOKUP(VLOOKUP(A1343,'[1]Sales Order'!A:C,3,FALSE),[1]Employee!A:E,5,FALSE)&amp;" "&amp;VLOOKUP(VLOOKUP(A1343,'[1]Sales Order'!A:C,3,FALSE),[1]Employee!A:C,3,FALSE)&amp;" "&amp;VLOOKUP(VLOOKUP(A1343,'[1]Sales Order'!A:C,3,FALSE),[1]Employee!A:B,2,FALSE),"Not Specified")</f>
        <v>Ms. Maria Cameron</v>
      </c>
      <c r="I1343" t="str">
        <f>IFERROR(VLOOKUP(VLOOKUP(A1343,'[1]Sales Order'!A:C,3,FALSE),[1]Employee!A:J,10,FALSE),"Not Specified")</f>
        <v>WA</v>
      </c>
      <c r="J1343" t="str">
        <f>VLOOKUP(B1343,[1]Product!A:B,2,FALSE)</f>
        <v>Product COAXA</v>
      </c>
      <c r="K1343" t="str">
        <f>VLOOKUP(VLOOKUP(B1343,[1]Product!A:D,4,FALSE),[1]Category!A:B,2,FALSE)</f>
        <v>Dairy Product</v>
      </c>
      <c r="L1343" s="10">
        <f>IFERROR(VLOOKUP(A1343,'[1]Sales Order'!A:D,4,FALSE),"")</f>
        <v>39413</v>
      </c>
      <c r="M1343" s="10">
        <f>IFERROR(VLOOKUP(A1343,'[1]Sales Order'!A:F,6,FALSE),"")</f>
        <v>39418</v>
      </c>
      <c r="N1343" t="str">
        <f>IFERROR(VLOOKUP(VLOOKUP(A1343,'[1]Sales Order'!A:G,7,FALSE),[1]Shipper!A:B,2,FALSE),"Not Specified")</f>
        <v>Shipper ETYNR</v>
      </c>
      <c r="O1343" t="str">
        <f>IFERROR(VLOOKUP(A1343,'[1]Sales Order'!A:I,9,FALSE),"Not Specified")</f>
        <v>Ship to 75-C</v>
      </c>
      <c r="P1343" t="str">
        <f>IFERROR(VLOOKUP(A1343,'[1]Sales Order'!A:N,14,FALSE),"Not Specified")</f>
        <v>USA</v>
      </c>
      <c r="Q1343" t="str">
        <f>VLOOKUP(VLOOKUP(B1343,[1]Product!A:C,3,FALSE),[1]Supplier!A:B,2,FALSE)</f>
        <v>Supplier NZLIF</v>
      </c>
      <c r="R1343" t="str">
        <f>VLOOKUP(VLOOKUP(B1343,[1]Product!A:C,3,FALSE),[1]Supplier!A:I,9,FALSE)</f>
        <v>Norway</v>
      </c>
      <c r="S1343" t="str">
        <f>IFERROR(IF(VLOOKUP(A1343,'[1]Sales Order'!A:H,8,FALSE)&gt;100,"High Freight","Low Freight"),"Not Specified")</f>
        <v>Low Freight</v>
      </c>
      <c r="T1343">
        <f t="shared" si="41"/>
        <v>576</v>
      </c>
    </row>
    <row r="1344" spans="1:20">
      <c r="A1344" s="1">
        <v>10757</v>
      </c>
      <c r="B1344" s="2">
        <v>34</v>
      </c>
      <c r="C1344" s="2">
        <v>14</v>
      </c>
      <c r="D1344" s="2">
        <v>30</v>
      </c>
      <c r="E1344" s="3">
        <v>0</v>
      </c>
      <c r="F1344" s="2" t="str">
        <f>IFERROR(VLOOKUP(VLOOKUP(A1344,'[1]Sales Order'!A:B,2,FALSE),[1]Customer!A:C,3,FALSE),"Not Specified")</f>
        <v>Navarro, Tomás</v>
      </c>
      <c r="G1344" s="2" t="str">
        <f t="shared" si="40"/>
        <v>Navarro Tomás</v>
      </c>
      <c r="H1344" s="8" t="str">
        <f>IFERROR(VLOOKUP(VLOOKUP(A1344,'[1]Sales Order'!A:C,3,FALSE),[1]Employee!A:E,5,FALSE)&amp;" "&amp;VLOOKUP(VLOOKUP(A1344,'[1]Sales Order'!A:C,3,FALSE),[1]Employee!A:C,3,FALSE)&amp;" "&amp;VLOOKUP(VLOOKUP(A1344,'[1]Sales Order'!A:C,3,FALSE),[1]Employee!A:B,2,FALSE),"Not Specified")</f>
        <v>Mr. Paul Suurs</v>
      </c>
      <c r="I1344">
        <f>IFERROR(VLOOKUP(VLOOKUP(A1344,'[1]Sales Order'!A:C,3,FALSE),[1]Employee!A:J,10,FALSE),"Not Specified")</f>
        <v>0</v>
      </c>
      <c r="J1344" t="str">
        <f>VLOOKUP(B1344,[1]Product!A:B,2,FALSE)</f>
        <v>Product SWNJY</v>
      </c>
      <c r="K1344" t="str">
        <f>VLOOKUP(VLOOKUP(B1344,[1]Product!A:D,4,FALSE),[1]Category!A:B,2,FALSE)</f>
        <v>Beverages</v>
      </c>
      <c r="L1344" s="10">
        <f>IFERROR(VLOOKUP(A1344,'[1]Sales Order'!A:D,4,FALSE),"")</f>
        <v>39413</v>
      </c>
      <c r="M1344" s="10">
        <f>IFERROR(VLOOKUP(A1344,'[1]Sales Order'!A:F,6,FALSE),"")</f>
        <v>39431</v>
      </c>
      <c r="N1344" t="str">
        <f>IFERROR(VLOOKUP(VLOOKUP(A1344,'[1]Sales Order'!A:G,7,FALSE),[1]Shipper!A:B,2,FALSE),"Not Specified")</f>
        <v>Shipper GVSUA</v>
      </c>
      <c r="O1344" t="str">
        <f>IFERROR(VLOOKUP(A1344,'[1]Sales Order'!A:I,9,FALSE),"Not Specified")</f>
        <v>Ship to 71-B</v>
      </c>
      <c r="P1344" t="str">
        <f>IFERROR(VLOOKUP(A1344,'[1]Sales Order'!A:N,14,FALSE),"Not Specified")</f>
        <v>USA</v>
      </c>
      <c r="Q1344" t="str">
        <f>VLOOKUP(VLOOKUP(B1344,[1]Product!A:C,3,FALSE),[1]Supplier!A:B,2,FALSE)</f>
        <v>Supplier UHZRG</v>
      </c>
      <c r="R1344" t="str">
        <f>VLOOKUP(VLOOKUP(B1344,[1]Product!A:C,3,FALSE),[1]Supplier!A:I,9,FALSE)</f>
        <v>USA</v>
      </c>
      <c r="S1344" t="str">
        <f>IFERROR(IF(VLOOKUP(A1344,'[1]Sales Order'!A:H,8,FALSE)&gt;100,"High Freight","Low Freight"),"Not Specified")</f>
        <v>Low Freight</v>
      </c>
      <c r="T1344">
        <f t="shared" si="41"/>
        <v>420</v>
      </c>
    </row>
    <row r="1345" spans="1:20">
      <c r="A1345" s="1">
        <v>10757</v>
      </c>
      <c r="B1345" s="2">
        <v>59</v>
      </c>
      <c r="C1345" s="2">
        <v>55</v>
      </c>
      <c r="D1345" s="2">
        <v>7</v>
      </c>
      <c r="E1345" s="3">
        <v>0</v>
      </c>
      <c r="F1345" s="2" t="str">
        <f>IFERROR(VLOOKUP(VLOOKUP(A1345,'[1]Sales Order'!A:B,2,FALSE),[1]Customer!A:C,3,FALSE),"Not Specified")</f>
        <v>Navarro, Tomás</v>
      </c>
      <c r="G1345" s="2" t="str">
        <f t="shared" si="40"/>
        <v>Navarro Tomás</v>
      </c>
      <c r="H1345" s="8" t="str">
        <f>IFERROR(VLOOKUP(VLOOKUP(A1345,'[1]Sales Order'!A:C,3,FALSE),[1]Employee!A:E,5,FALSE)&amp;" "&amp;VLOOKUP(VLOOKUP(A1345,'[1]Sales Order'!A:C,3,FALSE),[1]Employee!A:C,3,FALSE)&amp;" "&amp;VLOOKUP(VLOOKUP(A1345,'[1]Sales Order'!A:C,3,FALSE),[1]Employee!A:B,2,FALSE),"Not Specified")</f>
        <v>Mr. Paul Suurs</v>
      </c>
      <c r="I1345">
        <f>IFERROR(VLOOKUP(VLOOKUP(A1345,'[1]Sales Order'!A:C,3,FALSE),[1]Employee!A:J,10,FALSE),"Not Specified")</f>
        <v>0</v>
      </c>
      <c r="J1345" t="str">
        <f>VLOOKUP(B1345,[1]Product!A:B,2,FALSE)</f>
        <v>Product UKXRI</v>
      </c>
      <c r="K1345" t="str">
        <f>VLOOKUP(VLOOKUP(B1345,[1]Product!A:D,4,FALSE),[1]Category!A:B,2,FALSE)</f>
        <v>Dairy Product</v>
      </c>
      <c r="L1345" s="10">
        <f>IFERROR(VLOOKUP(A1345,'[1]Sales Order'!A:D,4,FALSE),"")</f>
        <v>39413</v>
      </c>
      <c r="M1345" s="10">
        <f>IFERROR(VLOOKUP(A1345,'[1]Sales Order'!A:F,6,FALSE),"")</f>
        <v>39431</v>
      </c>
      <c r="N1345" t="str">
        <f>IFERROR(VLOOKUP(VLOOKUP(A1345,'[1]Sales Order'!A:G,7,FALSE),[1]Shipper!A:B,2,FALSE),"Not Specified")</f>
        <v>Shipper GVSUA</v>
      </c>
      <c r="O1345" t="str">
        <f>IFERROR(VLOOKUP(A1345,'[1]Sales Order'!A:I,9,FALSE),"Not Specified")</f>
        <v>Ship to 71-B</v>
      </c>
      <c r="P1345" t="str">
        <f>IFERROR(VLOOKUP(A1345,'[1]Sales Order'!A:N,14,FALSE),"Not Specified")</f>
        <v>USA</v>
      </c>
      <c r="Q1345" t="str">
        <f>VLOOKUP(VLOOKUP(B1345,[1]Product!A:C,3,FALSE),[1]Supplier!A:B,2,FALSE)</f>
        <v>Supplier OAVQT</v>
      </c>
      <c r="R1345" t="str">
        <f>VLOOKUP(VLOOKUP(B1345,[1]Product!A:C,3,FALSE),[1]Supplier!A:I,9,FALSE)</f>
        <v>France</v>
      </c>
      <c r="S1345" t="str">
        <f>IFERROR(IF(VLOOKUP(A1345,'[1]Sales Order'!A:H,8,FALSE)&gt;100,"High Freight","Low Freight"),"Not Specified")</f>
        <v>Low Freight</v>
      </c>
      <c r="T1345">
        <f t="shared" si="41"/>
        <v>385</v>
      </c>
    </row>
    <row r="1346" spans="1:20">
      <c r="A1346" s="1">
        <v>10757</v>
      </c>
      <c r="B1346" s="2">
        <v>62</v>
      </c>
      <c r="C1346" s="2">
        <v>49.3</v>
      </c>
      <c r="D1346" s="2">
        <v>30</v>
      </c>
      <c r="E1346" s="3">
        <v>0</v>
      </c>
      <c r="F1346" s="2" t="str">
        <f>IFERROR(VLOOKUP(VLOOKUP(A1346,'[1]Sales Order'!A:B,2,FALSE),[1]Customer!A:C,3,FALSE),"Not Specified")</f>
        <v>Navarro, Tomás</v>
      </c>
      <c r="G1346" s="2" t="str">
        <f t="shared" si="40"/>
        <v>Navarro Tomás</v>
      </c>
      <c r="H1346" s="8" t="str">
        <f>IFERROR(VLOOKUP(VLOOKUP(A1346,'[1]Sales Order'!A:C,3,FALSE),[1]Employee!A:E,5,FALSE)&amp;" "&amp;VLOOKUP(VLOOKUP(A1346,'[1]Sales Order'!A:C,3,FALSE),[1]Employee!A:C,3,FALSE)&amp;" "&amp;VLOOKUP(VLOOKUP(A1346,'[1]Sales Order'!A:C,3,FALSE),[1]Employee!A:B,2,FALSE),"Not Specified")</f>
        <v>Mr. Paul Suurs</v>
      </c>
      <c r="I1346">
        <f>IFERROR(VLOOKUP(VLOOKUP(A1346,'[1]Sales Order'!A:C,3,FALSE),[1]Employee!A:J,10,FALSE),"Not Specified")</f>
        <v>0</v>
      </c>
      <c r="J1346" t="str">
        <f>VLOOKUP(B1346,[1]Product!A:B,2,FALSE)</f>
        <v>Product WUXYK</v>
      </c>
      <c r="K1346" t="str">
        <f>VLOOKUP(VLOOKUP(B1346,[1]Product!A:D,4,FALSE),[1]Category!A:B,2,FALSE)</f>
        <v>Confections</v>
      </c>
      <c r="L1346" s="10">
        <f>IFERROR(VLOOKUP(A1346,'[1]Sales Order'!A:D,4,FALSE),"")</f>
        <v>39413</v>
      </c>
      <c r="M1346" s="10">
        <f>IFERROR(VLOOKUP(A1346,'[1]Sales Order'!A:F,6,FALSE),"")</f>
        <v>39431</v>
      </c>
      <c r="N1346" t="str">
        <f>IFERROR(VLOOKUP(VLOOKUP(A1346,'[1]Sales Order'!A:G,7,FALSE),[1]Shipper!A:B,2,FALSE),"Not Specified")</f>
        <v>Shipper GVSUA</v>
      </c>
      <c r="O1346" t="str">
        <f>IFERROR(VLOOKUP(A1346,'[1]Sales Order'!A:I,9,FALSE),"Not Specified")</f>
        <v>Ship to 71-B</v>
      </c>
      <c r="P1346" t="str">
        <f>IFERROR(VLOOKUP(A1346,'[1]Sales Order'!A:N,14,FALSE),"Not Specified")</f>
        <v>USA</v>
      </c>
      <c r="Q1346" t="str">
        <f>VLOOKUP(VLOOKUP(B1346,[1]Product!A:C,3,FALSE),[1]Supplier!A:B,2,FALSE)</f>
        <v>Supplier OGLRK</v>
      </c>
      <c r="R1346" t="str">
        <f>VLOOKUP(VLOOKUP(B1346,[1]Product!A:C,3,FALSE),[1]Supplier!A:I,9,FALSE)</f>
        <v>Canada</v>
      </c>
      <c r="S1346" t="str">
        <f>IFERROR(IF(VLOOKUP(A1346,'[1]Sales Order'!A:H,8,FALSE)&gt;100,"High Freight","Low Freight"),"Not Specified")</f>
        <v>Low Freight</v>
      </c>
      <c r="T1346">
        <f t="shared" si="41"/>
        <v>1479</v>
      </c>
    </row>
    <row r="1347" spans="1:20">
      <c r="A1347" s="1">
        <v>10757</v>
      </c>
      <c r="B1347" s="2">
        <v>64</v>
      </c>
      <c r="C1347" s="2">
        <v>33.25</v>
      </c>
      <c r="D1347" s="2">
        <v>24</v>
      </c>
      <c r="E1347" s="3">
        <v>0</v>
      </c>
      <c r="F1347" s="2" t="str">
        <f>IFERROR(VLOOKUP(VLOOKUP(A1347,'[1]Sales Order'!A:B,2,FALSE),[1]Customer!A:C,3,FALSE),"Not Specified")</f>
        <v>Navarro, Tomás</v>
      </c>
      <c r="G1347" s="2" t="str">
        <f t="shared" ref="G1347:G1410" si="42">SUBSTITUTE(F1347,",","",1)</f>
        <v>Navarro Tomás</v>
      </c>
      <c r="H1347" s="8" t="str">
        <f>IFERROR(VLOOKUP(VLOOKUP(A1347,'[1]Sales Order'!A:C,3,FALSE),[1]Employee!A:E,5,FALSE)&amp;" "&amp;VLOOKUP(VLOOKUP(A1347,'[1]Sales Order'!A:C,3,FALSE),[1]Employee!A:C,3,FALSE)&amp;" "&amp;VLOOKUP(VLOOKUP(A1347,'[1]Sales Order'!A:C,3,FALSE),[1]Employee!A:B,2,FALSE),"Not Specified")</f>
        <v>Mr. Paul Suurs</v>
      </c>
      <c r="I1347">
        <f>IFERROR(VLOOKUP(VLOOKUP(A1347,'[1]Sales Order'!A:C,3,FALSE),[1]Employee!A:J,10,FALSE),"Not Specified")</f>
        <v>0</v>
      </c>
      <c r="J1347" t="str">
        <f>VLOOKUP(B1347,[1]Product!A:B,2,FALSE)</f>
        <v>Product HCQDE</v>
      </c>
      <c r="K1347" t="str">
        <f>VLOOKUP(VLOOKUP(B1347,[1]Product!A:D,4,FALSE),[1]Category!A:B,2,FALSE)</f>
        <v>Grains/Cereals</v>
      </c>
      <c r="L1347" s="10">
        <f>IFERROR(VLOOKUP(A1347,'[1]Sales Order'!A:D,4,FALSE),"")</f>
        <v>39413</v>
      </c>
      <c r="M1347" s="10">
        <f>IFERROR(VLOOKUP(A1347,'[1]Sales Order'!A:F,6,FALSE),"")</f>
        <v>39431</v>
      </c>
      <c r="N1347" t="str">
        <f>IFERROR(VLOOKUP(VLOOKUP(A1347,'[1]Sales Order'!A:G,7,FALSE),[1]Shipper!A:B,2,FALSE),"Not Specified")</f>
        <v>Shipper GVSUA</v>
      </c>
      <c r="O1347" t="str">
        <f>IFERROR(VLOOKUP(A1347,'[1]Sales Order'!A:I,9,FALSE),"Not Specified")</f>
        <v>Ship to 71-B</v>
      </c>
      <c r="P1347" t="str">
        <f>IFERROR(VLOOKUP(A1347,'[1]Sales Order'!A:N,14,FALSE),"Not Specified")</f>
        <v>USA</v>
      </c>
      <c r="Q1347" t="str">
        <f>VLOOKUP(VLOOKUP(B1347,[1]Product!A:C,3,FALSE),[1]Supplier!A:B,2,FALSE)</f>
        <v>Supplier SVIYA</v>
      </c>
      <c r="R1347" t="str">
        <f>VLOOKUP(VLOOKUP(B1347,[1]Product!A:C,3,FALSE),[1]Supplier!A:I,9,FALSE)</f>
        <v>Germany</v>
      </c>
      <c r="S1347" t="str">
        <f>IFERROR(IF(VLOOKUP(A1347,'[1]Sales Order'!A:H,8,FALSE)&gt;100,"High Freight","Low Freight"),"Not Specified")</f>
        <v>Low Freight</v>
      </c>
      <c r="T1347">
        <f t="shared" ref="T1347:T1410" si="43">C1347*D1347*(1-E1347)</f>
        <v>798</v>
      </c>
    </row>
    <row r="1348" spans="1:20">
      <c r="A1348" s="1">
        <v>10758</v>
      </c>
      <c r="B1348" s="2">
        <v>26</v>
      </c>
      <c r="C1348" s="2">
        <v>31.23</v>
      </c>
      <c r="D1348" s="2">
        <v>20</v>
      </c>
      <c r="E1348" s="3">
        <v>0</v>
      </c>
      <c r="F1348" s="2" t="str">
        <f>IFERROR(VLOOKUP(VLOOKUP(A1348,'[1]Sales Order'!A:B,2,FALSE),[1]Customer!A:C,3,FALSE),"Not Specified")</f>
        <v>Myrcha, Jacek</v>
      </c>
      <c r="G1348" s="2" t="str">
        <f t="shared" si="42"/>
        <v>Myrcha Jacek</v>
      </c>
      <c r="H1348" s="8" t="str">
        <f>IFERROR(VLOOKUP(VLOOKUP(A1348,'[1]Sales Order'!A:C,3,FALSE),[1]Employee!A:E,5,FALSE)&amp;" "&amp;VLOOKUP(VLOOKUP(A1348,'[1]Sales Order'!A:C,3,FALSE),[1]Employee!A:C,3,FALSE)&amp;" "&amp;VLOOKUP(VLOOKUP(A1348,'[1]Sales Order'!A:C,3,FALSE),[1]Employee!A:B,2,FALSE),"Not Specified")</f>
        <v>Ms. Judy Lew</v>
      </c>
      <c r="I1348" t="str">
        <f>IFERROR(VLOOKUP(VLOOKUP(A1348,'[1]Sales Order'!A:C,3,FALSE),[1]Employee!A:J,10,FALSE),"Not Specified")</f>
        <v>WA</v>
      </c>
      <c r="J1348" t="str">
        <f>VLOOKUP(B1348,[1]Product!A:B,2,FALSE)</f>
        <v>Product HLGZA</v>
      </c>
      <c r="K1348" t="str">
        <f>VLOOKUP(VLOOKUP(B1348,[1]Product!A:D,4,FALSE),[1]Category!A:B,2,FALSE)</f>
        <v>Confections</v>
      </c>
      <c r="L1348" s="10">
        <f>IFERROR(VLOOKUP(A1348,'[1]Sales Order'!A:D,4,FALSE),"")</f>
        <v>39414</v>
      </c>
      <c r="M1348" s="10">
        <f>IFERROR(VLOOKUP(A1348,'[1]Sales Order'!A:F,6,FALSE),"")</f>
        <v>39420</v>
      </c>
      <c r="N1348" t="str">
        <f>IFERROR(VLOOKUP(VLOOKUP(A1348,'[1]Sales Order'!A:G,7,FALSE),[1]Shipper!A:B,2,FALSE),"Not Specified")</f>
        <v>Shipper ZHISN</v>
      </c>
      <c r="O1348" t="str">
        <f>IFERROR(VLOOKUP(A1348,'[1]Sales Order'!A:I,9,FALSE),"Not Specified")</f>
        <v>Ship to 68-C</v>
      </c>
      <c r="P1348" t="str">
        <f>IFERROR(VLOOKUP(A1348,'[1]Sales Order'!A:N,14,FALSE),"Not Specified")</f>
        <v>Switzerland</v>
      </c>
      <c r="Q1348" t="str">
        <f>VLOOKUP(VLOOKUP(B1348,[1]Product!A:C,3,FALSE),[1]Supplier!A:B,2,FALSE)</f>
        <v>Supplier ZPYVS</v>
      </c>
      <c r="R1348" t="str">
        <f>VLOOKUP(VLOOKUP(B1348,[1]Product!A:C,3,FALSE),[1]Supplier!A:I,9,FALSE)</f>
        <v>Germany</v>
      </c>
      <c r="S1348" t="str">
        <f>IFERROR(IF(VLOOKUP(A1348,'[1]Sales Order'!A:H,8,FALSE)&gt;100,"High Freight","Low Freight"),"Not Specified")</f>
        <v>High Freight</v>
      </c>
      <c r="T1348">
        <f t="shared" si="43"/>
        <v>624.6</v>
      </c>
    </row>
    <row r="1349" spans="1:20">
      <c r="A1349" s="1">
        <v>10758</v>
      </c>
      <c r="B1349" s="2">
        <v>52</v>
      </c>
      <c r="C1349" s="2">
        <v>7</v>
      </c>
      <c r="D1349" s="2">
        <v>60</v>
      </c>
      <c r="E1349" s="3">
        <v>0</v>
      </c>
      <c r="F1349" s="2" t="str">
        <f>IFERROR(VLOOKUP(VLOOKUP(A1349,'[1]Sales Order'!A:B,2,FALSE),[1]Customer!A:C,3,FALSE),"Not Specified")</f>
        <v>Myrcha, Jacek</v>
      </c>
      <c r="G1349" s="2" t="str">
        <f t="shared" si="42"/>
        <v>Myrcha Jacek</v>
      </c>
      <c r="H1349" s="8" t="str">
        <f>IFERROR(VLOOKUP(VLOOKUP(A1349,'[1]Sales Order'!A:C,3,FALSE),[1]Employee!A:E,5,FALSE)&amp;" "&amp;VLOOKUP(VLOOKUP(A1349,'[1]Sales Order'!A:C,3,FALSE),[1]Employee!A:C,3,FALSE)&amp;" "&amp;VLOOKUP(VLOOKUP(A1349,'[1]Sales Order'!A:C,3,FALSE),[1]Employee!A:B,2,FALSE),"Not Specified")</f>
        <v>Ms. Judy Lew</v>
      </c>
      <c r="I1349" t="str">
        <f>IFERROR(VLOOKUP(VLOOKUP(A1349,'[1]Sales Order'!A:C,3,FALSE),[1]Employee!A:J,10,FALSE),"Not Specified")</f>
        <v>WA</v>
      </c>
      <c r="J1349" t="str">
        <f>VLOOKUP(B1349,[1]Product!A:B,2,FALSE)</f>
        <v>Product QSRXF</v>
      </c>
      <c r="K1349" t="str">
        <f>VLOOKUP(VLOOKUP(B1349,[1]Product!A:D,4,FALSE),[1]Category!A:B,2,FALSE)</f>
        <v>Grains/Cereals</v>
      </c>
      <c r="L1349" s="10">
        <f>IFERROR(VLOOKUP(A1349,'[1]Sales Order'!A:D,4,FALSE),"")</f>
        <v>39414</v>
      </c>
      <c r="M1349" s="10">
        <f>IFERROR(VLOOKUP(A1349,'[1]Sales Order'!A:F,6,FALSE),"")</f>
        <v>39420</v>
      </c>
      <c r="N1349" t="str">
        <f>IFERROR(VLOOKUP(VLOOKUP(A1349,'[1]Sales Order'!A:G,7,FALSE),[1]Shipper!A:B,2,FALSE),"Not Specified")</f>
        <v>Shipper ZHISN</v>
      </c>
      <c r="O1349" t="str">
        <f>IFERROR(VLOOKUP(A1349,'[1]Sales Order'!A:I,9,FALSE),"Not Specified")</f>
        <v>Ship to 68-C</v>
      </c>
      <c r="P1349" t="str">
        <f>IFERROR(VLOOKUP(A1349,'[1]Sales Order'!A:N,14,FALSE),"Not Specified")</f>
        <v>Switzerland</v>
      </c>
      <c r="Q1349" t="str">
        <f>VLOOKUP(VLOOKUP(B1349,[1]Product!A:C,3,FALSE),[1]Supplier!A:B,2,FALSE)</f>
        <v>Supplier JNNES</v>
      </c>
      <c r="R1349" t="str">
        <f>VLOOKUP(VLOOKUP(B1349,[1]Product!A:C,3,FALSE),[1]Supplier!A:I,9,FALSE)</f>
        <v>Australia</v>
      </c>
      <c r="S1349" t="str">
        <f>IFERROR(IF(VLOOKUP(A1349,'[1]Sales Order'!A:H,8,FALSE)&gt;100,"High Freight","Low Freight"),"Not Specified")</f>
        <v>High Freight</v>
      </c>
      <c r="T1349">
        <f t="shared" si="43"/>
        <v>420</v>
      </c>
    </row>
    <row r="1350" spans="1:20">
      <c r="A1350" s="1">
        <v>10758</v>
      </c>
      <c r="B1350" s="2">
        <v>70</v>
      </c>
      <c r="C1350" s="2">
        <v>15</v>
      </c>
      <c r="D1350" s="2">
        <v>40</v>
      </c>
      <c r="E1350" s="3">
        <v>0</v>
      </c>
      <c r="F1350" s="2" t="str">
        <f>IFERROR(VLOOKUP(VLOOKUP(A1350,'[1]Sales Order'!A:B,2,FALSE),[1]Customer!A:C,3,FALSE),"Not Specified")</f>
        <v>Myrcha, Jacek</v>
      </c>
      <c r="G1350" s="2" t="str">
        <f t="shared" si="42"/>
        <v>Myrcha Jacek</v>
      </c>
      <c r="H1350" s="8" t="str">
        <f>IFERROR(VLOOKUP(VLOOKUP(A1350,'[1]Sales Order'!A:C,3,FALSE),[1]Employee!A:E,5,FALSE)&amp;" "&amp;VLOOKUP(VLOOKUP(A1350,'[1]Sales Order'!A:C,3,FALSE),[1]Employee!A:C,3,FALSE)&amp;" "&amp;VLOOKUP(VLOOKUP(A1350,'[1]Sales Order'!A:C,3,FALSE),[1]Employee!A:B,2,FALSE),"Not Specified")</f>
        <v>Ms. Judy Lew</v>
      </c>
      <c r="I1350" t="str">
        <f>IFERROR(VLOOKUP(VLOOKUP(A1350,'[1]Sales Order'!A:C,3,FALSE),[1]Employee!A:J,10,FALSE),"Not Specified")</f>
        <v>WA</v>
      </c>
      <c r="J1350" t="str">
        <f>VLOOKUP(B1350,[1]Product!A:B,2,FALSE)</f>
        <v>Product TOONT</v>
      </c>
      <c r="K1350" t="str">
        <f>VLOOKUP(VLOOKUP(B1350,[1]Product!A:D,4,FALSE),[1]Category!A:B,2,FALSE)</f>
        <v>Beverages</v>
      </c>
      <c r="L1350" s="10">
        <f>IFERROR(VLOOKUP(A1350,'[1]Sales Order'!A:D,4,FALSE),"")</f>
        <v>39414</v>
      </c>
      <c r="M1350" s="10">
        <f>IFERROR(VLOOKUP(A1350,'[1]Sales Order'!A:F,6,FALSE),"")</f>
        <v>39420</v>
      </c>
      <c r="N1350" t="str">
        <f>IFERROR(VLOOKUP(VLOOKUP(A1350,'[1]Sales Order'!A:G,7,FALSE),[1]Shipper!A:B,2,FALSE),"Not Specified")</f>
        <v>Shipper ZHISN</v>
      </c>
      <c r="O1350" t="str">
        <f>IFERROR(VLOOKUP(A1350,'[1]Sales Order'!A:I,9,FALSE),"Not Specified")</f>
        <v>Ship to 68-C</v>
      </c>
      <c r="P1350" t="str">
        <f>IFERROR(VLOOKUP(A1350,'[1]Sales Order'!A:N,14,FALSE),"Not Specified")</f>
        <v>Switzerland</v>
      </c>
      <c r="Q1350" t="str">
        <f>VLOOKUP(VLOOKUP(B1350,[1]Product!A:C,3,FALSE),[1]Supplier!A:B,2,FALSE)</f>
        <v>Supplier GQRCV</v>
      </c>
      <c r="R1350" t="str">
        <f>VLOOKUP(VLOOKUP(B1350,[1]Product!A:C,3,FALSE),[1]Supplier!A:I,9,FALSE)</f>
        <v>Australia</v>
      </c>
      <c r="S1350" t="str">
        <f>IFERROR(IF(VLOOKUP(A1350,'[1]Sales Order'!A:H,8,FALSE)&gt;100,"High Freight","Low Freight"),"Not Specified")</f>
        <v>High Freight</v>
      </c>
      <c r="T1350">
        <f t="shared" si="43"/>
        <v>600</v>
      </c>
    </row>
    <row r="1351" spans="1:20">
      <c r="A1351" s="1">
        <v>10759</v>
      </c>
      <c r="B1351" s="2">
        <v>32</v>
      </c>
      <c r="C1351" s="2">
        <v>32</v>
      </c>
      <c r="D1351" s="2">
        <v>10</v>
      </c>
      <c r="E1351" s="3">
        <v>0</v>
      </c>
      <c r="F1351" s="2" t="str">
        <f>IFERROR(VLOOKUP(VLOOKUP(A1351,'[1]Sales Order'!A:B,2,FALSE),[1]Customer!A:C,3,FALSE),"Not Specified")</f>
        <v>Hassall, Mark</v>
      </c>
      <c r="G1351" s="2" t="str">
        <f t="shared" si="42"/>
        <v>Hassall Mark</v>
      </c>
      <c r="H1351" s="8" t="str">
        <f>IFERROR(VLOOKUP(VLOOKUP(A1351,'[1]Sales Order'!A:C,3,FALSE),[1]Employee!A:E,5,FALSE)&amp;" "&amp;VLOOKUP(VLOOKUP(A1351,'[1]Sales Order'!A:C,3,FALSE),[1]Employee!A:C,3,FALSE)&amp;" "&amp;VLOOKUP(VLOOKUP(A1351,'[1]Sales Order'!A:C,3,FALSE),[1]Employee!A:B,2,FALSE),"Not Specified")</f>
        <v>Ms. Judy Lew</v>
      </c>
      <c r="I1351" t="str">
        <f>IFERROR(VLOOKUP(VLOOKUP(A1351,'[1]Sales Order'!A:C,3,FALSE),[1]Employee!A:J,10,FALSE),"Not Specified")</f>
        <v>WA</v>
      </c>
      <c r="J1351" t="str">
        <f>VLOOKUP(B1351,[1]Product!A:B,2,FALSE)</f>
        <v>Product NUNAW</v>
      </c>
      <c r="K1351" t="str">
        <f>VLOOKUP(VLOOKUP(B1351,[1]Product!A:D,4,FALSE),[1]Category!A:B,2,FALSE)</f>
        <v>Dairy Product</v>
      </c>
      <c r="L1351" s="10">
        <f>IFERROR(VLOOKUP(A1351,'[1]Sales Order'!A:D,4,FALSE),"")</f>
        <v>39414</v>
      </c>
      <c r="M1351" s="10">
        <f>IFERROR(VLOOKUP(A1351,'[1]Sales Order'!A:F,6,FALSE),"")</f>
        <v>39428</v>
      </c>
      <c r="N1351" t="str">
        <f>IFERROR(VLOOKUP(VLOOKUP(A1351,'[1]Sales Order'!A:G,7,FALSE),[1]Shipper!A:B,2,FALSE),"Not Specified")</f>
        <v>Shipper ZHISN</v>
      </c>
      <c r="O1351" t="str">
        <f>IFERROR(VLOOKUP(A1351,'[1]Sales Order'!A:I,9,FALSE),"Not Specified")</f>
        <v>Destination QOTQA</v>
      </c>
      <c r="P1351" t="str">
        <f>IFERROR(VLOOKUP(A1351,'[1]Sales Order'!A:N,14,FALSE),"Not Specified")</f>
        <v>Mexico</v>
      </c>
      <c r="Q1351" t="str">
        <f>VLOOKUP(VLOOKUP(B1351,[1]Product!A:C,3,FALSE),[1]Supplier!A:B,2,FALSE)</f>
        <v>Supplier KEREV</v>
      </c>
      <c r="R1351" t="str">
        <f>VLOOKUP(VLOOKUP(B1351,[1]Product!A:C,3,FALSE),[1]Supplier!A:I,9,FALSE)</f>
        <v>Italy</v>
      </c>
      <c r="S1351" t="str">
        <f>IFERROR(IF(VLOOKUP(A1351,'[1]Sales Order'!A:H,8,FALSE)&gt;100,"High Freight","Low Freight"),"Not Specified")</f>
        <v>Low Freight</v>
      </c>
      <c r="T1351">
        <f t="shared" si="43"/>
        <v>320</v>
      </c>
    </row>
    <row r="1352" spans="1:20">
      <c r="A1352" s="1">
        <v>10760</v>
      </c>
      <c r="B1352" s="2">
        <v>25</v>
      </c>
      <c r="C1352" s="2">
        <v>14</v>
      </c>
      <c r="D1352" s="2">
        <v>12</v>
      </c>
      <c r="E1352" s="3">
        <v>0.25</v>
      </c>
      <c r="F1352" s="2" t="str">
        <f>IFERROR(VLOOKUP(VLOOKUP(A1352,'[1]Sales Order'!A:B,2,FALSE),[1]Customer!A:C,3,FALSE),"Not Specified")</f>
        <v>Mace, Donald</v>
      </c>
      <c r="G1352" s="2" t="str">
        <f t="shared" si="42"/>
        <v>Mace Donald</v>
      </c>
      <c r="H1352" s="8" t="str">
        <f>IFERROR(VLOOKUP(VLOOKUP(A1352,'[1]Sales Order'!A:C,3,FALSE),[1]Employee!A:E,5,FALSE)&amp;" "&amp;VLOOKUP(VLOOKUP(A1352,'[1]Sales Order'!A:C,3,FALSE),[1]Employee!A:C,3,FALSE)&amp;" "&amp;VLOOKUP(VLOOKUP(A1352,'[1]Sales Order'!A:C,3,FALSE),[1]Employee!A:B,2,FALSE),"Not Specified")</f>
        <v>Mrs. Yael Peled</v>
      </c>
      <c r="I1352" t="str">
        <f>IFERROR(VLOOKUP(VLOOKUP(A1352,'[1]Sales Order'!A:C,3,FALSE),[1]Employee!A:J,10,FALSE),"Not Specified")</f>
        <v>WA</v>
      </c>
      <c r="J1352" t="str">
        <f>VLOOKUP(B1352,[1]Product!A:B,2,FALSE)</f>
        <v>Product LYLNI</v>
      </c>
      <c r="K1352" t="str">
        <f>VLOOKUP(VLOOKUP(B1352,[1]Product!A:D,4,FALSE),[1]Category!A:B,2,FALSE)</f>
        <v>Confections</v>
      </c>
      <c r="L1352" s="10">
        <f>IFERROR(VLOOKUP(A1352,'[1]Sales Order'!A:D,4,FALSE),"")</f>
        <v>39417</v>
      </c>
      <c r="M1352" s="10">
        <f>IFERROR(VLOOKUP(A1352,'[1]Sales Order'!A:F,6,FALSE),"")</f>
        <v>39426</v>
      </c>
      <c r="N1352" t="str">
        <f>IFERROR(VLOOKUP(VLOOKUP(A1352,'[1]Sales Order'!A:G,7,FALSE),[1]Shipper!A:B,2,FALSE),"Not Specified")</f>
        <v>Shipper GVSUA</v>
      </c>
      <c r="O1352" t="str">
        <f>IFERROR(VLOOKUP(A1352,'[1]Sales Order'!A:I,9,FALSE),"Not Specified")</f>
        <v>Ship to 50-B</v>
      </c>
      <c r="P1352" t="str">
        <f>IFERROR(VLOOKUP(A1352,'[1]Sales Order'!A:N,14,FALSE),"Not Specified")</f>
        <v>Belgium</v>
      </c>
      <c r="Q1352" t="str">
        <f>VLOOKUP(VLOOKUP(B1352,[1]Product!A:C,3,FALSE),[1]Supplier!A:B,2,FALSE)</f>
        <v>Supplier ZPYVS</v>
      </c>
      <c r="R1352" t="str">
        <f>VLOOKUP(VLOOKUP(B1352,[1]Product!A:C,3,FALSE),[1]Supplier!A:I,9,FALSE)</f>
        <v>Germany</v>
      </c>
      <c r="S1352" t="str">
        <f>IFERROR(IF(VLOOKUP(A1352,'[1]Sales Order'!A:H,8,FALSE)&gt;100,"High Freight","Low Freight"),"Not Specified")</f>
        <v>High Freight</v>
      </c>
      <c r="T1352">
        <f t="shared" si="43"/>
        <v>126</v>
      </c>
    </row>
    <row r="1353" spans="1:20">
      <c r="A1353" s="1">
        <v>10760</v>
      </c>
      <c r="B1353" s="2">
        <v>27</v>
      </c>
      <c r="C1353" s="2">
        <v>43.9</v>
      </c>
      <c r="D1353" s="2">
        <v>40</v>
      </c>
      <c r="E1353" s="3">
        <v>0</v>
      </c>
      <c r="F1353" s="2" t="str">
        <f>IFERROR(VLOOKUP(VLOOKUP(A1353,'[1]Sales Order'!A:B,2,FALSE),[1]Customer!A:C,3,FALSE),"Not Specified")</f>
        <v>Mace, Donald</v>
      </c>
      <c r="G1353" s="2" t="str">
        <f t="shared" si="42"/>
        <v>Mace Donald</v>
      </c>
      <c r="H1353" s="8" t="str">
        <f>IFERROR(VLOOKUP(VLOOKUP(A1353,'[1]Sales Order'!A:C,3,FALSE),[1]Employee!A:E,5,FALSE)&amp;" "&amp;VLOOKUP(VLOOKUP(A1353,'[1]Sales Order'!A:C,3,FALSE),[1]Employee!A:C,3,FALSE)&amp;" "&amp;VLOOKUP(VLOOKUP(A1353,'[1]Sales Order'!A:C,3,FALSE),[1]Employee!A:B,2,FALSE),"Not Specified")</f>
        <v>Mrs. Yael Peled</v>
      </c>
      <c r="I1353" t="str">
        <f>IFERROR(VLOOKUP(VLOOKUP(A1353,'[1]Sales Order'!A:C,3,FALSE),[1]Employee!A:J,10,FALSE),"Not Specified")</f>
        <v>WA</v>
      </c>
      <c r="J1353" t="str">
        <f>VLOOKUP(B1353,[1]Product!A:B,2,FALSE)</f>
        <v>Product SMIOH</v>
      </c>
      <c r="K1353" t="str">
        <f>VLOOKUP(VLOOKUP(B1353,[1]Product!A:D,4,FALSE),[1]Category!A:B,2,FALSE)</f>
        <v>Confections</v>
      </c>
      <c r="L1353" s="10">
        <f>IFERROR(VLOOKUP(A1353,'[1]Sales Order'!A:D,4,FALSE),"")</f>
        <v>39417</v>
      </c>
      <c r="M1353" s="10">
        <f>IFERROR(VLOOKUP(A1353,'[1]Sales Order'!A:F,6,FALSE),"")</f>
        <v>39426</v>
      </c>
      <c r="N1353" t="str">
        <f>IFERROR(VLOOKUP(VLOOKUP(A1353,'[1]Sales Order'!A:G,7,FALSE),[1]Shipper!A:B,2,FALSE),"Not Specified")</f>
        <v>Shipper GVSUA</v>
      </c>
      <c r="O1353" t="str">
        <f>IFERROR(VLOOKUP(A1353,'[1]Sales Order'!A:I,9,FALSE),"Not Specified")</f>
        <v>Ship to 50-B</v>
      </c>
      <c r="P1353" t="str">
        <f>IFERROR(VLOOKUP(A1353,'[1]Sales Order'!A:N,14,FALSE),"Not Specified")</f>
        <v>Belgium</v>
      </c>
      <c r="Q1353" t="str">
        <f>VLOOKUP(VLOOKUP(B1353,[1]Product!A:C,3,FALSE),[1]Supplier!A:B,2,FALSE)</f>
        <v>Supplier ZPYVS</v>
      </c>
      <c r="R1353" t="str">
        <f>VLOOKUP(VLOOKUP(B1353,[1]Product!A:C,3,FALSE),[1]Supplier!A:I,9,FALSE)</f>
        <v>Germany</v>
      </c>
      <c r="S1353" t="str">
        <f>IFERROR(IF(VLOOKUP(A1353,'[1]Sales Order'!A:H,8,FALSE)&gt;100,"High Freight","Low Freight"),"Not Specified")</f>
        <v>High Freight</v>
      </c>
      <c r="T1353">
        <f t="shared" si="43"/>
        <v>1756</v>
      </c>
    </row>
    <row r="1354" spans="1:20">
      <c r="A1354" s="1">
        <v>10760</v>
      </c>
      <c r="B1354" s="2">
        <v>43</v>
      </c>
      <c r="C1354" s="2">
        <v>46</v>
      </c>
      <c r="D1354" s="2">
        <v>30</v>
      </c>
      <c r="E1354" s="3">
        <v>0.25</v>
      </c>
      <c r="F1354" s="2" t="str">
        <f>IFERROR(VLOOKUP(VLOOKUP(A1354,'[1]Sales Order'!A:B,2,FALSE),[1]Customer!A:C,3,FALSE),"Not Specified")</f>
        <v>Mace, Donald</v>
      </c>
      <c r="G1354" s="2" t="str">
        <f t="shared" si="42"/>
        <v>Mace Donald</v>
      </c>
      <c r="H1354" s="8" t="str">
        <f>IFERROR(VLOOKUP(VLOOKUP(A1354,'[1]Sales Order'!A:C,3,FALSE),[1]Employee!A:E,5,FALSE)&amp;" "&amp;VLOOKUP(VLOOKUP(A1354,'[1]Sales Order'!A:C,3,FALSE),[1]Employee!A:C,3,FALSE)&amp;" "&amp;VLOOKUP(VLOOKUP(A1354,'[1]Sales Order'!A:C,3,FALSE),[1]Employee!A:B,2,FALSE),"Not Specified")</f>
        <v>Mrs. Yael Peled</v>
      </c>
      <c r="I1354" t="str">
        <f>IFERROR(VLOOKUP(VLOOKUP(A1354,'[1]Sales Order'!A:C,3,FALSE),[1]Employee!A:J,10,FALSE),"Not Specified")</f>
        <v>WA</v>
      </c>
      <c r="J1354" t="str">
        <f>VLOOKUP(B1354,[1]Product!A:B,2,FALSE)</f>
        <v>Product ZZZHR</v>
      </c>
      <c r="K1354" t="str">
        <f>VLOOKUP(VLOOKUP(B1354,[1]Product!A:D,4,FALSE),[1]Category!A:B,2,FALSE)</f>
        <v>Beverages</v>
      </c>
      <c r="L1354" s="10">
        <f>IFERROR(VLOOKUP(A1354,'[1]Sales Order'!A:D,4,FALSE),"")</f>
        <v>39417</v>
      </c>
      <c r="M1354" s="10">
        <f>IFERROR(VLOOKUP(A1354,'[1]Sales Order'!A:F,6,FALSE),"")</f>
        <v>39426</v>
      </c>
      <c r="N1354" t="str">
        <f>IFERROR(VLOOKUP(VLOOKUP(A1354,'[1]Sales Order'!A:G,7,FALSE),[1]Shipper!A:B,2,FALSE),"Not Specified")</f>
        <v>Shipper GVSUA</v>
      </c>
      <c r="O1354" t="str">
        <f>IFERROR(VLOOKUP(A1354,'[1]Sales Order'!A:I,9,FALSE),"Not Specified")</f>
        <v>Ship to 50-B</v>
      </c>
      <c r="P1354" t="str">
        <f>IFERROR(VLOOKUP(A1354,'[1]Sales Order'!A:N,14,FALSE),"Not Specified")</f>
        <v>Belgium</v>
      </c>
      <c r="Q1354" t="str">
        <f>VLOOKUP(VLOOKUP(B1354,[1]Product!A:C,3,FALSE),[1]Supplier!A:B,2,FALSE)</f>
        <v>Supplier CIYNM</v>
      </c>
      <c r="R1354" t="str">
        <f>VLOOKUP(VLOOKUP(B1354,[1]Product!A:C,3,FALSE),[1]Supplier!A:I,9,FALSE)</f>
        <v>Singapore</v>
      </c>
      <c r="S1354" t="str">
        <f>IFERROR(IF(VLOOKUP(A1354,'[1]Sales Order'!A:H,8,FALSE)&gt;100,"High Freight","Low Freight"),"Not Specified")</f>
        <v>High Freight</v>
      </c>
      <c r="T1354">
        <f t="shared" si="43"/>
        <v>1035</v>
      </c>
    </row>
    <row r="1355" spans="1:20">
      <c r="A1355" s="1">
        <v>10761</v>
      </c>
      <c r="B1355" s="2">
        <v>25</v>
      </c>
      <c r="C1355" s="2">
        <v>14</v>
      </c>
      <c r="D1355" s="2">
        <v>35</v>
      </c>
      <c r="E1355" s="3">
        <v>0.25</v>
      </c>
      <c r="F1355" s="2" t="str">
        <f>IFERROR(VLOOKUP(VLOOKUP(A1355,'[1]Sales Order'!A:B,2,FALSE),[1]Customer!A:C,3,FALSE),"Not Specified")</f>
        <v>Moore, Michael</v>
      </c>
      <c r="G1355" s="2" t="str">
        <f t="shared" si="42"/>
        <v>Moore Michael</v>
      </c>
      <c r="H1355" s="8" t="str">
        <f>IFERROR(VLOOKUP(VLOOKUP(A1355,'[1]Sales Order'!A:C,3,FALSE),[1]Employee!A:E,5,FALSE)&amp;" "&amp;VLOOKUP(VLOOKUP(A1355,'[1]Sales Order'!A:C,3,FALSE),[1]Employee!A:C,3,FALSE)&amp;" "&amp;VLOOKUP(VLOOKUP(A1355,'[1]Sales Order'!A:C,3,FALSE),[1]Employee!A:B,2,FALSE),"Not Specified")</f>
        <v>Mr. Sven Buck</v>
      </c>
      <c r="I1355">
        <f>IFERROR(VLOOKUP(VLOOKUP(A1355,'[1]Sales Order'!A:C,3,FALSE),[1]Employee!A:J,10,FALSE),"Not Specified")</f>
        <v>0</v>
      </c>
      <c r="J1355" t="str">
        <f>VLOOKUP(B1355,[1]Product!A:B,2,FALSE)</f>
        <v>Product LYLNI</v>
      </c>
      <c r="K1355" t="str">
        <f>VLOOKUP(VLOOKUP(B1355,[1]Product!A:D,4,FALSE),[1]Category!A:B,2,FALSE)</f>
        <v>Confections</v>
      </c>
      <c r="L1355" s="10">
        <f>IFERROR(VLOOKUP(A1355,'[1]Sales Order'!A:D,4,FALSE),"")</f>
        <v>39418</v>
      </c>
      <c r="M1355" s="10">
        <f>IFERROR(VLOOKUP(A1355,'[1]Sales Order'!A:F,6,FALSE),"")</f>
        <v>39424</v>
      </c>
      <c r="N1355" t="str">
        <f>IFERROR(VLOOKUP(VLOOKUP(A1355,'[1]Sales Order'!A:G,7,FALSE),[1]Shipper!A:B,2,FALSE),"Not Specified")</f>
        <v>Shipper ETYNR</v>
      </c>
      <c r="O1355" t="str">
        <f>IFERROR(VLOOKUP(A1355,'[1]Sales Order'!A:I,9,FALSE),"Not Specified")</f>
        <v>Ship to 65-B</v>
      </c>
      <c r="P1355" t="str">
        <f>IFERROR(VLOOKUP(A1355,'[1]Sales Order'!A:N,14,FALSE),"Not Specified")</f>
        <v>USA</v>
      </c>
      <c r="Q1355" t="str">
        <f>VLOOKUP(VLOOKUP(B1355,[1]Product!A:C,3,FALSE),[1]Supplier!A:B,2,FALSE)</f>
        <v>Supplier ZPYVS</v>
      </c>
      <c r="R1355" t="str">
        <f>VLOOKUP(VLOOKUP(B1355,[1]Product!A:C,3,FALSE),[1]Supplier!A:I,9,FALSE)</f>
        <v>Germany</v>
      </c>
      <c r="S1355" t="str">
        <f>IFERROR(IF(VLOOKUP(A1355,'[1]Sales Order'!A:H,8,FALSE)&gt;100,"High Freight","Low Freight"),"Not Specified")</f>
        <v>Low Freight</v>
      </c>
      <c r="T1355">
        <f t="shared" si="43"/>
        <v>367.5</v>
      </c>
    </row>
    <row r="1356" spans="1:20">
      <c r="A1356" s="1">
        <v>10761</v>
      </c>
      <c r="B1356" s="2">
        <v>75</v>
      </c>
      <c r="C1356" s="2">
        <v>7.75</v>
      </c>
      <c r="D1356" s="2">
        <v>18</v>
      </c>
      <c r="E1356" s="3">
        <v>0</v>
      </c>
      <c r="F1356" s="2" t="str">
        <f>IFERROR(VLOOKUP(VLOOKUP(A1356,'[1]Sales Order'!A:B,2,FALSE),[1]Customer!A:C,3,FALSE),"Not Specified")</f>
        <v>Moore, Michael</v>
      </c>
      <c r="G1356" s="2" t="str">
        <f t="shared" si="42"/>
        <v>Moore Michael</v>
      </c>
      <c r="H1356" s="8" t="str">
        <f>IFERROR(VLOOKUP(VLOOKUP(A1356,'[1]Sales Order'!A:C,3,FALSE),[1]Employee!A:E,5,FALSE)&amp;" "&amp;VLOOKUP(VLOOKUP(A1356,'[1]Sales Order'!A:C,3,FALSE),[1]Employee!A:C,3,FALSE)&amp;" "&amp;VLOOKUP(VLOOKUP(A1356,'[1]Sales Order'!A:C,3,FALSE),[1]Employee!A:B,2,FALSE),"Not Specified")</f>
        <v>Mr. Sven Buck</v>
      </c>
      <c r="I1356">
        <f>IFERROR(VLOOKUP(VLOOKUP(A1356,'[1]Sales Order'!A:C,3,FALSE),[1]Employee!A:J,10,FALSE),"Not Specified")</f>
        <v>0</v>
      </c>
      <c r="J1356" t="str">
        <f>VLOOKUP(B1356,[1]Product!A:B,2,FALSE)</f>
        <v>Product BWRLG</v>
      </c>
      <c r="K1356" t="str">
        <f>VLOOKUP(VLOOKUP(B1356,[1]Product!A:D,4,FALSE),[1]Category!A:B,2,FALSE)</f>
        <v>Beverages</v>
      </c>
      <c r="L1356" s="10">
        <f>IFERROR(VLOOKUP(A1356,'[1]Sales Order'!A:D,4,FALSE),"")</f>
        <v>39418</v>
      </c>
      <c r="M1356" s="10">
        <f>IFERROR(VLOOKUP(A1356,'[1]Sales Order'!A:F,6,FALSE),"")</f>
        <v>39424</v>
      </c>
      <c r="N1356" t="str">
        <f>IFERROR(VLOOKUP(VLOOKUP(A1356,'[1]Sales Order'!A:G,7,FALSE),[1]Shipper!A:B,2,FALSE),"Not Specified")</f>
        <v>Shipper ETYNR</v>
      </c>
      <c r="O1356" t="str">
        <f>IFERROR(VLOOKUP(A1356,'[1]Sales Order'!A:I,9,FALSE),"Not Specified")</f>
        <v>Ship to 65-B</v>
      </c>
      <c r="P1356" t="str">
        <f>IFERROR(VLOOKUP(A1356,'[1]Sales Order'!A:N,14,FALSE),"Not Specified")</f>
        <v>USA</v>
      </c>
      <c r="Q1356" t="str">
        <f>VLOOKUP(VLOOKUP(B1356,[1]Product!A:C,3,FALSE),[1]Supplier!A:B,2,FALSE)</f>
        <v>Supplier SVIYA</v>
      </c>
      <c r="R1356" t="str">
        <f>VLOOKUP(VLOOKUP(B1356,[1]Product!A:C,3,FALSE),[1]Supplier!A:I,9,FALSE)</f>
        <v>Germany</v>
      </c>
      <c r="S1356" t="str">
        <f>IFERROR(IF(VLOOKUP(A1356,'[1]Sales Order'!A:H,8,FALSE)&gt;100,"High Freight","Low Freight"),"Not Specified")</f>
        <v>Low Freight</v>
      </c>
      <c r="T1356">
        <f t="shared" si="43"/>
        <v>139.5</v>
      </c>
    </row>
    <row r="1357" spans="1:20">
      <c r="A1357" s="1">
        <v>10762</v>
      </c>
      <c r="B1357" s="2">
        <v>39</v>
      </c>
      <c r="C1357" s="2">
        <v>18</v>
      </c>
      <c r="D1357" s="2">
        <v>16</v>
      </c>
      <c r="E1357" s="3">
        <v>0</v>
      </c>
      <c r="F1357" s="2" t="str">
        <f>IFERROR(VLOOKUP(VLOOKUP(A1357,'[1]Sales Order'!A:B,2,FALSE),[1]Customer!A:C,3,FALSE),"Not Specified")</f>
        <v>San Juan, Patricia</v>
      </c>
      <c r="G1357" s="2" t="str">
        <f t="shared" si="42"/>
        <v>San Juan Patricia</v>
      </c>
      <c r="H1357" s="8" t="str">
        <f>IFERROR(VLOOKUP(VLOOKUP(A1357,'[1]Sales Order'!A:C,3,FALSE),[1]Employee!A:E,5,FALSE)&amp;" "&amp;VLOOKUP(VLOOKUP(A1357,'[1]Sales Order'!A:C,3,FALSE),[1]Employee!A:C,3,FALSE)&amp;" "&amp;VLOOKUP(VLOOKUP(A1357,'[1]Sales Order'!A:C,3,FALSE),[1]Employee!A:B,2,FALSE),"Not Specified")</f>
        <v>Ms. Judy Lew</v>
      </c>
      <c r="I1357" t="str">
        <f>IFERROR(VLOOKUP(VLOOKUP(A1357,'[1]Sales Order'!A:C,3,FALSE),[1]Employee!A:J,10,FALSE),"Not Specified")</f>
        <v>WA</v>
      </c>
      <c r="J1357" t="str">
        <f>VLOOKUP(B1357,[1]Product!A:B,2,FALSE)</f>
        <v>Product LSOFL</v>
      </c>
      <c r="K1357" t="str">
        <f>VLOOKUP(VLOOKUP(B1357,[1]Product!A:D,4,FALSE),[1]Category!A:B,2,FALSE)</f>
        <v>Beverages</v>
      </c>
      <c r="L1357" s="10">
        <f>IFERROR(VLOOKUP(A1357,'[1]Sales Order'!A:D,4,FALSE),"")</f>
        <v>39418</v>
      </c>
      <c r="M1357" s="10">
        <f>IFERROR(VLOOKUP(A1357,'[1]Sales Order'!A:F,6,FALSE),"")</f>
        <v>39425</v>
      </c>
      <c r="N1357" t="str">
        <f>IFERROR(VLOOKUP(VLOOKUP(A1357,'[1]Sales Order'!A:G,7,FALSE),[1]Shipper!A:B,2,FALSE),"Not Specified")</f>
        <v>Shipper GVSUA</v>
      </c>
      <c r="O1357" t="str">
        <f>IFERROR(VLOOKUP(A1357,'[1]Sales Order'!A:I,9,FALSE),"Not Specified")</f>
        <v>Destination YCMPK</v>
      </c>
      <c r="P1357" t="str">
        <f>IFERROR(VLOOKUP(A1357,'[1]Sales Order'!A:N,14,FALSE),"Not Specified")</f>
        <v>Sweden</v>
      </c>
      <c r="Q1357" t="str">
        <f>VLOOKUP(VLOOKUP(B1357,[1]Product!A:C,3,FALSE),[1]Supplier!A:B,2,FALSE)</f>
        <v>Supplier LVJUA</v>
      </c>
      <c r="R1357" t="str">
        <f>VLOOKUP(VLOOKUP(B1357,[1]Product!A:C,3,FALSE),[1]Supplier!A:I,9,FALSE)</f>
        <v>France</v>
      </c>
      <c r="S1357" t="str">
        <f>IFERROR(IF(VLOOKUP(A1357,'[1]Sales Order'!A:H,8,FALSE)&gt;100,"High Freight","Low Freight"),"Not Specified")</f>
        <v>High Freight</v>
      </c>
      <c r="T1357">
        <f t="shared" si="43"/>
        <v>288</v>
      </c>
    </row>
    <row r="1358" spans="1:20">
      <c r="A1358" s="1">
        <v>10762</v>
      </c>
      <c r="B1358" s="2">
        <v>47</v>
      </c>
      <c r="C1358" s="2">
        <v>9.5</v>
      </c>
      <c r="D1358" s="2">
        <v>30</v>
      </c>
      <c r="E1358" s="3">
        <v>0</v>
      </c>
      <c r="F1358" s="2" t="str">
        <f>IFERROR(VLOOKUP(VLOOKUP(A1358,'[1]Sales Order'!A:B,2,FALSE),[1]Customer!A:C,3,FALSE),"Not Specified")</f>
        <v>San Juan, Patricia</v>
      </c>
      <c r="G1358" s="2" t="str">
        <f t="shared" si="42"/>
        <v>San Juan Patricia</v>
      </c>
      <c r="H1358" s="8" t="str">
        <f>IFERROR(VLOOKUP(VLOOKUP(A1358,'[1]Sales Order'!A:C,3,FALSE),[1]Employee!A:E,5,FALSE)&amp;" "&amp;VLOOKUP(VLOOKUP(A1358,'[1]Sales Order'!A:C,3,FALSE),[1]Employee!A:C,3,FALSE)&amp;" "&amp;VLOOKUP(VLOOKUP(A1358,'[1]Sales Order'!A:C,3,FALSE),[1]Employee!A:B,2,FALSE),"Not Specified")</f>
        <v>Ms. Judy Lew</v>
      </c>
      <c r="I1358" t="str">
        <f>IFERROR(VLOOKUP(VLOOKUP(A1358,'[1]Sales Order'!A:C,3,FALSE),[1]Employee!A:J,10,FALSE),"Not Specified")</f>
        <v>WA</v>
      </c>
      <c r="J1358" t="str">
        <f>VLOOKUP(B1358,[1]Product!A:B,2,FALSE)</f>
        <v>Product EZZPR</v>
      </c>
      <c r="K1358" t="str">
        <f>VLOOKUP(VLOOKUP(B1358,[1]Product!A:D,4,FALSE),[1]Category!A:B,2,FALSE)</f>
        <v>Confections</v>
      </c>
      <c r="L1358" s="10">
        <f>IFERROR(VLOOKUP(A1358,'[1]Sales Order'!A:D,4,FALSE),"")</f>
        <v>39418</v>
      </c>
      <c r="M1358" s="10">
        <f>IFERROR(VLOOKUP(A1358,'[1]Sales Order'!A:F,6,FALSE),"")</f>
        <v>39425</v>
      </c>
      <c r="N1358" t="str">
        <f>IFERROR(VLOOKUP(VLOOKUP(A1358,'[1]Sales Order'!A:G,7,FALSE),[1]Shipper!A:B,2,FALSE),"Not Specified")</f>
        <v>Shipper GVSUA</v>
      </c>
      <c r="O1358" t="str">
        <f>IFERROR(VLOOKUP(A1358,'[1]Sales Order'!A:I,9,FALSE),"Not Specified")</f>
        <v>Destination YCMPK</v>
      </c>
      <c r="P1358" t="str">
        <f>IFERROR(VLOOKUP(A1358,'[1]Sales Order'!A:N,14,FALSE),"Not Specified")</f>
        <v>Sweden</v>
      </c>
      <c r="Q1358" t="str">
        <f>VLOOKUP(VLOOKUP(B1358,[1]Product!A:C,3,FALSE),[1]Supplier!A:B,2,FALSE)</f>
        <v>Supplier FNUXM</v>
      </c>
      <c r="R1358" t="str">
        <f>VLOOKUP(VLOOKUP(B1358,[1]Product!A:C,3,FALSE),[1]Supplier!A:I,9,FALSE)</f>
        <v>Netherlands</v>
      </c>
      <c r="S1358" t="str">
        <f>IFERROR(IF(VLOOKUP(A1358,'[1]Sales Order'!A:H,8,FALSE)&gt;100,"High Freight","Low Freight"),"Not Specified")</f>
        <v>High Freight</v>
      </c>
      <c r="T1358">
        <f t="shared" si="43"/>
        <v>285</v>
      </c>
    </row>
    <row r="1359" spans="1:20">
      <c r="A1359" s="1">
        <v>10762</v>
      </c>
      <c r="B1359" s="2">
        <v>51</v>
      </c>
      <c r="C1359" s="2">
        <v>53</v>
      </c>
      <c r="D1359" s="2">
        <v>28</v>
      </c>
      <c r="E1359" s="3">
        <v>0</v>
      </c>
      <c r="F1359" s="2" t="str">
        <f>IFERROR(VLOOKUP(VLOOKUP(A1359,'[1]Sales Order'!A:B,2,FALSE),[1]Customer!A:C,3,FALSE),"Not Specified")</f>
        <v>San Juan, Patricia</v>
      </c>
      <c r="G1359" s="2" t="str">
        <f t="shared" si="42"/>
        <v>San Juan Patricia</v>
      </c>
      <c r="H1359" s="8" t="str">
        <f>IFERROR(VLOOKUP(VLOOKUP(A1359,'[1]Sales Order'!A:C,3,FALSE),[1]Employee!A:E,5,FALSE)&amp;" "&amp;VLOOKUP(VLOOKUP(A1359,'[1]Sales Order'!A:C,3,FALSE),[1]Employee!A:C,3,FALSE)&amp;" "&amp;VLOOKUP(VLOOKUP(A1359,'[1]Sales Order'!A:C,3,FALSE),[1]Employee!A:B,2,FALSE),"Not Specified")</f>
        <v>Ms. Judy Lew</v>
      </c>
      <c r="I1359" t="str">
        <f>IFERROR(VLOOKUP(VLOOKUP(A1359,'[1]Sales Order'!A:C,3,FALSE),[1]Employee!A:J,10,FALSE),"Not Specified")</f>
        <v>WA</v>
      </c>
      <c r="J1359" t="str">
        <f>VLOOKUP(B1359,[1]Product!A:B,2,FALSE)</f>
        <v>Product APITJ</v>
      </c>
      <c r="K1359" t="str">
        <f>VLOOKUP(VLOOKUP(B1359,[1]Product!A:D,4,FALSE),[1]Category!A:B,2,FALSE)</f>
        <v>Produce</v>
      </c>
      <c r="L1359" s="10">
        <f>IFERROR(VLOOKUP(A1359,'[1]Sales Order'!A:D,4,FALSE),"")</f>
        <v>39418</v>
      </c>
      <c r="M1359" s="10">
        <f>IFERROR(VLOOKUP(A1359,'[1]Sales Order'!A:F,6,FALSE),"")</f>
        <v>39425</v>
      </c>
      <c r="N1359" t="str">
        <f>IFERROR(VLOOKUP(VLOOKUP(A1359,'[1]Sales Order'!A:G,7,FALSE),[1]Shipper!A:B,2,FALSE),"Not Specified")</f>
        <v>Shipper GVSUA</v>
      </c>
      <c r="O1359" t="str">
        <f>IFERROR(VLOOKUP(A1359,'[1]Sales Order'!A:I,9,FALSE),"Not Specified")</f>
        <v>Destination YCMPK</v>
      </c>
      <c r="P1359" t="str">
        <f>IFERROR(VLOOKUP(A1359,'[1]Sales Order'!A:N,14,FALSE),"Not Specified")</f>
        <v>Sweden</v>
      </c>
      <c r="Q1359" t="str">
        <f>VLOOKUP(VLOOKUP(B1359,[1]Product!A:C,3,FALSE),[1]Supplier!A:B,2,FALSE)</f>
        <v>Supplier JNNES</v>
      </c>
      <c r="R1359" t="str">
        <f>VLOOKUP(VLOOKUP(B1359,[1]Product!A:C,3,FALSE),[1]Supplier!A:I,9,FALSE)</f>
        <v>Australia</v>
      </c>
      <c r="S1359" t="str">
        <f>IFERROR(IF(VLOOKUP(A1359,'[1]Sales Order'!A:H,8,FALSE)&gt;100,"High Freight","Low Freight"),"Not Specified")</f>
        <v>High Freight</v>
      </c>
      <c r="T1359">
        <f t="shared" si="43"/>
        <v>1484</v>
      </c>
    </row>
    <row r="1360" spans="1:20">
      <c r="A1360" s="1">
        <v>10762</v>
      </c>
      <c r="B1360" s="2">
        <v>56</v>
      </c>
      <c r="C1360" s="2">
        <v>38</v>
      </c>
      <c r="D1360" s="2">
        <v>60</v>
      </c>
      <c r="E1360" s="3">
        <v>0</v>
      </c>
      <c r="F1360" s="2" t="str">
        <f>IFERROR(VLOOKUP(VLOOKUP(A1360,'[1]Sales Order'!A:B,2,FALSE),[1]Customer!A:C,3,FALSE),"Not Specified")</f>
        <v>San Juan, Patricia</v>
      </c>
      <c r="G1360" s="2" t="str">
        <f t="shared" si="42"/>
        <v>San Juan Patricia</v>
      </c>
      <c r="H1360" s="8" t="str">
        <f>IFERROR(VLOOKUP(VLOOKUP(A1360,'[1]Sales Order'!A:C,3,FALSE),[1]Employee!A:E,5,FALSE)&amp;" "&amp;VLOOKUP(VLOOKUP(A1360,'[1]Sales Order'!A:C,3,FALSE),[1]Employee!A:C,3,FALSE)&amp;" "&amp;VLOOKUP(VLOOKUP(A1360,'[1]Sales Order'!A:C,3,FALSE),[1]Employee!A:B,2,FALSE),"Not Specified")</f>
        <v>Ms. Judy Lew</v>
      </c>
      <c r="I1360" t="str">
        <f>IFERROR(VLOOKUP(VLOOKUP(A1360,'[1]Sales Order'!A:C,3,FALSE),[1]Employee!A:J,10,FALSE),"Not Specified")</f>
        <v>WA</v>
      </c>
      <c r="J1360" t="str">
        <f>VLOOKUP(B1360,[1]Product!A:B,2,FALSE)</f>
        <v>Product VKCMF</v>
      </c>
      <c r="K1360" t="str">
        <f>VLOOKUP(VLOOKUP(B1360,[1]Product!A:D,4,FALSE),[1]Category!A:B,2,FALSE)</f>
        <v>Grains/Cereals</v>
      </c>
      <c r="L1360" s="10">
        <f>IFERROR(VLOOKUP(A1360,'[1]Sales Order'!A:D,4,FALSE),"")</f>
        <v>39418</v>
      </c>
      <c r="M1360" s="10">
        <f>IFERROR(VLOOKUP(A1360,'[1]Sales Order'!A:F,6,FALSE),"")</f>
        <v>39425</v>
      </c>
      <c r="N1360" t="str">
        <f>IFERROR(VLOOKUP(VLOOKUP(A1360,'[1]Sales Order'!A:G,7,FALSE),[1]Shipper!A:B,2,FALSE),"Not Specified")</f>
        <v>Shipper GVSUA</v>
      </c>
      <c r="O1360" t="str">
        <f>IFERROR(VLOOKUP(A1360,'[1]Sales Order'!A:I,9,FALSE),"Not Specified")</f>
        <v>Destination YCMPK</v>
      </c>
      <c r="P1360" t="str">
        <f>IFERROR(VLOOKUP(A1360,'[1]Sales Order'!A:N,14,FALSE),"Not Specified")</f>
        <v>Sweden</v>
      </c>
      <c r="Q1360" t="str">
        <f>VLOOKUP(VLOOKUP(B1360,[1]Product!A:C,3,FALSE),[1]Supplier!A:B,2,FALSE)</f>
        <v>Supplier ZWZDM</v>
      </c>
      <c r="R1360" t="str">
        <f>VLOOKUP(VLOOKUP(B1360,[1]Product!A:C,3,FALSE),[1]Supplier!A:I,9,FALSE)</f>
        <v>Italy</v>
      </c>
      <c r="S1360" t="str">
        <f>IFERROR(IF(VLOOKUP(A1360,'[1]Sales Order'!A:H,8,FALSE)&gt;100,"High Freight","Low Freight"),"Not Specified")</f>
        <v>High Freight</v>
      </c>
      <c r="T1360">
        <f t="shared" si="43"/>
        <v>2280</v>
      </c>
    </row>
    <row r="1361" spans="1:20">
      <c r="A1361" s="1">
        <v>10763</v>
      </c>
      <c r="B1361" s="2">
        <v>21</v>
      </c>
      <c r="C1361" s="2">
        <v>10</v>
      </c>
      <c r="D1361" s="2">
        <v>40</v>
      </c>
      <c r="E1361" s="3">
        <v>0</v>
      </c>
      <c r="F1361" s="2" t="str">
        <f>IFERROR(VLOOKUP(VLOOKUP(A1361,'[1]Sales Order'!A:B,2,FALSE),[1]Customer!A:C,3,FALSE),"Not Specified")</f>
        <v>Khanna, Karan</v>
      </c>
      <c r="G1361" s="2" t="str">
        <f t="shared" si="42"/>
        <v>Khanna Karan</v>
      </c>
      <c r="H1361" s="8" t="str">
        <f>IFERROR(VLOOKUP(VLOOKUP(A1361,'[1]Sales Order'!A:C,3,FALSE),[1]Employee!A:E,5,FALSE)&amp;" "&amp;VLOOKUP(VLOOKUP(A1361,'[1]Sales Order'!A:C,3,FALSE),[1]Employee!A:C,3,FALSE)&amp;" "&amp;VLOOKUP(VLOOKUP(A1361,'[1]Sales Order'!A:C,3,FALSE),[1]Employee!A:B,2,FALSE),"Not Specified")</f>
        <v>Ms. Judy Lew</v>
      </c>
      <c r="I1361" t="str">
        <f>IFERROR(VLOOKUP(VLOOKUP(A1361,'[1]Sales Order'!A:C,3,FALSE),[1]Employee!A:J,10,FALSE),"Not Specified")</f>
        <v>WA</v>
      </c>
      <c r="J1361" t="str">
        <f>VLOOKUP(B1361,[1]Product!A:B,2,FALSE)</f>
        <v>Product VJZZH</v>
      </c>
      <c r="K1361" t="str">
        <f>VLOOKUP(VLOOKUP(B1361,[1]Product!A:D,4,FALSE),[1]Category!A:B,2,FALSE)</f>
        <v>Confections</v>
      </c>
      <c r="L1361" s="10">
        <f>IFERROR(VLOOKUP(A1361,'[1]Sales Order'!A:D,4,FALSE),"")</f>
        <v>39419</v>
      </c>
      <c r="M1361" s="10">
        <f>IFERROR(VLOOKUP(A1361,'[1]Sales Order'!A:F,6,FALSE),"")</f>
        <v>39424</v>
      </c>
      <c r="N1361" t="str">
        <f>IFERROR(VLOOKUP(VLOOKUP(A1361,'[1]Sales Order'!A:G,7,FALSE),[1]Shipper!A:B,2,FALSE),"Not Specified")</f>
        <v>Shipper ZHISN</v>
      </c>
      <c r="O1361" t="str">
        <f>IFERROR(VLOOKUP(A1361,'[1]Sales Order'!A:I,9,FALSE),"Not Specified")</f>
        <v>Destination PXQRR</v>
      </c>
      <c r="P1361" t="str">
        <f>IFERROR(VLOOKUP(A1361,'[1]Sales Order'!A:N,14,FALSE),"Not Specified")</f>
        <v>France</v>
      </c>
      <c r="Q1361" t="str">
        <f>VLOOKUP(VLOOKUP(B1361,[1]Product!A:C,3,FALSE),[1]Supplier!A:B,2,FALSE)</f>
        <v>Supplier BWGYE</v>
      </c>
      <c r="R1361" t="str">
        <f>VLOOKUP(VLOOKUP(B1361,[1]Product!A:C,3,FALSE),[1]Supplier!A:I,9,FALSE)</f>
        <v>UK</v>
      </c>
      <c r="S1361" t="str">
        <f>IFERROR(IF(VLOOKUP(A1361,'[1]Sales Order'!A:H,8,FALSE)&gt;100,"High Freight","Low Freight"),"Not Specified")</f>
        <v>Low Freight</v>
      </c>
      <c r="T1361">
        <f t="shared" si="43"/>
        <v>400</v>
      </c>
    </row>
    <row r="1362" spans="1:20">
      <c r="A1362" s="1">
        <v>10763</v>
      </c>
      <c r="B1362" s="2">
        <v>22</v>
      </c>
      <c r="C1362" s="2">
        <v>21</v>
      </c>
      <c r="D1362" s="2">
        <v>6</v>
      </c>
      <c r="E1362" s="3">
        <v>0</v>
      </c>
      <c r="F1362" s="2" t="str">
        <f>IFERROR(VLOOKUP(VLOOKUP(A1362,'[1]Sales Order'!A:B,2,FALSE),[1]Customer!A:C,3,FALSE),"Not Specified")</f>
        <v>Khanna, Karan</v>
      </c>
      <c r="G1362" s="2" t="str">
        <f t="shared" si="42"/>
        <v>Khanna Karan</v>
      </c>
      <c r="H1362" s="8" t="str">
        <f>IFERROR(VLOOKUP(VLOOKUP(A1362,'[1]Sales Order'!A:C,3,FALSE),[1]Employee!A:E,5,FALSE)&amp;" "&amp;VLOOKUP(VLOOKUP(A1362,'[1]Sales Order'!A:C,3,FALSE),[1]Employee!A:C,3,FALSE)&amp;" "&amp;VLOOKUP(VLOOKUP(A1362,'[1]Sales Order'!A:C,3,FALSE),[1]Employee!A:B,2,FALSE),"Not Specified")</f>
        <v>Ms. Judy Lew</v>
      </c>
      <c r="I1362" t="str">
        <f>IFERROR(VLOOKUP(VLOOKUP(A1362,'[1]Sales Order'!A:C,3,FALSE),[1]Employee!A:J,10,FALSE),"Not Specified")</f>
        <v>WA</v>
      </c>
      <c r="J1362" t="str">
        <f>VLOOKUP(B1362,[1]Product!A:B,2,FALSE)</f>
        <v>Product CPHFY</v>
      </c>
      <c r="K1362" t="str">
        <f>VLOOKUP(VLOOKUP(B1362,[1]Product!A:D,4,FALSE),[1]Category!A:B,2,FALSE)</f>
        <v>Grains/Cereals</v>
      </c>
      <c r="L1362" s="10">
        <f>IFERROR(VLOOKUP(A1362,'[1]Sales Order'!A:D,4,FALSE),"")</f>
        <v>39419</v>
      </c>
      <c r="M1362" s="10">
        <f>IFERROR(VLOOKUP(A1362,'[1]Sales Order'!A:F,6,FALSE),"")</f>
        <v>39424</v>
      </c>
      <c r="N1362" t="str">
        <f>IFERROR(VLOOKUP(VLOOKUP(A1362,'[1]Sales Order'!A:G,7,FALSE),[1]Shipper!A:B,2,FALSE),"Not Specified")</f>
        <v>Shipper ZHISN</v>
      </c>
      <c r="O1362" t="str">
        <f>IFERROR(VLOOKUP(A1362,'[1]Sales Order'!A:I,9,FALSE),"Not Specified")</f>
        <v>Destination PXQRR</v>
      </c>
      <c r="P1362" t="str">
        <f>IFERROR(VLOOKUP(A1362,'[1]Sales Order'!A:N,14,FALSE),"Not Specified")</f>
        <v>France</v>
      </c>
      <c r="Q1362" t="str">
        <f>VLOOKUP(VLOOKUP(B1362,[1]Product!A:C,3,FALSE),[1]Supplier!A:B,2,FALSE)</f>
        <v>Supplier QQYEU</v>
      </c>
      <c r="R1362" t="str">
        <f>VLOOKUP(VLOOKUP(B1362,[1]Product!A:C,3,FALSE),[1]Supplier!A:I,9,FALSE)</f>
        <v>Sweden</v>
      </c>
      <c r="S1362" t="str">
        <f>IFERROR(IF(VLOOKUP(A1362,'[1]Sales Order'!A:H,8,FALSE)&gt;100,"High Freight","Low Freight"),"Not Specified")</f>
        <v>Low Freight</v>
      </c>
      <c r="T1362">
        <f t="shared" si="43"/>
        <v>126</v>
      </c>
    </row>
    <row r="1363" spans="1:20">
      <c r="A1363" s="1">
        <v>10763</v>
      </c>
      <c r="B1363" s="2">
        <v>24</v>
      </c>
      <c r="C1363" s="2">
        <v>4.5</v>
      </c>
      <c r="D1363" s="2">
        <v>20</v>
      </c>
      <c r="E1363" s="3">
        <v>0</v>
      </c>
      <c r="F1363" s="2" t="str">
        <f>IFERROR(VLOOKUP(VLOOKUP(A1363,'[1]Sales Order'!A:B,2,FALSE),[1]Customer!A:C,3,FALSE),"Not Specified")</f>
        <v>Khanna, Karan</v>
      </c>
      <c r="G1363" s="2" t="str">
        <f t="shared" si="42"/>
        <v>Khanna Karan</v>
      </c>
      <c r="H1363" s="8" t="str">
        <f>IFERROR(VLOOKUP(VLOOKUP(A1363,'[1]Sales Order'!A:C,3,FALSE),[1]Employee!A:E,5,FALSE)&amp;" "&amp;VLOOKUP(VLOOKUP(A1363,'[1]Sales Order'!A:C,3,FALSE),[1]Employee!A:C,3,FALSE)&amp;" "&amp;VLOOKUP(VLOOKUP(A1363,'[1]Sales Order'!A:C,3,FALSE),[1]Employee!A:B,2,FALSE),"Not Specified")</f>
        <v>Ms. Judy Lew</v>
      </c>
      <c r="I1363" t="str">
        <f>IFERROR(VLOOKUP(VLOOKUP(A1363,'[1]Sales Order'!A:C,3,FALSE),[1]Employee!A:J,10,FALSE),"Not Specified")</f>
        <v>WA</v>
      </c>
      <c r="J1363" t="str">
        <f>VLOOKUP(B1363,[1]Product!A:B,2,FALSE)</f>
        <v>Product QOGNU</v>
      </c>
      <c r="K1363" t="str">
        <f>VLOOKUP(VLOOKUP(B1363,[1]Product!A:D,4,FALSE),[1]Category!A:B,2,FALSE)</f>
        <v>Beverages</v>
      </c>
      <c r="L1363" s="10">
        <f>IFERROR(VLOOKUP(A1363,'[1]Sales Order'!A:D,4,FALSE),"")</f>
        <v>39419</v>
      </c>
      <c r="M1363" s="10">
        <f>IFERROR(VLOOKUP(A1363,'[1]Sales Order'!A:F,6,FALSE),"")</f>
        <v>39424</v>
      </c>
      <c r="N1363" t="str">
        <f>IFERROR(VLOOKUP(VLOOKUP(A1363,'[1]Sales Order'!A:G,7,FALSE),[1]Shipper!A:B,2,FALSE),"Not Specified")</f>
        <v>Shipper ZHISN</v>
      </c>
      <c r="O1363" t="str">
        <f>IFERROR(VLOOKUP(A1363,'[1]Sales Order'!A:I,9,FALSE),"Not Specified")</f>
        <v>Destination PXQRR</v>
      </c>
      <c r="P1363" t="str">
        <f>IFERROR(VLOOKUP(A1363,'[1]Sales Order'!A:N,14,FALSE),"Not Specified")</f>
        <v>France</v>
      </c>
      <c r="Q1363" t="str">
        <f>VLOOKUP(VLOOKUP(B1363,[1]Product!A:C,3,FALSE),[1]Supplier!A:B,2,FALSE)</f>
        <v>Supplier UNAHG</v>
      </c>
      <c r="R1363" t="str">
        <f>VLOOKUP(VLOOKUP(B1363,[1]Product!A:C,3,FALSE),[1]Supplier!A:I,9,FALSE)</f>
        <v>Brazil</v>
      </c>
      <c r="S1363" t="str">
        <f>IFERROR(IF(VLOOKUP(A1363,'[1]Sales Order'!A:H,8,FALSE)&gt;100,"High Freight","Low Freight"),"Not Specified")</f>
        <v>Low Freight</v>
      </c>
      <c r="T1363">
        <f t="shared" si="43"/>
        <v>90</v>
      </c>
    </row>
    <row r="1364" spans="1:20">
      <c r="A1364" s="1">
        <v>10764</v>
      </c>
      <c r="B1364" s="2">
        <v>3</v>
      </c>
      <c r="C1364" s="2">
        <v>10</v>
      </c>
      <c r="D1364" s="2">
        <v>20</v>
      </c>
      <c r="E1364" s="3">
        <v>0.1</v>
      </c>
      <c r="F1364" s="2" t="str">
        <f>IFERROR(VLOOKUP(VLOOKUP(A1364,'[1]Sales Order'!A:B,2,FALSE),[1]Customer!A:C,3,FALSE),"Not Specified")</f>
        <v>Kane, John</v>
      </c>
      <c r="G1364" s="2" t="str">
        <f t="shared" si="42"/>
        <v>Kane John</v>
      </c>
      <c r="H1364" s="8" t="str">
        <f>IFERROR(VLOOKUP(VLOOKUP(A1364,'[1]Sales Order'!A:C,3,FALSE),[1]Employee!A:E,5,FALSE)&amp;" "&amp;VLOOKUP(VLOOKUP(A1364,'[1]Sales Order'!A:C,3,FALSE),[1]Employee!A:C,3,FALSE)&amp;" "&amp;VLOOKUP(VLOOKUP(A1364,'[1]Sales Order'!A:C,3,FALSE),[1]Employee!A:B,2,FALSE),"Not Specified")</f>
        <v>Mr. Paul Suurs</v>
      </c>
      <c r="I1364">
        <f>IFERROR(VLOOKUP(VLOOKUP(A1364,'[1]Sales Order'!A:C,3,FALSE),[1]Employee!A:J,10,FALSE),"Not Specified")</f>
        <v>0</v>
      </c>
      <c r="J1364" t="str">
        <f>VLOOKUP(B1364,[1]Product!A:B,2,FALSE)</f>
        <v>Product IMEHJ</v>
      </c>
      <c r="K1364" t="str">
        <f>VLOOKUP(VLOOKUP(B1364,[1]Product!A:D,4,FALSE),[1]Category!A:B,2,FALSE)</f>
        <v>Condiments</v>
      </c>
      <c r="L1364" s="10">
        <f>IFERROR(VLOOKUP(A1364,'[1]Sales Order'!A:D,4,FALSE),"")</f>
        <v>39419</v>
      </c>
      <c r="M1364" s="10">
        <f>IFERROR(VLOOKUP(A1364,'[1]Sales Order'!A:F,6,FALSE),"")</f>
        <v>39424</v>
      </c>
      <c r="N1364" t="str">
        <f>IFERROR(VLOOKUP(VLOOKUP(A1364,'[1]Sales Order'!A:G,7,FALSE),[1]Shipper!A:B,2,FALSE),"Not Specified")</f>
        <v>Shipper ZHISN</v>
      </c>
      <c r="O1364" t="str">
        <f>IFERROR(VLOOKUP(A1364,'[1]Sales Order'!A:I,9,FALSE),"Not Specified")</f>
        <v>Destination CUVPF</v>
      </c>
      <c r="P1364" t="str">
        <f>IFERROR(VLOOKUP(A1364,'[1]Sales Order'!A:N,14,FALSE),"Not Specified")</f>
        <v>Austria</v>
      </c>
      <c r="Q1364" t="str">
        <f>VLOOKUP(VLOOKUP(B1364,[1]Product!A:C,3,FALSE),[1]Supplier!A:B,2,FALSE)</f>
        <v>Supplier SWRXU</v>
      </c>
      <c r="R1364" t="str">
        <f>VLOOKUP(VLOOKUP(B1364,[1]Product!A:C,3,FALSE),[1]Supplier!A:I,9,FALSE)</f>
        <v>UK</v>
      </c>
      <c r="S1364" t="str">
        <f>IFERROR(IF(VLOOKUP(A1364,'[1]Sales Order'!A:H,8,FALSE)&gt;100,"High Freight","Low Freight"),"Not Specified")</f>
        <v>High Freight</v>
      </c>
      <c r="T1364">
        <f t="shared" si="43"/>
        <v>180</v>
      </c>
    </row>
    <row r="1365" spans="1:20">
      <c r="A1365" s="1">
        <v>10764</v>
      </c>
      <c r="B1365" s="2">
        <v>39</v>
      </c>
      <c r="C1365" s="2">
        <v>18</v>
      </c>
      <c r="D1365" s="2">
        <v>130</v>
      </c>
      <c r="E1365" s="3">
        <v>0.1</v>
      </c>
      <c r="F1365" s="2" t="str">
        <f>IFERROR(VLOOKUP(VLOOKUP(A1365,'[1]Sales Order'!A:B,2,FALSE),[1]Customer!A:C,3,FALSE),"Not Specified")</f>
        <v>Kane, John</v>
      </c>
      <c r="G1365" s="2" t="str">
        <f t="shared" si="42"/>
        <v>Kane John</v>
      </c>
      <c r="H1365" s="8" t="str">
        <f>IFERROR(VLOOKUP(VLOOKUP(A1365,'[1]Sales Order'!A:C,3,FALSE),[1]Employee!A:E,5,FALSE)&amp;" "&amp;VLOOKUP(VLOOKUP(A1365,'[1]Sales Order'!A:C,3,FALSE),[1]Employee!A:C,3,FALSE)&amp;" "&amp;VLOOKUP(VLOOKUP(A1365,'[1]Sales Order'!A:C,3,FALSE),[1]Employee!A:B,2,FALSE),"Not Specified")</f>
        <v>Mr. Paul Suurs</v>
      </c>
      <c r="I1365">
        <f>IFERROR(VLOOKUP(VLOOKUP(A1365,'[1]Sales Order'!A:C,3,FALSE),[1]Employee!A:J,10,FALSE),"Not Specified")</f>
        <v>0</v>
      </c>
      <c r="J1365" t="str">
        <f>VLOOKUP(B1365,[1]Product!A:B,2,FALSE)</f>
        <v>Product LSOFL</v>
      </c>
      <c r="K1365" t="str">
        <f>VLOOKUP(VLOOKUP(B1365,[1]Product!A:D,4,FALSE),[1]Category!A:B,2,FALSE)</f>
        <v>Beverages</v>
      </c>
      <c r="L1365" s="10">
        <f>IFERROR(VLOOKUP(A1365,'[1]Sales Order'!A:D,4,FALSE),"")</f>
        <v>39419</v>
      </c>
      <c r="M1365" s="10">
        <f>IFERROR(VLOOKUP(A1365,'[1]Sales Order'!A:F,6,FALSE),"")</f>
        <v>39424</v>
      </c>
      <c r="N1365" t="str">
        <f>IFERROR(VLOOKUP(VLOOKUP(A1365,'[1]Sales Order'!A:G,7,FALSE),[1]Shipper!A:B,2,FALSE),"Not Specified")</f>
        <v>Shipper ZHISN</v>
      </c>
      <c r="O1365" t="str">
        <f>IFERROR(VLOOKUP(A1365,'[1]Sales Order'!A:I,9,FALSE),"Not Specified")</f>
        <v>Destination CUVPF</v>
      </c>
      <c r="P1365" t="str">
        <f>IFERROR(VLOOKUP(A1365,'[1]Sales Order'!A:N,14,FALSE),"Not Specified")</f>
        <v>Austria</v>
      </c>
      <c r="Q1365" t="str">
        <f>VLOOKUP(VLOOKUP(B1365,[1]Product!A:C,3,FALSE),[1]Supplier!A:B,2,FALSE)</f>
        <v>Supplier LVJUA</v>
      </c>
      <c r="R1365" t="str">
        <f>VLOOKUP(VLOOKUP(B1365,[1]Product!A:C,3,FALSE),[1]Supplier!A:I,9,FALSE)</f>
        <v>France</v>
      </c>
      <c r="S1365" t="str">
        <f>IFERROR(IF(VLOOKUP(A1365,'[1]Sales Order'!A:H,8,FALSE)&gt;100,"High Freight","Low Freight"),"Not Specified")</f>
        <v>High Freight</v>
      </c>
      <c r="T1365">
        <f t="shared" si="43"/>
        <v>2106</v>
      </c>
    </row>
    <row r="1366" spans="1:20">
      <c r="A1366" s="1">
        <v>10765</v>
      </c>
      <c r="B1366" s="2">
        <v>65</v>
      </c>
      <c r="C1366" s="2">
        <v>21.05</v>
      </c>
      <c r="D1366" s="2">
        <v>80</v>
      </c>
      <c r="E1366" s="3">
        <v>0.1</v>
      </c>
      <c r="F1366" s="2" t="str">
        <f>IFERROR(VLOOKUP(VLOOKUP(A1366,'[1]Sales Order'!A:B,2,FALSE),[1]Customer!A:C,3,FALSE),"Not Specified")</f>
        <v>Veronesi, Giorgio</v>
      </c>
      <c r="G1366" s="2" t="str">
        <f t="shared" si="42"/>
        <v>Veronesi Giorgio</v>
      </c>
      <c r="H1366" s="8" t="str">
        <f>IFERROR(VLOOKUP(VLOOKUP(A1366,'[1]Sales Order'!A:C,3,FALSE),[1]Employee!A:E,5,FALSE)&amp;" "&amp;VLOOKUP(VLOOKUP(A1366,'[1]Sales Order'!A:C,3,FALSE),[1]Employee!A:C,3,FALSE)&amp;" "&amp;VLOOKUP(VLOOKUP(A1366,'[1]Sales Order'!A:C,3,FALSE),[1]Employee!A:B,2,FALSE),"Not Specified")</f>
        <v>Ms. Judy Lew</v>
      </c>
      <c r="I1366" t="str">
        <f>IFERROR(VLOOKUP(VLOOKUP(A1366,'[1]Sales Order'!A:C,3,FALSE),[1]Employee!A:J,10,FALSE),"Not Specified")</f>
        <v>WA</v>
      </c>
      <c r="J1366" t="str">
        <f>VLOOKUP(B1366,[1]Product!A:B,2,FALSE)</f>
        <v>Product XYWBZ</v>
      </c>
      <c r="K1366" t="str">
        <f>VLOOKUP(VLOOKUP(B1366,[1]Product!A:D,4,FALSE),[1]Category!A:B,2,FALSE)</f>
        <v>Condiments</v>
      </c>
      <c r="L1366" s="10">
        <f>IFERROR(VLOOKUP(A1366,'[1]Sales Order'!A:D,4,FALSE),"")</f>
        <v>39420</v>
      </c>
      <c r="M1366" s="10">
        <f>IFERROR(VLOOKUP(A1366,'[1]Sales Order'!A:F,6,FALSE),"")</f>
        <v>39425</v>
      </c>
      <c r="N1366" t="str">
        <f>IFERROR(VLOOKUP(VLOOKUP(A1366,'[1]Sales Order'!A:G,7,FALSE),[1]Shipper!A:B,2,FALSE),"Not Specified")</f>
        <v>Shipper ZHISN</v>
      </c>
      <c r="O1366" t="str">
        <f>IFERROR(VLOOKUP(A1366,'[1]Sales Order'!A:I,9,FALSE),"Not Specified")</f>
        <v>Ship to 63-A</v>
      </c>
      <c r="P1366" t="str">
        <f>IFERROR(VLOOKUP(A1366,'[1]Sales Order'!A:N,14,FALSE),"Not Specified")</f>
        <v>Germany</v>
      </c>
      <c r="Q1366" t="str">
        <f>VLOOKUP(VLOOKUP(B1366,[1]Product!A:C,3,FALSE),[1]Supplier!A:B,2,FALSE)</f>
        <v>Supplier VHQZD</v>
      </c>
      <c r="R1366" t="str">
        <f>VLOOKUP(VLOOKUP(B1366,[1]Product!A:C,3,FALSE),[1]Supplier!A:I,9,FALSE)</f>
        <v>USA</v>
      </c>
      <c r="S1366" t="str">
        <f>IFERROR(IF(VLOOKUP(A1366,'[1]Sales Order'!A:H,8,FALSE)&gt;100,"High Freight","Low Freight"),"Not Specified")</f>
        <v>Low Freight</v>
      </c>
      <c r="T1366">
        <f t="shared" si="43"/>
        <v>1515.6000000000001</v>
      </c>
    </row>
    <row r="1367" spans="1:20">
      <c r="A1367" s="1">
        <v>10766</v>
      </c>
      <c r="B1367" s="2">
        <v>2</v>
      </c>
      <c r="C1367" s="2">
        <v>19</v>
      </c>
      <c r="D1367" s="2">
        <v>40</v>
      </c>
      <c r="E1367" s="3">
        <v>0</v>
      </c>
      <c r="F1367" s="2" t="str">
        <f>IFERROR(VLOOKUP(VLOOKUP(A1367,'[1]Sales Order'!A:B,2,FALSE),[1]Customer!A:C,3,FALSE),"Not Specified")</f>
        <v>Marinova, Nadejda</v>
      </c>
      <c r="G1367" s="2" t="str">
        <f t="shared" si="42"/>
        <v>Marinova Nadejda</v>
      </c>
      <c r="H1367" s="8" t="str">
        <f>IFERROR(VLOOKUP(VLOOKUP(A1367,'[1]Sales Order'!A:C,3,FALSE),[1]Employee!A:E,5,FALSE)&amp;" "&amp;VLOOKUP(VLOOKUP(A1367,'[1]Sales Order'!A:C,3,FALSE),[1]Employee!A:C,3,FALSE)&amp;" "&amp;VLOOKUP(VLOOKUP(A1367,'[1]Sales Order'!A:C,3,FALSE),[1]Employee!A:B,2,FALSE),"Not Specified")</f>
        <v>Mrs. Yael Peled</v>
      </c>
      <c r="I1367" t="str">
        <f>IFERROR(VLOOKUP(VLOOKUP(A1367,'[1]Sales Order'!A:C,3,FALSE),[1]Employee!A:J,10,FALSE),"Not Specified")</f>
        <v>WA</v>
      </c>
      <c r="J1367" t="str">
        <f>VLOOKUP(B1367,[1]Product!A:B,2,FALSE)</f>
        <v>Product RECZE</v>
      </c>
      <c r="K1367" t="str">
        <f>VLOOKUP(VLOOKUP(B1367,[1]Product!A:D,4,FALSE),[1]Category!A:B,2,FALSE)</f>
        <v>Beverages</v>
      </c>
      <c r="L1367" s="10">
        <f>IFERROR(VLOOKUP(A1367,'[1]Sales Order'!A:D,4,FALSE),"")</f>
        <v>39421</v>
      </c>
      <c r="M1367" s="10">
        <f>IFERROR(VLOOKUP(A1367,'[1]Sales Order'!A:F,6,FALSE),"")</f>
        <v>39425</v>
      </c>
      <c r="N1367" t="str">
        <f>IFERROR(VLOOKUP(VLOOKUP(A1367,'[1]Sales Order'!A:G,7,FALSE),[1]Shipper!A:B,2,FALSE),"Not Specified")</f>
        <v>Shipper GVSUA</v>
      </c>
      <c r="O1367" t="str">
        <f>IFERROR(VLOOKUP(A1367,'[1]Sales Order'!A:I,9,FALSE),"Not Specified")</f>
        <v>Ship to 56-C</v>
      </c>
      <c r="P1367" t="str">
        <f>IFERROR(VLOOKUP(A1367,'[1]Sales Order'!A:N,14,FALSE),"Not Specified")</f>
        <v>Germany</v>
      </c>
      <c r="Q1367" t="str">
        <f>VLOOKUP(VLOOKUP(B1367,[1]Product!A:C,3,FALSE),[1]Supplier!A:B,2,FALSE)</f>
        <v>Supplier SWRXU</v>
      </c>
      <c r="R1367" t="str">
        <f>VLOOKUP(VLOOKUP(B1367,[1]Product!A:C,3,FALSE),[1]Supplier!A:I,9,FALSE)</f>
        <v>UK</v>
      </c>
      <c r="S1367" t="str">
        <f>IFERROR(IF(VLOOKUP(A1367,'[1]Sales Order'!A:H,8,FALSE)&gt;100,"High Freight","Low Freight"),"Not Specified")</f>
        <v>High Freight</v>
      </c>
      <c r="T1367">
        <f t="shared" si="43"/>
        <v>760</v>
      </c>
    </row>
    <row r="1368" spans="1:20">
      <c r="A1368" s="1">
        <v>10766</v>
      </c>
      <c r="B1368" s="2">
        <v>7</v>
      </c>
      <c r="C1368" s="2">
        <v>30</v>
      </c>
      <c r="D1368" s="2">
        <v>35</v>
      </c>
      <c r="E1368" s="3">
        <v>0</v>
      </c>
      <c r="F1368" s="2" t="str">
        <f>IFERROR(VLOOKUP(VLOOKUP(A1368,'[1]Sales Order'!A:B,2,FALSE),[1]Customer!A:C,3,FALSE),"Not Specified")</f>
        <v>Marinova, Nadejda</v>
      </c>
      <c r="G1368" s="2" t="str">
        <f t="shared" si="42"/>
        <v>Marinova Nadejda</v>
      </c>
      <c r="H1368" s="8" t="str">
        <f>IFERROR(VLOOKUP(VLOOKUP(A1368,'[1]Sales Order'!A:C,3,FALSE),[1]Employee!A:E,5,FALSE)&amp;" "&amp;VLOOKUP(VLOOKUP(A1368,'[1]Sales Order'!A:C,3,FALSE),[1]Employee!A:C,3,FALSE)&amp;" "&amp;VLOOKUP(VLOOKUP(A1368,'[1]Sales Order'!A:C,3,FALSE),[1]Employee!A:B,2,FALSE),"Not Specified")</f>
        <v>Mrs. Yael Peled</v>
      </c>
      <c r="I1368" t="str">
        <f>IFERROR(VLOOKUP(VLOOKUP(A1368,'[1]Sales Order'!A:C,3,FALSE),[1]Employee!A:J,10,FALSE),"Not Specified")</f>
        <v>WA</v>
      </c>
      <c r="J1368" t="str">
        <f>VLOOKUP(B1368,[1]Product!A:B,2,FALSE)</f>
        <v>Product HMLNI</v>
      </c>
      <c r="K1368" t="str">
        <f>VLOOKUP(VLOOKUP(B1368,[1]Product!A:D,4,FALSE),[1]Category!A:B,2,FALSE)</f>
        <v>Produce</v>
      </c>
      <c r="L1368" s="10">
        <f>IFERROR(VLOOKUP(A1368,'[1]Sales Order'!A:D,4,FALSE),"")</f>
        <v>39421</v>
      </c>
      <c r="M1368" s="10">
        <f>IFERROR(VLOOKUP(A1368,'[1]Sales Order'!A:F,6,FALSE),"")</f>
        <v>39425</v>
      </c>
      <c r="N1368" t="str">
        <f>IFERROR(VLOOKUP(VLOOKUP(A1368,'[1]Sales Order'!A:G,7,FALSE),[1]Shipper!A:B,2,FALSE),"Not Specified")</f>
        <v>Shipper GVSUA</v>
      </c>
      <c r="O1368" t="str">
        <f>IFERROR(VLOOKUP(A1368,'[1]Sales Order'!A:I,9,FALSE),"Not Specified")</f>
        <v>Ship to 56-C</v>
      </c>
      <c r="P1368" t="str">
        <f>IFERROR(VLOOKUP(A1368,'[1]Sales Order'!A:N,14,FALSE),"Not Specified")</f>
        <v>Germany</v>
      </c>
      <c r="Q1368" t="str">
        <f>VLOOKUP(VLOOKUP(B1368,[1]Product!A:C,3,FALSE),[1]Supplier!A:B,2,FALSE)</f>
        <v>Supplier STUAZ</v>
      </c>
      <c r="R1368" t="str">
        <f>VLOOKUP(VLOOKUP(B1368,[1]Product!A:C,3,FALSE),[1]Supplier!A:I,9,FALSE)</f>
        <v>USA</v>
      </c>
      <c r="S1368" t="str">
        <f>IFERROR(IF(VLOOKUP(A1368,'[1]Sales Order'!A:H,8,FALSE)&gt;100,"High Freight","Low Freight"),"Not Specified")</f>
        <v>High Freight</v>
      </c>
      <c r="T1368">
        <f t="shared" si="43"/>
        <v>1050</v>
      </c>
    </row>
    <row r="1369" spans="1:20">
      <c r="A1369" s="1">
        <v>10766</v>
      </c>
      <c r="B1369" s="2">
        <v>68</v>
      </c>
      <c r="C1369" s="2">
        <v>12.5</v>
      </c>
      <c r="D1369" s="2">
        <v>40</v>
      </c>
      <c r="E1369" s="3">
        <v>0</v>
      </c>
      <c r="F1369" s="2" t="str">
        <f>IFERROR(VLOOKUP(VLOOKUP(A1369,'[1]Sales Order'!A:B,2,FALSE),[1]Customer!A:C,3,FALSE),"Not Specified")</f>
        <v>Marinova, Nadejda</v>
      </c>
      <c r="G1369" s="2" t="str">
        <f t="shared" si="42"/>
        <v>Marinova Nadejda</v>
      </c>
      <c r="H1369" s="8" t="str">
        <f>IFERROR(VLOOKUP(VLOOKUP(A1369,'[1]Sales Order'!A:C,3,FALSE),[1]Employee!A:E,5,FALSE)&amp;" "&amp;VLOOKUP(VLOOKUP(A1369,'[1]Sales Order'!A:C,3,FALSE),[1]Employee!A:C,3,FALSE)&amp;" "&amp;VLOOKUP(VLOOKUP(A1369,'[1]Sales Order'!A:C,3,FALSE),[1]Employee!A:B,2,FALSE),"Not Specified")</f>
        <v>Mrs. Yael Peled</v>
      </c>
      <c r="I1369" t="str">
        <f>IFERROR(VLOOKUP(VLOOKUP(A1369,'[1]Sales Order'!A:C,3,FALSE),[1]Employee!A:J,10,FALSE),"Not Specified")</f>
        <v>WA</v>
      </c>
      <c r="J1369" t="str">
        <f>VLOOKUP(B1369,[1]Product!A:B,2,FALSE)</f>
        <v>Product TBTBL</v>
      </c>
      <c r="K1369" t="str">
        <f>VLOOKUP(VLOOKUP(B1369,[1]Product!A:D,4,FALSE),[1]Category!A:B,2,FALSE)</f>
        <v>Confections</v>
      </c>
      <c r="L1369" s="10">
        <f>IFERROR(VLOOKUP(A1369,'[1]Sales Order'!A:D,4,FALSE),"")</f>
        <v>39421</v>
      </c>
      <c r="M1369" s="10">
        <f>IFERROR(VLOOKUP(A1369,'[1]Sales Order'!A:F,6,FALSE),"")</f>
        <v>39425</v>
      </c>
      <c r="N1369" t="str">
        <f>IFERROR(VLOOKUP(VLOOKUP(A1369,'[1]Sales Order'!A:G,7,FALSE),[1]Shipper!A:B,2,FALSE),"Not Specified")</f>
        <v>Shipper GVSUA</v>
      </c>
      <c r="O1369" t="str">
        <f>IFERROR(VLOOKUP(A1369,'[1]Sales Order'!A:I,9,FALSE),"Not Specified")</f>
        <v>Ship to 56-C</v>
      </c>
      <c r="P1369" t="str">
        <f>IFERROR(VLOOKUP(A1369,'[1]Sales Order'!A:N,14,FALSE),"Not Specified")</f>
        <v>Germany</v>
      </c>
      <c r="Q1369" t="str">
        <f>VLOOKUP(VLOOKUP(B1369,[1]Product!A:C,3,FALSE),[1]Supplier!A:B,2,FALSE)</f>
        <v>Supplier BWGYE</v>
      </c>
      <c r="R1369" t="str">
        <f>VLOOKUP(VLOOKUP(B1369,[1]Product!A:C,3,FALSE),[1]Supplier!A:I,9,FALSE)</f>
        <v>UK</v>
      </c>
      <c r="S1369" t="str">
        <f>IFERROR(IF(VLOOKUP(A1369,'[1]Sales Order'!A:H,8,FALSE)&gt;100,"High Freight","Low Freight"),"Not Specified")</f>
        <v>High Freight</v>
      </c>
      <c r="T1369">
        <f t="shared" si="43"/>
        <v>500</v>
      </c>
    </row>
    <row r="1370" spans="1:20">
      <c r="A1370" s="1">
        <v>10767</v>
      </c>
      <c r="B1370" s="2">
        <v>42</v>
      </c>
      <c r="C1370" s="2">
        <v>14</v>
      </c>
      <c r="D1370" s="2">
        <v>2</v>
      </c>
      <c r="E1370" s="3">
        <v>0</v>
      </c>
      <c r="F1370" s="2" t="str">
        <f>IFERROR(VLOOKUP(VLOOKUP(A1370,'[1]Sales Order'!A:B,2,FALSE),[1]Customer!A:C,3,FALSE),"Not Specified")</f>
        <v>Gulbis, Katrin</v>
      </c>
      <c r="G1370" s="2" t="str">
        <f t="shared" si="42"/>
        <v>Gulbis Katrin</v>
      </c>
      <c r="H1370" s="8" t="str">
        <f>IFERROR(VLOOKUP(VLOOKUP(A1370,'[1]Sales Order'!A:C,3,FALSE),[1]Employee!A:E,5,FALSE)&amp;" "&amp;VLOOKUP(VLOOKUP(A1370,'[1]Sales Order'!A:C,3,FALSE),[1]Employee!A:C,3,FALSE)&amp;" "&amp;VLOOKUP(VLOOKUP(A1370,'[1]Sales Order'!A:C,3,FALSE),[1]Employee!A:B,2,FALSE),"Not Specified")</f>
        <v>Mrs. Yael Peled</v>
      </c>
      <c r="I1370" t="str">
        <f>IFERROR(VLOOKUP(VLOOKUP(A1370,'[1]Sales Order'!A:C,3,FALSE),[1]Employee!A:J,10,FALSE),"Not Specified")</f>
        <v>WA</v>
      </c>
      <c r="J1370" t="str">
        <f>VLOOKUP(B1370,[1]Product!A:B,2,FALSE)</f>
        <v>Product RJVNM</v>
      </c>
      <c r="K1370" t="str">
        <f>VLOOKUP(VLOOKUP(B1370,[1]Product!A:D,4,FALSE),[1]Category!A:B,2,FALSE)</f>
        <v>Grains/Cereals</v>
      </c>
      <c r="L1370" s="10">
        <f>IFERROR(VLOOKUP(A1370,'[1]Sales Order'!A:D,4,FALSE),"")</f>
        <v>39421</v>
      </c>
      <c r="M1370" s="10">
        <f>IFERROR(VLOOKUP(A1370,'[1]Sales Order'!A:F,6,FALSE),"")</f>
        <v>39431</v>
      </c>
      <c r="N1370" t="str">
        <f>IFERROR(VLOOKUP(VLOOKUP(A1370,'[1]Sales Order'!A:G,7,FALSE),[1]Shipper!A:B,2,FALSE),"Not Specified")</f>
        <v>Shipper ZHISN</v>
      </c>
      <c r="O1370" t="str">
        <f>IFERROR(VLOOKUP(A1370,'[1]Sales Order'!A:I,9,FALSE),"Not Specified")</f>
        <v>Ship to 76-B</v>
      </c>
      <c r="P1370" t="str">
        <f>IFERROR(VLOOKUP(A1370,'[1]Sales Order'!A:N,14,FALSE),"Not Specified")</f>
        <v>Belgium</v>
      </c>
      <c r="Q1370" t="str">
        <f>VLOOKUP(VLOOKUP(B1370,[1]Product!A:C,3,FALSE),[1]Supplier!A:B,2,FALSE)</f>
        <v>Supplier CIYNM</v>
      </c>
      <c r="R1370" t="str">
        <f>VLOOKUP(VLOOKUP(B1370,[1]Product!A:C,3,FALSE),[1]Supplier!A:I,9,FALSE)</f>
        <v>Singapore</v>
      </c>
      <c r="S1370" t="str">
        <f>IFERROR(IF(VLOOKUP(A1370,'[1]Sales Order'!A:H,8,FALSE)&gt;100,"High Freight","Low Freight"),"Not Specified")</f>
        <v>Low Freight</v>
      </c>
      <c r="T1370">
        <f t="shared" si="43"/>
        <v>28</v>
      </c>
    </row>
    <row r="1371" spans="1:20">
      <c r="A1371" s="1">
        <v>10768</v>
      </c>
      <c r="B1371" s="2">
        <v>22</v>
      </c>
      <c r="C1371" s="2">
        <v>21</v>
      </c>
      <c r="D1371" s="2">
        <v>4</v>
      </c>
      <c r="E1371" s="3">
        <v>0</v>
      </c>
      <c r="F1371" s="2" t="str">
        <f>IFERROR(VLOOKUP(VLOOKUP(A1371,'[1]Sales Order'!A:B,2,FALSE),[1]Customer!A:C,3,FALSE),"Not Specified")</f>
        <v>Arndt, Torsten</v>
      </c>
      <c r="G1371" s="2" t="str">
        <f t="shared" si="42"/>
        <v>Arndt Torsten</v>
      </c>
      <c r="H1371" s="8" t="str">
        <f>IFERROR(VLOOKUP(VLOOKUP(A1371,'[1]Sales Order'!A:C,3,FALSE),[1]Employee!A:E,5,FALSE)&amp;" "&amp;VLOOKUP(VLOOKUP(A1371,'[1]Sales Order'!A:C,3,FALSE),[1]Employee!A:C,3,FALSE)&amp;" "&amp;VLOOKUP(VLOOKUP(A1371,'[1]Sales Order'!A:C,3,FALSE),[1]Employee!A:B,2,FALSE),"Not Specified")</f>
        <v>Ms. Judy Lew</v>
      </c>
      <c r="I1371" t="str">
        <f>IFERROR(VLOOKUP(VLOOKUP(A1371,'[1]Sales Order'!A:C,3,FALSE),[1]Employee!A:J,10,FALSE),"Not Specified")</f>
        <v>WA</v>
      </c>
      <c r="J1371" t="str">
        <f>VLOOKUP(B1371,[1]Product!A:B,2,FALSE)</f>
        <v>Product CPHFY</v>
      </c>
      <c r="K1371" t="str">
        <f>VLOOKUP(VLOOKUP(B1371,[1]Product!A:D,4,FALSE),[1]Category!A:B,2,FALSE)</f>
        <v>Grains/Cereals</v>
      </c>
      <c r="L1371" s="10">
        <f>IFERROR(VLOOKUP(A1371,'[1]Sales Order'!A:D,4,FALSE),"")</f>
        <v>39424</v>
      </c>
      <c r="M1371" s="10">
        <f>IFERROR(VLOOKUP(A1371,'[1]Sales Order'!A:F,6,FALSE),"")</f>
        <v>39431</v>
      </c>
      <c r="N1371" t="str">
        <f>IFERROR(VLOOKUP(VLOOKUP(A1371,'[1]Sales Order'!A:G,7,FALSE),[1]Shipper!A:B,2,FALSE),"Not Specified")</f>
        <v>Shipper ETYNR</v>
      </c>
      <c r="O1371" t="str">
        <f>IFERROR(VLOOKUP(A1371,'[1]Sales Order'!A:I,9,FALSE),"Not Specified")</f>
        <v>Ship to 4-B</v>
      </c>
      <c r="P1371" t="str">
        <f>IFERROR(VLOOKUP(A1371,'[1]Sales Order'!A:N,14,FALSE),"Not Specified")</f>
        <v>UK</v>
      </c>
      <c r="Q1371" t="str">
        <f>VLOOKUP(VLOOKUP(B1371,[1]Product!A:C,3,FALSE),[1]Supplier!A:B,2,FALSE)</f>
        <v>Supplier QQYEU</v>
      </c>
      <c r="R1371" t="str">
        <f>VLOOKUP(VLOOKUP(B1371,[1]Product!A:C,3,FALSE),[1]Supplier!A:I,9,FALSE)</f>
        <v>Sweden</v>
      </c>
      <c r="S1371" t="str">
        <f>IFERROR(IF(VLOOKUP(A1371,'[1]Sales Order'!A:H,8,FALSE)&gt;100,"High Freight","Low Freight"),"Not Specified")</f>
        <v>High Freight</v>
      </c>
      <c r="T1371">
        <f t="shared" si="43"/>
        <v>84</v>
      </c>
    </row>
    <row r="1372" spans="1:20">
      <c r="A1372" s="1">
        <v>10768</v>
      </c>
      <c r="B1372" s="2">
        <v>31</v>
      </c>
      <c r="C1372" s="2">
        <v>12.5</v>
      </c>
      <c r="D1372" s="2">
        <v>50</v>
      </c>
      <c r="E1372" s="3">
        <v>0</v>
      </c>
      <c r="F1372" s="2" t="str">
        <f>IFERROR(VLOOKUP(VLOOKUP(A1372,'[1]Sales Order'!A:B,2,FALSE),[1]Customer!A:C,3,FALSE),"Not Specified")</f>
        <v>Arndt, Torsten</v>
      </c>
      <c r="G1372" s="2" t="str">
        <f t="shared" si="42"/>
        <v>Arndt Torsten</v>
      </c>
      <c r="H1372" s="8" t="str">
        <f>IFERROR(VLOOKUP(VLOOKUP(A1372,'[1]Sales Order'!A:C,3,FALSE),[1]Employee!A:E,5,FALSE)&amp;" "&amp;VLOOKUP(VLOOKUP(A1372,'[1]Sales Order'!A:C,3,FALSE),[1]Employee!A:C,3,FALSE)&amp;" "&amp;VLOOKUP(VLOOKUP(A1372,'[1]Sales Order'!A:C,3,FALSE),[1]Employee!A:B,2,FALSE),"Not Specified")</f>
        <v>Ms. Judy Lew</v>
      </c>
      <c r="I1372" t="str">
        <f>IFERROR(VLOOKUP(VLOOKUP(A1372,'[1]Sales Order'!A:C,3,FALSE),[1]Employee!A:J,10,FALSE),"Not Specified")</f>
        <v>WA</v>
      </c>
      <c r="J1372" t="str">
        <f>VLOOKUP(B1372,[1]Product!A:B,2,FALSE)</f>
        <v>Product XWOXC</v>
      </c>
      <c r="K1372" t="str">
        <f>VLOOKUP(VLOOKUP(B1372,[1]Product!A:D,4,FALSE),[1]Category!A:B,2,FALSE)</f>
        <v>Dairy Product</v>
      </c>
      <c r="L1372" s="10">
        <f>IFERROR(VLOOKUP(A1372,'[1]Sales Order'!A:D,4,FALSE),"")</f>
        <v>39424</v>
      </c>
      <c r="M1372" s="10">
        <f>IFERROR(VLOOKUP(A1372,'[1]Sales Order'!A:F,6,FALSE),"")</f>
        <v>39431</v>
      </c>
      <c r="N1372" t="str">
        <f>IFERROR(VLOOKUP(VLOOKUP(A1372,'[1]Sales Order'!A:G,7,FALSE),[1]Shipper!A:B,2,FALSE),"Not Specified")</f>
        <v>Shipper ETYNR</v>
      </c>
      <c r="O1372" t="str">
        <f>IFERROR(VLOOKUP(A1372,'[1]Sales Order'!A:I,9,FALSE),"Not Specified")</f>
        <v>Ship to 4-B</v>
      </c>
      <c r="P1372" t="str">
        <f>IFERROR(VLOOKUP(A1372,'[1]Sales Order'!A:N,14,FALSE),"Not Specified")</f>
        <v>UK</v>
      </c>
      <c r="Q1372" t="str">
        <f>VLOOKUP(VLOOKUP(B1372,[1]Product!A:C,3,FALSE),[1]Supplier!A:B,2,FALSE)</f>
        <v>Supplier KEREV</v>
      </c>
      <c r="R1372" t="str">
        <f>VLOOKUP(VLOOKUP(B1372,[1]Product!A:C,3,FALSE),[1]Supplier!A:I,9,FALSE)</f>
        <v>Italy</v>
      </c>
      <c r="S1372" t="str">
        <f>IFERROR(IF(VLOOKUP(A1372,'[1]Sales Order'!A:H,8,FALSE)&gt;100,"High Freight","Low Freight"),"Not Specified")</f>
        <v>High Freight</v>
      </c>
      <c r="T1372">
        <f t="shared" si="43"/>
        <v>625</v>
      </c>
    </row>
    <row r="1373" spans="1:20">
      <c r="A1373" s="1">
        <v>10768</v>
      </c>
      <c r="B1373" s="2">
        <v>60</v>
      </c>
      <c r="C1373" s="2">
        <v>34</v>
      </c>
      <c r="D1373" s="2">
        <v>15</v>
      </c>
      <c r="E1373" s="3">
        <v>0</v>
      </c>
      <c r="F1373" s="2" t="str">
        <f>IFERROR(VLOOKUP(VLOOKUP(A1373,'[1]Sales Order'!A:B,2,FALSE),[1]Customer!A:C,3,FALSE),"Not Specified")</f>
        <v>Arndt, Torsten</v>
      </c>
      <c r="G1373" s="2" t="str">
        <f t="shared" si="42"/>
        <v>Arndt Torsten</v>
      </c>
      <c r="H1373" s="8" t="str">
        <f>IFERROR(VLOOKUP(VLOOKUP(A1373,'[1]Sales Order'!A:C,3,FALSE),[1]Employee!A:E,5,FALSE)&amp;" "&amp;VLOOKUP(VLOOKUP(A1373,'[1]Sales Order'!A:C,3,FALSE),[1]Employee!A:C,3,FALSE)&amp;" "&amp;VLOOKUP(VLOOKUP(A1373,'[1]Sales Order'!A:C,3,FALSE),[1]Employee!A:B,2,FALSE),"Not Specified")</f>
        <v>Ms. Judy Lew</v>
      </c>
      <c r="I1373" t="str">
        <f>IFERROR(VLOOKUP(VLOOKUP(A1373,'[1]Sales Order'!A:C,3,FALSE),[1]Employee!A:J,10,FALSE),"Not Specified")</f>
        <v>WA</v>
      </c>
      <c r="J1373" t="str">
        <f>VLOOKUP(B1373,[1]Product!A:B,2,FALSE)</f>
        <v>Product WHBYK</v>
      </c>
      <c r="K1373" t="str">
        <f>VLOOKUP(VLOOKUP(B1373,[1]Product!A:D,4,FALSE),[1]Category!A:B,2,FALSE)</f>
        <v>Dairy Product</v>
      </c>
      <c r="L1373" s="10">
        <f>IFERROR(VLOOKUP(A1373,'[1]Sales Order'!A:D,4,FALSE),"")</f>
        <v>39424</v>
      </c>
      <c r="M1373" s="10">
        <f>IFERROR(VLOOKUP(A1373,'[1]Sales Order'!A:F,6,FALSE),"")</f>
        <v>39431</v>
      </c>
      <c r="N1373" t="str">
        <f>IFERROR(VLOOKUP(VLOOKUP(A1373,'[1]Sales Order'!A:G,7,FALSE),[1]Shipper!A:B,2,FALSE),"Not Specified")</f>
        <v>Shipper ETYNR</v>
      </c>
      <c r="O1373" t="str">
        <f>IFERROR(VLOOKUP(A1373,'[1]Sales Order'!A:I,9,FALSE),"Not Specified")</f>
        <v>Ship to 4-B</v>
      </c>
      <c r="P1373" t="str">
        <f>IFERROR(VLOOKUP(A1373,'[1]Sales Order'!A:N,14,FALSE),"Not Specified")</f>
        <v>UK</v>
      </c>
      <c r="Q1373" t="str">
        <f>VLOOKUP(VLOOKUP(B1373,[1]Product!A:C,3,FALSE),[1]Supplier!A:B,2,FALSE)</f>
        <v>Supplier OAVQT</v>
      </c>
      <c r="R1373" t="str">
        <f>VLOOKUP(VLOOKUP(B1373,[1]Product!A:C,3,FALSE),[1]Supplier!A:I,9,FALSE)</f>
        <v>France</v>
      </c>
      <c r="S1373" t="str">
        <f>IFERROR(IF(VLOOKUP(A1373,'[1]Sales Order'!A:H,8,FALSE)&gt;100,"High Freight","Low Freight"),"Not Specified")</f>
        <v>High Freight</v>
      </c>
      <c r="T1373">
        <f t="shared" si="43"/>
        <v>510</v>
      </c>
    </row>
    <row r="1374" spans="1:20">
      <c r="A1374" s="1">
        <v>10768</v>
      </c>
      <c r="B1374" s="2">
        <v>71</v>
      </c>
      <c r="C1374" s="2">
        <v>21.5</v>
      </c>
      <c r="D1374" s="2">
        <v>12</v>
      </c>
      <c r="E1374" s="3">
        <v>0</v>
      </c>
      <c r="F1374" s="2" t="str">
        <f>IFERROR(VLOOKUP(VLOOKUP(A1374,'[1]Sales Order'!A:B,2,FALSE),[1]Customer!A:C,3,FALSE),"Not Specified")</f>
        <v>Arndt, Torsten</v>
      </c>
      <c r="G1374" s="2" t="str">
        <f t="shared" si="42"/>
        <v>Arndt Torsten</v>
      </c>
      <c r="H1374" s="8" t="str">
        <f>IFERROR(VLOOKUP(VLOOKUP(A1374,'[1]Sales Order'!A:C,3,FALSE),[1]Employee!A:E,5,FALSE)&amp;" "&amp;VLOOKUP(VLOOKUP(A1374,'[1]Sales Order'!A:C,3,FALSE),[1]Employee!A:C,3,FALSE)&amp;" "&amp;VLOOKUP(VLOOKUP(A1374,'[1]Sales Order'!A:C,3,FALSE),[1]Employee!A:B,2,FALSE),"Not Specified")</f>
        <v>Ms. Judy Lew</v>
      </c>
      <c r="I1374" t="str">
        <f>IFERROR(VLOOKUP(VLOOKUP(A1374,'[1]Sales Order'!A:C,3,FALSE),[1]Employee!A:J,10,FALSE),"Not Specified")</f>
        <v>WA</v>
      </c>
      <c r="J1374" t="str">
        <f>VLOOKUP(B1374,[1]Product!A:B,2,FALSE)</f>
        <v>Product MYMOI</v>
      </c>
      <c r="K1374" t="str">
        <f>VLOOKUP(VLOOKUP(B1374,[1]Product!A:D,4,FALSE),[1]Category!A:B,2,FALSE)</f>
        <v>Dairy Product</v>
      </c>
      <c r="L1374" s="10">
        <f>IFERROR(VLOOKUP(A1374,'[1]Sales Order'!A:D,4,FALSE),"")</f>
        <v>39424</v>
      </c>
      <c r="M1374" s="10">
        <f>IFERROR(VLOOKUP(A1374,'[1]Sales Order'!A:F,6,FALSE),"")</f>
        <v>39431</v>
      </c>
      <c r="N1374" t="str">
        <f>IFERROR(VLOOKUP(VLOOKUP(A1374,'[1]Sales Order'!A:G,7,FALSE),[1]Shipper!A:B,2,FALSE),"Not Specified")</f>
        <v>Shipper ETYNR</v>
      </c>
      <c r="O1374" t="str">
        <f>IFERROR(VLOOKUP(A1374,'[1]Sales Order'!A:I,9,FALSE),"Not Specified")</f>
        <v>Ship to 4-B</v>
      </c>
      <c r="P1374" t="str">
        <f>IFERROR(VLOOKUP(A1374,'[1]Sales Order'!A:N,14,FALSE),"Not Specified")</f>
        <v>UK</v>
      </c>
      <c r="Q1374" t="str">
        <f>VLOOKUP(VLOOKUP(B1374,[1]Product!A:C,3,FALSE),[1]Supplier!A:B,2,FALSE)</f>
        <v>Supplier NZLIF</v>
      </c>
      <c r="R1374" t="str">
        <f>VLOOKUP(VLOOKUP(B1374,[1]Product!A:C,3,FALSE),[1]Supplier!A:I,9,FALSE)</f>
        <v>Norway</v>
      </c>
      <c r="S1374" t="str">
        <f>IFERROR(IF(VLOOKUP(A1374,'[1]Sales Order'!A:H,8,FALSE)&gt;100,"High Freight","Low Freight"),"Not Specified")</f>
        <v>High Freight</v>
      </c>
      <c r="T1374">
        <f t="shared" si="43"/>
        <v>258</v>
      </c>
    </row>
    <row r="1375" spans="1:20">
      <c r="A1375" s="1">
        <v>10769</v>
      </c>
      <c r="B1375" s="2">
        <v>41</v>
      </c>
      <c r="C1375" s="2">
        <v>9.65</v>
      </c>
      <c r="D1375" s="2">
        <v>30</v>
      </c>
      <c r="E1375" s="3">
        <v>0.05</v>
      </c>
      <c r="F1375" s="2" t="str">
        <f>IFERROR(VLOOKUP(VLOOKUP(A1375,'[1]Sales Order'!A:B,2,FALSE),[1]Customer!A:C,3,FALSE),"Not Specified")</f>
        <v>Fonteneau, Karl</v>
      </c>
      <c r="G1375" s="2" t="str">
        <f t="shared" si="42"/>
        <v>Fonteneau Karl</v>
      </c>
      <c r="H1375" s="8" t="str">
        <f>IFERROR(VLOOKUP(VLOOKUP(A1375,'[1]Sales Order'!A:C,3,FALSE),[1]Employee!A:E,5,FALSE)&amp;" "&amp;VLOOKUP(VLOOKUP(A1375,'[1]Sales Order'!A:C,3,FALSE),[1]Employee!A:C,3,FALSE)&amp;" "&amp;VLOOKUP(VLOOKUP(A1375,'[1]Sales Order'!A:C,3,FALSE),[1]Employee!A:B,2,FALSE),"Not Specified")</f>
        <v>Ms. Judy Lew</v>
      </c>
      <c r="I1375" t="str">
        <f>IFERROR(VLOOKUP(VLOOKUP(A1375,'[1]Sales Order'!A:C,3,FALSE),[1]Employee!A:J,10,FALSE),"Not Specified")</f>
        <v>WA</v>
      </c>
      <c r="J1375" t="str">
        <f>VLOOKUP(B1375,[1]Product!A:B,2,FALSE)</f>
        <v>Product TTEEX</v>
      </c>
      <c r="K1375" t="str">
        <f>VLOOKUP(VLOOKUP(B1375,[1]Product!A:D,4,FALSE),[1]Category!A:B,2,FALSE)</f>
        <v>Seafood</v>
      </c>
      <c r="L1375" s="10">
        <f>IFERROR(VLOOKUP(A1375,'[1]Sales Order'!A:D,4,FALSE),"")</f>
        <v>39424</v>
      </c>
      <c r="M1375" s="10">
        <f>IFERROR(VLOOKUP(A1375,'[1]Sales Order'!A:F,6,FALSE),"")</f>
        <v>39428</v>
      </c>
      <c r="N1375" t="str">
        <f>IFERROR(VLOOKUP(VLOOKUP(A1375,'[1]Sales Order'!A:G,7,FALSE),[1]Shipper!A:B,2,FALSE),"Not Specified")</f>
        <v>Shipper GVSUA</v>
      </c>
      <c r="O1375" t="str">
        <f>IFERROR(VLOOKUP(A1375,'[1]Sales Order'!A:I,9,FALSE),"Not Specified")</f>
        <v>Ship to 83-C</v>
      </c>
      <c r="P1375" t="str">
        <f>IFERROR(VLOOKUP(A1375,'[1]Sales Order'!A:N,14,FALSE),"Not Specified")</f>
        <v>Denmark</v>
      </c>
      <c r="Q1375" t="str">
        <f>VLOOKUP(VLOOKUP(B1375,[1]Product!A:C,3,FALSE),[1]Supplier!A:B,2,FALSE)</f>
        <v>Supplier JDNUG</v>
      </c>
      <c r="R1375" t="str">
        <f>VLOOKUP(VLOOKUP(B1375,[1]Product!A:C,3,FALSE),[1]Supplier!A:I,9,FALSE)</f>
        <v>USA</v>
      </c>
      <c r="S1375" t="str">
        <f>IFERROR(IF(VLOOKUP(A1375,'[1]Sales Order'!A:H,8,FALSE)&gt;100,"High Freight","Low Freight"),"Not Specified")</f>
        <v>Low Freight</v>
      </c>
      <c r="T1375">
        <f t="shared" si="43"/>
        <v>275.02499999999998</v>
      </c>
    </row>
    <row r="1376" spans="1:20">
      <c r="A1376" s="1">
        <v>10769</v>
      </c>
      <c r="B1376" s="2">
        <v>52</v>
      </c>
      <c r="C1376" s="2">
        <v>7</v>
      </c>
      <c r="D1376" s="2">
        <v>15</v>
      </c>
      <c r="E1376" s="3">
        <v>0.05</v>
      </c>
      <c r="F1376" s="2" t="str">
        <f>IFERROR(VLOOKUP(VLOOKUP(A1376,'[1]Sales Order'!A:B,2,FALSE),[1]Customer!A:C,3,FALSE),"Not Specified")</f>
        <v>Fonteneau, Karl</v>
      </c>
      <c r="G1376" s="2" t="str">
        <f t="shared" si="42"/>
        <v>Fonteneau Karl</v>
      </c>
      <c r="H1376" s="8" t="str">
        <f>IFERROR(VLOOKUP(VLOOKUP(A1376,'[1]Sales Order'!A:C,3,FALSE),[1]Employee!A:E,5,FALSE)&amp;" "&amp;VLOOKUP(VLOOKUP(A1376,'[1]Sales Order'!A:C,3,FALSE),[1]Employee!A:C,3,FALSE)&amp;" "&amp;VLOOKUP(VLOOKUP(A1376,'[1]Sales Order'!A:C,3,FALSE),[1]Employee!A:B,2,FALSE),"Not Specified")</f>
        <v>Ms. Judy Lew</v>
      </c>
      <c r="I1376" t="str">
        <f>IFERROR(VLOOKUP(VLOOKUP(A1376,'[1]Sales Order'!A:C,3,FALSE),[1]Employee!A:J,10,FALSE),"Not Specified")</f>
        <v>WA</v>
      </c>
      <c r="J1376" t="str">
        <f>VLOOKUP(B1376,[1]Product!A:B,2,FALSE)</f>
        <v>Product QSRXF</v>
      </c>
      <c r="K1376" t="str">
        <f>VLOOKUP(VLOOKUP(B1376,[1]Product!A:D,4,FALSE),[1]Category!A:B,2,FALSE)</f>
        <v>Grains/Cereals</v>
      </c>
      <c r="L1376" s="10">
        <f>IFERROR(VLOOKUP(A1376,'[1]Sales Order'!A:D,4,FALSE),"")</f>
        <v>39424</v>
      </c>
      <c r="M1376" s="10">
        <f>IFERROR(VLOOKUP(A1376,'[1]Sales Order'!A:F,6,FALSE),"")</f>
        <v>39428</v>
      </c>
      <c r="N1376" t="str">
        <f>IFERROR(VLOOKUP(VLOOKUP(A1376,'[1]Sales Order'!A:G,7,FALSE),[1]Shipper!A:B,2,FALSE),"Not Specified")</f>
        <v>Shipper GVSUA</v>
      </c>
      <c r="O1376" t="str">
        <f>IFERROR(VLOOKUP(A1376,'[1]Sales Order'!A:I,9,FALSE),"Not Specified")</f>
        <v>Ship to 83-C</v>
      </c>
      <c r="P1376" t="str">
        <f>IFERROR(VLOOKUP(A1376,'[1]Sales Order'!A:N,14,FALSE),"Not Specified")</f>
        <v>Denmark</v>
      </c>
      <c r="Q1376" t="str">
        <f>VLOOKUP(VLOOKUP(B1376,[1]Product!A:C,3,FALSE),[1]Supplier!A:B,2,FALSE)</f>
        <v>Supplier JNNES</v>
      </c>
      <c r="R1376" t="str">
        <f>VLOOKUP(VLOOKUP(B1376,[1]Product!A:C,3,FALSE),[1]Supplier!A:I,9,FALSE)</f>
        <v>Australia</v>
      </c>
      <c r="S1376" t="str">
        <f>IFERROR(IF(VLOOKUP(A1376,'[1]Sales Order'!A:H,8,FALSE)&gt;100,"High Freight","Low Freight"),"Not Specified")</f>
        <v>Low Freight</v>
      </c>
      <c r="T1376">
        <f t="shared" si="43"/>
        <v>99.75</v>
      </c>
    </row>
    <row r="1377" spans="1:20">
      <c r="A1377" s="1">
        <v>10769</v>
      </c>
      <c r="B1377" s="2">
        <v>61</v>
      </c>
      <c r="C1377" s="2">
        <v>28.5</v>
      </c>
      <c r="D1377" s="2">
        <v>20</v>
      </c>
      <c r="E1377" s="3">
        <v>0</v>
      </c>
      <c r="F1377" s="2" t="str">
        <f>IFERROR(VLOOKUP(VLOOKUP(A1377,'[1]Sales Order'!A:B,2,FALSE),[1]Customer!A:C,3,FALSE),"Not Specified")</f>
        <v>Fonteneau, Karl</v>
      </c>
      <c r="G1377" s="2" t="str">
        <f t="shared" si="42"/>
        <v>Fonteneau Karl</v>
      </c>
      <c r="H1377" s="8" t="str">
        <f>IFERROR(VLOOKUP(VLOOKUP(A1377,'[1]Sales Order'!A:C,3,FALSE),[1]Employee!A:E,5,FALSE)&amp;" "&amp;VLOOKUP(VLOOKUP(A1377,'[1]Sales Order'!A:C,3,FALSE),[1]Employee!A:C,3,FALSE)&amp;" "&amp;VLOOKUP(VLOOKUP(A1377,'[1]Sales Order'!A:C,3,FALSE),[1]Employee!A:B,2,FALSE),"Not Specified")</f>
        <v>Ms. Judy Lew</v>
      </c>
      <c r="I1377" t="str">
        <f>IFERROR(VLOOKUP(VLOOKUP(A1377,'[1]Sales Order'!A:C,3,FALSE),[1]Employee!A:J,10,FALSE),"Not Specified")</f>
        <v>WA</v>
      </c>
      <c r="J1377" t="str">
        <f>VLOOKUP(B1377,[1]Product!A:B,2,FALSE)</f>
        <v>Product XYZPE</v>
      </c>
      <c r="K1377" t="str">
        <f>VLOOKUP(VLOOKUP(B1377,[1]Product!A:D,4,FALSE),[1]Category!A:B,2,FALSE)</f>
        <v>Condiments</v>
      </c>
      <c r="L1377" s="10">
        <f>IFERROR(VLOOKUP(A1377,'[1]Sales Order'!A:D,4,FALSE),"")</f>
        <v>39424</v>
      </c>
      <c r="M1377" s="10">
        <f>IFERROR(VLOOKUP(A1377,'[1]Sales Order'!A:F,6,FALSE),"")</f>
        <v>39428</v>
      </c>
      <c r="N1377" t="str">
        <f>IFERROR(VLOOKUP(VLOOKUP(A1377,'[1]Sales Order'!A:G,7,FALSE),[1]Shipper!A:B,2,FALSE),"Not Specified")</f>
        <v>Shipper GVSUA</v>
      </c>
      <c r="O1377" t="str">
        <f>IFERROR(VLOOKUP(A1377,'[1]Sales Order'!A:I,9,FALSE),"Not Specified")</f>
        <v>Ship to 83-C</v>
      </c>
      <c r="P1377" t="str">
        <f>IFERROR(VLOOKUP(A1377,'[1]Sales Order'!A:N,14,FALSE),"Not Specified")</f>
        <v>Denmark</v>
      </c>
      <c r="Q1377" t="str">
        <f>VLOOKUP(VLOOKUP(B1377,[1]Product!A:C,3,FALSE),[1]Supplier!A:B,2,FALSE)</f>
        <v>Supplier OGLRK</v>
      </c>
      <c r="R1377" t="str">
        <f>VLOOKUP(VLOOKUP(B1377,[1]Product!A:C,3,FALSE),[1]Supplier!A:I,9,FALSE)</f>
        <v>Canada</v>
      </c>
      <c r="S1377" t="str">
        <f>IFERROR(IF(VLOOKUP(A1377,'[1]Sales Order'!A:H,8,FALSE)&gt;100,"High Freight","Low Freight"),"Not Specified")</f>
        <v>Low Freight</v>
      </c>
      <c r="T1377">
        <f t="shared" si="43"/>
        <v>570</v>
      </c>
    </row>
    <row r="1378" spans="1:20">
      <c r="A1378" s="1">
        <v>10769</v>
      </c>
      <c r="B1378" s="2">
        <v>62</v>
      </c>
      <c r="C1378" s="2">
        <v>49.3</v>
      </c>
      <c r="D1378" s="2">
        <v>15</v>
      </c>
      <c r="E1378" s="3">
        <v>0</v>
      </c>
      <c r="F1378" s="2" t="str">
        <f>IFERROR(VLOOKUP(VLOOKUP(A1378,'[1]Sales Order'!A:B,2,FALSE),[1]Customer!A:C,3,FALSE),"Not Specified")</f>
        <v>Fonteneau, Karl</v>
      </c>
      <c r="G1378" s="2" t="str">
        <f t="shared" si="42"/>
        <v>Fonteneau Karl</v>
      </c>
      <c r="H1378" s="8" t="str">
        <f>IFERROR(VLOOKUP(VLOOKUP(A1378,'[1]Sales Order'!A:C,3,FALSE),[1]Employee!A:E,5,FALSE)&amp;" "&amp;VLOOKUP(VLOOKUP(A1378,'[1]Sales Order'!A:C,3,FALSE),[1]Employee!A:C,3,FALSE)&amp;" "&amp;VLOOKUP(VLOOKUP(A1378,'[1]Sales Order'!A:C,3,FALSE),[1]Employee!A:B,2,FALSE),"Not Specified")</f>
        <v>Ms. Judy Lew</v>
      </c>
      <c r="I1378" t="str">
        <f>IFERROR(VLOOKUP(VLOOKUP(A1378,'[1]Sales Order'!A:C,3,FALSE),[1]Employee!A:J,10,FALSE),"Not Specified")</f>
        <v>WA</v>
      </c>
      <c r="J1378" t="str">
        <f>VLOOKUP(B1378,[1]Product!A:B,2,FALSE)</f>
        <v>Product WUXYK</v>
      </c>
      <c r="K1378" t="str">
        <f>VLOOKUP(VLOOKUP(B1378,[1]Product!A:D,4,FALSE),[1]Category!A:B,2,FALSE)</f>
        <v>Confections</v>
      </c>
      <c r="L1378" s="10">
        <f>IFERROR(VLOOKUP(A1378,'[1]Sales Order'!A:D,4,FALSE),"")</f>
        <v>39424</v>
      </c>
      <c r="M1378" s="10">
        <f>IFERROR(VLOOKUP(A1378,'[1]Sales Order'!A:F,6,FALSE),"")</f>
        <v>39428</v>
      </c>
      <c r="N1378" t="str">
        <f>IFERROR(VLOOKUP(VLOOKUP(A1378,'[1]Sales Order'!A:G,7,FALSE),[1]Shipper!A:B,2,FALSE),"Not Specified")</f>
        <v>Shipper GVSUA</v>
      </c>
      <c r="O1378" t="str">
        <f>IFERROR(VLOOKUP(A1378,'[1]Sales Order'!A:I,9,FALSE),"Not Specified")</f>
        <v>Ship to 83-C</v>
      </c>
      <c r="P1378" t="str">
        <f>IFERROR(VLOOKUP(A1378,'[1]Sales Order'!A:N,14,FALSE),"Not Specified")</f>
        <v>Denmark</v>
      </c>
      <c r="Q1378" t="str">
        <f>VLOOKUP(VLOOKUP(B1378,[1]Product!A:C,3,FALSE),[1]Supplier!A:B,2,FALSE)</f>
        <v>Supplier OGLRK</v>
      </c>
      <c r="R1378" t="str">
        <f>VLOOKUP(VLOOKUP(B1378,[1]Product!A:C,3,FALSE),[1]Supplier!A:I,9,FALSE)</f>
        <v>Canada</v>
      </c>
      <c r="S1378" t="str">
        <f>IFERROR(IF(VLOOKUP(A1378,'[1]Sales Order'!A:H,8,FALSE)&gt;100,"High Freight","Low Freight"),"Not Specified")</f>
        <v>Low Freight</v>
      </c>
      <c r="T1378">
        <f t="shared" si="43"/>
        <v>739.5</v>
      </c>
    </row>
    <row r="1379" spans="1:20">
      <c r="A1379" s="1">
        <v>10770</v>
      </c>
      <c r="B1379" s="2">
        <v>11</v>
      </c>
      <c r="C1379" s="2">
        <v>21</v>
      </c>
      <c r="D1379" s="2">
        <v>15</v>
      </c>
      <c r="E1379" s="3">
        <v>0.25</v>
      </c>
      <c r="F1379" s="2" t="str">
        <f>IFERROR(VLOOKUP(VLOOKUP(A1379,'[1]Sales Order'!A:B,2,FALSE),[1]Customer!A:C,3,FALSE),"Not Specified")</f>
        <v>Cohen, Shy</v>
      </c>
      <c r="G1379" s="2" t="str">
        <f t="shared" si="42"/>
        <v>Cohen Shy</v>
      </c>
      <c r="H1379" s="8" t="str">
        <f>IFERROR(VLOOKUP(VLOOKUP(A1379,'[1]Sales Order'!A:C,3,FALSE),[1]Employee!A:E,5,FALSE)&amp;" "&amp;VLOOKUP(VLOOKUP(A1379,'[1]Sales Order'!A:C,3,FALSE),[1]Employee!A:C,3,FALSE)&amp;" "&amp;VLOOKUP(VLOOKUP(A1379,'[1]Sales Order'!A:C,3,FALSE),[1]Employee!A:B,2,FALSE),"Not Specified")</f>
        <v>Ms. Maria Cameron</v>
      </c>
      <c r="I1379" t="str">
        <f>IFERROR(VLOOKUP(VLOOKUP(A1379,'[1]Sales Order'!A:C,3,FALSE),[1]Employee!A:J,10,FALSE),"Not Specified")</f>
        <v>WA</v>
      </c>
      <c r="J1379" t="str">
        <f>VLOOKUP(B1379,[1]Product!A:B,2,FALSE)</f>
        <v>Product QMVUN</v>
      </c>
      <c r="K1379" t="str">
        <f>VLOOKUP(VLOOKUP(B1379,[1]Product!A:D,4,FALSE),[1]Category!A:B,2,FALSE)</f>
        <v>Dairy Product</v>
      </c>
      <c r="L1379" s="10">
        <f>IFERROR(VLOOKUP(A1379,'[1]Sales Order'!A:D,4,FALSE),"")</f>
        <v>39425</v>
      </c>
      <c r="M1379" s="10">
        <f>IFERROR(VLOOKUP(A1379,'[1]Sales Order'!A:F,6,FALSE),"")</f>
        <v>39433</v>
      </c>
      <c r="N1379" t="str">
        <f>IFERROR(VLOOKUP(VLOOKUP(A1379,'[1]Sales Order'!A:G,7,FALSE),[1]Shipper!A:B,2,FALSE),"Not Specified")</f>
        <v>Shipper ZHISN</v>
      </c>
      <c r="O1379" t="str">
        <f>IFERROR(VLOOKUP(A1379,'[1]Sales Order'!A:I,9,FALSE),"Not Specified")</f>
        <v>Destination JPAIY</v>
      </c>
      <c r="P1379" t="str">
        <f>IFERROR(VLOOKUP(A1379,'[1]Sales Order'!A:N,14,FALSE),"Not Specified")</f>
        <v>Brazil</v>
      </c>
      <c r="Q1379" t="str">
        <f>VLOOKUP(VLOOKUP(B1379,[1]Product!A:C,3,FALSE),[1]Supplier!A:B,2,FALSE)</f>
        <v>Supplier EQPNC</v>
      </c>
      <c r="R1379" t="str">
        <f>VLOOKUP(VLOOKUP(B1379,[1]Product!A:C,3,FALSE),[1]Supplier!A:I,9,FALSE)</f>
        <v>Spain</v>
      </c>
      <c r="S1379" t="str">
        <f>IFERROR(IF(VLOOKUP(A1379,'[1]Sales Order'!A:H,8,FALSE)&gt;100,"High Freight","Low Freight"),"Not Specified")</f>
        <v>Low Freight</v>
      </c>
      <c r="T1379">
        <f t="shared" si="43"/>
        <v>236.25</v>
      </c>
    </row>
    <row r="1380" spans="1:20">
      <c r="A1380" s="1">
        <v>10771</v>
      </c>
      <c r="B1380" s="2">
        <v>71</v>
      </c>
      <c r="C1380" s="2">
        <v>21.5</v>
      </c>
      <c r="D1380" s="2">
        <v>16</v>
      </c>
      <c r="E1380" s="3">
        <v>0</v>
      </c>
      <c r="F1380" s="2" t="str">
        <f>IFERROR(VLOOKUP(VLOOKUP(A1380,'[1]Sales Order'!A:B,2,FALSE),[1]Customer!A:C,3,FALSE),"Not Specified")</f>
        <v>Kane, John</v>
      </c>
      <c r="G1380" s="2" t="str">
        <f t="shared" si="42"/>
        <v>Kane John</v>
      </c>
      <c r="H1380" s="8" t="str">
        <f>IFERROR(VLOOKUP(VLOOKUP(A1380,'[1]Sales Order'!A:C,3,FALSE),[1]Employee!A:E,5,FALSE)&amp;" "&amp;VLOOKUP(VLOOKUP(A1380,'[1]Sales Order'!A:C,3,FALSE),[1]Employee!A:C,3,FALSE)&amp;" "&amp;VLOOKUP(VLOOKUP(A1380,'[1]Sales Order'!A:C,3,FALSE),[1]Employee!A:B,2,FALSE),"Not Specified")</f>
        <v>Ms. Zoya Dolgopyatova</v>
      </c>
      <c r="I1380">
        <f>IFERROR(VLOOKUP(VLOOKUP(A1380,'[1]Sales Order'!A:C,3,FALSE),[1]Employee!A:J,10,FALSE),"Not Specified")</f>
        <v>0</v>
      </c>
      <c r="J1380" t="str">
        <f>VLOOKUP(B1380,[1]Product!A:B,2,FALSE)</f>
        <v>Product MYMOI</v>
      </c>
      <c r="K1380" t="str">
        <f>VLOOKUP(VLOOKUP(B1380,[1]Product!A:D,4,FALSE),[1]Category!A:B,2,FALSE)</f>
        <v>Dairy Product</v>
      </c>
      <c r="L1380" s="10">
        <f>IFERROR(VLOOKUP(A1380,'[1]Sales Order'!A:D,4,FALSE),"")</f>
        <v>39426</v>
      </c>
      <c r="M1380" s="10">
        <f>IFERROR(VLOOKUP(A1380,'[1]Sales Order'!A:F,6,FALSE),"")</f>
        <v>39449</v>
      </c>
      <c r="N1380" t="str">
        <f>IFERROR(VLOOKUP(VLOOKUP(A1380,'[1]Sales Order'!A:G,7,FALSE),[1]Shipper!A:B,2,FALSE),"Not Specified")</f>
        <v>Shipper ETYNR</v>
      </c>
      <c r="O1380" t="str">
        <f>IFERROR(VLOOKUP(A1380,'[1]Sales Order'!A:I,9,FALSE),"Not Specified")</f>
        <v>Destination CUVPF</v>
      </c>
      <c r="P1380" t="str">
        <f>IFERROR(VLOOKUP(A1380,'[1]Sales Order'!A:N,14,FALSE),"Not Specified")</f>
        <v>Austria</v>
      </c>
      <c r="Q1380" t="str">
        <f>VLOOKUP(VLOOKUP(B1380,[1]Product!A:C,3,FALSE),[1]Supplier!A:B,2,FALSE)</f>
        <v>Supplier NZLIF</v>
      </c>
      <c r="R1380" t="str">
        <f>VLOOKUP(VLOOKUP(B1380,[1]Product!A:C,3,FALSE),[1]Supplier!A:I,9,FALSE)</f>
        <v>Norway</v>
      </c>
      <c r="S1380" t="str">
        <f>IFERROR(IF(VLOOKUP(A1380,'[1]Sales Order'!A:H,8,FALSE)&gt;100,"High Freight","Low Freight"),"Not Specified")</f>
        <v>Low Freight</v>
      </c>
      <c r="T1380">
        <f t="shared" si="43"/>
        <v>344</v>
      </c>
    </row>
    <row r="1381" spans="1:20">
      <c r="A1381" s="1">
        <v>10772</v>
      </c>
      <c r="B1381" s="2">
        <v>29</v>
      </c>
      <c r="C1381" s="2">
        <v>123.79</v>
      </c>
      <c r="D1381" s="2">
        <v>18</v>
      </c>
      <c r="E1381" s="3">
        <v>0</v>
      </c>
      <c r="F1381" s="2" t="str">
        <f>IFERROR(VLOOKUP(VLOOKUP(A1381,'[1]Sales Order'!A:B,2,FALSE),[1]Customer!A:C,3,FALSE),"Not Specified")</f>
        <v>Louverdis, George</v>
      </c>
      <c r="G1381" s="2" t="str">
        <f t="shared" si="42"/>
        <v>Louverdis George</v>
      </c>
      <c r="H1381" s="8" t="str">
        <f>IFERROR(VLOOKUP(VLOOKUP(A1381,'[1]Sales Order'!A:C,3,FALSE),[1]Employee!A:E,5,FALSE)&amp;" "&amp;VLOOKUP(VLOOKUP(A1381,'[1]Sales Order'!A:C,3,FALSE),[1]Employee!A:C,3,FALSE)&amp;" "&amp;VLOOKUP(VLOOKUP(A1381,'[1]Sales Order'!A:C,3,FALSE),[1]Employee!A:B,2,FALSE),"Not Specified")</f>
        <v>Ms. Judy Lew</v>
      </c>
      <c r="I1381" t="str">
        <f>IFERROR(VLOOKUP(VLOOKUP(A1381,'[1]Sales Order'!A:C,3,FALSE),[1]Employee!A:J,10,FALSE),"Not Specified")</f>
        <v>WA</v>
      </c>
      <c r="J1381" t="str">
        <f>VLOOKUP(B1381,[1]Product!A:B,2,FALSE)</f>
        <v>Product VJXYN</v>
      </c>
      <c r="K1381" t="str">
        <f>VLOOKUP(VLOOKUP(B1381,[1]Product!A:D,4,FALSE),[1]Category!A:B,2,FALSE)</f>
        <v>Meat/Poultry</v>
      </c>
      <c r="L1381" s="10">
        <f>IFERROR(VLOOKUP(A1381,'[1]Sales Order'!A:D,4,FALSE),"")</f>
        <v>39426</v>
      </c>
      <c r="M1381" s="10">
        <f>IFERROR(VLOOKUP(A1381,'[1]Sales Order'!A:F,6,FALSE),"")</f>
        <v>39435</v>
      </c>
      <c r="N1381" t="str">
        <f>IFERROR(VLOOKUP(VLOOKUP(A1381,'[1]Sales Order'!A:G,7,FALSE),[1]Shipper!A:B,2,FALSE),"Not Specified")</f>
        <v>Shipper ETYNR</v>
      </c>
      <c r="O1381" t="str">
        <f>IFERROR(VLOOKUP(A1381,'[1]Sales Order'!A:I,9,FALSE),"Not Specified")</f>
        <v>Ship to 44-B</v>
      </c>
      <c r="P1381" t="str">
        <f>IFERROR(VLOOKUP(A1381,'[1]Sales Order'!A:N,14,FALSE),"Not Specified")</f>
        <v>Germany</v>
      </c>
      <c r="Q1381" t="str">
        <f>VLOOKUP(VLOOKUP(B1381,[1]Product!A:C,3,FALSE),[1]Supplier!A:B,2,FALSE)</f>
        <v>Supplier SVIYA</v>
      </c>
      <c r="R1381" t="str">
        <f>VLOOKUP(VLOOKUP(B1381,[1]Product!A:C,3,FALSE),[1]Supplier!A:I,9,FALSE)</f>
        <v>Germany</v>
      </c>
      <c r="S1381" t="str">
        <f>IFERROR(IF(VLOOKUP(A1381,'[1]Sales Order'!A:H,8,FALSE)&gt;100,"High Freight","Low Freight"),"Not Specified")</f>
        <v>Low Freight</v>
      </c>
      <c r="T1381">
        <f t="shared" si="43"/>
        <v>2228.2200000000003</v>
      </c>
    </row>
    <row r="1382" spans="1:20">
      <c r="A1382" s="1">
        <v>10772</v>
      </c>
      <c r="B1382" s="2">
        <v>59</v>
      </c>
      <c r="C1382" s="2">
        <v>55</v>
      </c>
      <c r="D1382" s="2">
        <v>25</v>
      </c>
      <c r="E1382" s="3">
        <v>0</v>
      </c>
      <c r="F1382" s="2" t="str">
        <f>IFERROR(VLOOKUP(VLOOKUP(A1382,'[1]Sales Order'!A:B,2,FALSE),[1]Customer!A:C,3,FALSE),"Not Specified")</f>
        <v>Louverdis, George</v>
      </c>
      <c r="G1382" s="2" t="str">
        <f t="shared" si="42"/>
        <v>Louverdis George</v>
      </c>
      <c r="H1382" s="8" t="str">
        <f>IFERROR(VLOOKUP(VLOOKUP(A1382,'[1]Sales Order'!A:C,3,FALSE),[1]Employee!A:E,5,FALSE)&amp;" "&amp;VLOOKUP(VLOOKUP(A1382,'[1]Sales Order'!A:C,3,FALSE),[1]Employee!A:C,3,FALSE)&amp;" "&amp;VLOOKUP(VLOOKUP(A1382,'[1]Sales Order'!A:C,3,FALSE),[1]Employee!A:B,2,FALSE),"Not Specified")</f>
        <v>Ms. Judy Lew</v>
      </c>
      <c r="I1382" t="str">
        <f>IFERROR(VLOOKUP(VLOOKUP(A1382,'[1]Sales Order'!A:C,3,FALSE),[1]Employee!A:J,10,FALSE),"Not Specified")</f>
        <v>WA</v>
      </c>
      <c r="J1382" t="str">
        <f>VLOOKUP(B1382,[1]Product!A:B,2,FALSE)</f>
        <v>Product UKXRI</v>
      </c>
      <c r="K1382" t="str">
        <f>VLOOKUP(VLOOKUP(B1382,[1]Product!A:D,4,FALSE),[1]Category!A:B,2,FALSE)</f>
        <v>Dairy Product</v>
      </c>
      <c r="L1382" s="10">
        <f>IFERROR(VLOOKUP(A1382,'[1]Sales Order'!A:D,4,FALSE),"")</f>
        <v>39426</v>
      </c>
      <c r="M1382" s="10">
        <f>IFERROR(VLOOKUP(A1382,'[1]Sales Order'!A:F,6,FALSE),"")</f>
        <v>39435</v>
      </c>
      <c r="N1382" t="str">
        <f>IFERROR(VLOOKUP(VLOOKUP(A1382,'[1]Sales Order'!A:G,7,FALSE),[1]Shipper!A:B,2,FALSE),"Not Specified")</f>
        <v>Shipper ETYNR</v>
      </c>
      <c r="O1382" t="str">
        <f>IFERROR(VLOOKUP(A1382,'[1]Sales Order'!A:I,9,FALSE),"Not Specified")</f>
        <v>Ship to 44-B</v>
      </c>
      <c r="P1382" t="str">
        <f>IFERROR(VLOOKUP(A1382,'[1]Sales Order'!A:N,14,FALSE),"Not Specified")</f>
        <v>Germany</v>
      </c>
      <c r="Q1382" t="str">
        <f>VLOOKUP(VLOOKUP(B1382,[1]Product!A:C,3,FALSE),[1]Supplier!A:B,2,FALSE)</f>
        <v>Supplier OAVQT</v>
      </c>
      <c r="R1382" t="str">
        <f>VLOOKUP(VLOOKUP(B1382,[1]Product!A:C,3,FALSE),[1]Supplier!A:I,9,FALSE)</f>
        <v>France</v>
      </c>
      <c r="S1382" t="str">
        <f>IFERROR(IF(VLOOKUP(A1382,'[1]Sales Order'!A:H,8,FALSE)&gt;100,"High Freight","Low Freight"),"Not Specified")</f>
        <v>Low Freight</v>
      </c>
      <c r="T1382">
        <f t="shared" si="43"/>
        <v>1375</v>
      </c>
    </row>
    <row r="1383" spans="1:20">
      <c r="A1383" s="1">
        <v>10773</v>
      </c>
      <c r="B1383" s="2">
        <v>17</v>
      </c>
      <c r="C1383" s="2">
        <v>39</v>
      </c>
      <c r="D1383" s="2">
        <v>33</v>
      </c>
      <c r="E1383" s="3">
        <v>0</v>
      </c>
      <c r="F1383" s="2" t="str">
        <f>IFERROR(VLOOKUP(VLOOKUP(A1383,'[1]Sales Order'!A:B,2,FALSE),[1]Customer!A:C,3,FALSE),"Not Specified")</f>
        <v>Kane, John</v>
      </c>
      <c r="G1383" s="2" t="str">
        <f t="shared" si="42"/>
        <v>Kane John</v>
      </c>
      <c r="H1383" s="8" t="str">
        <f>IFERROR(VLOOKUP(VLOOKUP(A1383,'[1]Sales Order'!A:C,3,FALSE),[1]Employee!A:E,5,FALSE)&amp;" "&amp;VLOOKUP(VLOOKUP(A1383,'[1]Sales Order'!A:C,3,FALSE),[1]Employee!A:C,3,FALSE)&amp;" "&amp;VLOOKUP(VLOOKUP(A1383,'[1]Sales Order'!A:C,3,FALSE),[1]Employee!A:B,2,FALSE),"Not Specified")</f>
        <v>Ms. Sara Davis</v>
      </c>
      <c r="I1383" t="str">
        <f>IFERROR(VLOOKUP(VLOOKUP(A1383,'[1]Sales Order'!A:C,3,FALSE),[1]Employee!A:J,10,FALSE),"Not Specified")</f>
        <v>WA</v>
      </c>
      <c r="J1383" t="str">
        <f>VLOOKUP(B1383,[1]Product!A:B,2,FALSE)</f>
        <v>Product BLCAX</v>
      </c>
      <c r="K1383" t="str">
        <f>VLOOKUP(VLOOKUP(B1383,[1]Product!A:D,4,FALSE),[1]Category!A:B,2,FALSE)</f>
        <v>Meat/Poultry</v>
      </c>
      <c r="L1383" s="10">
        <f>IFERROR(VLOOKUP(A1383,'[1]Sales Order'!A:D,4,FALSE),"")</f>
        <v>39427</v>
      </c>
      <c r="M1383" s="10">
        <f>IFERROR(VLOOKUP(A1383,'[1]Sales Order'!A:F,6,FALSE),"")</f>
        <v>39432</v>
      </c>
      <c r="N1383" t="str">
        <f>IFERROR(VLOOKUP(VLOOKUP(A1383,'[1]Sales Order'!A:G,7,FALSE),[1]Shipper!A:B,2,FALSE),"Not Specified")</f>
        <v>Shipper ZHISN</v>
      </c>
      <c r="O1383" t="str">
        <f>IFERROR(VLOOKUP(A1383,'[1]Sales Order'!A:I,9,FALSE),"Not Specified")</f>
        <v>Destination FFXKT</v>
      </c>
      <c r="P1383" t="str">
        <f>IFERROR(VLOOKUP(A1383,'[1]Sales Order'!A:N,14,FALSE),"Not Specified")</f>
        <v>Austria</v>
      </c>
      <c r="Q1383" t="str">
        <f>VLOOKUP(VLOOKUP(B1383,[1]Product!A:C,3,FALSE),[1]Supplier!A:B,2,FALSE)</f>
        <v>Supplier GQRCV</v>
      </c>
      <c r="R1383" t="str">
        <f>VLOOKUP(VLOOKUP(B1383,[1]Product!A:C,3,FALSE),[1]Supplier!A:I,9,FALSE)</f>
        <v>Australia</v>
      </c>
      <c r="S1383" t="str">
        <f>IFERROR(IF(VLOOKUP(A1383,'[1]Sales Order'!A:H,8,FALSE)&gt;100,"High Freight","Low Freight"),"Not Specified")</f>
        <v>Low Freight</v>
      </c>
      <c r="T1383">
        <f t="shared" si="43"/>
        <v>1287</v>
      </c>
    </row>
    <row r="1384" spans="1:20">
      <c r="A1384" s="1">
        <v>10773</v>
      </c>
      <c r="B1384" s="2">
        <v>31</v>
      </c>
      <c r="C1384" s="2">
        <v>12.5</v>
      </c>
      <c r="D1384" s="2">
        <v>70</v>
      </c>
      <c r="E1384" s="3">
        <v>0.2</v>
      </c>
      <c r="F1384" s="2" t="str">
        <f>IFERROR(VLOOKUP(VLOOKUP(A1384,'[1]Sales Order'!A:B,2,FALSE),[1]Customer!A:C,3,FALSE),"Not Specified")</f>
        <v>Kane, John</v>
      </c>
      <c r="G1384" s="2" t="str">
        <f t="shared" si="42"/>
        <v>Kane John</v>
      </c>
      <c r="H1384" s="8" t="str">
        <f>IFERROR(VLOOKUP(VLOOKUP(A1384,'[1]Sales Order'!A:C,3,FALSE),[1]Employee!A:E,5,FALSE)&amp;" "&amp;VLOOKUP(VLOOKUP(A1384,'[1]Sales Order'!A:C,3,FALSE),[1]Employee!A:C,3,FALSE)&amp;" "&amp;VLOOKUP(VLOOKUP(A1384,'[1]Sales Order'!A:C,3,FALSE),[1]Employee!A:B,2,FALSE),"Not Specified")</f>
        <v>Ms. Sara Davis</v>
      </c>
      <c r="I1384" t="str">
        <f>IFERROR(VLOOKUP(VLOOKUP(A1384,'[1]Sales Order'!A:C,3,FALSE),[1]Employee!A:J,10,FALSE),"Not Specified")</f>
        <v>WA</v>
      </c>
      <c r="J1384" t="str">
        <f>VLOOKUP(B1384,[1]Product!A:B,2,FALSE)</f>
        <v>Product XWOXC</v>
      </c>
      <c r="K1384" t="str">
        <f>VLOOKUP(VLOOKUP(B1384,[1]Product!A:D,4,FALSE),[1]Category!A:B,2,FALSE)</f>
        <v>Dairy Product</v>
      </c>
      <c r="L1384" s="10">
        <f>IFERROR(VLOOKUP(A1384,'[1]Sales Order'!A:D,4,FALSE),"")</f>
        <v>39427</v>
      </c>
      <c r="M1384" s="10">
        <f>IFERROR(VLOOKUP(A1384,'[1]Sales Order'!A:F,6,FALSE),"")</f>
        <v>39432</v>
      </c>
      <c r="N1384" t="str">
        <f>IFERROR(VLOOKUP(VLOOKUP(A1384,'[1]Sales Order'!A:G,7,FALSE),[1]Shipper!A:B,2,FALSE),"Not Specified")</f>
        <v>Shipper ZHISN</v>
      </c>
      <c r="O1384" t="str">
        <f>IFERROR(VLOOKUP(A1384,'[1]Sales Order'!A:I,9,FALSE),"Not Specified")</f>
        <v>Destination FFXKT</v>
      </c>
      <c r="P1384" t="str">
        <f>IFERROR(VLOOKUP(A1384,'[1]Sales Order'!A:N,14,FALSE),"Not Specified")</f>
        <v>Austria</v>
      </c>
      <c r="Q1384" t="str">
        <f>VLOOKUP(VLOOKUP(B1384,[1]Product!A:C,3,FALSE),[1]Supplier!A:B,2,FALSE)</f>
        <v>Supplier KEREV</v>
      </c>
      <c r="R1384" t="str">
        <f>VLOOKUP(VLOOKUP(B1384,[1]Product!A:C,3,FALSE),[1]Supplier!A:I,9,FALSE)</f>
        <v>Italy</v>
      </c>
      <c r="S1384" t="str">
        <f>IFERROR(IF(VLOOKUP(A1384,'[1]Sales Order'!A:H,8,FALSE)&gt;100,"High Freight","Low Freight"),"Not Specified")</f>
        <v>Low Freight</v>
      </c>
      <c r="T1384">
        <f t="shared" si="43"/>
        <v>700</v>
      </c>
    </row>
    <row r="1385" spans="1:20">
      <c r="A1385" s="1">
        <v>10773</v>
      </c>
      <c r="B1385" s="2">
        <v>75</v>
      </c>
      <c r="C1385" s="2">
        <v>7.75</v>
      </c>
      <c r="D1385" s="2">
        <v>7</v>
      </c>
      <c r="E1385" s="3">
        <v>0.2</v>
      </c>
      <c r="F1385" s="2" t="str">
        <f>IFERROR(VLOOKUP(VLOOKUP(A1385,'[1]Sales Order'!A:B,2,FALSE),[1]Customer!A:C,3,FALSE),"Not Specified")</f>
        <v>Kane, John</v>
      </c>
      <c r="G1385" s="2" t="str">
        <f t="shared" si="42"/>
        <v>Kane John</v>
      </c>
      <c r="H1385" s="8" t="str">
        <f>IFERROR(VLOOKUP(VLOOKUP(A1385,'[1]Sales Order'!A:C,3,FALSE),[1]Employee!A:E,5,FALSE)&amp;" "&amp;VLOOKUP(VLOOKUP(A1385,'[1]Sales Order'!A:C,3,FALSE),[1]Employee!A:C,3,FALSE)&amp;" "&amp;VLOOKUP(VLOOKUP(A1385,'[1]Sales Order'!A:C,3,FALSE),[1]Employee!A:B,2,FALSE),"Not Specified")</f>
        <v>Ms. Sara Davis</v>
      </c>
      <c r="I1385" t="str">
        <f>IFERROR(VLOOKUP(VLOOKUP(A1385,'[1]Sales Order'!A:C,3,FALSE),[1]Employee!A:J,10,FALSE),"Not Specified")</f>
        <v>WA</v>
      </c>
      <c r="J1385" t="str">
        <f>VLOOKUP(B1385,[1]Product!A:B,2,FALSE)</f>
        <v>Product BWRLG</v>
      </c>
      <c r="K1385" t="str">
        <f>VLOOKUP(VLOOKUP(B1385,[1]Product!A:D,4,FALSE),[1]Category!A:B,2,FALSE)</f>
        <v>Beverages</v>
      </c>
      <c r="L1385" s="10">
        <f>IFERROR(VLOOKUP(A1385,'[1]Sales Order'!A:D,4,FALSE),"")</f>
        <v>39427</v>
      </c>
      <c r="M1385" s="10">
        <f>IFERROR(VLOOKUP(A1385,'[1]Sales Order'!A:F,6,FALSE),"")</f>
        <v>39432</v>
      </c>
      <c r="N1385" t="str">
        <f>IFERROR(VLOOKUP(VLOOKUP(A1385,'[1]Sales Order'!A:G,7,FALSE),[1]Shipper!A:B,2,FALSE),"Not Specified")</f>
        <v>Shipper ZHISN</v>
      </c>
      <c r="O1385" t="str">
        <f>IFERROR(VLOOKUP(A1385,'[1]Sales Order'!A:I,9,FALSE),"Not Specified")</f>
        <v>Destination FFXKT</v>
      </c>
      <c r="P1385" t="str">
        <f>IFERROR(VLOOKUP(A1385,'[1]Sales Order'!A:N,14,FALSE),"Not Specified")</f>
        <v>Austria</v>
      </c>
      <c r="Q1385" t="str">
        <f>VLOOKUP(VLOOKUP(B1385,[1]Product!A:C,3,FALSE),[1]Supplier!A:B,2,FALSE)</f>
        <v>Supplier SVIYA</v>
      </c>
      <c r="R1385" t="str">
        <f>VLOOKUP(VLOOKUP(B1385,[1]Product!A:C,3,FALSE),[1]Supplier!A:I,9,FALSE)</f>
        <v>Germany</v>
      </c>
      <c r="S1385" t="str">
        <f>IFERROR(IF(VLOOKUP(A1385,'[1]Sales Order'!A:H,8,FALSE)&gt;100,"High Freight","Low Freight"),"Not Specified")</f>
        <v>Low Freight</v>
      </c>
      <c r="T1385">
        <f t="shared" si="43"/>
        <v>43.400000000000006</v>
      </c>
    </row>
    <row r="1386" spans="1:20">
      <c r="A1386" s="1">
        <v>10774</v>
      </c>
      <c r="B1386" s="2">
        <v>31</v>
      </c>
      <c r="C1386" s="2">
        <v>12.5</v>
      </c>
      <c r="D1386" s="2">
        <v>2</v>
      </c>
      <c r="E1386" s="3">
        <v>0.25</v>
      </c>
      <c r="F1386" s="2" t="str">
        <f>IFERROR(VLOOKUP(VLOOKUP(A1386,'[1]Sales Order'!A:B,2,FALSE),[1]Customer!A:C,3,FALSE),"Not Specified")</f>
        <v>San Juan, Patricia</v>
      </c>
      <c r="G1386" s="2" t="str">
        <f t="shared" si="42"/>
        <v>San Juan Patricia</v>
      </c>
      <c r="H1386" s="8" t="str">
        <f>IFERROR(VLOOKUP(VLOOKUP(A1386,'[1]Sales Order'!A:C,3,FALSE),[1]Employee!A:E,5,FALSE)&amp;" "&amp;VLOOKUP(VLOOKUP(A1386,'[1]Sales Order'!A:C,3,FALSE),[1]Employee!A:C,3,FALSE)&amp;" "&amp;VLOOKUP(VLOOKUP(A1386,'[1]Sales Order'!A:C,3,FALSE),[1]Employee!A:B,2,FALSE),"Not Specified")</f>
        <v>Mrs. Yael Peled</v>
      </c>
      <c r="I1386" t="str">
        <f>IFERROR(VLOOKUP(VLOOKUP(A1386,'[1]Sales Order'!A:C,3,FALSE),[1]Employee!A:J,10,FALSE),"Not Specified")</f>
        <v>WA</v>
      </c>
      <c r="J1386" t="str">
        <f>VLOOKUP(B1386,[1]Product!A:B,2,FALSE)</f>
        <v>Product XWOXC</v>
      </c>
      <c r="K1386" t="str">
        <f>VLOOKUP(VLOOKUP(B1386,[1]Product!A:D,4,FALSE),[1]Category!A:B,2,FALSE)</f>
        <v>Dairy Product</v>
      </c>
      <c r="L1386" s="10">
        <f>IFERROR(VLOOKUP(A1386,'[1]Sales Order'!A:D,4,FALSE),"")</f>
        <v>39427</v>
      </c>
      <c r="M1386" s="10">
        <f>IFERROR(VLOOKUP(A1386,'[1]Sales Order'!A:F,6,FALSE),"")</f>
        <v>39428</v>
      </c>
      <c r="N1386" t="str">
        <f>IFERROR(VLOOKUP(VLOOKUP(A1386,'[1]Sales Order'!A:G,7,FALSE),[1]Shipper!A:B,2,FALSE),"Not Specified")</f>
        <v>Shipper GVSUA</v>
      </c>
      <c r="O1386" t="str">
        <f>IFERROR(VLOOKUP(A1386,'[1]Sales Order'!A:I,9,FALSE),"Not Specified")</f>
        <v>Destination KBSBN</v>
      </c>
      <c r="P1386" t="str">
        <f>IFERROR(VLOOKUP(A1386,'[1]Sales Order'!A:N,14,FALSE),"Not Specified")</f>
        <v>Sweden</v>
      </c>
      <c r="Q1386" t="str">
        <f>VLOOKUP(VLOOKUP(B1386,[1]Product!A:C,3,FALSE),[1]Supplier!A:B,2,FALSE)</f>
        <v>Supplier KEREV</v>
      </c>
      <c r="R1386" t="str">
        <f>VLOOKUP(VLOOKUP(B1386,[1]Product!A:C,3,FALSE),[1]Supplier!A:I,9,FALSE)</f>
        <v>Italy</v>
      </c>
      <c r="S1386" t="str">
        <f>IFERROR(IF(VLOOKUP(A1386,'[1]Sales Order'!A:H,8,FALSE)&gt;100,"High Freight","Low Freight"),"Not Specified")</f>
        <v>Low Freight</v>
      </c>
      <c r="T1386">
        <f t="shared" si="43"/>
        <v>18.75</v>
      </c>
    </row>
    <row r="1387" spans="1:20">
      <c r="A1387" s="1">
        <v>10774</v>
      </c>
      <c r="B1387" s="2">
        <v>66</v>
      </c>
      <c r="C1387" s="2">
        <v>17</v>
      </c>
      <c r="D1387" s="2">
        <v>50</v>
      </c>
      <c r="E1387" s="3">
        <v>0</v>
      </c>
      <c r="F1387" s="2" t="str">
        <f>IFERROR(VLOOKUP(VLOOKUP(A1387,'[1]Sales Order'!A:B,2,FALSE),[1]Customer!A:C,3,FALSE),"Not Specified")</f>
        <v>San Juan, Patricia</v>
      </c>
      <c r="G1387" s="2" t="str">
        <f t="shared" si="42"/>
        <v>San Juan Patricia</v>
      </c>
      <c r="H1387" s="8" t="str">
        <f>IFERROR(VLOOKUP(VLOOKUP(A1387,'[1]Sales Order'!A:C,3,FALSE),[1]Employee!A:E,5,FALSE)&amp;" "&amp;VLOOKUP(VLOOKUP(A1387,'[1]Sales Order'!A:C,3,FALSE),[1]Employee!A:C,3,FALSE)&amp;" "&amp;VLOOKUP(VLOOKUP(A1387,'[1]Sales Order'!A:C,3,FALSE),[1]Employee!A:B,2,FALSE),"Not Specified")</f>
        <v>Mrs. Yael Peled</v>
      </c>
      <c r="I1387" t="str">
        <f>IFERROR(VLOOKUP(VLOOKUP(A1387,'[1]Sales Order'!A:C,3,FALSE),[1]Employee!A:J,10,FALSE),"Not Specified")</f>
        <v>WA</v>
      </c>
      <c r="J1387" t="str">
        <f>VLOOKUP(B1387,[1]Product!A:B,2,FALSE)</f>
        <v>Product LQMGN</v>
      </c>
      <c r="K1387" t="str">
        <f>VLOOKUP(VLOOKUP(B1387,[1]Product!A:D,4,FALSE),[1]Category!A:B,2,FALSE)</f>
        <v>Condiments</v>
      </c>
      <c r="L1387" s="10">
        <f>IFERROR(VLOOKUP(A1387,'[1]Sales Order'!A:D,4,FALSE),"")</f>
        <v>39427</v>
      </c>
      <c r="M1387" s="10">
        <f>IFERROR(VLOOKUP(A1387,'[1]Sales Order'!A:F,6,FALSE),"")</f>
        <v>39428</v>
      </c>
      <c r="N1387" t="str">
        <f>IFERROR(VLOOKUP(VLOOKUP(A1387,'[1]Sales Order'!A:G,7,FALSE),[1]Shipper!A:B,2,FALSE),"Not Specified")</f>
        <v>Shipper GVSUA</v>
      </c>
      <c r="O1387" t="str">
        <f>IFERROR(VLOOKUP(A1387,'[1]Sales Order'!A:I,9,FALSE),"Not Specified")</f>
        <v>Destination KBSBN</v>
      </c>
      <c r="P1387" t="str">
        <f>IFERROR(VLOOKUP(A1387,'[1]Sales Order'!A:N,14,FALSE),"Not Specified")</f>
        <v>Sweden</v>
      </c>
      <c r="Q1387" t="str">
        <f>VLOOKUP(VLOOKUP(B1387,[1]Product!A:C,3,FALSE),[1]Supplier!A:B,2,FALSE)</f>
        <v>Supplier VHQZD</v>
      </c>
      <c r="R1387" t="str">
        <f>VLOOKUP(VLOOKUP(B1387,[1]Product!A:C,3,FALSE),[1]Supplier!A:I,9,FALSE)</f>
        <v>USA</v>
      </c>
      <c r="S1387" t="str">
        <f>IFERROR(IF(VLOOKUP(A1387,'[1]Sales Order'!A:H,8,FALSE)&gt;100,"High Freight","Low Freight"),"Not Specified")</f>
        <v>Low Freight</v>
      </c>
      <c r="T1387">
        <f t="shared" si="43"/>
        <v>850</v>
      </c>
    </row>
    <row r="1388" spans="1:20">
      <c r="A1388" s="1">
        <v>10775</v>
      </c>
      <c r="B1388" s="2">
        <v>10</v>
      </c>
      <c r="C1388" s="2">
        <v>31</v>
      </c>
      <c r="D1388" s="2">
        <v>6</v>
      </c>
      <c r="E1388" s="3">
        <v>0</v>
      </c>
      <c r="F1388" s="2" t="str">
        <f>IFERROR(VLOOKUP(VLOOKUP(A1388,'[1]Sales Order'!A:B,2,FALSE),[1]Customer!A:C,3,FALSE),"Not Specified")</f>
        <v>Young, Robin</v>
      </c>
      <c r="G1388" s="2" t="str">
        <f t="shared" si="42"/>
        <v>Young Robin</v>
      </c>
      <c r="H1388" s="8" t="str">
        <f>IFERROR(VLOOKUP(VLOOKUP(A1388,'[1]Sales Order'!A:C,3,FALSE),[1]Employee!A:E,5,FALSE)&amp;" "&amp;VLOOKUP(VLOOKUP(A1388,'[1]Sales Order'!A:C,3,FALSE),[1]Employee!A:C,3,FALSE)&amp;" "&amp;VLOOKUP(VLOOKUP(A1388,'[1]Sales Order'!A:C,3,FALSE),[1]Employee!A:B,2,FALSE),"Not Specified")</f>
        <v>Mr. Russell King</v>
      </c>
      <c r="I1388">
        <f>IFERROR(VLOOKUP(VLOOKUP(A1388,'[1]Sales Order'!A:C,3,FALSE),[1]Employee!A:J,10,FALSE),"Not Specified")</f>
        <v>0</v>
      </c>
      <c r="J1388" t="str">
        <f>VLOOKUP(B1388,[1]Product!A:B,2,FALSE)</f>
        <v>Product YHXGE</v>
      </c>
      <c r="K1388" t="str">
        <f>VLOOKUP(VLOOKUP(B1388,[1]Product!A:D,4,FALSE),[1]Category!A:B,2,FALSE)</f>
        <v>Seafood</v>
      </c>
      <c r="L1388" s="10">
        <f>IFERROR(VLOOKUP(A1388,'[1]Sales Order'!A:D,4,FALSE),"")</f>
        <v>39428</v>
      </c>
      <c r="M1388" s="10">
        <f>IFERROR(VLOOKUP(A1388,'[1]Sales Order'!A:F,6,FALSE),"")</f>
        <v>39442</v>
      </c>
      <c r="N1388" t="str">
        <f>IFERROR(VLOOKUP(VLOOKUP(A1388,'[1]Sales Order'!A:G,7,FALSE),[1]Shipper!A:B,2,FALSE),"Not Specified")</f>
        <v>Shipper GVSUA</v>
      </c>
      <c r="O1388" t="str">
        <f>IFERROR(VLOOKUP(A1388,'[1]Sales Order'!A:I,9,FALSE),"Not Specified")</f>
        <v>Ship to 78-A</v>
      </c>
      <c r="P1388" t="str">
        <f>IFERROR(VLOOKUP(A1388,'[1]Sales Order'!A:N,14,FALSE),"Not Specified")</f>
        <v>USA</v>
      </c>
      <c r="Q1388" t="str">
        <f>VLOOKUP(VLOOKUP(B1388,[1]Product!A:C,3,FALSE),[1]Supplier!A:B,2,FALSE)</f>
        <v>Supplier QOVFD</v>
      </c>
      <c r="R1388" t="str">
        <f>VLOOKUP(VLOOKUP(B1388,[1]Product!A:C,3,FALSE),[1]Supplier!A:I,9,FALSE)</f>
        <v>Japan</v>
      </c>
      <c r="S1388" t="str">
        <f>IFERROR(IF(VLOOKUP(A1388,'[1]Sales Order'!A:H,8,FALSE)&gt;100,"High Freight","Low Freight"),"Not Specified")</f>
        <v>Low Freight</v>
      </c>
      <c r="T1388">
        <f t="shared" si="43"/>
        <v>186</v>
      </c>
    </row>
    <row r="1389" spans="1:20">
      <c r="A1389" s="1">
        <v>10775</v>
      </c>
      <c r="B1389" s="2">
        <v>67</v>
      </c>
      <c r="C1389" s="2">
        <v>14</v>
      </c>
      <c r="D1389" s="2">
        <v>3</v>
      </c>
      <c r="E1389" s="3">
        <v>0</v>
      </c>
      <c r="F1389" s="2" t="str">
        <f>IFERROR(VLOOKUP(VLOOKUP(A1389,'[1]Sales Order'!A:B,2,FALSE),[1]Customer!A:C,3,FALSE),"Not Specified")</f>
        <v>Young, Robin</v>
      </c>
      <c r="G1389" s="2" t="str">
        <f t="shared" si="42"/>
        <v>Young Robin</v>
      </c>
      <c r="H1389" s="8" t="str">
        <f>IFERROR(VLOOKUP(VLOOKUP(A1389,'[1]Sales Order'!A:C,3,FALSE),[1]Employee!A:E,5,FALSE)&amp;" "&amp;VLOOKUP(VLOOKUP(A1389,'[1]Sales Order'!A:C,3,FALSE),[1]Employee!A:C,3,FALSE)&amp;" "&amp;VLOOKUP(VLOOKUP(A1389,'[1]Sales Order'!A:C,3,FALSE),[1]Employee!A:B,2,FALSE),"Not Specified")</f>
        <v>Mr. Russell King</v>
      </c>
      <c r="I1389">
        <f>IFERROR(VLOOKUP(VLOOKUP(A1389,'[1]Sales Order'!A:C,3,FALSE),[1]Employee!A:J,10,FALSE),"Not Specified")</f>
        <v>0</v>
      </c>
      <c r="J1389" t="str">
        <f>VLOOKUP(B1389,[1]Product!A:B,2,FALSE)</f>
        <v>Product XLXQF</v>
      </c>
      <c r="K1389" t="str">
        <f>VLOOKUP(VLOOKUP(B1389,[1]Product!A:D,4,FALSE),[1]Category!A:B,2,FALSE)</f>
        <v>Beverages</v>
      </c>
      <c r="L1389" s="10">
        <f>IFERROR(VLOOKUP(A1389,'[1]Sales Order'!A:D,4,FALSE),"")</f>
        <v>39428</v>
      </c>
      <c r="M1389" s="10">
        <f>IFERROR(VLOOKUP(A1389,'[1]Sales Order'!A:F,6,FALSE),"")</f>
        <v>39442</v>
      </c>
      <c r="N1389" t="str">
        <f>IFERROR(VLOOKUP(VLOOKUP(A1389,'[1]Sales Order'!A:G,7,FALSE),[1]Shipper!A:B,2,FALSE),"Not Specified")</f>
        <v>Shipper GVSUA</v>
      </c>
      <c r="O1389" t="str">
        <f>IFERROR(VLOOKUP(A1389,'[1]Sales Order'!A:I,9,FALSE),"Not Specified")</f>
        <v>Ship to 78-A</v>
      </c>
      <c r="P1389" t="str">
        <f>IFERROR(VLOOKUP(A1389,'[1]Sales Order'!A:N,14,FALSE),"Not Specified")</f>
        <v>USA</v>
      </c>
      <c r="Q1389" t="str">
        <f>VLOOKUP(VLOOKUP(B1389,[1]Product!A:C,3,FALSE),[1]Supplier!A:B,2,FALSE)</f>
        <v>Supplier UHZRG</v>
      </c>
      <c r="R1389" t="str">
        <f>VLOOKUP(VLOOKUP(B1389,[1]Product!A:C,3,FALSE),[1]Supplier!A:I,9,FALSE)</f>
        <v>USA</v>
      </c>
      <c r="S1389" t="str">
        <f>IFERROR(IF(VLOOKUP(A1389,'[1]Sales Order'!A:H,8,FALSE)&gt;100,"High Freight","Low Freight"),"Not Specified")</f>
        <v>Low Freight</v>
      </c>
      <c r="T1389">
        <f t="shared" si="43"/>
        <v>42</v>
      </c>
    </row>
    <row r="1390" spans="1:20">
      <c r="A1390" s="1">
        <v>10776</v>
      </c>
      <c r="B1390" s="2">
        <v>31</v>
      </c>
      <c r="C1390" s="2">
        <v>12.5</v>
      </c>
      <c r="D1390" s="2">
        <v>16</v>
      </c>
      <c r="E1390" s="3">
        <v>0.05</v>
      </c>
      <c r="F1390" s="2" t="str">
        <f>IFERROR(VLOOKUP(VLOOKUP(A1390,'[1]Sales Order'!A:B,2,FALSE),[1]Customer!A:C,3,FALSE),"Not Specified")</f>
        <v>Kane, John</v>
      </c>
      <c r="G1390" s="2" t="str">
        <f t="shared" si="42"/>
        <v>Kane John</v>
      </c>
      <c r="H1390" s="8" t="str">
        <f>IFERROR(VLOOKUP(VLOOKUP(A1390,'[1]Sales Order'!A:C,3,FALSE),[1]Employee!A:E,5,FALSE)&amp;" "&amp;VLOOKUP(VLOOKUP(A1390,'[1]Sales Order'!A:C,3,FALSE),[1]Employee!A:C,3,FALSE)&amp;" "&amp;VLOOKUP(VLOOKUP(A1390,'[1]Sales Order'!A:C,3,FALSE),[1]Employee!A:B,2,FALSE),"Not Specified")</f>
        <v>Ms. Sara Davis</v>
      </c>
      <c r="I1390" t="str">
        <f>IFERROR(VLOOKUP(VLOOKUP(A1390,'[1]Sales Order'!A:C,3,FALSE),[1]Employee!A:J,10,FALSE),"Not Specified")</f>
        <v>WA</v>
      </c>
      <c r="J1390" t="str">
        <f>VLOOKUP(B1390,[1]Product!A:B,2,FALSE)</f>
        <v>Product XWOXC</v>
      </c>
      <c r="K1390" t="str">
        <f>VLOOKUP(VLOOKUP(B1390,[1]Product!A:D,4,FALSE),[1]Category!A:B,2,FALSE)</f>
        <v>Dairy Product</v>
      </c>
      <c r="L1390" s="10">
        <f>IFERROR(VLOOKUP(A1390,'[1]Sales Order'!A:D,4,FALSE),"")</f>
        <v>39431</v>
      </c>
      <c r="M1390" s="10">
        <f>IFERROR(VLOOKUP(A1390,'[1]Sales Order'!A:F,6,FALSE),"")</f>
        <v>39434</v>
      </c>
      <c r="N1390" t="str">
        <f>IFERROR(VLOOKUP(VLOOKUP(A1390,'[1]Sales Order'!A:G,7,FALSE),[1]Shipper!A:B,2,FALSE),"Not Specified")</f>
        <v>Shipper ZHISN</v>
      </c>
      <c r="O1390" t="str">
        <f>IFERROR(VLOOKUP(A1390,'[1]Sales Order'!A:I,9,FALSE),"Not Specified")</f>
        <v>Destination RVDMF</v>
      </c>
      <c r="P1390" t="str">
        <f>IFERROR(VLOOKUP(A1390,'[1]Sales Order'!A:N,14,FALSE),"Not Specified")</f>
        <v>Austria</v>
      </c>
      <c r="Q1390" t="str">
        <f>VLOOKUP(VLOOKUP(B1390,[1]Product!A:C,3,FALSE),[1]Supplier!A:B,2,FALSE)</f>
        <v>Supplier KEREV</v>
      </c>
      <c r="R1390" t="str">
        <f>VLOOKUP(VLOOKUP(B1390,[1]Product!A:C,3,FALSE),[1]Supplier!A:I,9,FALSE)</f>
        <v>Italy</v>
      </c>
      <c r="S1390" t="str">
        <f>IFERROR(IF(VLOOKUP(A1390,'[1]Sales Order'!A:H,8,FALSE)&gt;100,"High Freight","Low Freight"),"Not Specified")</f>
        <v>High Freight</v>
      </c>
      <c r="T1390">
        <f t="shared" si="43"/>
        <v>190</v>
      </c>
    </row>
    <row r="1391" spans="1:20">
      <c r="A1391" s="1">
        <v>10776</v>
      </c>
      <c r="B1391" s="2">
        <v>42</v>
      </c>
      <c r="C1391" s="2">
        <v>14</v>
      </c>
      <c r="D1391" s="2">
        <v>12</v>
      </c>
      <c r="E1391" s="3">
        <v>0.05</v>
      </c>
      <c r="F1391" s="2" t="str">
        <f>IFERROR(VLOOKUP(VLOOKUP(A1391,'[1]Sales Order'!A:B,2,FALSE),[1]Customer!A:C,3,FALSE),"Not Specified")</f>
        <v>Kane, John</v>
      </c>
      <c r="G1391" s="2" t="str">
        <f t="shared" si="42"/>
        <v>Kane John</v>
      </c>
      <c r="H1391" s="8" t="str">
        <f>IFERROR(VLOOKUP(VLOOKUP(A1391,'[1]Sales Order'!A:C,3,FALSE),[1]Employee!A:E,5,FALSE)&amp;" "&amp;VLOOKUP(VLOOKUP(A1391,'[1]Sales Order'!A:C,3,FALSE),[1]Employee!A:C,3,FALSE)&amp;" "&amp;VLOOKUP(VLOOKUP(A1391,'[1]Sales Order'!A:C,3,FALSE),[1]Employee!A:B,2,FALSE),"Not Specified")</f>
        <v>Ms. Sara Davis</v>
      </c>
      <c r="I1391" t="str">
        <f>IFERROR(VLOOKUP(VLOOKUP(A1391,'[1]Sales Order'!A:C,3,FALSE),[1]Employee!A:J,10,FALSE),"Not Specified")</f>
        <v>WA</v>
      </c>
      <c r="J1391" t="str">
        <f>VLOOKUP(B1391,[1]Product!A:B,2,FALSE)</f>
        <v>Product RJVNM</v>
      </c>
      <c r="K1391" t="str">
        <f>VLOOKUP(VLOOKUP(B1391,[1]Product!A:D,4,FALSE),[1]Category!A:B,2,FALSE)</f>
        <v>Grains/Cereals</v>
      </c>
      <c r="L1391" s="10">
        <f>IFERROR(VLOOKUP(A1391,'[1]Sales Order'!A:D,4,FALSE),"")</f>
        <v>39431</v>
      </c>
      <c r="M1391" s="10">
        <f>IFERROR(VLOOKUP(A1391,'[1]Sales Order'!A:F,6,FALSE),"")</f>
        <v>39434</v>
      </c>
      <c r="N1391" t="str">
        <f>IFERROR(VLOOKUP(VLOOKUP(A1391,'[1]Sales Order'!A:G,7,FALSE),[1]Shipper!A:B,2,FALSE),"Not Specified")</f>
        <v>Shipper ZHISN</v>
      </c>
      <c r="O1391" t="str">
        <f>IFERROR(VLOOKUP(A1391,'[1]Sales Order'!A:I,9,FALSE),"Not Specified")</f>
        <v>Destination RVDMF</v>
      </c>
      <c r="P1391" t="str">
        <f>IFERROR(VLOOKUP(A1391,'[1]Sales Order'!A:N,14,FALSE),"Not Specified")</f>
        <v>Austria</v>
      </c>
      <c r="Q1391" t="str">
        <f>VLOOKUP(VLOOKUP(B1391,[1]Product!A:C,3,FALSE),[1]Supplier!A:B,2,FALSE)</f>
        <v>Supplier CIYNM</v>
      </c>
      <c r="R1391" t="str">
        <f>VLOOKUP(VLOOKUP(B1391,[1]Product!A:C,3,FALSE),[1]Supplier!A:I,9,FALSE)</f>
        <v>Singapore</v>
      </c>
      <c r="S1391" t="str">
        <f>IFERROR(IF(VLOOKUP(A1391,'[1]Sales Order'!A:H,8,FALSE)&gt;100,"High Freight","Low Freight"),"Not Specified")</f>
        <v>High Freight</v>
      </c>
      <c r="T1391">
        <f t="shared" si="43"/>
        <v>159.6</v>
      </c>
    </row>
    <row r="1392" spans="1:20">
      <c r="A1392" s="1">
        <v>10776</v>
      </c>
      <c r="B1392" s="2">
        <v>45</v>
      </c>
      <c r="C1392" s="2">
        <v>9.5</v>
      </c>
      <c r="D1392" s="2">
        <v>27</v>
      </c>
      <c r="E1392" s="3">
        <v>0.05</v>
      </c>
      <c r="F1392" s="2" t="str">
        <f>IFERROR(VLOOKUP(VLOOKUP(A1392,'[1]Sales Order'!A:B,2,FALSE),[1]Customer!A:C,3,FALSE),"Not Specified")</f>
        <v>Kane, John</v>
      </c>
      <c r="G1392" s="2" t="str">
        <f t="shared" si="42"/>
        <v>Kane John</v>
      </c>
      <c r="H1392" s="8" t="str">
        <f>IFERROR(VLOOKUP(VLOOKUP(A1392,'[1]Sales Order'!A:C,3,FALSE),[1]Employee!A:E,5,FALSE)&amp;" "&amp;VLOOKUP(VLOOKUP(A1392,'[1]Sales Order'!A:C,3,FALSE),[1]Employee!A:C,3,FALSE)&amp;" "&amp;VLOOKUP(VLOOKUP(A1392,'[1]Sales Order'!A:C,3,FALSE),[1]Employee!A:B,2,FALSE),"Not Specified")</f>
        <v>Ms. Sara Davis</v>
      </c>
      <c r="I1392" t="str">
        <f>IFERROR(VLOOKUP(VLOOKUP(A1392,'[1]Sales Order'!A:C,3,FALSE),[1]Employee!A:J,10,FALSE),"Not Specified")</f>
        <v>WA</v>
      </c>
      <c r="J1392" t="str">
        <f>VLOOKUP(B1392,[1]Product!A:B,2,FALSE)</f>
        <v>Product AQOKR</v>
      </c>
      <c r="K1392" t="str">
        <f>VLOOKUP(VLOOKUP(B1392,[1]Product!A:D,4,FALSE),[1]Category!A:B,2,FALSE)</f>
        <v>Seafood</v>
      </c>
      <c r="L1392" s="10">
        <f>IFERROR(VLOOKUP(A1392,'[1]Sales Order'!A:D,4,FALSE),"")</f>
        <v>39431</v>
      </c>
      <c r="M1392" s="10">
        <f>IFERROR(VLOOKUP(A1392,'[1]Sales Order'!A:F,6,FALSE),"")</f>
        <v>39434</v>
      </c>
      <c r="N1392" t="str">
        <f>IFERROR(VLOOKUP(VLOOKUP(A1392,'[1]Sales Order'!A:G,7,FALSE),[1]Shipper!A:B,2,FALSE),"Not Specified")</f>
        <v>Shipper ZHISN</v>
      </c>
      <c r="O1392" t="str">
        <f>IFERROR(VLOOKUP(A1392,'[1]Sales Order'!A:I,9,FALSE),"Not Specified")</f>
        <v>Destination RVDMF</v>
      </c>
      <c r="P1392" t="str">
        <f>IFERROR(VLOOKUP(A1392,'[1]Sales Order'!A:N,14,FALSE),"Not Specified")</f>
        <v>Austria</v>
      </c>
      <c r="Q1392" t="str">
        <f>VLOOKUP(VLOOKUP(B1392,[1]Product!A:C,3,FALSE),[1]Supplier!A:B,2,FALSE)</f>
        <v>Supplier XOXZA</v>
      </c>
      <c r="R1392" t="str">
        <f>VLOOKUP(VLOOKUP(B1392,[1]Product!A:C,3,FALSE),[1]Supplier!A:I,9,FALSE)</f>
        <v>Denmark</v>
      </c>
      <c r="S1392" t="str">
        <f>IFERROR(IF(VLOOKUP(A1392,'[1]Sales Order'!A:H,8,FALSE)&gt;100,"High Freight","Low Freight"),"Not Specified")</f>
        <v>High Freight</v>
      </c>
      <c r="T1392">
        <f t="shared" si="43"/>
        <v>243.67499999999998</v>
      </c>
    </row>
    <row r="1393" spans="1:20">
      <c r="A1393" s="1">
        <v>10776</v>
      </c>
      <c r="B1393" s="2">
        <v>51</v>
      </c>
      <c r="C1393" s="2">
        <v>53</v>
      </c>
      <c r="D1393" s="2">
        <v>120</v>
      </c>
      <c r="E1393" s="3">
        <v>0.05</v>
      </c>
      <c r="F1393" s="2" t="str">
        <f>IFERROR(VLOOKUP(VLOOKUP(A1393,'[1]Sales Order'!A:B,2,FALSE),[1]Customer!A:C,3,FALSE),"Not Specified")</f>
        <v>Kane, John</v>
      </c>
      <c r="G1393" s="2" t="str">
        <f t="shared" si="42"/>
        <v>Kane John</v>
      </c>
      <c r="H1393" s="8" t="str">
        <f>IFERROR(VLOOKUP(VLOOKUP(A1393,'[1]Sales Order'!A:C,3,FALSE),[1]Employee!A:E,5,FALSE)&amp;" "&amp;VLOOKUP(VLOOKUP(A1393,'[1]Sales Order'!A:C,3,FALSE),[1]Employee!A:C,3,FALSE)&amp;" "&amp;VLOOKUP(VLOOKUP(A1393,'[1]Sales Order'!A:C,3,FALSE),[1]Employee!A:B,2,FALSE),"Not Specified")</f>
        <v>Ms. Sara Davis</v>
      </c>
      <c r="I1393" t="str">
        <f>IFERROR(VLOOKUP(VLOOKUP(A1393,'[1]Sales Order'!A:C,3,FALSE),[1]Employee!A:J,10,FALSE),"Not Specified")</f>
        <v>WA</v>
      </c>
      <c r="J1393" t="str">
        <f>VLOOKUP(B1393,[1]Product!A:B,2,FALSE)</f>
        <v>Product APITJ</v>
      </c>
      <c r="K1393" t="str">
        <f>VLOOKUP(VLOOKUP(B1393,[1]Product!A:D,4,FALSE),[1]Category!A:B,2,FALSE)</f>
        <v>Produce</v>
      </c>
      <c r="L1393" s="10">
        <f>IFERROR(VLOOKUP(A1393,'[1]Sales Order'!A:D,4,FALSE),"")</f>
        <v>39431</v>
      </c>
      <c r="M1393" s="10">
        <f>IFERROR(VLOOKUP(A1393,'[1]Sales Order'!A:F,6,FALSE),"")</f>
        <v>39434</v>
      </c>
      <c r="N1393" t="str">
        <f>IFERROR(VLOOKUP(VLOOKUP(A1393,'[1]Sales Order'!A:G,7,FALSE),[1]Shipper!A:B,2,FALSE),"Not Specified")</f>
        <v>Shipper ZHISN</v>
      </c>
      <c r="O1393" t="str">
        <f>IFERROR(VLOOKUP(A1393,'[1]Sales Order'!A:I,9,FALSE),"Not Specified")</f>
        <v>Destination RVDMF</v>
      </c>
      <c r="P1393" t="str">
        <f>IFERROR(VLOOKUP(A1393,'[1]Sales Order'!A:N,14,FALSE),"Not Specified")</f>
        <v>Austria</v>
      </c>
      <c r="Q1393" t="str">
        <f>VLOOKUP(VLOOKUP(B1393,[1]Product!A:C,3,FALSE),[1]Supplier!A:B,2,FALSE)</f>
        <v>Supplier JNNES</v>
      </c>
      <c r="R1393" t="str">
        <f>VLOOKUP(VLOOKUP(B1393,[1]Product!A:C,3,FALSE),[1]Supplier!A:I,9,FALSE)</f>
        <v>Australia</v>
      </c>
      <c r="S1393" t="str">
        <f>IFERROR(IF(VLOOKUP(A1393,'[1]Sales Order'!A:H,8,FALSE)&gt;100,"High Freight","Low Freight"),"Not Specified")</f>
        <v>High Freight</v>
      </c>
      <c r="T1393">
        <f t="shared" si="43"/>
        <v>6042</v>
      </c>
    </row>
    <row r="1394" spans="1:20">
      <c r="A1394" s="1">
        <v>10777</v>
      </c>
      <c r="B1394" s="2">
        <v>42</v>
      </c>
      <c r="C1394" s="2">
        <v>14</v>
      </c>
      <c r="D1394" s="2">
        <v>20</v>
      </c>
      <c r="E1394" s="3">
        <v>0.2</v>
      </c>
      <c r="F1394" s="2" t="str">
        <f>IFERROR(VLOOKUP(VLOOKUP(A1394,'[1]Sales Order'!A:B,2,FALSE),[1]Customer!A:C,3,FALSE),"Not Specified")</f>
        <v>Cheng, Yao-Qiang</v>
      </c>
      <c r="G1394" s="2" t="str">
        <f t="shared" si="42"/>
        <v>Cheng Yao-Qiang</v>
      </c>
      <c r="H1394" s="8" t="str">
        <f>IFERROR(VLOOKUP(VLOOKUP(A1394,'[1]Sales Order'!A:C,3,FALSE),[1]Employee!A:E,5,FALSE)&amp;" "&amp;VLOOKUP(VLOOKUP(A1394,'[1]Sales Order'!A:C,3,FALSE),[1]Employee!A:C,3,FALSE)&amp;" "&amp;VLOOKUP(VLOOKUP(A1394,'[1]Sales Order'!A:C,3,FALSE),[1]Employee!A:B,2,FALSE),"Not Specified")</f>
        <v>Mr. Russell King</v>
      </c>
      <c r="I1394">
        <f>IFERROR(VLOOKUP(VLOOKUP(A1394,'[1]Sales Order'!A:C,3,FALSE),[1]Employee!A:J,10,FALSE),"Not Specified")</f>
        <v>0</v>
      </c>
      <c r="J1394" t="str">
        <f>VLOOKUP(B1394,[1]Product!A:B,2,FALSE)</f>
        <v>Product RJVNM</v>
      </c>
      <c r="K1394" t="str">
        <f>VLOOKUP(VLOOKUP(B1394,[1]Product!A:D,4,FALSE),[1]Category!A:B,2,FALSE)</f>
        <v>Grains/Cereals</v>
      </c>
      <c r="L1394" s="10">
        <f>IFERROR(VLOOKUP(A1394,'[1]Sales Order'!A:D,4,FALSE),"")</f>
        <v>39431</v>
      </c>
      <c r="M1394" s="10">
        <f>IFERROR(VLOOKUP(A1394,'[1]Sales Order'!A:F,6,FALSE),"")</f>
        <v>39468</v>
      </c>
      <c r="N1394" t="str">
        <f>IFERROR(VLOOKUP(VLOOKUP(A1394,'[1]Sales Order'!A:G,7,FALSE),[1]Shipper!A:B,2,FALSE),"Not Specified")</f>
        <v>Shipper ETYNR</v>
      </c>
      <c r="O1394" t="str">
        <f>IFERROR(VLOOKUP(A1394,'[1]Sales Order'!A:I,9,FALSE),"Not Specified")</f>
        <v>Destination GWPFK</v>
      </c>
      <c r="P1394" t="str">
        <f>IFERROR(VLOOKUP(A1394,'[1]Sales Order'!A:N,14,FALSE),"Not Specified")</f>
        <v>Brazil</v>
      </c>
      <c r="Q1394" t="str">
        <f>VLOOKUP(VLOOKUP(B1394,[1]Product!A:C,3,FALSE),[1]Supplier!A:B,2,FALSE)</f>
        <v>Supplier CIYNM</v>
      </c>
      <c r="R1394" t="str">
        <f>VLOOKUP(VLOOKUP(B1394,[1]Product!A:C,3,FALSE),[1]Supplier!A:I,9,FALSE)</f>
        <v>Singapore</v>
      </c>
      <c r="S1394" t="str">
        <f>IFERROR(IF(VLOOKUP(A1394,'[1]Sales Order'!A:H,8,FALSE)&gt;100,"High Freight","Low Freight"),"Not Specified")</f>
        <v>Low Freight</v>
      </c>
      <c r="T1394">
        <f t="shared" si="43"/>
        <v>224</v>
      </c>
    </row>
    <row r="1395" spans="1:20">
      <c r="A1395" s="1">
        <v>10778</v>
      </c>
      <c r="B1395" s="2">
        <v>41</v>
      </c>
      <c r="C1395" s="2">
        <v>9.65</v>
      </c>
      <c r="D1395" s="2">
        <v>10</v>
      </c>
      <c r="E1395" s="3">
        <v>0</v>
      </c>
      <c r="F1395" s="2" t="str">
        <f>IFERROR(VLOOKUP(VLOOKUP(A1395,'[1]Sales Order'!A:B,2,FALSE),[1]Customer!A:C,3,FALSE),"Not Specified")</f>
        <v>Higginbotham, Tom</v>
      </c>
      <c r="G1395" s="2" t="str">
        <f t="shared" si="42"/>
        <v>Higginbotham Tom</v>
      </c>
      <c r="H1395" s="8" t="str">
        <f>IFERROR(VLOOKUP(VLOOKUP(A1395,'[1]Sales Order'!A:C,3,FALSE),[1]Employee!A:E,5,FALSE)&amp;" "&amp;VLOOKUP(VLOOKUP(A1395,'[1]Sales Order'!A:C,3,FALSE),[1]Employee!A:C,3,FALSE)&amp;" "&amp;VLOOKUP(VLOOKUP(A1395,'[1]Sales Order'!A:C,3,FALSE),[1]Employee!A:B,2,FALSE),"Not Specified")</f>
        <v>Ms. Judy Lew</v>
      </c>
      <c r="I1395" t="str">
        <f>IFERROR(VLOOKUP(VLOOKUP(A1395,'[1]Sales Order'!A:C,3,FALSE),[1]Employee!A:J,10,FALSE),"Not Specified")</f>
        <v>WA</v>
      </c>
      <c r="J1395" t="str">
        <f>VLOOKUP(B1395,[1]Product!A:B,2,FALSE)</f>
        <v>Product TTEEX</v>
      </c>
      <c r="K1395" t="str">
        <f>VLOOKUP(VLOOKUP(B1395,[1]Product!A:D,4,FALSE),[1]Category!A:B,2,FALSE)</f>
        <v>Seafood</v>
      </c>
      <c r="L1395" s="10">
        <f>IFERROR(VLOOKUP(A1395,'[1]Sales Order'!A:D,4,FALSE),"")</f>
        <v>39432</v>
      </c>
      <c r="M1395" s="10">
        <f>IFERROR(VLOOKUP(A1395,'[1]Sales Order'!A:F,6,FALSE),"")</f>
        <v>39440</v>
      </c>
      <c r="N1395" t="str">
        <f>IFERROR(VLOOKUP(VLOOKUP(A1395,'[1]Sales Order'!A:G,7,FALSE),[1]Shipper!A:B,2,FALSE),"Not Specified")</f>
        <v>Shipper GVSUA</v>
      </c>
      <c r="O1395" t="str">
        <f>IFERROR(VLOOKUP(A1395,'[1]Sales Order'!A:I,9,FALSE),"Not Specified")</f>
        <v>Ship to 5-A</v>
      </c>
      <c r="P1395" t="str">
        <f>IFERROR(VLOOKUP(A1395,'[1]Sales Order'!A:N,14,FALSE),"Not Specified")</f>
        <v>Sweden</v>
      </c>
      <c r="Q1395" t="str">
        <f>VLOOKUP(VLOOKUP(B1395,[1]Product!A:C,3,FALSE),[1]Supplier!A:B,2,FALSE)</f>
        <v>Supplier JDNUG</v>
      </c>
      <c r="R1395" t="str">
        <f>VLOOKUP(VLOOKUP(B1395,[1]Product!A:C,3,FALSE),[1]Supplier!A:I,9,FALSE)</f>
        <v>USA</v>
      </c>
      <c r="S1395" t="str">
        <f>IFERROR(IF(VLOOKUP(A1395,'[1]Sales Order'!A:H,8,FALSE)&gt;100,"High Freight","Low Freight"),"Not Specified")</f>
        <v>Low Freight</v>
      </c>
      <c r="T1395">
        <f t="shared" si="43"/>
        <v>96.5</v>
      </c>
    </row>
    <row r="1396" spans="1:20">
      <c r="A1396" s="1">
        <v>10779</v>
      </c>
      <c r="B1396" s="2">
        <v>16</v>
      </c>
      <c r="C1396" s="2">
        <v>17.45</v>
      </c>
      <c r="D1396" s="2">
        <v>20</v>
      </c>
      <c r="E1396" s="3">
        <v>0</v>
      </c>
      <c r="F1396" s="2" t="str">
        <f>IFERROR(VLOOKUP(VLOOKUP(A1396,'[1]Sales Order'!A:B,2,FALSE),[1]Customer!A:C,3,FALSE),"Not Specified")</f>
        <v>Dupont-Roc, Patrice</v>
      </c>
      <c r="G1396" s="2" t="str">
        <f t="shared" si="42"/>
        <v>Dupont-Roc Patrice</v>
      </c>
      <c r="H1396" s="8" t="str">
        <f>IFERROR(VLOOKUP(VLOOKUP(A1396,'[1]Sales Order'!A:C,3,FALSE),[1]Employee!A:E,5,FALSE)&amp;" "&amp;VLOOKUP(VLOOKUP(A1396,'[1]Sales Order'!A:C,3,FALSE),[1]Employee!A:C,3,FALSE)&amp;" "&amp;VLOOKUP(VLOOKUP(A1396,'[1]Sales Order'!A:C,3,FALSE),[1]Employee!A:B,2,FALSE),"Not Specified")</f>
        <v>Ms. Judy Lew</v>
      </c>
      <c r="I1396" t="str">
        <f>IFERROR(VLOOKUP(VLOOKUP(A1396,'[1]Sales Order'!A:C,3,FALSE),[1]Employee!A:J,10,FALSE),"Not Specified")</f>
        <v>WA</v>
      </c>
      <c r="J1396" t="str">
        <f>VLOOKUP(B1396,[1]Product!A:B,2,FALSE)</f>
        <v>Product PAFRH</v>
      </c>
      <c r="K1396" t="str">
        <f>VLOOKUP(VLOOKUP(B1396,[1]Product!A:D,4,FALSE),[1]Category!A:B,2,FALSE)</f>
        <v>Confections</v>
      </c>
      <c r="L1396" s="10">
        <f>IFERROR(VLOOKUP(A1396,'[1]Sales Order'!A:D,4,FALSE),"")</f>
        <v>39432</v>
      </c>
      <c r="M1396" s="10">
        <f>IFERROR(VLOOKUP(A1396,'[1]Sales Order'!A:F,6,FALSE),"")</f>
        <v>39461</v>
      </c>
      <c r="N1396" t="str">
        <f>IFERROR(VLOOKUP(VLOOKUP(A1396,'[1]Sales Order'!A:G,7,FALSE),[1]Shipper!A:B,2,FALSE),"Not Specified")</f>
        <v>Shipper ETYNR</v>
      </c>
      <c r="O1396" t="str">
        <f>IFERROR(VLOOKUP(A1396,'[1]Sales Order'!A:I,9,FALSE),"Not Specified")</f>
        <v>Ship to 52-A</v>
      </c>
      <c r="P1396" t="str">
        <f>IFERROR(VLOOKUP(A1396,'[1]Sales Order'!A:N,14,FALSE),"Not Specified")</f>
        <v>Germany</v>
      </c>
      <c r="Q1396" t="str">
        <f>VLOOKUP(VLOOKUP(B1396,[1]Product!A:C,3,FALSE),[1]Supplier!A:B,2,FALSE)</f>
        <v>Supplier GQRCV</v>
      </c>
      <c r="R1396" t="str">
        <f>VLOOKUP(VLOOKUP(B1396,[1]Product!A:C,3,FALSE),[1]Supplier!A:I,9,FALSE)</f>
        <v>Australia</v>
      </c>
      <c r="S1396" t="str">
        <f>IFERROR(IF(VLOOKUP(A1396,'[1]Sales Order'!A:H,8,FALSE)&gt;100,"High Freight","Low Freight"),"Not Specified")</f>
        <v>Low Freight</v>
      </c>
      <c r="T1396">
        <f t="shared" si="43"/>
        <v>349</v>
      </c>
    </row>
    <row r="1397" spans="1:20">
      <c r="A1397" s="1">
        <v>10779</v>
      </c>
      <c r="B1397" s="2">
        <v>62</v>
      </c>
      <c r="C1397" s="2">
        <v>49.3</v>
      </c>
      <c r="D1397" s="2">
        <v>20</v>
      </c>
      <c r="E1397" s="3">
        <v>0</v>
      </c>
      <c r="F1397" s="2" t="str">
        <f>IFERROR(VLOOKUP(VLOOKUP(A1397,'[1]Sales Order'!A:B,2,FALSE),[1]Customer!A:C,3,FALSE),"Not Specified")</f>
        <v>Dupont-Roc, Patrice</v>
      </c>
      <c r="G1397" s="2" t="str">
        <f t="shared" si="42"/>
        <v>Dupont-Roc Patrice</v>
      </c>
      <c r="H1397" s="8" t="str">
        <f>IFERROR(VLOOKUP(VLOOKUP(A1397,'[1]Sales Order'!A:C,3,FALSE),[1]Employee!A:E,5,FALSE)&amp;" "&amp;VLOOKUP(VLOOKUP(A1397,'[1]Sales Order'!A:C,3,FALSE),[1]Employee!A:C,3,FALSE)&amp;" "&amp;VLOOKUP(VLOOKUP(A1397,'[1]Sales Order'!A:C,3,FALSE),[1]Employee!A:B,2,FALSE),"Not Specified")</f>
        <v>Ms. Judy Lew</v>
      </c>
      <c r="I1397" t="str">
        <f>IFERROR(VLOOKUP(VLOOKUP(A1397,'[1]Sales Order'!A:C,3,FALSE),[1]Employee!A:J,10,FALSE),"Not Specified")</f>
        <v>WA</v>
      </c>
      <c r="J1397" t="str">
        <f>VLOOKUP(B1397,[1]Product!A:B,2,FALSE)</f>
        <v>Product WUXYK</v>
      </c>
      <c r="K1397" t="str">
        <f>VLOOKUP(VLOOKUP(B1397,[1]Product!A:D,4,FALSE),[1]Category!A:B,2,FALSE)</f>
        <v>Confections</v>
      </c>
      <c r="L1397" s="10">
        <f>IFERROR(VLOOKUP(A1397,'[1]Sales Order'!A:D,4,FALSE),"")</f>
        <v>39432</v>
      </c>
      <c r="M1397" s="10">
        <f>IFERROR(VLOOKUP(A1397,'[1]Sales Order'!A:F,6,FALSE),"")</f>
        <v>39461</v>
      </c>
      <c r="N1397" t="str">
        <f>IFERROR(VLOOKUP(VLOOKUP(A1397,'[1]Sales Order'!A:G,7,FALSE),[1]Shipper!A:B,2,FALSE),"Not Specified")</f>
        <v>Shipper ETYNR</v>
      </c>
      <c r="O1397" t="str">
        <f>IFERROR(VLOOKUP(A1397,'[1]Sales Order'!A:I,9,FALSE),"Not Specified")</f>
        <v>Ship to 52-A</v>
      </c>
      <c r="P1397" t="str">
        <f>IFERROR(VLOOKUP(A1397,'[1]Sales Order'!A:N,14,FALSE),"Not Specified")</f>
        <v>Germany</v>
      </c>
      <c r="Q1397" t="str">
        <f>VLOOKUP(VLOOKUP(B1397,[1]Product!A:C,3,FALSE),[1]Supplier!A:B,2,FALSE)</f>
        <v>Supplier OGLRK</v>
      </c>
      <c r="R1397" t="str">
        <f>VLOOKUP(VLOOKUP(B1397,[1]Product!A:C,3,FALSE),[1]Supplier!A:I,9,FALSE)</f>
        <v>Canada</v>
      </c>
      <c r="S1397" t="str">
        <f>IFERROR(IF(VLOOKUP(A1397,'[1]Sales Order'!A:H,8,FALSE)&gt;100,"High Freight","Low Freight"),"Not Specified")</f>
        <v>Low Freight</v>
      </c>
      <c r="T1397">
        <f t="shared" si="43"/>
        <v>986</v>
      </c>
    </row>
    <row r="1398" spans="1:20">
      <c r="A1398" s="1">
        <v>10780</v>
      </c>
      <c r="B1398" s="2">
        <v>70</v>
      </c>
      <c r="C1398" s="2">
        <v>15</v>
      </c>
      <c r="D1398" s="2">
        <v>35</v>
      </c>
      <c r="E1398" s="3">
        <v>0</v>
      </c>
      <c r="F1398" s="2" t="str">
        <f>IFERROR(VLOOKUP(VLOOKUP(A1398,'[1]Sales Order'!A:B,2,FALSE),[1]Customer!A:C,3,FALSE),"Not Specified")</f>
        <v>Dressler, Marlies</v>
      </c>
      <c r="G1398" s="2" t="str">
        <f t="shared" si="42"/>
        <v>Dressler Marlies</v>
      </c>
      <c r="H1398" s="8" t="str">
        <f>IFERROR(VLOOKUP(VLOOKUP(A1398,'[1]Sales Order'!A:C,3,FALSE),[1]Employee!A:E,5,FALSE)&amp;" "&amp;VLOOKUP(VLOOKUP(A1398,'[1]Sales Order'!A:C,3,FALSE),[1]Employee!A:C,3,FALSE)&amp;" "&amp;VLOOKUP(VLOOKUP(A1398,'[1]Sales Order'!A:C,3,FALSE),[1]Employee!A:B,2,FALSE),"Not Specified")</f>
        <v>Dr. Don Funk</v>
      </c>
      <c r="I1398" t="str">
        <f>IFERROR(VLOOKUP(VLOOKUP(A1398,'[1]Sales Order'!A:C,3,FALSE),[1]Employee!A:J,10,FALSE),"Not Specified")</f>
        <v>WA</v>
      </c>
      <c r="J1398" t="str">
        <f>VLOOKUP(B1398,[1]Product!A:B,2,FALSE)</f>
        <v>Product TOONT</v>
      </c>
      <c r="K1398" t="str">
        <f>VLOOKUP(VLOOKUP(B1398,[1]Product!A:D,4,FALSE),[1]Category!A:B,2,FALSE)</f>
        <v>Beverages</v>
      </c>
      <c r="L1398" s="10">
        <f>IFERROR(VLOOKUP(A1398,'[1]Sales Order'!A:D,4,FALSE),"")</f>
        <v>39432</v>
      </c>
      <c r="M1398" s="10">
        <f>IFERROR(VLOOKUP(A1398,'[1]Sales Order'!A:F,6,FALSE),"")</f>
        <v>39441</v>
      </c>
      <c r="N1398" t="str">
        <f>IFERROR(VLOOKUP(VLOOKUP(A1398,'[1]Sales Order'!A:G,7,FALSE),[1]Shipper!A:B,2,FALSE),"Not Specified")</f>
        <v>Shipper GVSUA</v>
      </c>
      <c r="O1398" t="str">
        <f>IFERROR(VLOOKUP(A1398,'[1]Sales Order'!A:I,9,FALSE),"Not Specified")</f>
        <v>Ship to 46-C</v>
      </c>
      <c r="P1398" t="str">
        <f>IFERROR(VLOOKUP(A1398,'[1]Sales Order'!A:N,14,FALSE),"Not Specified")</f>
        <v>Venezuela</v>
      </c>
      <c r="Q1398" t="str">
        <f>VLOOKUP(VLOOKUP(B1398,[1]Product!A:C,3,FALSE),[1]Supplier!A:B,2,FALSE)</f>
        <v>Supplier GQRCV</v>
      </c>
      <c r="R1398" t="str">
        <f>VLOOKUP(VLOOKUP(B1398,[1]Product!A:C,3,FALSE),[1]Supplier!A:I,9,FALSE)</f>
        <v>Australia</v>
      </c>
      <c r="S1398" t="str">
        <f>IFERROR(IF(VLOOKUP(A1398,'[1]Sales Order'!A:H,8,FALSE)&gt;100,"High Freight","Low Freight"),"Not Specified")</f>
        <v>Low Freight</v>
      </c>
      <c r="T1398">
        <f t="shared" si="43"/>
        <v>525</v>
      </c>
    </row>
    <row r="1399" spans="1:20">
      <c r="A1399" s="1">
        <v>10780</v>
      </c>
      <c r="B1399" s="2">
        <v>77</v>
      </c>
      <c r="C1399" s="2">
        <v>13</v>
      </c>
      <c r="D1399" s="2">
        <v>15</v>
      </c>
      <c r="E1399" s="3">
        <v>0</v>
      </c>
      <c r="F1399" s="2" t="str">
        <f>IFERROR(VLOOKUP(VLOOKUP(A1399,'[1]Sales Order'!A:B,2,FALSE),[1]Customer!A:C,3,FALSE),"Not Specified")</f>
        <v>Dressler, Marlies</v>
      </c>
      <c r="G1399" s="2" t="str">
        <f t="shared" si="42"/>
        <v>Dressler Marlies</v>
      </c>
      <c r="H1399" s="8" t="str">
        <f>IFERROR(VLOOKUP(VLOOKUP(A1399,'[1]Sales Order'!A:C,3,FALSE),[1]Employee!A:E,5,FALSE)&amp;" "&amp;VLOOKUP(VLOOKUP(A1399,'[1]Sales Order'!A:C,3,FALSE),[1]Employee!A:C,3,FALSE)&amp;" "&amp;VLOOKUP(VLOOKUP(A1399,'[1]Sales Order'!A:C,3,FALSE),[1]Employee!A:B,2,FALSE),"Not Specified")</f>
        <v>Dr. Don Funk</v>
      </c>
      <c r="I1399" t="str">
        <f>IFERROR(VLOOKUP(VLOOKUP(A1399,'[1]Sales Order'!A:C,3,FALSE),[1]Employee!A:J,10,FALSE),"Not Specified")</f>
        <v>WA</v>
      </c>
      <c r="J1399" t="str">
        <f>VLOOKUP(B1399,[1]Product!A:B,2,FALSE)</f>
        <v>Product LUNZZ</v>
      </c>
      <c r="K1399" t="str">
        <f>VLOOKUP(VLOOKUP(B1399,[1]Product!A:D,4,FALSE),[1]Category!A:B,2,FALSE)</f>
        <v>Condiments</v>
      </c>
      <c r="L1399" s="10">
        <f>IFERROR(VLOOKUP(A1399,'[1]Sales Order'!A:D,4,FALSE),"")</f>
        <v>39432</v>
      </c>
      <c r="M1399" s="10">
        <f>IFERROR(VLOOKUP(A1399,'[1]Sales Order'!A:F,6,FALSE),"")</f>
        <v>39441</v>
      </c>
      <c r="N1399" t="str">
        <f>IFERROR(VLOOKUP(VLOOKUP(A1399,'[1]Sales Order'!A:G,7,FALSE),[1]Shipper!A:B,2,FALSE),"Not Specified")</f>
        <v>Shipper GVSUA</v>
      </c>
      <c r="O1399" t="str">
        <f>IFERROR(VLOOKUP(A1399,'[1]Sales Order'!A:I,9,FALSE),"Not Specified")</f>
        <v>Ship to 46-C</v>
      </c>
      <c r="P1399" t="str">
        <f>IFERROR(VLOOKUP(A1399,'[1]Sales Order'!A:N,14,FALSE),"Not Specified")</f>
        <v>Venezuela</v>
      </c>
      <c r="Q1399" t="str">
        <f>VLOOKUP(VLOOKUP(B1399,[1]Product!A:C,3,FALSE),[1]Supplier!A:B,2,FALSE)</f>
        <v>Supplier SVIYA</v>
      </c>
      <c r="R1399" t="str">
        <f>VLOOKUP(VLOOKUP(B1399,[1]Product!A:C,3,FALSE),[1]Supplier!A:I,9,FALSE)</f>
        <v>Germany</v>
      </c>
      <c r="S1399" t="str">
        <f>IFERROR(IF(VLOOKUP(A1399,'[1]Sales Order'!A:H,8,FALSE)&gt;100,"High Freight","Low Freight"),"Not Specified")</f>
        <v>Low Freight</v>
      </c>
      <c r="T1399">
        <f t="shared" si="43"/>
        <v>195</v>
      </c>
    </row>
    <row r="1400" spans="1:20">
      <c r="A1400" s="1">
        <v>10781</v>
      </c>
      <c r="B1400" s="2">
        <v>54</v>
      </c>
      <c r="C1400" s="2">
        <v>7.45</v>
      </c>
      <c r="D1400" s="2">
        <v>3</v>
      </c>
      <c r="E1400" s="3">
        <v>0.2</v>
      </c>
      <c r="F1400" s="2" t="str">
        <f>IFERROR(VLOOKUP(VLOOKUP(A1400,'[1]Sales Order'!A:B,2,FALSE),[1]Customer!A:C,3,FALSE),"Not Specified")</f>
        <v>Ludwig, Michael</v>
      </c>
      <c r="G1400" s="2" t="str">
        <f t="shared" si="42"/>
        <v>Ludwig Michael</v>
      </c>
      <c r="H1400" s="8" t="str">
        <f>IFERROR(VLOOKUP(VLOOKUP(A1400,'[1]Sales Order'!A:C,3,FALSE),[1]Employee!A:E,5,FALSE)&amp;" "&amp;VLOOKUP(VLOOKUP(A1400,'[1]Sales Order'!A:C,3,FALSE),[1]Employee!A:C,3,FALSE)&amp;" "&amp;VLOOKUP(VLOOKUP(A1400,'[1]Sales Order'!A:C,3,FALSE),[1]Employee!A:B,2,FALSE),"Not Specified")</f>
        <v>Dr. Don Funk</v>
      </c>
      <c r="I1400" t="str">
        <f>IFERROR(VLOOKUP(VLOOKUP(A1400,'[1]Sales Order'!A:C,3,FALSE),[1]Employee!A:J,10,FALSE),"Not Specified")</f>
        <v>WA</v>
      </c>
      <c r="J1400" t="str">
        <f>VLOOKUP(B1400,[1]Product!A:B,2,FALSE)</f>
        <v>Product QAQRL</v>
      </c>
      <c r="K1400" t="str">
        <f>VLOOKUP(VLOOKUP(B1400,[1]Product!A:D,4,FALSE),[1]Category!A:B,2,FALSE)</f>
        <v>Meat/Poultry</v>
      </c>
      <c r="L1400" s="10">
        <f>IFERROR(VLOOKUP(A1400,'[1]Sales Order'!A:D,4,FALSE),"")</f>
        <v>39433</v>
      </c>
      <c r="M1400" s="10">
        <f>IFERROR(VLOOKUP(A1400,'[1]Sales Order'!A:F,6,FALSE),"")</f>
        <v>39435</v>
      </c>
      <c r="N1400" t="str">
        <f>IFERROR(VLOOKUP(VLOOKUP(A1400,'[1]Sales Order'!A:G,7,FALSE),[1]Shipper!A:B,2,FALSE),"Not Specified")</f>
        <v>Shipper ZHISN</v>
      </c>
      <c r="O1400" t="str">
        <f>IFERROR(VLOOKUP(A1400,'[1]Sales Order'!A:I,9,FALSE),"Not Specified")</f>
        <v>Ship to 87-A</v>
      </c>
      <c r="P1400" t="str">
        <f>IFERROR(VLOOKUP(A1400,'[1]Sales Order'!A:N,14,FALSE),"Not Specified")</f>
        <v>Finland</v>
      </c>
      <c r="Q1400" t="str">
        <f>VLOOKUP(VLOOKUP(B1400,[1]Product!A:C,3,FALSE),[1]Supplier!A:B,2,FALSE)</f>
        <v>Supplier ERVYZ</v>
      </c>
      <c r="R1400" t="str">
        <f>VLOOKUP(VLOOKUP(B1400,[1]Product!A:C,3,FALSE),[1]Supplier!A:I,9,FALSE)</f>
        <v>Canada</v>
      </c>
      <c r="S1400" t="str">
        <f>IFERROR(IF(VLOOKUP(A1400,'[1]Sales Order'!A:H,8,FALSE)&gt;100,"High Freight","Low Freight"),"Not Specified")</f>
        <v>Low Freight</v>
      </c>
      <c r="T1400">
        <f t="shared" si="43"/>
        <v>17.880000000000003</v>
      </c>
    </row>
    <row r="1401" spans="1:20">
      <c r="A1401" s="1">
        <v>10781</v>
      </c>
      <c r="B1401" s="2">
        <v>56</v>
      </c>
      <c r="C1401" s="2">
        <v>38</v>
      </c>
      <c r="D1401" s="2">
        <v>20</v>
      </c>
      <c r="E1401" s="3">
        <v>0.2</v>
      </c>
      <c r="F1401" s="2" t="str">
        <f>IFERROR(VLOOKUP(VLOOKUP(A1401,'[1]Sales Order'!A:B,2,FALSE),[1]Customer!A:C,3,FALSE),"Not Specified")</f>
        <v>Ludwig, Michael</v>
      </c>
      <c r="G1401" s="2" t="str">
        <f t="shared" si="42"/>
        <v>Ludwig Michael</v>
      </c>
      <c r="H1401" s="8" t="str">
        <f>IFERROR(VLOOKUP(VLOOKUP(A1401,'[1]Sales Order'!A:C,3,FALSE),[1]Employee!A:E,5,FALSE)&amp;" "&amp;VLOOKUP(VLOOKUP(A1401,'[1]Sales Order'!A:C,3,FALSE),[1]Employee!A:C,3,FALSE)&amp;" "&amp;VLOOKUP(VLOOKUP(A1401,'[1]Sales Order'!A:C,3,FALSE),[1]Employee!A:B,2,FALSE),"Not Specified")</f>
        <v>Dr. Don Funk</v>
      </c>
      <c r="I1401" t="str">
        <f>IFERROR(VLOOKUP(VLOOKUP(A1401,'[1]Sales Order'!A:C,3,FALSE),[1]Employee!A:J,10,FALSE),"Not Specified")</f>
        <v>WA</v>
      </c>
      <c r="J1401" t="str">
        <f>VLOOKUP(B1401,[1]Product!A:B,2,FALSE)</f>
        <v>Product VKCMF</v>
      </c>
      <c r="K1401" t="str">
        <f>VLOOKUP(VLOOKUP(B1401,[1]Product!A:D,4,FALSE),[1]Category!A:B,2,FALSE)</f>
        <v>Grains/Cereals</v>
      </c>
      <c r="L1401" s="10">
        <f>IFERROR(VLOOKUP(A1401,'[1]Sales Order'!A:D,4,FALSE),"")</f>
        <v>39433</v>
      </c>
      <c r="M1401" s="10">
        <f>IFERROR(VLOOKUP(A1401,'[1]Sales Order'!A:F,6,FALSE),"")</f>
        <v>39435</v>
      </c>
      <c r="N1401" t="str">
        <f>IFERROR(VLOOKUP(VLOOKUP(A1401,'[1]Sales Order'!A:G,7,FALSE),[1]Shipper!A:B,2,FALSE),"Not Specified")</f>
        <v>Shipper ZHISN</v>
      </c>
      <c r="O1401" t="str">
        <f>IFERROR(VLOOKUP(A1401,'[1]Sales Order'!A:I,9,FALSE),"Not Specified")</f>
        <v>Ship to 87-A</v>
      </c>
      <c r="P1401" t="str">
        <f>IFERROR(VLOOKUP(A1401,'[1]Sales Order'!A:N,14,FALSE),"Not Specified")</f>
        <v>Finland</v>
      </c>
      <c r="Q1401" t="str">
        <f>VLOOKUP(VLOOKUP(B1401,[1]Product!A:C,3,FALSE),[1]Supplier!A:B,2,FALSE)</f>
        <v>Supplier ZWZDM</v>
      </c>
      <c r="R1401" t="str">
        <f>VLOOKUP(VLOOKUP(B1401,[1]Product!A:C,3,FALSE),[1]Supplier!A:I,9,FALSE)</f>
        <v>Italy</v>
      </c>
      <c r="S1401" t="str">
        <f>IFERROR(IF(VLOOKUP(A1401,'[1]Sales Order'!A:H,8,FALSE)&gt;100,"High Freight","Low Freight"),"Not Specified")</f>
        <v>Low Freight</v>
      </c>
      <c r="T1401">
        <f t="shared" si="43"/>
        <v>608</v>
      </c>
    </row>
    <row r="1402" spans="1:20">
      <c r="A1402" s="1">
        <v>10781</v>
      </c>
      <c r="B1402" s="2">
        <v>74</v>
      </c>
      <c r="C1402" s="2">
        <v>10</v>
      </c>
      <c r="D1402" s="2">
        <v>35</v>
      </c>
      <c r="E1402" s="3">
        <v>0</v>
      </c>
      <c r="F1402" s="2" t="str">
        <f>IFERROR(VLOOKUP(VLOOKUP(A1402,'[1]Sales Order'!A:B,2,FALSE),[1]Customer!A:C,3,FALSE),"Not Specified")</f>
        <v>Ludwig, Michael</v>
      </c>
      <c r="G1402" s="2" t="str">
        <f t="shared" si="42"/>
        <v>Ludwig Michael</v>
      </c>
      <c r="H1402" s="8" t="str">
        <f>IFERROR(VLOOKUP(VLOOKUP(A1402,'[1]Sales Order'!A:C,3,FALSE),[1]Employee!A:E,5,FALSE)&amp;" "&amp;VLOOKUP(VLOOKUP(A1402,'[1]Sales Order'!A:C,3,FALSE),[1]Employee!A:C,3,FALSE)&amp;" "&amp;VLOOKUP(VLOOKUP(A1402,'[1]Sales Order'!A:C,3,FALSE),[1]Employee!A:B,2,FALSE),"Not Specified")</f>
        <v>Dr. Don Funk</v>
      </c>
      <c r="I1402" t="str">
        <f>IFERROR(VLOOKUP(VLOOKUP(A1402,'[1]Sales Order'!A:C,3,FALSE),[1]Employee!A:J,10,FALSE),"Not Specified")</f>
        <v>WA</v>
      </c>
      <c r="J1402" t="str">
        <f>VLOOKUP(B1402,[1]Product!A:B,2,FALSE)</f>
        <v>Product BKAZJ</v>
      </c>
      <c r="K1402" t="str">
        <f>VLOOKUP(VLOOKUP(B1402,[1]Product!A:D,4,FALSE),[1]Category!A:B,2,FALSE)</f>
        <v>Produce</v>
      </c>
      <c r="L1402" s="10">
        <f>IFERROR(VLOOKUP(A1402,'[1]Sales Order'!A:D,4,FALSE),"")</f>
        <v>39433</v>
      </c>
      <c r="M1402" s="10">
        <f>IFERROR(VLOOKUP(A1402,'[1]Sales Order'!A:F,6,FALSE),"")</f>
        <v>39435</v>
      </c>
      <c r="N1402" t="str">
        <f>IFERROR(VLOOKUP(VLOOKUP(A1402,'[1]Sales Order'!A:G,7,FALSE),[1]Shipper!A:B,2,FALSE),"Not Specified")</f>
        <v>Shipper ZHISN</v>
      </c>
      <c r="O1402" t="str">
        <f>IFERROR(VLOOKUP(A1402,'[1]Sales Order'!A:I,9,FALSE),"Not Specified")</f>
        <v>Ship to 87-A</v>
      </c>
      <c r="P1402" t="str">
        <f>IFERROR(VLOOKUP(A1402,'[1]Sales Order'!A:N,14,FALSE),"Not Specified")</f>
        <v>Finland</v>
      </c>
      <c r="Q1402" t="str">
        <f>VLOOKUP(VLOOKUP(B1402,[1]Product!A:C,3,FALSE),[1]Supplier!A:B,2,FALSE)</f>
        <v>Supplier QOVFD</v>
      </c>
      <c r="R1402" t="str">
        <f>VLOOKUP(VLOOKUP(B1402,[1]Product!A:C,3,FALSE),[1]Supplier!A:I,9,FALSE)</f>
        <v>Japan</v>
      </c>
      <c r="S1402" t="str">
        <f>IFERROR(IF(VLOOKUP(A1402,'[1]Sales Order'!A:H,8,FALSE)&gt;100,"High Freight","Low Freight"),"Not Specified")</f>
        <v>Low Freight</v>
      </c>
      <c r="T1402">
        <f t="shared" si="43"/>
        <v>350</v>
      </c>
    </row>
    <row r="1403" spans="1:20">
      <c r="A1403" s="1">
        <v>10782</v>
      </c>
      <c r="B1403" s="2">
        <v>31</v>
      </c>
      <c r="C1403" s="2">
        <v>12.5</v>
      </c>
      <c r="D1403" s="2">
        <v>1</v>
      </c>
      <c r="E1403" s="3">
        <v>0</v>
      </c>
      <c r="F1403" s="2" t="str">
        <f>IFERROR(VLOOKUP(VLOOKUP(A1403,'[1]Sales Order'!A:B,2,FALSE),[1]Customer!A:C,3,FALSE),"Not Specified")</f>
        <v>Ray, Mike</v>
      </c>
      <c r="G1403" s="2" t="str">
        <f t="shared" si="42"/>
        <v>Ray Mike</v>
      </c>
      <c r="H1403" s="8" t="str">
        <f>IFERROR(VLOOKUP(VLOOKUP(A1403,'[1]Sales Order'!A:C,3,FALSE),[1]Employee!A:E,5,FALSE)&amp;" "&amp;VLOOKUP(VLOOKUP(A1403,'[1]Sales Order'!A:C,3,FALSE),[1]Employee!A:C,3,FALSE)&amp;" "&amp;VLOOKUP(VLOOKUP(A1403,'[1]Sales Order'!A:C,3,FALSE),[1]Employee!A:B,2,FALSE),"Not Specified")</f>
        <v>Ms. Zoya Dolgopyatova</v>
      </c>
      <c r="I1403">
        <f>IFERROR(VLOOKUP(VLOOKUP(A1403,'[1]Sales Order'!A:C,3,FALSE),[1]Employee!A:J,10,FALSE),"Not Specified")</f>
        <v>0</v>
      </c>
      <c r="J1403" t="str">
        <f>VLOOKUP(B1403,[1]Product!A:B,2,FALSE)</f>
        <v>Product XWOXC</v>
      </c>
      <c r="K1403" t="str">
        <f>VLOOKUP(VLOOKUP(B1403,[1]Product!A:D,4,FALSE),[1]Category!A:B,2,FALSE)</f>
        <v>Dairy Product</v>
      </c>
      <c r="L1403" s="10">
        <f>IFERROR(VLOOKUP(A1403,'[1]Sales Order'!A:D,4,FALSE),"")</f>
        <v>39433</v>
      </c>
      <c r="M1403" s="10">
        <f>IFERROR(VLOOKUP(A1403,'[1]Sales Order'!A:F,6,FALSE),"")</f>
        <v>39438</v>
      </c>
      <c r="N1403" t="str">
        <f>IFERROR(VLOOKUP(VLOOKUP(A1403,'[1]Sales Order'!A:G,7,FALSE),[1]Shipper!A:B,2,FALSE),"Not Specified")</f>
        <v>Shipper ZHISN</v>
      </c>
      <c r="O1403" t="str">
        <f>IFERROR(VLOOKUP(A1403,'[1]Sales Order'!A:I,9,FALSE),"Not Specified")</f>
        <v>Destination CJDJB</v>
      </c>
      <c r="P1403" t="str">
        <f>IFERROR(VLOOKUP(A1403,'[1]Sales Order'!A:N,14,FALSE),"Not Specified")</f>
        <v>Argentina</v>
      </c>
      <c r="Q1403" t="str">
        <f>VLOOKUP(VLOOKUP(B1403,[1]Product!A:C,3,FALSE),[1]Supplier!A:B,2,FALSE)</f>
        <v>Supplier KEREV</v>
      </c>
      <c r="R1403" t="str">
        <f>VLOOKUP(VLOOKUP(B1403,[1]Product!A:C,3,FALSE),[1]Supplier!A:I,9,FALSE)</f>
        <v>Italy</v>
      </c>
      <c r="S1403" t="str">
        <f>IFERROR(IF(VLOOKUP(A1403,'[1]Sales Order'!A:H,8,FALSE)&gt;100,"High Freight","Low Freight"),"Not Specified")</f>
        <v>Low Freight</v>
      </c>
      <c r="T1403">
        <f t="shared" si="43"/>
        <v>12.5</v>
      </c>
    </row>
    <row r="1404" spans="1:20">
      <c r="A1404" s="1">
        <v>10783</v>
      </c>
      <c r="B1404" s="2">
        <v>31</v>
      </c>
      <c r="C1404" s="2">
        <v>12.5</v>
      </c>
      <c r="D1404" s="2">
        <v>10</v>
      </c>
      <c r="E1404" s="3">
        <v>0</v>
      </c>
      <c r="F1404" s="2" t="str">
        <f>IFERROR(VLOOKUP(VLOOKUP(A1404,'[1]Sales Order'!A:B,2,FALSE),[1]Customer!A:C,3,FALSE),"Not Specified")</f>
        <v>Cohen, Shy</v>
      </c>
      <c r="G1404" s="2" t="str">
        <f t="shared" si="42"/>
        <v>Cohen Shy</v>
      </c>
      <c r="H1404" s="8" t="str">
        <f>IFERROR(VLOOKUP(VLOOKUP(A1404,'[1]Sales Order'!A:C,3,FALSE),[1]Employee!A:E,5,FALSE)&amp;" "&amp;VLOOKUP(VLOOKUP(A1404,'[1]Sales Order'!A:C,3,FALSE),[1]Employee!A:C,3,FALSE)&amp;" "&amp;VLOOKUP(VLOOKUP(A1404,'[1]Sales Order'!A:C,3,FALSE),[1]Employee!A:B,2,FALSE),"Not Specified")</f>
        <v>Mrs. Yael Peled</v>
      </c>
      <c r="I1404" t="str">
        <f>IFERROR(VLOOKUP(VLOOKUP(A1404,'[1]Sales Order'!A:C,3,FALSE),[1]Employee!A:J,10,FALSE),"Not Specified")</f>
        <v>WA</v>
      </c>
      <c r="J1404" t="str">
        <f>VLOOKUP(B1404,[1]Product!A:B,2,FALSE)</f>
        <v>Product XWOXC</v>
      </c>
      <c r="K1404" t="str">
        <f>VLOOKUP(VLOOKUP(B1404,[1]Product!A:D,4,FALSE),[1]Category!A:B,2,FALSE)</f>
        <v>Dairy Product</v>
      </c>
      <c r="L1404" s="10">
        <f>IFERROR(VLOOKUP(A1404,'[1]Sales Order'!A:D,4,FALSE),"")</f>
        <v>39434</v>
      </c>
      <c r="M1404" s="10">
        <f>IFERROR(VLOOKUP(A1404,'[1]Sales Order'!A:F,6,FALSE),"")</f>
        <v>39435</v>
      </c>
      <c r="N1404" t="str">
        <f>IFERROR(VLOOKUP(VLOOKUP(A1404,'[1]Sales Order'!A:G,7,FALSE),[1]Shipper!A:B,2,FALSE),"Not Specified")</f>
        <v>Shipper ETYNR</v>
      </c>
      <c r="O1404" t="str">
        <f>IFERROR(VLOOKUP(A1404,'[1]Sales Order'!A:I,9,FALSE),"Not Specified")</f>
        <v>Destination DPCVR</v>
      </c>
      <c r="P1404" t="str">
        <f>IFERROR(VLOOKUP(A1404,'[1]Sales Order'!A:N,14,FALSE),"Not Specified")</f>
        <v>Brazil</v>
      </c>
      <c r="Q1404" t="str">
        <f>VLOOKUP(VLOOKUP(B1404,[1]Product!A:C,3,FALSE),[1]Supplier!A:B,2,FALSE)</f>
        <v>Supplier KEREV</v>
      </c>
      <c r="R1404" t="str">
        <f>VLOOKUP(VLOOKUP(B1404,[1]Product!A:C,3,FALSE),[1]Supplier!A:I,9,FALSE)</f>
        <v>Italy</v>
      </c>
      <c r="S1404" t="str">
        <f>IFERROR(IF(VLOOKUP(A1404,'[1]Sales Order'!A:H,8,FALSE)&gt;100,"High Freight","Low Freight"),"Not Specified")</f>
        <v>High Freight</v>
      </c>
      <c r="T1404">
        <f t="shared" si="43"/>
        <v>125</v>
      </c>
    </row>
    <row r="1405" spans="1:20">
      <c r="A1405" s="1">
        <v>10783</v>
      </c>
      <c r="B1405" s="2">
        <v>38</v>
      </c>
      <c r="C1405" s="2">
        <v>263.5</v>
      </c>
      <c r="D1405" s="2">
        <v>5</v>
      </c>
      <c r="E1405" s="3">
        <v>0</v>
      </c>
      <c r="F1405" s="2" t="str">
        <f>IFERROR(VLOOKUP(VLOOKUP(A1405,'[1]Sales Order'!A:B,2,FALSE),[1]Customer!A:C,3,FALSE),"Not Specified")</f>
        <v>Cohen, Shy</v>
      </c>
      <c r="G1405" s="2" t="str">
        <f t="shared" si="42"/>
        <v>Cohen Shy</v>
      </c>
      <c r="H1405" s="8" t="str">
        <f>IFERROR(VLOOKUP(VLOOKUP(A1405,'[1]Sales Order'!A:C,3,FALSE),[1]Employee!A:E,5,FALSE)&amp;" "&amp;VLOOKUP(VLOOKUP(A1405,'[1]Sales Order'!A:C,3,FALSE),[1]Employee!A:C,3,FALSE)&amp;" "&amp;VLOOKUP(VLOOKUP(A1405,'[1]Sales Order'!A:C,3,FALSE),[1]Employee!A:B,2,FALSE),"Not Specified")</f>
        <v>Mrs. Yael Peled</v>
      </c>
      <c r="I1405" t="str">
        <f>IFERROR(VLOOKUP(VLOOKUP(A1405,'[1]Sales Order'!A:C,3,FALSE),[1]Employee!A:J,10,FALSE),"Not Specified")</f>
        <v>WA</v>
      </c>
      <c r="J1405" t="str">
        <f>VLOOKUP(B1405,[1]Product!A:B,2,FALSE)</f>
        <v>Product QDOMO</v>
      </c>
      <c r="K1405" t="str">
        <f>VLOOKUP(VLOOKUP(B1405,[1]Product!A:D,4,FALSE),[1]Category!A:B,2,FALSE)</f>
        <v>Beverages</v>
      </c>
      <c r="L1405" s="10">
        <f>IFERROR(VLOOKUP(A1405,'[1]Sales Order'!A:D,4,FALSE),"")</f>
        <v>39434</v>
      </c>
      <c r="M1405" s="10">
        <f>IFERROR(VLOOKUP(A1405,'[1]Sales Order'!A:F,6,FALSE),"")</f>
        <v>39435</v>
      </c>
      <c r="N1405" t="str">
        <f>IFERROR(VLOOKUP(VLOOKUP(A1405,'[1]Sales Order'!A:G,7,FALSE),[1]Shipper!A:B,2,FALSE),"Not Specified")</f>
        <v>Shipper ETYNR</v>
      </c>
      <c r="O1405" t="str">
        <f>IFERROR(VLOOKUP(A1405,'[1]Sales Order'!A:I,9,FALSE),"Not Specified")</f>
        <v>Destination DPCVR</v>
      </c>
      <c r="P1405" t="str">
        <f>IFERROR(VLOOKUP(A1405,'[1]Sales Order'!A:N,14,FALSE),"Not Specified")</f>
        <v>Brazil</v>
      </c>
      <c r="Q1405" t="str">
        <f>VLOOKUP(VLOOKUP(B1405,[1]Product!A:C,3,FALSE),[1]Supplier!A:B,2,FALSE)</f>
        <v>Supplier LVJUA</v>
      </c>
      <c r="R1405" t="str">
        <f>VLOOKUP(VLOOKUP(B1405,[1]Product!A:C,3,FALSE),[1]Supplier!A:I,9,FALSE)</f>
        <v>France</v>
      </c>
      <c r="S1405" t="str">
        <f>IFERROR(IF(VLOOKUP(A1405,'[1]Sales Order'!A:H,8,FALSE)&gt;100,"High Freight","Low Freight"),"Not Specified")</f>
        <v>High Freight</v>
      </c>
      <c r="T1405">
        <f t="shared" si="43"/>
        <v>1317.5</v>
      </c>
    </row>
    <row r="1406" spans="1:20">
      <c r="A1406" s="1">
        <v>10784</v>
      </c>
      <c r="B1406" s="2">
        <v>36</v>
      </c>
      <c r="C1406" s="2">
        <v>19</v>
      </c>
      <c r="D1406" s="2">
        <v>30</v>
      </c>
      <c r="E1406" s="3">
        <v>0</v>
      </c>
      <c r="F1406" s="2" t="str">
        <f>IFERROR(VLOOKUP(VLOOKUP(A1406,'[1]Sales Order'!A:B,2,FALSE),[1]Customer!A:C,3,FALSE),"Not Specified")</f>
        <v>Duerr, Bernard</v>
      </c>
      <c r="G1406" s="2" t="str">
        <f t="shared" si="42"/>
        <v>Duerr Bernard</v>
      </c>
      <c r="H1406" s="8" t="str">
        <f>IFERROR(VLOOKUP(VLOOKUP(A1406,'[1]Sales Order'!A:C,3,FALSE),[1]Employee!A:E,5,FALSE)&amp;" "&amp;VLOOKUP(VLOOKUP(A1406,'[1]Sales Order'!A:C,3,FALSE),[1]Employee!A:C,3,FALSE)&amp;" "&amp;VLOOKUP(VLOOKUP(A1406,'[1]Sales Order'!A:C,3,FALSE),[1]Employee!A:B,2,FALSE),"Not Specified")</f>
        <v>Mrs. Yael Peled</v>
      </c>
      <c r="I1406" t="str">
        <f>IFERROR(VLOOKUP(VLOOKUP(A1406,'[1]Sales Order'!A:C,3,FALSE),[1]Employee!A:J,10,FALSE),"Not Specified")</f>
        <v>WA</v>
      </c>
      <c r="J1406" t="str">
        <f>VLOOKUP(B1406,[1]Product!A:B,2,FALSE)</f>
        <v>Product GMKIJ</v>
      </c>
      <c r="K1406" t="str">
        <f>VLOOKUP(VLOOKUP(B1406,[1]Product!A:D,4,FALSE),[1]Category!A:B,2,FALSE)</f>
        <v>Seafood</v>
      </c>
      <c r="L1406" s="10">
        <f>IFERROR(VLOOKUP(A1406,'[1]Sales Order'!A:D,4,FALSE),"")</f>
        <v>39434</v>
      </c>
      <c r="M1406" s="10">
        <f>IFERROR(VLOOKUP(A1406,'[1]Sales Order'!A:F,6,FALSE),"")</f>
        <v>39438</v>
      </c>
      <c r="N1406" t="str">
        <f>IFERROR(VLOOKUP(VLOOKUP(A1406,'[1]Sales Order'!A:G,7,FALSE),[1]Shipper!A:B,2,FALSE),"Not Specified")</f>
        <v>Shipper ZHISN</v>
      </c>
      <c r="O1406" t="str">
        <f>IFERROR(VLOOKUP(A1406,'[1]Sales Order'!A:I,9,FALSE),"Not Specified")</f>
        <v>Ship to 49-A</v>
      </c>
      <c r="P1406" t="str">
        <f>IFERROR(VLOOKUP(A1406,'[1]Sales Order'!A:N,14,FALSE),"Not Specified")</f>
        <v>Italy</v>
      </c>
      <c r="Q1406" t="str">
        <f>VLOOKUP(VLOOKUP(B1406,[1]Product!A:C,3,FALSE),[1]Supplier!A:B,2,FALSE)</f>
        <v>Supplier QZGUF</v>
      </c>
      <c r="R1406" t="str">
        <f>VLOOKUP(VLOOKUP(B1406,[1]Product!A:C,3,FALSE),[1]Supplier!A:I,9,FALSE)</f>
        <v>Sweden</v>
      </c>
      <c r="S1406" t="str">
        <f>IFERROR(IF(VLOOKUP(A1406,'[1]Sales Order'!A:H,8,FALSE)&gt;100,"High Freight","Low Freight"),"Not Specified")</f>
        <v>Low Freight</v>
      </c>
      <c r="T1406">
        <f t="shared" si="43"/>
        <v>570</v>
      </c>
    </row>
    <row r="1407" spans="1:20">
      <c r="A1407" s="1">
        <v>10784</v>
      </c>
      <c r="B1407" s="2">
        <v>39</v>
      </c>
      <c r="C1407" s="2">
        <v>18</v>
      </c>
      <c r="D1407" s="2">
        <v>2</v>
      </c>
      <c r="E1407" s="3">
        <v>0.15</v>
      </c>
      <c r="F1407" s="2" t="str">
        <f>IFERROR(VLOOKUP(VLOOKUP(A1407,'[1]Sales Order'!A:B,2,FALSE),[1]Customer!A:C,3,FALSE),"Not Specified")</f>
        <v>Duerr, Bernard</v>
      </c>
      <c r="G1407" s="2" t="str">
        <f t="shared" si="42"/>
        <v>Duerr Bernard</v>
      </c>
      <c r="H1407" s="8" t="str">
        <f>IFERROR(VLOOKUP(VLOOKUP(A1407,'[1]Sales Order'!A:C,3,FALSE),[1]Employee!A:E,5,FALSE)&amp;" "&amp;VLOOKUP(VLOOKUP(A1407,'[1]Sales Order'!A:C,3,FALSE),[1]Employee!A:C,3,FALSE)&amp;" "&amp;VLOOKUP(VLOOKUP(A1407,'[1]Sales Order'!A:C,3,FALSE),[1]Employee!A:B,2,FALSE),"Not Specified")</f>
        <v>Mrs. Yael Peled</v>
      </c>
      <c r="I1407" t="str">
        <f>IFERROR(VLOOKUP(VLOOKUP(A1407,'[1]Sales Order'!A:C,3,FALSE),[1]Employee!A:J,10,FALSE),"Not Specified")</f>
        <v>WA</v>
      </c>
      <c r="J1407" t="str">
        <f>VLOOKUP(B1407,[1]Product!A:B,2,FALSE)</f>
        <v>Product LSOFL</v>
      </c>
      <c r="K1407" t="str">
        <f>VLOOKUP(VLOOKUP(B1407,[1]Product!A:D,4,FALSE),[1]Category!A:B,2,FALSE)</f>
        <v>Beverages</v>
      </c>
      <c r="L1407" s="10">
        <f>IFERROR(VLOOKUP(A1407,'[1]Sales Order'!A:D,4,FALSE),"")</f>
        <v>39434</v>
      </c>
      <c r="M1407" s="10">
        <f>IFERROR(VLOOKUP(A1407,'[1]Sales Order'!A:F,6,FALSE),"")</f>
        <v>39438</v>
      </c>
      <c r="N1407" t="str">
        <f>IFERROR(VLOOKUP(VLOOKUP(A1407,'[1]Sales Order'!A:G,7,FALSE),[1]Shipper!A:B,2,FALSE),"Not Specified")</f>
        <v>Shipper ZHISN</v>
      </c>
      <c r="O1407" t="str">
        <f>IFERROR(VLOOKUP(A1407,'[1]Sales Order'!A:I,9,FALSE),"Not Specified")</f>
        <v>Ship to 49-A</v>
      </c>
      <c r="P1407" t="str">
        <f>IFERROR(VLOOKUP(A1407,'[1]Sales Order'!A:N,14,FALSE),"Not Specified")</f>
        <v>Italy</v>
      </c>
      <c r="Q1407" t="str">
        <f>VLOOKUP(VLOOKUP(B1407,[1]Product!A:C,3,FALSE),[1]Supplier!A:B,2,FALSE)</f>
        <v>Supplier LVJUA</v>
      </c>
      <c r="R1407" t="str">
        <f>VLOOKUP(VLOOKUP(B1407,[1]Product!A:C,3,FALSE),[1]Supplier!A:I,9,FALSE)</f>
        <v>France</v>
      </c>
      <c r="S1407" t="str">
        <f>IFERROR(IF(VLOOKUP(A1407,'[1]Sales Order'!A:H,8,FALSE)&gt;100,"High Freight","Low Freight"),"Not Specified")</f>
        <v>Low Freight</v>
      </c>
      <c r="T1407">
        <f t="shared" si="43"/>
        <v>30.599999999999998</v>
      </c>
    </row>
    <row r="1408" spans="1:20">
      <c r="A1408" s="1">
        <v>10784</v>
      </c>
      <c r="B1408" s="2">
        <v>72</v>
      </c>
      <c r="C1408" s="2">
        <v>34.799999999999997</v>
      </c>
      <c r="D1408" s="2">
        <v>30</v>
      </c>
      <c r="E1408" s="3">
        <v>0.15</v>
      </c>
      <c r="F1408" s="2" t="str">
        <f>IFERROR(VLOOKUP(VLOOKUP(A1408,'[1]Sales Order'!A:B,2,FALSE),[1]Customer!A:C,3,FALSE),"Not Specified")</f>
        <v>Duerr, Bernard</v>
      </c>
      <c r="G1408" s="2" t="str">
        <f t="shared" si="42"/>
        <v>Duerr Bernard</v>
      </c>
      <c r="H1408" s="8" t="str">
        <f>IFERROR(VLOOKUP(VLOOKUP(A1408,'[1]Sales Order'!A:C,3,FALSE),[1]Employee!A:E,5,FALSE)&amp;" "&amp;VLOOKUP(VLOOKUP(A1408,'[1]Sales Order'!A:C,3,FALSE),[1]Employee!A:C,3,FALSE)&amp;" "&amp;VLOOKUP(VLOOKUP(A1408,'[1]Sales Order'!A:C,3,FALSE),[1]Employee!A:B,2,FALSE),"Not Specified")</f>
        <v>Mrs. Yael Peled</v>
      </c>
      <c r="I1408" t="str">
        <f>IFERROR(VLOOKUP(VLOOKUP(A1408,'[1]Sales Order'!A:C,3,FALSE),[1]Employee!A:J,10,FALSE),"Not Specified")</f>
        <v>WA</v>
      </c>
      <c r="J1408" t="str">
        <f>VLOOKUP(B1408,[1]Product!A:B,2,FALSE)</f>
        <v>Product GEEOO</v>
      </c>
      <c r="K1408" t="str">
        <f>VLOOKUP(VLOOKUP(B1408,[1]Product!A:D,4,FALSE),[1]Category!A:B,2,FALSE)</f>
        <v>Dairy Product</v>
      </c>
      <c r="L1408" s="10">
        <f>IFERROR(VLOOKUP(A1408,'[1]Sales Order'!A:D,4,FALSE),"")</f>
        <v>39434</v>
      </c>
      <c r="M1408" s="10">
        <f>IFERROR(VLOOKUP(A1408,'[1]Sales Order'!A:F,6,FALSE),"")</f>
        <v>39438</v>
      </c>
      <c r="N1408" t="str">
        <f>IFERROR(VLOOKUP(VLOOKUP(A1408,'[1]Sales Order'!A:G,7,FALSE),[1]Shipper!A:B,2,FALSE),"Not Specified")</f>
        <v>Shipper ZHISN</v>
      </c>
      <c r="O1408" t="str">
        <f>IFERROR(VLOOKUP(A1408,'[1]Sales Order'!A:I,9,FALSE),"Not Specified")</f>
        <v>Ship to 49-A</v>
      </c>
      <c r="P1408" t="str">
        <f>IFERROR(VLOOKUP(A1408,'[1]Sales Order'!A:N,14,FALSE),"Not Specified")</f>
        <v>Italy</v>
      </c>
      <c r="Q1408" t="str">
        <f>VLOOKUP(VLOOKUP(B1408,[1]Product!A:C,3,FALSE),[1]Supplier!A:B,2,FALSE)</f>
        <v>Supplier KEREV</v>
      </c>
      <c r="R1408" t="str">
        <f>VLOOKUP(VLOOKUP(B1408,[1]Product!A:C,3,FALSE),[1]Supplier!A:I,9,FALSE)</f>
        <v>Italy</v>
      </c>
      <c r="S1408" t="str">
        <f>IFERROR(IF(VLOOKUP(A1408,'[1]Sales Order'!A:H,8,FALSE)&gt;100,"High Freight","Low Freight"),"Not Specified")</f>
        <v>Low Freight</v>
      </c>
      <c r="T1408">
        <f t="shared" si="43"/>
        <v>887.4</v>
      </c>
    </row>
    <row r="1409" spans="1:20">
      <c r="A1409" s="1">
        <v>10785</v>
      </c>
      <c r="B1409" s="2">
        <v>10</v>
      </c>
      <c r="C1409" s="2">
        <v>31</v>
      </c>
      <c r="D1409" s="2">
        <v>10</v>
      </c>
      <c r="E1409" s="3">
        <v>0</v>
      </c>
      <c r="F1409" s="2" t="str">
        <f>IFERROR(VLOOKUP(VLOOKUP(A1409,'[1]Sales Order'!A:B,2,FALSE),[1]Customer!A:C,3,FALSE),"Not Specified")</f>
        <v>Sigurdarson, Hallur</v>
      </c>
      <c r="G1409" s="2" t="str">
        <f t="shared" si="42"/>
        <v>Sigurdarson Hallur</v>
      </c>
      <c r="H1409" s="8" t="str">
        <f>IFERROR(VLOOKUP(VLOOKUP(A1409,'[1]Sales Order'!A:C,3,FALSE),[1]Employee!A:E,5,FALSE)&amp;" "&amp;VLOOKUP(VLOOKUP(A1409,'[1]Sales Order'!A:C,3,FALSE),[1]Employee!A:C,3,FALSE)&amp;" "&amp;VLOOKUP(VLOOKUP(A1409,'[1]Sales Order'!A:C,3,FALSE),[1]Employee!A:B,2,FALSE),"Not Specified")</f>
        <v>Ms. Sara Davis</v>
      </c>
      <c r="I1409" t="str">
        <f>IFERROR(VLOOKUP(VLOOKUP(A1409,'[1]Sales Order'!A:C,3,FALSE),[1]Employee!A:J,10,FALSE),"Not Specified")</f>
        <v>WA</v>
      </c>
      <c r="J1409" t="str">
        <f>VLOOKUP(B1409,[1]Product!A:B,2,FALSE)</f>
        <v>Product YHXGE</v>
      </c>
      <c r="K1409" t="str">
        <f>VLOOKUP(VLOOKUP(B1409,[1]Product!A:D,4,FALSE),[1]Category!A:B,2,FALSE)</f>
        <v>Seafood</v>
      </c>
      <c r="L1409" s="10">
        <f>IFERROR(VLOOKUP(A1409,'[1]Sales Order'!A:D,4,FALSE),"")</f>
        <v>39434</v>
      </c>
      <c r="M1409" s="10">
        <f>IFERROR(VLOOKUP(A1409,'[1]Sales Order'!A:F,6,FALSE),"")</f>
        <v>39440</v>
      </c>
      <c r="N1409" t="str">
        <f>IFERROR(VLOOKUP(VLOOKUP(A1409,'[1]Sales Order'!A:G,7,FALSE),[1]Shipper!A:B,2,FALSE),"Not Specified")</f>
        <v>Shipper ZHISN</v>
      </c>
      <c r="O1409" t="str">
        <f>IFERROR(VLOOKUP(A1409,'[1]Sales Order'!A:I,9,FALSE),"Not Specified")</f>
        <v>Destination FQJFJ</v>
      </c>
      <c r="P1409" t="str">
        <f>IFERROR(VLOOKUP(A1409,'[1]Sales Order'!A:N,14,FALSE),"Not Specified")</f>
        <v>Venezuela</v>
      </c>
      <c r="Q1409" t="str">
        <f>VLOOKUP(VLOOKUP(B1409,[1]Product!A:C,3,FALSE),[1]Supplier!A:B,2,FALSE)</f>
        <v>Supplier QOVFD</v>
      </c>
      <c r="R1409" t="str">
        <f>VLOOKUP(VLOOKUP(B1409,[1]Product!A:C,3,FALSE),[1]Supplier!A:I,9,FALSE)</f>
        <v>Japan</v>
      </c>
      <c r="S1409" t="str">
        <f>IFERROR(IF(VLOOKUP(A1409,'[1]Sales Order'!A:H,8,FALSE)&gt;100,"High Freight","Low Freight"),"Not Specified")</f>
        <v>Low Freight</v>
      </c>
      <c r="T1409">
        <f t="shared" si="43"/>
        <v>310</v>
      </c>
    </row>
    <row r="1410" spans="1:20">
      <c r="A1410" s="1">
        <v>10785</v>
      </c>
      <c r="B1410" s="2">
        <v>75</v>
      </c>
      <c r="C1410" s="2">
        <v>7.75</v>
      </c>
      <c r="D1410" s="2">
        <v>10</v>
      </c>
      <c r="E1410" s="3">
        <v>0</v>
      </c>
      <c r="F1410" s="2" t="str">
        <f>IFERROR(VLOOKUP(VLOOKUP(A1410,'[1]Sales Order'!A:B,2,FALSE),[1]Customer!A:C,3,FALSE),"Not Specified")</f>
        <v>Sigurdarson, Hallur</v>
      </c>
      <c r="G1410" s="2" t="str">
        <f t="shared" si="42"/>
        <v>Sigurdarson Hallur</v>
      </c>
      <c r="H1410" s="8" t="str">
        <f>IFERROR(VLOOKUP(VLOOKUP(A1410,'[1]Sales Order'!A:C,3,FALSE),[1]Employee!A:E,5,FALSE)&amp;" "&amp;VLOOKUP(VLOOKUP(A1410,'[1]Sales Order'!A:C,3,FALSE),[1]Employee!A:C,3,FALSE)&amp;" "&amp;VLOOKUP(VLOOKUP(A1410,'[1]Sales Order'!A:C,3,FALSE),[1]Employee!A:B,2,FALSE),"Not Specified")</f>
        <v>Ms. Sara Davis</v>
      </c>
      <c r="I1410" t="str">
        <f>IFERROR(VLOOKUP(VLOOKUP(A1410,'[1]Sales Order'!A:C,3,FALSE),[1]Employee!A:J,10,FALSE),"Not Specified")</f>
        <v>WA</v>
      </c>
      <c r="J1410" t="str">
        <f>VLOOKUP(B1410,[1]Product!A:B,2,FALSE)</f>
        <v>Product BWRLG</v>
      </c>
      <c r="K1410" t="str">
        <f>VLOOKUP(VLOOKUP(B1410,[1]Product!A:D,4,FALSE),[1]Category!A:B,2,FALSE)</f>
        <v>Beverages</v>
      </c>
      <c r="L1410" s="10">
        <f>IFERROR(VLOOKUP(A1410,'[1]Sales Order'!A:D,4,FALSE),"")</f>
        <v>39434</v>
      </c>
      <c r="M1410" s="10">
        <f>IFERROR(VLOOKUP(A1410,'[1]Sales Order'!A:F,6,FALSE),"")</f>
        <v>39440</v>
      </c>
      <c r="N1410" t="str">
        <f>IFERROR(VLOOKUP(VLOOKUP(A1410,'[1]Sales Order'!A:G,7,FALSE),[1]Shipper!A:B,2,FALSE),"Not Specified")</f>
        <v>Shipper ZHISN</v>
      </c>
      <c r="O1410" t="str">
        <f>IFERROR(VLOOKUP(A1410,'[1]Sales Order'!A:I,9,FALSE),"Not Specified")</f>
        <v>Destination FQJFJ</v>
      </c>
      <c r="P1410" t="str">
        <f>IFERROR(VLOOKUP(A1410,'[1]Sales Order'!A:N,14,FALSE),"Not Specified")</f>
        <v>Venezuela</v>
      </c>
      <c r="Q1410" t="str">
        <f>VLOOKUP(VLOOKUP(B1410,[1]Product!A:C,3,FALSE),[1]Supplier!A:B,2,FALSE)</f>
        <v>Supplier SVIYA</v>
      </c>
      <c r="R1410" t="str">
        <f>VLOOKUP(VLOOKUP(B1410,[1]Product!A:C,3,FALSE),[1]Supplier!A:I,9,FALSE)</f>
        <v>Germany</v>
      </c>
      <c r="S1410" t="str">
        <f>IFERROR(IF(VLOOKUP(A1410,'[1]Sales Order'!A:H,8,FALSE)&gt;100,"High Freight","Low Freight"),"Not Specified")</f>
        <v>Low Freight</v>
      </c>
      <c r="T1410">
        <f t="shared" si="43"/>
        <v>77.5</v>
      </c>
    </row>
    <row r="1411" spans="1:20">
      <c r="A1411" s="1">
        <v>10786</v>
      </c>
      <c r="B1411" s="2">
        <v>8</v>
      </c>
      <c r="C1411" s="2">
        <v>40</v>
      </c>
      <c r="D1411" s="2">
        <v>30</v>
      </c>
      <c r="E1411" s="3">
        <v>0.2</v>
      </c>
      <c r="F1411" s="2" t="str">
        <f>IFERROR(VLOOKUP(VLOOKUP(A1411,'[1]Sales Order'!A:B,2,FALSE),[1]Customer!A:C,3,FALSE),"Not Specified")</f>
        <v>Misiec, Anna</v>
      </c>
      <c r="G1411" s="2" t="str">
        <f t="shared" ref="G1411:G1474" si="44">SUBSTITUTE(F1411,",","",1)</f>
        <v>Misiec Anna</v>
      </c>
      <c r="H1411" s="8" t="str">
        <f>IFERROR(VLOOKUP(VLOOKUP(A1411,'[1]Sales Order'!A:C,3,FALSE),[1]Employee!A:E,5,FALSE)&amp;" "&amp;VLOOKUP(VLOOKUP(A1411,'[1]Sales Order'!A:C,3,FALSE),[1]Employee!A:C,3,FALSE)&amp;" "&amp;VLOOKUP(VLOOKUP(A1411,'[1]Sales Order'!A:C,3,FALSE),[1]Employee!A:B,2,FALSE),"Not Specified")</f>
        <v>Ms. Maria Cameron</v>
      </c>
      <c r="I1411" t="str">
        <f>IFERROR(VLOOKUP(VLOOKUP(A1411,'[1]Sales Order'!A:C,3,FALSE),[1]Employee!A:J,10,FALSE),"Not Specified")</f>
        <v>WA</v>
      </c>
      <c r="J1411" t="str">
        <f>VLOOKUP(B1411,[1]Product!A:B,2,FALSE)</f>
        <v>Product WVJFP</v>
      </c>
      <c r="K1411" t="str">
        <f>VLOOKUP(VLOOKUP(B1411,[1]Product!A:D,4,FALSE),[1]Category!A:B,2,FALSE)</f>
        <v>Condiments</v>
      </c>
      <c r="L1411" s="10">
        <f>IFERROR(VLOOKUP(A1411,'[1]Sales Order'!A:D,4,FALSE),"")</f>
        <v>39435</v>
      </c>
      <c r="M1411" s="10">
        <f>IFERROR(VLOOKUP(A1411,'[1]Sales Order'!A:F,6,FALSE),"")</f>
        <v>39439</v>
      </c>
      <c r="N1411" t="str">
        <f>IFERROR(VLOOKUP(VLOOKUP(A1411,'[1]Sales Order'!A:G,7,FALSE),[1]Shipper!A:B,2,FALSE),"Not Specified")</f>
        <v>Shipper GVSUA</v>
      </c>
      <c r="O1411" t="str">
        <f>IFERROR(VLOOKUP(A1411,'[1]Sales Order'!A:I,9,FALSE),"Not Specified")</f>
        <v>Ship to 62-B</v>
      </c>
      <c r="P1411" t="str">
        <f>IFERROR(VLOOKUP(A1411,'[1]Sales Order'!A:N,14,FALSE),"Not Specified")</f>
        <v>Brazil</v>
      </c>
      <c r="Q1411" t="str">
        <f>VLOOKUP(VLOOKUP(B1411,[1]Product!A:C,3,FALSE),[1]Supplier!A:B,2,FALSE)</f>
        <v>Supplier STUAZ</v>
      </c>
      <c r="R1411" t="str">
        <f>VLOOKUP(VLOOKUP(B1411,[1]Product!A:C,3,FALSE),[1]Supplier!A:I,9,FALSE)</f>
        <v>USA</v>
      </c>
      <c r="S1411" t="str">
        <f>IFERROR(IF(VLOOKUP(A1411,'[1]Sales Order'!A:H,8,FALSE)&gt;100,"High Freight","Low Freight"),"Not Specified")</f>
        <v>High Freight</v>
      </c>
      <c r="T1411">
        <f t="shared" ref="T1411:T1474" si="45">C1411*D1411*(1-E1411)</f>
        <v>960</v>
      </c>
    </row>
    <row r="1412" spans="1:20">
      <c r="A1412" s="1">
        <v>10786</v>
      </c>
      <c r="B1412" s="2">
        <v>30</v>
      </c>
      <c r="C1412" s="2">
        <v>25.89</v>
      </c>
      <c r="D1412" s="2">
        <v>15</v>
      </c>
      <c r="E1412" s="3">
        <v>0.2</v>
      </c>
      <c r="F1412" s="2" t="str">
        <f>IFERROR(VLOOKUP(VLOOKUP(A1412,'[1]Sales Order'!A:B,2,FALSE),[1]Customer!A:C,3,FALSE),"Not Specified")</f>
        <v>Misiec, Anna</v>
      </c>
      <c r="G1412" s="2" t="str">
        <f t="shared" si="44"/>
        <v>Misiec Anna</v>
      </c>
      <c r="H1412" s="8" t="str">
        <f>IFERROR(VLOOKUP(VLOOKUP(A1412,'[1]Sales Order'!A:C,3,FALSE),[1]Employee!A:E,5,FALSE)&amp;" "&amp;VLOOKUP(VLOOKUP(A1412,'[1]Sales Order'!A:C,3,FALSE),[1]Employee!A:C,3,FALSE)&amp;" "&amp;VLOOKUP(VLOOKUP(A1412,'[1]Sales Order'!A:C,3,FALSE),[1]Employee!A:B,2,FALSE),"Not Specified")</f>
        <v>Ms. Maria Cameron</v>
      </c>
      <c r="I1412" t="str">
        <f>IFERROR(VLOOKUP(VLOOKUP(A1412,'[1]Sales Order'!A:C,3,FALSE),[1]Employee!A:J,10,FALSE),"Not Specified")</f>
        <v>WA</v>
      </c>
      <c r="J1412" t="str">
        <f>VLOOKUP(B1412,[1]Product!A:B,2,FALSE)</f>
        <v>Product LYERX</v>
      </c>
      <c r="K1412" t="str">
        <f>VLOOKUP(VLOOKUP(B1412,[1]Product!A:D,4,FALSE),[1]Category!A:B,2,FALSE)</f>
        <v>Seafood</v>
      </c>
      <c r="L1412" s="10">
        <f>IFERROR(VLOOKUP(A1412,'[1]Sales Order'!A:D,4,FALSE),"")</f>
        <v>39435</v>
      </c>
      <c r="M1412" s="10">
        <f>IFERROR(VLOOKUP(A1412,'[1]Sales Order'!A:F,6,FALSE),"")</f>
        <v>39439</v>
      </c>
      <c r="N1412" t="str">
        <f>IFERROR(VLOOKUP(VLOOKUP(A1412,'[1]Sales Order'!A:G,7,FALSE),[1]Shipper!A:B,2,FALSE),"Not Specified")</f>
        <v>Shipper GVSUA</v>
      </c>
      <c r="O1412" t="str">
        <f>IFERROR(VLOOKUP(A1412,'[1]Sales Order'!A:I,9,FALSE),"Not Specified")</f>
        <v>Ship to 62-B</v>
      </c>
      <c r="P1412" t="str">
        <f>IFERROR(VLOOKUP(A1412,'[1]Sales Order'!A:N,14,FALSE),"Not Specified")</f>
        <v>Brazil</v>
      </c>
      <c r="Q1412" t="str">
        <f>VLOOKUP(VLOOKUP(B1412,[1]Product!A:C,3,FALSE),[1]Supplier!A:B,2,FALSE)</f>
        <v>Supplier TEGSC</v>
      </c>
      <c r="R1412" t="str">
        <f>VLOOKUP(VLOOKUP(B1412,[1]Product!A:C,3,FALSE),[1]Supplier!A:I,9,FALSE)</f>
        <v>Germany</v>
      </c>
      <c r="S1412" t="str">
        <f>IFERROR(IF(VLOOKUP(A1412,'[1]Sales Order'!A:H,8,FALSE)&gt;100,"High Freight","Low Freight"),"Not Specified")</f>
        <v>High Freight</v>
      </c>
      <c r="T1412">
        <f t="shared" si="45"/>
        <v>310.68000000000006</v>
      </c>
    </row>
    <row r="1413" spans="1:20">
      <c r="A1413" s="1">
        <v>10786</v>
      </c>
      <c r="B1413" s="2">
        <v>75</v>
      </c>
      <c r="C1413" s="2">
        <v>7.75</v>
      </c>
      <c r="D1413" s="2">
        <v>42</v>
      </c>
      <c r="E1413" s="3">
        <v>0.2</v>
      </c>
      <c r="F1413" s="2" t="str">
        <f>IFERROR(VLOOKUP(VLOOKUP(A1413,'[1]Sales Order'!A:B,2,FALSE),[1]Customer!A:C,3,FALSE),"Not Specified")</f>
        <v>Misiec, Anna</v>
      </c>
      <c r="G1413" s="2" t="str">
        <f t="shared" si="44"/>
        <v>Misiec Anna</v>
      </c>
      <c r="H1413" s="8" t="str">
        <f>IFERROR(VLOOKUP(VLOOKUP(A1413,'[1]Sales Order'!A:C,3,FALSE),[1]Employee!A:E,5,FALSE)&amp;" "&amp;VLOOKUP(VLOOKUP(A1413,'[1]Sales Order'!A:C,3,FALSE),[1]Employee!A:C,3,FALSE)&amp;" "&amp;VLOOKUP(VLOOKUP(A1413,'[1]Sales Order'!A:C,3,FALSE),[1]Employee!A:B,2,FALSE),"Not Specified")</f>
        <v>Ms. Maria Cameron</v>
      </c>
      <c r="I1413" t="str">
        <f>IFERROR(VLOOKUP(VLOOKUP(A1413,'[1]Sales Order'!A:C,3,FALSE),[1]Employee!A:J,10,FALSE),"Not Specified")</f>
        <v>WA</v>
      </c>
      <c r="J1413" t="str">
        <f>VLOOKUP(B1413,[1]Product!A:B,2,FALSE)</f>
        <v>Product BWRLG</v>
      </c>
      <c r="K1413" t="str">
        <f>VLOOKUP(VLOOKUP(B1413,[1]Product!A:D,4,FALSE),[1]Category!A:B,2,FALSE)</f>
        <v>Beverages</v>
      </c>
      <c r="L1413" s="10">
        <f>IFERROR(VLOOKUP(A1413,'[1]Sales Order'!A:D,4,FALSE),"")</f>
        <v>39435</v>
      </c>
      <c r="M1413" s="10">
        <f>IFERROR(VLOOKUP(A1413,'[1]Sales Order'!A:F,6,FALSE),"")</f>
        <v>39439</v>
      </c>
      <c r="N1413" t="str">
        <f>IFERROR(VLOOKUP(VLOOKUP(A1413,'[1]Sales Order'!A:G,7,FALSE),[1]Shipper!A:B,2,FALSE),"Not Specified")</f>
        <v>Shipper GVSUA</v>
      </c>
      <c r="O1413" t="str">
        <f>IFERROR(VLOOKUP(A1413,'[1]Sales Order'!A:I,9,FALSE),"Not Specified")</f>
        <v>Ship to 62-B</v>
      </c>
      <c r="P1413" t="str">
        <f>IFERROR(VLOOKUP(A1413,'[1]Sales Order'!A:N,14,FALSE),"Not Specified")</f>
        <v>Brazil</v>
      </c>
      <c r="Q1413" t="str">
        <f>VLOOKUP(VLOOKUP(B1413,[1]Product!A:C,3,FALSE),[1]Supplier!A:B,2,FALSE)</f>
        <v>Supplier SVIYA</v>
      </c>
      <c r="R1413" t="str">
        <f>VLOOKUP(VLOOKUP(B1413,[1]Product!A:C,3,FALSE),[1]Supplier!A:I,9,FALSE)</f>
        <v>Germany</v>
      </c>
      <c r="S1413" t="str">
        <f>IFERROR(IF(VLOOKUP(A1413,'[1]Sales Order'!A:H,8,FALSE)&gt;100,"High Freight","Low Freight"),"Not Specified")</f>
        <v>High Freight</v>
      </c>
      <c r="T1413">
        <f t="shared" si="45"/>
        <v>260.40000000000003</v>
      </c>
    </row>
    <row r="1414" spans="1:20">
      <c r="A1414" s="1">
        <v>10787</v>
      </c>
      <c r="B1414" s="2">
        <v>2</v>
      </c>
      <c r="C1414" s="2">
        <v>19</v>
      </c>
      <c r="D1414" s="2">
        <v>15</v>
      </c>
      <c r="E1414" s="3">
        <v>0.05</v>
      </c>
      <c r="F1414" s="2" t="str">
        <f>IFERROR(VLOOKUP(VLOOKUP(A1414,'[1]Sales Order'!A:B,2,FALSE),[1]Customer!A:C,3,FALSE),"Not Specified")</f>
        <v>Litton, Tim</v>
      </c>
      <c r="G1414" s="2" t="str">
        <f t="shared" si="44"/>
        <v>Litton Tim</v>
      </c>
      <c r="H1414" s="8" t="str">
        <f>IFERROR(VLOOKUP(VLOOKUP(A1414,'[1]Sales Order'!A:C,3,FALSE),[1]Employee!A:E,5,FALSE)&amp;" "&amp;VLOOKUP(VLOOKUP(A1414,'[1]Sales Order'!A:C,3,FALSE),[1]Employee!A:C,3,FALSE)&amp;" "&amp;VLOOKUP(VLOOKUP(A1414,'[1]Sales Order'!A:C,3,FALSE),[1]Employee!A:B,2,FALSE),"Not Specified")</f>
        <v>Dr. Don Funk</v>
      </c>
      <c r="I1414" t="str">
        <f>IFERROR(VLOOKUP(VLOOKUP(A1414,'[1]Sales Order'!A:C,3,FALSE),[1]Employee!A:J,10,FALSE),"Not Specified")</f>
        <v>WA</v>
      </c>
      <c r="J1414" t="str">
        <f>VLOOKUP(B1414,[1]Product!A:B,2,FALSE)</f>
        <v>Product RECZE</v>
      </c>
      <c r="K1414" t="str">
        <f>VLOOKUP(VLOOKUP(B1414,[1]Product!A:D,4,FALSE),[1]Category!A:B,2,FALSE)</f>
        <v>Beverages</v>
      </c>
      <c r="L1414" s="10">
        <f>IFERROR(VLOOKUP(A1414,'[1]Sales Order'!A:D,4,FALSE),"")</f>
        <v>39435</v>
      </c>
      <c r="M1414" s="10">
        <f>IFERROR(VLOOKUP(A1414,'[1]Sales Order'!A:F,6,FALSE),"")</f>
        <v>39442</v>
      </c>
      <c r="N1414" t="str">
        <f>IFERROR(VLOOKUP(VLOOKUP(A1414,'[1]Sales Order'!A:G,7,FALSE),[1]Shipper!A:B,2,FALSE),"Not Specified")</f>
        <v>Shipper GVSUA</v>
      </c>
      <c r="O1414" t="str">
        <f>IFERROR(VLOOKUP(A1414,'[1]Sales Order'!A:I,9,FALSE),"Not Specified")</f>
        <v>Destination DWJIO</v>
      </c>
      <c r="P1414" t="str">
        <f>IFERROR(VLOOKUP(A1414,'[1]Sales Order'!A:N,14,FALSE),"Not Specified")</f>
        <v>France</v>
      </c>
      <c r="Q1414" t="str">
        <f>VLOOKUP(VLOOKUP(B1414,[1]Product!A:C,3,FALSE),[1]Supplier!A:B,2,FALSE)</f>
        <v>Supplier SWRXU</v>
      </c>
      <c r="R1414" t="str">
        <f>VLOOKUP(VLOOKUP(B1414,[1]Product!A:C,3,FALSE),[1]Supplier!A:I,9,FALSE)</f>
        <v>UK</v>
      </c>
      <c r="S1414" t="str">
        <f>IFERROR(IF(VLOOKUP(A1414,'[1]Sales Order'!A:H,8,FALSE)&gt;100,"High Freight","Low Freight"),"Not Specified")</f>
        <v>High Freight</v>
      </c>
      <c r="T1414">
        <f t="shared" si="45"/>
        <v>270.75</v>
      </c>
    </row>
    <row r="1415" spans="1:20">
      <c r="A1415" s="1">
        <v>10787</v>
      </c>
      <c r="B1415" s="2">
        <v>29</v>
      </c>
      <c r="C1415" s="2">
        <v>123.79</v>
      </c>
      <c r="D1415" s="2">
        <v>20</v>
      </c>
      <c r="E1415" s="3">
        <v>0.05</v>
      </c>
      <c r="F1415" s="2" t="str">
        <f>IFERROR(VLOOKUP(VLOOKUP(A1415,'[1]Sales Order'!A:B,2,FALSE),[1]Customer!A:C,3,FALSE),"Not Specified")</f>
        <v>Litton, Tim</v>
      </c>
      <c r="G1415" s="2" t="str">
        <f t="shared" si="44"/>
        <v>Litton Tim</v>
      </c>
      <c r="H1415" s="8" t="str">
        <f>IFERROR(VLOOKUP(VLOOKUP(A1415,'[1]Sales Order'!A:C,3,FALSE),[1]Employee!A:E,5,FALSE)&amp;" "&amp;VLOOKUP(VLOOKUP(A1415,'[1]Sales Order'!A:C,3,FALSE),[1]Employee!A:C,3,FALSE)&amp;" "&amp;VLOOKUP(VLOOKUP(A1415,'[1]Sales Order'!A:C,3,FALSE),[1]Employee!A:B,2,FALSE),"Not Specified")</f>
        <v>Dr. Don Funk</v>
      </c>
      <c r="I1415" t="str">
        <f>IFERROR(VLOOKUP(VLOOKUP(A1415,'[1]Sales Order'!A:C,3,FALSE),[1]Employee!A:J,10,FALSE),"Not Specified")</f>
        <v>WA</v>
      </c>
      <c r="J1415" t="str">
        <f>VLOOKUP(B1415,[1]Product!A:B,2,FALSE)</f>
        <v>Product VJXYN</v>
      </c>
      <c r="K1415" t="str">
        <f>VLOOKUP(VLOOKUP(B1415,[1]Product!A:D,4,FALSE),[1]Category!A:B,2,FALSE)</f>
        <v>Meat/Poultry</v>
      </c>
      <c r="L1415" s="10">
        <f>IFERROR(VLOOKUP(A1415,'[1]Sales Order'!A:D,4,FALSE),"")</f>
        <v>39435</v>
      </c>
      <c r="M1415" s="10">
        <f>IFERROR(VLOOKUP(A1415,'[1]Sales Order'!A:F,6,FALSE),"")</f>
        <v>39442</v>
      </c>
      <c r="N1415" t="str">
        <f>IFERROR(VLOOKUP(VLOOKUP(A1415,'[1]Sales Order'!A:G,7,FALSE),[1]Shipper!A:B,2,FALSE),"Not Specified")</f>
        <v>Shipper GVSUA</v>
      </c>
      <c r="O1415" t="str">
        <f>IFERROR(VLOOKUP(A1415,'[1]Sales Order'!A:I,9,FALSE),"Not Specified")</f>
        <v>Destination DWJIO</v>
      </c>
      <c r="P1415" t="str">
        <f>IFERROR(VLOOKUP(A1415,'[1]Sales Order'!A:N,14,FALSE),"Not Specified")</f>
        <v>France</v>
      </c>
      <c r="Q1415" t="str">
        <f>VLOOKUP(VLOOKUP(B1415,[1]Product!A:C,3,FALSE),[1]Supplier!A:B,2,FALSE)</f>
        <v>Supplier SVIYA</v>
      </c>
      <c r="R1415" t="str">
        <f>VLOOKUP(VLOOKUP(B1415,[1]Product!A:C,3,FALSE),[1]Supplier!A:I,9,FALSE)</f>
        <v>Germany</v>
      </c>
      <c r="S1415" t="str">
        <f>IFERROR(IF(VLOOKUP(A1415,'[1]Sales Order'!A:H,8,FALSE)&gt;100,"High Freight","Low Freight"),"Not Specified")</f>
        <v>High Freight</v>
      </c>
      <c r="T1415">
        <f t="shared" si="45"/>
        <v>2352.0100000000002</v>
      </c>
    </row>
    <row r="1416" spans="1:20">
      <c r="A1416" s="1">
        <v>10788</v>
      </c>
      <c r="B1416" s="2">
        <v>19</v>
      </c>
      <c r="C1416" s="2">
        <v>9.1999999999999993</v>
      </c>
      <c r="D1416" s="2">
        <v>50</v>
      </c>
      <c r="E1416" s="3">
        <v>0.05</v>
      </c>
      <c r="F1416" s="2" t="str">
        <f>IFERROR(VLOOKUP(VLOOKUP(A1416,'[1]Sales Order'!A:B,2,FALSE),[1]Customer!A:C,3,FALSE),"Not Specified")</f>
        <v>Veronesi, Giorgio</v>
      </c>
      <c r="G1416" s="2" t="str">
        <f t="shared" si="44"/>
        <v>Veronesi Giorgio</v>
      </c>
      <c r="H1416" s="8" t="str">
        <f>IFERROR(VLOOKUP(VLOOKUP(A1416,'[1]Sales Order'!A:C,3,FALSE),[1]Employee!A:E,5,FALSE)&amp;" "&amp;VLOOKUP(VLOOKUP(A1416,'[1]Sales Order'!A:C,3,FALSE),[1]Employee!A:C,3,FALSE)&amp;" "&amp;VLOOKUP(VLOOKUP(A1416,'[1]Sales Order'!A:C,3,FALSE),[1]Employee!A:B,2,FALSE),"Not Specified")</f>
        <v>Ms. Sara Davis</v>
      </c>
      <c r="I1416" t="str">
        <f>IFERROR(VLOOKUP(VLOOKUP(A1416,'[1]Sales Order'!A:C,3,FALSE),[1]Employee!A:J,10,FALSE),"Not Specified")</f>
        <v>WA</v>
      </c>
      <c r="J1416" t="str">
        <f>VLOOKUP(B1416,[1]Product!A:B,2,FALSE)</f>
        <v>Product XKXDO</v>
      </c>
      <c r="K1416" t="str">
        <f>VLOOKUP(VLOOKUP(B1416,[1]Product!A:D,4,FALSE),[1]Category!A:B,2,FALSE)</f>
        <v>Confections</v>
      </c>
      <c r="L1416" s="10">
        <f>IFERROR(VLOOKUP(A1416,'[1]Sales Order'!A:D,4,FALSE),"")</f>
        <v>39438</v>
      </c>
      <c r="M1416" s="10">
        <f>IFERROR(VLOOKUP(A1416,'[1]Sales Order'!A:F,6,FALSE),"")</f>
        <v>39466</v>
      </c>
      <c r="N1416" t="str">
        <f>IFERROR(VLOOKUP(VLOOKUP(A1416,'[1]Sales Order'!A:G,7,FALSE),[1]Shipper!A:B,2,FALSE),"Not Specified")</f>
        <v>Shipper ETYNR</v>
      </c>
      <c r="O1416" t="str">
        <f>IFERROR(VLOOKUP(A1416,'[1]Sales Order'!A:I,9,FALSE),"Not Specified")</f>
        <v>Ship to 63-C</v>
      </c>
      <c r="P1416" t="str">
        <f>IFERROR(VLOOKUP(A1416,'[1]Sales Order'!A:N,14,FALSE),"Not Specified")</f>
        <v>Germany</v>
      </c>
      <c r="Q1416" t="str">
        <f>VLOOKUP(VLOOKUP(B1416,[1]Product!A:C,3,FALSE),[1]Supplier!A:B,2,FALSE)</f>
        <v>Supplier BWGYE</v>
      </c>
      <c r="R1416" t="str">
        <f>VLOOKUP(VLOOKUP(B1416,[1]Product!A:C,3,FALSE),[1]Supplier!A:I,9,FALSE)</f>
        <v>UK</v>
      </c>
      <c r="S1416" t="str">
        <f>IFERROR(IF(VLOOKUP(A1416,'[1]Sales Order'!A:H,8,FALSE)&gt;100,"High Freight","Low Freight"),"Not Specified")</f>
        <v>Low Freight</v>
      </c>
      <c r="T1416">
        <f t="shared" si="45"/>
        <v>436.99999999999994</v>
      </c>
    </row>
    <row r="1417" spans="1:20">
      <c r="A1417" s="1">
        <v>10788</v>
      </c>
      <c r="B1417" s="2">
        <v>75</v>
      </c>
      <c r="C1417" s="2">
        <v>7.75</v>
      </c>
      <c r="D1417" s="2">
        <v>40</v>
      </c>
      <c r="E1417" s="3">
        <v>0.05</v>
      </c>
      <c r="F1417" s="2" t="str">
        <f>IFERROR(VLOOKUP(VLOOKUP(A1417,'[1]Sales Order'!A:B,2,FALSE),[1]Customer!A:C,3,FALSE),"Not Specified")</f>
        <v>Veronesi, Giorgio</v>
      </c>
      <c r="G1417" s="2" t="str">
        <f t="shared" si="44"/>
        <v>Veronesi Giorgio</v>
      </c>
      <c r="H1417" s="8" t="str">
        <f>IFERROR(VLOOKUP(VLOOKUP(A1417,'[1]Sales Order'!A:C,3,FALSE),[1]Employee!A:E,5,FALSE)&amp;" "&amp;VLOOKUP(VLOOKUP(A1417,'[1]Sales Order'!A:C,3,FALSE),[1]Employee!A:C,3,FALSE)&amp;" "&amp;VLOOKUP(VLOOKUP(A1417,'[1]Sales Order'!A:C,3,FALSE),[1]Employee!A:B,2,FALSE),"Not Specified")</f>
        <v>Ms. Sara Davis</v>
      </c>
      <c r="I1417" t="str">
        <f>IFERROR(VLOOKUP(VLOOKUP(A1417,'[1]Sales Order'!A:C,3,FALSE),[1]Employee!A:J,10,FALSE),"Not Specified")</f>
        <v>WA</v>
      </c>
      <c r="J1417" t="str">
        <f>VLOOKUP(B1417,[1]Product!A:B,2,FALSE)</f>
        <v>Product BWRLG</v>
      </c>
      <c r="K1417" t="str">
        <f>VLOOKUP(VLOOKUP(B1417,[1]Product!A:D,4,FALSE),[1]Category!A:B,2,FALSE)</f>
        <v>Beverages</v>
      </c>
      <c r="L1417" s="10">
        <f>IFERROR(VLOOKUP(A1417,'[1]Sales Order'!A:D,4,FALSE),"")</f>
        <v>39438</v>
      </c>
      <c r="M1417" s="10">
        <f>IFERROR(VLOOKUP(A1417,'[1]Sales Order'!A:F,6,FALSE),"")</f>
        <v>39466</v>
      </c>
      <c r="N1417" t="str">
        <f>IFERROR(VLOOKUP(VLOOKUP(A1417,'[1]Sales Order'!A:G,7,FALSE),[1]Shipper!A:B,2,FALSE),"Not Specified")</f>
        <v>Shipper ETYNR</v>
      </c>
      <c r="O1417" t="str">
        <f>IFERROR(VLOOKUP(A1417,'[1]Sales Order'!A:I,9,FALSE),"Not Specified")</f>
        <v>Ship to 63-C</v>
      </c>
      <c r="P1417" t="str">
        <f>IFERROR(VLOOKUP(A1417,'[1]Sales Order'!A:N,14,FALSE),"Not Specified")</f>
        <v>Germany</v>
      </c>
      <c r="Q1417" t="str">
        <f>VLOOKUP(VLOOKUP(B1417,[1]Product!A:C,3,FALSE),[1]Supplier!A:B,2,FALSE)</f>
        <v>Supplier SVIYA</v>
      </c>
      <c r="R1417" t="str">
        <f>VLOOKUP(VLOOKUP(B1417,[1]Product!A:C,3,FALSE),[1]Supplier!A:I,9,FALSE)</f>
        <v>Germany</v>
      </c>
      <c r="S1417" t="str">
        <f>IFERROR(IF(VLOOKUP(A1417,'[1]Sales Order'!A:H,8,FALSE)&gt;100,"High Freight","Low Freight"),"Not Specified")</f>
        <v>Low Freight</v>
      </c>
      <c r="T1417">
        <f t="shared" si="45"/>
        <v>294.5</v>
      </c>
    </row>
    <row r="1418" spans="1:20">
      <c r="A1418" s="1">
        <v>10789</v>
      </c>
      <c r="B1418" s="2">
        <v>18</v>
      </c>
      <c r="C1418" s="2">
        <v>62.5</v>
      </c>
      <c r="D1418" s="2">
        <v>30</v>
      </c>
      <c r="E1418" s="3">
        <v>0</v>
      </c>
      <c r="F1418" s="2" t="str">
        <f>IFERROR(VLOOKUP(VLOOKUP(A1418,'[1]Sales Order'!A:B,2,FALSE),[1]Customer!A:C,3,FALSE),"Not Specified")</f>
        <v>Khanna, Karan</v>
      </c>
      <c r="G1418" s="2" t="str">
        <f t="shared" si="44"/>
        <v>Khanna Karan</v>
      </c>
      <c r="H1418" s="8" t="str">
        <f>IFERROR(VLOOKUP(VLOOKUP(A1418,'[1]Sales Order'!A:C,3,FALSE),[1]Employee!A:E,5,FALSE)&amp;" "&amp;VLOOKUP(VLOOKUP(A1418,'[1]Sales Order'!A:C,3,FALSE),[1]Employee!A:C,3,FALSE)&amp;" "&amp;VLOOKUP(VLOOKUP(A1418,'[1]Sales Order'!A:C,3,FALSE),[1]Employee!A:B,2,FALSE),"Not Specified")</f>
        <v>Ms. Sara Davis</v>
      </c>
      <c r="I1418" t="str">
        <f>IFERROR(VLOOKUP(VLOOKUP(A1418,'[1]Sales Order'!A:C,3,FALSE),[1]Employee!A:J,10,FALSE),"Not Specified")</f>
        <v>WA</v>
      </c>
      <c r="J1418" t="str">
        <f>VLOOKUP(B1418,[1]Product!A:B,2,FALSE)</f>
        <v>Product CKEDC</v>
      </c>
      <c r="K1418" t="str">
        <f>VLOOKUP(VLOOKUP(B1418,[1]Product!A:D,4,FALSE),[1]Category!A:B,2,FALSE)</f>
        <v>Seafood</v>
      </c>
      <c r="L1418" s="10">
        <f>IFERROR(VLOOKUP(A1418,'[1]Sales Order'!A:D,4,FALSE),"")</f>
        <v>39438</v>
      </c>
      <c r="M1418" s="10">
        <f>IFERROR(VLOOKUP(A1418,'[1]Sales Order'!A:F,6,FALSE),"")</f>
        <v>39447</v>
      </c>
      <c r="N1418" t="str">
        <f>IFERROR(VLOOKUP(VLOOKUP(A1418,'[1]Sales Order'!A:G,7,FALSE),[1]Shipper!A:B,2,FALSE),"Not Specified")</f>
        <v>Shipper ETYNR</v>
      </c>
      <c r="O1418" t="str">
        <f>IFERROR(VLOOKUP(A1418,'[1]Sales Order'!A:I,9,FALSE),"Not Specified")</f>
        <v>Destination PXQRR</v>
      </c>
      <c r="P1418" t="str">
        <f>IFERROR(VLOOKUP(A1418,'[1]Sales Order'!A:N,14,FALSE),"Not Specified")</f>
        <v>France</v>
      </c>
      <c r="Q1418" t="str">
        <f>VLOOKUP(VLOOKUP(B1418,[1]Product!A:C,3,FALSE),[1]Supplier!A:B,2,FALSE)</f>
        <v>Supplier GQRCV</v>
      </c>
      <c r="R1418" t="str">
        <f>VLOOKUP(VLOOKUP(B1418,[1]Product!A:C,3,FALSE),[1]Supplier!A:I,9,FALSE)</f>
        <v>Australia</v>
      </c>
      <c r="S1418" t="str">
        <f>IFERROR(IF(VLOOKUP(A1418,'[1]Sales Order'!A:H,8,FALSE)&gt;100,"High Freight","Low Freight"),"Not Specified")</f>
        <v>High Freight</v>
      </c>
      <c r="T1418">
        <f t="shared" si="45"/>
        <v>1875</v>
      </c>
    </row>
    <row r="1419" spans="1:20">
      <c r="A1419" s="1">
        <v>10789</v>
      </c>
      <c r="B1419" s="2">
        <v>35</v>
      </c>
      <c r="C1419" s="2">
        <v>18</v>
      </c>
      <c r="D1419" s="2">
        <v>15</v>
      </c>
      <c r="E1419" s="3">
        <v>0</v>
      </c>
      <c r="F1419" s="2" t="str">
        <f>IFERROR(VLOOKUP(VLOOKUP(A1419,'[1]Sales Order'!A:B,2,FALSE),[1]Customer!A:C,3,FALSE),"Not Specified")</f>
        <v>Khanna, Karan</v>
      </c>
      <c r="G1419" s="2" t="str">
        <f t="shared" si="44"/>
        <v>Khanna Karan</v>
      </c>
      <c r="H1419" s="8" t="str">
        <f>IFERROR(VLOOKUP(VLOOKUP(A1419,'[1]Sales Order'!A:C,3,FALSE),[1]Employee!A:E,5,FALSE)&amp;" "&amp;VLOOKUP(VLOOKUP(A1419,'[1]Sales Order'!A:C,3,FALSE),[1]Employee!A:C,3,FALSE)&amp;" "&amp;VLOOKUP(VLOOKUP(A1419,'[1]Sales Order'!A:C,3,FALSE),[1]Employee!A:B,2,FALSE),"Not Specified")</f>
        <v>Ms. Sara Davis</v>
      </c>
      <c r="I1419" t="str">
        <f>IFERROR(VLOOKUP(VLOOKUP(A1419,'[1]Sales Order'!A:C,3,FALSE),[1]Employee!A:J,10,FALSE),"Not Specified")</f>
        <v>WA</v>
      </c>
      <c r="J1419" t="str">
        <f>VLOOKUP(B1419,[1]Product!A:B,2,FALSE)</f>
        <v>Product NEVTJ</v>
      </c>
      <c r="K1419" t="str">
        <f>VLOOKUP(VLOOKUP(B1419,[1]Product!A:D,4,FALSE),[1]Category!A:B,2,FALSE)</f>
        <v>Beverages</v>
      </c>
      <c r="L1419" s="10">
        <f>IFERROR(VLOOKUP(A1419,'[1]Sales Order'!A:D,4,FALSE),"")</f>
        <v>39438</v>
      </c>
      <c r="M1419" s="10">
        <f>IFERROR(VLOOKUP(A1419,'[1]Sales Order'!A:F,6,FALSE),"")</f>
        <v>39447</v>
      </c>
      <c r="N1419" t="str">
        <f>IFERROR(VLOOKUP(VLOOKUP(A1419,'[1]Sales Order'!A:G,7,FALSE),[1]Shipper!A:B,2,FALSE),"Not Specified")</f>
        <v>Shipper ETYNR</v>
      </c>
      <c r="O1419" t="str">
        <f>IFERROR(VLOOKUP(A1419,'[1]Sales Order'!A:I,9,FALSE),"Not Specified")</f>
        <v>Destination PXQRR</v>
      </c>
      <c r="P1419" t="str">
        <f>IFERROR(VLOOKUP(A1419,'[1]Sales Order'!A:N,14,FALSE),"Not Specified")</f>
        <v>France</v>
      </c>
      <c r="Q1419" t="str">
        <f>VLOOKUP(VLOOKUP(B1419,[1]Product!A:C,3,FALSE),[1]Supplier!A:B,2,FALSE)</f>
        <v>Supplier UHZRG</v>
      </c>
      <c r="R1419" t="str">
        <f>VLOOKUP(VLOOKUP(B1419,[1]Product!A:C,3,FALSE),[1]Supplier!A:I,9,FALSE)</f>
        <v>USA</v>
      </c>
      <c r="S1419" t="str">
        <f>IFERROR(IF(VLOOKUP(A1419,'[1]Sales Order'!A:H,8,FALSE)&gt;100,"High Freight","Low Freight"),"Not Specified")</f>
        <v>High Freight</v>
      </c>
      <c r="T1419">
        <f t="shared" si="45"/>
        <v>270</v>
      </c>
    </row>
    <row r="1420" spans="1:20">
      <c r="A1420" s="1">
        <v>10789</v>
      </c>
      <c r="B1420" s="2">
        <v>63</v>
      </c>
      <c r="C1420" s="2">
        <v>43.9</v>
      </c>
      <c r="D1420" s="2">
        <v>30</v>
      </c>
      <c r="E1420" s="3">
        <v>0</v>
      </c>
      <c r="F1420" s="2" t="str">
        <f>IFERROR(VLOOKUP(VLOOKUP(A1420,'[1]Sales Order'!A:B,2,FALSE),[1]Customer!A:C,3,FALSE),"Not Specified")</f>
        <v>Khanna, Karan</v>
      </c>
      <c r="G1420" s="2" t="str">
        <f t="shared" si="44"/>
        <v>Khanna Karan</v>
      </c>
      <c r="H1420" s="8" t="str">
        <f>IFERROR(VLOOKUP(VLOOKUP(A1420,'[1]Sales Order'!A:C,3,FALSE),[1]Employee!A:E,5,FALSE)&amp;" "&amp;VLOOKUP(VLOOKUP(A1420,'[1]Sales Order'!A:C,3,FALSE),[1]Employee!A:C,3,FALSE)&amp;" "&amp;VLOOKUP(VLOOKUP(A1420,'[1]Sales Order'!A:C,3,FALSE),[1]Employee!A:B,2,FALSE),"Not Specified")</f>
        <v>Ms. Sara Davis</v>
      </c>
      <c r="I1420" t="str">
        <f>IFERROR(VLOOKUP(VLOOKUP(A1420,'[1]Sales Order'!A:C,3,FALSE),[1]Employee!A:J,10,FALSE),"Not Specified")</f>
        <v>WA</v>
      </c>
      <c r="J1420" t="str">
        <f>VLOOKUP(B1420,[1]Product!A:B,2,FALSE)</f>
        <v>Product ICKNK</v>
      </c>
      <c r="K1420" t="str">
        <f>VLOOKUP(VLOOKUP(B1420,[1]Product!A:D,4,FALSE),[1]Category!A:B,2,FALSE)</f>
        <v>Condiments</v>
      </c>
      <c r="L1420" s="10">
        <f>IFERROR(VLOOKUP(A1420,'[1]Sales Order'!A:D,4,FALSE),"")</f>
        <v>39438</v>
      </c>
      <c r="M1420" s="10">
        <f>IFERROR(VLOOKUP(A1420,'[1]Sales Order'!A:F,6,FALSE),"")</f>
        <v>39447</v>
      </c>
      <c r="N1420" t="str">
        <f>IFERROR(VLOOKUP(VLOOKUP(A1420,'[1]Sales Order'!A:G,7,FALSE),[1]Shipper!A:B,2,FALSE),"Not Specified")</f>
        <v>Shipper ETYNR</v>
      </c>
      <c r="O1420" t="str">
        <f>IFERROR(VLOOKUP(A1420,'[1]Sales Order'!A:I,9,FALSE),"Not Specified")</f>
        <v>Destination PXQRR</v>
      </c>
      <c r="P1420" t="str">
        <f>IFERROR(VLOOKUP(A1420,'[1]Sales Order'!A:N,14,FALSE),"Not Specified")</f>
        <v>France</v>
      </c>
      <c r="Q1420" t="str">
        <f>VLOOKUP(VLOOKUP(B1420,[1]Product!A:C,3,FALSE),[1]Supplier!A:B,2,FALSE)</f>
        <v>Supplier GQRCV</v>
      </c>
      <c r="R1420" t="str">
        <f>VLOOKUP(VLOOKUP(B1420,[1]Product!A:C,3,FALSE),[1]Supplier!A:I,9,FALSE)</f>
        <v>Australia</v>
      </c>
      <c r="S1420" t="str">
        <f>IFERROR(IF(VLOOKUP(A1420,'[1]Sales Order'!A:H,8,FALSE)&gt;100,"High Freight","Low Freight"),"Not Specified")</f>
        <v>High Freight</v>
      </c>
      <c r="T1420">
        <f t="shared" si="45"/>
        <v>1317</v>
      </c>
    </row>
    <row r="1421" spans="1:20">
      <c r="A1421" s="1">
        <v>10789</v>
      </c>
      <c r="B1421" s="2">
        <v>68</v>
      </c>
      <c r="C1421" s="2">
        <v>12.5</v>
      </c>
      <c r="D1421" s="2">
        <v>18</v>
      </c>
      <c r="E1421" s="3">
        <v>0</v>
      </c>
      <c r="F1421" s="2" t="str">
        <f>IFERROR(VLOOKUP(VLOOKUP(A1421,'[1]Sales Order'!A:B,2,FALSE),[1]Customer!A:C,3,FALSE),"Not Specified")</f>
        <v>Khanna, Karan</v>
      </c>
      <c r="G1421" s="2" t="str">
        <f t="shared" si="44"/>
        <v>Khanna Karan</v>
      </c>
      <c r="H1421" s="8" t="str">
        <f>IFERROR(VLOOKUP(VLOOKUP(A1421,'[1]Sales Order'!A:C,3,FALSE),[1]Employee!A:E,5,FALSE)&amp;" "&amp;VLOOKUP(VLOOKUP(A1421,'[1]Sales Order'!A:C,3,FALSE),[1]Employee!A:C,3,FALSE)&amp;" "&amp;VLOOKUP(VLOOKUP(A1421,'[1]Sales Order'!A:C,3,FALSE),[1]Employee!A:B,2,FALSE),"Not Specified")</f>
        <v>Ms. Sara Davis</v>
      </c>
      <c r="I1421" t="str">
        <f>IFERROR(VLOOKUP(VLOOKUP(A1421,'[1]Sales Order'!A:C,3,FALSE),[1]Employee!A:J,10,FALSE),"Not Specified")</f>
        <v>WA</v>
      </c>
      <c r="J1421" t="str">
        <f>VLOOKUP(B1421,[1]Product!A:B,2,FALSE)</f>
        <v>Product TBTBL</v>
      </c>
      <c r="K1421" t="str">
        <f>VLOOKUP(VLOOKUP(B1421,[1]Product!A:D,4,FALSE),[1]Category!A:B,2,FALSE)</f>
        <v>Confections</v>
      </c>
      <c r="L1421" s="10">
        <f>IFERROR(VLOOKUP(A1421,'[1]Sales Order'!A:D,4,FALSE),"")</f>
        <v>39438</v>
      </c>
      <c r="M1421" s="10">
        <f>IFERROR(VLOOKUP(A1421,'[1]Sales Order'!A:F,6,FALSE),"")</f>
        <v>39447</v>
      </c>
      <c r="N1421" t="str">
        <f>IFERROR(VLOOKUP(VLOOKUP(A1421,'[1]Sales Order'!A:G,7,FALSE),[1]Shipper!A:B,2,FALSE),"Not Specified")</f>
        <v>Shipper ETYNR</v>
      </c>
      <c r="O1421" t="str">
        <f>IFERROR(VLOOKUP(A1421,'[1]Sales Order'!A:I,9,FALSE),"Not Specified")</f>
        <v>Destination PXQRR</v>
      </c>
      <c r="P1421" t="str">
        <f>IFERROR(VLOOKUP(A1421,'[1]Sales Order'!A:N,14,FALSE),"Not Specified")</f>
        <v>France</v>
      </c>
      <c r="Q1421" t="str">
        <f>VLOOKUP(VLOOKUP(B1421,[1]Product!A:C,3,FALSE),[1]Supplier!A:B,2,FALSE)</f>
        <v>Supplier BWGYE</v>
      </c>
      <c r="R1421" t="str">
        <f>VLOOKUP(VLOOKUP(B1421,[1]Product!A:C,3,FALSE),[1]Supplier!A:I,9,FALSE)</f>
        <v>UK</v>
      </c>
      <c r="S1421" t="str">
        <f>IFERROR(IF(VLOOKUP(A1421,'[1]Sales Order'!A:H,8,FALSE)&gt;100,"High Freight","Low Freight"),"Not Specified")</f>
        <v>High Freight</v>
      </c>
      <c r="T1421">
        <f t="shared" si="45"/>
        <v>225</v>
      </c>
    </row>
    <row r="1422" spans="1:20">
      <c r="A1422" s="1">
        <v>10790</v>
      </c>
      <c r="B1422" s="2">
        <v>7</v>
      </c>
      <c r="C1422" s="2">
        <v>30</v>
      </c>
      <c r="D1422" s="2">
        <v>3</v>
      </c>
      <c r="E1422" s="3">
        <v>0.15</v>
      </c>
      <c r="F1422" s="2" t="str">
        <f>IFERROR(VLOOKUP(VLOOKUP(A1422,'[1]Sales Order'!A:B,2,FALSE),[1]Customer!A:C,3,FALSE),"Not Specified")</f>
        <v>Cheng, Yao-Qiang</v>
      </c>
      <c r="G1422" s="2" t="str">
        <f t="shared" si="44"/>
        <v>Cheng Yao-Qiang</v>
      </c>
      <c r="H1422" s="8" t="str">
        <f>IFERROR(VLOOKUP(VLOOKUP(A1422,'[1]Sales Order'!A:C,3,FALSE),[1]Employee!A:E,5,FALSE)&amp;" "&amp;VLOOKUP(VLOOKUP(A1422,'[1]Sales Order'!A:C,3,FALSE),[1]Employee!A:C,3,FALSE)&amp;" "&amp;VLOOKUP(VLOOKUP(A1422,'[1]Sales Order'!A:C,3,FALSE),[1]Employee!A:B,2,FALSE),"Not Specified")</f>
        <v>Mr. Paul Suurs</v>
      </c>
      <c r="I1422">
        <f>IFERROR(VLOOKUP(VLOOKUP(A1422,'[1]Sales Order'!A:C,3,FALSE),[1]Employee!A:J,10,FALSE),"Not Specified")</f>
        <v>0</v>
      </c>
      <c r="J1422" t="str">
        <f>VLOOKUP(B1422,[1]Product!A:B,2,FALSE)</f>
        <v>Product HMLNI</v>
      </c>
      <c r="K1422" t="str">
        <f>VLOOKUP(VLOOKUP(B1422,[1]Product!A:D,4,FALSE),[1]Category!A:B,2,FALSE)</f>
        <v>Produce</v>
      </c>
      <c r="L1422" s="10">
        <f>IFERROR(VLOOKUP(A1422,'[1]Sales Order'!A:D,4,FALSE),"")</f>
        <v>39438</v>
      </c>
      <c r="M1422" s="10">
        <f>IFERROR(VLOOKUP(A1422,'[1]Sales Order'!A:F,6,FALSE),"")</f>
        <v>39442</v>
      </c>
      <c r="N1422" t="str">
        <f>IFERROR(VLOOKUP(VLOOKUP(A1422,'[1]Sales Order'!A:G,7,FALSE),[1]Shipper!A:B,2,FALSE),"Not Specified")</f>
        <v>Shipper GVSUA</v>
      </c>
      <c r="O1422" t="str">
        <f>IFERROR(VLOOKUP(A1422,'[1]Sales Order'!A:I,9,FALSE),"Not Specified")</f>
        <v>Destination XOIGC</v>
      </c>
      <c r="P1422" t="str">
        <f>IFERROR(VLOOKUP(A1422,'[1]Sales Order'!A:N,14,FALSE),"Not Specified")</f>
        <v>Brazil</v>
      </c>
      <c r="Q1422" t="str">
        <f>VLOOKUP(VLOOKUP(B1422,[1]Product!A:C,3,FALSE),[1]Supplier!A:B,2,FALSE)</f>
        <v>Supplier STUAZ</v>
      </c>
      <c r="R1422" t="str">
        <f>VLOOKUP(VLOOKUP(B1422,[1]Product!A:C,3,FALSE),[1]Supplier!A:I,9,FALSE)</f>
        <v>USA</v>
      </c>
      <c r="S1422" t="str">
        <f>IFERROR(IF(VLOOKUP(A1422,'[1]Sales Order'!A:H,8,FALSE)&gt;100,"High Freight","Low Freight"),"Not Specified")</f>
        <v>Low Freight</v>
      </c>
      <c r="T1422">
        <f t="shared" si="45"/>
        <v>76.5</v>
      </c>
    </row>
    <row r="1423" spans="1:20">
      <c r="A1423" s="1">
        <v>10790</v>
      </c>
      <c r="B1423" s="2">
        <v>56</v>
      </c>
      <c r="C1423" s="2">
        <v>38</v>
      </c>
      <c r="D1423" s="2">
        <v>20</v>
      </c>
      <c r="E1423" s="3">
        <v>0.15</v>
      </c>
      <c r="F1423" s="2" t="str">
        <f>IFERROR(VLOOKUP(VLOOKUP(A1423,'[1]Sales Order'!A:B,2,FALSE),[1]Customer!A:C,3,FALSE),"Not Specified")</f>
        <v>Cheng, Yao-Qiang</v>
      </c>
      <c r="G1423" s="2" t="str">
        <f t="shared" si="44"/>
        <v>Cheng Yao-Qiang</v>
      </c>
      <c r="H1423" s="8" t="str">
        <f>IFERROR(VLOOKUP(VLOOKUP(A1423,'[1]Sales Order'!A:C,3,FALSE),[1]Employee!A:E,5,FALSE)&amp;" "&amp;VLOOKUP(VLOOKUP(A1423,'[1]Sales Order'!A:C,3,FALSE),[1]Employee!A:C,3,FALSE)&amp;" "&amp;VLOOKUP(VLOOKUP(A1423,'[1]Sales Order'!A:C,3,FALSE),[1]Employee!A:B,2,FALSE),"Not Specified")</f>
        <v>Mr. Paul Suurs</v>
      </c>
      <c r="I1423">
        <f>IFERROR(VLOOKUP(VLOOKUP(A1423,'[1]Sales Order'!A:C,3,FALSE),[1]Employee!A:J,10,FALSE),"Not Specified")</f>
        <v>0</v>
      </c>
      <c r="J1423" t="str">
        <f>VLOOKUP(B1423,[1]Product!A:B,2,FALSE)</f>
        <v>Product VKCMF</v>
      </c>
      <c r="K1423" t="str">
        <f>VLOOKUP(VLOOKUP(B1423,[1]Product!A:D,4,FALSE),[1]Category!A:B,2,FALSE)</f>
        <v>Grains/Cereals</v>
      </c>
      <c r="L1423" s="10">
        <f>IFERROR(VLOOKUP(A1423,'[1]Sales Order'!A:D,4,FALSE),"")</f>
        <v>39438</v>
      </c>
      <c r="M1423" s="10">
        <f>IFERROR(VLOOKUP(A1423,'[1]Sales Order'!A:F,6,FALSE),"")</f>
        <v>39442</v>
      </c>
      <c r="N1423" t="str">
        <f>IFERROR(VLOOKUP(VLOOKUP(A1423,'[1]Sales Order'!A:G,7,FALSE),[1]Shipper!A:B,2,FALSE),"Not Specified")</f>
        <v>Shipper GVSUA</v>
      </c>
      <c r="O1423" t="str">
        <f>IFERROR(VLOOKUP(A1423,'[1]Sales Order'!A:I,9,FALSE),"Not Specified")</f>
        <v>Destination XOIGC</v>
      </c>
      <c r="P1423" t="str">
        <f>IFERROR(VLOOKUP(A1423,'[1]Sales Order'!A:N,14,FALSE),"Not Specified")</f>
        <v>Brazil</v>
      </c>
      <c r="Q1423" t="str">
        <f>VLOOKUP(VLOOKUP(B1423,[1]Product!A:C,3,FALSE),[1]Supplier!A:B,2,FALSE)</f>
        <v>Supplier ZWZDM</v>
      </c>
      <c r="R1423" t="str">
        <f>VLOOKUP(VLOOKUP(B1423,[1]Product!A:C,3,FALSE),[1]Supplier!A:I,9,FALSE)</f>
        <v>Italy</v>
      </c>
      <c r="S1423" t="str">
        <f>IFERROR(IF(VLOOKUP(A1423,'[1]Sales Order'!A:H,8,FALSE)&gt;100,"High Freight","Low Freight"),"Not Specified")</f>
        <v>Low Freight</v>
      </c>
      <c r="T1423">
        <f t="shared" si="45"/>
        <v>646</v>
      </c>
    </row>
    <row r="1424" spans="1:20">
      <c r="A1424" s="1">
        <v>10791</v>
      </c>
      <c r="B1424" s="2">
        <v>29</v>
      </c>
      <c r="C1424" s="2">
        <v>123.79</v>
      </c>
      <c r="D1424" s="2">
        <v>14</v>
      </c>
      <c r="E1424" s="3">
        <v>0.05</v>
      </c>
      <c r="F1424" s="2" t="str">
        <f>IFERROR(VLOOKUP(VLOOKUP(A1424,'[1]Sales Order'!A:B,2,FALSE),[1]Customer!A:C,3,FALSE),"Not Specified")</f>
        <v>Carlson, Jason</v>
      </c>
      <c r="G1424" s="2" t="str">
        <f t="shared" si="44"/>
        <v>Carlson Jason</v>
      </c>
      <c r="H1424" s="8" t="str">
        <f>IFERROR(VLOOKUP(VLOOKUP(A1424,'[1]Sales Order'!A:C,3,FALSE),[1]Employee!A:E,5,FALSE)&amp;" "&amp;VLOOKUP(VLOOKUP(A1424,'[1]Sales Order'!A:C,3,FALSE),[1]Employee!A:C,3,FALSE)&amp;" "&amp;VLOOKUP(VLOOKUP(A1424,'[1]Sales Order'!A:C,3,FALSE),[1]Employee!A:B,2,FALSE),"Not Specified")</f>
        <v>Mr. Paul Suurs</v>
      </c>
      <c r="I1424">
        <f>IFERROR(VLOOKUP(VLOOKUP(A1424,'[1]Sales Order'!A:C,3,FALSE),[1]Employee!A:J,10,FALSE),"Not Specified")</f>
        <v>0</v>
      </c>
      <c r="J1424" t="str">
        <f>VLOOKUP(B1424,[1]Product!A:B,2,FALSE)</f>
        <v>Product VJXYN</v>
      </c>
      <c r="K1424" t="str">
        <f>VLOOKUP(VLOOKUP(B1424,[1]Product!A:D,4,FALSE),[1]Category!A:B,2,FALSE)</f>
        <v>Meat/Poultry</v>
      </c>
      <c r="L1424" s="10">
        <f>IFERROR(VLOOKUP(A1424,'[1]Sales Order'!A:D,4,FALSE),"")</f>
        <v>39439</v>
      </c>
      <c r="M1424" s="10">
        <f>IFERROR(VLOOKUP(A1424,'[1]Sales Order'!A:F,6,FALSE),"")</f>
        <v>39448</v>
      </c>
      <c r="N1424" t="str">
        <f>IFERROR(VLOOKUP(VLOOKUP(A1424,'[1]Sales Order'!A:G,7,FALSE),[1]Shipper!A:B,2,FALSE),"Not Specified")</f>
        <v>Shipper ETYNR</v>
      </c>
      <c r="O1424" t="str">
        <f>IFERROR(VLOOKUP(A1424,'[1]Sales Order'!A:I,9,FALSE),"Not Specified")</f>
        <v>Destination QOCBL</v>
      </c>
      <c r="P1424" t="str">
        <f>IFERROR(VLOOKUP(A1424,'[1]Sales Order'!A:N,14,FALSE),"Not Specified")</f>
        <v>Germany</v>
      </c>
      <c r="Q1424" t="str">
        <f>VLOOKUP(VLOOKUP(B1424,[1]Product!A:C,3,FALSE),[1]Supplier!A:B,2,FALSE)</f>
        <v>Supplier SVIYA</v>
      </c>
      <c r="R1424" t="str">
        <f>VLOOKUP(VLOOKUP(B1424,[1]Product!A:C,3,FALSE),[1]Supplier!A:I,9,FALSE)</f>
        <v>Germany</v>
      </c>
      <c r="S1424" t="str">
        <f>IFERROR(IF(VLOOKUP(A1424,'[1]Sales Order'!A:H,8,FALSE)&gt;100,"High Freight","Low Freight"),"Not Specified")</f>
        <v>Low Freight</v>
      </c>
      <c r="T1424">
        <f t="shared" si="45"/>
        <v>1646.4070000000002</v>
      </c>
    </row>
    <row r="1425" spans="1:20">
      <c r="A1425" s="1">
        <v>10791</v>
      </c>
      <c r="B1425" s="2">
        <v>41</v>
      </c>
      <c r="C1425" s="2">
        <v>9.65</v>
      </c>
      <c r="D1425" s="2">
        <v>20</v>
      </c>
      <c r="E1425" s="3">
        <v>0.05</v>
      </c>
      <c r="F1425" s="2" t="str">
        <f>IFERROR(VLOOKUP(VLOOKUP(A1425,'[1]Sales Order'!A:B,2,FALSE),[1]Customer!A:C,3,FALSE),"Not Specified")</f>
        <v>Carlson, Jason</v>
      </c>
      <c r="G1425" s="2" t="str">
        <f t="shared" si="44"/>
        <v>Carlson Jason</v>
      </c>
      <c r="H1425" s="8" t="str">
        <f>IFERROR(VLOOKUP(VLOOKUP(A1425,'[1]Sales Order'!A:C,3,FALSE),[1]Employee!A:E,5,FALSE)&amp;" "&amp;VLOOKUP(VLOOKUP(A1425,'[1]Sales Order'!A:C,3,FALSE),[1]Employee!A:C,3,FALSE)&amp;" "&amp;VLOOKUP(VLOOKUP(A1425,'[1]Sales Order'!A:C,3,FALSE),[1]Employee!A:B,2,FALSE),"Not Specified")</f>
        <v>Mr. Paul Suurs</v>
      </c>
      <c r="I1425">
        <f>IFERROR(VLOOKUP(VLOOKUP(A1425,'[1]Sales Order'!A:C,3,FALSE),[1]Employee!A:J,10,FALSE),"Not Specified")</f>
        <v>0</v>
      </c>
      <c r="J1425" t="str">
        <f>VLOOKUP(B1425,[1]Product!A:B,2,FALSE)</f>
        <v>Product TTEEX</v>
      </c>
      <c r="K1425" t="str">
        <f>VLOOKUP(VLOOKUP(B1425,[1]Product!A:D,4,FALSE),[1]Category!A:B,2,FALSE)</f>
        <v>Seafood</v>
      </c>
      <c r="L1425" s="10">
        <f>IFERROR(VLOOKUP(A1425,'[1]Sales Order'!A:D,4,FALSE),"")</f>
        <v>39439</v>
      </c>
      <c r="M1425" s="10">
        <f>IFERROR(VLOOKUP(A1425,'[1]Sales Order'!A:F,6,FALSE),"")</f>
        <v>39448</v>
      </c>
      <c r="N1425" t="str">
        <f>IFERROR(VLOOKUP(VLOOKUP(A1425,'[1]Sales Order'!A:G,7,FALSE),[1]Shipper!A:B,2,FALSE),"Not Specified")</f>
        <v>Shipper ETYNR</v>
      </c>
      <c r="O1425" t="str">
        <f>IFERROR(VLOOKUP(A1425,'[1]Sales Order'!A:I,9,FALSE),"Not Specified")</f>
        <v>Destination QOCBL</v>
      </c>
      <c r="P1425" t="str">
        <f>IFERROR(VLOOKUP(A1425,'[1]Sales Order'!A:N,14,FALSE),"Not Specified")</f>
        <v>Germany</v>
      </c>
      <c r="Q1425" t="str">
        <f>VLOOKUP(VLOOKUP(B1425,[1]Product!A:C,3,FALSE),[1]Supplier!A:B,2,FALSE)</f>
        <v>Supplier JDNUG</v>
      </c>
      <c r="R1425" t="str">
        <f>VLOOKUP(VLOOKUP(B1425,[1]Product!A:C,3,FALSE),[1]Supplier!A:I,9,FALSE)</f>
        <v>USA</v>
      </c>
      <c r="S1425" t="str">
        <f>IFERROR(IF(VLOOKUP(A1425,'[1]Sales Order'!A:H,8,FALSE)&gt;100,"High Freight","Low Freight"),"Not Specified")</f>
        <v>Low Freight</v>
      </c>
      <c r="T1425">
        <f t="shared" si="45"/>
        <v>183.35</v>
      </c>
    </row>
    <row r="1426" spans="1:20">
      <c r="A1426" s="1">
        <v>10792</v>
      </c>
      <c r="B1426" s="2">
        <v>2</v>
      </c>
      <c r="C1426" s="2">
        <v>19</v>
      </c>
      <c r="D1426" s="2">
        <v>10</v>
      </c>
      <c r="E1426" s="3">
        <v>0</v>
      </c>
      <c r="F1426" s="2" t="str">
        <f>IFERROR(VLOOKUP(VLOOKUP(A1426,'[1]Sales Order'!A:B,2,FALSE),[1]Customer!A:C,3,FALSE),"Not Specified")</f>
        <v>Conn, Steve</v>
      </c>
      <c r="G1426" s="2" t="str">
        <f t="shared" si="44"/>
        <v>Conn Steve</v>
      </c>
      <c r="H1426" s="8" t="str">
        <f>IFERROR(VLOOKUP(VLOOKUP(A1426,'[1]Sales Order'!A:C,3,FALSE),[1]Employee!A:E,5,FALSE)&amp;" "&amp;VLOOKUP(VLOOKUP(A1426,'[1]Sales Order'!A:C,3,FALSE),[1]Employee!A:C,3,FALSE)&amp;" "&amp;VLOOKUP(VLOOKUP(A1426,'[1]Sales Order'!A:C,3,FALSE),[1]Employee!A:B,2,FALSE),"Not Specified")</f>
        <v>Ms. Sara Davis</v>
      </c>
      <c r="I1426" t="str">
        <f>IFERROR(VLOOKUP(VLOOKUP(A1426,'[1]Sales Order'!A:C,3,FALSE),[1]Employee!A:J,10,FALSE),"Not Specified")</f>
        <v>WA</v>
      </c>
      <c r="J1426" t="str">
        <f>VLOOKUP(B1426,[1]Product!A:B,2,FALSE)</f>
        <v>Product RECZE</v>
      </c>
      <c r="K1426" t="str">
        <f>VLOOKUP(VLOOKUP(B1426,[1]Product!A:D,4,FALSE),[1]Category!A:B,2,FALSE)</f>
        <v>Beverages</v>
      </c>
      <c r="L1426" s="10">
        <f>IFERROR(VLOOKUP(A1426,'[1]Sales Order'!A:D,4,FALSE),"")</f>
        <v>39439</v>
      </c>
      <c r="M1426" s="10">
        <f>IFERROR(VLOOKUP(A1426,'[1]Sales Order'!A:F,6,FALSE),"")</f>
        <v>39447</v>
      </c>
      <c r="N1426" t="str">
        <f>IFERROR(VLOOKUP(VLOOKUP(A1426,'[1]Sales Order'!A:G,7,FALSE),[1]Shipper!A:B,2,FALSE),"Not Specified")</f>
        <v>Shipper ZHISN</v>
      </c>
      <c r="O1426" t="str">
        <f>IFERROR(VLOOKUP(A1426,'[1]Sales Order'!A:I,9,FALSE),"Not Specified")</f>
        <v>Ship to 91-C</v>
      </c>
      <c r="P1426" t="str">
        <f>IFERROR(VLOOKUP(A1426,'[1]Sales Order'!A:N,14,FALSE),"Not Specified")</f>
        <v>Poland</v>
      </c>
      <c r="Q1426" t="str">
        <f>VLOOKUP(VLOOKUP(B1426,[1]Product!A:C,3,FALSE),[1]Supplier!A:B,2,FALSE)</f>
        <v>Supplier SWRXU</v>
      </c>
      <c r="R1426" t="str">
        <f>VLOOKUP(VLOOKUP(B1426,[1]Product!A:C,3,FALSE),[1]Supplier!A:I,9,FALSE)</f>
        <v>UK</v>
      </c>
      <c r="S1426" t="str">
        <f>IFERROR(IF(VLOOKUP(A1426,'[1]Sales Order'!A:H,8,FALSE)&gt;100,"High Freight","Low Freight"),"Not Specified")</f>
        <v>Low Freight</v>
      </c>
      <c r="T1426">
        <f t="shared" si="45"/>
        <v>190</v>
      </c>
    </row>
    <row r="1427" spans="1:20">
      <c r="A1427" s="1">
        <v>10792</v>
      </c>
      <c r="B1427" s="2">
        <v>54</v>
      </c>
      <c r="C1427" s="2">
        <v>7.45</v>
      </c>
      <c r="D1427" s="2">
        <v>3</v>
      </c>
      <c r="E1427" s="3">
        <v>0</v>
      </c>
      <c r="F1427" s="2" t="str">
        <f>IFERROR(VLOOKUP(VLOOKUP(A1427,'[1]Sales Order'!A:B,2,FALSE),[1]Customer!A:C,3,FALSE),"Not Specified")</f>
        <v>Conn, Steve</v>
      </c>
      <c r="G1427" s="2" t="str">
        <f t="shared" si="44"/>
        <v>Conn Steve</v>
      </c>
      <c r="H1427" s="8" t="str">
        <f>IFERROR(VLOOKUP(VLOOKUP(A1427,'[1]Sales Order'!A:C,3,FALSE),[1]Employee!A:E,5,FALSE)&amp;" "&amp;VLOOKUP(VLOOKUP(A1427,'[1]Sales Order'!A:C,3,FALSE),[1]Employee!A:C,3,FALSE)&amp;" "&amp;VLOOKUP(VLOOKUP(A1427,'[1]Sales Order'!A:C,3,FALSE),[1]Employee!A:B,2,FALSE),"Not Specified")</f>
        <v>Ms. Sara Davis</v>
      </c>
      <c r="I1427" t="str">
        <f>IFERROR(VLOOKUP(VLOOKUP(A1427,'[1]Sales Order'!A:C,3,FALSE),[1]Employee!A:J,10,FALSE),"Not Specified")</f>
        <v>WA</v>
      </c>
      <c r="J1427" t="str">
        <f>VLOOKUP(B1427,[1]Product!A:B,2,FALSE)</f>
        <v>Product QAQRL</v>
      </c>
      <c r="K1427" t="str">
        <f>VLOOKUP(VLOOKUP(B1427,[1]Product!A:D,4,FALSE),[1]Category!A:B,2,FALSE)</f>
        <v>Meat/Poultry</v>
      </c>
      <c r="L1427" s="10">
        <f>IFERROR(VLOOKUP(A1427,'[1]Sales Order'!A:D,4,FALSE),"")</f>
        <v>39439</v>
      </c>
      <c r="M1427" s="10">
        <f>IFERROR(VLOOKUP(A1427,'[1]Sales Order'!A:F,6,FALSE),"")</f>
        <v>39447</v>
      </c>
      <c r="N1427" t="str">
        <f>IFERROR(VLOOKUP(VLOOKUP(A1427,'[1]Sales Order'!A:G,7,FALSE),[1]Shipper!A:B,2,FALSE),"Not Specified")</f>
        <v>Shipper ZHISN</v>
      </c>
      <c r="O1427" t="str">
        <f>IFERROR(VLOOKUP(A1427,'[1]Sales Order'!A:I,9,FALSE),"Not Specified")</f>
        <v>Ship to 91-C</v>
      </c>
      <c r="P1427" t="str">
        <f>IFERROR(VLOOKUP(A1427,'[1]Sales Order'!A:N,14,FALSE),"Not Specified")</f>
        <v>Poland</v>
      </c>
      <c r="Q1427" t="str">
        <f>VLOOKUP(VLOOKUP(B1427,[1]Product!A:C,3,FALSE),[1]Supplier!A:B,2,FALSE)</f>
        <v>Supplier ERVYZ</v>
      </c>
      <c r="R1427" t="str">
        <f>VLOOKUP(VLOOKUP(B1427,[1]Product!A:C,3,FALSE),[1]Supplier!A:I,9,FALSE)</f>
        <v>Canada</v>
      </c>
      <c r="S1427" t="str">
        <f>IFERROR(IF(VLOOKUP(A1427,'[1]Sales Order'!A:H,8,FALSE)&gt;100,"High Freight","Low Freight"),"Not Specified")</f>
        <v>Low Freight</v>
      </c>
      <c r="T1427">
        <f t="shared" si="45"/>
        <v>22.35</v>
      </c>
    </row>
    <row r="1428" spans="1:20">
      <c r="A1428" s="1">
        <v>10792</v>
      </c>
      <c r="B1428" s="2">
        <v>68</v>
      </c>
      <c r="C1428" s="2">
        <v>12.5</v>
      </c>
      <c r="D1428" s="2">
        <v>15</v>
      </c>
      <c r="E1428" s="3">
        <v>0</v>
      </c>
      <c r="F1428" s="2" t="str">
        <f>IFERROR(VLOOKUP(VLOOKUP(A1428,'[1]Sales Order'!A:B,2,FALSE),[1]Customer!A:C,3,FALSE),"Not Specified")</f>
        <v>Conn, Steve</v>
      </c>
      <c r="G1428" s="2" t="str">
        <f t="shared" si="44"/>
        <v>Conn Steve</v>
      </c>
      <c r="H1428" s="8" t="str">
        <f>IFERROR(VLOOKUP(VLOOKUP(A1428,'[1]Sales Order'!A:C,3,FALSE),[1]Employee!A:E,5,FALSE)&amp;" "&amp;VLOOKUP(VLOOKUP(A1428,'[1]Sales Order'!A:C,3,FALSE),[1]Employee!A:C,3,FALSE)&amp;" "&amp;VLOOKUP(VLOOKUP(A1428,'[1]Sales Order'!A:C,3,FALSE),[1]Employee!A:B,2,FALSE),"Not Specified")</f>
        <v>Ms. Sara Davis</v>
      </c>
      <c r="I1428" t="str">
        <f>IFERROR(VLOOKUP(VLOOKUP(A1428,'[1]Sales Order'!A:C,3,FALSE),[1]Employee!A:J,10,FALSE),"Not Specified")</f>
        <v>WA</v>
      </c>
      <c r="J1428" t="str">
        <f>VLOOKUP(B1428,[1]Product!A:B,2,FALSE)</f>
        <v>Product TBTBL</v>
      </c>
      <c r="K1428" t="str">
        <f>VLOOKUP(VLOOKUP(B1428,[1]Product!A:D,4,FALSE),[1]Category!A:B,2,FALSE)</f>
        <v>Confections</v>
      </c>
      <c r="L1428" s="10">
        <f>IFERROR(VLOOKUP(A1428,'[1]Sales Order'!A:D,4,FALSE),"")</f>
        <v>39439</v>
      </c>
      <c r="M1428" s="10">
        <f>IFERROR(VLOOKUP(A1428,'[1]Sales Order'!A:F,6,FALSE),"")</f>
        <v>39447</v>
      </c>
      <c r="N1428" t="str">
        <f>IFERROR(VLOOKUP(VLOOKUP(A1428,'[1]Sales Order'!A:G,7,FALSE),[1]Shipper!A:B,2,FALSE),"Not Specified")</f>
        <v>Shipper ZHISN</v>
      </c>
      <c r="O1428" t="str">
        <f>IFERROR(VLOOKUP(A1428,'[1]Sales Order'!A:I,9,FALSE),"Not Specified")</f>
        <v>Ship to 91-C</v>
      </c>
      <c r="P1428" t="str">
        <f>IFERROR(VLOOKUP(A1428,'[1]Sales Order'!A:N,14,FALSE),"Not Specified")</f>
        <v>Poland</v>
      </c>
      <c r="Q1428" t="str">
        <f>VLOOKUP(VLOOKUP(B1428,[1]Product!A:C,3,FALSE),[1]Supplier!A:B,2,FALSE)</f>
        <v>Supplier BWGYE</v>
      </c>
      <c r="R1428" t="str">
        <f>VLOOKUP(VLOOKUP(B1428,[1]Product!A:C,3,FALSE),[1]Supplier!A:I,9,FALSE)</f>
        <v>UK</v>
      </c>
      <c r="S1428" t="str">
        <f>IFERROR(IF(VLOOKUP(A1428,'[1]Sales Order'!A:H,8,FALSE)&gt;100,"High Freight","Low Freight"),"Not Specified")</f>
        <v>Low Freight</v>
      </c>
      <c r="T1428">
        <f t="shared" si="45"/>
        <v>187.5</v>
      </c>
    </row>
    <row r="1429" spans="1:20">
      <c r="A1429" s="1">
        <v>10793</v>
      </c>
      <c r="B1429" s="2">
        <v>41</v>
      </c>
      <c r="C1429" s="2">
        <v>9.65</v>
      </c>
      <c r="D1429" s="2">
        <v>14</v>
      </c>
      <c r="E1429" s="3">
        <v>0</v>
      </c>
      <c r="F1429" s="2" t="str">
        <f>IFERROR(VLOOKUP(VLOOKUP(A1429,'[1]Sales Order'!A:B,2,FALSE),[1]Customer!A:C,3,FALSE),"Not Specified")</f>
        <v>Arndt, Torsten</v>
      </c>
      <c r="G1429" s="2" t="str">
        <f t="shared" si="44"/>
        <v>Arndt Torsten</v>
      </c>
      <c r="H1429" s="8" t="str">
        <f>IFERROR(VLOOKUP(VLOOKUP(A1429,'[1]Sales Order'!A:C,3,FALSE),[1]Employee!A:E,5,FALSE)&amp;" "&amp;VLOOKUP(VLOOKUP(A1429,'[1]Sales Order'!A:C,3,FALSE),[1]Employee!A:C,3,FALSE)&amp;" "&amp;VLOOKUP(VLOOKUP(A1429,'[1]Sales Order'!A:C,3,FALSE),[1]Employee!A:B,2,FALSE),"Not Specified")</f>
        <v>Ms. Judy Lew</v>
      </c>
      <c r="I1429" t="str">
        <f>IFERROR(VLOOKUP(VLOOKUP(A1429,'[1]Sales Order'!A:C,3,FALSE),[1]Employee!A:J,10,FALSE),"Not Specified")</f>
        <v>WA</v>
      </c>
      <c r="J1429" t="str">
        <f>VLOOKUP(B1429,[1]Product!A:B,2,FALSE)</f>
        <v>Product TTEEX</v>
      </c>
      <c r="K1429" t="str">
        <f>VLOOKUP(VLOOKUP(B1429,[1]Product!A:D,4,FALSE),[1]Category!A:B,2,FALSE)</f>
        <v>Seafood</v>
      </c>
      <c r="L1429" s="10">
        <f>IFERROR(VLOOKUP(A1429,'[1]Sales Order'!A:D,4,FALSE),"")</f>
        <v>39440</v>
      </c>
      <c r="M1429" s="10">
        <f>IFERROR(VLOOKUP(A1429,'[1]Sales Order'!A:F,6,FALSE),"")</f>
        <v>39455</v>
      </c>
      <c r="N1429" t="str">
        <f>IFERROR(VLOOKUP(VLOOKUP(A1429,'[1]Sales Order'!A:G,7,FALSE),[1]Shipper!A:B,2,FALSE),"Not Specified")</f>
        <v>Shipper ZHISN</v>
      </c>
      <c r="O1429" t="str">
        <f>IFERROR(VLOOKUP(A1429,'[1]Sales Order'!A:I,9,FALSE),"Not Specified")</f>
        <v>Ship to 4-B</v>
      </c>
      <c r="P1429" t="str">
        <f>IFERROR(VLOOKUP(A1429,'[1]Sales Order'!A:N,14,FALSE),"Not Specified")</f>
        <v>UK</v>
      </c>
      <c r="Q1429" t="str">
        <f>VLOOKUP(VLOOKUP(B1429,[1]Product!A:C,3,FALSE),[1]Supplier!A:B,2,FALSE)</f>
        <v>Supplier JDNUG</v>
      </c>
      <c r="R1429" t="str">
        <f>VLOOKUP(VLOOKUP(B1429,[1]Product!A:C,3,FALSE),[1]Supplier!A:I,9,FALSE)</f>
        <v>USA</v>
      </c>
      <c r="S1429" t="str">
        <f>IFERROR(IF(VLOOKUP(A1429,'[1]Sales Order'!A:H,8,FALSE)&gt;100,"High Freight","Low Freight"),"Not Specified")</f>
        <v>Low Freight</v>
      </c>
      <c r="T1429">
        <f t="shared" si="45"/>
        <v>135.1</v>
      </c>
    </row>
    <row r="1430" spans="1:20">
      <c r="A1430" s="1">
        <v>10793</v>
      </c>
      <c r="B1430" s="2">
        <v>52</v>
      </c>
      <c r="C1430" s="2">
        <v>7</v>
      </c>
      <c r="D1430" s="2">
        <v>8</v>
      </c>
      <c r="E1430" s="3">
        <v>0</v>
      </c>
      <c r="F1430" s="2" t="str">
        <f>IFERROR(VLOOKUP(VLOOKUP(A1430,'[1]Sales Order'!A:B,2,FALSE),[1]Customer!A:C,3,FALSE),"Not Specified")</f>
        <v>Arndt, Torsten</v>
      </c>
      <c r="G1430" s="2" t="str">
        <f t="shared" si="44"/>
        <v>Arndt Torsten</v>
      </c>
      <c r="H1430" s="8" t="str">
        <f>IFERROR(VLOOKUP(VLOOKUP(A1430,'[1]Sales Order'!A:C,3,FALSE),[1]Employee!A:E,5,FALSE)&amp;" "&amp;VLOOKUP(VLOOKUP(A1430,'[1]Sales Order'!A:C,3,FALSE),[1]Employee!A:C,3,FALSE)&amp;" "&amp;VLOOKUP(VLOOKUP(A1430,'[1]Sales Order'!A:C,3,FALSE),[1]Employee!A:B,2,FALSE),"Not Specified")</f>
        <v>Ms. Judy Lew</v>
      </c>
      <c r="I1430" t="str">
        <f>IFERROR(VLOOKUP(VLOOKUP(A1430,'[1]Sales Order'!A:C,3,FALSE),[1]Employee!A:J,10,FALSE),"Not Specified")</f>
        <v>WA</v>
      </c>
      <c r="J1430" t="str">
        <f>VLOOKUP(B1430,[1]Product!A:B,2,FALSE)</f>
        <v>Product QSRXF</v>
      </c>
      <c r="K1430" t="str">
        <f>VLOOKUP(VLOOKUP(B1430,[1]Product!A:D,4,FALSE),[1]Category!A:B,2,FALSE)</f>
        <v>Grains/Cereals</v>
      </c>
      <c r="L1430" s="10">
        <f>IFERROR(VLOOKUP(A1430,'[1]Sales Order'!A:D,4,FALSE),"")</f>
        <v>39440</v>
      </c>
      <c r="M1430" s="10">
        <f>IFERROR(VLOOKUP(A1430,'[1]Sales Order'!A:F,6,FALSE),"")</f>
        <v>39455</v>
      </c>
      <c r="N1430" t="str">
        <f>IFERROR(VLOOKUP(VLOOKUP(A1430,'[1]Sales Order'!A:G,7,FALSE),[1]Shipper!A:B,2,FALSE),"Not Specified")</f>
        <v>Shipper ZHISN</v>
      </c>
      <c r="O1430" t="str">
        <f>IFERROR(VLOOKUP(A1430,'[1]Sales Order'!A:I,9,FALSE),"Not Specified")</f>
        <v>Ship to 4-B</v>
      </c>
      <c r="P1430" t="str">
        <f>IFERROR(VLOOKUP(A1430,'[1]Sales Order'!A:N,14,FALSE),"Not Specified")</f>
        <v>UK</v>
      </c>
      <c r="Q1430" t="str">
        <f>VLOOKUP(VLOOKUP(B1430,[1]Product!A:C,3,FALSE),[1]Supplier!A:B,2,FALSE)</f>
        <v>Supplier JNNES</v>
      </c>
      <c r="R1430" t="str">
        <f>VLOOKUP(VLOOKUP(B1430,[1]Product!A:C,3,FALSE),[1]Supplier!A:I,9,FALSE)</f>
        <v>Australia</v>
      </c>
      <c r="S1430" t="str">
        <f>IFERROR(IF(VLOOKUP(A1430,'[1]Sales Order'!A:H,8,FALSE)&gt;100,"High Freight","Low Freight"),"Not Specified")</f>
        <v>Low Freight</v>
      </c>
      <c r="T1430">
        <f t="shared" si="45"/>
        <v>56</v>
      </c>
    </row>
    <row r="1431" spans="1:20">
      <c r="A1431" s="1">
        <v>10794</v>
      </c>
      <c r="B1431" s="2">
        <v>14</v>
      </c>
      <c r="C1431" s="2">
        <v>23.25</v>
      </c>
      <c r="D1431" s="2">
        <v>15</v>
      </c>
      <c r="E1431" s="3">
        <v>0.2</v>
      </c>
      <c r="F1431" s="2" t="str">
        <f>IFERROR(VLOOKUP(VLOOKUP(A1431,'[1]Sales Order'!A:B,2,FALSE),[1]Customer!A:C,3,FALSE),"Not Specified")</f>
        <v>Florczyk, Krzysztof</v>
      </c>
      <c r="G1431" s="2" t="str">
        <f t="shared" si="44"/>
        <v>Florczyk Krzysztof</v>
      </c>
      <c r="H1431" s="8" t="str">
        <f>IFERROR(VLOOKUP(VLOOKUP(A1431,'[1]Sales Order'!A:C,3,FALSE),[1]Employee!A:E,5,FALSE)&amp;" "&amp;VLOOKUP(VLOOKUP(A1431,'[1]Sales Order'!A:C,3,FALSE),[1]Employee!A:C,3,FALSE)&amp;" "&amp;VLOOKUP(VLOOKUP(A1431,'[1]Sales Order'!A:C,3,FALSE),[1]Employee!A:B,2,FALSE),"Not Specified")</f>
        <v>Mr. Paul Suurs</v>
      </c>
      <c r="I1431">
        <f>IFERROR(VLOOKUP(VLOOKUP(A1431,'[1]Sales Order'!A:C,3,FALSE),[1]Employee!A:J,10,FALSE),"Not Specified")</f>
        <v>0</v>
      </c>
      <c r="J1431" t="str">
        <f>VLOOKUP(B1431,[1]Product!A:B,2,FALSE)</f>
        <v>Product PWCJB</v>
      </c>
      <c r="K1431" t="str">
        <f>VLOOKUP(VLOOKUP(B1431,[1]Product!A:D,4,FALSE),[1]Category!A:B,2,FALSE)</f>
        <v>Produce</v>
      </c>
      <c r="L1431" s="10">
        <f>IFERROR(VLOOKUP(A1431,'[1]Sales Order'!A:D,4,FALSE),"")</f>
        <v>39440</v>
      </c>
      <c r="M1431" s="10">
        <f>IFERROR(VLOOKUP(A1431,'[1]Sales Order'!A:F,6,FALSE),"")</f>
        <v>39449</v>
      </c>
      <c r="N1431" t="str">
        <f>IFERROR(VLOOKUP(VLOOKUP(A1431,'[1]Sales Order'!A:G,7,FALSE),[1]Shipper!A:B,2,FALSE),"Not Specified")</f>
        <v>Shipper GVSUA</v>
      </c>
      <c r="O1431" t="str">
        <f>IFERROR(VLOOKUP(A1431,'[1]Sales Order'!A:I,9,FALSE),"Not Specified")</f>
        <v>Ship to 61-C</v>
      </c>
      <c r="P1431" t="str">
        <f>IFERROR(VLOOKUP(A1431,'[1]Sales Order'!A:N,14,FALSE),"Not Specified")</f>
        <v>Brazil</v>
      </c>
      <c r="Q1431" t="str">
        <f>VLOOKUP(VLOOKUP(B1431,[1]Product!A:C,3,FALSE),[1]Supplier!A:B,2,FALSE)</f>
        <v>Supplier QWUSF</v>
      </c>
      <c r="R1431" t="str">
        <f>VLOOKUP(VLOOKUP(B1431,[1]Product!A:C,3,FALSE),[1]Supplier!A:I,9,FALSE)</f>
        <v>Japan</v>
      </c>
      <c r="S1431" t="str">
        <f>IFERROR(IF(VLOOKUP(A1431,'[1]Sales Order'!A:H,8,FALSE)&gt;100,"High Freight","Low Freight"),"Not Specified")</f>
        <v>Low Freight</v>
      </c>
      <c r="T1431">
        <f t="shared" si="45"/>
        <v>279</v>
      </c>
    </row>
    <row r="1432" spans="1:20">
      <c r="A1432" s="1">
        <v>10794</v>
      </c>
      <c r="B1432" s="2">
        <v>54</v>
      </c>
      <c r="C1432" s="2">
        <v>7.45</v>
      </c>
      <c r="D1432" s="2">
        <v>6</v>
      </c>
      <c r="E1432" s="3">
        <v>0.2</v>
      </c>
      <c r="F1432" s="2" t="str">
        <f>IFERROR(VLOOKUP(VLOOKUP(A1432,'[1]Sales Order'!A:B,2,FALSE),[1]Customer!A:C,3,FALSE),"Not Specified")</f>
        <v>Florczyk, Krzysztof</v>
      </c>
      <c r="G1432" s="2" t="str">
        <f t="shared" si="44"/>
        <v>Florczyk Krzysztof</v>
      </c>
      <c r="H1432" s="8" t="str">
        <f>IFERROR(VLOOKUP(VLOOKUP(A1432,'[1]Sales Order'!A:C,3,FALSE),[1]Employee!A:E,5,FALSE)&amp;" "&amp;VLOOKUP(VLOOKUP(A1432,'[1]Sales Order'!A:C,3,FALSE),[1]Employee!A:C,3,FALSE)&amp;" "&amp;VLOOKUP(VLOOKUP(A1432,'[1]Sales Order'!A:C,3,FALSE),[1]Employee!A:B,2,FALSE),"Not Specified")</f>
        <v>Mr. Paul Suurs</v>
      </c>
      <c r="I1432">
        <f>IFERROR(VLOOKUP(VLOOKUP(A1432,'[1]Sales Order'!A:C,3,FALSE),[1]Employee!A:J,10,FALSE),"Not Specified")</f>
        <v>0</v>
      </c>
      <c r="J1432" t="str">
        <f>VLOOKUP(B1432,[1]Product!A:B,2,FALSE)</f>
        <v>Product QAQRL</v>
      </c>
      <c r="K1432" t="str">
        <f>VLOOKUP(VLOOKUP(B1432,[1]Product!A:D,4,FALSE),[1]Category!A:B,2,FALSE)</f>
        <v>Meat/Poultry</v>
      </c>
      <c r="L1432" s="10">
        <f>IFERROR(VLOOKUP(A1432,'[1]Sales Order'!A:D,4,FALSE),"")</f>
        <v>39440</v>
      </c>
      <c r="M1432" s="10">
        <f>IFERROR(VLOOKUP(A1432,'[1]Sales Order'!A:F,6,FALSE),"")</f>
        <v>39449</v>
      </c>
      <c r="N1432" t="str">
        <f>IFERROR(VLOOKUP(VLOOKUP(A1432,'[1]Sales Order'!A:G,7,FALSE),[1]Shipper!A:B,2,FALSE),"Not Specified")</f>
        <v>Shipper GVSUA</v>
      </c>
      <c r="O1432" t="str">
        <f>IFERROR(VLOOKUP(A1432,'[1]Sales Order'!A:I,9,FALSE),"Not Specified")</f>
        <v>Ship to 61-C</v>
      </c>
      <c r="P1432" t="str">
        <f>IFERROR(VLOOKUP(A1432,'[1]Sales Order'!A:N,14,FALSE),"Not Specified")</f>
        <v>Brazil</v>
      </c>
      <c r="Q1432" t="str">
        <f>VLOOKUP(VLOOKUP(B1432,[1]Product!A:C,3,FALSE),[1]Supplier!A:B,2,FALSE)</f>
        <v>Supplier ERVYZ</v>
      </c>
      <c r="R1432" t="str">
        <f>VLOOKUP(VLOOKUP(B1432,[1]Product!A:C,3,FALSE),[1]Supplier!A:I,9,FALSE)</f>
        <v>Canada</v>
      </c>
      <c r="S1432" t="str">
        <f>IFERROR(IF(VLOOKUP(A1432,'[1]Sales Order'!A:H,8,FALSE)&gt;100,"High Freight","Low Freight"),"Not Specified")</f>
        <v>Low Freight</v>
      </c>
      <c r="T1432">
        <f t="shared" si="45"/>
        <v>35.760000000000005</v>
      </c>
    </row>
    <row r="1433" spans="1:20">
      <c r="A1433" s="1">
        <v>10795</v>
      </c>
      <c r="B1433" s="2">
        <v>16</v>
      </c>
      <c r="C1433" s="2">
        <v>17.45</v>
      </c>
      <c r="D1433" s="2">
        <v>65</v>
      </c>
      <c r="E1433" s="3">
        <v>0</v>
      </c>
      <c r="F1433" s="2" t="str">
        <f>IFERROR(VLOOKUP(VLOOKUP(A1433,'[1]Sales Order'!A:B,2,FALSE),[1]Customer!A:C,3,FALSE),"Not Specified")</f>
        <v>Kane, John</v>
      </c>
      <c r="G1433" s="2" t="str">
        <f t="shared" si="44"/>
        <v>Kane John</v>
      </c>
      <c r="H1433" s="8" t="str">
        <f>IFERROR(VLOOKUP(VLOOKUP(A1433,'[1]Sales Order'!A:C,3,FALSE),[1]Employee!A:E,5,FALSE)&amp;" "&amp;VLOOKUP(VLOOKUP(A1433,'[1]Sales Order'!A:C,3,FALSE),[1]Employee!A:C,3,FALSE)&amp;" "&amp;VLOOKUP(VLOOKUP(A1433,'[1]Sales Order'!A:C,3,FALSE),[1]Employee!A:B,2,FALSE),"Not Specified")</f>
        <v>Ms. Maria Cameron</v>
      </c>
      <c r="I1433" t="str">
        <f>IFERROR(VLOOKUP(VLOOKUP(A1433,'[1]Sales Order'!A:C,3,FALSE),[1]Employee!A:J,10,FALSE),"Not Specified")</f>
        <v>WA</v>
      </c>
      <c r="J1433" t="str">
        <f>VLOOKUP(B1433,[1]Product!A:B,2,FALSE)</f>
        <v>Product PAFRH</v>
      </c>
      <c r="K1433" t="str">
        <f>VLOOKUP(VLOOKUP(B1433,[1]Product!A:D,4,FALSE),[1]Category!A:B,2,FALSE)</f>
        <v>Confections</v>
      </c>
      <c r="L1433" s="10">
        <f>IFERROR(VLOOKUP(A1433,'[1]Sales Order'!A:D,4,FALSE),"")</f>
        <v>39440</v>
      </c>
      <c r="M1433" s="10">
        <f>IFERROR(VLOOKUP(A1433,'[1]Sales Order'!A:F,6,FALSE),"")</f>
        <v>39467</v>
      </c>
      <c r="N1433" t="str">
        <f>IFERROR(VLOOKUP(VLOOKUP(A1433,'[1]Sales Order'!A:G,7,FALSE),[1]Shipper!A:B,2,FALSE),"Not Specified")</f>
        <v>Shipper ETYNR</v>
      </c>
      <c r="O1433" t="str">
        <f>IFERROR(VLOOKUP(A1433,'[1]Sales Order'!A:I,9,FALSE),"Not Specified")</f>
        <v>Destination FFXKT</v>
      </c>
      <c r="P1433" t="str">
        <f>IFERROR(VLOOKUP(A1433,'[1]Sales Order'!A:N,14,FALSE),"Not Specified")</f>
        <v>Austria</v>
      </c>
      <c r="Q1433" t="str">
        <f>VLOOKUP(VLOOKUP(B1433,[1]Product!A:C,3,FALSE),[1]Supplier!A:B,2,FALSE)</f>
        <v>Supplier GQRCV</v>
      </c>
      <c r="R1433" t="str">
        <f>VLOOKUP(VLOOKUP(B1433,[1]Product!A:C,3,FALSE),[1]Supplier!A:I,9,FALSE)</f>
        <v>Australia</v>
      </c>
      <c r="S1433" t="str">
        <f>IFERROR(IF(VLOOKUP(A1433,'[1]Sales Order'!A:H,8,FALSE)&gt;100,"High Freight","Low Freight"),"Not Specified")</f>
        <v>High Freight</v>
      </c>
      <c r="T1433">
        <f t="shared" si="45"/>
        <v>1134.25</v>
      </c>
    </row>
    <row r="1434" spans="1:20">
      <c r="A1434" s="1">
        <v>10795</v>
      </c>
      <c r="B1434" s="2">
        <v>17</v>
      </c>
      <c r="C1434" s="2">
        <v>39</v>
      </c>
      <c r="D1434" s="2">
        <v>35</v>
      </c>
      <c r="E1434" s="3">
        <v>0.25</v>
      </c>
      <c r="F1434" s="2" t="str">
        <f>IFERROR(VLOOKUP(VLOOKUP(A1434,'[1]Sales Order'!A:B,2,FALSE),[1]Customer!A:C,3,FALSE),"Not Specified")</f>
        <v>Kane, John</v>
      </c>
      <c r="G1434" s="2" t="str">
        <f t="shared" si="44"/>
        <v>Kane John</v>
      </c>
      <c r="H1434" s="8" t="str">
        <f>IFERROR(VLOOKUP(VLOOKUP(A1434,'[1]Sales Order'!A:C,3,FALSE),[1]Employee!A:E,5,FALSE)&amp;" "&amp;VLOOKUP(VLOOKUP(A1434,'[1]Sales Order'!A:C,3,FALSE),[1]Employee!A:C,3,FALSE)&amp;" "&amp;VLOOKUP(VLOOKUP(A1434,'[1]Sales Order'!A:C,3,FALSE),[1]Employee!A:B,2,FALSE),"Not Specified")</f>
        <v>Ms. Maria Cameron</v>
      </c>
      <c r="I1434" t="str">
        <f>IFERROR(VLOOKUP(VLOOKUP(A1434,'[1]Sales Order'!A:C,3,FALSE),[1]Employee!A:J,10,FALSE),"Not Specified")</f>
        <v>WA</v>
      </c>
      <c r="J1434" t="str">
        <f>VLOOKUP(B1434,[1]Product!A:B,2,FALSE)</f>
        <v>Product BLCAX</v>
      </c>
      <c r="K1434" t="str">
        <f>VLOOKUP(VLOOKUP(B1434,[1]Product!A:D,4,FALSE),[1]Category!A:B,2,FALSE)</f>
        <v>Meat/Poultry</v>
      </c>
      <c r="L1434" s="10">
        <f>IFERROR(VLOOKUP(A1434,'[1]Sales Order'!A:D,4,FALSE),"")</f>
        <v>39440</v>
      </c>
      <c r="M1434" s="10">
        <f>IFERROR(VLOOKUP(A1434,'[1]Sales Order'!A:F,6,FALSE),"")</f>
        <v>39467</v>
      </c>
      <c r="N1434" t="str">
        <f>IFERROR(VLOOKUP(VLOOKUP(A1434,'[1]Sales Order'!A:G,7,FALSE),[1]Shipper!A:B,2,FALSE),"Not Specified")</f>
        <v>Shipper ETYNR</v>
      </c>
      <c r="O1434" t="str">
        <f>IFERROR(VLOOKUP(A1434,'[1]Sales Order'!A:I,9,FALSE),"Not Specified")</f>
        <v>Destination FFXKT</v>
      </c>
      <c r="P1434" t="str">
        <f>IFERROR(VLOOKUP(A1434,'[1]Sales Order'!A:N,14,FALSE),"Not Specified")</f>
        <v>Austria</v>
      </c>
      <c r="Q1434" t="str">
        <f>VLOOKUP(VLOOKUP(B1434,[1]Product!A:C,3,FALSE),[1]Supplier!A:B,2,FALSE)</f>
        <v>Supplier GQRCV</v>
      </c>
      <c r="R1434" t="str">
        <f>VLOOKUP(VLOOKUP(B1434,[1]Product!A:C,3,FALSE),[1]Supplier!A:I,9,FALSE)</f>
        <v>Australia</v>
      </c>
      <c r="S1434" t="str">
        <f>IFERROR(IF(VLOOKUP(A1434,'[1]Sales Order'!A:H,8,FALSE)&gt;100,"High Freight","Low Freight"),"Not Specified")</f>
        <v>High Freight</v>
      </c>
      <c r="T1434">
        <f t="shared" si="45"/>
        <v>1023.75</v>
      </c>
    </row>
    <row r="1435" spans="1:20">
      <c r="A1435" s="1">
        <v>10796</v>
      </c>
      <c r="B1435" s="2">
        <v>26</v>
      </c>
      <c r="C1435" s="2">
        <v>31.23</v>
      </c>
      <c r="D1435" s="2">
        <v>21</v>
      </c>
      <c r="E1435" s="3">
        <v>0.2</v>
      </c>
      <c r="F1435" s="2" t="str">
        <f>IFERROR(VLOOKUP(VLOOKUP(A1435,'[1]Sales Order'!A:B,2,FALSE),[1]Customer!A:C,3,FALSE),"Not Specified")</f>
        <v>Langohr, Kris</v>
      </c>
      <c r="G1435" s="2" t="str">
        <f t="shared" si="44"/>
        <v>Langohr Kris</v>
      </c>
      <c r="H1435" s="8" t="str">
        <f>IFERROR(VLOOKUP(VLOOKUP(A1435,'[1]Sales Order'!A:C,3,FALSE),[1]Employee!A:E,5,FALSE)&amp;" "&amp;VLOOKUP(VLOOKUP(A1435,'[1]Sales Order'!A:C,3,FALSE),[1]Employee!A:C,3,FALSE)&amp;" "&amp;VLOOKUP(VLOOKUP(A1435,'[1]Sales Order'!A:C,3,FALSE),[1]Employee!A:B,2,FALSE),"Not Specified")</f>
        <v>Ms. Judy Lew</v>
      </c>
      <c r="I1435" t="str">
        <f>IFERROR(VLOOKUP(VLOOKUP(A1435,'[1]Sales Order'!A:C,3,FALSE),[1]Employee!A:J,10,FALSE),"Not Specified")</f>
        <v>WA</v>
      </c>
      <c r="J1435" t="str">
        <f>VLOOKUP(B1435,[1]Product!A:B,2,FALSE)</f>
        <v>Product HLGZA</v>
      </c>
      <c r="K1435" t="str">
        <f>VLOOKUP(VLOOKUP(B1435,[1]Product!A:D,4,FALSE),[1]Category!A:B,2,FALSE)</f>
        <v>Confections</v>
      </c>
      <c r="L1435" s="10">
        <f>IFERROR(VLOOKUP(A1435,'[1]Sales Order'!A:D,4,FALSE),"")</f>
        <v>39441</v>
      </c>
      <c r="M1435" s="10">
        <f>IFERROR(VLOOKUP(A1435,'[1]Sales Order'!A:F,6,FALSE),"")</f>
        <v>39461</v>
      </c>
      <c r="N1435" t="str">
        <f>IFERROR(VLOOKUP(VLOOKUP(A1435,'[1]Sales Order'!A:G,7,FALSE),[1]Shipper!A:B,2,FALSE),"Not Specified")</f>
        <v>Shipper GVSUA</v>
      </c>
      <c r="O1435" t="str">
        <f>IFERROR(VLOOKUP(A1435,'[1]Sales Order'!A:I,9,FALSE),"Not Specified")</f>
        <v>Destination UOUWK</v>
      </c>
      <c r="P1435" t="str">
        <f>IFERROR(VLOOKUP(A1435,'[1]Sales Order'!A:N,14,FALSE),"Not Specified")</f>
        <v>Venezuela</v>
      </c>
      <c r="Q1435" t="str">
        <f>VLOOKUP(VLOOKUP(B1435,[1]Product!A:C,3,FALSE),[1]Supplier!A:B,2,FALSE)</f>
        <v>Supplier ZPYVS</v>
      </c>
      <c r="R1435" t="str">
        <f>VLOOKUP(VLOOKUP(B1435,[1]Product!A:C,3,FALSE),[1]Supplier!A:I,9,FALSE)</f>
        <v>Germany</v>
      </c>
      <c r="S1435" t="str">
        <f>IFERROR(IF(VLOOKUP(A1435,'[1]Sales Order'!A:H,8,FALSE)&gt;100,"High Freight","Low Freight"),"Not Specified")</f>
        <v>Low Freight</v>
      </c>
      <c r="T1435">
        <f t="shared" si="45"/>
        <v>524.6640000000001</v>
      </c>
    </row>
    <row r="1436" spans="1:20">
      <c r="A1436" s="1">
        <v>10796</v>
      </c>
      <c r="B1436" s="2">
        <v>44</v>
      </c>
      <c r="C1436" s="2">
        <v>19.45</v>
      </c>
      <c r="D1436" s="2">
        <v>10</v>
      </c>
      <c r="E1436" s="3">
        <v>0</v>
      </c>
      <c r="F1436" s="2" t="str">
        <f>IFERROR(VLOOKUP(VLOOKUP(A1436,'[1]Sales Order'!A:B,2,FALSE),[1]Customer!A:C,3,FALSE),"Not Specified")</f>
        <v>Langohr, Kris</v>
      </c>
      <c r="G1436" s="2" t="str">
        <f t="shared" si="44"/>
        <v>Langohr Kris</v>
      </c>
      <c r="H1436" s="8" t="str">
        <f>IFERROR(VLOOKUP(VLOOKUP(A1436,'[1]Sales Order'!A:C,3,FALSE),[1]Employee!A:E,5,FALSE)&amp;" "&amp;VLOOKUP(VLOOKUP(A1436,'[1]Sales Order'!A:C,3,FALSE),[1]Employee!A:C,3,FALSE)&amp;" "&amp;VLOOKUP(VLOOKUP(A1436,'[1]Sales Order'!A:C,3,FALSE),[1]Employee!A:B,2,FALSE),"Not Specified")</f>
        <v>Ms. Judy Lew</v>
      </c>
      <c r="I1436" t="str">
        <f>IFERROR(VLOOKUP(VLOOKUP(A1436,'[1]Sales Order'!A:C,3,FALSE),[1]Employee!A:J,10,FALSE),"Not Specified")</f>
        <v>WA</v>
      </c>
      <c r="J1436" t="str">
        <f>VLOOKUP(B1436,[1]Product!A:B,2,FALSE)</f>
        <v>Product VJIEO</v>
      </c>
      <c r="K1436" t="str">
        <f>VLOOKUP(VLOOKUP(B1436,[1]Product!A:D,4,FALSE),[1]Category!A:B,2,FALSE)</f>
        <v>Condiments</v>
      </c>
      <c r="L1436" s="10">
        <f>IFERROR(VLOOKUP(A1436,'[1]Sales Order'!A:D,4,FALSE),"")</f>
        <v>39441</v>
      </c>
      <c r="M1436" s="10">
        <f>IFERROR(VLOOKUP(A1436,'[1]Sales Order'!A:F,6,FALSE),"")</f>
        <v>39461</v>
      </c>
      <c r="N1436" t="str">
        <f>IFERROR(VLOOKUP(VLOOKUP(A1436,'[1]Sales Order'!A:G,7,FALSE),[1]Shipper!A:B,2,FALSE),"Not Specified")</f>
        <v>Shipper GVSUA</v>
      </c>
      <c r="O1436" t="str">
        <f>IFERROR(VLOOKUP(A1436,'[1]Sales Order'!A:I,9,FALSE),"Not Specified")</f>
        <v>Destination UOUWK</v>
      </c>
      <c r="P1436" t="str">
        <f>IFERROR(VLOOKUP(A1436,'[1]Sales Order'!A:N,14,FALSE),"Not Specified")</f>
        <v>Venezuela</v>
      </c>
      <c r="Q1436" t="str">
        <f>VLOOKUP(VLOOKUP(B1436,[1]Product!A:C,3,FALSE),[1]Supplier!A:B,2,FALSE)</f>
        <v>Supplier CIYNM</v>
      </c>
      <c r="R1436" t="str">
        <f>VLOOKUP(VLOOKUP(B1436,[1]Product!A:C,3,FALSE),[1]Supplier!A:I,9,FALSE)</f>
        <v>Singapore</v>
      </c>
      <c r="S1436" t="str">
        <f>IFERROR(IF(VLOOKUP(A1436,'[1]Sales Order'!A:H,8,FALSE)&gt;100,"High Freight","Low Freight"),"Not Specified")</f>
        <v>Low Freight</v>
      </c>
      <c r="T1436">
        <f t="shared" si="45"/>
        <v>194.5</v>
      </c>
    </row>
    <row r="1437" spans="1:20">
      <c r="A1437" s="1">
        <v>10796</v>
      </c>
      <c r="B1437" s="2">
        <v>64</v>
      </c>
      <c r="C1437" s="2">
        <v>33.25</v>
      </c>
      <c r="D1437" s="2">
        <v>35</v>
      </c>
      <c r="E1437" s="3">
        <v>0.2</v>
      </c>
      <c r="F1437" s="2" t="str">
        <f>IFERROR(VLOOKUP(VLOOKUP(A1437,'[1]Sales Order'!A:B,2,FALSE),[1]Customer!A:C,3,FALSE),"Not Specified")</f>
        <v>Langohr, Kris</v>
      </c>
      <c r="G1437" s="2" t="str">
        <f t="shared" si="44"/>
        <v>Langohr Kris</v>
      </c>
      <c r="H1437" s="8" t="str">
        <f>IFERROR(VLOOKUP(VLOOKUP(A1437,'[1]Sales Order'!A:C,3,FALSE),[1]Employee!A:E,5,FALSE)&amp;" "&amp;VLOOKUP(VLOOKUP(A1437,'[1]Sales Order'!A:C,3,FALSE),[1]Employee!A:C,3,FALSE)&amp;" "&amp;VLOOKUP(VLOOKUP(A1437,'[1]Sales Order'!A:C,3,FALSE),[1]Employee!A:B,2,FALSE),"Not Specified")</f>
        <v>Ms. Judy Lew</v>
      </c>
      <c r="I1437" t="str">
        <f>IFERROR(VLOOKUP(VLOOKUP(A1437,'[1]Sales Order'!A:C,3,FALSE),[1]Employee!A:J,10,FALSE),"Not Specified")</f>
        <v>WA</v>
      </c>
      <c r="J1437" t="str">
        <f>VLOOKUP(B1437,[1]Product!A:B,2,FALSE)</f>
        <v>Product HCQDE</v>
      </c>
      <c r="K1437" t="str">
        <f>VLOOKUP(VLOOKUP(B1437,[1]Product!A:D,4,FALSE),[1]Category!A:B,2,FALSE)</f>
        <v>Grains/Cereals</v>
      </c>
      <c r="L1437" s="10">
        <f>IFERROR(VLOOKUP(A1437,'[1]Sales Order'!A:D,4,FALSE),"")</f>
        <v>39441</v>
      </c>
      <c r="M1437" s="10">
        <f>IFERROR(VLOOKUP(A1437,'[1]Sales Order'!A:F,6,FALSE),"")</f>
        <v>39461</v>
      </c>
      <c r="N1437" t="str">
        <f>IFERROR(VLOOKUP(VLOOKUP(A1437,'[1]Sales Order'!A:G,7,FALSE),[1]Shipper!A:B,2,FALSE),"Not Specified")</f>
        <v>Shipper GVSUA</v>
      </c>
      <c r="O1437" t="str">
        <f>IFERROR(VLOOKUP(A1437,'[1]Sales Order'!A:I,9,FALSE),"Not Specified")</f>
        <v>Destination UOUWK</v>
      </c>
      <c r="P1437" t="str">
        <f>IFERROR(VLOOKUP(A1437,'[1]Sales Order'!A:N,14,FALSE),"Not Specified")</f>
        <v>Venezuela</v>
      </c>
      <c r="Q1437" t="str">
        <f>VLOOKUP(VLOOKUP(B1437,[1]Product!A:C,3,FALSE),[1]Supplier!A:B,2,FALSE)</f>
        <v>Supplier SVIYA</v>
      </c>
      <c r="R1437" t="str">
        <f>VLOOKUP(VLOOKUP(B1437,[1]Product!A:C,3,FALSE),[1]Supplier!A:I,9,FALSE)</f>
        <v>Germany</v>
      </c>
      <c r="S1437" t="str">
        <f>IFERROR(IF(VLOOKUP(A1437,'[1]Sales Order'!A:H,8,FALSE)&gt;100,"High Freight","Low Freight"),"Not Specified")</f>
        <v>Low Freight</v>
      </c>
      <c r="T1437">
        <f t="shared" si="45"/>
        <v>931</v>
      </c>
    </row>
    <row r="1438" spans="1:20">
      <c r="A1438" s="1">
        <v>10796</v>
      </c>
      <c r="B1438" s="2">
        <v>69</v>
      </c>
      <c r="C1438" s="2">
        <v>36</v>
      </c>
      <c r="D1438" s="2">
        <v>24</v>
      </c>
      <c r="E1438" s="3">
        <v>0.2</v>
      </c>
      <c r="F1438" s="2" t="str">
        <f>IFERROR(VLOOKUP(VLOOKUP(A1438,'[1]Sales Order'!A:B,2,FALSE),[1]Customer!A:C,3,FALSE),"Not Specified")</f>
        <v>Langohr, Kris</v>
      </c>
      <c r="G1438" s="2" t="str">
        <f t="shared" si="44"/>
        <v>Langohr Kris</v>
      </c>
      <c r="H1438" s="8" t="str">
        <f>IFERROR(VLOOKUP(VLOOKUP(A1438,'[1]Sales Order'!A:C,3,FALSE),[1]Employee!A:E,5,FALSE)&amp;" "&amp;VLOOKUP(VLOOKUP(A1438,'[1]Sales Order'!A:C,3,FALSE),[1]Employee!A:C,3,FALSE)&amp;" "&amp;VLOOKUP(VLOOKUP(A1438,'[1]Sales Order'!A:C,3,FALSE),[1]Employee!A:B,2,FALSE),"Not Specified")</f>
        <v>Ms. Judy Lew</v>
      </c>
      <c r="I1438" t="str">
        <f>IFERROR(VLOOKUP(VLOOKUP(A1438,'[1]Sales Order'!A:C,3,FALSE),[1]Employee!A:J,10,FALSE),"Not Specified")</f>
        <v>WA</v>
      </c>
      <c r="J1438" t="str">
        <f>VLOOKUP(B1438,[1]Product!A:B,2,FALSE)</f>
        <v>Product COAXA</v>
      </c>
      <c r="K1438" t="str">
        <f>VLOOKUP(VLOOKUP(B1438,[1]Product!A:D,4,FALSE),[1]Category!A:B,2,FALSE)</f>
        <v>Dairy Product</v>
      </c>
      <c r="L1438" s="10">
        <f>IFERROR(VLOOKUP(A1438,'[1]Sales Order'!A:D,4,FALSE),"")</f>
        <v>39441</v>
      </c>
      <c r="M1438" s="10">
        <f>IFERROR(VLOOKUP(A1438,'[1]Sales Order'!A:F,6,FALSE),"")</f>
        <v>39461</v>
      </c>
      <c r="N1438" t="str">
        <f>IFERROR(VLOOKUP(VLOOKUP(A1438,'[1]Sales Order'!A:G,7,FALSE),[1]Shipper!A:B,2,FALSE),"Not Specified")</f>
        <v>Shipper GVSUA</v>
      </c>
      <c r="O1438" t="str">
        <f>IFERROR(VLOOKUP(A1438,'[1]Sales Order'!A:I,9,FALSE),"Not Specified")</f>
        <v>Destination UOUWK</v>
      </c>
      <c r="P1438" t="str">
        <f>IFERROR(VLOOKUP(A1438,'[1]Sales Order'!A:N,14,FALSE),"Not Specified")</f>
        <v>Venezuela</v>
      </c>
      <c r="Q1438" t="str">
        <f>VLOOKUP(VLOOKUP(B1438,[1]Product!A:C,3,FALSE),[1]Supplier!A:B,2,FALSE)</f>
        <v>Supplier NZLIF</v>
      </c>
      <c r="R1438" t="str">
        <f>VLOOKUP(VLOOKUP(B1438,[1]Product!A:C,3,FALSE),[1]Supplier!A:I,9,FALSE)</f>
        <v>Norway</v>
      </c>
      <c r="S1438" t="str">
        <f>IFERROR(IF(VLOOKUP(A1438,'[1]Sales Order'!A:H,8,FALSE)&gt;100,"High Freight","Low Freight"),"Not Specified")</f>
        <v>Low Freight</v>
      </c>
      <c r="T1438">
        <f t="shared" si="45"/>
        <v>691.2</v>
      </c>
    </row>
    <row r="1439" spans="1:20">
      <c r="A1439" s="1">
        <v>10797</v>
      </c>
      <c r="B1439" s="2">
        <v>11</v>
      </c>
      <c r="C1439" s="2">
        <v>21</v>
      </c>
      <c r="D1439" s="2">
        <v>20</v>
      </c>
      <c r="E1439" s="3">
        <v>0</v>
      </c>
      <c r="F1439" s="2" t="str">
        <f>IFERROR(VLOOKUP(VLOOKUP(A1439,'[1]Sales Order'!A:B,2,FALSE),[1]Customer!A:C,3,FALSE),"Not Specified")</f>
        <v>Jones, TiAnna</v>
      </c>
      <c r="G1439" s="2" t="str">
        <f t="shared" si="44"/>
        <v>Jones TiAnna</v>
      </c>
      <c r="H1439" s="8" t="str">
        <f>IFERROR(VLOOKUP(VLOOKUP(A1439,'[1]Sales Order'!A:C,3,FALSE),[1]Employee!A:E,5,FALSE)&amp;" "&amp;VLOOKUP(VLOOKUP(A1439,'[1]Sales Order'!A:C,3,FALSE),[1]Employee!A:C,3,FALSE)&amp;" "&amp;VLOOKUP(VLOOKUP(A1439,'[1]Sales Order'!A:C,3,FALSE),[1]Employee!A:B,2,FALSE),"Not Specified")</f>
        <v>Mr. Russell King</v>
      </c>
      <c r="I1439">
        <f>IFERROR(VLOOKUP(VLOOKUP(A1439,'[1]Sales Order'!A:C,3,FALSE),[1]Employee!A:J,10,FALSE),"Not Specified")</f>
        <v>0</v>
      </c>
      <c r="J1439" t="str">
        <f>VLOOKUP(B1439,[1]Product!A:B,2,FALSE)</f>
        <v>Product QMVUN</v>
      </c>
      <c r="K1439" t="str">
        <f>VLOOKUP(VLOOKUP(B1439,[1]Product!A:D,4,FALSE),[1]Category!A:B,2,FALSE)</f>
        <v>Dairy Product</v>
      </c>
      <c r="L1439" s="10">
        <f>IFERROR(VLOOKUP(A1439,'[1]Sales Order'!A:D,4,FALSE),"")</f>
        <v>39441</v>
      </c>
      <c r="M1439" s="10">
        <f>IFERROR(VLOOKUP(A1439,'[1]Sales Order'!A:F,6,FALSE),"")</f>
        <v>39452</v>
      </c>
      <c r="N1439" t="str">
        <f>IFERROR(VLOOKUP(VLOOKUP(A1439,'[1]Sales Order'!A:G,7,FALSE),[1]Shipper!A:B,2,FALSE),"Not Specified")</f>
        <v>Shipper ETYNR</v>
      </c>
      <c r="O1439" t="str">
        <f>IFERROR(VLOOKUP(A1439,'[1]Sales Order'!A:I,9,FALSE),"Not Specified")</f>
        <v>Destination AJTHX</v>
      </c>
      <c r="P1439" t="str">
        <f>IFERROR(VLOOKUP(A1439,'[1]Sales Order'!A:N,14,FALSE),"Not Specified")</f>
        <v>Germany</v>
      </c>
      <c r="Q1439" t="str">
        <f>VLOOKUP(VLOOKUP(B1439,[1]Product!A:C,3,FALSE),[1]Supplier!A:B,2,FALSE)</f>
        <v>Supplier EQPNC</v>
      </c>
      <c r="R1439" t="str">
        <f>VLOOKUP(VLOOKUP(B1439,[1]Product!A:C,3,FALSE),[1]Supplier!A:I,9,FALSE)</f>
        <v>Spain</v>
      </c>
      <c r="S1439" t="str">
        <f>IFERROR(IF(VLOOKUP(A1439,'[1]Sales Order'!A:H,8,FALSE)&gt;100,"High Freight","Low Freight"),"Not Specified")</f>
        <v>Low Freight</v>
      </c>
      <c r="T1439">
        <f t="shared" si="45"/>
        <v>420</v>
      </c>
    </row>
    <row r="1440" spans="1:20">
      <c r="A1440" s="1">
        <v>10798</v>
      </c>
      <c r="B1440" s="2">
        <v>62</v>
      </c>
      <c r="C1440" s="2">
        <v>49.3</v>
      </c>
      <c r="D1440" s="2">
        <v>2</v>
      </c>
      <c r="E1440" s="3">
        <v>0</v>
      </c>
      <c r="F1440" s="2" t="str">
        <f>IFERROR(VLOOKUP(VLOOKUP(A1440,'[1]Sales Order'!A:B,2,FALSE),[1]Customer!A:C,3,FALSE),"Not Specified")</f>
        <v>Lee, Frank</v>
      </c>
      <c r="G1440" s="2" t="str">
        <f t="shared" si="44"/>
        <v>Lee Frank</v>
      </c>
      <c r="H1440" s="8" t="str">
        <f>IFERROR(VLOOKUP(VLOOKUP(A1440,'[1]Sales Order'!A:C,3,FALSE),[1]Employee!A:E,5,FALSE)&amp;" "&amp;VLOOKUP(VLOOKUP(A1440,'[1]Sales Order'!A:C,3,FALSE),[1]Employee!A:C,3,FALSE)&amp;" "&amp;VLOOKUP(VLOOKUP(A1440,'[1]Sales Order'!A:C,3,FALSE),[1]Employee!A:B,2,FALSE),"Not Specified")</f>
        <v>Dr. Don Funk</v>
      </c>
      <c r="I1440" t="str">
        <f>IFERROR(VLOOKUP(VLOOKUP(A1440,'[1]Sales Order'!A:C,3,FALSE),[1]Employee!A:J,10,FALSE),"Not Specified")</f>
        <v>WA</v>
      </c>
      <c r="J1440" t="str">
        <f>VLOOKUP(B1440,[1]Product!A:B,2,FALSE)</f>
        <v>Product WUXYK</v>
      </c>
      <c r="K1440" t="str">
        <f>VLOOKUP(VLOOKUP(B1440,[1]Product!A:D,4,FALSE),[1]Category!A:B,2,FALSE)</f>
        <v>Confections</v>
      </c>
      <c r="L1440" s="10">
        <f>IFERROR(VLOOKUP(A1440,'[1]Sales Order'!A:D,4,FALSE),"")</f>
        <v>39442</v>
      </c>
      <c r="M1440" s="10">
        <f>IFERROR(VLOOKUP(A1440,'[1]Sales Order'!A:F,6,FALSE),"")</f>
        <v>39452</v>
      </c>
      <c r="N1440" t="str">
        <f>IFERROR(VLOOKUP(VLOOKUP(A1440,'[1]Sales Order'!A:G,7,FALSE),[1]Shipper!A:B,2,FALSE),"Not Specified")</f>
        <v>Shipper GVSUA</v>
      </c>
      <c r="O1440" t="str">
        <f>IFERROR(VLOOKUP(A1440,'[1]Sales Order'!A:I,9,FALSE),"Not Specified")</f>
        <v>Destination AXVHD</v>
      </c>
      <c r="P1440" t="str">
        <f>IFERROR(VLOOKUP(A1440,'[1]Sales Order'!A:N,14,FALSE),"Not Specified")</f>
        <v>UK</v>
      </c>
      <c r="Q1440" t="str">
        <f>VLOOKUP(VLOOKUP(B1440,[1]Product!A:C,3,FALSE),[1]Supplier!A:B,2,FALSE)</f>
        <v>Supplier OGLRK</v>
      </c>
      <c r="R1440" t="str">
        <f>VLOOKUP(VLOOKUP(B1440,[1]Product!A:C,3,FALSE),[1]Supplier!A:I,9,FALSE)</f>
        <v>Canada</v>
      </c>
      <c r="S1440" t="str">
        <f>IFERROR(IF(VLOOKUP(A1440,'[1]Sales Order'!A:H,8,FALSE)&gt;100,"High Freight","Low Freight"),"Not Specified")</f>
        <v>Low Freight</v>
      </c>
      <c r="T1440">
        <f t="shared" si="45"/>
        <v>98.6</v>
      </c>
    </row>
    <row r="1441" spans="1:20">
      <c r="A1441" s="1">
        <v>10798</v>
      </c>
      <c r="B1441" s="2">
        <v>72</v>
      </c>
      <c r="C1441" s="2">
        <v>34.799999999999997</v>
      </c>
      <c r="D1441" s="2">
        <v>10</v>
      </c>
      <c r="E1441" s="3">
        <v>0</v>
      </c>
      <c r="F1441" s="2" t="str">
        <f>IFERROR(VLOOKUP(VLOOKUP(A1441,'[1]Sales Order'!A:B,2,FALSE),[1]Customer!A:C,3,FALSE),"Not Specified")</f>
        <v>Lee, Frank</v>
      </c>
      <c r="G1441" s="2" t="str">
        <f t="shared" si="44"/>
        <v>Lee Frank</v>
      </c>
      <c r="H1441" s="8" t="str">
        <f>IFERROR(VLOOKUP(VLOOKUP(A1441,'[1]Sales Order'!A:C,3,FALSE),[1]Employee!A:E,5,FALSE)&amp;" "&amp;VLOOKUP(VLOOKUP(A1441,'[1]Sales Order'!A:C,3,FALSE),[1]Employee!A:C,3,FALSE)&amp;" "&amp;VLOOKUP(VLOOKUP(A1441,'[1]Sales Order'!A:C,3,FALSE),[1]Employee!A:B,2,FALSE),"Not Specified")</f>
        <v>Dr. Don Funk</v>
      </c>
      <c r="I1441" t="str">
        <f>IFERROR(VLOOKUP(VLOOKUP(A1441,'[1]Sales Order'!A:C,3,FALSE),[1]Employee!A:J,10,FALSE),"Not Specified")</f>
        <v>WA</v>
      </c>
      <c r="J1441" t="str">
        <f>VLOOKUP(B1441,[1]Product!A:B,2,FALSE)</f>
        <v>Product GEEOO</v>
      </c>
      <c r="K1441" t="str">
        <f>VLOOKUP(VLOOKUP(B1441,[1]Product!A:D,4,FALSE),[1]Category!A:B,2,FALSE)</f>
        <v>Dairy Product</v>
      </c>
      <c r="L1441" s="10">
        <f>IFERROR(VLOOKUP(A1441,'[1]Sales Order'!A:D,4,FALSE),"")</f>
        <v>39442</v>
      </c>
      <c r="M1441" s="10">
        <f>IFERROR(VLOOKUP(A1441,'[1]Sales Order'!A:F,6,FALSE),"")</f>
        <v>39452</v>
      </c>
      <c r="N1441" t="str">
        <f>IFERROR(VLOOKUP(VLOOKUP(A1441,'[1]Sales Order'!A:G,7,FALSE),[1]Shipper!A:B,2,FALSE),"Not Specified")</f>
        <v>Shipper GVSUA</v>
      </c>
      <c r="O1441" t="str">
        <f>IFERROR(VLOOKUP(A1441,'[1]Sales Order'!A:I,9,FALSE),"Not Specified")</f>
        <v>Destination AXVHD</v>
      </c>
      <c r="P1441" t="str">
        <f>IFERROR(VLOOKUP(A1441,'[1]Sales Order'!A:N,14,FALSE),"Not Specified")</f>
        <v>UK</v>
      </c>
      <c r="Q1441" t="str">
        <f>VLOOKUP(VLOOKUP(B1441,[1]Product!A:C,3,FALSE),[1]Supplier!A:B,2,FALSE)</f>
        <v>Supplier KEREV</v>
      </c>
      <c r="R1441" t="str">
        <f>VLOOKUP(VLOOKUP(B1441,[1]Product!A:C,3,FALSE),[1]Supplier!A:I,9,FALSE)</f>
        <v>Italy</v>
      </c>
      <c r="S1441" t="str">
        <f>IFERROR(IF(VLOOKUP(A1441,'[1]Sales Order'!A:H,8,FALSE)&gt;100,"High Freight","Low Freight"),"Not Specified")</f>
        <v>Low Freight</v>
      </c>
      <c r="T1441">
        <f t="shared" si="45"/>
        <v>348</v>
      </c>
    </row>
    <row r="1442" spans="1:20">
      <c r="A1442" s="1">
        <v>10799</v>
      </c>
      <c r="B1442" s="2">
        <v>13</v>
      </c>
      <c r="C1442" s="2">
        <v>6</v>
      </c>
      <c r="D1442" s="2">
        <v>20</v>
      </c>
      <c r="E1442" s="3">
        <v>0.15</v>
      </c>
      <c r="F1442" s="2" t="str">
        <f>IFERROR(VLOOKUP(VLOOKUP(A1442,'[1]Sales Order'!A:B,2,FALSE),[1]Customer!A:C,3,FALSE),"Not Specified")</f>
        <v>Song, Lolan</v>
      </c>
      <c r="G1442" s="2" t="str">
        <f t="shared" si="44"/>
        <v>Song Lolan</v>
      </c>
      <c r="H1442" s="8" t="str">
        <f>IFERROR(VLOOKUP(VLOOKUP(A1442,'[1]Sales Order'!A:C,3,FALSE),[1]Employee!A:E,5,FALSE)&amp;" "&amp;VLOOKUP(VLOOKUP(A1442,'[1]Sales Order'!A:C,3,FALSE),[1]Employee!A:C,3,FALSE)&amp;" "&amp;VLOOKUP(VLOOKUP(A1442,'[1]Sales Order'!A:C,3,FALSE),[1]Employee!A:B,2,FALSE),"Not Specified")</f>
        <v>Ms. Zoya Dolgopyatova</v>
      </c>
      <c r="I1442">
        <f>IFERROR(VLOOKUP(VLOOKUP(A1442,'[1]Sales Order'!A:C,3,FALSE),[1]Employee!A:J,10,FALSE),"Not Specified")</f>
        <v>0</v>
      </c>
      <c r="J1442" t="str">
        <f>VLOOKUP(B1442,[1]Product!A:B,2,FALSE)</f>
        <v>Product POXFU</v>
      </c>
      <c r="K1442" t="str">
        <f>VLOOKUP(VLOOKUP(B1442,[1]Product!A:D,4,FALSE),[1]Category!A:B,2,FALSE)</f>
        <v>Seafood</v>
      </c>
      <c r="L1442" s="10">
        <f>IFERROR(VLOOKUP(A1442,'[1]Sales Order'!A:D,4,FALSE),"")</f>
        <v>39442</v>
      </c>
      <c r="M1442" s="10">
        <f>IFERROR(VLOOKUP(A1442,'[1]Sales Order'!A:F,6,FALSE),"")</f>
        <v>39452</v>
      </c>
      <c r="N1442" t="str">
        <f>IFERROR(VLOOKUP(VLOOKUP(A1442,'[1]Sales Order'!A:G,7,FALSE),[1]Shipper!A:B,2,FALSE),"Not Specified")</f>
        <v>Shipper ZHISN</v>
      </c>
      <c r="O1442" t="str">
        <f>IFERROR(VLOOKUP(A1442,'[1]Sales Order'!A:I,9,FALSE),"Not Specified")</f>
        <v>Destination DKMQA</v>
      </c>
      <c r="P1442" t="str">
        <f>IFERROR(VLOOKUP(A1442,'[1]Sales Order'!A:N,14,FALSE),"Not Specified")</f>
        <v>Germany</v>
      </c>
      <c r="Q1442" t="str">
        <f>VLOOKUP(VLOOKUP(B1442,[1]Product!A:C,3,FALSE),[1]Supplier!A:B,2,FALSE)</f>
        <v>Supplier QWUSF</v>
      </c>
      <c r="R1442" t="str">
        <f>VLOOKUP(VLOOKUP(B1442,[1]Product!A:C,3,FALSE),[1]Supplier!A:I,9,FALSE)</f>
        <v>Japan</v>
      </c>
      <c r="S1442" t="str">
        <f>IFERROR(IF(VLOOKUP(A1442,'[1]Sales Order'!A:H,8,FALSE)&gt;100,"High Freight","Low Freight"),"Not Specified")</f>
        <v>Low Freight</v>
      </c>
      <c r="T1442">
        <f t="shared" si="45"/>
        <v>102</v>
      </c>
    </row>
    <row r="1443" spans="1:20">
      <c r="A1443" s="1">
        <v>10799</v>
      </c>
      <c r="B1443" s="2">
        <v>24</v>
      </c>
      <c r="C1443" s="2">
        <v>4.5</v>
      </c>
      <c r="D1443" s="2">
        <v>20</v>
      </c>
      <c r="E1443" s="3">
        <v>0.15</v>
      </c>
      <c r="F1443" s="2" t="str">
        <f>IFERROR(VLOOKUP(VLOOKUP(A1443,'[1]Sales Order'!A:B,2,FALSE),[1]Customer!A:C,3,FALSE),"Not Specified")</f>
        <v>Song, Lolan</v>
      </c>
      <c r="G1443" s="2" t="str">
        <f t="shared" si="44"/>
        <v>Song Lolan</v>
      </c>
      <c r="H1443" s="8" t="str">
        <f>IFERROR(VLOOKUP(VLOOKUP(A1443,'[1]Sales Order'!A:C,3,FALSE),[1]Employee!A:E,5,FALSE)&amp;" "&amp;VLOOKUP(VLOOKUP(A1443,'[1]Sales Order'!A:C,3,FALSE),[1]Employee!A:C,3,FALSE)&amp;" "&amp;VLOOKUP(VLOOKUP(A1443,'[1]Sales Order'!A:C,3,FALSE),[1]Employee!A:B,2,FALSE),"Not Specified")</f>
        <v>Ms. Zoya Dolgopyatova</v>
      </c>
      <c r="I1443">
        <f>IFERROR(VLOOKUP(VLOOKUP(A1443,'[1]Sales Order'!A:C,3,FALSE),[1]Employee!A:J,10,FALSE),"Not Specified")</f>
        <v>0</v>
      </c>
      <c r="J1443" t="str">
        <f>VLOOKUP(B1443,[1]Product!A:B,2,FALSE)</f>
        <v>Product QOGNU</v>
      </c>
      <c r="K1443" t="str">
        <f>VLOOKUP(VLOOKUP(B1443,[1]Product!A:D,4,FALSE),[1]Category!A:B,2,FALSE)</f>
        <v>Beverages</v>
      </c>
      <c r="L1443" s="10">
        <f>IFERROR(VLOOKUP(A1443,'[1]Sales Order'!A:D,4,FALSE),"")</f>
        <v>39442</v>
      </c>
      <c r="M1443" s="10">
        <f>IFERROR(VLOOKUP(A1443,'[1]Sales Order'!A:F,6,FALSE),"")</f>
        <v>39452</v>
      </c>
      <c r="N1443" t="str">
        <f>IFERROR(VLOOKUP(VLOOKUP(A1443,'[1]Sales Order'!A:G,7,FALSE),[1]Shipper!A:B,2,FALSE),"Not Specified")</f>
        <v>Shipper ZHISN</v>
      </c>
      <c r="O1443" t="str">
        <f>IFERROR(VLOOKUP(A1443,'[1]Sales Order'!A:I,9,FALSE),"Not Specified")</f>
        <v>Destination DKMQA</v>
      </c>
      <c r="P1443" t="str">
        <f>IFERROR(VLOOKUP(A1443,'[1]Sales Order'!A:N,14,FALSE),"Not Specified")</f>
        <v>Germany</v>
      </c>
      <c r="Q1443" t="str">
        <f>VLOOKUP(VLOOKUP(B1443,[1]Product!A:C,3,FALSE),[1]Supplier!A:B,2,FALSE)</f>
        <v>Supplier UNAHG</v>
      </c>
      <c r="R1443" t="str">
        <f>VLOOKUP(VLOOKUP(B1443,[1]Product!A:C,3,FALSE),[1]Supplier!A:I,9,FALSE)</f>
        <v>Brazil</v>
      </c>
      <c r="S1443" t="str">
        <f>IFERROR(IF(VLOOKUP(A1443,'[1]Sales Order'!A:H,8,FALSE)&gt;100,"High Freight","Low Freight"),"Not Specified")</f>
        <v>Low Freight</v>
      </c>
      <c r="T1443">
        <f t="shared" si="45"/>
        <v>76.5</v>
      </c>
    </row>
    <row r="1444" spans="1:20">
      <c r="A1444" s="1">
        <v>10799</v>
      </c>
      <c r="B1444" s="2">
        <v>59</v>
      </c>
      <c r="C1444" s="2">
        <v>55</v>
      </c>
      <c r="D1444" s="2">
        <v>25</v>
      </c>
      <c r="E1444" s="3">
        <v>0</v>
      </c>
      <c r="F1444" s="2" t="str">
        <f>IFERROR(VLOOKUP(VLOOKUP(A1444,'[1]Sales Order'!A:B,2,FALSE),[1]Customer!A:C,3,FALSE),"Not Specified")</f>
        <v>Song, Lolan</v>
      </c>
      <c r="G1444" s="2" t="str">
        <f t="shared" si="44"/>
        <v>Song Lolan</v>
      </c>
      <c r="H1444" s="8" t="str">
        <f>IFERROR(VLOOKUP(VLOOKUP(A1444,'[1]Sales Order'!A:C,3,FALSE),[1]Employee!A:E,5,FALSE)&amp;" "&amp;VLOOKUP(VLOOKUP(A1444,'[1]Sales Order'!A:C,3,FALSE),[1]Employee!A:C,3,FALSE)&amp;" "&amp;VLOOKUP(VLOOKUP(A1444,'[1]Sales Order'!A:C,3,FALSE),[1]Employee!A:B,2,FALSE),"Not Specified")</f>
        <v>Ms. Zoya Dolgopyatova</v>
      </c>
      <c r="I1444">
        <f>IFERROR(VLOOKUP(VLOOKUP(A1444,'[1]Sales Order'!A:C,3,FALSE),[1]Employee!A:J,10,FALSE),"Not Specified")</f>
        <v>0</v>
      </c>
      <c r="J1444" t="str">
        <f>VLOOKUP(B1444,[1]Product!A:B,2,FALSE)</f>
        <v>Product UKXRI</v>
      </c>
      <c r="K1444" t="str">
        <f>VLOOKUP(VLOOKUP(B1444,[1]Product!A:D,4,FALSE),[1]Category!A:B,2,FALSE)</f>
        <v>Dairy Product</v>
      </c>
      <c r="L1444" s="10">
        <f>IFERROR(VLOOKUP(A1444,'[1]Sales Order'!A:D,4,FALSE),"")</f>
        <v>39442</v>
      </c>
      <c r="M1444" s="10">
        <f>IFERROR(VLOOKUP(A1444,'[1]Sales Order'!A:F,6,FALSE),"")</f>
        <v>39452</v>
      </c>
      <c r="N1444" t="str">
        <f>IFERROR(VLOOKUP(VLOOKUP(A1444,'[1]Sales Order'!A:G,7,FALSE),[1]Shipper!A:B,2,FALSE),"Not Specified")</f>
        <v>Shipper ZHISN</v>
      </c>
      <c r="O1444" t="str">
        <f>IFERROR(VLOOKUP(A1444,'[1]Sales Order'!A:I,9,FALSE),"Not Specified")</f>
        <v>Destination DKMQA</v>
      </c>
      <c r="P1444" t="str">
        <f>IFERROR(VLOOKUP(A1444,'[1]Sales Order'!A:N,14,FALSE),"Not Specified")</f>
        <v>Germany</v>
      </c>
      <c r="Q1444" t="str">
        <f>VLOOKUP(VLOOKUP(B1444,[1]Product!A:C,3,FALSE),[1]Supplier!A:B,2,FALSE)</f>
        <v>Supplier OAVQT</v>
      </c>
      <c r="R1444" t="str">
        <f>VLOOKUP(VLOOKUP(B1444,[1]Product!A:C,3,FALSE),[1]Supplier!A:I,9,FALSE)</f>
        <v>France</v>
      </c>
      <c r="S1444" t="str">
        <f>IFERROR(IF(VLOOKUP(A1444,'[1]Sales Order'!A:H,8,FALSE)&gt;100,"High Freight","Low Freight"),"Not Specified")</f>
        <v>Low Freight</v>
      </c>
      <c r="T1444">
        <f t="shared" si="45"/>
        <v>1375</v>
      </c>
    </row>
    <row r="1445" spans="1:20">
      <c r="A1445" s="1">
        <v>10800</v>
      </c>
      <c r="B1445" s="2">
        <v>11</v>
      </c>
      <c r="C1445" s="2">
        <v>21</v>
      </c>
      <c r="D1445" s="2">
        <v>50</v>
      </c>
      <c r="E1445" s="3">
        <v>0.1</v>
      </c>
      <c r="F1445" s="2" t="str">
        <f>IFERROR(VLOOKUP(VLOOKUP(A1445,'[1]Sales Order'!A:B,2,FALSE),[1]Customer!A:C,3,FALSE),"Not Specified")</f>
        <v>Welcker, Brian</v>
      </c>
      <c r="G1445" s="2" t="str">
        <f t="shared" si="44"/>
        <v>Welcker Brian</v>
      </c>
      <c r="H1445" s="8" t="str">
        <f>IFERROR(VLOOKUP(VLOOKUP(A1445,'[1]Sales Order'!A:C,3,FALSE),[1]Employee!A:E,5,FALSE)&amp;" "&amp;VLOOKUP(VLOOKUP(A1445,'[1]Sales Order'!A:C,3,FALSE),[1]Employee!A:C,3,FALSE)&amp;" "&amp;VLOOKUP(VLOOKUP(A1445,'[1]Sales Order'!A:C,3,FALSE),[1]Employee!A:B,2,FALSE),"Not Specified")</f>
        <v>Ms. Sara Davis</v>
      </c>
      <c r="I1445" t="str">
        <f>IFERROR(VLOOKUP(VLOOKUP(A1445,'[1]Sales Order'!A:C,3,FALSE),[1]Employee!A:J,10,FALSE),"Not Specified")</f>
        <v>WA</v>
      </c>
      <c r="J1445" t="str">
        <f>VLOOKUP(B1445,[1]Product!A:B,2,FALSE)</f>
        <v>Product QMVUN</v>
      </c>
      <c r="K1445" t="str">
        <f>VLOOKUP(VLOOKUP(B1445,[1]Product!A:D,4,FALSE),[1]Category!A:B,2,FALSE)</f>
        <v>Dairy Product</v>
      </c>
      <c r="L1445" s="10">
        <f>IFERROR(VLOOKUP(A1445,'[1]Sales Order'!A:D,4,FALSE),"")</f>
        <v>39442</v>
      </c>
      <c r="M1445" s="10">
        <f>IFERROR(VLOOKUP(A1445,'[1]Sales Order'!A:F,6,FALSE),"")</f>
        <v>39452</v>
      </c>
      <c r="N1445" t="str">
        <f>IFERROR(VLOOKUP(VLOOKUP(A1445,'[1]Sales Order'!A:G,7,FALSE),[1]Shipper!A:B,2,FALSE),"Not Specified")</f>
        <v>Shipper ZHISN</v>
      </c>
      <c r="O1445" t="str">
        <f>IFERROR(VLOOKUP(A1445,'[1]Sales Order'!A:I,9,FALSE),"Not Specified")</f>
        <v>Ship to 72-C</v>
      </c>
      <c r="P1445" t="str">
        <f>IFERROR(VLOOKUP(A1445,'[1]Sales Order'!A:N,14,FALSE),"Not Specified")</f>
        <v>UK</v>
      </c>
      <c r="Q1445" t="str">
        <f>VLOOKUP(VLOOKUP(B1445,[1]Product!A:C,3,FALSE),[1]Supplier!A:B,2,FALSE)</f>
        <v>Supplier EQPNC</v>
      </c>
      <c r="R1445" t="str">
        <f>VLOOKUP(VLOOKUP(B1445,[1]Product!A:C,3,FALSE),[1]Supplier!A:I,9,FALSE)</f>
        <v>Spain</v>
      </c>
      <c r="S1445" t="str">
        <f>IFERROR(IF(VLOOKUP(A1445,'[1]Sales Order'!A:H,8,FALSE)&gt;100,"High Freight","Low Freight"),"Not Specified")</f>
        <v>High Freight</v>
      </c>
      <c r="T1445">
        <f t="shared" si="45"/>
        <v>945</v>
      </c>
    </row>
    <row r="1446" spans="1:20">
      <c r="A1446" s="1">
        <v>10800</v>
      </c>
      <c r="B1446" s="2">
        <v>51</v>
      </c>
      <c r="C1446" s="2">
        <v>53</v>
      </c>
      <c r="D1446" s="2">
        <v>10</v>
      </c>
      <c r="E1446" s="3">
        <v>0.1</v>
      </c>
      <c r="F1446" s="2" t="str">
        <f>IFERROR(VLOOKUP(VLOOKUP(A1446,'[1]Sales Order'!A:B,2,FALSE),[1]Customer!A:C,3,FALSE),"Not Specified")</f>
        <v>Welcker, Brian</v>
      </c>
      <c r="G1446" s="2" t="str">
        <f t="shared" si="44"/>
        <v>Welcker Brian</v>
      </c>
      <c r="H1446" s="8" t="str">
        <f>IFERROR(VLOOKUP(VLOOKUP(A1446,'[1]Sales Order'!A:C,3,FALSE),[1]Employee!A:E,5,FALSE)&amp;" "&amp;VLOOKUP(VLOOKUP(A1446,'[1]Sales Order'!A:C,3,FALSE),[1]Employee!A:C,3,FALSE)&amp;" "&amp;VLOOKUP(VLOOKUP(A1446,'[1]Sales Order'!A:C,3,FALSE),[1]Employee!A:B,2,FALSE),"Not Specified")</f>
        <v>Ms. Sara Davis</v>
      </c>
      <c r="I1446" t="str">
        <f>IFERROR(VLOOKUP(VLOOKUP(A1446,'[1]Sales Order'!A:C,3,FALSE),[1]Employee!A:J,10,FALSE),"Not Specified")</f>
        <v>WA</v>
      </c>
      <c r="J1446" t="str">
        <f>VLOOKUP(B1446,[1]Product!A:B,2,FALSE)</f>
        <v>Product APITJ</v>
      </c>
      <c r="K1446" t="str">
        <f>VLOOKUP(VLOOKUP(B1446,[1]Product!A:D,4,FALSE),[1]Category!A:B,2,FALSE)</f>
        <v>Produce</v>
      </c>
      <c r="L1446" s="10">
        <f>IFERROR(VLOOKUP(A1446,'[1]Sales Order'!A:D,4,FALSE),"")</f>
        <v>39442</v>
      </c>
      <c r="M1446" s="10">
        <f>IFERROR(VLOOKUP(A1446,'[1]Sales Order'!A:F,6,FALSE),"")</f>
        <v>39452</v>
      </c>
      <c r="N1446" t="str">
        <f>IFERROR(VLOOKUP(VLOOKUP(A1446,'[1]Sales Order'!A:G,7,FALSE),[1]Shipper!A:B,2,FALSE),"Not Specified")</f>
        <v>Shipper ZHISN</v>
      </c>
      <c r="O1446" t="str">
        <f>IFERROR(VLOOKUP(A1446,'[1]Sales Order'!A:I,9,FALSE),"Not Specified")</f>
        <v>Ship to 72-C</v>
      </c>
      <c r="P1446" t="str">
        <f>IFERROR(VLOOKUP(A1446,'[1]Sales Order'!A:N,14,FALSE),"Not Specified")</f>
        <v>UK</v>
      </c>
      <c r="Q1446" t="str">
        <f>VLOOKUP(VLOOKUP(B1446,[1]Product!A:C,3,FALSE),[1]Supplier!A:B,2,FALSE)</f>
        <v>Supplier JNNES</v>
      </c>
      <c r="R1446" t="str">
        <f>VLOOKUP(VLOOKUP(B1446,[1]Product!A:C,3,FALSE),[1]Supplier!A:I,9,FALSE)</f>
        <v>Australia</v>
      </c>
      <c r="S1446" t="str">
        <f>IFERROR(IF(VLOOKUP(A1446,'[1]Sales Order'!A:H,8,FALSE)&gt;100,"High Freight","Low Freight"),"Not Specified")</f>
        <v>High Freight</v>
      </c>
      <c r="T1446">
        <f t="shared" si="45"/>
        <v>477</v>
      </c>
    </row>
    <row r="1447" spans="1:20">
      <c r="A1447" s="1">
        <v>10800</v>
      </c>
      <c r="B1447" s="2">
        <v>54</v>
      </c>
      <c r="C1447" s="2">
        <v>7.45</v>
      </c>
      <c r="D1447" s="2">
        <v>7</v>
      </c>
      <c r="E1447" s="3">
        <v>0.1</v>
      </c>
      <c r="F1447" s="2" t="str">
        <f>IFERROR(VLOOKUP(VLOOKUP(A1447,'[1]Sales Order'!A:B,2,FALSE),[1]Customer!A:C,3,FALSE),"Not Specified")</f>
        <v>Welcker, Brian</v>
      </c>
      <c r="G1447" s="2" t="str">
        <f t="shared" si="44"/>
        <v>Welcker Brian</v>
      </c>
      <c r="H1447" s="8" t="str">
        <f>IFERROR(VLOOKUP(VLOOKUP(A1447,'[1]Sales Order'!A:C,3,FALSE),[1]Employee!A:E,5,FALSE)&amp;" "&amp;VLOOKUP(VLOOKUP(A1447,'[1]Sales Order'!A:C,3,FALSE),[1]Employee!A:C,3,FALSE)&amp;" "&amp;VLOOKUP(VLOOKUP(A1447,'[1]Sales Order'!A:C,3,FALSE),[1]Employee!A:B,2,FALSE),"Not Specified")</f>
        <v>Ms. Sara Davis</v>
      </c>
      <c r="I1447" t="str">
        <f>IFERROR(VLOOKUP(VLOOKUP(A1447,'[1]Sales Order'!A:C,3,FALSE),[1]Employee!A:J,10,FALSE),"Not Specified")</f>
        <v>WA</v>
      </c>
      <c r="J1447" t="str">
        <f>VLOOKUP(B1447,[1]Product!A:B,2,FALSE)</f>
        <v>Product QAQRL</v>
      </c>
      <c r="K1447" t="str">
        <f>VLOOKUP(VLOOKUP(B1447,[1]Product!A:D,4,FALSE),[1]Category!A:B,2,FALSE)</f>
        <v>Meat/Poultry</v>
      </c>
      <c r="L1447" s="10">
        <f>IFERROR(VLOOKUP(A1447,'[1]Sales Order'!A:D,4,FALSE),"")</f>
        <v>39442</v>
      </c>
      <c r="M1447" s="10">
        <f>IFERROR(VLOOKUP(A1447,'[1]Sales Order'!A:F,6,FALSE),"")</f>
        <v>39452</v>
      </c>
      <c r="N1447" t="str">
        <f>IFERROR(VLOOKUP(VLOOKUP(A1447,'[1]Sales Order'!A:G,7,FALSE),[1]Shipper!A:B,2,FALSE),"Not Specified")</f>
        <v>Shipper ZHISN</v>
      </c>
      <c r="O1447" t="str">
        <f>IFERROR(VLOOKUP(A1447,'[1]Sales Order'!A:I,9,FALSE),"Not Specified")</f>
        <v>Ship to 72-C</v>
      </c>
      <c r="P1447" t="str">
        <f>IFERROR(VLOOKUP(A1447,'[1]Sales Order'!A:N,14,FALSE),"Not Specified")</f>
        <v>UK</v>
      </c>
      <c r="Q1447" t="str">
        <f>VLOOKUP(VLOOKUP(B1447,[1]Product!A:C,3,FALSE),[1]Supplier!A:B,2,FALSE)</f>
        <v>Supplier ERVYZ</v>
      </c>
      <c r="R1447" t="str">
        <f>VLOOKUP(VLOOKUP(B1447,[1]Product!A:C,3,FALSE),[1]Supplier!A:I,9,FALSE)</f>
        <v>Canada</v>
      </c>
      <c r="S1447" t="str">
        <f>IFERROR(IF(VLOOKUP(A1447,'[1]Sales Order'!A:H,8,FALSE)&gt;100,"High Freight","Low Freight"),"Not Specified")</f>
        <v>High Freight</v>
      </c>
      <c r="T1447">
        <f t="shared" si="45"/>
        <v>46.935000000000002</v>
      </c>
    </row>
    <row r="1448" spans="1:20">
      <c r="A1448" s="1">
        <v>10801</v>
      </c>
      <c r="B1448" s="2">
        <v>17</v>
      </c>
      <c r="C1448" s="2">
        <v>39</v>
      </c>
      <c r="D1448" s="2">
        <v>40</v>
      </c>
      <c r="E1448" s="3">
        <v>0.25</v>
      </c>
      <c r="F1448" s="2" t="str">
        <f>IFERROR(VLOOKUP(VLOOKUP(A1448,'[1]Sales Order'!A:B,2,FALSE),[1]Customer!A:C,3,FALSE),"Not Specified")</f>
        <v>Ilyina, Julia</v>
      </c>
      <c r="G1448" s="2" t="str">
        <f t="shared" si="44"/>
        <v>Ilyina Julia</v>
      </c>
      <c r="H1448" s="8" t="str">
        <f>IFERROR(VLOOKUP(VLOOKUP(A1448,'[1]Sales Order'!A:C,3,FALSE),[1]Employee!A:E,5,FALSE)&amp;" "&amp;VLOOKUP(VLOOKUP(A1448,'[1]Sales Order'!A:C,3,FALSE),[1]Employee!A:C,3,FALSE)&amp;" "&amp;VLOOKUP(VLOOKUP(A1448,'[1]Sales Order'!A:C,3,FALSE),[1]Employee!A:B,2,FALSE),"Not Specified")</f>
        <v>Mrs. Yael Peled</v>
      </c>
      <c r="I1448" t="str">
        <f>IFERROR(VLOOKUP(VLOOKUP(A1448,'[1]Sales Order'!A:C,3,FALSE),[1]Employee!A:J,10,FALSE),"Not Specified")</f>
        <v>WA</v>
      </c>
      <c r="J1448" t="str">
        <f>VLOOKUP(B1448,[1]Product!A:B,2,FALSE)</f>
        <v>Product BLCAX</v>
      </c>
      <c r="K1448" t="str">
        <f>VLOOKUP(VLOOKUP(B1448,[1]Product!A:D,4,FALSE),[1]Category!A:B,2,FALSE)</f>
        <v>Meat/Poultry</v>
      </c>
      <c r="L1448" s="10">
        <f>IFERROR(VLOOKUP(A1448,'[1]Sales Order'!A:D,4,FALSE),"")</f>
        <v>39445</v>
      </c>
      <c r="M1448" s="10">
        <f>IFERROR(VLOOKUP(A1448,'[1]Sales Order'!A:F,6,FALSE),"")</f>
        <v>39447</v>
      </c>
      <c r="N1448" t="str">
        <f>IFERROR(VLOOKUP(VLOOKUP(A1448,'[1]Sales Order'!A:G,7,FALSE),[1]Shipper!A:B,2,FALSE),"Not Specified")</f>
        <v>Shipper ETYNR</v>
      </c>
      <c r="O1448" t="str">
        <f>IFERROR(VLOOKUP(A1448,'[1]Sales Order'!A:I,9,FALSE),"Not Specified")</f>
        <v>Ship to 8-C</v>
      </c>
      <c r="P1448" t="str">
        <f>IFERROR(VLOOKUP(A1448,'[1]Sales Order'!A:N,14,FALSE),"Not Specified")</f>
        <v>Spain</v>
      </c>
      <c r="Q1448" t="str">
        <f>VLOOKUP(VLOOKUP(B1448,[1]Product!A:C,3,FALSE),[1]Supplier!A:B,2,FALSE)</f>
        <v>Supplier GQRCV</v>
      </c>
      <c r="R1448" t="str">
        <f>VLOOKUP(VLOOKUP(B1448,[1]Product!A:C,3,FALSE),[1]Supplier!A:I,9,FALSE)</f>
        <v>Australia</v>
      </c>
      <c r="S1448" t="str">
        <f>IFERROR(IF(VLOOKUP(A1448,'[1]Sales Order'!A:H,8,FALSE)&gt;100,"High Freight","Low Freight"),"Not Specified")</f>
        <v>Low Freight</v>
      </c>
      <c r="T1448">
        <f t="shared" si="45"/>
        <v>1170</v>
      </c>
    </row>
    <row r="1449" spans="1:20">
      <c r="A1449" s="1">
        <v>10801</v>
      </c>
      <c r="B1449" s="2">
        <v>29</v>
      </c>
      <c r="C1449" s="2">
        <v>123.79</v>
      </c>
      <c r="D1449" s="2">
        <v>20</v>
      </c>
      <c r="E1449" s="3">
        <v>0.25</v>
      </c>
      <c r="F1449" s="2" t="str">
        <f>IFERROR(VLOOKUP(VLOOKUP(A1449,'[1]Sales Order'!A:B,2,FALSE),[1]Customer!A:C,3,FALSE),"Not Specified")</f>
        <v>Ilyina, Julia</v>
      </c>
      <c r="G1449" s="2" t="str">
        <f t="shared" si="44"/>
        <v>Ilyina Julia</v>
      </c>
      <c r="H1449" s="8" t="str">
        <f>IFERROR(VLOOKUP(VLOOKUP(A1449,'[1]Sales Order'!A:C,3,FALSE),[1]Employee!A:E,5,FALSE)&amp;" "&amp;VLOOKUP(VLOOKUP(A1449,'[1]Sales Order'!A:C,3,FALSE),[1]Employee!A:C,3,FALSE)&amp;" "&amp;VLOOKUP(VLOOKUP(A1449,'[1]Sales Order'!A:C,3,FALSE),[1]Employee!A:B,2,FALSE),"Not Specified")</f>
        <v>Mrs. Yael Peled</v>
      </c>
      <c r="I1449" t="str">
        <f>IFERROR(VLOOKUP(VLOOKUP(A1449,'[1]Sales Order'!A:C,3,FALSE),[1]Employee!A:J,10,FALSE),"Not Specified")</f>
        <v>WA</v>
      </c>
      <c r="J1449" t="str">
        <f>VLOOKUP(B1449,[1]Product!A:B,2,FALSE)</f>
        <v>Product VJXYN</v>
      </c>
      <c r="K1449" t="str">
        <f>VLOOKUP(VLOOKUP(B1449,[1]Product!A:D,4,FALSE),[1]Category!A:B,2,FALSE)</f>
        <v>Meat/Poultry</v>
      </c>
      <c r="L1449" s="10">
        <f>IFERROR(VLOOKUP(A1449,'[1]Sales Order'!A:D,4,FALSE),"")</f>
        <v>39445</v>
      </c>
      <c r="M1449" s="10">
        <f>IFERROR(VLOOKUP(A1449,'[1]Sales Order'!A:F,6,FALSE),"")</f>
        <v>39447</v>
      </c>
      <c r="N1449" t="str">
        <f>IFERROR(VLOOKUP(VLOOKUP(A1449,'[1]Sales Order'!A:G,7,FALSE),[1]Shipper!A:B,2,FALSE),"Not Specified")</f>
        <v>Shipper ETYNR</v>
      </c>
      <c r="O1449" t="str">
        <f>IFERROR(VLOOKUP(A1449,'[1]Sales Order'!A:I,9,FALSE),"Not Specified")</f>
        <v>Ship to 8-C</v>
      </c>
      <c r="P1449" t="str">
        <f>IFERROR(VLOOKUP(A1449,'[1]Sales Order'!A:N,14,FALSE),"Not Specified")</f>
        <v>Spain</v>
      </c>
      <c r="Q1449" t="str">
        <f>VLOOKUP(VLOOKUP(B1449,[1]Product!A:C,3,FALSE),[1]Supplier!A:B,2,FALSE)</f>
        <v>Supplier SVIYA</v>
      </c>
      <c r="R1449" t="str">
        <f>VLOOKUP(VLOOKUP(B1449,[1]Product!A:C,3,FALSE),[1]Supplier!A:I,9,FALSE)</f>
        <v>Germany</v>
      </c>
      <c r="S1449" t="str">
        <f>IFERROR(IF(VLOOKUP(A1449,'[1]Sales Order'!A:H,8,FALSE)&gt;100,"High Freight","Low Freight"),"Not Specified")</f>
        <v>Low Freight</v>
      </c>
      <c r="T1449">
        <f t="shared" si="45"/>
        <v>1856.8500000000001</v>
      </c>
    </row>
    <row r="1450" spans="1:20">
      <c r="A1450" s="1">
        <v>10802</v>
      </c>
      <c r="B1450" s="2">
        <v>30</v>
      </c>
      <c r="C1450" s="2">
        <v>25.89</v>
      </c>
      <c r="D1450" s="2">
        <v>25</v>
      </c>
      <c r="E1450" s="3">
        <v>0.25</v>
      </c>
      <c r="F1450" s="2" t="str">
        <f>IFERROR(VLOOKUP(VLOOKUP(A1450,'[1]Sales Order'!A:B,2,FALSE),[1]Customer!A:C,3,FALSE),"Not Specified")</f>
        <v>Gonzalez, Nuria</v>
      </c>
      <c r="G1450" s="2" t="str">
        <f t="shared" si="44"/>
        <v>Gonzalez Nuria</v>
      </c>
      <c r="H1450" s="8" t="str">
        <f>IFERROR(VLOOKUP(VLOOKUP(A1450,'[1]Sales Order'!A:C,3,FALSE),[1]Employee!A:E,5,FALSE)&amp;" "&amp;VLOOKUP(VLOOKUP(A1450,'[1]Sales Order'!A:C,3,FALSE),[1]Employee!A:C,3,FALSE)&amp;" "&amp;VLOOKUP(VLOOKUP(A1450,'[1]Sales Order'!A:C,3,FALSE),[1]Employee!A:B,2,FALSE),"Not Specified")</f>
        <v>Mrs. Yael Peled</v>
      </c>
      <c r="I1450" t="str">
        <f>IFERROR(VLOOKUP(VLOOKUP(A1450,'[1]Sales Order'!A:C,3,FALSE),[1]Employee!A:J,10,FALSE),"Not Specified")</f>
        <v>WA</v>
      </c>
      <c r="J1450" t="str">
        <f>VLOOKUP(B1450,[1]Product!A:B,2,FALSE)</f>
        <v>Product LYERX</v>
      </c>
      <c r="K1450" t="str">
        <f>VLOOKUP(VLOOKUP(B1450,[1]Product!A:D,4,FALSE),[1]Category!A:B,2,FALSE)</f>
        <v>Seafood</v>
      </c>
      <c r="L1450" s="10">
        <f>IFERROR(VLOOKUP(A1450,'[1]Sales Order'!A:D,4,FALSE),"")</f>
        <v>39445</v>
      </c>
      <c r="M1450" s="10">
        <f>IFERROR(VLOOKUP(A1450,'[1]Sales Order'!A:F,6,FALSE),"")</f>
        <v>39449</v>
      </c>
      <c r="N1450" t="str">
        <f>IFERROR(VLOOKUP(VLOOKUP(A1450,'[1]Sales Order'!A:G,7,FALSE),[1]Shipper!A:B,2,FALSE),"Not Specified")</f>
        <v>Shipper ETYNR</v>
      </c>
      <c r="O1450" t="str">
        <f>IFERROR(VLOOKUP(A1450,'[1]Sales Order'!A:I,9,FALSE),"Not Specified")</f>
        <v>Ship to 73-A</v>
      </c>
      <c r="P1450" t="str">
        <f>IFERROR(VLOOKUP(A1450,'[1]Sales Order'!A:N,14,FALSE),"Not Specified")</f>
        <v>Denmark</v>
      </c>
      <c r="Q1450" t="str">
        <f>VLOOKUP(VLOOKUP(B1450,[1]Product!A:C,3,FALSE),[1]Supplier!A:B,2,FALSE)</f>
        <v>Supplier TEGSC</v>
      </c>
      <c r="R1450" t="str">
        <f>VLOOKUP(VLOOKUP(B1450,[1]Product!A:C,3,FALSE),[1]Supplier!A:I,9,FALSE)</f>
        <v>Germany</v>
      </c>
      <c r="S1450" t="str">
        <f>IFERROR(IF(VLOOKUP(A1450,'[1]Sales Order'!A:H,8,FALSE)&gt;100,"High Freight","Low Freight"),"Not Specified")</f>
        <v>High Freight</v>
      </c>
      <c r="T1450">
        <f t="shared" si="45"/>
        <v>485.4375</v>
      </c>
    </row>
    <row r="1451" spans="1:20">
      <c r="A1451" s="1">
        <v>10802</v>
      </c>
      <c r="B1451" s="2">
        <v>51</v>
      </c>
      <c r="C1451" s="2">
        <v>53</v>
      </c>
      <c r="D1451" s="2">
        <v>30</v>
      </c>
      <c r="E1451" s="3">
        <v>0.25</v>
      </c>
      <c r="F1451" s="2" t="str">
        <f>IFERROR(VLOOKUP(VLOOKUP(A1451,'[1]Sales Order'!A:B,2,FALSE),[1]Customer!A:C,3,FALSE),"Not Specified")</f>
        <v>Gonzalez, Nuria</v>
      </c>
      <c r="G1451" s="2" t="str">
        <f t="shared" si="44"/>
        <v>Gonzalez Nuria</v>
      </c>
      <c r="H1451" s="8" t="str">
        <f>IFERROR(VLOOKUP(VLOOKUP(A1451,'[1]Sales Order'!A:C,3,FALSE),[1]Employee!A:E,5,FALSE)&amp;" "&amp;VLOOKUP(VLOOKUP(A1451,'[1]Sales Order'!A:C,3,FALSE),[1]Employee!A:C,3,FALSE)&amp;" "&amp;VLOOKUP(VLOOKUP(A1451,'[1]Sales Order'!A:C,3,FALSE),[1]Employee!A:B,2,FALSE),"Not Specified")</f>
        <v>Mrs. Yael Peled</v>
      </c>
      <c r="I1451" t="str">
        <f>IFERROR(VLOOKUP(VLOOKUP(A1451,'[1]Sales Order'!A:C,3,FALSE),[1]Employee!A:J,10,FALSE),"Not Specified")</f>
        <v>WA</v>
      </c>
      <c r="J1451" t="str">
        <f>VLOOKUP(B1451,[1]Product!A:B,2,FALSE)</f>
        <v>Product APITJ</v>
      </c>
      <c r="K1451" t="str">
        <f>VLOOKUP(VLOOKUP(B1451,[1]Product!A:D,4,FALSE),[1]Category!A:B,2,FALSE)</f>
        <v>Produce</v>
      </c>
      <c r="L1451" s="10">
        <f>IFERROR(VLOOKUP(A1451,'[1]Sales Order'!A:D,4,FALSE),"")</f>
        <v>39445</v>
      </c>
      <c r="M1451" s="10">
        <f>IFERROR(VLOOKUP(A1451,'[1]Sales Order'!A:F,6,FALSE),"")</f>
        <v>39449</v>
      </c>
      <c r="N1451" t="str">
        <f>IFERROR(VLOOKUP(VLOOKUP(A1451,'[1]Sales Order'!A:G,7,FALSE),[1]Shipper!A:B,2,FALSE),"Not Specified")</f>
        <v>Shipper ETYNR</v>
      </c>
      <c r="O1451" t="str">
        <f>IFERROR(VLOOKUP(A1451,'[1]Sales Order'!A:I,9,FALSE),"Not Specified")</f>
        <v>Ship to 73-A</v>
      </c>
      <c r="P1451" t="str">
        <f>IFERROR(VLOOKUP(A1451,'[1]Sales Order'!A:N,14,FALSE),"Not Specified")</f>
        <v>Denmark</v>
      </c>
      <c r="Q1451" t="str">
        <f>VLOOKUP(VLOOKUP(B1451,[1]Product!A:C,3,FALSE),[1]Supplier!A:B,2,FALSE)</f>
        <v>Supplier JNNES</v>
      </c>
      <c r="R1451" t="str">
        <f>VLOOKUP(VLOOKUP(B1451,[1]Product!A:C,3,FALSE),[1]Supplier!A:I,9,FALSE)</f>
        <v>Australia</v>
      </c>
      <c r="S1451" t="str">
        <f>IFERROR(IF(VLOOKUP(A1451,'[1]Sales Order'!A:H,8,FALSE)&gt;100,"High Freight","Low Freight"),"Not Specified")</f>
        <v>High Freight</v>
      </c>
      <c r="T1451">
        <f t="shared" si="45"/>
        <v>1192.5</v>
      </c>
    </row>
    <row r="1452" spans="1:20">
      <c r="A1452" s="1">
        <v>10802</v>
      </c>
      <c r="B1452" s="2">
        <v>55</v>
      </c>
      <c r="C1452" s="2">
        <v>24</v>
      </c>
      <c r="D1452" s="2">
        <v>60</v>
      </c>
      <c r="E1452" s="3">
        <v>0.25</v>
      </c>
      <c r="F1452" s="2" t="str">
        <f>IFERROR(VLOOKUP(VLOOKUP(A1452,'[1]Sales Order'!A:B,2,FALSE),[1]Customer!A:C,3,FALSE),"Not Specified")</f>
        <v>Gonzalez, Nuria</v>
      </c>
      <c r="G1452" s="2" t="str">
        <f t="shared" si="44"/>
        <v>Gonzalez Nuria</v>
      </c>
      <c r="H1452" s="8" t="str">
        <f>IFERROR(VLOOKUP(VLOOKUP(A1452,'[1]Sales Order'!A:C,3,FALSE),[1]Employee!A:E,5,FALSE)&amp;" "&amp;VLOOKUP(VLOOKUP(A1452,'[1]Sales Order'!A:C,3,FALSE),[1]Employee!A:C,3,FALSE)&amp;" "&amp;VLOOKUP(VLOOKUP(A1452,'[1]Sales Order'!A:C,3,FALSE),[1]Employee!A:B,2,FALSE),"Not Specified")</f>
        <v>Mrs. Yael Peled</v>
      </c>
      <c r="I1452" t="str">
        <f>IFERROR(VLOOKUP(VLOOKUP(A1452,'[1]Sales Order'!A:C,3,FALSE),[1]Employee!A:J,10,FALSE),"Not Specified")</f>
        <v>WA</v>
      </c>
      <c r="J1452" t="str">
        <f>VLOOKUP(B1452,[1]Product!A:B,2,FALSE)</f>
        <v>Product YYWRT</v>
      </c>
      <c r="K1452" t="str">
        <f>VLOOKUP(VLOOKUP(B1452,[1]Product!A:D,4,FALSE),[1]Category!A:B,2,FALSE)</f>
        <v>Meat/Poultry</v>
      </c>
      <c r="L1452" s="10">
        <f>IFERROR(VLOOKUP(A1452,'[1]Sales Order'!A:D,4,FALSE),"")</f>
        <v>39445</v>
      </c>
      <c r="M1452" s="10">
        <f>IFERROR(VLOOKUP(A1452,'[1]Sales Order'!A:F,6,FALSE),"")</f>
        <v>39449</v>
      </c>
      <c r="N1452" t="str">
        <f>IFERROR(VLOOKUP(VLOOKUP(A1452,'[1]Sales Order'!A:G,7,FALSE),[1]Shipper!A:B,2,FALSE),"Not Specified")</f>
        <v>Shipper ETYNR</v>
      </c>
      <c r="O1452" t="str">
        <f>IFERROR(VLOOKUP(A1452,'[1]Sales Order'!A:I,9,FALSE),"Not Specified")</f>
        <v>Ship to 73-A</v>
      </c>
      <c r="P1452" t="str">
        <f>IFERROR(VLOOKUP(A1452,'[1]Sales Order'!A:N,14,FALSE),"Not Specified")</f>
        <v>Denmark</v>
      </c>
      <c r="Q1452" t="str">
        <f>VLOOKUP(VLOOKUP(B1452,[1]Product!A:C,3,FALSE),[1]Supplier!A:B,2,FALSE)</f>
        <v>Supplier ERVYZ</v>
      </c>
      <c r="R1452" t="str">
        <f>VLOOKUP(VLOOKUP(B1452,[1]Product!A:C,3,FALSE),[1]Supplier!A:I,9,FALSE)</f>
        <v>Canada</v>
      </c>
      <c r="S1452" t="str">
        <f>IFERROR(IF(VLOOKUP(A1452,'[1]Sales Order'!A:H,8,FALSE)&gt;100,"High Freight","Low Freight"),"Not Specified")</f>
        <v>High Freight</v>
      </c>
      <c r="T1452">
        <f t="shared" si="45"/>
        <v>1080</v>
      </c>
    </row>
    <row r="1453" spans="1:20">
      <c r="A1453" s="1">
        <v>10802</v>
      </c>
      <c r="B1453" s="2">
        <v>62</v>
      </c>
      <c r="C1453" s="2">
        <v>49.3</v>
      </c>
      <c r="D1453" s="2">
        <v>5</v>
      </c>
      <c r="E1453" s="3">
        <v>0.25</v>
      </c>
      <c r="F1453" s="2" t="str">
        <f>IFERROR(VLOOKUP(VLOOKUP(A1453,'[1]Sales Order'!A:B,2,FALSE),[1]Customer!A:C,3,FALSE),"Not Specified")</f>
        <v>Gonzalez, Nuria</v>
      </c>
      <c r="G1453" s="2" t="str">
        <f t="shared" si="44"/>
        <v>Gonzalez Nuria</v>
      </c>
      <c r="H1453" s="8" t="str">
        <f>IFERROR(VLOOKUP(VLOOKUP(A1453,'[1]Sales Order'!A:C,3,FALSE),[1]Employee!A:E,5,FALSE)&amp;" "&amp;VLOOKUP(VLOOKUP(A1453,'[1]Sales Order'!A:C,3,FALSE),[1]Employee!A:C,3,FALSE)&amp;" "&amp;VLOOKUP(VLOOKUP(A1453,'[1]Sales Order'!A:C,3,FALSE),[1]Employee!A:B,2,FALSE),"Not Specified")</f>
        <v>Mrs. Yael Peled</v>
      </c>
      <c r="I1453" t="str">
        <f>IFERROR(VLOOKUP(VLOOKUP(A1453,'[1]Sales Order'!A:C,3,FALSE),[1]Employee!A:J,10,FALSE),"Not Specified")</f>
        <v>WA</v>
      </c>
      <c r="J1453" t="str">
        <f>VLOOKUP(B1453,[1]Product!A:B,2,FALSE)</f>
        <v>Product WUXYK</v>
      </c>
      <c r="K1453" t="str">
        <f>VLOOKUP(VLOOKUP(B1453,[1]Product!A:D,4,FALSE),[1]Category!A:B,2,FALSE)</f>
        <v>Confections</v>
      </c>
      <c r="L1453" s="10">
        <f>IFERROR(VLOOKUP(A1453,'[1]Sales Order'!A:D,4,FALSE),"")</f>
        <v>39445</v>
      </c>
      <c r="M1453" s="10">
        <f>IFERROR(VLOOKUP(A1453,'[1]Sales Order'!A:F,6,FALSE),"")</f>
        <v>39449</v>
      </c>
      <c r="N1453" t="str">
        <f>IFERROR(VLOOKUP(VLOOKUP(A1453,'[1]Sales Order'!A:G,7,FALSE),[1]Shipper!A:B,2,FALSE),"Not Specified")</f>
        <v>Shipper ETYNR</v>
      </c>
      <c r="O1453" t="str">
        <f>IFERROR(VLOOKUP(A1453,'[1]Sales Order'!A:I,9,FALSE),"Not Specified")</f>
        <v>Ship to 73-A</v>
      </c>
      <c r="P1453" t="str">
        <f>IFERROR(VLOOKUP(A1453,'[1]Sales Order'!A:N,14,FALSE),"Not Specified")</f>
        <v>Denmark</v>
      </c>
      <c r="Q1453" t="str">
        <f>VLOOKUP(VLOOKUP(B1453,[1]Product!A:C,3,FALSE),[1]Supplier!A:B,2,FALSE)</f>
        <v>Supplier OGLRK</v>
      </c>
      <c r="R1453" t="str">
        <f>VLOOKUP(VLOOKUP(B1453,[1]Product!A:C,3,FALSE),[1]Supplier!A:I,9,FALSE)</f>
        <v>Canada</v>
      </c>
      <c r="S1453" t="str">
        <f>IFERROR(IF(VLOOKUP(A1453,'[1]Sales Order'!A:H,8,FALSE)&gt;100,"High Freight","Low Freight"),"Not Specified")</f>
        <v>High Freight</v>
      </c>
      <c r="T1453">
        <f t="shared" si="45"/>
        <v>184.875</v>
      </c>
    </row>
    <row r="1454" spans="1:20">
      <c r="A1454" s="1">
        <v>10803</v>
      </c>
      <c r="B1454" s="2">
        <v>19</v>
      </c>
      <c r="C1454" s="2">
        <v>9.1999999999999993</v>
      </c>
      <c r="D1454" s="2">
        <v>24</v>
      </c>
      <c r="E1454" s="3">
        <v>0.05</v>
      </c>
      <c r="F1454" s="2" t="str">
        <f>IFERROR(VLOOKUP(VLOOKUP(A1454,'[1]Sales Order'!A:B,2,FALSE),[1]Customer!A:C,3,FALSE),"Not Specified")</f>
        <v>Li, Yan</v>
      </c>
      <c r="G1454" s="2" t="str">
        <f t="shared" si="44"/>
        <v>Li Yan</v>
      </c>
      <c r="H1454" s="8" t="str">
        <f>IFERROR(VLOOKUP(VLOOKUP(A1454,'[1]Sales Order'!A:C,3,FALSE),[1]Employee!A:E,5,FALSE)&amp;" "&amp;VLOOKUP(VLOOKUP(A1454,'[1]Sales Order'!A:C,3,FALSE),[1]Employee!A:C,3,FALSE)&amp;" "&amp;VLOOKUP(VLOOKUP(A1454,'[1]Sales Order'!A:C,3,FALSE),[1]Employee!A:B,2,FALSE),"Not Specified")</f>
        <v>Mrs. Yael Peled</v>
      </c>
      <c r="I1454" t="str">
        <f>IFERROR(VLOOKUP(VLOOKUP(A1454,'[1]Sales Order'!A:C,3,FALSE),[1]Employee!A:J,10,FALSE),"Not Specified")</f>
        <v>WA</v>
      </c>
      <c r="J1454" t="str">
        <f>VLOOKUP(B1454,[1]Product!A:B,2,FALSE)</f>
        <v>Product XKXDO</v>
      </c>
      <c r="K1454" t="str">
        <f>VLOOKUP(VLOOKUP(B1454,[1]Product!A:D,4,FALSE),[1]Category!A:B,2,FALSE)</f>
        <v>Confections</v>
      </c>
      <c r="L1454" s="10">
        <f>IFERROR(VLOOKUP(A1454,'[1]Sales Order'!A:D,4,FALSE),"")</f>
        <v>39446</v>
      </c>
      <c r="M1454" s="10">
        <f>IFERROR(VLOOKUP(A1454,'[1]Sales Order'!A:F,6,FALSE),"")</f>
        <v>39453</v>
      </c>
      <c r="N1454" t="str">
        <f>IFERROR(VLOOKUP(VLOOKUP(A1454,'[1]Sales Order'!A:G,7,FALSE),[1]Shipper!A:B,2,FALSE),"Not Specified")</f>
        <v>Shipper GVSUA</v>
      </c>
      <c r="O1454" t="str">
        <f>IFERROR(VLOOKUP(A1454,'[1]Sales Order'!A:I,9,FALSE),"Not Specified")</f>
        <v>Ship to 88-B</v>
      </c>
      <c r="P1454" t="str">
        <f>IFERROR(VLOOKUP(A1454,'[1]Sales Order'!A:N,14,FALSE),"Not Specified")</f>
        <v>Brazil</v>
      </c>
      <c r="Q1454" t="str">
        <f>VLOOKUP(VLOOKUP(B1454,[1]Product!A:C,3,FALSE),[1]Supplier!A:B,2,FALSE)</f>
        <v>Supplier BWGYE</v>
      </c>
      <c r="R1454" t="str">
        <f>VLOOKUP(VLOOKUP(B1454,[1]Product!A:C,3,FALSE),[1]Supplier!A:I,9,FALSE)</f>
        <v>UK</v>
      </c>
      <c r="S1454" t="str">
        <f>IFERROR(IF(VLOOKUP(A1454,'[1]Sales Order'!A:H,8,FALSE)&gt;100,"High Freight","Low Freight"),"Not Specified")</f>
        <v>Low Freight</v>
      </c>
      <c r="T1454">
        <f t="shared" si="45"/>
        <v>209.75999999999996</v>
      </c>
    </row>
    <row r="1455" spans="1:20">
      <c r="A1455" s="1">
        <v>10803</v>
      </c>
      <c r="B1455" s="2">
        <v>25</v>
      </c>
      <c r="C1455" s="2">
        <v>14</v>
      </c>
      <c r="D1455" s="2">
        <v>15</v>
      </c>
      <c r="E1455" s="3">
        <v>0.05</v>
      </c>
      <c r="F1455" s="2" t="str">
        <f>IFERROR(VLOOKUP(VLOOKUP(A1455,'[1]Sales Order'!A:B,2,FALSE),[1]Customer!A:C,3,FALSE),"Not Specified")</f>
        <v>Li, Yan</v>
      </c>
      <c r="G1455" s="2" t="str">
        <f t="shared" si="44"/>
        <v>Li Yan</v>
      </c>
      <c r="H1455" s="8" t="str">
        <f>IFERROR(VLOOKUP(VLOOKUP(A1455,'[1]Sales Order'!A:C,3,FALSE),[1]Employee!A:E,5,FALSE)&amp;" "&amp;VLOOKUP(VLOOKUP(A1455,'[1]Sales Order'!A:C,3,FALSE),[1]Employee!A:C,3,FALSE)&amp;" "&amp;VLOOKUP(VLOOKUP(A1455,'[1]Sales Order'!A:C,3,FALSE),[1]Employee!A:B,2,FALSE),"Not Specified")</f>
        <v>Mrs. Yael Peled</v>
      </c>
      <c r="I1455" t="str">
        <f>IFERROR(VLOOKUP(VLOOKUP(A1455,'[1]Sales Order'!A:C,3,FALSE),[1]Employee!A:J,10,FALSE),"Not Specified")</f>
        <v>WA</v>
      </c>
      <c r="J1455" t="str">
        <f>VLOOKUP(B1455,[1]Product!A:B,2,FALSE)</f>
        <v>Product LYLNI</v>
      </c>
      <c r="K1455" t="str">
        <f>VLOOKUP(VLOOKUP(B1455,[1]Product!A:D,4,FALSE),[1]Category!A:B,2,FALSE)</f>
        <v>Confections</v>
      </c>
      <c r="L1455" s="10">
        <f>IFERROR(VLOOKUP(A1455,'[1]Sales Order'!A:D,4,FALSE),"")</f>
        <v>39446</v>
      </c>
      <c r="M1455" s="10">
        <f>IFERROR(VLOOKUP(A1455,'[1]Sales Order'!A:F,6,FALSE),"")</f>
        <v>39453</v>
      </c>
      <c r="N1455" t="str">
        <f>IFERROR(VLOOKUP(VLOOKUP(A1455,'[1]Sales Order'!A:G,7,FALSE),[1]Shipper!A:B,2,FALSE),"Not Specified")</f>
        <v>Shipper GVSUA</v>
      </c>
      <c r="O1455" t="str">
        <f>IFERROR(VLOOKUP(A1455,'[1]Sales Order'!A:I,9,FALSE),"Not Specified")</f>
        <v>Ship to 88-B</v>
      </c>
      <c r="P1455" t="str">
        <f>IFERROR(VLOOKUP(A1455,'[1]Sales Order'!A:N,14,FALSE),"Not Specified")</f>
        <v>Brazil</v>
      </c>
      <c r="Q1455" t="str">
        <f>VLOOKUP(VLOOKUP(B1455,[1]Product!A:C,3,FALSE),[1]Supplier!A:B,2,FALSE)</f>
        <v>Supplier ZPYVS</v>
      </c>
      <c r="R1455" t="str">
        <f>VLOOKUP(VLOOKUP(B1455,[1]Product!A:C,3,FALSE),[1]Supplier!A:I,9,FALSE)</f>
        <v>Germany</v>
      </c>
      <c r="S1455" t="str">
        <f>IFERROR(IF(VLOOKUP(A1455,'[1]Sales Order'!A:H,8,FALSE)&gt;100,"High Freight","Low Freight"),"Not Specified")</f>
        <v>Low Freight</v>
      </c>
      <c r="T1455">
        <f t="shared" si="45"/>
        <v>199.5</v>
      </c>
    </row>
    <row r="1456" spans="1:20">
      <c r="A1456" s="1">
        <v>10803</v>
      </c>
      <c r="B1456" s="2">
        <v>59</v>
      </c>
      <c r="C1456" s="2">
        <v>55</v>
      </c>
      <c r="D1456" s="2">
        <v>15</v>
      </c>
      <c r="E1456" s="3">
        <v>0.05</v>
      </c>
      <c r="F1456" s="2" t="str">
        <f>IFERROR(VLOOKUP(VLOOKUP(A1456,'[1]Sales Order'!A:B,2,FALSE),[1]Customer!A:C,3,FALSE),"Not Specified")</f>
        <v>Li, Yan</v>
      </c>
      <c r="G1456" s="2" t="str">
        <f t="shared" si="44"/>
        <v>Li Yan</v>
      </c>
      <c r="H1456" s="8" t="str">
        <f>IFERROR(VLOOKUP(VLOOKUP(A1456,'[1]Sales Order'!A:C,3,FALSE),[1]Employee!A:E,5,FALSE)&amp;" "&amp;VLOOKUP(VLOOKUP(A1456,'[1]Sales Order'!A:C,3,FALSE),[1]Employee!A:C,3,FALSE)&amp;" "&amp;VLOOKUP(VLOOKUP(A1456,'[1]Sales Order'!A:C,3,FALSE),[1]Employee!A:B,2,FALSE),"Not Specified")</f>
        <v>Mrs. Yael Peled</v>
      </c>
      <c r="I1456" t="str">
        <f>IFERROR(VLOOKUP(VLOOKUP(A1456,'[1]Sales Order'!A:C,3,FALSE),[1]Employee!A:J,10,FALSE),"Not Specified")</f>
        <v>WA</v>
      </c>
      <c r="J1456" t="str">
        <f>VLOOKUP(B1456,[1]Product!A:B,2,FALSE)</f>
        <v>Product UKXRI</v>
      </c>
      <c r="K1456" t="str">
        <f>VLOOKUP(VLOOKUP(B1456,[1]Product!A:D,4,FALSE),[1]Category!A:B,2,FALSE)</f>
        <v>Dairy Product</v>
      </c>
      <c r="L1456" s="10">
        <f>IFERROR(VLOOKUP(A1456,'[1]Sales Order'!A:D,4,FALSE),"")</f>
        <v>39446</v>
      </c>
      <c r="M1456" s="10">
        <f>IFERROR(VLOOKUP(A1456,'[1]Sales Order'!A:F,6,FALSE),"")</f>
        <v>39453</v>
      </c>
      <c r="N1456" t="str">
        <f>IFERROR(VLOOKUP(VLOOKUP(A1456,'[1]Sales Order'!A:G,7,FALSE),[1]Shipper!A:B,2,FALSE),"Not Specified")</f>
        <v>Shipper GVSUA</v>
      </c>
      <c r="O1456" t="str">
        <f>IFERROR(VLOOKUP(A1456,'[1]Sales Order'!A:I,9,FALSE),"Not Specified")</f>
        <v>Ship to 88-B</v>
      </c>
      <c r="P1456" t="str">
        <f>IFERROR(VLOOKUP(A1456,'[1]Sales Order'!A:N,14,FALSE),"Not Specified")</f>
        <v>Brazil</v>
      </c>
      <c r="Q1456" t="str">
        <f>VLOOKUP(VLOOKUP(B1456,[1]Product!A:C,3,FALSE),[1]Supplier!A:B,2,FALSE)</f>
        <v>Supplier OAVQT</v>
      </c>
      <c r="R1456" t="str">
        <f>VLOOKUP(VLOOKUP(B1456,[1]Product!A:C,3,FALSE),[1]Supplier!A:I,9,FALSE)</f>
        <v>France</v>
      </c>
      <c r="S1456" t="str">
        <f>IFERROR(IF(VLOOKUP(A1456,'[1]Sales Order'!A:H,8,FALSE)&gt;100,"High Freight","Low Freight"),"Not Specified")</f>
        <v>Low Freight</v>
      </c>
      <c r="T1456">
        <f t="shared" si="45"/>
        <v>783.75</v>
      </c>
    </row>
    <row r="1457" spans="1:20">
      <c r="A1457" s="1">
        <v>10804</v>
      </c>
      <c r="B1457" s="2">
        <v>10</v>
      </c>
      <c r="C1457" s="2">
        <v>31</v>
      </c>
      <c r="D1457" s="2">
        <v>36</v>
      </c>
      <c r="E1457" s="3">
        <v>0</v>
      </c>
      <c r="F1457" s="2" t="str">
        <f>IFERROR(VLOOKUP(VLOOKUP(A1457,'[1]Sales Order'!A:B,2,FALSE),[1]Customer!A:C,3,FALSE),"Not Specified")</f>
        <v>Welcker, Brian</v>
      </c>
      <c r="G1457" s="2" t="str">
        <f t="shared" si="44"/>
        <v>Welcker Brian</v>
      </c>
      <c r="H1457" s="8" t="str">
        <f>IFERROR(VLOOKUP(VLOOKUP(A1457,'[1]Sales Order'!A:C,3,FALSE),[1]Employee!A:E,5,FALSE)&amp;" "&amp;VLOOKUP(VLOOKUP(A1457,'[1]Sales Order'!A:C,3,FALSE),[1]Employee!A:C,3,FALSE)&amp;" "&amp;VLOOKUP(VLOOKUP(A1457,'[1]Sales Order'!A:C,3,FALSE),[1]Employee!A:B,2,FALSE),"Not Specified")</f>
        <v>Mr. Paul Suurs</v>
      </c>
      <c r="I1457">
        <f>IFERROR(VLOOKUP(VLOOKUP(A1457,'[1]Sales Order'!A:C,3,FALSE),[1]Employee!A:J,10,FALSE),"Not Specified")</f>
        <v>0</v>
      </c>
      <c r="J1457" t="str">
        <f>VLOOKUP(B1457,[1]Product!A:B,2,FALSE)</f>
        <v>Product YHXGE</v>
      </c>
      <c r="K1457" t="str">
        <f>VLOOKUP(VLOOKUP(B1457,[1]Product!A:D,4,FALSE),[1]Category!A:B,2,FALSE)</f>
        <v>Seafood</v>
      </c>
      <c r="L1457" s="10">
        <f>IFERROR(VLOOKUP(A1457,'[1]Sales Order'!A:D,4,FALSE),"")</f>
        <v>39446</v>
      </c>
      <c r="M1457" s="10">
        <f>IFERROR(VLOOKUP(A1457,'[1]Sales Order'!A:F,6,FALSE),"")</f>
        <v>39454</v>
      </c>
      <c r="N1457" t="str">
        <f>IFERROR(VLOOKUP(VLOOKUP(A1457,'[1]Sales Order'!A:G,7,FALSE),[1]Shipper!A:B,2,FALSE),"Not Specified")</f>
        <v>Shipper ETYNR</v>
      </c>
      <c r="O1457" t="str">
        <f>IFERROR(VLOOKUP(A1457,'[1]Sales Order'!A:I,9,FALSE),"Not Specified")</f>
        <v>Ship to 72-C</v>
      </c>
      <c r="P1457" t="str">
        <f>IFERROR(VLOOKUP(A1457,'[1]Sales Order'!A:N,14,FALSE),"Not Specified")</f>
        <v>UK</v>
      </c>
      <c r="Q1457" t="str">
        <f>VLOOKUP(VLOOKUP(B1457,[1]Product!A:C,3,FALSE),[1]Supplier!A:B,2,FALSE)</f>
        <v>Supplier QOVFD</v>
      </c>
      <c r="R1457" t="str">
        <f>VLOOKUP(VLOOKUP(B1457,[1]Product!A:C,3,FALSE),[1]Supplier!A:I,9,FALSE)</f>
        <v>Japan</v>
      </c>
      <c r="S1457" t="str">
        <f>IFERROR(IF(VLOOKUP(A1457,'[1]Sales Order'!A:H,8,FALSE)&gt;100,"High Freight","Low Freight"),"Not Specified")</f>
        <v>Low Freight</v>
      </c>
      <c r="T1457">
        <f t="shared" si="45"/>
        <v>1116</v>
      </c>
    </row>
    <row r="1458" spans="1:20">
      <c r="A1458" s="1">
        <v>10804</v>
      </c>
      <c r="B1458" s="2">
        <v>28</v>
      </c>
      <c r="C1458" s="2">
        <v>45.6</v>
      </c>
      <c r="D1458" s="2">
        <v>24</v>
      </c>
      <c r="E1458" s="3">
        <v>0</v>
      </c>
      <c r="F1458" s="2" t="str">
        <f>IFERROR(VLOOKUP(VLOOKUP(A1458,'[1]Sales Order'!A:B,2,FALSE),[1]Customer!A:C,3,FALSE),"Not Specified")</f>
        <v>Welcker, Brian</v>
      </c>
      <c r="G1458" s="2" t="str">
        <f t="shared" si="44"/>
        <v>Welcker Brian</v>
      </c>
      <c r="H1458" s="8" t="str">
        <f>IFERROR(VLOOKUP(VLOOKUP(A1458,'[1]Sales Order'!A:C,3,FALSE),[1]Employee!A:E,5,FALSE)&amp;" "&amp;VLOOKUP(VLOOKUP(A1458,'[1]Sales Order'!A:C,3,FALSE),[1]Employee!A:C,3,FALSE)&amp;" "&amp;VLOOKUP(VLOOKUP(A1458,'[1]Sales Order'!A:C,3,FALSE),[1]Employee!A:B,2,FALSE),"Not Specified")</f>
        <v>Mr. Paul Suurs</v>
      </c>
      <c r="I1458">
        <f>IFERROR(VLOOKUP(VLOOKUP(A1458,'[1]Sales Order'!A:C,3,FALSE),[1]Employee!A:J,10,FALSE),"Not Specified")</f>
        <v>0</v>
      </c>
      <c r="J1458" t="str">
        <f>VLOOKUP(B1458,[1]Product!A:B,2,FALSE)</f>
        <v>Product OFBNT</v>
      </c>
      <c r="K1458" t="str">
        <f>VLOOKUP(VLOOKUP(B1458,[1]Product!A:D,4,FALSE),[1]Category!A:B,2,FALSE)</f>
        <v>Produce</v>
      </c>
      <c r="L1458" s="10">
        <f>IFERROR(VLOOKUP(A1458,'[1]Sales Order'!A:D,4,FALSE),"")</f>
        <v>39446</v>
      </c>
      <c r="M1458" s="10">
        <f>IFERROR(VLOOKUP(A1458,'[1]Sales Order'!A:F,6,FALSE),"")</f>
        <v>39454</v>
      </c>
      <c r="N1458" t="str">
        <f>IFERROR(VLOOKUP(VLOOKUP(A1458,'[1]Sales Order'!A:G,7,FALSE),[1]Shipper!A:B,2,FALSE),"Not Specified")</f>
        <v>Shipper ETYNR</v>
      </c>
      <c r="O1458" t="str">
        <f>IFERROR(VLOOKUP(A1458,'[1]Sales Order'!A:I,9,FALSE),"Not Specified")</f>
        <v>Ship to 72-C</v>
      </c>
      <c r="P1458" t="str">
        <f>IFERROR(VLOOKUP(A1458,'[1]Sales Order'!A:N,14,FALSE),"Not Specified")</f>
        <v>UK</v>
      </c>
      <c r="Q1458" t="str">
        <f>VLOOKUP(VLOOKUP(B1458,[1]Product!A:C,3,FALSE),[1]Supplier!A:B,2,FALSE)</f>
        <v>Supplier SVIYA</v>
      </c>
      <c r="R1458" t="str">
        <f>VLOOKUP(VLOOKUP(B1458,[1]Product!A:C,3,FALSE),[1]Supplier!A:I,9,FALSE)</f>
        <v>Germany</v>
      </c>
      <c r="S1458" t="str">
        <f>IFERROR(IF(VLOOKUP(A1458,'[1]Sales Order'!A:H,8,FALSE)&gt;100,"High Freight","Low Freight"),"Not Specified")</f>
        <v>Low Freight</v>
      </c>
      <c r="T1458">
        <f t="shared" si="45"/>
        <v>1094.4000000000001</v>
      </c>
    </row>
    <row r="1459" spans="1:20">
      <c r="A1459" s="1">
        <v>10804</v>
      </c>
      <c r="B1459" s="2">
        <v>49</v>
      </c>
      <c r="C1459" s="2">
        <v>20</v>
      </c>
      <c r="D1459" s="2">
        <v>4</v>
      </c>
      <c r="E1459" s="3">
        <v>0.15</v>
      </c>
      <c r="F1459" s="2" t="str">
        <f>IFERROR(VLOOKUP(VLOOKUP(A1459,'[1]Sales Order'!A:B,2,FALSE),[1]Customer!A:C,3,FALSE),"Not Specified")</f>
        <v>Welcker, Brian</v>
      </c>
      <c r="G1459" s="2" t="str">
        <f t="shared" si="44"/>
        <v>Welcker Brian</v>
      </c>
      <c r="H1459" s="8" t="str">
        <f>IFERROR(VLOOKUP(VLOOKUP(A1459,'[1]Sales Order'!A:C,3,FALSE),[1]Employee!A:E,5,FALSE)&amp;" "&amp;VLOOKUP(VLOOKUP(A1459,'[1]Sales Order'!A:C,3,FALSE),[1]Employee!A:C,3,FALSE)&amp;" "&amp;VLOOKUP(VLOOKUP(A1459,'[1]Sales Order'!A:C,3,FALSE),[1]Employee!A:B,2,FALSE),"Not Specified")</f>
        <v>Mr. Paul Suurs</v>
      </c>
      <c r="I1459">
        <f>IFERROR(VLOOKUP(VLOOKUP(A1459,'[1]Sales Order'!A:C,3,FALSE),[1]Employee!A:J,10,FALSE),"Not Specified")</f>
        <v>0</v>
      </c>
      <c r="J1459" t="str">
        <f>VLOOKUP(B1459,[1]Product!A:B,2,FALSE)</f>
        <v>Product FPYPN</v>
      </c>
      <c r="K1459" t="str">
        <f>VLOOKUP(VLOOKUP(B1459,[1]Product!A:D,4,FALSE),[1]Category!A:B,2,FALSE)</f>
        <v>Confections</v>
      </c>
      <c r="L1459" s="10">
        <f>IFERROR(VLOOKUP(A1459,'[1]Sales Order'!A:D,4,FALSE),"")</f>
        <v>39446</v>
      </c>
      <c r="M1459" s="10">
        <f>IFERROR(VLOOKUP(A1459,'[1]Sales Order'!A:F,6,FALSE),"")</f>
        <v>39454</v>
      </c>
      <c r="N1459" t="str">
        <f>IFERROR(VLOOKUP(VLOOKUP(A1459,'[1]Sales Order'!A:G,7,FALSE),[1]Shipper!A:B,2,FALSE),"Not Specified")</f>
        <v>Shipper ETYNR</v>
      </c>
      <c r="O1459" t="str">
        <f>IFERROR(VLOOKUP(A1459,'[1]Sales Order'!A:I,9,FALSE),"Not Specified")</f>
        <v>Ship to 72-C</v>
      </c>
      <c r="P1459" t="str">
        <f>IFERROR(VLOOKUP(A1459,'[1]Sales Order'!A:N,14,FALSE),"Not Specified")</f>
        <v>UK</v>
      </c>
      <c r="Q1459" t="str">
        <f>VLOOKUP(VLOOKUP(B1459,[1]Product!A:C,3,FALSE),[1]Supplier!A:B,2,FALSE)</f>
        <v>Supplier ELCRN</v>
      </c>
      <c r="R1459" t="str">
        <f>VLOOKUP(VLOOKUP(B1459,[1]Product!A:C,3,FALSE),[1]Supplier!A:I,9,FALSE)</f>
        <v>Finland</v>
      </c>
      <c r="S1459" t="str">
        <f>IFERROR(IF(VLOOKUP(A1459,'[1]Sales Order'!A:H,8,FALSE)&gt;100,"High Freight","Low Freight"),"Not Specified")</f>
        <v>Low Freight</v>
      </c>
      <c r="T1459">
        <f t="shared" si="45"/>
        <v>68</v>
      </c>
    </row>
    <row r="1460" spans="1:20">
      <c r="A1460" s="1">
        <v>10805</v>
      </c>
      <c r="B1460" s="2">
        <v>34</v>
      </c>
      <c r="C1460" s="2">
        <v>14</v>
      </c>
      <c r="D1460" s="2">
        <v>10</v>
      </c>
      <c r="E1460" s="3">
        <v>0</v>
      </c>
      <c r="F1460" s="2" t="str">
        <f>IFERROR(VLOOKUP(VLOOKUP(A1460,'[1]Sales Order'!A:B,2,FALSE),[1]Customer!A:C,3,FALSE),"Not Specified")</f>
        <v>Osorio, Cristian</v>
      </c>
      <c r="G1460" s="2" t="str">
        <f t="shared" si="44"/>
        <v>Osorio Cristian</v>
      </c>
      <c r="H1460" s="8" t="str">
        <f>IFERROR(VLOOKUP(VLOOKUP(A1460,'[1]Sales Order'!A:C,3,FALSE),[1]Employee!A:E,5,FALSE)&amp;" "&amp;VLOOKUP(VLOOKUP(A1460,'[1]Sales Order'!A:C,3,FALSE),[1]Employee!A:C,3,FALSE)&amp;" "&amp;VLOOKUP(VLOOKUP(A1460,'[1]Sales Order'!A:C,3,FALSE),[1]Employee!A:B,2,FALSE),"Not Specified")</f>
        <v>Dr. Don Funk</v>
      </c>
      <c r="I1460" t="str">
        <f>IFERROR(VLOOKUP(VLOOKUP(A1460,'[1]Sales Order'!A:C,3,FALSE),[1]Employee!A:J,10,FALSE),"Not Specified")</f>
        <v>WA</v>
      </c>
      <c r="J1460" t="str">
        <f>VLOOKUP(B1460,[1]Product!A:B,2,FALSE)</f>
        <v>Product SWNJY</v>
      </c>
      <c r="K1460" t="str">
        <f>VLOOKUP(VLOOKUP(B1460,[1]Product!A:D,4,FALSE),[1]Category!A:B,2,FALSE)</f>
        <v>Beverages</v>
      </c>
      <c r="L1460" s="10">
        <f>IFERROR(VLOOKUP(A1460,'[1]Sales Order'!A:D,4,FALSE),"")</f>
        <v>39446</v>
      </c>
      <c r="M1460" s="10">
        <f>IFERROR(VLOOKUP(A1460,'[1]Sales Order'!A:F,6,FALSE),"")</f>
        <v>39456</v>
      </c>
      <c r="N1460" t="str">
        <f>IFERROR(VLOOKUP(VLOOKUP(A1460,'[1]Sales Order'!A:G,7,FALSE),[1]Shipper!A:B,2,FALSE),"Not Specified")</f>
        <v>Shipper ZHISN</v>
      </c>
      <c r="O1460" t="str">
        <f>IFERROR(VLOOKUP(A1460,'[1]Sales Order'!A:I,9,FALSE),"Not Specified")</f>
        <v>Ship to 77-A</v>
      </c>
      <c r="P1460" t="str">
        <f>IFERROR(VLOOKUP(A1460,'[1]Sales Order'!A:N,14,FALSE),"Not Specified")</f>
        <v>USA</v>
      </c>
      <c r="Q1460" t="str">
        <f>VLOOKUP(VLOOKUP(B1460,[1]Product!A:C,3,FALSE),[1]Supplier!A:B,2,FALSE)</f>
        <v>Supplier UHZRG</v>
      </c>
      <c r="R1460" t="str">
        <f>VLOOKUP(VLOOKUP(B1460,[1]Product!A:C,3,FALSE),[1]Supplier!A:I,9,FALSE)</f>
        <v>USA</v>
      </c>
      <c r="S1460" t="str">
        <f>IFERROR(IF(VLOOKUP(A1460,'[1]Sales Order'!A:H,8,FALSE)&gt;100,"High Freight","Low Freight"),"Not Specified")</f>
        <v>High Freight</v>
      </c>
      <c r="T1460">
        <f t="shared" si="45"/>
        <v>140</v>
      </c>
    </row>
    <row r="1461" spans="1:20">
      <c r="A1461" s="1">
        <v>10805</v>
      </c>
      <c r="B1461" s="2">
        <v>38</v>
      </c>
      <c r="C1461" s="2">
        <v>263.5</v>
      </c>
      <c r="D1461" s="2">
        <v>10</v>
      </c>
      <c r="E1461" s="3">
        <v>0</v>
      </c>
      <c r="F1461" s="2" t="str">
        <f>IFERROR(VLOOKUP(VLOOKUP(A1461,'[1]Sales Order'!A:B,2,FALSE),[1]Customer!A:C,3,FALSE),"Not Specified")</f>
        <v>Osorio, Cristian</v>
      </c>
      <c r="G1461" s="2" t="str">
        <f t="shared" si="44"/>
        <v>Osorio Cristian</v>
      </c>
      <c r="H1461" s="8" t="str">
        <f>IFERROR(VLOOKUP(VLOOKUP(A1461,'[1]Sales Order'!A:C,3,FALSE),[1]Employee!A:E,5,FALSE)&amp;" "&amp;VLOOKUP(VLOOKUP(A1461,'[1]Sales Order'!A:C,3,FALSE),[1]Employee!A:C,3,FALSE)&amp;" "&amp;VLOOKUP(VLOOKUP(A1461,'[1]Sales Order'!A:C,3,FALSE),[1]Employee!A:B,2,FALSE),"Not Specified")</f>
        <v>Dr. Don Funk</v>
      </c>
      <c r="I1461" t="str">
        <f>IFERROR(VLOOKUP(VLOOKUP(A1461,'[1]Sales Order'!A:C,3,FALSE),[1]Employee!A:J,10,FALSE),"Not Specified")</f>
        <v>WA</v>
      </c>
      <c r="J1461" t="str">
        <f>VLOOKUP(B1461,[1]Product!A:B,2,FALSE)</f>
        <v>Product QDOMO</v>
      </c>
      <c r="K1461" t="str">
        <f>VLOOKUP(VLOOKUP(B1461,[1]Product!A:D,4,FALSE),[1]Category!A:B,2,FALSE)</f>
        <v>Beverages</v>
      </c>
      <c r="L1461" s="10">
        <f>IFERROR(VLOOKUP(A1461,'[1]Sales Order'!A:D,4,FALSE),"")</f>
        <v>39446</v>
      </c>
      <c r="M1461" s="10">
        <f>IFERROR(VLOOKUP(A1461,'[1]Sales Order'!A:F,6,FALSE),"")</f>
        <v>39456</v>
      </c>
      <c r="N1461" t="str">
        <f>IFERROR(VLOOKUP(VLOOKUP(A1461,'[1]Sales Order'!A:G,7,FALSE),[1]Shipper!A:B,2,FALSE),"Not Specified")</f>
        <v>Shipper ZHISN</v>
      </c>
      <c r="O1461" t="str">
        <f>IFERROR(VLOOKUP(A1461,'[1]Sales Order'!A:I,9,FALSE),"Not Specified")</f>
        <v>Ship to 77-A</v>
      </c>
      <c r="P1461" t="str">
        <f>IFERROR(VLOOKUP(A1461,'[1]Sales Order'!A:N,14,FALSE),"Not Specified")</f>
        <v>USA</v>
      </c>
      <c r="Q1461" t="str">
        <f>VLOOKUP(VLOOKUP(B1461,[1]Product!A:C,3,FALSE),[1]Supplier!A:B,2,FALSE)</f>
        <v>Supplier LVJUA</v>
      </c>
      <c r="R1461" t="str">
        <f>VLOOKUP(VLOOKUP(B1461,[1]Product!A:C,3,FALSE),[1]Supplier!A:I,9,FALSE)</f>
        <v>France</v>
      </c>
      <c r="S1461" t="str">
        <f>IFERROR(IF(VLOOKUP(A1461,'[1]Sales Order'!A:H,8,FALSE)&gt;100,"High Freight","Low Freight"),"Not Specified")</f>
        <v>High Freight</v>
      </c>
      <c r="T1461">
        <f t="shared" si="45"/>
        <v>2635</v>
      </c>
    </row>
    <row r="1462" spans="1:20">
      <c r="A1462" s="1">
        <v>10806</v>
      </c>
      <c r="B1462" s="2">
        <v>2</v>
      </c>
      <c r="C1462" s="2">
        <v>19</v>
      </c>
      <c r="D1462" s="2">
        <v>20</v>
      </c>
      <c r="E1462" s="3">
        <v>0.25</v>
      </c>
      <c r="F1462" s="2" t="str">
        <f>IFERROR(VLOOKUP(VLOOKUP(A1462,'[1]Sales Order'!A:B,2,FALSE),[1]Customer!A:C,3,FALSE),"Not Specified")</f>
        <v>Tuntisangaroon, Sittichai</v>
      </c>
      <c r="G1462" s="2" t="str">
        <f t="shared" si="44"/>
        <v>Tuntisangaroon Sittichai</v>
      </c>
      <c r="H1462" s="8" t="str">
        <f>IFERROR(VLOOKUP(VLOOKUP(A1462,'[1]Sales Order'!A:C,3,FALSE),[1]Employee!A:E,5,FALSE)&amp;" "&amp;VLOOKUP(VLOOKUP(A1462,'[1]Sales Order'!A:C,3,FALSE),[1]Employee!A:C,3,FALSE)&amp;" "&amp;VLOOKUP(VLOOKUP(A1462,'[1]Sales Order'!A:C,3,FALSE),[1]Employee!A:B,2,FALSE),"Not Specified")</f>
        <v>Ms. Judy Lew</v>
      </c>
      <c r="I1462" t="str">
        <f>IFERROR(VLOOKUP(VLOOKUP(A1462,'[1]Sales Order'!A:C,3,FALSE),[1]Employee!A:J,10,FALSE),"Not Specified")</f>
        <v>WA</v>
      </c>
      <c r="J1462" t="str">
        <f>VLOOKUP(B1462,[1]Product!A:B,2,FALSE)</f>
        <v>Product RECZE</v>
      </c>
      <c r="K1462" t="str">
        <f>VLOOKUP(VLOOKUP(B1462,[1]Product!A:D,4,FALSE),[1]Category!A:B,2,FALSE)</f>
        <v>Beverages</v>
      </c>
      <c r="L1462" s="10">
        <f>IFERROR(VLOOKUP(A1462,'[1]Sales Order'!A:D,4,FALSE),"")</f>
        <v>39447</v>
      </c>
      <c r="M1462" s="10">
        <f>IFERROR(VLOOKUP(A1462,'[1]Sales Order'!A:F,6,FALSE),"")</f>
        <v>39452</v>
      </c>
      <c r="N1462" t="str">
        <f>IFERROR(VLOOKUP(VLOOKUP(A1462,'[1]Sales Order'!A:G,7,FALSE),[1]Shipper!A:B,2,FALSE),"Not Specified")</f>
        <v>Shipper ETYNR</v>
      </c>
      <c r="O1462" t="str">
        <f>IFERROR(VLOOKUP(A1462,'[1]Sales Order'!A:I,9,FALSE),"Not Specified")</f>
        <v>Ship to 84-C</v>
      </c>
      <c r="P1462" t="str">
        <f>IFERROR(VLOOKUP(A1462,'[1]Sales Order'!A:N,14,FALSE),"Not Specified")</f>
        <v>France</v>
      </c>
      <c r="Q1462" t="str">
        <f>VLOOKUP(VLOOKUP(B1462,[1]Product!A:C,3,FALSE),[1]Supplier!A:B,2,FALSE)</f>
        <v>Supplier SWRXU</v>
      </c>
      <c r="R1462" t="str">
        <f>VLOOKUP(VLOOKUP(B1462,[1]Product!A:C,3,FALSE),[1]Supplier!A:I,9,FALSE)</f>
        <v>UK</v>
      </c>
      <c r="S1462" t="str">
        <f>IFERROR(IF(VLOOKUP(A1462,'[1]Sales Order'!A:H,8,FALSE)&gt;100,"High Freight","Low Freight"),"Not Specified")</f>
        <v>Low Freight</v>
      </c>
      <c r="T1462">
        <f t="shared" si="45"/>
        <v>285</v>
      </c>
    </row>
    <row r="1463" spans="1:20">
      <c r="A1463" s="1">
        <v>10806</v>
      </c>
      <c r="B1463" s="2">
        <v>65</v>
      </c>
      <c r="C1463" s="2">
        <v>21.05</v>
      </c>
      <c r="D1463" s="2">
        <v>2</v>
      </c>
      <c r="E1463" s="3">
        <v>0</v>
      </c>
      <c r="F1463" s="2" t="str">
        <f>IFERROR(VLOOKUP(VLOOKUP(A1463,'[1]Sales Order'!A:B,2,FALSE),[1]Customer!A:C,3,FALSE),"Not Specified")</f>
        <v>Tuntisangaroon, Sittichai</v>
      </c>
      <c r="G1463" s="2" t="str">
        <f t="shared" si="44"/>
        <v>Tuntisangaroon Sittichai</v>
      </c>
      <c r="H1463" s="8" t="str">
        <f>IFERROR(VLOOKUP(VLOOKUP(A1463,'[1]Sales Order'!A:C,3,FALSE),[1]Employee!A:E,5,FALSE)&amp;" "&amp;VLOOKUP(VLOOKUP(A1463,'[1]Sales Order'!A:C,3,FALSE),[1]Employee!A:C,3,FALSE)&amp;" "&amp;VLOOKUP(VLOOKUP(A1463,'[1]Sales Order'!A:C,3,FALSE),[1]Employee!A:B,2,FALSE),"Not Specified")</f>
        <v>Ms. Judy Lew</v>
      </c>
      <c r="I1463" t="str">
        <f>IFERROR(VLOOKUP(VLOOKUP(A1463,'[1]Sales Order'!A:C,3,FALSE),[1]Employee!A:J,10,FALSE),"Not Specified")</f>
        <v>WA</v>
      </c>
      <c r="J1463" t="str">
        <f>VLOOKUP(B1463,[1]Product!A:B,2,FALSE)</f>
        <v>Product XYWBZ</v>
      </c>
      <c r="K1463" t="str">
        <f>VLOOKUP(VLOOKUP(B1463,[1]Product!A:D,4,FALSE),[1]Category!A:B,2,FALSE)</f>
        <v>Condiments</v>
      </c>
      <c r="L1463" s="10">
        <f>IFERROR(VLOOKUP(A1463,'[1]Sales Order'!A:D,4,FALSE),"")</f>
        <v>39447</v>
      </c>
      <c r="M1463" s="10">
        <f>IFERROR(VLOOKUP(A1463,'[1]Sales Order'!A:F,6,FALSE),"")</f>
        <v>39452</v>
      </c>
      <c r="N1463" t="str">
        <f>IFERROR(VLOOKUP(VLOOKUP(A1463,'[1]Sales Order'!A:G,7,FALSE),[1]Shipper!A:B,2,FALSE),"Not Specified")</f>
        <v>Shipper ETYNR</v>
      </c>
      <c r="O1463" t="str">
        <f>IFERROR(VLOOKUP(A1463,'[1]Sales Order'!A:I,9,FALSE),"Not Specified")</f>
        <v>Ship to 84-C</v>
      </c>
      <c r="P1463" t="str">
        <f>IFERROR(VLOOKUP(A1463,'[1]Sales Order'!A:N,14,FALSE),"Not Specified")</f>
        <v>France</v>
      </c>
      <c r="Q1463" t="str">
        <f>VLOOKUP(VLOOKUP(B1463,[1]Product!A:C,3,FALSE),[1]Supplier!A:B,2,FALSE)</f>
        <v>Supplier VHQZD</v>
      </c>
      <c r="R1463" t="str">
        <f>VLOOKUP(VLOOKUP(B1463,[1]Product!A:C,3,FALSE),[1]Supplier!A:I,9,FALSE)</f>
        <v>USA</v>
      </c>
      <c r="S1463" t="str">
        <f>IFERROR(IF(VLOOKUP(A1463,'[1]Sales Order'!A:H,8,FALSE)&gt;100,"High Freight","Low Freight"),"Not Specified")</f>
        <v>Low Freight</v>
      </c>
      <c r="T1463">
        <f t="shared" si="45"/>
        <v>42.1</v>
      </c>
    </row>
    <row r="1464" spans="1:20">
      <c r="A1464" s="1">
        <v>10806</v>
      </c>
      <c r="B1464" s="2">
        <v>74</v>
      </c>
      <c r="C1464" s="2">
        <v>10</v>
      </c>
      <c r="D1464" s="2">
        <v>15</v>
      </c>
      <c r="E1464" s="3">
        <v>0.25</v>
      </c>
      <c r="F1464" s="2" t="str">
        <f>IFERROR(VLOOKUP(VLOOKUP(A1464,'[1]Sales Order'!A:B,2,FALSE),[1]Customer!A:C,3,FALSE),"Not Specified")</f>
        <v>Tuntisangaroon, Sittichai</v>
      </c>
      <c r="G1464" s="2" t="str">
        <f t="shared" si="44"/>
        <v>Tuntisangaroon Sittichai</v>
      </c>
      <c r="H1464" s="8" t="str">
        <f>IFERROR(VLOOKUP(VLOOKUP(A1464,'[1]Sales Order'!A:C,3,FALSE),[1]Employee!A:E,5,FALSE)&amp;" "&amp;VLOOKUP(VLOOKUP(A1464,'[1]Sales Order'!A:C,3,FALSE),[1]Employee!A:C,3,FALSE)&amp;" "&amp;VLOOKUP(VLOOKUP(A1464,'[1]Sales Order'!A:C,3,FALSE),[1]Employee!A:B,2,FALSE),"Not Specified")</f>
        <v>Ms. Judy Lew</v>
      </c>
      <c r="I1464" t="str">
        <f>IFERROR(VLOOKUP(VLOOKUP(A1464,'[1]Sales Order'!A:C,3,FALSE),[1]Employee!A:J,10,FALSE),"Not Specified")</f>
        <v>WA</v>
      </c>
      <c r="J1464" t="str">
        <f>VLOOKUP(B1464,[1]Product!A:B,2,FALSE)</f>
        <v>Product BKAZJ</v>
      </c>
      <c r="K1464" t="str">
        <f>VLOOKUP(VLOOKUP(B1464,[1]Product!A:D,4,FALSE),[1]Category!A:B,2,FALSE)</f>
        <v>Produce</v>
      </c>
      <c r="L1464" s="10">
        <f>IFERROR(VLOOKUP(A1464,'[1]Sales Order'!A:D,4,FALSE),"")</f>
        <v>39447</v>
      </c>
      <c r="M1464" s="10">
        <f>IFERROR(VLOOKUP(A1464,'[1]Sales Order'!A:F,6,FALSE),"")</f>
        <v>39452</v>
      </c>
      <c r="N1464" t="str">
        <f>IFERROR(VLOOKUP(VLOOKUP(A1464,'[1]Sales Order'!A:G,7,FALSE),[1]Shipper!A:B,2,FALSE),"Not Specified")</f>
        <v>Shipper ETYNR</v>
      </c>
      <c r="O1464" t="str">
        <f>IFERROR(VLOOKUP(A1464,'[1]Sales Order'!A:I,9,FALSE),"Not Specified")</f>
        <v>Ship to 84-C</v>
      </c>
      <c r="P1464" t="str">
        <f>IFERROR(VLOOKUP(A1464,'[1]Sales Order'!A:N,14,FALSE),"Not Specified")</f>
        <v>France</v>
      </c>
      <c r="Q1464" t="str">
        <f>VLOOKUP(VLOOKUP(B1464,[1]Product!A:C,3,FALSE),[1]Supplier!A:B,2,FALSE)</f>
        <v>Supplier QOVFD</v>
      </c>
      <c r="R1464" t="str">
        <f>VLOOKUP(VLOOKUP(B1464,[1]Product!A:C,3,FALSE),[1]Supplier!A:I,9,FALSE)</f>
        <v>Japan</v>
      </c>
      <c r="S1464" t="str">
        <f>IFERROR(IF(VLOOKUP(A1464,'[1]Sales Order'!A:H,8,FALSE)&gt;100,"High Freight","Low Freight"),"Not Specified")</f>
        <v>Low Freight</v>
      </c>
      <c r="T1464">
        <f t="shared" si="45"/>
        <v>112.5</v>
      </c>
    </row>
    <row r="1465" spans="1:20">
      <c r="A1465" s="1">
        <v>10807</v>
      </c>
      <c r="B1465" s="2">
        <v>40</v>
      </c>
      <c r="C1465" s="2">
        <v>18.399999999999999</v>
      </c>
      <c r="D1465" s="2">
        <v>1</v>
      </c>
      <c r="E1465" s="3">
        <v>0</v>
      </c>
      <c r="F1465" s="2" t="str">
        <f>IFERROR(VLOOKUP(VLOOKUP(A1465,'[1]Sales Order'!A:B,2,FALSE),[1]Customer!A:C,3,FALSE),"Not Specified")</f>
        <v>Schmöllerl, Martin</v>
      </c>
      <c r="G1465" s="2" t="str">
        <f t="shared" si="44"/>
        <v>Schmöllerl Martin</v>
      </c>
      <c r="H1465" s="8" t="str">
        <f>IFERROR(VLOOKUP(VLOOKUP(A1465,'[1]Sales Order'!A:C,3,FALSE),[1]Employee!A:E,5,FALSE)&amp;" "&amp;VLOOKUP(VLOOKUP(A1465,'[1]Sales Order'!A:C,3,FALSE),[1]Employee!A:C,3,FALSE)&amp;" "&amp;VLOOKUP(VLOOKUP(A1465,'[1]Sales Order'!A:C,3,FALSE),[1]Employee!A:B,2,FALSE),"Not Specified")</f>
        <v>Mrs. Yael Peled</v>
      </c>
      <c r="I1465" t="str">
        <f>IFERROR(VLOOKUP(VLOOKUP(A1465,'[1]Sales Order'!A:C,3,FALSE),[1]Employee!A:J,10,FALSE),"Not Specified")</f>
        <v>WA</v>
      </c>
      <c r="J1465" t="str">
        <f>VLOOKUP(B1465,[1]Product!A:B,2,FALSE)</f>
        <v>Product YZIXQ</v>
      </c>
      <c r="K1465" t="str">
        <f>VLOOKUP(VLOOKUP(B1465,[1]Product!A:D,4,FALSE),[1]Category!A:B,2,FALSE)</f>
        <v>Seafood</v>
      </c>
      <c r="L1465" s="10">
        <f>IFERROR(VLOOKUP(A1465,'[1]Sales Order'!A:D,4,FALSE),"")</f>
        <v>39447</v>
      </c>
      <c r="M1465" s="10">
        <f>IFERROR(VLOOKUP(A1465,'[1]Sales Order'!A:F,6,FALSE),"")</f>
        <v>39477</v>
      </c>
      <c r="N1465" t="str">
        <f>IFERROR(VLOOKUP(VLOOKUP(A1465,'[1]Sales Order'!A:G,7,FALSE),[1]Shipper!A:B,2,FALSE),"Not Specified")</f>
        <v>Shipper GVSUA</v>
      </c>
      <c r="O1465" t="str">
        <f>IFERROR(VLOOKUP(A1465,'[1]Sales Order'!A:I,9,FALSE),"Not Specified")</f>
        <v>Destination XNLFB</v>
      </c>
      <c r="P1465" t="str">
        <f>IFERROR(VLOOKUP(A1465,'[1]Sales Order'!A:N,14,FALSE),"Not Specified")</f>
        <v>Italy</v>
      </c>
      <c r="Q1465" t="str">
        <f>VLOOKUP(VLOOKUP(B1465,[1]Product!A:C,3,FALSE),[1]Supplier!A:B,2,FALSE)</f>
        <v>Supplier JDNUG</v>
      </c>
      <c r="R1465" t="str">
        <f>VLOOKUP(VLOOKUP(B1465,[1]Product!A:C,3,FALSE),[1]Supplier!A:I,9,FALSE)</f>
        <v>USA</v>
      </c>
      <c r="S1465" t="str">
        <f>IFERROR(IF(VLOOKUP(A1465,'[1]Sales Order'!A:H,8,FALSE)&gt;100,"High Freight","Low Freight"),"Not Specified")</f>
        <v>Low Freight</v>
      </c>
      <c r="T1465">
        <f t="shared" si="45"/>
        <v>18.399999999999999</v>
      </c>
    </row>
    <row r="1466" spans="1:20">
      <c r="A1466" s="1">
        <v>10808</v>
      </c>
      <c r="B1466" s="2">
        <v>56</v>
      </c>
      <c r="C1466" s="2">
        <v>38</v>
      </c>
      <c r="D1466" s="2">
        <v>20</v>
      </c>
      <c r="E1466" s="3">
        <v>0.15</v>
      </c>
      <c r="F1466" s="2" t="str">
        <f>IFERROR(VLOOKUP(VLOOKUP(A1466,'[1]Sales Order'!A:B,2,FALSE),[1]Customer!A:C,3,FALSE),"Not Specified")</f>
        <v>Egelund-Muller, Anja</v>
      </c>
      <c r="G1466" s="2" t="str">
        <f t="shared" si="44"/>
        <v>Egelund-Muller Anja</v>
      </c>
      <c r="H1466" s="8" t="str">
        <f>IFERROR(VLOOKUP(VLOOKUP(A1466,'[1]Sales Order'!A:C,3,FALSE),[1]Employee!A:E,5,FALSE)&amp;" "&amp;VLOOKUP(VLOOKUP(A1466,'[1]Sales Order'!A:C,3,FALSE),[1]Employee!A:C,3,FALSE)&amp;" "&amp;VLOOKUP(VLOOKUP(A1466,'[1]Sales Order'!A:C,3,FALSE),[1]Employee!A:B,2,FALSE),"Not Specified")</f>
        <v>Dr. Don Funk</v>
      </c>
      <c r="I1466" t="str">
        <f>IFERROR(VLOOKUP(VLOOKUP(A1466,'[1]Sales Order'!A:C,3,FALSE),[1]Employee!A:J,10,FALSE),"Not Specified")</f>
        <v>WA</v>
      </c>
      <c r="J1466" t="str">
        <f>VLOOKUP(B1466,[1]Product!A:B,2,FALSE)</f>
        <v>Product VKCMF</v>
      </c>
      <c r="K1466" t="str">
        <f>VLOOKUP(VLOOKUP(B1466,[1]Product!A:D,4,FALSE),[1]Category!A:B,2,FALSE)</f>
        <v>Grains/Cereals</v>
      </c>
      <c r="L1466" s="10">
        <f>IFERROR(VLOOKUP(A1466,'[1]Sales Order'!A:D,4,FALSE),"")</f>
        <v>39448</v>
      </c>
      <c r="M1466" s="10">
        <f>IFERROR(VLOOKUP(A1466,'[1]Sales Order'!A:F,6,FALSE),"")</f>
        <v>39456</v>
      </c>
      <c r="N1466" t="str">
        <f>IFERROR(VLOOKUP(VLOOKUP(A1466,'[1]Sales Order'!A:G,7,FALSE),[1]Shipper!A:B,2,FALSE),"Not Specified")</f>
        <v>Shipper ZHISN</v>
      </c>
      <c r="O1466" t="str">
        <f>IFERROR(VLOOKUP(A1466,'[1]Sales Order'!A:I,9,FALSE),"Not Specified")</f>
        <v>Ship to 55-B</v>
      </c>
      <c r="P1466" t="str">
        <f>IFERROR(VLOOKUP(A1466,'[1]Sales Order'!A:N,14,FALSE),"Not Specified")</f>
        <v>USA</v>
      </c>
      <c r="Q1466" t="str">
        <f>VLOOKUP(VLOOKUP(B1466,[1]Product!A:C,3,FALSE),[1]Supplier!A:B,2,FALSE)</f>
        <v>Supplier ZWZDM</v>
      </c>
      <c r="R1466" t="str">
        <f>VLOOKUP(VLOOKUP(B1466,[1]Product!A:C,3,FALSE),[1]Supplier!A:I,9,FALSE)</f>
        <v>Italy</v>
      </c>
      <c r="S1466" t="str">
        <f>IFERROR(IF(VLOOKUP(A1466,'[1]Sales Order'!A:H,8,FALSE)&gt;100,"High Freight","Low Freight"),"Not Specified")</f>
        <v>Low Freight</v>
      </c>
      <c r="T1466">
        <f t="shared" si="45"/>
        <v>646</v>
      </c>
    </row>
    <row r="1467" spans="1:20">
      <c r="A1467" s="1">
        <v>10808</v>
      </c>
      <c r="B1467" s="2">
        <v>76</v>
      </c>
      <c r="C1467" s="2">
        <v>18</v>
      </c>
      <c r="D1467" s="2">
        <v>50</v>
      </c>
      <c r="E1467" s="3">
        <v>0.15</v>
      </c>
      <c r="F1467" s="2" t="str">
        <f>IFERROR(VLOOKUP(VLOOKUP(A1467,'[1]Sales Order'!A:B,2,FALSE),[1]Customer!A:C,3,FALSE),"Not Specified")</f>
        <v>Egelund-Muller, Anja</v>
      </c>
      <c r="G1467" s="2" t="str">
        <f t="shared" si="44"/>
        <v>Egelund-Muller Anja</v>
      </c>
      <c r="H1467" s="8" t="str">
        <f>IFERROR(VLOOKUP(VLOOKUP(A1467,'[1]Sales Order'!A:C,3,FALSE),[1]Employee!A:E,5,FALSE)&amp;" "&amp;VLOOKUP(VLOOKUP(A1467,'[1]Sales Order'!A:C,3,FALSE),[1]Employee!A:C,3,FALSE)&amp;" "&amp;VLOOKUP(VLOOKUP(A1467,'[1]Sales Order'!A:C,3,FALSE),[1]Employee!A:B,2,FALSE),"Not Specified")</f>
        <v>Dr. Don Funk</v>
      </c>
      <c r="I1467" t="str">
        <f>IFERROR(VLOOKUP(VLOOKUP(A1467,'[1]Sales Order'!A:C,3,FALSE),[1]Employee!A:J,10,FALSE),"Not Specified")</f>
        <v>WA</v>
      </c>
      <c r="J1467" t="str">
        <f>VLOOKUP(B1467,[1]Product!A:B,2,FALSE)</f>
        <v>Product JYGFE</v>
      </c>
      <c r="K1467" t="str">
        <f>VLOOKUP(VLOOKUP(B1467,[1]Product!A:D,4,FALSE),[1]Category!A:B,2,FALSE)</f>
        <v>Beverages</v>
      </c>
      <c r="L1467" s="10">
        <f>IFERROR(VLOOKUP(A1467,'[1]Sales Order'!A:D,4,FALSE),"")</f>
        <v>39448</v>
      </c>
      <c r="M1467" s="10">
        <f>IFERROR(VLOOKUP(A1467,'[1]Sales Order'!A:F,6,FALSE),"")</f>
        <v>39456</v>
      </c>
      <c r="N1467" t="str">
        <f>IFERROR(VLOOKUP(VLOOKUP(A1467,'[1]Sales Order'!A:G,7,FALSE),[1]Shipper!A:B,2,FALSE),"Not Specified")</f>
        <v>Shipper ZHISN</v>
      </c>
      <c r="O1467" t="str">
        <f>IFERROR(VLOOKUP(A1467,'[1]Sales Order'!A:I,9,FALSE),"Not Specified")</f>
        <v>Ship to 55-B</v>
      </c>
      <c r="P1467" t="str">
        <f>IFERROR(VLOOKUP(A1467,'[1]Sales Order'!A:N,14,FALSE),"Not Specified")</f>
        <v>USA</v>
      </c>
      <c r="Q1467" t="str">
        <f>VLOOKUP(VLOOKUP(B1467,[1]Product!A:C,3,FALSE),[1]Supplier!A:B,2,FALSE)</f>
        <v>Supplier ELCRN</v>
      </c>
      <c r="R1467" t="str">
        <f>VLOOKUP(VLOOKUP(B1467,[1]Product!A:C,3,FALSE),[1]Supplier!A:I,9,FALSE)</f>
        <v>Finland</v>
      </c>
      <c r="S1467" t="str">
        <f>IFERROR(IF(VLOOKUP(A1467,'[1]Sales Order'!A:H,8,FALSE)&gt;100,"High Freight","Low Freight"),"Not Specified")</f>
        <v>Low Freight</v>
      </c>
      <c r="T1467">
        <f t="shared" si="45"/>
        <v>765</v>
      </c>
    </row>
    <row r="1468" spans="1:20">
      <c r="A1468" s="1">
        <v>10809</v>
      </c>
      <c r="B1468" s="2">
        <v>52</v>
      </c>
      <c r="C1468" s="2">
        <v>7</v>
      </c>
      <c r="D1468" s="2">
        <v>20</v>
      </c>
      <c r="E1468" s="3">
        <v>0</v>
      </c>
      <c r="F1468" s="2" t="str">
        <f>IFERROR(VLOOKUP(VLOOKUP(A1468,'[1]Sales Order'!A:B,2,FALSE),[1]Customer!A:C,3,FALSE),"Not Specified")</f>
        <v>Li, Yan</v>
      </c>
      <c r="G1468" s="2" t="str">
        <f t="shared" si="44"/>
        <v>Li Yan</v>
      </c>
      <c r="H1468" s="8" t="str">
        <f>IFERROR(VLOOKUP(VLOOKUP(A1468,'[1]Sales Order'!A:C,3,FALSE),[1]Employee!A:E,5,FALSE)&amp;" "&amp;VLOOKUP(VLOOKUP(A1468,'[1]Sales Order'!A:C,3,FALSE),[1]Employee!A:C,3,FALSE)&amp;" "&amp;VLOOKUP(VLOOKUP(A1468,'[1]Sales Order'!A:C,3,FALSE),[1]Employee!A:B,2,FALSE),"Not Specified")</f>
        <v>Mr. Russell King</v>
      </c>
      <c r="I1468">
        <f>IFERROR(VLOOKUP(VLOOKUP(A1468,'[1]Sales Order'!A:C,3,FALSE),[1]Employee!A:J,10,FALSE),"Not Specified")</f>
        <v>0</v>
      </c>
      <c r="J1468" t="str">
        <f>VLOOKUP(B1468,[1]Product!A:B,2,FALSE)</f>
        <v>Product QSRXF</v>
      </c>
      <c r="K1468" t="str">
        <f>VLOOKUP(VLOOKUP(B1468,[1]Product!A:D,4,FALSE),[1]Category!A:B,2,FALSE)</f>
        <v>Grains/Cereals</v>
      </c>
      <c r="L1468" s="10">
        <f>IFERROR(VLOOKUP(A1468,'[1]Sales Order'!A:D,4,FALSE),"")</f>
        <v>39448</v>
      </c>
      <c r="M1468" s="10">
        <f>IFERROR(VLOOKUP(A1468,'[1]Sales Order'!A:F,6,FALSE),"")</f>
        <v>39454</v>
      </c>
      <c r="N1468" t="str">
        <f>IFERROR(VLOOKUP(VLOOKUP(A1468,'[1]Sales Order'!A:G,7,FALSE),[1]Shipper!A:B,2,FALSE),"Not Specified")</f>
        <v>Shipper GVSUA</v>
      </c>
      <c r="O1468" t="str">
        <f>IFERROR(VLOOKUP(A1468,'[1]Sales Order'!A:I,9,FALSE),"Not Specified")</f>
        <v>Ship to 88-C</v>
      </c>
      <c r="P1468" t="str">
        <f>IFERROR(VLOOKUP(A1468,'[1]Sales Order'!A:N,14,FALSE),"Not Specified")</f>
        <v>Brazil</v>
      </c>
      <c r="Q1468" t="str">
        <f>VLOOKUP(VLOOKUP(B1468,[1]Product!A:C,3,FALSE),[1]Supplier!A:B,2,FALSE)</f>
        <v>Supplier JNNES</v>
      </c>
      <c r="R1468" t="str">
        <f>VLOOKUP(VLOOKUP(B1468,[1]Product!A:C,3,FALSE),[1]Supplier!A:I,9,FALSE)</f>
        <v>Australia</v>
      </c>
      <c r="S1468" t="str">
        <f>IFERROR(IF(VLOOKUP(A1468,'[1]Sales Order'!A:H,8,FALSE)&gt;100,"High Freight","Low Freight"),"Not Specified")</f>
        <v>Low Freight</v>
      </c>
      <c r="T1468">
        <f t="shared" si="45"/>
        <v>140</v>
      </c>
    </row>
    <row r="1469" spans="1:20">
      <c r="A1469" s="1">
        <v>10810</v>
      </c>
      <c r="B1469" s="2">
        <v>13</v>
      </c>
      <c r="C1469" s="2">
        <v>6</v>
      </c>
      <c r="D1469" s="2">
        <v>7</v>
      </c>
      <c r="E1469" s="3">
        <v>0</v>
      </c>
      <c r="F1469" s="2" t="str">
        <f>IFERROR(VLOOKUP(VLOOKUP(A1469,'[1]Sales Order'!A:B,2,FALSE),[1]Customer!A:C,3,FALSE),"Not Specified")</f>
        <v>Steiner, Dominik</v>
      </c>
      <c r="G1469" s="2" t="str">
        <f t="shared" si="44"/>
        <v>Steiner Dominik</v>
      </c>
      <c r="H1469" s="8" t="str">
        <f>IFERROR(VLOOKUP(VLOOKUP(A1469,'[1]Sales Order'!A:C,3,FALSE),[1]Employee!A:E,5,FALSE)&amp;" "&amp;VLOOKUP(VLOOKUP(A1469,'[1]Sales Order'!A:C,3,FALSE),[1]Employee!A:C,3,FALSE)&amp;" "&amp;VLOOKUP(VLOOKUP(A1469,'[1]Sales Order'!A:C,3,FALSE),[1]Employee!A:B,2,FALSE),"Not Specified")</f>
        <v>Dr. Don Funk</v>
      </c>
      <c r="I1469" t="str">
        <f>IFERROR(VLOOKUP(VLOOKUP(A1469,'[1]Sales Order'!A:C,3,FALSE),[1]Employee!A:J,10,FALSE),"Not Specified")</f>
        <v>WA</v>
      </c>
      <c r="J1469" t="str">
        <f>VLOOKUP(B1469,[1]Product!A:B,2,FALSE)</f>
        <v>Product POXFU</v>
      </c>
      <c r="K1469" t="str">
        <f>VLOOKUP(VLOOKUP(B1469,[1]Product!A:D,4,FALSE),[1]Category!A:B,2,FALSE)</f>
        <v>Seafood</v>
      </c>
      <c r="L1469" s="10">
        <f>IFERROR(VLOOKUP(A1469,'[1]Sales Order'!A:D,4,FALSE),"")</f>
        <v>39448</v>
      </c>
      <c r="M1469" s="10">
        <f>IFERROR(VLOOKUP(A1469,'[1]Sales Order'!A:F,6,FALSE),"")</f>
        <v>39454</v>
      </c>
      <c r="N1469" t="str">
        <f>IFERROR(VLOOKUP(VLOOKUP(A1469,'[1]Sales Order'!A:G,7,FALSE),[1]Shipper!A:B,2,FALSE),"Not Specified")</f>
        <v>Shipper ZHISN</v>
      </c>
      <c r="O1469" t="str">
        <f>IFERROR(VLOOKUP(A1469,'[1]Sales Order'!A:I,9,FALSE),"Not Specified")</f>
        <v>Ship to 42-A</v>
      </c>
      <c r="P1469" t="str">
        <f>IFERROR(VLOOKUP(A1469,'[1]Sales Order'!A:N,14,FALSE),"Not Specified")</f>
        <v>Canada</v>
      </c>
      <c r="Q1469" t="str">
        <f>VLOOKUP(VLOOKUP(B1469,[1]Product!A:C,3,FALSE),[1]Supplier!A:B,2,FALSE)</f>
        <v>Supplier QWUSF</v>
      </c>
      <c r="R1469" t="str">
        <f>VLOOKUP(VLOOKUP(B1469,[1]Product!A:C,3,FALSE),[1]Supplier!A:I,9,FALSE)</f>
        <v>Japan</v>
      </c>
      <c r="S1469" t="str">
        <f>IFERROR(IF(VLOOKUP(A1469,'[1]Sales Order'!A:H,8,FALSE)&gt;100,"High Freight","Low Freight"),"Not Specified")</f>
        <v>Low Freight</v>
      </c>
      <c r="T1469">
        <f t="shared" si="45"/>
        <v>42</v>
      </c>
    </row>
    <row r="1470" spans="1:20">
      <c r="A1470" s="1">
        <v>10810</v>
      </c>
      <c r="B1470" s="2">
        <v>25</v>
      </c>
      <c r="C1470" s="2">
        <v>14</v>
      </c>
      <c r="D1470" s="2">
        <v>5</v>
      </c>
      <c r="E1470" s="3">
        <v>0</v>
      </c>
      <c r="F1470" s="2" t="str">
        <f>IFERROR(VLOOKUP(VLOOKUP(A1470,'[1]Sales Order'!A:B,2,FALSE),[1]Customer!A:C,3,FALSE),"Not Specified")</f>
        <v>Steiner, Dominik</v>
      </c>
      <c r="G1470" s="2" t="str">
        <f t="shared" si="44"/>
        <v>Steiner Dominik</v>
      </c>
      <c r="H1470" s="8" t="str">
        <f>IFERROR(VLOOKUP(VLOOKUP(A1470,'[1]Sales Order'!A:C,3,FALSE),[1]Employee!A:E,5,FALSE)&amp;" "&amp;VLOOKUP(VLOOKUP(A1470,'[1]Sales Order'!A:C,3,FALSE),[1]Employee!A:C,3,FALSE)&amp;" "&amp;VLOOKUP(VLOOKUP(A1470,'[1]Sales Order'!A:C,3,FALSE),[1]Employee!A:B,2,FALSE),"Not Specified")</f>
        <v>Dr. Don Funk</v>
      </c>
      <c r="I1470" t="str">
        <f>IFERROR(VLOOKUP(VLOOKUP(A1470,'[1]Sales Order'!A:C,3,FALSE),[1]Employee!A:J,10,FALSE),"Not Specified")</f>
        <v>WA</v>
      </c>
      <c r="J1470" t="str">
        <f>VLOOKUP(B1470,[1]Product!A:B,2,FALSE)</f>
        <v>Product LYLNI</v>
      </c>
      <c r="K1470" t="str">
        <f>VLOOKUP(VLOOKUP(B1470,[1]Product!A:D,4,FALSE),[1]Category!A:B,2,FALSE)</f>
        <v>Confections</v>
      </c>
      <c r="L1470" s="10">
        <f>IFERROR(VLOOKUP(A1470,'[1]Sales Order'!A:D,4,FALSE),"")</f>
        <v>39448</v>
      </c>
      <c r="M1470" s="10">
        <f>IFERROR(VLOOKUP(A1470,'[1]Sales Order'!A:F,6,FALSE),"")</f>
        <v>39454</v>
      </c>
      <c r="N1470" t="str">
        <f>IFERROR(VLOOKUP(VLOOKUP(A1470,'[1]Sales Order'!A:G,7,FALSE),[1]Shipper!A:B,2,FALSE),"Not Specified")</f>
        <v>Shipper ZHISN</v>
      </c>
      <c r="O1470" t="str">
        <f>IFERROR(VLOOKUP(A1470,'[1]Sales Order'!A:I,9,FALSE),"Not Specified")</f>
        <v>Ship to 42-A</v>
      </c>
      <c r="P1470" t="str">
        <f>IFERROR(VLOOKUP(A1470,'[1]Sales Order'!A:N,14,FALSE),"Not Specified")</f>
        <v>Canada</v>
      </c>
      <c r="Q1470" t="str">
        <f>VLOOKUP(VLOOKUP(B1470,[1]Product!A:C,3,FALSE),[1]Supplier!A:B,2,FALSE)</f>
        <v>Supplier ZPYVS</v>
      </c>
      <c r="R1470" t="str">
        <f>VLOOKUP(VLOOKUP(B1470,[1]Product!A:C,3,FALSE),[1]Supplier!A:I,9,FALSE)</f>
        <v>Germany</v>
      </c>
      <c r="S1470" t="str">
        <f>IFERROR(IF(VLOOKUP(A1470,'[1]Sales Order'!A:H,8,FALSE)&gt;100,"High Freight","Low Freight"),"Not Specified")</f>
        <v>Low Freight</v>
      </c>
      <c r="T1470">
        <f t="shared" si="45"/>
        <v>70</v>
      </c>
    </row>
    <row r="1471" spans="1:20">
      <c r="A1471" s="1">
        <v>10810</v>
      </c>
      <c r="B1471" s="2">
        <v>70</v>
      </c>
      <c r="C1471" s="2">
        <v>15</v>
      </c>
      <c r="D1471" s="2">
        <v>5</v>
      </c>
      <c r="E1471" s="3">
        <v>0</v>
      </c>
      <c r="F1471" s="2" t="str">
        <f>IFERROR(VLOOKUP(VLOOKUP(A1471,'[1]Sales Order'!A:B,2,FALSE),[1]Customer!A:C,3,FALSE),"Not Specified")</f>
        <v>Steiner, Dominik</v>
      </c>
      <c r="G1471" s="2" t="str">
        <f t="shared" si="44"/>
        <v>Steiner Dominik</v>
      </c>
      <c r="H1471" s="8" t="str">
        <f>IFERROR(VLOOKUP(VLOOKUP(A1471,'[1]Sales Order'!A:C,3,FALSE),[1]Employee!A:E,5,FALSE)&amp;" "&amp;VLOOKUP(VLOOKUP(A1471,'[1]Sales Order'!A:C,3,FALSE),[1]Employee!A:C,3,FALSE)&amp;" "&amp;VLOOKUP(VLOOKUP(A1471,'[1]Sales Order'!A:C,3,FALSE),[1]Employee!A:B,2,FALSE),"Not Specified")</f>
        <v>Dr. Don Funk</v>
      </c>
      <c r="I1471" t="str">
        <f>IFERROR(VLOOKUP(VLOOKUP(A1471,'[1]Sales Order'!A:C,3,FALSE),[1]Employee!A:J,10,FALSE),"Not Specified")</f>
        <v>WA</v>
      </c>
      <c r="J1471" t="str">
        <f>VLOOKUP(B1471,[1]Product!A:B,2,FALSE)</f>
        <v>Product TOONT</v>
      </c>
      <c r="K1471" t="str">
        <f>VLOOKUP(VLOOKUP(B1471,[1]Product!A:D,4,FALSE),[1]Category!A:B,2,FALSE)</f>
        <v>Beverages</v>
      </c>
      <c r="L1471" s="10">
        <f>IFERROR(VLOOKUP(A1471,'[1]Sales Order'!A:D,4,FALSE),"")</f>
        <v>39448</v>
      </c>
      <c r="M1471" s="10">
        <f>IFERROR(VLOOKUP(A1471,'[1]Sales Order'!A:F,6,FALSE),"")</f>
        <v>39454</v>
      </c>
      <c r="N1471" t="str">
        <f>IFERROR(VLOOKUP(VLOOKUP(A1471,'[1]Sales Order'!A:G,7,FALSE),[1]Shipper!A:B,2,FALSE),"Not Specified")</f>
        <v>Shipper ZHISN</v>
      </c>
      <c r="O1471" t="str">
        <f>IFERROR(VLOOKUP(A1471,'[1]Sales Order'!A:I,9,FALSE),"Not Specified")</f>
        <v>Ship to 42-A</v>
      </c>
      <c r="P1471" t="str">
        <f>IFERROR(VLOOKUP(A1471,'[1]Sales Order'!A:N,14,FALSE),"Not Specified")</f>
        <v>Canada</v>
      </c>
      <c r="Q1471" t="str">
        <f>VLOOKUP(VLOOKUP(B1471,[1]Product!A:C,3,FALSE),[1]Supplier!A:B,2,FALSE)</f>
        <v>Supplier GQRCV</v>
      </c>
      <c r="R1471" t="str">
        <f>VLOOKUP(VLOOKUP(B1471,[1]Product!A:C,3,FALSE),[1]Supplier!A:I,9,FALSE)</f>
        <v>Australia</v>
      </c>
      <c r="S1471" t="str">
        <f>IFERROR(IF(VLOOKUP(A1471,'[1]Sales Order'!A:H,8,FALSE)&gt;100,"High Freight","Low Freight"),"Not Specified")</f>
        <v>Low Freight</v>
      </c>
      <c r="T1471">
        <f t="shared" si="45"/>
        <v>75</v>
      </c>
    </row>
    <row r="1472" spans="1:20">
      <c r="A1472" s="1">
        <v>10811</v>
      </c>
      <c r="B1472" s="2">
        <v>19</v>
      </c>
      <c r="C1472" s="2">
        <v>9.1999999999999993</v>
      </c>
      <c r="D1472" s="2">
        <v>15</v>
      </c>
      <c r="E1472" s="3">
        <v>0</v>
      </c>
      <c r="F1472" s="2" t="str">
        <f>IFERROR(VLOOKUP(VLOOKUP(A1472,'[1]Sales Order'!A:B,2,FALSE),[1]Customer!A:C,3,FALSE),"Not Specified")</f>
        <v>Lupu, Cornel</v>
      </c>
      <c r="G1472" s="2" t="str">
        <f t="shared" si="44"/>
        <v>Lupu Cornel</v>
      </c>
      <c r="H1472" s="8" t="str">
        <f>IFERROR(VLOOKUP(VLOOKUP(A1472,'[1]Sales Order'!A:C,3,FALSE),[1]Employee!A:E,5,FALSE)&amp;" "&amp;VLOOKUP(VLOOKUP(A1472,'[1]Sales Order'!A:C,3,FALSE),[1]Employee!A:C,3,FALSE)&amp;" "&amp;VLOOKUP(VLOOKUP(A1472,'[1]Sales Order'!A:C,3,FALSE),[1]Employee!A:B,2,FALSE),"Not Specified")</f>
        <v>Ms. Maria Cameron</v>
      </c>
      <c r="I1472" t="str">
        <f>IFERROR(VLOOKUP(VLOOKUP(A1472,'[1]Sales Order'!A:C,3,FALSE),[1]Employee!A:J,10,FALSE),"Not Specified")</f>
        <v>WA</v>
      </c>
      <c r="J1472" t="str">
        <f>VLOOKUP(B1472,[1]Product!A:B,2,FALSE)</f>
        <v>Product XKXDO</v>
      </c>
      <c r="K1472" t="str">
        <f>VLOOKUP(VLOOKUP(B1472,[1]Product!A:D,4,FALSE),[1]Category!A:B,2,FALSE)</f>
        <v>Confections</v>
      </c>
      <c r="L1472" s="10">
        <f>IFERROR(VLOOKUP(A1472,'[1]Sales Order'!A:D,4,FALSE),"")</f>
        <v>39449</v>
      </c>
      <c r="M1472" s="10">
        <f>IFERROR(VLOOKUP(A1472,'[1]Sales Order'!A:F,6,FALSE),"")</f>
        <v>39455</v>
      </c>
      <c r="N1472" t="str">
        <f>IFERROR(VLOOKUP(VLOOKUP(A1472,'[1]Sales Order'!A:G,7,FALSE),[1]Shipper!A:B,2,FALSE),"Not Specified")</f>
        <v>Shipper GVSUA</v>
      </c>
      <c r="O1472" t="str">
        <f>IFERROR(VLOOKUP(A1472,'[1]Sales Order'!A:I,9,FALSE),"Not Specified")</f>
        <v>Ship to 47-B</v>
      </c>
      <c r="P1472" t="str">
        <f>IFERROR(VLOOKUP(A1472,'[1]Sales Order'!A:N,14,FALSE),"Not Specified")</f>
        <v>Venezuela</v>
      </c>
      <c r="Q1472" t="str">
        <f>VLOOKUP(VLOOKUP(B1472,[1]Product!A:C,3,FALSE),[1]Supplier!A:B,2,FALSE)</f>
        <v>Supplier BWGYE</v>
      </c>
      <c r="R1472" t="str">
        <f>VLOOKUP(VLOOKUP(B1472,[1]Product!A:C,3,FALSE),[1]Supplier!A:I,9,FALSE)</f>
        <v>UK</v>
      </c>
      <c r="S1472" t="str">
        <f>IFERROR(IF(VLOOKUP(A1472,'[1]Sales Order'!A:H,8,FALSE)&gt;100,"High Freight","Low Freight"),"Not Specified")</f>
        <v>Low Freight</v>
      </c>
      <c r="T1472">
        <f t="shared" si="45"/>
        <v>138</v>
      </c>
    </row>
    <row r="1473" spans="1:20">
      <c r="A1473" s="1">
        <v>10811</v>
      </c>
      <c r="B1473" s="2">
        <v>23</v>
      </c>
      <c r="C1473" s="2">
        <v>9</v>
      </c>
      <c r="D1473" s="2">
        <v>18</v>
      </c>
      <c r="E1473" s="3">
        <v>0</v>
      </c>
      <c r="F1473" s="2" t="str">
        <f>IFERROR(VLOOKUP(VLOOKUP(A1473,'[1]Sales Order'!A:B,2,FALSE),[1]Customer!A:C,3,FALSE),"Not Specified")</f>
        <v>Lupu, Cornel</v>
      </c>
      <c r="G1473" s="2" t="str">
        <f t="shared" si="44"/>
        <v>Lupu Cornel</v>
      </c>
      <c r="H1473" s="8" t="str">
        <f>IFERROR(VLOOKUP(VLOOKUP(A1473,'[1]Sales Order'!A:C,3,FALSE),[1]Employee!A:E,5,FALSE)&amp;" "&amp;VLOOKUP(VLOOKUP(A1473,'[1]Sales Order'!A:C,3,FALSE),[1]Employee!A:C,3,FALSE)&amp;" "&amp;VLOOKUP(VLOOKUP(A1473,'[1]Sales Order'!A:C,3,FALSE),[1]Employee!A:B,2,FALSE),"Not Specified")</f>
        <v>Ms. Maria Cameron</v>
      </c>
      <c r="I1473" t="str">
        <f>IFERROR(VLOOKUP(VLOOKUP(A1473,'[1]Sales Order'!A:C,3,FALSE),[1]Employee!A:J,10,FALSE),"Not Specified")</f>
        <v>WA</v>
      </c>
      <c r="J1473" t="str">
        <f>VLOOKUP(B1473,[1]Product!A:B,2,FALSE)</f>
        <v>Product JLUDZ</v>
      </c>
      <c r="K1473" t="str">
        <f>VLOOKUP(VLOOKUP(B1473,[1]Product!A:D,4,FALSE),[1]Category!A:B,2,FALSE)</f>
        <v>Grains/Cereals</v>
      </c>
      <c r="L1473" s="10">
        <f>IFERROR(VLOOKUP(A1473,'[1]Sales Order'!A:D,4,FALSE),"")</f>
        <v>39449</v>
      </c>
      <c r="M1473" s="10">
        <f>IFERROR(VLOOKUP(A1473,'[1]Sales Order'!A:F,6,FALSE),"")</f>
        <v>39455</v>
      </c>
      <c r="N1473" t="str">
        <f>IFERROR(VLOOKUP(VLOOKUP(A1473,'[1]Sales Order'!A:G,7,FALSE),[1]Shipper!A:B,2,FALSE),"Not Specified")</f>
        <v>Shipper GVSUA</v>
      </c>
      <c r="O1473" t="str">
        <f>IFERROR(VLOOKUP(A1473,'[1]Sales Order'!A:I,9,FALSE),"Not Specified")</f>
        <v>Ship to 47-B</v>
      </c>
      <c r="P1473" t="str">
        <f>IFERROR(VLOOKUP(A1473,'[1]Sales Order'!A:N,14,FALSE),"Not Specified")</f>
        <v>Venezuela</v>
      </c>
      <c r="Q1473" t="str">
        <f>VLOOKUP(VLOOKUP(B1473,[1]Product!A:C,3,FALSE),[1]Supplier!A:B,2,FALSE)</f>
        <v>Supplier QQYEU</v>
      </c>
      <c r="R1473" t="str">
        <f>VLOOKUP(VLOOKUP(B1473,[1]Product!A:C,3,FALSE),[1]Supplier!A:I,9,FALSE)</f>
        <v>Sweden</v>
      </c>
      <c r="S1473" t="str">
        <f>IFERROR(IF(VLOOKUP(A1473,'[1]Sales Order'!A:H,8,FALSE)&gt;100,"High Freight","Low Freight"),"Not Specified")</f>
        <v>Low Freight</v>
      </c>
      <c r="T1473">
        <f t="shared" si="45"/>
        <v>162</v>
      </c>
    </row>
    <row r="1474" spans="1:20">
      <c r="A1474" s="1">
        <v>10811</v>
      </c>
      <c r="B1474" s="2">
        <v>40</v>
      </c>
      <c r="C1474" s="2">
        <v>18.399999999999999</v>
      </c>
      <c r="D1474" s="2">
        <v>30</v>
      </c>
      <c r="E1474" s="3">
        <v>0</v>
      </c>
      <c r="F1474" s="2" t="str">
        <f>IFERROR(VLOOKUP(VLOOKUP(A1474,'[1]Sales Order'!A:B,2,FALSE),[1]Customer!A:C,3,FALSE),"Not Specified")</f>
        <v>Lupu, Cornel</v>
      </c>
      <c r="G1474" s="2" t="str">
        <f t="shared" si="44"/>
        <v>Lupu Cornel</v>
      </c>
      <c r="H1474" s="8" t="str">
        <f>IFERROR(VLOOKUP(VLOOKUP(A1474,'[1]Sales Order'!A:C,3,FALSE),[1]Employee!A:E,5,FALSE)&amp;" "&amp;VLOOKUP(VLOOKUP(A1474,'[1]Sales Order'!A:C,3,FALSE),[1]Employee!A:C,3,FALSE)&amp;" "&amp;VLOOKUP(VLOOKUP(A1474,'[1]Sales Order'!A:C,3,FALSE),[1]Employee!A:B,2,FALSE),"Not Specified")</f>
        <v>Ms. Maria Cameron</v>
      </c>
      <c r="I1474" t="str">
        <f>IFERROR(VLOOKUP(VLOOKUP(A1474,'[1]Sales Order'!A:C,3,FALSE),[1]Employee!A:J,10,FALSE),"Not Specified")</f>
        <v>WA</v>
      </c>
      <c r="J1474" t="str">
        <f>VLOOKUP(B1474,[1]Product!A:B,2,FALSE)</f>
        <v>Product YZIXQ</v>
      </c>
      <c r="K1474" t="str">
        <f>VLOOKUP(VLOOKUP(B1474,[1]Product!A:D,4,FALSE),[1]Category!A:B,2,FALSE)</f>
        <v>Seafood</v>
      </c>
      <c r="L1474" s="10">
        <f>IFERROR(VLOOKUP(A1474,'[1]Sales Order'!A:D,4,FALSE),"")</f>
        <v>39449</v>
      </c>
      <c r="M1474" s="10">
        <f>IFERROR(VLOOKUP(A1474,'[1]Sales Order'!A:F,6,FALSE),"")</f>
        <v>39455</v>
      </c>
      <c r="N1474" t="str">
        <f>IFERROR(VLOOKUP(VLOOKUP(A1474,'[1]Sales Order'!A:G,7,FALSE),[1]Shipper!A:B,2,FALSE),"Not Specified")</f>
        <v>Shipper GVSUA</v>
      </c>
      <c r="O1474" t="str">
        <f>IFERROR(VLOOKUP(A1474,'[1]Sales Order'!A:I,9,FALSE),"Not Specified")</f>
        <v>Ship to 47-B</v>
      </c>
      <c r="P1474" t="str">
        <f>IFERROR(VLOOKUP(A1474,'[1]Sales Order'!A:N,14,FALSE),"Not Specified")</f>
        <v>Venezuela</v>
      </c>
      <c r="Q1474" t="str">
        <f>VLOOKUP(VLOOKUP(B1474,[1]Product!A:C,3,FALSE),[1]Supplier!A:B,2,FALSE)</f>
        <v>Supplier JDNUG</v>
      </c>
      <c r="R1474" t="str">
        <f>VLOOKUP(VLOOKUP(B1474,[1]Product!A:C,3,FALSE),[1]Supplier!A:I,9,FALSE)</f>
        <v>USA</v>
      </c>
      <c r="S1474" t="str">
        <f>IFERROR(IF(VLOOKUP(A1474,'[1]Sales Order'!A:H,8,FALSE)&gt;100,"High Freight","Low Freight"),"Not Specified")</f>
        <v>Low Freight</v>
      </c>
      <c r="T1474">
        <f t="shared" si="45"/>
        <v>552</v>
      </c>
    </row>
    <row r="1475" spans="1:20">
      <c r="A1475" s="1">
        <v>10812</v>
      </c>
      <c r="B1475" s="2">
        <v>31</v>
      </c>
      <c r="C1475" s="2">
        <v>12.5</v>
      </c>
      <c r="D1475" s="2">
        <v>16</v>
      </c>
      <c r="E1475" s="3">
        <v>0.1</v>
      </c>
      <c r="F1475" s="2" t="str">
        <f>IFERROR(VLOOKUP(VLOOKUP(A1475,'[1]Sales Order'!A:B,2,FALSE),[1]Customer!A:C,3,FALSE),"Not Specified")</f>
        <v>Voss, Florian</v>
      </c>
      <c r="G1475" s="2" t="str">
        <f t="shared" ref="G1475:G1538" si="46">SUBSTITUTE(F1475,",","",1)</f>
        <v>Voss Florian</v>
      </c>
      <c r="H1475" s="8" t="str">
        <f>IFERROR(VLOOKUP(VLOOKUP(A1475,'[1]Sales Order'!A:C,3,FALSE),[1]Employee!A:E,5,FALSE)&amp;" "&amp;VLOOKUP(VLOOKUP(A1475,'[1]Sales Order'!A:C,3,FALSE),[1]Employee!A:C,3,FALSE)&amp;" "&amp;VLOOKUP(VLOOKUP(A1475,'[1]Sales Order'!A:C,3,FALSE),[1]Employee!A:B,2,FALSE),"Not Specified")</f>
        <v>Mr. Sven Buck</v>
      </c>
      <c r="I1475">
        <f>IFERROR(VLOOKUP(VLOOKUP(A1475,'[1]Sales Order'!A:C,3,FALSE),[1]Employee!A:J,10,FALSE),"Not Specified")</f>
        <v>0</v>
      </c>
      <c r="J1475" t="str">
        <f>VLOOKUP(B1475,[1]Product!A:B,2,FALSE)</f>
        <v>Product XWOXC</v>
      </c>
      <c r="K1475" t="str">
        <f>VLOOKUP(VLOOKUP(B1475,[1]Product!A:D,4,FALSE),[1]Category!A:B,2,FALSE)</f>
        <v>Dairy Product</v>
      </c>
      <c r="L1475" s="10">
        <f>IFERROR(VLOOKUP(A1475,'[1]Sales Order'!A:D,4,FALSE),"")</f>
        <v>39449</v>
      </c>
      <c r="M1475" s="10">
        <f>IFERROR(VLOOKUP(A1475,'[1]Sales Order'!A:F,6,FALSE),"")</f>
        <v>39459</v>
      </c>
      <c r="N1475" t="str">
        <f>IFERROR(VLOOKUP(VLOOKUP(A1475,'[1]Sales Order'!A:G,7,FALSE),[1]Shipper!A:B,2,FALSE),"Not Specified")</f>
        <v>Shipper GVSUA</v>
      </c>
      <c r="O1475" t="str">
        <f>IFERROR(VLOOKUP(A1475,'[1]Sales Order'!A:I,9,FALSE),"Not Specified")</f>
        <v>Ship to 66-B</v>
      </c>
      <c r="P1475" t="str">
        <f>IFERROR(VLOOKUP(A1475,'[1]Sales Order'!A:N,14,FALSE),"Not Specified")</f>
        <v>Italy</v>
      </c>
      <c r="Q1475" t="str">
        <f>VLOOKUP(VLOOKUP(B1475,[1]Product!A:C,3,FALSE),[1]Supplier!A:B,2,FALSE)</f>
        <v>Supplier KEREV</v>
      </c>
      <c r="R1475" t="str">
        <f>VLOOKUP(VLOOKUP(B1475,[1]Product!A:C,3,FALSE),[1]Supplier!A:I,9,FALSE)</f>
        <v>Italy</v>
      </c>
      <c r="S1475" t="str">
        <f>IFERROR(IF(VLOOKUP(A1475,'[1]Sales Order'!A:H,8,FALSE)&gt;100,"High Freight","Low Freight"),"Not Specified")</f>
        <v>Low Freight</v>
      </c>
      <c r="T1475">
        <f t="shared" ref="T1475:T1538" si="47">C1475*D1475*(1-E1475)</f>
        <v>180</v>
      </c>
    </row>
    <row r="1476" spans="1:20">
      <c r="A1476" s="1">
        <v>10812</v>
      </c>
      <c r="B1476" s="2">
        <v>72</v>
      </c>
      <c r="C1476" s="2">
        <v>34.799999999999997</v>
      </c>
      <c r="D1476" s="2">
        <v>40</v>
      </c>
      <c r="E1476" s="3">
        <v>0.1</v>
      </c>
      <c r="F1476" s="2" t="str">
        <f>IFERROR(VLOOKUP(VLOOKUP(A1476,'[1]Sales Order'!A:B,2,FALSE),[1]Customer!A:C,3,FALSE),"Not Specified")</f>
        <v>Voss, Florian</v>
      </c>
      <c r="G1476" s="2" t="str">
        <f t="shared" si="46"/>
        <v>Voss Florian</v>
      </c>
      <c r="H1476" s="8" t="str">
        <f>IFERROR(VLOOKUP(VLOOKUP(A1476,'[1]Sales Order'!A:C,3,FALSE),[1]Employee!A:E,5,FALSE)&amp;" "&amp;VLOOKUP(VLOOKUP(A1476,'[1]Sales Order'!A:C,3,FALSE),[1]Employee!A:C,3,FALSE)&amp;" "&amp;VLOOKUP(VLOOKUP(A1476,'[1]Sales Order'!A:C,3,FALSE),[1]Employee!A:B,2,FALSE),"Not Specified")</f>
        <v>Mr. Sven Buck</v>
      </c>
      <c r="I1476">
        <f>IFERROR(VLOOKUP(VLOOKUP(A1476,'[1]Sales Order'!A:C,3,FALSE),[1]Employee!A:J,10,FALSE),"Not Specified")</f>
        <v>0</v>
      </c>
      <c r="J1476" t="str">
        <f>VLOOKUP(B1476,[1]Product!A:B,2,FALSE)</f>
        <v>Product GEEOO</v>
      </c>
      <c r="K1476" t="str">
        <f>VLOOKUP(VLOOKUP(B1476,[1]Product!A:D,4,FALSE),[1]Category!A:B,2,FALSE)</f>
        <v>Dairy Product</v>
      </c>
      <c r="L1476" s="10">
        <f>IFERROR(VLOOKUP(A1476,'[1]Sales Order'!A:D,4,FALSE),"")</f>
        <v>39449</v>
      </c>
      <c r="M1476" s="10">
        <f>IFERROR(VLOOKUP(A1476,'[1]Sales Order'!A:F,6,FALSE),"")</f>
        <v>39459</v>
      </c>
      <c r="N1476" t="str">
        <f>IFERROR(VLOOKUP(VLOOKUP(A1476,'[1]Sales Order'!A:G,7,FALSE),[1]Shipper!A:B,2,FALSE),"Not Specified")</f>
        <v>Shipper GVSUA</v>
      </c>
      <c r="O1476" t="str">
        <f>IFERROR(VLOOKUP(A1476,'[1]Sales Order'!A:I,9,FALSE),"Not Specified")</f>
        <v>Ship to 66-B</v>
      </c>
      <c r="P1476" t="str">
        <f>IFERROR(VLOOKUP(A1476,'[1]Sales Order'!A:N,14,FALSE),"Not Specified")</f>
        <v>Italy</v>
      </c>
      <c r="Q1476" t="str">
        <f>VLOOKUP(VLOOKUP(B1476,[1]Product!A:C,3,FALSE),[1]Supplier!A:B,2,FALSE)</f>
        <v>Supplier KEREV</v>
      </c>
      <c r="R1476" t="str">
        <f>VLOOKUP(VLOOKUP(B1476,[1]Product!A:C,3,FALSE),[1]Supplier!A:I,9,FALSE)</f>
        <v>Italy</v>
      </c>
      <c r="S1476" t="str">
        <f>IFERROR(IF(VLOOKUP(A1476,'[1]Sales Order'!A:H,8,FALSE)&gt;100,"High Freight","Low Freight"),"Not Specified")</f>
        <v>Low Freight</v>
      </c>
      <c r="T1476">
        <f t="shared" si="47"/>
        <v>1252.8</v>
      </c>
    </row>
    <row r="1477" spans="1:20">
      <c r="A1477" s="1">
        <v>10812</v>
      </c>
      <c r="B1477" s="2">
        <v>77</v>
      </c>
      <c r="C1477" s="2">
        <v>13</v>
      </c>
      <c r="D1477" s="2">
        <v>20</v>
      </c>
      <c r="E1477" s="3">
        <v>0</v>
      </c>
      <c r="F1477" s="2" t="str">
        <f>IFERROR(VLOOKUP(VLOOKUP(A1477,'[1]Sales Order'!A:B,2,FALSE),[1]Customer!A:C,3,FALSE),"Not Specified")</f>
        <v>Voss, Florian</v>
      </c>
      <c r="G1477" s="2" t="str">
        <f t="shared" si="46"/>
        <v>Voss Florian</v>
      </c>
      <c r="H1477" s="8" t="str">
        <f>IFERROR(VLOOKUP(VLOOKUP(A1477,'[1]Sales Order'!A:C,3,FALSE),[1]Employee!A:E,5,FALSE)&amp;" "&amp;VLOOKUP(VLOOKUP(A1477,'[1]Sales Order'!A:C,3,FALSE),[1]Employee!A:C,3,FALSE)&amp;" "&amp;VLOOKUP(VLOOKUP(A1477,'[1]Sales Order'!A:C,3,FALSE),[1]Employee!A:B,2,FALSE),"Not Specified")</f>
        <v>Mr. Sven Buck</v>
      </c>
      <c r="I1477">
        <f>IFERROR(VLOOKUP(VLOOKUP(A1477,'[1]Sales Order'!A:C,3,FALSE),[1]Employee!A:J,10,FALSE),"Not Specified")</f>
        <v>0</v>
      </c>
      <c r="J1477" t="str">
        <f>VLOOKUP(B1477,[1]Product!A:B,2,FALSE)</f>
        <v>Product LUNZZ</v>
      </c>
      <c r="K1477" t="str">
        <f>VLOOKUP(VLOOKUP(B1477,[1]Product!A:D,4,FALSE),[1]Category!A:B,2,FALSE)</f>
        <v>Condiments</v>
      </c>
      <c r="L1477" s="10">
        <f>IFERROR(VLOOKUP(A1477,'[1]Sales Order'!A:D,4,FALSE),"")</f>
        <v>39449</v>
      </c>
      <c r="M1477" s="10">
        <f>IFERROR(VLOOKUP(A1477,'[1]Sales Order'!A:F,6,FALSE),"")</f>
        <v>39459</v>
      </c>
      <c r="N1477" t="str">
        <f>IFERROR(VLOOKUP(VLOOKUP(A1477,'[1]Sales Order'!A:G,7,FALSE),[1]Shipper!A:B,2,FALSE),"Not Specified")</f>
        <v>Shipper GVSUA</v>
      </c>
      <c r="O1477" t="str">
        <f>IFERROR(VLOOKUP(A1477,'[1]Sales Order'!A:I,9,FALSE),"Not Specified")</f>
        <v>Ship to 66-B</v>
      </c>
      <c r="P1477" t="str">
        <f>IFERROR(VLOOKUP(A1477,'[1]Sales Order'!A:N,14,FALSE),"Not Specified")</f>
        <v>Italy</v>
      </c>
      <c r="Q1477" t="str">
        <f>VLOOKUP(VLOOKUP(B1477,[1]Product!A:C,3,FALSE),[1]Supplier!A:B,2,FALSE)</f>
        <v>Supplier SVIYA</v>
      </c>
      <c r="R1477" t="str">
        <f>VLOOKUP(VLOOKUP(B1477,[1]Product!A:C,3,FALSE),[1]Supplier!A:I,9,FALSE)</f>
        <v>Germany</v>
      </c>
      <c r="S1477" t="str">
        <f>IFERROR(IF(VLOOKUP(A1477,'[1]Sales Order'!A:H,8,FALSE)&gt;100,"High Freight","Low Freight"),"Not Specified")</f>
        <v>Low Freight</v>
      </c>
      <c r="T1477">
        <f t="shared" si="47"/>
        <v>260</v>
      </c>
    </row>
    <row r="1478" spans="1:20">
      <c r="A1478" s="1">
        <v>10813</v>
      </c>
      <c r="B1478" s="2">
        <v>2</v>
      </c>
      <c r="C1478" s="2">
        <v>19</v>
      </c>
      <c r="D1478" s="2">
        <v>12</v>
      </c>
      <c r="E1478" s="3">
        <v>0.2</v>
      </c>
      <c r="F1478" s="2" t="str">
        <f>IFERROR(VLOOKUP(VLOOKUP(A1478,'[1]Sales Order'!A:B,2,FALSE),[1]Customer!A:C,3,FALSE),"Not Specified")</f>
        <v>Garden, Euan</v>
      </c>
      <c r="G1478" s="2" t="str">
        <f t="shared" si="46"/>
        <v>Garden Euan</v>
      </c>
      <c r="H1478" s="8" t="str">
        <f>IFERROR(VLOOKUP(VLOOKUP(A1478,'[1]Sales Order'!A:C,3,FALSE),[1]Employee!A:E,5,FALSE)&amp;" "&amp;VLOOKUP(VLOOKUP(A1478,'[1]Sales Order'!A:C,3,FALSE),[1]Employee!A:C,3,FALSE)&amp;" "&amp;VLOOKUP(VLOOKUP(A1478,'[1]Sales Order'!A:C,3,FALSE),[1]Employee!A:B,2,FALSE),"Not Specified")</f>
        <v>Ms. Sara Davis</v>
      </c>
      <c r="I1478" t="str">
        <f>IFERROR(VLOOKUP(VLOOKUP(A1478,'[1]Sales Order'!A:C,3,FALSE),[1]Employee!A:J,10,FALSE),"Not Specified")</f>
        <v>WA</v>
      </c>
      <c r="J1478" t="str">
        <f>VLOOKUP(B1478,[1]Product!A:B,2,FALSE)</f>
        <v>Product RECZE</v>
      </c>
      <c r="K1478" t="str">
        <f>VLOOKUP(VLOOKUP(B1478,[1]Product!A:D,4,FALSE),[1]Category!A:B,2,FALSE)</f>
        <v>Beverages</v>
      </c>
      <c r="L1478" s="10">
        <f>IFERROR(VLOOKUP(A1478,'[1]Sales Order'!A:D,4,FALSE),"")</f>
        <v>39452</v>
      </c>
      <c r="M1478" s="10">
        <f>IFERROR(VLOOKUP(A1478,'[1]Sales Order'!A:F,6,FALSE),"")</f>
        <v>39456</v>
      </c>
      <c r="N1478" t="str">
        <f>IFERROR(VLOOKUP(VLOOKUP(A1478,'[1]Sales Order'!A:G,7,FALSE),[1]Shipper!A:B,2,FALSE),"Not Specified")</f>
        <v>Shipper GVSUA</v>
      </c>
      <c r="O1478" t="str">
        <f>IFERROR(VLOOKUP(A1478,'[1]Sales Order'!A:I,9,FALSE),"Not Specified")</f>
        <v>Ship to 67-C</v>
      </c>
      <c r="P1478" t="str">
        <f>IFERROR(VLOOKUP(A1478,'[1]Sales Order'!A:N,14,FALSE),"Not Specified")</f>
        <v>Brazil</v>
      </c>
      <c r="Q1478" t="str">
        <f>VLOOKUP(VLOOKUP(B1478,[1]Product!A:C,3,FALSE),[1]Supplier!A:B,2,FALSE)</f>
        <v>Supplier SWRXU</v>
      </c>
      <c r="R1478" t="str">
        <f>VLOOKUP(VLOOKUP(B1478,[1]Product!A:C,3,FALSE),[1]Supplier!A:I,9,FALSE)</f>
        <v>UK</v>
      </c>
      <c r="S1478" t="str">
        <f>IFERROR(IF(VLOOKUP(A1478,'[1]Sales Order'!A:H,8,FALSE)&gt;100,"High Freight","Low Freight"),"Not Specified")</f>
        <v>Low Freight</v>
      </c>
      <c r="T1478">
        <f t="shared" si="47"/>
        <v>182.4</v>
      </c>
    </row>
    <row r="1479" spans="1:20">
      <c r="A1479" s="1">
        <v>10813</v>
      </c>
      <c r="B1479" s="2">
        <v>46</v>
      </c>
      <c r="C1479" s="2">
        <v>12</v>
      </c>
      <c r="D1479" s="2">
        <v>35</v>
      </c>
      <c r="E1479" s="3">
        <v>0</v>
      </c>
      <c r="F1479" s="2" t="str">
        <f>IFERROR(VLOOKUP(VLOOKUP(A1479,'[1]Sales Order'!A:B,2,FALSE),[1]Customer!A:C,3,FALSE),"Not Specified")</f>
        <v>Garden, Euan</v>
      </c>
      <c r="G1479" s="2" t="str">
        <f t="shared" si="46"/>
        <v>Garden Euan</v>
      </c>
      <c r="H1479" s="8" t="str">
        <f>IFERROR(VLOOKUP(VLOOKUP(A1479,'[1]Sales Order'!A:C,3,FALSE),[1]Employee!A:E,5,FALSE)&amp;" "&amp;VLOOKUP(VLOOKUP(A1479,'[1]Sales Order'!A:C,3,FALSE),[1]Employee!A:C,3,FALSE)&amp;" "&amp;VLOOKUP(VLOOKUP(A1479,'[1]Sales Order'!A:C,3,FALSE),[1]Employee!A:B,2,FALSE),"Not Specified")</f>
        <v>Ms. Sara Davis</v>
      </c>
      <c r="I1479" t="str">
        <f>IFERROR(VLOOKUP(VLOOKUP(A1479,'[1]Sales Order'!A:C,3,FALSE),[1]Employee!A:J,10,FALSE),"Not Specified")</f>
        <v>WA</v>
      </c>
      <c r="J1479" t="str">
        <f>VLOOKUP(B1479,[1]Product!A:B,2,FALSE)</f>
        <v>Product CBRRL</v>
      </c>
      <c r="K1479" t="str">
        <f>VLOOKUP(VLOOKUP(B1479,[1]Product!A:D,4,FALSE),[1]Category!A:B,2,FALSE)</f>
        <v>Seafood</v>
      </c>
      <c r="L1479" s="10">
        <f>IFERROR(VLOOKUP(A1479,'[1]Sales Order'!A:D,4,FALSE),"")</f>
        <v>39452</v>
      </c>
      <c r="M1479" s="10">
        <f>IFERROR(VLOOKUP(A1479,'[1]Sales Order'!A:F,6,FALSE),"")</f>
        <v>39456</v>
      </c>
      <c r="N1479" t="str">
        <f>IFERROR(VLOOKUP(VLOOKUP(A1479,'[1]Sales Order'!A:G,7,FALSE),[1]Shipper!A:B,2,FALSE),"Not Specified")</f>
        <v>Shipper GVSUA</v>
      </c>
      <c r="O1479" t="str">
        <f>IFERROR(VLOOKUP(A1479,'[1]Sales Order'!A:I,9,FALSE),"Not Specified")</f>
        <v>Ship to 67-C</v>
      </c>
      <c r="P1479" t="str">
        <f>IFERROR(VLOOKUP(A1479,'[1]Sales Order'!A:N,14,FALSE),"Not Specified")</f>
        <v>Brazil</v>
      </c>
      <c r="Q1479" t="str">
        <f>VLOOKUP(VLOOKUP(B1479,[1]Product!A:C,3,FALSE),[1]Supplier!A:B,2,FALSE)</f>
        <v>Supplier XOXZA</v>
      </c>
      <c r="R1479" t="str">
        <f>VLOOKUP(VLOOKUP(B1479,[1]Product!A:C,3,FALSE),[1]Supplier!A:I,9,FALSE)</f>
        <v>Denmark</v>
      </c>
      <c r="S1479" t="str">
        <f>IFERROR(IF(VLOOKUP(A1479,'[1]Sales Order'!A:H,8,FALSE)&gt;100,"High Freight","Low Freight"),"Not Specified")</f>
        <v>Low Freight</v>
      </c>
      <c r="T1479">
        <f t="shared" si="47"/>
        <v>420</v>
      </c>
    </row>
    <row r="1480" spans="1:20">
      <c r="A1480" s="1">
        <v>10814</v>
      </c>
      <c r="B1480" s="2">
        <v>41</v>
      </c>
      <c r="C1480" s="2">
        <v>9.65</v>
      </c>
      <c r="D1480" s="2">
        <v>20</v>
      </c>
      <c r="E1480" s="3">
        <v>0</v>
      </c>
      <c r="F1480" s="2" t="str">
        <f>IFERROR(VLOOKUP(VLOOKUP(A1480,'[1]Sales Order'!A:B,2,FALSE),[1]Customer!A:C,3,FALSE),"Not Specified")</f>
        <v>Tuntisangaroon, Sittichai</v>
      </c>
      <c r="G1480" s="2" t="str">
        <f t="shared" si="46"/>
        <v>Tuntisangaroon Sittichai</v>
      </c>
      <c r="H1480" s="8" t="str">
        <f>IFERROR(VLOOKUP(VLOOKUP(A1480,'[1]Sales Order'!A:C,3,FALSE),[1]Employee!A:E,5,FALSE)&amp;" "&amp;VLOOKUP(VLOOKUP(A1480,'[1]Sales Order'!A:C,3,FALSE),[1]Employee!A:C,3,FALSE)&amp;" "&amp;VLOOKUP(VLOOKUP(A1480,'[1]Sales Order'!A:C,3,FALSE),[1]Employee!A:B,2,FALSE),"Not Specified")</f>
        <v>Ms. Judy Lew</v>
      </c>
      <c r="I1480" t="str">
        <f>IFERROR(VLOOKUP(VLOOKUP(A1480,'[1]Sales Order'!A:C,3,FALSE),[1]Employee!A:J,10,FALSE),"Not Specified")</f>
        <v>WA</v>
      </c>
      <c r="J1480" t="str">
        <f>VLOOKUP(B1480,[1]Product!A:B,2,FALSE)</f>
        <v>Product TTEEX</v>
      </c>
      <c r="K1480" t="str">
        <f>VLOOKUP(VLOOKUP(B1480,[1]Product!A:D,4,FALSE),[1]Category!A:B,2,FALSE)</f>
        <v>Seafood</v>
      </c>
      <c r="L1480" s="10">
        <f>IFERROR(VLOOKUP(A1480,'[1]Sales Order'!A:D,4,FALSE),"")</f>
        <v>39452</v>
      </c>
      <c r="M1480" s="10">
        <f>IFERROR(VLOOKUP(A1480,'[1]Sales Order'!A:F,6,FALSE),"")</f>
        <v>39461</v>
      </c>
      <c r="N1480" t="str">
        <f>IFERROR(VLOOKUP(VLOOKUP(A1480,'[1]Sales Order'!A:G,7,FALSE),[1]Shipper!A:B,2,FALSE),"Not Specified")</f>
        <v>Shipper ZHISN</v>
      </c>
      <c r="O1480" t="str">
        <f>IFERROR(VLOOKUP(A1480,'[1]Sales Order'!A:I,9,FALSE),"Not Specified")</f>
        <v>Ship to 84-B</v>
      </c>
      <c r="P1480" t="str">
        <f>IFERROR(VLOOKUP(A1480,'[1]Sales Order'!A:N,14,FALSE),"Not Specified")</f>
        <v>France</v>
      </c>
      <c r="Q1480" t="str">
        <f>VLOOKUP(VLOOKUP(B1480,[1]Product!A:C,3,FALSE),[1]Supplier!A:B,2,FALSE)</f>
        <v>Supplier JDNUG</v>
      </c>
      <c r="R1480" t="str">
        <f>VLOOKUP(VLOOKUP(B1480,[1]Product!A:C,3,FALSE),[1]Supplier!A:I,9,FALSE)</f>
        <v>USA</v>
      </c>
      <c r="S1480" t="str">
        <f>IFERROR(IF(VLOOKUP(A1480,'[1]Sales Order'!A:H,8,FALSE)&gt;100,"High Freight","Low Freight"),"Not Specified")</f>
        <v>High Freight</v>
      </c>
      <c r="T1480">
        <f t="shared" si="47"/>
        <v>193</v>
      </c>
    </row>
    <row r="1481" spans="1:20">
      <c r="A1481" s="1">
        <v>10814</v>
      </c>
      <c r="B1481" s="2">
        <v>43</v>
      </c>
      <c r="C1481" s="2">
        <v>46</v>
      </c>
      <c r="D1481" s="2">
        <v>20</v>
      </c>
      <c r="E1481" s="3">
        <v>0.15</v>
      </c>
      <c r="F1481" s="2" t="str">
        <f>IFERROR(VLOOKUP(VLOOKUP(A1481,'[1]Sales Order'!A:B,2,FALSE),[1]Customer!A:C,3,FALSE),"Not Specified")</f>
        <v>Tuntisangaroon, Sittichai</v>
      </c>
      <c r="G1481" s="2" t="str">
        <f t="shared" si="46"/>
        <v>Tuntisangaroon Sittichai</v>
      </c>
      <c r="H1481" s="8" t="str">
        <f>IFERROR(VLOOKUP(VLOOKUP(A1481,'[1]Sales Order'!A:C,3,FALSE),[1]Employee!A:E,5,FALSE)&amp;" "&amp;VLOOKUP(VLOOKUP(A1481,'[1]Sales Order'!A:C,3,FALSE),[1]Employee!A:C,3,FALSE)&amp;" "&amp;VLOOKUP(VLOOKUP(A1481,'[1]Sales Order'!A:C,3,FALSE),[1]Employee!A:B,2,FALSE),"Not Specified")</f>
        <v>Ms. Judy Lew</v>
      </c>
      <c r="I1481" t="str">
        <f>IFERROR(VLOOKUP(VLOOKUP(A1481,'[1]Sales Order'!A:C,3,FALSE),[1]Employee!A:J,10,FALSE),"Not Specified")</f>
        <v>WA</v>
      </c>
      <c r="J1481" t="str">
        <f>VLOOKUP(B1481,[1]Product!A:B,2,FALSE)</f>
        <v>Product ZZZHR</v>
      </c>
      <c r="K1481" t="str">
        <f>VLOOKUP(VLOOKUP(B1481,[1]Product!A:D,4,FALSE),[1]Category!A:B,2,FALSE)</f>
        <v>Beverages</v>
      </c>
      <c r="L1481" s="10">
        <f>IFERROR(VLOOKUP(A1481,'[1]Sales Order'!A:D,4,FALSE),"")</f>
        <v>39452</v>
      </c>
      <c r="M1481" s="10">
        <f>IFERROR(VLOOKUP(A1481,'[1]Sales Order'!A:F,6,FALSE),"")</f>
        <v>39461</v>
      </c>
      <c r="N1481" t="str">
        <f>IFERROR(VLOOKUP(VLOOKUP(A1481,'[1]Sales Order'!A:G,7,FALSE),[1]Shipper!A:B,2,FALSE),"Not Specified")</f>
        <v>Shipper ZHISN</v>
      </c>
      <c r="O1481" t="str">
        <f>IFERROR(VLOOKUP(A1481,'[1]Sales Order'!A:I,9,FALSE),"Not Specified")</f>
        <v>Ship to 84-B</v>
      </c>
      <c r="P1481" t="str">
        <f>IFERROR(VLOOKUP(A1481,'[1]Sales Order'!A:N,14,FALSE),"Not Specified")</f>
        <v>France</v>
      </c>
      <c r="Q1481" t="str">
        <f>VLOOKUP(VLOOKUP(B1481,[1]Product!A:C,3,FALSE),[1]Supplier!A:B,2,FALSE)</f>
        <v>Supplier CIYNM</v>
      </c>
      <c r="R1481" t="str">
        <f>VLOOKUP(VLOOKUP(B1481,[1]Product!A:C,3,FALSE),[1]Supplier!A:I,9,FALSE)</f>
        <v>Singapore</v>
      </c>
      <c r="S1481" t="str">
        <f>IFERROR(IF(VLOOKUP(A1481,'[1]Sales Order'!A:H,8,FALSE)&gt;100,"High Freight","Low Freight"),"Not Specified")</f>
        <v>High Freight</v>
      </c>
      <c r="T1481">
        <f t="shared" si="47"/>
        <v>782</v>
      </c>
    </row>
    <row r="1482" spans="1:20">
      <c r="A1482" s="1">
        <v>10814</v>
      </c>
      <c r="B1482" s="2">
        <v>48</v>
      </c>
      <c r="C1482" s="2">
        <v>12.75</v>
      </c>
      <c r="D1482" s="2">
        <v>8</v>
      </c>
      <c r="E1482" s="3">
        <v>0.15</v>
      </c>
      <c r="F1482" s="2" t="str">
        <f>IFERROR(VLOOKUP(VLOOKUP(A1482,'[1]Sales Order'!A:B,2,FALSE),[1]Customer!A:C,3,FALSE),"Not Specified")</f>
        <v>Tuntisangaroon, Sittichai</v>
      </c>
      <c r="G1482" s="2" t="str">
        <f t="shared" si="46"/>
        <v>Tuntisangaroon Sittichai</v>
      </c>
      <c r="H1482" s="8" t="str">
        <f>IFERROR(VLOOKUP(VLOOKUP(A1482,'[1]Sales Order'!A:C,3,FALSE),[1]Employee!A:E,5,FALSE)&amp;" "&amp;VLOOKUP(VLOOKUP(A1482,'[1]Sales Order'!A:C,3,FALSE),[1]Employee!A:C,3,FALSE)&amp;" "&amp;VLOOKUP(VLOOKUP(A1482,'[1]Sales Order'!A:C,3,FALSE),[1]Employee!A:B,2,FALSE),"Not Specified")</f>
        <v>Ms. Judy Lew</v>
      </c>
      <c r="I1482" t="str">
        <f>IFERROR(VLOOKUP(VLOOKUP(A1482,'[1]Sales Order'!A:C,3,FALSE),[1]Employee!A:J,10,FALSE),"Not Specified")</f>
        <v>WA</v>
      </c>
      <c r="J1482" t="str">
        <f>VLOOKUP(B1482,[1]Product!A:B,2,FALSE)</f>
        <v>Product MYNXN</v>
      </c>
      <c r="K1482" t="str">
        <f>VLOOKUP(VLOOKUP(B1482,[1]Product!A:D,4,FALSE),[1]Category!A:B,2,FALSE)</f>
        <v>Confections</v>
      </c>
      <c r="L1482" s="10">
        <f>IFERROR(VLOOKUP(A1482,'[1]Sales Order'!A:D,4,FALSE),"")</f>
        <v>39452</v>
      </c>
      <c r="M1482" s="10">
        <f>IFERROR(VLOOKUP(A1482,'[1]Sales Order'!A:F,6,FALSE),"")</f>
        <v>39461</v>
      </c>
      <c r="N1482" t="str">
        <f>IFERROR(VLOOKUP(VLOOKUP(A1482,'[1]Sales Order'!A:G,7,FALSE),[1]Shipper!A:B,2,FALSE),"Not Specified")</f>
        <v>Shipper ZHISN</v>
      </c>
      <c r="O1482" t="str">
        <f>IFERROR(VLOOKUP(A1482,'[1]Sales Order'!A:I,9,FALSE),"Not Specified")</f>
        <v>Ship to 84-B</v>
      </c>
      <c r="P1482" t="str">
        <f>IFERROR(VLOOKUP(A1482,'[1]Sales Order'!A:N,14,FALSE),"Not Specified")</f>
        <v>France</v>
      </c>
      <c r="Q1482" t="str">
        <f>VLOOKUP(VLOOKUP(B1482,[1]Product!A:C,3,FALSE),[1]Supplier!A:B,2,FALSE)</f>
        <v>Supplier FNUXM</v>
      </c>
      <c r="R1482" t="str">
        <f>VLOOKUP(VLOOKUP(B1482,[1]Product!A:C,3,FALSE),[1]Supplier!A:I,9,FALSE)</f>
        <v>Netherlands</v>
      </c>
      <c r="S1482" t="str">
        <f>IFERROR(IF(VLOOKUP(A1482,'[1]Sales Order'!A:H,8,FALSE)&gt;100,"High Freight","Low Freight"),"Not Specified")</f>
        <v>High Freight</v>
      </c>
      <c r="T1482">
        <f t="shared" si="47"/>
        <v>86.7</v>
      </c>
    </row>
    <row r="1483" spans="1:20">
      <c r="A1483" s="1">
        <v>10814</v>
      </c>
      <c r="B1483" s="2">
        <v>61</v>
      </c>
      <c r="C1483" s="2">
        <v>28.5</v>
      </c>
      <c r="D1483" s="2">
        <v>30</v>
      </c>
      <c r="E1483" s="3">
        <v>0.15</v>
      </c>
      <c r="F1483" s="2" t="str">
        <f>IFERROR(VLOOKUP(VLOOKUP(A1483,'[1]Sales Order'!A:B,2,FALSE),[1]Customer!A:C,3,FALSE),"Not Specified")</f>
        <v>Tuntisangaroon, Sittichai</v>
      </c>
      <c r="G1483" s="2" t="str">
        <f t="shared" si="46"/>
        <v>Tuntisangaroon Sittichai</v>
      </c>
      <c r="H1483" s="8" t="str">
        <f>IFERROR(VLOOKUP(VLOOKUP(A1483,'[1]Sales Order'!A:C,3,FALSE),[1]Employee!A:E,5,FALSE)&amp;" "&amp;VLOOKUP(VLOOKUP(A1483,'[1]Sales Order'!A:C,3,FALSE),[1]Employee!A:C,3,FALSE)&amp;" "&amp;VLOOKUP(VLOOKUP(A1483,'[1]Sales Order'!A:C,3,FALSE),[1]Employee!A:B,2,FALSE),"Not Specified")</f>
        <v>Ms. Judy Lew</v>
      </c>
      <c r="I1483" t="str">
        <f>IFERROR(VLOOKUP(VLOOKUP(A1483,'[1]Sales Order'!A:C,3,FALSE),[1]Employee!A:J,10,FALSE),"Not Specified")</f>
        <v>WA</v>
      </c>
      <c r="J1483" t="str">
        <f>VLOOKUP(B1483,[1]Product!A:B,2,FALSE)</f>
        <v>Product XYZPE</v>
      </c>
      <c r="K1483" t="str">
        <f>VLOOKUP(VLOOKUP(B1483,[1]Product!A:D,4,FALSE),[1]Category!A:B,2,FALSE)</f>
        <v>Condiments</v>
      </c>
      <c r="L1483" s="10">
        <f>IFERROR(VLOOKUP(A1483,'[1]Sales Order'!A:D,4,FALSE),"")</f>
        <v>39452</v>
      </c>
      <c r="M1483" s="10">
        <f>IFERROR(VLOOKUP(A1483,'[1]Sales Order'!A:F,6,FALSE),"")</f>
        <v>39461</v>
      </c>
      <c r="N1483" t="str">
        <f>IFERROR(VLOOKUP(VLOOKUP(A1483,'[1]Sales Order'!A:G,7,FALSE),[1]Shipper!A:B,2,FALSE),"Not Specified")</f>
        <v>Shipper ZHISN</v>
      </c>
      <c r="O1483" t="str">
        <f>IFERROR(VLOOKUP(A1483,'[1]Sales Order'!A:I,9,FALSE),"Not Specified")</f>
        <v>Ship to 84-B</v>
      </c>
      <c r="P1483" t="str">
        <f>IFERROR(VLOOKUP(A1483,'[1]Sales Order'!A:N,14,FALSE),"Not Specified")</f>
        <v>France</v>
      </c>
      <c r="Q1483" t="str">
        <f>VLOOKUP(VLOOKUP(B1483,[1]Product!A:C,3,FALSE),[1]Supplier!A:B,2,FALSE)</f>
        <v>Supplier OGLRK</v>
      </c>
      <c r="R1483" t="str">
        <f>VLOOKUP(VLOOKUP(B1483,[1]Product!A:C,3,FALSE),[1]Supplier!A:I,9,FALSE)</f>
        <v>Canada</v>
      </c>
      <c r="S1483" t="str">
        <f>IFERROR(IF(VLOOKUP(A1483,'[1]Sales Order'!A:H,8,FALSE)&gt;100,"High Freight","Low Freight"),"Not Specified")</f>
        <v>High Freight</v>
      </c>
      <c r="T1483">
        <f t="shared" si="47"/>
        <v>726.75</v>
      </c>
    </row>
    <row r="1484" spans="1:20">
      <c r="A1484" s="1">
        <v>10815</v>
      </c>
      <c r="B1484" s="2">
        <v>33</v>
      </c>
      <c r="C1484" s="2">
        <v>2.5</v>
      </c>
      <c r="D1484" s="2">
        <v>16</v>
      </c>
      <c r="E1484" s="3">
        <v>0</v>
      </c>
      <c r="F1484" s="2" t="str">
        <f>IFERROR(VLOOKUP(VLOOKUP(A1484,'[1]Sales Order'!A:B,2,FALSE),[1]Customer!A:C,3,FALSE),"Not Specified")</f>
        <v>Navarro, Tomás</v>
      </c>
      <c r="G1484" s="2" t="str">
        <f t="shared" si="46"/>
        <v>Navarro Tomás</v>
      </c>
      <c r="H1484" s="8" t="str">
        <f>IFERROR(VLOOKUP(VLOOKUP(A1484,'[1]Sales Order'!A:C,3,FALSE),[1]Employee!A:E,5,FALSE)&amp;" "&amp;VLOOKUP(VLOOKUP(A1484,'[1]Sales Order'!A:C,3,FALSE),[1]Employee!A:C,3,FALSE)&amp;" "&amp;VLOOKUP(VLOOKUP(A1484,'[1]Sales Order'!A:C,3,FALSE),[1]Employee!A:B,2,FALSE),"Not Specified")</f>
        <v>Dr. Don Funk</v>
      </c>
      <c r="I1484" t="str">
        <f>IFERROR(VLOOKUP(VLOOKUP(A1484,'[1]Sales Order'!A:C,3,FALSE),[1]Employee!A:J,10,FALSE),"Not Specified")</f>
        <v>WA</v>
      </c>
      <c r="J1484" t="str">
        <f>VLOOKUP(B1484,[1]Product!A:B,2,FALSE)</f>
        <v>Product ASTMN</v>
      </c>
      <c r="K1484" t="str">
        <f>VLOOKUP(VLOOKUP(B1484,[1]Product!A:D,4,FALSE),[1]Category!A:B,2,FALSE)</f>
        <v>Dairy Product</v>
      </c>
      <c r="L1484" s="10">
        <f>IFERROR(VLOOKUP(A1484,'[1]Sales Order'!A:D,4,FALSE),"")</f>
        <v>39452</v>
      </c>
      <c r="M1484" s="10">
        <f>IFERROR(VLOOKUP(A1484,'[1]Sales Order'!A:F,6,FALSE),"")</f>
        <v>39461</v>
      </c>
      <c r="N1484" t="str">
        <f>IFERROR(VLOOKUP(VLOOKUP(A1484,'[1]Sales Order'!A:G,7,FALSE),[1]Shipper!A:B,2,FALSE),"Not Specified")</f>
        <v>Shipper ZHISN</v>
      </c>
      <c r="O1484" t="str">
        <f>IFERROR(VLOOKUP(A1484,'[1]Sales Order'!A:I,9,FALSE),"Not Specified")</f>
        <v>Ship to 71-A</v>
      </c>
      <c r="P1484" t="str">
        <f>IFERROR(VLOOKUP(A1484,'[1]Sales Order'!A:N,14,FALSE),"Not Specified")</f>
        <v>USA</v>
      </c>
      <c r="Q1484" t="str">
        <f>VLOOKUP(VLOOKUP(B1484,[1]Product!A:C,3,FALSE),[1]Supplier!A:B,2,FALSE)</f>
        <v>Supplier NZLIF</v>
      </c>
      <c r="R1484" t="str">
        <f>VLOOKUP(VLOOKUP(B1484,[1]Product!A:C,3,FALSE),[1]Supplier!A:I,9,FALSE)</f>
        <v>Norway</v>
      </c>
      <c r="S1484" t="str">
        <f>IFERROR(IF(VLOOKUP(A1484,'[1]Sales Order'!A:H,8,FALSE)&gt;100,"High Freight","Low Freight"),"Not Specified")</f>
        <v>Low Freight</v>
      </c>
      <c r="T1484">
        <f t="shared" si="47"/>
        <v>40</v>
      </c>
    </row>
    <row r="1485" spans="1:20">
      <c r="A1485" s="1">
        <v>10816</v>
      </c>
      <c r="B1485" s="2">
        <v>38</v>
      </c>
      <c r="C1485" s="2">
        <v>263.5</v>
      </c>
      <c r="D1485" s="2">
        <v>30</v>
      </c>
      <c r="E1485" s="3">
        <v>0.05</v>
      </c>
      <c r="F1485" s="2" t="str">
        <f>IFERROR(VLOOKUP(VLOOKUP(A1485,'[1]Sales Order'!A:B,2,FALSE),[1]Customer!A:C,3,FALSE),"Not Specified")</f>
        <v>Krishnan, Venky</v>
      </c>
      <c r="G1485" s="2" t="str">
        <f t="shared" si="46"/>
        <v>Krishnan Venky</v>
      </c>
      <c r="H1485" s="8" t="str">
        <f>IFERROR(VLOOKUP(VLOOKUP(A1485,'[1]Sales Order'!A:C,3,FALSE),[1]Employee!A:E,5,FALSE)&amp;" "&amp;VLOOKUP(VLOOKUP(A1485,'[1]Sales Order'!A:C,3,FALSE),[1]Employee!A:C,3,FALSE)&amp;" "&amp;VLOOKUP(VLOOKUP(A1485,'[1]Sales Order'!A:C,3,FALSE),[1]Employee!A:B,2,FALSE),"Not Specified")</f>
        <v>Mrs. Yael Peled</v>
      </c>
      <c r="I1485" t="str">
        <f>IFERROR(VLOOKUP(VLOOKUP(A1485,'[1]Sales Order'!A:C,3,FALSE),[1]Employee!A:J,10,FALSE),"Not Specified")</f>
        <v>WA</v>
      </c>
      <c r="J1485" t="str">
        <f>VLOOKUP(B1485,[1]Product!A:B,2,FALSE)</f>
        <v>Product QDOMO</v>
      </c>
      <c r="K1485" t="str">
        <f>VLOOKUP(VLOOKUP(B1485,[1]Product!A:D,4,FALSE),[1]Category!A:B,2,FALSE)</f>
        <v>Beverages</v>
      </c>
      <c r="L1485" s="10">
        <f>IFERROR(VLOOKUP(A1485,'[1]Sales Order'!A:D,4,FALSE),"")</f>
        <v>39453</v>
      </c>
      <c r="M1485" s="10">
        <f>IFERROR(VLOOKUP(A1485,'[1]Sales Order'!A:F,6,FALSE),"")</f>
        <v>39482</v>
      </c>
      <c r="N1485" t="str">
        <f>IFERROR(VLOOKUP(VLOOKUP(A1485,'[1]Sales Order'!A:G,7,FALSE),[1]Shipper!A:B,2,FALSE),"Not Specified")</f>
        <v>Shipper ETYNR</v>
      </c>
      <c r="O1485" t="str">
        <f>IFERROR(VLOOKUP(A1485,'[1]Sales Order'!A:I,9,FALSE),"Not Specified")</f>
        <v>Destination AVQUS</v>
      </c>
      <c r="P1485" t="str">
        <f>IFERROR(VLOOKUP(A1485,'[1]Sales Order'!A:N,14,FALSE),"Not Specified")</f>
        <v>USA</v>
      </c>
      <c r="Q1485" t="str">
        <f>VLOOKUP(VLOOKUP(B1485,[1]Product!A:C,3,FALSE),[1]Supplier!A:B,2,FALSE)</f>
        <v>Supplier LVJUA</v>
      </c>
      <c r="R1485" t="str">
        <f>VLOOKUP(VLOOKUP(B1485,[1]Product!A:C,3,FALSE),[1]Supplier!A:I,9,FALSE)</f>
        <v>France</v>
      </c>
      <c r="S1485" t="str">
        <f>IFERROR(IF(VLOOKUP(A1485,'[1]Sales Order'!A:H,8,FALSE)&gt;100,"High Freight","Low Freight"),"Not Specified")</f>
        <v>High Freight</v>
      </c>
      <c r="T1485">
        <f t="shared" si="47"/>
        <v>7509.75</v>
      </c>
    </row>
    <row r="1486" spans="1:20">
      <c r="A1486" s="1">
        <v>10816</v>
      </c>
      <c r="B1486" s="2">
        <v>62</v>
      </c>
      <c r="C1486" s="2">
        <v>49.3</v>
      </c>
      <c r="D1486" s="2">
        <v>20</v>
      </c>
      <c r="E1486" s="3">
        <v>0.05</v>
      </c>
      <c r="F1486" s="2" t="str">
        <f>IFERROR(VLOOKUP(VLOOKUP(A1486,'[1]Sales Order'!A:B,2,FALSE),[1]Customer!A:C,3,FALSE),"Not Specified")</f>
        <v>Krishnan, Venky</v>
      </c>
      <c r="G1486" s="2" t="str">
        <f t="shared" si="46"/>
        <v>Krishnan Venky</v>
      </c>
      <c r="H1486" s="8" t="str">
        <f>IFERROR(VLOOKUP(VLOOKUP(A1486,'[1]Sales Order'!A:C,3,FALSE),[1]Employee!A:E,5,FALSE)&amp;" "&amp;VLOOKUP(VLOOKUP(A1486,'[1]Sales Order'!A:C,3,FALSE),[1]Employee!A:C,3,FALSE)&amp;" "&amp;VLOOKUP(VLOOKUP(A1486,'[1]Sales Order'!A:C,3,FALSE),[1]Employee!A:B,2,FALSE),"Not Specified")</f>
        <v>Mrs. Yael Peled</v>
      </c>
      <c r="I1486" t="str">
        <f>IFERROR(VLOOKUP(VLOOKUP(A1486,'[1]Sales Order'!A:C,3,FALSE),[1]Employee!A:J,10,FALSE),"Not Specified")</f>
        <v>WA</v>
      </c>
      <c r="J1486" t="str">
        <f>VLOOKUP(B1486,[1]Product!A:B,2,FALSE)</f>
        <v>Product WUXYK</v>
      </c>
      <c r="K1486" t="str">
        <f>VLOOKUP(VLOOKUP(B1486,[1]Product!A:D,4,FALSE),[1]Category!A:B,2,FALSE)</f>
        <v>Confections</v>
      </c>
      <c r="L1486" s="10">
        <f>IFERROR(VLOOKUP(A1486,'[1]Sales Order'!A:D,4,FALSE),"")</f>
        <v>39453</v>
      </c>
      <c r="M1486" s="10">
        <f>IFERROR(VLOOKUP(A1486,'[1]Sales Order'!A:F,6,FALSE),"")</f>
        <v>39482</v>
      </c>
      <c r="N1486" t="str">
        <f>IFERROR(VLOOKUP(VLOOKUP(A1486,'[1]Sales Order'!A:G,7,FALSE),[1]Shipper!A:B,2,FALSE),"Not Specified")</f>
        <v>Shipper ETYNR</v>
      </c>
      <c r="O1486" t="str">
        <f>IFERROR(VLOOKUP(A1486,'[1]Sales Order'!A:I,9,FALSE),"Not Specified")</f>
        <v>Destination AVQUS</v>
      </c>
      <c r="P1486" t="str">
        <f>IFERROR(VLOOKUP(A1486,'[1]Sales Order'!A:N,14,FALSE),"Not Specified")</f>
        <v>USA</v>
      </c>
      <c r="Q1486" t="str">
        <f>VLOOKUP(VLOOKUP(B1486,[1]Product!A:C,3,FALSE),[1]Supplier!A:B,2,FALSE)</f>
        <v>Supplier OGLRK</v>
      </c>
      <c r="R1486" t="str">
        <f>VLOOKUP(VLOOKUP(B1486,[1]Product!A:C,3,FALSE),[1]Supplier!A:I,9,FALSE)</f>
        <v>Canada</v>
      </c>
      <c r="S1486" t="str">
        <f>IFERROR(IF(VLOOKUP(A1486,'[1]Sales Order'!A:H,8,FALSE)&gt;100,"High Freight","Low Freight"),"Not Specified")</f>
        <v>High Freight</v>
      </c>
      <c r="T1486">
        <f t="shared" si="47"/>
        <v>936.69999999999993</v>
      </c>
    </row>
    <row r="1487" spans="1:20">
      <c r="A1487" s="1">
        <v>10817</v>
      </c>
      <c r="B1487" s="2">
        <v>26</v>
      </c>
      <c r="C1487" s="2">
        <v>31.23</v>
      </c>
      <c r="D1487" s="2">
        <v>40</v>
      </c>
      <c r="E1487" s="3">
        <v>0.15</v>
      </c>
      <c r="F1487" s="2" t="str">
        <f>IFERROR(VLOOKUP(VLOOKUP(A1487,'[1]Sales Order'!A:B,2,FALSE),[1]Customer!A:C,3,FALSE),"Not Specified")</f>
        <v>Song, Lolan</v>
      </c>
      <c r="G1487" s="2" t="str">
        <f t="shared" si="46"/>
        <v>Song Lolan</v>
      </c>
      <c r="H1487" s="8" t="str">
        <f>IFERROR(VLOOKUP(VLOOKUP(A1487,'[1]Sales Order'!A:C,3,FALSE),[1]Employee!A:E,5,FALSE)&amp;" "&amp;VLOOKUP(VLOOKUP(A1487,'[1]Sales Order'!A:C,3,FALSE),[1]Employee!A:C,3,FALSE)&amp;" "&amp;VLOOKUP(VLOOKUP(A1487,'[1]Sales Order'!A:C,3,FALSE),[1]Employee!A:B,2,FALSE),"Not Specified")</f>
        <v>Ms. Judy Lew</v>
      </c>
      <c r="I1487" t="str">
        <f>IFERROR(VLOOKUP(VLOOKUP(A1487,'[1]Sales Order'!A:C,3,FALSE),[1]Employee!A:J,10,FALSE),"Not Specified")</f>
        <v>WA</v>
      </c>
      <c r="J1487" t="str">
        <f>VLOOKUP(B1487,[1]Product!A:B,2,FALSE)</f>
        <v>Product HLGZA</v>
      </c>
      <c r="K1487" t="str">
        <f>VLOOKUP(VLOOKUP(B1487,[1]Product!A:D,4,FALSE),[1]Category!A:B,2,FALSE)</f>
        <v>Confections</v>
      </c>
      <c r="L1487" s="10">
        <f>IFERROR(VLOOKUP(A1487,'[1]Sales Order'!A:D,4,FALSE),"")</f>
        <v>39453</v>
      </c>
      <c r="M1487" s="10">
        <f>IFERROR(VLOOKUP(A1487,'[1]Sales Order'!A:F,6,FALSE),"")</f>
        <v>39460</v>
      </c>
      <c r="N1487" t="str">
        <f>IFERROR(VLOOKUP(VLOOKUP(A1487,'[1]Sales Order'!A:G,7,FALSE),[1]Shipper!A:B,2,FALSE),"Not Specified")</f>
        <v>Shipper ETYNR</v>
      </c>
      <c r="O1487" t="str">
        <f>IFERROR(VLOOKUP(A1487,'[1]Sales Order'!A:I,9,FALSE),"Not Specified")</f>
        <v>Destination RMBHM</v>
      </c>
      <c r="P1487" t="str">
        <f>IFERROR(VLOOKUP(A1487,'[1]Sales Order'!A:N,14,FALSE),"Not Specified")</f>
        <v>Germany</v>
      </c>
      <c r="Q1487" t="str">
        <f>VLOOKUP(VLOOKUP(B1487,[1]Product!A:C,3,FALSE),[1]Supplier!A:B,2,FALSE)</f>
        <v>Supplier ZPYVS</v>
      </c>
      <c r="R1487" t="str">
        <f>VLOOKUP(VLOOKUP(B1487,[1]Product!A:C,3,FALSE),[1]Supplier!A:I,9,FALSE)</f>
        <v>Germany</v>
      </c>
      <c r="S1487" t="str">
        <f>IFERROR(IF(VLOOKUP(A1487,'[1]Sales Order'!A:H,8,FALSE)&gt;100,"High Freight","Low Freight"),"Not Specified")</f>
        <v>High Freight</v>
      </c>
      <c r="T1487">
        <f t="shared" si="47"/>
        <v>1061.82</v>
      </c>
    </row>
    <row r="1488" spans="1:20">
      <c r="A1488" s="1">
        <v>10817</v>
      </c>
      <c r="B1488" s="2">
        <v>38</v>
      </c>
      <c r="C1488" s="2">
        <v>263.5</v>
      </c>
      <c r="D1488" s="2">
        <v>30</v>
      </c>
      <c r="E1488" s="3">
        <v>0</v>
      </c>
      <c r="F1488" s="2" t="str">
        <f>IFERROR(VLOOKUP(VLOOKUP(A1488,'[1]Sales Order'!A:B,2,FALSE),[1]Customer!A:C,3,FALSE),"Not Specified")</f>
        <v>Song, Lolan</v>
      </c>
      <c r="G1488" s="2" t="str">
        <f t="shared" si="46"/>
        <v>Song Lolan</v>
      </c>
      <c r="H1488" s="8" t="str">
        <f>IFERROR(VLOOKUP(VLOOKUP(A1488,'[1]Sales Order'!A:C,3,FALSE),[1]Employee!A:E,5,FALSE)&amp;" "&amp;VLOOKUP(VLOOKUP(A1488,'[1]Sales Order'!A:C,3,FALSE),[1]Employee!A:C,3,FALSE)&amp;" "&amp;VLOOKUP(VLOOKUP(A1488,'[1]Sales Order'!A:C,3,FALSE),[1]Employee!A:B,2,FALSE),"Not Specified")</f>
        <v>Ms. Judy Lew</v>
      </c>
      <c r="I1488" t="str">
        <f>IFERROR(VLOOKUP(VLOOKUP(A1488,'[1]Sales Order'!A:C,3,FALSE),[1]Employee!A:J,10,FALSE),"Not Specified")</f>
        <v>WA</v>
      </c>
      <c r="J1488" t="str">
        <f>VLOOKUP(B1488,[1]Product!A:B,2,FALSE)</f>
        <v>Product QDOMO</v>
      </c>
      <c r="K1488" t="str">
        <f>VLOOKUP(VLOOKUP(B1488,[1]Product!A:D,4,FALSE),[1]Category!A:B,2,FALSE)</f>
        <v>Beverages</v>
      </c>
      <c r="L1488" s="10">
        <f>IFERROR(VLOOKUP(A1488,'[1]Sales Order'!A:D,4,FALSE),"")</f>
        <v>39453</v>
      </c>
      <c r="M1488" s="10">
        <f>IFERROR(VLOOKUP(A1488,'[1]Sales Order'!A:F,6,FALSE),"")</f>
        <v>39460</v>
      </c>
      <c r="N1488" t="str">
        <f>IFERROR(VLOOKUP(VLOOKUP(A1488,'[1]Sales Order'!A:G,7,FALSE),[1]Shipper!A:B,2,FALSE),"Not Specified")</f>
        <v>Shipper ETYNR</v>
      </c>
      <c r="O1488" t="str">
        <f>IFERROR(VLOOKUP(A1488,'[1]Sales Order'!A:I,9,FALSE),"Not Specified")</f>
        <v>Destination RMBHM</v>
      </c>
      <c r="P1488" t="str">
        <f>IFERROR(VLOOKUP(A1488,'[1]Sales Order'!A:N,14,FALSE),"Not Specified")</f>
        <v>Germany</v>
      </c>
      <c r="Q1488" t="str">
        <f>VLOOKUP(VLOOKUP(B1488,[1]Product!A:C,3,FALSE),[1]Supplier!A:B,2,FALSE)</f>
        <v>Supplier LVJUA</v>
      </c>
      <c r="R1488" t="str">
        <f>VLOOKUP(VLOOKUP(B1488,[1]Product!A:C,3,FALSE),[1]Supplier!A:I,9,FALSE)</f>
        <v>France</v>
      </c>
      <c r="S1488" t="str">
        <f>IFERROR(IF(VLOOKUP(A1488,'[1]Sales Order'!A:H,8,FALSE)&gt;100,"High Freight","Low Freight"),"Not Specified")</f>
        <v>High Freight</v>
      </c>
      <c r="T1488">
        <f t="shared" si="47"/>
        <v>7905</v>
      </c>
    </row>
    <row r="1489" spans="1:20">
      <c r="A1489" s="1">
        <v>10817</v>
      </c>
      <c r="B1489" s="2">
        <v>40</v>
      </c>
      <c r="C1489" s="2">
        <v>18.399999999999999</v>
      </c>
      <c r="D1489" s="2">
        <v>60</v>
      </c>
      <c r="E1489" s="3">
        <v>0.15</v>
      </c>
      <c r="F1489" s="2" t="str">
        <f>IFERROR(VLOOKUP(VLOOKUP(A1489,'[1]Sales Order'!A:B,2,FALSE),[1]Customer!A:C,3,FALSE),"Not Specified")</f>
        <v>Song, Lolan</v>
      </c>
      <c r="G1489" s="2" t="str">
        <f t="shared" si="46"/>
        <v>Song Lolan</v>
      </c>
      <c r="H1489" s="8" t="str">
        <f>IFERROR(VLOOKUP(VLOOKUP(A1489,'[1]Sales Order'!A:C,3,FALSE),[1]Employee!A:E,5,FALSE)&amp;" "&amp;VLOOKUP(VLOOKUP(A1489,'[1]Sales Order'!A:C,3,FALSE),[1]Employee!A:C,3,FALSE)&amp;" "&amp;VLOOKUP(VLOOKUP(A1489,'[1]Sales Order'!A:C,3,FALSE),[1]Employee!A:B,2,FALSE),"Not Specified")</f>
        <v>Ms. Judy Lew</v>
      </c>
      <c r="I1489" t="str">
        <f>IFERROR(VLOOKUP(VLOOKUP(A1489,'[1]Sales Order'!A:C,3,FALSE),[1]Employee!A:J,10,FALSE),"Not Specified")</f>
        <v>WA</v>
      </c>
      <c r="J1489" t="str">
        <f>VLOOKUP(B1489,[1]Product!A:B,2,FALSE)</f>
        <v>Product YZIXQ</v>
      </c>
      <c r="K1489" t="str">
        <f>VLOOKUP(VLOOKUP(B1489,[1]Product!A:D,4,FALSE),[1]Category!A:B,2,FALSE)</f>
        <v>Seafood</v>
      </c>
      <c r="L1489" s="10">
        <f>IFERROR(VLOOKUP(A1489,'[1]Sales Order'!A:D,4,FALSE),"")</f>
        <v>39453</v>
      </c>
      <c r="M1489" s="10">
        <f>IFERROR(VLOOKUP(A1489,'[1]Sales Order'!A:F,6,FALSE),"")</f>
        <v>39460</v>
      </c>
      <c r="N1489" t="str">
        <f>IFERROR(VLOOKUP(VLOOKUP(A1489,'[1]Sales Order'!A:G,7,FALSE),[1]Shipper!A:B,2,FALSE),"Not Specified")</f>
        <v>Shipper ETYNR</v>
      </c>
      <c r="O1489" t="str">
        <f>IFERROR(VLOOKUP(A1489,'[1]Sales Order'!A:I,9,FALSE),"Not Specified")</f>
        <v>Destination RMBHM</v>
      </c>
      <c r="P1489" t="str">
        <f>IFERROR(VLOOKUP(A1489,'[1]Sales Order'!A:N,14,FALSE),"Not Specified")</f>
        <v>Germany</v>
      </c>
      <c r="Q1489" t="str">
        <f>VLOOKUP(VLOOKUP(B1489,[1]Product!A:C,3,FALSE),[1]Supplier!A:B,2,FALSE)</f>
        <v>Supplier JDNUG</v>
      </c>
      <c r="R1489" t="str">
        <f>VLOOKUP(VLOOKUP(B1489,[1]Product!A:C,3,FALSE),[1]Supplier!A:I,9,FALSE)</f>
        <v>USA</v>
      </c>
      <c r="S1489" t="str">
        <f>IFERROR(IF(VLOOKUP(A1489,'[1]Sales Order'!A:H,8,FALSE)&gt;100,"High Freight","Low Freight"),"Not Specified")</f>
        <v>High Freight</v>
      </c>
      <c r="T1489">
        <f t="shared" si="47"/>
        <v>938.4</v>
      </c>
    </row>
    <row r="1490" spans="1:20">
      <c r="A1490" s="1">
        <v>10817</v>
      </c>
      <c r="B1490" s="2">
        <v>62</v>
      </c>
      <c r="C1490" s="2">
        <v>49.3</v>
      </c>
      <c r="D1490" s="2">
        <v>25</v>
      </c>
      <c r="E1490" s="3">
        <v>0.15</v>
      </c>
      <c r="F1490" s="2" t="str">
        <f>IFERROR(VLOOKUP(VLOOKUP(A1490,'[1]Sales Order'!A:B,2,FALSE),[1]Customer!A:C,3,FALSE),"Not Specified")</f>
        <v>Song, Lolan</v>
      </c>
      <c r="G1490" s="2" t="str">
        <f t="shared" si="46"/>
        <v>Song Lolan</v>
      </c>
      <c r="H1490" s="8" t="str">
        <f>IFERROR(VLOOKUP(VLOOKUP(A1490,'[1]Sales Order'!A:C,3,FALSE),[1]Employee!A:E,5,FALSE)&amp;" "&amp;VLOOKUP(VLOOKUP(A1490,'[1]Sales Order'!A:C,3,FALSE),[1]Employee!A:C,3,FALSE)&amp;" "&amp;VLOOKUP(VLOOKUP(A1490,'[1]Sales Order'!A:C,3,FALSE),[1]Employee!A:B,2,FALSE),"Not Specified")</f>
        <v>Ms. Judy Lew</v>
      </c>
      <c r="I1490" t="str">
        <f>IFERROR(VLOOKUP(VLOOKUP(A1490,'[1]Sales Order'!A:C,3,FALSE),[1]Employee!A:J,10,FALSE),"Not Specified")</f>
        <v>WA</v>
      </c>
      <c r="J1490" t="str">
        <f>VLOOKUP(B1490,[1]Product!A:B,2,FALSE)</f>
        <v>Product WUXYK</v>
      </c>
      <c r="K1490" t="str">
        <f>VLOOKUP(VLOOKUP(B1490,[1]Product!A:D,4,FALSE),[1]Category!A:B,2,FALSE)</f>
        <v>Confections</v>
      </c>
      <c r="L1490" s="10">
        <f>IFERROR(VLOOKUP(A1490,'[1]Sales Order'!A:D,4,FALSE),"")</f>
        <v>39453</v>
      </c>
      <c r="M1490" s="10">
        <f>IFERROR(VLOOKUP(A1490,'[1]Sales Order'!A:F,6,FALSE),"")</f>
        <v>39460</v>
      </c>
      <c r="N1490" t="str">
        <f>IFERROR(VLOOKUP(VLOOKUP(A1490,'[1]Sales Order'!A:G,7,FALSE),[1]Shipper!A:B,2,FALSE),"Not Specified")</f>
        <v>Shipper ETYNR</v>
      </c>
      <c r="O1490" t="str">
        <f>IFERROR(VLOOKUP(A1490,'[1]Sales Order'!A:I,9,FALSE),"Not Specified")</f>
        <v>Destination RMBHM</v>
      </c>
      <c r="P1490" t="str">
        <f>IFERROR(VLOOKUP(A1490,'[1]Sales Order'!A:N,14,FALSE),"Not Specified")</f>
        <v>Germany</v>
      </c>
      <c r="Q1490" t="str">
        <f>VLOOKUP(VLOOKUP(B1490,[1]Product!A:C,3,FALSE),[1]Supplier!A:B,2,FALSE)</f>
        <v>Supplier OGLRK</v>
      </c>
      <c r="R1490" t="str">
        <f>VLOOKUP(VLOOKUP(B1490,[1]Product!A:C,3,FALSE),[1]Supplier!A:I,9,FALSE)</f>
        <v>Canada</v>
      </c>
      <c r="S1490" t="str">
        <f>IFERROR(IF(VLOOKUP(A1490,'[1]Sales Order'!A:H,8,FALSE)&gt;100,"High Freight","Low Freight"),"Not Specified")</f>
        <v>High Freight</v>
      </c>
      <c r="T1490">
        <f t="shared" si="47"/>
        <v>1047.625</v>
      </c>
    </row>
    <row r="1491" spans="1:20">
      <c r="A1491" s="1">
        <v>10818</v>
      </c>
      <c r="B1491" s="2">
        <v>32</v>
      </c>
      <c r="C1491" s="2">
        <v>32</v>
      </c>
      <c r="D1491" s="2">
        <v>20</v>
      </c>
      <c r="E1491" s="3">
        <v>0</v>
      </c>
      <c r="F1491" s="2" t="str">
        <f>IFERROR(VLOOKUP(VLOOKUP(A1491,'[1]Sales Order'!A:B,2,FALSE),[1]Customer!A:C,3,FALSE),"Not Specified")</f>
        <v>Duerr, Bernard</v>
      </c>
      <c r="G1491" s="2" t="str">
        <f t="shared" si="46"/>
        <v>Duerr Bernard</v>
      </c>
      <c r="H1491" s="8" t="str">
        <f>IFERROR(VLOOKUP(VLOOKUP(A1491,'[1]Sales Order'!A:C,3,FALSE),[1]Employee!A:E,5,FALSE)&amp;" "&amp;VLOOKUP(VLOOKUP(A1491,'[1]Sales Order'!A:C,3,FALSE),[1]Employee!A:C,3,FALSE)&amp;" "&amp;VLOOKUP(VLOOKUP(A1491,'[1]Sales Order'!A:C,3,FALSE),[1]Employee!A:B,2,FALSE),"Not Specified")</f>
        <v>Mr. Russell King</v>
      </c>
      <c r="I1491">
        <f>IFERROR(VLOOKUP(VLOOKUP(A1491,'[1]Sales Order'!A:C,3,FALSE),[1]Employee!A:J,10,FALSE),"Not Specified")</f>
        <v>0</v>
      </c>
      <c r="J1491" t="str">
        <f>VLOOKUP(B1491,[1]Product!A:B,2,FALSE)</f>
        <v>Product NUNAW</v>
      </c>
      <c r="K1491" t="str">
        <f>VLOOKUP(VLOOKUP(B1491,[1]Product!A:D,4,FALSE),[1]Category!A:B,2,FALSE)</f>
        <v>Dairy Product</v>
      </c>
      <c r="L1491" s="10">
        <f>IFERROR(VLOOKUP(A1491,'[1]Sales Order'!A:D,4,FALSE),"")</f>
        <v>39454</v>
      </c>
      <c r="M1491" s="10">
        <f>IFERROR(VLOOKUP(A1491,'[1]Sales Order'!A:F,6,FALSE),"")</f>
        <v>39459</v>
      </c>
      <c r="N1491" t="str">
        <f>IFERROR(VLOOKUP(VLOOKUP(A1491,'[1]Sales Order'!A:G,7,FALSE),[1]Shipper!A:B,2,FALSE),"Not Specified")</f>
        <v>Shipper ZHISN</v>
      </c>
      <c r="O1491" t="str">
        <f>IFERROR(VLOOKUP(A1491,'[1]Sales Order'!A:I,9,FALSE),"Not Specified")</f>
        <v>Ship to 49-B</v>
      </c>
      <c r="P1491" t="str">
        <f>IFERROR(VLOOKUP(A1491,'[1]Sales Order'!A:N,14,FALSE),"Not Specified")</f>
        <v>Italy</v>
      </c>
      <c r="Q1491" t="str">
        <f>VLOOKUP(VLOOKUP(B1491,[1]Product!A:C,3,FALSE),[1]Supplier!A:B,2,FALSE)</f>
        <v>Supplier KEREV</v>
      </c>
      <c r="R1491" t="str">
        <f>VLOOKUP(VLOOKUP(B1491,[1]Product!A:C,3,FALSE),[1]Supplier!A:I,9,FALSE)</f>
        <v>Italy</v>
      </c>
      <c r="S1491" t="str">
        <f>IFERROR(IF(VLOOKUP(A1491,'[1]Sales Order'!A:H,8,FALSE)&gt;100,"High Freight","Low Freight"),"Not Specified")</f>
        <v>Low Freight</v>
      </c>
      <c r="T1491">
        <f t="shared" si="47"/>
        <v>640</v>
      </c>
    </row>
    <row r="1492" spans="1:20">
      <c r="A1492" s="1">
        <v>10818</v>
      </c>
      <c r="B1492" s="2">
        <v>41</v>
      </c>
      <c r="C1492" s="2">
        <v>9.65</v>
      </c>
      <c r="D1492" s="2">
        <v>20</v>
      </c>
      <c r="E1492" s="3">
        <v>0</v>
      </c>
      <c r="F1492" s="2" t="str">
        <f>IFERROR(VLOOKUP(VLOOKUP(A1492,'[1]Sales Order'!A:B,2,FALSE),[1]Customer!A:C,3,FALSE),"Not Specified")</f>
        <v>Duerr, Bernard</v>
      </c>
      <c r="G1492" s="2" t="str">
        <f t="shared" si="46"/>
        <v>Duerr Bernard</v>
      </c>
      <c r="H1492" s="8" t="str">
        <f>IFERROR(VLOOKUP(VLOOKUP(A1492,'[1]Sales Order'!A:C,3,FALSE),[1]Employee!A:E,5,FALSE)&amp;" "&amp;VLOOKUP(VLOOKUP(A1492,'[1]Sales Order'!A:C,3,FALSE),[1]Employee!A:C,3,FALSE)&amp;" "&amp;VLOOKUP(VLOOKUP(A1492,'[1]Sales Order'!A:C,3,FALSE),[1]Employee!A:B,2,FALSE),"Not Specified")</f>
        <v>Mr. Russell King</v>
      </c>
      <c r="I1492">
        <f>IFERROR(VLOOKUP(VLOOKUP(A1492,'[1]Sales Order'!A:C,3,FALSE),[1]Employee!A:J,10,FALSE),"Not Specified")</f>
        <v>0</v>
      </c>
      <c r="J1492" t="str">
        <f>VLOOKUP(B1492,[1]Product!A:B,2,FALSE)</f>
        <v>Product TTEEX</v>
      </c>
      <c r="K1492" t="str">
        <f>VLOOKUP(VLOOKUP(B1492,[1]Product!A:D,4,FALSE),[1]Category!A:B,2,FALSE)</f>
        <v>Seafood</v>
      </c>
      <c r="L1492" s="10">
        <f>IFERROR(VLOOKUP(A1492,'[1]Sales Order'!A:D,4,FALSE),"")</f>
        <v>39454</v>
      </c>
      <c r="M1492" s="10">
        <f>IFERROR(VLOOKUP(A1492,'[1]Sales Order'!A:F,6,FALSE),"")</f>
        <v>39459</v>
      </c>
      <c r="N1492" t="str">
        <f>IFERROR(VLOOKUP(VLOOKUP(A1492,'[1]Sales Order'!A:G,7,FALSE),[1]Shipper!A:B,2,FALSE),"Not Specified")</f>
        <v>Shipper ZHISN</v>
      </c>
      <c r="O1492" t="str">
        <f>IFERROR(VLOOKUP(A1492,'[1]Sales Order'!A:I,9,FALSE),"Not Specified")</f>
        <v>Ship to 49-B</v>
      </c>
      <c r="P1492" t="str">
        <f>IFERROR(VLOOKUP(A1492,'[1]Sales Order'!A:N,14,FALSE),"Not Specified")</f>
        <v>Italy</v>
      </c>
      <c r="Q1492" t="str">
        <f>VLOOKUP(VLOOKUP(B1492,[1]Product!A:C,3,FALSE),[1]Supplier!A:B,2,FALSE)</f>
        <v>Supplier JDNUG</v>
      </c>
      <c r="R1492" t="str">
        <f>VLOOKUP(VLOOKUP(B1492,[1]Product!A:C,3,FALSE),[1]Supplier!A:I,9,FALSE)</f>
        <v>USA</v>
      </c>
      <c r="S1492" t="str">
        <f>IFERROR(IF(VLOOKUP(A1492,'[1]Sales Order'!A:H,8,FALSE)&gt;100,"High Freight","Low Freight"),"Not Specified")</f>
        <v>Low Freight</v>
      </c>
      <c r="T1492">
        <f t="shared" si="47"/>
        <v>193</v>
      </c>
    </row>
    <row r="1493" spans="1:20">
      <c r="A1493" s="1">
        <v>10819</v>
      </c>
      <c r="B1493" s="2">
        <v>43</v>
      </c>
      <c r="C1493" s="2">
        <v>46</v>
      </c>
      <c r="D1493" s="2">
        <v>7</v>
      </c>
      <c r="E1493" s="3">
        <v>0</v>
      </c>
      <c r="F1493" s="2" t="str">
        <f>IFERROR(VLOOKUP(VLOOKUP(A1493,'[1]Sales Order'!A:B,2,FALSE),[1]Customer!A:C,3,FALSE),"Not Specified")</f>
        <v>Ray, Mike</v>
      </c>
      <c r="G1493" s="2" t="str">
        <f t="shared" si="46"/>
        <v>Ray Mike</v>
      </c>
      <c r="H1493" s="8" t="str">
        <f>IFERROR(VLOOKUP(VLOOKUP(A1493,'[1]Sales Order'!A:C,3,FALSE),[1]Employee!A:E,5,FALSE)&amp;" "&amp;VLOOKUP(VLOOKUP(A1493,'[1]Sales Order'!A:C,3,FALSE),[1]Employee!A:C,3,FALSE)&amp;" "&amp;VLOOKUP(VLOOKUP(A1493,'[1]Sales Order'!A:C,3,FALSE),[1]Employee!A:B,2,FALSE),"Not Specified")</f>
        <v>Dr. Don Funk</v>
      </c>
      <c r="I1493" t="str">
        <f>IFERROR(VLOOKUP(VLOOKUP(A1493,'[1]Sales Order'!A:C,3,FALSE),[1]Employee!A:J,10,FALSE),"Not Specified")</f>
        <v>WA</v>
      </c>
      <c r="J1493" t="str">
        <f>VLOOKUP(B1493,[1]Product!A:B,2,FALSE)</f>
        <v>Product ZZZHR</v>
      </c>
      <c r="K1493" t="str">
        <f>VLOOKUP(VLOOKUP(B1493,[1]Product!A:D,4,FALSE),[1]Category!A:B,2,FALSE)</f>
        <v>Beverages</v>
      </c>
      <c r="L1493" s="10">
        <f>IFERROR(VLOOKUP(A1493,'[1]Sales Order'!A:D,4,FALSE),"")</f>
        <v>39454</v>
      </c>
      <c r="M1493" s="10">
        <f>IFERROR(VLOOKUP(A1493,'[1]Sales Order'!A:F,6,FALSE),"")</f>
        <v>39463</v>
      </c>
      <c r="N1493" t="str">
        <f>IFERROR(VLOOKUP(VLOOKUP(A1493,'[1]Sales Order'!A:G,7,FALSE),[1]Shipper!A:B,2,FALSE),"Not Specified")</f>
        <v>Shipper ZHISN</v>
      </c>
      <c r="O1493" t="str">
        <f>IFERROR(VLOOKUP(A1493,'[1]Sales Order'!A:I,9,FALSE),"Not Specified")</f>
        <v>Destination QTHBC</v>
      </c>
      <c r="P1493" t="str">
        <f>IFERROR(VLOOKUP(A1493,'[1]Sales Order'!A:N,14,FALSE),"Not Specified")</f>
        <v>Argentina</v>
      </c>
      <c r="Q1493" t="str">
        <f>VLOOKUP(VLOOKUP(B1493,[1]Product!A:C,3,FALSE),[1]Supplier!A:B,2,FALSE)</f>
        <v>Supplier CIYNM</v>
      </c>
      <c r="R1493" t="str">
        <f>VLOOKUP(VLOOKUP(B1493,[1]Product!A:C,3,FALSE),[1]Supplier!A:I,9,FALSE)</f>
        <v>Singapore</v>
      </c>
      <c r="S1493" t="str">
        <f>IFERROR(IF(VLOOKUP(A1493,'[1]Sales Order'!A:H,8,FALSE)&gt;100,"High Freight","Low Freight"),"Not Specified")</f>
        <v>Low Freight</v>
      </c>
      <c r="T1493">
        <f t="shared" si="47"/>
        <v>322</v>
      </c>
    </row>
    <row r="1494" spans="1:20">
      <c r="A1494" s="1">
        <v>10819</v>
      </c>
      <c r="B1494" s="2">
        <v>75</v>
      </c>
      <c r="C1494" s="2">
        <v>7.75</v>
      </c>
      <c r="D1494" s="2">
        <v>20</v>
      </c>
      <c r="E1494" s="3">
        <v>0</v>
      </c>
      <c r="F1494" s="2" t="str">
        <f>IFERROR(VLOOKUP(VLOOKUP(A1494,'[1]Sales Order'!A:B,2,FALSE),[1]Customer!A:C,3,FALSE),"Not Specified")</f>
        <v>Ray, Mike</v>
      </c>
      <c r="G1494" s="2" t="str">
        <f t="shared" si="46"/>
        <v>Ray Mike</v>
      </c>
      <c r="H1494" s="8" t="str">
        <f>IFERROR(VLOOKUP(VLOOKUP(A1494,'[1]Sales Order'!A:C,3,FALSE),[1]Employee!A:E,5,FALSE)&amp;" "&amp;VLOOKUP(VLOOKUP(A1494,'[1]Sales Order'!A:C,3,FALSE),[1]Employee!A:C,3,FALSE)&amp;" "&amp;VLOOKUP(VLOOKUP(A1494,'[1]Sales Order'!A:C,3,FALSE),[1]Employee!A:B,2,FALSE),"Not Specified")</f>
        <v>Dr. Don Funk</v>
      </c>
      <c r="I1494" t="str">
        <f>IFERROR(VLOOKUP(VLOOKUP(A1494,'[1]Sales Order'!A:C,3,FALSE),[1]Employee!A:J,10,FALSE),"Not Specified")</f>
        <v>WA</v>
      </c>
      <c r="J1494" t="str">
        <f>VLOOKUP(B1494,[1]Product!A:B,2,FALSE)</f>
        <v>Product BWRLG</v>
      </c>
      <c r="K1494" t="str">
        <f>VLOOKUP(VLOOKUP(B1494,[1]Product!A:D,4,FALSE),[1]Category!A:B,2,FALSE)</f>
        <v>Beverages</v>
      </c>
      <c r="L1494" s="10">
        <f>IFERROR(VLOOKUP(A1494,'[1]Sales Order'!A:D,4,FALSE),"")</f>
        <v>39454</v>
      </c>
      <c r="M1494" s="10">
        <f>IFERROR(VLOOKUP(A1494,'[1]Sales Order'!A:F,6,FALSE),"")</f>
        <v>39463</v>
      </c>
      <c r="N1494" t="str">
        <f>IFERROR(VLOOKUP(VLOOKUP(A1494,'[1]Sales Order'!A:G,7,FALSE),[1]Shipper!A:B,2,FALSE),"Not Specified")</f>
        <v>Shipper ZHISN</v>
      </c>
      <c r="O1494" t="str">
        <f>IFERROR(VLOOKUP(A1494,'[1]Sales Order'!A:I,9,FALSE),"Not Specified")</f>
        <v>Destination QTHBC</v>
      </c>
      <c r="P1494" t="str">
        <f>IFERROR(VLOOKUP(A1494,'[1]Sales Order'!A:N,14,FALSE),"Not Specified")</f>
        <v>Argentina</v>
      </c>
      <c r="Q1494" t="str">
        <f>VLOOKUP(VLOOKUP(B1494,[1]Product!A:C,3,FALSE),[1]Supplier!A:B,2,FALSE)</f>
        <v>Supplier SVIYA</v>
      </c>
      <c r="R1494" t="str">
        <f>VLOOKUP(VLOOKUP(B1494,[1]Product!A:C,3,FALSE),[1]Supplier!A:I,9,FALSE)</f>
        <v>Germany</v>
      </c>
      <c r="S1494" t="str">
        <f>IFERROR(IF(VLOOKUP(A1494,'[1]Sales Order'!A:H,8,FALSE)&gt;100,"High Freight","Low Freight"),"Not Specified")</f>
        <v>Low Freight</v>
      </c>
      <c r="T1494">
        <f t="shared" si="47"/>
        <v>155</v>
      </c>
    </row>
    <row r="1495" spans="1:20">
      <c r="A1495" s="1">
        <v>10820</v>
      </c>
      <c r="B1495" s="2">
        <v>56</v>
      </c>
      <c r="C1495" s="2">
        <v>38</v>
      </c>
      <c r="D1495" s="2">
        <v>30</v>
      </c>
      <c r="E1495" s="3">
        <v>0</v>
      </c>
      <c r="F1495" s="2" t="str">
        <f>IFERROR(VLOOKUP(VLOOKUP(A1495,'[1]Sales Order'!A:B,2,FALSE),[1]Customer!A:C,3,FALSE),"Not Specified")</f>
        <v>Moore, Michael</v>
      </c>
      <c r="G1495" s="2" t="str">
        <f t="shared" si="46"/>
        <v>Moore Michael</v>
      </c>
      <c r="H1495" s="8" t="str">
        <f>IFERROR(VLOOKUP(VLOOKUP(A1495,'[1]Sales Order'!A:C,3,FALSE),[1]Employee!A:E,5,FALSE)&amp;" "&amp;VLOOKUP(VLOOKUP(A1495,'[1]Sales Order'!A:C,3,FALSE),[1]Employee!A:C,3,FALSE)&amp;" "&amp;VLOOKUP(VLOOKUP(A1495,'[1]Sales Order'!A:C,3,FALSE),[1]Employee!A:B,2,FALSE),"Not Specified")</f>
        <v>Ms. Judy Lew</v>
      </c>
      <c r="I1495" t="str">
        <f>IFERROR(VLOOKUP(VLOOKUP(A1495,'[1]Sales Order'!A:C,3,FALSE),[1]Employee!A:J,10,FALSE),"Not Specified")</f>
        <v>WA</v>
      </c>
      <c r="J1495" t="str">
        <f>VLOOKUP(B1495,[1]Product!A:B,2,FALSE)</f>
        <v>Product VKCMF</v>
      </c>
      <c r="K1495" t="str">
        <f>VLOOKUP(VLOOKUP(B1495,[1]Product!A:D,4,FALSE),[1]Category!A:B,2,FALSE)</f>
        <v>Grains/Cereals</v>
      </c>
      <c r="L1495" s="10">
        <f>IFERROR(VLOOKUP(A1495,'[1]Sales Order'!A:D,4,FALSE),"")</f>
        <v>39454</v>
      </c>
      <c r="M1495" s="10">
        <f>IFERROR(VLOOKUP(A1495,'[1]Sales Order'!A:F,6,FALSE),"")</f>
        <v>39460</v>
      </c>
      <c r="N1495" t="str">
        <f>IFERROR(VLOOKUP(VLOOKUP(A1495,'[1]Sales Order'!A:G,7,FALSE),[1]Shipper!A:B,2,FALSE),"Not Specified")</f>
        <v>Shipper ETYNR</v>
      </c>
      <c r="O1495" t="str">
        <f>IFERROR(VLOOKUP(A1495,'[1]Sales Order'!A:I,9,FALSE),"Not Specified")</f>
        <v>Ship to 65-B</v>
      </c>
      <c r="P1495" t="str">
        <f>IFERROR(VLOOKUP(A1495,'[1]Sales Order'!A:N,14,FALSE),"Not Specified")</f>
        <v>USA</v>
      </c>
      <c r="Q1495" t="str">
        <f>VLOOKUP(VLOOKUP(B1495,[1]Product!A:C,3,FALSE),[1]Supplier!A:B,2,FALSE)</f>
        <v>Supplier ZWZDM</v>
      </c>
      <c r="R1495" t="str">
        <f>VLOOKUP(VLOOKUP(B1495,[1]Product!A:C,3,FALSE),[1]Supplier!A:I,9,FALSE)</f>
        <v>Italy</v>
      </c>
      <c r="S1495" t="str">
        <f>IFERROR(IF(VLOOKUP(A1495,'[1]Sales Order'!A:H,8,FALSE)&gt;100,"High Freight","Low Freight"),"Not Specified")</f>
        <v>Low Freight</v>
      </c>
      <c r="T1495">
        <f t="shared" si="47"/>
        <v>1140</v>
      </c>
    </row>
    <row r="1496" spans="1:20">
      <c r="A1496" s="1">
        <v>10821</v>
      </c>
      <c r="B1496" s="2">
        <v>35</v>
      </c>
      <c r="C1496" s="2">
        <v>18</v>
      </c>
      <c r="D1496" s="2">
        <v>20</v>
      </c>
      <c r="E1496" s="3">
        <v>0</v>
      </c>
      <c r="F1496" s="2" t="str">
        <f>IFERROR(VLOOKUP(VLOOKUP(A1496,'[1]Sales Order'!A:B,2,FALSE),[1]Customer!A:C,3,FALSE),"Not Specified")</f>
        <v>Wojciechowska, Agnieszka</v>
      </c>
      <c r="G1496" s="2" t="str">
        <f t="shared" si="46"/>
        <v>Wojciechowska Agnieszka</v>
      </c>
      <c r="H1496" s="8" t="str">
        <f>IFERROR(VLOOKUP(VLOOKUP(A1496,'[1]Sales Order'!A:C,3,FALSE),[1]Employee!A:E,5,FALSE)&amp;" "&amp;VLOOKUP(VLOOKUP(A1496,'[1]Sales Order'!A:C,3,FALSE),[1]Employee!A:C,3,FALSE)&amp;" "&amp;VLOOKUP(VLOOKUP(A1496,'[1]Sales Order'!A:C,3,FALSE),[1]Employee!A:B,2,FALSE),"Not Specified")</f>
        <v>Ms. Sara Davis</v>
      </c>
      <c r="I1496" t="str">
        <f>IFERROR(VLOOKUP(VLOOKUP(A1496,'[1]Sales Order'!A:C,3,FALSE),[1]Employee!A:J,10,FALSE),"Not Specified")</f>
        <v>WA</v>
      </c>
      <c r="J1496" t="str">
        <f>VLOOKUP(B1496,[1]Product!A:B,2,FALSE)</f>
        <v>Product NEVTJ</v>
      </c>
      <c r="K1496" t="str">
        <f>VLOOKUP(VLOOKUP(B1496,[1]Product!A:D,4,FALSE),[1]Category!A:B,2,FALSE)</f>
        <v>Beverages</v>
      </c>
      <c r="L1496" s="10">
        <f>IFERROR(VLOOKUP(A1496,'[1]Sales Order'!A:D,4,FALSE),"")</f>
        <v>39455</v>
      </c>
      <c r="M1496" s="10">
        <f>IFERROR(VLOOKUP(A1496,'[1]Sales Order'!A:F,6,FALSE),"")</f>
        <v>39462</v>
      </c>
      <c r="N1496" t="str">
        <f>IFERROR(VLOOKUP(VLOOKUP(A1496,'[1]Sales Order'!A:G,7,FALSE),[1]Shipper!A:B,2,FALSE),"Not Specified")</f>
        <v>Shipper GVSUA</v>
      </c>
      <c r="O1496" t="str">
        <f>IFERROR(VLOOKUP(A1496,'[1]Sales Order'!A:I,9,FALSE),"Not Specified")</f>
        <v>Ship to 75-A</v>
      </c>
      <c r="P1496" t="str">
        <f>IFERROR(VLOOKUP(A1496,'[1]Sales Order'!A:N,14,FALSE),"Not Specified")</f>
        <v>USA</v>
      </c>
      <c r="Q1496" t="str">
        <f>VLOOKUP(VLOOKUP(B1496,[1]Product!A:C,3,FALSE),[1]Supplier!A:B,2,FALSE)</f>
        <v>Supplier UHZRG</v>
      </c>
      <c r="R1496" t="str">
        <f>VLOOKUP(VLOOKUP(B1496,[1]Product!A:C,3,FALSE),[1]Supplier!A:I,9,FALSE)</f>
        <v>USA</v>
      </c>
      <c r="S1496" t="str">
        <f>IFERROR(IF(VLOOKUP(A1496,'[1]Sales Order'!A:H,8,FALSE)&gt;100,"High Freight","Low Freight"),"Not Specified")</f>
        <v>Low Freight</v>
      </c>
      <c r="T1496">
        <f t="shared" si="47"/>
        <v>360</v>
      </c>
    </row>
    <row r="1497" spans="1:20">
      <c r="A1497" s="1">
        <v>10821</v>
      </c>
      <c r="B1497" s="2">
        <v>51</v>
      </c>
      <c r="C1497" s="2">
        <v>53</v>
      </c>
      <c r="D1497" s="2">
        <v>6</v>
      </c>
      <c r="E1497" s="3">
        <v>0</v>
      </c>
      <c r="F1497" s="2" t="str">
        <f>IFERROR(VLOOKUP(VLOOKUP(A1497,'[1]Sales Order'!A:B,2,FALSE),[1]Customer!A:C,3,FALSE),"Not Specified")</f>
        <v>Wojciechowska, Agnieszka</v>
      </c>
      <c r="G1497" s="2" t="str">
        <f t="shared" si="46"/>
        <v>Wojciechowska Agnieszka</v>
      </c>
      <c r="H1497" s="8" t="str">
        <f>IFERROR(VLOOKUP(VLOOKUP(A1497,'[1]Sales Order'!A:C,3,FALSE),[1]Employee!A:E,5,FALSE)&amp;" "&amp;VLOOKUP(VLOOKUP(A1497,'[1]Sales Order'!A:C,3,FALSE),[1]Employee!A:C,3,FALSE)&amp;" "&amp;VLOOKUP(VLOOKUP(A1497,'[1]Sales Order'!A:C,3,FALSE),[1]Employee!A:B,2,FALSE),"Not Specified")</f>
        <v>Ms. Sara Davis</v>
      </c>
      <c r="I1497" t="str">
        <f>IFERROR(VLOOKUP(VLOOKUP(A1497,'[1]Sales Order'!A:C,3,FALSE),[1]Employee!A:J,10,FALSE),"Not Specified")</f>
        <v>WA</v>
      </c>
      <c r="J1497" t="str">
        <f>VLOOKUP(B1497,[1]Product!A:B,2,FALSE)</f>
        <v>Product APITJ</v>
      </c>
      <c r="K1497" t="str">
        <f>VLOOKUP(VLOOKUP(B1497,[1]Product!A:D,4,FALSE),[1]Category!A:B,2,FALSE)</f>
        <v>Produce</v>
      </c>
      <c r="L1497" s="10">
        <f>IFERROR(VLOOKUP(A1497,'[1]Sales Order'!A:D,4,FALSE),"")</f>
        <v>39455</v>
      </c>
      <c r="M1497" s="10">
        <f>IFERROR(VLOOKUP(A1497,'[1]Sales Order'!A:F,6,FALSE),"")</f>
        <v>39462</v>
      </c>
      <c r="N1497" t="str">
        <f>IFERROR(VLOOKUP(VLOOKUP(A1497,'[1]Sales Order'!A:G,7,FALSE),[1]Shipper!A:B,2,FALSE),"Not Specified")</f>
        <v>Shipper GVSUA</v>
      </c>
      <c r="O1497" t="str">
        <f>IFERROR(VLOOKUP(A1497,'[1]Sales Order'!A:I,9,FALSE),"Not Specified")</f>
        <v>Ship to 75-A</v>
      </c>
      <c r="P1497" t="str">
        <f>IFERROR(VLOOKUP(A1497,'[1]Sales Order'!A:N,14,FALSE),"Not Specified")</f>
        <v>USA</v>
      </c>
      <c r="Q1497" t="str">
        <f>VLOOKUP(VLOOKUP(B1497,[1]Product!A:C,3,FALSE),[1]Supplier!A:B,2,FALSE)</f>
        <v>Supplier JNNES</v>
      </c>
      <c r="R1497" t="str">
        <f>VLOOKUP(VLOOKUP(B1497,[1]Product!A:C,3,FALSE),[1]Supplier!A:I,9,FALSE)</f>
        <v>Australia</v>
      </c>
      <c r="S1497" t="str">
        <f>IFERROR(IF(VLOOKUP(A1497,'[1]Sales Order'!A:H,8,FALSE)&gt;100,"High Freight","Low Freight"),"Not Specified")</f>
        <v>Low Freight</v>
      </c>
      <c r="T1497">
        <f t="shared" si="47"/>
        <v>318</v>
      </c>
    </row>
    <row r="1498" spans="1:20">
      <c r="A1498" s="1">
        <v>10822</v>
      </c>
      <c r="B1498" s="2">
        <v>62</v>
      </c>
      <c r="C1498" s="2">
        <v>49.3</v>
      </c>
      <c r="D1498" s="2">
        <v>3</v>
      </c>
      <c r="E1498" s="3">
        <v>0</v>
      </c>
      <c r="F1498" s="2" t="str">
        <f>IFERROR(VLOOKUP(VLOOKUP(A1498,'[1]Sales Order'!A:B,2,FALSE),[1]Customer!A:C,3,FALSE),"Not Specified")</f>
        <v>Veninga, Tjeerd</v>
      </c>
      <c r="G1498" s="2" t="str">
        <f t="shared" si="46"/>
        <v>Veninga Tjeerd</v>
      </c>
      <c r="H1498" s="8" t="str">
        <f>IFERROR(VLOOKUP(VLOOKUP(A1498,'[1]Sales Order'!A:C,3,FALSE),[1]Employee!A:E,5,FALSE)&amp;" "&amp;VLOOKUP(VLOOKUP(A1498,'[1]Sales Order'!A:C,3,FALSE),[1]Employee!A:C,3,FALSE)&amp;" "&amp;VLOOKUP(VLOOKUP(A1498,'[1]Sales Order'!A:C,3,FALSE),[1]Employee!A:B,2,FALSE),"Not Specified")</f>
        <v>Mr. Paul Suurs</v>
      </c>
      <c r="I1498">
        <f>IFERROR(VLOOKUP(VLOOKUP(A1498,'[1]Sales Order'!A:C,3,FALSE),[1]Employee!A:J,10,FALSE),"Not Specified")</f>
        <v>0</v>
      </c>
      <c r="J1498" t="str">
        <f>VLOOKUP(B1498,[1]Product!A:B,2,FALSE)</f>
        <v>Product WUXYK</v>
      </c>
      <c r="K1498" t="str">
        <f>VLOOKUP(VLOOKUP(B1498,[1]Product!A:D,4,FALSE),[1]Category!A:B,2,FALSE)</f>
        <v>Confections</v>
      </c>
      <c r="L1498" s="10">
        <f>IFERROR(VLOOKUP(A1498,'[1]Sales Order'!A:D,4,FALSE),"")</f>
        <v>39455</v>
      </c>
      <c r="M1498" s="10">
        <f>IFERROR(VLOOKUP(A1498,'[1]Sales Order'!A:F,6,FALSE),"")</f>
        <v>39463</v>
      </c>
      <c r="N1498" t="str">
        <f>IFERROR(VLOOKUP(VLOOKUP(A1498,'[1]Sales Order'!A:G,7,FALSE),[1]Shipper!A:B,2,FALSE),"Not Specified")</f>
        <v>Shipper ZHISN</v>
      </c>
      <c r="O1498" t="str">
        <f>IFERROR(VLOOKUP(A1498,'[1]Sales Order'!A:I,9,FALSE),"Not Specified")</f>
        <v>Ship to 82-B</v>
      </c>
      <c r="P1498" t="str">
        <f>IFERROR(VLOOKUP(A1498,'[1]Sales Order'!A:N,14,FALSE),"Not Specified")</f>
        <v>USA</v>
      </c>
      <c r="Q1498" t="str">
        <f>VLOOKUP(VLOOKUP(B1498,[1]Product!A:C,3,FALSE),[1]Supplier!A:B,2,FALSE)</f>
        <v>Supplier OGLRK</v>
      </c>
      <c r="R1498" t="str">
        <f>VLOOKUP(VLOOKUP(B1498,[1]Product!A:C,3,FALSE),[1]Supplier!A:I,9,FALSE)</f>
        <v>Canada</v>
      </c>
      <c r="S1498" t="str">
        <f>IFERROR(IF(VLOOKUP(A1498,'[1]Sales Order'!A:H,8,FALSE)&gt;100,"High Freight","Low Freight"),"Not Specified")</f>
        <v>Low Freight</v>
      </c>
      <c r="T1498">
        <f t="shared" si="47"/>
        <v>147.89999999999998</v>
      </c>
    </row>
    <row r="1499" spans="1:20">
      <c r="A1499" s="1">
        <v>10822</v>
      </c>
      <c r="B1499" s="2">
        <v>70</v>
      </c>
      <c r="C1499" s="2">
        <v>15</v>
      </c>
      <c r="D1499" s="2">
        <v>6</v>
      </c>
      <c r="E1499" s="3">
        <v>0</v>
      </c>
      <c r="F1499" s="2" t="str">
        <f>IFERROR(VLOOKUP(VLOOKUP(A1499,'[1]Sales Order'!A:B,2,FALSE),[1]Customer!A:C,3,FALSE),"Not Specified")</f>
        <v>Veninga, Tjeerd</v>
      </c>
      <c r="G1499" s="2" t="str">
        <f t="shared" si="46"/>
        <v>Veninga Tjeerd</v>
      </c>
      <c r="H1499" s="8" t="str">
        <f>IFERROR(VLOOKUP(VLOOKUP(A1499,'[1]Sales Order'!A:C,3,FALSE),[1]Employee!A:E,5,FALSE)&amp;" "&amp;VLOOKUP(VLOOKUP(A1499,'[1]Sales Order'!A:C,3,FALSE),[1]Employee!A:C,3,FALSE)&amp;" "&amp;VLOOKUP(VLOOKUP(A1499,'[1]Sales Order'!A:C,3,FALSE),[1]Employee!A:B,2,FALSE),"Not Specified")</f>
        <v>Mr. Paul Suurs</v>
      </c>
      <c r="I1499">
        <f>IFERROR(VLOOKUP(VLOOKUP(A1499,'[1]Sales Order'!A:C,3,FALSE),[1]Employee!A:J,10,FALSE),"Not Specified")</f>
        <v>0</v>
      </c>
      <c r="J1499" t="str">
        <f>VLOOKUP(B1499,[1]Product!A:B,2,FALSE)</f>
        <v>Product TOONT</v>
      </c>
      <c r="K1499" t="str">
        <f>VLOOKUP(VLOOKUP(B1499,[1]Product!A:D,4,FALSE),[1]Category!A:B,2,FALSE)</f>
        <v>Beverages</v>
      </c>
      <c r="L1499" s="10">
        <f>IFERROR(VLOOKUP(A1499,'[1]Sales Order'!A:D,4,FALSE),"")</f>
        <v>39455</v>
      </c>
      <c r="M1499" s="10">
        <f>IFERROR(VLOOKUP(A1499,'[1]Sales Order'!A:F,6,FALSE),"")</f>
        <v>39463</v>
      </c>
      <c r="N1499" t="str">
        <f>IFERROR(VLOOKUP(VLOOKUP(A1499,'[1]Sales Order'!A:G,7,FALSE),[1]Shipper!A:B,2,FALSE),"Not Specified")</f>
        <v>Shipper ZHISN</v>
      </c>
      <c r="O1499" t="str">
        <f>IFERROR(VLOOKUP(A1499,'[1]Sales Order'!A:I,9,FALSE),"Not Specified")</f>
        <v>Ship to 82-B</v>
      </c>
      <c r="P1499" t="str">
        <f>IFERROR(VLOOKUP(A1499,'[1]Sales Order'!A:N,14,FALSE),"Not Specified")</f>
        <v>USA</v>
      </c>
      <c r="Q1499" t="str">
        <f>VLOOKUP(VLOOKUP(B1499,[1]Product!A:C,3,FALSE),[1]Supplier!A:B,2,FALSE)</f>
        <v>Supplier GQRCV</v>
      </c>
      <c r="R1499" t="str">
        <f>VLOOKUP(VLOOKUP(B1499,[1]Product!A:C,3,FALSE),[1]Supplier!A:I,9,FALSE)</f>
        <v>Australia</v>
      </c>
      <c r="S1499" t="str">
        <f>IFERROR(IF(VLOOKUP(A1499,'[1]Sales Order'!A:H,8,FALSE)&gt;100,"High Freight","Low Freight"),"Not Specified")</f>
        <v>Low Freight</v>
      </c>
      <c r="T1499">
        <f t="shared" si="47"/>
        <v>90</v>
      </c>
    </row>
    <row r="1500" spans="1:20">
      <c r="A1500" s="1">
        <v>10823</v>
      </c>
      <c r="B1500" s="2">
        <v>11</v>
      </c>
      <c r="C1500" s="2">
        <v>21</v>
      </c>
      <c r="D1500" s="2">
        <v>20</v>
      </c>
      <c r="E1500" s="3">
        <v>0.1</v>
      </c>
      <c r="F1500" s="2" t="str">
        <f>IFERROR(VLOOKUP(VLOOKUP(A1500,'[1]Sales Order'!A:B,2,FALSE),[1]Customer!A:C,3,FALSE),"Not Specified")</f>
        <v>Dressler, Marlies</v>
      </c>
      <c r="G1500" s="2" t="str">
        <f t="shared" si="46"/>
        <v>Dressler Marlies</v>
      </c>
      <c r="H1500" s="8" t="str">
        <f>IFERROR(VLOOKUP(VLOOKUP(A1500,'[1]Sales Order'!A:C,3,FALSE),[1]Employee!A:E,5,FALSE)&amp;" "&amp;VLOOKUP(VLOOKUP(A1500,'[1]Sales Order'!A:C,3,FALSE),[1]Employee!A:C,3,FALSE)&amp;" "&amp;VLOOKUP(VLOOKUP(A1500,'[1]Sales Order'!A:C,3,FALSE),[1]Employee!A:B,2,FALSE),"Not Specified")</f>
        <v>Mr. Sven Buck</v>
      </c>
      <c r="I1500">
        <f>IFERROR(VLOOKUP(VLOOKUP(A1500,'[1]Sales Order'!A:C,3,FALSE),[1]Employee!A:J,10,FALSE),"Not Specified")</f>
        <v>0</v>
      </c>
      <c r="J1500" t="str">
        <f>VLOOKUP(B1500,[1]Product!A:B,2,FALSE)</f>
        <v>Product QMVUN</v>
      </c>
      <c r="K1500" t="str">
        <f>VLOOKUP(VLOOKUP(B1500,[1]Product!A:D,4,FALSE),[1]Category!A:B,2,FALSE)</f>
        <v>Dairy Product</v>
      </c>
      <c r="L1500" s="10">
        <f>IFERROR(VLOOKUP(A1500,'[1]Sales Order'!A:D,4,FALSE),"")</f>
        <v>39456</v>
      </c>
      <c r="M1500" s="10">
        <f>IFERROR(VLOOKUP(A1500,'[1]Sales Order'!A:F,6,FALSE),"")</f>
        <v>39460</v>
      </c>
      <c r="N1500" t="str">
        <f>IFERROR(VLOOKUP(VLOOKUP(A1500,'[1]Sales Order'!A:G,7,FALSE),[1]Shipper!A:B,2,FALSE),"Not Specified")</f>
        <v>Shipper ETYNR</v>
      </c>
      <c r="O1500" t="str">
        <f>IFERROR(VLOOKUP(A1500,'[1]Sales Order'!A:I,9,FALSE),"Not Specified")</f>
        <v>Ship to 46-A</v>
      </c>
      <c r="P1500" t="str">
        <f>IFERROR(VLOOKUP(A1500,'[1]Sales Order'!A:N,14,FALSE),"Not Specified")</f>
        <v>Venezuela</v>
      </c>
      <c r="Q1500" t="str">
        <f>VLOOKUP(VLOOKUP(B1500,[1]Product!A:C,3,FALSE),[1]Supplier!A:B,2,FALSE)</f>
        <v>Supplier EQPNC</v>
      </c>
      <c r="R1500" t="str">
        <f>VLOOKUP(VLOOKUP(B1500,[1]Product!A:C,3,FALSE),[1]Supplier!A:I,9,FALSE)</f>
        <v>Spain</v>
      </c>
      <c r="S1500" t="str">
        <f>IFERROR(IF(VLOOKUP(A1500,'[1]Sales Order'!A:H,8,FALSE)&gt;100,"High Freight","Low Freight"),"Not Specified")</f>
        <v>High Freight</v>
      </c>
      <c r="T1500">
        <f t="shared" si="47"/>
        <v>378</v>
      </c>
    </row>
    <row r="1501" spans="1:20">
      <c r="A1501" s="1">
        <v>10823</v>
      </c>
      <c r="B1501" s="2">
        <v>57</v>
      </c>
      <c r="C1501" s="2">
        <v>19.5</v>
      </c>
      <c r="D1501" s="2">
        <v>15</v>
      </c>
      <c r="E1501" s="3">
        <v>0</v>
      </c>
      <c r="F1501" s="2" t="str">
        <f>IFERROR(VLOOKUP(VLOOKUP(A1501,'[1]Sales Order'!A:B,2,FALSE),[1]Customer!A:C,3,FALSE),"Not Specified")</f>
        <v>Dressler, Marlies</v>
      </c>
      <c r="G1501" s="2" t="str">
        <f t="shared" si="46"/>
        <v>Dressler Marlies</v>
      </c>
      <c r="H1501" s="8" t="str">
        <f>IFERROR(VLOOKUP(VLOOKUP(A1501,'[1]Sales Order'!A:C,3,FALSE),[1]Employee!A:E,5,FALSE)&amp;" "&amp;VLOOKUP(VLOOKUP(A1501,'[1]Sales Order'!A:C,3,FALSE),[1]Employee!A:C,3,FALSE)&amp;" "&amp;VLOOKUP(VLOOKUP(A1501,'[1]Sales Order'!A:C,3,FALSE),[1]Employee!A:B,2,FALSE),"Not Specified")</f>
        <v>Mr. Sven Buck</v>
      </c>
      <c r="I1501">
        <f>IFERROR(VLOOKUP(VLOOKUP(A1501,'[1]Sales Order'!A:C,3,FALSE),[1]Employee!A:J,10,FALSE),"Not Specified")</f>
        <v>0</v>
      </c>
      <c r="J1501" t="str">
        <f>VLOOKUP(B1501,[1]Product!A:B,2,FALSE)</f>
        <v>Product OVLQI</v>
      </c>
      <c r="K1501" t="str">
        <f>VLOOKUP(VLOOKUP(B1501,[1]Product!A:D,4,FALSE),[1]Category!A:B,2,FALSE)</f>
        <v>Grains/Cereals</v>
      </c>
      <c r="L1501" s="10">
        <f>IFERROR(VLOOKUP(A1501,'[1]Sales Order'!A:D,4,FALSE),"")</f>
        <v>39456</v>
      </c>
      <c r="M1501" s="10">
        <f>IFERROR(VLOOKUP(A1501,'[1]Sales Order'!A:F,6,FALSE),"")</f>
        <v>39460</v>
      </c>
      <c r="N1501" t="str">
        <f>IFERROR(VLOOKUP(VLOOKUP(A1501,'[1]Sales Order'!A:G,7,FALSE),[1]Shipper!A:B,2,FALSE),"Not Specified")</f>
        <v>Shipper ETYNR</v>
      </c>
      <c r="O1501" t="str">
        <f>IFERROR(VLOOKUP(A1501,'[1]Sales Order'!A:I,9,FALSE),"Not Specified")</f>
        <v>Ship to 46-A</v>
      </c>
      <c r="P1501" t="str">
        <f>IFERROR(VLOOKUP(A1501,'[1]Sales Order'!A:N,14,FALSE),"Not Specified")</f>
        <v>Venezuela</v>
      </c>
      <c r="Q1501" t="str">
        <f>VLOOKUP(VLOOKUP(B1501,[1]Product!A:C,3,FALSE),[1]Supplier!A:B,2,FALSE)</f>
        <v>Supplier ZWZDM</v>
      </c>
      <c r="R1501" t="str">
        <f>VLOOKUP(VLOOKUP(B1501,[1]Product!A:C,3,FALSE),[1]Supplier!A:I,9,FALSE)</f>
        <v>Italy</v>
      </c>
      <c r="S1501" t="str">
        <f>IFERROR(IF(VLOOKUP(A1501,'[1]Sales Order'!A:H,8,FALSE)&gt;100,"High Freight","Low Freight"),"Not Specified")</f>
        <v>High Freight</v>
      </c>
      <c r="T1501">
        <f t="shared" si="47"/>
        <v>292.5</v>
      </c>
    </row>
    <row r="1502" spans="1:20">
      <c r="A1502" s="1">
        <v>10823</v>
      </c>
      <c r="B1502" s="2">
        <v>59</v>
      </c>
      <c r="C1502" s="2">
        <v>55</v>
      </c>
      <c r="D1502" s="2">
        <v>40</v>
      </c>
      <c r="E1502" s="3">
        <v>0.1</v>
      </c>
      <c r="F1502" s="2" t="str">
        <f>IFERROR(VLOOKUP(VLOOKUP(A1502,'[1]Sales Order'!A:B,2,FALSE),[1]Customer!A:C,3,FALSE),"Not Specified")</f>
        <v>Dressler, Marlies</v>
      </c>
      <c r="G1502" s="2" t="str">
        <f t="shared" si="46"/>
        <v>Dressler Marlies</v>
      </c>
      <c r="H1502" s="8" t="str">
        <f>IFERROR(VLOOKUP(VLOOKUP(A1502,'[1]Sales Order'!A:C,3,FALSE),[1]Employee!A:E,5,FALSE)&amp;" "&amp;VLOOKUP(VLOOKUP(A1502,'[1]Sales Order'!A:C,3,FALSE),[1]Employee!A:C,3,FALSE)&amp;" "&amp;VLOOKUP(VLOOKUP(A1502,'[1]Sales Order'!A:C,3,FALSE),[1]Employee!A:B,2,FALSE),"Not Specified")</f>
        <v>Mr. Sven Buck</v>
      </c>
      <c r="I1502">
        <f>IFERROR(VLOOKUP(VLOOKUP(A1502,'[1]Sales Order'!A:C,3,FALSE),[1]Employee!A:J,10,FALSE),"Not Specified")</f>
        <v>0</v>
      </c>
      <c r="J1502" t="str">
        <f>VLOOKUP(B1502,[1]Product!A:B,2,FALSE)</f>
        <v>Product UKXRI</v>
      </c>
      <c r="K1502" t="str">
        <f>VLOOKUP(VLOOKUP(B1502,[1]Product!A:D,4,FALSE),[1]Category!A:B,2,FALSE)</f>
        <v>Dairy Product</v>
      </c>
      <c r="L1502" s="10">
        <f>IFERROR(VLOOKUP(A1502,'[1]Sales Order'!A:D,4,FALSE),"")</f>
        <v>39456</v>
      </c>
      <c r="M1502" s="10">
        <f>IFERROR(VLOOKUP(A1502,'[1]Sales Order'!A:F,6,FALSE),"")</f>
        <v>39460</v>
      </c>
      <c r="N1502" t="str">
        <f>IFERROR(VLOOKUP(VLOOKUP(A1502,'[1]Sales Order'!A:G,7,FALSE),[1]Shipper!A:B,2,FALSE),"Not Specified")</f>
        <v>Shipper ETYNR</v>
      </c>
      <c r="O1502" t="str">
        <f>IFERROR(VLOOKUP(A1502,'[1]Sales Order'!A:I,9,FALSE),"Not Specified")</f>
        <v>Ship to 46-A</v>
      </c>
      <c r="P1502" t="str">
        <f>IFERROR(VLOOKUP(A1502,'[1]Sales Order'!A:N,14,FALSE),"Not Specified")</f>
        <v>Venezuela</v>
      </c>
      <c r="Q1502" t="str">
        <f>VLOOKUP(VLOOKUP(B1502,[1]Product!A:C,3,FALSE),[1]Supplier!A:B,2,FALSE)</f>
        <v>Supplier OAVQT</v>
      </c>
      <c r="R1502" t="str">
        <f>VLOOKUP(VLOOKUP(B1502,[1]Product!A:C,3,FALSE),[1]Supplier!A:I,9,FALSE)</f>
        <v>France</v>
      </c>
      <c r="S1502" t="str">
        <f>IFERROR(IF(VLOOKUP(A1502,'[1]Sales Order'!A:H,8,FALSE)&gt;100,"High Freight","Low Freight"),"Not Specified")</f>
        <v>High Freight</v>
      </c>
      <c r="T1502">
        <f t="shared" si="47"/>
        <v>1980</v>
      </c>
    </row>
    <row r="1503" spans="1:20">
      <c r="A1503" s="1">
        <v>10823</v>
      </c>
      <c r="B1503" s="2">
        <v>77</v>
      </c>
      <c r="C1503" s="2">
        <v>13</v>
      </c>
      <c r="D1503" s="2">
        <v>15</v>
      </c>
      <c r="E1503" s="3">
        <v>0.1</v>
      </c>
      <c r="F1503" s="2" t="str">
        <f>IFERROR(VLOOKUP(VLOOKUP(A1503,'[1]Sales Order'!A:B,2,FALSE),[1]Customer!A:C,3,FALSE),"Not Specified")</f>
        <v>Dressler, Marlies</v>
      </c>
      <c r="G1503" s="2" t="str">
        <f t="shared" si="46"/>
        <v>Dressler Marlies</v>
      </c>
      <c r="H1503" s="8" t="str">
        <f>IFERROR(VLOOKUP(VLOOKUP(A1503,'[1]Sales Order'!A:C,3,FALSE),[1]Employee!A:E,5,FALSE)&amp;" "&amp;VLOOKUP(VLOOKUP(A1503,'[1]Sales Order'!A:C,3,FALSE),[1]Employee!A:C,3,FALSE)&amp;" "&amp;VLOOKUP(VLOOKUP(A1503,'[1]Sales Order'!A:C,3,FALSE),[1]Employee!A:B,2,FALSE),"Not Specified")</f>
        <v>Mr. Sven Buck</v>
      </c>
      <c r="I1503">
        <f>IFERROR(VLOOKUP(VLOOKUP(A1503,'[1]Sales Order'!A:C,3,FALSE),[1]Employee!A:J,10,FALSE),"Not Specified")</f>
        <v>0</v>
      </c>
      <c r="J1503" t="str">
        <f>VLOOKUP(B1503,[1]Product!A:B,2,FALSE)</f>
        <v>Product LUNZZ</v>
      </c>
      <c r="K1503" t="str">
        <f>VLOOKUP(VLOOKUP(B1503,[1]Product!A:D,4,FALSE),[1]Category!A:B,2,FALSE)</f>
        <v>Condiments</v>
      </c>
      <c r="L1503" s="10">
        <f>IFERROR(VLOOKUP(A1503,'[1]Sales Order'!A:D,4,FALSE),"")</f>
        <v>39456</v>
      </c>
      <c r="M1503" s="10">
        <f>IFERROR(VLOOKUP(A1503,'[1]Sales Order'!A:F,6,FALSE),"")</f>
        <v>39460</v>
      </c>
      <c r="N1503" t="str">
        <f>IFERROR(VLOOKUP(VLOOKUP(A1503,'[1]Sales Order'!A:G,7,FALSE),[1]Shipper!A:B,2,FALSE),"Not Specified")</f>
        <v>Shipper ETYNR</v>
      </c>
      <c r="O1503" t="str">
        <f>IFERROR(VLOOKUP(A1503,'[1]Sales Order'!A:I,9,FALSE),"Not Specified")</f>
        <v>Ship to 46-A</v>
      </c>
      <c r="P1503" t="str">
        <f>IFERROR(VLOOKUP(A1503,'[1]Sales Order'!A:N,14,FALSE),"Not Specified")</f>
        <v>Venezuela</v>
      </c>
      <c r="Q1503" t="str">
        <f>VLOOKUP(VLOOKUP(B1503,[1]Product!A:C,3,FALSE),[1]Supplier!A:B,2,FALSE)</f>
        <v>Supplier SVIYA</v>
      </c>
      <c r="R1503" t="str">
        <f>VLOOKUP(VLOOKUP(B1503,[1]Product!A:C,3,FALSE),[1]Supplier!A:I,9,FALSE)</f>
        <v>Germany</v>
      </c>
      <c r="S1503" t="str">
        <f>IFERROR(IF(VLOOKUP(A1503,'[1]Sales Order'!A:H,8,FALSE)&gt;100,"High Freight","Low Freight"),"Not Specified")</f>
        <v>High Freight</v>
      </c>
      <c r="T1503">
        <f t="shared" si="47"/>
        <v>175.5</v>
      </c>
    </row>
    <row r="1504" spans="1:20">
      <c r="A1504" s="1">
        <v>10824</v>
      </c>
      <c r="B1504" s="2">
        <v>41</v>
      </c>
      <c r="C1504" s="2">
        <v>9.65</v>
      </c>
      <c r="D1504" s="2">
        <v>12</v>
      </c>
      <c r="E1504" s="3">
        <v>0</v>
      </c>
      <c r="F1504" s="2" t="str">
        <f>IFERROR(VLOOKUP(VLOOKUP(A1504,'[1]Sales Order'!A:B,2,FALSE),[1]Customer!A:C,3,FALSE),"Not Specified")</f>
        <v>San Juan, Patricia</v>
      </c>
      <c r="G1504" s="2" t="str">
        <f t="shared" si="46"/>
        <v>San Juan Patricia</v>
      </c>
      <c r="H1504" s="8" t="str">
        <f>IFERROR(VLOOKUP(VLOOKUP(A1504,'[1]Sales Order'!A:C,3,FALSE),[1]Employee!A:E,5,FALSE)&amp;" "&amp;VLOOKUP(VLOOKUP(A1504,'[1]Sales Order'!A:C,3,FALSE),[1]Employee!A:C,3,FALSE)&amp;" "&amp;VLOOKUP(VLOOKUP(A1504,'[1]Sales Order'!A:C,3,FALSE),[1]Employee!A:B,2,FALSE),"Not Specified")</f>
        <v>Ms. Maria Cameron</v>
      </c>
      <c r="I1504" t="str">
        <f>IFERROR(VLOOKUP(VLOOKUP(A1504,'[1]Sales Order'!A:C,3,FALSE),[1]Employee!A:J,10,FALSE),"Not Specified")</f>
        <v>WA</v>
      </c>
      <c r="J1504" t="str">
        <f>VLOOKUP(B1504,[1]Product!A:B,2,FALSE)</f>
        <v>Product TTEEX</v>
      </c>
      <c r="K1504" t="str">
        <f>VLOOKUP(VLOOKUP(B1504,[1]Product!A:D,4,FALSE),[1]Category!A:B,2,FALSE)</f>
        <v>Seafood</v>
      </c>
      <c r="L1504" s="10">
        <f>IFERROR(VLOOKUP(A1504,'[1]Sales Order'!A:D,4,FALSE),"")</f>
        <v>39456</v>
      </c>
      <c r="M1504" s="10">
        <f>IFERROR(VLOOKUP(A1504,'[1]Sales Order'!A:F,6,FALSE),"")</f>
        <v>39477</v>
      </c>
      <c r="N1504" t="str">
        <f>IFERROR(VLOOKUP(VLOOKUP(A1504,'[1]Sales Order'!A:G,7,FALSE),[1]Shipper!A:B,2,FALSE),"Not Specified")</f>
        <v>Shipper GVSUA</v>
      </c>
      <c r="O1504" t="str">
        <f>IFERROR(VLOOKUP(A1504,'[1]Sales Order'!A:I,9,FALSE),"Not Specified")</f>
        <v>Destination NCKKO</v>
      </c>
      <c r="P1504" t="str">
        <f>IFERROR(VLOOKUP(A1504,'[1]Sales Order'!A:N,14,FALSE),"Not Specified")</f>
        <v>Sweden</v>
      </c>
      <c r="Q1504" t="str">
        <f>VLOOKUP(VLOOKUP(B1504,[1]Product!A:C,3,FALSE),[1]Supplier!A:B,2,FALSE)</f>
        <v>Supplier JDNUG</v>
      </c>
      <c r="R1504" t="str">
        <f>VLOOKUP(VLOOKUP(B1504,[1]Product!A:C,3,FALSE),[1]Supplier!A:I,9,FALSE)</f>
        <v>USA</v>
      </c>
      <c r="S1504" t="str">
        <f>IFERROR(IF(VLOOKUP(A1504,'[1]Sales Order'!A:H,8,FALSE)&gt;100,"High Freight","Low Freight"),"Not Specified")</f>
        <v>Low Freight</v>
      </c>
      <c r="T1504">
        <f t="shared" si="47"/>
        <v>115.80000000000001</v>
      </c>
    </row>
    <row r="1505" spans="1:20">
      <c r="A1505" s="1">
        <v>10824</v>
      </c>
      <c r="B1505" s="2">
        <v>70</v>
      </c>
      <c r="C1505" s="2">
        <v>15</v>
      </c>
      <c r="D1505" s="2">
        <v>9</v>
      </c>
      <c r="E1505" s="3">
        <v>0</v>
      </c>
      <c r="F1505" s="2" t="str">
        <f>IFERROR(VLOOKUP(VLOOKUP(A1505,'[1]Sales Order'!A:B,2,FALSE),[1]Customer!A:C,3,FALSE),"Not Specified")</f>
        <v>San Juan, Patricia</v>
      </c>
      <c r="G1505" s="2" t="str">
        <f t="shared" si="46"/>
        <v>San Juan Patricia</v>
      </c>
      <c r="H1505" s="8" t="str">
        <f>IFERROR(VLOOKUP(VLOOKUP(A1505,'[1]Sales Order'!A:C,3,FALSE),[1]Employee!A:E,5,FALSE)&amp;" "&amp;VLOOKUP(VLOOKUP(A1505,'[1]Sales Order'!A:C,3,FALSE),[1]Employee!A:C,3,FALSE)&amp;" "&amp;VLOOKUP(VLOOKUP(A1505,'[1]Sales Order'!A:C,3,FALSE),[1]Employee!A:B,2,FALSE),"Not Specified")</f>
        <v>Ms. Maria Cameron</v>
      </c>
      <c r="I1505" t="str">
        <f>IFERROR(VLOOKUP(VLOOKUP(A1505,'[1]Sales Order'!A:C,3,FALSE),[1]Employee!A:J,10,FALSE),"Not Specified")</f>
        <v>WA</v>
      </c>
      <c r="J1505" t="str">
        <f>VLOOKUP(B1505,[1]Product!A:B,2,FALSE)</f>
        <v>Product TOONT</v>
      </c>
      <c r="K1505" t="str">
        <f>VLOOKUP(VLOOKUP(B1505,[1]Product!A:D,4,FALSE),[1]Category!A:B,2,FALSE)</f>
        <v>Beverages</v>
      </c>
      <c r="L1505" s="10">
        <f>IFERROR(VLOOKUP(A1505,'[1]Sales Order'!A:D,4,FALSE),"")</f>
        <v>39456</v>
      </c>
      <c r="M1505" s="10">
        <f>IFERROR(VLOOKUP(A1505,'[1]Sales Order'!A:F,6,FALSE),"")</f>
        <v>39477</v>
      </c>
      <c r="N1505" t="str">
        <f>IFERROR(VLOOKUP(VLOOKUP(A1505,'[1]Sales Order'!A:G,7,FALSE),[1]Shipper!A:B,2,FALSE),"Not Specified")</f>
        <v>Shipper GVSUA</v>
      </c>
      <c r="O1505" t="str">
        <f>IFERROR(VLOOKUP(A1505,'[1]Sales Order'!A:I,9,FALSE),"Not Specified")</f>
        <v>Destination NCKKO</v>
      </c>
      <c r="P1505" t="str">
        <f>IFERROR(VLOOKUP(A1505,'[1]Sales Order'!A:N,14,FALSE),"Not Specified")</f>
        <v>Sweden</v>
      </c>
      <c r="Q1505" t="str">
        <f>VLOOKUP(VLOOKUP(B1505,[1]Product!A:C,3,FALSE),[1]Supplier!A:B,2,FALSE)</f>
        <v>Supplier GQRCV</v>
      </c>
      <c r="R1505" t="str">
        <f>VLOOKUP(VLOOKUP(B1505,[1]Product!A:C,3,FALSE),[1]Supplier!A:I,9,FALSE)</f>
        <v>Australia</v>
      </c>
      <c r="S1505" t="str">
        <f>IFERROR(IF(VLOOKUP(A1505,'[1]Sales Order'!A:H,8,FALSE)&gt;100,"High Freight","Low Freight"),"Not Specified")</f>
        <v>Low Freight</v>
      </c>
      <c r="T1505">
        <f t="shared" si="47"/>
        <v>135</v>
      </c>
    </row>
    <row r="1506" spans="1:20">
      <c r="A1506" s="1">
        <v>10825</v>
      </c>
      <c r="B1506" s="2">
        <v>26</v>
      </c>
      <c r="C1506" s="2">
        <v>31.23</v>
      </c>
      <c r="D1506" s="2">
        <v>12</v>
      </c>
      <c r="E1506" s="3">
        <v>0</v>
      </c>
      <c r="F1506" s="2" t="str">
        <f>IFERROR(VLOOKUP(VLOOKUP(A1506,'[1]Sales Order'!A:B,2,FALSE),[1]Customer!A:C,3,FALSE),"Not Specified")</f>
        <v>Jones, TiAnna</v>
      </c>
      <c r="G1506" s="2" t="str">
        <f t="shared" si="46"/>
        <v>Jones TiAnna</v>
      </c>
      <c r="H1506" s="8" t="str">
        <f>IFERROR(VLOOKUP(VLOOKUP(A1506,'[1]Sales Order'!A:C,3,FALSE),[1]Employee!A:E,5,FALSE)&amp;" "&amp;VLOOKUP(VLOOKUP(A1506,'[1]Sales Order'!A:C,3,FALSE),[1]Employee!A:C,3,FALSE)&amp;" "&amp;VLOOKUP(VLOOKUP(A1506,'[1]Sales Order'!A:C,3,FALSE),[1]Employee!A:B,2,FALSE),"Not Specified")</f>
        <v>Ms. Sara Davis</v>
      </c>
      <c r="I1506" t="str">
        <f>IFERROR(VLOOKUP(VLOOKUP(A1506,'[1]Sales Order'!A:C,3,FALSE),[1]Employee!A:J,10,FALSE),"Not Specified")</f>
        <v>WA</v>
      </c>
      <c r="J1506" t="str">
        <f>VLOOKUP(B1506,[1]Product!A:B,2,FALSE)</f>
        <v>Product HLGZA</v>
      </c>
      <c r="K1506" t="str">
        <f>VLOOKUP(VLOOKUP(B1506,[1]Product!A:D,4,FALSE),[1]Category!A:B,2,FALSE)</f>
        <v>Confections</v>
      </c>
      <c r="L1506" s="10">
        <f>IFERROR(VLOOKUP(A1506,'[1]Sales Order'!A:D,4,FALSE),"")</f>
        <v>39456</v>
      </c>
      <c r="M1506" s="10">
        <f>IFERROR(VLOOKUP(A1506,'[1]Sales Order'!A:F,6,FALSE),"")</f>
        <v>39461</v>
      </c>
      <c r="N1506" t="str">
        <f>IFERROR(VLOOKUP(VLOOKUP(A1506,'[1]Sales Order'!A:G,7,FALSE),[1]Shipper!A:B,2,FALSE),"Not Specified")</f>
        <v>Shipper GVSUA</v>
      </c>
      <c r="O1506" t="str">
        <f>IFERROR(VLOOKUP(A1506,'[1]Sales Order'!A:I,9,FALSE),"Not Specified")</f>
        <v>Destination BJCXA</v>
      </c>
      <c r="P1506" t="str">
        <f>IFERROR(VLOOKUP(A1506,'[1]Sales Order'!A:N,14,FALSE),"Not Specified")</f>
        <v>Germany</v>
      </c>
      <c r="Q1506" t="str">
        <f>VLOOKUP(VLOOKUP(B1506,[1]Product!A:C,3,FALSE),[1]Supplier!A:B,2,FALSE)</f>
        <v>Supplier ZPYVS</v>
      </c>
      <c r="R1506" t="str">
        <f>VLOOKUP(VLOOKUP(B1506,[1]Product!A:C,3,FALSE),[1]Supplier!A:I,9,FALSE)</f>
        <v>Germany</v>
      </c>
      <c r="S1506" t="str">
        <f>IFERROR(IF(VLOOKUP(A1506,'[1]Sales Order'!A:H,8,FALSE)&gt;100,"High Freight","Low Freight"),"Not Specified")</f>
        <v>Low Freight</v>
      </c>
      <c r="T1506">
        <f t="shared" si="47"/>
        <v>374.76</v>
      </c>
    </row>
    <row r="1507" spans="1:20">
      <c r="A1507" s="1">
        <v>10825</v>
      </c>
      <c r="B1507" s="2">
        <v>53</v>
      </c>
      <c r="C1507" s="2">
        <v>32.799999999999997</v>
      </c>
      <c r="D1507" s="2">
        <v>20</v>
      </c>
      <c r="E1507" s="3">
        <v>0</v>
      </c>
      <c r="F1507" s="2" t="str">
        <f>IFERROR(VLOOKUP(VLOOKUP(A1507,'[1]Sales Order'!A:B,2,FALSE),[1]Customer!A:C,3,FALSE),"Not Specified")</f>
        <v>Jones, TiAnna</v>
      </c>
      <c r="G1507" s="2" t="str">
        <f t="shared" si="46"/>
        <v>Jones TiAnna</v>
      </c>
      <c r="H1507" s="8" t="str">
        <f>IFERROR(VLOOKUP(VLOOKUP(A1507,'[1]Sales Order'!A:C,3,FALSE),[1]Employee!A:E,5,FALSE)&amp;" "&amp;VLOOKUP(VLOOKUP(A1507,'[1]Sales Order'!A:C,3,FALSE),[1]Employee!A:C,3,FALSE)&amp;" "&amp;VLOOKUP(VLOOKUP(A1507,'[1]Sales Order'!A:C,3,FALSE),[1]Employee!A:B,2,FALSE),"Not Specified")</f>
        <v>Ms. Sara Davis</v>
      </c>
      <c r="I1507" t="str">
        <f>IFERROR(VLOOKUP(VLOOKUP(A1507,'[1]Sales Order'!A:C,3,FALSE),[1]Employee!A:J,10,FALSE),"Not Specified")</f>
        <v>WA</v>
      </c>
      <c r="J1507" t="str">
        <f>VLOOKUP(B1507,[1]Product!A:B,2,FALSE)</f>
        <v>Product BKGEA</v>
      </c>
      <c r="K1507" t="str">
        <f>VLOOKUP(VLOOKUP(B1507,[1]Product!A:D,4,FALSE),[1]Category!A:B,2,FALSE)</f>
        <v>Meat/Poultry</v>
      </c>
      <c r="L1507" s="10">
        <f>IFERROR(VLOOKUP(A1507,'[1]Sales Order'!A:D,4,FALSE),"")</f>
        <v>39456</v>
      </c>
      <c r="M1507" s="10">
        <f>IFERROR(VLOOKUP(A1507,'[1]Sales Order'!A:F,6,FALSE),"")</f>
        <v>39461</v>
      </c>
      <c r="N1507" t="str">
        <f>IFERROR(VLOOKUP(VLOOKUP(A1507,'[1]Sales Order'!A:G,7,FALSE),[1]Shipper!A:B,2,FALSE),"Not Specified")</f>
        <v>Shipper GVSUA</v>
      </c>
      <c r="O1507" t="str">
        <f>IFERROR(VLOOKUP(A1507,'[1]Sales Order'!A:I,9,FALSE),"Not Specified")</f>
        <v>Destination BJCXA</v>
      </c>
      <c r="P1507" t="str">
        <f>IFERROR(VLOOKUP(A1507,'[1]Sales Order'!A:N,14,FALSE),"Not Specified")</f>
        <v>Germany</v>
      </c>
      <c r="Q1507" t="str">
        <f>VLOOKUP(VLOOKUP(B1507,[1]Product!A:C,3,FALSE),[1]Supplier!A:B,2,FALSE)</f>
        <v>Supplier JNNES</v>
      </c>
      <c r="R1507" t="str">
        <f>VLOOKUP(VLOOKUP(B1507,[1]Product!A:C,3,FALSE),[1]Supplier!A:I,9,FALSE)</f>
        <v>Australia</v>
      </c>
      <c r="S1507" t="str">
        <f>IFERROR(IF(VLOOKUP(A1507,'[1]Sales Order'!A:H,8,FALSE)&gt;100,"High Freight","Low Freight"),"Not Specified")</f>
        <v>Low Freight</v>
      </c>
      <c r="T1507">
        <f t="shared" si="47"/>
        <v>656</v>
      </c>
    </row>
    <row r="1508" spans="1:20">
      <c r="A1508" s="1">
        <v>10826</v>
      </c>
      <c r="B1508" s="2">
        <v>31</v>
      </c>
      <c r="C1508" s="2">
        <v>12.5</v>
      </c>
      <c r="D1508" s="2">
        <v>35</v>
      </c>
      <c r="E1508" s="3">
        <v>0</v>
      </c>
      <c r="F1508" s="2" t="str">
        <f>IFERROR(VLOOKUP(VLOOKUP(A1508,'[1]Sales Order'!A:B,2,FALSE),[1]Customer!A:C,3,FALSE),"Not Specified")</f>
        <v>Bansal, Dushyant</v>
      </c>
      <c r="G1508" s="2" t="str">
        <f t="shared" si="46"/>
        <v>Bansal Dushyant</v>
      </c>
      <c r="H1508" s="8" t="str">
        <f>IFERROR(VLOOKUP(VLOOKUP(A1508,'[1]Sales Order'!A:C,3,FALSE),[1]Employee!A:E,5,FALSE)&amp;" "&amp;VLOOKUP(VLOOKUP(A1508,'[1]Sales Order'!A:C,3,FALSE),[1]Employee!A:C,3,FALSE)&amp;" "&amp;VLOOKUP(VLOOKUP(A1508,'[1]Sales Order'!A:C,3,FALSE),[1]Employee!A:B,2,FALSE),"Not Specified")</f>
        <v>Mr. Paul Suurs</v>
      </c>
      <c r="I1508">
        <f>IFERROR(VLOOKUP(VLOOKUP(A1508,'[1]Sales Order'!A:C,3,FALSE),[1]Employee!A:J,10,FALSE),"Not Specified")</f>
        <v>0</v>
      </c>
      <c r="J1508" t="str">
        <f>VLOOKUP(B1508,[1]Product!A:B,2,FALSE)</f>
        <v>Product XWOXC</v>
      </c>
      <c r="K1508" t="str">
        <f>VLOOKUP(VLOOKUP(B1508,[1]Product!A:D,4,FALSE),[1]Category!A:B,2,FALSE)</f>
        <v>Dairy Product</v>
      </c>
      <c r="L1508" s="10">
        <f>IFERROR(VLOOKUP(A1508,'[1]Sales Order'!A:D,4,FALSE),"")</f>
        <v>39459</v>
      </c>
      <c r="M1508" s="10">
        <f>IFERROR(VLOOKUP(A1508,'[1]Sales Order'!A:F,6,FALSE),"")</f>
        <v>39484</v>
      </c>
      <c r="N1508" t="str">
        <f>IFERROR(VLOOKUP(VLOOKUP(A1508,'[1]Sales Order'!A:G,7,FALSE),[1]Shipper!A:B,2,FALSE),"Not Specified")</f>
        <v>Shipper GVSUA</v>
      </c>
      <c r="O1508" t="str">
        <f>IFERROR(VLOOKUP(A1508,'[1]Sales Order'!A:I,9,FALSE),"Not Specified")</f>
        <v>Ship to 7-C</v>
      </c>
      <c r="P1508" t="str">
        <f>IFERROR(VLOOKUP(A1508,'[1]Sales Order'!A:N,14,FALSE),"Not Specified")</f>
        <v>France</v>
      </c>
      <c r="Q1508" t="str">
        <f>VLOOKUP(VLOOKUP(B1508,[1]Product!A:C,3,FALSE),[1]Supplier!A:B,2,FALSE)</f>
        <v>Supplier KEREV</v>
      </c>
      <c r="R1508" t="str">
        <f>VLOOKUP(VLOOKUP(B1508,[1]Product!A:C,3,FALSE),[1]Supplier!A:I,9,FALSE)</f>
        <v>Italy</v>
      </c>
      <c r="S1508" t="str">
        <f>IFERROR(IF(VLOOKUP(A1508,'[1]Sales Order'!A:H,8,FALSE)&gt;100,"High Freight","Low Freight"),"Not Specified")</f>
        <v>Low Freight</v>
      </c>
      <c r="T1508">
        <f t="shared" si="47"/>
        <v>437.5</v>
      </c>
    </row>
    <row r="1509" spans="1:20">
      <c r="A1509" s="1">
        <v>10826</v>
      </c>
      <c r="B1509" s="2">
        <v>57</v>
      </c>
      <c r="C1509" s="2">
        <v>19.5</v>
      </c>
      <c r="D1509" s="2">
        <v>15</v>
      </c>
      <c r="E1509" s="3">
        <v>0</v>
      </c>
      <c r="F1509" s="2" t="str">
        <f>IFERROR(VLOOKUP(VLOOKUP(A1509,'[1]Sales Order'!A:B,2,FALSE),[1]Customer!A:C,3,FALSE),"Not Specified")</f>
        <v>Bansal, Dushyant</v>
      </c>
      <c r="G1509" s="2" t="str">
        <f t="shared" si="46"/>
        <v>Bansal Dushyant</v>
      </c>
      <c r="H1509" s="8" t="str">
        <f>IFERROR(VLOOKUP(VLOOKUP(A1509,'[1]Sales Order'!A:C,3,FALSE),[1]Employee!A:E,5,FALSE)&amp;" "&amp;VLOOKUP(VLOOKUP(A1509,'[1]Sales Order'!A:C,3,FALSE),[1]Employee!A:C,3,FALSE)&amp;" "&amp;VLOOKUP(VLOOKUP(A1509,'[1]Sales Order'!A:C,3,FALSE),[1]Employee!A:B,2,FALSE),"Not Specified")</f>
        <v>Mr. Paul Suurs</v>
      </c>
      <c r="I1509">
        <f>IFERROR(VLOOKUP(VLOOKUP(A1509,'[1]Sales Order'!A:C,3,FALSE),[1]Employee!A:J,10,FALSE),"Not Specified")</f>
        <v>0</v>
      </c>
      <c r="J1509" t="str">
        <f>VLOOKUP(B1509,[1]Product!A:B,2,FALSE)</f>
        <v>Product OVLQI</v>
      </c>
      <c r="K1509" t="str">
        <f>VLOOKUP(VLOOKUP(B1509,[1]Product!A:D,4,FALSE),[1]Category!A:B,2,FALSE)</f>
        <v>Grains/Cereals</v>
      </c>
      <c r="L1509" s="10">
        <f>IFERROR(VLOOKUP(A1509,'[1]Sales Order'!A:D,4,FALSE),"")</f>
        <v>39459</v>
      </c>
      <c r="M1509" s="10">
        <f>IFERROR(VLOOKUP(A1509,'[1]Sales Order'!A:F,6,FALSE),"")</f>
        <v>39484</v>
      </c>
      <c r="N1509" t="str">
        <f>IFERROR(VLOOKUP(VLOOKUP(A1509,'[1]Sales Order'!A:G,7,FALSE),[1]Shipper!A:B,2,FALSE),"Not Specified")</f>
        <v>Shipper GVSUA</v>
      </c>
      <c r="O1509" t="str">
        <f>IFERROR(VLOOKUP(A1509,'[1]Sales Order'!A:I,9,FALSE),"Not Specified")</f>
        <v>Ship to 7-C</v>
      </c>
      <c r="P1509" t="str">
        <f>IFERROR(VLOOKUP(A1509,'[1]Sales Order'!A:N,14,FALSE),"Not Specified")</f>
        <v>France</v>
      </c>
      <c r="Q1509" t="str">
        <f>VLOOKUP(VLOOKUP(B1509,[1]Product!A:C,3,FALSE),[1]Supplier!A:B,2,FALSE)</f>
        <v>Supplier ZWZDM</v>
      </c>
      <c r="R1509" t="str">
        <f>VLOOKUP(VLOOKUP(B1509,[1]Product!A:C,3,FALSE),[1]Supplier!A:I,9,FALSE)</f>
        <v>Italy</v>
      </c>
      <c r="S1509" t="str">
        <f>IFERROR(IF(VLOOKUP(A1509,'[1]Sales Order'!A:H,8,FALSE)&gt;100,"High Freight","Low Freight"),"Not Specified")</f>
        <v>Low Freight</v>
      </c>
      <c r="T1509">
        <f t="shared" si="47"/>
        <v>292.5</v>
      </c>
    </row>
    <row r="1510" spans="1:20">
      <c r="A1510" s="1">
        <v>10827</v>
      </c>
      <c r="B1510" s="2">
        <v>10</v>
      </c>
      <c r="C1510" s="2">
        <v>31</v>
      </c>
      <c r="D1510" s="2">
        <v>15</v>
      </c>
      <c r="E1510" s="3">
        <v>0</v>
      </c>
      <c r="F1510" s="2" t="str">
        <f>IFERROR(VLOOKUP(VLOOKUP(A1510,'[1]Sales Order'!A:B,2,FALSE),[1]Customer!A:C,3,FALSE),"Not Specified")</f>
        <v>Raghav, Amritansh</v>
      </c>
      <c r="G1510" s="2" t="str">
        <f t="shared" si="46"/>
        <v>Raghav Amritansh</v>
      </c>
      <c r="H1510" s="8" t="str">
        <f>IFERROR(VLOOKUP(VLOOKUP(A1510,'[1]Sales Order'!A:C,3,FALSE),[1]Employee!A:E,5,FALSE)&amp;" "&amp;VLOOKUP(VLOOKUP(A1510,'[1]Sales Order'!A:C,3,FALSE),[1]Employee!A:C,3,FALSE)&amp;" "&amp;VLOOKUP(VLOOKUP(A1510,'[1]Sales Order'!A:C,3,FALSE),[1]Employee!A:B,2,FALSE),"Not Specified")</f>
        <v>Ms. Sara Davis</v>
      </c>
      <c r="I1510" t="str">
        <f>IFERROR(VLOOKUP(VLOOKUP(A1510,'[1]Sales Order'!A:C,3,FALSE),[1]Employee!A:J,10,FALSE),"Not Specified")</f>
        <v>WA</v>
      </c>
      <c r="J1510" t="str">
        <f>VLOOKUP(B1510,[1]Product!A:B,2,FALSE)</f>
        <v>Product YHXGE</v>
      </c>
      <c r="K1510" t="str">
        <f>VLOOKUP(VLOOKUP(B1510,[1]Product!A:D,4,FALSE),[1]Category!A:B,2,FALSE)</f>
        <v>Seafood</v>
      </c>
      <c r="L1510" s="10">
        <f>IFERROR(VLOOKUP(A1510,'[1]Sales Order'!A:D,4,FALSE),"")</f>
        <v>39459</v>
      </c>
      <c r="M1510" s="10">
        <f>IFERROR(VLOOKUP(A1510,'[1]Sales Order'!A:F,6,FALSE),"")</f>
        <v>39484</v>
      </c>
      <c r="N1510" t="str">
        <f>IFERROR(VLOOKUP(VLOOKUP(A1510,'[1]Sales Order'!A:G,7,FALSE),[1]Shipper!A:B,2,FALSE),"Not Specified")</f>
        <v>Shipper ETYNR</v>
      </c>
      <c r="O1510" t="str">
        <f>IFERROR(VLOOKUP(A1510,'[1]Sales Order'!A:I,9,FALSE),"Not Specified")</f>
        <v>Ship to 9-B</v>
      </c>
      <c r="P1510" t="str">
        <f>IFERROR(VLOOKUP(A1510,'[1]Sales Order'!A:N,14,FALSE),"Not Specified")</f>
        <v>France</v>
      </c>
      <c r="Q1510" t="str">
        <f>VLOOKUP(VLOOKUP(B1510,[1]Product!A:C,3,FALSE),[1]Supplier!A:B,2,FALSE)</f>
        <v>Supplier QOVFD</v>
      </c>
      <c r="R1510" t="str">
        <f>VLOOKUP(VLOOKUP(B1510,[1]Product!A:C,3,FALSE),[1]Supplier!A:I,9,FALSE)</f>
        <v>Japan</v>
      </c>
      <c r="S1510" t="str">
        <f>IFERROR(IF(VLOOKUP(A1510,'[1]Sales Order'!A:H,8,FALSE)&gt;100,"High Freight","Low Freight"),"Not Specified")</f>
        <v>Low Freight</v>
      </c>
      <c r="T1510">
        <f t="shared" si="47"/>
        <v>465</v>
      </c>
    </row>
    <row r="1511" spans="1:20">
      <c r="A1511" s="1">
        <v>10827</v>
      </c>
      <c r="B1511" s="2">
        <v>39</v>
      </c>
      <c r="C1511" s="2">
        <v>18</v>
      </c>
      <c r="D1511" s="2">
        <v>21</v>
      </c>
      <c r="E1511" s="3">
        <v>0</v>
      </c>
      <c r="F1511" s="2" t="str">
        <f>IFERROR(VLOOKUP(VLOOKUP(A1511,'[1]Sales Order'!A:B,2,FALSE),[1]Customer!A:C,3,FALSE),"Not Specified")</f>
        <v>Raghav, Amritansh</v>
      </c>
      <c r="G1511" s="2" t="str">
        <f t="shared" si="46"/>
        <v>Raghav Amritansh</v>
      </c>
      <c r="H1511" s="8" t="str">
        <f>IFERROR(VLOOKUP(VLOOKUP(A1511,'[1]Sales Order'!A:C,3,FALSE),[1]Employee!A:E,5,FALSE)&amp;" "&amp;VLOOKUP(VLOOKUP(A1511,'[1]Sales Order'!A:C,3,FALSE),[1]Employee!A:C,3,FALSE)&amp;" "&amp;VLOOKUP(VLOOKUP(A1511,'[1]Sales Order'!A:C,3,FALSE),[1]Employee!A:B,2,FALSE),"Not Specified")</f>
        <v>Ms. Sara Davis</v>
      </c>
      <c r="I1511" t="str">
        <f>IFERROR(VLOOKUP(VLOOKUP(A1511,'[1]Sales Order'!A:C,3,FALSE),[1]Employee!A:J,10,FALSE),"Not Specified")</f>
        <v>WA</v>
      </c>
      <c r="J1511" t="str">
        <f>VLOOKUP(B1511,[1]Product!A:B,2,FALSE)</f>
        <v>Product LSOFL</v>
      </c>
      <c r="K1511" t="str">
        <f>VLOOKUP(VLOOKUP(B1511,[1]Product!A:D,4,FALSE),[1]Category!A:B,2,FALSE)</f>
        <v>Beverages</v>
      </c>
      <c r="L1511" s="10">
        <f>IFERROR(VLOOKUP(A1511,'[1]Sales Order'!A:D,4,FALSE),"")</f>
        <v>39459</v>
      </c>
      <c r="M1511" s="10">
        <f>IFERROR(VLOOKUP(A1511,'[1]Sales Order'!A:F,6,FALSE),"")</f>
        <v>39484</v>
      </c>
      <c r="N1511" t="str">
        <f>IFERROR(VLOOKUP(VLOOKUP(A1511,'[1]Sales Order'!A:G,7,FALSE),[1]Shipper!A:B,2,FALSE),"Not Specified")</f>
        <v>Shipper ETYNR</v>
      </c>
      <c r="O1511" t="str">
        <f>IFERROR(VLOOKUP(A1511,'[1]Sales Order'!A:I,9,FALSE),"Not Specified")</f>
        <v>Ship to 9-B</v>
      </c>
      <c r="P1511" t="str">
        <f>IFERROR(VLOOKUP(A1511,'[1]Sales Order'!A:N,14,FALSE),"Not Specified")</f>
        <v>France</v>
      </c>
      <c r="Q1511" t="str">
        <f>VLOOKUP(VLOOKUP(B1511,[1]Product!A:C,3,FALSE),[1]Supplier!A:B,2,FALSE)</f>
        <v>Supplier LVJUA</v>
      </c>
      <c r="R1511" t="str">
        <f>VLOOKUP(VLOOKUP(B1511,[1]Product!A:C,3,FALSE),[1]Supplier!A:I,9,FALSE)</f>
        <v>France</v>
      </c>
      <c r="S1511" t="str">
        <f>IFERROR(IF(VLOOKUP(A1511,'[1]Sales Order'!A:H,8,FALSE)&gt;100,"High Freight","Low Freight"),"Not Specified")</f>
        <v>Low Freight</v>
      </c>
      <c r="T1511">
        <f t="shared" si="47"/>
        <v>378</v>
      </c>
    </row>
    <row r="1512" spans="1:20">
      <c r="A1512" s="1">
        <v>10828</v>
      </c>
      <c r="B1512" s="2">
        <v>20</v>
      </c>
      <c r="C1512" s="2">
        <v>81</v>
      </c>
      <c r="D1512" s="2">
        <v>5</v>
      </c>
      <c r="E1512" s="3">
        <v>0</v>
      </c>
      <c r="F1512" s="2" t="str">
        <f>IFERROR(VLOOKUP(VLOOKUP(A1512,'[1]Sales Order'!A:B,2,FALSE),[1]Customer!A:C,3,FALSE),"Not Specified")</f>
        <v>Gaffney, Lawrie</v>
      </c>
      <c r="G1512" s="2" t="str">
        <f t="shared" si="46"/>
        <v>Gaffney Lawrie</v>
      </c>
      <c r="H1512" s="8" t="str">
        <f>IFERROR(VLOOKUP(VLOOKUP(A1512,'[1]Sales Order'!A:C,3,FALSE),[1]Employee!A:E,5,FALSE)&amp;" "&amp;VLOOKUP(VLOOKUP(A1512,'[1]Sales Order'!A:C,3,FALSE),[1]Employee!A:C,3,FALSE)&amp;" "&amp;VLOOKUP(VLOOKUP(A1512,'[1]Sales Order'!A:C,3,FALSE),[1]Employee!A:B,2,FALSE),"Not Specified")</f>
        <v>Ms. Zoya Dolgopyatova</v>
      </c>
      <c r="I1512">
        <f>IFERROR(VLOOKUP(VLOOKUP(A1512,'[1]Sales Order'!A:C,3,FALSE),[1]Employee!A:J,10,FALSE),"Not Specified")</f>
        <v>0</v>
      </c>
      <c r="J1512" t="str">
        <f>VLOOKUP(B1512,[1]Product!A:B,2,FALSE)</f>
        <v>Product QHFFP</v>
      </c>
      <c r="K1512" t="str">
        <f>VLOOKUP(VLOOKUP(B1512,[1]Product!A:D,4,FALSE),[1]Category!A:B,2,FALSE)</f>
        <v>Confections</v>
      </c>
      <c r="L1512" s="10">
        <f>IFERROR(VLOOKUP(A1512,'[1]Sales Order'!A:D,4,FALSE),"")</f>
        <v>39460</v>
      </c>
      <c r="M1512" s="10">
        <f>IFERROR(VLOOKUP(A1512,'[1]Sales Order'!A:F,6,FALSE),"")</f>
        <v>39482</v>
      </c>
      <c r="N1512" t="str">
        <f>IFERROR(VLOOKUP(VLOOKUP(A1512,'[1]Sales Order'!A:G,7,FALSE),[1]Shipper!A:B,2,FALSE),"Not Specified")</f>
        <v>Shipper GVSUA</v>
      </c>
      <c r="O1512" t="str">
        <f>IFERROR(VLOOKUP(A1512,'[1]Sales Order'!A:I,9,FALSE),"Not Specified")</f>
        <v>Ship to 64-B</v>
      </c>
      <c r="P1512" t="str">
        <f>IFERROR(VLOOKUP(A1512,'[1]Sales Order'!A:N,14,FALSE),"Not Specified")</f>
        <v>Argentina</v>
      </c>
      <c r="Q1512" t="str">
        <f>VLOOKUP(VLOOKUP(B1512,[1]Product!A:C,3,FALSE),[1]Supplier!A:B,2,FALSE)</f>
        <v>Supplier BWGYE</v>
      </c>
      <c r="R1512" t="str">
        <f>VLOOKUP(VLOOKUP(B1512,[1]Product!A:C,3,FALSE),[1]Supplier!A:I,9,FALSE)</f>
        <v>UK</v>
      </c>
      <c r="S1512" t="str">
        <f>IFERROR(IF(VLOOKUP(A1512,'[1]Sales Order'!A:H,8,FALSE)&gt;100,"High Freight","Low Freight"),"Not Specified")</f>
        <v>Low Freight</v>
      </c>
      <c r="T1512">
        <f t="shared" si="47"/>
        <v>405</v>
      </c>
    </row>
    <row r="1513" spans="1:20">
      <c r="A1513" s="1">
        <v>10828</v>
      </c>
      <c r="B1513" s="2">
        <v>38</v>
      </c>
      <c r="C1513" s="2">
        <v>263.5</v>
      </c>
      <c r="D1513" s="2">
        <v>2</v>
      </c>
      <c r="E1513" s="3">
        <v>0</v>
      </c>
      <c r="F1513" s="2" t="str">
        <f>IFERROR(VLOOKUP(VLOOKUP(A1513,'[1]Sales Order'!A:B,2,FALSE),[1]Customer!A:C,3,FALSE),"Not Specified")</f>
        <v>Gaffney, Lawrie</v>
      </c>
      <c r="G1513" s="2" t="str">
        <f t="shared" si="46"/>
        <v>Gaffney Lawrie</v>
      </c>
      <c r="H1513" s="8" t="str">
        <f>IFERROR(VLOOKUP(VLOOKUP(A1513,'[1]Sales Order'!A:C,3,FALSE),[1]Employee!A:E,5,FALSE)&amp;" "&amp;VLOOKUP(VLOOKUP(A1513,'[1]Sales Order'!A:C,3,FALSE),[1]Employee!A:C,3,FALSE)&amp;" "&amp;VLOOKUP(VLOOKUP(A1513,'[1]Sales Order'!A:C,3,FALSE),[1]Employee!A:B,2,FALSE),"Not Specified")</f>
        <v>Ms. Zoya Dolgopyatova</v>
      </c>
      <c r="I1513">
        <f>IFERROR(VLOOKUP(VLOOKUP(A1513,'[1]Sales Order'!A:C,3,FALSE),[1]Employee!A:J,10,FALSE),"Not Specified")</f>
        <v>0</v>
      </c>
      <c r="J1513" t="str">
        <f>VLOOKUP(B1513,[1]Product!A:B,2,FALSE)</f>
        <v>Product QDOMO</v>
      </c>
      <c r="K1513" t="str">
        <f>VLOOKUP(VLOOKUP(B1513,[1]Product!A:D,4,FALSE),[1]Category!A:B,2,FALSE)</f>
        <v>Beverages</v>
      </c>
      <c r="L1513" s="10">
        <f>IFERROR(VLOOKUP(A1513,'[1]Sales Order'!A:D,4,FALSE),"")</f>
        <v>39460</v>
      </c>
      <c r="M1513" s="10">
        <f>IFERROR(VLOOKUP(A1513,'[1]Sales Order'!A:F,6,FALSE),"")</f>
        <v>39482</v>
      </c>
      <c r="N1513" t="str">
        <f>IFERROR(VLOOKUP(VLOOKUP(A1513,'[1]Sales Order'!A:G,7,FALSE),[1]Shipper!A:B,2,FALSE),"Not Specified")</f>
        <v>Shipper GVSUA</v>
      </c>
      <c r="O1513" t="str">
        <f>IFERROR(VLOOKUP(A1513,'[1]Sales Order'!A:I,9,FALSE),"Not Specified")</f>
        <v>Ship to 64-B</v>
      </c>
      <c r="P1513" t="str">
        <f>IFERROR(VLOOKUP(A1513,'[1]Sales Order'!A:N,14,FALSE),"Not Specified")</f>
        <v>Argentina</v>
      </c>
      <c r="Q1513" t="str">
        <f>VLOOKUP(VLOOKUP(B1513,[1]Product!A:C,3,FALSE),[1]Supplier!A:B,2,FALSE)</f>
        <v>Supplier LVJUA</v>
      </c>
      <c r="R1513" t="str">
        <f>VLOOKUP(VLOOKUP(B1513,[1]Product!A:C,3,FALSE),[1]Supplier!A:I,9,FALSE)</f>
        <v>France</v>
      </c>
      <c r="S1513" t="str">
        <f>IFERROR(IF(VLOOKUP(A1513,'[1]Sales Order'!A:H,8,FALSE)&gt;100,"High Freight","Low Freight"),"Not Specified")</f>
        <v>Low Freight</v>
      </c>
      <c r="T1513">
        <f t="shared" si="47"/>
        <v>527</v>
      </c>
    </row>
    <row r="1514" spans="1:20">
      <c r="A1514" s="1">
        <v>10829</v>
      </c>
      <c r="B1514" s="2">
        <v>2</v>
      </c>
      <c r="C1514" s="2">
        <v>19</v>
      </c>
      <c r="D1514" s="2">
        <v>10</v>
      </c>
      <c r="E1514" s="3">
        <v>0</v>
      </c>
      <c r="F1514" s="2" t="str">
        <f>IFERROR(VLOOKUP(VLOOKUP(A1514,'[1]Sales Order'!A:B,2,FALSE),[1]Customer!A:C,3,FALSE),"Not Specified")</f>
        <v>Lee, Frank</v>
      </c>
      <c r="G1514" s="2" t="str">
        <f t="shared" si="46"/>
        <v>Lee Frank</v>
      </c>
      <c r="H1514" s="8" t="str">
        <f>IFERROR(VLOOKUP(VLOOKUP(A1514,'[1]Sales Order'!A:C,3,FALSE),[1]Employee!A:E,5,FALSE)&amp;" "&amp;VLOOKUP(VLOOKUP(A1514,'[1]Sales Order'!A:C,3,FALSE),[1]Employee!A:C,3,FALSE)&amp;" "&amp;VLOOKUP(VLOOKUP(A1514,'[1]Sales Order'!A:C,3,FALSE),[1]Employee!A:B,2,FALSE),"Not Specified")</f>
        <v>Ms. Zoya Dolgopyatova</v>
      </c>
      <c r="I1514">
        <f>IFERROR(VLOOKUP(VLOOKUP(A1514,'[1]Sales Order'!A:C,3,FALSE),[1]Employee!A:J,10,FALSE),"Not Specified")</f>
        <v>0</v>
      </c>
      <c r="J1514" t="str">
        <f>VLOOKUP(B1514,[1]Product!A:B,2,FALSE)</f>
        <v>Product RECZE</v>
      </c>
      <c r="K1514" t="str">
        <f>VLOOKUP(VLOOKUP(B1514,[1]Product!A:D,4,FALSE),[1]Category!A:B,2,FALSE)</f>
        <v>Beverages</v>
      </c>
      <c r="L1514" s="10">
        <f>IFERROR(VLOOKUP(A1514,'[1]Sales Order'!A:D,4,FALSE),"")</f>
        <v>39460</v>
      </c>
      <c r="M1514" s="10">
        <f>IFERROR(VLOOKUP(A1514,'[1]Sales Order'!A:F,6,FALSE),"")</f>
        <v>39470</v>
      </c>
      <c r="N1514" t="str">
        <f>IFERROR(VLOOKUP(VLOOKUP(A1514,'[1]Sales Order'!A:G,7,FALSE),[1]Shipper!A:B,2,FALSE),"Not Specified")</f>
        <v>Shipper GVSUA</v>
      </c>
      <c r="O1514" t="str">
        <f>IFERROR(VLOOKUP(A1514,'[1]Sales Order'!A:I,9,FALSE),"Not Specified")</f>
        <v>Destination QVTLW</v>
      </c>
      <c r="P1514" t="str">
        <f>IFERROR(VLOOKUP(A1514,'[1]Sales Order'!A:N,14,FALSE),"Not Specified")</f>
        <v>UK</v>
      </c>
      <c r="Q1514" t="str">
        <f>VLOOKUP(VLOOKUP(B1514,[1]Product!A:C,3,FALSE),[1]Supplier!A:B,2,FALSE)</f>
        <v>Supplier SWRXU</v>
      </c>
      <c r="R1514" t="str">
        <f>VLOOKUP(VLOOKUP(B1514,[1]Product!A:C,3,FALSE),[1]Supplier!A:I,9,FALSE)</f>
        <v>UK</v>
      </c>
      <c r="S1514" t="str">
        <f>IFERROR(IF(VLOOKUP(A1514,'[1]Sales Order'!A:H,8,FALSE)&gt;100,"High Freight","Low Freight"),"Not Specified")</f>
        <v>High Freight</v>
      </c>
      <c r="T1514">
        <f t="shared" si="47"/>
        <v>190</v>
      </c>
    </row>
    <row r="1515" spans="1:20">
      <c r="A1515" s="1">
        <v>10829</v>
      </c>
      <c r="B1515" s="2">
        <v>8</v>
      </c>
      <c r="C1515" s="2">
        <v>40</v>
      </c>
      <c r="D1515" s="2">
        <v>20</v>
      </c>
      <c r="E1515" s="3">
        <v>0</v>
      </c>
      <c r="F1515" s="2" t="str">
        <f>IFERROR(VLOOKUP(VLOOKUP(A1515,'[1]Sales Order'!A:B,2,FALSE),[1]Customer!A:C,3,FALSE),"Not Specified")</f>
        <v>Lee, Frank</v>
      </c>
      <c r="G1515" s="2" t="str">
        <f t="shared" si="46"/>
        <v>Lee Frank</v>
      </c>
      <c r="H1515" s="8" t="str">
        <f>IFERROR(VLOOKUP(VLOOKUP(A1515,'[1]Sales Order'!A:C,3,FALSE),[1]Employee!A:E,5,FALSE)&amp;" "&amp;VLOOKUP(VLOOKUP(A1515,'[1]Sales Order'!A:C,3,FALSE),[1]Employee!A:C,3,FALSE)&amp;" "&amp;VLOOKUP(VLOOKUP(A1515,'[1]Sales Order'!A:C,3,FALSE),[1]Employee!A:B,2,FALSE),"Not Specified")</f>
        <v>Ms. Zoya Dolgopyatova</v>
      </c>
      <c r="I1515">
        <f>IFERROR(VLOOKUP(VLOOKUP(A1515,'[1]Sales Order'!A:C,3,FALSE),[1]Employee!A:J,10,FALSE),"Not Specified")</f>
        <v>0</v>
      </c>
      <c r="J1515" t="str">
        <f>VLOOKUP(B1515,[1]Product!A:B,2,FALSE)</f>
        <v>Product WVJFP</v>
      </c>
      <c r="K1515" t="str">
        <f>VLOOKUP(VLOOKUP(B1515,[1]Product!A:D,4,FALSE),[1]Category!A:B,2,FALSE)</f>
        <v>Condiments</v>
      </c>
      <c r="L1515" s="10">
        <f>IFERROR(VLOOKUP(A1515,'[1]Sales Order'!A:D,4,FALSE),"")</f>
        <v>39460</v>
      </c>
      <c r="M1515" s="10">
        <f>IFERROR(VLOOKUP(A1515,'[1]Sales Order'!A:F,6,FALSE),"")</f>
        <v>39470</v>
      </c>
      <c r="N1515" t="str">
        <f>IFERROR(VLOOKUP(VLOOKUP(A1515,'[1]Sales Order'!A:G,7,FALSE),[1]Shipper!A:B,2,FALSE),"Not Specified")</f>
        <v>Shipper GVSUA</v>
      </c>
      <c r="O1515" t="str">
        <f>IFERROR(VLOOKUP(A1515,'[1]Sales Order'!A:I,9,FALSE),"Not Specified")</f>
        <v>Destination QVTLW</v>
      </c>
      <c r="P1515" t="str">
        <f>IFERROR(VLOOKUP(A1515,'[1]Sales Order'!A:N,14,FALSE),"Not Specified")</f>
        <v>UK</v>
      </c>
      <c r="Q1515" t="str">
        <f>VLOOKUP(VLOOKUP(B1515,[1]Product!A:C,3,FALSE),[1]Supplier!A:B,2,FALSE)</f>
        <v>Supplier STUAZ</v>
      </c>
      <c r="R1515" t="str">
        <f>VLOOKUP(VLOOKUP(B1515,[1]Product!A:C,3,FALSE),[1]Supplier!A:I,9,FALSE)</f>
        <v>USA</v>
      </c>
      <c r="S1515" t="str">
        <f>IFERROR(IF(VLOOKUP(A1515,'[1]Sales Order'!A:H,8,FALSE)&gt;100,"High Freight","Low Freight"),"Not Specified")</f>
        <v>High Freight</v>
      </c>
      <c r="T1515">
        <f t="shared" si="47"/>
        <v>800</v>
      </c>
    </row>
    <row r="1516" spans="1:20">
      <c r="A1516" s="1">
        <v>10829</v>
      </c>
      <c r="B1516" s="2">
        <v>13</v>
      </c>
      <c r="C1516" s="2">
        <v>6</v>
      </c>
      <c r="D1516" s="2">
        <v>10</v>
      </c>
      <c r="E1516" s="3">
        <v>0</v>
      </c>
      <c r="F1516" s="2" t="str">
        <f>IFERROR(VLOOKUP(VLOOKUP(A1516,'[1]Sales Order'!A:B,2,FALSE),[1]Customer!A:C,3,FALSE),"Not Specified")</f>
        <v>Lee, Frank</v>
      </c>
      <c r="G1516" s="2" t="str">
        <f t="shared" si="46"/>
        <v>Lee Frank</v>
      </c>
      <c r="H1516" s="8" t="str">
        <f>IFERROR(VLOOKUP(VLOOKUP(A1516,'[1]Sales Order'!A:C,3,FALSE),[1]Employee!A:E,5,FALSE)&amp;" "&amp;VLOOKUP(VLOOKUP(A1516,'[1]Sales Order'!A:C,3,FALSE),[1]Employee!A:C,3,FALSE)&amp;" "&amp;VLOOKUP(VLOOKUP(A1516,'[1]Sales Order'!A:C,3,FALSE),[1]Employee!A:B,2,FALSE),"Not Specified")</f>
        <v>Ms. Zoya Dolgopyatova</v>
      </c>
      <c r="I1516">
        <f>IFERROR(VLOOKUP(VLOOKUP(A1516,'[1]Sales Order'!A:C,3,FALSE),[1]Employee!A:J,10,FALSE),"Not Specified")</f>
        <v>0</v>
      </c>
      <c r="J1516" t="str">
        <f>VLOOKUP(B1516,[1]Product!A:B,2,FALSE)</f>
        <v>Product POXFU</v>
      </c>
      <c r="K1516" t="str">
        <f>VLOOKUP(VLOOKUP(B1516,[1]Product!A:D,4,FALSE),[1]Category!A:B,2,FALSE)</f>
        <v>Seafood</v>
      </c>
      <c r="L1516" s="10">
        <f>IFERROR(VLOOKUP(A1516,'[1]Sales Order'!A:D,4,FALSE),"")</f>
        <v>39460</v>
      </c>
      <c r="M1516" s="10">
        <f>IFERROR(VLOOKUP(A1516,'[1]Sales Order'!A:F,6,FALSE),"")</f>
        <v>39470</v>
      </c>
      <c r="N1516" t="str">
        <f>IFERROR(VLOOKUP(VLOOKUP(A1516,'[1]Sales Order'!A:G,7,FALSE),[1]Shipper!A:B,2,FALSE),"Not Specified")</f>
        <v>Shipper GVSUA</v>
      </c>
      <c r="O1516" t="str">
        <f>IFERROR(VLOOKUP(A1516,'[1]Sales Order'!A:I,9,FALSE),"Not Specified")</f>
        <v>Destination QVTLW</v>
      </c>
      <c r="P1516" t="str">
        <f>IFERROR(VLOOKUP(A1516,'[1]Sales Order'!A:N,14,FALSE),"Not Specified")</f>
        <v>UK</v>
      </c>
      <c r="Q1516" t="str">
        <f>VLOOKUP(VLOOKUP(B1516,[1]Product!A:C,3,FALSE),[1]Supplier!A:B,2,FALSE)</f>
        <v>Supplier QWUSF</v>
      </c>
      <c r="R1516" t="str">
        <f>VLOOKUP(VLOOKUP(B1516,[1]Product!A:C,3,FALSE),[1]Supplier!A:I,9,FALSE)</f>
        <v>Japan</v>
      </c>
      <c r="S1516" t="str">
        <f>IFERROR(IF(VLOOKUP(A1516,'[1]Sales Order'!A:H,8,FALSE)&gt;100,"High Freight","Low Freight"),"Not Specified")</f>
        <v>High Freight</v>
      </c>
      <c r="T1516">
        <f t="shared" si="47"/>
        <v>60</v>
      </c>
    </row>
    <row r="1517" spans="1:20">
      <c r="A1517" s="1">
        <v>10829</v>
      </c>
      <c r="B1517" s="2">
        <v>60</v>
      </c>
      <c r="C1517" s="2">
        <v>34</v>
      </c>
      <c r="D1517" s="2">
        <v>21</v>
      </c>
      <c r="E1517" s="3">
        <v>0</v>
      </c>
      <c r="F1517" s="2" t="str">
        <f>IFERROR(VLOOKUP(VLOOKUP(A1517,'[1]Sales Order'!A:B,2,FALSE),[1]Customer!A:C,3,FALSE),"Not Specified")</f>
        <v>Lee, Frank</v>
      </c>
      <c r="G1517" s="2" t="str">
        <f t="shared" si="46"/>
        <v>Lee Frank</v>
      </c>
      <c r="H1517" s="8" t="str">
        <f>IFERROR(VLOOKUP(VLOOKUP(A1517,'[1]Sales Order'!A:C,3,FALSE),[1]Employee!A:E,5,FALSE)&amp;" "&amp;VLOOKUP(VLOOKUP(A1517,'[1]Sales Order'!A:C,3,FALSE),[1]Employee!A:C,3,FALSE)&amp;" "&amp;VLOOKUP(VLOOKUP(A1517,'[1]Sales Order'!A:C,3,FALSE),[1]Employee!A:B,2,FALSE),"Not Specified")</f>
        <v>Ms. Zoya Dolgopyatova</v>
      </c>
      <c r="I1517">
        <f>IFERROR(VLOOKUP(VLOOKUP(A1517,'[1]Sales Order'!A:C,3,FALSE),[1]Employee!A:J,10,FALSE),"Not Specified")</f>
        <v>0</v>
      </c>
      <c r="J1517" t="str">
        <f>VLOOKUP(B1517,[1]Product!A:B,2,FALSE)</f>
        <v>Product WHBYK</v>
      </c>
      <c r="K1517" t="str">
        <f>VLOOKUP(VLOOKUP(B1517,[1]Product!A:D,4,FALSE),[1]Category!A:B,2,FALSE)</f>
        <v>Dairy Product</v>
      </c>
      <c r="L1517" s="10">
        <f>IFERROR(VLOOKUP(A1517,'[1]Sales Order'!A:D,4,FALSE),"")</f>
        <v>39460</v>
      </c>
      <c r="M1517" s="10">
        <f>IFERROR(VLOOKUP(A1517,'[1]Sales Order'!A:F,6,FALSE),"")</f>
        <v>39470</v>
      </c>
      <c r="N1517" t="str">
        <f>IFERROR(VLOOKUP(VLOOKUP(A1517,'[1]Sales Order'!A:G,7,FALSE),[1]Shipper!A:B,2,FALSE),"Not Specified")</f>
        <v>Shipper GVSUA</v>
      </c>
      <c r="O1517" t="str">
        <f>IFERROR(VLOOKUP(A1517,'[1]Sales Order'!A:I,9,FALSE),"Not Specified")</f>
        <v>Destination QVTLW</v>
      </c>
      <c r="P1517" t="str">
        <f>IFERROR(VLOOKUP(A1517,'[1]Sales Order'!A:N,14,FALSE),"Not Specified")</f>
        <v>UK</v>
      </c>
      <c r="Q1517" t="str">
        <f>VLOOKUP(VLOOKUP(B1517,[1]Product!A:C,3,FALSE),[1]Supplier!A:B,2,FALSE)</f>
        <v>Supplier OAVQT</v>
      </c>
      <c r="R1517" t="str">
        <f>VLOOKUP(VLOOKUP(B1517,[1]Product!A:C,3,FALSE),[1]Supplier!A:I,9,FALSE)</f>
        <v>France</v>
      </c>
      <c r="S1517" t="str">
        <f>IFERROR(IF(VLOOKUP(A1517,'[1]Sales Order'!A:H,8,FALSE)&gt;100,"High Freight","Low Freight"),"Not Specified")</f>
        <v>High Freight</v>
      </c>
      <c r="T1517">
        <f t="shared" si="47"/>
        <v>714</v>
      </c>
    </row>
    <row r="1518" spans="1:20">
      <c r="A1518" s="1">
        <v>10830</v>
      </c>
      <c r="B1518" s="2">
        <v>6</v>
      </c>
      <c r="C1518" s="2">
        <v>25</v>
      </c>
      <c r="D1518" s="2">
        <v>6</v>
      </c>
      <c r="E1518" s="3">
        <v>0</v>
      </c>
      <c r="F1518" s="2" t="str">
        <f>IFERROR(VLOOKUP(VLOOKUP(A1518,'[1]Sales Order'!A:B,2,FALSE),[1]Customer!A:C,3,FALSE),"Not Specified")</f>
        <v>Nagel, Jean-Philippe</v>
      </c>
      <c r="G1518" s="2" t="str">
        <f t="shared" si="46"/>
        <v>Nagel Jean-Philippe</v>
      </c>
      <c r="H1518" s="8" t="str">
        <f>IFERROR(VLOOKUP(VLOOKUP(A1518,'[1]Sales Order'!A:C,3,FALSE),[1]Employee!A:E,5,FALSE)&amp;" "&amp;VLOOKUP(VLOOKUP(A1518,'[1]Sales Order'!A:C,3,FALSE),[1]Employee!A:C,3,FALSE)&amp;" "&amp;VLOOKUP(VLOOKUP(A1518,'[1]Sales Order'!A:C,3,FALSE),[1]Employee!A:B,2,FALSE),"Not Specified")</f>
        <v>Mrs. Yael Peled</v>
      </c>
      <c r="I1518" t="str">
        <f>IFERROR(VLOOKUP(VLOOKUP(A1518,'[1]Sales Order'!A:C,3,FALSE),[1]Employee!A:J,10,FALSE),"Not Specified")</f>
        <v>WA</v>
      </c>
      <c r="J1518" t="str">
        <f>VLOOKUP(B1518,[1]Product!A:B,2,FALSE)</f>
        <v>Product VAIIV</v>
      </c>
      <c r="K1518" t="str">
        <f>VLOOKUP(VLOOKUP(B1518,[1]Product!A:D,4,FALSE),[1]Category!A:B,2,FALSE)</f>
        <v>Condiments</v>
      </c>
      <c r="L1518" s="10">
        <f>IFERROR(VLOOKUP(A1518,'[1]Sales Order'!A:D,4,FALSE),"")</f>
        <v>39460</v>
      </c>
      <c r="M1518" s="10">
        <f>IFERROR(VLOOKUP(A1518,'[1]Sales Order'!A:F,6,FALSE),"")</f>
        <v>39468</v>
      </c>
      <c r="N1518" t="str">
        <f>IFERROR(VLOOKUP(VLOOKUP(A1518,'[1]Sales Order'!A:G,7,FALSE),[1]Shipper!A:B,2,FALSE),"Not Specified")</f>
        <v>Shipper ETYNR</v>
      </c>
      <c r="O1518" t="str">
        <f>IFERROR(VLOOKUP(A1518,'[1]Sales Order'!A:I,9,FALSE),"Not Specified")</f>
        <v>Ship to 81-C</v>
      </c>
      <c r="P1518" t="str">
        <f>IFERROR(VLOOKUP(A1518,'[1]Sales Order'!A:N,14,FALSE),"Not Specified")</f>
        <v>Brazil</v>
      </c>
      <c r="Q1518" t="str">
        <f>VLOOKUP(VLOOKUP(B1518,[1]Product!A:C,3,FALSE),[1]Supplier!A:B,2,FALSE)</f>
        <v>Supplier STUAZ</v>
      </c>
      <c r="R1518" t="str">
        <f>VLOOKUP(VLOOKUP(B1518,[1]Product!A:C,3,FALSE),[1]Supplier!A:I,9,FALSE)</f>
        <v>USA</v>
      </c>
      <c r="S1518" t="str">
        <f>IFERROR(IF(VLOOKUP(A1518,'[1]Sales Order'!A:H,8,FALSE)&gt;100,"High Freight","Low Freight"),"Not Specified")</f>
        <v>Low Freight</v>
      </c>
      <c r="T1518">
        <f t="shared" si="47"/>
        <v>150</v>
      </c>
    </row>
    <row r="1519" spans="1:20">
      <c r="A1519" s="1">
        <v>10830</v>
      </c>
      <c r="B1519" s="2">
        <v>39</v>
      </c>
      <c r="C1519" s="2">
        <v>18</v>
      </c>
      <c r="D1519" s="2">
        <v>28</v>
      </c>
      <c r="E1519" s="3">
        <v>0</v>
      </c>
      <c r="F1519" s="2" t="str">
        <f>IFERROR(VLOOKUP(VLOOKUP(A1519,'[1]Sales Order'!A:B,2,FALSE),[1]Customer!A:C,3,FALSE),"Not Specified")</f>
        <v>Nagel, Jean-Philippe</v>
      </c>
      <c r="G1519" s="2" t="str">
        <f t="shared" si="46"/>
        <v>Nagel Jean-Philippe</v>
      </c>
      <c r="H1519" s="8" t="str">
        <f>IFERROR(VLOOKUP(VLOOKUP(A1519,'[1]Sales Order'!A:C,3,FALSE),[1]Employee!A:E,5,FALSE)&amp;" "&amp;VLOOKUP(VLOOKUP(A1519,'[1]Sales Order'!A:C,3,FALSE),[1]Employee!A:C,3,FALSE)&amp;" "&amp;VLOOKUP(VLOOKUP(A1519,'[1]Sales Order'!A:C,3,FALSE),[1]Employee!A:B,2,FALSE),"Not Specified")</f>
        <v>Mrs. Yael Peled</v>
      </c>
      <c r="I1519" t="str">
        <f>IFERROR(VLOOKUP(VLOOKUP(A1519,'[1]Sales Order'!A:C,3,FALSE),[1]Employee!A:J,10,FALSE),"Not Specified")</f>
        <v>WA</v>
      </c>
      <c r="J1519" t="str">
        <f>VLOOKUP(B1519,[1]Product!A:B,2,FALSE)</f>
        <v>Product LSOFL</v>
      </c>
      <c r="K1519" t="str">
        <f>VLOOKUP(VLOOKUP(B1519,[1]Product!A:D,4,FALSE),[1]Category!A:B,2,FALSE)</f>
        <v>Beverages</v>
      </c>
      <c r="L1519" s="10">
        <f>IFERROR(VLOOKUP(A1519,'[1]Sales Order'!A:D,4,FALSE),"")</f>
        <v>39460</v>
      </c>
      <c r="M1519" s="10">
        <f>IFERROR(VLOOKUP(A1519,'[1]Sales Order'!A:F,6,FALSE),"")</f>
        <v>39468</v>
      </c>
      <c r="N1519" t="str">
        <f>IFERROR(VLOOKUP(VLOOKUP(A1519,'[1]Sales Order'!A:G,7,FALSE),[1]Shipper!A:B,2,FALSE),"Not Specified")</f>
        <v>Shipper ETYNR</v>
      </c>
      <c r="O1519" t="str">
        <f>IFERROR(VLOOKUP(A1519,'[1]Sales Order'!A:I,9,FALSE),"Not Specified")</f>
        <v>Ship to 81-C</v>
      </c>
      <c r="P1519" t="str">
        <f>IFERROR(VLOOKUP(A1519,'[1]Sales Order'!A:N,14,FALSE),"Not Specified")</f>
        <v>Brazil</v>
      </c>
      <c r="Q1519" t="str">
        <f>VLOOKUP(VLOOKUP(B1519,[1]Product!A:C,3,FALSE),[1]Supplier!A:B,2,FALSE)</f>
        <v>Supplier LVJUA</v>
      </c>
      <c r="R1519" t="str">
        <f>VLOOKUP(VLOOKUP(B1519,[1]Product!A:C,3,FALSE),[1]Supplier!A:I,9,FALSE)</f>
        <v>France</v>
      </c>
      <c r="S1519" t="str">
        <f>IFERROR(IF(VLOOKUP(A1519,'[1]Sales Order'!A:H,8,FALSE)&gt;100,"High Freight","Low Freight"),"Not Specified")</f>
        <v>Low Freight</v>
      </c>
      <c r="T1519">
        <f t="shared" si="47"/>
        <v>504</v>
      </c>
    </row>
    <row r="1520" spans="1:20">
      <c r="A1520" s="1">
        <v>10830</v>
      </c>
      <c r="B1520" s="2">
        <v>60</v>
      </c>
      <c r="C1520" s="2">
        <v>34</v>
      </c>
      <c r="D1520" s="2">
        <v>30</v>
      </c>
      <c r="E1520" s="3">
        <v>0</v>
      </c>
      <c r="F1520" s="2" t="str">
        <f>IFERROR(VLOOKUP(VLOOKUP(A1520,'[1]Sales Order'!A:B,2,FALSE),[1]Customer!A:C,3,FALSE),"Not Specified")</f>
        <v>Nagel, Jean-Philippe</v>
      </c>
      <c r="G1520" s="2" t="str">
        <f t="shared" si="46"/>
        <v>Nagel Jean-Philippe</v>
      </c>
      <c r="H1520" s="8" t="str">
        <f>IFERROR(VLOOKUP(VLOOKUP(A1520,'[1]Sales Order'!A:C,3,FALSE),[1]Employee!A:E,5,FALSE)&amp;" "&amp;VLOOKUP(VLOOKUP(A1520,'[1]Sales Order'!A:C,3,FALSE),[1]Employee!A:C,3,FALSE)&amp;" "&amp;VLOOKUP(VLOOKUP(A1520,'[1]Sales Order'!A:C,3,FALSE),[1]Employee!A:B,2,FALSE),"Not Specified")</f>
        <v>Mrs. Yael Peled</v>
      </c>
      <c r="I1520" t="str">
        <f>IFERROR(VLOOKUP(VLOOKUP(A1520,'[1]Sales Order'!A:C,3,FALSE),[1]Employee!A:J,10,FALSE),"Not Specified")</f>
        <v>WA</v>
      </c>
      <c r="J1520" t="str">
        <f>VLOOKUP(B1520,[1]Product!A:B,2,FALSE)</f>
        <v>Product WHBYK</v>
      </c>
      <c r="K1520" t="str">
        <f>VLOOKUP(VLOOKUP(B1520,[1]Product!A:D,4,FALSE),[1]Category!A:B,2,FALSE)</f>
        <v>Dairy Product</v>
      </c>
      <c r="L1520" s="10">
        <f>IFERROR(VLOOKUP(A1520,'[1]Sales Order'!A:D,4,FALSE),"")</f>
        <v>39460</v>
      </c>
      <c r="M1520" s="10">
        <f>IFERROR(VLOOKUP(A1520,'[1]Sales Order'!A:F,6,FALSE),"")</f>
        <v>39468</v>
      </c>
      <c r="N1520" t="str">
        <f>IFERROR(VLOOKUP(VLOOKUP(A1520,'[1]Sales Order'!A:G,7,FALSE),[1]Shipper!A:B,2,FALSE),"Not Specified")</f>
        <v>Shipper ETYNR</v>
      </c>
      <c r="O1520" t="str">
        <f>IFERROR(VLOOKUP(A1520,'[1]Sales Order'!A:I,9,FALSE),"Not Specified")</f>
        <v>Ship to 81-C</v>
      </c>
      <c r="P1520" t="str">
        <f>IFERROR(VLOOKUP(A1520,'[1]Sales Order'!A:N,14,FALSE),"Not Specified")</f>
        <v>Brazil</v>
      </c>
      <c r="Q1520" t="str">
        <f>VLOOKUP(VLOOKUP(B1520,[1]Product!A:C,3,FALSE),[1]Supplier!A:B,2,FALSE)</f>
        <v>Supplier OAVQT</v>
      </c>
      <c r="R1520" t="str">
        <f>VLOOKUP(VLOOKUP(B1520,[1]Product!A:C,3,FALSE),[1]Supplier!A:I,9,FALSE)</f>
        <v>France</v>
      </c>
      <c r="S1520" t="str">
        <f>IFERROR(IF(VLOOKUP(A1520,'[1]Sales Order'!A:H,8,FALSE)&gt;100,"High Freight","Low Freight"),"Not Specified")</f>
        <v>Low Freight</v>
      </c>
      <c r="T1520">
        <f t="shared" si="47"/>
        <v>1020</v>
      </c>
    </row>
    <row r="1521" spans="1:20">
      <c r="A1521" s="1">
        <v>10830</v>
      </c>
      <c r="B1521" s="2">
        <v>68</v>
      </c>
      <c r="C1521" s="2">
        <v>12.5</v>
      </c>
      <c r="D1521" s="2">
        <v>24</v>
      </c>
      <c r="E1521" s="3">
        <v>0</v>
      </c>
      <c r="F1521" s="2" t="str">
        <f>IFERROR(VLOOKUP(VLOOKUP(A1521,'[1]Sales Order'!A:B,2,FALSE),[1]Customer!A:C,3,FALSE),"Not Specified")</f>
        <v>Nagel, Jean-Philippe</v>
      </c>
      <c r="G1521" s="2" t="str">
        <f t="shared" si="46"/>
        <v>Nagel Jean-Philippe</v>
      </c>
      <c r="H1521" s="8" t="str">
        <f>IFERROR(VLOOKUP(VLOOKUP(A1521,'[1]Sales Order'!A:C,3,FALSE),[1]Employee!A:E,5,FALSE)&amp;" "&amp;VLOOKUP(VLOOKUP(A1521,'[1]Sales Order'!A:C,3,FALSE),[1]Employee!A:C,3,FALSE)&amp;" "&amp;VLOOKUP(VLOOKUP(A1521,'[1]Sales Order'!A:C,3,FALSE),[1]Employee!A:B,2,FALSE),"Not Specified")</f>
        <v>Mrs. Yael Peled</v>
      </c>
      <c r="I1521" t="str">
        <f>IFERROR(VLOOKUP(VLOOKUP(A1521,'[1]Sales Order'!A:C,3,FALSE),[1]Employee!A:J,10,FALSE),"Not Specified")</f>
        <v>WA</v>
      </c>
      <c r="J1521" t="str">
        <f>VLOOKUP(B1521,[1]Product!A:B,2,FALSE)</f>
        <v>Product TBTBL</v>
      </c>
      <c r="K1521" t="str">
        <f>VLOOKUP(VLOOKUP(B1521,[1]Product!A:D,4,FALSE),[1]Category!A:B,2,FALSE)</f>
        <v>Confections</v>
      </c>
      <c r="L1521" s="10">
        <f>IFERROR(VLOOKUP(A1521,'[1]Sales Order'!A:D,4,FALSE),"")</f>
        <v>39460</v>
      </c>
      <c r="M1521" s="10">
        <f>IFERROR(VLOOKUP(A1521,'[1]Sales Order'!A:F,6,FALSE),"")</f>
        <v>39468</v>
      </c>
      <c r="N1521" t="str">
        <f>IFERROR(VLOOKUP(VLOOKUP(A1521,'[1]Sales Order'!A:G,7,FALSE),[1]Shipper!A:B,2,FALSE),"Not Specified")</f>
        <v>Shipper ETYNR</v>
      </c>
      <c r="O1521" t="str">
        <f>IFERROR(VLOOKUP(A1521,'[1]Sales Order'!A:I,9,FALSE),"Not Specified")</f>
        <v>Ship to 81-C</v>
      </c>
      <c r="P1521" t="str">
        <f>IFERROR(VLOOKUP(A1521,'[1]Sales Order'!A:N,14,FALSE),"Not Specified")</f>
        <v>Brazil</v>
      </c>
      <c r="Q1521" t="str">
        <f>VLOOKUP(VLOOKUP(B1521,[1]Product!A:C,3,FALSE),[1]Supplier!A:B,2,FALSE)</f>
        <v>Supplier BWGYE</v>
      </c>
      <c r="R1521" t="str">
        <f>VLOOKUP(VLOOKUP(B1521,[1]Product!A:C,3,FALSE),[1]Supplier!A:I,9,FALSE)</f>
        <v>UK</v>
      </c>
      <c r="S1521" t="str">
        <f>IFERROR(IF(VLOOKUP(A1521,'[1]Sales Order'!A:H,8,FALSE)&gt;100,"High Freight","Low Freight"),"Not Specified")</f>
        <v>Low Freight</v>
      </c>
      <c r="T1521">
        <f t="shared" si="47"/>
        <v>300</v>
      </c>
    </row>
    <row r="1522" spans="1:20">
      <c r="A1522" s="1">
        <v>10831</v>
      </c>
      <c r="B1522" s="2">
        <v>19</v>
      </c>
      <c r="C1522" s="2">
        <v>9.1999999999999993</v>
      </c>
      <c r="D1522" s="2">
        <v>2</v>
      </c>
      <c r="E1522" s="3">
        <v>0</v>
      </c>
      <c r="F1522" s="2" t="str">
        <f>IFERROR(VLOOKUP(VLOOKUP(A1522,'[1]Sales Order'!A:B,2,FALSE),[1]Customer!A:C,3,FALSE),"Not Specified")</f>
        <v>Ginters, Kaspars</v>
      </c>
      <c r="G1522" s="2" t="str">
        <f t="shared" si="46"/>
        <v>Ginters Kaspars</v>
      </c>
      <c r="H1522" s="8" t="str">
        <f>IFERROR(VLOOKUP(VLOOKUP(A1522,'[1]Sales Order'!A:C,3,FALSE),[1]Employee!A:E,5,FALSE)&amp;" "&amp;VLOOKUP(VLOOKUP(A1522,'[1]Sales Order'!A:C,3,FALSE),[1]Employee!A:C,3,FALSE)&amp;" "&amp;VLOOKUP(VLOOKUP(A1522,'[1]Sales Order'!A:C,3,FALSE),[1]Employee!A:B,2,FALSE),"Not Specified")</f>
        <v>Ms. Judy Lew</v>
      </c>
      <c r="I1522" t="str">
        <f>IFERROR(VLOOKUP(VLOOKUP(A1522,'[1]Sales Order'!A:C,3,FALSE),[1]Employee!A:J,10,FALSE),"Not Specified")</f>
        <v>WA</v>
      </c>
      <c r="J1522" t="str">
        <f>VLOOKUP(B1522,[1]Product!A:B,2,FALSE)</f>
        <v>Product XKXDO</v>
      </c>
      <c r="K1522" t="str">
        <f>VLOOKUP(VLOOKUP(B1522,[1]Product!A:D,4,FALSE),[1]Category!A:B,2,FALSE)</f>
        <v>Confections</v>
      </c>
      <c r="L1522" s="10">
        <f>IFERROR(VLOOKUP(A1522,'[1]Sales Order'!A:D,4,FALSE),"")</f>
        <v>39461</v>
      </c>
      <c r="M1522" s="10">
        <f>IFERROR(VLOOKUP(A1522,'[1]Sales Order'!A:F,6,FALSE),"")</f>
        <v>39470</v>
      </c>
      <c r="N1522" t="str">
        <f>IFERROR(VLOOKUP(VLOOKUP(A1522,'[1]Sales Order'!A:G,7,FALSE),[1]Shipper!A:B,2,FALSE),"Not Specified")</f>
        <v>Shipper ETYNR</v>
      </c>
      <c r="O1522" t="str">
        <f>IFERROR(VLOOKUP(A1522,'[1]Sales Order'!A:I,9,FALSE),"Not Specified")</f>
        <v>Ship to 70-B</v>
      </c>
      <c r="P1522" t="str">
        <f>IFERROR(VLOOKUP(A1522,'[1]Sales Order'!A:N,14,FALSE),"Not Specified")</f>
        <v>Norway</v>
      </c>
      <c r="Q1522" t="str">
        <f>VLOOKUP(VLOOKUP(B1522,[1]Product!A:C,3,FALSE),[1]Supplier!A:B,2,FALSE)</f>
        <v>Supplier BWGYE</v>
      </c>
      <c r="R1522" t="str">
        <f>VLOOKUP(VLOOKUP(B1522,[1]Product!A:C,3,FALSE),[1]Supplier!A:I,9,FALSE)</f>
        <v>UK</v>
      </c>
      <c r="S1522" t="str">
        <f>IFERROR(IF(VLOOKUP(A1522,'[1]Sales Order'!A:H,8,FALSE)&gt;100,"High Freight","Low Freight"),"Not Specified")</f>
        <v>Low Freight</v>
      </c>
      <c r="T1522">
        <f t="shared" si="47"/>
        <v>18.399999999999999</v>
      </c>
    </row>
    <row r="1523" spans="1:20">
      <c r="A1523" s="1">
        <v>10831</v>
      </c>
      <c r="B1523" s="2">
        <v>35</v>
      </c>
      <c r="C1523" s="2">
        <v>18</v>
      </c>
      <c r="D1523" s="2">
        <v>8</v>
      </c>
      <c r="E1523" s="3">
        <v>0</v>
      </c>
      <c r="F1523" s="2" t="str">
        <f>IFERROR(VLOOKUP(VLOOKUP(A1523,'[1]Sales Order'!A:B,2,FALSE),[1]Customer!A:C,3,FALSE),"Not Specified")</f>
        <v>Ginters, Kaspars</v>
      </c>
      <c r="G1523" s="2" t="str">
        <f t="shared" si="46"/>
        <v>Ginters Kaspars</v>
      </c>
      <c r="H1523" s="8" t="str">
        <f>IFERROR(VLOOKUP(VLOOKUP(A1523,'[1]Sales Order'!A:C,3,FALSE),[1]Employee!A:E,5,FALSE)&amp;" "&amp;VLOOKUP(VLOOKUP(A1523,'[1]Sales Order'!A:C,3,FALSE),[1]Employee!A:C,3,FALSE)&amp;" "&amp;VLOOKUP(VLOOKUP(A1523,'[1]Sales Order'!A:C,3,FALSE),[1]Employee!A:B,2,FALSE),"Not Specified")</f>
        <v>Ms. Judy Lew</v>
      </c>
      <c r="I1523" t="str">
        <f>IFERROR(VLOOKUP(VLOOKUP(A1523,'[1]Sales Order'!A:C,3,FALSE),[1]Employee!A:J,10,FALSE),"Not Specified")</f>
        <v>WA</v>
      </c>
      <c r="J1523" t="str">
        <f>VLOOKUP(B1523,[1]Product!A:B,2,FALSE)</f>
        <v>Product NEVTJ</v>
      </c>
      <c r="K1523" t="str">
        <f>VLOOKUP(VLOOKUP(B1523,[1]Product!A:D,4,FALSE),[1]Category!A:B,2,FALSE)</f>
        <v>Beverages</v>
      </c>
      <c r="L1523" s="10">
        <f>IFERROR(VLOOKUP(A1523,'[1]Sales Order'!A:D,4,FALSE),"")</f>
        <v>39461</v>
      </c>
      <c r="M1523" s="10">
        <f>IFERROR(VLOOKUP(A1523,'[1]Sales Order'!A:F,6,FALSE),"")</f>
        <v>39470</v>
      </c>
      <c r="N1523" t="str">
        <f>IFERROR(VLOOKUP(VLOOKUP(A1523,'[1]Sales Order'!A:G,7,FALSE),[1]Shipper!A:B,2,FALSE),"Not Specified")</f>
        <v>Shipper ETYNR</v>
      </c>
      <c r="O1523" t="str">
        <f>IFERROR(VLOOKUP(A1523,'[1]Sales Order'!A:I,9,FALSE),"Not Specified")</f>
        <v>Ship to 70-B</v>
      </c>
      <c r="P1523" t="str">
        <f>IFERROR(VLOOKUP(A1523,'[1]Sales Order'!A:N,14,FALSE),"Not Specified")</f>
        <v>Norway</v>
      </c>
      <c r="Q1523" t="str">
        <f>VLOOKUP(VLOOKUP(B1523,[1]Product!A:C,3,FALSE),[1]Supplier!A:B,2,FALSE)</f>
        <v>Supplier UHZRG</v>
      </c>
      <c r="R1523" t="str">
        <f>VLOOKUP(VLOOKUP(B1523,[1]Product!A:C,3,FALSE),[1]Supplier!A:I,9,FALSE)</f>
        <v>USA</v>
      </c>
      <c r="S1523" t="str">
        <f>IFERROR(IF(VLOOKUP(A1523,'[1]Sales Order'!A:H,8,FALSE)&gt;100,"High Freight","Low Freight"),"Not Specified")</f>
        <v>Low Freight</v>
      </c>
      <c r="T1523">
        <f t="shared" si="47"/>
        <v>144</v>
      </c>
    </row>
    <row r="1524" spans="1:20">
      <c r="A1524" s="1">
        <v>10831</v>
      </c>
      <c r="B1524" s="2">
        <v>38</v>
      </c>
      <c r="C1524" s="2">
        <v>263.5</v>
      </c>
      <c r="D1524" s="2">
        <v>8</v>
      </c>
      <c r="E1524" s="3">
        <v>0</v>
      </c>
      <c r="F1524" s="2" t="str">
        <f>IFERROR(VLOOKUP(VLOOKUP(A1524,'[1]Sales Order'!A:B,2,FALSE),[1]Customer!A:C,3,FALSE),"Not Specified")</f>
        <v>Ginters, Kaspars</v>
      </c>
      <c r="G1524" s="2" t="str">
        <f t="shared" si="46"/>
        <v>Ginters Kaspars</v>
      </c>
      <c r="H1524" s="8" t="str">
        <f>IFERROR(VLOOKUP(VLOOKUP(A1524,'[1]Sales Order'!A:C,3,FALSE),[1]Employee!A:E,5,FALSE)&amp;" "&amp;VLOOKUP(VLOOKUP(A1524,'[1]Sales Order'!A:C,3,FALSE),[1]Employee!A:C,3,FALSE)&amp;" "&amp;VLOOKUP(VLOOKUP(A1524,'[1]Sales Order'!A:C,3,FALSE),[1]Employee!A:B,2,FALSE),"Not Specified")</f>
        <v>Ms. Judy Lew</v>
      </c>
      <c r="I1524" t="str">
        <f>IFERROR(VLOOKUP(VLOOKUP(A1524,'[1]Sales Order'!A:C,3,FALSE),[1]Employee!A:J,10,FALSE),"Not Specified")</f>
        <v>WA</v>
      </c>
      <c r="J1524" t="str">
        <f>VLOOKUP(B1524,[1]Product!A:B,2,FALSE)</f>
        <v>Product QDOMO</v>
      </c>
      <c r="K1524" t="str">
        <f>VLOOKUP(VLOOKUP(B1524,[1]Product!A:D,4,FALSE),[1]Category!A:B,2,FALSE)</f>
        <v>Beverages</v>
      </c>
      <c r="L1524" s="10">
        <f>IFERROR(VLOOKUP(A1524,'[1]Sales Order'!A:D,4,FALSE),"")</f>
        <v>39461</v>
      </c>
      <c r="M1524" s="10">
        <f>IFERROR(VLOOKUP(A1524,'[1]Sales Order'!A:F,6,FALSE),"")</f>
        <v>39470</v>
      </c>
      <c r="N1524" t="str">
        <f>IFERROR(VLOOKUP(VLOOKUP(A1524,'[1]Sales Order'!A:G,7,FALSE),[1]Shipper!A:B,2,FALSE),"Not Specified")</f>
        <v>Shipper ETYNR</v>
      </c>
      <c r="O1524" t="str">
        <f>IFERROR(VLOOKUP(A1524,'[1]Sales Order'!A:I,9,FALSE),"Not Specified")</f>
        <v>Ship to 70-B</v>
      </c>
      <c r="P1524" t="str">
        <f>IFERROR(VLOOKUP(A1524,'[1]Sales Order'!A:N,14,FALSE),"Not Specified")</f>
        <v>Norway</v>
      </c>
      <c r="Q1524" t="str">
        <f>VLOOKUP(VLOOKUP(B1524,[1]Product!A:C,3,FALSE),[1]Supplier!A:B,2,FALSE)</f>
        <v>Supplier LVJUA</v>
      </c>
      <c r="R1524" t="str">
        <f>VLOOKUP(VLOOKUP(B1524,[1]Product!A:C,3,FALSE),[1]Supplier!A:I,9,FALSE)</f>
        <v>France</v>
      </c>
      <c r="S1524" t="str">
        <f>IFERROR(IF(VLOOKUP(A1524,'[1]Sales Order'!A:H,8,FALSE)&gt;100,"High Freight","Low Freight"),"Not Specified")</f>
        <v>Low Freight</v>
      </c>
      <c r="T1524">
        <f t="shared" si="47"/>
        <v>2108</v>
      </c>
    </row>
    <row r="1525" spans="1:20">
      <c r="A1525" s="1">
        <v>10831</v>
      </c>
      <c r="B1525" s="2">
        <v>43</v>
      </c>
      <c r="C1525" s="2">
        <v>46</v>
      </c>
      <c r="D1525" s="2">
        <v>9</v>
      </c>
      <c r="E1525" s="3">
        <v>0</v>
      </c>
      <c r="F1525" s="2" t="str">
        <f>IFERROR(VLOOKUP(VLOOKUP(A1525,'[1]Sales Order'!A:B,2,FALSE),[1]Customer!A:C,3,FALSE),"Not Specified")</f>
        <v>Ginters, Kaspars</v>
      </c>
      <c r="G1525" s="2" t="str">
        <f t="shared" si="46"/>
        <v>Ginters Kaspars</v>
      </c>
      <c r="H1525" s="8" t="str">
        <f>IFERROR(VLOOKUP(VLOOKUP(A1525,'[1]Sales Order'!A:C,3,FALSE),[1]Employee!A:E,5,FALSE)&amp;" "&amp;VLOOKUP(VLOOKUP(A1525,'[1]Sales Order'!A:C,3,FALSE),[1]Employee!A:C,3,FALSE)&amp;" "&amp;VLOOKUP(VLOOKUP(A1525,'[1]Sales Order'!A:C,3,FALSE),[1]Employee!A:B,2,FALSE),"Not Specified")</f>
        <v>Ms. Judy Lew</v>
      </c>
      <c r="I1525" t="str">
        <f>IFERROR(VLOOKUP(VLOOKUP(A1525,'[1]Sales Order'!A:C,3,FALSE),[1]Employee!A:J,10,FALSE),"Not Specified")</f>
        <v>WA</v>
      </c>
      <c r="J1525" t="str">
        <f>VLOOKUP(B1525,[1]Product!A:B,2,FALSE)</f>
        <v>Product ZZZHR</v>
      </c>
      <c r="K1525" t="str">
        <f>VLOOKUP(VLOOKUP(B1525,[1]Product!A:D,4,FALSE),[1]Category!A:B,2,FALSE)</f>
        <v>Beverages</v>
      </c>
      <c r="L1525" s="10">
        <f>IFERROR(VLOOKUP(A1525,'[1]Sales Order'!A:D,4,FALSE),"")</f>
        <v>39461</v>
      </c>
      <c r="M1525" s="10">
        <f>IFERROR(VLOOKUP(A1525,'[1]Sales Order'!A:F,6,FALSE),"")</f>
        <v>39470</v>
      </c>
      <c r="N1525" t="str">
        <f>IFERROR(VLOOKUP(VLOOKUP(A1525,'[1]Sales Order'!A:G,7,FALSE),[1]Shipper!A:B,2,FALSE),"Not Specified")</f>
        <v>Shipper ETYNR</v>
      </c>
      <c r="O1525" t="str">
        <f>IFERROR(VLOOKUP(A1525,'[1]Sales Order'!A:I,9,FALSE),"Not Specified")</f>
        <v>Ship to 70-B</v>
      </c>
      <c r="P1525" t="str">
        <f>IFERROR(VLOOKUP(A1525,'[1]Sales Order'!A:N,14,FALSE),"Not Specified")</f>
        <v>Norway</v>
      </c>
      <c r="Q1525" t="str">
        <f>VLOOKUP(VLOOKUP(B1525,[1]Product!A:C,3,FALSE),[1]Supplier!A:B,2,FALSE)</f>
        <v>Supplier CIYNM</v>
      </c>
      <c r="R1525" t="str">
        <f>VLOOKUP(VLOOKUP(B1525,[1]Product!A:C,3,FALSE),[1]Supplier!A:I,9,FALSE)</f>
        <v>Singapore</v>
      </c>
      <c r="S1525" t="str">
        <f>IFERROR(IF(VLOOKUP(A1525,'[1]Sales Order'!A:H,8,FALSE)&gt;100,"High Freight","Low Freight"),"Not Specified")</f>
        <v>Low Freight</v>
      </c>
      <c r="T1525">
        <f t="shared" si="47"/>
        <v>414</v>
      </c>
    </row>
    <row r="1526" spans="1:20">
      <c r="A1526" s="1">
        <v>10832</v>
      </c>
      <c r="B1526" s="2">
        <v>13</v>
      </c>
      <c r="C1526" s="2">
        <v>6</v>
      </c>
      <c r="D1526" s="2">
        <v>3</v>
      </c>
      <c r="E1526" s="3">
        <v>0.2</v>
      </c>
      <c r="F1526" s="2" t="str">
        <f>IFERROR(VLOOKUP(VLOOKUP(A1526,'[1]Sales Order'!A:B,2,FALSE),[1]Customer!A:C,3,FALSE),"Not Specified")</f>
        <v>Litton, Tim</v>
      </c>
      <c r="G1526" s="2" t="str">
        <f t="shared" si="46"/>
        <v>Litton Tim</v>
      </c>
      <c r="H1526" s="8" t="str">
        <f>IFERROR(VLOOKUP(VLOOKUP(A1526,'[1]Sales Order'!A:C,3,FALSE),[1]Employee!A:E,5,FALSE)&amp;" "&amp;VLOOKUP(VLOOKUP(A1526,'[1]Sales Order'!A:C,3,FALSE),[1]Employee!A:C,3,FALSE)&amp;" "&amp;VLOOKUP(VLOOKUP(A1526,'[1]Sales Order'!A:C,3,FALSE),[1]Employee!A:B,2,FALSE),"Not Specified")</f>
        <v>Dr. Don Funk</v>
      </c>
      <c r="I1526" t="str">
        <f>IFERROR(VLOOKUP(VLOOKUP(A1526,'[1]Sales Order'!A:C,3,FALSE),[1]Employee!A:J,10,FALSE),"Not Specified")</f>
        <v>WA</v>
      </c>
      <c r="J1526" t="str">
        <f>VLOOKUP(B1526,[1]Product!A:B,2,FALSE)</f>
        <v>Product POXFU</v>
      </c>
      <c r="K1526" t="str">
        <f>VLOOKUP(VLOOKUP(B1526,[1]Product!A:D,4,FALSE),[1]Category!A:B,2,FALSE)</f>
        <v>Seafood</v>
      </c>
      <c r="L1526" s="10">
        <f>IFERROR(VLOOKUP(A1526,'[1]Sales Order'!A:D,4,FALSE),"")</f>
        <v>39461</v>
      </c>
      <c r="M1526" s="10">
        <f>IFERROR(VLOOKUP(A1526,'[1]Sales Order'!A:F,6,FALSE),"")</f>
        <v>39466</v>
      </c>
      <c r="N1526" t="str">
        <f>IFERROR(VLOOKUP(VLOOKUP(A1526,'[1]Sales Order'!A:G,7,FALSE),[1]Shipper!A:B,2,FALSE),"Not Specified")</f>
        <v>Shipper ETYNR</v>
      </c>
      <c r="O1526" t="str">
        <f>IFERROR(VLOOKUP(A1526,'[1]Sales Order'!A:I,9,FALSE),"Not Specified")</f>
        <v>Ship to 41-C</v>
      </c>
      <c r="P1526" t="str">
        <f>IFERROR(VLOOKUP(A1526,'[1]Sales Order'!A:N,14,FALSE),"Not Specified")</f>
        <v>France</v>
      </c>
      <c r="Q1526" t="str">
        <f>VLOOKUP(VLOOKUP(B1526,[1]Product!A:C,3,FALSE),[1]Supplier!A:B,2,FALSE)</f>
        <v>Supplier QWUSF</v>
      </c>
      <c r="R1526" t="str">
        <f>VLOOKUP(VLOOKUP(B1526,[1]Product!A:C,3,FALSE),[1]Supplier!A:I,9,FALSE)</f>
        <v>Japan</v>
      </c>
      <c r="S1526" t="str">
        <f>IFERROR(IF(VLOOKUP(A1526,'[1]Sales Order'!A:H,8,FALSE)&gt;100,"High Freight","Low Freight"),"Not Specified")</f>
        <v>Low Freight</v>
      </c>
      <c r="T1526">
        <f t="shared" si="47"/>
        <v>14.4</v>
      </c>
    </row>
    <row r="1527" spans="1:20">
      <c r="A1527" s="1">
        <v>10832</v>
      </c>
      <c r="B1527" s="2">
        <v>25</v>
      </c>
      <c r="C1527" s="2">
        <v>14</v>
      </c>
      <c r="D1527" s="2">
        <v>10</v>
      </c>
      <c r="E1527" s="3">
        <v>0.2</v>
      </c>
      <c r="F1527" s="2" t="str">
        <f>IFERROR(VLOOKUP(VLOOKUP(A1527,'[1]Sales Order'!A:B,2,FALSE),[1]Customer!A:C,3,FALSE),"Not Specified")</f>
        <v>Litton, Tim</v>
      </c>
      <c r="G1527" s="2" t="str">
        <f t="shared" si="46"/>
        <v>Litton Tim</v>
      </c>
      <c r="H1527" s="8" t="str">
        <f>IFERROR(VLOOKUP(VLOOKUP(A1527,'[1]Sales Order'!A:C,3,FALSE),[1]Employee!A:E,5,FALSE)&amp;" "&amp;VLOOKUP(VLOOKUP(A1527,'[1]Sales Order'!A:C,3,FALSE),[1]Employee!A:C,3,FALSE)&amp;" "&amp;VLOOKUP(VLOOKUP(A1527,'[1]Sales Order'!A:C,3,FALSE),[1]Employee!A:B,2,FALSE),"Not Specified")</f>
        <v>Dr. Don Funk</v>
      </c>
      <c r="I1527" t="str">
        <f>IFERROR(VLOOKUP(VLOOKUP(A1527,'[1]Sales Order'!A:C,3,FALSE),[1]Employee!A:J,10,FALSE),"Not Specified")</f>
        <v>WA</v>
      </c>
      <c r="J1527" t="str">
        <f>VLOOKUP(B1527,[1]Product!A:B,2,FALSE)</f>
        <v>Product LYLNI</v>
      </c>
      <c r="K1527" t="str">
        <f>VLOOKUP(VLOOKUP(B1527,[1]Product!A:D,4,FALSE),[1]Category!A:B,2,FALSE)</f>
        <v>Confections</v>
      </c>
      <c r="L1527" s="10">
        <f>IFERROR(VLOOKUP(A1527,'[1]Sales Order'!A:D,4,FALSE),"")</f>
        <v>39461</v>
      </c>
      <c r="M1527" s="10">
        <f>IFERROR(VLOOKUP(A1527,'[1]Sales Order'!A:F,6,FALSE),"")</f>
        <v>39466</v>
      </c>
      <c r="N1527" t="str">
        <f>IFERROR(VLOOKUP(VLOOKUP(A1527,'[1]Sales Order'!A:G,7,FALSE),[1]Shipper!A:B,2,FALSE),"Not Specified")</f>
        <v>Shipper ETYNR</v>
      </c>
      <c r="O1527" t="str">
        <f>IFERROR(VLOOKUP(A1527,'[1]Sales Order'!A:I,9,FALSE),"Not Specified")</f>
        <v>Ship to 41-C</v>
      </c>
      <c r="P1527" t="str">
        <f>IFERROR(VLOOKUP(A1527,'[1]Sales Order'!A:N,14,FALSE),"Not Specified")</f>
        <v>France</v>
      </c>
      <c r="Q1527" t="str">
        <f>VLOOKUP(VLOOKUP(B1527,[1]Product!A:C,3,FALSE),[1]Supplier!A:B,2,FALSE)</f>
        <v>Supplier ZPYVS</v>
      </c>
      <c r="R1527" t="str">
        <f>VLOOKUP(VLOOKUP(B1527,[1]Product!A:C,3,FALSE),[1]Supplier!A:I,9,FALSE)</f>
        <v>Germany</v>
      </c>
      <c r="S1527" t="str">
        <f>IFERROR(IF(VLOOKUP(A1527,'[1]Sales Order'!A:H,8,FALSE)&gt;100,"High Freight","Low Freight"),"Not Specified")</f>
        <v>Low Freight</v>
      </c>
      <c r="T1527">
        <f t="shared" si="47"/>
        <v>112</v>
      </c>
    </row>
    <row r="1528" spans="1:20">
      <c r="A1528" s="1">
        <v>10832</v>
      </c>
      <c r="B1528" s="2">
        <v>44</v>
      </c>
      <c r="C1528" s="2">
        <v>19.45</v>
      </c>
      <c r="D1528" s="2">
        <v>16</v>
      </c>
      <c r="E1528" s="3">
        <v>0.2</v>
      </c>
      <c r="F1528" s="2" t="str">
        <f>IFERROR(VLOOKUP(VLOOKUP(A1528,'[1]Sales Order'!A:B,2,FALSE),[1]Customer!A:C,3,FALSE),"Not Specified")</f>
        <v>Litton, Tim</v>
      </c>
      <c r="G1528" s="2" t="str">
        <f t="shared" si="46"/>
        <v>Litton Tim</v>
      </c>
      <c r="H1528" s="8" t="str">
        <f>IFERROR(VLOOKUP(VLOOKUP(A1528,'[1]Sales Order'!A:C,3,FALSE),[1]Employee!A:E,5,FALSE)&amp;" "&amp;VLOOKUP(VLOOKUP(A1528,'[1]Sales Order'!A:C,3,FALSE),[1]Employee!A:C,3,FALSE)&amp;" "&amp;VLOOKUP(VLOOKUP(A1528,'[1]Sales Order'!A:C,3,FALSE),[1]Employee!A:B,2,FALSE),"Not Specified")</f>
        <v>Dr. Don Funk</v>
      </c>
      <c r="I1528" t="str">
        <f>IFERROR(VLOOKUP(VLOOKUP(A1528,'[1]Sales Order'!A:C,3,FALSE),[1]Employee!A:J,10,FALSE),"Not Specified")</f>
        <v>WA</v>
      </c>
      <c r="J1528" t="str">
        <f>VLOOKUP(B1528,[1]Product!A:B,2,FALSE)</f>
        <v>Product VJIEO</v>
      </c>
      <c r="K1528" t="str">
        <f>VLOOKUP(VLOOKUP(B1528,[1]Product!A:D,4,FALSE),[1]Category!A:B,2,FALSE)</f>
        <v>Condiments</v>
      </c>
      <c r="L1528" s="10">
        <f>IFERROR(VLOOKUP(A1528,'[1]Sales Order'!A:D,4,FALSE),"")</f>
        <v>39461</v>
      </c>
      <c r="M1528" s="10">
        <f>IFERROR(VLOOKUP(A1528,'[1]Sales Order'!A:F,6,FALSE),"")</f>
        <v>39466</v>
      </c>
      <c r="N1528" t="str">
        <f>IFERROR(VLOOKUP(VLOOKUP(A1528,'[1]Sales Order'!A:G,7,FALSE),[1]Shipper!A:B,2,FALSE),"Not Specified")</f>
        <v>Shipper ETYNR</v>
      </c>
      <c r="O1528" t="str">
        <f>IFERROR(VLOOKUP(A1528,'[1]Sales Order'!A:I,9,FALSE),"Not Specified")</f>
        <v>Ship to 41-C</v>
      </c>
      <c r="P1528" t="str">
        <f>IFERROR(VLOOKUP(A1528,'[1]Sales Order'!A:N,14,FALSE),"Not Specified")</f>
        <v>France</v>
      </c>
      <c r="Q1528" t="str">
        <f>VLOOKUP(VLOOKUP(B1528,[1]Product!A:C,3,FALSE),[1]Supplier!A:B,2,FALSE)</f>
        <v>Supplier CIYNM</v>
      </c>
      <c r="R1528" t="str">
        <f>VLOOKUP(VLOOKUP(B1528,[1]Product!A:C,3,FALSE),[1]Supplier!A:I,9,FALSE)</f>
        <v>Singapore</v>
      </c>
      <c r="S1528" t="str">
        <f>IFERROR(IF(VLOOKUP(A1528,'[1]Sales Order'!A:H,8,FALSE)&gt;100,"High Freight","Low Freight"),"Not Specified")</f>
        <v>Low Freight</v>
      </c>
      <c r="T1528">
        <f t="shared" si="47"/>
        <v>248.96</v>
      </c>
    </row>
    <row r="1529" spans="1:20">
      <c r="A1529" s="1">
        <v>10832</v>
      </c>
      <c r="B1529" s="2">
        <v>64</v>
      </c>
      <c r="C1529" s="2">
        <v>33.25</v>
      </c>
      <c r="D1529" s="2">
        <v>3</v>
      </c>
      <c r="E1529" s="3">
        <v>0</v>
      </c>
      <c r="F1529" s="2" t="str">
        <f>IFERROR(VLOOKUP(VLOOKUP(A1529,'[1]Sales Order'!A:B,2,FALSE),[1]Customer!A:C,3,FALSE),"Not Specified")</f>
        <v>Litton, Tim</v>
      </c>
      <c r="G1529" s="2" t="str">
        <f t="shared" si="46"/>
        <v>Litton Tim</v>
      </c>
      <c r="H1529" s="8" t="str">
        <f>IFERROR(VLOOKUP(VLOOKUP(A1529,'[1]Sales Order'!A:C,3,FALSE),[1]Employee!A:E,5,FALSE)&amp;" "&amp;VLOOKUP(VLOOKUP(A1529,'[1]Sales Order'!A:C,3,FALSE),[1]Employee!A:C,3,FALSE)&amp;" "&amp;VLOOKUP(VLOOKUP(A1529,'[1]Sales Order'!A:C,3,FALSE),[1]Employee!A:B,2,FALSE),"Not Specified")</f>
        <v>Dr. Don Funk</v>
      </c>
      <c r="I1529" t="str">
        <f>IFERROR(VLOOKUP(VLOOKUP(A1529,'[1]Sales Order'!A:C,3,FALSE),[1]Employee!A:J,10,FALSE),"Not Specified")</f>
        <v>WA</v>
      </c>
      <c r="J1529" t="str">
        <f>VLOOKUP(B1529,[1]Product!A:B,2,FALSE)</f>
        <v>Product HCQDE</v>
      </c>
      <c r="K1529" t="str">
        <f>VLOOKUP(VLOOKUP(B1529,[1]Product!A:D,4,FALSE),[1]Category!A:B,2,FALSE)</f>
        <v>Grains/Cereals</v>
      </c>
      <c r="L1529" s="10">
        <f>IFERROR(VLOOKUP(A1529,'[1]Sales Order'!A:D,4,FALSE),"")</f>
        <v>39461</v>
      </c>
      <c r="M1529" s="10">
        <f>IFERROR(VLOOKUP(A1529,'[1]Sales Order'!A:F,6,FALSE),"")</f>
        <v>39466</v>
      </c>
      <c r="N1529" t="str">
        <f>IFERROR(VLOOKUP(VLOOKUP(A1529,'[1]Sales Order'!A:G,7,FALSE),[1]Shipper!A:B,2,FALSE),"Not Specified")</f>
        <v>Shipper ETYNR</v>
      </c>
      <c r="O1529" t="str">
        <f>IFERROR(VLOOKUP(A1529,'[1]Sales Order'!A:I,9,FALSE),"Not Specified")</f>
        <v>Ship to 41-C</v>
      </c>
      <c r="P1529" t="str">
        <f>IFERROR(VLOOKUP(A1529,'[1]Sales Order'!A:N,14,FALSE),"Not Specified")</f>
        <v>France</v>
      </c>
      <c r="Q1529" t="str">
        <f>VLOOKUP(VLOOKUP(B1529,[1]Product!A:C,3,FALSE),[1]Supplier!A:B,2,FALSE)</f>
        <v>Supplier SVIYA</v>
      </c>
      <c r="R1529" t="str">
        <f>VLOOKUP(VLOOKUP(B1529,[1]Product!A:C,3,FALSE),[1]Supplier!A:I,9,FALSE)</f>
        <v>Germany</v>
      </c>
      <c r="S1529" t="str">
        <f>IFERROR(IF(VLOOKUP(A1529,'[1]Sales Order'!A:H,8,FALSE)&gt;100,"High Freight","Low Freight"),"Not Specified")</f>
        <v>Low Freight</v>
      </c>
      <c r="T1529">
        <f t="shared" si="47"/>
        <v>99.75</v>
      </c>
    </row>
    <row r="1530" spans="1:20">
      <c r="A1530" s="1">
        <v>10833</v>
      </c>
      <c r="B1530" s="2">
        <v>7</v>
      </c>
      <c r="C1530" s="2">
        <v>30</v>
      </c>
      <c r="D1530" s="2">
        <v>20</v>
      </c>
      <c r="E1530" s="3">
        <v>0.1</v>
      </c>
      <c r="F1530" s="2" t="str">
        <f>IFERROR(VLOOKUP(VLOOKUP(A1530,'[1]Sales Order'!A:B,2,FALSE),[1]Customer!A:C,3,FALSE),"Not Specified")</f>
        <v>Marinova, Nadejda</v>
      </c>
      <c r="G1530" s="2" t="str">
        <f t="shared" si="46"/>
        <v>Marinova Nadejda</v>
      </c>
      <c r="H1530" s="8" t="str">
        <f>IFERROR(VLOOKUP(VLOOKUP(A1530,'[1]Sales Order'!A:C,3,FALSE),[1]Employee!A:E,5,FALSE)&amp;" "&amp;VLOOKUP(VLOOKUP(A1530,'[1]Sales Order'!A:C,3,FALSE),[1]Employee!A:C,3,FALSE)&amp;" "&amp;VLOOKUP(VLOOKUP(A1530,'[1]Sales Order'!A:C,3,FALSE),[1]Employee!A:B,2,FALSE),"Not Specified")</f>
        <v>Mr. Paul Suurs</v>
      </c>
      <c r="I1530">
        <f>IFERROR(VLOOKUP(VLOOKUP(A1530,'[1]Sales Order'!A:C,3,FALSE),[1]Employee!A:J,10,FALSE),"Not Specified")</f>
        <v>0</v>
      </c>
      <c r="J1530" t="str">
        <f>VLOOKUP(B1530,[1]Product!A:B,2,FALSE)</f>
        <v>Product HMLNI</v>
      </c>
      <c r="K1530" t="str">
        <f>VLOOKUP(VLOOKUP(B1530,[1]Product!A:D,4,FALSE),[1]Category!A:B,2,FALSE)</f>
        <v>Produce</v>
      </c>
      <c r="L1530" s="10">
        <f>IFERROR(VLOOKUP(A1530,'[1]Sales Order'!A:D,4,FALSE),"")</f>
        <v>39462</v>
      </c>
      <c r="M1530" s="10">
        <f>IFERROR(VLOOKUP(A1530,'[1]Sales Order'!A:F,6,FALSE),"")</f>
        <v>39470</v>
      </c>
      <c r="N1530" t="str">
        <f>IFERROR(VLOOKUP(VLOOKUP(A1530,'[1]Sales Order'!A:G,7,FALSE),[1]Shipper!A:B,2,FALSE),"Not Specified")</f>
        <v>Shipper ETYNR</v>
      </c>
      <c r="O1530" t="str">
        <f>IFERROR(VLOOKUP(A1530,'[1]Sales Order'!A:I,9,FALSE),"Not Specified")</f>
        <v>Ship to 56-B</v>
      </c>
      <c r="P1530" t="str">
        <f>IFERROR(VLOOKUP(A1530,'[1]Sales Order'!A:N,14,FALSE),"Not Specified")</f>
        <v>Germany</v>
      </c>
      <c r="Q1530" t="str">
        <f>VLOOKUP(VLOOKUP(B1530,[1]Product!A:C,3,FALSE),[1]Supplier!A:B,2,FALSE)</f>
        <v>Supplier STUAZ</v>
      </c>
      <c r="R1530" t="str">
        <f>VLOOKUP(VLOOKUP(B1530,[1]Product!A:C,3,FALSE),[1]Supplier!A:I,9,FALSE)</f>
        <v>USA</v>
      </c>
      <c r="S1530" t="str">
        <f>IFERROR(IF(VLOOKUP(A1530,'[1]Sales Order'!A:H,8,FALSE)&gt;100,"High Freight","Low Freight"),"Not Specified")</f>
        <v>Low Freight</v>
      </c>
      <c r="T1530">
        <f t="shared" si="47"/>
        <v>540</v>
      </c>
    </row>
    <row r="1531" spans="1:20">
      <c r="A1531" s="1">
        <v>10833</v>
      </c>
      <c r="B1531" s="2">
        <v>31</v>
      </c>
      <c r="C1531" s="2">
        <v>12.5</v>
      </c>
      <c r="D1531" s="2">
        <v>9</v>
      </c>
      <c r="E1531" s="3">
        <v>0.1</v>
      </c>
      <c r="F1531" s="2" t="str">
        <f>IFERROR(VLOOKUP(VLOOKUP(A1531,'[1]Sales Order'!A:B,2,FALSE),[1]Customer!A:C,3,FALSE),"Not Specified")</f>
        <v>Marinova, Nadejda</v>
      </c>
      <c r="G1531" s="2" t="str">
        <f t="shared" si="46"/>
        <v>Marinova Nadejda</v>
      </c>
      <c r="H1531" s="8" t="str">
        <f>IFERROR(VLOOKUP(VLOOKUP(A1531,'[1]Sales Order'!A:C,3,FALSE),[1]Employee!A:E,5,FALSE)&amp;" "&amp;VLOOKUP(VLOOKUP(A1531,'[1]Sales Order'!A:C,3,FALSE),[1]Employee!A:C,3,FALSE)&amp;" "&amp;VLOOKUP(VLOOKUP(A1531,'[1]Sales Order'!A:C,3,FALSE),[1]Employee!A:B,2,FALSE),"Not Specified")</f>
        <v>Mr. Paul Suurs</v>
      </c>
      <c r="I1531">
        <f>IFERROR(VLOOKUP(VLOOKUP(A1531,'[1]Sales Order'!A:C,3,FALSE),[1]Employee!A:J,10,FALSE),"Not Specified")</f>
        <v>0</v>
      </c>
      <c r="J1531" t="str">
        <f>VLOOKUP(B1531,[1]Product!A:B,2,FALSE)</f>
        <v>Product XWOXC</v>
      </c>
      <c r="K1531" t="str">
        <f>VLOOKUP(VLOOKUP(B1531,[1]Product!A:D,4,FALSE),[1]Category!A:B,2,FALSE)</f>
        <v>Dairy Product</v>
      </c>
      <c r="L1531" s="10">
        <f>IFERROR(VLOOKUP(A1531,'[1]Sales Order'!A:D,4,FALSE),"")</f>
        <v>39462</v>
      </c>
      <c r="M1531" s="10">
        <f>IFERROR(VLOOKUP(A1531,'[1]Sales Order'!A:F,6,FALSE),"")</f>
        <v>39470</v>
      </c>
      <c r="N1531" t="str">
        <f>IFERROR(VLOOKUP(VLOOKUP(A1531,'[1]Sales Order'!A:G,7,FALSE),[1]Shipper!A:B,2,FALSE),"Not Specified")</f>
        <v>Shipper ETYNR</v>
      </c>
      <c r="O1531" t="str">
        <f>IFERROR(VLOOKUP(A1531,'[1]Sales Order'!A:I,9,FALSE),"Not Specified")</f>
        <v>Ship to 56-B</v>
      </c>
      <c r="P1531" t="str">
        <f>IFERROR(VLOOKUP(A1531,'[1]Sales Order'!A:N,14,FALSE),"Not Specified")</f>
        <v>Germany</v>
      </c>
      <c r="Q1531" t="str">
        <f>VLOOKUP(VLOOKUP(B1531,[1]Product!A:C,3,FALSE),[1]Supplier!A:B,2,FALSE)</f>
        <v>Supplier KEREV</v>
      </c>
      <c r="R1531" t="str">
        <f>VLOOKUP(VLOOKUP(B1531,[1]Product!A:C,3,FALSE),[1]Supplier!A:I,9,FALSE)</f>
        <v>Italy</v>
      </c>
      <c r="S1531" t="str">
        <f>IFERROR(IF(VLOOKUP(A1531,'[1]Sales Order'!A:H,8,FALSE)&gt;100,"High Freight","Low Freight"),"Not Specified")</f>
        <v>Low Freight</v>
      </c>
      <c r="T1531">
        <f t="shared" si="47"/>
        <v>101.25</v>
      </c>
    </row>
    <row r="1532" spans="1:20">
      <c r="A1532" s="1">
        <v>10833</v>
      </c>
      <c r="B1532" s="2">
        <v>53</v>
      </c>
      <c r="C1532" s="2">
        <v>32.799999999999997</v>
      </c>
      <c r="D1532" s="2">
        <v>9</v>
      </c>
      <c r="E1532" s="3">
        <v>0.1</v>
      </c>
      <c r="F1532" s="2" t="str">
        <f>IFERROR(VLOOKUP(VLOOKUP(A1532,'[1]Sales Order'!A:B,2,FALSE),[1]Customer!A:C,3,FALSE),"Not Specified")</f>
        <v>Marinova, Nadejda</v>
      </c>
      <c r="G1532" s="2" t="str">
        <f t="shared" si="46"/>
        <v>Marinova Nadejda</v>
      </c>
      <c r="H1532" s="8" t="str">
        <f>IFERROR(VLOOKUP(VLOOKUP(A1532,'[1]Sales Order'!A:C,3,FALSE),[1]Employee!A:E,5,FALSE)&amp;" "&amp;VLOOKUP(VLOOKUP(A1532,'[1]Sales Order'!A:C,3,FALSE),[1]Employee!A:C,3,FALSE)&amp;" "&amp;VLOOKUP(VLOOKUP(A1532,'[1]Sales Order'!A:C,3,FALSE),[1]Employee!A:B,2,FALSE),"Not Specified")</f>
        <v>Mr. Paul Suurs</v>
      </c>
      <c r="I1532">
        <f>IFERROR(VLOOKUP(VLOOKUP(A1532,'[1]Sales Order'!A:C,3,FALSE),[1]Employee!A:J,10,FALSE),"Not Specified")</f>
        <v>0</v>
      </c>
      <c r="J1532" t="str">
        <f>VLOOKUP(B1532,[1]Product!A:B,2,FALSE)</f>
        <v>Product BKGEA</v>
      </c>
      <c r="K1532" t="str">
        <f>VLOOKUP(VLOOKUP(B1532,[1]Product!A:D,4,FALSE),[1]Category!A:B,2,FALSE)</f>
        <v>Meat/Poultry</v>
      </c>
      <c r="L1532" s="10">
        <f>IFERROR(VLOOKUP(A1532,'[1]Sales Order'!A:D,4,FALSE),"")</f>
        <v>39462</v>
      </c>
      <c r="M1532" s="10">
        <f>IFERROR(VLOOKUP(A1532,'[1]Sales Order'!A:F,6,FALSE),"")</f>
        <v>39470</v>
      </c>
      <c r="N1532" t="str">
        <f>IFERROR(VLOOKUP(VLOOKUP(A1532,'[1]Sales Order'!A:G,7,FALSE),[1]Shipper!A:B,2,FALSE),"Not Specified")</f>
        <v>Shipper ETYNR</v>
      </c>
      <c r="O1532" t="str">
        <f>IFERROR(VLOOKUP(A1532,'[1]Sales Order'!A:I,9,FALSE),"Not Specified")</f>
        <v>Ship to 56-B</v>
      </c>
      <c r="P1532" t="str">
        <f>IFERROR(VLOOKUP(A1532,'[1]Sales Order'!A:N,14,FALSE),"Not Specified")</f>
        <v>Germany</v>
      </c>
      <c r="Q1532" t="str">
        <f>VLOOKUP(VLOOKUP(B1532,[1]Product!A:C,3,FALSE),[1]Supplier!A:B,2,FALSE)</f>
        <v>Supplier JNNES</v>
      </c>
      <c r="R1532" t="str">
        <f>VLOOKUP(VLOOKUP(B1532,[1]Product!A:C,3,FALSE),[1]Supplier!A:I,9,FALSE)</f>
        <v>Australia</v>
      </c>
      <c r="S1532" t="str">
        <f>IFERROR(IF(VLOOKUP(A1532,'[1]Sales Order'!A:H,8,FALSE)&gt;100,"High Freight","Low Freight"),"Not Specified")</f>
        <v>Low Freight</v>
      </c>
      <c r="T1532">
        <f t="shared" si="47"/>
        <v>265.68</v>
      </c>
    </row>
    <row r="1533" spans="1:20">
      <c r="A1533" s="1">
        <v>10834</v>
      </c>
      <c r="B1533" s="2">
        <v>29</v>
      </c>
      <c r="C1533" s="2">
        <v>123.79</v>
      </c>
      <c r="D1533" s="2">
        <v>8</v>
      </c>
      <c r="E1533" s="3">
        <v>0.05</v>
      </c>
      <c r="F1533" s="2" t="str">
        <f>IFERROR(VLOOKUP(VLOOKUP(A1533,'[1]Sales Order'!A:B,2,FALSE),[1]Customer!A:C,3,FALSE),"Not Specified")</f>
        <v>Nagel, Jean-Philippe</v>
      </c>
      <c r="G1533" s="2" t="str">
        <f t="shared" si="46"/>
        <v>Nagel Jean-Philippe</v>
      </c>
      <c r="H1533" s="8" t="str">
        <f>IFERROR(VLOOKUP(VLOOKUP(A1533,'[1]Sales Order'!A:C,3,FALSE),[1]Employee!A:E,5,FALSE)&amp;" "&amp;VLOOKUP(VLOOKUP(A1533,'[1]Sales Order'!A:C,3,FALSE),[1]Employee!A:C,3,FALSE)&amp;" "&amp;VLOOKUP(VLOOKUP(A1533,'[1]Sales Order'!A:C,3,FALSE),[1]Employee!A:B,2,FALSE),"Not Specified")</f>
        <v>Ms. Sara Davis</v>
      </c>
      <c r="I1533" t="str">
        <f>IFERROR(VLOOKUP(VLOOKUP(A1533,'[1]Sales Order'!A:C,3,FALSE),[1]Employee!A:J,10,FALSE),"Not Specified")</f>
        <v>WA</v>
      </c>
      <c r="J1533" t="str">
        <f>VLOOKUP(B1533,[1]Product!A:B,2,FALSE)</f>
        <v>Product VJXYN</v>
      </c>
      <c r="K1533" t="str">
        <f>VLOOKUP(VLOOKUP(B1533,[1]Product!A:D,4,FALSE),[1]Category!A:B,2,FALSE)</f>
        <v>Meat/Poultry</v>
      </c>
      <c r="L1533" s="10">
        <f>IFERROR(VLOOKUP(A1533,'[1]Sales Order'!A:D,4,FALSE),"")</f>
        <v>39462</v>
      </c>
      <c r="M1533" s="10">
        <f>IFERROR(VLOOKUP(A1533,'[1]Sales Order'!A:F,6,FALSE),"")</f>
        <v>39466</v>
      </c>
      <c r="N1533" t="str">
        <f>IFERROR(VLOOKUP(VLOOKUP(A1533,'[1]Sales Order'!A:G,7,FALSE),[1]Shipper!A:B,2,FALSE),"Not Specified")</f>
        <v>Shipper ZHISN</v>
      </c>
      <c r="O1533" t="str">
        <f>IFERROR(VLOOKUP(A1533,'[1]Sales Order'!A:I,9,FALSE),"Not Specified")</f>
        <v>Ship to 81-A</v>
      </c>
      <c r="P1533" t="str">
        <f>IFERROR(VLOOKUP(A1533,'[1]Sales Order'!A:N,14,FALSE),"Not Specified")</f>
        <v>Brazil</v>
      </c>
      <c r="Q1533" t="str">
        <f>VLOOKUP(VLOOKUP(B1533,[1]Product!A:C,3,FALSE),[1]Supplier!A:B,2,FALSE)</f>
        <v>Supplier SVIYA</v>
      </c>
      <c r="R1533" t="str">
        <f>VLOOKUP(VLOOKUP(B1533,[1]Product!A:C,3,FALSE),[1]Supplier!A:I,9,FALSE)</f>
        <v>Germany</v>
      </c>
      <c r="S1533" t="str">
        <f>IFERROR(IF(VLOOKUP(A1533,'[1]Sales Order'!A:H,8,FALSE)&gt;100,"High Freight","Low Freight"),"Not Specified")</f>
        <v>Low Freight</v>
      </c>
      <c r="T1533">
        <f t="shared" si="47"/>
        <v>940.80399999999997</v>
      </c>
    </row>
    <row r="1534" spans="1:20">
      <c r="A1534" s="1">
        <v>10834</v>
      </c>
      <c r="B1534" s="2">
        <v>30</v>
      </c>
      <c r="C1534" s="2">
        <v>25.89</v>
      </c>
      <c r="D1534" s="2">
        <v>20</v>
      </c>
      <c r="E1534" s="3">
        <v>0.05</v>
      </c>
      <c r="F1534" s="2" t="str">
        <f>IFERROR(VLOOKUP(VLOOKUP(A1534,'[1]Sales Order'!A:B,2,FALSE),[1]Customer!A:C,3,FALSE),"Not Specified")</f>
        <v>Nagel, Jean-Philippe</v>
      </c>
      <c r="G1534" s="2" t="str">
        <f t="shared" si="46"/>
        <v>Nagel Jean-Philippe</v>
      </c>
      <c r="H1534" s="8" t="str">
        <f>IFERROR(VLOOKUP(VLOOKUP(A1534,'[1]Sales Order'!A:C,3,FALSE),[1]Employee!A:E,5,FALSE)&amp;" "&amp;VLOOKUP(VLOOKUP(A1534,'[1]Sales Order'!A:C,3,FALSE),[1]Employee!A:C,3,FALSE)&amp;" "&amp;VLOOKUP(VLOOKUP(A1534,'[1]Sales Order'!A:C,3,FALSE),[1]Employee!A:B,2,FALSE),"Not Specified")</f>
        <v>Ms. Sara Davis</v>
      </c>
      <c r="I1534" t="str">
        <f>IFERROR(VLOOKUP(VLOOKUP(A1534,'[1]Sales Order'!A:C,3,FALSE),[1]Employee!A:J,10,FALSE),"Not Specified")</f>
        <v>WA</v>
      </c>
      <c r="J1534" t="str">
        <f>VLOOKUP(B1534,[1]Product!A:B,2,FALSE)</f>
        <v>Product LYERX</v>
      </c>
      <c r="K1534" t="str">
        <f>VLOOKUP(VLOOKUP(B1534,[1]Product!A:D,4,FALSE),[1]Category!A:B,2,FALSE)</f>
        <v>Seafood</v>
      </c>
      <c r="L1534" s="10">
        <f>IFERROR(VLOOKUP(A1534,'[1]Sales Order'!A:D,4,FALSE),"")</f>
        <v>39462</v>
      </c>
      <c r="M1534" s="10">
        <f>IFERROR(VLOOKUP(A1534,'[1]Sales Order'!A:F,6,FALSE),"")</f>
        <v>39466</v>
      </c>
      <c r="N1534" t="str">
        <f>IFERROR(VLOOKUP(VLOOKUP(A1534,'[1]Sales Order'!A:G,7,FALSE),[1]Shipper!A:B,2,FALSE),"Not Specified")</f>
        <v>Shipper ZHISN</v>
      </c>
      <c r="O1534" t="str">
        <f>IFERROR(VLOOKUP(A1534,'[1]Sales Order'!A:I,9,FALSE),"Not Specified")</f>
        <v>Ship to 81-A</v>
      </c>
      <c r="P1534" t="str">
        <f>IFERROR(VLOOKUP(A1534,'[1]Sales Order'!A:N,14,FALSE),"Not Specified")</f>
        <v>Brazil</v>
      </c>
      <c r="Q1534" t="str">
        <f>VLOOKUP(VLOOKUP(B1534,[1]Product!A:C,3,FALSE),[1]Supplier!A:B,2,FALSE)</f>
        <v>Supplier TEGSC</v>
      </c>
      <c r="R1534" t="str">
        <f>VLOOKUP(VLOOKUP(B1534,[1]Product!A:C,3,FALSE),[1]Supplier!A:I,9,FALSE)</f>
        <v>Germany</v>
      </c>
      <c r="S1534" t="str">
        <f>IFERROR(IF(VLOOKUP(A1534,'[1]Sales Order'!A:H,8,FALSE)&gt;100,"High Freight","Low Freight"),"Not Specified")</f>
        <v>Low Freight</v>
      </c>
      <c r="T1534">
        <f t="shared" si="47"/>
        <v>491.90999999999991</v>
      </c>
    </row>
    <row r="1535" spans="1:20">
      <c r="A1535" s="1">
        <v>10835</v>
      </c>
      <c r="B1535" s="2">
        <v>59</v>
      </c>
      <c r="C1535" s="2">
        <v>55</v>
      </c>
      <c r="D1535" s="2">
        <v>15</v>
      </c>
      <c r="E1535" s="3">
        <v>0</v>
      </c>
      <c r="F1535" s="2" t="str">
        <f>IFERROR(VLOOKUP(VLOOKUP(A1535,'[1]Sales Order'!A:B,2,FALSE),[1]Customer!A:C,3,FALSE),"Not Specified")</f>
        <v>Allen, Michael</v>
      </c>
      <c r="G1535" s="2" t="str">
        <f t="shared" si="46"/>
        <v>Allen Michael</v>
      </c>
      <c r="H1535" s="8" t="str">
        <f>IFERROR(VLOOKUP(VLOOKUP(A1535,'[1]Sales Order'!A:C,3,FALSE),[1]Employee!A:E,5,FALSE)&amp;" "&amp;VLOOKUP(VLOOKUP(A1535,'[1]Sales Order'!A:C,3,FALSE),[1]Employee!A:C,3,FALSE)&amp;" "&amp;VLOOKUP(VLOOKUP(A1535,'[1]Sales Order'!A:C,3,FALSE),[1]Employee!A:B,2,FALSE),"Not Specified")</f>
        <v>Ms. Sara Davis</v>
      </c>
      <c r="I1535" t="str">
        <f>IFERROR(VLOOKUP(VLOOKUP(A1535,'[1]Sales Order'!A:C,3,FALSE),[1]Employee!A:J,10,FALSE),"Not Specified")</f>
        <v>WA</v>
      </c>
      <c r="J1535" t="str">
        <f>VLOOKUP(B1535,[1]Product!A:B,2,FALSE)</f>
        <v>Product UKXRI</v>
      </c>
      <c r="K1535" t="str">
        <f>VLOOKUP(VLOOKUP(B1535,[1]Product!A:D,4,FALSE),[1]Category!A:B,2,FALSE)</f>
        <v>Dairy Product</v>
      </c>
      <c r="L1535" s="10">
        <f>IFERROR(VLOOKUP(A1535,'[1]Sales Order'!A:D,4,FALSE),"")</f>
        <v>39462</v>
      </c>
      <c r="M1535" s="10">
        <f>IFERROR(VLOOKUP(A1535,'[1]Sales Order'!A:F,6,FALSE),"")</f>
        <v>39468</v>
      </c>
      <c r="N1535" t="str">
        <f>IFERROR(VLOOKUP(VLOOKUP(A1535,'[1]Sales Order'!A:G,7,FALSE),[1]Shipper!A:B,2,FALSE),"Not Specified")</f>
        <v>Shipper ZHISN</v>
      </c>
      <c r="O1535" t="str">
        <f>IFERROR(VLOOKUP(A1535,'[1]Sales Order'!A:I,9,FALSE),"Not Specified")</f>
        <v>Destination LOUIE</v>
      </c>
      <c r="P1535" t="str">
        <f>IFERROR(VLOOKUP(A1535,'[1]Sales Order'!A:N,14,FALSE),"Not Specified")</f>
        <v>Germany</v>
      </c>
      <c r="Q1535" t="str">
        <f>VLOOKUP(VLOOKUP(B1535,[1]Product!A:C,3,FALSE),[1]Supplier!A:B,2,FALSE)</f>
        <v>Supplier OAVQT</v>
      </c>
      <c r="R1535" t="str">
        <f>VLOOKUP(VLOOKUP(B1535,[1]Product!A:C,3,FALSE),[1]Supplier!A:I,9,FALSE)</f>
        <v>France</v>
      </c>
      <c r="S1535" t="str">
        <f>IFERROR(IF(VLOOKUP(A1535,'[1]Sales Order'!A:H,8,FALSE)&gt;100,"High Freight","Low Freight"),"Not Specified")</f>
        <v>Low Freight</v>
      </c>
      <c r="T1535">
        <f t="shared" si="47"/>
        <v>825</v>
      </c>
    </row>
    <row r="1536" spans="1:20">
      <c r="A1536" s="1">
        <v>10835</v>
      </c>
      <c r="B1536" s="2">
        <v>77</v>
      </c>
      <c r="C1536" s="2">
        <v>13</v>
      </c>
      <c r="D1536" s="2">
        <v>2</v>
      </c>
      <c r="E1536" s="3">
        <v>0.2</v>
      </c>
      <c r="F1536" s="2" t="str">
        <f>IFERROR(VLOOKUP(VLOOKUP(A1536,'[1]Sales Order'!A:B,2,FALSE),[1]Customer!A:C,3,FALSE),"Not Specified")</f>
        <v>Allen, Michael</v>
      </c>
      <c r="G1536" s="2" t="str">
        <f t="shared" si="46"/>
        <v>Allen Michael</v>
      </c>
      <c r="H1536" s="8" t="str">
        <f>IFERROR(VLOOKUP(VLOOKUP(A1536,'[1]Sales Order'!A:C,3,FALSE),[1]Employee!A:E,5,FALSE)&amp;" "&amp;VLOOKUP(VLOOKUP(A1536,'[1]Sales Order'!A:C,3,FALSE),[1]Employee!A:C,3,FALSE)&amp;" "&amp;VLOOKUP(VLOOKUP(A1536,'[1]Sales Order'!A:C,3,FALSE),[1]Employee!A:B,2,FALSE),"Not Specified")</f>
        <v>Ms. Sara Davis</v>
      </c>
      <c r="I1536" t="str">
        <f>IFERROR(VLOOKUP(VLOOKUP(A1536,'[1]Sales Order'!A:C,3,FALSE),[1]Employee!A:J,10,FALSE),"Not Specified")</f>
        <v>WA</v>
      </c>
      <c r="J1536" t="str">
        <f>VLOOKUP(B1536,[1]Product!A:B,2,FALSE)</f>
        <v>Product LUNZZ</v>
      </c>
      <c r="K1536" t="str">
        <f>VLOOKUP(VLOOKUP(B1536,[1]Product!A:D,4,FALSE),[1]Category!A:B,2,FALSE)</f>
        <v>Condiments</v>
      </c>
      <c r="L1536" s="10">
        <f>IFERROR(VLOOKUP(A1536,'[1]Sales Order'!A:D,4,FALSE),"")</f>
        <v>39462</v>
      </c>
      <c r="M1536" s="10">
        <f>IFERROR(VLOOKUP(A1536,'[1]Sales Order'!A:F,6,FALSE),"")</f>
        <v>39468</v>
      </c>
      <c r="N1536" t="str">
        <f>IFERROR(VLOOKUP(VLOOKUP(A1536,'[1]Sales Order'!A:G,7,FALSE),[1]Shipper!A:B,2,FALSE),"Not Specified")</f>
        <v>Shipper ZHISN</v>
      </c>
      <c r="O1536" t="str">
        <f>IFERROR(VLOOKUP(A1536,'[1]Sales Order'!A:I,9,FALSE),"Not Specified")</f>
        <v>Destination LOUIE</v>
      </c>
      <c r="P1536" t="str">
        <f>IFERROR(VLOOKUP(A1536,'[1]Sales Order'!A:N,14,FALSE),"Not Specified")</f>
        <v>Germany</v>
      </c>
      <c r="Q1536" t="str">
        <f>VLOOKUP(VLOOKUP(B1536,[1]Product!A:C,3,FALSE),[1]Supplier!A:B,2,FALSE)</f>
        <v>Supplier SVIYA</v>
      </c>
      <c r="R1536" t="str">
        <f>VLOOKUP(VLOOKUP(B1536,[1]Product!A:C,3,FALSE),[1]Supplier!A:I,9,FALSE)</f>
        <v>Germany</v>
      </c>
      <c r="S1536" t="str">
        <f>IFERROR(IF(VLOOKUP(A1536,'[1]Sales Order'!A:H,8,FALSE)&gt;100,"High Freight","Low Freight"),"Not Specified")</f>
        <v>Low Freight</v>
      </c>
      <c r="T1536">
        <f t="shared" si="47"/>
        <v>20.8</v>
      </c>
    </row>
    <row r="1537" spans="1:20">
      <c r="A1537" s="1">
        <v>10836</v>
      </c>
      <c r="B1537" s="2">
        <v>22</v>
      </c>
      <c r="C1537" s="2">
        <v>21</v>
      </c>
      <c r="D1537" s="2">
        <v>52</v>
      </c>
      <c r="E1537" s="3">
        <v>0</v>
      </c>
      <c r="F1537" s="2" t="str">
        <f>IFERROR(VLOOKUP(VLOOKUP(A1537,'[1]Sales Order'!A:B,2,FALSE),[1]Customer!A:C,3,FALSE),"Not Specified")</f>
        <v>Kane, John</v>
      </c>
      <c r="G1537" s="2" t="str">
        <f t="shared" si="46"/>
        <v>Kane John</v>
      </c>
      <c r="H1537" s="8" t="str">
        <f>IFERROR(VLOOKUP(VLOOKUP(A1537,'[1]Sales Order'!A:C,3,FALSE),[1]Employee!A:E,5,FALSE)&amp;" "&amp;VLOOKUP(VLOOKUP(A1537,'[1]Sales Order'!A:C,3,FALSE),[1]Employee!A:C,3,FALSE)&amp;" "&amp;VLOOKUP(VLOOKUP(A1537,'[1]Sales Order'!A:C,3,FALSE),[1]Employee!A:B,2,FALSE),"Not Specified")</f>
        <v>Mr. Russell King</v>
      </c>
      <c r="I1537">
        <f>IFERROR(VLOOKUP(VLOOKUP(A1537,'[1]Sales Order'!A:C,3,FALSE),[1]Employee!A:J,10,FALSE),"Not Specified")</f>
        <v>0</v>
      </c>
      <c r="J1537" t="str">
        <f>VLOOKUP(B1537,[1]Product!A:B,2,FALSE)</f>
        <v>Product CPHFY</v>
      </c>
      <c r="K1537" t="str">
        <f>VLOOKUP(VLOOKUP(B1537,[1]Product!A:D,4,FALSE),[1]Category!A:B,2,FALSE)</f>
        <v>Grains/Cereals</v>
      </c>
      <c r="L1537" s="10">
        <f>IFERROR(VLOOKUP(A1537,'[1]Sales Order'!A:D,4,FALSE),"")</f>
        <v>39463</v>
      </c>
      <c r="M1537" s="10">
        <f>IFERROR(VLOOKUP(A1537,'[1]Sales Order'!A:F,6,FALSE),"")</f>
        <v>39468</v>
      </c>
      <c r="N1537" t="str">
        <f>IFERROR(VLOOKUP(VLOOKUP(A1537,'[1]Sales Order'!A:G,7,FALSE),[1]Shipper!A:B,2,FALSE),"Not Specified")</f>
        <v>Shipper GVSUA</v>
      </c>
      <c r="O1537" t="str">
        <f>IFERROR(VLOOKUP(A1537,'[1]Sales Order'!A:I,9,FALSE),"Not Specified")</f>
        <v>Destination CUVPF</v>
      </c>
      <c r="P1537" t="str">
        <f>IFERROR(VLOOKUP(A1537,'[1]Sales Order'!A:N,14,FALSE),"Not Specified")</f>
        <v>Austria</v>
      </c>
      <c r="Q1537" t="str">
        <f>VLOOKUP(VLOOKUP(B1537,[1]Product!A:C,3,FALSE),[1]Supplier!A:B,2,FALSE)</f>
        <v>Supplier QQYEU</v>
      </c>
      <c r="R1537" t="str">
        <f>VLOOKUP(VLOOKUP(B1537,[1]Product!A:C,3,FALSE),[1]Supplier!A:I,9,FALSE)</f>
        <v>Sweden</v>
      </c>
      <c r="S1537" t="str">
        <f>IFERROR(IF(VLOOKUP(A1537,'[1]Sales Order'!A:H,8,FALSE)&gt;100,"High Freight","Low Freight"),"Not Specified")</f>
        <v>High Freight</v>
      </c>
      <c r="T1537">
        <f t="shared" si="47"/>
        <v>1092</v>
      </c>
    </row>
    <row r="1538" spans="1:20">
      <c r="A1538" s="1">
        <v>10836</v>
      </c>
      <c r="B1538" s="2">
        <v>35</v>
      </c>
      <c r="C1538" s="2">
        <v>18</v>
      </c>
      <c r="D1538" s="2">
        <v>6</v>
      </c>
      <c r="E1538" s="3">
        <v>0</v>
      </c>
      <c r="F1538" s="2" t="str">
        <f>IFERROR(VLOOKUP(VLOOKUP(A1538,'[1]Sales Order'!A:B,2,FALSE),[1]Customer!A:C,3,FALSE),"Not Specified")</f>
        <v>Kane, John</v>
      </c>
      <c r="G1538" s="2" t="str">
        <f t="shared" si="46"/>
        <v>Kane John</v>
      </c>
      <c r="H1538" s="8" t="str">
        <f>IFERROR(VLOOKUP(VLOOKUP(A1538,'[1]Sales Order'!A:C,3,FALSE),[1]Employee!A:E,5,FALSE)&amp;" "&amp;VLOOKUP(VLOOKUP(A1538,'[1]Sales Order'!A:C,3,FALSE),[1]Employee!A:C,3,FALSE)&amp;" "&amp;VLOOKUP(VLOOKUP(A1538,'[1]Sales Order'!A:C,3,FALSE),[1]Employee!A:B,2,FALSE),"Not Specified")</f>
        <v>Mr. Russell King</v>
      </c>
      <c r="I1538">
        <f>IFERROR(VLOOKUP(VLOOKUP(A1538,'[1]Sales Order'!A:C,3,FALSE),[1]Employee!A:J,10,FALSE),"Not Specified")</f>
        <v>0</v>
      </c>
      <c r="J1538" t="str">
        <f>VLOOKUP(B1538,[1]Product!A:B,2,FALSE)</f>
        <v>Product NEVTJ</v>
      </c>
      <c r="K1538" t="str">
        <f>VLOOKUP(VLOOKUP(B1538,[1]Product!A:D,4,FALSE),[1]Category!A:B,2,FALSE)</f>
        <v>Beverages</v>
      </c>
      <c r="L1538" s="10">
        <f>IFERROR(VLOOKUP(A1538,'[1]Sales Order'!A:D,4,FALSE),"")</f>
        <v>39463</v>
      </c>
      <c r="M1538" s="10">
        <f>IFERROR(VLOOKUP(A1538,'[1]Sales Order'!A:F,6,FALSE),"")</f>
        <v>39468</v>
      </c>
      <c r="N1538" t="str">
        <f>IFERROR(VLOOKUP(VLOOKUP(A1538,'[1]Sales Order'!A:G,7,FALSE),[1]Shipper!A:B,2,FALSE),"Not Specified")</f>
        <v>Shipper GVSUA</v>
      </c>
      <c r="O1538" t="str">
        <f>IFERROR(VLOOKUP(A1538,'[1]Sales Order'!A:I,9,FALSE),"Not Specified")</f>
        <v>Destination CUVPF</v>
      </c>
      <c r="P1538" t="str">
        <f>IFERROR(VLOOKUP(A1538,'[1]Sales Order'!A:N,14,FALSE),"Not Specified")</f>
        <v>Austria</v>
      </c>
      <c r="Q1538" t="str">
        <f>VLOOKUP(VLOOKUP(B1538,[1]Product!A:C,3,FALSE),[1]Supplier!A:B,2,FALSE)</f>
        <v>Supplier UHZRG</v>
      </c>
      <c r="R1538" t="str">
        <f>VLOOKUP(VLOOKUP(B1538,[1]Product!A:C,3,FALSE),[1]Supplier!A:I,9,FALSE)</f>
        <v>USA</v>
      </c>
      <c r="S1538" t="str">
        <f>IFERROR(IF(VLOOKUP(A1538,'[1]Sales Order'!A:H,8,FALSE)&gt;100,"High Freight","Low Freight"),"Not Specified")</f>
        <v>High Freight</v>
      </c>
      <c r="T1538">
        <f t="shared" si="47"/>
        <v>108</v>
      </c>
    </row>
    <row r="1539" spans="1:20">
      <c r="A1539" s="1">
        <v>10836</v>
      </c>
      <c r="B1539" s="2">
        <v>57</v>
      </c>
      <c r="C1539" s="2">
        <v>19.5</v>
      </c>
      <c r="D1539" s="2">
        <v>24</v>
      </c>
      <c r="E1539" s="3">
        <v>0</v>
      </c>
      <c r="F1539" s="2" t="str">
        <f>IFERROR(VLOOKUP(VLOOKUP(A1539,'[1]Sales Order'!A:B,2,FALSE),[1]Customer!A:C,3,FALSE),"Not Specified")</f>
        <v>Kane, John</v>
      </c>
      <c r="G1539" s="2" t="str">
        <f t="shared" ref="G1539:G1602" si="48">SUBSTITUTE(F1539,",","",1)</f>
        <v>Kane John</v>
      </c>
      <c r="H1539" s="8" t="str">
        <f>IFERROR(VLOOKUP(VLOOKUP(A1539,'[1]Sales Order'!A:C,3,FALSE),[1]Employee!A:E,5,FALSE)&amp;" "&amp;VLOOKUP(VLOOKUP(A1539,'[1]Sales Order'!A:C,3,FALSE),[1]Employee!A:C,3,FALSE)&amp;" "&amp;VLOOKUP(VLOOKUP(A1539,'[1]Sales Order'!A:C,3,FALSE),[1]Employee!A:B,2,FALSE),"Not Specified")</f>
        <v>Mr. Russell King</v>
      </c>
      <c r="I1539">
        <f>IFERROR(VLOOKUP(VLOOKUP(A1539,'[1]Sales Order'!A:C,3,FALSE),[1]Employee!A:J,10,FALSE),"Not Specified")</f>
        <v>0</v>
      </c>
      <c r="J1539" t="str">
        <f>VLOOKUP(B1539,[1]Product!A:B,2,FALSE)</f>
        <v>Product OVLQI</v>
      </c>
      <c r="K1539" t="str">
        <f>VLOOKUP(VLOOKUP(B1539,[1]Product!A:D,4,FALSE),[1]Category!A:B,2,FALSE)</f>
        <v>Grains/Cereals</v>
      </c>
      <c r="L1539" s="10">
        <f>IFERROR(VLOOKUP(A1539,'[1]Sales Order'!A:D,4,FALSE),"")</f>
        <v>39463</v>
      </c>
      <c r="M1539" s="10">
        <f>IFERROR(VLOOKUP(A1539,'[1]Sales Order'!A:F,6,FALSE),"")</f>
        <v>39468</v>
      </c>
      <c r="N1539" t="str">
        <f>IFERROR(VLOOKUP(VLOOKUP(A1539,'[1]Sales Order'!A:G,7,FALSE),[1]Shipper!A:B,2,FALSE),"Not Specified")</f>
        <v>Shipper GVSUA</v>
      </c>
      <c r="O1539" t="str">
        <f>IFERROR(VLOOKUP(A1539,'[1]Sales Order'!A:I,9,FALSE),"Not Specified")</f>
        <v>Destination CUVPF</v>
      </c>
      <c r="P1539" t="str">
        <f>IFERROR(VLOOKUP(A1539,'[1]Sales Order'!A:N,14,FALSE),"Not Specified")</f>
        <v>Austria</v>
      </c>
      <c r="Q1539" t="str">
        <f>VLOOKUP(VLOOKUP(B1539,[1]Product!A:C,3,FALSE),[1]Supplier!A:B,2,FALSE)</f>
        <v>Supplier ZWZDM</v>
      </c>
      <c r="R1539" t="str">
        <f>VLOOKUP(VLOOKUP(B1539,[1]Product!A:C,3,FALSE),[1]Supplier!A:I,9,FALSE)</f>
        <v>Italy</v>
      </c>
      <c r="S1539" t="str">
        <f>IFERROR(IF(VLOOKUP(A1539,'[1]Sales Order'!A:H,8,FALSE)&gt;100,"High Freight","Low Freight"),"Not Specified")</f>
        <v>High Freight</v>
      </c>
      <c r="T1539">
        <f t="shared" ref="T1539:T1602" si="49">C1539*D1539*(1-E1539)</f>
        <v>468</v>
      </c>
    </row>
    <row r="1540" spans="1:20">
      <c r="A1540" s="1">
        <v>10836</v>
      </c>
      <c r="B1540" s="2">
        <v>60</v>
      </c>
      <c r="C1540" s="2">
        <v>34</v>
      </c>
      <c r="D1540" s="2">
        <v>60</v>
      </c>
      <c r="E1540" s="3">
        <v>0</v>
      </c>
      <c r="F1540" s="2" t="str">
        <f>IFERROR(VLOOKUP(VLOOKUP(A1540,'[1]Sales Order'!A:B,2,FALSE),[1]Customer!A:C,3,FALSE),"Not Specified")</f>
        <v>Kane, John</v>
      </c>
      <c r="G1540" s="2" t="str">
        <f t="shared" si="48"/>
        <v>Kane John</v>
      </c>
      <c r="H1540" s="8" t="str">
        <f>IFERROR(VLOOKUP(VLOOKUP(A1540,'[1]Sales Order'!A:C,3,FALSE),[1]Employee!A:E,5,FALSE)&amp;" "&amp;VLOOKUP(VLOOKUP(A1540,'[1]Sales Order'!A:C,3,FALSE),[1]Employee!A:C,3,FALSE)&amp;" "&amp;VLOOKUP(VLOOKUP(A1540,'[1]Sales Order'!A:C,3,FALSE),[1]Employee!A:B,2,FALSE),"Not Specified")</f>
        <v>Mr. Russell King</v>
      </c>
      <c r="I1540">
        <f>IFERROR(VLOOKUP(VLOOKUP(A1540,'[1]Sales Order'!A:C,3,FALSE),[1]Employee!A:J,10,FALSE),"Not Specified")</f>
        <v>0</v>
      </c>
      <c r="J1540" t="str">
        <f>VLOOKUP(B1540,[1]Product!A:B,2,FALSE)</f>
        <v>Product WHBYK</v>
      </c>
      <c r="K1540" t="str">
        <f>VLOOKUP(VLOOKUP(B1540,[1]Product!A:D,4,FALSE),[1]Category!A:B,2,FALSE)</f>
        <v>Dairy Product</v>
      </c>
      <c r="L1540" s="10">
        <f>IFERROR(VLOOKUP(A1540,'[1]Sales Order'!A:D,4,FALSE),"")</f>
        <v>39463</v>
      </c>
      <c r="M1540" s="10">
        <f>IFERROR(VLOOKUP(A1540,'[1]Sales Order'!A:F,6,FALSE),"")</f>
        <v>39468</v>
      </c>
      <c r="N1540" t="str">
        <f>IFERROR(VLOOKUP(VLOOKUP(A1540,'[1]Sales Order'!A:G,7,FALSE),[1]Shipper!A:B,2,FALSE),"Not Specified")</f>
        <v>Shipper GVSUA</v>
      </c>
      <c r="O1540" t="str">
        <f>IFERROR(VLOOKUP(A1540,'[1]Sales Order'!A:I,9,FALSE),"Not Specified")</f>
        <v>Destination CUVPF</v>
      </c>
      <c r="P1540" t="str">
        <f>IFERROR(VLOOKUP(A1540,'[1]Sales Order'!A:N,14,FALSE),"Not Specified")</f>
        <v>Austria</v>
      </c>
      <c r="Q1540" t="str">
        <f>VLOOKUP(VLOOKUP(B1540,[1]Product!A:C,3,FALSE),[1]Supplier!A:B,2,FALSE)</f>
        <v>Supplier OAVQT</v>
      </c>
      <c r="R1540" t="str">
        <f>VLOOKUP(VLOOKUP(B1540,[1]Product!A:C,3,FALSE),[1]Supplier!A:I,9,FALSE)</f>
        <v>France</v>
      </c>
      <c r="S1540" t="str">
        <f>IFERROR(IF(VLOOKUP(A1540,'[1]Sales Order'!A:H,8,FALSE)&gt;100,"High Freight","Low Freight"),"Not Specified")</f>
        <v>High Freight</v>
      </c>
      <c r="T1540">
        <f t="shared" si="49"/>
        <v>2040</v>
      </c>
    </row>
    <row r="1541" spans="1:20">
      <c r="A1541" s="1">
        <v>10836</v>
      </c>
      <c r="B1541" s="2">
        <v>64</v>
      </c>
      <c r="C1541" s="2">
        <v>33.25</v>
      </c>
      <c r="D1541" s="2">
        <v>30</v>
      </c>
      <c r="E1541" s="3">
        <v>0</v>
      </c>
      <c r="F1541" s="2" t="str">
        <f>IFERROR(VLOOKUP(VLOOKUP(A1541,'[1]Sales Order'!A:B,2,FALSE),[1]Customer!A:C,3,FALSE),"Not Specified")</f>
        <v>Kane, John</v>
      </c>
      <c r="G1541" s="2" t="str">
        <f t="shared" si="48"/>
        <v>Kane John</v>
      </c>
      <c r="H1541" s="8" t="str">
        <f>IFERROR(VLOOKUP(VLOOKUP(A1541,'[1]Sales Order'!A:C,3,FALSE),[1]Employee!A:E,5,FALSE)&amp;" "&amp;VLOOKUP(VLOOKUP(A1541,'[1]Sales Order'!A:C,3,FALSE),[1]Employee!A:C,3,FALSE)&amp;" "&amp;VLOOKUP(VLOOKUP(A1541,'[1]Sales Order'!A:C,3,FALSE),[1]Employee!A:B,2,FALSE),"Not Specified")</f>
        <v>Mr. Russell King</v>
      </c>
      <c r="I1541">
        <f>IFERROR(VLOOKUP(VLOOKUP(A1541,'[1]Sales Order'!A:C,3,FALSE),[1]Employee!A:J,10,FALSE),"Not Specified")</f>
        <v>0</v>
      </c>
      <c r="J1541" t="str">
        <f>VLOOKUP(B1541,[1]Product!A:B,2,FALSE)</f>
        <v>Product HCQDE</v>
      </c>
      <c r="K1541" t="str">
        <f>VLOOKUP(VLOOKUP(B1541,[1]Product!A:D,4,FALSE),[1]Category!A:B,2,FALSE)</f>
        <v>Grains/Cereals</v>
      </c>
      <c r="L1541" s="10">
        <f>IFERROR(VLOOKUP(A1541,'[1]Sales Order'!A:D,4,FALSE),"")</f>
        <v>39463</v>
      </c>
      <c r="M1541" s="10">
        <f>IFERROR(VLOOKUP(A1541,'[1]Sales Order'!A:F,6,FALSE),"")</f>
        <v>39468</v>
      </c>
      <c r="N1541" t="str">
        <f>IFERROR(VLOOKUP(VLOOKUP(A1541,'[1]Sales Order'!A:G,7,FALSE),[1]Shipper!A:B,2,FALSE),"Not Specified")</f>
        <v>Shipper GVSUA</v>
      </c>
      <c r="O1541" t="str">
        <f>IFERROR(VLOOKUP(A1541,'[1]Sales Order'!A:I,9,FALSE),"Not Specified")</f>
        <v>Destination CUVPF</v>
      </c>
      <c r="P1541" t="str">
        <f>IFERROR(VLOOKUP(A1541,'[1]Sales Order'!A:N,14,FALSE),"Not Specified")</f>
        <v>Austria</v>
      </c>
      <c r="Q1541" t="str">
        <f>VLOOKUP(VLOOKUP(B1541,[1]Product!A:C,3,FALSE),[1]Supplier!A:B,2,FALSE)</f>
        <v>Supplier SVIYA</v>
      </c>
      <c r="R1541" t="str">
        <f>VLOOKUP(VLOOKUP(B1541,[1]Product!A:C,3,FALSE),[1]Supplier!A:I,9,FALSE)</f>
        <v>Germany</v>
      </c>
      <c r="S1541" t="str">
        <f>IFERROR(IF(VLOOKUP(A1541,'[1]Sales Order'!A:H,8,FALSE)&gt;100,"High Freight","Low Freight"),"Not Specified")</f>
        <v>High Freight</v>
      </c>
      <c r="T1541">
        <f t="shared" si="49"/>
        <v>997.5</v>
      </c>
    </row>
    <row r="1542" spans="1:20">
      <c r="A1542" s="1">
        <v>10837</v>
      </c>
      <c r="B1542" s="2">
        <v>13</v>
      </c>
      <c r="C1542" s="2">
        <v>6</v>
      </c>
      <c r="D1542" s="2">
        <v>6</v>
      </c>
      <c r="E1542" s="3">
        <v>0</v>
      </c>
      <c r="F1542" s="2" t="str">
        <f>IFERROR(VLOOKUP(VLOOKUP(A1542,'[1]Sales Order'!A:B,2,FALSE),[1]Customer!A:C,3,FALSE),"Not Specified")</f>
        <v>Higginbotham, Tom</v>
      </c>
      <c r="G1542" s="2" t="str">
        <f t="shared" si="48"/>
        <v>Higginbotham Tom</v>
      </c>
      <c r="H1542" s="8" t="str">
        <f>IFERROR(VLOOKUP(VLOOKUP(A1542,'[1]Sales Order'!A:C,3,FALSE),[1]Employee!A:E,5,FALSE)&amp;" "&amp;VLOOKUP(VLOOKUP(A1542,'[1]Sales Order'!A:C,3,FALSE),[1]Employee!A:C,3,FALSE)&amp;" "&amp;VLOOKUP(VLOOKUP(A1542,'[1]Sales Order'!A:C,3,FALSE),[1]Employee!A:B,2,FALSE),"Not Specified")</f>
        <v>Ms. Zoya Dolgopyatova</v>
      </c>
      <c r="I1542">
        <f>IFERROR(VLOOKUP(VLOOKUP(A1542,'[1]Sales Order'!A:C,3,FALSE),[1]Employee!A:J,10,FALSE),"Not Specified")</f>
        <v>0</v>
      </c>
      <c r="J1542" t="str">
        <f>VLOOKUP(B1542,[1]Product!A:B,2,FALSE)</f>
        <v>Product POXFU</v>
      </c>
      <c r="K1542" t="str">
        <f>VLOOKUP(VLOOKUP(B1542,[1]Product!A:D,4,FALSE),[1]Category!A:B,2,FALSE)</f>
        <v>Seafood</v>
      </c>
      <c r="L1542" s="10">
        <f>IFERROR(VLOOKUP(A1542,'[1]Sales Order'!A:D,4,FALSE),"")</f>
        <v>39463</v>
      </c>
      <c r="M1542" s="10">
        <f>IFERROR(VLOOKUP(A1542,'[1]Sales Order'!A:F,6,FALSE),"")</f>
        <v>39470</v>
      </c>
      <c r="N1542" t="str">
        <f>IFERROR(VLOOKUP(VLOOKUP(A1542,'[1]Sales Order'!A:G,7,FALSE),[1]Shipper!A:B,2,FALSE),"Not Specified")</f>
        <v>Shipper ZHISN</v>
      </c>
      <c r="O1542" t="str">
        <f>IFERROR(VLOOKUP(A1542,'[1]Sales Order'!A:I,9,FALSE),"Not Specified")</f>
        <v>Ship to 5-A</v>
      </c>
      <c r="P1542" t="str">
        <f>IFERROR(VLOOKUP(A1542,'[1]Sales Order'!A:N,14,FALSE),"Not Specified")</f>
        <v>Sweden</v>
      </c>
      <c r="Q1542" t="str">
        <f>VLOOKUP(VLOOKUP(B1542,[1]Product!A:C,3,FALSE),[1]Supplier!A:B,2,FALSE)</f>
        <v>Supplier QWUSF</v>
      </c>
      <c r="R1542" t="str">
        <f>VLOOKUP(VLOOKUP(B1542,[1]Product!A:C,3,FALSE),[1]Supplier!A:I,9,FALSE)</f>
        <v>Japan</v>
      </c>
      <c r="S1542" t="str">
        <f>IFERROR(IF(VLOOKUP(A1542,'[1]Sales Order'!A:H,8,FALSE)&gt;100,"High Freight","Low Freight"),"Not Specified")</f>
        <v>Low Freight</v>
      </c>
      <c r="T1542">
        <f t="shared" si="49"/>
        <v>36</v>
      </c>
    </row>
    <row r="1543" spans="1:20">
      <c r="A1543" s="1">
        <v>10837</v>
      </c>
      <c r="B1543" s="2">
        <v>40</v>
      </c>
      <c r="C1543" s="2">
        <v>18.399999999999999</v>
      </c>
      <c r="D1543" s="2">
        <v>25</v>
      </c>
      <c r="E1543" s="3">
        <v>0</v>
      </c>
      <c r="F1543" s="2" t="str">
        <f>IFERROR(VLOOKUP(VLOOKUP(A1543,'[1]Sales Order'!A:B,2,FALSE),[1]Customer!A:C,3,FALSE),"Not Specified")</f>
        <v>Higginbotham, Tom</v>
      </c>
      <c r="G1543" s="2" t="str">
        <f t="shared" si="48"/>
        <v>Higginbotham Tom</v>
      </c>
      <c r="H1543" s="8" t="str">
        <f>IFERROR(VLOOKUP(VLOOKUP(A1543,'[1]Sales Order'!A:C,3,FALSE),[1]Employee!A:E,5,FALSE)&amp;" "&amp;VLOOKUP(VLOOKUP(A1543,'[1]Sales Order'!A:C,3,FALSE),[1]Employee!A:C,3,FALSE)&amp;" "&amp;VLOOKUP(VLOOKUP(A1543,'[1]Sales Order'!A:C,3,FALSE),[1]Employee!A:B,2,FALSE),"Not Specified")</f>
        <v>Ms. Zoya Dolgopyatova</v>
      </c>
      <c r="I1543">
        <f>IFERROR(VLOOKUP(VLOOKUP(A1543,'[1]Sales Order'!A:C,3,FALSE),[1]Employee!A:J,10,FALSE),"Not Specified")</f>
        <v>0</v>
      </c>
      <c r="J1543" t="str">
        <f>VLOOKUP(B1543,[1]Product!A:B,2,FALSE)</f>
        <v>Product YZIXQ</v>
      </c>
      <c r="K1543" t="str">
        <f>VLOOKUP(VLOOKUP(B1543,[1]Product!A:D,4,FALSE),[1]Category!A:B,2,FALSE)</f>
        <v>Seafood</v>
      </c>
      <c r="L1543" s="10">
        <f>IFERROR(VLOOKUP(A1543,'[1]Sales Order'!A:D,4,FALSE),"")</f>
        <v>39463</v>
      </c>
      <c r="M1543" s="10">
        <f>IFERROR(VLOOKUP(A1543,'[1]Sales Order'!A:F,6,FALSE),"")</f>
        <v>39470</v>
      </c>
      <c r="N1543" t="str">
        <f>IFERROR(VLOOKUP(VLOOKUP(A1543,'[1]Sales Order'!A:G,7,FALSE),[1]Shipper!A:B,2,FALSE),"Not Specified")</f>
        <v>Shipper ZHISN</v>
      </c>
      <c r="O1543" t="str">
        <f>IFERROR(VLOOKUP(A1543,'[1]Sales Order'!A:I,9,FALSE),"Not Specified")</f>
        <v>Ship to 5-A</v>
      </c>
      <c r="P1543" t="str">
        <f>IFERROR(VLOOKUP(A1543,'[1]Sales Order'!A:N,14,FALSE),"Not Specified")</f>
        <v>Sweden</v>
      </c>
      <c r="Q1543" t="str">
        <f>VLOOKUP(VLOOKUP(B1543,[1]Product!A:C,3,FALSE),[1]Supplier!A:B,2,FALSE)</f>
        <v>Supplier JDNUG</v>
      </c>
      <c r="R1543" t="str">
        <f>VLOOKUP(VLOOKUP(B1543,[1]Product!A:C,3,FALSE),[1]Supplier!A:I,9,FALSE)</f>
        <v>USA</v>
      </c>
      <c r="S1543" t="str">
        <f>IFERROR(IF(VLOOKUP(A1543,'[1]Sales Order'!A:H,8,FALSE)&gt;100,"High Freight","Low Freight"),"Not Specified")</f>
        <v>Low Freight</v>
      </c>
      <c r="T1543">
        <f t="shared" si="49"/>
        <v>459.99999999999994</v>
      </c>
    </row>
    <row r="1544" spans="1:20">
      <c r="A1544" s="1">
        <v>10837</v>
      </c>
      <c r="B1544" s="2">
        <v>47</v>
      </c>
      <c r="C1544" s="2">
        <v>9.5</v>
      </c>
      <c r="D1544" s="2">
        <v>40</v>
      </c>
      <c r="E1544" s="3">
        <v>0.25</v>
      </c>
      <c r="F1544" s="2" t="str">
        <f>IFERROR(VLOOKUP(VLOOKUP(A1544,'[1]Sales Order'!A:B,2,FALSE),[1]Customer!A:C,3,FALSE),"Not Specified")</f>
        <v>Higginbotham, Tom</v>
      </c>
      <c r="G1544" s="2" t="str">
        <f t="shared" si="48"/>
        <v>Higginbotham Tom</v>
      </c>
      <c r="H1544" s="8" t="str">
        <f>IFERROR(VLOOKUP(VLOOKUP(A1544,'[1]Sales Order'!A:C,3,FALSE),[1]Employee!A:E,5,FALSE)&amp;" "&amp;VLOOKUP(VLOOKUP(A1544,'[1]Sales Order'!A:C,3,FALSE),[1]Employee!A:C,3,FALSE)&amp;" "&amp;VLOOKUP(VLOOKUP(A1544,'[1]Sales Order'!A:C,3,FALSE),[1]Employee!A:B,2,FALSE),"Not Specified")</f>
        <v>Ms. Zoya Dolgopyatova</v>
      </c>
      <c r="I1544">
        <f>IFERROR(VLOOKUP(VLOOKUP(A1544,'[1]Sales Order'!A:C,3,FALSE),[1]Employee!A:J,10,FALSE),"Not Specified")</f>
        <v>0</v>
      </c>
      <c r="J1544" t="str">
        <f>VLOOKUP(B1544,[1]Product!A:B,2,FALSE)</f>
        <v>Product EZZPR</v>
      </c>
      <c r="K1544" t="str">
        <f>VLOOKUP(VLOOKUP(B1544,[1]Product!A:D,4,FALSE),[1]Category!A:B,2,FALSE)</f>
        <v>Confections</v>
      </c>
      <c r="L1544" s="10">
        <f>IFERROR(VLOOKUP(A1544,'[1]Sales Order'!A:D,4,FALSE),"")</f>
        <v>39463</v>
      </c>
      <c r="M1544" s="10">
        <f>IFERROR(VLOOKUP(A1544,'[1]Sales Order'!A:F,6,FALSE),"")</f>
        <v>39470</v>
      </c>
      <c r="N1544" t="str">
        <f>IFERROR(VLOOKUP(VLOOKUP(A1544,'[1]Sales Order'!A:G,7,FALSE),[1]Shipper!A:B,2,FALSE),"Not Specified")</f>
        <v>Shipper ZHISN</v>
      </c>
      <c r="O1544" t="str">
        <f>IFERROR(VLOOKUP(A1544,'[1]Sales Order'!A:I,9,FALSE),"Not Specified")</f>
        <v>Ship to 5-A</v>
      </c>
      <c r="P1544" t="str">
        <f>IFERROR(VLOOKUP(A1544,'[1]Sales Order'!A:N,14,FALSE),"Not Specified")</f>
        <v>Sweden</v>
      </c>
      <c r="Q1544" t="str">
        <f>VLOOKUP(VLOOKUP(B1544,[1]Product!A:C,3,FALSE),[1]Supplier!A:B,2,FALSE)</f>
        <v>Supplier FNUXM</v>
      </c>
      <c r="R1544" t="str">
        <f>VLOOKUP(VLOOKUP(B1544,[1]Product!A:C,3,FALSE),[1]Supplier!A:I,9,FALSE)</f>
        <v>Netherlands</v>
      </c>
      <c r="S1544" t="str">
        <f>IFERROR(IF(VLOOKUP(A1544,'[1]Sales Order'!A:H,8,FALSE)&gt;100,"High Freight","Low Freight"),"Not Specified")</f>
        <v>Low Freight</v>
      </c>
      <c r="T1544">
        <f t="shared" si="49"/>
        <v>285</v>
      </c>
    </row>
    <row r="1545" spans="1:20">
      <c r="A1545" s="1">
        <v>10837</v>
      </c>
      <c r="B1545" s="2">
        <v>76</v>
      </c>
      <c r="C1545" s="2">
        <v>18</v>
      </c>
      <c r="D1545" s="2">
        <v>21</v>
      </c>
      <c r="E1545" s="3">
        <v>0.25</v>
      </c>
      <c r="F1545" s="2" t="str">
        <f>IFERROR(VLOOKUP(VLOOKUP(A1545,'[1]Sales Order'!A:B,2,FALSE),[1]Customer!A:C,3,FALSE),"Not Specified")</f>
        <v>Higginbotham, Tom</v>
      </c>
      <c r="G1545" s="2" t="str">
        <f t="shared" si="48"/>
        <v>Higginbotham Tom</v>
      </c>
      <c r="H1545" s="8" t="str">
        <f>IFERROR(VLOOKUP(VLOOKUP(A1545,'[1]Sales Order'!A:C,3,FALSE),[1]Employee!A:E,5,FALSE)&amp;" "&amp;VLOOKUP(VLOOKUP(A1545,'[1]Sales Order'!A:C,3,FALSE),[1]Employee!A:C,3,FALSE)&amp;" "&amp;VLOOKUP(VLOOKUP(A1545,'[1]Sales Order'!A:C,3,FALSE),[1]Employee!A:B,2,FALSE),"Not Specified")</f>
        <v>Ms. Zoya Dolgopyatova</v>
      </c>
      <c r="I1545">
        <f>IFERROR(VLOOKUP(VLOOKUP(A1545,'[1]Sales Order'!A:C,3,FALSE),[1]Employee!A:J,10,FALSE),"Not Specified")</f>
        <v>0</v>
      </c>
      <c r="J1545" t="str">
        <f>VLOOKUP(B1545,[1]Product!A:B,2,FALSE)</f>
        <v>Product JYGFE</v>
      </c>
      <c r="K1545" t="str">
        <f>VLOOKUP(VLOOKUP(B1545,[1]Product!A:D,4,FALSE),[1]Category!A:B,2,FALSE)</f>
        <v>Beverages</v>
      </c>
      <c r="L1545" s="10">
        <f>IFERROR(VLOOKUP(A1545,'[1]Sales Order'!A:D,4,FALSE),"")</f>
        <v>39463</v>
      </c>
      <c r="M1545" s="10">
        <f>IFERROR(VLOOKUP(A1545,'[1]Sales Order'!A:F,6,FALSE),"")</f>
        <v>39470</v>
      </c>
      <c r="N1545" t="str">
        <f>IFERROR(VLOOKUP(VLOOKUP(A1545,'[1]Sales Order'!A:G,7,FALSE),[1]Shipper!A:B,2,FALSE),"Not Specified")</f>
        <v>Shipper ZHISN</v>
      </c>
      <c r="O1545" t="str">
        <f>IFERROR(VLOOKUP(A1545,'[1]Sales Order'!A:I,9,FALSE),"Not Specified")</f>
        <v>Ship to 5-A</v>
      </c>
      <c r="P1545" t="str">
        <f>IFERROR(VLOOKUP(A1545,'[1]Sales Order'!A:N,14,FALSE),"Not Specified")</f>
        <v>Sweden</v>
      </c>
      <c r="Q1545" t="str">
        <f>VLOOKUP(VLOOKUP(B1545,[1]Product!A:C,3,FALSE),[1]Supplier!A:B,2,FALSE)</f>
        <v>Supplier ELCRN</v>
      </c>
      <c r="R1545" t="str">
        <f>VLOOKUP(VLOOKUP(B1545,[1]Product!A:C,3,FALSE),[1]Supplier!A:I,9,FALSE)</f>
        <v>Finland</v>
      </c>
      <c r="S1545" t="str">
        <f>IFERROR(IF(VLOOKUP(A1545,'[1]Sales Order'!A:H,8,FALSE)&gt;100,"High Freight","Low Freight"),"Not Specified")</f>
        <v>Low Freight</v>
      </c>
      <c r="T1545">
        <f t="shared" si="49"/>
        <v>283.5</v>
      </c>
    </row>
    <row r="1546" spans="1:20">
      <c r="A1546" s="1">
        <v>10838</v>
      </c>
      <c r="B1546" s="2">
        <v>1</v>
      </c>
      <c r="C1546" s="2">
        <v>18</v>
      </c>
      <c r="D1546" s="2">
        <v>4</v>
      </c>
      <c r="E1546" s="3">
        <v>0.25</v>
      </c>
      <c r="F1546" s="2" t="str">
        <f>IFERROR(VLOOKUP(VLOOKUP(A1546,'[1]Sales Order'!A:B,2,FALSE),[1]Customer!A:C,3,FALSE),"Not Specified")</f>
        <v>Lupu, Cornel</v>
      </c>
      <c r="G1546" s="2" t="str">
        <f t="shared" si="48"/>
        <v>Lupu Cornel</v>
      </c>
      <c r="H1546" s="8" t="str">
        <f>IFERROR(VLOOKUP(VLOOKUP(A1546,'[1]Sales Order'!A:C,3,FALSE),[1]Employee!A:E,5,FALSE)&amp;" "&amp;VLOOKUP(VLOOKUP(A1546,'[1]Sales Order'!A:C,3,FALSE),[1]Employee!A:C,3,FALSE)&amp;" "&amp;VLOOKUP(VLOOKUP(A1546,'[1]Sales Order'!A:C,3,FALSE),[1]Employee!A:B,2,FALSE),"Not Specified")</f>
        <v>Ms. Judy Lew</v>
      </c>
      <c r="I1546" t="str">
        <f>IFERROR(VLOOKUP(VLOOKUP(A1546,'[1]Sales Order'!A:C,3,FALSE),[1]Employee!A:J,10,FALSE),"Not Specified")</f>
        <v>WA</v>
      </c>
      <c r="J1546" t="str">
        <f>VLOOKUP(B1546,[1]Product!A:B,2,FALSE)</f>
        <v>Product HHYDP</v>
      </c>
      <c r="K1546" t="str">
        <f>VLOOKUP(VLOOKUP(B1546,[1]Product!A:D,4,FALSE),[1]Category!A:B,2,FALSE)</f>
        <v>Beverages</v>
      </c>
      <c r="L1546" s="10">
        <f>IFERROR(VLOOKUP(A1546,'[1]Sales Order'!A:D,4,FALSE),"")</f>
        <v>39466</v>
      </c>
      <c r="M1546" s="10">
        <f>IFERROR(VLOOKUP(A1546,'[1]Sales Order'!A:F,6,FALSE),"")</f>
        <v>39470</v>
      </c>
      <c r="N1546" t="str">
        <f>IFERROR(VLOOKUP(VLOOKUP(A1546,'[1]Sales Order'!A:G,7,FALSE),[1]Shipper!A:B,2,FALSE),"Not Specified")</f>
        <v>Shipper ZHISN</v>
      </c>
      <c r="O1546" t="str">
        <f>IFERROR(VLOOKUP(A1546,'[1]Sales Order'!A:I,9,FALSE),"Not Specified")</f>
        <v>Ship to 47-A</v>
      </c>
      <c r="P1546" t="str">
        <f>IFERROR(VLOOKUP(A1546,'[1]Sales Order'!A:N,14,FALSE),"Not Specified")</f>
        <v>Venezuela</v>
      </c>
      <c r="Q1546" t="str">
        <f>VLOOKUP(VLOOKUP(B1546,[1]Product!A:C,3,FALSE),[1]Supplier!A:B,2,FALSE)</f>
        <v>Supplier SWRXU</v>
      </c>
      <c r="R1546" t="str">
        <f>VLOOKUP(VLOOKUP(B1546,[1]Product!A:C,3,FALSE),[1]Supplier!A:I,9,FALSE)</f>
        <v>UK</v>
      </c>
      <c r="S1546" t="str">
        <f>IFERROR(IF(VLOOKUP(A1546,'[1]Sales Order'!A:H,8,FALSE)&gt;100,"High Freight","Low Freight"),"Not Specified")</f>
        <v>Low Freight</v>
      </c>
      <c r="T1546">
        <f t="shared" si="49"/>
        <v>54</v>
      </c>
    </row>
    <row r="1547" spans="1:20">
      <c r="A1547" s="1">
        <v>10838</v>
      </c>
      <c r="B1547" s="2">
        <v>18</v>
      </c>
      <c r="C1547" s="2">
        <v>62.5</v>
      </c>
      <c r="D1547" s="2">
        <v>25</v>
      </c>
      <c r="E1547" s="3">
        <v>0.25</v>
      </c>
      <c r="F1547" s="2" t="str">
        <f>IFERROR(VLOOKUP(VLOOKUP(A1547,'[1]Sales Order'!A:B,2,FALSE),[1]Customer!A:C,3,FALSE),"Not Specified")</f>
        <v>Lupu, Cornel</v>
      </c>
      <c r="G1547" s="2" t="str">
        <f t="shared" si="48"/>
        <v>Lupu Cornel</v>
      </c>
      <c r="H1547" s="8" t="str">
        <f>IFERROR(VLOOKUP(VLOOKUP(A1547,'[1]Sales Order'!A:C,3,FALSE),[1]Employee!A:E,5,FALSE)&amp;" "&amp;VLOOKUP(VLOOKUP(A1547,'[1]Sales Order'!A:C,3,FALSE),[1]Employee!A:C,3,FALSE)&amp;" "&amp;VLOOKUP(VLOOKUP(A1547,'[1]Sales Order'!A:C,3,FALSE),[1]Employee!A:B,2,FALSE),"Not Specified")</f>
        <v>Ms. Judy Lew</v>
      </c>
      <c r="I1547" t="str">
        <f>IFERROR(VLOOKUP(VLOOKUP(A1547,'[1]Sales Order'!A:C,3,FALSE),[1]Employee!A:J,10,FALSE),"Not Specified")</f>
        <v>WA</v>
      </c>
      <c r="J1547" t="str">
        <f>VLOOKUP(B1547,[1]Product!A:B,2,FALSE)</f>
        <v>Product CKEDC</v>
      </c>
      <c r="K1547" t="str">
        <f>VLOOKUP(VLOOKUP(B1547,[1]Product!A:D,4,FALSE),[1]Category!A:B,2,FALSE)</f>
        <v>Seafood</v>
      </c>
      <c r="L1547" s="10">
        <f>IFERROR(VLOOKUP(A1547,'[1]Sales Order'!A:D,4,FALSE),"")</f>
        <v>39466</v>
      </c>
      <c r="M1547" s="10">
        <f>IFERROR(VLOOKUP(A1547,'[1]Sales Order'!A:F,6,FALSE),"")</f>
        <v>39470</v>
      </c>
      <c r="N1547" t="str">
        <f>IFERROR(VLOOKUP(VLOOKUP(A1547,'[1]Sales Order'!A:G,7,FALSE),[1]Shipper!A:B,2,FALSE),"Not Specified")</f>
        <v>Shipper ZHISN</v>
      </c>
      <c r="O1547" t="str">
        <f>IFERROR(VLOOKUP(A1547,'[1]Sales Order'!A:I,9,FALSE),"Not Specified")</f>
        <v>Ship to 47-A</v>
      </c>
      <c r="P1547" t="str">
        <f>IFERROR(VLOOKUP(A1547,'[1]Sales Order'!A:N,14,FALSE),"Not Specified")</f>
        <v>Venezuela</v>
      </c>
      <c r="Q1547" t="str">
        <f>VLOOKUP(VLOOKUP(B1547,[1]Product!A:C,3,FALSE),[1]Supplier!A:B,2,FALSE)</f>
        <v>Supplier GQRCV</v>
      </c>
      <c r="R1547" t="str">
        <f>VLOOKUP(VLOOKUP(B1547,[1]Product!A:C,3,FALSE),[1]Supplier!A:I,9,FALSE)</f>
        <v>Australia</v>
      </c>
      <c r="S1547" t="str">
        <f>IFERROR(IF(VLOOKUP(A1547,'[1]Sales Order'!A:H,8,FALSE)&gt;100,"High Freight","Low Freight"),"Not Specified")</f>
        <v>Low Freight</v>
      </c>
      <c r="T1547">
        <f t="shared" si="49"/>
        <v>1171.875</v>
      </c>
    </row>
    <row r="1548" spans="1:20">
      <c r="A1548" s="1">
        <v>10838</v>
      </c>
      <c r="B1548" s="2">
        <v>36</v>
      </c>
      <c r="C1548" s="2">
        <v>19</v>
      </c>
      <c r="D1548" s="2">
        <v>50</v>
      </c>
      <c r="E1548" s="3">
        <v>0.25</v>
      </c>
      <c r="F1548" s="2" t="str">
        <f>IFERROR(VLOOKUP(VLOOKUP(A1548,'[1]Sales Order'!A:B,2,FALSE),[1]Customer!A:C,3,FALSE),"Not Specified")</f>
        <v>Lupu, Cornel</v>
      </c>
      <c r="G1548" s="2" t="str">
        <f t="shared" si="48"/>
        <v>Lupu Cornel</v>
      </c>
      <c r="H1548" s="8" t="str">
        <f>IFERROR(VLOOKUP(VLOOKUP(A1548,'[1]Sales Order'!A:C,3,FALSE),[1]Employee!A:E,5,FALSE)&amp;" "&amp;VLOOKUP(VLOOKUP(A1548,'[1]Sales Order'!A:C,3,FALSE),[1]Employee!A:C,3,FALSE)&amp;" "&amp;VLOOKUP(VLOOKUP(A1548,'[1]Sales Order'!A:C,3,FALSE),[1]Employee!A:B,2,FALSE),"Not Specified")</f>
        <v>Ms. Judy Lew</v>
      </c>
      <c r="I1548" t="str">
        <f>IFERROR(VLOOKUP(VLOOKUP(A1548,'[1]Sales Order'!A:C,3,FALSE),[1]Employee!A:J,10,FALSE),"Not Specified")</f>
        <v>WA</v>
      </c>
      <c r="J1548" t="str">
        <f>VLOOKUP(B1548,[1]Product!A:B,2,FALSE)</f>
        <v>Product GMKIJ</v>
      </c>
      <c r="K1548" t="str">
        <f>VLOOKUP(VLOOKUP(B1548,[1]Product!A:D,4,FALSE),[1]Category!A:B,2,FALSE)</f>
        <v>Seafood</v>
      </c>
      <c r="L1548" s="10">
        <f>IFERROR(VLOOKUP(A1548,'[1]Sales Order'!A:D,4,FALSE),"")</f>
        <v>39466</v>
      </c>
      <c r="M1548" s="10">
        <f>IFERROR(VLOOKUP(A1548,'[1]Sales Order'!A:F,6,FALSE),"")</f>
        <v>39470</v>
      </c>
      <c r="N1548" t="str">
        <f>IFERROR(VLOOKUP(VLOOKUP(A1548,'[1]Sales Order'!A:G,7,FALSE),[1]Shipper!A:B,2,FALSE),"Not Specified")</f>
        <v>Shipper ZHISN</v>
      </c>
      <c r="O1548" t="str">
        <f>IFERROR(VLOOKUP(A1548,'[1]Sales Order'!A:I,9,FALSE),"Not Specified")</f>
        <v>Ship to 47-A</v>
      </c>
      <c r="P1548" t="str">
        <f>IFERROR(VLOOKUP(A1548,'[1]Sales Order'!A:N,14,FALSE),"Not Specified")</f>
        <v>Venezuela</v>
      </c>
      <c r="Q1548" t="str">
        <f>VLOOKUP(VLOOKUP(B1548,[1]Product!A:C,3,FALSE),[1]Supplier!A:B,2,FALSE)</f>
        <v>Supplier QZGUF</v>
      </c>
      <c r="R1548" t="str">
        <f>VLOOKUP(VLOOKUP(B1548,[1]Product!A:C,3,FALSE),[1]Supplier!A:I,9,FALSE)</f>
        <v>Sweden</v>
      </c>
      <c r="S1548" t="str">
        <f>IFERROR(IF(VLOOKUP(A1548,'[1]Sales Order'!A:H,8,FALSE)&gt;100,"High Freight","Low Freight"),"Not Specified")</f>
        <v>Low Freight</v>
      </c>
      <c r="T1548">
        <f t="shared" si="49"/>
        <v>712.5</v>
      </c>
    </row>
    <row r="1549" spans="1:20">
      <c r="A1549" s="1">
        <v>10839</v>
      </c>
      <c r="B1549" s="2">
        <v>58</v>
      </c>
      <c r="C1549" s="2">
        <v>13.25</v>
      </c>
      <c r="D1549" s="2">
        <v>30</v>
      </c>
      <c r="E1549" s="3">
        <v>0.1</v>
      </c>
      <c r="F1549" s="2" t="str">
        <f>IFERROR(VLOOKUP(VLOOKUP(A1549,'[1]Sales Order'!A:B,2,FALSE),[1]Customer!A:C,3,FALSE),"Not Specified")</f>
        <v>Nagel, Jean-Philippe</v>
      </c>
      <c r="G1549" s="2" t="str">
        <f t="shared" si="48"/>
        <v>Nagel Jean-Philippe</v>
      </c>
      <c r="H1549" s="8" t="str">
        <f>IFERROR(VLOOKUP(VLOOKUP(A1549,'[1]Sales Order'!A:C,3,FALSE),[1]Employee!A:E,5,FALSE)&amp;" "&amp;VLOOKUP(VLOOKUP(A1549,'[1]Sales Order'!A:C,3,FALSE),[1]Employee!A:C,3,FALSE)&amp;" "&amp;VLOOKUP(VLOOKUP(A1549,'[1]Sales Order'!A:C,3,FALSE),[1]Employee!A:B,2,FALSE),"Not Specified")</f>
        <v>Ms. Judy Lew</v>
      </c>
      <c r="I1549" t="str">
        <f>IFERROR(VLOOKUP(VLOOKUP(A1549,'[1]Sales Order'!A:C,3,FALSE),[1]Employee!A:J,10,FALSE),"Not Specified")</f>
        <v>WA</v>
      </c>
      <c r="J1549" t="str">
        <f>VLOOKUP(B1549,[1]Product!A:B,2,FALSE)</f>
        <v>Product ACRVI</v>
      </c>
      <c r="K1549" t="str">
        <f>VLOOKUP(VLOOKUP(B1549,[1]Product!A:D,4,FALSE),[1]Category!A:B,2,FALSE)</f>
        <v>Seafood</v>
      </c>
      <c r="L1549" s="10">
        <f>IFERROR(VLOOKUP(A1549,'[1]Sales Order'!A:D,4,FALSE),"")</f>
        <v>39466</v>
      </c>
      <c r="M1549" s="10">
        <f>IFERROR(VLOOKUP(A1549,'[1]Sales Order'!A:F,6,FALSE),"")</f>
        <v>39469</v>
      </c>
      <c r="N1549" t="str">
        <f>IFERROR(VLOOKUP(VLOOKUP(A1549,'[1]Sales Order'!A:G,7,FALSE),[1]Shipper!A:B,2,FALSE),"Not Specified")</f>
        <v>Shipper ZHISN</v>
      </c>
      <c r="O1549" t="str">
        <f>IFERROR(VLOOKUP(A1549,'[1]Sales Order'!A:I,9,FALSE),"Not Specified")</f>
        <v>Ship to 81-C</v>
      </c>
      <c r="P1549" t="str">
        <f>IFERROR(VLOOKUP(A1549,'[1]Sales Order'!A:N,14,FALSE),"Not Specified")</f>
        <v>Brazil</v>
      </c>
      <c r="Q1549" t="str">
        <f>VLOOKUP(VLOOKUP(B1549,[1]Product!A:C,3,FALSE),[1]Supplier!A:B,2,FALSE)</f>
        <v>Supplier ZRYDZ</v>
      </c>
      <c r="R1549" t="str">
        <f>VLOOKUP(VLOOKUP(B1549,[1]Product!A:C,3,FALSE),[1]Supplier!A:I,9,FALSE)</f>
        <v>France</v>
      </c>
      <c r="S1549" t="str">
        <f>IFERROR(IF(VLOOKUP(A1549,'[1]Sales Order'!A:H,8,FALSE)&gt;100,"High Freight","Low Freight"),"Not Specified")</f>
        <v>Low Freight</v>
      </c>
      <c r="T1549">
        <f t="shared" si="49"/>
        <v>357.75</v>
      </c>
    </row>
    <row r="1550" spans="1:20">
      <c r="A1550" s="1">
        <v>10839</v>
      </c>
      <c r="B1550" s="2">
        <v>72</v>
      </c>
      <c r="C1550" s="2">
        <v>34.799999999999997</v>
      </c>
      <c r="D1550" s="2">
        <v>15</v>
      </c>
      <c r="E1550" s="3">
        <v>0.1</v>
      </c>
      <c r="F1550" s="2" t="str">
        <f>IFERROR(VLOOKUP(VLOOKUP(A1550,'[1]Sales Order'!A:B,2,FALSE),[1]Customer!A:C,3,FALSE),"Not Specified")</f>
        <v>Nagel, Jean-Philippe</v>
      </c>
      <c r="G1550" s="2" t="str">
        <f t="shared" si="48"/>
        <v>Nagel Jean-Philippe</v>
      </c>
      <c r="H1550" s="8" t="str">
        <f>IFERROR(VLOOKUP(VLOOKUP(A1550,'[1]Sales Order'!A:C,3,FALSE),[1]Employee!A:E,5,FALSE)&amp;" "&amp;VLOOKUP(VLOOKUP(A1550,'[1]Sales Order'!A:C,3,FALSE),[1]Employee!A:C,3,FALSE)&amp;" "&amp;VLOOKUP(VLOOKUP(A1550,'[1]Sales Order'!A:C,3,FALSE),[1]Employee!A:B,2,FALSE),"Not Specified")</f>
        <v>Ms. Judy Lew</v>
      </c>
      <c r="I1550" t="str">
        <f>IFERROR(VLOOKUP(VLOOKUP(A1550,'[1]Sales Order'!A:C,3,FALSE),[1]Employee!A:J,10,FALSE),"Not Specified")</f>
        <v>WA</v>
      </c>
      <c r="J1550" t="str">
        <f>VLOOKUP(B1550,[1]Product!A:B,2,FALSE)</f>
        <v>Product GEEOO</v>
      </c>
      <c r="K1550" t="str">
        <f>VLOOKUP(VLOOKUP(B1550,[1]Product!A:D,4,FALSE),[1]Category!A:B,2,FALSE)</f>
        <v>Dairy Product</v>
      </c>
      <c r="L1550" s="10">
        <f>IFERROR(VLOOKUP(A1550,'[1]Sales Order'!A:D,4,FALSE),"")</f>
        <v>39466</v>
      </c>
      <c r="M1550" s="10">
        <f>IFERROR(VLOOKUP(A1550,'[1]Sales Order'!A:F,6,FALSE),"")</f>
        <v>39469</v>
      </c>
      <c r="N1550" t="str">
        <f>IFERROR(VLOOKUP(VLOOKUP(A1550,'[1]Sales Order'!A:G,7,FALSE),[1]Shipper!A:B,2,FALSE),"Not Specified")</f>
        <v>Shipper ZHISN</v>
      </c>
      <c r="O1550" t="str">
        <f>IFERROR(VLOOKUP(A1550,'[1]Sales Order'!A:I,9,FALSE),"Not Specified")</f>
        <v>Ship to 81-C</v>
      </c>
      <c r="P1550" t="str">
        <f>IFERROR(VLOOKUP(A1550,'[1]Sales Order'!A:N,14,FALSE),"Not Specified")</f>
        <v>Brazil</v>
      </c>
      <c r="Q1550" t="str">
        <f>VLOOKUP(VLOOKUP(B1550,[1]Product!A:C,3,FALSE),[1]Supplier!A:B,2,FALSE)</f>
        <v>Supplier KEREV</v>
      </c>
      <c r="R1550" t="str">
        <f>VLOOKUP(VLOOKUP(B1550,[1]Product!A:C,3,FALSE),[1]Supplier!A:I,9,FALSE)</f>
        <v>Italy</v>
      </c>
      <c r="S1550" t="str">
        <f>IFERROR(IF(VLOOKUP(A1550,'[1]Sales Order'!A:H,8,FALSE)&gt;100,"High Freight","Low Freight"),"Not Specified")</f>
        <v>Low Freight</v>
      </c>
      <c r="T1550">
        <f t="shared" si="49"/>
        <v>469.8</v>
      </c>
    </row>
    <row r="1551" spans="1:20">
      <c r="A1551" s="1">
        <v>10840</v>
      </c>
      <c r="B1551" s="2">
        <v>25</v>
      </c>
      <c r="C1551" s="2">
        <v>14</v>
      </c>
      <c r="D1551" s="2">
        <v>6</v>
      </c>
      <c r="E1551" s="3">
        <v>0.2</v>
      </c>
      <c r="F1551" s="2" t="str">
        <f>IFERROR(VLOOKUP(VLOOKUP(A1551,'[1]Sales Order'!A:B,2,FALSE),[1]Customer!A:C,3,FALSE),"Not Specified")</f>
        <v>Lupu, Cornel</v>
      </c>
      <c r="G1551" s="2" t="str">
        <f t="shared" si="48"/>
        <v>Lupu Cornel</v>
      </c>
      <c r="H1551" s="8" t="str">
        <f>IFERROR(VLOOKUP(VLOOKUP(A1551,'[1]Sales Order'!A:C,3,FALSE),[1]Employee!A:E,5,FALSE)&amp;" "&amp;VLOOKUP(VLOOKUP(A1551,'[1]Sales Order'!A:C,3,FALSE),[1]Employee!A:C,3,FALSE)&amp;" "&amp;VLOOKUP(VLOOKUP(A1551,'[1]Sales Order'!A:C,3,FALSE),[1]Employee!A:B,2,FALSE),"Not Specified")</f>
        <v>Mrs. Yael Peled</v>
      </c>
      <c r="I1551" t="str">
        <f>IFERROR(VLOOKUP(VLOOKUP(A1551,'[1]Sales Order'!A:C,3,FALSE),[1]Employee!A:J,10,FALSE),"Not Specified")</f>
        <v>WA</v>
      </c>
      <c r="J1551" t="str">
        <f>VLOOKUP(B1551,[1]Product!A:B,2,FALSE)</f>
        <v>Product LYLNI</v>
      </c>
      <c r="K1551" t="str">
        <f>VLOOKUP(VLOOKUP(B1551,[1]Product!A:D,4,FALSE),[1]Category!A:B,2,FALSE)</f>
        <v>Confections</v>
      </c>
      <c r="L1551" s="10">
        <f>IFERROR(VLOOKUP(A1551,'[1]Sales Order'!A:D,4,FALSE),"")</f>
        <v>39466</v>
      </c>
      <c r="M1551" s="10">
        <f>IFERROR(VLOOKUP(A1551,'[1]Sales Order'!A:F,6,FALSE),"")</f>
        <v>39494</v>
      </c>
      <c r="N1551" t="str">
        <f>IFERROR(VLOOKUP(VLOOKUP(A1551,'[1]Sales Order'!A:G,7,FALSE),[1]Shipper!A:B,2,FALSE),"Not Specified")</f>
        <v>Shipper ETYNR</v>
      </c>
      <c r="O1551" t="str">
        <f>IFERROR(VLOOKUP(A1551,'[1]Sales Order'!A:I,9,FALSE),"Not Specified")</f>
        <v>Ship to 47-A</v>
      </c>
      <c r="P1551" t="str">
        <f>IFERROR(VLOOKUP(A1551,'[1]Sales Order'!A:N,14,FALSE),"Not Specified")</f>
        <v>Venezuela</v>
      </c>
      <c r="Q1551" t="str">
        <f>VLOOKUP(VLOOKUP(B1551,[1]Product!A:C,3,FALSE),[1]Supplier!A:B,2,FALSE)</f>
        <v>Supplier ZPYVS</v>
      </c>
      <c r="R1551" t="str">
        <f>VLOOKUP(VLOOKUP(B1551,[1]Product!A:C,3,FALSE),[1]Supplier!A:I,9,FALSE)</f>
        <v>Germany</v>
      </c>
      <c r="S1551" t="str">
        <f>IFERROR(IF(VLOOKUP(A1551,'[1]Sales Order'!A:H,8,FALSE)&gt;100,"High Freight","Low Freight"),"Not Specified")</f>
        <v>Low Freight</v>
      </c>
      <c r="T1551">
        <f t="shared" si="49"/>
        <v>67.2</v>
      </c>
    </row>
    <row r="1552" spans="1:20">
      <c r="A1552" s="1">
        <v>10840</v>
      </c>
      <c r="B1552" s="2">
        <v>39</v>
      </c>
      <c r="C1552" s="2">
        <v>18</v>
      </c>
      <c r="D1552" s="2">
        <v>10</v>
      </c>
      <c r="E1552" s="3">
        <v>0.2</v>
      </c>
      <c r="F1552" s="2" t="str">
        <f>IFERROR(VLOOKUP(VLOOKUP(A1552,'[1]Sales Order'!A:B,2,FALSE),[1]Customer!A:C,3,FALSE),"Not Specified")</f>
        <v>Lupu, Cornel</v>
      </c>
      <c r="G1552" s="2" t="str">
        <f t="shared" si="48"/>
        <v>Lupu Cornel</v>
      </c>
      <c r="H1552" s="8" t="str">
        <f>IFERROR(VLOOKUP(VLOOKUP(A1552,'[1]Sales Order'!A:C,3,FALSE),[1]Employee!A:E,5,FALSE)&amp;" "&amp;VLOOKUP(VLOOKUP(A1552,'[1]Sales Order'!A:C,3,FALSE),[1]Employee!A:C,3,FALSE)&amp;" "&amp;VLOOKUP(VLOOKUP(A1552,'[1]Sales Order'!A:C,3,FALSE),[1]Employee!A:B,2,FALSE),"Not Specified")</f>
        <v>Mrs. Yael Peled</v>
      </c>
      <c r="I1552" t="str">
        <f>IFERROR(VLOOKUP(VLOOKUP(A1552,'[1]Sales Order'!A:C,3,FALSE),[1]Employee!A:J,10,FALSE),"Not Specified")</f>
        <v>WA</v>
      </c>
      <c r="J1552" t="str">
        <f>VLOOKUP(B1552,[1]Product!A:B,2,FALSE)</f>
        <v>Product LSOFL</v>
      </c>
      <c r="K1552" t="str">
        <f>VLOOKUP(VLOOKUP(B1552,[1]Product!A:D,4,FALSE),[1]Category!A:B,2,FALSE)</f>
        <v>Beverages</v>
      </c>
      <c r="L1552" s="10">
        <f>IFERROR(VLOOKUP(A1552,'[1]Sales Order'!A:D,4,FALSE),"")</f>
        <v>39466</v>
      </c>
      <c r="M1552" s="10">
        <f>IFERROR(VLOOKUP(A1552,'[1]Sales Order'!A:F,6,FALSE),"")</f>
        <v>39494</v>
      </c>
      <c r="N1552" t="str">
        <f>IFERROR(VLOOKUP(VLOOKUP(A1552,'[1]Sales Order'!A:G,7,FALSE),[1]Shipper!A:B,2,FALSE),"Not Specified")</f>
        <v>Shipper ETYNR</v>
      </c>
      <c r="O1552" t="str">
        <f>IFERROR(VLOOKUP(A1552,'[1]Sales Order'!A:I,9,FALSE),"Not Specified")</f>
        <v>Ship to 47-A</v>
      </c>
      <c r="P1552" t="str">
        <f>IFERROR(VLOOKUP(A1552,'[1]Sales Order'!A:N,14,FALSE),"Not Specified")</f>
        <v>Venezuela</v>
      </c>
      <c r="Q1552" t="str">
        <f>VLOOKUP(VLOOKUP(B1552,[1]Product!A:C,3,FALSE),[1]Supplier!A:B,2,FALSE)</f>
        <v>Supplier LVJUA</v>
      </c>
      <c r="R1552" t="str">
        <f>VLOOKUP(VLOOKUP(B1552,[1]Product!A:C,3,FALSE),[1]Supplier!A:I,9,FALSE)</f>
        <v>France</v>
      </c>
      <c r="S1552" t="str">
        <f>IFERROR(IF(VLOOKUP(A1552,'[1]Sales Order'!A:H,8,FALSE)&gt;100,"High Freight","Low Freight"),"Not Specified")</f>
        <v>Low Freight</v>
      </c>
      <c r="T1552">
        <f t="shared" si="49"/>
        <v>144</v>
      </c>
    </row>
    <row r="1553" spans="1:20">
      <c r="A1553" s="1">
        <v>10841</v>
      </c>
      <c r="B1553" s="2">
        <v>10</v>
      </c>
      <c r="C1553" s="2">
        <v>31</v>
      </c>
      <c r="D1553" s="2">
        <v>16</v>
      </c>
      <c r="E1553" s="3">
        <v>0</v>
      </c>
      <c r="F1553" s="2" t="str">
        <f>IFERROR(VLOOKUP(VLOOKUP(A1553,'[1]Sales Order'!A:B,2,FALSE),[1]Customer!A:C,3,FALSE),"Not Specified")</f>
        <v>Gulbis, Katrin</v>
      </c>
      <c r="G1553" s="2" t="str">
        <f t="shared" si="48"/>
        <v>Gulbis Katrin</v>
      </c>
      <c r="H1553" s="8" t="str">
        <f>IFERROR(VLOOKUP(VLOOKUP(A1553,'[1]Sales Order'!A:C,3,FALSE),[1]Employee!A:E,5,FALSE)&amp;" "&amp;VLOOKUP(VLOOKUP(A1553,'[1]Sales Order'!A:C,3,FALSE),[1]Employee!A:C,3,FALSE)&amp;" "&amp;VLOOKUP(VLOOKUP(A1553,'[1]Sales Order'!A:C,3,FALSE),[1]Employee!A:B,2,FALSE),"Not Specified")</f>
        <v>Mr. Sven Buck</v>
      </c>
      <c r="I1553">
        <f>IFERROR(VLOOKUP(VLOOKUP(A1553,'[1]Sales Order'!A:C,3,FALSE),[1]Employee!A:J,10,FALSE),"Not Specified")</f>
        <v>0</v>
      </c>
      <c r="J1553" t="str">
        <f>VLOOKUP(B1553,[1]Product!A:B,2,FALSE)</f>
        <v>Product YHXGE</v>
      </c>
      <c r="K1553" t="str">
        <f>VLOOKUP(VLOOKUP(B1553,[1]Product!A:D,4,FALSE),[1]Category!A:B,2,FALSE)</f>
        <v>Seafood</v>
      </c>
      <c r="L1553" s="10">
        <f>IFERROR(VLOOKUP(A1553,'[1]Sales Order'!A:D,4,FALSE),"")</f>
        <v>39467</v>
      </c>
      <c r="M1553" s="10">
        <f>IFERROR(VLOOKUP(A1553,'[1]Sales Order'!A:F,6,FALSE),"")</f>
        <v>39476</v>
      </c>
      <c r="N1553" t="str">
        <f>IFERROR(VLOOKUP(VLOOKUP(A1553,'[1]Sales Order'!A:G,7,FALSE),[1]Shipper!A:B,2,FALSE),"Not Specified")</f>
        <v>Shipper ETYNR</v>
      </c>
      <c r="O1553" t="str">
        <f>IFERROR(VLOOKUP(A1553,'[1]Sales Order'!A:I,9,FALSE),"Not Specified")</f>
        <v>Ship to 76-B</v>
      </c>
      <c r="P1553" t="str">
        <f>IFERROR(VLOOKUP(A1553,'[1]Sales Order'!A:N,14,FALSE),"Not Specified")</f>
        <v>Belgium</v>
      </c>
      <c r="Q1553" t="str">
        <f>VLOOKUP(VLOOKUP(B1553,[1]Product!A:C,3,FALSE),[1]Supplier!A:B,2,FALSE)</f>
        <v>Supplier QOVFD</v>
      </c>
      <c r="R1553" t="str">
        <f>VLOOKUP(VLOOKUP(B1553,[1]Product!A:C,3,FALSE),[1]Supplier!A:I,9,FALSE)</f>
        <v>Japan</v>
      </c>
      <c r="S1553" t="str">
        <f>IFERROR(IF(VLOOKUP(A1553,'[1]Sales Order'!A:H,8,FALSE)&gt;100,"High Freight","Low Freight"),"Not Specified")</f>
        <v>High Freight</v>
      </c>
      <c r="T1553">
        <f t="shared" si="49"/>
        <v>496</v>
      </c>
    </row>
    <row r="1554" spans="1:20">
      <c r="A1554" s="1">
        <v>10841</v>
      </c>
      <c r="B1554" s="2">
        <v>56</v>
      </c>
      <c r="C1554" s="2">
        <v>38</v>
      </c>
      <c r="D1554" s="2">
        <v>30</v>
      </c>
      <c r="E1554" s="3">
        <v>0</v>
      </c>
      <c r="F1554" s="2" t="str">
        <f>IFERROR(VLOOKUP(VLOOKUP(A1554,'[1]Sales Order'!A:B,2,FALSE),[1]Customer!A:C,3,FALSE),"Not Specified")</f>
        <v>Gulbis, Katrin</v>
      </c>
      <c r="G1554" s="2" t="str">
        <f t="shared" si="48"/>
        <v>Gulbis Katrin</v>
      </c>
      <c r="H1554" s="8" t="str">
        <f>IFERROR(VLOOKUP(VLOOKUP(A1554,'[1]Sales Order'!A:C,3,FALSE),[1]Employee!A:E,5,FALSE)&amp;" "&amp;VLOOKUP(VLOOKUP(A1554,'[1]Sales Order'!A:C,3,FALSE),[1]Employee!A:C,3,FALSE)&amp;" "&amp;VLOOKUP(VLOOKUP(A1554,'[1]Sales Order'!A:C,3,FALSE),[1]Employee!A:B,2,FALSE),"Not Specified")</f>
        <v>Mr. Sven Buck</v>
      </c>
      <c r="I1554">
        <f>IFERROR(VLOOKUP(VLOOKUP(A1554,'[1]Sales Order'!A:C,3,FALSE),[1]Employee!A:J,10,FALSE),"Not Specified")</f>
        <v>0</v>
      </c>
      <c r="J1554" t="str">
        <f>VLOOKUP(B1554,[1]Product!A:B,2,FALSE)</f>
        <v>Product VKCMF</v>
      </c>
      <c r="K1554" t="str">
        <f>VLOOKUP(VLOOKUP(B1554,[1]Product!A:D,4,FALSE),[1]Category!A:B,2,FALSE)</f>
        <v>Grains/Cereals</v>
      </c>
      <c r="L1554" s="10">
        <f>IFERROR(VLOOKUP(A1554,'[1]Sales Order'!A:D,4,FALSE),"")</f>
        <v>39467</v>
      </c>
      <c r="M1554" s="10">
        <f>IFERROR(VLOOKUP(A1554,'[1]Sales Order'!A:F,6,FALSE),"")</f>
        <v>39476</v>
      </c>
      <c r="N1554" t="str">
        <f>IFERROR(VLOOKUP(VLOOKUP(A1554,'[1]Sales Order'!A:G,7,FALSE),[1]Shipper!A:B,2,FALSE),"Not Specified")</f>
        <v>Shipper ETYNR</v>
      </c>
      <c r="O1554" t="str">
        <f>IFERROR(VLOOKUP(A1554,'[1]Sales Order'!A:I,9,FALSE),"Not Specified")</f>
        <v>Ship to 76-B</v>
      </c>
      <c r="P1554" t="str">
        <f>IFERROR(VLOOKUP(A1554,'[1]Sales Order'!A:N,14,FALSE),"Not Specified")</f>
        <v>Belgium</v>
      </c>
      <c r="Q1554" t="str">
        <f>VLOOKUP(VLOOKUP(B1554,[1]Product!A:C,3,FALSE),[1]Supplier!A:B,2,FALSE)</f>
        <v>Supplier ZWZDM</v>
      </c>
      <c r="R1554" t="str">
        <f>VLOOKUP(VLOOKUP(B1554,[1]Product!A:C,3,FALSE),[1]Supplier!A:I,9,FALSE)</f>
        <v>Italy</v>
      </c>
      <c r="S1554" t="str">
        <f>IFERROR(IF(VLOOKUP(A1554,'[1]Sales Order'!A:H,8,FALSE)&gt;100,"High Freight","Low Freight"),"Not Specified")</f>
        <v>High Freight</v>
      </c>
      <c r="T1554">
        <f t="shared" si="49"/>
        <v>1140</v>
      </c>
    </row>
    <row r="1555" spans="1:20">
      <c r="A1555" s="1">
        <v>10841</v>
      </c>
      <c r="B1555" s="2">
        <v>59</v>
      </c>
      <c r="C1555" s="2">
        <v>55</v>
      </c>
      <c r="D1555" s="2">
        <v>50</v>
      </c>
      <c r="E1555" s="3">
        <v>0</v>
      </c>
      <c r="F1555" s="2" t="str">
        <f>IFERROR(VLOOKUP(VLOOKUP(A1555,'[1]Sales Order'!A:B,2,FALSE),[1]Customer!A:C,3,FALSE),"Not Specified")</f>
        <v>Gulbis, Katrin</v>
      </c>
      <c r="G1555" s="2" t="str">
        <f t="shared" si="48"/>
        <v>Gulbis Katrin</v>
      </c>
      <c r="H1555" s="8" t="str">
        <f>IFERROR(VLOOKUP(VLOOKUP(A1555,'[1]Sales Order'!A:C,3,FALSE),[1]Employee!A:E,5,FALSE)&amp;" "&amp;VLOOKUP(VLOOKUP(A1555,'[1]Sales Order'!A:C,3,FALSE),[1]Employee!A:C,3,FALSE)&amp;" "&amp;VLOOKUP(VLOOKUP(A1555,'[1]Sales Order'!A:C,3,FALSE),[1]Employee!A:B,2,FALSE),"Not Specified")</f>
        <v>Mr. Sven Buck</v>
      </c>
      <c r="I1555">
        <f>IFERROR(VLOOKUP(VLOOKUP(A1555,'[1]Sales Order'!A:C,3,FALSE),[1]Employee!A:J,10,FALSE),"Not Specified")</f>
        <v>0</v>
      </c>
      <c r="J1555" t="str">
        <f>VLOOKUP(B1555,[1]Product!A:B,2,FALSE)</f>
        <v>Product UKXRI</v>
      </c>
      <c r="K1555" t="str">
        <f>VLOOKUP(VLOOKUP(B1555,[1]Product!A:D,4,FALSE),[1]Category!A:B,2,FALSE)</f>
        <v>Dairy Product</v>
      </c>
      <c r="L1555" s="10">
        <f>IFERROR(VLOOKUP(A1555,'[1]Sales Order'!A:D,4,FALSE),"")</f>
        <v>39467</v>
      </c>
      <c r="M1555" s="10">
        <f>IFERROR(VLOOKUP(A1555,'[1]Sales Order'!A:F,6,FALSE),"")</f>
        <v>39476</v>
      </c>
      <c r="N1555" t="str">
        <f>IFERROR(VLOOKUP(VLOOKUP(A1555,'[1]Sales Order'!A:G,7,FALSE),[1]Shipper!A:B,2,FALSE),"Not Specified")</f>
        <v>Shipper ETYNR</v>
      </c>
      <c r="O1555" t="str">
        <f>IFERROR(VLOOKUP(A1555,'[1]Sales Order'!A:I,9,FALSE),"Not Specified")</f>
        <v>Ship to 76-B</v>
      </c>
      <c r="P1555" t="str">
        <f>IFERROR(VLOOKUP(A1555,'[1]Sales Order'!A:N,14,FALSE),"Not Specified")</f>
        <v>Belgium</v>
      </c>
      <c r="Q1555" t="str">
        <f>VLOOKUP(VLOOKUP(B1555,[1]Product!A:C,3,FALSE),[1]Supplier!A:B,2,FALSE)</f>
        <v>Supplier OAVQT</v>
      </c>
      <c r="R1555" t="str">
        <f>VLOOKUP(VLOOKUP(B1555,[1]Product!A:C,3,FALSE),[1]Supplier!A:I,9,FALSE)</f>
        <v>France</v>
      </c>
      <c r="S1555" t="str">
        <f>IFERROR(IF(VLOOKUP(A1555,'[1]Sales Order'!A:H,8,FALSE)&gt;100,"High Freight","Low Freight"),"Not Specified")</f>
        <v>High Freight</v>
      </c>
      <c r="T1555">
        <f t="shared" si="49"/>
        <v>2750</v>
      </c>
    </row>
    <row r="1556" spans="1:20">
      <c r="A1556" s="1">
        <v>10841</v>
      </c>
      <c r="B1556" s="2">
        <v>77</v>
      </c>
      <c r="C1556" s="2">
        <v>13</v>
      </c>
      <c r="D1556" s="2">
        <v>15</v>
      </c>
      <c r="E1556" s="3">
        <v>0</v>
      </c>
      <c r="F1556" s="2" t="str">
        <f>IFERROR(VLOOKUP(VLOOKUP(A1556,'[1]Sales Order'!A:B,2,FALSE),[1]Customer!A:C,3,FALSE),"Not Specified")</f>
        <v>Gulbis, Katrin</v>
      </c>
      <c r="G1556" s="2" t="str">
        <f t="shared" si="48"/>
        <v>Gulbis Katrin</v>
      </c>
      <c r="H1556" s="8" t="str">
        <f>IFERROR(VLOOKUP(VLOOKUP(A1556,'[1]Sales Order'!A:C,3,FALSE),[1]Employee!A:E,5,FALSE)&amp;" "&amp;VLOOKUP(VLOOKUP(A1556,'[1]Sales Order'!A:C,3,FALSE),[1]Employee!A:C,3,FALSE)&amp;" "&amp;VLOOKUP(VLOOKUP(A1556,'[1]Sales Order'!A:C,3,FALSE),[1]Employee!A:B,2,FALSE),"Not Specified")</f>
        <v>Mr. Sven Buck</v>
      </c>
      <c r="I1556">
        <f>IFERROR(VLOOKUP(VLOOKUP(A1556,'[1]Sales Order'!A:C,3,FALSE),[1]Employee!A:J,10,FALSE),"Not Specified")</f>
        <v>0</v>
      </c>
      <c r="J1556" t="str">
        <f>VLOOKUP(B1556,[1]Product!A:B,2,FALSE)</f>
        <v>Product LUNZZ</v>
      </c>
      <c r="K1556" t="str">
        <f>VLOOKUP(VLOOKUP(B1556,[1]Product!A:D,4,FALSE),[1]Category!A:B,2,FALSE)</f>
        <v>Condiments</v>
      </c>
      <c r="L1556" s="10">
        <f>IFERROR(VLOOKUP(A1556,'[1]Sales Order'!A:D,4,FALSE),"")</f>
        <v>39467</v>
      </c>
      <c r="M1556" s="10">
        <f>IFERROR(VLOOKUP(A1556,'[1]Sales Order'!A:F,6,FALSE),"")</f>
        <v>39476</v>
      </c>
      <c r="N1556" t="str">
        <f>IFERROR(VLOOKUP(VLOOKUP(A1556,'[1]Sales Order'!A:G,7,FALSE),[1]Shipper!A:B,2,FALSE),"Not Specified")</f>
        <v>Shipper ETYNR</v>
      </c>
      <c r="O1556" t="str">
        <f>IFERROR(VLOOKUP(A1556,'[1]Sales Order'!A:I,9,FALSE),"Not Specified")</f>
        <v>Ship to 76-B</v>
      </c>
      <c r="P1556" t="str">
        <f>IFERROR(VLOOKUP(A1556,'[1]Sales Order'!A:N,14,FALSE),"Not Specified")</f>
        <v>Belgium</v>
      </c>
      <c r="Q1556" t="str">
        <f>VLOOKUP(VLOOKUP(B1556,[1]Product!A:C,3,FALSE),[1]Supplier!A:B,2,FALSE)</f>
        <v>Supplier SVIYA</v>
      </c>
      <c r="R1556" t="str">
        <f>VLOOKUP(VLOOKUP(B1556,[1]Product!A:C,3,FALSE),[1]Supplier!A:I,9,FALSE)</f>
        <v>Germany</v>
      </c>
      <c r="S1556" t="str">
        <f>IFERROR(IF(VLOOKUP(A1556,'[1]Sales Order'!A:H,8,FALSE)&gt;100,"High Freight","Low Freight"),"Not Specified")</f>
        <v>High Freight</v>
      </c>
      <c r="T1556">
        <f t="shared" si="49"/>
        <v>195</v>
      </c>
    </row>
    <row r="1557" spans="1:20">
      <c r="A1557" s="1">
        <v>10842</v>
      </c>
      <c r="B1557" s="2">
        <v>11</v>
      </c>
      <c r="C1557" s="2">
        <v>21</v>
      </c>
      <c r="D1557" s="2">
        <v>15</v>
      </c>
      <c r="E1557" s="3">
        <v>0</v>
      </c>
      <c r="F1557" s="2" t="str">
        <f>IFERROR(VLOOKUP(VLOOKUP(A1557,'[1]Sales Order'!A:B,2,FALSE),[1]Customer!A:C,3,FALSE),"Not Specified")</f>
        <v>Geschwandtner, Jens</v>
      </c>
      <c r="G1557" s="2" t="str">
        <f t="shared" si="48"/>
        <v>Geschwandtner Jens</v>
      </c>
      <c r="H1557" s="8" t="str">
        <f>IFERROR(VLOOKUP(VLOOKUP(A1557,'[1]Sales Order'!A:C,3,FALSE),[1]Employee!A:E,5,FALSE)&amp;" "&amp;VLOOKUP(VLOOKUP(A1557,'[1]Sales Order'!A:C,3,FALSE),[1]Employee!A:C,3,FALSE)&amp;" "&amp;VLOOKUP(VLOOKUP(A1557,'[1]Sales Order'!A:C,3,FALSE),[1]Employee!A:B,2,FALSE),"Not Specified")</f>
        <v>Ms. Sara Davis</v>
      </c>
      <c r="I1557" t="str">
        <f>IFERROR(VLOOKUP(VLOOKUP(A1557,'[1]Sales Order'!A:C,3,FALSE),[1]Employee!A:J,10,FALSE),"Not Specified")</f>
        <v>WA</v>
      </c>
      <c r="J1557" t="str">
        <f>VLOOKUP(B1557,[1]Product!A:B,2,FALSE)</f>
        <v>Product QMVUN</v>
      </c>
      <c r="K1557" t="str">
        <f>VLOOKUP(VLOOKUP(B1557,[1]Product!A:D,4,FALSE),[1]Category!A:B,2,FALSE)</f>
        <v>Dairy Product</v>
      </c>
      <c r="L1557" s="10">
        <f>IFERROR(VLOOKUP(A1557,'[1]Sales Order'!A:D,4,FALSE),"")</f>
        <v>39467</v>
      </c>
      <c r="M1557" s="10">
        <f>IFERROR(VLOOKUP(A1557,'[1]Sales Order'!A:F,6,FALSE),"")</f>
        <v>39476</v>
      </c>
      <c r="N1557" t="str">
        <f>IFERROR(VLOOKUP(VLOOKUP(A1557,'[1]Sales Order'!A:G,7,FALSE),[1]Shipper!A:B,2,FALSE),"Not Specified")</f>
        <v>Shipper ZHISN</v>
      </c>
      <c r="O1557" t="str">
        <f>IFERROR(VLOOKUP(A1557,'[1]Sales Order'!A:I,9,FALSE),"Not Specified")</f>
        <v>Ship to 80-A</v>
      </c>
      <c r="P1557" t="str">
        <f>IFERROR(VLOOKUP(A1557,'[1]Sales Order'!A:N,14,FALSE),"Not Specified")</f>
        <v>Mexico</v>
      </c>
      <c r="Q1557" t="str">
        <f>VLOOKUP(VLOOKUP(B1557,[1]Product!A:C,3,FALSE),[1]Supplier!A:B,2,FALSE)</f>
        <v>Supplier EQPNC</v>
      </c>
      <c r="R1557" t="str">
        <f>VLOOKUP(VLOOKUP(B1557,[1]Product!A:C,3,FALSE),[1]Supplier!A:I,9,FALSE)</f>
        <v>Spain</v>
      </c>
      <c r="S1557" t="str">
        <f>IFERROR(IF(VLOOKUP(A1557,'[1]Sales Order'!A:H,8,FALSE)&gt;100,"High Freight","Low Freight"),"Not Specified")</f>
        <v>Low Freight</v>
      </c>
      <c r="T1557">
        <f t="shared" si="49"/>
        <v>315</v>
      </c>
    </row>
    <row r="1558" spans="1:20">
      <c r="A1558" s="1">
        <v>10842</v>
      </c>
      <c r="B1558" s="2">
        <v>43</v>
      </c>
      <c r="C1558" s="2">
        <v>46</v>
      </c>
      <c r="D1558" s="2">
        <v>5</v>
      </c>
      <c r="E1558" s="3">
        <v>0</v>
      </c>
      <c r="F1558" s="2" t="str">
        <f>IFERROR(VLOOKUP(VLOOKUP(A1558,'[1]Sales Order'!A:B,2,FALSE),[1]Customer!A:C,3,FALSE),"Not Specified")</f>
        <v>Geschwandtner, Jens</v>
      </c>
      <c r="G1558" s="2" t="str">
        <f t="shared" si="48"/>
        <v>Geschwandtner Jens</v>
      </c>
      <c r="H1558" s="8" t="str">
        <f>IFERROR(VLOOKUP(VLOOKUP(A1558,'[1]Sales Order'!A:C,3,FALSE),[1]Employee!A:E,5,FALSE)&amp;" "&amp;VLOOKUP(VLOOKUP(A1558,'[1]Sales Order'!A:C,3,FALSE),[1]Employee!A:C,3,FALSE)&amp;" "&amp;VLOOKUP(VLOOKUP(A1558,'[1]Sales Order'!A:C,3,FALSE),[1]Employee!A:B,2,FALSE),"Not Specified")</f>
        <v>Ms. Sara Davis</v>
      </c>
      <c r="I1558" t="str">
        <f>IFERROR(VLOOKUP(VLOOKUP(A1558,'[1]Sales Order'!A:C,3,FALSE),[1]Employee!A:J,10,FALSE),"Not Specified")</f>
        <v>WA</v>
      </c>
      <c r="J1558" t="str">
        <f>VLOOKUP(B1558,[1]Product!A:B,2,FALSE)</f>
        <v>Product ZZZHR</v>
      </c>
      <c r="K1558" t="str">
        <f>VLOOKUP(VLOOKUP(B1558,[1]Product!A:D,4,FALSE),[1]Category!A:B,2,FALSE)</f>
        <v>Beverages</v>
      </c>
      <c r="L1558" s="10">
        <f>IFERROR(VLOOKUP(A1558,'[1]Sales Order'!A:D,4,FALSE),"")</f>
        <v>39467</v>
      </c>
      <c r="M1558" s="10">
        <f>IFERROR(VLOOKUP(A1558,'[1]Sales Order'!A:F,6,FALSE),"")</f>
        <v>39476</v>
      </c>
      <c r="N1558" t="str">
        <f>IFERROR(VLOOKUP(VLOOKUP(A1558,'[1]Sales Order'!A:G,7,FALSE),[1]Shipper!A:B,2,FALSE),"Not Specified")</f>
        <v>Shipper ZHISN</v>
      </c>
      <c r="O1558" t="str">
        <f>IFERROR(VLOOKUP(A1558,'[1]Sales Order'!A:I,9,FALSE),"Not Specified")</f>
        <v>Ship to 80-A</v>
      </c>
      <c r="P1558" t="str">
        <f>IFERROR(VLOOKUP(A1558,'[1]Sales Order'!A:N,14,FALSE),"Not Specified")</f>
        <v>Mexico</v>
      </c>
      <c r="Q1558" t="str">
        <f>VLOOKUP(VLOOKUP(B1558,[1]Product!A:C,3,FALSE),[1]Supplier!A:B,2,FALSE)</f>
        <v>Supplier CIYNM</v>
      </c>
      <c r="R1558" t="str">
        <f>VLOOKUP(VLOOKUP(B1558,[1]Product!A:C,3,FALSE),[1]Supplier!A:I,9,FALSE)</f>
        <v>Singapore</v>
      </c>
      <c r="S1558" t="str">
        <f>IFERROR(IF(VLOOKUP(A1558,'[1]Sales Order'!A:H,8,FALSE)&gt;100,"High Freight","Low Freight"),"Not Specified")</f>
        <v>Low Freight</v>
      </c>
      <c r="T1558">
        <f t="shared" si="49"/>
        <v>230</v>
      </c>
    </row>
    <row r="1559" spans="1:20">
      <c r="A1559" s="1">
        <v>10842</v>
      </c>
      <c r="B1559" s="2">
        <v>68</v>
      </c>
      <c r="C1559" s="2">
        <v>12.5</v>
      </c>
      <c r="D1559" s="2">
        <v>20</v>
      </c>
      <c r="E1559" s="3">
        <v>0</v>
      </c>
      <c r="F1559" s="2" t="str">
        <f>IFERROR(VLOOKUP(VLOOKUP(A1559,'[1]Sales Order'!A:B,2,FALSE),[1]Customer!A:C,3,FALSE),"Not Specified")</f>
        <v>Geschwandtner, Jens</v>
      </c>
      <c r="G1559" s="2" t="str">
        <f t="shared" si="48"/>
        <v>Geschwandtner Jens</v>
      </c>
      <c r="H1559" s="8" t="str">
        <f>IFERROR(VLOOKUP(VLOOKUP(A1559,'[1]Sales Order'!A:C,3,FALSE),[1]Employee!A:E,5,FALSE)&amp;" "&amp;VLOOKUP(VLOOKUP(A1559,'[1]Sales Order'!A:C,3,FALSE),[1]Employee!A:C,3,FALSE)&amp;" "&amp;VLOOKUP(VLOOKUP(A1559,'[1]Sales Order'!A:C,3,FALSE),[1]Employee!A:B,2,FALSE),"Not Specified")</f>
        <v>Ms. Sara Davis</v>
      </c>
      <c r="I1559" t="str">
        <f>IFERROR(VLOOKUP(VLOOKUP(A1559,'[1]Sales Order'!A:C,3,FALSE),[1]Employee!A:J,10,FALSE),"Not Specified")</f>
        <v>WA</v>
      </c>
      <c r="J1559" t="str">
        <f>VLOOKUP(B1559,[1]Product!A:B,2,FALSE)</f>
        <v>Product TBTBL</v>
      </c>
      <c r="K1559" t="str">
        <f>VLOOKUP(VLOOKUP(B1559,[1]Product!A:D,4,FALSE),[1]Category!A:B,2,FALSE)</f>
        <v>Confections</v>
      </c>
      <c r="L1559" s="10">
        <f>IFERROR(VLOOKUP(A1559,'[1]Sales Order'!A:D,4,FALSE),"")</f>
        <v>39467</v>
      </c>
      <c r="M1559" s="10">
        <f>IFERROR(VLOOKUP(A1559,'[1]Sales Order'!A:F,6,FALSE),"")</f>
        <v>39476</v>
      </c>
      <c r="N1559" t="str">
        <f>IFERROR(VLOOKUP(VLOOKUP(A1559,'[1]Sales Order'!A:G,7,FALSE),[1]Shipper!A:B,2,FALSE),"Not Specified")</f>
        <v>Shipper ZHISN</v>
      </c>
      <c r="O1559" t="str">
        <f>IFERROR(VLOOKUP(A1559,'[1]Sales Order'!A:I,9,FALSE),"Not Specified")</f>
        <v>Ship to 80-A</v>
      </c>
      <c r="P1559" t="str">
        <f>IFERROR(VLOOKUP(A1559,'[1]Sales Order'!A:N,14,FALSE),"Not Specified")</f>
        <v>Mexico</v>
      </c>
      <c r="Q1559" t="str">
        <f>VLOOKUP(VLOOKUP(B1559,[1]Product!A:C,3,FALSE),[1]Supplier!A:B,2,FALSE)</f>
        <v>Supplier BWGYE</v>
      </c>
      <c r="R1559" t="str">
        <f>VLOOKUP(VLOOKUP(B1559,[1]Product!A:C,3,FALSE),[1]Supplier!A:I,9,FALSE)</f>
        <v>UK</v>
      </c>
      <c r="S1559" t="str">
        <f>IFERROR(IF(VLOOKUP(A1559,'[1]Sales Order'!A:H,8,FALSE)&gt;100,"High Freight","Low Freight"),"Not Specified")</f>
        <v>Low Freight</v>
      </c>
      <c r="T1559">
        <f t="shared" si="49"/>
        <v>250</v>
      </c>
    </row>
    <row r="1560" spans="1:20">
      <c r="A1560" s="1">
        <v>10842</v>
      </c>
      <c r="B1560" s="2">
        <v>70</v>
      </c>
      <c r="C1560" s="2">
        <v>15</v>
      </c>
      <c r="D1560" s="2">
        <v>12</v>
      </c>
      <c r="E1560" s="3">
        <v>0</v>
      </c>
      <c r="F1560" s="2" t="str">
        <f>IFERROR(VLOOKUP(VLOOKUP(A1560,'[1]Sales Order'!A:B,2,FALSE),[1]Customer!A:C,3,FALSE),"Not Specified")</f>
        <v>Geschwandtner, Jens</v>
      </c>
      <c r="G1560" s="2" t="str">
        <f t="shared" si="48"/>
        <v>Geschwandtner Jens</v>
      </c>
      <c r="H1560" s="8" t="str">
        <f>IFERROR(VLOOKUP(VLOOKUP(A1560,'[1]Sales Order'!A:C,3,FALSE),[1]Employee!A:E,5,FALSE)&amp;" "&amp;VLOOKUP(VLOOKUP(A1560,'[1]Sales Order'!A:C,3,FALSE),[1]Employee!A:C,3,FALSE)&amp;" "&amp;VLOOKUP(VLOOKUP(A1560,'[1]Sales Order'!A:C,3,FALSE),[1]Employee!A:B,2,FALSE),"Not Specified")</f>
        <v>Ms. Sara Davis</v>
      </c>
      <c r="I1560" t="str">
        <f>IFERROR(VLOOKUP(VLOOKUP(A1560,'[1]Sales Order'!A:C,3,FALSE),[1]Employee!A:J,10,FALSE),"Not Specified")</f>
        <v>WA</v>
      </c>
      <c r="J1560" t="str">
        <f>VLOOKUP(B1560,[1]Product!A:B,2,FALSE)</f>
        <v>Product TOONT</v>
      </c>
      <c r="K1560" t="str">
        <f>VLOOKUP(VLOOKUP(B1560,[1]Product!A:D,4,FALSE),[1]Category!A:B,2,FALSE)</f>
        <v>Beverages</v>
      </c>
      <c r="L1560" s="10">
        <f>IFERROR(VLOOKUP(A1560,'[1]Sales Order'!A:D,4,FALSE),"")</f>
        <v>39467</v>
      </c>
      <c r="M1560" s="10">
        <f>IFERROR(VLOOKUP(A1560,'[1]Sales Order'!A:F,6,FALSE),"")</f>
        <v>39476</v>
      </c>
      <c r="N1560" t="str">
        <f>IFERROR(VLOOKUP(VLOOKUP(A1560,'[1]Sales Order'!A:G,7,FALSE),[1]Shipper!A:B,2,FALSE),"Not Specified")</f>
        <v>Shipper ZHISN</v>
      </c>
      <c r="O1560" t="str">
        <f>IFERROR(VLOOKUP(A1560,'[1]Sales Order'!A:I,9,FALSE),"Not Specified")</f>
        <v>Ship to 80-A</v>
      </c>
      <c r="P1560" t="str">
        <f>IFERROR(VLOOKUP(A1560,'[1]Sales Order'!A:N,14,FALSE),"Not Specified")</f>
        <v>Mexico</v>
      </c>
      <c r="Q1560" t="str">
        <f>VLOOKUP(VLOOKUP(B1560,[1]Product!A:C,3,FALSE),[1]Supplier!A:B,2,FALSE)</f>
        <v>Supplier GQRCV</v>
      </c>
      <c r="R1560" t="str">
        <f>VLOOKUP(VLOOKUP(B1560,[1]Product!A:C,3,FALSE),[1]Supplier!A:I,9,FALSE)</f>
        <v>Australia</v>
      </c>
      <c r="S1560" t="str">
        <f>IFERROR(IF(VLOOKUP(A1560,'[1]Sales Order'!A:H,8,FALSE)&gt;100,"High Freight","Low Freight"),"Not Specified")</f>
        <v>Low Freight</v>
      </c>
      <c r="T1560">
        <f t="shared" si="49"/>
        <v>180</v>
      </c>
    </row>
    <row r="1561" spans="1:20">
      <c r="A1561" s="1">
        <v>10843</v>
      </c>
      <c r="B1561" s="2">
        <v>51</v>
      </c>
      <c r="C1561" s="2">
        <v>53</v>
      </c>
      <c r="D1561" s="2">
        <v>4</v>
      </c>
      <c r="E1561" s="3">
        <v>0.25</v>
      </c>
      <c r="F1561" s="2" t="str">
        <f>IFERROR(VLOOKUP(VLOOKUP(A1561,'[1]Sales Order'!A:B,2,FALSE),[1]Customer!A:C,3,FALSE),"Not Specified")</f>
        <v>Tuntisangaroon, Sittichai</v>
      </c>
      <c r="G1561" s="2" t="str">
        <f t="shared" si="48"/>
        <v>Tuntisangaroon Sittichai</v>
      </c>
      <c r="H1561" s="8" t="str">
        <f>IFERROR(VLOOKUP(VLOOKUP(A1561,'[1]Sales Order'!A:C,3,FALSE),[1]Employee!A:E,5,FALSE)&amp;" "&amp;VLOOKUP(VLOOKUP(A1561,'[1]Sales Order'!A:C,3,FALSE),[1]Employee!A:C,3,FALSE)&amp;" "&amp;VLOOKUP(VLOOKUP(A1561,'[1]Sales Order'!A:C,3,FALSE),[1]Employee!A:B,2,FALSE),"Not Specified")</f>
        <v>Mrs. Yael Peled</v>
      </c>
      <c r="I1561" t="str">
        <f>IFERROR(VLOOKUP(VLOOKUP(A1561,'[1]Sales Order'!A:C,3,FALSE),[1]Employee!A:J,10,FALSE),"Not Specified")</f>
        <v>WA</v>
      </c>
      <c r="J1561" t="str">
        <f>VLOOKUP(B1561,[1]Product!A:B,2,FALSE)</f>
        <v>Product APITJ</v>
      </c>
      <c r="K1561" t="str">
        <f>VLOOKUP(VLOOKUP(B1561,[1]Product!A:D,4,FALSE),[1]Category!A:B,2,FALSE)</f>
        <v>Produce</v>
      </c>
      <c r="L1561" s="10">
        <f>IFERROR(VLOOKUP(A1561,'[1]Sales Order'!A:D,4,FALSE),"")</f>
        <v>39468</v>
      </c>
      <c r="M1561" s="10">
        <f>IFERROR(VLOOKUP(A1561,'[1]Sales Order'!A:F,6,FALSE),"")</f>
        <v>39473</v>
      </c>
      <c r="N1561" t="str">
        <f>IFERROR(VLOOKUP(VLOOKUP(A1561,'[1]Sales Order'!A:G,7,FALSE),[1]Shipper!A:B,2,FALSE),"Not Specified")</f>
        <v>Shipper ETYNR</v>
      </c>
      <c r="O1561" t="str">
        <f>IFERROR(VLOOKUP(A1561,'[1]Sales Order'!A:I,9,FALSE),"Not Specified")</f>
        <v>Ship to 84-C</v>
      </c>
      <c r="P1561" t="str">
        <f>IFERROR(VLOOKUP(A1561,'[1]Sales Order'!A:N,14,FALSE),"Not Specified")</f>
        <v>France</v>
      </c>
      <c r="Q1561" t="str">
        <f>VLOOKUP(VLOOKUP(B1561,[1]Product!A:C,3,FALSE),[1]Supplier!A:B,2,FALSE)</f>
        <v>Supplier JNNES</v>
      </c>
      <c r="R1561" t="str">
        <f>VLOOKUP(VLOOKUP(B1561,[1]Product!A:C,3,FALSE),[1]Supplier!A:I,9,FALSE)</f>
        <v>Australia</v>
      </c>
      <c r="S1561" t="str">
        <f>IFERROR(IF(VLOOKUP(A1561,'[1]Sales Order'!A:H,8,FALSE)&gt;100,"High Freight","Low Freight"),"Not Specified")</f>
        <v>Low Freight</v>
      </c>
      <c r="T1561">
        <f t="shared" si="49"/>
        <v>159</v>
      </c>
    </row>
    <row r="1562" spans="1:20">
      <c r="A1562" s="1">
        <v>10844</v>
      </c>
      <c r="B1562" s="2">
        <v>22</v>
      </c>
      <c r="C1562" s="2">
        <v>21</v>
      </c>
      <c r="D1562" s="2">
        <v>35</v>
      </c>
      <c r="E1562" s="3">
        <v>0</v>
      </c>
      <c r="F1562" s="2" t="str">
        <f>IFERROR(VLOOKUP(VLOOKUP(A1562,'[1]Sales Order'!A:B,2,FALSE),[1]Customer!A:C,3,FALSE),"Not Specified")</f>
        <v>Meston, Tosh</v>
      </c>
      <c r="G1562" s="2" t="str">
        <f t="shared" si="48"/>
        <v>Meston Tosh</v>
      </c>
      <c r="H1562" s="8" t="str">
        <f>IFERROR(VLOOKUP(VLOOKUP(A1562,'[1]Sales Order'!A:C,3,FALSE),[1]Employee!A:E,5,FALSE)&amp;" "&amp;VLOOKUP(VLOOKUP(A1562,'[1]Sales Order'!A:C,3,FALSE),[1]Employee!A:C,3,FALSE)&amp;" "&amp;VLOOKUP(VLOOKUP(A1562,'[1]Sales Order'!A:C,3,FALSE),[1]Employee!A:B,2,FALSE),"Not Specified")</f>
        <v>Ms. Maria Cameron</v>
      </c>
      <c r="I1562" t="str">
        <f>IFERROR(VLOOKUP(VLOOKUP(A1562,'[1]Sales Order'!A:C,3,FALSE),[1]Employee!A:J,10,FALSE),"Not Specified")</f>
        <v>WA</v>
      </c>
      <c r="J1562" t="str">
        <f>VLOOKUP(B1562,[1]Product!A:B,2,FALSE)</f>
        <v>Product CPHFY</v>
      </c>
      <c r="K1562" t="str">
        <f>VLOOKUP(VLOOKUP(B1562,[1]Product!A:D,4,FALSE),[1]Category!A:B,2,FALSE)</f>
        <v>Grains/Cereals</v>
      </c>
      <c r="L1562" s="10">
        <f>IFERROR(VLOOKUP(A1562,'[1]Sales Order'!A:D,4,FALSE),"")</f>
        <v>39468</v>
      </c>
      <c r="M1562" s="10">
        <f>IFERROR(VLOOKUP(A1562,'[1]Sales Order'!A:F,6,FALSE),"")</f>
        <v>39473</v>
      </c>
      <c r="N1562" t="str">
        <f>IFERROR(VLOOKUP(VLOOKUP(A1562,'[1]Sales Order'!A:G,7,FALSE),[1]Shipper!A:B,2,FALSE),"Not Specified")</f>
        <v>Shipper ETYNR</v>
      </c>
      <c r="O1562" t="str">
        <f>IFERROR(VLOOKUP(A1562,'[1]Sales Order'!A:I,9,FALSE),"Not Specified")</f>
        <v>Ship to 59-A</v>
      </c>
      <c r="P1562" t="str">
        <f>IFERROR(VLOOKUP(A1562,'[1]Sales Order'!A:N,14,FALSE),"Not Specified")</f>
        <v>Austria</v>
      </c>
      <c r="Q1562" t="str">
        <f>VLOOKUP(VLOOKUP(B1562,[1]Product!A:C,3,FALSE),[1]Supplier!A:B,2,FALSE)</f>
        <v>Supplier QQYEU</v>
      </c>
      <c r="R1562" t="str">
        <f>VLOOKUP(VLOOKUP(B1562,[1]Product!A:C,3,FALSE),[1]Supplier!A:I,9,FALSE)</f>
        <v>Sweden</v>
      </c>
      <c r="S1562" t="str">
        <f>IFERROR(IF(VLOOKUP(A1562,'[1]Sales Order'!A:H,8,FALSE)&gt;100,"High Freight","Low Freight"),"Not Specified")</f>
        <v>Low Freight</v>
      </c>
      <c r="T1562">
        <f t="shared" si="49"/>
        <v>735</v>
      </c>
    </row>
    <row r="1563" spans="1:20">
      <c r="A1563" s="1">
        <v>10845</v>
      </c>
      <c r="B1563" s="2">
        <v>23</v>
      </c>
      <c r="C1563" s="2">
        <v>9</v>
      </c>
      <c r="D1563" s="2">
        <v>70</v>
      </c>
      <c r="E1563" s="3">
        <v>0.1</v>
      </c>
      <c r="F1563" s="2" t="str">
        <f>IFERROR(VLOOKUP(VLOOKUP(A1563,'[1]Sales Order'!A:B,2,FALSE),[1]Customer!A:C,3,FALSE),"Not Specified")</f>
        <v>Veronesi, Giorgio</v>
      </c>
      <c r="G1563" s="2" t="str">
        <f t="shared" si="48"/>
        <v>Veronesi Giorgio</v>
      </c>
      <c r="H1563" s="8" t="str">
        <f>IFERROR(VLOOKUP(VLOOKUP(A1563,'[1]Sales Order'!A:C,3,FALSE),[1]Employee!A:E,5,FALSE)&amp;" "&amp;VLOOKUP(VLOOKUP(A1563,'[1]Sales Order'!A:C,3,FALSE),[1]Employee!A:C,3,FALSE)&amp;" "&amp;VLOOKUP(VLOOKUP(A1563,'[1]Sales Order'!A:C,3,FALSE),[1]Employee!A:B,2,FALSE),"Not Specified")</f>
        <v>Ms. Maria Cameron</v>
      </c>
      <c r="I1563" t="str">
        <f>IFERROR(VLOOKUP(VLOOKUP(A1563,'[1]Sales Order'!A:C,3,FALSE),[1]Employee!A:J,10,FALSE),"Not Specified")</f>
        <v>WA</v>
      </c>
      <c r="J1563" t="str">
        <f>VLOOKUP(B1563,[1]Product!A:B,2,FALSE)</f>
        <v>Product JLUDZ</v>
      </c>
      <c r="K1563" t="str">
        <f>VLOOKUP(VLOOKUP(B1563,[1]Product!A:D,4,FALSE),[1]Category!A:B,2,FALSE)</f>
        <v>Grains/Cereals</v>
      </c>
      <c r="L1563" s="10">
        <f>IFERROR(VLOOKUP(A1563,'[1]Sales Order'!A:D,4,FALSE),"")</f>
        <v>39468</v>
      </c>
      <c r="M1563" s="10">
        <f>IFERROR(VLOOKUP(A1563,'[1]Sales Order'!A:F,6,FALSE),"")</f>
        <v>39477</v>
      </c>
      <c r="N1563" t="str">
        <f>IFERROR(VLOOKUP(VLOOKUP(A1563,'[1]Sales Order'!A:G,7,FALSE),[1]Shipper!A:B,2,FALSE),"Not Specified")</f>
        <v>Shipper GVSUA</v>
      </c>
      <c r="O1563" t="str">
        <f>IFERROR(VLOOKUP(A1563,'[1]Sales Order'!A:I,9,FALSE),"Not Specified")</f>
        <v>Ship to 63-A</v>
      </c>
      <c r="P1563" t="str">
        <f>IFERROR(VLOOKUP(A1563,'[1]Sales Order'!A:N,14,FALSE),"Not Specified")</f>
        <v>Germany</v>
      </c>
      <c r="Q1563" t="str">
        <f>VLOOKUP(VLOOKUP(B1563,[1]Product!A:C,3,FALSE),[1]Supplier!A:B,2,FALSE)</f>
        <v>Supplier QQYEU</v>
      </c>
      <c r="R1563" t="str">
        <f>VLOOKUP(VLOOKUP(B1563,[1]Product!A:C,3,FALSE),[1]Supplier!A:I,9,FALSE)</f>
        <v>Sweden</v>
      </c>
      <c r="S1563" t="str">
        <f>IFERROR(IF(VLOOKUP(A1563,'[1]Sales Order'!A:H,8,FALSE)&gt;100,"High Freight","Low Freight"),"Not Specified")</f>
        <v>High Freight</v>
      </c>
      <c r="T1563">
        <f t="shared" si="49"/>
        <v>567</v>
      </c>
    </row>
    <row r="1564" spans="1:20">
      <c r="A1564" s="1">
        <v>10845</v>
      </c>
      <c r="B1564" s="2">
        <v>35</v>
      </c>
      <c r="C1564" s="2">
        <v>18</v>
      </c>
      <c r="D1564" s="2">
        <v>25</v>
      </c>
      <c r="E1564" s="3">
        <v>0.1</v>
      </c>
      <c r="F1564" s="2" t="str">
        <f>IFERROR(VLOOKUP(VLOOKUP(A1564,'[1]Sales Order'!A:B,2,FALSE),[1]Customer!A:C,3,FALSE),"Not Specified")</f>
        <v>Veronesi, Giorgio</v>
      </c>
      <c r="G1564" s="2" t="str">
        <f t="shared" si="48"/>
        <v>Veronesi Giorgio</v>
      </c>
      <c r="H1564" s="8" t="str">
        <f>IFERROR(VLOOKUP(VLOOKUP(A1564,'[1]Sales Order'!A:C,3,FALSE),[1]Employee!A:E,5,FALSE)&amp;" "&amp;VLOOKUP(VLOOKUP(A1564,'[1]Sales Order'!A:C,3,FALSE),[1]Employee!A:C,3,FALSE)&amp;" "&amp;VLOOKUP(VLOOKUP(A1564,'[1]Sales Order'!A:C,3,FALSE),[1]Employee!A:B,2,FALSE),"Not Specified")</f>
        <v>Ms. Maria Cameron</v>
      </c>
      <c r="I1564" t="str">
        <f>IFERROR(VLOOKUP(VLOOKUP(A1564,'[1]Sales Order'!A:C,3,FALSE),[1]Employee!A:J,10,FALSE),"Not Specified")</f>
        <v>WA</v>
      </c>
      <c r="J1564" t="str">
        <f>VLOOKUP(B1564,[1]Product!A:B,2,FALSE)</f>
        <v>Product NEVTJ</v>
      </c>
      <c r="K1564" t="str">
        <f>VLOOKUP(VLOOKUP(B1564,[1]Product!A:D,4,FALSE),[1]Category!A:B,2,FALSE)</f>
        <v>Beverages</v>
      </c>
      <c r="L1564" s="10">
        <f>IFERROR(VLOOKUP(A1564,'[1]Sales Order'!A:D,4,FALSE),"")</f>
        <v>39468</v>
      </c>
      <c r="M1564" s="10">
        <f>IFERROR(VLOOKUP(A1564,'[1]Sales Order'!A:F,6,FALSE),"")</f>
        <v>39477</v>
      </c>
      <c r="N1564" t="str">
        <f>IFERROR(VLOOKUP(VLOOKUP(A1564,'[1]Sales Order'!A:G,7,FALSE),[1]Shipper!A:B,2,FALSE),"Not Specified")</f>
        <v>Shipper GVSUA</v>
      </c>
      <c r="O1564" t="str">
        <f>IFERROR(VLOOKUP(A1564,'[1]Sales Order'!A:I,9,FALSE),"Not Specified")</f>
        <v>Ship to 63-A</v>
      </c>
      <c r="P1564" t="str">
        <f>IFERROR(VLOOKUP(A1564,'[1]Sales Order'!A:N,14,FALSE),"Not Specified")</f>
        <v>Germany</v>
      </c>
      <c r="Q1564" t="str">
        <f>VLOOKUP(VLOOKUP(B1564,[1]Product!A:C,3,FALSE),[1]Supplier!A:B,2,FALSE)</f>
        <v>Supplier UHZRG</v>
      </c>
      <c r="R1564" t="str">
        <f>VLOOKUP(VLOOKUP(B1564,[1]Product!A:C,3,FALSE),[1]Supplier!A:I,9,FALSE)</f>
        <v>USA</v>
      </c>
      <c r="S1564" t="str">
        <f>IFERROR(IF(VLOOKUP(A1564,'[1]Sales Order'!A:H,8,FALSE)&gt;100,"High Freight","Low Freight"),"Not Specified")</f>
        <v>High Freight</v>
      </c>
      <c r="T1564">
        <f t="shared" si="49"/>
        <v>405</v>
      </c>
    </row>
    <row r="1565" spans="1:20">
      <c r="A1565" s="1">
        <v>10845</v>
      </c>
      <c r="B1565" s="2">
        <v>42</v>
      </c>
      <c r="C1565" s="2">
        <v>14</v>
      </c>
      <c r="D1565" s="2">
        <v>42</v>
      </c>
      <c r="E1565" s="3">
        <v>0.1</v>
      </c>
      <c r="F1565" s="2" t="str">
        <f>IFERROR(VLOOKUP(VLOOKUP(A1565,'[1]Sales Order'!A:B,2,FALSE),[1]Customer!A:C,3,FALSE),"Not Specified")</f>
        <v>Veronesi, Giorgio</v>
      </c>
      <c r="G1565" s="2" t="str">
        <f t="shared" si="48"/>
        <v>Veronesi Giorgio</v>
      </c>
      <c r="H1565" s="8" t="str">
        <f>IFERROR(VLOOKUP(VLOOKUP(A1565,'[1]Sales Order'!A:C,3,FALSE),[1]Employee!A:E,5,FALSE)&amp;" "&amp;VLOOKUP(VLOOKUP(A1565,'[1]Sales Order'!A:C,3,FALSE),[1]Employee!A:C,3,FALSE)&amp;" "&amp;VLOOKUP(VLOOKUP(A1565,'[1]Sales Order'!A:C,3,FALSE),[1]Employee!A:B,2,FALSE),"Not Specified")</f>
        <v>Ms. Maria Cameron</v>
      </c>
      <c r="I1565" t="str">
        <f>IFERROR(VLOOKUP(VLOOKUP(A1565,'[1]Sales Order'!A:C,3,FALSE),[1]Employee!A:J,10,FALSE),"Not Specified")</f>
        <v>WA</v>
      </c>
      <c r="J1565" t="str">
        <f>VLOOKUP(B1565,[1]Product!A:B,2,FALSE)</f>
        <v>Product RJVNM</v>
      </c>
      <c r="K1565" t="str">
        <f>VLOOKUP(VLOOKUP(B1565,[1]Product!A:D,4,FALSE),[1]Category!A:B,2,FALSE)</f>
        <v>Grains/Cereals</v>
      </c>
      <c r="L1565" s="10">
        <f>IFERROR(VLOOKUP(A1565,'[1]Sales Order'!A:D,4,FALSE),"")</f>
        <v>39468</v>
      </c>
      <c r="M1565" s="10">
        <f>IFERROR(VLOOKUP(A1565,'[1]Sales Order'!A:F,6,FALSE),"")</f>
        <v>39477</v>
      </c>
      <c r="N1565" t="str">
        <f>IFERROR(VLOOKUP(VLOOKUP(A1565,'[1]Sales Order'!A:G,7,FALSE),[1]Shipper!A:B,2,FALSE),"Not Specified")</f>
        <v>Shipper GVSUA</v>
      </c>
      <c r="O1565" t="str">
        <f>IFERROR(VLOOKUP(A1565,'[1]Sales Order'!A:I,9,FALSE),"Not Specified")</f>
        <v>Ship to 63-A</v>
      </c>
      <c r="P1565" t="str">
        <f>IFERROR(VLOOKUP(A1565,'[1]Sales Order'!A:N,14,FALSE),"Not Specified")</f>
        <v>Germany</v>
      </c>
      <c r="Q1565" t="str">
        <f>VLOOKUP(VLOOKUP(B1565,[1]Product!A:C,3,FALSE),[1]Supplier!A:B,2,FALSE)</f>
        <v>Supplier CIYNM</v>
      </c>
      <c r="R1565" t="str">
        <f>VLOOKUP(VLOOKUP(B1565,[1]Product!A:C,3,FALSE),[1]Supplier!A:I,9,FALSE)</f>
        <v>Singapore</v>
      </c>
      <c r="S1565" t="str">
        <f>IFERROR(IF(VLOOKUP(A1565,'[1]Sales Order'!A:H,8,FALSE)&gt;100,"High Freight","Low Freight"),"Not Specified")</f>
        <v>High Freight</v>
      </c>
      <c r="T1565">
        <f t="shared" si="49"/>
        <v>529.20000000000005</v>
      </c>
    </row>
    <row r="1566" spans="1:20">
      <c r="A1566" s="1">
        <v>10845</v>
      </c>
      <c r="B1566" s="2">
        <v>58</v>
      </c>
      <c r="C1566" s="2">
        <v>13.25</v>
      </c>
      <c r="D1566" s="2">
        <v>60</v>
      </c>
      <c r="E1566" s="3">
        <v>0.1</v>
      </c>
      <c r="F1566" s="2" t="str">
        <f>IFERROR(VLOOKUP(VLOOKUP(A1566,'[1]Sales Order'!A:B,2,FALSE),[1]Customer!A:C,3,FALSE),"Not Specified")</f>
        <v>Veronesi, Giorgio</v>
      </c>
      <c r="G1566" s="2" t="str">
        <f t="shared" si="48"/>
        <v>Veronesi Giorgio</v>
      </c>
      <c r="H1566" s="8" t="str">
        <f>IFERROR(VLOOKUP(VLOOKUP(A1566,'[1]Sales Order'!A:C,3,FALSE),[1]Employee!A:E,5,FALSE)&amp;" "&amp;VLOOKUP(VLOOKUP(A1566,'[1]Sales Order'!A:C,3,FALSE),[1]Employee!A:C,3,FALSE)&amp;" "&amp;VLOOKUP(VLOOKUP(A1566,'[1]Sales Order'!A:C,3,FALSE),[1]Employee!A:B,2,FALSE),"Not Specified")</f>
        <v>Ms. Maria Cameron</v>
      </c>
      <c r="I1566" t="str">
        <f>IFERROR(VLOOKUP(VLOOKUP(A1566,'[1]Sales Order'!A:C,3,FALSE),[1]Employee!A:J,10,FALSE),"Not Specified")</f>
        <v>WA</v>
      </c>
      <c r="J1566" t="str">
        <f>VLOOKUP(B1566,[1]Product!A:B,2,FALSE)</f>
        <v>Product ACRVI</v>
      </c>
      <c r="K1566" t="str">
        <f>VLOOKUP(VLOOKUP(B1566,[1]Product!A:D,4,FALSE),[1]Category!A:B,2,FALSE)</f>
        <v>Seafood</v>
      </c>
      <c r="L1566" s="10">
        <f>IFERROR(VLOOKUP(A1566,'[1]Sales Order'!A:D,4,FALSE),"")</f>
        <v>39468</v>
      </c>
      <c r="M1566" s="10">
        <f>IFERROR(VLOOKUP(A1566,'[1]Sales Order'!A:F,6,FALSE),"")</f>
        <v>39477</v>
      </c>
      <c r="N1566" t="str">
        <f>IFERROR(VLOOKUP(VLOOKUP(A1566,'[1]Sales Order'!A:G,7,FALSE),[1]Shipper!A:B,2,FALSE),"Not Specified")</f>
        <v>Shipper GVSUA</v>
      </c>
      <c r="O1566" t="str">
        <f>IFERROR(VLOOKUP(A1566,'[1]Sales Order'!A:I,9,FALSE),"Not Specified")</f>
        <v>Ship to 63-A</v>
      </c>
      <c r="P1566" t="str">
        <f>IFERROR(VLOOKUP(A1566,'[1]Sales Order'!A:N,14,FALSE),"Not Specified")</f>
        <v>Germany</v>
      </c>
      <c r="Q1566" t="str">
        <f>VLOOKUP(VLOOKUP(B1566,[1]Product!A:C,3,FALSE),[1]Supplier!A:B,2,FALSE)</f>
        <v>Supplier ZRYDZ</v>
      </c>
      <c r="R1566" t="str">
        <f>VLOOKUP(VLOOKUP(B1566,[1]Product!A:C,3,FALSE),[1]Supplier!A:I,9,FALSE)</f>
        <v>France</v>
      </c>
      <c r="S1566" t="str">
        <f>IFERROR(IF(VLOOKUP(A1566,'[1]Sales Order'!A:H,8,FALSE)&gt;100,"High Freight","Low Freight"),"Not Specified")</f>
        <v>High Freight</v>
      </c>
      <c r="T1566">
        <f t="shared" si="49"/>
        <v>715.5</v>
      </c>
    </row>
    <row r="1567" spans="1:20">
      <c r="A1567" s="1">
        <v>10845</v>
      </c>
      <c r="B1567" s="2">
        <v>64</v>
      </c>
      <c r="C1567" s="2">
        <v>33.25</v>
      </c>
      <c r="D1567" s="2">
        <v>48</v>
      </c>
      <c r="E1567" s="3">
        <v>0</v>
      </c>
      <c r="F1567" s="2" t="str">
        <f>IFERROR(VLOOKUP(VLOOKUP(A1567,'[1]Sales Order'!A:B,2,FALSE),[1]Customer!A:C,3,FALSE),"Not Specified")</f>
        <v>Veronesi, Giorgio</v>
      </c>
      <c r="G1567" s="2" t="str">
        <f t="shared" si="48"/>
        <v>Veronesi Giorgio</v>
      </c>
      <c r="H1567" s="8" t="str">
        <f>IFERROR(VLOOKUP(VLOOKUP(A1567,'[1]Sales Order'!A:C,3,FALSE),[1]Employee!A:E,5,FALSE)&amp;" "&amp;VLOOKUP(VLOOKUP(A1567,'[1]Sales Order'!A:C,3,FALSE),[1]Employee!A:C,3,FALSE)&amp;" "&amp;VLOOKUP(VLOOKUP(A1567,'[1]Sales Order'!A:C,3,FALSE),[1]Employee!A:B,2,FALSE),"Not Specified")</f>
        <v>Ms. Maria Cameron</v>
      </c>
      <c r="I1567" t="str">
        <f>IFERROR(VLOOKUP(VLOOKUP(A1567,'[1]Sales Order'!A:C,3,FALSE),[1]Employee!A:J,10,FALSE),"Not Specified")</f>
        <v>WA</v>
      </c>
      <c r="J1567" t="str">
        <f>VLOOKUP(B1567,[1]Product!A:B,2,FALSE)</f>
        <v>Product HCQDE</v>
      </c>
      <c r="K1567" t="str">
        <f>VLOOKUP(VLOOKUP(B1567,[1]Product!A:D,4,FALSE),[1]Category!A:B,2,FALSE)</f>
        <v>Grains/Cereals</v>
      </c>
      <c r="L1567" s="10">
        <f>IFERROR(VLOOKUP(A1567,'[1]Sales Order'!A:D,4,FALSE),"")</f>
        <v>39468</v>
      </c>
      <c r="M1567" s="10">
        <f>IFERROR(VLOOKUP(A1567,'[1]Sales Order'!A:F,6,FALSE),"")</f>
        <v>39477</v>
      </c>
      <c r="N1567" t="str">
        <f>IFERROR(VLOOKUP(VLOOKUP(A1567,'[1]Sales Order'!A:G,7,FALSE),[1]Shipper!A:B,2,FALSE),"Not Specified")</f>
        <v>Shipper GVSUA</v>
      </c>
      <c r="O1567" t="str">
        <f>IFERROR(VLOOKUP(A1567,'[1]Sales Order'!A:I,9,FALSE),"Not Specified")</f>
        <v>Ship to 63-A</v>
      </c>
      <c r="P1567" t="str">
        <f>IFERROR(VLOOKUP(A1567,'[1]Sales Order'!A:N,14,FALSE),"Not Specified")</f>
        <v>Germany</v>
      </c>
      <c r="Q1567" t="str">
        <f>VLOOKUP(VLOOKUP(B1567,[1]Product!A:C,3,FALSE),[1]Supplier!A:B,2,FALSE)</f>
        <v>Supplier SVIYA</v>
      </c>
      <c r="R1567" t="str">
        <f>VLOOKUP(VLOOKUP(B1567,[1]Product!A:C,3,FALSE),[1]Supplier!A:I,9,FALSE)</f>
        <v>Germany</v>
      </c>
      <c r="S1567" t="str">
        <f>IFERROR(IF(VLOOKUP(A1567,'[1]Sales Order'!A:H,8,FALSE)&gt;100,"High Freight","Low Freight"),"Not Specified")</f>
        <v>High Freight</v>
      </c>
      <c r="T1567">
        <f t="shared" si="49"/>
        <v>1596</v>
      </c>
    </row>
    <row r="1568" spans="1:20">
      <c r="A1568" s="1">
        <v>10846</v>
      </c>
      <c r="B1568" s="2">
        <v>4</v>
      </c>
      <c r="C1568" s="2">
        <v>22</v>
      </c>
      <c r="D1568" s="2">
        <v>21</v>
      </c>
      <c r="E1568" s="3">
        <v>0</v>
      </c>
      <c r="F1568" s="2" t="str">
        <f>IFERROR(VLOOKUP(VLOOKUP(A1568,'[1]Sales Order'!A:B,2,FALSE),[1]Customer!A:C,3,FALSE),"Not Specified")</f>
        <v>Gulbis, Katrin</v>
      </c>
      <c r="G1568" s="2" t="str">
        <f t="shared" si="48"/>
        <v>Gulbis Katrin</v>
      </c>
      <c r="H1568" s="8" t="str">
        <f>IFERROR(VLOOKUP(VLOOKUP(A1568,'[1]Sales Order'!A:C,3,FALSE),[1]Employee!A:E,5,FALSE)&amp;" "&amp;VLOOKUP(VLOOKUP(A1568,'[1]Sales Order'!A:C,3,FALSE),[1]Employee!A:C,3,FALSE)&amp;" "&amp;VLOOKUP(VLOOKUP(A1568,'[1]Sales Order'!A:C,3,FALSE),[1]Employee!A:B,2,FALSE),"Not Specified")</f>
        <v>Dr. Don Funk</v>
      </c>
      <c r="I1568" t="str">
        <f>IFERROR(VLOOKUP(VLOOKUP(A1568,'[1]Sales Order'!A:C,3,FALSE),[1]Employee!A:J,10,FALSE),"Not Specified")</f>
        <v>WA</v>
      </c>
      <c r="J1568" t="str">
        <f>VLOOKUP(B1568,[1]Product!A:B,2,FALSE)</f>
        <v>Product KSBRM</v>
      </c>
      <c r="K1568" t="str">
        <f>VLOOKUP(VLOOKUP(B1568,[1]Product!A:D,4,FALSE),[1]Category!A:B,2,FALSE)</f>
        <v>Condiments</v>
      </c>
      <c r="L1568" s="10">
        <f>IFERROR(VLOOKUP(A1568,'[1]Sales Order'!A:D,4,FALSE),"")</f>
        <v>39469</v>
      </c>
      <c r="M1568" s="10">
        <f>IFERROR(VLOOKUP(A1568,'[1]Sales Order'!A:F,6,FALSE),"")</f>
        <v>39470</v>
      </c>
      <c r="N1568" t="str">
        <f>IFERROR(VLOOKUP(VLOOKUP(A1568,'[1]Sales Order'!A:G,7,FALSE),[1]Shipper!A:B,2,FALSE),"Not Specified")</f>
        <v>Shipper ZHISN</v>
      </c>
      <c r="O1568" t="str">
        <f>IFERROR(VLOOKUP(A1568,'[1]Sales Order'!A:I,9,FALSE),"Not Specified")</f>
        <v>Ship to 76-C</v>
      </c>
      <c r="P1568" t="str">
        <f>IFERROR(VLOOKUP(A1568,'[1]Sales Order'!A:N,14,FALSE),"Not Specified")</f>
        <v>Belgium</v>
      </c>
      <c r="Q1568" t="str">
        <f>VLOOKUP(VLOOKUP(B1568,[1]Product!A:C,3,FALSE),[1]Supplier!A:B,2,FALSE)</f>
        <v>Supplier VHQZD</v>
      </c>
      <c r="R1568" t="str">
        <f>VLOOKUP(VLOOKUP(B1568,[1]Product!A:C,3,FALSE),[1]Supplier!A:I,9,FALSE)</f>
        <v>USA</v>
      </c>
      <c r="S1568" t="str">
        <f>IFERROR(IF(VLOOKUP(A1568,'[1]Sales Order'!A:H,8,FALSE)&gt;100,"High Freight","Low Freight"),"Not Specified")</f>
        <v>Low Freight</v>
      </c>
      <c r="T1568">
        <f t="shared" si="49"/>
        <v>462</v>
      </c>
    </row>
    <row r="1569" spans="1:20">
      <c r="A1569" s="1">
        <v>10846</v>
      </c>
      <c r="B1569" s="2">
        <v>70</v>
      </c>
      <c r="C1569" s="2">
        <v>15</v>
      </c>
      <c r="D1569" s="2">
        <v>30</v>
      </c>
      <c r="E1569" s="3">
        <v>0</v>
      </c>
      <c r="F1569" s="2" t="str">
        <f>IFERROR(VLOOKUP(VLOOKUP(A1569,'[1]Sales Order'!A:B,2,FALSE),[1]Customer!A:C,3,FALSE),"Not Specified")</f>
        <v>Gulbis, Katrin</v>
      </c>
      <c r="G1569" s="2" t="str">
        <f t="shared" si="48"/>
        <v>Gulbis Katrin</v>
      </c>
      <c r="H1569" s="8" t="str">
        <f>IFERROR(VLOOKUP(VLOOKUP(A1569,'[1]Sales Order'!A:C,3,FALSE),[1]Employee!A:E,5,FALSE)&amp;" "&amp;VLOOKUP(VLOOKUP(A1569,'[1]Sales Order'!A:C,3,FALSE),[1]Employee!A:C,3,FALSE)&amp;" "&amp;VLOOKUP(VLOOKUP(A1569,'[1]Sales Order'!A:C,3,FALSE),[1]Employee!A:B,2,FALSE),"Not Specified")</f>
        <v>Dr. Don Funk</v>
      </c>
      <c r="I1569" t="str">
        <f>IFERROR(VLOOKUP(VLOOKUP(A1569,'[1]Sales Order'!A:C,3,FALSE),[1]Employee!A:J,10,FALSE),"Not Specified")</f>
        <v>WA</v>
      </c>
      <c r="J1569" t="str">
        <f>VLOOKUP(B1569,[1]Product!A:B,2,FALSE)</f>
        <v>Product TOONT</v>
      </c>
      <c r="K1569" t="str">
        <f>VLOOKUP(VLOOKUP(B1569,[1]Product!A:D,4,FALSE),[1]Category!A:B,2,FALSE)</f>
        <v>Beverages</v>
      </c>
      <c r="L1569" s="10">
        <f>IFERROR(VLOOKUP(A1569,'[1]Sales Order'!A:D,4,FALSE),"")</f>
        <v>39469</v>
      </c>
      <c r="M1569" s="10">
        <f>IFERROR(VLOOKUP(A1569,'[1]Sales Order'!A:F,6,FALSE),"")</f>
        <v>39470</v>
      </c>
      <c r="N1569" t="str">
        <f>IFERROR(VLOOKUP(VLOOKUP(A1569,'[1]Sales Order'!A:G,7,FALSE),[1]Shipper!A:B,2,FALSE),"Not Specified")</f>
        <v>Shipper ZHISN</v>
      </c>
      <c r="O1569" t="str">
        <f>IFERROR(VLOOKUP(A1569,'[1]Sales Order'!A:I,9,FALSE),"Not Specified")</f>
        <v>Ship to 76-C</v>
      </c>
      <c r="P1569" t="str">
        <f>IFERROR(VLOOKUP(A1569,'[1]Sales Order'!A:N,14,FALSE),"Not Specified")</f>
        <v>Belgium</v>
      </c>
      <c r="Q1569" t="str">
        <f>VLOOKUP(VLOOKUP(B1569,[1]Product!A:C,3,FALSE),[1]Supplier!A:B,2,FALSE)</f>
        <v>Supplier GQRCV</v>
      </c>
      <c r="R1569" t="str">
        <f>VLOOKUP(VLOOKUP(B1569,[1]Product!A:C,3,FALSE),[1]Supplier!A:I,9,FALSE)</f>
        <v>Australia</v>
      </c>
      <c r="S1569" t="str">
        <f>IFERROR(IF(VLOOKUP(A1569,'[1]Sales Order'!A:H,8,FALSE)&gt;100,"High Freight","Low Freight"),"Not Specified")</f>
        <v>Low Freight</v>
      </c>
      <c r="T1569">
        <f t="shared" si="49"/>
        <v>450</v>
      </c>
    </row>
    <row r="1570" spans="1:20">
      <c r="A1570" s="1">
        <v>10846</v>
      </c>
      <c r="B1570" s="2">
        <v>74</v>
      </c>
      <c r="C1570" s="2">
        <v>10</v>
      </c>
      <c r="D1570" s="2">
        <v>20</v>
      </c>
      <c r="E1570" s="3">
        <v>0</v>
      </c>
      <c r="F1570" s="2" t="str">
        <f>IFERROR(VLOOKUP(VLOOKUP(A1570,'[1]Sales Order'!A:B,2,FALSE),[1]Customer!A:C,3,FALSE),"Not Specified")</f>
        <v>Gulbis, Katrin</v>
      </c>
      <c r="G1570" s="2" t="str">
        <f t="shared" si="48"/>
        <v>Gulbis Katrin</v>
      </c>
      <c r="H1570" s="8" t="str">
        <f>IFERROR(VLOOKUP(VLOOKUP(A1570,'[1]Sales Order'!A:C,3,FALSE),[1]Employee!A:E,5,FALSE)&amp;" "&amp;VLOOKUP(VLOOKUP(A1570,'[1]Sales Order'!A:C,3,FALSE),[1]Employee!A:C,3,FALSE)&amp;" "&amp;VLOOKUP(VLOOKUP(A1570,'[1]Sales Order'!A:C,3,FALSE),[1]Employee!A:B,2,FALSE),"Not Specified")</f>
        <v>Dr. Don Funk</v>
      </c>
      <c r="I1570" t="str">
        <f>IFERROR(VLOOKUP(VLOOKUP(A1570,'[1]Sales Order'!A:C,3,FALSE),[1]Employee!A:J,10,FALSE),"Not Specified")</f>
        <v>WA</v>
      </c>
      <c r="J1570" t="str">
        <f>VLOOKUP(B1570,[1]Product!A:B,2,FALSE)</f>
        <v>Product BKAZJ</v>
      </c>
      <c r="K1570" t="str">
        <f>VLOOKUP(VLOOKUP(B1570,[1]Product!A:D,4,FALSE),[1]Category!A:B,2,FALSE)</f>
        <v>Produce</v>
      </c>
      <c r="L1570" s="10">
        <f>IFERROR(VLOOKUP(A1570,'[1]Sales Order'!A:D,4,FALSE),"")</f>
        <v>39469</v>
      </c>
      <c r="M1570" s="10">
        <f>IFERROR(VLOOKUP(A1570,'[1]Sales Order'!A:F,6,FALSE),"")</f>
        <v>39470</v>
      </c>
      <c r="N1570" t="str">
        <f>IFERROR(VLOOKUP(VLOOKUP(A1570,'[1]Sales Order'!A:G,7,FALSE),[1]Shipper!A:B,2,FALSE),"Not Specified")</f>
        <v>Shipper ZHISN</v>
      </c>
      <c r="O1570" t="str">
        <f>IFERROR(VLOOKUP(A1570,'[1]Sales Order'!A:I,9,FALSE),"Not Specified")</f>
        <v>Ship to 76-C</v>
      </c>
      <c r="P1570" t="str">
        <f>IFERROR(VLOOKUP(A1570,'[1]Sales Order'!A:N,14,FALSE),"Not Specified")</f>
        <v>Belgium</v>
      </c>
      <c r="Q1570" t="str">
        <f>VLOOKUP(VLOOKUP(B1570,[1]Product!A:C,3,FALSE),[1]Supplier!A:B,2,FALSE)</f>
        <v>Supplier QOVFD</v>
      </c>
      <c r="R1570" t="str">
        <f>VLOOKUP(VLOOKUP(B1570,[1]Product!A:C,3,FALSE),[1]Supplier!A:I,9,FALSE)</f>
        <v>Japan</v>
      </c>
      <c r="S1570" t="str">
        <f>IFERROR(IF(VLOOKUP(A1570,'[1]Sales Order'!A:H,8,FALSE)&gt;100,"High Freight","Low Freight"),"Not Specified")</f>
        <v>Low Freight</v>
      </c>
      <c r="T1570">
        <f t="shared" si="49"/>
        <v>200</v>
      </c>
    </row>
    <row r="1571" spans="1:20">
      <c r="A1571" s="1">
        <v>10847</v>
      </c>
      <c r="B1571" s="2">
        <v>1</v>
      </c>
      <c r="C1571" s="2">
        <v>18</v>
      </c>
      <c r="D1571" s="2">
        <v>80</v>
      </c>
      <c r="E1571" s="3">
        <v>0.2</v>
      </c>
      <c r="F1571" s="2" t="str">
        <f>IFERROR(VLOOKUP(VLOOKUP(A1571,'[1]Sales Order'!A:B,2,FALSE),[1]Customer!A:C,3,FALSE),"Not Specified")</f>
        <v>Navarro, Tomás</v>
      </c>
      <c r="G1571" s="2" t="str">
        <f t="shared" si="48"/>
        <v>Navarro Tomás</v>
      </c>
      <c r="H1571" s="8" t="str">
        <f>IFERROR(VLOOKUP(VLOOKUP(A1571,'[1]Sales Order'!A:C,3,FALSE),[1]Employee!A:E,5,FALSE)&amp;" "&amp;VLOOKUP(VLOOKUP(A1571,'[1]Sales Order'!A:C,3,FALSE),[1]Employee!A:C,3,FALSE)&amp;" "&amp;VLOOKUP(VLOOKUP(A1571,'[1]Sales Order'!A:C,3,FALSE),[1]Employee!A:B,2,FALSE),"Not Specified")</f>
        <v>Mrs. Yael Peled</v>
      </c>
      <c r="I1571" t="str">
        <f>IFERROR(VLOOKUP(VLOOKUP(A1571,'[1]Sales Order'!A:C,3,FALSE),[1]Employee!A:J,10,FALSE),"Not Specified")</f>
        <v>WA</v>
      </c>
      <c r="J1571" t="str">
        <f>VLOOKUP(B1571,[1]Product!A:B,2,FALSE)</f>
        <v>Product HHYDP</v>
      </c>
      <c r="K1571" t="str">
        <f>VLOOKUP(VLOOKUP(B1571,[1]Product!A:D,4,FALSE),[1]Category!A:B,2,FALSE)</f>
        <v>Beverages</v>
      </c>
      <c r="L1571" s="10">
        <f>IFERROR(VLOOKUP(A1571,'[1]Sales Order'!A:D,4,FALSE),"")</f>
        <v>39469</v>
      </c>
      <c r="M1571" s="10">
        <f>IFERROR(VLOOKUP(A1571,'[1]Sales Order'!A:F,6,FALSE),"")</f>
        <v>39488</v>
      </c>
      <c r="N1571" t="str">
        <f>IFERROR(VLOOKUP(VLOOKUP(A1571,'[1]Sales Order'!A:G,7,FALSE),[1]Shipper!A:B,2,FALSE),"Not Specified")</f>
        <v>Shipper ZHISN</v>
      </c>
      <c r="O1571" t="str">
        <f>IFERROR(VLOOKUP(A1571,'[1]Sales Order'!A:I,9,FALSE),"Not Specified")</f>
        <v>Ship to 71-A</v>
      </c>
      <c r="P1571" t="str">
        <f>IFERROR(VLOOKUP(A1571,'[1]Sales Order'!A:N,14,FALSE),"Not Specified")</f>
        <v>USA</v>
      </c>
      <c r="Q1571" t="str">
        <f>VLOOKUP(VLOOKUP(B1571,[1]Product!A:C,3,FALSE),[1]Supplier!A:B,2,FALSE)</f>
        <v>Supplier SWRXU</v>
      </c>
      <c r="R1571" t="str">
        <f>VLOOKUP(VLOOKUP(B1571,[1]Product!A:C,3,FALSE),[1]Supplier!A:I,9,FALSE)</f>
        <v>UK</v>
      </c>
      <c r="S1571" t="str">
        <f>IFERROR(IF(VLOOKUP(A1571,'[1]Sales Order'!A:H,8,FALSE)&gt;100,"High Freight","Low Freight"),"Not Specified")</f>
        <v>High Freight</v>
      </c>
      <c r="T1571">
        <f t="shared" si="49"/>
        <v>1152</v>
      </c>
    </row>
    <row r="1572" spans="1:20">
      <c r="A1572" s="1">
        <v>10847</v>
      </c>
      <c r="B1572" s="2">
        <v>19</v>
      </c>
      <c r="C1572" s="2">
        <v>9.1999999999999993</v>
      </c>
      <c r="D1572" s="2">
        <v>12</v>
      </c>
      <c r="E1572" s="3">
        <v>0.2</v>
      </c>
      <c r="F1572" s="2" t="str">
        <f>IFERROR(VLOOKUP(VLOOKUP(A1572,'[1]Sales Order'!A:B,2,FALSE),[1]Customer!A:C,3,FALSE),"Not Specified")</f>
        <v>Navarro, Tomás</v>
      </c>
      <c r="G1572" s="2" t="str">
        <f t="shared" si="48"/>
        <v>Navarro Tomás</v>
      </c>
      <c r="H1572" s="8" t="str">
        <f>IFERROR(VLOOKUP(VLOOKUP(A1572,'[1]Sales Order'!A:C,3,FALSE),[1]Employee!A:E,5,FALSE)&amp;" "&amp;VLOOKUP(VLOOKUP(A1572,'[1]Sales Order'!A:C,3,FALSE),[1]Employee!A:C,3,FALSE)&amp;" "&amp;VLOOKUP(VLOOKUP(A1572,'[1]Sales Order'!A:C,3,FALSE),[1]Employee!A:B,2,FALSE),"Not Specified")</f>
        <v>Mrs. Yael Peled</v>
      </c>
      <c r="I1572" t="str">
        <f>IFERROR(VLOOKUP(VLOOKUP(A1572,'[1]Sales Order'!A:C,3,FALSE),[1]Employee!A:J,10,FALSE),"Not Specified")</f>
        <v>WA</v>
      </c>
      <c r="J1572" t="str">
        <f>VLOOKUP(B1572,[1]Product!A:B,2,FALSE)</f>
        <v>Product XKXDO</v>
      </c>
      <c r="K1572" t="str">
        <f>VLOOKUP(VLOOKUP(B1572,[1]Product!A:D,4,FALSE),[1]Category!A:B,2,FALSE)</f>
        <v>Confections</v>
      </c>
      <c r="L1572" s="10">
        <f>IFERROR(VLOOKUP(A1572,'[1]Sales Order'!A:D,4,FALSE),"")</f>
        <v>39469</v>
      </c>
      <c r="M1572" s="10">
        <f>IFERROR(VLOOKUP(A1572,'[1]Sales Order'!A:F,6,FALSE),"")</f>
        <v>39488</v>
      </c>
      <c r="N1572" t="str">
        <f>IFERROR(VLOOKUP(VLOOKUP(A1572,'[1]Sales Order'!A:G,7,FALSE),[1]Shipper!A:B,2,FALSE),"Not Specified")</f>
        <v>Shipper ZHISN</v>
      </c>
      <c r="O1572" t="str">
        <f>IFERROR(VLOOKUP(A1572,'[1]Sales Order'!A:I,9,FALSE),"Not Specified")</f>
        <v>Ship to 71-A</v>
      </c>
      <c r="P1572" t="str">
        <f>IFERROR(VLOOKUP(A1572,'[1]Sales Order'!A:N,14,FALSE),"Not Specified")</f>
        <v>USA</v>
      </c>
      <c r="Q1572" t="str">
        <f>VLOOKUP(VLOOKUP(B1572,[1]Product!A:C,3,FALSE),[1]Supplier!A:B,2,FALSE)</f>
        <v>Supplier BWGYE</v>
      </c>
      <c r="R1572" t="str">
        <f>VLOOKUP(VLOOKUP(B1572,[1]Product!A:C,3,FALSE),[1]Supplier!A:I,9,FALSE)</f>
        <v>UK</v>
      </c>
      <c r="S1572" t="str">
        <f>IFERROR(IF(VLOOKUP(A1572,'[1]Sales Order'!A:H,8,FALSE)&gt;100,"High Freight","Low Freight"),"Not Specified")</f>
        <v>High Freight</v>
      </c>
      <c r="T1572">
        <f t="shared" si="49"/>
        <v>88.32</v>
      </c>
    </row>
    <row r="1573" spans="1:20">
      <c r="A1573" s="1">
        <v>10847</v>
      </c>
      <c r="B1573" s="2">
        <v>37</v>
      </c>
      <c r="C1573" s="2">
        <v>26</v>
      </c>
      <c r="D1573" s="2">
        <v>60</v>
      </c>
      <c r="E1573" s="3">
        <v>0.2</v>
      </c>
      <c r="F1573" s="2" t="str">
        <f>IFERROR(VLOOKUP(VLOOKUP(A1573,'[1]Sales Order'!A:B,2,FALSE),[1]Customer!A:C,3,FALSE),"Not Specified")</f>
        <v>Navarro, Tomás</v>
      </c>
      <c r="G1573" s="2" t="str">
        <f t="shared" si="48"/>
        <v>Navarro Tomás</v>
      </c>
      <c r="H1573" s="8" t="str">
        <f>IFERROR(VLOOKUP(VLOOKUP(A1573,'[1]Sales Order'!A:C,3,FALSE),[1]Employee!A:E,5,FALSE)&amp;" "&amp;VLOOKUP(VLOOKUP(A1573,'[1]Sales Order'!A:C,3,FALSE),[1]Employee!A:C,3,FALSE)&amp;" "&amp;VLOOKUP(VLOOKUP(A1573,'[1]Sales Order'!A:C,3,FALSE),[1]Employee!A:B,2,FALSE),"Not Specified")</f>
        <v>Mrs. Yael Peled</v>
      </c>
      <c r="I1573" t="str">
        <f>IFERROR(VLOOKUP(VLOOKUP(A1573,'[1]Sales Order'!A:C,3,FALSE),[1]Employee!A:J,10,FALSE),"Not Specified")</f>
        <v>WA</v>
      </c>
      <c r="J1573" t="str">
        <f>VLOOKUP(B1573,[1]Product!A:B,2,FALSE)</f>
        <v>Product EVFFA</v>
      </c>
      <c r="K1573" t="str">
        <f>VLOOKUP(VLOOKUP(B1573,[1]Product!A:D,4,FALSE),[1]Category!A:B,2,FALSE)</f>
        <v>Seafood</v>
      </c>
      <c r="L1573" s="10">
        <f>IFERROR(VLOOKUP(A1573,'[1]Sales Order'!A:D,4,FALSE),"")</f>
        <v>39469</v>
      </c>
      <c r="M1573" s="10">
        <f>IFERROR(VLOOKUP(A1573,'[1]Sales Order'!A:F,6,FALSE),"")</f>
        <v>39488</v>
      </c>
      <c r="N1573" t="str">
        <f>IFERROR(VLOOKUP(VLOOKUP(A1573,'[1]Sales Order'!A:G,7,FALSE),[1]Shipper!A:B,2,FALSE),"Not Specified")</f>
        <v>Shipper ZHISN</v>
      </c>
      <c r="O1573" t="str">
        <f>IFERROR(VLOOKUP(A1573,'[1]Sales Order'!A:I,9,FALSE),"Not Specified")</f>
        <v>Ship to 71-A</v>
      </c>
      <c r="P1573" t="str">
        <f>IFERROR(VLOOKUP(A1573,'[1]Sales Order'!A:N,14,FALSE),"Not Specified")</f>
        <v>USA</v>
      </c>
      <c r="Q1573" t="str">
        <f>VLOOKUP(VLOOKUP(B1573,[1]Product!A:C,3,FALSE),[1]Supplier!A:B,2,FALSE)</f>
        <v>Supplier QZGUF</v>
      </c>
      <c r="R1573" t="str">
        <f>VLOOKUP(VLOOKUP(B1573,[1]Product!A:C,3,FALSE),[1]Supplier!A:I,9,FALSE)</f>
        <v>Sweden</v>
      </c>
      <c r="S1573" t="str">
        <f>IFERROR(IF(VLOOKUP(A1573,'[1]Sales Order'!A:H,8,FALSE)&gt;100,"High Freight","Low Freight"),"Not Specified")</f>
        <v>High Freight</v>
      </c>
      <c r="T1573">
        <f t="shared" si="49"/>
        <v>1248</v>
      </c>
    </row>
    <row r="1574" spans="1:20">
      <c r="A1574" s="1">
        <v>10847</v>
      </c>
      <c r="B1574" s="2">
        <v>45</v>
      </c>
      <c r="C1574" s="2">
        <v>9.5</v>
      </c>
      <c r="D1574" s="2">
        <v>36</v>
      </c>
      <c r="E1574" s="3">
        <v>0.2</v>
      </c>
      <c r="F1574" s="2" t="str">
        <f>IFERROR(VLOOKUP(VLOOKUP(A1574,'[1]Sales Order'!A:B,2,FALSE),[1]Customer!A:C,3,FALSE),"Not Specified")</f>
        <v>Navarro, Tomás</v>
      </c>
      <c r="G1574" s="2" t="str">
        <f t="shared" si="48"/>
        <v>Navarro Tomás</v>
      </c>
      <c r="H1574" s="8" t="str">
        <f>IFERROR(VLOOKUP(VLOOKUP(A1574,'[1]Sales Order'!A:C,3,FALSE),[1]Employee!A:E,5,FALSE)&amp;" "&amp;VLOOKUP(VLOOKUP(A1574,'[1]Sales Order'!A:C,3,FALSE),[1]Employee!A:C,3,FALSE)&amp;" "&amp;VLOOKUP(VLOOKUP(A1574,'[1]Sales Order'!A:C,3,FALSE),[1]Employee!A:B,2,FALSE),"Not Specified")</f>
        <v>Mrs. Yael Peled</v>
      </c>
      <c r="I1574" t="str">
        <f>IFERROR(VLOOKUP(VLOOKUP(A1574,'[1]Sales Order'!A:C,3,FALSE),[1]Employee!A:J,10,FALSE),"Not Specified")</f>
        <v>WA</v>
      </c>
      <c r="J1574" t="str">
        <f>VLOOKUP(B1574,[1]Product!A:B,2,FALSE)</f>
        <v>Product AQOKR</v>
      </c>
      <c r="K1574" t="str">
        <f>VLOOKUP(VLOOKUP(B1574,[1]Product!A:D,4,FALSE),[1]Category!A:B,2,FALSE)</f>
        <v>Seafood</v>
      </c>
      <c r="L1574" s="10">
        <f>IFERROR(VLOOKUP(A1574,'[1]Sales Order'!A:D,4,FALSE),"")</f>
        <v>39469</v>
      </c>
      <c r="M1574" s="10">
        <f>IFERROR(VLOOKUP(A1574,'[1]Sales Order'!A:F,6,FALSE),"")</f>
        <v>39488</v>
      </c>
      <c r="N1574" t="str">
        <f>IFERROR(VLOOKUP(VLOOKUP(A1574,'[1]Sales Order'!A:G,7,FALSE),[1]Shipper!A:B,2,FALSE),"Not Specified")</f>
        <v>Shipper ZHISN</v>
      </c>
      <c r="O1574" t="str">
        <f>IFERROR(VLOOKUP(A1574,'[1]Sales Order'!A:I,9,FALSE),"Not Specified")</f>
        <v>Ship to 71-A</v>
      </c>
      <c r="P1574" t="str">
        <f>IFERROR(VLOOKUP(A1574,'[1]Sales Order'!A:N,14,FALSE),"Not Specified")</f>
        <v>USA</v>
      </c>
      <c r="Q1574" t="str">
        <f>VLOOKUP(VLOOKUP(B1574,[1]Product!A:C,3,FALSE),[1]Supplier!A:B,2,FALSE)</f>
        <v>Supplier XOXZA</v>
      </c>
      <c r="R1574" t="str">
        <f>VLOOKUP(VLOOKUP(B1574,[1]Product!A:C,3,FALSE),[1]Supplier!A:I,9,FALSE)</f>
        <v>Denmark</v>
      </c>
      <c r="S1574" t="str">
        <f>IFERROR(IF(VLOOKUP(A1574,'[1]Sales Order'!A:H,8,FALSE)&gt;100,"High Freight","Low Freight"),"Not Specified")</f>
        <v>High Freight</v>
      </c>
      <c r="T1574">
        <f t="shared" si="49"/>
        <v>273.60000000000002</v>
      </c>
    </row>
    <row r="1575" spans="1:20">
      <c r="A1575" s="1">
        <v>10847</v>
      </c>
      <c r="B1575" s="2">
        <v>60</v>
      </c>
      <c r="C1575" s="2">
        <v>34</v>
      </c>
      <c r="D1575" s="2">
        <v>45</v>
      </c>
      <c r="E1575" s="3">
        <v>0.2</v>
      </c>
      <c r="F1575" s="2" t="str">
        <f>IFERROR(VLOOKUP(VLOOKUP(A1575,'[1]Sales Order'!A:B,2,FALSE),[1]Customer!A:C,3,FALSE),"Not Specified")</f>
        <v>Navarro, Tomás</v>
      </c>
      <c r="G1575" s="2" t="str">
        <f t="shared" si="48"/>
        <v>Navarro Tomás</v>
      </c>
      <c r="H1575" s="8" t="str">
        <f>IFERROR(VLOOKUP(VLOOKUP(A1575,'[1]Sales Order'!A:C,3,FALSE),[1]Employee!A:E,5,FALSE)&amp;" "&amp;VLOOKUP(VLOOKUP(A1575,'[1]Sales Order'!A:C,3,FALSE),[1]Employee!A:C,3,FALSE)&amp;" "&amp;VLOOKUP(VLOOKUP(A1575,'[1]Sales Order'!A:C,3,FALSE),[1]Employee!A:B,2,FALSE),"Not Specified")</f>
        <v>Mrs. Yael Peled</v>
      </c>
      <c r="I1575" t="str">
        <f>IFERROR(VLOOKUP(VLOOKUP(A1575,'[1]Sales Order'!A:C,3,FALSE),[1]Employee!A:J,10,FALSE),"Not Specified")</f>
        <v>WA</v>
      </c>
      <c r="J1575" t="str">
        <f>VLOOKUP(B1575,[1]Product!A:B,2,FALSE)</f>
        <v>Product WHBYK</v>
      </c>
      <c r="K1575" t="str">
        <f>VLOOKUP(VLOOKUP(B1575,[1]Product!A:D,4,FALSE),[1]Category!A:B,2,FALSE)</f>
        <v>Dairy Product</v>
      </c>
      <c r="L1575" s="10">
        <f>IFERROR(VLOOKUP(A1575,'[1]Sales Order'!A:D,4,FALSE),"")</f>
        <v>39469</v>
      </c>
      <c r="M1575" s="10">
        <f>IFERROR(VLOOKUP(A1575,'[1]Sales Order'!A:F,6,FALSE),"")</f>
        <v>39488</v>
      </c>
      <c r="N1575" t="str">
        <f>IFERROR(VLOOKUP(VLOOKUP(A1575,'[1]Sales Order'!A:G,7,FALSE),[1]Shipper!A:B,2,FALSE),"Not Specified")</f>
        <v>Shipper ZHISN</v>
      </c>
      <c r="O1575" t="str">
        <f>IFERROR(VLOOKUP(A1575,'[1]Sales Order'!A:I,9,FALSE),"Not Specified")</f>
        <v>Ship to 71-A</v>
      </c>
      <c r="P1575" t="str">
        <f>IFERROR(VLOOKUP(A1575,'[1]Sales Order'!A:N,14,FALSE),"Not Specified")</f>
        <v>USA</v>
      </c>
      <c r="Q1575" t="str">
        <f>VLOOKUP(VLOOKUP(B1575,[1]Product!A:C,3,FALSE),[1]Supplier!A:B,2,FALSE)</f>
        <v>Supplier OAVQT</v>
      </c>
      <c r="R1575" t="str">
        <f>VLOOKUP(VLOOKUP(B1575,[1]Product!A:C,3,FALSE),[1]Supplier!A:I,9,FALSE)</f>
        <v>France</v>
      </c>
      <c r="S1575" t="str">
        <f>IFERROR(IF(VLOOKUP(A1575,'[1]Sales Order'!A:H,8,FALSE)&gt;100,"High Freight","Low Freight"),"Not Specified")</f>
        <v>High Freight</v>
      </c>
      <c r="T1575">
        <f t="shared" si="49"/>
        <v>1224</v>
      </c>
    </row>
    <row r="1576" spans="1:20">
      <c r="A1576" s="1">
        <v>10847</v>
      </c>
      <c r="B1576" s="2">
        <v>71</v>
      </c>
      <c r="C1576" s="2">
        <v>21.5</v>
      </c>
      <c r="D1576" s="2">
        <v>55</v>
      </c>
      <c r="E1576" s="3">
        <v>0.2</v>
      </c>
      <c r="F1576" s="2" t="str">
        <f>IFERROR(VLOOKUP(VLOOKUP(A1576,'[1]Sales Order'!A:B,2,FALSE),[1]Customer!A:C,3,FALSE),"Not Specified")</f>
        <v>Navarro, Tomás</v>
      </c>
      <c r="G1576" s="2" t="str">
        <f t="shared" si="48"/>
        <v>Navarro Tomás</v>
      </c>
      <c r="H1576" s="8" t="str">
        <f>IFERROR(VLOOKUP(VLOOKUP(A1576,'[1]Sales Order'!A:C,3,FALSE),[1]Employee!A:E,5,FALSE)&amp;" "&amp;VLOOKUP(VLOOKUP(A1576,'[1]Sales Order'!A:C,3,FALSE),[1]Employee!A:C,3,FALSE)&amp;" "&amp;VLOOKUP(VLOOKUP(A1576,'[1]Sales Order'!A:C,3,FALSE),[1]Employee!A:B,2,FALSE),"Not Specified")</f>
        <v>Mrs. Yael Peled</v>
      </c>
      <c r="I1576" t="str">
        <f>IFERROR(VLOOKUP(VLOOKUP(A1576,'[1]Sales Order'!A:C,3,FALSE),[1]Employee!A:J,10,FALSE),"Not Specified")</f>
        <v>WA</v>
      </c>
      <c r="J1576" t="str">
        <f>VLOOKUP(B1576,[1]Product!A:B,2,FALSE)</f>
        <v>Product MYMOI</v>
      </c>
      <c r="K1576" t="str">
        <f>VLOOKUP(VLOOKUP(B1576,[1]Product!A:D,4,FALSE),[1]Category!A:B,2,FALSE)</f>
        <v>Dairy Product</v>
      </c>
      <c r="L1576" s="10">
        <f>IFERROR(VLOOKUP(A1576,'[1]Sales Order'!A:D,4,FALSE),"")</f>
        <v>39469</v>
      </c>
      <c r="M1576" s="10">
        <f>IFERROR(VLOOKUP(A1576,'[1]Sales Order'!A:F,6,FALSE),"")</f>
        <v>39488</v>
      </c>
      <c r="N1576" t="str">
        <f>IFERROR(VLOOKUP(VLOOKUP(A1576,'[1]Sales Order'!A:G,7,FALSE),[1]Shipper!A:B,2,FALSE),"Not Specified")</f>
        <v>Shipper ZHISN</v>
      </c>
      <c r="O1576" t="str">
        <f>IFERROR(VLOOKUP(A1576,'[1]Sales Order'!A:I,9,FALSE),"Not Specified")</f>
        <v>Ship to 71-A</v>
      </c>
      <c r="P1576" t="str">
        <f>IFERROR(VLOOKUP(A1576,'[1]Sales Order'!A:N,14,FALSE),"Not Specified")</f>
        <v>USA</v>
      </c>
      <c r="Q1576" t="str">
        <f>VLOOKUP(VLOOKUP(B1576,[1]Product!A:C,3,FALSE),[1]Supplier!A:B,2,FALSE)</f>
        <v>Supplier NZLIF</v>
      </c>
      <c r="R1576" t="str">
        <f>VLOOKUP(VLOOKUP(B1576,[1]Product!A:C,3,FALSE),[1]Supplier!A:I,9,FALSE)</f>
        <v>Norway</v>
      </c>
      <c r="S1576" t="str">
        <f>IFERROR(IF(VLOOKUP(A1576,'[1]Sales Order'!A:H,8,FALSE)&gt;100,"High Freight","Low Freight"),"Not Specified")</f>
        <v>High Freight</v>
      </c>
      <c r="T1576">
        <f t="shared" si="49"/>
        <v>946</v>
      </c>
    </row>
    <row r="1577" spans="1:20">
      <c r="A1577" s="1">
        <v>10848</v>
      </c>
      <c r="B1577" s="2">
        <v>5</v>
      </c>
      <c r="C1577" s="2">
        <v>21.35</v>
      </c>
      <c r="D1577" s="2">
        <v>30</v>
      </c>
      <c r="E1577" s="3">
        <v>0</v>
      </c>
      <c r="F1577" s="2" t="str">
        <f>IFERROR(VLOOKUP(VLOOKUP(A1577,'[1]Sales Order'!A:B,2,FALSE),[1]Customer!A:C,3,FALSE),"Not Specified")</f>
        <v>Birkby, Dana</v>
      </c>
      <c r="G1577" s="2" t="str">
        <f t="shared" si="48"/>
        <v>Birkby Dana</v>
      </c>
      <c r="H1577" s="8" t="str">
        <f>IFERROR(VLOOKUP(VLOOKUP(A1577,'[1]Sales Order'!A:C,3,FALSE),[1]Employee!A:E,5,FALSE)&amp;" "&amp;VLOOKUP(VLOOKUP(A1577,'[1]Sales Order'!A:C,3,FALSE),[1]Employee!A:C,3,FALSE)&amp;" "&amp;VLOOKUP(VLOOKUP(A1577,'[1]Sales Order'!A:C,3,FALSE),[1]Employee!A:B,2,FALSE),"Not Specified")</f>
        <v>Mr. Russell King</v>
      </c>
      <c r="I1577">
        <f>IFERROR(VLOOKUP(VLOOKUP(A1577,'[1]Sales Order'!A:C,3,FALSE),[1]Employee!A:J,10,FALSE),"Not Specified")</f>
        <v>0</v>
      </c>
      <c r="J1577" t="str">
        <f>VLOOKUP(B1577,[1]Product!A:B,2,FALSE)</f>
        <v>Product EPEIM</v>
      </c>
      <c r="K1577" t="str">
        <f>VLOOKUP(VLOOKUP(B1577,[1]Product!A:D,4,FALSE),[1]Category!A:B,2,FALSE)</f>
        <v>Condiments</v>
      </c>
      <c r="L1577" s="10">
        <f>IFERROR(VLOOKUP(A1577,'[1]Sales Order'!A:D,4,FALSE),"")</f>
        <v>39470</v>
      </c>
      <c r="M1577" s="10">
        <f>IFERROR(VLOOKUP(A1577,'[1]Sales Order'!A:F,6,FALSE),"")</f>
        <v>39476</v>
      </c>
      <c r="N1577" t="str">
        <f>IFERROR(VLOOKUP(VLOOKUP(A1577,'[1]Sales Order'!A:G,7,FALSE),[1]Shipper!A:B,2,FALSE),"Not Specified")</f>
        <v>Shipper ETYNR</v>
      </c>
      <c r="O1577" t="str">
        <f>IFERROR(VLOOKUP(A1577,'[1]Sales Order'!A:I,9,FALSE),"Not Specified")</f>
        <v>Destination QKQNB</v>
      </c>
      <c r="P1577" t="str">
        <f>IFERROR(VLOOKUP(A1577,'[1]Sales Order'!A:N,14,FALSE),"Not Specified")</f>
        <v>UK</v>
      </c>
      <c r="Q1577" t="str">
        <f>VLOOKUP(VLOOKUP(B1577,[1]Product!A:C,3,FALSE),[1]Supplier!A:B,2,FALSE)</f>
        <v>Supplier VHQZD</v>
      </c>
      <c r="R1577" t="str">
        <f>VLOOKUP(VLOOKUP(B1577,[1]Product!A:C,3,FALSE),[1]Supplier!A:I,9,FALSE)</f>
        <v>USA</v>
      </c>
      <c r="S1577" t="str">
        <f>IFERROR(IF(VLOOKUP(A1577,'[1]Sales Order'!A:H,8,FALSE)&gt;100,"High Freight","Low Freight"),"Not Specified")</f>
        <v>Low Freight</v>
      </c>
      <c r="T1577">
        <f t="shared" si="49"/>
        <v>640.5</v>
      </c>
    </row>
    <row r="1578" spans="1:20">
      <c r="A1578" s="1">
        <v>10848</v>
      </c>
      <c r="B1578" s="2">
        <v>9</v>
      </c>
      <c r="C1578" s="2">
        <v>97</v>
      </c>
      <c r="D1578" s="2">
        <v>3</v>
      </c>
      <c r="E1578" s="3">
        <v>0</v>
      </c>
      <c r="F1578" s="2" t="str">
        <f>IFERROR(VLOOKUP(VLOOKUP(A1578,'[1]Sales Order'!A:B,2,FALSE),[1]Customer!A:C,3,FALSE),"Not Specified")</f>
        <v>Birkby, Dana</v>
      </c>
      <c r="G1578" s="2" t="str">
        <f t="shared" si="48"/>
        <v>Birkby Dana</v>
      </c>
      <c r="H1578" s="8" t="str">
        <f>IFERROR(VLOOKUP(VLOOKUP(A1578,'[1]Sales Order'!A:C,3,FALSE),[1]Employee!A:E,5,FALSE)&amp;" "&amp;VLOOKUP(VLOOKUP(A1578,'[1]Sales Order'!A:C,3,FALSE),[1]Employee!A:C,3,FALSE)&amp;" "&amp;VLOOKUP(VLOOKUP(A1578,'[1]Sales Order'!A:C,3,FALSE),[1]Employee!A:B,2,FALSE),"Not Specified")</f>
        <v>Mr. Russell King</v>
      </c>
      <c r="I1578">
        <f>IFERROR(VLOOKUP(VLOOKUP(A1578,'[1]Sales Order'!A:C,3,FALSE),[1]Employee!A:J,10,FALSE),"Not Specified")</f>
        <v>0</v>
      </c>
      <c r="J1578" t="str">
        <f>VLOOKUP(B1578,[1]Product!A:B,2,FALSE)</f>
        <v>Product AOZBW</v>
      </c>
      <c r="K1578" t="str">
        <f>VLOOKUP(VLOOKUP(B1578,[1]Product!A:D,4,FALSE),[1]Category!A:B,2,FALSE)</f>
        <v>Meat/Poultry</v>
      </c>
      <c r="L1578" s="10">
        <f>IFERROR(VLOOKUP(A1578,'[1]Sales Order'!A:D,4,FALSE),"")</f>
        <v>39470</v>
      </c>
      <c r="M1578" s="10">
        <f>IFERROR(VLOOKUP(A1578,'[1]Sales Order'!A:F,6,FALSE),"")</f>
        <v>39476</v>
      </c>
      <c r="N1578" t="str">
        <f>IFERROR(VLOOKUP(VLOOKUP(A1578,'[1]Sales Order'!A:G,7,FALSE),[1]Shipper!A:B,2,FALSE),"Not Specified")</f>
        <v>Shipper ETYNR</v>
      </c>
      <c r="O1578" t="str">
        <f>IFERROR(VLOOKUP(A1578,'[1]Sales Order'!A:I,9,FALSE),"Not Specified")</f>
        <v>Destination QKQNB</v>
      </c>
      <c r="P1578" t="str">
        <f>IFERROR(VLOOKUP(A1578,'[1]Sales Order'!A:N,14,FALSE),"Not Specified")</f>
        <v>UK</v>
      </c>
      <c r="Q1578" t="str">
        <f>VLOOKUP(VLOOKUP(B1578,[1]Product!A:C,3,FALSE),[1]Supplier!A:B,2,FALSE)</f>
        <v>Supplier QOVFD</v>
      </c>
      <c r="R1578" t="str">
        <f>VLOOKUP(VLOOKUP(B1578,[1]Product!A:C,3,FALSE),[1]Supplier!A:I,9,FALSE)</f>
        <v>Japan</v>
      </c>
      <c r="S1578" t="str">
        <f>IFERROR(IF(VLOOKUP(A1578,'[1]Sales Order'!A:H,8,FALSE)&gt;100,"High Freight","Low Freight"),"Not Specified")</f>
        <v>Low Freight</v>
      </c>
      <c r="T1578">
        <f t="shared" si="49"/>
        <v>291</v>
      </c>
    </row>
    <row r="1579" spans="1:20">
      <c r="A1579" s="1">
        <v>10849</v>
      </c>
      <c r="B1579" s="2">
        <v>3</v>
      </c>
      <c r="C1579" s="2">
        <v>10</v>
      </c>
      <c r="D1579" s="2">
        <v>49</v>
      </c>
      <c r="E1579" s="3">
        <v>0</v>
      </c>
      <c r="F1579" s="2" t="str">
        <f>IFERROR(VLOOKUP(VLOOKUP(A1579,'[1]Sales Order'!A:B,2,FALSE),[1]Customer!A:C,3,FALSE),"Not Specified")</f>
        <v>Song, Lolan</v>
      </c>
      <c r="G1579" s="2" t="str">
        <f t="shared" si="48"/>
        <v>Song Lolan</v>
      </c>
      <c r="H1579" s="8" t="str">
        <f>IFERROR(VLOOKUP(VLOOKUP(A1579,'[1]Sales Order'!A:C,3,FALSE),[1]Employee!A:E,5,FALSE)&amp;" "&amp;VLOOKUP(VLOOKUP(A1579,'[1]Sales Order'!A:C,3,FALSE),[1]Employee!A:C,3,FALSE)&amp;" "&amp;VLOOKUP(VLOOKUP(A1579,'[1]Sales Order'!A:C,3,FALSE),[1]Employee!A:B,2,FALSE),"Not Specified")</f>
        <v>Ms. Zoya Dolgopyatova</v>
      </c>
      <c r="I1579">
        <f>IFERROR(VLOOKUP(VLOOKUP(A1579,'[1]Sales Order'!A:C,3,FALSE),[1]Employee!A:J,10,FALSE),"Not Specified")</f>
        <v>0</v>
      </c>
      <c r="J1579" t="str">
        <f>VLOOKUP(B1579,[1]Product!A:B,2,FALSE)</f>
        <v>Product IMEHJ</v>
      </c>
      <c r="K1579" t="str">
        <f>VLOOKUP(VLOOKUP(B1579,[1]Product!A:D,4,FALSE),[1]Category!A:B,2,FALSE)</f>
        <v>Condiments</v>
      </c>
      <c r="L1579" s="10">
        <f>IFERROR(VLOOKUP(A1579,'[1]Sales Order'!A:D,4,FALSE),"")</f>
        <v>39470</v>
      </c>
      <c r="M1579" s="10">
        <f>IFERROR(VLOOKUP(A1579,'[1]Sales Order'!A:F,6,FALSE),"")</f>
        <v>39477</v>
      </c>
      <c r="N1579" t="str">
        <f>IFERROR(VLOOKUP(VLOOKUP(A1579,'[1]Sales Order'!A:G,7,FALSE),[1]Shipper!A:B,2,FALSE),"Not Specified")</f>
        <v>Shipper ETYNR</v>
      </c>
      <c r="O1579" t="str">
        <f>IFERROR(VLOOKUP(A1579,'[1]Sales Order'!A:I,9,FALSE),"Not Specified")</f>
        <v>Destination DKMQA</v>
      </c>
      <c r="P1579" t="str">
        <f>IFERROR(VLOOKUP(A1579,'[1]Sales Order'!A:N,14,FALSE),"Not Specified")</f>
        <v>Germany</v>
      </c>
      <c r="Q1579" t="str">
        <f>VLOOKUP(VLOOKUP(B1579,[1]Product!A:C,3,FALSE),[1]Supplier!A:B,2,FALSE)</f>
        <v>Supplier SWRXU</v>
      </c>
      <c r="R1579" t="str">
        <f>VLOOKUP(VLOOKUP(B1579,[1]Product!A:C,3,FALSE),[1]Supplier!A:I,9,FALSE)</f>
        <v>UK</v>
      </c>
      <c r="S1579" t="str">
        <f>IFERROR(IF(VLOOKUP(A1579,'[1]Sales Order'!A:H,8,FALSE)&gt;100,"High Freight","Low Freight"),"Not Specified")</f>
        <v>Low Freight</v>
      </c>
      <c r="T1579">
        <f t="shared" si="49"/>
        <v>490</v>
      </c>
    </row>
    <row r="1580" spans="1:20">
      <c r="A1580" s="1">
        <v>10849</v>
      </c>
      <c r="B1580" s="2">
        <v>26</v>
      </c>
      <c r="C1580" s="2">
        <v>31.23</v>
      </c>
      <c r="D1580" s="2">
        <v>18</v>
      </c>
      <c r="E1580" s="3">
        <v>0.15</v>
      </c>
      <c r="F1580" s="2" t="str">
        <f>IFERROR(VLOOKUP(VLOOKUP(A1580,'[1]Sales Order'!A:B,2,FALSE),[1]Customer!A:C,3,FALSE),"Not Specified")</f>
        <v>Song, Lolan</v>
      </c>
      <c r="G1580" s="2" t="str">
        <f t="shared" si="48"/>
        <v>Song Lolan</v>
      </c>
      <c r="H1580" s="8" t="str">
        <f>IFERROR(VLOOKUP(VLOOKUP(A1580,'[1]Sales Order'!A:C,3,FALSE),[1]Employee!A:E,5,FALSE)&amp;" "&amp;VLOOKUP(VLOOKUP(A1580,'[1]Sales Order'!A:C,3,FALSE),[1]Employee!A:C,3,FALSE)&amp;" "&amp;VLOOKUP(VLOOKUP(A1580,'[1]Sales Order'!A:C,3,FALSE),[1]Employee!A:B,2,FALSE),"Not Specified")</f>
        <v>Ms. Zoya Dolgopyatova</v>
      </c>
      <c r="I1580">
        <f>IFERROR(VLOOKUP(VLOOKUP(A1580,'[1]Sales Order'!A:C,3,FALSE),[1]Employee!A:J,10,FALSE),"Not Specified")</f>
        <v>0</v>
      </c>
      <c r="J1580" t="str">
        <f>VLOOKUP(B1580,[1]Product!A:B,2,FALSE)</f>
        <v>Product HLGZA</v>
      </c>
      <c r="K1580" t="str">
        <f>VLOOKUP(VLOOKUP(B1580,[1]Product!A:D,4,FALSE),[1]Category!A:B,2,FALSE)</f>
        <v>Confections</v>
      </c>
      <c r="L1580" s="10">
        <f>IFERROR(VLOOKUP(A1580,'[1]Sales Order'!A:D,4,FALSE),"")</f>
        <v>39470</v>
      </c>
      <c r="M1580" s="10">
        <f>IFERROR(VLOOKUP(A1580,'[1]Sales Order'!A:F,6,FALSE),"")</f>
        <v>39477</v>
      </c>
      <c r="N1580" t="str">
        <f>IFERROR(VLOOKUP(VLOOKUP(A1580,'[1]Sales Order'!A:G,7,FALSE),[1]Shipper!A:B,2,FALSE),"Not Specified")</f>
        <v>Shipper ETYNR</v>
      </c>
      <c r="O1580" t="str">
        <f>IFERROR(VLOOKUP(A1580,'[1]Sales Order'!A:I,9,FALSE),"Not Specified")</f>
        <v>Destination DKMQA</v>
      </c>
      <c r="P1580" t="str">
        <f>IFERROR(VLOOKUP(A1580,'[1]Sales Order'!A:N,14,FALSE),"Not Specified")</f>
        <v>Germany</v>
      </c>
      <c r="Q1580" t="str">
        <f>VLOOKUP(VLOOKUP(B1580,[1]Product!A:C,3,FALSE),[1]Supplier!A:B,2,FALSE)</f>
        <v>Supplier ZPYVS</v>
      </c>
      <c r="R1580" t="str">
        <f>VLOOKUP(VLOOKUP(B1580,[1]Product!A:C,3,FALSE),[1]Supplier!A:I,9,FALSE)</f>
        <v>Germany</v>
      </c>
      <c r="S1580" t="str">
        <f>IFERROR(IF(VLOOKUP(A1580,'[1]Sales Order'!A:H,8,FALSE)&gt;100,"High Freight","Low Freight"),"Not Specified")</f>
        <v>Low Freight</v>
      </c>
      <c r="T1580">
        <f t="shared" si="49"/>
        <v>477.81899999999996</v>
      </c>
    </row>
    <row r="1581" spans="1:20">
      <c r="A1581" s="1">
        <v>10850</v>
      </c>
      <c r="B1581" s="2">
        <v>25</v>
      </c>
      <c r="C1581" s="2">
        <v>14</v>
      </c>
      <c r="D1581" s="2">
        <v>20</v>
      </c>
      <c r="E1581" s="3">
        <v>0.15</v>
      </c>
      <c r="F1581" s="2" t="str">
        <f>IFERROR(VLOOKUP(VLOOKUP(A1581,'[1]Sales Order'!A:B,2,FALSE),[1]Customer!A:C,3,FALSE),"Not Specified")</f>
        <v>Tuntisangaroon, Sittichai</v>
      </c>
      <c r="G1581" s="2" t="str">
        <f t="shared" si="48"/>
        <v>Tuntisangaroon Sittichai</v>
      </c>
      <c r="H1581" s="8" t="str">
        <f>IFERROR(VLOOKUP(VLOOKUP(A1581,'[1]Sales Order'!A:C,3,FALSE),[1]Employee!A:E,5,FALSE)&amp;" "&amp;VLOOKUP(VLOOKUP(A1581,'[1]Sales Order'!A:C,3,FALSE),[1]Employee!A:C,3,FALSE)&amp;" "&amp;VLOOKUP(VLOOKUP(A1581,'[1]Sales Order'!A:C,3,FALSE),[1]Employee!A:B,2,FALSE),"Not Specified")</f>
        <v>Ms. Sara Davis</v>
      </c>
      <c r="I1581" t="str">
        <f>IFERROR(VLOOKUP(VLOOKUP(A1581,'[1]Sales Order'!A:C,3,FALSE),[1]Employee!A:J,10,FALSE),"Not Specified")</f>
        <v>WA</v>
      </c>
      <c r="J1581" t="str">
        <f>VLOOKUP(B1581,[1]Product!A:B,2,FALSE)</f>
        <v>Product LYLNI</v>
      </c>
      <c r="K1581" t="str">
        <f>VLOOKUP(VLOOKUP(B1581,[1]Product!A:D,4,FALSE),[1]Category!A:B,2,FALSE)</f>
        <v>Confections</v>
      </c>
      <c r="L1581" s="10">
        <f>IFERROR(VLOOKUP(A1581,'[1]Sales Order'!A:D,4,FALSE),"")</f>
        <v>39470</v>
      </c>
      <c r="M1581" s="10">
        <f>IFERROR(VLOOKUP(A1581,'[1]Sales Order'!A:F,6,FALSE),"")</f>
        <v>39477</v>
      </c>
      <c r="N1581" t="str">
        <f>IFERROR(VLOOKUP(VLOOKUP(A1581,'[1]Sales Order'!A:G,7,FALSE),[1]Shipper!A:B,2,FALSE),"Not Specified")</f>
        <v>Shipper GVSUA</v>
      </c>
      <c r="O1581" t="str">
        <f>IFERROR(VLOOKUP(A1581,'[1]Sales Order'!A:I,9,FALSE),"Not Specified")</f>
        <v>Ship to 84-C</v>
      </c>
      <c r="P1581" t="str">
        <f>IFERROR(VLOOKUP(A1581,'[1]Sales Order'!A:N,14,FALSE),"Not Specified")</f>
        <v>France</v>
      </c>
      <c r="Q1581" t="str">
        <f>VLOOKUP(VLOOKUP(B1581,[1]Product!A:C,3,FALSE),[1]Supplier!A:B,2,FALSE)</f>
        <v>Supplier ZPYVS</v>
      </c>
      <c r="R1581" t="str">
        <f>VLOOKUP(VLOOKUP(B1581,[1]Product!A:C,3,FALSE),[1]Supplier!A:I,9,FALSE)</f>
        <v>Germany</v>
      </c>
      <c r="S1581" t="str">
        <f>IFERROR(IF(VLOOKUP(A1581,'[1]Sales Order'!A:H,8,FALSE)&gt;100,"High Freight","Low Freight"),"Not Specified")</f>
        <v>Low Freight</v>
      </c>
      <c r="T1581">
        <f t="shared" si="49"/>
        <v>238</v>
      </c>
    </row>
    <row r="1582" spans="1:20">
      <c r="A1582" s="1">
        <v>10850</v>
      </c>
      <c r="B1582" s="2">
        <v>33</v>
      </c>
      <c r="C1582" s="2">
        <v>2.5</v>
      </c>
      <c r="D1582" s="2">
        <v>4</v>
      </c>
      <c r="E1582" s="3">
        <v>0.15</v>
      </c>
      <c r="F1582" s="2" t="str">
        <f>IFERROR(VLOOKUP(VLOOKUP(A1582,'[1]Sales Order'!A:B,2,FALSE),[1]Customer!A:C,3,FALSE),"Not Specified")</f>
        <v>Tuntisangaroon, Sittichai</v>
      </c>
      <c r="G1582" s="2" t="str">
        <f t="shared" si="48"/>
        <v>Tuntisangaroon Sittichai</v>
      </c>
      <c r="H1582" s="8" t="str">
        <f>IFERROR(VLOOKUP(VLOOKUP(A1582,'[1]Sales Order'!A:C,3,FALSE),[1]Employee!A:E,5,FALSE)&amp;" "&amp;VLOOKUP(VLOOKUP(A1582,'[1]Sales Order'!A:C,3,FALSE),[1]Employee!A:C,3,FALSE)&amp;" "&amp;VLOOKUP(VLOOKUP(A1582,'[1]Sales Order'!A:C,3,FALSE),[1]Employee!A:B,2,FALSE),"Not Specified")</f>
        <v>Ms. Sara Davis</v>
      </c>
      <c r="I1582" t="str">
        <f>IFERROR(VLOOKUP(VLOOKUP(A1582,'[1]Sales Order'!A:C,3,FALSE),[1]Employee!A:J,10,FALSE),"Not Specified")</f>
        <v>WA</v>
      </c>
      <c r="J1582" t="str">
        <f>VLOOKUP(B1582,[1]Product!A:B,2,FALSE)</f>
        <v>Product ASTMN</v>
      </c>
      <c r="K1582" t="str">
        <f>VLOOKUP(VLOOKUP(B1582,[1]Product!A:D,4,FALSE),[1]Category!A:B,2,FALSE)</f>
        <v>Dairy Product</v>
      </c>
      <c r="L1582" s="10">
        <f>IFERROR(VLOOKUP(A1582,'[1]Sales Order'!A:D,4,FALSE),"")</f>
        <v>39470</v>
      </c>
      <c r="M1582" s="10">
        <f>IFERROR(VLOOKUP(A1582,'[1]Sales Order'!A:F,6,FALSE),"")</f>
        <v>39477</v>
      </c>
      <c r="N1582" t="str">
        <f>IFERROR(VLOOKUP(VLOOKUP(A1582,'[1]Sales Order'!A:G,7,FALSE),[1]Shipper!A:B,2,FALSE),"Not Specified")</f>
        <v>Shipper GVSUA</v>
      </c>
      <c r="O1582" t="str">
        <f>IFERROR(VLOOKUP(A1582,'[1]Sales Order'!A:I,9,FALSE),"Not Specified")</f>
        <v>Ship to 84-C</v>
      </c>
      <c r="P1582" t="str">
        <f>IFERROR(VLOOKUP(A1582,'[1]Sales Order'!A:N,14,FALSE),"Not Specified")</f>
        <v>France</v>
      </c>
      <c r="Q1582" t="str">
        <f>VLOOKUP(VLOOKUP(B1582,[1]Product!A:C,3,FALSE),[1]Supplier!A:B,2,FALSE)</f>
        <v>Supplier NZLIF</v>
      </c>
      <c r="R1582" t="str">
        <f>VLOOKUP(VLOOKUP(B1582,[1]Product!A:C,3,FALSE),[1]Supplier!A:I,9,FALSE)</f>
        <v>Norway</v>
      </c>
      <c r="S1582" t="str">
        <f>IFERROR(IF(VLOOKUP(A1582,'[1]Sales Order'!A:H,8,FALSE)&gt;100,"High Freight","Low Freight"),"Not Specified")</f>
        <v>Low Freight</v>
      </c>
      <c r="T1582">
        <f t="shared" si="49"/>
        <v>8.5</v>
      </c>
    </row>
    <row r="1583" spans="1:20">
      <c r="A1583" s="1">
        <v>10850</v>
      </c>
      <c r="B1583" s="2">
        <v>70</v>
      </c>
      <c r="C1583" s="2">
        <v>15</v>
      </c>
      <c r="D1583" s="2">
        <v>30</v>
      </c>
      <c r="E1583" s="3">
        <v>0.15</v>
      </c>
      <c r="F1583" s="2" t="str">
        <f>IFERROR(VLOOKUP(VLOOKUP(A1583,'[1]Sales Order'!A:B,2,FALSE),[1]Customer!A:C,3,FALSE),"Not Specified")</f>
        <v>Tuntisangaroon, Sittichai</v>
      </c>
      <c r="G1583" s="2" t="str">
        <f t="shared" si="48"/>
        <v>Tuntisangaroon Sittichai</v>
      </c>
      <c r="H1583" s="8" t="str">
        <f>IFERROR(VLOOKUP(VLOOKUP(A1583,'[1]Sales Order'!A:C,3,FALSE),[1]Employee!A:E,5,FALSE)&amp;" "&amp;VLOOKUP(VLOOKUP(A1583,'[1]Sales Order'!A:C,3,FALSE),[1]Employee!A:C,3,FALSE)&amp;" "&amp;VLOOKUP(VLOOKUP(A1583,'[1]Sales Order'!A:C,3,FALSE),[1]Employee!A:B,2,FALSE),"Not Specified")</f>
        <v>Ms. Sara Davis</v>
      </c>
      <c r="I1583" t="str">
        <f>IFERROR(VLOOKUP(VLOOKUP(A1583,'[1]Sales Order'!A:C,3,FALSE),[1]Employee!A:J,10,FALSE),"Not Specified")</f>
        <v>WA</v>
      </c>
      <c r="J1583" t="str">
        <f>VLOOKUP(B1583,[1]Product!A:B,2,FALSE)</f>
        <v>Product TOONT</v>
      </c>
      <c r="K1583" t="str">
        <f>VLOOKUP(VLOOKUP(B1583,[1]Product!A:D,4,FALSE),[1]Category!A:B,2,FALSE)</f>
        <v>Beverages</v>
      </c>
      <c r="L1583" s="10">
        <f>IFERROR(VLOOKUP(A1583,'[1]Sales Order'!A:D,4,FALSE),"")</f>
        <v>39470</v>
      </c>
      <c r="M1583" s="10">
        <f>IFERROR(VLOOKUP(A1583,'[1]Sales Order'!A:F,6,FALSE),"")</f>
        <v>39477</v>
      </c>
      <c r="N1583" t="str">
        <f>IFERROR(VLOOKUP(VLOOKUP(A1583,'[1]Sales Order'!A:G,7,FALSE),[1]Shipper!A:B,2,FALSE),"Not Specified")</f>
        <v>Shipper GVSUA</v>
      </c>
      <c r="O1583" t="str">
        <f>IFERROR(VLOOKUP(A1583,'[1]Sales Order'!A:I,9,FALSE),"Not Specified")</f>
        <v>Ship to 84-C</v>
      </c>
      <c r="P1583" t="str">
        <f>IFERROR(VLOOKUP(A1583,'[1]Sales Order'!A:N,14,FALSE),"Not Specified")</f>
        <v>France</v>
      </c>
      <c r="Q1583" t="str">
        <f>VLOOKUP(VLOOKUP(B1583,[1]Product!A:C,3,FALSE),[1]Supplier!A:B,2,FALSE)</f>
        <v>Supplier GQRCV</v>
      </c>
      <c r="R1583" t="str">
        <f>VLOOKUP(VLOOKUP(B1583,[1]Product!A:C,3,FALSE),[1]Supplier!A:I,9,FALSE)</f>
        <v>Australia</v>
      </c>
      <c r="S1583" t="str">
        <f>IFERROR(IF(VLOOKUP(A1583,'[1]Sales Order'!A:H,8,FALSE)&gt;100,"High Freight","Low Freight"),"Not Specified")</f>
        <v>Low Freight</v>
      </c>
      <c r="T1583">
        <f t="shared" si="49"/>
        <v>382.5</v>
      </c>
    </row>
    <row r="1584" spans="1:20">
      <c r="A1584" s="1">
        <v>10851</v>
      </c>
      <c r="B1584" s="2">
        <v>2</v>
      </c>
      <c r="C1584" s="2">
        <v>19</v>
      </c>
      <c r="D1584" s="2">
        <v>5</v>
      </c>
      <c r="E1584" s="3">
        <v>0.05</v>
      </c>
      <c r="F1584" s="2" t="str">
        <f>IFERROR(VLOOKUP(VLOOKUP(A1584,'[1]Sales Order'!A:B,2,FALSE),[1]Customer!A:C,3,FALSE),"Not Specified")</f>
        <v>Garden, Euan</v>
      </c>
      <c r="G1584" s="2" t="str">
        <f t="shared" si="48"/>
        <v>Garden Euan</v>
      </c>
      <c r="H1584" s="8" t="str">
        <f>IFERROR(VLOOKUP(VLOOKUP(A1584,'[1]Sales Order'!A:C,3,FALSE),[1]Employee!A:E,5,FALSE)&amp;" "&amp;VLOOKUP(VLOOKUP(A1584,'[1]Sales Order'!A:C,3,FALSE),[1]Employee!A:C,3,FALSE)&amp;" "&amp;VLOOKUP(VLOOKUP(A1584,'[1]Sales Order'!A:C,3,FALSE),[1]Employee!A:B,2,FALSE),"Not Specified")</f>
        <v>Mr. Sven Buck</v>
      </c>
      <c r="I1584">
        <f>IFERROR(VLOOKUP(VLOOKUP(A1584,'[1]Sales Order'!A:C,3,FALSE),[1]Employee!A:J,10,FALSE),"Not Specified")</f>
        <v>0</v>
      </c>
      <c r="J1584" t="str">
        <f>VLOOKUP(B1584,[1]Product!A:B,2,FALSE)</f>
        <v>Product RECZE</v>
      </c>
      <c r="K1584" t="str">
        <f>VLOOKUP(VLOOKUP(B1584,[1]Product!A:D,4,FALSE),[1]Category!A:B,2,FALSE)</f>
        <v>Beverages</v>
      </c>
      <c r="L1584" s="10">
        <f>IFERROR(VLOOKUP(A1584,'[1]Sales Order'!A:D,4,FALSE),"")</f>
        <v>39473</v>
      </c>
      <c r="M1584" s="10">
        <f>IFERROR(VLOOKUP(A1584,'[1]Sales Order'!A:F,6,FALSE),"")</f>
        <v>39480</v>
      </c>
      <c r="N1584" t="str">
        <f>IFERROR(VLOOKUP(VLOOKUP(A1584,'[1]Sales Order'!A:G,7,FALSE),[1]Shipper!A:B,2,FALSE),"Not Specified")</f>
        <v>Shipper GVSUA</v>
      </c>
      <c r="O1584" t="str">
        <f>IFERROR(VLOOKUP(A1584,'[1]Sales Order'!A:I,9,FALSE),"Not Specified")</f>
        <v>Ship to 67-C</v>
      </c>
      <c r="P1584" t="str">
        <f>IFERROR(VLOOKUP(A1584,'[1]Sales Order'!A:N,14,FALSE),"Not Specified")</f>
        <v>Brazil</v>
      </c>
      <c r="Q1584" t="str">
        <f>VLOOKUP(VLOOKUP(B1584,[1]Product!A:C,3,FALSE),[1]Supplier!A:B,2,FALSE)</f>
        <v>Supplier SWRXU</v>
      </c>
      <c r="R1584" t="str">
        <f>VLOOKUP(VLOOKUP(B1584,[1]Product!A:C,3,FALSE),[1]Supplier!A:I,9,FALSE)</f>
        <v>UK</v>
      </c>
      <c r="S1584" t="str">
        <f>IFERROR(IF(VLOOKUP(A1584,'[1]Sales Order'!A:H,8,FALSE)&gt;100,"High Freight","Low Freight"),"Not Specified")</f>
        <v>High Freight</v>
      </c>
      <c r="T1584">
        <f t="shared" si="49"/>
        <v>90.25</v>
      </c>
    </row>
    <row r="1585" spans="1:20">
      <c r="A1585" s="1">
        <v>10851</v>
      </c>
      <c r="B1585" s="2">
        <v>25</v>
      </c>
      <c r="C1585" s="2">
        <v>14</v>
      </c>
      <c r="D1585" s="2">
        <v>10</v>
      </c>
      <c r="E1585" s="3">
        <v>0.05</v>
      </c>
      <c r="F1585" s="2" t="str">
        <f>IFERROR(VLOOKUP(VLOOKUP(A1585,'[1]Sales Order'!A:B,2,FALSE),[1]Customer!A:C,3,FALSE),"Not Specified")</f>
        <v>Garden, Euan</v>
      </c>
      <c r="G1585" s="2" t="str">
        <f t="shared" si="48"/>
        <v>Garden Euan</v>
      </c>
      <c r="H1585" s="8" t="str">
        <f>IFERROR(VLOOKUP(VLOOKUP(A1585,'[1]Sales Order'!A:C,3,FALSE),[1]Employee!A:E,5,FALSE)&amp;" "&amp;VLOOKUP(VLOOKUP(A1585,'[1]Sales Order'!A:C,3,FALSE),[1]Employee!A:C,3,FALSE)&amp;" "&amp;VLOOKUP(VLOOKUP(A1585,'[1]Sales Order'!A:C,3,FALSE),[1]Employee!A:B,2,FALSE),"Not Specified")</f>
        <v>Mr. Sven Buck</v>
      </c>
      <c r="I1585">
        <f>IFERROR(VLOOKUP(VLOOKUP(A1585,'[1]Sales Order'!A:C,3,FALSE),[1]Employee!A:J,10,FALSE),"Not Specified")</f>
        <v>0</v>
      </c>
      <c r="J1585" t="str">
        <f>VLOOKUP(B1585,[1]Product!A:B,2,FALSE)</f>
        <v>Product LYLNI</v>
      </c>
      <c r="K1585" t="str">
        <f>VLOOKUP(VLOOKUP(B1585,[1]Product!A:D,4,FALSE),[1]Category!A:B,2,FALSE)</f>
        <v>Confections</v>
      </c>
      <c r="L1585" s="10">
        <f>IFERROR(VLOOKUP(A1585,'[1]Sales Order'!A:D,4,FALSE),"")</f>
        <v>39473</v>
      </c>
      <c r="M1585" s="10">
        <f>IFERROR(VLOOKUP(A1585,'[1]Sales Order'!A:F,6,FALSE),"")</f>
        <v>39480</v>
      </c>
      <c r="N1585" t="str">
        <f>IFERROR(VLOOKUP(VLOOKUP(A1585,'[1]Sales Order'!A:G,7,FALSE),[1]Shipper!A:B,2,FALSE),"Not Specified")</f>
        <v>Shipper GVSUA</v>
      </c>
      <c r="O1585" t="str">
        <f>IFERROR(VLOOKUP(A1585,'[1]Sales Order'!A:I,9,FALSE),"Not Specified")</f>
        <v>Ship to 67-C</v>
      </c>
      <c r="P1585" t="str">
        <f>IFERROR(VLOOKUP(A1585,'[1]Sales Order'!A:N,14,FALSE),"Not Specified")</f>
        <v>Brazil</v>
      </c>
      <c r="Q1585" t="str">
        <f>VLOOKUP(VLOOKUP(B1585,[1]Product!A:C,3,FALSE),[1]Supplier!A:B,2,FALSE)</f>
        <v>Supplier ZPYVS</v>
      </c>
      <c r="R1585" t="str">
        <f>VLOOKUP(VLOOKUP(B1585,[1]Product!A:C,3,FALSE),[1]Supplier!A:I,9,FALSE)</f>
        <v>Germany</v>
      </c>
      <c r="S1585" t="str">
        <f>IFERROR(IF(VLOOKUP(A1585,'[1]Sales Order'!A:H,8,FALSE)&gt;100,"High Freight","Low Freight"),"Not Specified")</f>
        <v>High Freight</v>
      </c>
      <c r="T1585">
        <f t="shared" si="49"/>
        <v>133</v>
      </c>
    </row>
    <row r="1586" spans="1:20">
      <c r="A1586" s="1">
        <v>10851</v>
      </c>
      <c r="B1586" s="2">
        <v>57</v>
      </c>
      <c r="C1586" s="2">
        <v>19.5</v>
      </c>
      <c r="D1586" s="2">
        <v>10</v>
      </c>
      <c r="E1586" s="3">
        <v>0.05</v>
      </c>
      <c r="F1586" s="2" t="str">
        <f>IFERROR(VLOOKUP(VLOOKUP(A1586,'[1]Sales Order'!A:B,2,FALSE),[1]Customer!A:C,3,FALSE),"Not Specified")</f>
        <v>Garden, Euan</v>
      </c>
      <c r="G1586" s="2" t="str">
        <f t="shared" si="48"/>
        <v>Garden Euan</v>
      </c>
      <c r="H1586" s="8" t="str">
        <f>IFERROR(VLOOKUP(VLOOKUP(A1586,'[1]Sales Order'!A:C,3,FALSE),[1]Employee!A:E,5,FALSE)&amp;" "&amp;VLOOKUP(VLOOKUP(A1586,'[1]Sales Order'!A:C,3,FALSE),[1]Employee!A:C,3,FALSE)&amp;" "&amp;VLOOKUP(VLOOKUP(A1586,'[1]Sales Order'!A:C,3,FALSE),[1]Employee!A:B,2,FALSE),"Not Specified")</f>
        <v>Mr. Sven Buck</v>
      </c>
      <c r="I1586">
        <f>IFERROR(VLOOKUP(VLOOKUP(A1586,'[1]Sales Order'!A:C,3,FALSE),[1]Employee!A:J,10,FALSE),"Not Specified")</f>
        <v>0</v>
      </c>
      <c r="J1586" t="str">
        <f>VLOOKUP(B1586,[1]Product!A:B,2,FALSE)</f>
        <v>Product OVLQI</v>
      </c>
      <c r="K1586" t="str">
        <f>VLOOKUP(VLOOKUP(B1586,[1]Product!A:D,4,FALSE),[1]Category!A:B,2,FALSE)</f>
        <v>Grains/Cereals</v>
      </c>
      <c r="L1586" s="10">
        <f>IFERROR(VLOOKUP(A1586,'[1]Sales Order'!A:D,4,FALSE),"")</f>
        <v>39473</v>
      </c>
      <c r="M1586" s="10">
        <f>IFERROR(VLOOKUP(A1586,'[1]Sales Order'!A:F,6,FALSE),"")</f>
        <v>39480</v>
      </c>
      <c r="N1586" t="str">
        <f>IFERROR(VLOOKUP(VLOOKUP(A1586,'[1]Sales Order'!A:G,7,FALSE),[1]Shipper!A:B,2,FALSE),"Not Specified")</f>
        <v>Shipper GVSUA</v>
      </c>
      <c r="O1586" t="str">
        <f>IFERROR(VLOOKUP(A1586,'[1]Sales Order'!A:I,9,FALSE),"Not Specified")</f>
        <v>Ship to 67-C</v>
      </c>
      <c r="P1586" t="str">
        <f>IFERROR(VLOOKUP(A1586,'[1]Sales Order'!A:N,14,FALSE),"Not Specified")</f>
        <v>Brazil</v>
      </c>
      <c r="Q1586" t="str">
        <f>VLOOKUP(VLOOKUP(B1586,[1]Product!A:C,3,FALSE),[1]Supplier!A:B,2,FALSE)</f>
        <v>Supplier ZWZDM</v>
      </c>
      <c r="R1586" t="str">
        <f>VLOOKUP(VLOOKUP(B1586,[1]Product!A:C,3,FALSE),[1]Supplier!A:I,9,FALSE)</f>
        <v>Italy</v>
      </c>
      <c r="S1586" t="str">
        <f>IFERROR(IF(VLOOKUP(A1586,'[1]Sales Order'!A:H,8,FALSE)&gt;100,"High Freight","Low Freight"),"Not Specified")</f>
        <v>High Freight</v>
      </c>
      <c r="T1586">
        <f t="shared" si="49"/>
        <v>185.25</v>
      </c>
    </row>
    <row r="1587" spans="1:20">
      <c r="A1587" s="1">
        <v>10851</v>
      </c>
      <c r="B1587" s="2">
        <v>59</v>
      </c>
      <c r="C1587" s="2">
        <v>55</v>
      </c>
      <c r="D1587" s="2">
        <v>42</v>
      </c>
      <c r="E1587" s="3">
        <v>0.05</v>
      </c>
      <c r="F1587" s="2" t="str">
        <f>IFERROR(VLOOKUP(VLOOKUP(A1587,'[1]Sales Order'!A:B,2,FALSE),[1]Customer!A:C,3,FALSE),"Not Specified")</f>
        <v>Garden, Euan</v>
      </c>
      <c r="G1587" s="2" t="str">
        <f t="shared" si="48"/>
        <v>Garden Euan</v>
      </c>
      <c r="H1587" s="8" t="str">
        <f>IFERROR(VLOOKUP(VLOOKUP(A1587,'[1]Sales Order'!A:C,3,FALSE),[1]Employee!A:E,5,FALSE)&amp;" "&amp;VLOOKUP(VLOOKUP(A1587,'[1]Sales Order'!A:C,3,FALSE),[1]Employee!A:C,3,FALSE)&amp;" "&amp;VLOOKUP(VLOOKUP(A1587,'[1]Sales Order'!A:C,3,FALSE),[1]Employee!A:B,2,FALSE),"Not Specified")</f>
        <v>Mr. Sven Buck</v>
      </c>
      <c r="I1587">
        <f>IFERROR(VLOOKUP(VLOOKUP(A1587,'[1]Sales Order'!A:C,3,FALSE),[1]Employee!A:J,10,FALSE),"Not Specified")</f>
        <v>0</v>
      </c>
      <c r="J1587" t="str">
        <f>VLOOKUP(B1587,[1]Product!A:B,2,FALSE)</f>
        <v>Product UKXRI</v>
      </c>
      <c r="K1587" t="str">
        <f>VLOOKUP(VLOOKUP(B1587,[1]Product!A:D,4,FALSE),[1]Category!A:B,2,FALSE)</f>
        <v>Dairy Product</v>
      </c>
      <c r="L1587" s="10">
        <f>IFERROR(VLOOKUP(A1587,'[1]Sales Order'!A:D,4,FALSE),"")</f>
        <v>39473</v>
      </c>
      <c r="M1587" s="10">
        <f>IFERROR(VLOOKUP(A1587,'[1]Sales Order'!A:F,6,FALSE),"")</f>
        <v>39480</v>
      </c>
      <c r="N1587" t="str">
        <f>IFERROR(VLOOKUP(VLOOKUP(A1587,'[1]Sales Order'!A:G,7,FALSE),[1]Shipper!A:B,2,FALSE),"Not Specified")</f>
        <v>Shipper GVSUA</v>
      </c>
      <c r="O1587" t="str">
        <f>IFERROR(VLOOKUP(A1587,'[1]Sales Order'!A:I,9,FALSE),"Not Specified")</f>
        <v>Ship to 67-C</v>
      </c>
      <c r="P1587" t="str">
        <f>IFERROR(VLOOKUP(A1587,'[1]Sales Order'!A:N,14,FALSE),"Not Specified")</f>
        <v>Brazil</v>
      </c>
      <c r="Q1587" t="str">
        <f>VLOOKUP(VLOOKUP(B1587,[1]Product!A:C,3,FALSE),[1]Supplier!A:B,2,FALSE)</f>
        <v>Supplier OAVQT</v>
      </c>
      <c r="R1587" t="str">
        <f>VLOOKUP(VLOOKUP(B1587,[1]Product!A:C,3,FALSE),[1]Supplier!A:I,9,FALSE)</f>
        <v>France</v>
      </c>
      <c r="S1587" t="str">
        <f>IFERROR(IF(VLOOKUP(A1587,'[1]Sales Order'!A:H,8,FALSE)&gt;100,"High Freight","Low Freight"),"Not Specified")</f>
        <v>High Freight</v>
      </c>
      <c r="T1587">
        <f t="shared" si="49"/>
        <v>2194.5</v>
      </c>
    </row>
    <row r="1588" spans="1:20">
      <c r="A1588" s="1">
        <v>10852</v>
      </c>
      <c r="B1588" s="2">
        <v>2</v>
      </c>
      <c r="C1588" s="2">
        <v>19</v>
      </c>
      <c r="D1588" s="2">
        <v>15</v>
      </c>
      <c r="E1588" s="3">
        <v>0</v>
      </c>
      <c r="F1588" s="2" t="str">
        <f>IFERROR(VLOOKUP(VLOOKUP(A1588,'[1]Sales Order'!A:B,2,FALSE),[1]Customer!A:C,3,FALSE),"Not Specified")</f>
        <v>Moore, Michael</v>
      </c>
      <c r="G1588" s="2" t="str">
        <f t="shared" si="48"/>
        <v>Moore Michael</v>
      </c>
      <c r="H1588" s="8" t="str">
        <f>IFERROR(VLOOKUP(VLOOKUP(A1588,'[1]Sales Order'!A:C,3,FALSE),[1]Employee!A:E,5,FALSE)&amp;" "&amp;VLOOKUP(VLOOKUP(A1588,'[1]Sales Order'!A:C,3,FALSE),[1]Employee!A:C,3,FALSE)&amp;" "&amp;VLOOKUP(VLOOKUP(A1588,'[1]Sales Order'!A:C,3,FALSE),[1]Employee!A:B,2,FALSE),"Not Specified")</f>
        <v>Ms. Maria Cameron</v>
      </c>
      <c r="I1588" t="str">
        <f>IFERROR(VLOOKUP(VLOOKUP(A1588,'[1]Sales Order'!A:C,3,FALSE),[1]Employee!A:J,10,FALSE),"Not Specified")</f>
        <v>WA</v>
      </c>
      <c r="J1588" t="str">
        <f>VLOOKUP(B1588,[1]Product!A:B,2,FALSE)</f>
        <v>Product RECZE</v>
      </c>
      <c r="K1588" t="str">
        <f>VLOOKUP(VLOOKUP(B1588,[1]Product!A:D,4,FALSE),[1]Category!A:B,2,FALSE)</f>
        <v>Beverages</v>
      </c>
      <c r="L1588" s="10">
        <f>IFERROR(VLOOKUP(A1588,'[1]Sales Order'!A:D,4,FALSE),"")</f>
        <v>39473</v>
      </c>
      <c r="M1588" s="10">
        <f>IFERROR(VLOOKUP(A1588,'[1]Sales Order'!A:F,6,FALSE),"")</f>
        <v>39477</v>
      </c>
      <c r="N1588" t="str">
        <f>IFERROR(VLOOKUP(VLOOKUP(A1588,'[1]Sales Order'!A:G,7,FALSE),[1]Shipper!A:B,2,FALSE),"Not Specified")</f>
        <v>Shipper GVSUA</v>
      </c>
      <c r="O1588" t="str">
        <f>IFERROR(VLOOKUP(A1588,'[1]Sales Order'!A:I,9,FALSE),"Not Specified")</f>
        <v>Ship to 65-A</v>
      </c>
      <c r="P1588" t="str">
        <f>IFERROR(VLOOKUP(A1588,'[1]Sales Order'!A:N,14,FALSE),"Not Specified")</f>
        <v>USA</v>
      </c>
      <c r="Q1588" t="str">
        <f>VLOOKUP(VLOOKUP(B1588,[1]Product!A:C,3,FALSE),[1]Supplier!A:B,2,FALSE)</f>
        <v>Supplier SWRXU</v>
      </c>
      <c r="R1588" t="str">
        <f>VLOOKUP(VLOOKUP(B1588,[1]Product!A:C,3,FALSE),[1]Supplier!A:I,9,FALSE)</f>
        <v>UK</v>
      </c>
      <c r="S1588" t="str">
        <f>IFERROR(IF(VLOOKUP(A1588,'[1]Sales Order'!A:H,8,FALSE)&gt;100,"High Freight","Low Freight"),"Not Specified")</f>
        <v>High Freight</v>
      </c>
      <c r="T1588">
        <f t="shared" si="49"/>
        <v>285</v>
      </c>
    </row>
    <row r="1589" spans="1:20">
      <c r="A1589" s="1">
        <v>10852</v>
      </c>
      <c r="B1589" s="2">
        <v>17</v>
      </c>
      <c r="C1589" s="2">
        <v>39</v>
      </c>
      <c r="D1589" s="2">
        <v>6</v>
      </c>
      <c r="E1589" s="3">
        <v>0</v>
      </c>
      <c r="F1589" s="2" t="str">
        <f>IFERROR(VLOOKUP(VLOOKUP(A1589,'[1]Sales Order'!A:B,2,FALSE),[1]Customer!A:C,3,FALSE),"Not Specified")</f>
        <v>Moore, Michael</v>
      </c>
      <c r="G1589" s="2" t="str">
        <f t="shared" si="48"/>
        <v>Moore Michael</v>
      </c>
      <c r="H1589" s="8" t="str">
        <f>IFERROR(VLOOKUP(VLOOKUP(A1589,'[1]Sales Order'!A:C,3,FALSE),[1]Employee!A:E,5,FALSE)&amp;" "&amp;VLOOKUP(VLOOKUP(A1589,'[1]Sales Order'!A:C,3,FALSE),[1]Employee!A:C,3,FALSE)&amp;" "&amp;VLOOKUP(VLOOKUP(A1589,'[1]Sales Order'!A:C,3,FALSE),[1]Employee!A:B,2,FALSE),"Not Specified")</f>
        <v>Ms. Maria Cameron</v>
      </c>
      <c r="I1589" t="str">
        <f>IFERROR(VLOOKUP(VLOOKUP(A1589,'[1]Sales Order'!A:C,3,FALSE),[1]Employee!A:J,10,FALSE),"Not Specified")</f>
        <v>WA</v>
      </c>
      <c r="J1589" t="str">
        <f>VLOOKUP(B1589,[1]Product!A:B,2,FALSE)</f>
        <v>Product BLCAX</v>
      </c>
      <c r="K1589" t="str">
        <f>VLOOKUP(VLOOKUP(B1589,[1]Product!A:D,4,FALSE),[1]Category!A:B,2,FALSE)</f>
        <v>Meat/Poultry</v>
      </c>
      <c r="L1589" s="10">
        <f>IFERROR(VLOOKUP(A1589,'[1]Sales Order'!A:D,4,FALSE),"")</f>
        <v>39473</v>
      </c>
      <c r="M1589" s="10">
        <f>IFERROR(VLOOKUP(A1589,'[1]Sales Order'!A:F,6,FALSE),"")</f>
        <v>39477</v>
      </c>
      <c r="N1589" t="str">
        <f>IFERROR(VLOOKUP(VLOOKUP(A1589,'[1]Sales Order'!A:G,7,FALSE),[1]Shipper!A:B,2,FALSE),"Not Specified")</f>
        <v>Shipper GVSUA</v>
      </c>
      <c r="O1589" t="str">
        <f>IFERROR(VLOOKUP(A1589,'[1]Sales Order'!A:I,9,FALSE),"Not Specified")</f>
        <v>Ship to 65-A</v>
      </c>
      <c r="P1589" t="str">
        <f>IFERROR(VLOOKUP(A1589,'[1]Sales Order'!A:N,14,FALSE),"Not Specified")</f>
        <v>USA</v>
      </c>
      <c r="Q1589" t="str">
        <f>VLOOKUP(VLOOKUP(B1589,[1]Product!A:C,3,FALSE),[1]Supplier!A:B,2,FALSE)</f>
        <v>Supplier GQRCV</v>
      </c>
      <c r="R1589" t="str">
        <f>VLOOKUP(VLOOKUP(B1589,[1]Product!A:C,3,FALSE),[1]Supplier!A:I,9,FALSE)</f>
        <v>Australia</v>
      </c>
      <c r="S1589" t="str">
        <f>IFERROR(IF(VLOOKUP(A1589,'[1]Sales Order'!A:H,8,FALSE)&gt;100,"High Freight","Low Freight"),"Not Specified")</f>
        <v>High Freight</v>
      </c>
      <c r="T1589">
        <f t="shared" si="49"/>
        <v>234</v>
      </c>
    </row>
    <row r="1590" spans="1:20">
      <c r="A1590" s="1">
        <v>10852</v>
      </c>
      <c r="B1590" s="2">
        <v>62</v>
      </c>
      <c r="C1590" s="2">
        <v>49.3</v>
      </c>
      <c r="D1590" s="2">
        <v>50</v>
      </c>
      <c r="E1590" s="3">
        <v>0</v>
      </c>
      <c r="F1590" s="2" t="str">
        <f>IFERROR(VLOOKUP(VLOOKUP(A1590,'[1]Sales Order'!A:B,2,FALSE),[1]Customer!A:C,3,FALSE),"Not Specified")</f>
        <v>Moore, Michael</v>
      </c>
      <c r="G1590" s="2" t="str">
        <f t="shared" si="48"/>
        <v>Moore Michael</v>
      </c>
      <c r="H1590" s="8" t="str">
        <f>IFERROR(VLOOKUP(VLOOKUP(A1590,'[1]Sales Order'!A:C,3,FALSE),[1]Employee!A:E,5,FALSE)&amp;" "&amp;VLOOKUP(VLOOKUP(A1590,'[1]Sales Order'!A:C,3,FALSE),[1]Employee!A:C,3,FALSE)&amp;" "&amp;VLOOKUP(VLOOKUP(A1590,'[1]Sales Order'!A:C,3,FALSE),[1]Employee!A:B,2,FALSE),"Not Specified")</f>
        <v>Ms. Maria Cameron</v>
      </c>
      <c r="I1590" t="str">
        <f>IFERROR(VLOOKUP(VLOOKUP(A1590,'[1]Sales Order'!A:C,3,FALSE),[1]Employee!A:J,10,FALSE),"Not Specified")</f>
        <v>WA</v>
      </c>
      <c r="J1590" t="str">
        <f>VLOOKUP(B1590,[1]Product!A:B,2,FALSE)</f>
        <v>Product WUXYK</v>
      </c>
      <c r="K1590" t="str">
        <f>VLOOKUP(VLOOKUP(B1590,[1]Product!A:D,4,FALSE),[1]Category!A:B,2,FALSE)</f>
        <v>Confections</v>
      </c>
      <c r="L1590" s="10">
        <f>IFERROR(VLOOKUP(A1590,'[1]Sales Order'!A:D,4,FALSE),"")</f>
        <v>39473</v>
      </c>
      <c r="M1590" s="10">
        <f>IFERROR(VLOOKUP(A1590,'[1]Sales Order'!A:F,6,FALSE),"")</f>
        <v>39477</v>
      </c>
      <c r="N1590" t="str">
        <f>IFERROR(VLOOKUP(VLOOKUP(A1590,'[1]Sales Order'!A:G,7,FALSE),[1]Shipper!A:B,2,FALSE),"Not Specified")</f>
        <v>Shipper GVSUA</v>
      </c>
      <c r="O1590" t="str">
        <f>IFERROR(VLOOKUP(A1590,'[1]Sales Order'!A:I,9,FALSE),"Not Specified")</f>
        <v>Ship to 65-A</v>
      </c>
      <c r="P1590" t="str">
        <f>IFERROR(VLOOKUP(A1590,'[1]Sales Order'!A:N,14,FALSE),"Not Specified")</f>
        <v>USA</v>
      </c>
      <c r="Q1590" t="str">
        <f>VLOOKUP(VLOOKUP(B1590,[1]Product!A:C,3,FALSE),[1]Supplier!A:B,2,FALSE)</f>
        <v>Supplier OGLRK</v>
      </c>
      <c r="R1590" t="str">
        <f>VLOOKUP(VLOOKUP(B1590,[1]Product!A:C,3,FALSE),[1]Supplier!A:I,9,FALSE)</f>
        <v>Canada</v>
      </c>
      <c r="S1590" t="str">
        <f>IFERROR(IF(VLOOKUP(A1590,'[1]Sales Order'!A:H,8,FALSE)&gt;100,"High Freight","Low Freight"),"Not Specified")</f>
        <v>High Freight</v>
      </c>
      <c r="T1590">
        <f t="shared" si="49"/>
        <v>2465</v>
      </c>
    </row>
    <row r="1591" spans="1:20">
      <c r="A1591" s="1">
        <v>10853</v>
      </c>
      <c r="B1591" s="2">
        <v>18</v>
      </c>
      <c r="C1591" s="2">
        <v>62.5</v>
      </c>
      <c r="D1591" s="2">
        <v>10</v>
      </c>
      <c r="E1591" s="3">
        <v>0</v>
      </c>
      <c r="F1591" s="2" t="str">
        <f>IFERROR(VLOOKUP(VLOOKUP(A1591,'[1]Sales Order'!A:B,2,FALSE),[1]Customer!A:C,3,FALSE),"Not Specified")</f>
        <v>Poland, Carole</v>
      </c>
      <c r="G1591" s="2" t="str">
        <f t="shared" si="48"/>
        <v>Poland Carole</v>
      </c>
      <c r="H1591" s="8" t="str">
        <f>IFERROR(VLOOKUP(VLOOKUP(A1591,'[1]Sales Order'!A:C,3,FALSE),[1]Employee!A:E,5,FALSE)&amp;" "&amp;VLOOKUP(VLOOKUP(A1591,'[1]Sales Order'!A:C,3,FALSE),[1]Employee!A:C,3,FALSE)&amp;" "&amp;VLOOKUP(VLOOKUP(A1591,'[1]Sales Order'!A:C,3,FALSE),[1]Employee!A:B,2,FALSE),"Not Specified")</f>
        <v>Ms. Zoya Dolgopyatova</v>
      </c>
      <c r="I1591">
        <f>IFERROR(VLOOKUP(VLOOKUP(A1591,'[1]Sales Order'!A:C,3,FALSE),[1]Employee!A:J,10,FALSE),"Not Specified")</f>
        <v>0</v>
      </c>
      <c r="J1591" t="str">
        <f>VLOOKUP(B1591,[1]Product!A:B,2,FALSE)</f>
        <v>Product CKEDC</v>
      </c>
      <c r="K1591" t="str">
        <f>VLOOKUP(VLOOKUP(B1591,[1]Product!A:D,4,FALSE),[1]Category!A:B,2,FALSE)</f>
        <v>Seafood</v>
      </c>
      <c r="L1591" s="10">
        <f>IFERROR(VLOOKUP(A1591,'[1]Sales Order'!A:D,4,FALSE),"")</f>
        <v>39474</v>
      </c>
      <c r="M1591" s="10">
        <f>IFERROR(VLOOKUP(A1591,'[1]Sales Order'!A:F,6,FALSE),"")</f>
        <v>39481</v>
      </c>
      <c r="N1591" t="str">
        <f>IFERROR(VLOOKUP(VLOOKUP(A1591,'[1]Sales Order'!A:G,7,FALSE),[1]Shipper!A:B,2,FALSE),"Not Specified")</f>
        <v>Shipper ETYNR</v>
      </c>
      <c r="O1591" t="str">
        <f>IFERROR(VLOOKUP(A1591,'[1]Sales Order'!A:I,9,FALSE),"Not Specified")</f>
        <v>Ship to 6-B</v>
      </c>
      <c r="P1591" t="str">
        <f>IFERROR(VLOOKUP(A1591,'[1]Sales Order'!A:N,14,FALSE),"Not Specified")</f>
        <v>Germany</v>
      </c>
      <c r="Q1591" t="str">
        <f>VLOOKUP(VLOOKUP(B1591,[1]Product!A:C,3,FALSE),[1]Supplier!A:B,2,FALSE)</f>
        <v>Supplier GQRCV</v>
      </c>
      <c r="R1591" t="str">
        <f>VLOOKUP(VLOOKUP(B1591,[1]Product!A:C,3,FALSE),[1]Supplier!A:I,9,FALSE)</f>
        <v>Australia</v>
      </c>
      <c r="S1591" t="str">
        <f>IFERROR(IF(VLOOKUP(A1591,'[1]Sales Order'!A:H,8,FALSE)&gt;100,"High Freight","Low Freight"),"Not Specified")</f>
        <v>Low Freight</v>
      </c>
      <c r="T1591">
        <f t="shared" si="49"/>
        <v>625</v>
      </c>
    </row>
    <row r="1592" spans="1:20">
      <c r="A1592" s="1">
        <v>10854</v>
      </c>
      <c r="B1592" s="2">
        <v>10</v>
      </c>
      <c r="C1592" s="2">
        <v>31</v>
      </c>
      <c r="D1592" s="2">
        <v>100</v>
      </c>
      <c r="E1592" s="3">
        <v>0.15</v>
      </c>
      <c r="F1592" s="2" t="str">
        <f>IFERROR(VLOOKUP(VLOOKUP(A1592,'[1]Sales Order'!A:B,2,FALSE),[1]Customer!A:C,3,FALSE),"Not Specified")</f>
        <v>Kane, John</v>
      </c>
      <c r="G1592" s="2" t="str">
        <f t="shared" si="48"/>
        <v>Kane John</v>
      </c>
      <c r="H1592" s="8" t="str">
        <f>IFERROR(VLOOKUP(VLOOKUP(A1592,'[1]Sales Order'!A:C,3,FALSE),[1]Employee!A:E,5,FALSE)&amp;" "&amp;VLOOKUP(VLOOKUP(A1592,'[1]Sales Order'!A:C,3,FALSE),[1]Employee!A:C,3,FALSE)&amp;" "&amp;VLOOKUP(VLOOKUP(A1592,'[1]Sales Order'!A:C,3,FALSE),[1]Employee!A:B,2,FALSE),"Not Specified")</f>
        <v>Ms. Judy Lew</v>
      </c>
      <c r="I1592" t="str">
        <f>IFERROR(VLOOKUP(VLOOKUP(A1592,'[1]Sales Order'!A:C,3,FALSE),[1]Employee!A:J,10,FALSE),"Not Specified")</f>
        <v>WA</v>
      </c>
      <c r="J1592" t="str">
        <f>VLOOKUP(B1592,[1]Product!A:B,2,FALSE)</f>
        <v>Product YHXGE</v>
      </c>
      <c r="K1592" t="str">
        <f>VLOOKUP(VLOOKUP(B1592,[1]Product!A:D,4,FALSE),[1]Category!A:B,2,FALSE)</f>
        <v>Seafood</v>
      </c>
      <c r="L1592" s="10">
        <f>IFERROR(VLOOKUP(A1592,'[1]Sales Order'!A:D,4,FALSE),"")</f>
        <v>39474</v>
      </c>
      <c r="M1592" s="10">
        <f>IFERROR(VLOOKUP(A1592,'[1]Sales Order'!A:F,6,FALSE),"")</f>
        <v>39483</v>
      </c>
      <c r="N1592" t="str">
        <f>IFERROR(VLOOKUP(VLOOKUP(A1592,'[1]Sales Order'!A:G,7,FALSE),[1]Shipper!A:B,2,FALSE),"Not Specified")</f>
        <v>Shipper ETYNR</v>
      </c>
      <c r="O1592" t="str">
        <f>IFERROR(VLOOKUP(A1592,'[1]Sales Order'!A:I,9,FALSE),"Not Specified")</f>
        <v>Destination CUVPF</v>
      </c>
      <c r="P1592" t="str">
        <f>IFERROR(VLOOKUP(A1592,'[1]Sales Order'!A:N,14,FALSE),"Not Specified")</f>
        <v>Austria</v>
      </c>
      <c r="Q1592" t="str">
        <f>VLOOKUP(VLOOKUP(B1592,[1]Product!A:C,3,FALSE),[1]Supplier!A:B,2,FALSE)</f>
        <v>Supplier QOVFD</v>
      </c>
      <c r="R1592" t="str">
        <f>VLOOKUP(VLOOKUP(B1592,[1]Product!A:C,3,FALSE),[1]Supplier!A:I,9,FALSE)</f>
        <v>Japan</v>
      </c>
      <c r="S1592" t="str">
        <f>IFERROR(IF(VLOOKUP(A1592,'[1]Sales Order'!A:H,8,FALSE)&gt;100,"High Freight","Low Freight"),"Not Specified")</f>
        <v>High Freight</v>
      </c>
      <c r="T1592">
        <f t="shared" si="49"/>
        <v>2635</v>
      </c>
    </row>
    <row r="1593" spans="1:20">
      <c r="A1593" s="1">
        <v>10854</v>
      </c>
      <c r="B1593" s="2">
        <v>13</v>
      </c>
      <c r="C1593" s="2">
        <v>6</v>
      </c>
      <c r="D1593" s="2">
        <v>65</v>
      </c>
      <c r="E1593" s="3">
        <v>0.15</v>
      </c>
      <c r="F1593" s="2" t="str">
        <f>IFERROR(VLOOKUP(VLOOKUP(A1593,'[1]Sales Order'!A:B,2,FALSE),[1]Customer!A:C,3,FALSE),"Not Specified")</f>
        <v>Kane, John</v>
      </c>
      <c r="G1593" s="2" t="str">
        <f t="shared" si="48"/>
        <v>Kane John</v>
      </c>
      <c r="H1593" s="8" t="str">
        <f>IFERROR(VLOOKUP(VLOOKUP(A1593,'[1]Sales Order'!A:C,3,FALSE),[1]Employee!A:E,5,FALSE)&amp;" "&amp;VLOOKUP(VLOOKUP(A1593,'[1]Sales Order'!A:C,3,FALSE),[1]Employee!A:C,3,FALSE)&amp;" "&amp;VLOOKUP(VLOOKUP(A1593,'[1]Sales Order'!A:C,3,FALSE),[1]Employee!A:B,2,FALSE),"Not Specified")</f>
        <v>Ms. Judy Lew</v>
      </c>
      <c r="I1593" t="str">
        <f>IFERROR(VLOOKUP(VLOOKUP(A1593,'[1]Sales Order'!A:C,3,FALSE),[1]Employee!A:J,10,FALSE),"Not Specified")</f>
        <v>WA</v>
      </c>
      <c r="J1593" t="str">
        <f>VLOOKUP(B1593,[1]Product!A:B,2,FALSE)</f>
        <v>Product POXFU</v>
      </c>
      <c r="K1593" t="str">
        <f>VLOOKUP(VLOOKUP(B1593,[1]Product!A:D,4,FALSE),[1]Category!A:B,2,FALSE)</f>
        <v>Seafood</v>
      </c>
      <c r="L1593" s="10">
        <f>IFERROR(VLOOKUP(A1593,'[1]Sales Order'!A:D,4,FALSE),"")</f>
        <v>39474</v>
      </c>
      <c r="M1593" s="10">
        <f>IFERROR(VLOOKUP(A1593,'[1]Sales Order'!A:F,6,FALSE),"")</f>
        <v>39483</v>
      </c>
      <c r="N1593" t="str">
        <f>IFERROR(VLOOKUP(VLOOKUP(A1593,'[1]Sales Order'!A:G,7,FALSE),[1]Shipper!A:B,2,FALSE),"Not Specified")</f>
        <v>Shipper ETYNR</v>
      </c>
      <c r="O1593" t="str">
        <f>IFERROR(VLOOKUP(A1593,'[1]Sales Order'!A:I,9,FALSE),"Not Specified")</f>
        <v>Destination CUVPF</v>
      </c>
      <c r="P1593" t="str">
        <f>IFERROR(VLOOKUP(A1593,'[1]Sales Order'!A:N,14,FALSE),"Not Specified")</f>
        <v>Austria</v>
      </c>
      <c r="Q1593" t="str">
        <f>VLOOKUP(VLOOKUP(B1593,[1]Product!A:C,3,FALSE),[1]Supplier!A:B,2,FALSE)</f>
        <v>Supplier QWUSF</v>
      </c>
      <c r="R1593" t="str">
        <f>VLOOKUP(VLOOKUP(B1593,[1]Product!A:C,3,FALSE),[1]Supplier!A:I,9,FALSE)</f>
        <v>Japan</v>
      </c>
      <c r="S1593" t="str">
        <f>IFERROR(IF(VLOOKUP(A1593,'[1]Sales Order'!A:H,8,FALSE)&gt;100,"High Freight","Low Freight"),"Not Specified")</f>
        <v>High Freight</v>
      </c>
      <c r="T1593">
        <f t="shared" si="49"/>
        <v>331.5</v>
      </c>
    </row>
    <row r="1594" spans="1:20">
      <c r="A1594" s="1">
        <v>10855</v>
      </c>
      <c r="B1594" s="2">
        <v>16</v>
      </c>
      <c r="C1594" s="2">
        <v>17.45</v>
      </c>
      <c r="D1594" s="2">
        <v>50</v>
      </c>
      <c r="E1594" s="3">
        <v>0</v>
      </c>
      <c r="F1594" s="2" t="str">
        <f>IFERROR(VLOOKUP(VLOOKUP(A1594,'[1]Sales Order'!A:B,2,FALSE),[1]Customer!A:C,3,FALSE),"Not Specified")</f>
        <v>Egelund-Muller, Anja</v>
      </c>
      <c r="G1594" s="2" t="str">
        <f t="shared" si="48"/>
        <v>Egelund-Muller Anja</v>
      </c>
      <c r="H1594" s="8" t="str">
        <f>IFERROR(VLOOKUP(VLOOKUP(A1594,'[1]Sales Order'!A:C,3,FALSE),[1]Employee!A:E,5,FALSE)&amp;" "&amp;VLOOKUP(VLOOKUP(A1594,'[1]Sales Order'!A:C,3,FALSE),[1]Employee!A:C,3,FALSE)&amp;" "&amp;VLOOKUP(VLOOKUP(A1594,'[1]Sales Order'!A:C,3,FALSE),[1]Employee!A:B,2,FALSE),"Not Specified")</f>
        <v>Ms. Judy Lew</v>
      </c>
      <c r="I1594" t="str">
        <f>IFERROR(VLOOKUP(VLOOKUP(A1594,'[1]Sales Order'!A:C,3,FALSE),[1]Employee!A:J,10,FALSE),"Not Specified")</f>
        <v>WA</v>
      </c>
      <c r="J1594" t="str">
        <f>VLOOKUP(B1594,[1]Product!A:B,2,FALSE)</f>
        <v>Product PAFRH</v>
      </c>
      <c r="K1594" t="str">
        <f>VLOOKUP(VLOOKUP(B1594,[1]Product!A:D,4,FALSE),[1]Category!A:B,2,FALSE)</f>
        <v>Confections</v>
      </c>
      <c r="L1594" s="10">
        <f>IFERROR(VLOOKUP(A1594,'[1]Sales Order'!A:D,4,FALSE),"")</f>
        <v>39474</v>
      </c>
      <c r="M1594" s="10">
        <f>IFERROR(VLOOKUP(A1594,'[1]Sales Order'!A:F,6,FALSE),"")</f>
        <v>39482</v>
      </c>
      <c r="N1594" t="str">
        <f>IFERROR(VLOOKUP(VLOOKUP(A1594,'[1]Sales Order'!A:G,7,FALSE),[1]Shipper!A:B,2,FALSE),"Not Specified")</f>
        <v>Shipper GVSUA</v>
      </c>
      <c r="O1594" t="str">
        <f>IFERROR(VLOOKUP(A1594,'[1]Sales Order'!A:I,9,FALSE),"Not Specified")</f>
        <v>Ship to 55-A</v>
      </c>
      <c r="P1594" t="str">
        <f>IFERROR(VLOOKUP(A1594,'[1]Sales Order'!A:N,14,FALSE),"Not Specified")</f>
        <v>USA</v>
      </c>
      <c r="Q1594" t="str">
        <f>VLOOKUP(VLOOKUP(B1594,[1]Product!A:C,3,FALSE),[1]Supplier!A:B,2,FALSE)</f>
        <v>Supplier GQRCV</v>
      </c>
      <c r="R1594" t="str">
        <f>VLOOKUP(VLOOKUP(B1594,[1]Product!A:C,3,FALSE),[1]Supplier!A:I,9,FALSE)</f>
        <v>Australia</v>
      </c>
      <c r="S1594" t="str">
        <f>IFERROR(IF(VLOOKUP(A1594,'[1]Sales Order'!A:H,8,FALSE)&gt;100,"High Freight","Low Freight"),"Not Specified")</f>
        <v>High Freight</v>
      </c>
      <c r="T1594">
        <f t="shared" si="49"/>
        <v>872.5</v>
      </c>
    </row>
    <row r="1595" spans="1:20">
      <c r="A1595" s="1">
        <v>10855</v>
      </c>
      <c r="B1595" s="2">
        <v>31</v>
      </c>
      <c r="C1595" s="2">
        <v>12.5</v>
      </c>
      <c r="D1595" s="2">
        <v>14</v>
      </c>
      <c r="E1595" s="3">
        <v>0</v>
      </c>
      <c r="F1595" s="2" t="str">
        <f>IFERROR(VLOOKUP(VLOOKUP(A1595,'[1]Sales Order'!A:B,2,FALSE),[1]Customer!A:C,3,FALSE),"Not Specified")</f>
        <v>Egelund-Muller, Anja</v>
      </c>
      <c r="G1595" s="2" t="str">
        <f t="shared" si="48"/>
        <v>Egelund-Muller Anja</v>
      </c>
      <c r="H1595" s="8" t="str">
        <f>IFERROR(VLOOKUP(VLOOKUP(A1595,'[1]Sales Order'!A:C,3,FALSE),[1]Employee!A:E,5,FALSE)&amp;" "&amp;VLOOKUP(VLOOKUP(A1595,'[1]Sales Order'!A:C,3,FALSE),[1]Employee!A:C,3,FALSE)&amp;" "&amp;VLOOKUP(VLOOKUP(A1595,'[1]Sales Order'!A:C,3,FALSE),[1]Employee!A:B,2,FALSE),"Not Specified")</f>
        <v>Ms. Judy Lew</v>
      </c>
      <c r="I1595" t="str">
        <f>IFERROR(VLOOKUP(VLOOKUP(A1595,'[1]Sales Order'!A:C,3,FALSE),[1]Employee!A:J,10,FALSE),"Not Specified")</f>
        <v>WA</v>
      </c>
      <c r="J1595" t="str">
        <f>VLOOKUP(B1595,[1]Product!A:B,2,FALSE)</f>
        <v>Product XWOXC</v>
      </c>
      <c r="K1595" t="str">
        <f>VLOOKUP(VLOOKUP(B1595,[1]Product!A:D,4,FALSE),[1]Category!A:B,2,FALSE)</f>
        <v>Dairy Product</v>
      </c>
      <c r="L1595" s="10">
        <f>IFERROR(VLOOKUP(A1595,'[1]Sales Order'!A:D,4,FALSE),"")</f>
        <v>39474</v>
      </c>
      <c r="M1595" s="10">
        <f>IFERROR(VLOOKUP(A1595,'[1]Sales Order'!A:F,6,FALSE),"")</f>
        <v>39482</v>
      </c>
      <c r="N1595" t="str">
        <f>IFERROR(VLOOKUP(VLOOKUP(A1595,'[1]Sales Order'!A:G,7,FALSE),[1]Shipper!A:B,2,FALSE),"Not Specified")</f>
        <v>Shipper GVSUA</v>
      </c>
      <c r="O1595" t="str">
        <f>IFERROR(VLOOKUP(A1595,'[1]Sales Order'!A:I,9,FALSE),"Not Specified")</f>
        <v>Ship to 55-A</v>
      </c>
      <c r="P1595" t="str">
        <f>IFERROR(VLOOKUP(A1595,'[1]Sales Order'!A:N,14,FALSE),"Not Specified")</f>
        <v>USA</v>
      </c>
      <c r="Q1595" t="str">
        <f>VLOOKUP(VLOOKUP(B1595,[1]Product!A:C,3,FALSE),[1]Supplier!A:B,2,FALSE)</f>
        <v>Supplier KEREV</v>
      </c>
      <c r="R1595" t="str">
        <f>VLOOKUP(VLOOKUP(B1595,[1]Product!A:C,3,FALSE),[1]Supplier!A:I,9,FALSE)</f>
        <v>Italy</v>
      </c>
      <c r="S1595" t="str">
        <f>IFERROR(IF(VLOOKUP(A1595,'[1]Sales Order'!A:H,8,FALSE)&gt;100,"High Freight","Low Freight"),"Not Specified")</f>
        <v>High Freight</v>
      </c>
      <c r="T1595">
        <f t="shared" si="49"/>
        <v>175</v>
      </c>
    </row>
    <row r="1596" spans="1:20">
      <c r="A1596" s="1">
        <v>10855</v>
      </c>
      <c r="B1596" s="2">
        <v>56</v>
      </c>
      <c r="C1596" s="2">
        <v>38</v>
      </c>
      <c r="D1596" s="2">
        <v>24</v>
      </c>
      <c r="E1596" s="3">
        <v>0</v>
      </c>
      <c r="F1596" s="2" t="str">
        <f>IFERROR(VLOOKUP(VLOOKUP(A1596,'[1]Sales Order'!A:B,2,FALSE),[1]Customer!A:C,3,FALSE),"Not Specified")</f>
        <v>Egelund-Muller, Anja</v>
      </c>
      <c r="G1596" s="2" t="str">
        <f t="shared" si="48"/>
        <v>Egelund-Muller Anja</v>
      </c>
      <c r="H1596" s="8" t="str">
        <f>IFERROR(VLOOKUP(VLOOKUP(A1596,'[1]Sales Order'!A:C,3,FALSE),[1]Employee!A:E,5,FALSE)&amp;" "&amp;VLOOKUP(VLOOKUP(A1596,'[1]Sales Order'!A:C,3,FALSE),[1]Employee!A:C,3,FALSE)&amp;" "&amp;VLOOKUP(VLOOKUP(A1596,'[1]Sales Order'!A:C,3,FALSE),[1]Employee!A:B,2,FALSE),"Not Specified")</f>
        <v>Ms. Judy Lew</v>
      </c>
      <c r="I1596" t="str">
        <f>IFERROR(VLOOKUP(VLOOKUP(A1596,'[1]Sales Order'!A:C,3,FALSE),[1]Employee!A:J,10,FALSE),"Not Specified")</f>
        <v>WA</v>
      </c>
      <c r="J1596" t="str">
        <f>VLOOKUP(B1596,[1]Product!A:B,2,FALSE)</f>
        <v>Product VKCMF</v>
      </c>
      <c r="K1596" t="str">
        <f>VLOOKUP(VLOOKUP(B1596,[1]Product!A:D,4,FALSE),[1]Category!A:B,2,FALSE)</f>
        <v>Grains/Cereals</v>
      </c>
      <c r="L1596" s="10">
        <f>IFERROR(VLOOKUP(A1596,'[1]Sales Order'!A:D,4,FALSE),"")</f>
        <v>39474</v>
      </c>
      <c r="M1596" s="10">
        <f>IFERROR(VLOOKUP(A1596,'[1]Sales Order'!A:F,6,FALSE),"")</f>
        <v>39482</v>
      </c>
      <c r="N1596" t="str">
        <f>IFERROR(VLOOKUP(VLOOKUP(A1596,'[1]Sales Order'!A:G,7,FALSE),[1]Shipper!A:B,2,FALSE),"Not Specified")</f>
        <v>Shipper GVSUA</v>
      </c>
      <c r="O1596" t="str">
        <f>IFERROR(VLOOKUP(A1596,'[1]Sales Order'!A:I,9,FALSE),"Not Specified")</f>
        <v>Ship to 55-A</v>
      </c>
      <c r="P1596" t="str">
        <f>IFERROR(VLOOKUP(A1596,'[1]Sales Order'!A:N,14,FALSE),"Not Specified")</f>
        <v>USA</v>
      </c>
      <c r="Q1596" t="str">
        <f>VLOOKUP(VLOOKUP(B1596,[1]Product!A:C,3,FALSE),[1]Supplier!A:B,2,FALSE)</f>
        <v>Supplier ZWZDM</v>
      </c>
      <c r="R1596" t="str">
        <f>VLOOKUP(VLOOKUP(B1596,[1]Product!A:C,3,FALSE),[1]Supplier!A:I,9,FALSE)</f>
        <v>Italy</v>
      </c>
      <c r="S1596" t="str">
        <f>IFERROR(IF(VLOOKUP(A1596,'[1]Sales Order'!A:H,8,FALSE)&gt;100,"High Freight","Low Freight"),"Not Specified")</f>
        <v>High Freight</v>
      </c>
      <c r="T1596">
        <f t="shared" si="49"/>
        <v>912</v>
      </c>
    </row>
    <row r="1597" spans="1:20">
      <c r="A1597" s="1">
        <v>10855</v>
      </c>
      <c r="B1597" s="2">
        <v>65</v>
      </c>
      <c r="C1597" s="2">
        <v>21.05</v>
      </c>
      <c r="D1597" s="2">
        <v>15</v>
      </c>
      <c r="E1597" s="3">
        <v>0.15</v>
      </c>
      <c r="F1597" s="2" t="str">
        <f>IFERROR(VLOOKUP(VLOOKUP(A1597,'[1]Sales Order'!A:B,2,FALSE),[1]Customer!A:C,3,FALSE),"Not Specified")</f>
        <v>Egelund-Muller, Anja</v>
      </c>
      <c r="G1597" s="2" t="str">
        <f t="shared" si="48"/>
        <v>Egelund-Muller Anja</v>
      </c>
      <c r="H1597" s="8" t="str">
        <f>IFERROR(VLOOKUP(VLOOKUP(A1597,'[1]Sales Order'!A:C,3,FALSE),[1]Employee!A:E,5,FALSE)&amp;" "&amp;VLOOKUP(VLOOKUP(A1597,'[1]Sales Order'!A:C,3,FALSE),[1]Employee!A:C,3,FALSE)&amp;" "&amp;VLOOKUP(VLOOKUP(A1597,'[1]Sales Order'!A:C,3,FALSE),[1]Employee!A:B,2,FALSE),"Not Specified")</f>
        <v>Ms. Judy Lew</v>
      </c>
      <c r="I1597" t="str">
        <f>IFERROR(VLOOKUP(VLOOKUP(A1597,'[1]Sales Order'!A:C,3,FALSE),[1]Employee!A:J,10,FALSE),"Not Specified")</f>
        <v>WA</v>
      </c>
      <c r="J1597" t="str">
        <f>VLOOKUP(B1597,[1]Product!A:B,2,FALSE)</f>
        <v>Product XYWBZ</v>
      </c>
      <c r="K1597" t="str">
        <f>VLOOKUP(VLOOKUP(B1597,[1]Product!A:D,4,FALSE),[1]Category!A:B,2,FALSE)</f>
        <v>Condiments</v>
      </c>
      <c r="L1597" s="10">
        <f>IFERROR(VLOOKUP(A1597,'[1]Sales Order'!A:D,4,FALSE),"")</f>
        <v>39474</v>
      </c>
      <c r="M1597" s="10">
        <f>IFERROR(VLOOKUP(A1597,'[1]Sales Order'!A:F,6,FALSE),"")</f>
        <v>39482</v>
      </c>
      <c r="N1597" t="str">
        <f>IFERROR(VLOOKUP(VLOOKUP(A1597,'[1]Sales Order'!A:G,7,FALSE),[1]Shipper!A:B,2,FALSE),"Not Specified")</f>
        <v>Shipper GVSUA</v>
      </c>
      <c r="O1597" t="str">
        <f>IFERROR(VLOOKUP(A1597,'[1]Sales Order'!A:I,9,FALSE),"Not Specified")</f>
        <v>Ship to 55-A</v>
      </c>
      <c r="P1597" t="str">
        <f>IFERROR(VLOOKUP(A1597,'[1]Sales Order'!A:N,14,FALSE),"Not Specified")</f>
        <v>USA</v>
      </c>
      <c r="Q1597" t="str">
        <f>VLOOKUP(VLOOKUP(B1597,[1]Product!A:C,3,FALSE),[1]Supplier!A:B,2,FALSE)</f>
        <v>Supplier VHQZD</v>
      </c>
      <c r="R1597" t="str">
        <f>VLOOKUP(VLOOKUP(B1597,[1]Product!A:C,3,FALSE),[1]Supplier!A:I,9,FALSE)</f>
        <v>USA</v>
      </c>
      <c r="S1597" t="str">
        <f>IFERROR(IF(VLOOKUP(A1597,'[1]Sales Order'!A:H,8,FALSE)&gt;100,"High Freight","Low Freight"),"Not Specified")</f>
        <v>High Freight</v>
      </c>
      <c r="T1597">
        <f t="shared" si="49"/>
        <v>268.38749999999999</v>
      </c>
    </row>
    <row r="1598" spans="1:20">
      <c r="A1598" s="1">
        <v>10856</v>
      </c>
      <c r="B1598" s="2">
        <v>2</v>
      </c>
      <c r="C1598" s="2">
        <v>19</v>
      </c>
      <c r="D1598" s="2">
        <v>20</v>
      </c>
      <c r="E1598" s="3">
        <v>0</v>
      </c>
      <c r="F1598" s="2" t="str">
        <f>IFERROR(VLOOKUP(VLOOKUP(A1598,'[1]Sales Order'!A:B,2,FALSE),[1]Customer!A:C,3,FALSE),"Not Specified")</f>
        <v>Peoples, John</v>
      </c>
      <c r="G1598" s="2" t="str">
        <f t="shared" si="48"/>
        <v>Peoples John</v>
      </c>
      <c r="H1598" s="8" t="str">
        <f>IFERROR(VLOOKUP(VLOOKUP(A1598,'[1]Sales Order'!A:C,3,FALSE),[1]Employee!A:E,5,FALSE)&amp;" "&amp;VLOOKUP(VLOOKUP(A1598,'[1]Sales Order'!A:C,3,FALSE),[1]Employee!A:C,3,FALSE)&amp;" "&amp;VLOOKUP(VLOOKUP(A1598,'[1]Sales Order'!A:C,3,FALSE),[1]Employee!A:B,2,FALSE),"Not Specified")</f>
        <v>Ms. Judy Lew</v>
      </c>
      <c r="I1598" t="str">
        <f>IFERROR(VLOOKUP(VLOOKUP(A1598,'[1]Sales Order'!A:C,3,FALSE),[1]Employee!A:J,10,FALSE),"Not Specified")</f>
        <v>WA</v>
      </c>
      <c r="J1598" t="str">
        <f>VLOOKUP(B1598,[1]Product!A:B,2,FALSE)</f>
        <v>Product RECZE</v>
      </c>
      <c r="K1598" t="str">
        <f>VLOOKUP(VLOOKUP(B1598,[1]Product!A:D,4,FALSE),[1]Category!A:B,2,FALSE)</f>
        <v>Beverages</v>
      </c>
      <c r="L1598" s="10">
        <f>IFERROR(VLOOKUP(A1598,'[1]Sales Order'!A:D,4,FALSE),"")</f>
        <v>39475</v>
      </c>
      <c r="M1598" s="10">
        <f>IFERROR(VLOOKUP(A1598,'[1]Sales Order'!A:F,6,FALSE),"")</f>
        <v>39488</v>
      </c>
      <c r="N1598" t="str">
        <f>IFERROR(VLOOKUP(VLOOKUP(A1598,'[1]Sales Order'!A:G,7,FALSE),[1]Shipper!A:B,2,FALSE),"Not Specified")</f>
        <v>Shipper ETYNR</v>
      </c>
      <c r="O1598" t="str">
        <f>IFERROR(VLOOKUP(A1598,'[1]Sales Order'!A:I,9,FALSE),"Not Specified")</f>
        <v>Destination FQFLS</v>
      </c>
      <c r="P1598" t="str">
        <f>IFERROR(VLOOKUP(A1598,'[1]Sales Order'!A:N,14,FALSE),"Not Specified")</f>
        <v>Mexico</v>
      </c>
      <c r="Q1598" t="str">
        <f>VLOOKUP(VLOOKUP(B1598,[1]Product!A:C,3,FALSE),[1]Supplier!A:B,2,FALSE)</f>
        <v>Supplier SWRXU</v>
      </c>
      <c r="R1598" t="str">
        <f>VLOOKUP(VLOOKUP(B1598,[1]Product!A:C,3,FALSE),[1]Supplier!A:I,9,FALSE)</f>
        <v>UK</v>
      </c>
      <c r="S1598" t="str">
        <f>IFERROR(IF(VLOOKUP(A1598,'[1]Sales Order'!A:H,8,FALSE)&gt;100,"High Freight","Low Freight"),"Not Specified")</f>
        <v>Low Freight</v>
      </c>
      <c r="T1598">
        <f t="shared" si="49"/>
        <v>380</v>
      </c>
    </row>
    <row r="1599" spans="1:20">
      <c r="A1599" s="1">
        <v>10856</v>
      </c>
      <c r="B1599" s="2">
        <v>42</v>
      </c>
      <c r="C1599" s="2">
        <v>14</v>
      </c>
      <c r="D1599" s="2">
        <v>20</v>
      </c>
      <c r="E1599" s="3">
        <v>0</v>
      </c>
      <c r="F1599" s="2" t="str">
        <f>IFERROR(VLOOKUP(VLOOKUP(A1599,'[1]Sales Order'!A:B,2,FALSE),[1]Customer!A:C,3,FALSE),"Not Specified")</f>
        <v>Peoples, John</v>
      </c>
      <c r="G1599" s="2" t="str">
        <f t="shared" si="48"/>
        <v>Peoples John</v>
      </c>
      <c r="H1599" s="8" t="str">
        <f>IFERROR(VLOOKUP(VLOOKUP(A1599,'[1]Sales Order'!A:C,3,FALSE),[1]Employee!A:E,5,FALSE)&amp;" "&amp;VLOOKUP(VLOOKUP(A1599,'[1]Sales Order'!A:C,3,FALSE),[1]Employee!A:C,3,FALSE)&amp;" "&amp;VLOOKUP(VLOOKUP(A1599,'[1]Sales Order'!A:C,3,FALSE),[1]Employee!A:B,2,FALSE),"Not Specified")</f>
        <v>Ms. Judy Lew</v>
      </c>
      <c r="I1599" t="str">
        <f>IFERROR(VLOOKUP(VLOOKUP(A1599,'[1]Sales Order'!A:C,3,FALSE),[1]Employee!A:J,10,FALSE),"Not Specified")</f>
        <v>WA</v>
      </c>
      <c r="J1599" t="str">
        <f>VLOOKUP(B1599,[1]Product!A:B,2,FALSE)</f>
        <v>Product RJVNM</v>
      </c>
      <c r="K1599" t="str">
        <f>VLOOKUP(VLOOKUP(B1599,[1]Product!A:D,4,FALSE),[1]Category!A:B,2,FALSE)</f>
        <v>Grains/Cereals</v>
      </c>
      <c r="L1599" s="10">
        <f>IFERROR(VLOOKUP(A1599,'[1]Sales Order'!A:D,4,FALSE),"")</f>
        <v>39475</v>
      </c>
      <c r="M1599" s="10">
        <f>IFERROR(VLOOKUP(A1599,'[1]Sales Order'!A:F,6,FALSE),"")</f>
        <v>39488</v>
      </c>
      <c r="N1599" t="str">
        <f>IFERROR(VLOOKUP(VLOOKUP(A1599,'[1]Sales Order'!A:G,7,FALSE),[1]Shipper!A:B,2,FALSE),"Not Specified")</f>
        <v>Shipper ETYNR</v>
      </c>
      <c r="O1599" t="str">
        <f>IFERROR(VLOOKUP(A1599,'[1]Sales Order'!A:I,9,FALSE),"Not Specified")</f>
        <v>Destination FQFLS</v>
      </c>
      <c r="P1599" t="str">
        <f>IFERROR(VLOOKUP(A1599,'[1]Sales Order'!A:N,14,FALSE),"Not Specified")</f>
        <v>Mexico</v>
      </c>
      <c r="Q1599" t="str">
        <f>VLOOKUP(VLOOKUP(B1599,[1]Product!A:C,3,FALSE),[1]Supplier!A:B,2,FALSE)</f>
        <v>Supplier CIYNM</v>
      </c>
      <c r="R1599" t="str">
        <f>VLOOKUP(VLOOKUP(B1599,[1]Product!A:C,3,FALSE),[1]Supplier!A:I,9,FALSE)</f>
        <v>Singapore</v>
      </c>
      <c r="S1599" t="str">
        <f>IFERROR(IF(VLOOKUP(A1599,'[1]Sales Order'!A:H,8,FALSE)&gt;100,"High Freight","Low Freight"),"Not Specified")</f>
        <v>Low Freight</v>
      </c>
      <c r="T1599">
        <f t="shared" si="49"/>
        <v>280</v>
      </c>
    </row>
    <row r="1600" spans="1:20">
      <c r="A1600" s="1">
        <v>10857</v>
      </c>
      <c r="B1600" s="2">
        <v>3</v>
      </c>
      <c r="C1600" s="2">
        <v>10</v>
      </c>
      <c r="D1600" s="2">
        <v>30</v>
      </c>
      <c r="E1600" s="3">
        <v>0</v>
      </c>
      <c r="F1600" s="2" t="str">
        <f>IFERROR(VLOOKUP(VLOOKUP(A1600,'[1]Sales Order'!A:B,2,FALSE),[1]Customer!A:C,3,FALSE),"Not Specified")</f>
        <v>Higginbotham, Tom</v>
      </c>
      <c r="G1600" s="2" t="str">
        <f t="shared" si="48"/>
        <v>Higginbotham Tom</v>
      </c>
      <c r="H1600" s="8" t="str">
        <f>IFERROR(VLOOKUP(VLOOKUP(A1600,'[1]Sales Order'!A:C,3,FALSE),[1]Employee!A:E,5,FALSE)&amp;" "&amp;VLOOKUP(VLOOKUP(A1600,'[1]Sales Order'!A:C,3,FALSE),[1]Employee!A:C,3,FALSE)&amp;" "&amp;VLOOKUP(VLOOKUP(A1600,'[1]Sales Order'!A:C,3,FALSE),[1]Employee!A:B,2,FALSE),"Not Specified")</f>
        <v>Ms. Maria Cameron</v>
      </c>
      <c r="I1600" t="str">
        <f>IFERROR(VLOOKUP(VLOOKUP(A1600,'[1]Sales Order'!A:C,3,FALSE),[1]Employee!A:J,10,FALSE),"Not Specified")</f>
        <v>WA</v>
      </c>
      <c r="J1600" t="str">
        <f>VLOOKUP(B1600,[1]Product!A:B,2,FALSE)</f>
        <v>Product IMEHJ</v>
      </c>
      <c r="K1600" t="str">
        <f>VLOOKUP(VLOOKUP(B1600,[1]Product!A:D,4,FALSE),[1]Category!A:B,2,FALSE)</f>
        <v>Condiments</v>
      </c>
      <c r="L1600" s="10">
        <f>IFERROR(VLOOKUP(A1600,'[1]Sales Order'!A:D,4,FALSE),"")</f>
        <v>39475</v>
      </c>
      <c r="M1600" s="10">
        <f>IFERROR(VLOOKUP(A1600,'[1]Sales Order'!A:F,6,FALSE),"")</f>
        <v>39484</v>
      </c>
      <c r="N1600" t="str">
        <f>IFERROR(VLOOKUP(VLOOKUP(A1600,'[1]Sales Order'!A:G,7,FALSE),[1]Shipper!A:B,2,FALSE),"Not Specified")</f>
        <v>Shipper ETYNR</v>
      </c>
      <c r="O1600" t="str">
        <f>IFERROR(VLOOKUP(A1600,'[1]Sales Order'!A:I,9,FALSE),"Not Specified")</f>
        <v>Ship to 5-B</v>
      </c>
      <c r="P1600" t="str">
        <f>IFERROR(VLOOKUP(A1600,'[1]Sales Order'!A:N,14,FALSE),"Not Specified")</f>
        <v>Sweden</v>
      </c>
      <c r="Q1600" t="str">
        <f>VLOOKUP(VLOOKUP(B1600,[1]Product!A:C,3,FALSE),[1]Supplier!A:B,2,FALSE)</f>
        <v>Supplier SWRXU</v>
      </c>
      <c r="R1600" t="str">
        <f>VLOOKUP(VLOOKUP(B1600,[1]Product!A:C,3,FALSE),[1]Supplier!A:I,9,FALSE)</f>
        <v>UK</v>
      </c>
      <c r="S1600" t="str">
        <f>IFERROR(IF(VLOOKUP(A1600,'[1]Sales Order'!A:H,8,FALSE)&gt;100,"High Freight","Low Freight"),"Not Specified")</f>
        <v>High Freight</v>
      </c>
      <c r="T1600">
        <f t="shared" si="49"/>
        <v>300</v>
      </c>
    </row>
    <row r="1601" spans="1:20">
      <c r="A1601" s="1">
        <v>10857</v>
      </c>
      <c r="B1601" s="2">
        <v>26</v>
      </c>
      <c r="C1601" s="2">
        <v>31.23</v>
      </c>
      <c r="D1601" s="2">
        <v>35</v>
      </c>
      <c r="E1601" s="3">
        <v>0.25</v>
      </c>
      <c r="F1601" s="2" t="str">
        <f>IFERROR(VLOOKUP(VLOOKUP(A1601,'[1]Sales Order'!A:B,2,FALSE),[1]Customer!A:C,3,FALSE),"Not Specified")</f>
        <v>Higginbotham, Tom</v>
      </c>
      <c r="G1601" s="2" t="str">
        <f t="shared" si="48"/>
        <v>Higginbotham Tom</v>
      </c>
      <c r="H1601" s="8" t="str">
        <f>IFERROR(VLOOKUP(VLOOKUP(A1601,'[1]Sales Order'!A:C,3,FALSE),[1]Employee!A:E,5,FALSE)&amp;" "&amp;VLOOKUP(VLOOKUP(A1601,'[1]Sales Order'!A:C,3,FALSE),[1]Employee!A:C,3,FALSE)&amp;" "&amp;VLOOKUP(VLOOKUP(A1601,'[1]Sales Order'!A:C,3,FALSE),[1]Employee!A:B,2,FALSE),"Not Specified")</f>
        <v>Ms. Maria Cameron</v>
      </c>
      <c r="I1601" t="str">
        <f>IFERROR(VLOOKUP(VLOOKUP(A1601,'[1]Sales Order'!A:C,3,FALSE),[1]Employee!A:J,10,FALSE),"Not Specified")</f>
        <v>WA</v>
      </c>
      <c r="J1601" t="str">
        <f>VLOOKUP(B1601,[1]Product!A:B,2,FALSE)</f>
        <v>Product HLGZA</v>
      </c>
      <c r="K1601" t="str">
        <f>VLOOKUP(VLOOKUP(B1601,[1]Product!A:D,4,FALSE),[1]Category!A:B,2,FALSE)</f>
        <v>Confections</v>
      </c>
      <c r="L1601" s="10">
        <f>IFERROR(VLOOKUP(A1601,'[1]Sales Order'!A:D,4,FALSE),"")</f>
        <v>39475</v>
      </c>
      <c r="M1601" s="10">
        <f>IFERROR(VLOOKUP(A1601,'[1]Sales Order'!A:F,6,FALSE),"")</f>
        <v>39484</v>
      </c>
      <c r="N1601" t="str">
        <f>IFERROR(VLOOKUP(VLOOKUP(A1601,'[1]Sales Order'!A:G,7,FALSE),[1]Shipper!A:B,2,FALSE),"Not Specified")</f>
        <v>Shipper ETYNR</v>
      </c>
      <c r="O1601" t="str">
        <f>IFERROR(VLOOKUP(A1601,'[1]Sales Order'!A:I,9,FALSE),"Not Specified")</f>
        <v>Ship to 5-B</v>
      </c>
      <c r="P1601" t="str">
        <f>IFERROR(VLOOKUP(A1601,'[1]Sales Order'!A:N,14,FALSE),"Not Specified")</f>
        <v>Sweden</v>
      </c>
      <c r="Q1601" t="str">
        <f>VLOOKUP(VLOOKUP(B1601,[1]Product!A:C,3,FALSE),[1]Supplier!A:B,2,FALSE)</f>
        <v>Supplier ZPYVS</v>
      </c>
      <c r="R1601" t="str">
        <f>VLOOKUP(VLOOKUP(B1601,[1]Product!A:C,3,FALSE),[1]Supplier!A:I,9,FALSE)</f>
        <v>Germany</v>
      </c>
      <c r="S1601" t="str">
        <f>IFERROR(IF(VLOOKUP(A1601,'[1]Sales Order'!A:H,8,FALSE)&gt;100,"High Freight","Low Freight"),"Not Specified")</f>
        <v>High Freight</v>
      </c>
      <c r="T1601">
        <f t="shared" si="49"/>
        <v>819.78749999999991</v>
      </c>
    </row>
    <row r="1602" spans="1:20">
      <c r="A1602" s="1">
        <v>10857</v>
      </c>
      <c r="B1602" s="2">
        <v>29</v>
      </c>
      <c r="C1602" s="2">
        <v>123.79</v>
      </c>
      <c r="D1602" s="2">
        <v>10</v>
      </c>
      <c r="E1602" s="3">
        <v>0.25</v>
      </c>
      <c r="F1602" s="2" t="str">
        <f>IFERROR(VLOOKUP(VLOOKUP(A1602,'[1]Sales Order'!A:B,2,FALSE),[1]Customer!A:C,3,FALSE),"Not Specified")</f>
        <v>Higginbotham, Tom</v>
      </c>
      <c r="G1602" s="2" t="str">
        <f t="shared" si="48"/>
        <v>Higginbotham Tom</v>
      </c>
      <c r="H1602" s="8" t="str">
        <f>IFERROR(VLOOKUP(VLOOKUP(A1602,'[1]Sales Order'!A:C,3,FALSE),[1]Employee!A:E,5,FALSE)&amp;" "&amp;VLOOKUP(VLOOKUP(A1602,'[1]Sales Order'!A:C,3,FALSE),[1]Employee!A:C,3,FALSE)&amp;" "&amp;VLOOKUP(VLOOKUP(A1602,'[1]Sales Order'!A:C,3,FALSE),[1]Employee!A:B,2,FALSE),"Not Specified")</f>
        <v>Ms. Maria Cameron</v>
      </c>
      <c r="I1602" t="str">
        <f>IFERROR(VLOOKUP(VLOOKUP(A1602,'[1]Sales Order'!A:C,3,FALSE),[1]Employee!A:J,10,FALSE),"Not Specified")</f>
        <v>WA</v>
      </c>
      <c r="J1602" t="str">
        <f>VLOOKUP(B1602,[1]Product!A:B,2,FALSE)</f>
        <v>Product VJXYN</v>
      </c>
      <c r="K1602" t="str">
        <f>VLOOKUP(VLOOKUP(B1602,[1]Product!A:D,4,FALSE),[1]Category!A:B,2,FALSE)</f>
        <v>Meat/Poultry</v>
      </c>
      <c r="L1602" s="10">
        <f>IFERROR(VLOOKUP(A1602,'[1]Sales Order'!A:D,4,FALSE),"")</f>
        <v>39475</v>
      </c>
      <c r="M1602" s="10">
        <f>IFERROR(VLOOKUP(A1602,'[1]Sales Order'!A:F,6,FALSE),"")</f>
        <v>39484</v>
      </c>
      <c r="N1602" t="str">
        <f>IFERROR(VLOOKUP(VLOOKUP(A1602,'[1]Sales Order'!A:G,7,FALSE),[1]Shipper!A:B,2,FALSE),"Not Specified")</f>
        <v>Shipper ETYNR</v>
      </c>
      <c r="O1602" t="str">
        <f>IFERROR(VLOOKUP(A1602,'[1]Sales Order'!A:I,9,FALSE),"Not Specified")</f>
        <v>Ship to 5-B</v>
      </c>
      <c r="P1602" t="str">
        <f>IFERROR(VLOOKUP(A1602,'[1]Sales Order'!A:N,14,FALSE),"Not Specified")</f>
        <v>Sweden</v>
      </c>
      <c r="Q1602" t="str">
        <f>VLOOKUP(VLOOKUP(B1602,[1]Product!A:C,3,FALSE),[1]Supplier!A:B,2,FALSE)</f>
        <v>Supplier SVIYA</v>
      </c>
      <c r="R1602" t="str">
        <f>VLOOKUP(VLOOKUP(B1602,[1]Product!A:C,3,FALSE),[1]Supplier!A:I,9,FALSE)</f>
        <v>Germany</v>
      </c>
      <c r="S1602" t="str">
        <f>IFERROR(IF(VLOOKUP(A1602,'[1]Sales Order'!A:H,8,FALSE)&gt;100,"High Freight","Low Freight"),"Not Specified")</f>
        <v>High Freight</v>
      </c>
      <c r="T1602">
        <f t="shared" si="49"/>
        <v>928.42500000000007</v>
      </c>
    </row>
    <row r="1603" spans="1:20">
      <c r="A1603" s="1">
        <v>10858</v>
      </c>
      <c r="B1603" s="2">
        <v>7</v>
      </c>
      <c r="C1603" s="2">
        <v>30</v>
      </c>
      <c r="D1603" s="2">
        <v>5</v>
      </c>
      <c r="E1603" s="3">
        <v>0</v>
      </c>
      <c r="F1603" s="2" t="str">
        <f>IFERROR(VLOOKUP(VLOOKUP(A1603,'[1]Sales Order'!A:B,2,FALSE),[1]Customer!A:C,3,FALSE),"Not Specified")</f>
        <v>De Oliveira, Jose</v>
      </c>
      <c r="G1603" s="2" t="str">
        <f t="shared" ref="G1603:G1666" si="50">SUBSTITUTE(F1603,",","",1)</f>
        <v>De Oliveira Jose</v>
      </c>
      <c r="H1603" s="8" t="str">
        <f>IFERROR(VLOOKUP(VLOOKUP(A1603,'[1]Sales Order'!A:C,3,FALSE),[1]Employee!A:E,5,FALSE)&amp;" "&amp;VLOOKUP(VLOOKUP(A1603,'[1]Sales Order'!A:C,3,FALSE),[1]Employee!A:C,3,FALSE)&amp;" "&amp;VLOOKUP(VLOOKUP(A1603,'[1]Sales Order'!A:C,3,FALSE),[1]Employee!A:B,2,FALSE),"Not Specified")</f>
        <v>Dr. Don Funk</v>
      </c>
      <c r="I1603" t="str">
        <f>IFERROR(VLOOKUP(VLOOKUP(A1603,'[1]Sales Order'!A:C,3,FALSE),[1]Employee!A:J,10,FALSE),"Not Specified")</f>
        <v>WA</v>
      </c>
      <c r="J1603" t="str">
        <f>VLOOKUP(B1603,[1]Product!A:B,2,FALSE)</f>
        <v>Product HMLNI</v>
      </c>
      <c r="K1603" t="str">
        <f>VLOOKUP(VLOOKUP(B1603,[1]Product!A:D,4,FALSE),[1]Category!A:B,2,FALSE)</f>
        <v>Produce</v>
      </c>
      <c r="L1603" s="10">
        <f>IFERROR(VLOOKUP(A1603,'[1]Sales Order'!A:D,4,FALSE),"")</f>
        <v>39476</v>
      </c>
      <c r="M1603" s="10">
        <f>IFERROR(VLOOKUP(A1603,'[1]Sales Order'!A:F,6,FALSE),"")</f>
        <v>39481</v>
      </c>
      <c r="N1603" t="str">
        <f>IFERROR(VLOOKUP(VLOOKUP(A1603,'[1]Sales Order'!A:G,7,FALSE),[1]Shipper!A:B,2,FALSE),"Not Specified")</f>
        <v>Shipper GVSUA</v>
      </c>
      <c r="O1603" t="str">
        <f>IFERROR(VLOOKUP(A1603,'[1]Sales Order'!A:I,9,FALSE),"Not Specified")</f>
        <v>Destination POAEW</v>
      </c>
      <c r="P1603" t="str">
        <f>IFERROR(VLOOKUP(A1603,'[1]Sales Order'!A:N,14,FALSE),"Not Specified")</f>
        <v>France</v>
      </c>
      <c r="Q1603" t="str">
        <f>VLOOKUP(VLOOKUP(B1603,[1]Product!A:C,3,FALSE),[1]Supplier!A:B,2,FALSE)</f>
        <v>Supplier STUAZ</v>
      </c>
      <c r="R1603" t="str">
        <f>VLOOKUP(VLOOKUP(B1603,[1]Product!A:C,3,FALSE),[1]Supplier!A:I,9,FALSE)</f>
        <v>USA</v>
      </c>
      <c r="S1603" t="str">
        <f>IFERROR(IF(VLOOKUP(A1603,'[1]Sales Order'!A:H,8,FALSE)&gt;100,"High Freight","Low Freight"),"Not Specified")</f>
        <v>Low Freight</v>
      </c>
      <c r="T1603">
        <f t="shared" ref="T1603:T1666" si="51">C1603*D1603*(1-E1603)</f>
        <v>150</v>
      </c>
    </row>
    <row r="1604" spans="1:20">
      <c r="A1604" s="1">
        <v>10858</v>
      </c>
      <c r="B1604" s="2">
        <v>27</v>
      </c>
      <c r="C1604" s="2">
        <v>43.9</v>
      </c>
      <c r="D1604" s="2">
        <v>10</v>
      </c>
      <c r="E1604" s="3">
        <v>0</v>
      </c>
      <c r="F1604" s="2" t="str">
        <f>IFERROR(VLOOKUP(VLOOKUP(A1604,'[1]Sales Order'!A:B,2,FALSE),[1]Customer!A:C,3,FALSE),"Not Specified")</f>
        <v>De Oliveira, Jose</v>
      </c>
      <c r="G1604" s="2" t="str">
        <f t="shared" si="50"/>
        <v>De Oliveira Jose</v>
      </c>
      <c r="H1604" s="8" t="str">
        <f>IFERROR(VLOOKUP(VLOOKUP(A1604,'[1]Sales Order'!A:C,3,FALSE),[1]Employee!A:E,5,FALSE)&amp;" "&amp;VLOOKUP(VLOOKUP(A1604,'[1]Sales Order'!A:C,3,FALSE),[1]Employee!A:C,3,FALSE)&amp;" "&amp;VLOOKUP(VLOOKUP(A1604,'[1]Sales Order'!A:C,3,FALSE),[1]Employee!A:B,2,FALSE),"Not Specified")</f>
        <v>Dr. Don Funk</v>
      </c>
      <c r="I1604" t="str">
        <f>IFERROR(VLOOKUP(VLOOKUP(A1604,'[1]Sales Order'!A:C,3,FALSE),[1]Employee!A:J,10,FALSE),"Not Specified")</f>
        <v>WA</v>
      </c>
      <c r="J1604" t="str">
        <f>VLOOKUP(B1604,[1]Product!A:B,2,FALSE)</f>
        <v>Product SMIOH</v>
      </c>
      <c r="K1604" t="str">
        <f>VLOOKUP(VLOOKUP(B1604,[1]Product!A:D,4,FALSE),[1]Category!A:B,2,FALSE)</f>
        <v>Confections</v>
      </c>
      <c r="L1604" s="10">
        <f>IFERROR(VLOOKUP(A1604,'[1]Sales Order'!A:D,4,FALSE),"")</f>
        <v>39476</v>
      </c>
      <c r="M1604" s="10">
        <f>IFERROR(VLOOKUP(A1604,'[1]Sales Order'!A:F,6,FALSE),"")</f>
        <v>39481</v>
      </c>
      <c r="N1604" t="str">
        <f>IFERROR(VLOOKUP(VLOOKUP(A1604,'[1]Sales Order'!A:G,7,FALSE),[1]Shipper!A:B,2,FALSE),"Not Specified")</f>
        <v>Shipper GVSUA</v>
      </c>
      <c r="O1604" t="str">
        <f>IFERROR(VLOOKUP(A1604,'[1]Sales Order'!A:I,9,FALSE),"Not Specified")</f>
        <v>Destination POAEW</v>
      </c>
      <c r="P1604" t="str">
        <f>IFERROR(VLOOKUP(A1604,'[1]Sales Order'!A:N,14,FALSE),"Not Specified")</f>
        <v>France</v>
      </c>
      <c r="Q1604" t="str">
        <f>VLOOKUP(VLOOKUP(B1604,[1]Product!A:C,3,FALSE),[1]Supplier!A:B,2,FALSE)</f>
        <v>Supplier ZPYVS</v>
      </c>
      <c r="R1604" t="str">
        <f>VLOOKUP(VLOOKUP(B1604,[1]Product!A:C,3,FALSE),[1]Supplier!A:I,9,FALSE)</f>
        <v>Germany</v>
      </c>
      <c r="S1604" t="str">
        <f>IFERROR(IF(VLOOKUP(A1604,'[1]Sales Order'!A:H,8,FALSE)&gt;100,"High Freight","Low Freight"),"Not Specified")</f>
        <v>Low Freight</v>
      </c>
      <c r="T1604">
        <f t="shared" si="51"/>
        <v>439</v>
      </c>
    </row>
    <row r="1605" spans="1:20">
      <c r="A1605" s="1">
        <v>10858</v>
      </c>
      <c r="B1605" s="2">
        <v>70</v>
      </c>
      <c r="C1605" s="2">
        <v>15</v>
      </c>
      <c r="D1605" s="2">
        <v>4</v>
      </c>
      <c r="E1605" s="3">
        <v>0</v>
      </c>
      <c r="F1605" s="2" t="str">
        <f>IFERROR(VLOOKUP(VLOOKUP(A1605,'[1]Sales Order'!A:B,2,FALSE),[1]Customer!A:C,3,FALSE),"Not Specified")</f>
        <v>De Oliveira, Jose</v>
      </c>
      <c r="G1605" s="2" t="str">
        <f t="shared" si="50"/>
        <v>De Oliveira Jose</v>
      </c>
      <c r="H1605" s="8" t="str">
        <f>IFERROR(VLOOKUP(VLOOKUP(A1605,'[1]Sales Order'!A:C,3,FALSE),[1]Employee!A:E,5,FALSE)&amp;" "&amp;VLOOKUP(VLOOKUP(A1605,'[1]Sales Order'!A:C,3,FALSE),[1]Employee!A:C,3,FALSE)&amp;" "&amp;VLOOKUP(VLOOKUP(A1605,'[1]Sales Order'!A:C,3,FALSE),[1]Employee!A:B,2,FALSE),"Not Specified")</f>
        <v>Dr. Don Funk</v>
      </c>
      <c r="I1605" t="str">
        <f>IFERROR(VLOOKUP(VLOOKUP(A1605,'[1]Sales Order'!A:C,3,FALSE),[1]Employee!A:J,10,FALSE),"Not Specified")</f>
        <v>WA</v>
      </c>
      <c r="J1605" t="str">
        <f>VLOOKUP(B1605,[1]Product!A:B,2,FALSE)</f>
        <v>Product TOONT</v>
      </c>
      <c r="K1605" t="str">
        <f>VLOOKUP(VLOOKUP(B1605,[1]Product!A:D,4,FALSE),[1]Category!A:B,2,FALSE)</f>
        <v>Beverages</v>
      </c>
      <c r="L1605" s="10">
        <f>IFERROR(VLOOKUP(A1605,'[1]Sales Order'!A:D,4,FALSE),"")</f>
        <v>39476</v>
      </c>
      <c r="M1605" s="10">
        <f>IFERROR(VLOOKUP(A1605,'[1]Sales Order'!A:F,6,FALSE),"")</f>
        <v>39481</v>
      </c>
      <c r="N1605" t="str">
        <f>IFERROR(VLOOKUP(VLOOKUP(A1605,'[1]Sales Order'!A:G,7,FALSE),[1]Shipper!A:B,2,FALSE),"Not Specified")</f>
        <v>Shipper GVSUA</v>
      </c>
      <c r="O1605" t="str">
        <f>IFERROR(VLOOKUP(A1605,'[1]Sales Order'!A:I,9,FALSE),"Not Specified")</f>
        <v>Destination POAEW</v>
      </c>
      <c r="P1605" t="str">
        <f>IFERROR(VLOOKUP(A1605,'[1]Sales Order'!A:N,14,FALSE),"Not Specified")</f>
        <v>France</v>
      </c>
      <c r="Q1605" t="str">
        <f>VLOOKUP(VLOOKUP(B1605,[1]Product!A:C,3,FALSE),[1]Supplier!A:B,2,FALSE)</f>
        <v>Supplier GQRCV</v>
      </c>
      <c r="R1605" t="str">
        <f>VLOOKUP(VLOOKUP(B1605,[1]Product!A:C,3,FALSE),[1]Supplier!A:I,9,FALSE)</f>
        <v>Australia</v>
      </c>
      <c r="S1605" t="str">
        <f>IFERROR(IF(VLOOKUP(A1605,'[1]Sales Order'!A:H,8,FALSE)&gt;100,"High Freight","Low Freight"),"Not Specified")</f>
        <v>Low Freight</v>
      </c>
      <c r="T1605">
        <f t="shared" si="51"/>
        <v>60</v>
      </c>
    </row>
    <row r="1606" spans="1:20">
      <c r="A1606" s="1">
        <v>10859</v>
      </c>
      <c r="B1606" s="2">
        <v>24</v>
      </c>
      <c r="C1606" s="2">
        <v>4.5</v>
      </c>
      <c r="D1606" s="2">
        <v>40</v>
      </c>
      <c r="E1606" s="3">
        <v>0.25</v>
      </c>
      <c r="F1606" s="2" t="str">
        <f>IFERROR(VLOOKUP(VLOOKUP(A1606,'[1]Sales Order'!A:B,2,FALSE),[1]Customer!A:C,3,FALSE),"Not Specified")</f>
        <v>Carlson, Jason</v>
      </c>
      <c r="G1606" s="2" t="str">
        <f t="shared" si="50"/>
        <v>Carlson Jason</v>
      </c>
      <c r="H1606" s="8" t="str">
        <f>IFERROR(VLOOKUP(VLOOKUP(A1606,'[1]Sales Order'!A:C,3,FALSE),[1]Employee!A:E,5,FALSE)&amp;" "&amp;VLOOKUP(VLOOKUP(A1606,'[1]Sales Order'!A:C,3,FALSE),[1]Employee!A:C,3,FALSE)&amp;" "&amp;VLOOKUP(VLOOKUP(A1606,'[1]Sales Order'!A:C,3,FALSE),[1]Employee!A:B,2,FALSE),"Not Specified")</f>
        <v>Ms. Sara Davis</v>
      </c>
      <c r="I1606" t="str">
        <f>IFERROR(VLOOKUP(VLOOKUP(A1606,'[1]Sales Order'!A:C,3,FALSE),[1]Employee!A:J,10,FALSE),"Not Specified")</f>
        <v>WA</v>
      </c>
      <c r="J1606" t="str">
        <f>VLOOKUP(B1606,[1]Product!A:B,2,FALSE)</f>
        <v>Product QOGNU</v>
      </c>
      <c r="K1606" t="str">
        <f>VLOOKUP(VLOOKUP(B1606,[1]Product!A:D,4,FALSE),[1]Category!A:B,2,FALSE)</f>
        <v>Beverages</v>
      </c>
      <c r="L1606" s="10">
        <f>IFERROR(VLOOKUP(A1606,'[1]Sales Order'!A:D,4,FALSE),"")</f>
        <v>39476</v>
      </c>
      <c r="M1606" s="10">
        <f>IFERROR(VLOOKUP(A1606,'[1]Sales Order'!A:F,6,FALSE),"")</f>
        <v>39480</v>
      </c>
      <c r="N1606" t="str">
        <f>IFERROR(VLOOKUP(VLOOKUP(A1606,'[1]Sales Order'!A:G,7,FALSE),[1]Shipper!A:B,2,FALSE),"Not Specified")</f>
        <v>Shipper ETYNR</v>
      </c>
      <c r="O1606" t="str">
        <f>IFERROR(VLOOKUP(A1606,'[1]Sales Order'!A:I,9,FALSE),"Not Specified")</f>
        <v>Destination QOCBL</v>
      </c>
      <c r="P1606" t="str">
        <f>IFERROR(VLOOKUP(A1606,'[1]Sales Order'!A:N,14,FALSE),"Not Specified")</f>
        <v>Germany</v>
      </c>
      <c r="Q1606" t="str">
        <f>VLOOKUP(VLOOKUP(B1606,[1]Product!A:C,3,FALSE),[1]Supplier!A:B,2,FALSE)</f>
        <v>Supplier UNAHG</v>
      </c>
      <c r="R1606" t="str">
        <f>VLOOKUP(VLOOKUP(B1606,[1]Product!A:C,3,FALSE),[1]Supplier!A:I,9,FALSE)</f>
        <v>Brazil</v>
      </c>
      <c r="S1606" t="str">
        <f>IFERROR(IF(VLOOKUP(A1606,'[1]Sales Order'!A:H,8,FALSE)&gt;100,"High Freight","Low Freight"),"Not Specified")</f>
        <v>Low Freight</v>
      </c>
      <c r="T1606">
        <f t="shared" si="51"/>
        <v>135</v>
      </c>
    </row>
    <row r="1607" spans="1:20">
      <c r="A1607" s="1">
        <v>10859</v>
      </c>
      <c r="B1607" s="2">
        <v>54</v>
      </c>
      <c r="C1607" s="2">
        <v>7.45</v>
      </c>
      <c r="D1607" s="2">
        <v>35</v>
      </c>
      <c r="E1607" s="3">
        <v>0.25</v>
      </c>
      <c r="F1607" s="2" t="str">
        <f>IFERROR(VLOOKUP(VLOOKUP(A1607,'[1]Sales Order'!A:B,2,FALSE),[1]Customer!A:C,3,FALSE),"Not Specified")</f>
        <v>Carlson, Jason</v>
      </c>
      <c r="G1607" s="2" t="str">
        <f t="shared" si="50"/>
        <v>Carlson Jason</v>
      </c>
      <c r="H1607" s="8" t="str">
        <f>IFERROR(VLOOKUP(VLOOKUP(A1607,'[1]Sales Order'!A:C,3,FALSE),[1]Employee!A:E,5,FALSE)&amp;" "&amp;VLOOKUP(VLOOKUP(A1607,'[1]Sales Order'!A:C,3,FALSE),[1]Employee!A:C,3,FALSE)&amp;" "&amp;VLOOKUP(VLOOKUP(A1607,'[1]Sales Order'!A:C,3,FALSE),[1]Employee!A:B,2,FALSE),"Not Specified")</f>
        <v>Ms. Sara Davis</v>
      </c>
      <c r="I1607" t="str">
        <f>IFERROR(VLOOKUP(VLOOKUP(A1607,'[1]Sales Order'!A:C,3,FALSE),[1]Employee!A:J,10,FALSE),"Not Specified")</f>
        <v>WA</v>
      </c>
      <c r="J1607" t="str">
        <f>VLOOKUP(B1607,[1]Product!A:B,2,FALSE)</f>
        <v>Product QAQRL</v>
      </c>
      <c r="K1607" t="str">
        <f>VLOOKUP(VLOOKUP(B1607,[1]Product!A:D,4,FALSE),[1]Category!A:B,2,FALSE)</f>
        <v>Meat/Poultry</v>
      </c>
      <c r="L1607" s="10">
        <f>IFERROR(VLOOKUP(A1607,'[1]Sales Order'!A:D,4,FALSE),"")</f>
        <v>39476</v>
      </c>
      <c r="M1607" s="10">
        <f>IFERROR(VLOOKUP(A1607,'[1]Sales Order'!A:F,6,FALSE),"")</f>
        <v>39480</v>
      </c>
      <c r="N1607" t="str">
        <f>IFERROR(VLOOKUP(VLOOKUP(A1607,'[1]Sales Order'!A:G,7,FALSE),[1]Shipper!A:B,2,FALSE),"Not Specified")</f>
        <v>Shipper ETYNR</v>
      </c>
      <c r="O1607" t="str">
        <f>IFERROR(VLOOKUP(A1607,'[1]Sales Order'!A:I,9,FALSE),"Not Specified")</f>
        <v>Destination QOCBL</v>
      </c>
      <c r="P1607" t="str">
        <f>IFERROR(VLOOKUP(A1607,'[1]Sales Order'!A:N,14,FALSE),"Not Specified")</f>
        <v>Germany</v>
      </c>
      <c r="Q1607" t="str">
        <f>VLOOKUP(VLOOKUP(B1607,[1]Product!A:C,3,FALSE),[1]Supplier!A:B,2,FALSE)</f>
        <v>Supplier ERVYZ</v>
      </c>
      <c r="R1607" t="str">
        <f>VLOOKUP(VLOOKUP(B1607,[1]Product!A:C,3,FALSE),[1]Supplier!A:I,9,FALSE)</f>
        <v>Canada</v>
      </c>
      <c r="S1607" t="str">
        <f>IFERROR(IF(VLOOKUP(A1607,'[1]Sales Order'!A:H,8,FALSE)&gt;100,"High Freight","Low Freight"),"Not Specified")</f>
        <v>Low Freight</v>
      </c>
      <c r="T1607">
        <f t="shared" si="51"/>
        <v>195.5625</v>
      </c>
    </row>
    <row r="1608" spans="1:20">
      <c r="A1608" s="1">
        <v>10859</v>
      </c>
      <c r="B1608" s="2">
        <v>64</v>
      </c>
      <c r="C1608" s="2">
        <v>33.25</v>
      </c>
      <c r="D1608" s="2">
        <v>30</v>
      </c>
      <c r="E1608" s="3">
        <v>0.25</v>
      </c>
      <c r="F1608" s="2" t="str">
        <f>IFERROR(VLOOKUP(VLOOKUP(A1608,'[1]Sales Order'!A:B,2,FALSE),[1]Customer!A:C,3,FALSE),"Not Specified")</f>
        <v>Carlson, Jason</v>
      </c>
      <c r="G1608" s="2" t="str">
        <f t="shared" si="50"/>
        <v>Carlson Jason</v>
      </c>
      <c r="H1608" s="8" t="str">
        <f>IFERROR(VLOOKUP(VLOOKUP(A1608,'[1]Sales Order'!A:C,3,FALSE),[1]Employee!A:E,5,FALSE)&amp;" "&amp;VLOOKUP(VLOOKUP(A1608,'[1]Sales Order'!A:C,3,FALSE),[1]Employee!A:C,3,FALSE)&amp;" "&amp;VLOOKUP(VLOOKUP(A1608,'[1]Sales Order'!A:C,3,FALSE),[1]Employee!A:B,2,FALSE),"Not Specified")</f>
        <v>Ms. Sara Davis</v>
      </c>
      <c r="I1608" t="str">
        <f>IFERROR(VLOOKUP(VLOOKUP(A1608,'[1]Sales Order'!A:C,3,FALSE),[1]Employee!A:J,10,FALSE),"Not Specified")</f>
        <v>WA</v>
      </c>
      <c r="J1608" t="str">
        <f>VLOOKUP(B1608,[1]Product!A:B,2,FALSE)</f>
        <v>Product HCQDE</v>
      </c>
      <c r="K1608" t="str">
        <f>VLOOKUP(VLOOKUP(B1608,[1]Product!A:D,4,FALSE),[1]Category!A:B,2,FALSE)</f>
        <v>Grains/Cereals</v>
      </c>
      <c r="L1608" s="10">
        <f>IFERROR(VLOOKUP(A1608,'[1]Sales Order'!A:D,4,FALSE),"")</f>
        <v>39476</v>
      </c>
      <c r="M1608" s="10">
        <f>IFERROR(VLOOKUP(A1608,'[1]Sales Order'!A:F,6,FALSE),"")</f>
        <v>39480</v>
      </c>
      <c r="N1608" t="str">
        <f>IFERROR(VLOOKUP(VLOOKUP(A1608,'[1]Sales Order'!A:G,7,FALSE),[1]Shipper!A:B,2,FALSE),"Not Specified")</f>
        <v>Shipper ETYNR</v>
      </c>
      <c r="O1608" t="str">
        <f>IFERROR(VLOOKUP(A1608,'[1]Sales Order'!A:I,9,FALSE),"Not Specified")</f>
        <v>Destination QOCBL</v>
      </c>
      <c r="P1608" t="str">
        <f>IFERROR(VLOOKUP(A1608,'[1]Sales Order'!A:N,14,FALSE),"Not Specified")</f>
        <v>Germany</v>
      </c>
      <c r="Q1608" t="str">
        <f>VLOOKUP(VLOOKUP(B1608,[1]Product!A:C,3,FALSE),[1]Supplier!A:B,2,FALSE)</f>
        <v>Supplier SVIYA</v>
      </c>
      <c r="R1608" t="str">
        <f>VLOOKUP(VLOOKUP(B1608,[1]Product!A:C,3,FALSE),[1]Supplier!A:I,9,FALSE)</f>
        <v>Germany</v>
      </c>
      <c r="S1608" t="str">
        <f>IFERROR(IF(VLOOKUP(A1608,'[1]Sales Order'!A:H,8,FALSE)&gt;100,"High Freight","Low Freight"),"Not Specified")</f>
        <v>Low Freight</v>
      </c>
      <c r="T1608">
        <f t="shared" si="51"/>
        <v>748.125</v>
      </c>
    </row>
    <row r="1609" spans="1:20">
      <c r="A1609" s="1">
        <v>10860</v>
      </c>
      <c r="B1609" s="2">
        <v>51</v>
      </c>
      <c r="C1609" s="2">
        <v>53</v>
      </c>
      <c r="D1609" s="2">
        <v>3</v>
      </c>
      <c r="E1609" s="3">
        <v>0</v>
      </c>
      <c r="F1609" s="2" t="str">
        <f>IFERROR(VLOOKUP(VLOOKUP(A1609,'[1]Sales Order'!A:B,2,FALSE),[1]Customer!A:C,3,FALSE),"Not Specified")</f>
        <v>Koch, Paul</v>
      </c>
      <c r="G1609" s="2" t="str">
        <f t="shared" si="50"/>
        <v>Koch Paul</v>
      </c>
      <c r="H1609" s="8" t="str">
        <f>IFERROR(VLOOKUP(VLOOKUP(A1609,'[1]Sales Order'!A:C,3,FALSE),[1]Employee!A:E,5,FALSE)&amp;" "&amp;VLOOKUP(VLOOKUP(A1609,'[1]Sales Order'!A:C,3,FALSE),[1]Employee!A:C,3,FALSE)&amp;" "&amp;VLOOKUP(VLOOKUP(A1609,'[1]Sales Order'!A:C,3,FALSE),[1]Employee!A:B,2,FALSE),"Not Specified")</f>
        <v>Ms. Judy Lew</v>
      </c>
      <c r="I1609" t="str">
        <f>IFERROR(VLOOKUP(VLOOKUP(A1609,'[1]Sales Order'!A:C,3,FALSE),[1]Employee!A:J,10,FALSE),"Not Specified")</f>
        <v>WA</v>
      </c>
      <c r="J1609" t="str">
        <f>VLOOKUP(B1609,[1]Product!A:B,2,FALSE)</f>
        <v>Product APITJ</v>
      </c>
      <c r="K1609" t="str">
        <f>VLOOKUP(VLOOKUP(B1609,[1]Product!A:D,4,FALSE),[1]Category!A:B,2,FALSE)</f>
        <v>Produce</v>
      </c>
      <c r="L1609" s="10">
        <f>IFERROR(VLOOKUP(A1609,'[1]Sales Order'!A:D,4,FALSE),"")</f>
        <v>39476</v>
      </c>
      <c r="M1609" s="10">
        <f>IFERROR(VLOOKUP(A1609,'[1]Sales Order'!A:F,6,FALSE),"")</f>
        <v>39482</v>
      </c>
      <c r="N1609" t="str">
        <f>IFERROR(VLOOKUP(VLOOKUP(A1609,'[1]Sales Order'!A:G,7,FALSE),[1]Shipper!A:B,2,FALSE),"Not Specified")</f>
        <v>Shipper ZHISN</v>
      </c>
      <c r="O1609" t="str">
        <f>IFERROR(VLOOKUP(A1609,'[1]Sales Order'!A:I,9,FALSE),"Not Specified")</f>
        <v>Destination XBVKN</v>
      </c>
      <c r="P1609" t="str">
        <f>IFERROR(VLOOKUP(A1609,'[1]Sales Order'!A:N,14,FALSE),"Not Specified")</f>
        <v>France</v>
      </c>
      <c r="Q1609" t="str">
        <f>VLOOKUP(VLOOKUP(B1609,[1]Product!A:C,3,FALSE),[1]Supplier!A:B,2,FALSE)</f>
        <v>Supplier JNNES</v>
      </c>
      <c r="R1609" t="str">
        <f>VLOOKUP(VLOOKUP(B1609,[1]Product!A:C,3,FALSE),[1]Supplier!A:I,9,FALSE)</f>
        <v>Australia</v>
      </c>
      <c r="S1609" t="str">
        <f>IFERROR(IF(VLOOKUP(A1609,'[1]Sales Order'!A:H,8,FALSE)&gt;100,"High Freight","Low Freight"),"Not Specified")</f>
        <v>Low Freight</v>
      </c>
      <c r="T1609">
        <f t="shared" si="51"/>
        <v>159</v>
      </c>
    </row>
    <row r="1610" spans="1:20">
      <c r="A1610" s="1">
        <v>10860</v>
      </c>
      <c r="B1610" s="2">
        <v>76</v>
      </c>
      <c r="C1610" s="2">
        <v>18</v>
      </c>
      <c r="D1610" s="2">
        <v>20</v>
      </c>
      <c r="E1610" s="3">
        <v>0</v>
      </c>
      <c r="F1610" s="2" t="str">
        <f>IFERROR(VLOOKUP(VLOOKUP(A1610,'[1]Sales Order'!A:B,2,FALSE),[1]Customer!A:C,3,FALSE),"Not Specified")</f>
        <v>Koch, Paul</v>
      </c>
      <c r="G1610" s="2" t="str">
        <f t="shared" si="50"/>
        <v>Koch Paul</v>
      </c>
      <c r="H1610" s="8" t="str">
        <f>IFERROR(VLOOKUP(VLOOKUP(A1610,'[1]Sales Order'!A:C,3,FALSE),[1]Employee!A:E,5,FALSE)&amp;" "&amp;VLOOKUP(VLOOKUP(A1610,'[1]Sales Order'!A:C,3,FALSE),[1]Employee!A:C,3,FALSE)&amp;" "&amp;VLOOKUP(VLOOKUP(A1610,'[1]Sales Order'!A:C,3,FALSE),[1]Employee!A:B,2,FALSE),"Not Specified")</f>
        <v>Ms. Judy Lew</v>
      </c>
      <c r="I1610" t="str">
        <f>IFERROR(VLOOKUP(VLOOKUP(A1610,'[1]Sales Order'!A:C,3,FALSE),[1]Employee!A:J,10,FALSE),"Not Specified")</f>
        <v>WA</v>
      </c>
      <c r="J1610" t="str">
        <f>VLOOKUP(B1610,[1]Product!A:B,2,FALSE)</f>
        <v>Product JYGFE</v>
      </c>
      <c r="K1610" t="str">
        <f>VLOOKUP(VLOOKUP(B1610,[1]Product!A:D,4,FALSE),[1]Category!A:B,2,FALSE)</f>
        <v>Beverages</v>
      </c>
      <c r="L1610" s="10">
        <f>IFERROR(VLOOKUP(A1610,'[1]Sales Order'!A:D,4,FALSE),"")</f>
        <v>39476</v>
      </c>
      <c r="M1610" s="10">
        <f>IFERROR(VLOOKUP(A1610,'[1]Sales Order'!A:F,6,FALSE),"")</f>
        <v>39482</v>
      </c>
      <c r="N1610" t="str">
        <f>IFERROR(VLOOKUP(VLOOKUP(A1610,'[1]Sales Order'!A:G,7,FALSE),[1]Shipper!A:B,2,FALSE),"Not Specified")</f>
        <v>Shipper ZHISN</v>
      </c>
      <c r="O1610" t="str">
        <f>IFERROR(VLOOKUP(A1610,'[1]Sales Order'!A:I,9,FALSE),"Not Specified")</f>
        <v>Destination XBVKN</v>
      </c>
      <c r="P1610" t="str">
        <f>IFERROR(VLOOKUP(A1610,'[1]Sales Order'!A:N,14,FALSE),"Not Specified")</f>
        <v>France</v>
      </c>
      <c r="Q1610" t="str">
        <f>VLOOKUP(VLOOKUP(B1610,[1]Product!A:C,3,FALSE),[1]Supplier!A:B,2,FALSE)</f>
        <v>Supplier ELCRN</v>
      </c>
      <c r="R1610" t="str">
        <f>VLOOKUP(VLOOKUP(B1610,[1]Product!A:C,3,FALSE),[1]Supplier!A:I,9,FALSE)</f>
        <v>Finland</v>
      </c>
      <c r="S1610" t="str">
        <f>IFERROR(IF(VLOOKUP(A1610,'[1]Sales Order'!A:H,8,FALSE)&gt;100,"High Freight","Low Freight"),"Not Specified")</f>
        <v>Low Freight</v>
      </c>
      <c r="T1610">
        <f t="shared" si="51"/>
        <v>360</v>
      </c>
    </row>
    <row r="1611" spans="1:20">
      <c r="A1611" s="1">
        <v>10861</v>
      </c>
      <c r="B1611" s="2">
        <v>17</v>
      </c>
      <c r="C1611" s="2">
        <v>39</v>
      </c>
      <c r="D1611" s="2">
        <v>42</v>
      </c>
      <c r="E1611" s="3">
        <v>0</v>
      </c>
      <c r="F1611" s="2" t="str">
        <f>IFERROR(VLOOKUP(VLOOKUP(A1611,'[1]Sales Order'!A:B,2,FALSE),[1]Customer!A:C,3,FALSE),"Not Specified")</f>
        <v>Smith Jr., Ronaldo</v>
      </c>
      <c r="G1611" s="2" t="str">
        <f t="shared" si="50"/>
        <v>Smith Jr. Ronaldo</v>
      </c>
      <c r="H1611" s="8" t="str">
        <f>IFERROR(VLOOKUP(VLOOKUP(A1611,'[1]Sales Order'!A:C,3,FALSE),[1]Employee!A:E,5,FALSE)&amp;" "&amp;VLOOKUP(VLOOKUP(A1611,'[1]Sales Order'!A:C,3,FALSE),[1]Employee!A:C,3,FALSE)&amp;" "&amp;VLOOKUP(VLOOKUP(A1611,'[1]Sales Order'!A:C,3,FALSE),[1]Employee!A:B,2,FALSE),"Not Specified")</f>
        <v>Mrs. Yael Peled</v>
      </c>
      <c r="I1611" t="str">
        <f>IFERROR(VLOOKUP(VLOOKUP(A1611,'[1]Sales Order'!A:C,3,FALSE),[1]Employee!A:J,10,FALSE),"Not Specified")</f>
        <v>WA</v>
      </c>
      <c r="J1611" t="str">
        <f>VLOOKUP(B1611,[1]Product!A:B,2,FALSE)</f>
        <v>Product BLCAX</v>
      </c>
      <c r="K1611" t="str">
        <f>VLOOKUP(VLOOKUP(B1611,[1]Product!A:D,4,FALSE),[1]Category!A:B,2,FALSE)</f>
        <v>Meat/Poultry</v>
      </c>
      <c r="L1611" s="10">
        <f>IFERROR(VLOOKUP(A1611,'[1]Sales Order'!A:D,4,FALSE),"")</f>
        <v>39477</v>
      </c>
      <c r="M1611" s="10">
        <f>IFERROR(VLOOKUP(A1611,'[1]Sales Order'!A:F,6,FALSE),"")</f>
        <v>39495</v>
      </c>
      <c r="N1611" t="str">
        <f>IFERROR(VLOOKUP(VLOOKUP(A1611,'[1]Sales Order'!A:G,7,FALSE),[1]Shipper!A:B,2,FALSE),"Not Specified")</f>
        <v>Shipper ETYNR</v>
      </c>
      <c r="O1611" t="str">
        <f>IFERROR(VLOOKUP(A1611,'[1]Sales Order'!A:I,9,FALSE),"Not Specified")</f>
        <v>Ship to 89-C</v>
      </c>
      <c r="P1611" t="str">
        <f>IFERROR(VLOOKUP(A1611,'[1]Sales Order'!A:N,14,FALSE),"Not Specified")</f>
        <v>USA</v>
      </c>
      <c r="Q1611" t="str">
        <f>VLOOKUP(VLOOKUP(B1611,[1]Product!A:C,3,FALSE),[1]Supplier!A:B,2,FALSE)</f>
        <v>Supplier GQRCV</v>
      </c>
      <c r="R1611" t="str">
        <f>VLOOKUP(VLOOKUP(B1611,[1]Product!A:C,3,FALSE),[1]Supplier!A:I,9,FALSE)</f>
        <v>Australia</v>
      </c>
      <c r="S1611" t="str">
        <f>IFERROR(IF(VLOOKUP(A1611,'[1]Sales Order'!A:H,8,FALSE)&gt;100,"High Freight","Low Freight"),"Not Specified")</f>
        <v>Low Freight</v>
      </c>
      <c r="T1611">
        <f t="shared" si="51"/>
        <v>1638</v>
      </c>
    </row>
    <row r="1612" spans="1:20">
      <c r="A1612" s="1">
        <v>10861</v>
      </c>
      <c r="B1612" s="2">
        <v>18</v>
      </c>
      <c r="C1612" s="2">
        <v>62.5</v>
      </c>
      <c r="D1612" s="2">
        <v>20</v>
      </c>
      <c r="E1612" s="3">
        <v>0</v>
      </c>
      <c r="F1612" s="2" t="str">
        <f>IFERROR(VLOOKUP(VLOOKUP(A1612,'[1]Sales Order'!A:B,2,FALSE),[1]Customer!A:C,3,FALSE),"Not Specified")</f>
        <v>Smith Jr., Ronaldo</v>
      </c>
      <c r="G1612" s="2" t="str">
        <f t="shared" si="50"/>
        <v>Smith Jr. Ronaldo</v>
      </c>
      <c r="H1612" s="8" t="str">
        <f>IFERROR(VLOOKUP(VLOOKUP(A1612,'[1]Sales Order'!A:C,3,FALSE),[1]Employee!A:E,5,FALSE)&amp;" "&amp;VLOOKUP(VLOOKUP(A1612,'[1]Sales Order'!A:C,3,FALSE),[1]Employee!A:C,3,FALSE)&amp;" "&amp;VLOOKUP(VLOOKUP(A1612,'[1]Sales Order'!A:C,3,FALSE),[1]Employee!A:B,2,FALSE),"Not Specified")</f>
        <v>Mrs. Yael Peled</v>
      </c>
      <c r="I1612" t="str">
        <f>IFERROR(VLOOKUP(VLOOKUP(A1612,'[1]Sales Order'!A:C,3,FALSE),[1]Employee!A:J,10,FALSE),"Not Specified")</f>
        <v>WA</v>
      </c>
      <c r="J1612" t="str">
        <f>VLOOKUP(B1612,[1]Product!A:B,2,FALSE)</f>
        <v>Product CKEDC</v>
      </c>
      <c r="K1612" t="str">
        <f>VLOOKUP(VLOOKUP(B1612,[1]Product!A:D,4,FALSE),[1]Category!A:B,2,FALSE)</f>
        <v>Seafood</v>
      </c>
      <c r="L1612" s="10">
        <f>IFERROR(VLOOKUP(A1612,'[1]Sales Order'!A:D,4,FALSE),"")</f>
        <v>39477</v>
      </c>
      <c r="M1612" s="10">
        <f>IFERROR(VLOOKUP(A1612,'[1]Sales Order'!A:F,6,FALSE),"")</f>
        <v>39495</v>
      </c>
      <c r="N1612" t="str">
        <f>IFERROR(VLOOKUP(VLOOKUP(A1612,'[1]Sales Order'!A:G,7,FALSE),[1]Shipper!A:B,2,FALSE),"Not Specified")</f>
        <v>Shipper ETYNR</v>
      </c>
      <c r="O1612" t="str">
        <f>IFERROR(VLOOKUP(A1612,'[1]Sales Order'!A:I,9,FALSE),"Not Specified")</f>
        <v>Ship to 89-C</v>
      </c>
      <c r="P1612" t="str">
        <f>IFERROR(VLOOKUP(A1612,'[1]Sales Order'!A:N,14,FALSE),"Not Specified")</f>
        <v>USA</v>
      </c>
      <c r="Q1612" t="str">
        <f>VLOOKUP(VLOOKUP(B1612,[1]Product!A:C,3,FALSE),[1]Supplier!A:B,2,FALSE)</f>
        <v>Supplier GQRCV</v>
      </c>
      <c r="R1612" t="str">
        <f>VLOOKUP(VLOOKUP(B1612,[1]Product!A:C,3,FALSE),[1]Supplier!A:I,9,FALSE)</f>
        <v>Australia</v>
      </c>
      <c r="S1612" t="str">
        <f>IFERROR(IF(VLOOKUP(A1612,'[1]Sales Order'!A:H,8,FALSE)&gt;100,"High Freight","Low Freight"),"Not Specified")</f>
        <v>Low Freight</v>
      </c>
      <c r="T1612">
        <f t="shared" si="51"/>
        <v>1250</v>
      </c>
    </row>
    <row r="1613" spans="1:20">
      <c r="A1613" s="1">
        <v>10861</v>
      </c>
      <c r="B1613" s="2">
        <v>21</v>
      </c>
      <c r="C1613" s="2">
        <v>10</v>
      </c>
      <c r="D1613" s="2">
        <v>40</v>
      </c>
      <c r="E1613" s="3">
        <v>0</v>
      </c>
      <c r="F1613" s="2" t="str">
        <f>IFERROR(VLOOKUP(VLOOKUP(A1613,'[1]Sales Order'!A:B,2,FALSE),[1]Customer!A:C,3,FALSE),"Not Specified")</f>
        <v>Smith Jr., Ronaldo</v>
      </c>
      <c r="G1613" s="2" t="str">
        <f t="shared" si="50"/>
        <v>Smith Jr. Ronaldo</v>
      </c>
      <c r="H1613" s="8" t="str">
        <f>IFERROR(VLOOKUP(VLOOKUP(A1613,'[1]Sales Order'!A:C,3,FALSE),[1]Employee!A:E,5,FALSE)&amp;" "&amp;VLOOKUP(VLOOKUP(A1613,'[1]Sales Order'!A:C,3,FALSE),[1]Employee!A:C,3,FALSE)&amp;" "&amp;VLOOKUP(VLOOKUP(A1613,'[1]Sales Order'!A:C,3,FALSE),[1]Employee!A:B,2,FALSE),"Not Specified")</f>
        <v>Mrs. Yael Peled</v>
      </c>
      <c r="I1613" t="str">
        <f>IFERROR(VLOOKUP(VLOOKUP(A1613,'[1]Sales Order'!A:C,3,FALSE),[1]Employee!A:J,10,FALSE),"Not Specified")</f>
        <v>WA</v>
      </c>
      <c r="J1613" t="str">
        <f>VLOOKUP(B1613,[1]Product!A:B,2,FALSE)</f>
        <v>Product VJZZH</v>
      </c>
      <c r="K1613" t="str">
        <f>VLOOKUP(VLOOKUP(B1613,[1]Product!A:D,4,FALSE),[1]Category!A:B,2,FALSE)</f>
        <v>Confections</v>
      </c>
      <c r="L1613" s="10">
        <f>IFERROR(VLOOKUP(A1613,'[1]Sales Order'!A:D,4,FALSE),"")</f>
        <v>39477</v>
      </c>
      <c r="M1613" s="10">
        <f>IFERROR(VLOOKUP(A1613,'[1]Sales Order'!A:F,6,FALSE),"")</f>
        <v>39495</v>
      </c>
      <c r="N1613" t="str">
        <f>IFERROR(VLOOKUP(VLOOKUP(A1613,'[1]Sales Order'!A:G,7,FALSE),[1]Shipper!A:B,2,FALSE),"Not Specified")</f>
        <v>Shipper ETYNR</v>
      </c>
      <c r="O1613" t="str">
        <f>IFERROR(VLOOKUP(A1613,'[1]Sales Order'!A:I,9,FALSE),"Not Specified")</f>
        <v>Ship to 89-C</v>
      </c>
      <c r="P1613" t="str">
        <f>IFERROR(VLOOKUP(A1613,'[1]Sales Order'!A:N,14,FALSE),"Not Specified")</f>
        <v>USA</v>
      </c>
      <c r="Q1613" t="str">
        <f>VLOOKUP(VLOOKUP(B1613,[1]Product!A:C,3,FALSE),[1]Supplier!A:B,2,FALSE)</f>
        <v>Supplier BWGYE</v>
      </c>
      <c r="R1613" t="str">
        <f>VLOOKUP(VLOOKUP(B1613,[1]Product!A:C,3,FALSE),[1]Supplier!A:I,9,FALSE)</f>
        <v>UK</v>
      </c>
      <c r="S1613" t="str">
        <f>IFERROR(IF(VLOOKUP(A1613,'[1]Sales Order'!A:H,8,FALSE)&gt;100,"High Freight","Low Freight"),"Not Specified")</f>
        <v>Low Freight</v>
      </c>
      <c r="T1613">
        <f t="shared" si="51"/>
        <v>400</v>
      </c>
    </row>
    <row r="1614" spans="1:20">
      <c r="A1614" s="1">
        <v>10861</v>
      </c>
      <c r="B1614" s="2">
        <v>33</v>
      </c>
      <c r="C1614" s="2">
        <v>2.5</v>
      </c>
      <c r="D1614" s="2">
        <v>35</v>
      </c>
      <c r="E1614" s="3">
        <v>0</v>
      </c>
      <c r="F1614" s="2" t="str">
        <f>IFERROR(VLOOKUP(VLOOKUP(A1614,'[1]Sales Order'!A:B,2,FALSE),[1]Customer!A:C,3,FALSE),"Not Specified")</f>
        <v>Smith Jr., Ronaldo</v>
      </c>
      <c r="G1614" s="2" t="str">
        <f t="shared" si="50"/>
        <v>Smith Jr. Ronaldo</v>
      </c>
      <c r="H1614" s="8" t="str">
        <f>IFERROR(VLOOKUP(VLOOKUP(A1614,'[1]Sales Order'!A:C,3,FALSE),[1]Employee!A:E,5,FALSE)&amp;" "&amp;VLOOKUP(VLOOKUP(A1614,'[1]Sales Order'!A:C,3,FALSE),[1]Employee!A:C,3,FALSE)&amp;" "&amp;VLOOKUP(VLOOKUP(A1614,'[1]Sales Order'!A:C,3,FALSE),[1]Employee!A:B,2,FALSE),"Not Specified")</f>
        <v>Mrs. Yael Peled</v>
      </c>
      <c r="I1614" t="str">
        <f>IFERROR(VLOOKUP(VLOOKUP(A1614,'[1]Sales Order'!A:C,3,FALSE),[1]Employee!A:J,10,FALSE),"Not Specified")</f>
        <v>WA</v>
      </c>
      <c r="J1614" t="str">
        <f>VLOOKUP(B1614,[1]Product!A:B,2,FALSE)</f>
        <v>Product ASTMN</v>
      </c>
      <c r="K1614" t="str">
        <f>VLOOKUP(VLOOKUP(B1614,[1]Product!A:D,4,FALSE),[1]Category!A:B,2,FALSE)</f>
        <v>Dairy Product</v>
      </c>
      <c r="L1614" s="10">
        <f>IFERROR(VLOOKUP(A1614,'[1]Sales Order'!A:D,4,FALSE),"")</f>
        <v>39477</v>
      </c>
      <c r="M1614" s="10">
        <f>IFERROR(VLOOKUP(A1614,'[1]Sales Order'!A:F,6,FALSE),"")</f>
        <v>39495</v>
      </c>
      <c r="N1614" t="str">
        <f>IFERROR(VLOOKUP(VLOOKUP(A1614,'[1]Sales Order'!A:G,7,FALSE),[1]Shipper!A:B,2,FALSE),"Not Specified")</f>
        <v>Shipper ETYNR</v>
      </c>
      <c r="O1614" t="str">
        <f>IFERROR(VLOOKUP(A1614,'[1]Sales Order'!A:I,9,FALSE),"Not Specified")</f>
        <v>Ship to 89-C</v>
      </c>
      <c r="P1614" t="str">
        <f>IFERROR(VLOOKUP(A1614,'[1]Sales Order'!A:N,14,FALSE),"Not Specified")</f>
        <v>USA</v>
      </c>
      <c r="Q1614" t="str">
        <f>VLOOKUP(VLOOKUP(B1614,[1]Product!A:C,3,FALSE),[1]Supplier!A:B,2,FALSE)</f>
        <v>Supplier NZLIF</v>
      </c>
      <c r="R1614" t="str">
        <f>VLOOKUP(VLOOKUP(B1614,[1]Product!A:C,3,FALSE),[1]Supplier!A:I,9,FALSE)</f>
        <v>Norway</v>
      </c>
      <c r="S1614" t="str">
        <f>IFERROR(IF(VLOOKUP(A1614,'[1]Sales Order'!A:H,8,FALSE)&gt;100,"High Freight","Low Freight"),"Not Specified")</f>
        <v>Low Freight</v>
      </c>
      <c r="T1614">
        <f t="shared" si="51"/>
        <v>87.5</v>
      </c>
    </row>
    <row r="1615" spans="1:20">
      <c r="A1615" s="1">
        <v>10861</v>
      </c>
      <c r="B1615" s="2">
        <v>62</v>
      </c>
      <c r="C1615" s="2">
        <v>49.3</v>
      </c>
      <c r="D1615" s="2">
        <v>3</v>
      </c>
      <c r="E1615" s="3">
        <v>0</v>
      </c>
      <c r="F1615" s="2" t="str">
        <f>IFERROR(VLOOKUP(VLOOKUP(A1615,'[1]Sales Order'!A:B,2,FALSE),[1]Customer!A:C,3,FALSE),"Not Specified")</f>
        <v>Smith Jr., Ronaldo</v>
      </c>
      <c r="G1615" s="2" t="str">
        <f t="shared" si="50"/>
        <v>Smith Jr. Ronaldo</v>
      </c>
      <c r="H1615" s="8" t="str">
        <f>IFERROR(VLOOKUP(VLOOKUP(A1615,'[1]Sales Order'!A:C,3,FALSE),[1]Employee!A:E,5,FALSE)&amp;" "&amp;VLOOKUP(VLOOKUP(A1615,'[1]Sales Order'!A:C,3,FALSE),[1]Employee!A:C,3,FALSE)&amp;" "&amp;VLOOKUP(VLOOKUP(A1615,'[1]Sales Order'!A:C,3,FALSE),[1]Employee!A:B,2,FALSE),"Not Specified")</f>
        <v>Mrs. Yael Peled</v>
      </c>
      <c r="I1615" t="str">
        <f>IFERROR(VLOOKUP(VLOOKUP(A1615,'[1]Sales Order'!A:C,3,FALSE),[1]Employee!A:J,10,FALSE),"Not Specified")</f>
        <v>WA</v>
      </c>
      <c r="J1615" t="str">
        <f>VLOOKUP(B1615,[1]Product!A:B,2,FALSE)</f>
        <v>Product WUXYK</v>
      </c>
      <c r="K1615" t="str">
        <f>VLOOKUP(VLOOKUP(B1615,[1]Product!A:D,4,FALSE),[1]Category!A:B,2,FALSE)</f>
        <v>Confections</v>
      </c>
      <c r="L1615" s="10">
        <f>IFERROR(VLOOKUP(A1615,'[1]Sales Order'!A:D,4,FALSE),"")</f>
        <v>39477</v>
      </c>
      <c r="M1615" s="10">
        <f>IFERROR(VLOOKUP(A1615,'[1]Sales Order'!A:F,6,FALSE),"")</f>
        <v>39495</v>
      </c>
      <c r="N1615" t="str">
        <f>IFERROR(VLOOKUP(VLOOKUP(A1615,'[1]Sales Order'!A:G,7,FALSE),[1]Shipper!A:B,2,FALSE),"Not Specified")</f>
        <v>Shipper ETYNR</v>
      </c>
      <c r="O1615" t="str">
        <f>IFERROR(VLOOKUP(A1615,'[1]Sales Order'!A:I,9,FALSE),"Not Specified")</f>
        <v>Ship to 89-C</v>
      </c>
      <c r="P1615" t="str">
        <f>IFERROR(VLOOKUP(A1615,'[1]Sales Order'!A:N,14,FALSE),"Not Specified")</f>
        <v>USA</v>
      </c>
      <c r="Q1615" t="str">
        <f>VLOOKUP(VLOOKUP(B1615,[1]Product!A:C,3,FALSE),[1]Supplier!A:B,2,FALSE)</f>
        <v>Supplier OGLRK</v>
      </c>
      <c r="R1615" t="str">
        <f>VLOOKUP(VLOOKUP(B1615,[1]Product!A:C,3,FALSE),[1]Supplier!A:I,9,FALSE)</f>
        <v>Canada</v>
      </c>
      <c r="S1615" t="str">
        <f>IFERROR(IF(VLOOKUP(A1615,'[1]Sales Order'!A:H,8,FALSE)&gt;100,"High Freight","Low Freight"),"Not Specified")</f>
        <v>Low Freight</v>
      </c>
      <c r="T1615">
        <f t="shared" si="51"/>
        <v>147.89999999999998</v>
      </c>
    </row>
    <row r="1616" spans="1:20">
      <c r="A1616" s="1">
        <v>10862</v>
      </c>
      <c r="B1616" s="2">
        <v>11</v>
      </c>
      <c r="C1616" s="2">
        <v>21</v>
      </c>
      <c r="D1616" s="2">
        <v>25</v>
      </c>
      <c r="E1616" s="3">
        <v>0</v>
      </c>
      <c r="F1616" s="2" t="str">
        <f>IFERROR(VLOOKUP(VLOOKUP(A1616,'[1]Sales Order'!A:B,2,FALSE),[1]Customer!A:C,3,FALSE),"Not Specified")</f>
        <v>Louverdis, George</v>
      </c>
      <c r="G1616" s="2" t="str">
        <f t="shared" si="50"/>
        <v>Louverdis George</v>
      </c>
      <c r="H1616" s="8" t="str">
        <f>IFERROR(VLOOKUP(VLOOKUP(A1616,'[1]Sales Order'!A:C,3,FALSE),[1]Employee!A:E,5,FALSE)&amp;" "&amp;VLOOKUP(VLOOKUP(A1616,'[1]Sales Order'!A:C,3,FALSE),[1]Employee!A:C,3,FALSE)&amp;" "&amp;VLOOKUP(VLOOKUP(A1616,'[1]Sales Order'!A:C,3,FALSE),[1]Employee!A:B,2,FALSE),"Not Specified")</f>
        <v>Ms. Maria Cameron</v>
      </c>
      <c r="I1616" t="str">
        <f>IFERROR(VLOOKUP(VLOOKUP(A1616,'[1]Sales Order'!A:C,3,FALSE),[1]Employee!A:J,10,FALSE),"Not Specified")</f>
        <v>WA</v>
      </c>
      <c r="J1616" t="str">
        <f>VLOOKUP(B1616,[1]Product!A:B,2,FALSE)</f>
        <v>Product QMVUN</v>
      </c>
      <c r="K1616" t="str">
        <f>VLOOKUP(VLOOKUP(B1616,[1]Product!A:D,4,FALSE),[1]Category!A:B,2,FALSE)</f>
        <v>Dairy Product</v>
      </c>
      <c r="L1616" s="10">
        <f>IFERROR(VLOOKUP(A1616,'[1]Sales Order'!A:D,4,FALSE),"")</f>
        <v>39477</v>
      </c>
      <c r="M1616" s="10">
        <f>IFERROR(VLOOKUP(A1616,'[1]Sales Order'!A:F,6,FALSE),"")</f>
        <v>39480</v>
      </c>
      <c r="N1616" t="str">
        <f>IFERROR(VLOOKUP(VLOOKUP(A1616,'[1]Sales Order'!A:G,7,FALSE),[1]Shipper!A:B,2,FALSE),"Not Specified")</f>
        <v>Shipper ETYNR</v>
      </c>
      <c r="O1616" t="str">
        <f>IFERROR(VLOOKUP(A1616,'[1]Sales Order'!A:I,9,FALSE),"Not Specified")</f>
        <v>Ship to 44-C</v>
      </c>
      <c r="P1616" t="str">
        <f>IFERROR(VLOOKUP(A1616,'[1]Sales Order'!A:N,14,FALSE),"Not Specified")</f>
        <v>Germany</v>
      </c>
      <c r="Q1616" t="str">
        <f>VLOOKUP(VLOOKUP(B1616,[1]Product!A:C,3,FALSE),[1]Supplier!A:B,2,FALSE)</f>
        <v>Supplier EQPNC</v>
      </c>
      <c r="R1616" t="str">
        <f>VLOOKUP(VLOOKUP(B1616,[1]Product!A:C,3,FALSE),[1]Supplier!A:I,9,FALSE)</f>
        <v>Spain</v>
      </c>
      <c r="S1616" t="str">
        <f>IFERROR(IF(VLOOKUP(A1616,'[1]Sales Order'!A:H,8,FALSE)&gt;100,"High Freight","Low Freight"),"Not Specified")</f>
        <v>Low Freight</v>
      </c>
      <c r="T1616">
        <f t="shared" si="51"/>
        <v>525</v>
      </c>
    </row>
    <row r="1617" spans="1:20">
      <c r="A1617" s="1">
        <v>10862</v>
      </c>
      <c r="B1617" s="2">
        <v>52</v>
      </c>
      <c r="C1617" s="2">
        <v>7</v>
      </c>
      <c r="D1617" s="2">
        <v>8</v>
      </c>
      <c r="E1617" s="3">
        <v>0</v>
      </c>
      <c r="F1617" s="2" t="str">
        <f>IFERROR(VLOOKUP(VLOOKUP(A1617,'[1]Sales Order'!A:B,2,FALSE),[1]Customer!A:C,3,FALSE),"Not Specified")</f>
        <v>Louverdis, George</v>
      </c>
      <c r="G1617" s="2" t="str">
        <f t="shared" si="50"/>
        <v>Louverdis George</v>
      </c>
      <c r="H1617" s="8" t="str">
        <f>IFERROR(VLOOKUP(VLOOKUP(A1617,'[1]Sales Order'!A:C,3,FALSE),[1]Employee!A:E,5,FALSE)&amp;" "&amp;VLOOKUP(VLOOKUP(A1617,'[1]Sales Order'!A:C,3,FALSE),[1]Employee!A:C,3,FALSE)&amp;" "&amp;VLOOKUP(VLOOKUP(A1617,'[1]Sales Order'!A:C,3,FALSE),[1]Employee!A:B,2,FALSE),"Not Specified")</f>
        <v>Ms. Maria Cameron</v>
      </c>
      <c r="I1617" t="str">
        <f>IFERROR(VLOOKUP(VLOOKUP(A1617,'[1]Sales Order'!A:C,3,FALSE),[1]Employee!A:J,10,FALSE),"Not Specified")</f>
        <v>WA</v>
      </c>
      <c r="J1617" t="str">
        <f>VLOOKUP(B1617,[1]Product!A:B,2,FALSE)</f>
        <v>Product QSRXF</v>
      </c>
      <c r="K1617" t="str">
        <f>VLOOKUP(VLOOKUP(B1617,[1]Product!A:D,4,FALSE),[1]Category!A:B,2,FALSE)</f>
        <v>Grains/Cereals</v>
      </c>
      <c r="L1617" s="10">
        <f>IFERROR(VLOOKUP(A1617,'[1]Sales Order'!A:D,4,FALSE),"")</f>
        <v>39477</v>
      </c>
      <c r="M1617" s="10">
        <f>IFERROR(VLOOKUP(A1617,'[1]Sales Order'!A:F,6,FALSE),"")</f>
        <v>39480</v>
      </c>
      <c r="N1617" t="str">
        <f>IFERROR(VLOOKUP(VLOOKUP(A1617,'[1]Sales Order'!A:G,7,FALSE),[1]Shipper!A:B,2,FALSE),"Not Specified")</f>
        <v>Shipper ETYNR</v>
      </c>
      <c r="O1617" t="str">
        <f>IFERROR(VLOOKUP(A1617,'[1]Sales Order'!A:I,9,FALSE),"Not Specified")</f>
        <v>Ship to 44-C</v>
      </c>
      <c r="P1617" t="str">
        <f>IFERROR(VLOOKUP(A1617,'[1]Sales Order'!A:N,14,FALSE),"Not Specified")</f>
        <v>Germany</v>
      </c>
      <c r="Q1617" t="str">
        <f>VLOOKUP(VLOOKUP(B1617,[1]Product!A:C,3,FALSE),[1]Supplier!A:B,2,FALSE)</f>
        <v>Supplier JNNES</v>
      </c>
      <c r="R1617" t="str">
        <f>VLOOKUP(VLOOKUP(B1617,[1]Product!A:C,3,FALSE),[1]Supplier!A:I,9,FALSE)</f>
        <v>Australia</v>
      </c>
      <c r="S1617" t="str">
        <f>IFERROR(IF(VLOOKUP(A1617,'[1]Sales Order'!A:H,8,FALSE)&gt;100,"High Freight","Low Freight"),"Not Specified")</f>
        <v>Low Freight</v>
      </c>
      <c r="T1617">
        <f t="shared" si="51"/>
        <v>56</v>
      </c>
    </row>
    <row r="1618" spans="1:20">
      <c r="A1618" s="1">
        <v>10863</v>
      </c>
      <c r="B1618" s="2">
        <v>1</v>
      </c>
      <c r="C1618" s="2">
        <v>18</v>
      </c>
      <c r="D1618" s="2">
        <v>20</v>
      </c>
      <c r="E1618" s="3">
        <v>0.15</v>
      </c>
      <c r="F1618" s="2" t="str">
        <f>IFERROR(VLOOKUP(VLOOKUP(A1618,'[1]Sales Order'!A:B,2,FALSE),[1]Customer!A:C,3,FALSE),"Not Specified")</f>
        <v>Langohr, Kris</v>
      </c>
      <c r="G1618" s="2" t="str">
        <f t="shared" si="50"/>
        <v>Langohr Kris</v>
      </c>
      <c r="H1618" s="8" t="str">
        <f>IFERROR(VLOOKUP(VLOOKUP(A1618,'[1]Sales Order'!A:C,3,FALSE),[1]Employee!A:E,5,FALSE)&amp;" "&amp;VLOOKUP(VLOOKUP(A1618,'[1]Sales Order'!A:C,3,FALSE),[1]Employee!A:C,3,FALSE)&amp;" "&amp;VLOOKUP(VLOOKUP(A1618,'[1]Sales Order'!A:C,3,FALSE),[1]Employee!A:B,2,FALSE),"Not Specified")</f>
        <v>Mrs. Yael Peled</v>
      </c>
      <c r="I1618" t="str">
        <f>IFERROR(VLOOKUP(VLOOKUP(A1618,'[1]Sales Order'!A:C,3,FALSE),[1]Employee!A:J,10,FALSE),"Not Specified")</f>
        <v>WA</v>
      </c>
      <c r="J1618" t="str">
        <f>VLOOKUP(B1618,[1]Product!A:B,2,FALSE)</f>
        <v>Product HHYDP</v>
      </c>
      <c r="K1618" t="str">
        <f>VLOOKUP(VLOOKUP(B1618,[1]Product!A:D,4,FALSE),[1]Category!A:B,2,FALSE)</f>
        <v>Beverages</v>
      </c>
      <c r="L1618" s="10">
        <f>IFERROR(VLOOKUP(A1618,'[1]Sales Order'!A:D,4,FALSE),"")</f>
        <v>39480</v>
      </c>
      <c r="M1618" s="10">
        <f>IFERROR(VLOOKUP(A1618,'[1]Sales Order'!A:F,6,FALSE),"")</f>
        <v>39495</v>
      </c>
      <c r="N1618" t="str">
        <f>IFERROR(VLOOKUP(VLOOKUP(A1618,'[1]Sales Order'!A:G,7,FALSE),[1]Shipper!A:B,2,FALSE),"Not Specified")</f>
        <v>Shipper ETYNR</v>
      </c>
      <c r="O1618" t="str">
        <f>IFERROR(VLOOKUP(A1618,'[1]Sales Order'!A:I,9,FALSE),"Not Specified")</f>
        <v>Destination UOUWK</v>
      </c>
      <c r="P1618" t="str">
        <f>IFERROR(VLOOKUP(A1618,'[1]Sales Order'!A:N,14,FALSE),"Not Specified")</f>
        <v>Venezuela</v>
      </c>
      <c r="Q1618" t="str">
        <f>VLOOKUP(VLOOKUP(B1618,[1]Product!A:C,3,FALSE),[1]Supplier!A:B,2,FALSE)</f>
        <v>Supplier SWRXU</v>
      </c>
      <c r="R1618" t="str">
        <f>VLOOKUP(VLOOKUP(B1618,[1]Product!A:C,3,FALSE),[1]Supplier!A:I,9,FALSE)</f>
        <v>UK</v>
      </c>
      <c r="S1618" t="str">
        <f>IFERROR(IF(VLOOKUP(A1618,'[1]Sales Order'!A:H,8,FALSE)&gt;100,"High Freight","Low Freight"),"Not Specified")</f>
        <v>Low Freight</v>
      </c>
      <c r="T1618">
        <f t="shared" si="51"/>
        <v>306</v>
      </c>
    </row>
    <row r="1619" spans="1:20">
      <c r="A1619" s="1">
        <v>10863</v>
      </c>
      <c r="B1619" s="2">
        <v>58</v>
      </c>
      <c r="C1619" s="2">
        <v>13.25</v>
      </c>
      <c r="D1619" s="2">
        <v>12</v>
      </c>
      <c r="E1619" s="3">
        <v>0.15</v>
      </c>
      <c r="F1619" s="2" t="str">
        <f>IFERROR(VLOOKUP(VLOOKUP(A1619,'[1]Sales Order'!A:B,2,FALSE),[1]Customer!A:C,3,FALSE),"Not Specified")</f>
        <v>Langohr, Kris</v>
      </c>
      <c r="G1619" s="2" t="str">
        <f t="shared" si="50"/>
        <v>Langohr Kris</v>
      </c>
      <c r="H1619" s="8" t="str">
        <f>IFERROR(VLOOKUP(VLOOKUP(A1619,'[1]Sales Order'!A:C,3,FALSE),[1]Employee!A:E,5,FALSE)&amp;" "&amp;VLOOKUP(VLOOKUP(A1619,'[1]Sales Order'!A:C,3,FALSE),[1]Employee!A:C,3,FALSE)&amp;" "&amp;VLOOKUP(VLOOKUP(A1619,'[1]Sales Order'!A:C,3,FALSE),[1]Employee!A:B,2,FALSE),"Not Specified")</f>
        <v>Mrs. Yael Peled</v>
      </c>
      <c r="I1619" t="str">
        <f>IFERROR(VLOOKUP(VLOOKUP(A1619,'[1]Sales Order'!A:C,3,FALSE),[1]Employee!A:J,10,FALSE),"Not Specified")</f>
        <v>WA</v>
      </c>
      <c r="J1619" t="str">
        <f>VLOOKUP(B1619,[1]Product!A:B,2,FALSE)</f>
        <v>Product ACRVI</v>
      </c>
      <c r="K1619" t="str">
        <f>VLOOKUP(VLOOKUP(B1619,[1]Product!A:D,4,FALSE),[1]Category!A:B,2,FALSE)</f>
        <v>Seafood</v>
      </c>
      <c r="L1619" s="10">
        <f>IFERROR(VLOOKUP(A1619,'[1]Sales Order'!A:D,4,FALSE),"")</f>
        <v>39480</v>
      </c>
      <c r="M1619" s="10">
        <f>IFERROR(VLOOKUP(A1619,'[1]Sales Order'!A:F,6,FALSE),"")</f>
        <v>39495</v>
      </c>
      <c r="N1619" t="str">
        <f>IFERROR(VLOOKUP(VLOOKUP(A1619,'[1]Sales Order'!A:G,7,FALSE),[1]Shipper!A:B,2,FALSE),"Not Specified")</f>
        <v>Shipper ETYNR</v>
      </c>
      <c r="O1619" t="str">
        <f>IFERROR(VLOOKUP(A1619,'[1]Sales Order'!A:I,9,FALSE),"Not Specified")</f>
        <v>Destination UOUWK</v>
      </c>
      <c r="P1619" t="str">
        <f>IFERROR(VLOOKUP(A1619,'[1]Sales Order'!A:N,14,FALSE),"Not Specified")</f>
        <v>Venezuela</v>
      </c>
      <c r="Q1619" t="str">
        <f>VLOOKUP(VLOOKUP(B1619,[1]Product!A:C,3,FALSE),[1]Supplier!A:B,2,FALSE)</f>
        <v>Supplier ZRYDZ</v>
      </c>
      <c r="R1619" t="str">
        <f>VLOOKUP(VLOOKUP(B1619,[1]Product!A:C,3,FALSE),[1]Supplier!A:I,9,FALSE)</f>
        <v>France</v>
      </c>
      <c r="S1619" t="str">
        <f>IFERROR(IF(VLOOKUP(A1619,'[1]Sales Order'!A:H,8,FALSE)&gt;100,"High Freight","Low Freight"),"Not Specified")</f>
        <v>Low Freight</v>
      </c>
      <c r="T1619">
        <f t="shared" si="51"/>
        <v>135.15</v>
      </c>
    </row>
    <row r="1620" spans="1:20">
      <c r="A1620" s="1">
        <v>10864</v>
      </c>
      <c r="B1620" s="2">
        <v>35</v>
      </c>
      <c r="C1620" s="2">
        <v>18</v>
      </c>
      <c r="D1620" s="2">
        <v>4</v>
      </c>
      <c r="E1620" s="3">
        <v>0</v>
      </c>
      <c r="F1620" s="2" t="str">
        <f>IFERROR(VLOOKUP(VLOOKUP(A1620,'[1]Sales Order'!A:B,2,FALSE),[1]Customer!A:C,3,FALSE),"Not Specified")</f>
        <v>Arndt, Torsten</v>
      </c>
      <c r="G1620" s="2" t="str">
        <f t="shared" si="50"/>
        <v>Arndt Torsten</v>
      </c>
      <c r="H1620" s="8" t="str">
        <f>IFERROR(VLOOKUP(VLOOKUP(A1620,'[1]Sales Order'!A:C,3,FALSE),[1]Employee!A:E,5,FALSE)&amp;" "&amp;VLOOKUP(VLOOKUP(A1620,'[1]Sales Order'!A:C,3,FALSE),[1]Employee!A:C,3,FALSE)&amp;" "&amp;VLOOKUP(VLOOKUP(A1620,'[1]Sales Order'!A:C,3,FALSE),[1]Employee!A:B,2,FALSE),"Not Specified")</f>
        <v>Mrs. Yael Peled</v>
      </c>
      <c r="I1620" t="str">
        <f>IFERROR(VLOOKUP(VLOOKUP(A1620,'[1]Sales Order'!A:C,3,FALSE),[1]Employee!A:J,10,FALSE),"Not Specified")</f>
        <v>WA</v>
      </c>
      <c r="J1620" t="str">
        <f>VLOOKUP(B1620,[1]Product!A:B,2,FALSE)</f>
        <v>Product NEVTJ</v>
      </c>
      <c r="K1620" t="str">
        <f>VLOOKUP(VLOOKUP(B1620,[1]Product!A:D,4,FALSE),[1]Category!A:B,2,FALSE)</f>
        <v>Beverages</v>
      </c>
      <c r="L1620" s="10">
        <f>IFERROR(VLOOKUP(A1620,'[1]Sales Order'!A:D,4,FALSE),"")</f>
        <v>39480</v>
      </c>
      <c r="M1620" s="10">
        <f>IFERROR(VLOOKUP(A1620,'[1]Sales Order'!A:F,6,FALSE),"")</f>
        <v>39487</v>
      </c>
      <c r="N1620" t="str">
        <f>IFERROR(VLOOKUP(VLOOKUP(A1620,'[1]Sales Order'!A:G,7,FALSE),[1]Shipper!A:B,2,FALSE),"Not Specified")</f>
        <v>Shipper ETYNR</v>
      </c>
      <c r="O1620" t="str">
        <f>IFERROR(VLOOKUP(A1620,'[1]Sales Order'!A:I,9,FALSE),"Not Specified")</f>
        <v>Ship to 4-C</v>
      </c>
      <c r="P1620" t="str">
        <f>IFERROR(VLOOKUP(A1620,'[1]Sales Order'!A:N,14,FALSE),"Not Specified")</f>
        <v>UK</v>
      </c>
      <c r="Q1620" t="str">
        <f>VLOOKUP(VLOOKUP(B1620,[1]Product!A:C,3,FALSE),[1]Supplier!A:B,2,FALSE)</f>
        <v>Supplier UHZRG</v>
      </c>
      <c r="R1620" t="str">
        <f>VLOOKUP(VLOOKUP(B1620,[1]Product!A:C,3,FALSE),[1]Supplier!A:I,9,FALSE)</f>
        <v>USA</v>
      </c>
      <c r="S1620" t="str">
        <f>IFERROR(IF(VLOOKUP(A1620,'[1]Sales Order'!A:H,8,FALSE)&gt;100,"High Freight","Low Freight"),"Not Specified")</f>
        <v>Low Freight</v>
      </c>
      <c r="T1620">
        <f t="shared" si="51"/>
        <v>72</v>
      </c>
    </row>
    <row r="1621" spans="1:20">
      <c r="A1621" s="1">
        <v>10864</v>
      </c>
      <c r="B1621" s="2">
        <v>67</v>
      </c>
      <c r="C1621" s="2">
        <v>14</v>
      </c>
      <c r="D1621" s="2">
        <v>15</v>
      </c>
      <c r="E1621" s="3">
        <v>0</v>
      </c>
      <c r="F1621" s="2" t="str">
        <f>IFERROR(VLOOKUP(VLOOKUP(A1621,'[1]Sales Order'!A:B,2,FALSE),[1]Customer!A:C,3,FALSE),"Not Specified")</f>
        <v>Arndt, Torsten</v>
      </c>
      <c r="G1621" s="2" t="str">
        <f t="shared" si="50"/>
        <v>Arndt Torsten</v>
      </c>
      <c r="H1621" s="8" t="str">
        <f>IFERROR(VLOOKUP(VLOOKUP(A1621,'[1]Sales Order'!A:C,3,FALSE),[1]Employee!A:E,5,FALSE)&amp;" "&amp;VLOOKUP(VLOOKUP(A1621,'[1]Sales Order'!A:C,3,FALSE),[1]Employee!A:C,3,FALSE)&amp;" "&amp;VLOOKUP(VLOOKUP(A1621,'[1]Sales Order'!A:C,3,FALSE),[1]Employee!A:B,2,FALSE),"Not Specified")</f>
        <v>Mrs. Yael Peled</v>
      </c>
      <c r="I1621" t="str">
        <f>IFERROR(VLOOKUP(VLOOKUP(A1621,'[1]Sales Order'!A:C,3,FALSE),[1]Employee!A:J,10,FALSE),"Not Specified")</f>
        <v>WA</v>
      </c>
      <c r="J1621" t="str">
        <f>VLOOKUP(B1621,[1]Product!A:B,2,FALSE)</f>
        <v>Product XLXQF</v>
      </c>
      <c r="K1621" t="str">
        <f>VLOOKUP(VLOOKUP(B1621,[1]Product!A:D,4,FALSE),[1]Category!A:B,2,FALSE)</f>
        <v>Beverages</v>
      </c>
      <c r="L1621" s="10">
        <f>IFERROR(VLOOKUP(A1621,'[1]Sales Order'!A:D,4,FALSE),"")</f>
        <v>39480</v>
      </c>
      <c r="M1621" s="10">
        <f>IFERROR(VLOOKUP(A1621,'[1]Sales Order'!A:F,6,FALSE),"")</f>
        <v>39487</v>
      </c>
      <c r="N1621" t="str">
        <f>IFERROR(VLOOKUP(VLOOKUP(A1621,'[1]Sales Order'!A:G,7,FALSE),[1]Shipper!A:B,2,FALSE),"Not Specified")</f>
        <v>Shipper ETYNR</v>
      </c>
      <c r="O1621" t="str">
        <f>IFERROR(VLOOKUP(A1621,'[1]Sales Order'!A:I,9,FALSE),"Not Specified")</f>
        <v>Ship to 4-C</v>
      </c>
      <c r="P1621" t="str">
        <f>IFERROR(VLOOKUP(A1621,'[1]Sales Order'!A:N,14,FALSE),"Not Specified")</f>
        <v>UK</v>
      </c>
      <c r="Q1621" t="str">
        <f>VLOOKUP(VLOOKUP(B1621,[1]Product!A:C,3,FALSE),[1]Supplier!A:B,2,FALSE)</f>
        <v>Supplier UHZRG</v>
      </c>
      <c r="R1621" t="str">
        <f>VLOOKUP(VLOOKUP(B1621,[1]Product!A:C,3,FALSE),[1]Supplier!A:I,9,FALSE)</f>
        <v>USA</v>
      </c>
      <c r="S1621" t="str">
        <f>IFERROR(IF(VLOOKUP(A1621,'[1]Sales Order'!A:H,8,FALSE)&gt;100,"High Freight","Low Freight"),"Not Specified")</f>
        <v>Low Freight</v>
      </c>
      <c r="T1621">
        <f t="shared" si="51"/>
        <v>210</v>
      </c>
    </row>
    <row r="1622" spans="1:20">
      <c r="A1622" s="1">
        <v>10865</v>
      </c>
      <c r="B1622" s="2">
        <v>38</v>
      </c>
      <c r="C1622" s="2">
        <v>263.5</v>
      </c>
      <c r="D1622" s="2">
        <v>60</v>
      </c>
      <c r="E1622" s="3">
        <v>0.05</v>
      </c>
      <c r="F1622" s="2" t="str">
        <f>IFERROR(VLOOKUP(VLOOKUP(A1622,'[1]Sales Order'!A:B,2,FALSE),[1]Customer!A:C,3,FALSE),"Not Specified")</f>
        <v>Veronesi, Giorgio</v>
      </c>
      <c r="G1622" s="2" t="str">
        <f t="shared" si="50"/>
        <v>Veronesi Giorgio</v>
      </c>
      <c r="H1622" s="8" t="str">
        <f>IFERROR(VLOOKUP(VLOOKUP(A1622,'[1]Sales Order'!A:C,3,FALSE),[1]Employee!A:E,5,FALSE)&amp;" "&amp;VLOOKUP(VLOOKUP(A1622,'[1]Sales Order'!A:C,3,FALSE),[1]Employee!A:C,3,FALSE)&amp;" "&amp;VLOOKUP(VLOOKUP(A1622,'[1]Sales Order'!A:C,3,FALSE),[1]Employee!A:B,2,FALSE),"Not Specified")</f>
        <v>Dr. Don Funk</v>
      </c>
      <c r="I1622" t="str">
        <f>IFERROR(VLOOKUP(VLOOKUP(A1622,'[1]Sales Order'!A:C,3,FALSE),[1]Employee!A:J,10,FALSE),"Not Specified")</f>
        <v>WA</v>
      </c>
      <c r="J1622" t="str">
        <f>VLOOKUP(B1622,[1]Product!A:B,2,FALSE)</f>
        <v>Product QDOMO</v>
      </c>
      <c r="K1622" t="str">
        <f>VLOOKUP(VLOOKUP(B1622,[1]Product!A:D,4,FALSE),[1]Category!A:B,2,FALSE)</f>
        <v>Beverages</v>
      </c>
      <c r="L1622" s="10">
        <f>IFERROR(VLOOKUP(A1622,'[1]Sales Order'!A:D,4,FALSE),"")</f>
        <v>39480</v>
      </c>
      <c r="M1622" s="10">
        <f>IFERROR(VLOOKUP(A1622,'[1]Sales Order'!A:F,6,FALSE),"")</f>
        <v>39490</v>
      </c>
      <c r="N1622" t="str">
        <f>IFERROR(VLOOKUP(VLOOKUP(A1622,'[1]Sales Order'!A:G,7,FALSE),[1]Shipper!A:B,2,FALSE),"Not Specified")</f>
        <v>Shipper GVSUA</v>
      </c>
      <c r="O1622" t="str">
        <f>IFERROR(VLOOKUP(A1622,'[1]Sales Order'!A:I,9,FALSE),"Not Specified")</f>
        <v>Ship to 63-A</v>
      </c>
      <c r="P1622" t="str">
        <f>IFERROR(VLOOKUP(A1622,'[1]Sales Order'!A:N,14,FALSE),"Not Specified")</f>
        <v>Germany</v>
      </c>
      <c r="Q1622" t="str">
        <f>VLOOKUP(VLOOKUP(B1622,[1]Product!A:C,3,FALSE),[1]Supplier!A:B,2,FALSE)</f>
        <v>Supplier LVJUA</v>
      </c>
      <c r="R1622" t="str">
        <f>VLOOKUP(VLOOKUP(B1622,[1]Product!A:C,3,FALSE),[1]Supplier!A:I,9,FALSE)</f>
        <v>France</v>
      </c>
      <c r="S1622" t="str">
        <f>IFERROR(IF(VLOOKUP(A1622,'[1]Sales Order'!A:H,8,FALSE)&gt;100,"High Freight","Low Freight"),"Not Specified")</f>
        <v>High Freight</v>
      </c>
      <c r="T1622">
        <f t="shared" si="51"/>
        <v>15019.5</v>
      </c>
    </row>
    <row r="1623" spans="1:20">
      <c r="A1623" s="1">
        <v>10865</v>
      </c>
      <c r="B1623" s="2">
        <v>39</v>
      </c>
      <c r="C1623" s="2">
        <v>18</v>
      </c>
      <c r="D1623" s="2">
        <v>80</v>
      </c>
      <c r="E1623" s="3">
        <v>0.05</v>
      </c>
      <c r="F1623" s="2" t="str">
        <f>IFERROR(VLOOKUP(VLOOKUP(A1623,'[1]Sales Order'!A:B,2,FALSE),[1]Customer!A:C,3,FALSE),"Not Specified")</f>
        <v>Veronesi, Giorgio</v>
      </c>
      <c r="G1623" s="2" t="str">
        <f t="shared" si="50"/>
        <v>Veronesi Giorgio</v>
      </c>
      <c r="H1623" s="8" t="str">
        <f>IFERROR(VLOOKUP(VLOOKUP(A1623,'[1]Sales Order'!A:C,3,FALSE),[1]Employee!A:E,5,FALSE)&amp;" "&amp;VLOOKUP(VLOOKUP(A1623,'[1]Sales Order'!A:C,3,FALSE),[1]Employee!A:C,3,FALSE)&amp;" "&amp;VLOOKUP(VLOOKUP(A1623,'[1]Sales Order'!A:C,3,FALSE),[1]Employee!A:B,2,FALSE),"Not Specified")</f>
        <v>Dr. Don Funk</v>
      </c>
      <c r="I1623" t="str">
        <f>IFERROR(VLOOKUP(VLOOKUP(A1623,'[1]Sales Order'!A:C,3,FALSE),[1]Employee!A:J,10,FALSE),"Not Specified")</f>
        <v>WA</v>
      </c>
      <c r="J1623" t="str">
        <f>VLOOKUP(B1623,[1]Product!A:B,2,FALSE)</f>
        <v>Product LSOFL</v>
      </c>
      <c r="K1623" t="str">
        <f>VLOOKUP(VLOOKUP(B1623,[1]Product!A:D,4,FALSE),[1]Category!A:B,2,FALSE)</f>
        <v>Beverages</v>
      </c>
      <c r="L1623" s="10">
        <f>IFERROR(VLOOKUP(A1623,'[1]Sales Order'!A:D,4,FALSE),"")</f>
        <v>39480</v>
      </c>
      <c r="M1623" s="10">
        <f>IFERROR(VLOOKUP(A1623,'[1]Sales Order'!A:F,6,FALSE),"")</f>
        <v>39490</v>
      </c>
      <c r="N1623" t="str">
        <f>IFERROR(VLOOKUP(VLOOKUP(A1623,'[1]Sales Order'!A:G,7,FALSE),[1]Shipper!A:B,2,FALSE),"Not Specified")</f>
        <v>Shipper GVSUA</v>
      </c>
      <c r="O1623" t="str">
        <f>IFERROR(VLOOKUP(A1623,'[1]Sales Order'!A:I,9,FALSE),"Not Specified")</f>
        <v>Ship to 63-A</v>
      </c>
      <c r="P1623" t="str">
        <f>IFERROR(VLOOKUP(A1623,'[1]Sales Order'!A:N,14,FALSE),"Not Specified")</f>
        <v>Germany</v>
      </c>
      <c r="Q1623" t="str">
        <f>VLOOKUP(VLOOKUP(B1623,[1]Product!A:C,3,FALSE),[1]Supplier!A:B,2,FALSE)</f>
        <v>Supplier LVJUA</v>
      </c>
      <c r="R1623" t="str">
        <f>VLOOKUP(VLOOKUP(B1623,[1]Product!A:C,3,FALSE),[1]Supplier!A:I,9,FALSE)</f>
        <v>France</v>
      </c>
      <c r="S1623" t="str">
        <f>IFERROR(IF(VLOOKUP(A1623,'[1]Sales Order'!A:H,8,FALSE)&gt;100,"High Freight","Low Freight"),"Not Specified")</f>
        <v>High Freight</v>
      </c>
      <c r="T1623">
        <f t="shared" si="51"/>
        <v>1368</v>
      </c>
    </row>
    <row r="1624" spans="1:20">
      <c r="A1624" s="1">
        <v>10866</v>
      </c>
      <c r="B1624" s="2">
        <v>2</v>
      </c>
      <c r="C1624" s="2">
        <v>19</v>
      </c>
      <c r="D1624" s="2">
        <v>21</v>
      </c>
      <c r="E1624" s="3">
        <v>0.25</v>
      </c>
      <c r="F1624" s="2" t="str">
        <f>IFERROR(VLOOKUP(VLOOKUP(A1624,'[1]Sales Order'!A:B,2,FALSE),[1]Customer!A:C,3,FALSE),"Not Specified")</f>
        <v>Higginbotham, Tom</v>
      </c>
      <c r="G1624" s="2" t="str">
        <f t="shared" si="50"/>
        <v>Higginbotham Tom</v>
      </c>
      <c r="H1624" s="8" t="str">
        <f>IFERROR(VLOOKUP(VLOOKUP(A1624,'[1]Sales Order'!A:C,3,FALSE),[1]Employee!A:E,5,FALSE)&amp;" "&amp;VLOOKUP(VLOOKUP(A1624,'[1]Sales Order'!A:C,3,FALSE),[1]Employee!A:C,3,FALSE)&amp;" "&amp;VLOOKUP(VLOOKUP(A1624,'[1]Sales Order'!A:C,3,FALSE),[1]Employee!A:B,2,FALSE),"Not Specified")</f>
        <v>Mr. Sven Buck</v>
      </c>
      <c r="I1624">
        <f>IFERROR(VLOOKUP(VLOOKUP(A1624,'[1]Sales Order'!A:C,3,FALSE),[1]Employee!A:J,10,FALSE),"Not Specified")</f>
        <v>0</v>
      </c>
      <c r="J1624" t="str">
        <f>VLOOKUP(B1624,[1]Product!A:B,2,FALSE)</f>
        <v>Product RECZE</v>
      </c>
      <c r="K1624" t="str">
        <f>VLOOKUP(VLOOKUP(B1624,[1]Product!A:D,4,FALSE),[1]Category!A:B,2,FALSE)</f>
        <v>Beverages</v>
      </c>
      <c r="L1624" s="10">
        <f>IFERROR(VLOOKUP(A1624,'[1]Sales Order'!A:D,4,FALSE),"")</f>
        <v>39481</v>
      </c>
      <c r="M1624" s="10">
        <f>IFERROR(VLOOKUP(A1624,'[1]Sales Order'!A:F,6,FALSE),"")</f>
        <v>39490</v>
      </c>
      <c r="N1624" t="str">
        <f>IFERROR(VLOOKUP(VLOOKUP(A1624,'[1]Sales Order'!A:G,7,FALSE),[1]Shipper!A:B,2,FALSE),"Not Specified")</f>
        <v>Shipper GVSUA</v>
      </c>
      <c r="O1624" t="str">
        <f>IFERROR(VLOOKUP(A1624,'[1]Sales Order'!A:I,9,FALSE),"Not Specified")</f>
        <v>Ship to 5-B</v>
      </c>
      <c r="P1624" t="str">
        <f>IFERROR(VLOOKUP(A1624,'[1]Sales Order'!A:N,14,FALSE),"Not Specified")</f>
        <v>Sweden</v>
      </c>
      <c r="Q1624" t="str">
        <f>VLOOKUP(VLOOKUP(B1624,[1]Product!A:C,3,FALSE),[1]Supplier!A:B,2,FALSE)</f>
        <v>Supplier SWRXU</v>
      </c>
      <c r="R1624" t="str">
        <f>VLOOKUP(VLOOKUP(B1624,[1]Product!A:C,3,FALSE),[1]Supplier!A:I,9,FALSE)</f>
        <v>UK</v>
      </c>
      <c r="S1624" t="str">
        <f>IFERROR(IF(VLOOKUP(A1624,'[1]Sales Order'!A:H,8,FALSE)&gt;100,"High Freight","Low Freight"),"Not Specified")</f>
        <v>High Freight</v>
      </c>
      <c r="T1624">
        <f t="shared" si="51"/>
        <v>299.25</v>
      </c>
    </row>
    <row r="1625" spans="1:20">
      <c r="A1625" s="1">
        <v>10866</v>
      </c>
      <c r="B1625" s="2">
        <v>24</v>
      </c>
      <c r="C1625" s="2">
        <v>4.5</v>
      </c>
      <c r="D1625" s="2">
        <v>6</v>
      </c>
      <c r="E1625" s="3">
        <v>0.25</v>
      </c>
      <c r="F1625" s="2" t="str">
        <f>IFERROR(VLOOKUP(VLOOKUP(A1625,'[1]Sales Order'!A:B,2,FALSE),[1]Customer!A:C,3,FALSE),"Not Specified")</f>
        <v>Higginbotham, Tom</v>
      </c>
      <c r="G1625" s="2" t="str">
        <f t="shared" si="50"/>
        <v>Higginbotham Tom</v>
      </c>
      <c r="H1625" s="8" t="str">
        <f>IFERROR(VLOOKUP(VLOOKUP(A1625,'[1]Sales Order'!A:C,3,FALSE),[1]Employee!A:E,5,FALSE)&amp;" "&amp;VLOOKUP(VLOOKUP(A1625,'[1]Sales Order'!A:C,3,FALSE),[1]Employee!A:C,3,FALSE)&amp;" "&amp;VLOOKUP(VLOOKUP(A1625,'[1]Sales Order'!A:C,3,FALSE),[1]Employee!A:B,2,FALSE),"Not Specified")</f>
        <v>Mr. Sven Buck</v>
      </c>
      <c r="I1625">
        <f>IFERROR(VLOOKUP(VLOOKUP(A1625,'[1]Sales Order'!A:C,3,FALSE),[1]Employee!A:J,10,FALSE),"Not Specified")</f>
        <v>0</v>
      </c>
      <c r="J1625" t="str">
        <f>VLOOKUP(B1625,[1]Product!A:B,2,FALSE)</f>
        <v>Product QOGNU</v>
      </c>
      <c r="K1625" t="str">
        <f>VLOOKUP(VLOOKUP(B1625,[1]Product!A:D,4,FALSE),[1]Category!A:B,2,FALSE)</f>
        <v>Beverages</v>
      </c>
      <c r="L1625" s="10">
        <f>IFERROR(VLOOKUP(A1625,'[1]Sales Order'!A:D,4,FALSE),"")</f>
        <v>39481</v>
      </c>
      <c r="M1625" s="10">
        <f>IFERROR(VLOOKUP(A1625,'[1]Sales Order'!A:F,6,FALSE),"")</f>
        <v>39490</v>
      </c>
      <c r="N1625" t="str">
        <f>IFERROR(VLOOKUP(VLOOKUP(A1625,'[1]Sales Order'!A:G,7,FALSE),[1]Shipper!A:B,2,FALSE),"Not Specified")</f>
        <v>Shipper GVSUA</v>
      </c>
      <c r="O1625" t="str">
        <f>IFERROR(VLOOKUP(A1625,'[1]Sales Order'!A:I,9,FALSE),"Not Specified")</f>
        <v>Ship to 5-B</v>
      </c>
      <c r="P1625" t="str">
        <f>IFERROR(VLOOKUP(A1625,'[1]Sales Order'!A:N,14,FALSE),"Not Specified")</f>
        <v>Sweden</v>
      </c>
      <c r="Q1625" t="str">
        <f>VLOOKUP(VLOOKUP(B1625,[1]Product!A:C,3,FALSE),[1]Supplier!A:B,2,FALSE)</f>
        <v>Supplier UNAHG</v>
      </c>
      <c r="R1625" t="str">
        <f>VLOOKUP(VLOOKUP(B1625,[1]Product!A:C,3,FALSE),[1]Supplier!A:I,9,FALSE)</f>
        <v>Brazil</v>
      </c>
      <c r="S1625" t="str">
        <f>IFERROR(IF(VLOOKUP(A1625,'[1]Sales Order'!A:H,8,FALSE)&gt;100,"High Freight","Low Freight"),"Not Specified")</f>
        <v>High Freight</v>
      </c>
      <c r="T1625">
        <f t="shared" si="51"/>
        <v>20.25</v>
      </c>
    </row>
    <row r="1626" spans="1:20">
      <c r="A1626" s="1">
        <v>10866</v>
      </c>
      <c r="B1626" s="2">
        <v>30</v>
      </c>
      <c r="C1626" s="2">
        <v>25.89</v>
      </c>
      <c r="D1626" s="2">
        <v>40</v>
      </c>
      <c r="E1626" s="3">
        <v>0.25</v>
      </c>
      <c r="F1626" s="2" t="str">
        <f>IFERROR(VLOOKUP(VLOOKUP(A1626,'[1]Sales Order'!A:B,2,FALSE),[1]Customer!A:C,3,FALSE),"Not Specified")</f>
        <v>Higginbotham, Tom</v>
      </c>
      <c r="G1626" s="2" t="str">
        <f t="shared" si="50"/>
        <v>Higginbotham Tom</v>
      </c>
      <c r="H1626" s="8" t="str">
        <f>IFERROR(VLOOKUP(VLOOKUP(A1626,'[1]Sales Order'!A:C,3,FALSE),[1]Employee!A:E,5,FALSE)&amp;" "&amp;VLOOKUP(VLOOKUP(A1626,'[1]Sales Order'!A:C,3,FALSE),[1]Employee!A:C,3,FALSE)&amp;" "&amp;VLOOKUP(VLOOKUP(A1626,'[1]Sales Order'!A:C,3,FALSE),[1]Employee!A:B,2,FALSE),"Not Specified")</f>
        <v>Mr. Sven Buck</v>
      </c>
      <c r="I1626">
        <f>IFERROR(VLOOKUP(VLOOKUP(A1626,'[1]Sales Order'!A:C,3,FALSE),[1]Employee!A:J,10,FALSE),"Not Specified")</f>
        <v>0</v>
      </c>
      <c r="J1626" t="str">
        <f>VLOOKUP(B1626,[1]Product!A:B,2,FALSE)</f>
        <v>Product LYERX</v>
      </c>
      <c r="K1626" t="str">
        <f>VLOOKUP(VLOOKUP(B1626,[1]Product!A:D,4,FALSE),[1]Category!A:B,2,FALSE)</f>
        <v>Seafood</v>
      </c>
      <c r="L1626" s="10">
        <f>IFERROR(VLOOKUP(A1626,'[1]Sales Order'!A:D,4,FALSE),"")</f>
        <v>39481</v>
      </c>
      <c r="M1626" s="10">
        <f>IFERROR(VLOOKUP(A1626,'[1]Sales Order'!A:F,6,FALSE),"")</f>
        <v>39490</v>
      </c>
      <c r="N1626" t="str">
        <f>IFERROR(VLOOKUP(VLOOKUP(A1626,'[1]Sales Order'!A:G,7,FALSE),[1]Shipper!A:B,2,FALSE),"Not Specified")</f>
        <v>Shipper GVSUA</v>
      </c>
      <c r="O1626" t="str">
        <f>IFERROR(VLOOKUP(A1626,'[1]Sales Order'!A:I,9,FALSE),"Not Specified")</f>
        <v>Ship to 5-B</v>
      </c>
      <c r="P1626" t="str">
        <f>IFERROR(VLOOKUP(A1626,'[1]Sales Order'!A:N,14,FALSE),"Not Specified")</f>
        <v>Sweden</v>
      </c>
      <c r="Q1626" t="str">
        <f>VLOOKUP(VLOOKUP(B1626,[1]Product!A:C,3,FALSE),[1]Supplier!A:B,2,FALSE)</f>
        <v>Supplier TEGSC</v>
      </c>
      <c r="R1626" t="str">
        <f>VLOOKUP(VLOOKUP(B1626,[1]Product!A:C,3,FALSE),[1]Supplier!A:I,9,FALSE)</f>
        <v>Germany</v>
      </c>
      <c r="S1626" t="str">
        <f>IFERROR(IF(VLOOKUP(A1626,'[1]Sales Order'!A:H,8,FALSE)&gt;100,"High Freight","Low Freight"),"Not Specified")</f>
        <v>High Freight</v>
      </c>
      <c r="T1626">
        <f t="shared" si="51"/>
        <v>776.69999999999993</v>
      </c>
    </row>
    <row r="1627" spans="1:20">
      <c r="A1627" s="1">
        <v>10867</v>
      </c>
      <c r="B1627" s="2">
        <v>53</v>
      </c>
      <c r="C1627" s="2">
        <v>32.799999999999997</v>
      </c>
      <c r="D1627" s="2">
        <v>3</v>
      </c>
      <c r="E1627" s="3">
        <v>0</v>
      </c>
      <c r="F1627" s="2" t="str">
        <f>IFERROR(VLOOKUP(VLOOKUP(A1627,'[1]Sales Order'!A:B,2,FALSE),[1]Customer!A:C,3,FALSE),"Not Specified")</f>
        <v>Szymczak, Radosław</v>
      </c>
      <c r="G1627" s="2" t="str">
        <f t="shared" si="50"/>
        <v>Szymczak Radosław</v>
      </c>
      <c r="H1627" s="8" t="str">
        <f>IFERROR(VLOOKUP(VLOOKUP(A1627,'[1]Sales Order'!A:C,3,FALSE),[1]Employee!A:E,5,FALSE)&amp;" "&amp;VLOOKUP(VLOOKUP(A1627,'[1]Sales Order'!A:C,3,FALSE),[1]Employee!A:C,3,FALSE)&amp;" "&amp;VLOOKUP(VLOOKUP(A1627,'[1]Sales Order'!A:C,3,FALSE),[1]Employee!A:B,2,FALSE),"Not Specified")</f>
        <v>Mr. Paul Suurs</v>
      </c>
      <c r="I1627">
        <f>IFERROR(VLOOKUP(VLOOKUP(A1627,'[1]Sales Order'!A:C,3,FALSE),[1]Employee!A:J,10,FALSE),"Not Specified")</f>
        <v>0</v>
      </c>
      <c r="J1627" t="str">
        <f>VLOOKUP(B1627,[1]Product!A:B,2,FALSE)</f>
        <v>Product BKGEA</v>
      </c>
      <c r="K1627" t="str">
        <f>VLOOKUP(VLOOKUP(B1627,[1]Product!A:D,4,FALSE),[1]Category!A:B,2,FALSE)</f>
        <v>Meat/Poultry</v>
      </c>
      <c r="L1627" s="10">
        <f>IFERROR(VLOOKUP(A1627,'[1]Sales Order'!A:D,4,FALSE),"")</f>
        <v>39481</v>
      </c>
      <c r="M1627" s="10">
        <f>IFERROR(VLOOKUP(A1627,'[1]Sales Order'!A:F,6,FALSE),"")</f>
        <v>39489</v>
      </c>
      <c r="N1627" t="str">
        <f>IFERROR(VLOOKUP(VLOOKUP(A1627,'[1]Sales Order'!A:G,7,FALSE),[1]Shipper!A:B,2,FALSE),"Not Specified")</f>
        <v>Shipper GVSUA</v>
      </c>
      <c r="O1627" t="str">
        <f>IFERROR(VLOOKUP(A1627,'[1]Sales Order'!A:I,9,FALSE),"Not Specified")</f>
        <v>Ship to 48-B</v>
      </c>
      <c r="P1627" t="str">
        <f>IFERROR(VLOOKUP(A1627,'[1]Sales Order'!A:N,14,FALSE),"Not Specified")</f>
        <v>USA</v>
      </c>
      <c r="Q1627" t="str">
        <f>VLOOKUP(VLOOKUP(B1627,[1]Product!A:C,3,FALSE),[1]Supplier!A:B,2,FALSE)</f>
        <v>Supplier JNNES</v>
      </c>
      <c r="R1627" t="str">
        <f>VLOOKUP(VLOOKUP(B1627,[1]Product!A:C,3,FALSE),[1]Supplier!A:I,9,FALSE)</f>
        <v>Australia</v>
      </c>
      <c r="S1627" t="str">
        <f>IFERROR(IF(VLOOKUP(A1627,'[1]Sales Order'!A:H,8,FALSE)&gt;100,"High Freight","Low Freight"),"Not Specified")</f>
        <v>Low Freight</v>
      </c>
      <c r="T1627">
        <f t="shared" si="51"/>
        <v>98.399999999999991</v>
      </c>
    </row>
    <row r="1628" spans="1:20">
      <c r="A1628" s="1">
        <v>10868</v>
      </c>
      <c r="B1628" s="2">
        <v>26</v>
      </c>
      <c r="C1628" s="2">
        <v>31.23</v>
      </c>
      <c r="D1628" s="2">
        <v>20</v>
      </c>
      <c r="E1628" s="3">
        <v>0</v>
      </c>
      <c r="F1628" s="2" t="str">
        <f>IFERROR(VLOOKUP(VLOOKUP(A1628,'[1]Sales Order'!A:B,2,FALSE),[1]Customer!A:C,3,FALSE),"Not Specified")</f>
        <v>Misiec, Anna</v>
      </c>
      <c r="G1628" s="2" t="str">
        <f t="shared" si="50"/>
        <v>Misiec Anna</v>
      </c>
      <c r="H1628" s="8" t="str">
        <f>IFERROR(VLOOKUP(VLOOKUP(A1628,'[1]Sales Order'!A:C,3,FALSE),[1]Employee!A:E,5,FALSE)&amp;" "&amp;VLOOKUP(VLOOKUP(A1628,'[1]Sales Order'!A:C,3,FALSE),[1]Employee!A:C,3,FALSE)&amp;" "&amp;VLOOKUP(VLOOKUP(A1628,'[1]Sales Order'!A:C,3,FALSE),[1]Employee!A:B,2,FALSE),"Not Specified")</f>
        <v>Mr. Russell King</v>
      </c>
      <c r="I1628">
        <f>IFERROR(VLOOKUP(VLOOKUP(A1628,'[1]Sales Order'!A:C,3,FALSE),[1]Employee!A:J,10,FALSE),"Not Specified")</f>
        <v>0</v>
      </c>
      <c r="J1628" t="str">
        <f>VLOOKUP(B1628,[1]Product!A:B,2,FALSE)</f>
        <v>Product HLGZA</v>
      </c>
      <c r="K1628" t="str">
        <f>VLOOKUP(VLOOKUP(B1628,[1]Product!A:D,4,FALSE),[1]Category!A:B,2,FALSE)</f>
        <v>Confections</v>
      </c>
      <c r="L1628" s="10">
        <f>IFERROR(VLOOKUP(A1628,'[1]Sales Order'!A:D,4,FALSE),"")</f>
        <v>39482</v>
      </c>
      <c r="M1628" s="10">
        <f>IFERROR(VLOOKUP(A1628,'[1]Sales Order'!A:F,6,FALSE),"")</f>
        <v>39501</v>
      </c>
      <c r="N1628" t="str">
        <f>IFERROR(VLOOKUP(VLOOKUP(A1628,'[1]Sales Order'!A:G,7,FALSE),[1]Shipper!A:B,2,FALSE),"Not Specified")</f>
        <v>Shipper ETYNR</v>
      </c>
      <c r="O1628" t="str">
        <f>IFERROR(VLOOKUP(A1628,'[1]Sales Order'!A:I,9,FALSE),"Not Specified")</f>
        <v>Ship to 62-C</v>
      </c>
      <c r="P1628" t="str">
        <f>IFERROR(VLOOKUP(A1628,'[1]Sales Order'!A:N,14,FALSE),"Not Specified")</f>
        <v>Brazil</v>
      </c>
      <c r="Q1628" t="str">
        <f>VLOOKUP(VLOOKUP(B1628,[1]Product!A:C,3,FALSE),[1]Supplier!A:B,2,FALSE)</f>
        <v>Supplier ZPYVS</v>
      </c>
      <c r="R1628" t="str">
        <f>VLOOKUP(VLOOKUP(B1628,[1]Product!A:C,3,FALSE),[1]Supplier!A:I,9,FALSE)</f>
        <v>Germany</v>
      </c>
      <c r="S1628" t="str">
        <f>IFERROR(IF(VLOOKUP(A1628,'[1]Sales Order'!A:H,8,FALSE)&gt;100,"High Freight","Low Freight"),"Not Specified")</f>
        <v>High Freight</v>
      </c>
      <c r="T1628">
        <f t="shared" si="51"/>
        <v>624.6</v>
      </c>
    </row>
    <row r="1629" spans="1:20">
      <c r="A1629" s="1">
        <v>10868</v>
      </c>
      <c r="B1629" s="2">
        <v>35</v>
      </c>
      <c r="C1629" s="2">
        <v>18</v>
      </c>
      <c r="D1629" s="2">
        <v>30</v>
      </c>
      <c r="E1629" s="3">
        <v>0</v>
      </c>
      <c r="F1629" s="2" t="str">
        <f>IFERROR(VLOOKUP(VLOOKUP(A1629,'[1]Sales Order'!A:B,2,FALSE),[1]Customer!A:C,3,FALSE),"Not Specified")</f>
        <v>Misiec, Anna</v>
      </c>
      <c r="G1629" s="2" t="str">
        <f t="shared" si="50"/>
        <v>Misiec Anna</v>
      </c>
      <c r="H1629" s="8" t="str">
        <f>IFERROR(VLOOKUP(VLOOKUP(A1629,'[1]Sales Order'!A:C,3,FALSE),[1]Employee!A:E,5,FALSE)&amp;" "&amp;VLOOKUP(VLOOKUP(A1629,'[1]Sales Order'!A:C,3,FALSE),[1]Employee!A:C,3,FALSE)&amp;" "&amp;VLOOKUP(VLOOKUP(A1629,'[1]Sales Order'!A:C,3,FALSE),[1]Employee!A:B,2,FALSE),"Not Specified")</f>
        <v>Mr. Russell King</v>
      </c>
      <c r="I1629">
        <f>IFERROR(VLOOKUP(VLOOKUP(A1629,'[1]Sales Order'!A:C,3,FALSE),[1]Employee!A:J,10,FALSE),"Not Specified")</f>
        <v>0</v>
      </c>
      <c r="J1629" t="str">
        <f>VLOOKUP(B1629,[1]Product!A:B,2,FALSE)</f>
        <v>Product NEVTJ</v>
      </c>
      <c r="K1629" t="str">
        <f>VLOOKUP(VLOOKUP(B1629,[1]Product!A:D,4,FALSE),[1]Category!A:B,2,FALSE)</f>
        <v>Beverages</v>
      </c>
      <c r="L1629" s="10">
        <f>IFERROR(VLOOKUP(A1629,'[1]Sales Order'!A:D,4,FALSE),"")</f>
        <v>39482</v>
      </c>
      <c r="M1629" s="10">
        <f>IFERROR(VLOOKUP(A1629,'[1]Sales Order'!A:F,6,FALSE),"")</f>
        <v>39501</v>
      </c>
      <c r="N1629" t="str">
        <f>IFERROR(VLOOKUP(VLOOKUP(A1629,'[1]Sales Order'!A:G,7,FALSE),[1]Shipper!A:B,2,FALSE),"Not Specified")</f>
        <v>Shipper ETYNR</v>
      </c>
      <c r="O1629" t="str">
        <f>IFERROR(VLOOKUP(A1629,'[1]Sales Order'!A:I,9,FALSE),"Not Specified")</f>
        <v>Ship to 62-C</v>
      </c>
      <c r="P1629" t="str">
        <f>IFERROR(VLOOKUP(A1629,'[1]Sales Order'!A:N,14,FALSE),"Not Specified")</f>
        <v>Brazil</v>
      </c>
      <c r="Q1629" t="str">
        <f>VLOOKUP(VLOOKUP(B1629,[1]Product!A:C,3,FALSE),[1]Supplier!A:B,2,FALSE)</f>
        <v>Supplier UHZRG</v>
      </c>
      <c r="R1629" t="str">
        <f>VLOOKUP(VLOOKUP(B1629,[1]Product!A:C,3,FALSE),[1]Supplier!A:I,9,FALSE)</f>
        <v>USA</v>
      </c>
      <c r="S1629" t="str">
        <f>IFERROR(IF(VLOOKUP(A1629,'[1]Sales Order'!A:H,8,FALSE)&gt;100,"High Freight","Low Freight"),"Not Specified")</f>
        <v>High Freight</v>
      </c>
      <c r="T1629">
        <f t="shared" si="51"/>
        <v>540</v>
      </c>
    </row>
    <row r="1630" spans="1:20">
      <c r="A1630" s="1">
        <v>10868</v>
      </c>
      <c r="B1630" s="2">
        <v>49</v>
      </c>
      <c r="C1630" s="2">
        <v>20</v>
      </c>
      <c r="D1630" s="2">
        <v>42</v>
      </c>
      <c r="E1630" s="3">
        <v>0.1</v>
      </c>
      <c r="F1630" s="2" t="str">
        <f>IFERROR(VLOOKUP(VLOOKUP(A1630,'[1]Sales Order'!A:B,2,FALSE),[1]Customer!A:C,3,FALSE),"Not Specified")</f>
        <v>Misiec, Anna</v>
      </c>
      <c r="G1630" s="2" t="str">
        <f t="shared" si="50"/>
        <v>Misiec Anna</v>
      </c>
      <c r="H1630" s="8" t="str">
        <f>IFERROR(VLOOKUP(VLOOKUP(A1630,'[1]Sales Order'!A:C,3,FALSE),[1]Employee!A:E,5,FALSE)&amp;" "&amp;VLOOKUP(VLOOKUP(A1630,'[1]Sales Order'!A:C,3,FALSE),[1]Employee!A:C,3,FALSE)&amp;" "&amp;VLOOKUP(VLOOKUP(A1630,'[1]Sales Order'!A:C,3,FALSE),[1]Employee!A:B,2,FALSE),"Not Specified")</f>
        <v>Mr. Russell King</v>
      </c>
      <c r="I1630">
        <f>IFERROR(VLOOKUP(VLOOKUP(A1630,'[1]Sales Order'!A:C,3,FALSE),[1]Employee!A:J,10,FALSE),"Not Specified")</f>
        <v>0</v>
      </c>
      <c r="J1630" t="str">
        <f>VLOOKUP(B1630,[1]Product!A:B,2,FALSE)</f>
        <v>Product FPYPN</v>
      </c>
      <c r="K1630" t="str">
        <f>VLOOKUP(VLOOKUP(B1630,[1]Product!A:D,4,FALSE),[1]Category!A:B,2,FALSE)</f>
        <v>Confections</v>
      </c>
      <c r="L1630" s="10">
        <f>IFERROR(VLOOKUP(A1630,'[1]Sales Order'!A:D,4,FALSE),"")</f>
        <v>39482</v>
      </c>
      <c r="M1630" s="10">
        <f>IFERROR(VLOOKUP(A1630,'[1]Sales Order'!A:F,6,FALSE),"")</f>
        <v>39501</v>
      </c>
      <c r="N1630" t="str">
        <f>IFERROR(VLOOKUP(VLOOKUP(A1630,'[1]Sales Order'!A:G,7,FALSE),[1]Shipper!A:B,2,FALSE),"Not Specified")</f>
        <v>Shipper ETYNR</v>
      </c>
      <c r="O1630" t="str">
        <f>IFERROR(VLOOKUP(A1630,'[1]Sales Order'!A:I,9,FALSE),"Not Specified")</f>
        <v>Ship to 62-C</v>
      </c>
      <c r="P1630" t="str">
        <f>IFERROR(VLOOKUP(A1630,'[1]Sales Order'!A:N,14,FALSE),"Not Specified")</f>
        <v>Brazil</v>
      </c>
      <c r="Q1630" t="str">
        <f>VLOOKUP(VLOOKUP(B1630,[1]Product!A:C,3,FALSE),[1]Supplier!A:B,2,FALSE)</f>
        <v>Supplier ELCRN</v>
      </c>
      <c r="R1630" t="str">
        <f>VLOOKUP(VLOOKUP(B1630,[1]Product!A:C,3,FALSE),[1]Supplier!A:I,9,FALSE)</f>
        <v>Finland</v>
      </c>
      <c r="S1630" t="str">
        <f>IFERROR(IF(VLOOKUP(A1630,'[1]Sales Order'!A:H,8,FALSE)&gt;100,"High Freight","Low Freight"),"Not Specified")</f>
        <v>High Freight</v>
      </c>
      <c r="T1630">
        <f t="shared" si="51"/>
        <v>756</v>
      </c>
    </row>
    <row r="1631" spans="1:20">
      <c r="A1631" s="1">
        <v>10869</v>
      </c>
      <c r="B1631" s="2">
        <v>1</v>
      </c>
      <c r="C1631" s="2">
        <v>18</v>
      </c>
      <c r="D1631" s="2">
        <v>40</v>
      </c>
      <c r="E1631" s="3">
        <v>0</v>
      </c>
      <c r="F1631" s="2" t="str">
        <f>IFERROR(VLOOKUP(VLOOKUP(A1631,'[1]Sales Order'!A:B,2,FALSE),[1]Customer!A:C,3,FALSE),"Not Specified")</f>
        <v>Welcker, Brian</v>
      </c>
      <c r="G1631" s="2" t="str">
        <f t="shared" si="50"/>
        <v>Welcker Brian</v>
      </c>
      <c r="H1631" s="8" t="str">
        <f>IFERROR(VLOOKUP(VLOOKUP(A1631,'[1]Sales Order'!A:C,3,FALSE),[1]Employee!A:E,5,FALSE)&amp;" "&amp;VLOOKUP(VLOOKUP(A1631,'[1]Sales Order'!A:C,3,FALSE),[1]Employee!A:C,3,FALSE)&amp;" "&amp;VLOOKUP(VLOOKUP(A1631,'[1]Sales Order'!A:C,3,FALSE),[1]Employee!A:B,2,FALSE),"Not Specified")</f>
        <v>Mr. Sven Buck</v>
      </c>
      <c r="I1631">
        <f>IFERROR(VLOOKUP(VLOOKUP(A1631,'[1]Sales Order'!A:C,3,FALSE),[1]Employee!A:J,10,FALSE),"Not Specified")</f>
        <v>0</v>
      </c>
      <c r="J1631" t="str">
        <f>VLOOKUP(B1631,[1]Product!A:B,2,FALSE)</f>
        <v>Product HHYDP</v>
      </c>
      <c r="K1631" t="str">
        <f>VLOOKUP(VLOOKUP(B1631,[1]Product!A:D,4,FALSE),[1]Category!A:B,2,FALSE)</f>
        <v>Beverages</v>
      </c>
      <c r="L1631" s="10">
        <f>IFERROR(VLOOKUP(A1631,'[1]Sales Order'!A:D,4,FALSE),"")</f>
        <v>39482</v>
      </c>
      <c r="M1631" s="10">
        <f>IFERROR(VLOOKUP(A1631,'[1]Sales Order'!A:F,6,FALSE),"")</f>
        <v>39487</v>
      </c>
      <c r="N1631" t="str">
        <f>IFERROR(VLOOKUP(VLOOKUP(A1631,'[1]Sales Order'!A:G,7,FALSE),[1]Shipper!A:B,2,FALSE),"Not Specified")</f>
        <v>Shipper GVSUA</v>
      </c>
      <c r="O1631" t="str">
        <f>IFERROR(VLOOKUP(A1631,'[1]Sales Order'!A:I,9,FALSE),"Not Specified")</f>
        <v>Ship to 72-A</v>
      </c>
      <c r="P1631" t="str">
        <f>IFERROR(VLOOKUP(A1631,'[1]Sales Order'!A:N,14,FALSE),"Not Specified")</f>
        <v>UK</v>
      </c>
      <c r="Q1631" t="str">
        <f>VLOOKUP(VLOOKUP(B1631,[1]Product!A:C,3,FALSE),[1]Supplier!A:B,2,FALSE)</f>
        <v>Supplier SWRXU</v>
      </c>
      <c r="R1631" t="str">
        <f>VLOOKUP(VLOOKUP(B1631,[1]Product!A:C,3,FALSE),[1]Supplier!A:I,9,FALSE)</f>
        <v>UK</v>
      </c>
      <c r="S1631" t="str">
        <f>IFERROR(IF(VLOOKUP(A1631,'[1]Sales Order'!A:H,8,FALSE)&gt;100,"High Freight","Low Freight"),"Not Specified")</f>
        <v>High Freight</v>
      </c>
      <c r="T1631">
        <f t="shared" si="51"/>
        <v>720</v>
      </c>
    </row>
    <row r="1632" spans="1:20">
      <c r="A1632" s="1">
        <v>10869</v>
      </c>
      <c r="B1632" s="2">
        <v>11</v>
      </c>
      <c r="C1632" s="2">
        <v>21</v>
      </c>
      <c r="D1632" s="2">
        <v>10</v>
      </c>
      <c r="E1632" s="3">
        <v>0</v>
      </c>
      <c r="F1632" s="2" t="str">
        <f>IFERROR(VLOOKUP(VLOOKUP(A1632,'[1]Sales Order'!A:B,2,FALSE),[1]Customer!A:C,3,FALSE),"Not Specified")</f>
        <v>Welcker, Brian</v>
      </c>
      <c r="G1632" s="2" t="str">
        <f t="shared" si="50"/>
        <v>Welcker Brian</v>
      </c>
      <c r="H1632" s="8" t="str">
        <f>IFERROR(VLOOKUP(VLOOKUP(A1632,'[1]Sales Order'!A:C,3,FALSE),[1]Employee!A:E,5,FALSE)&amp;" "&amp;VLOOKUP(VLOOKUP(A1632,'[1]Sales Order'!A:C,3,FALSE),[1]Employee!A:C,3,FALSE)&amp;" "&amp;VLOOKUP(VLOOKUP(A1632,'[1]Sales Order'!A:C,3,FALSE),[1]Employee!A:B,2,FALSE),"Not Specified")</f>
        <v>Mr. Sven Buck</v>
      </c>
      <c r="I1632">
        <f>IFERROR(VLOOKUP(VLOOKUP(A1632,'[1]Sales Order'!A:C,3,FALSE),[1]Employee!A:J,10,FALSE),"Not Specified")</f>
        <v>0</v>
      </c>
      <c r="J1632" t="str">
        <f>VLOOKUP(B1632,[1]Product!A:B,2,FALSE)</f>
        <v>Product QMVUN</v>
      </c>
      <c r="K1632" t="str">
        <f>VLOOKUP(VLOOKUP(B1632,[1]Product!A:D,4,FALSE),[1]Category!A:B,2,FALSE)</f>
        <v>Dairy Product</v>
      </c>
      <c r="L1632" s="10">
        <f>IFERROR(VLOOKUP(A1632,'[1]Sales Order'!A:D,4,FALSE),"")</f>
        <v>39482</v>
      </c>
      <c r="M1632" s="10">
        <f>IFERROR(VLOOKUP(A1632,'[1]Sales Order'!A:F,6,FALSE),"")</f>
        <v>39487</v>
      </c>
      <c r="N1632" t="str">
        <f>IFERROR(VLOOKUP(VLOOKUP(A1632,'[1]Sales Order'!A:G,7,FALSE),[1]Shipper!A:B,2,FALSE),"Not Specified")</f>
        <v>Shipper GVSUA</v>
      </c>
      <c r="O1632" t="str">
        <f>IFERROR(VLOOKUP(A1632,'[1]Sales Order'!A:I,9,FALSE),"Not Specified")</f>
        <v>Ship to 72-A</v>
      </c>
      <c r="P1632" t="str">
        <f>IFERROR(VLOOKUP(A1632,'[1]Sales Order'!A:N,14,FALSE),"Not Specified")</f>
        <v>UK</v>
      </c>
      <c r="Q1632" t="str">
        <f>VLOOKUP(VLOOKUP(B1632,[1]Product!A:C,3,FALSE),[1]Supplier!A:B,2,FALSE)</f>
        <v>Supplier EQPNC</v>
      </c>
      <c r="R1632" t="str">
        <f>VLOOKUP(VLOOKUP(B1632,[1]Product!A:C,3,FALSE),[1]Supplier!A:I,9,FALSE)</f>
        <v>Spain</v>
      </c>
      <c r="S1632" t="str">
        <f>IFERROR(IF(VLOOKUP(A1632,'[1]Sales Order'!A:H,8,FALSE)&gt;100,"High Freight","Low Freight"),"Not Specified")</f>
        <v>High Freight</v>
      </c>
      <c r="T1632">
        <f t="shared" si="51"/>
        <v>210</v>
      </c>
    </row>
    <row r="1633" spans="1:20">
      <c r="A1633" s="1">
        <v>10869</v>
      </c>
      <c r="B1633" s="2">
        <v>23</v>
      </c>
      <c r="C1633" s="2">
        <v>9</v>
      </c>
      <c r="D1633" s="2">
        <v>50</v>
      </c>
      <c r="E1633" s="3">
        <v>0</v>
      </c>
      <c r="F1633" s="2" t="str">
        <f>IFERROR(VLOOKUP(VLOOKUP(A1633,'[1]Sales Order'!A:B,2,FALSE),[1]Customer!A:C,3,FALSE),"Not Specified")</f>
        <v>Welcker, Brian</v>
      </c>
      <c r="G1633" s="2" t="str">
        <f t="shared" si="50"/>
        <v>Welcker Brian</v>
      </c>
      <c r="H1633" s="8" t="str">
        <f>IFERROR(VLOOKUP(VLOOKUP(A1633,'[1]Sales Order'!A:C,3,FALSE),[1]Employee!A:E,5,FALSE)&amp;" "&amp;VLOOKUP(VLOOKUP(A1633,'[1]Sales Order'!A:C,3,FALSE),[1]Employee!A:C,3,FALSE)&amp;" "&amp;VLOOKUP(VLOOKUP(A1633,'[1]Sales Order'!A:C,3,FALSE),[1]Employee!A:B,2,FALSE),"Not Specified")</f>
        <v>Mr. Sven Buck</v>
      </c>
      <c r="I1633">
        <f>IFERROR(VLOOKUP(VLOOKUP(A1633,'[1]Sales Order'!A:C,3,FALSE),[1]Employee!A:J,10,FALSE),"Not Specified")</f>
        <v>0</v>
      </c>
      <c r="J1633" t="str">
        <f>VLOOKUP(B1633,[1]Product!A:B,2,FALSE)</f>
        <v>Product JLUDZ</v>
      </c>
      <c r="K1633" t="str">
        <f>VLOOKUP(VLOOKUP(B1633,[1]Product!A:D,4,FALSE),[1]Category!A:B,2,FALSE)</f>
        <v>Grains/Cereals</v>
      </c>
      <c r="L1633" s="10">
        <f>IFERROR(VLOOKUP(A1633,'[1]Sales Order'!A:D,4,FALSE),"")</f>
        <v>39482</v>
      </c>
      <c r="M1633" s="10">
        <f>IFERROR(VLOOKUP(A1633,'[1]Sales Order'!A:F,6,FALSE),"")</f>
        <v>39487</v>
      </c>
      <c r="N1633" t="str">
        <f>IFERROR(VLOOKUP(VLOOKUP(A1633,'[1]Sales Order'!A:G,7,FALSE),[1]Shipper!A:B,2,FALSE),"Not Specified")</f>
        <v>Shipper GVSUA</v>
      </c>
      <c r="O1633" t="str">
        <f>IFERROR(VLOOKUP(A1633,'[1]Sales Order'!A:I,9,FALSE),"Not Specified")</f>
        <v>Ship to 72-A</v>
      </c>
      <c r="P1633" t="str">
        <f>IFERROR(VLOOKUP(A1633,'[1]Sales Order'!A:N,14,FALSE),"Not Specified")</f>
        <v>UK</v>
      </c>
      <c r="Q1633" t="str">
        <f>VLOOKUP(VLOOKUP(B1633,[1]Product!A:C,3,FALSE),[1]Supplier!A:B,2,FALSE)</f>
        <v>Supplier QQYEU</v>
      </c>
      <c r="R1633" t="str">
        <f>VLOOKUP(VLOOKUP(B1633,[1]Product!A:C,3,FALSE),[1]Supplier!A:I,9,FALSE)</f>
        <v>Sweden</v>
      </c>
      <c r="S1633" t="str">
        <f>IFERROR(IF(VLOOKUP(A1633,'[1]Sales Order'!A:H,8,FALSE)&gt;100,"High Freight","Low Freight"),"Not Specified")</f>
        <v>High Freight</v>
      </c>
      <c r="T1633">
        <f t="shared" si="51"/>
        <v>450</v>
      </c>
    </row>
    <row r="1634" spans="1:20">
      <c r="A1634" s="1">
        <v>10869</v>
      </c>
      <c r="B1634" s="2">
        <v>68</v>
      </c>
      <c r="C1634" s="2">
        <v>12.5</v>
      </c>
      <c r="D1634" s="2">
        <v>20</v>
      </c>
      <c r="E1634" s="3">
        <v>0</v>
      </c>
      <c r="F1634" s="2" t="str">
        <f>IFERROR(VLOOKUP(VLOOKUP(A1634,'[1]Sales Order'!A:B,2,FALSE),[1]Customer!A:C,3,FALSE),"Not Specified")</f>
        <v>Welcker, Brian</v>
      </c>
      <c r="G1634" s="2" t="str">
        <f t="shared" si="50"/>
        <v>Welcker Brian</v>
      </c>
      <c r="H1634" s="8" t="str">
        <f>IFERROR(VLOOKUP(VLOOKUP(A1634,'[1]Sales Order'!A:C,3,FALSE),[1]Employee!A:E,5,FALSE)&amp;" "&amp;VLOOKUP(VLOOKUP(A1634,'[1]Sales Order'!A:C,3,FALSE),[1]Employee!A:C,3,FALSE)&amp;" "&amp;VLOOKUP(VLOOKUP(A1634,'[1]Sales Order'!A:C,3,FALSE),[1]Employee!A:B,2,FALSE),"Not Specified")</f>
        <v>Mr. Sven Buck</v>
      </c>
      <c r="I1634">
        <f>IFERROR(VLOOKUP(VLOOKUP(A1634,'[1]Sales Order'!A:C,3,FALSE),[1]Employee!A:J,10,FALSE),"Not Specified")</f>
        <v>0</v>
      </c>
      <c r="J1634" t="str">
        <f>VLOOKUP(B1634,[1]Product!A:B,2,FALSE)</f>
        <v>Product TBTBL</v>
      </c>
      <c r="K1634" t="str">
        <f>VLOOKUP(VLOOKUP(B1634,[1]Product!A:D,4,FALSE),[1]Category!A:B,2,FALSE)</f>
        <v>Confections</v>
      </c>
      <c r="L1634" s="10">
        <f>IFERROR(VLOOKUP(A1634,'[1]Sales Order'!A:D,4,FALSE),"")</f>
        <v>39482</v>
      </c>
      <c r="M1634" s="10">
        <f>IFERROR(VLOOKUP(A1634,'[1]Sales Order'!A:F,6,FALSE),"")</f>
        <v>39487</v>
      </c>
      <c r="N1634" t="str">
        <f>IFERROR(VLOOKUP(VLOOKUP(A1634,'[1]Sales Order'!A:G,7,FALSE),[1]Shipper!A:B,2,FALSE),"Not Specified")</f>
        <v>Shipper GVSUA</v>
      </c>
      <c r="O1634" t="str">
        <f>IFERROR(VLOOKUP(A1634,'[1]Sales Order'!A:I,9,FALSE),"Not Specified")</f>
        <v>Ship to 72-A</v>
      </c>
      <c r="P1634" t="str">
        <f>IFERROR(VLOOKUP(A1634,'[1]Sales Order'!A:N,14,FALSE),"Not Specified")</f>
        <v>UK</v>
      </c>
      <c r="Q1634" t="str">
        <f>VLOOKUP(VLOOKUP(B1634,[1]Product!A:C,3,FALSE),[1]Supplier!A:B,2,FALSE)</f>
        <v>Supplier BWGYE</v>
      </c>
      <c r="R1634" t="str">
        <f>VLOOKUP(VLOOKUP(B1634,[1]Product!A:C,3,FALSE),[1]Supplier!A:I,9,FALSE)</f>
        <v>UK</v>
      </c>
      <c r="S1634" t="str">
        <f>IFERROR(IF(VLOOKUP(A1634,'[1]Sales Order'!A:H,8,FALSE)&gt;100,"High Freight","Low Freight"),"Not Specified")</f>
        <v>High Freight</v>
      </c>
      <c r="T1634">
        <f t="shared" si="51"/>
        <v>250</v>
      </c>
    </row>
    <row r="1635" spans="1:20">
      <c r="A1635" s="1">
        <v>10870</v>
      </c>
      <c r="B1635" s="2">
        <v>35</v>
      </c>
      <c r="C1635" s="2">
        <v>18</v>
      </c>
      <c r="D1635" s="2">
        <v>3</v>
      </c>
      <c r="E1635" s="3">
        <v>0</v>
      </c>
      <c r="F1635" s="2" t="str">
        <f>IFERROR(VLOOKUP(VLOOKUP(A1635,'[1]Sales Order'!A:B,2,FALSE),[1]Customer!A:C,3,FALSE),"Not Specified")</f>
        <v>Conn, Steve</v>
      </c>
      <c r="G1635" s="2" t="str">
        <f t="shared" si="50"/>
        <v>Conn Steve</v>
      </c>
      <c r="H1635" s="8" t="str">
        <f>IFERROR(VLOOKUP(VLOOKUP(A1635,'[1]Sales Order'!A:C,3,FALSE),[1]Employee!A:E,5,FALSE)&amp;" "&amp;VLOOKUP(VLOOKUP(A1635,'[1]Sales Order'!A:C,3,FALSE),[1]Employee!A:C,3,FALSE)&amp;" "&amp;VLOOKUP(VLOOKUP(A1635,'[1]Sales Order'!A:C,3,FALSE),[1]Employee!A:B,2,FALSE),"Not Specified")</f>
        <v>Mr. Sven Buck</v>
      </c>
      <c r="I1635">
        <f>IFERROR(VLOOKUP(VLOOKUP(A1635,'[1]Sales Order'!A:C,3,FALSE),[1]Employee!A:J,10,FALSE),"Not Specified")</f>
        <v>0</v>
      </c>
      <c r="J1635" t="str">
        <f>VLOOKUP(B1635,[1]Product!A:B,2,FALSE)</f>
        <v>Product NEVTJ</v>
      </c>
      <c r="K1635" t="str">
        <f>VLOOKUP(VLOOKUP(B1635,[1]Product!A:D,4,FALSE),[1]Category!A:B,2,FALSE)</f>
        <v>Beverages</v>
      </c>
      <c r="L1635" s="10">
        <f>IFERROR(VLOOKUP(A1635,'[1]Sales Order'!A:D,4,FALSE),"")</f>
        <v>39482</v>
      </c>
      <c r="M1635" s="10">
        <f>IFERROR(VLOOKUP(A1635,'[1]Sales Order'!A:F,6,FALSE),"")</f>
        <v>39491</v>
      </c>
      <c r="N1635" t="str">
        <f>IFERROR(VLOOKUP(VLOOKUP(A1635,'[1]Sales Order'!A:G,7,FALSE),[1]Shipper!A:B,2,FALSE),"Not Specified")</f>
        <v>Shipper ZHISN</v>
      </c>
      <c r="O1635" t="str">
        <f>IFERROR(VLOOKUP(A1635,'[1]Sales Order'!A:I,9,FALSE),"Not Specified")</f>
        <v>Ship to 91-A</v>
      </c>
      <c r="P1635" t="str">
        <f>IFERROR(VLOOKUP(A1635,'[1]Sales Order'!A:N,14,FALSE),"Not Specified")</f>
        <v>Poland</v>
      </c>
      <c r="Q1635" t="str">
        <f>VLOOKUP(VLOOKUP(B1635,[1]Product!A:C,3,FALSE),[1]Supplier!A:B,2,FALSE)</f>
        <v>Supplier UHZRG</v>
      </c>
      <c r="R1635" t="str">
        <f>VLOOKUP(VLOOKUP(B1635,[1]Product!A:C,3,FALSE),[1]Supplier!A:I,9,FALSE)</f>
        <v>USA</v>
      </c>
      <c r="S1635" t="str">
        <f>IFERROR(IF(VLOOKUP(A1635,'[1]Sales Order'!A:H,8,FALSE)&gt;100,"High Freight","Low Freight"),"Not Specified")</f>
        <v>Low Freight</v>
      </c>
      <c r="T1635">
        <f t="shared" si="51"/>
        <v>54</v>
      </c>
    </row>
    <row r="1636" spans="1:20">
      <c r="A1636" s="1">
        <v>10870</v>
      </c>
      <c r="B1636" s="2">
        <v>51</v>
      </c>
      <c r="C1636" s="2">
        <v>53</v>
      </c>
      <c r="D1636" s="2">
        <v>2</v>
      </c>
      <c r="E1636" s="3">
        <v>0</v>
      </c>
      <c r="F1636" s="2" t="str">
        <f>IFERROR(VLOOKUP(VLOOKUP(A1636,'[1]Sales Order'!A:B,2,FALSE),[1]Customer!A:C,3,FALSE),"Not Specified")</f>
        <v>Conn, Steve</v>
      </c>
      <c r="G1636" s="2" t="str">
        <f t="shared" si="50"/>
        <v>Conn Steve</v>
      </c>
      <c r="H1636" s="8" t="str">
        <f>IFERROR(VLOOKUP(VLOOKUP(A1636,'[1]Sales Order'!A:C,3,FALSE),[1]Employee!A:E,5,FALSE)&amp;" "&amp;VLOOKUP(VLOOKUP(A1636,'[1]Sales Order'!A:C,3,FALSE),[1]Employee!A:C,3,FALSE)&amp;" "&amp;VLOOKUP(VLOOKUP(A1636,'[1]Sales Order'!A:C,3,FALSE),[1]Employee!A:B,2,FALSE),"Not Specified")</f>
        <v>Mr. Sven Buck</v>
      </c>
      <c r="I1636">
        <f>IFERROR(VLOOKUP(VLOOKUP(A1636,'[1]Sales Order'!A:C,3,FALSE),[1]Employee!A:J,10,FALSE),"Not Specified")</f>
        <v>0</v>
      </c>
      <c r="J1636" t="str">
        <f>VLOOKUP(B1636,[1]Product!A:B,2,FALSE)</f>
        <v>Product APITJ</v>
      </c>
      <c r="K1636" t="str">
        <f>VLOOKUP(VLOOKUP(B1636,[1]Product!A:D,4,FALSE),[1]Category!A:B,2,FALSE)</f>
        <v>Produce</v>
      </c>
      <c r="L1636" s="10">
        <f>IFERROR(VLOOKUP(A1636,'[1]Sales Order'!A:D,4,FALSE),"")</f>
        <v>39482</v>
      </c>
      <c r="M1636" s="10">
        <f>IFERROR(VLOOKUP(A1636,'[1]Sales Order'!A:F,6,FALSE),"")</f>
        <v>39491</v>
      </c>
      <c r="N1636" t="str">
        <f>IFERROR(VLOOKUP(VLOOKUP(A1636,'[1]Sales Order'!A:G,7,FALSE),[1]Shipper!A:B,2,FALSE),"Not Specified")</f>
        <v>Shipper ZHISN</v>
      </c>
      <c r="O1636" t="str">
        <f>IFERROR(VLOOKUP(A1636,'[1]Sales Order'!A:I,9,FALSE),"Not Specified")</f>
        <v>Ship to 91-A</v>
      </c>
      <c r="P1636" t="str">
        <f>IFERROR(VLOOKUP(A1636,'[1]Sales Order'!A:N,14,FALSE),"Not Specified")</f>
        <v>Poland</v>
      </c>
      <c r="Q1636" t="str">
        <f>VLOOKUP(VLOOKUP(B1636,[1]Product!A:C,3,FALSE),[1]Supplier!A:B,2,FALSE)</f>
        <v>Supplier JNNES</v>
      </c>
      <c r="R1636" t="str">
        <f>VLOOKUP(VLOOKUP(B1636,[1]Product!A:C,3,FALSE),[1]Supplier!A:I,9,FALSE)</f>
        <v>Australia</v>
      </c>
      <c r="S1636" t="str">
        <f>IFERROR(IF(VLOOKUP(A1636,'[1]Sales Order'!A:H,8,FALSE)&gt;100,"High Freight","Low Freight"),"Not Specified")</f>
        <v>Low Freight</v>
      </c>
      <c r="T1636">
        <f t="shared" si="51"/>
        <v>106</v>
      </c>
    </row>
    <row r="1637" spans="1:20">
      <c r="A1637" s="1">
        <v>10871</v>
      </c>
      <c r="B1637" s="2">
        <v>6</v>
      </c>
      <c r="C1637" s="2">
        <v>25</v>
      </c>
      <c r="D1637" s="2">
        <v>50</v>
      </c>
      <c r="E1637" s="3">
        <v>0.05</v>
      </c>
      <c r="F1637" s="2" t="str">
        <f>IFERROR(VLOOKUP(VLOOKUP(A1637,'[1]Sales Order'!A:B,2,FALSE),[1]Customer!A:C,3,FALSE),"Not Specified")</f>
        <v>Raghav, Amritansh</v>
      </c>
      <c r="G1637" s="2" t="str">
        <f t="shared" si="50"/>
        <v>Raghav Amritansh</v>
      </c>
      <c r="H1637" s="8" t="str">
        <f>IFERROR(VLOOKUP(VLOOKUP(A1637,'[1]Sales Order'!A:C,3,FALSE),[1]Employee!A:E,5,FALSE)&amp;" "&amp;VLOOKUP(VLOOKUP(A1637,'[1]Sales Order'!A:C,3,FALSE),[1]Employee!A:C,3,FALSE)&amp;" "&amp;VLOOKUP(VLOOKUP(A1637,'[1]Sales Order'!A:C,3,FALSE),[1]Employee!A:B,2,FALSE),"Not Specified")</f>
        <v>Ms. Zoya Dolgopyatova</v>
      </c>
      <c r="I1637">
        <f>IFERROR(VLOOKUP(VLOOKUP(A1637,'[1]Sales Order'!A:C,3,FALSE),[1]Employee!A:J,10,FALSE),"Not Specified")</f>
        <v>0</v>
      </c>
      <c r="J1637" t="str">
        <f>VLOOKUP(B1637,[1]Product!A:B,2,FALSE)</f>
        <v>Product VAIIV</v>
      </c>
      <c r="K1637" t="str">
        <f>VLOOKUP(VLOOKUP(B1637,[1]Product!A:D,4,FALSE),[1]Category!A:B,2,FALSE)</f>
        <v>Condiments</v>
      </c>
      <c r="L1637" s="10">
        <f>IFERROR(VLOOKUP(A1637,'[1]Sales Order'!A:D,4,FALSE),"")</f>
        <v>39483</v>
      </c>
      <c r="M1637" s="10">
        <f>IFERROR(VLOOKUP(A1637,'[1]Sales Order'!A:F,6,FALSE),"")</f>
        <v>39488</v>
      </c>
      <c r="N1637" t="str">
        <f>IFERROR(VLOOKUP(VLOOKUP(A1637,'[1]Sales Order'!A:G,7,FALSE),[1]Shipper!A:B,2,FALSE),"Not Specified")</f>
        <v>Shipper ETYNR</v>
      </c>
      <c r="O1637" t="str">
        <f>IFERROR(VLOOKUP(A1637,'[1]Sales Order'!A:I,9,FALSE),"Not Specified")</f>
        <v>Ship to 9-B</v>
      </c>
      <c r="P1637" t="str">
        <f>IFERROR(VLOOKUP(A1637,'[1]Sales Order'!A:N,14,FALSE),"Not Specified")</f>
        <v>France</v>
      </c>
      <c r="Q1637" t="str">
        <f>VLOOKUP(VLOOKUP(B1637,[1]Product!A:C,3,FALSE),[1]Supplier!A:B,2,FALSE)</f>
        <v>Supplier STUAZ</v>
      </c>
      <c r="R1637" t="str">
        <f>VLOOKUP(VLOOKUP(B1637,[1]Product!A:C,3,FALSE),[1]Supplier!A:I,9,FALSE)</f>
        <v>USA</v>
      </c>
      <c r="S1637" t="str">
        <f>IFERROR(IF(VLOOKUP(A1637,'[1]Sales Order'!A:H,8,FALSE)&gt;100,"High Freight","Low Freight"),"Not Specified")</f>
        <v>High Freight</v>
      </c>
      <c r="T1637">
        <f t="shared" si="51"/>
        <v>1187.5</v>
      </c>
    </row>
    <row r="1638" spans="1:20">
      <c r="A1638" s="1">
        <v>10871</v>
      </c>
      <c r="B1638" s="2">
        <v>16</v>
      </c>
      <c r="C1638" s="2">
        <v>17.45</v>
      </c>
      <c r="D1638" s="2">
        <v>12</v>
      </c>
      <c r="E1638" s="3">
        <v>0.05</v>
      </c>
      <c r="F1638" s="2" t="str">
        <f>IFERROR(VLOOKUP(VLOOKUP(A1638,'[1]Sales Order'!A:B,2,FALSE),[1]Customer!A:C,3,FALSE),"Not Specified")</f>
        <v>Raghav, Amritansh</v>
      </c>
      <c r="G1638" s="2" t="str">
        <f t="shared" si="50"/>
        <v>Raghav Amritansh</v>
      </c>
      <c r="H1638" s="8" t="str">
        <f>IFERROR(VLOOKUP(VLOOKUP(A1638,'[1]Sales Order'!A:C,3,FALSE),[1]Employee!A:E,5,FALSE)&amp;" "&amp;VLOOKUP(VLOOKUP(A1638,'[1]Sales Order'!A:C,3,FALSE),[1]Employee!A:C,3,FALSE)&amp;" "&amp;VLOOKUP(VLOOKUP(A1638,'[1]Sales Order'!A:C,3,FALSE),[1]Employee!A:B,2,FALSE),"Not Specified")</f>
        <v>Ms. Zoya Dolgopyatova</v>
      </c>
      <c r="I1638">
        <f>IFERROR(VLOOKUP(VLOOKUP(A1638,'[1]Sales Order'!A:C,3,FALSE),[1]Employee!A:J,10,FALSE),"Not Specified")</f>
        <v>0</v>
      </c>
      <c r="J1638" t="str">
        <f>VLOOKUP(B1638,[1]Product!A:B,2,FALSE)</f>
        <v>Product PAFRH</v>
      </c>
      <c r="K1638" t="str">
        <f>VLOOKUP(VLOOKUP(B1638,[1]Product!A:D,4,FALSE),[1]Category!A:B,2,FALSE)</f>
        <v>Confections</v>
      </c>
      <c r="L1638" s="10">
        <f>IFERROR(VLOOKUP(A1638,'[1]Sales Order'!A:D,4,FALSE),"")</f>
        <v>39483</v>
      </c>
      <c r="M1638" s="10">
        <f>IFERROR(VLOOKUP(A1638,'[1]Sales Order'!A:F,6,FALSE),"")</f>
        <v>39488</v>
      </c>
      <c r="N1638" t="str">
        <f>IFERROR(VLOOKUP(VLOOKUP(A1638,'[1]Sales Order'!A:G,7,FALSE),[1]Shipper!A:B,2,FALSE),"Not Specified")</f>
        <v>Shipper ETYNR</v>
      </c>
      <c r="O1638" t="str">
        <f>IFERROR(VLOOKUP(A1638,'[1]Sales Order'!A:I,9,FALSE),"Not Specified")</f>
        <v>Ship to 9-B</v>
      </c>
      <c r="P1638" t="str">
        <f>IFERROR(VLOOKUP(A1638,'[1]Sales Order'!A:N,14,FALSE),"Not Specified")</f>
        <v>France</v>
      </c>
      <c r="Q1638" t="str">
        <f>VLOOKUP(VLOOKUP(B1638,[1]Product!A:C,3,FALSE),[1]Supplier!A:B,2,FALSE)</f>
        <v>Supplier GQRCV</v>
      </c>
      <c r="R1638" t="str">
        <f>VLOOKUP(VLOOKUP(B1638,[1]Product!A:C,3,FALSE),[1]Supplier!A:I,9,FALSE)</f>
        <v>Australia</v>
      </c>
      <c r="S1638" t="str">
        <f>IFERROR(IF(VLOOKUP(A1638,'[1]Sales Order'!A:H,8,FALSE)&gt;100,"High Freight","Low Freight"),"Not Specified")</f>
        <v>High Freight</v>
      </c>
      <c r="T1638">
        <f t="shared" si="51"/>
        <v>198.92999999999998</v>
      </c>
    </row>
    <row r="1639" spans="1:20">
      <c r="A1639" s="1">
        <v>10871</v>
      </c>
      <c r="B1639" s="2">
        <v>17</v>
      </c>
      <c r="C1639" s="2">
        <v>39</v>
      </c>
      <c r="D1639" s="2">
        <v>16</v>
      </c>
      <c r="E1639" s="3">
        <v>0.05</v>
      </c>
      <c r="F1639" s="2" t="str">
        <f>IFERROR(VLOOKUP(VLOOKUP(A1639,'[1]Sales Order'!A:B,2,FALSE),[1]Customer!A:C,3,FALSE),"Not Specified")</f>
        <v>Raghav, Amritansh</v>
      </c>
      <c r="G1639" s="2" t="str">
        <f t="shared" si="50"/>
        <v>Raghav Amritansh</v>
      </c>
      <c r="H1639" s="8" t="str">
        <f>IFERROR(VLOOKUP(VLOOKUP(A1639,'[1]Sales Order'!A:C,3,FALSE),[1]Employee!A:E,5,FALSE)&amp;" "&amp;VLOOKUP(VLOOKUP(A1639,'[1]Sales Order'!A:C,3,FALSE),[1]Employee!A:C,3,FALSE)&amp;" "&amp;VLOOKUP(VLOOKUP(A1639,'[1]Sales Order'!A:C,3,FALSE),[1]Employee!A:B,2,FALSE),"Not Specified")</f>
        <v>Ms. Zoya Dolgopyatova</v>
      </c>
      <c r="I1639">
        <f>IFERROR(VLOOKUP(VLOOKUP(A1639,'[1]Sales Order'!A:C,3,FALSE),[1]Employee!A:J,10,FALSE),"Not Specified")</f>
        <v>0</v>
      </c>
      <c r="J1639" t="str">
        <f>VLOOKUP(B1639,[1]Product!A:B,2,FALSE)</f>
        <v>Product BLCAX</v>
      </c>
      <c r="K1639" t="str">
        <f>VLOOKUP(VLOOKUP(B1639,[1]Product!A:D,4,FALSE),[1]Category!A:B,2,FALSE)</f>
        <v>Meat/Poultry</v>
      </c>
      <c r="L1639" s="10">
        <f>IFERROR(VLOOKUP(A1639,'[1]Sales Order'!A:D,4,FALSE),"")</f>
        <v>39483</v>
      </c>
      <c r="M1639" s="10">
        <f>IFERROR(VLOOKUP(A1639,'[1]Sales Order'!A:F,6,FALSE),"")</f>
        <v>39488</v>
      </c>
      <c r="N1639" t="str">
        <f>IFERROR(VLOOKUP(VLOOKUP(A1639,'[1]Sales Order'!A:G,7,FALSE),[1]Shipper!A:B,2,FALSE),"Not Specified")</f>
        <v>Shipper ETYNR</v>
      </c>
      <c r="O1639" t="str">
        <f>IFERROR(VLOOKUP(A1639,'[1]Sales Order'!A:I,9,FALSE),"Not Specified")</f>
        <v>Ship to 9-B</v>
      </c>
      <c r="P1639" t="str">
        <f>IFERROR(VLOOKUP(A1639,'[1]Sales Order'!A:N,14,FALSE),"Not Specified")</f>
        <v>France</v>
      </c>
      <c r="Q1639" t="str">
        <f>VLOOKUP(VLOOKUP(B1639,[1]Product!A:C,3,FALSE),[1]Supplier!A:B,2,FALSE)</f>
        <v>Supplier GQRCV</v>
      </c>
      <c r="R1639" t="str">
        <f>VLOOKUP(VLOOKUP(B1639,[1]Product!A:C,3,FALSE),[1]Supplier!A:I,9,FALSE)</f>
        <v>Australia</v>
      </c>
      <c r="S1639" t="str">
        <f>IFERROR(IF(VLOOKUP(A1639,'[1]Sales Order'!A:H,8,FALSE)&gt;100,"High Freight","Low Freight"),"Not Specified")</f>
        <v>High Freight</v>
      </c>
      <c r="T1639">
        <f t="shared" si="51"/>
        <v>592.79999999999995</v>
      </c>
    </row>
    <row r="1640" spans="1:20">
      <c r="A1640" s="1">
        <v>10872</v>
      </c>
      <c r="B1640" s="2">
        <v>55</v>
      </c>
      <c r="C1640" s="2">
        <v>24</v>
      </c>
      <c r="D1640" s="2">
        <v>10</v>
      </c>
      <c r="E1640" s="3">
        <v>0.05</v>
      </c>
      <c r="F1640" s="2" t="str">
        <f>IFERROR(VLOOKUP(VLOOKUP(A1640,'[1]Sales Order'!A:B,2,FALSE),[1]Customer!A:C,3,FALSE),"Not Specified")</f>
        <v>Shabalin, Rostislav</v>
      </c>
      <c r="G1640" s="2" t="str">
        <f t="shared" si="50"/>
        <v>Shabalin Rostislav</v>
      </c>
      <c r="H1640" s="8" t="str">
        <f>IFERROR(VLOOKUP(VLOOKUP(A1640,'[1]Sales Order'!A:C,3,FALSE),[1]Employee!A:E,5,FALSE)&amp;" "&amp;VLOOKUP(VLOOKUP(A1640,'[1]Sales Order'!A:C,3,FALSE),[1]Employee!A:C,3,FALSE)&amp;" "&amp;VLOOKUP(VLOOKUP(A1640,'[1]Sales Order'!A:C,3,FALSE),[1]Employee!A:B,2,FALSE),"Not Specified")</f>
        <v>Mr. Sven Buck</v>
      </c>
      <c r="I1640">
        <f>IFERROR(VLOOKUP(VLOOKUP(A1640,'[1]Sales Order'!A:C,3,FALSE),[1]Employee!A:J,10,FALSE),"Not Specified")</f>
        <v>0</v>
      </c>
      <c r="J1640" t="str">
        <f>VLOOKUP(B1640,[1]Product!A:B,2,FALSE)</f>
        <v>Product YYWRT</v>
      </c>
      <c r="K1640" t="str">
        <f>VLOOKUP(VLOOKUP(B1640,[1]Product!A:D,4,FALSE),[1]Category!A:B,2,FALSE)</f>
        <v>Meat/Poultry</v>
      </c>
      <c r="L1640" s="10">
        <f>IFERROR(VLOOKUP(A1640,'[1]Sales Order'!A:D,4,FALSE),"")</f>
        <v>39483</v>
      </c>
      <c r="M1640" s="10">
        <f>IFERROR(VLOOKUP(A1640,'[1]Sales Order'!A:F,6,FALSE),"")</f>
        <v>39487</v>
      </c>
      <c r="N1640" t="str">
        <f>IFERROR(VLOOKUP(VLOOKUP(A1640,'[1]Sales Order'!A:G,7,FALSE),[1]Shipper!A:B,2,FALSE),"Not Specified")</f>
        <v>Shipper ETYNR</v>
      </c>
      <c r="O1640" t="str">
        <f>IFERROR(VLOOKUP(A1640,'[1]Sales Order'!A:I,9,FALSE),"Not Specified")</f>
        <v>Destination GGQIR</v>
      </c>
      <c r="P1640" t="str">
        <f>IFERROR(VLOOKUP(A1640,'[1]Sales Order'!A:N,14,FALSE),"Not Specified")</f>
        <v>Spain</v>
      </c>
      <c r="Q1640" t="str">
        <f>VLOOKUP(VLOOKUP(B1640,[1]Product!A:C,3,FALSE),[1]Supplier!A:B,2,FALSE)</f>
        <v>Supplier ERVYZ</v>
      </c>
      <c r="R1640" t="str">
        <f>VLOOKUP(VLOOKUP(B1640,[1]Product!A:C,3,FALSE),[1]Supplier!A:I,9,FALSE)</f>
        <v>Canada</v>
      </c>
      <c r="S1640" t="str">
        <f>IFERROR(IF(VLOOKUP(A1640,'[1]Sales Order'!A:H,8,FALSE)&gt;100,"High Freight","Low Freight"),"Not Specified")</f>
        <v>High Freight</v>
      </c>
      <c r="T1640">
        <f t="shared" si="51"/>
        <v>228</v>
      </c>
    </row>
    <row r="1641" spans="1:20">
      <c r="A1641" s="1">
        <v>10872</v>
      </c>
      <c r="B1641" s="2">
        <v>62</v>
      </c>
      <c r="C1641" s="2">
        <v>49.3</v>
      </c>
      <c r="D1641" s="2">
        <v>20</v>
      </c>
      <c r="E1641" s="3">
        <v>0.05</v>
      </c>
      <c r="F1641" s="2" t="str">
        <f>IFERROR(VLOOKUP(VLOOKUP(A1641,'[1]Sales Order'!A:B,2,FALSE),[1]Customer!A:C,3,FALSE),"Not Specified")</f>
        <v>Shabalin, Rostislav</v>
      </c>
      <c r="G1641" s="2" t="str">
        <f t="shared" si="50"/>
        <v>Shabalin Rostislav</v>
      </c>
      <c r="H1641" s="8" t="str">
        <f>IFERROR(VLOOKUP(VLOOKUP(A1641,'[1]Sales Order'!A:C,3,FALSE),[1]Employee!A:E,5,FALSE)&amp;" "&amp;VLOOKUP(VLOOKUP(A1641,'[1]Sales Order'!A:C,3,FALSE),[1]Employee!A:C,3,FALSE)&amp;" "&amp;VLOOKUP(VLOOKUP(A1641,'[1]Sales Order'!A:C,3,FALSE),[1]Employee!A:B,2,FALSE),"Not Specified")</f>
        <v>Mr. Sven Buck</v>
      </c>
      <c r="I1641">
        <f>IFERROR(VLOOKUP(VLOOKUP(A1641,'[1]Sales Order'!A:C,3,FALSE),[1]Employee!A:J,10,FALSE),"Not Specified")</f>
        <v>0</v>
      </c>
      <c r="J1641" t="str">
        <f>VLOOKUP(B1641,[1]Product!A:B,2,FALSE)</f>
        <v>Product WUXYK</v>
      </c>
      <c r="K1641" t="str">
        <f>VLOOKUP(VLOOKUP(B1641,[1]Product!A:D,4,FALSE),[1]Category!A:B,2,FALSE)</f>
        <v>Confections</v>
      </c>
      <c r="L1641" s="10">
        <f>IFERROR(VLOOKUP(A1641,'[1]Sales Order'!A:D,4,FALSE),"")</f>
        <v>39483</v>
      </c>
      <c r="M1641" s="10">
        <f>IFERROR(VLOOKUP(A1641,'[1]Sales Order'!A:F,6,FALSE),"")</f>
        <v>39487</v>
      </c>
      <c r="N1641" t="str">
        <f>IFERROR(VLOOKUP(VLOOKUP(A1641,'[1]Sales Order'!A:G,7,FALSE),[1]Shipper!A:B,2,FALSE),"Not Specified")</f>
        <v>Shipper ETYNR</v>
      </c>
      <c r="O1641" t="str">
        <f>IFERROR(VLOOKUP(A1641,'[1]Sales Order'!A:I,9,FALSE),"Not Specified")</f>
        <v>Destination GGQIR</v>
      </c>
      <c r="P1641" t="str">
        <f>IFERROR(VLOOKUP(A1641,'[1]Sales Order'!A:N,14,FALSE),"Not Specified")</f>
        <v>Spain</v>
      </c>
      <c r="Q1641" t="str">
        <f>VLOOKUP(VLOOKUP(B1641,[1]Product!A:C,3,FALSE),[1]Supplier!A:B,2,FALSE)</f>
        <v>Supplier OGLRK</v>
      </c>
      <c r="R1641" t="str">
        <f>VLOOKUP(VLOOKUP(B1641,[1]Product!A:C,3,FALSE),[1]Supplier!A:I,9,FALSE)</f>
        <v>Canada</v>
      </c>
      <c r="S1641" t="str">
        <f>IFERROR(IF(VLOOKUP(A1641,'[1]Sales Order'!A:H,8,FALSE)&gt;100,"High Freight","Low Freight"),"Not Specified")</f>
        <v>High Freight</v>
      </c>
      <c r="T1641">
        <f t="shared" si="51"/>
        <v>936.69999999999993</v>
      </c>
    </row>
    <row r="1642" spans="1:20">
      <c r="A1642" s="1">
        <v>10872</v>
      </c>
      <c r="B1642" s="2">
        <v>64</v>
      </c>
      <c r="C1642" s="2">
        <v>33.25</v>
      </c>
      <c r="D1642" s="2">
        <v>15</v>
      </c>
      <c r="E1642" s="3">
        <v>0.05</v>
      </c>
      <c r="F1642" s="2" t="str">
        <f>IFERROR(VLOOKUP(VLOOKUP(A1642,'[1]Sales Order'!A:B,2,FALSE),[1]Customer!A:C,3,FALSE),"Not Specified")</f>
        <v>Shabalin, Rostislav</v>
      </c>
      <c r="G1642" s="2" t="str">
        <f t="shared" si="50"/>
        <v>Shabalin Rostislav</v>
      </c>
      <c r="H1642" s="8" t="str">
        <f>IFERROR(VLOOKUP(VLOOKUP(A1642,'[1]Sales Order'!A:C,3,FALSE),[1]Employee!A:E,5,FALSE)&amp;" "&amp;VLOOKUP(VLOOKUP(A1642,'[1]Sales Order'!A:C,3,FALSE),[1]Employee!A:C,3,FALSE)&amp;" "&amp;VLOOKUP(VLOOKUP(A1642,'[1]Sales Order'!A:C,3,FALSE),[1]Employee!A:B,2,FALSE),"Not Specified")</f>
        <v>Mr. Sven Buck</v>
      </c>
      <c r="I1642">
        <f>IFERROR(VLOOKUP(VLOOKUP(A1642,'[1]Sales Order'!A:C,3,FALSE),[1]Employee!A:J,10,FALSE),"Not Specified")</f>
        <v>0</v>
      </c>
      <c r="J1642" t="str">
        <f>VLOOKUP(B1642,[1]Product!A:B,2,FALSE)</f>
        <v>Product HCQDE</v>
      </c>
      <c r="K1642" t="str">
        <f>VLOOKUP(VLOOKUP(B1642,[1]Product!A:D,4,FALSE),[1]Category!A:B,2,FALSE)</f>
        <v>Grains/Cereals</v>
      </c>
      <c r="L1642" s="10">
        <f>IFERROR(VLOOKUP(A1642,'[1]Sales Order'!A:D,4,FALSE),"")</f>
        <v>39483</v>
      </c>
      <c r="M1642" s="10">
        <f>IFERROR(VLOOKUP(A1642,'[1]Sales Order'!A:F,6,FALSE),"")</f>
        <v>39487</v>
      </c>
      <c r="N1642" t="str">
        <f>IFERROR(VLOOKUP(VLOOKUP(A1642,'[1]Sales Order'!A:G,7,FALSE),[1]Shipper!A:B,2,FALSE),"Not Specified")</f>
        <v>Shipper ETYNR</v>
      </c>
      <c r="O1642" t="str">
        <f>IFERROR(VLOOKUP(A1642,'[1]Sales Order'!A:I,9,FALSE),"Not Specified")</f>
        <v>Destination GGQIR</v>
      </c>
      <c r="P1642" t="str">
        <f>IFERROR(VLOOKUP(A1642,'[1]Sales Order'!A:N,14,FALSE),"Not Specified")</f>
        <v>Spain</v>
      </c>
      <c r="Q1642" t="str">
        <f>VLOOKUP(VLOOKUP(B1642,[1]Product!A:C,3,FALSE),[1]Supplier!A:B,2,FALSE)</f>
        <v>Supplier SVIYA</v>
      </c>
      <c r="R1642" t="str">
        <f>VLOOKUP(VLOOKUP(B1642,[1]Product!A:C,3,FALSE),[1]Supplier!A:I,9,FALSE)</f>
        <v>Germany</v>
      </c>
      <c r="S1642" t="str">
        <f>IFERROR(IF(VLOOKUP(A1642,'[1]Sales Order'!A:H,8,FALSE)&gt;100,"High Freight","Low Freight"),"Not Specified")</f>
        <v>High Freight</v>
      </c>
      <c r="T1642">
        <f t="shared" si="51"/>
        <v>473.8125</v>
      </c>
    </row>
    <row r="1643" spans="1:20">
      <c r="A1643" s="1">
        <v>10872</v>
      </c>
      <c r="B1643" s="2">
        <v>65</v>
      </c>
      <c r="C1643" s="2">
        <v>21.05</v>
      </c>
      <c r="D1643" s="2">
        <v>21</v>
      </c>
      <c r="E1643" s="3">
        <v>0.05</v>
      </c>
      <c r="F1643" s="2" t="str">
        <f>IFERROR(VLOOKUP(VLOOKUP(A1643,'[1]Sales Order'!A:B,2,FALSE),[1]Customer!A:C,3,FALSE),"Not Specified")</f>
        <v>Shabalin, Rostislav</v>
      </c>
      <c r="G1643" s="2" t="str">
        <f t="shared" si="50"/>
        <v>Shabalin Rostislav</v>
      </c>
      <c r="H1643" s="8" t="str">
        <f>IFERROR(VLOOKUP(VLOOKUP(A1643,'[1]Sales Order'!A:C,3,FALSE),[1]Employee!A:E,5,FALSE)&amp;" "&amp;VLOOKUP(VLOOKUP(A1643,'[1]Sales Order'!A:C,3,FALSE),[1]Employee!A:C,3,FALSE)&amp;" "&amp;VLOOKUP(VLOOKUP(A1643,'[1]Sales Order'!A:C,3,FALSE),[1]Employee!A:B,2,FALSE),"Not Specified")</f>
        <v>Mr. Sven Buck</v>
      </c>
      <c r="I1643">
        <f>IFERROR(VLOOKUP(VLOOKUP(A1643,'[1]Sales Order'!A:C,3,FALSE),[1]Employee!A:J,10,FALSE),"Not Specified")</f>
        <v>0</v>
      </c>
      <c r="J1643" t="str">
        <f>VLOOKUP(B1643,[1]Product!A:B,2,FALSE)</f>
        <v>Product XYWBZ</v>
      </c>
      <c r="K1643" t="str">
        <f>VLOOKUP(VLOOKUP(B1643,[1]Product!A:D,4,FALSE),[1]Category!A:B,2,FALSE)</f>
        <v>Condiments</v>
      </c>
      <c r="L1643" s="10">
        <f>IFERROR(VLOOKUP(A1643,'[1]Sales Order'!A:D,4,FALSE),"")</f>
        <v>39483</v>
      </c>
      <c r="M1643" s="10">
        <f>IFERROR(VLOOKUP(A1643,'[1]Sales Order'!A:F,6,FALSE),"")</f>
        <v>39487</v>
      </c>
      <c r="N1643" t="str">
        <f>IFERROR(VLOOKUP(VLOOKUP(A1643,'[1]Sales Order'!A:G,7,FALSE),[1]Shipper!A:B,2,FALSE),"Not Specified")</f>
        <v>Shipper ETYNR</v>
      </c>
      <c r="O1643" t="str">
        <f>IFERROR(VLOOKUP(A1643,'[1]Sales Order'!A:I,9,FALSE),"Not Specified")</f>
        <v>Destination GGQIR</v>
      </c>
      <c r="P1643" t="str">
        <f>IFERROR(VLOOKUP(A1643,'[1]Sales Order'!A:N,14,FALSE),"Not Specified")</f>
        <v>Spain</v>
      </c>
      <c r="Q1643" t="str">
        <f>VLOOKUP(VLOOKUP(B1643,[1]Product!A:C,3,FALSE),[1]Supplier!A:B,2,FALSE)</f>
        <v>Supplier VHQZD</v>
      </c>
      <c r="R1643" t="str">
        <f>VLOOKUP(VLOOKUP(B1643,[1]Product!A:C,3,FALSE),[1]Supplier!A:I,9,FALSE)</f>
        <v>USA</v>
      </c>
      <c r="S1643" t="str">
        <f>IFERROR(IF(VLOOKUP(A1643,'[1]Sales Order'!A:H,8,FALSE)&gt;100,"High Freight","Low Freight"),"Not Specified")</f>
        <v>High Freight</v>
      </c>
      <c r="T1643">
        <f t="shared" si="51"/>
        <v>419.94749999999999</v>
      </c>
    </row>
    <row r="1644" spans="1:20">
      <c r="A1644" s="1">
        <v>10873</v>
      </c>
      <c r="B1644" s="2">
        <v>21</v>
      </c>
      <c r="C1644" s="2">
        <v>10</v>
      </c>
      <c r="D1644" s="2">
        <v>20</v>
      </c>
      <c r="E1644" s="3">
        <v>0</v>
      </c>
      <c r="F1644" s="2" t="str">
        <f>IFERROR(VLOOKUP(VLOOKUP(A1644,'[1]Sales Order'!A:B,2,FALSE),[1]Customer!A:C,3,FALSE),"Not Specified")</f>
        <v>Larsson, Katarina</v>
      </c>
      <c r="G1644" s="2" t="str">
        <f t="shared" si="50"/>
        <v>Larsson Katarina</v>
      </c>
      <c r="H1644" s="8" t="str">
        <f>IFERROR(VLOOKUP(VLOOKUP(A1644,'[1]Sales Order'!A:C,3,FALSE),[1]Employee!A:E,5,FALSE)&amp;" "&amp;VLOOKUP(VLOOKUP(A1644,'[1]Sales Order'!A:C,3,FALSE),[1]Employee!A:C,3,FALSE)&amp;" "&amp;VLOOKUP(VLOOKUP(A1644,'[1]Sales Order'!A:C,3,FALSE),[1]Employee!A:B,2,FALSE),"Not Specified")</f>
        <v>Mrs. Yael Peled</v>
      </c>
      <c r="I1644" t="str">
        <f>IFERROR(VLOOKUP(VLOOKUP(A1644,'[1]Sales Order'!A:C,3,FALSE),[1]Employee!A:J,10,FALSE),"Not Specified")</f>
        <v>WA</v>
      </c>
      <c r="J1644" t="str">
        <f>VLOOKUP(B1644,[1]Product!A:B,2,FALSE)</f>
        <v>Product VJZZH</v>
      </c>
      <c r="K1644" t="str">
        <f>VLOOKUP(VLOOKUP(B1644,[1]Product!A:D,4,FALSE),[1]Category!A:B,2,FALSE)</f>
        <v>Confections</v>
      </c>
      <c r="L1644" s="10">
        <f>IFERROR(VLOOKUP(A1644,'[1]Sales Order'!A:D,4,FALSE),"")</f>
        <v>39484</v>
      </c>
      <c r="M1644" s="10">
        <f>IFERROR(VLOOKUP(A1644,'[1]Sales Order'!A:F,6,FALSE),"")</f>
        <v>39487</v>
      </c>
      <c r="N1644" t="str">
        <f>IFERROR(VLOOKUP(VLOOKUP(A1644,'[1]Sales Order'!A:G,7,FALSE),[1]Shipper!A:B,2,FALSE),"Not Specified")</f>
        <v>Shipper GVSUA</v>
      </c>
      <c r="O1644" t="str">
        <f>IFERROR(VLOOKUP(A1644,'[1]Sales Order'!A:I,9,FALSE),"Not Specified")</f>
        <v>Ship to 90-B</v>
      </c>
      <c r="P1644" t="str">
        <f>IFERROR(VLOOKUP(A1644,'[1]Sales Order'!A:N,14,FALSE),"Not Specified")</f>
        <v>Finland</v>
      </c>
      <c r="Q1644" t="str">
        <f>VLOOKUP(VLOOKUP(B1644,[1]Product!A:C,3,FALSE),[1]Supplier!A:B,2,FALSE)</f>
        <v>Supplier BWGYE</v>
      </c>
      <c r="R1644" t="str">
        <f>VLOOKUP(VLOOKUP(B1644,[1]Product!A:C,3,FALSE),[1]Supplier!A:I,9,FALSE)</f>
        <v>UK</v>
      </c>
      <c r="S1644" t="str">
        <f>IFERROR(IF(VLOOKUP(A1644,'[1]Sales Order'!A:H,8,FALSE)&gt;100,"High Freight","Low Freight"),"Not Specified")</f>
        <v>Low Freight</v>
      </c>
      <c r="T1644">
        <f t="shared" si="51"/>
        <v>200</v>
      </c>
    </row>
    <row r="1645" spans="1:20">
      <c r="A1645" s="1">
        <v>10873</v>
      </c>
      <c r="B1645" s="2">
        <v>28</v>
      </c>
      <c r="C1645" s="2">
        <v>45.6</v>
      </c>
      <c r="D1645" s="2">
        <v>3</v>
      </c>
      <c r="E1645" s="3">
        <v>0</v>
      </c>
      <c r="F1645" s="2" t="str">
        <f>IFERROR(VLOOKUP(VLOOKUP(A1645,'[1]Sales Order'!A:B,2,FALSE),[1]Customer!A:C,3,FALSE),"Not Specified")</f>
        <v>Larsson, Katarina</v>
      </c>
      <c r="G1645" s="2" t="str">
        <f t="shared" si="50"/>
        <v>Larsson Katarina</v>
      </c>
      <c r="H1645" s="8" t="str">
        <f>IFERROR(VLOOKUP(VLOOKUP(A1645,'[1]Sales Order'!A:C,3,FALSE),[1]Employee!A:E,5,FALSE)&amp;" "&amp;VLOOKUP(VLOOKUP(A1645,'[1]Sales Order'!A:C,3,FALSE),[1]Employee!A:C,3,FALSE)&amp;" "&amp;VLOOKUP(VLOOKUP(A1645,'[1]Sales Order'!A:C,3,FALSE),[1]Employee!A:B,2,FALSE),"Not Specified")</f>
        <v>Mrs. Yael Peled</v>
      </c>
      <c r="I1645" t="str">
        <f>IFERROR(VLOOKUP(VLOOKUP(A1645,'[1]Sales Order'!A:C,3,FALSE),[1]Employee!A:J,10,FALSE),"Not Specified")</f>
        <v>WA</v>
      </c>
      <c r="J1645" t="str">
        <f>VLOOKUP(B1645,[1]Product!A:B,2,FALSE)</f>
        <v>Product OFBNT</v>
      </c>
      <c r="K1645" t="str">
        <f>VLOOKUP(VLOOKUP(B1645,[1]Product!A:D,4,FALSE),[1]Category!A:B,2,FALSE)</f>
        <v>Produce</v>
      </c>
      <c r="L1645" s="10">
        <f>IFERROR(VLOOKUP(A1645,'[1]Sales Order'!A:D,4,FALSE),"")</f>
        <v>39484</v>
      </c>
      <c r="M1645" s="10">
        <f>IFERROR(VLOOKUP(A1645,'[1]Sales Order'!A:F,6,FALSE),"")</f>
        <v>39487</v>
      </c>
      <c r="N1645" t="str">
        <f>IFERROR(VLOOKUP(VLOOKUP(A1645,'[1]Sales Order'!A:G,7,FALSE),[1]Shipper!A:B,2,FALSE),"Not Specified")</f>
        <v>Shipper GVSUA</v>
      </c>
      <c r="O1645" t="str">
        <f>IFERROR(VLOOKUP(A1645,'[1]Sales Order'!A:I,9,FALSE),"Not Specified")</f>
        <v>Ship to 90-B</v>
      </c>
      <c r="P1645" t="str">
        <f>IFERROR(VLOOKUP(A1645,'[1]Sales Order'!A:N,14,FALSE),"Not Specified")</f>
        <v>Finland</v>
      </c>
      <c r="Q1645" t="str">
        <f>VLOOKUP(VLOOKUP(B1645,[1]Product!A:C,3,FALSE),[1]Supplier!A:B,2,FALSE)</f>
        <v>Supplier SVIYA</v>
      </c>
      <c r="R1645" t="str">
        <f>VLOOKUP(VLOOKUP(B1645,[1]Product!A:C,3,FALSE),[1]Supplier!A:I,9,FALSE)</f>
        <v>Germany</v>
      </c>
      <c r="S1645" t="str">
        <f>IFERROR(IF(VLOOKUP(A1645,'[1]Sales Order'!A:H,8,FALSE)&gt;100,"High Freight","Low Freight"),"Not Specified")</f>
        <v>Low Freight</v>
      </c>
      <c r="T1645">
        <f t="shared" si="51"/>
        <v>136.80000000000001</v>
      </c>
    </row>
    <row r="1646" spans="1:20">
      <c r="A1646" s="1">
        <v>10874</v>
      </c>
      <c r="B1646" s="2">
        <v>10</v>
      </c>
      <c r="C1646" s="2">
        <v>31</v>
      </c>
      <c r="D1646" s="2">
        <v>10</v>
      </c>
      <c r="E1646" s="3">
        <v>0</v>
      </c>
      <c r="F1646" s="2" t="str">
        <f>IFERROR(VLOOKUP(VLOOKUP(A1646,'[1]Sales Order'!A:B,2,FALSE),[1]Customer!A:C,3,FALSE),"Not Specified")</f>
        <v>Shabalin, Rostislav</v>
      </c>
      <c r="G1646" s="2" t="str">
        <f t="shared" si="50"/>
        <v>Shabalin Rostislav</v>
      </c>
      <c r="H1646" s="8" t="str">
        <f>IFERROR(VLOOKUP(VLOOKUP(A1646,'[1]Sales Order'!A:C,3,FALSE),[1]Employee!A:E,5,FALSE)&amp;" "&amp;VLOOKUP(VLOOKUP(A1646,'[1]Sales Order'!A:C,3,FALSE),[1]Employee!A:C,3,FALSE)&amp;" "&amp;VLOOKUP(VLOOKUP(A1646,'[1]Sales Order'!A:C,3,FALSE),[1]Employee!A:B,2,FALSE),"Not Specified")</f>
        <v>Mr. Sven Buck</v>
      </c>
      <c r="I1646">
        <f>IFERROR(VLOOKUP(VLOOKUP(A1646,'[1]Sales Order'!A:C,3,FALSE),[1]Employee!A:J,10,FALSE),"Not Specified")</f>
        <v>0</v>
      </c>
      <c r="J1646" t="str">
        <f>VLOOKUP(B1646,[1]Product!A:B,2,FALSE)</f>
        <v>Product YHXGE</v>
      </c>
      <c r="K1646" t="str">
        <f>VLOOKUP(VLOOKUP(B1646,[1]Product!A:D,4,FALSE),[1]Category!A:B,2,FALSE)</f>
        <v>Seafood</v>
      </c>
      <c r="L1646" s="10">
        <f>IFERROR(VLOOKUP(A1646,'[1]Sales Order'!A:D,4,FALSE),"")</f>
        <v>39484</v>
      </c>
      <c r="M1646" s="10">
        <f>IFERROR(VLOOKUP(A1646,'[1]Sales Order'!A:F,6,FALSE),"")</f>
        <v>39489</v>
      </c>
      <c r="N1646" t="str">
        <f>IFERROR(VLOOKUP(VLOOKUP(A1646,'[1]Sales Order'!A:G,7,FALSE),[1]Shipper!A:B,2,FALSE),"Not Specified")</f>
        <v>Shipper ETYNR</v>
      </c>
      <c r="O1646" t="str">
        <f>IFERROR(VLOOKUP(A1646,'[1]Sales Order'!A:I,9,FALSE),"Not Specified")</f>
        <v>Destination IIYDD</v>
      </c>
      <c r="P1646" t="str">
        <f>IFERROR(VLOOKUP(A1646,'[1]Sales Order'!A:N,14,FALSE),"Not Specified")</f>
        <v>Spain</v>
      </c>
      <c r="Q1646" t="str">
        <f>VLOOKUP(VLOOKUP(B1646,[1]Product!A:C,3,FALSE),[1]Supplier!A:B,2,FALSE)</f>
        <v>Supplier QOVFD</v>
      </c>
      <c r="R1646" t="str">
        <f>VLOOKUP(VLOOKUP(B1646,[1]Product!A:C,3,FALSE),[1]Supplier!A:I,9,FALSE)</f>
        <v>Japan</v>
      </c>
      <c r="S1646" t="str">
        <f>IFERROR(IF(VLOOKUP(A1646,'[1]Sales Order'!A:H,8,FALSE)&gt;100,"High Freight","Low Freight"),"Not Specified")</f>
        <v>Low Freight</v>
      </c>
      <c r="T1646">
        <f t="shared" si="51"/>
        <v>310</v>
      </c>
    </row>
    <row r="1647" spans="1:20">
      <c r="A1647" s="1">
        <v>10875</v>
      </c>
      <c r="B1647" s="2">
        <v>19</v>
      </c>
      <c r="C1647" s="2">
        <v>9.1999999999999993</v>
      </c>
      <c r="D1647" s="2">
        <v>25</v>
      </c>
      <c r="E1647" s="3">
        <v>0</v>
      </c>
      <c r="F1647" s="2" t="str">
        <f>IFERROR(VLOOKUP(VLOOKUP(A1647,'[1]Sales Order'!A:B,2,FALSE),[1]Customer!A:C,3,FALSE),"Not Specified")</f>
        <v>Higginbotham, Tom</v>
      </c>
      <c r="G1647" s="2" t="str">
        <f t="shared" si="50"/>
        <v>Higginbotham Tom</v>
      </c>
      <c r="H1647" s="8" t="str">
        <f>IFERROR(VLOOKUP(VLOOKUP(A1647,'[1]Sales Order'!A:C,3,FALSE),[1]Employee!A:E,5,FALSE)&amp;" "&amp;VLOOKUP(VLOOKUP(A1647,'[1]Sales Order'!A:C,3,FALSE),[1]Employee!A:C,3,FALSE)&amp;" "&amp;VLOOKUP(VLOOKUP(A1647,'[1]Sales Order'!A:C,3,FALSE),[1]Employee!A:B,2,FALSE),"Not Specified")</f>
        <v>Mrs. Yael Peled</v>
      </c>
      <c r="I1647" t="str">
        <f>IFERROR(VLOOKUP(VLOOKUP(A1647,'[1]Sales Order'!A:C,3,FALSE),[1]Employee!A:J,10,FALSE),"Not Specified")</f>
        <v>WA</v>
      </c>
      <c r="J1647" t="str">
        <f>VLOOKUP(B1647,[1]Product!A:B,2,FALSE)</f>
        <v>Product XKXDO</v>
      </c>
      <c r="K1647" t="str">
        <f>VLOOKUP(VLOOKUP(B1647,[1]Product!A:D,4,FALSE),[1]Category!A:B,2,FALSE)</f>
        <v>Confections</v>
      </c>
      <c r="L1647" s="10">
        <f>IFERROR(VLOOKUP(A1647,'[1]Sales Order'!A:D,4,FALSE),"")</f>
        <v>39484</v>
      </c>
      <c r="M1647" s="10">
        <f>IFERROR(VLOOKUP(A1647,'[1]Sales Order'!A:F,6,FALSE),"")</f>
        <v>39510</v>
      </c>
      <c r="N1647" t="str">
        <f>IFERROR(VLOOKUP(VLOOKUP(A1647,'[1]Sales Order'!A:G,7,FALSE),[1]Shipper!A:B,2,FALSE),"Not Specified")</f>
        <v>Shipper ETYNR</v>
      </c>
      <c r="O1647" t="str">
        <f>IFERROR(VLOOKUP(A1647,'[1]Sales Order'!A:I,9,FALSE),"Not Specified")</f>
        <v>Ship to 5-A</v>
      </c>
      <c r="P1647" t="str">
        <f>IFERROR(VLOOKUP(A1647,'[1]Sales Order'!A:N,14,FALSE),"Not Specified")</f>
        <v>Sweden</v>
      </c>
      <c r="Q1647" t="str">
        <f>VLOOKUP(VLOOKUP(B1647,[1]Product!A:C,3,FALSE),[1]Supplier!A:B,2,FALSE)</f>
        <v>Supplier BWGYE</v>
      </c>
      <c r="R1647" t="str">
        <f>VLOOKUP(VLOOKUP(B1647,[1]Product!A:C,3,FALSE),[1]Supplier!A:I,9,FALSE)</f>
        <v>UK</v>
      </c>
      <c r="S1647" t="str">
        <f>IFERROR(IF(VLOOKUP(A1647,'[1]Sales Order'!A:H,8,FALSE)&gt;100,"High Freight","Low Freight"),"Not Specified")</f>
        <v>Low Freight</v>
      </c>
      <c r="T1647">
        <f t="shared" si="51"/>
        <v>229.99999999999997</v>
      </c>
    </row>
    <row r="1648" spans="1:20">
      <c r="A1648" s="1">
        <v>10875</v>
      </c>
      <c r="B1648" s="2">
        <v>47</v>
      </c>
      <c r="C1648" s="2">
        <v>9.5</v>
      </c>
      <c r="D1648" s="2">
        <v>21</v>
      </c>
      <c r="E1648" s="3">
        <v>0.1</v>
      </c>
      <c r="F1648" s="2" t="str">
        <f>IFERROR(VLOOKUP(VLOOKUP(A1648,'[1]Sales Order'!A:B,2,FALSE),[1]Customer!A:C,3,FALSE),"Not Specified")</f>
        <v>Higginbotham, Tom</v>
      </c>
      <c r="G1648" s="2" t="str">
        <f t="shared" si="50"/>
        <v>Higginbotham Tom</v>
      </c>
      <c r="H1648" s="8" t="str">
        <f>IFERROR(VLOOKUP(VLOOKUP(A1648,'[1]Sales Order'!A:C,3,FALSE),[1]Employee!A:E,5,FALSE)&amp;" "&amp;VLOOKUP(VLOOKUP(A1648,'[1]Sales Order'!A:C,3,FALSE),[1]Employee!A:C,3,FALSE)&amp;" "&amp;VLOOKUP(VLOOKUP(A1648,'[1]Sales Order'!A:C,3,FALSE),[1]Employee!A:B,2,FALSE),"Not Specified")</f>
        <v>Mrs. Yael Peled</v>
      </c>
      <c r="I1648" t="str">
        <f>IFERROR(VLOOKUP(VLOOKUP(A1648,'[1]Sales Order'!A:C,3,FALSE),[1]Employee!A:J,10,FALSE),"Not Specified")</f>
        <v>WA</v>
      </c>
      <c r="J1648" t="str">
        <f>VLOOKUP(B1648,[1]Product!A:B,2,FALSE)</f>
        <v>Product EZZPR</v>
      </c>
      <c r="K1648" t="str">
        <f>VLOOKUP(VLOOKUP(B1648,[1]Product!A:D,4,FALSE),[1]Category!A:B,2,FALSE)</f>
        <v>Confections</v>
      </c>
      <c r="L1648" s="10">
        <f>IFERROR(VLOOKUP(A1648,'[1]Sales Order'!A:D,4,FALSE),"")</f>
        <v>39484</v>
      </c>
      <c r="M1648" s="10">
        <f>IFERROR(VLOOKUP(A1648,'[1]Sales Order'!A:F,6,FALSE),"")</f>
        <v>39510</v>
      </c>
      <c r="N1648" t="str">
        <f>IFERROR(VLOOKUP(VLOOKUP(A1648,'[1]Sales Order'!A:G,7,FALSE),[1]Shipper!A:B,2,FALSE),"Not Specified")</f>
        <v>Shipper ETYNR</v>
      </c>
      <c r="O1648" t="str">
        <f>IFERROR(VLOOKUP(A1648,'[1]Sales Order'!A:I,9,FALSE),"Not Specified")</f>
        <v>Ship to 5-A</v>
      </c>
      <c r="P1648" t="str">
        <f>IFERROR(VLOOKUP(A1648,'[1]Sales Order'!A:N,14,FALSE),"Not Specified")</f>
        <v>Sweden</v>
      </c>
      <c r="Q1648" t="str">
        <f>VLOOKUP(VLOOKUP(B1648,[1]Product!A:C,3,FALSE),[1]Supplier!A:B,2,FALSE)</f>
        <v>Supplier FNUXM</v>
      </c>
      <c r="R1648" t="str">
        <f>VLOOKUP(VLOOKUP(B1648,[1]Product!A:C,3,FALSE),[1]Supplier!A:I,9,FALSE)</f>
        <v>Netherlands</v>
      </c>
      <c r="S1648" t="str">
        <f>IFERROR(IF(VLOOKUP(A1648,'[1]Sales Order'!A:H,8,FALSE)&gt;100,"High Freight","Low Freight"),"Not Specified")</f>
        <v>Low Freight</v>
      </c>
      <c r="T1648">
        <f t="shared" si="51"/>
        <v>179.55</v>
      </c>
    </row>
    <row r="1649" spans="1:20">
      <c r="A1649" s="1">
        <v>10875</v>
      </c>
      <c r="B1649" s="2">
        <v>49</v>
      </c>
      <c r="C1649" s="2">
        <v>20</v>
      </c>
      <c r="D1649" s="2">
        <v>15</v>
      </c>
      <c r="E1649" s="3">
        <v>0</v>
      </c>
      <c r="F1649" s="2" t="str">
        <f>IFERROR(VLOOKUP(VLOOKUP(A1649,'[1]Sales Order'!A:B,2,FALSE),[1]Customer!A:C,3,FALSE),"Not Specified")</f>
        <v>Higginbotham, Tom</v>
      </c>
      <c r="G1649" s="2" t="str">
        <f t="shared" si="50"/>
        <v>Higginbotham Tom</v>
      </c>
      <c r="H1649" s="8" t="str">
        <f>IFERROR(VLOOKUP(VLOOKUP(A1649,'[1]Sales Order'!A:C,3,FALSE),[1]Employee!A:E,5,FALSE)&amp;" "&amp;VLOOKUP(VLOOKUP(A1649,'[1]Sales Order'!A:C,3,FALSE),[1]Employee!A:C,3,FALSE)&amp;" "&amp;VLOOKUP(VLOOKUP(A1649,'[1]Sales Order'!A:C,3,FALSE),[1]Employee!A:B,2,FALSE),"Not Specified")</f>
        <v>Mrs. Yael Peled</v>
      </c>
      <c r="I1649" t="str">
        <f>IFERROR(VLOOKUP(VLOOKUP(A1649,'[1]Sales Order'!A:C,3,FALSE),[1]Employee!A:J,10,FALSE),"Not Specified")</f>
        <v>WA</v>
      </c>
      <c r="J1649" t="str">
        <f>VLOOKUP(B1649,[1]Product!A:B,2,FALSE)</f>
        <v>Product FPYPN</v>
      </c>
      <c r="K1649" t="str">
        <f>VLOOKUP(VLOOKUP(B1649,[1]Product!A:D,4,FALSE),[1]Category!A:B,2,FALSE)</f>
        <v>Confections</v>
      </c>
      <c r="L1649" s="10">
        <f>IFERROR(VLOOKUP(A1649,'[1]Sales Order'!A:D,4,FALSE),"")</f>
        <v>39484</v>
      </c>
      <c r="M1649" s="10">
        <f>IFERROR(VLOOKUP(A1649,'[1]Sales Order'!A:F,6,FALSE),"")</f>
        <v>39510</v>
      </c>
      <c r="N1649" t="str">
        <f>IFERROR(VLOOKUP(VLOOKUP(A1649,'[1]Sales Order'!A:G,7,FALSE),[1]Shipper!A:B,2,FALSE),"Not Specified")</f>
        <v>Shipper ETYNR</v>
      </c>
      <c r="O1649" t="str">
        <f>IFERROR(VLOOKUP(A1649,'[1]Sales Order'!A:I,9,FALSE),"Not Specified")</f>
        <v>Ship to 5-A</v>
      </c>
      <c r="P1649" t="str">
        <f>IFERROR(VLOOKUP(A1649,'[1]Sales Order'!A:N,14,FALSE),"Not Specified")</f>
        <v>Sweden</v>
      </c>
      <c r="Q1649" t="str">
        <f>VLOOKUP(VLOOKUP(B1649,[1]Product!A:C,3,FALSE),[1]Supplier!A:B,2,FALSE)</f>
        <v>Supplier ELCRN</v>
      </c>
      <c r="R1649" t="str">
        <f>VLOOKUP(VLOOKUP(B1649,[1]Product!A:C,3,FALSE),[1]Supplier!A:I,9,FALSE)</f>
        <v>Finland</v>
      </c>
      <c r="S1649" t="str">
        <f>IFERROR(IF(VLOOKUP(A1649,'[1]Sales Order'!A:H,8,FALSE)&gt;100,"High Freight","Low Freight"),"Not Specified")</f>
        <v>Low Freight</v>
      </c>
      <c r="T1649">
        <f t="shared" si="51"/>
        <v>300</v>
      </c>
    </row>
    <row r="1650" spans="1:20">
      <c r="A1650" s="1">
        <v>10876</v>
      </c>
      <c r="B1650" s="2">
        <v>46</v>
      </c>
      <c r="C1650" s="2">
        <v>12</v>
      </c>
      <c r="D1650" s="2">
        <v>21</v>
      </c>
      <c r="E1650" s="3">
        <v>0</v>
      </c>
      <c r="F1650" s="2" t="str">
        <f>IFERROR(VLOOKUP(VLOOKUP(A1650,'[1]Sales Order'!A:B,2,FALSE),[1]Customer!A:C,3,FALSE),"Not Specified")</f>
        <v>Raghav, Amritansh</v>
      </c>
      <c r="G1650" s="2" t="str">
        <f t="shared" si="50"/>
        <v>Raghav Amritansh</v>
      </c>
      <c r="H1650" s="8" t="str">
        <f>IFERROR(VLOOKUP(VLOOKUP(A1650,'[1]Sales Order'!A:C,3,FALSE),[1]Employee!A:E,5,FALSE)&amp;" "&amp;VLOOKUP(VLOOKUP(A1650,'[1]Sales Order'!A:C,3,FALSE),[1]Employee!A:C,3,FALSE)&amp;" "&amp;VLOOKUP(VLOOKUP(A1650,'[1]Sales Order'!A:C,3,FALSE),[1]Employee!A:B,2,FALSE),"Not Specified")</f>
        <v>Mr. Russell King</v>
      </c>
      <c r="I1650">
        <f>IFERROR(VLOOKUP(VLOOKUP(A1650,'[1]Sales Order'!A:C,3,FALSE),[1]Employee!A:J,10,FALSE),"Not Specified")</f>
        <v>0</v>
      </c>
      <c r="J1650" t="str">
        <f>VLOOKUP(B1650,[1]Product!A:B,2,FALSE)</f>
        <v>Product CBRRL</v>
      </c>
      <c r="K1650" t="str">
        <f>VLOOKUP(VLOOKUP(B1650,[1]Product!A:D,4,FALSE),[1]Category!A:B,2,FALSE)</f>
        <v>Seafood</v>
      </c>
      <c r="L1650" s="10">
        <f>IFERROR(VLOOKUP(A1650,'[1]Sales Order'!A:D,4,FALSE),"")</f>
        <v>39487</v>
      </c>
      <c r="M1650" s="10">
        <f>IFERROR(VLOOKUP(A1650,'[1]Sales Order'!A:F,6,FALSE),"")</f>
        <v>39490</v>
      </c>
      <c r="N1650" t="str">
        <f>IFERROR(VLOOKUP(VLOOKUP(A1650,'[1]Sales Order'!A:G,7,FALSE),[1]Shipper!A:B,2,FALSE),"Not Specified")</f>
        <v>Shipper ZHISN</v>
      </c>
      <c r="O1650" t="str">
        <f>IFERROR(VLOOKUP(A1650,'[1]Sales Order'!A:I,9,FALSE),"Not Specified")</f>
        <v>Ship to 9-A</v>
      </c>
      <c r="P1650" t="str">
        <f>IFERROR(VLOOKUP(A1650,'[1]Sales Order'!A:N,14,FALSE),"Not Specified")</f>
        <v>France</v>
      </c>
      <c r="Q1650" t="str">
        <f>VLOOKUP(VLOOKUP(B1650,[1]Product!A:C,3,FALSE),[1]Supplier!A:B,2,FALSE)</f>
        <v>Supplier XOXZA</v>
      </c>
      <c r="R1650" t="str">
        <f>VLOOKUP(VLOOKUP(B1650,[1]Product!A:C,3,FALSE),[1]Supplier!A:I,9,FALSE)</f>
        <v>Denmark</v>
      </c>
      <c r="S1650" t="str">
        <f>IFERROR(IF(VLOOKUP(A1650,'[1]Sales Order'!A:H,8,FALSE)&gt;100,"High Freight","Low Freight"),"Not Specified")</f>
        <v>Low Freight</v>
      </c>
      <c r="T1650">
        <f t="shared" si="51"/>
        <v>252</v>
      </c>
    </row>
    <row r="1651" spans="1:20">
      <c r="A1651" s="1">
        <v>10876</v>
      </c>
      <c r="B1651" s="2">
        <v>64</v>
      </c>
      <c r="C1651" s="2">
        <v>33.25</v>
      </c>
      <c r="D1651" s="2">
        <v>20</v>
      </c>
      <c r="E1651" s="3">
        <v>0</v>
      </c>
      <c r="F1651" s="2" t="str">
        <f>IFERROR(VLOOKUP(VLOOKUP(A1651,'[1]Sales Order'!A:B,2,FALSE),[1]Customer!A:C,3,FALSE),"Not Specified")</f>
        <v>Raghav, Amritansh</v>
      </c>
      <c r="G1651" s="2" t="str">
        <f t="shared" si="50"/>
        <v>Raghav Amritansh</v>
      </c>
      <c r="H1651" s="8" t="str">
        <f>IFERROR(VLOOKUP(VLOOKUP(A1651,'[1]Sales Order'!A:C,3,FALSE),[1]Employee!A:E,5,FALSE)&amp;" "&amp;VLOOKUP(VLOOKUP(A1651,'[1]Sales Order'!A:C,3,FALSE),[1]Employee!A:C,3,FALSE)&amp;" "&amp;VLOOKUP(VLOOKUP(A1651,'[1]Sales Order'!A:C,3,FALSE),[1]Employee!A:B,2,FALSE),"Not Specified")</f>
        <v>Mr. Russell King</v>
      </c>
      <c r="I1651">
        <f>IFERROR(VLOOKUP(VLOOKUP(A1651,'[1]Sales Order'!A:C,3,FALSE),[1]Employee!A:J,10,FALSE),"Not Specified")</f>
        <v>0</v>
      </c>
      <c r="J1651" t="str">
        <f>VLOOKUP(B1651,[1]Product!A:B,2,FALSE)</f>
        <v>Product HCQDE</v>
      </c>
      <c r="K1651" t="str">
        <f>VLOOKUP(VLOOKUP(B1651,[1]Product!A:D,4,FALSE),[1]Category!A:B,2,FALSE)</f>
        <v>Grains/Cereals</v>
      </c>
      <c r="L1651" s="10">
        <f>IFERROR(VLOOKUP(A1651,'[1]Sales Order'!A:D,4,FALSE),"")</f>
        <v>39487</v>
      </c>
      <c r="M1651" s="10">
        <f>IFERROR(VLOOKUP(A1651,'[1]Sales Order'!A:F,6,FALSE),"")</f>
        <v>39490</v>
      </c>
      <c r="N1651" t="str">
        <f>IFERROR(VLOOKUP(VLOOKUP(A1651,'[1]Sales Order'!A:G,7,FALSE),[1]Shipper!A:B,2,FALSE),"Not Specified")</f>
        <v>Shipper ZHISN</v>
      </c>
      <c r="O1651" t="str">
        <f>IFERROR(VLOOKUP(A1651,'[1]Sales Order'!A:I,9,FALSE),"Not Specified")</f>
        <v>Ship to 9-A</v>
      </c>
      <c r="P1651" t="str">
        <f>IFERROR(VLOOKUP(A1651,'[1]Sales Order'!A:N,14,FALSE),"Not Specified")</f>
        <v>France</v>
      </c>
      <c r="Q1651" t="str">
        <f>VLOOKUP(VLOOKUP(B1651,[1]Product!A:C,3,FALSE),[1]Supplier!A:B,2,FALSE)</f>
        <v>Supplier SVIYA</v>
      </c>
      <c r="R1651" t="str">
        <f>VLOOKUP(VLOOKUP(B1651,[1]Product!A:C,3,FALSE),[1]Supplier!A:I,9,FALSE)</f>
        <v>Germany</v>
      </c>
      <c r="S1651" t="str">
        <f>IFERROR(IF(VLOOKUP(A1651,'[1]Sales Order'!A:H,8,FALSE)&gt;100,"High Freight","Low Freight"),"Not Specified")</f>
        <v>Low Freight</v>
      </c>
      <c r="T1651">
        <f t="shared" si="51"/>
        <v>665</v>
      </c>
    </row>
    <row r="1652" spans="1:20">
      <c r="A1652" s="1">
        <v>10877</v>
      </c>
      <c r="B1652" s="2">
        <v>16</v>
      </c>
      <c r="C1652" s="2">
        <v>17.45</v>
      </c>
      <c r="D1652" s="2">
        <v>30</v>
      </c>
      <c r="E1652" s="3">
        <v>0.25</v>
      </c>
      <c r="F1652" s="2" t="str">
        <f>IFERROR(VLOOKUP(VLOOKUP(A1652,'[1]Sales Order'!A:B,2,FALSE),[1]Customer!A:C,3,FALSE),"Not Specified")</f>
        <v>Garden, Euan</v>
      </c>
      <c r="G1652" s="2" t="str">
        <f t="shared" si="50"/>
        <v>Garden Euan</v>
      </c>
      <c r="H1652" s="8" t="str">
        <f>IFERROR(VLOOKUP(VLOOKUP(A1652,'[1]Sales Order'!A:C,3,FALSE),[1]Employee!A:E,5,FALSE)&amp;" "&amp;VLOOKUP(VLOOKUP(A1652,'[1]Sales Order'!A:C,3,FALSE),[1]Employee!A:C,3,FALSE)&amp;" "&amp;VLOOKUP(VLOOKUP(A1652,'[1]Sales Order'!A:C,3,FALSE),[1]Employee!A:B,2,FALSE),"Not Specified")</f>
        <v>Ms. Sara Davis</v>
      </c>
      <c r="I1652" t="str">
        <f>IFERROR(VLOOKUP(VLOOKUP(A1652,'[1]Sales Order'!A:C,3,FALSE),[1]Employee!A:J,10,FALSE),"Not Specified")</f>
        <v>WA</v>
      </c>
      <c r="J1652" t="str">
        <f>VLOOKUP(B1652,[1]Product!A:B,2,FALSE)</f>
        <v>Product PAFRH</v>
      </c>
      <c r="K1652" t="str">
        <f>VLOOKUP(VLOOKUP(B1652,[1]Product!A:D,4,FALSE),[1]Category!A:B,2,FALSE)</f>
        <v>Confections</v>
      </c>
      <c r="L1652" s="10">
        <f>IFERROR(VLOOKUP(A1652,'[1]Sales Order'!A:D,4,FALSE),"")</f>
        <v>39487</v>
      </c>
      <c r="M1652" s="10">
        <f>IFERROR(VLOOKUP(A1652,'[1]Sales Order'!A:F,6,FALSE),"")</f>
        <v>39497</v>
      </c>
      <c r="N1652" t="str">
        <f>IFERROR(VLOOKUP(VLOOKUP(A1652,'[1]Sales Order'!A:G,7,FALSE),[1]Shipper!A:B,2,FALSE),"Not Specified")</f>
        <v>Shipper GVSUA</v>
      </c>
      <c r="O1652" t="str">
        <f>IFERROR(VLOOKUP(A1652,'[1]Sales Order'!A:I,9,FALSE),"Not Specified")</f>
        <v>Ship to 67-B</v>
      </c>
      <c r="P1652" t="str">
        <f>IFERROR(VLOOKUP(A1652,'[1]Sales Order'!A:N,14,FALSE),"Not Specified")</f>
        <v>Brazil</v>
      </c>
      <c r="Q1652" t="str">
        <f>VLOOKUP(VLOOKUP(B1652,[1]Product!A:C,3,FALSE),[1]Supplier!A:B,2,FALSE)</f>
        <v>Supplier GQRCV</v>
      </c>
      <c r="R1652" t="str">
        <f>VLOOKUP(VLOOKUP(B1652,[1]Product!A:C,3,FALSE),[1]Supplier!A:I,9,FALSE)</f>
        <v>Australia</v>
      </c>
      <c r="S1652" t="str">
        <f>IFERROR(IF(VLOOKUP(A1652,'[1]Sales Order'!A:H,8,FALSE)&gt;100,"High Freight","Low Freight"),"Not Specified")</f>
        <v>Low Freight</v>
      </c>
      <c r="T1652">
        <f t="shared" si="51"/>
        <v>392.625</v>
      </c>
    </row>
    <row r="1653" spans="1:20">
      <c r="A1653" s="1">
        <v>10877</v>
      </c>
      <c r="B1653" s="2">
        <v>18</v>
      </c>
      <c r="C1653" s="2">
        <v>62.5</v>
      </c>
      <c r="D1653" s="2">
        <v>25</v>
      </c>
      <c r="E1653" s="3">
        <v>0</v>
      </c>
      <c r="F1653" s="2" t="str">
        <f>IFERROR(VLOOKUP(VLOOKUP(A1653,'[1]Sales Order'!A:B,2,FALSE),[1]Customer!A:C,3,FALSE),"Not Specified")</f>
        <v>Garden, Euan</v>
      </c>
      <c r="G1653" s="2" t="str">
        <f t="shared" si="50"/>
        <v>Garden Euan</v>
      </c>
      <c r="H1653" s="8" t="str">
        <f>IFERROR(VLOOKUP(VLOOKUP(A1653,'[1]Sales Order'!A:C,3,FALSE),[1]Employee!A:E,5,FALSE)&amp;" "&amp;VLOOKUP(VLOOKUP(A1653,'[1]Sales Order'!A:C,3,FALSE),[1]Employee!A:C,3,FALSE)&amp;" "&amp;VLOOKUP(VLOOKUP(A1653,'[1]Sales Order'!A:C,3,FALSE),[1]Employee!A:B,2,FALSE),"Not Specified")</f>
        <v>Ms. Sara Davis</v>
      </c>
      <c r="I1653" t="str">
        <f>IFERROR(VLOOKUP(VLOOKUP(A1653,'[1]Sales Order'!A:C,3,FALSE),[1]Employee!A:J,10,FALSE),"Not Specified")</f>
        <v>WA</v>
      </c>
      <c r="J1653" t="str">
        <f>VLOOKUP(B1653,[1]Product!A:B,2,FALSE)</f>
        <v>Product CKEDC</v>
      </c>
      <c r="K1653" t="str">
        <f>VLOOKUP(VLOOKUP(B1653,[1]Product!A:D,4,FALSE),[1]Category!A:B,2,FALSE)</f>
        <v>Seafood</v>
      </c>
      <c r="L1653" s="10">
        <f>IFERROR(VLOOKUP(A1653,'[1]Sales Order'!A:D,4,FALSE),"")</f>
        <v>39487</v>
      </c>
      <c r="M1653" s="10">
        <f>IFERROR(VLOOKUP(A1653,'[1]Sales Order'!A:F,6,FALSE),"")</f>
        <v>39497</v>
      </c>
      <c r="N1653" t="str">
        <f>IFERROR(VLOOKUP(VLOOKUP(A1653,'[1]Sales Order'!A:G,7,FALSE),[1]Shipper!A:B,2,FALSE),"Not Specified")</f>
        <v>Shipper GVSUA</v>
      </c>
      <c r="O1653" t="str">
        <f>IFERROR(VLOOKUP(A1653,'[1]Sales Order'!A:I,9,FALSE),"Not Specified")</f>
        <v>Ship to 67-B</v>
      </c>
      <c r="P1653" t="str">
        <f>IFERROR(VLOOKUP(A1653,'[1]Sales Order'!A:N,14,FALSE),"Not Specified")</f>
        <v>Brazil</v>
      </c>
      <c r="Q1653" t="str">
        <f>VLOOKUP(VLOOKUP(B1653,[1]Product!A:C,3,FALSE),[1]Supplier!A:B,2,FALSE)</f>
        <v>Supplier GQRCV</v>
      </c>
      <c r="R1653" t="str">
        <f>VLOOKUP(VLOOKUP(B1653,[1]Product!A:C,3,FALSE),[1]Supplier!A:I,9,FALSE)</f>
        <v>Australia</v>
      </c>
      <c r="S1653" t="str">
        <f>IFERROR(IF(VLOOKUP(A1653,'[1]Sales Order'!A:H,8,FALSE)&gt;100,"High Freight","Low Freight"),"Not Specified")</f>
        <v>Low Freight</v>
      </c>
      <c r="T1653">
        <f t="shared" si="51"/>
        <v>1562.5</v>
      </c>
    </row>
    <row r="1654" spans="1:20">
      <c r="A1654" s="1">
        <v>10878</v>
      </c>
      <c r="B1654" s="2">
        <v>20</v>
      </c>
      <c r="C1654" s="2">
        <v>81</v>
      </c>
      <c r="D1654" s="2">
        <v>20</v>
      </c>
      <c r="E1654" s="3">
        <v>0.05</v>
      </c>
      <c r="F1654" s="2" t="str">
        <f>IFERROR(VLOOKUP(VLOOKUP(A1654,'[1]Sales Order'!A:B,2,FALSE),[1]Customer!A:C,3,FALSE),"Not Specified")</f>
        <v>Veronesi, Giorgio</v>
      </c>
      <c r="G1654" s="2" t="str">
        <f t="shared" si="50"/>
        <v>Veronesi Giorgio</v>
      </c>
      <c r="H1654" s="8" t="str">
        <f>IFERROR(VLOOKUP(VLOOKUP(A1654,'[1]Sales Order'!A:C,3,FALSE),[1]Employee!A:E,5,FALSE)&amp;" "&amp;VLOOKUP(VLOOKUP(A1654,'[1]Sales Order'!A:C,3,FALSE),[1]Employee!A:C,3,FALSE)&amp;" "&amp;VLOOKUP(VLOOKUP(A1654,'[1]Sales Order'!A:C,3,FALSE),[1]Employee!A:B,2,FALSE),"Not Specified")</f>
        <v>Mrs. Yael Peled</v>
      </c>
      <c r="I1654" t="str">
        <f>IFERROR(VLOOKUP(VLOOKUP(A1654,'[1]Sales Order'!A:C,3,FALSE),[1]Employee!A:J,10,FALSE),"Not Specified")</f>
        <v>WA</v>
      </c>
      <c r="J1654" t="str">
        <f>VLOOKUP(B1654,[1]Product!A:B,2,FALSE)</f>
        <v>Product QHFFP</v>
      </c>
      <c r="K1654" t="str">
        <f>VLOOKUP(VLOOKUP(B1654,[1]Product!A:D,4,FALSE),[1]Category!A:B,2,FALSE)</f>
        <v>Confections</v>
      </c>
      <c r="L1654" s="10">
        <f>IFERROR(VLOOKUP(A1654,'[1]Sales Order'!A:D,4,FALSE),"")</f>
        <v>39488</v>
      </c>
      <c r="M1654" s="10">
        <f>IFERROR(VLOOKUP(A1654,'[1]Sales Order'!A:F,6,FALSE),"")</f>
        <v>39490</v>
      </c>
      <c r="N1654" t="str">
        <f>IFERROR(VLOOKUP(VLOOKUP(A1654,'[1]Sales Order'!A:G,7,FALSE),[1]Shipper!A:B,2,FALSE),"Not Specified")</f>
        <v>Shipper GVSUA</v>
      </c>
      <c r="O1654" t="str">
        <f>IFERROR(VLOOKUP(A1654,'[1]Sales Order'!A:I,9,FALSE),"Not Specified")</f>
        <v>Ship to 63-B</v>
      </c>
      <c r="P1654" t="str">
        <f>IFERROR(VLOOKUP(A1654,'[1]Sales Order'!A:N,14,FALSE),"Not Specified")</f>
        <v>Germany</v>
      </c>
      <c r="Q1654" t="str">
        <f>VLOOKUP(VLOOKUP(B1654,[1]Product!A:C,3,FALSE),[1]Supplier!A:B,2,FALSE)</f>
        <v>Supplier BWGYE</v>
      </c>
      <c r="R1654" t="str">
        <f>VLOOKUP(VLOOKUP(B1654,[1]Product!A:C,3,FALSE),[1]Supplier!A:I,9,FALSE)</f>
        <v>UK</v>
      </c>
      <c r="S1654" t="str">
        <f>IFERROR(IF(VLOOKUP(A1654,'[1]Sales Order'!A:H,8,FALSE)&gt;100,"High Freight","Low Freight"),"Not Specified")</f>
        <v>Low Freight</v>
      </c>
      <c r="T1654">
        <f t="shared" si="51"/>
        <v>1539</v>
      </c>
    </row>
    <row r="1655" spans="1:20">
      <c r="A1655" s="1">
        <v>10879</v>
      </c>
      <c r="B1655" s="2">
        <v>40</v>
      </c>
      <c r="C1655" s="2">
        <v>18.399999999999999</v>
      </c>
      <c r="D1655" s="2">
        <v>12</v>
      </c>
      <c r="E1655" s="3">
        <v>0</v>
      </c>
      <c r="F1655" s="2" t="str">
        <f>IFERROR(VLOOKUP(VLOOKUP(A1655,'[1]Sales Order'!A:B,2,FALSE),[1]Customer!A:C,3,FALSE),"Not Specified")</f>
        <v>Larsson, Katarina</v>
      </c>
      <c r="G1655" s="2" t="str">
        <f t="shared" si="50"/>
        <v>Larsson Katarina</v>
      </c>
      <c r="H1655" s="8" t="str">
        <f>IFERROR(VLOOKUP(VLOOKUP(A1655,'[1]Sales Order'!A:C,3,FALSE),[1]Employee!A:E,5,FALSE)&amp;" "&amp;VLOOKUP(VLOOKUP(A1655,'[1]Sales Order'!A:C,3,FALSE),[1]Employee!A:C,3,FALSE)&amp;" "&amp;VLOOKUP(VLOOKUP(A1655,'[1]Sales Order'!A:C,3,FALSE),[1]Employee!A:B,2,FALSE),"Not Specified")</f>
        <v>Ms. Judy Lew</v>
      </c>
      <c r="I1655" t="str">
        <f>IFERROR(VLOOKUP(VLOOKUP(A1655,'[1]Sales Order'!A:C,3,FALSE),[1]Employee!A:J,10,FALSE),"Not Specified")</f>
        <v>WA</v>
      </c>
      <c r="J1655" t="str">
        <f>VLOOKUP(B1655,[1]Product!A:B,2,FALSE)</f>
        <v>Product YZIXQ</v>
      </c>
      <c r="K1655" t="str">
        <f>VLOOKUP(VLOOKUP(B1655,[1]Product!A:D,4,FALSE),[1]Category!A:B,2,FALSE)</f>
        <v>Seafood</v>
      </c>
      <c r="L1655" s="10">
        <f>IFERROR(VLOOKUP(A1655,'[1]Sales Order'!A:D,4,FALSE),"")</f>
        <v>39488</v>
      </c>
      <c r="M1655" s="10">
        <f>IFERROR(VLOOKUP(A1655,'[1]Sales Order'!A:F,6,FALSE),"")</f>
        <v>39490</v>
      </c>
      <c r="N1655" t="str">
        <f>IFERROR(VLOOKUP(VLOOKUP(A1655,'[1]Sales Order'!A:G,7,FALSE),[1]Shipper!A:B,2,FALSE),"Not Specified")</f>
        <v>Shipper ZHISN</v>
      </c>
      <c r="O1655" t="str">
        <f>IFERROR(VLOOKUP(A1655,'[1]Sales Order'!A:I,9,FALSE),"Not Specified")</f>
        <v>Ship to 90-A</v>
      </c>
      <c r="P1655" t="str">
        <f>IFERROR(VLOOKUP(A1655,'[1]Sales Order'!A:N,14,FALSE),"Not Specified")</f>
        <v>Finland</v>
      </c>
      <c r="Q1655" t="str">
        <f>VLOOKUP(VLOOKUP(B1655,[1]Product!A:C,3,FALSE),[1]Supplier!A:B,2,FALSE)</f>
        <v>Supplier JDNUG</v>
      </c>
      <c r="R1655" t="str">
        <f>VLOOKUP(VLOOKUP(B1655,[1]Product!A:C,3,FALSE),[1]Supplier!A:I,9,FALSE)</f>
        <v>USA</v>
      </c>
      <c r="S1655" t="str">
        <f>IFERROR(IF(VLOOKUP(A1655,'[1]Sales Order'!A:H,8,FALSE)&gt;100,"High Freight","Low Freight"),"Not Specified")</f>
        <v>Low Freight</v>
      </c>
      <c r="T1655">
        <f t="shared" si="51"/>
        <v>220.79999999999998</v>
      </c>
    </row>
    <row r="1656" spans="1:20">
      <c r="A1656" s="1">
        <v>10879</v>
      </c>
      <c r="B1656" s="2">
        <v>65</v>
      </c>
      <c r="C1656" s="2">
        <v>21.05</v>
      </c>
      <c r="D1656" s="2">
        <v>10</v>
      </c>
      <c r="E1656" s="3">
        <v>0</v>
      </c>
      <c r="F1656" s="2" t="str">
        <f>IFERROR(VLOOKUP(VLOOKUP(A1656,'[1]Sales Order'!A:B,2,FALSE),[1]Customer!A:C,3,FALSE),"Not Specified")</f>
        <v>Larsson, Katarina</v>
      </c>
      <c r="G1656" s="2" t="str">
        <f t="shared" si="50"/>
        <v>Larsson Katarina</v>
      </c>
      <c r="H1656" s="8" t="str">
        <f>IFERROR(VLOOKUP(VLOOKUP(A1656,'[1]Sales Order'!A:C,3,FALSE),[1]Employee!A:E,5,FALSE)&amp;" "&amp;VLOOKUP(VLOOKUP(A1656,'[1]Sales Order'!A:C,3,FALSE),[1]Employee!A:C,3,FALSE)&amp;" "&amp;VLOOKUP(VLOOKUP(A1656,'[1]Sales Order'!A:C,3,FALSE),[1]Employee!A:B,2,FALSE),"Not Specified")</f>
        <v>Ms. Judy Lew</v>
      </c>
      <c r="I1656" t="str">
        <f>IFERROR(VLOOKUP(VLOOKUP(A1656,'[1]Sales Order'!A:C,3,FALSE),[1]Employee!A:J,10,FALSE),"Not Specified")</f>
        <v>WA</v>
      </c>
      <c r="J1656" t="str">
        <f>VLOOKUP(B1656,[1]Product!A:B,2,FALSE)</f>
        <v>Product XYWBZ</v>
      </c>
      <c r="K1656" t="str">
        <f>VLOOKUP(VLOOKUP(B1656,[1]Product!A:D,4,FALSE),[1]Category!A:B,2,FALSE)</f>
        <v>Condiments</v>
      </c>
      <c r="L1656" s="10">
        <f>IFERROR(VLOOKUP(A1656,'[1]Sales Order'!A:D,4,FALSE),"")</f>
        <v>39488</v>
      </c>
      <c r="M1656" s="10">
        <f>IFERROR(VLOOKUP(A1656,'[1]Sales Order'!A:F,6,FALSE),"")</f>
        <v>39490</v>
      </c>
      <c r="N1656" t="str">
        <f>IFERROR(VLOOKUP(VLOOKUP(A1656,'[1]Sales Order'!A:G,7,FALSE),[1]Shipper!A:B,2,FALSE),"Not Specified")</f>
        <v>Shipper ZHISN</v>
      </c>
      <c r="O1656" t="str">
        <f>IFERROR(VLOOKUP(A1656,'[1]Sales Order'!A:I,9,FALSE),"Not Specified")</f>
        <v>Ship to 90-A</v>
      </c>
      <c r="P1656" t="str">
        <f>IFERROR(VLOOKUP(A1656,'[1]Sales Order'!A:N,14,FALSE),"Not Specified")</f>
        <v>Finland</v>
      </c>
      <c r="Q1656" t="str">
        <f>VLOOKUP(VLOOKUP(B1656,[1]Product!A:C,3,FALSE),[1]Supplier!A:B,2,FALSE)</f>
        <v>Supplier VHQZD</v>
      </c>
      <c r="R1656" t="str">
        <f>VLOOKUP(VLOOKUP(B1656,[1]Product!A:C,3,FALSE),[1]Supplier!A:I,9,FALSE)</f>
        <v>USA</v>
      </c>
      <c r="S1656" t="str">
        <f>IFERROR(IF(VLOOKUP(A1656,'[1]Sales Order'!A:H,8,FALSE)&gt;100,"High Freight","Low Freight"),"Not Specified")</f>
        <v>Low Freight</v>
      </c>
      <c r="T1656">
        <f t="shared" si="51"/>
        <v>210.5</v>
      </c>
    </row>
    <row r="1657" spans="1:20">
      <c r="A1657" s="1">
        <v>10879</v>
      </c>
      <c r="B1657" s="2">
        <v>76</v>
      </c>
      <c r="C1657" s="2">
        <v>18</v>
      </c>
      <c r="D1657" s="2">
        <v>10</v>
      </c>
      <c r="E1657" s="3">
        <v>0</v>
      </c>
      <c r="F1657" s="2" t="str">
        <f>IFERROR(VLOOKUP(VLOOKUP(A1657,'[1]Sales Order'!A:B,2,FALSE),[1]Customer!A:C,3,FALSE),"Not Specified")</f>
        <v>Larsson, Katarina</v>
      </c>
      <c r="G1657" s="2" t="str">
        <f t="shared" si="50"/>
        <v>Larsson Katarina</v>
      </c>
      <c r="H1657" s="8" t="str">
        <f>IFERROR(VLOOKUP(VLOOKUP(A1657,'[1]Sales Order'!A:C,3,FALSE),[1]Employee!A:E,5,FALSE)&amp;" "&amp;VLOOKUP(VLOOKUP(A1657,'[1]Sales Order'!A:C,3,FALSE),[1]Employee!A:C,3,FALSE)&amp;" "&amp;VLOOKUP(VLOOKUP(A1657,'[1]Sales Order'!A:C,3,FALSE),[1]Employee!A:B,2,FALSE),"Not Specified")</f>
        <v>Ms. Judy Lew</v>
      </c>
      <c r="I1657" t="str">
        <f>IFERROR(VLOOKUP(VLOOKUP(A1657,'[1]Sales Order'!A:C,3,FALSE),[1]Employee!A:J,10,FALSE),"Not Specified")</f>
        <v>WA</v>
      </c>
      <c r="J1657" t="str">
        <f>VLOOKUP(B1657,[1]Product!A:B,2,FALSE)</f>
        <v>Product JYGFE</v>
      </c>
      <c r="K1657" t="str">
        <f>VLOOKUP(VLOOKUP(B1657,[1]Product!A:D,4,FALSE),[1]Category!A:B,2,FALSE)</f>
        <v>Beverages</v>
      </c>
      <c r="L1657" s="10">
        <f>IFERROR(VLOOKUP(A1657,'[1]Sales Order'!A:D,4,FALSE),"")</f>
        <v>39488</v>
      </c>
      <c r="M1657" s="10">
        <f>IFERROR(VLOOKUP(A1657,'[1]Sales Order'!A:F,6,FALSE),"")</f>
        <v>39490</v>
      </c>
      <c r="N1657" t="str">
        <f>IFERROR(VLOOKUP(VLOOKUP(A1657,'[1]Sales Order'!A:G,7,FALSE),[1]Shipper!A:B,2,FALSE),"Not Specified")</f>
        <v>Shipper ZHISN</v>
      </c>
      <c r="O1657" t="str">
        <f>IFERROR(VLOOKUP(A1657,'[1]Sales Order'!A:I,9,FALSE),"Not Specified")</f>
        <v>Ship to 90-A</v>
      </c>
      <c r="P1657" t="str">
        <f>IFERROR(VLOOKUP(A1657,'[1]Sales Order'!A:N,14,FALSE),"Not Specified")</f>
        <v>Finland</v>
      </c>
      <c r="Q1657" t="str">
        <f>VLOOKUP(VLOOKUP(B1657,[1]Product!A:C,3,FALSE),[1]Supplier!A:B,2,FALSE)</f>
        <v>Supplier ELCRN</v>
      </c>
      <c r="R1657" t="str">
        <f>VLOOKUP(VLOOKUP(B1657,[1]Product!A:C,3,FALSE),[1]Supplier!A:I,9,FALSE)</f>
        <v>Finland</v>
      </c>
      <c r="S1657" t="str">
        <f>IFERROR(IF(VLOOKUP(A1657,'[1]Sales Order'!A:H,8,FALSE)&gt;100,"High Freight","Low Freight"),"Not Specified")</f>
        <v>Low Freight</v>
      </c>
      <c r="T1657">
        <f t="shared" si="51"/>
        <v>180</v>
      </c>
    </row>
    <row r="1658" spans="1:20">
      <c r="A1658" s="1">
        <v>10880</v>
      </c>
      <c r="B1658" s="2">
        <v>23</v>
      </c>
      <c r="C1658" s="2">
        <v>9</v>
      </c>
      <c r="D1658" s="2">
        <v>30</v>
      </c>
      <c r="E1658" s="3">
        <v>0.2</v>
      </c>
      <c r="F1658" s="2" t="str">
        <f>IFERROR(VLOOKUP(VLOOKUP(A1658,'[1]Sales Order'!A:B,2,FALSE),[1]Customer!A:C,3,FALSE),"Not Specified")</f>
        <v>San Juan, Patricia</v>
      </c>
      <c r="G1658" s="2" t="str">
        <f t="shared" si="50"/>
        <v>San Juan Patricia</v>
      </c>
      <c r="H1658" s="8" t="str">
        <f>IFERROR(VLOOKUP(VLOOKUP(A1658,'[1]Sales Order'!A:C,3,FALSE),[1]Employee!A:E,5,FALSE)&amp;" "&amp;VLOOKUP(VLOOKUP(A1658,'[1]Sales Order'!A:C,3,FALSE),[1]Employee!A:C,3,FALSE)&amp;" "&amp;VLOOKUP(VLOOKUP(A1658,'[1]Sales Order'!A:C,3,FALSE),[1]Employee!A:B,2,FALSE),"Not Specified")</f>
        <v>Mr. Russell King</v>
      </c>
      <c r="I1658">
        <f>IFERROR(VLOOKUP(VLOOKUP(A1658,'[1]Sales Order'!A:C,3,FALSE),[1]Employee!A:J,10,FALSE),"Not Specified")</f>
        <v>0</v>
      </c>
      <c r="J1658" t="str">
        <f>VLOOKUP(B1658,[1]Product!A:B,2,FALSE)</f>
        <v>Product JLUDZ</v>
      </c>
      <c r="K1658" t="str">
        <f>VLOOKUP(VLOOKUP(B1658,[1]Product!A:D,4,FALSE),[1]Category!A:B,2,FALSE)</f>
        <v>Grains/Cereals</v>
      </c>
      <c r="L1658" s="10">
        <f>IFERROR(VLOOKUP(A1658,'[1]Sales Order'!A:D,4,FALSE),"")</f>
        <v>39488</v>
      </c>
      <c r="M1658" s="10">
        <f>IFERROR(VLOOKUP(A1658,'[1]Sales Order'!A:F,6,FALSE),"")</f>
        <v>39496</v>
      </c>
      <c r="N1658" t="str">
        <f>IFERROR(VLOOKUP(VLOOKUP(A1658,'[1]Sales Order'!A:G,7,FALSE),[1]Shipper!A:B,2,FALSE),"Not Specified")</f>
        <v>Shipper GVSUA</v>
      </c>
      <c r="O1658" t="str">
        <f>IFERROR(VLOOKUP(A1658,'[1]Sales Order'!A:I,9,FALSE),"Not Specified")</f>
        <v>Destination KBSBN</v>
      </c>
      <c r="P1658" t="str">
        <f>IFERROR(VLOOKUP(A1658,'[1]Sales Order'!A:N,14,FALSE),"Not Specified")</f>
        <v>Sweden</v>
      </c>
      <c r="Q1658" t="str">
        <f>VLOOKUP(VLOOKUP(B1658,[1]Product!A:C,3,FALSE),[1]Supplier!A:B,2,FALSE)</f>
        <v>Supplier QQYEU</v>
      </c>
      <c r="R1658" t="str">
        <f>VLOOKUP(VLOOKUP(B1658,[1]Product!A:C,3,FALSE),[1]Supplier!A:I,9,FALSE)</f>
        <v>Sweden</v>
      </c>
      <c r="S1658" t="str">
        <f>IFERROR(IF(VLOOKUP(A1658,'[1]Sales Order'!A:H,8,FALSE)&gt;100,"High Freight","Low Freight"),"Not Specified")</f>
        <v>Low Freight</v>
      </c>
      <c r="T1658">
        <f t="shared" si="51"/>
        <v>216</v>
      </c>
    </row>
    <row r="1659" spans="1:20">
      <c r="A1659" s="1">
        <v>10880</v>
      </c>
      <c r="B1659" s="2">
        <v>61</v>
      </c>
      <c r="C1659" s="2">
        <v>28.5</v>
      </c>
      <c r="D1659" s="2">
        <v>30</v>
      </c>
      <c r="E1659" s="3">
        <v>0.2</v>
      </c>
      <c r="F1659" s="2" t="str">
        <f>IFERROR(VLOOKUP(VLOOKUP(A1659,'[1]Sales Order'!A:B,2,FALSE),[1]Customer!A:C,3,FALSE),"Not Specified")</f>
        <v>San Juan, Patricia</v>
      </c>
      <c r="G1659" s="2" t="str">
        <f t="shared" si="50"/>
        <v>San Juan Patricia</v>
      </c>
      <c r="H1659" s="8" t="str">
        <f>IFERROR(VLOOKUP(VLOOKUP(A1659,'[1]Sales Order'!A:C,3,FALSE),[1]Employee!A:E,5,FALSE)&amp;" "&amp;VLOOKUP(VLOOKUP(A1659,'[1]Sales Order'!A:C,3,FALSE),[1]Employee!A:C,3,FALSE)&amp;" "&amp;VLOOKUP(VLOOKUP(A1659,'[1]Sales Order'!A:C,3,FALSE),[1]Employee!A:B,2,FALSE),"Not Specified")</f>
        <v>Mr. Russell King</v>
      </c>
      <c r="I1659">
        <f>IFERROR(VLOOKUP(VLOOKUP(A1659,'[1]Sales Order'!A:C,3,FALSE),[1]Employee!A:J,10,FALSE),"Not Specified")</f>
        <v>0</v>
      </c>
      <c r="J1659" t="str">
        <f>VLOOKUP(B1659,[1]Product!A:B,2,FALSE)</f>
        <v>Product XYZPE</v>
      </c>
      <c r="K1659" t="str">
        <f>VLOOKUP(VLOOKUP(B1659,[1]Product!A:D,4,FALSE),[1]Category!A:B,2,FALSE)</f>
        <v>Condiments</v>
      </c>
      <c r="L1659" s="10">
        <f>IFERROR(VLOOKUP(A1659,'[1]Sales Order'!A:D,4,FALSE),"")</f>
        <v>39488</v>
      </c>
      <c r="M1659" s="10">
        <f>IFERROR(VLOOKUP(A1659,'[1]Sales Order'!A:F,6,FALSE),"")</f>
        <v>39496</v>
      </c>
      <c r="N1659" t="str">
        <f>IFERROR(VLOOKUP(VLOOKUP(A1659,'[1]Sales Order'!A:G,7,FALSE),[1]Shipper!A:B,2,FALSE),"Not Specified")</f>
        <v>Shipper GVSUA</v>
      </c>
      <c r="O1659" t="str">
        <f>IFERROR(VLOOKUP(A1659,'[1]Sales Order'!A:I,9,FALSE),"Not Specified")</f>
        <v>Destination KBSBN</v>
      </c>
      <c r="P1659" t="str">
        <f>IFERROR(VLOOKUP(A1659,'[1]Sales Order'!A:N,14,FALSE),"Not Specified")</f>
        <v>Sweden</v>
      </c>
      <c r="Q1659" t="str">
        <f>VLOOKUP(VLOOKUP(B1659,[1]Product!A:C,3,FALSE),[1]Supplier!A:B,2,FALSE)</f>
        <v>Supplier OGLRK</v>
      </c>
      <c r="R1659" t="str">
        <f>VLOOKUP(VLOOKUP(B1659,[1]Product!A:C,3,FALSE),[1]Supplier!A:I,9,FALSE)</f>
        <v>Canada</v>
      </c>
      <c r="S1659" t="str">
        <f>IFERROR(IF(VLOOKUP(A1659,'[1]Sales Order'!A:H,8,FALSE)&gt;100,"High Freight","Low Freight"),"Not Specified")</f>
        <v>Low Freight</v>
      </c>
      <c r="T1659">
        <f t="shared" si="51"/>
        <v>684</v>
      </c>
    </row>
    <row r="1660" spans="1:20">
      <c r="A1660" s="1">
        <v>10880</v>
      </c>
      <c r="B1660" s="2">
        <v>70</v>
      </c>
      <c r="C1660" s="2">
        <v>15</v>
      </c>
      <c r="D1660" s="2">
        <v>50</v>
      </c>
      <c r="E1660" s="3">
        <v>0.2</v>
      </c>
      <c r="F1660" s="2" t="str">
        <f>IFERROR(VLOOKUP(VLOOKUP(A1660,'[1]Sales Order'!A:B,2,FALSE),[1]Customer!A:C,3,FALSE),"Not Specified")</f>
        <v>San Juan, Patricia</v>
      </c>
      <c r="G1660" s="2" t="str">
        <f t="shared" si="50"/>
        <v>San Juan Patricia</v>
      </c>
      <c r="H1660" s="8" t="str">
        <f>IFERROR(VLOOKUP(VLOOKUP(A1660,'[1]Sales Order'!A:C,3,FALSE),[1]Employee!A:E,5,FALSE)&amp;" "&amp;VLOOKUP(VLOOKUP(A1660,'[1]Sales Order'!A:C,3,FALSE),[1]Employee!A:C,3,FALSE)&amp;" "&amp;VLOOKUP(VLOOKUP(A1660,'[1]Sales Order'!A:C,3,FALSE),[1]Employee!A:B,2,FALSE),"Not Specified")</f>
        <v>Mr. Russell King</v>
      </c>
      <c r="I1660">
        <f>IFERROR(VLOOKUP(VLOOKUP(A1660,'[1]Sales Order'!A:C,3,FALSE),[1]Employee!A:J,10,FALSE),"Not Specified")</f>
        <v>0</v>
      </c>
      <c r="J1660" t="str">
        <f>VLOOKUP(B1660,[1]Product!A:B,2,FALSE)</f>
        <v>Product TOONT</v>
      </c>
      <c r="K1660" t="str">
        <f>VLOOKUP(VLOOKUP(B1660,[1]Product!A:D,4,FALSE),[1]Category!A:B,2,FALSE)</f>
        <v>Beverages</v>
      </c>
      <c r="L1660" s="10">
        <f>IFERROR(VLOOKUP(A1660,'[1]Sales Order'!A:D,4,FALSE),"")</f>
        <v>39488</v>
      </c>
      <c r="M1660" s="10">
        <f>IFERROR(VLOOKUP(A1660,'[1]Sales Order'!A:F,6,FALSE),"")</f>
        <v>39496</v>
      </c>
      <c r="N1660" t="str">
        <f>IFERROR(VLOOKUP(VLOOKUP(A1660,'[1]Sales Order'!A:G,7,FALSE),[1]Shipper!A:B,2,FALSE),"Not Specified")</f>
        <v>Shipper GVSUA</v>
      </c>
      <c r="O1660" t="str">
        <f>IFERROR(VLOOKUP(A1660,'[1]Sales Order'!A:I,9,FALSE),"Not Specified")</f>
        <v>Destination KBSBN</v>
      </c>
      <c r="P1660" t="str">
        <f>IFERROR(VLOOKUP(A1660,'[1]Sales Order'!A:N,14,FALSE),"Not Specified")</f>
        <v>Sweden</v>
      </c>
      <c r="Q1660" t="str">
        <f>VLOOKUP(VLOOKUP(B1660,[1]Product!A:C,3,FALSE),[1]Supplier!A:B,2,FALSE)</f>
        <v>Supplier GQRCV</v>
      </c>
      <c r="R1660" t="str">
        <f>VLOOKUP(VLOOKUP(B1660,[1]Product!A:C,3,FALSE),[1]Supplier!A:I,9,FALSE)</f>
        <v>Australia</v>
      </c>
      <c r="S1660" t="str">
        <f>IFERROR(IF(VLOOKUP(A1660,'[1]Sales Order'!A:H,8,FALSE)&gt;100,"High Freight","Low Freight"),"Not Specified")</f>
        <v>Low Freight</v>
      </c>
      <c r="T1660">
        <f t="shared" si="51"/>
        <v>600</v>
      </c>
    </row>
    <row r="1661" spans="1:20">
      <c r="A1661" s="1">
        <v>10881</v>
      </c>
      <c r="B1661" s="2">
        <v>73</v>
      </c>
      <c r="C1661" s="2">
        <v>15</v>
      </c>
      <c r="D1661" s="2">
        <v>10</v>
      </c>
      <c r="E1661" s="3">
        <v>0</v>
      </c>
      <c r="F1661" s="2" t="str">
        <f>IFERROR(VLOOKUP(VLOOKUP(A1661,'[1]Sales Order'!A:B,2,FALSE),[1]Customer!A:C,3,FALSE),"Not Specified")</f>
        <v>Ray, Mike</v>
      </c>
      <c r="G1661" s="2" t="str">
        <f t="shared" si="50"/>
        <v>Ray Mike</v>
      </c>
      <c r="H1661" s="8" t="str">
        <f>IFERROR(VLOOKUP(VLOOKUP(A1661,'[1]Sales Order'!A:C,3,FALSE),[1]Employee!A:E,5,FALSE)&amp;" "&amp;VLOOKUP(VLOOKUP(A1661,'[1]Sales Order'!A:C,3,FALSE),[1]Employee!A:C,3,FALSE)&amp;" "&amp;VLOOKUP(VLOOKUP(A1661,'[1]Sales Order'!A:C,3,FALSE),[1]Employee!A:B,2,FALSE),"Not Specified")</f>
        <v>Mrs. Yael Peled</v>
      </c>
      <c r="I1661" t="str">
        <f>IFERROR(VLOOKUP(VLOOKUP(A1661,'[1]Sales Order'!A:C,3,FALSE),[1]Employee!A:J,10,FALSE),"Not Specified")</f>
        <v>WA</v>
      </c>
      <c r="J1661" t="str">
        <f>VLOOKUP(B1661,[1]Product!A:B,2,FALSE)</f>
        <v>Product WEUJZ</v>
      </c>
      <c r="K1661" t="str">
        <f>VLOOKUP(VLOOKUP(B1661,[1]Product!A:D,4,FALSE),[1]Category!A:B,2,FALSE)</f>
        <v>Seafood</v>
      </c>
      <c r="L1661" s="10">
        <f>IFERROR(VLOOKUP(A1661,'[1]Sales Order'!A:D,4,FALSE),"")</f>
        <v>39489</v>
      </c>
      <c r="M1661" s="10">
        <f>IFERROR(VLOOKUP(A1661,'[1]Sales Order'!A:F,6,FALSE),"")</f>
        <v>39496</v>
      </c>
      <c r="N1661" t="str">
        <f>IFERROR(VLOOKUP(VLOOKUP(A1661,'[1]Sales Order'!A:G,7,FALSE),[1]Shipper!A:B,2,FALSE),"Not Specified")</f>
        <v>Shipper GVSUA</v>
      </c>
      <c r="O1661" t="str">
        <f>IFERROR(VLOOKUP(A1661,'[1]Sales Order'!A:I,9,FALSE),"Not Specified")</f>
        <v>Destination IGLOB</v>
      </c>
      <c r="P1661" t="str">
        <f>IFERROR(VLOOKUP(A1661,'[1]Sales Order'!A:N,14,FALSE),"Not Specified")</f>
        <v>Argentina</v>
      </c>
      <c r="Q1661" t="str">
        <f>VLOOKUP(VLOOKUP(B1661,[1]Product!A:C,3,FALSE),[1]Supplier!A:B,2,FALSE)</f>
        <v>Supplier QZGUF</v>
      </c>
      <c r="R1661" t="str">
        <f>VLOOKUP(VLOOKUP(B1661,[1]Product!A:C,3,FALSE),[1]Supplier!A:I,9,FALSE)</f>
        <v>Sweden</v>
      </c>
      <c r="S1661" t="str">
        <f>IFERROR(IF(VLOOKUP(A1661,'[1]Sales Order'!A:H,8,FALSE)&gt;100,"High Freight","Low Freight"),"Not Specified")</f>
        <v>Low Freight</v>
      </c>
      <c r="T1661">
        <f t="shared" si="51"/>
        <v>150</v>
      </c>
    </row>
    <row r="1662" spans="1:20">
      <c r="A1662" s="1">
        <v>10882</v>
      </c>
      <c r="B1662" s="2">
        <v>42</v>
      </c>
      <c r="C1662" s="2">
        <v>14</v>
      </c>
      <c r="D1662" s="2">
        <v>25</v>
      </c>
      <c r="E1662" s="3">
        <v>0</v>
      </c>
      <c r="F1662" s="2" t="str">
        <f>IFERROR(VLOOKUP(VLOOKUP(A1662,'[1]Sales Order'!A:B,2,FALSE),[1]Customer!A:C,3,FALSE),"Not Specified")</f>
        <v>Navarro, Tomás</v>
      </c>
      <c r="G1662" s="2" t="str">
        <f t="shared" si="50"/>
        <v>Navarro Tomás</v>
      </c>
      <c r="H1662" s="8" t="str">
        <f>IFERROR(VLOOKUP(VLOOKUP(A1662,'[1]Sales Order'!A:C,3,FALSE),[1]Employee!A:E,5,FALSE)&amp;" "&amp;VLOOKUP(VLOOKUP(A1662,'[1]Sales Order'!A:C,3,FALSE),[1]Employee!A:C,3,FALSE)&amp;" "&amp;VLOOKUP(VLOOKUP(A1662,'[1]Sales Order'!A:C,3,FALSE),[1]Employee!A:B,2,FALSE),"Not Specified")</f>
        <v>Mrs. Yael Peled</v>
      </c>
      <c r="I1662" t="str">
        <f>IFERROR(VLOOKUP(VLOOKUP(A1662,'[1]Sales Order'!A:C,3,FALSE),[1]Employee!A:J,10,FALSE),"Not Specified")</f>
        <v>WA</v>
      </c>
      <c r="J1662" t="str">
        <f>VLOOKUP(B1662,[1]Product!A:B,2,FALSE)</f>
        <v>Product RJVNM</v>
      </c>
      <c r="K1662" t="str">
        <f>VLOOKUP(VLOOKUP(B1662,[1]Product!A:D,4,FALSE),[1]Category!A:B,2,FALSE)</f>
        <v>Grains/Cereals</v>
      </c>
      <c r="L1662" s="10">
        <f>IFERROR(VLOOKUP(A1662,'[1]Sales Order'!A:D,4,FALSE),"")</f>
        <v>39489</v>
      </c>
      <c r="M1662" s="10">
        <f>IFERROR(VLOOKUP(A1662,'[1]Sales Order'!A:F,6,FALSE),"")</f>
        <v>39498</v>
      </c>
      <c r="N1662" t="str">
        <f>IFERROR(VLOOKUP(VLOOKUP(A1662,'[1]Sales Order'!A:G,7,FALSE),[1]Shipper!A:B,2,FALSE),"Not Specified")</f>
        <v>Shipper ZHISN</v>
      </c>
      <c r="O1662" t="str">
        <f>IFERROR(VLOOKUP(A1662,'[1]Sales Order'!A:I,9,FALSE),"Not Specified")</f>
        <v>Ship to 71-B</v>
      </c>
      <c r="P1662" t="str">
        <f>IFERROR(VLOOKUP(A1662,'[1]Sales Order'!A:N,14,FALSE),"Not Specified")</f>
        <v>USA</v>
      </c>
      <c r="Q1662" t="str">
        <f>VLOOKUP(VLOOKUP(B1662,[1]Product!A:C,3,FALSE),[1]Supplier!A:B,2,FALSE)</f>
        <v>Supplier CIYNM</v>
      </c>
      <c r="R1662" t="str">
        <f>VLOOKUP(VLOOKUP(B1662,[1]Product!A:C,3,FALSE),[1]Supplier!A:I,9,FALSE)</f>
        <v>Singapore</v>
      </c>
      <c r="S1662" t="str">
        <f>IFERROR(IF(VLOOKUP(A1662,'[1]Sales Order'!A:H,8,FALSE)&gt;100,"High Freight","Low Freight"),"Not Specified")</f>
        <v>Low Freight</v>
      </c>
      <c r="T1662">
        <f t="shared" si="51"/>
        <v>350</v>
      </c>
    </row>
    <row r="1663" spans="1:20">
      <c r="A1663" s="1">
        <v>10882</v>
      </c>
      <c r="B1663" s="2">
        <v>49</v>
      </c>
      <c r="C1663" s="2">
        <v>20</v>
      </c>
      <c r="D1663" s="2">
        <v>20</v>
      </c>
      <c r="E1663" s="3">
        <v>0.15</v>
      </c>
      <c r="F1663" s="2" t="str">
        <f>IFERROR(VLOOKUP(VLOOKUP(A1663,'[1]Sales Order'!A:B,2,FALSE),[1]Customer!A:C,3,FALSE),"Not Specified")</f>
        <v>Navarro, Tomás</v>
      </c>
      <c r="G1663" s="2" t="str">
        <f t="shared" si="50"/>
        <v>Navarro Tomás</v>
      </c>
      <c r="H1663" s="8" t="str">
        <f>IFERROR(VLOOKUP(VLOOKUP(A1663,'[1]Sales Order'!A:C,3,FALSE),[1]Employee!A:E,5,FALSE)&amp;" "&amp;VLOOKUP(VLOOKUP(A1663,'[1]Sales Order'!A:C,3,FALSE),[1]Employee!A:C,3,FALSE)&amp;" "&amp;VLOOKUP(VLOOKUP(A1663,'[1]Sales Order'!A:C,3,FALSE),[1]Employee!A:B,2,FALSE),"Not Specified")</f>
        <v>Mrs. Yael Peled</v>
      </c>
      <c r="I1663" t="str">
        <f>IFERROR(VLOOKUP(VLOOKUP(A1663,'[1]Sales Order'!A:C,3,FALSE),[1]Employee!A:J,10,FALSE),"Not Specified")</f>
        <v>WA</v>
      </c>
      <c r="J1663" t="str">
        <f>VLOOKUP(B1663,[1]Product!A:B,2,FALSE)</f>
        <v>Product FPYPN</v>
      </c>
      <c r="K1663" t="str">
        <f>VLOOKUP(VLOOKUP(B1663,[1]Product!A:D,4,FALSE),[1]Category!A:B,2,FALSE)</f>
        <v>Confections</v>
      </c>
      <c r="L1663" s="10">
        <f>IFERROR(VLOOKUP(A1663,'[1]Sales Order'!A:D,4,FALSE),"")</f>
        <v>39489</v>
      </c>
      <c r="M1663" s="10">
        <f>IFERROR(VLOOKUP(A1663,'[1]Sales Order'!A:F,6,FALSE),"")</f>
        <v>39498</v>
      </c>
      <c r="N1663" t="str">
        <f>IFERROR(VLOOKUP(VLOOKUP(A1663,'[1]Sales Order'!A:G,7,FALSE),[1]Shipper!A:B,2,FALSE),"Not Specified")</f>
        <v>Shipper ZHISN</v>
      </c>
      <c r="O1663" t="str">
        <f>IFERROR(VLOOKUP(A1663,'[1]Sales Order'!A:I,9,FALSE),"Not Specified")</f>
        <v>Ship to 71-B</v>
      </c>
      <c r="P1663" t="str">
        <f>IFERROR(VLOOKUP(A1663,'[1]Sales Order'!A:N,14,FALSE),"Not Specified")</f>
        <v>USA</v>
      </c>
      <c r="Q1663" t="str">
        <f>VLOOKUP(VLOOKUP(B1663,[1]Product!A:C,3,FALSE),[1]Supplier!A:B,2,FALSE)</f>
        <v>Supplier ELCRN</v>
      </c>
      <c r="R1663" t="str">
        <f>VLOOKUP(VLOOKUP(B1663,[1]Product!A:C,3,FALSE),[1]Supplier!A:I,9,FALSE)</f>
        <v>Finland</v>
      </c>
      <c r="S1663" t="str">
        <f>IFERROR(IF(VLOOKUP(A1663,'[1]Sales Order'!A:H,8,FALSE)&gt;100,"High Freight","Low Freight"),"Not Specified")</f>
        <v>Low Freight</v>
      </c>
      <c r="T1663">
        <f t="shared" si="51"/>
        <v>340</v>
      </c>
    </row>
    <row r="1664" spans="1:20">
      <c r="A1664" s="1">
        <v>10882</v>
      </c>
      <c r="B1664" s="2">
        <v>54</v>
      </c>
      <c r="C1664" s="2">
        <v>7.45</v>
      </c>
      <c r="D1664" s="2">
        <v>32</v>
      </c>
      <c r="E1664" s="3">
        <v>0.15</v>
      </c>
      <c r="F1664" s="2" t="str">
        <f>IFERROR(VLOOKUP(VLOOKUP(A1664,'[1]Sales Order'!A:B,2,FALSE),[1]Customer!A:C,3,FALSE),"Not Specified")</f>
        <v>Navarro, Tomás</v>
      </c>
      <c r="G1664" s="2" t="str">
        <f t="shared" si="50"/>
        <v>Navarro Tomás</v>
      </c>
      <c r="H1664" s="8" t="str">
        <f>IFERROR(VLOOKUP(VLOOKUP(A1664,'[1]Sales Order'!A:C,3,FALSE),[1]Employee!A:E,5,FALSE)&amp;" "&amp;VLOOKUP(VLOOKUP(A1664,'[1]Sales Order'!A:C,3,FALSE),[1]Employee!A:C,3,FALSE)&amp;" "&amp;VLOOKUP(VLOOKUP(A1664,'[1]Sales Order'!A:C,3,FALSE),[1]Employee!A:B,2,FALSE),"Not Specified")</f>
        <v>Mrs. Yael Peled</v>
      </c>
      <c r="I1664" t="str">
        <f>IFERROR(VLOOKUP(VLOOKUP(A1664,'[1]Sales Order'!A:C,3,FALSE),[1]Employee!A:J,10,FALSE),"Not Specified")</f>
        <v>WA</v>
      </c>
      <c r="J1664" t="str">
        <f>VLOOKUP(B1664,[1]Product!A:B,2,FALSE)</f>
        <v>Product QAQRL</v>
      </c>
      <c r="K1664" t="str">
        <f>VLOOKUP(VLOOKUP(B1664,[1]Product!A:D,4,FALSE),[1]Category!A:B,2,FALSE)</f>
        <v>Meat/Poultry</v>
      </c>
      <c r="L1664" s="10">
        <f>IFERROR(VLOOKUP(A1664,'[1]Sales Order'!A:D,4,FALSE),"")</f>
        <v>39489</v>
      </c>
      <c r="M1664" s="10">
        <f>IFERROR(VLOOKUP(A1664,'[1]Sales Order'!A:F,6,FALSE),"")</f>
        <v>39498</v>
      </c>
      <c r="N1664" t="str">
        <f>IFERROR(VLOOKUP(VLOOKUP(A1664,'[1]Sales Order'!A:G,7,FALSE),[1]Shipper!A:B,2,FALSE),"Not Specified")</f>
        <v>Shipper ZHISN</v>
      </c>
      <c r="O1664" t="str">
        <f>IFERROR(VLOOKUP(A1664,'[1]Sales Order'!A:I,9,FALSE),"Not Specified")</f>
        <v>Ship to 71-B</v>
      </c>
      <c r="P1664" t="str">
        <f>IFERROR(VLOOKUP(A1664,'[1]Sales Order'!A:N,14,FALSE),"Not Specified")</f>
        <v>USA</v>
      </c>
      <c r="Q1664" t="str">
        <f>VLOOKUP(VLOOKUP(B1664,[1]Product!A:C,3,FALSE),[1]Supplier!A:B,2,FALSE)</f>
        <v>Supplier ERVYZ</v>
      </c>
      <c r="R1664" t="str">
        <f>VLOOKUP(VLOOKUP(B1664,[1]Product!A:C,3,FALSE),[1]Supplier!A:I,9,FALSE)</f>
        <v>Canada</v>
      </c>
      <c r="S1664" t="str">
        <f>IFERROR(IF(VLOOKUP(A1664,'[1]Sales Order'!A:H,8,FALSE)&gt;100,"High Freight","Low Freight"),"Not Specified")</f>
        <v>Low Freight</v>
      </c>
      <c r="T1664">
        <f t="shared" si="51"/>
        <v>202.64</v>
      </c>
    </row>
    <row r="1665" spans="1:20">
      <c r="A1665" s="1">
        <v>10883</v>
      </c>
      <c r="B1665" s="2">
        <v>24</v>
      </c>
      <c r="C1665" s="2">
        <v>4.5</v>
      </c>
      <c r="D1665" s="2">
        <v>8</v>
      </c>
      <c r="E1665" s="3">
        <v>0</v>
      </c>
      <c r="F1665" s="2" t="str">
        <f>IFERROR(VLOOKUP(VLOOKUP(A1665,'[1]Sales Order'!A:B,2,FALSE),[1]Customer!A:C,3,FALSE),"Not Specified")</f>
        <v>Szymczak, Radosław</v>
      </c>
      <c r="G1665" s="2" t="str">
        <f t="shared" si="50"/>
        <v>Szymczak Radosław</v>
      </c>
      <c r="H1665" s="8" t="str">
        <f>IFERROR(VLOOKUP(VLOOKUP(A1665,'[1]Sales Order'!A:C,3,FALSE),[1]Employee!A:E,5,FALSE)&amp;" "&amp;VLOOKUP(VLOOKUP(A1665,'[1]Sales Order'!A:C,3,FALSE),[1]Employee!A:C,3,FALSE)&amp;" "&amp;VLOOKUP(VLOOKUP(A1665,'[1]Sales Order'!A:C,3,FALSE),[1]Employee!A:B,2,FALSE),"Not Specified")</f>
        <v>Ms. Maria Cameron</v>
      </c>
      <c r="I1665" t="str">
        <f>IFERROR(VLOOKUP(VLOOKUP(A1665,'[1]Sales Order'!A:C,3,FALSE),[1]Employee!A:J,10,FALSE),"Not Specified")</f>
        <v>WA</v>
      </c>
      <c r="J1665" t="str">
        <f>VLOOKUP(B1665,[1]Product!A:B,2,FALSE)</f>
        <v>Product QOGNU</v>
      </c>
      <c r="K1665" t="str">
        <f>VLOOKUP(VLOOKUP(B1665,[1]Product!A:D,4,FALSE),[1]Category!A:B,2,FALSE)</f>
        <v>Beverages</v>
      </c>
      <c r="L1665" s="10">
        <f>IFERROR(VLOOKUP(A1665,'[1]Sales Order'!A:D,4,FALSE),"")</f>
        <v>39490</v>
      </c>
      <c r="M1665" s="10">
        <f>IFERROR(VLOOKUP(A1665,'[1]Sales Order'!A:F,6,FALSE),"")</f>
        <v>39498</v>
      </c>
      <c r="N1665" t="str">
        <f>IFERROR(VLOOKUP(VLOOKUP(A1665,'[1]Sales Order'!A:G,7,FALSE),[1]Shipper!A:B,2,FALSE),"Not Specified")</f>
        <v>Shipper ZHISN</v>
      </c>
      <c r="O1665" t="str">
        <f>IFERROR(VLOOKUP(A1665,'[1]Sales Order'!A:I,9,FALSE),"Not Specified")</f>
        <v>Ship to 48-C</v>
      </c>
      <c r="P1665" t="str">
        <f>IFERROR(VLOOKUP(A1665,'[1]Sales Order'!A:N,14,FALSE),"Not Specified")</f>
        <v>USA</v>
      </c>
      <c r="Q1665" t="str">
        <f>VLOOKUP(VLOOKUP(B1665,[1]Product!A:C,3,FALSE),[1]Supplier!A:B,2,FALSE)</f>
        <v>Supplier UNAHG</v>
      </c>
      <c r="R1665" t="str">
        <f>VLOOKUP(VLOOKUP(B1665,[1]Product!A:C,3,FALSE),[1]Supplier!A:I,9,FALSE)</f>
        <v>Brazil</v>
      </c>
      <c r="S1665" t="str">
        <f>IFERROR(IF(VLOOKUP(A1665,'[1]Sales Order'!A:H,8,FALSE)&gt;100,"High Freight","Low Freight"),"Not Specified")</f>
        <v>Low Freight</v>
      </c>
      <c r="T1665">
        <f t="shared" si="51"/>
        <v>36</v>
      </c>
    </row>
    <row r="1666" spans="1:20">
      <c r="A1666" s="1">
        <v>10884</v>
      </c>
      <c r="B1666" s="2">
        <v>21</v>
      </c>
      <c r="C1666" s="2">
        <v>10</v>
      </c>
      <c r="D1666" s="2">
        <v>40</v>
      </c>
      <c r="E1666" s="3">
        <v>0.05</v>
      </c>
      <c r="F1666" s="2" t="str">
        <f>IFERROR(VLOOKUP(VLOOKUP(A1666,'[1]Sales Order'!A:B,2,FALSE),[1]Customer!A:C,3,FALSE),"Not Specified")</f>
        <v>Sunkammurali, Krishna</v>
      </c>
      <c r="G1666" s="2" t="str">
        <f t="shared" si="50"/>
        <v>Sunkammurali Krishna</v>
      </c>
      <c r="H1666" s="8" t="str">
        <f>IFERROR(VLOOKUP(VLOOKUP(A1666,'[1]Sales Order'!A:C,3,FALSE),[1]Employee!A:E,5,FALSE)&amp;" "&amp;VLOOKUP(VLOOKUP(A1666,'[1]Sales Order'!A:C,3,FALSE),[1]Employee!A:C,3,FALSE)&amp;" "&amp;VLOOKUP(VLOOKUP(A1666,'[1]Sales Order'!A:C,3,FALSE),[1]Employee!A:B,2,FALSE),"Not Specified")</f>
        <v>Mrs. Yael Peled</v>
      </c>
      <c r="I1666" t="str">
        <f>IFERROR(VLOOKUP(VLOOKUP(A1666,'[1]Sales Order'!A:C,3,FALSE),[1]Employee!A:J,10,FALSE),"Not Specified")</f>
        <v>WA</v>
      </c>
      <c r="J1666" t="str">
        <f>VLOOKUP(B1666,[1]Product!A:B,2,FALSE)</f>
        <v>Product VJZZH</v>
      </c>
      <c r="K1666" t="str">
        <f>VLOOKUP(VLOOKUP(B1666,[1]Product!A:D,4,FALSE),[1]Category!A:B,2,FALSE)</f>
        <v>Confections</v>
      </c>
      <c r="L1666" s="10">
        <f>IFERROR(VLOOKUP(A1666,'[1]Sales Order'!A:D,4,FALSE),"")</f>
        <v>39490</v>
      </c>
      <c r="M1666" s="10">
        <f>IFERROR(VLOOKUP(A1666,'[1]Sales Order'!A:F,6,FALSE),"")</f>
        <v>39491</v>
      </c>
      <c r="N1666" t="str">
        <f>IFERROR(VLOOKUP(VLOOKUP(A1666,'[1]Sales Order'!A:G,7,FALSE),[1]Shipper!A:B,2,FALSE),"Not Specified")</f>
        <v>Shipper ETYNR</v>
      </c>
      <c r="O1666" t="str">
        <f>IFERROR(VLOOKUP(A1666,'[1]Sales Order'!A:I,9,FALSE),"Not Specified")</f>
        <v>Ship to 45-C</v>
      </c>
      <c r="P1666" t="str">
        <f>IFERROR(VLOOKUP(A1666,'[1]Sales Order'!A:N,14,FALSE),"Not Specified")</f>
        <v>USA</v>
      </c>
      <c r="Q1666" t="str">
        <f>VLOOKUP(VLOOKUP(B1666,[1]Product!A:C,3,FALSE),[1]Supplier!A:B,2,FALSE)</f>
        <v>Supplier BWGYE</v>
      </c>
      <c r="R1666" t="str">
        <f>VLOOKUP(VLOOKUP(B1666,[1]Product!A:C,3,FALSE),[1]Supplier!A:I,9,FALSE)</f>
        <v>UK</v>
      </c>
      <c r="S1666" t="str">
        <f>IFERROR(IF(VLOOKUP(A1666,'[1]Sales Order'!A:H,8,FALSE)&gt;100,"High Freight","Low Freight"),"Not Specified")</f>
        <v>Low Freight</v>
      </c>
      <c r="T1666">
        <f t="shared" si="51"/>
        <v>380</v>
      </c>
    </row>
    <row r="1667" spans="1:20">
      <c r="A1667" s="1">
        <v>10884</v>
      </c>
      <c r="B1667" s="2">
        <v>56</v>
      </c>
      <c r="C1667" s="2">
        <v>38</v>
      </c>
      <c r="D1667" s="2">
        <v>21</v>
      </c>
      <c r="E1667" s="3">
        <v>0.05</v>
      </c>
      <c r="F1667" s="2" t="str">
        <f>IFERROR(VLOOKUP(VLOOKUP(A1667,'[1]Sales Order'!A:B,2,FALSE),[1]Customer!A:C,3,FALSE),"Not Specified")</f>
        <v>Sunkammurali, Krishna</v>
      </c>
      <c r="G1667" s="2" t="str">
        <f t="shared" ref="G1667:G1730" si="52">SUBSTITUTE(F1667,",","",1)</f>
        <v>Sunkammurali Krishna</v>
      </c>
      <c r="H1667" s="8" t="str">
        <f>IFERROR(VLOOKUP(VLOOKUP(A1667,'[1]Sales Order'!A:C,3,FALSE),[1]Employee!A:E,5,FALSE)&amp;" "&amp;VLOOKUP(VLOOKUP(A1667,'[1]Sales Order'!A:C,3,FALSE),[1]Employee!A:C,3,FALSE)&amp;" "&amp;VLOOKUP(VLOOKUP(A1667,'[1]Sales Order'!A:C,3,FALSE),[1]Employee!A:B,2,FALSE),"Not Specified")</f>
        <v>Mrs. Yael Peled</v>
      </c>
      <c r="I1667" t="str">
        <f>IFERROR(VLOOKUP(VLOOKUP(A1667,'[1]Sales Order'!A:C,3,FALSE),[1]Employee!A:J,10,FALSE),"Not Specified")</f>
        <v>WA</v>
      </c>
      <c r="J1667" t="str">
        <f>VLOOKUP(B1667,[1]Product!A:B,2,FALSE)</f>
        <v>Product VKCMF</v>
      </c>
      <c r="K1667" t="str">
        <f>VLOOKUP(VLOOKUP(B1667,[1]Product!A:D,4,FALSE),[1]Category!A:B,2,FALSE)</f>
        <v>Grains/Cereals</v>
      </c>
      <c r="L1667" s="10">
        <f>IFERROR(VLOOKUP(A1667,'[1]Sales Order'!A:D,4,FALSE),"")</f>
        <v>39490</v>
      </c>
      <c r="M1667" s="10">
        <f>IFERROR(VLOOKUP(A1667,'[1]Sales Order'!A:F,6,FALSE),"")</f>
        <v>39491</v>
      </c>
      <c r="N1667" t="str">
        <f>IFERROR(VLOOKUP(VLOOKUP(A1667,'[1]Sales Order'!A:G,7,FALSE),[1]Shipper!A:B,2,FALSE),"Not Specified")</f>
        <v>Shipper ETYNR</v>
      </c>
      <c r="O1667" t="str">
        <f>IFERROR(VLOOKUP(A1667,'[1]Sales Order'!A:I,9,FALSE),"Not Specified")</f>
        <v>Ship to 45-C</v>
      </c>
      <c r="P1667" t="str">
        <f>IFERROR(VLOOKUP(A1667,'[1]Sales Order'!A:N,14,FALSE),"Not Specified")</f>
        <v>USA</v>
      </c>
      <c r="Q1667" t="str">
        <f>VLOOKUP(VLOOKUP(B1667,[1]Product!A:C,3,FALSE),[1]Supplier!A:B,2,FALSE)</f>
        <v>Supplier ZWZDM</v>
      </c>
      <c r="R1667" t="str">
        <f>VLOOKUP(VLOOKUP(B1667,[1]Product!A:C,3,FALSE),[1]Supplier!A:I,9,FALSE)</f>
        <v>Italy</v>
      </c>
      <c r="S1667" t="str">
        <f>IFERROR(IF(VLOOKUP(A1667,'[1]Sales Order'!A:H,8,FALSE)&gt;100,"High Freight","Low Freight"),"Not Specified")</f>
        <v>Low Freight</v>
      </c>
      <c r="T1667">
        <f t="shared" ref="T1667:T1730" si="53">C1667*D1667*(1-E1667)</f>
        <v>758.09999999999991</v>
      </c>
    </row>
    <row r="1668" spans="1:20">
      <c r="A1668" s="1">
        <v>10884</v>
      </c>
      <c r="B1668" s="2">
        <v>65</v>
      </c>
      <c r="C1668" s="2">
        <v>21.05</v>
      </c>
      <c r="D1668" s="2">
        <v>12</v>
      </c>
      <c r="E1668" s="3">
        <v>0.05</v>
      </c>
      <c r="F1668" s="2" t="str">
        <f>IFERROR(VLOOKUP(VLOOKUP(A1668,'[1]Sales Order'!A:B,2,FALSE),[1]Customer!A:C,3,FALSE),"Not Specified")</f>
        <v>Sunkammurali, Krishna</v>
      </c>
      <c r="G1668" s="2" t="str">
        <f t="shared" si="52"/>
        <v>Sunkammurali Krishna</v>
      </c>
      <c r="H1668" s="8" t="str">
        <f>IFERROR(VLOOKUP(VLOOKUP(A1668,'[1]Sales Order'!A:C,3,FALSE),[1]Employee!A:E,5,FALSE)&amp;" "&amp;VLOOKUP(VLOOKUP(A1668,'[1]Sales Order'!A:C,3,FALSE),[1]Employee!A:C,3,FALSE)&amp;" "&amp;VLOOKUP(VLOOKUP(A1668,'[1]Sales Order'!A:C,3,FALSE),[1]Employee!A:B,2,FALSE),"Not Specified")</f>
        <v>Mrs. Yael Peled</v>
      </c>
      <c r="I1668" t="str">
        <f>IFERROR(VLOOKUP(VLOOKUP(A1668,'[1]Sales Order'!A:C,3,FALSE),[1]Employee!A:J,10,FALSE),"Not Specified")</f>
        <v>WA</v>
      </c>
      <c r="J1668" t="str">
        <f>VLOOKUP(B1668,[1]Product!A:B,2,FALSE)</f>
        <v>Product XYWBZ</v>
      </c>
      <c r="K1668" t="str">
        <f>VLOOKUP(VLOOKUP(B1668,[1]Product!A:D,4,FALSE),[1]Category!A:B,2,FALSE)</f>
        <v>Condiments</v>
      </c>
      <c r="L1668" s="10">
        <f>IFERROR(VLOOKUP(A1668,'[1]Sales Order'!A:D,4,FALSE),"")</f>
        <v>39490</v>
      </c>
      <c r="M1668" s="10">
        <f>IFERROR(VLOOKUP(A1668,'[1]Sales Order'!A:F,6,FALSE),"")</f>
        <v>39491</v>
      </c>
      <c r="N1668" t="str">
        <f>IFERROR(VLOOKUP(VLOOKUP(A1668,'[1]Sales Order'!A:G,7,FALSE),[1]Shipper!A:B,2,FALSE),"Not Specified")</f>
        <v>Shipper ETYNR</v>
      </c>
      <c r="O1668" t="str">
        <f>IFERROR(VLOOKUP(A1668,'[1]Sales Order'!A:I,9,FALSE),"Not Specified")</f>
        <v>Ship to 45-C</v>
      </c>
      <c r="P1668" t="str">
        <f>IFERROR(VLOOKUP(A1668,'[1]Sales Order'!A:N,14,FALSE),"Not Specified")</f>
        <v>USA</v>
      </c>
      <c r="Q1668" t="str">
        <f>VLOOKUP(VLOOKUP(B1668,[1]Product!A:C,3,FALSE),[1]Supplier!A:B,2,FALSE)</f>
        <v>Supplier VHQZD</v>
      </c>
      <c r="R1668" t="str">
        <f>VLOOKUP(VLOOKUP(B1668,[1]Product!A:C,3,FALSE),[1]Supplier!A:I,9,FALSE)</f>
        <v>USA</v>
      </c>
      <c r="S1668" t="str">
        <f>IFERROR(IF(VLOOKUP(A1668,'[1]Sales Order'!A:H,8,FALSE)&gt;100,"High Freight","Low Freight"),"Not Specified")</f>
        <v>Low Freight</v>
      </c>
      <c r="T1668">
        <f t="shared" si="53"/>
        <v>239.97</v>
      </c>
    </row>
    <row r="1669" spans="1:20">
      <c r="A1669" s="1">
        <v>10885</v>
      </c>
      <c r="B1669" s="2">
        <v>2</v>
      </c>
      <c r="C1669" s="2">
        <v>19</v>
      </c>
      <c r="D1669" s="2">
        <v>20</v>
      </c>
      <c r="E1669" s="3">
        <v>0</v>
      </c>
      <c r="F1669" s="2" t="str">
        <f>IFERROR(VLOOKUP(VLOOKUP(A1669,'[1]Sales Order'!A:B,2,FALSE),[1]Customer!A:C,3,FALSE),"Not Specified")</f>
        <v>Gulbis, Katrin</v>
      </c>
      <c r="G1669" s="2" t="str">
        <f t="shared" si="52"/>
        <v>Gulbis Katrin</v>
      </c>
      <c r="H1669" s="8" t="str">
        <f>IFERROR(VLOOKUP(VLOOKUP(A1669,'[1]Sales Order'!A:C,3,FALSE),[1]Employee!A:E,5,FALSE)&amp;" "&amp;VLOOKUP(VLOOKUP(A1669,'[1]Sales Order'!A:C,3,FALSE),[1]Employee!A:C,3,FALSE)&amp;" "&amp;VLOOKUP(VLOOKUP(A1669,'[1]Sales Order'!A:C,3,FALSE),[1]Employee!A:B,2,FALSE),"Not Specified")</f>
        <v>Mr. Paul Suurs</v>
      </c>
      <c r="I1669">
        <f>IFERROR(VLOOKUP(VLOOKUP(A1669,'[1]Sales Order'!A:C,3,FALSE),[1]Employee!A:J,10,FALSE),"Not Specified")</f>
        <v>0</v>
      </c>
      <c r="J1669" t="str">
        <f>VLOOKUP(B1669,[1]Product!A:B,2,FALSE)</f>
        <v>Product RECZE</v>
      </c>
      <c r="K1669" t="str">
        <f>VLOOKUP(VLOOKUP(B1669,[1]Product!A:D,4,FALSE),[1]Category!A:B,2,FALSE)</f>
        <v>Beverages</v>
      </c>
      <c r="L1669" s="10">
        <f>IFERROR(VLOOKUP(A1669,'[1]Sales Order'!A:D,4,FALSE),"")</f>
        <v>39490</v>
      </c>
      <c r="M1669" s="10">
        <f>IFERROR(VLOOKUP(A1669,'[1]Sales Order'!A:F,6,FALSE),"")</f>
        <v>39496</v>
      </c>
      <c r="N1669" t="str">
        <f>IFERROR(VLOOKUP(VLOOKUP(A1669,'[1]Sales Order'!A:G,7,FALSE),[1]Shipper!A:B,2,FALSE),"Not Specified")</f>
        <v>Shipper ZHISN</v>
      </c>
      <c r="O1669" t="str">
        <f>IFERROR(VLOOKUP(A1669,'[1]Sales Order'!A:I,9,FALSE),"Not Specified")</f>
        <v>Ship to 76-B</v>
      </c>
      <c r="P1669" t="str">
        <f>IFERROR(VLOOKUP(A1669,'[1]Sales Order'!A:N,14,FALSE),"Not Specified")</f>
        <v>Belgium</v>
      </c>
      <c r="Q1669" t="str">
        <f>VLOOKUP(VLOOKUP(B1669,[1]Product!A:C,3,FALSE),[1]Supplier!A:B,2,FALSE)</f>
        <v>Supplier SWRXU</v>
      </c>
      <c r="R1669" t="str">
        <f>VLOOKUP(VLOOKUP(B1669,[1]Product!A:C,3,FALSE),[1]Supplier!A:I,9,FALSE)</f>
        <v>UK</v>
      </c>
      <c r="S1669" t="str">
        <f>IFERROR(IF(VLOOKUP(A1669,'[1]Sales Order'!A:H,8,FALSE)&gt;100,"High Freight","Low Freight"),"Not Specified")</f>
        <v>Low Freight</v>
      </c>
      <c r="T1669">
        <f t="shared" si="53"/>
        <v>380</v>
      </c>
    </row>
    <row r="1670" spans="1:20">
      <c r="A1670" s="1">
        <v>10885</v>
      </c>
      <c r="B1670" s="2">
        <v>24</v>
      </c>
      <c r="C1670" s="2">
        <v>4.5</v>
      </c>
      <c r="D1670" s="2">
        <v>12</v>
      </c>
      <c r="E1670" s="3">
        <v>0</v>
      </c>
      <c r="F1670" s="2" t="str">
        <f>IFERROR(VLOOKUP(VLOOKUP(A1670,'[1]Sales Order'!A:B,2,FALSE),[1]Customer!A:C,3,FALSE),"Not Specified")</f>
        <v>Gulbis, Katrin</v>
      </c>
      <c r="G1670" s="2" t="str">
        <f t="shared" si="52"/>
        <v>Gulbis Katrin</v>
      </c>
      <c r="H1670" s="8" t="str">
        <f>IFERROR(VLOOKUP(VLOOKUP(A1670,'[1]Sales Order'!A:C,3,FALSE),[1]Employee!A:E,5,FALSE)&amp;" "&amp;VLOOKUP(VLOOKUP(A1670,'[1]Sales Order'!A:C,3,FALSE),[1]Employee!A:C,3,FALSE)&amp;" "&amp;VLOOKUP(VLOOKUP(A1670,'[1]Sales Order'!A:C,3,FALSE),[1]Employee!A:B,2,FALSE),"Not Specified")</f>
        <v>Mr. Paul Suurs</v>
      </c>
      <c r="I1670">
        <f>IFERROR(VLOOKUP(VLOOKUP(A1670,'[1]Sales Order'!A:C,3,FALSE),[1]Employee!A:J,10,FALSE),"Not Specified")</f>
        <v>0</v>
      </c>
      <c r="J1670" t="str">
        <f>VLOOKUP(B1670,[1]Product!A:B,2,FALSE)</f>
        <v>Product QOGNU</v>
      </c>
      <c r="K1670" t="str">
        <f>VLOOKUP(VLOOKUP(B1670,[1]Product!A:D,4,FALSE),[1]Category!A:B,2,FALSE)</f>
        <v>Beverages</v>
      </c>
      <c r="L1670" s="10">
        <f>IFERROR(VLOOKUP(A1670,'[1]Sales Order'!A:D,4,FALSE),"")</f>
        <v>39490</v>
      </c>
      <c r="M1670" s="10">
        <f>IFERROR(VLOOKUP(A1670,'[1]Sales Order'!A:F,6,FALSE),"")</f>
        <v>39496</v>
      </c>
      <c r="N1670" t="str">
        <f>IFERROR(VLOOKUP(VLOOKUP(A1670,'[1]Sales Order'!A:G,7,FALSE),[1]Shipper!A:B,2,FALSE),"Not Specified")</f>
        <v>Shipper ZHISN</v>
      </c>
      <c r="O1670" t="str">
        <f>IFERROR(VLOOKUP(A1670,'[1]Sales Order'!A:I,9,FALSE),"Not Specified")</f>
        <v>Ship to 76-B</v>
      </c>
      <c r="P1670" t="str">
        <f>IFERROR(VLOOKUP(A1670,'[1]Sales Order'!A:N,14,FALSE),"Not Specified")</f>
        <v>Belgium</v>
      </c>
      <c r="Q1670" t="str">
        <f>VLOOKUP(VLOOKUP(B1670,[1]Product!A:C,3,FALSE),[1]Supplier!A:B,2,FALSE)</f>
        <v>Supplier UNAHG</v>
      </c>
      <c r="R1670" t="str">
        <f>VLOOKUP(VLOOKUP(B1670,[1]Product!A:C,3,FALSE),[1]Supplier!A:I,9,FALSE)</f>
        <v>Brazil</v>
      </c>
      <c r="S1670" t="str">
        <f>IFERROR(IF(VLOOKUP(A1670,'[1]Sales Order'!A:H,8,FALSE)&gt;100,"High Freight","Low Freight"),"Not Specified")</f>
        <v>Low Freight</v>
      </c>
      <c r="T1670">
        <f t="shared" si="53"/>
        <v>54</v>
      </c>
    </row>
    <row r="1671" spans="1:20">
      <c r="A1671" s="1">
        <v>10885</v>
      </c>
      <c r="B1671" s="2">
        <v>70</v>
      </c>
      <c r="C1671" s="2">
        <v>15</v>
      </c>
      <c r="D1671" s="2">
        <v>30</v>
      </c>
      <c r="E1671" s="3">
        <v>0</v>
      </c>
      <c r="F1671" s="2" t="str">
        <f>IFERROR(VLOOKUP(VLOOKUP(A1671,'[1]Sales Order'!A:B,2,FALSE),[1]Customer!A:C,3,FALSE),"Not Specified")</f>
        <v>Gulbis, Katrin</v>
      </c>
      <c r="G1671" s="2" t="str">
        <f t="shared" si="52"/>
        <v>Gulbis Katrin</v>
      </c>
      <c r="H1671" s="8" t="str">
        <f>IFERROR(VLOOKUP(VLOOKUP(A1671,'[1]Sales Order'!A:C,3,FALSE),[1]Employee!A:E,5,FALSE)&amp;" "&amp;VLOOKUP(VLOOKUP(A1671,'[1]Sales Order'!A:C,3,FALSE),[1]Employee!A:C,3,FALSE)&amp;" "&amp;VLOOKUP(VLOOKUP(A1671,'[1]Sales Order'!A:C,3,FALSE),[1]Employee!A:B,2,FALSE),"Not Specified")</f>
        <v>Mr. Paul Suurs</v>
      </c>
      <c r="I1671">
        <f>IFERROR(VLOOKUP(VLOOKUP(A1671,'[1]Sales Order'!A:C,3,FALSE),[1]Employee!A:J,10,FALSE),"Not Specified")</f>
        <v>0</v>
      </c>
      <c r="J1671" t="str">
        <f>VLOOKUP(B1671,[1]Product!A:B,2,FALSE)</f>
        <v>Product TOONT</v>
      </c>
      <c r="K1671" t="str">
        <f>VLOOKUP(VLOOKUP(B1671,[1]Product!A:D,4,FALSE),[1]Category!A:B,2,FALSE)</f>
        <v>Beverages</v>
      </c>
      <c r="L1671" s="10">
        <f>IFERROR(VLOOKUP(A1671,'[1]Sales Order'!A:D,4,FALSE),"")</f>
        <v>39490</v>
      </c>
      <c r="M1671" s="10">
        <f>IFERROR(VLOOKUP(A1671,'[1]Sales Order'!A:F,6,FALSE),"")</f>
        <v>39496</v>
      </c>
      <c r="N1671" t="str">
        <f>IFERROR(VLOOKUP(VLOOKUP(A1671,'[1]Sales Order'!A:G,7,FALSE),[1]Shipper!A:B,2,FALSE),"Not Specified")</f>
        <v>Shipper ZHISN</v>
      </c>
      <c r="O1671" t="str">
        <f>IFERROR(VLOOKUP(A1671,'[1]Sales Order'!A:I,9,FALSE),"Not Specified")</f>
        <v>Ship to 76-B</v>
      </c>
      <c r="P1671" t="str">
        <f>IFERROR(VLOOKUP(A1671,'[1]Sales Order'!A:N,14,FALSE),"Not Specified")</f>
        <v>Belgium</v>
      </c>
      <c r="Q1671" t="str">
        <f>VLOOKUP(VLOOKUP(B1671,[1]Product!A:C,3,FALSE),[1]Supplier!A:B,2,FALSE)</f>
        <v>Supplier GQRCV</v>
      </c>
      <c r="R1671" t="str">
        <f>VLOOKUP(VLOOKUP(B1671,[1]Product!A:C,3,FALSE),[1]Supplier!A:I,9,FALSE)</f>
        <v>Australia</v>
      </c>
      <c r="S1671" t="str">
        <f>IFERROR(IF(VLOOKUP(A1671,'[1]Sales Order'!A:H,8,FALSE)&gt;100,"High Freight","Low Freight"),"Not Specified")</f>
        <v>Low Freight</v>
      </c>
      <c r="T1671">
        <f t="shared" si="53"/>
        <v>450</v>
      </c>
    </row>
    <row r="1672" spans="1:20">
      <c r="A1672" s="1">
        <v>10885</v>
      </c>
      <c r="B1672" s="2">
        <v>77</v>
      </c>
      <c r="C1672" s="2">
        <v>13</v>
      </c>
      <c r="D1672" s="2">
        <v>25</v>
      </c>
      <c r="E1672" s="3">
        <v>0</v>
      </c>
      <c r="F1672" s="2" t="str">
        <f>IFERROR(VLOOKUP(VLOOKUP(A1672,'[1]Sales Order'!A:B,2,FALSE),[1]Customer!A:C,3,FALSE),"Not Specified")</f>
        <v>Gulbis, Katrin</v>
      </c>
      <c r="G1672" s="2" t="str">
        <f t="shared" si="52"/>
        <v>Gulbis Katrin</v>
      </c>
      <c r="H1672" s="8" t="str">
        <f>IFERROR(VLOOKUP(VLOOKUP(A1672,'[1]Sales Order'!A:C,3,FALSE),[1]Employee!A:E,5,FALSE)&amp;" "&amp;VLOOKUP(VLOOKUP(A1672,'[1]Sales Order'!A:C,3,FALSE),[1]Employee!A:C,3,FALSE)&amp;" "&amp;VLOOKUP(VLOOKUP(A1672,'[1]Sales Order'!A:C,3,FALSE),[1]Employee!A:B,2,FALSE),"Not Specified")</f>
        <v>Mr. Paul Suurs</v>
      </c>
      <c r="I1672">
        <f>IFERROR(VLOOKUP(VLOOKUP(A1672,'[1]Sales Order'!A:C,3,FALSE),[1]Employee!A:J,10,FALSE),"Not Specified")</f>
        <v>0</v>
      </c>
      <c r="J1672" t="str">
        <f>VLOOKUP(B1672,[1]Product!A:B,2,FALSE)</f>
        <v>Product LUNZZ</v>
      </c>
      <c r="K1672" t="str">
        <f>VLOOKUP(VLOOKUP(B1672,[1]Product!A:D,4,FALSE),[1]Category!A:B,2,FALSE)</f>
        <v>Condiments</v>
      </c>
      <c r="L1672" s="10">
        <f>IFERROR(VLOOKUP(A1672,'[1]Sales Order'!A:D,4,FALSE),"")</f>
        <v>39490</v>
      </c>
      <c r="M1672" s="10">
        <f>IFERROR(VLOOKUP(A1672,'[1]Sales Order'!A:F,6,FALSE),"")</f>
        <v>39496</v>
      </c>
      <c r="N1672" t="str">
        <f>IFERROR(VLOOKUP(VLOOKUP(A1672,'[1]Sales Order'!A:G,7,FALSE),[1]Shipper!A:B,2,FALSE),"Not Specified")</f>
        <v>Shipper ZHISN</v>
      </c>
      <c r="O1672" t="str">
        <f>IFERROR(VLOOKUP(A1672,'[1]Sales Order'!A:I,9,FALSE),"Not Specified")</f>
        <v>Ship to 76-B</v>
      </c>
      <c r="P1672" t="str">
        <f>IFERROR(VLOOKUP(A1672,'[1]Sales Order'!A:N,14,FALSE),"Not Specified")</f>
        <v>Belgium</v>
      </c>
      <c r="Q1672" t="str">
        <f>VLOOKUP(VLOOKUP(B1672,[1]Product!A:C,3,FALSE),[1]Supplier!A:B,2,FALSE)</f>
        <v>Supplier SVIYA</v>
      </c>
      <c r="R1672" t="str">
        <f>VLOOKUP(VLOOKUP(B1672,[1]Product!A:C,3,FALSE),[1]Supplier!A:I,9,FALSE)</f>
        <v>Germany</v>
      </c>
      <c r="S1672" t="str">
        <f>IFERROR(IF(VLOOKUP(A1672,'[1]Sales Order'!A:H,8,FALSE)&gt;100,"High Freight","Low Freight"),"Not Specified")</f>
        <v>Low Freight</v>
      </c>
      <c r="T1672">
        <f t="shared" si="53"/>
        <v>325</v>
      </c>
    </row>
    <row r="1673" spans="1:20">
      <c r="A1673" s="1">
        <v>10886</v>
      </c>
      <c r="B1673" s="2">
        <v>10</v>
      </c>
      <c r="C1673" s="2">
        <v>31</v>
      </c>
      <c r="D1673" s="2">
        <v>70</v>
      </c>
      <c r="E1673" s="3">
        <v>0</v>
      </c>
      <c r="F1673" s="2" t="str">
        <f>IFERROR(VLOOKUP(VLOOKUP(A1673,'[1]Sales Order'!A:B,2,FALSE),[1]Customer!A:C,3,FALSE),"Not Specified")</f>
        <v>Cohen, Shy</v>
      </c>
      <c r="G1673" s="2" t="str">
        <f t="shared" si="52"/>
        <v>Cohen Shy</v>
      </c>
      <c r="H1673" s="8" t="str">
        <f>IFERROR(VLOOKUP(VLOOKUP(A1673,'[1]Sales Order'!A:C,3,FALSE),[1]Employee!A:E,5,FALSE)&amp;" "&amp;VLOOKUP(VLOOKUP(A1673,'[1]Sales Order'!A:C,3,FALSE),[1]Employee!A:C,3,FALSE)&amp;" "&amp;VLOOKUP(VLOOKUP(A1673,'[1]Sales Order'!A:C,3,FALSE),[1]Employee!A:B,2,FALSE),"Not Specified")</f>
        <v>Ms. Sara Davis</v>
      </c>
      <c r="I1673" t="str">
        <f>IFERROR(VLOOKUP(VLOOKUP(A1673,'[1]Sales Order'!A:C,3,FALSE),[1]Employee!A:J,10,FALSE),"Not Specified")</f>
        <v>WA</v>
      </c>
      <c r="J1673" t="str">
        <f>VLOOKUP(B1673,[1]Product!A:B,2,FALSE)</f>
        <v>Product YHXGE</v>
      </c>
      <c r="K1673" t="str">
        <f>VLOOKUP(VLOOKUP(B1673,[1]Product!A:D,4,FALSE),[1]Category!A:B,2,FALSE)</f>
        <v>Seafood</v>
      </c>
      <c r="L1673" s="10">
        <f>IFERROR(VLOOKUP(A1673,'[1]Sales Order'!A:D,4,FALSE),"")</f>
        <v>39491</v>
      </c>
      <c r="M1673" s="10">
        <f>IFERROR(VLOOKUP(A1673,'[1]Sales Order'!A:F,6,FALSE),"")</f>
        <v>39509</v>
      </c>
      <c r="N1673" t="str">
        <f>IFERROR(VLOOKUP(VLOOKUP(A1673,'[1]Sales Order'!A:G,7,FALSE),[1]Shipper!A:B,2,FALSE),"Not Specified")</f>
        <v>Shipper GVSUA</v>
      </c>
      <c r="O1673" t="str">
        <f>IFERROR(VLOOKUP(A1673,'[1]Sales Order'!A:I,9,FALSE),"Not Specified")</f>
        <v>Destination SCQXA</v>
      </c>
      <c r="P1673" t="str">
        <f>IFERROR(VLOOKUP(A1673,'[1]Sales Order'!A:N,14,FALSE),"Not Specified")</f>
        <v>Brazil</v>
      </c>
      <c r="Q1673" t="str">
        <f>VLOOKUP(VLOOKUP(B1673,[1]Product!A:C,3,FALSE),[1]Supplier!A:B,2,FALSE)</f>
        <v>Supplier QOVFD</v>
      </c>
      <c r="R1673" t="str">
        <f>VLOOKUP(VLOOKUP(B1673,[1]Product!A:C,3,FALSE),[1]Supplier!A:I,9,FALSE)</f>
        <v>Japan</v>
      </c>
      <c r="S1673" t="str">
        <f>IFERROR(IF(VLOOKUP(A1673,'[1]Sales Order'!A:H,8,FALSE)&gt;100,"High Freight","Low Freight"),"Not Specified")</f>
        <v>Low Freight</v>
      </c>
      <c r="T1673">
        <f t="shared" si="53"/>
        <v>2170</v>
      </c>
    </row>
    <row r="1674" spans="1:20">
      <c r="A1674" s="1">
        <v>10886</v>
      </c>
      <c r="B1674" s="2">
        <v>31</v>
      </c>
      <c r="C1674" s="2">
        <v>12.5</v>
      </c>
      <c r="D1674" s="2">
        <v>35</v>
      </c>
      <c r="E1674" s="3">
        <v>0</v>
      </c>
      <c r="F1674" s="2" t="str">
        <f>IFERROR(VLOOKUP(VLOOKUP(A1674,'[1]Sales Order'!A:B,2,FALSE),[1]Customer!A:C,3,FALSE),"Not Specified")</f>
        <v>Cohen, Shy</v>
      </c>
      <c r="G1674" s="2" t="str">
        <f t="shared" si="52"/>
        <v>Cohen Shy</v>
      </c>
      <c r="H1674" s="8" t="str">
        <f>IFERROR(VLOOKUP(VLOOKUP(A1674,'[1]Sales Order'!A:C,3,FALSE),[1]Employee!A:E,5,FALSE)&amp;" "&amp;VLOOKUP(VLOOKUP(A1674,'[1]Sales Order'!A:C,3,FALSE),[1]Employee!A:C,3,FALSE)&amp;" "&amp;VLOOKUP(VLOOKUP(A1674,'[1]Sales Order'!A:C,3,FALSE),[1]Employee!A:B,2,FALSE),"Not Specified")</f>
        <v>Ms. Sara Davis</v>
      </c>
      <c r="I1674" t="str">
        <f>IFERROR(VLOOKUP(VLOOKUP(A1674,'[1]Sales Order'!A:C,3,FALSE),[1]Employee!A:J,10,FALSE),"Not Specified")</f>
        <v>WA</v>
      </c>
      <c r="J1674" t="str">
        <f>VLOOKUP(B1674,[1]Product!A:B,2,FALSE)</f>
        <v>Product XWOXC</v>
      </c>
      <c r="K1674" t="str">
        <f>VLOOKUP(VLOOKUP(B1674,[1]Product!A:D,4,FALSE),[1]Category!A:B,2,FALSE)</f>
        <v>Dairy Product</v>
      </c>
      <c r="L1674" s="10">
        <f>IFERROR(VLOOKUP(A1674,'[1]Sales Order'!A:D,4,FALSE),"")</f>
        <v>39491</v>
      </c>
      <c r="M1674" s="10">
        <f>IFERROR(VLOOKUP(A1674,'[1]Sales Order'!A:F,6,FALSE),"")</f>
        <v>39509</v>
      </c>
      <c r="N1674" t="str">
        <f>IFERROR(VLOOKUP(VLOOKUP(A1674,'[1]Sales Order'!A:G,7,FALSE),[1]Shipper!A:B,2,FALSE),"Not Specified")</f>
        <v>Shipper GVSUA</v>
      </c>
      <c r="O1674" t="str">
        <f>IFERROR(VLOOKUP(A1674,'[1]Sales Order'!A:I,9,FALSE),"Not Specified")</f>
        <v>Destination SCQXA</v>
      </c>
      <c r="P1674" t="str">
        <f>IFERROR(VLOOKUP(A1674,'[1]Sales Order'!A:N,14,FALSE),"Not Specified")</f>
        <v>Brazil</v>
      </c>
      <c r="Q1674" t="str">
        <f>VLOOKUP(VLOOKUP(B1674,[1]Product!A:C,3,FALSE),[1]Supplier!A:B,2,FALSE)</f>
        <v>Supplier KEREV</v>
      </c>
      <c r="R1674" t="str">
        <f>VLOOKUP(VLOOKUP(B1674,[1]Product!A:C,3,FALSE),[1]Supplier!A:I,9,FALSE)</f>
        <v>Italy</v>
      </c>
      <c r="S1674" t="str">
        <f>IFERROR(IF(VLOOKUP(A1674,'[1]Sales Order'!A:H,8,FALSE)&gt;100,"High Freight","Low Freight"),"Not Specified")</f>
        <v>Low Freight</v>
      </c>
      <c r="T1674">
        <f t="shared" si="53"/>
        <v>437.5</v>
      </c>
    </row>
    <row r="1675" spans="1:20">
      <c r="A1675" s="1">
        <v>10886</v>
      </c>
      <c r="B1675" s="2">
        <v>77</v>
      </c>
      <c r="C1675" s="2">
        <v>13</v>
      </c>
      <c r="D1675" s="2">
        <v>40</v>
      </c>
      <c r="E1675" s="3">
        <v>0</v>
      </c>
      <c r="F1675" s="2" t="str">
        <f>IFERROR(VLOOKUP(VLOOKUP(A1675,'[1]Sales Order'!A:B,2,FALSE),[1]Customer!A:C,3,FALSE),"Not Specified")</f>
        <v>Cohen, Shy</v>
      </c>
      <c r="G1675" s="2" t="str">
        <f t="shared" si="52"/>
        <v>Cohen Shy</v>
      </c>
      <c r="H1675" s="8" t="str">
        <f>IFERROR(VLOOKUP(VLOOKUP(A1675,'[1]Sales Order'!A:C,3,FALSE),[1]Employee!A:E,5,FALSE)&amp;" "&amp;VLOOKUP(VLOOKUP(A1675,'[1]Sales Order'!A:C,3,FALSE),[1]Employee!A:C,3,FALSE)&amp;" "&amp;VLOOKUP(VLOOKUP(A1675,'[1]Sales Order'!A:C,3,FALSE),[1]Employee!A:B,2,FALSE),"Not Specified")</f>
        <v>Ms. Sara Davis</v>
      </c>
      <c r="I1675" t="str">
        <f>IFERROR(VLOOKUP(VLOOKUP(A1675,'[1]Sales Order'!A:C,3,FALSE),[1]Employee!A:J,10,FALSE),"Not Specified")</f>
        <v>WA</v>
      </c>
      <c r="J1675" t="str">
        <f>VLOOKUP(B1675,[1]Product!A:B,2,FALSE)</f>
        <v>Product LUNZZ</v>
      </c>
      <c r="K1675" t="str">
        <f>VLOOKUP(VLOOKUP(B1675,[1]Product!A:D,4,FALSE),[1]Category!A:B,2,FALSE)</f>
        <v>Condiments</v>
      </c>
      <c r="L1675" s="10">
        <f>IFERROR(VLOOKUP(A1675,'[1]Sales Order'!A:D,4,FALSE),"")</f>
        <v>39491</v>
      </c>
      <c r="M1675" s="10">
        <f>IFERROR(VLOOKUP(A1675,'[1]Sales Order'!A:F,6,FALSE),"")</f>
        <v>39509</v>
      </c>
      <c r="N1675" t="str">
        <f>IFERROR(VLOOKUP(VLOOKUP(A1675,'[1]Sales Order'!A:G,7,FALSE),[1]Shipper!A:B,2,FALSE),"Not Specified")</f>
        <v>Shipper GVSUA</v>
      </c>
      <c r="O1675" t="str">
        <f>IFERROR(VLOOKUP(A1675,'[1]Sales Order'!A:I,9,FALSE),"Not Specified")</f>
        <v>Destination SCQXA</v>
      </c>
      <c r="P1675" t="str">
        <f>IFERROR(VLOOKUP(A1675,'[1]Sales Order'!A:N,14,FALSE),"Not Specified")</f>
        <v>Brazil</v>
      </c>
      <c r="Q1675" t="str">
        <f>VLOOKUP(VLOOKUP(B1675,[1]Product!A:C,3,FALSE),[1]Supplier!A:B,2,FALSE)</f>
        <v>Supplier SVIYA</v>
      </c>
      <c r="R1675" t="str">
        <f>VLOOKUP(VLOOKUP(B1675,[1]Product!A:C,3,FALSE),[1]Supplier!A:I,9,FALSE)</f>
        <v>Germany</v>
      </c>
      <c r="S1675" t="str">
        <f>IFERROR(IF(VLOOKUP(A1675,'[1]Sales Order'!A:H,8,FALSE)&gt;100,"High Freight","Low Freight"),"Not Specified")</f>
        <v>Low Freight</v>
      </c>
      <c r="T1675">
        <f t="shared" si="53"/>
        <v>520</v>
      </c>
    </row>
    <row r="1676" spans="1:20">
      <c r="A1676" s="1">
        <v>10887</v>
      </c>
      <c r="B1676" s="2">
        <v>25</v>
      </c>
      <c r="C1676" s="2">
        <v>14</v>
      </c>
      <c r="D1676" s="2">
        <v>5</v>
      </c>
      <c r="E1676" s="3">
        <v>0</v>
      </c>
      <c r="F1676" s="2" t="str">
        <f>IFERROR(VLOOKUP(VLOOKUP(A1676,'[1]Sales Order'!A:B,2,FALSE),[1]Customer!A:C,3,FALSE),"Not Specified")</f>
        <v>Kolesnikova, Katerina</v>
      </c>
      <c r="G1676" s="2" t="str">
        <f t="shared" si="52"/>
        <v>Kolesnikova Katerina</v>
      </c>
      <c r="H1676" s="8" t="str">
        <f>IFERROR(VLOOKUP(VLOOKUP(A1676,'[1]Sales Order'!A:C,3,FALSE),[1]Employee!A:E,5,FALSE)&amp;" "&amp;VLOOKUP(VLOOKUP(A1676,'[1]Sales Order'!A:C,3,FALSE),[1]Employee!A:C,3,FALSE)&amp;" "&amp;VLOOKUP(VLOOKUP(A1676,'[1]Sales Order'!A:C,3,FALSE),[1]Employee!A:B,2,FALSE),"Not Specified")</f>
        <v>Ms. Maria Cameron</v>
      </c>
      <c r="I1676" t="str">
        <f>IFERROR(VLOOKUP(VLOOKUP(A1676,'[1]Sales Order'!A:C,3,FALSE),[1]Employee!A:J,10,FALSE),"Not Specified")</f>
        <v>WA</v>
      </c>
      <c r="J1676" t="str">
        <f>VLOOKUP(B1676,[1]Product!A:B,2,FALSE)</f>
        <v>Product LYLNI</v>
      </c>
      <c r="K1676" t="str">
        <f>VLOOKUP(VLOOKUP(B1676,[1]Product!A:D,4,FALSE),[1]Category!A:B,2,FALSE)</f>
        <v>Confections</v>
      </c>
      <c r="L1676" s="10">
        <f>IFERROR(VLOOKUP(A1676,'[1]Sales Order'!A:D,4,FALSE),"")</f>
        <v>39491</v>
      </c>
      <c r="M1676" s="10">
        <f>IFERROR(VLOOKUP(A1676,'[1]Sales Order'!A:F,6,FALSE),"")</f>
        <v>39494</v>
      </c>
      <c r="N1676" t="str">
        <f>IFERROR(VLOOKUP(VLOOKUP(A1676,'[1]Sales Order'!A:G,7,FALSE),[1]Shipper!A:B,2,FALSE),"Not Specified")</f>
        <v>Shipper ZHISN</v>
      </c>
      <c r="O1676" t="str">
        <f>IFERROR(VLOOKUP(A1676,'[1]Sales Order'!A:I,9,FALSE),"Not Specified")</f>
        <v>Destination VPNNG</v>
      </c>
      <c r="P1676" t="str">
        <f>IFERROR(VLOOKUP(A1676,'[1]Sales Order'!A:N,14,FALSE),"Not Specified")</f>
        <v>Spain</v>
      </c>
      <c r="Q1676" t="str">
        <f>VLOOKUP(VLOOKUP(B1676,[1]Product!A:C,3,FALSE),[1]Supplier!A:B,2,FALSE)</f>
        <v>Supplier ZPYVS</v>
      </c>
      <c r="R1676" t="str">
        <f>VLOOKUP(VLOOKUP(B1676,[1]Product!A:C,3,FALSE),[1]Supplier!A:I,9,FALSE)</f>
        <v>Germany</v>
      </c>
      <c r="S1676" t="str">
        <f>IFERROR(IF(VLOOKUP(A1676,'[1]Sales Order'!A:H,8,FALSE)&gt;100,"High Freight","Low Freight"),"Not Specified")</f>
        <v>Low Freight</v>
      </c>
      <c r="T1676">
        <f t="shared" si="53"/>
        <v>70</v>
      </c>
    </row>
    <row r="1677" spans="1:20">
      <c r="A1677" s="1">
        <v>10888</v>
      </c>
      <c r="B1677" s="2">
        <v>2</v>
      </c>
      <c r="C1677" s="2">
        <v>19</v>
      </c>
      <c r="D1677" s="2">
        <v>20</v>
      </c>
      <c r="E1677" s="3">
        <v>0</v>
      </c>
      <c r="F1677" s="2" t="str">
        <f>IFERROR(VLOOKUP(VLOOKUP(A1677,'[1]Sales Order'!A:B,2,FALSE),[1]Customer!A:C,3,FALSE),"Not Specified")</f>
        <v>Shabalin, Rostislav</v>
      </c>
      <c r="G1677" s="2" t="str">
        <f t="shared" si="52"/>
        <v>Shabalin Rostislav</v>
      </c>
      <c r="H1677" s="8" t="str">
        <f>IFERROR(VLOOKUP(VLOOKUP(A1677,'[1]Sales Order'!A:C,3,FALSE),[1]Employee!A:E,5,FALSE)&amp;" "&amp;VLOOKUP(VLOOKUP(A1677,'[1]Sales Order'!A:C,3,FALSE),[1]Employee!A:C,3,FALSE)&amp;" "&amp;VLOOKUP(VLOOKUP(A1677,'[1]Sales Order'!A:C,3,FALSE),[1]Employee!A:B,2,FALSE),"Not Specified")</f>
        <v>Ms. Sara Davis</v>
      </c>
      <c r="I1677" t="str">
        <f>IFERROR(VLOOKUP(VLOOKUP(A1677,'[1]Sales Order'!A:C,3,FALSE),[1]Employee!A:J,10,FALSE),"Not Specified")</f>
        <v>WA</v>
      </c>
      <c r="J1677" t="str">
        <f>VLOOKUP(B1677,[1]Product!A:B,2,FALSE)</f>
        <v>Product RECZE</v>
      </c>
      <c r="K1677" t="str">
        <f>VLOOKUP(VLOOKUP(B1677,[1]Product!A:D,4,FALSE),[1]Category!A:B,2,FALSE)</f>
        <v>Beverages</v>
      </c>
      <c r="L1677" s="10">
        <f>IFERROR(VLOOKUP(A1677,'[1]Sales Order'!A:D,4,FALSE),"")</f>
        <v>39494</v>
      </c>
      <c r="M1677" s="10">
        <f>IFERROR(VLOOKUP(A1677,'[1]Sales Order'!A:F,6,FALSE),"")</f>
        <v>39501</v>
      </c>
      <c r="N1677" t="str">
        <f>IFERROR(VLOOKUP(VLOOKUP(A1677,'[1]Sales Order'!A:G,7,FALSE),[1]Shipper!A:B,2,FALSE),"Not Specified")</f>
        <v>Shipper ETYNR</v>
      </c>
      <c r="O1677" t="str">
        <f>IFERROR(VLOOKUP(A1677,'[1]Sales Order'!A:I,9,FALSE),"Not Specified")</f>
        <v>Destination IIYDD</v>
      </c>
      <c r="P1677" t="str">
        <f>IFERROR(VLOOKUP(A1677,'[1]Sales Order'!A:N,14,FALSE),"Not Specified")</f>
        <v>Spain</v>
      </c>
      <c r="Q1677" t="str">
        <f>VLOOKUP(VLOOKUP(B1677,[1]Product!A:C,3,FALSE),[1]Supplier!A:B,2,FALSE)</f>
        <v>Supplier SWRXU</v>
      </c>
      <c r="R1677" t="str">
        <f>VLOOKUP(VLOOKUP(B1677,[1]Product!A:C,3,FALSE),[1]Supplier!A:I,9,FALSE)</f>
        <v>UK</v>
      </c>
      <c r="S1677" t="str">
        <f>IFERROR(IF(VLOOKUP(A1677,'[1]Sales Order'!A:H,8,FALSE)&gt;100,"High Freight","Low Freight"),"Not Specified")</f>
        <v>Low Freight</v>
      </c>
      <c r="T1677">
        <f t="shared" si="53"/>
        <v>380</v>
      </c>
    </row>
    <row r="1678" spans="1:20">
      <c r="A1678" s="1">
        <v>10888</v>
      </c>
      <c r="B1678" s="2">
        <v>68</v>
      </c>
      <c r="C1678" s="2">
        <v>12.5</v>
      </c>
      <c r="D1678" s="2">
        <v>18</v>
      </c>
      <c r="E1678" s="3">
        <v>0</v>
      </c>
      <c r="F1678" s="2" t="str">
        <f>IFERROR(VLOOKUP(VLOOKUP(A1678,'[1]Sales Order'!A:B,2,FALSE),[1]Customer!A:C,3,FALSE),"Not Specified")</f>
        <v>Shabalin, Rostislav</v>
      </c>
      <c r="G1678" s="2" t="str">
        <f t="shared" si="52"/>
        <v>Shabalin Rostislav</v>
      </c>
      <c r="H1678" s="8" t="str">
        <f>IFERROR(VLOOKUP(VLOOKUP(A1678,'[1]Sales Order'!A:C,3,FALSE),[1]Employee!A:E,5,FALSE)&amp;" "&amp;VLOOKUP(VLOOKUP(A1678,'[1]Sales Order'!A:C,3,FALSE),[1]Employee!A:C,3,FALSE)&amp;" "&amp;VLOOKUP(VLOOKUP(A1678,'[1]Sales Order'!A:C,3,FALSE),[1]Employee!A:B,2,FALSE),"Not Specified")</f>
        <v>Ms. Sara Davis</v>
      </c>
      <c r="I1678" t="str">
        <f>IFERROR(VLOOKUP(VLOOKUP(A1678,'[1]Sales Order'!A:C,3,FALSE),[1]Employee!A:J,10,FALSE),"Not Specified")</f>
        <v>WA</v>
      </c>
      <c r="J1678" t="str">
        <f>VLOOKUP(B1678,[1]Product!A:B,2,FALSE)</f>
        <v>Product TBTBL</v>
      </c>
      <c r="K1678" t="str">
        <f>VLOOKUP(VLOOKUP(B1678,[1]Product!A:D,4,FALSE),[1]Category!A:B,2,FALSE)</f>
        <v>Confections</v>
      </c>
      <c r="L1678" s="10">
        <f>IFERROR(VLOOKUP(A1678,'[1]Sales Order'!A:D,4,FALSE),"")</f>
        <v>39494</v>
      </c>
      <c r="M1678" s="10">
        <f>IFERROR(VLOOKUP(A1678,'[1]Sales Order'!A:F,6,FALSE),"")</f>
        <v>39501</v>
      </c>
      <c r="N1678" t="str">
        <f>IFERROR(VLOOKUP(VLOOKUP(A1678,'[1]Sales Order'!A:G,7,FALSE),[1]Shipper!A:B,2,FALSE),"Not Specified")</f>
        <v>Shipper ETYNR</v>
      </c>
      <c r="O1678" t="str">
        <f>IFERROR(VLOOKUP(A1678,'[1]Sales Order'!A:I,9,FALSE),"Not Specified")</f>
        <v>Destination IIYDD</v>
      </c>
      <c r="P1678" t="str">
        <f>IFERROR(VLOOKUP(A1678,'[1]Sales Order'!A:N,14,FALSE),"Not Specified")</f>
        <v>Spain</v>
      </c>
      <c r="Q1678" t="str">
        <f>VLOOKUP(VLOOKUP(B1678,[1]Product!A:C,3,FALSE),[1]Supplier!A:B,2,FALSE)</f>
        <v>Supplier BWGYE</v>
      </c>
      <c r="R1678" t="str">
        <f>VLOOKUP(VLOOKUP(B1678,[1]Product!A:C,3,FALSE),[1]Supplier!A:I,9,FALSE)</f>
        <v>UK</v>
      </c>
      <c r="S1678" t="str">
        <f>IFERROR(IF(VLOOKUP(A1678,'[1]Sales Order'!A:H,8,FALSE)&gt;100,"High Freight","Low Freight"),"Not Specified")</f>
        <v>Low Freight</v>
      </c>
      <c r="T1678">
        <f t="shared" si="53"/>
        <v>225</v>
      </c>
    </row>
    <row r="1679" spans="1:20">
      <c r="A1679" s="1">
        <v>10889</v>
      </c>
      <c r="B1679" s="2">
        <v>11</v>
      </c>
      <c r="C1679" s="2">
        <v>21</v>
      </c>
      <c r="D1679" s="2">
        <v>40</v>
      </c>
      <c r="E1679" s="3">
        <v>0</v>
      </c>
      <c r="F1679" s="2" t="str">
        <f>IFERROR(VLOOKUP(VLOOKUP(A1679,'[1]Sales Order'!A:B,2,FALSE),[1]Customer!A:C,3,FALSE),"Not Specified")</f>
        <v>Moore, Michael</v>
      </c>
      <c r="G1679" s="2" t="str">
        <f t="shared" si="52"/>
        <v>Moore Michael</v>
      </c>
      <c r="H1679" s="8" t="str">
        <f>IFERROR(VLOOKUP(VLOOKUP(A1679,'[1]Sales Order'!A:C,3,FALSE),[1]Employee!A:E,5,FALSE)&amp;" "&amp;VLOOKUP(VLOOKUP(A1679,'[1]Sales Order'!A:C,3,FALSE),[1]Employee!A:C,3,FALSE)&amp;" "&amp;VLOOKUP(VLOOKUP(A1679,'[1]Sales Order'!A:C,3,FALSE),[1]Employee!A:B,2,FALSE),"Not Specified")</f>
        <v>Ms. Zoya Dolgopyatova</v>
      </c>
      <c r="I1679">
        <f>IFERROR(VLOOKUP(VLOOKUP(A1679,'[1]Sales Order'!A:C,3,FALSE),[1]Employee!A:J,10,FALSE),"Not Specified")</f>
        <v>0</v>
      </c>
      <c r="J1679" t="str">
        <f>VLOOKUP(B1679,[1]Product!A:B,2,FALSE)</f>
        <v>Product QMVUN</v>
      </c>
      <c r="K1679" t="str">
        <f>VLOOKUP(VLOOKUP(B1679,[1]Product!A:D,4,FALSE),[1]Category!A:B,2,FALSE)</f>
        <v>Dairy Product</v>
      </c>
      <c r="L1679" s="10">
        <f>IFERROR(VLOOKUP(A1679,'[1]Sales Order'!A:D,4,FALSE),"")</f>
        <v>39494</v>
      </c>
      <c r="M1679" s="10">
        <f>IFERROR(VLOOKUP(A1679,'[1]Sales Order'!A:F,6,FALSE),"")</f>
        <v>39501</v>
      </c>
      <c r="N1679" t="str">
        <f>IFERROR(VLOOKUP(VLOOKUP(A1679,'[1]Sales Order'!A:G,7,FALSE),[1]Shipper!A:B,2,FALSE),"Not Specified")</f>
        <v>Shipper ZHISN</v>
      </c>
      <c r="O1679" t="str">
        <f>IFERROR(VLOOKUP(A1679,'[1]Sales Order'!A:I,9,FALSE),"Not Specified")</f>
        <v>Ship to 65-C</v>
      </c>
      <c r="P1679" t="str">
        <f>IFERROR(VLOOKUP(A1679,'[1]Sales Order'!A:N,14,FALSE),"Not Specified")</f>
        <v>USA</v>
      </c>
      <c r="Q1679" t="str">
        <f>VLOOKUP(VLOOKUP(B1679,[1]Product!A:C,3,FALSE),[1]Supplier!A:B,2,FALSE)</f>
        <v>Supplier EQPNC</v>
      </c>
      <c r="R1679" t="str">
        <f>VLOOKUP(VLOOKUP(B1679,[1]Product!A:C,3,FALSE),[1]Supplier!A:I,9,FALSE)</f>
        <v>Spain</v>
      </c>
      <c r="S1679" t="str">
        <f>IFERROR(IF(VLOOKUP(A1679,'[1]Sales Order'!A:H,8,FALSE)&gt;100,"High Freight","Low Freight"),"Not Specified")</f>
        <v>High Freight</v>
      </c>
      <c r="T1679">
        <f t="shared" si="53"/>
        <v>840</v>
      </c>
    </row>
    <row r="1680" spans="1:20">
      <c r="A1680" s="1">
        <v>10889</v>
      </c>
      <c r="B1680" s="2">
        <v>38</v>
      </c>
      <c r="C1680" s="2">
        <v>263.5</v>
      </c>
      <c r="D1680" s="2">
        <v>40</v>
      </c>
      <c r="E1680" s="3">
        <v>0</v>
      </c>
      <c r="F1680" s="2" t="str">
        <f>IFERROR(VLOOKUP(VLOOKUP(A1680,'[1]Sales Order'!A:B,2,FALSE),[1]Customer!A:C,3,FALSE),"Not Specified")</f>
        <v>Moore, Michael</v>
      </c>
      <c r="G1680" s="2" t="str">
        <f t="shared" si="52"/>
        <v>Moore Michael</v>
      </c>
      <c r="H1680" s="8" t="str">
        <f>IFERROR(VLOOKUP(VLOOKUP(A1680,'[1]Sales Order'!A:C,3,FALSE),[1]Employee!A:E,5,FALSE)&amp;" "&amp;VLOOKUP(VLOOKUP(A1680,'[1]Sales Order'!A:C,3,FALSE),[1]Employee!A:C,3,FALSE)&amp;" "&amp;VLOOKUP(VLOOKUP(A1680,'[1]Sales Order'!A:C,3,FALSE),[1]Employee!A:B,2,FALSE),"Not Specified")</f>
        <v>Ms. Zoya Dolgopyatova</v>
      </c>
      <c r="I1680">
        <f>IFERROR(VLOOKUP(VLOOKUP(A1680,'[1]Sales Order'!A:C,3,FALSE),[1]Employee!A:J,10,FALSE),"Not Specified")</f>
        <v>0</v>
      </c>
      <c r="J1680" t="str">
        <f>VLOOKUP(B1680,[1]Product!A:B,2,FALSE)</f>
        <v>Product QDOMO</v>
      </c>
      <c r="K1680" t="str">
        <f>VLOOKUP(VLOOKUP(B1680,[1]Product!A:D,4,FALSE),[1]Category!A:B,2,FALSE)</f>
        <v>Beverages</v>
      </c>
      <c r="L1680" s="10">
        <f>IFERROR(VLOOKUP(A1680,'[1]Sales Order'!A:D,4,FALSE),"")</f>
        <v>39494</v>
      </c>
      <c r="M1680" s="10">
        <f>IFERROR(VLOOKUP(A1680,'[1]Sales Order'!A:F,6,FALSE),"")</f>
        <v>39501</v>
      </c>
      <c r="N1680" t="str">
        <f>IFERROR(VLOOKUP(VLOOKUP(A1680,'[1]Sales Order'!A:G,7,FALSE),[1]Shipper!A:B,2,FALSE),"Not Specified")</f>
        <v>Shipper ZHISN</v>
      </c>
      <c r="O1680" t="str">
        <f>IFERROR(VLOOKUP(A1680,'[1]Sales Order'!A:I,9,FALSE),"Not Specified")</f>
        <v>Ship to 65-C</v>
      </c>
      <c r="P1680" t="str">
        <f>IFERROR(VLOOKUP(A1680,'[1]Sales Order'!A:N,14,FALSE),"Not Specified")</f>
        <v>USA</v>
      </c>
      <c r="Q1680" t="str">
        <f>VLOOKUP(VLOOKUP(B1680,[1]Product!A:C,3,FALSE),[1]Supplier!A:B,2,FALSE)</f>
        <v>Supplier LVJUA</v>
      </c>
      <c r="R1680" t="str">
        <f>VLOOKUP(VLOOKUP(B1680,[1]Product!A:C,3,FALSE),[1]Supplier!A:I,9,FALSE)</f>
        <v>France</v>
      </c>
      <c r="S1680" t="str">
        <f>IFERROR(IF(VLOOKUP(A1680,'[1]Sales Order'!A:H,8,FALSE)&gt;100,"High Freight","Low Freight"),"Not Specified")</f>
        <v>High Freight</v>
      </c>
      <c r="T1680">
        <f t="shared" si="53"/>
        <v>10540</v>
      </c>
    </row>
    <row r="1681" spans="1:20">
      <c r="A1681" s="1">
        <v>10890</v>
      </c>
      <c r="B1681" s="2">
        <v>17</v>
      </c>
      <c r="C1681" s="2">
        <v>39</v>
      </c>
      <c r="D1681" s="2">
        <v>15</v>
      </c>
      <c r="E1681" s="3">
        <v>0</v>
      </c>
      <c r="F1681" s="2" t="str">
        <f>IFERROR(VLOOKUP(VLOOKUP(A1681,'[1]Sales Order'!A:B,2,FALSE),[1]Customer!A:C,3,FALSE),"Not Specified")</f>
        <v>Rizaldy, Arif</v>
      </c>
      <c r="G1681" s="2" t="str">
        <f t="shared" si="52"/>
        <v>Rizaldy Arif</v>
      </c>
      <c r="H1681" s="8" t="str">
        <f>IFERROR(VLOOKUP(VLOOKUP(A1681,'[1]Sales Order'!A:C,3,FALSE),[1]Employee!A:E,5,FALSE)&amp;" "&amp;VLOOKUP(VLOOKUP(A1681,'[1]Sales Order'!A:C,3,FALSE),[1]Employee!A:C,3,FALSE)&amp;" "&amp;VLOOKUP(VLOOKUP(A1681,'[1]Sales Order'!A:C,3,FALSE),[1]Employee!A:B,2,FALSE),"Not Specified")</f>
        <v>Mr. Russell King</v>
      </c>
      <c r="I1681">
        <f>IFERROR(VLOOKUP(VLOOKUP(A1681,'[1]Sales Order'!A:C,3,FALSE),[1]Employee!A:J,10,FALSE),"Not Specified")</f>
        <v>0</v>
      </c>
      <c r="J1681" t="str">
        <f>VLOOKUP(B1681,[1]Product!A:B,2,FALSE)</f>
        <v>Product BLCAX</v>
      </c>
      <c r="K1681" t="str">
        <f>VLOOKUP(VLOOKUP(B1681,[1]Product!A:D,4,FALSE),[1]Category!A:B,2,FALSE)</f>
        <v>Meat/Poultry</v>
      </c>
      <c r="L1681" s="10">
        <f>IFERROR(VLOOKUP(A1681,'[1]Sales Order'!A:D,4,FALSE),"")</f>
        <v>39494</v>
      </c>
      <c r="M1681" s="10">
        <f>IFERROR(VLOOKUP(A1681,'[1]Sales Order'!A:F,6,FALSE),"")</f>
        <v>39496</v>
      </c>
      <c r="N1681" t="str">
        <f>IFERROR(VLOOKUP(VLOOKUP(A1681,'[1]Sales Order'!A:G,7,FALSE),[1]Shipper!A:B,2,FALSE),"Not Specified")</f>
        <v>Shipper GVSUA</v>
      </c>
      <c r="O1681" t="str">
        <f>IFERROR(VLOOKUP(A1681,'[1]Sales Order'!A:I,9,FALSE),"Not Specified")</f>
        <v>Destination JNSYI</v>
      </c>
      <c r="P1681" t="str">
        <f>IFERROR(VLOOKUP(A1681,'[1]Sales Order'!A:N,14,FALSE),"Not Specified")</f>
        <v>France</v>
      </c>
      <c r="Q1681" t="str">
        <f>VLOOKUP(VLOOKUP(B1681,[1]Product!A:C,3,FALSE),[1]Supplier!A:B,2,FALSE)</f>
        <v>Supplier GQRCV</v>
      </c>
      <c r="R1681" t="str">
        <f>VLOOKUP(VLOOKUP(B1681,[1]Product!A:C,3,FALSE),[1]Supplier!A:I,9,FALSE)</f>
        <v>Australia</v>
      </c>
      <c r="S1681" t="str">
        <f>IFERROR(IF(VLOOKUP(A1681,'[1]Sales Order'!A:H,8,FALSE)&gt;100,"High Freight","Low Freight"),"Not Specified")</f>
        <v>Low Freight</v>
      </c>
      <c r="T1681">
        <f t="shared" si="53"/>
        <v>585</v>
      </c>
    </row>
    <row r="1682" spans="1:20">
      <c r="A1682" s="1">
        <v>10890</v>
      </c>
      <c r="B1682" s="2">
        <v>34</v>
      </c>
      <c r="C1682" s="2">
        <v>14</v>
      </c>
      <c r="D1682" s="2">
        <v>10</v>
      </c>
      <c r="E1682" s="3">
        <v>0</v>
      </c>
      <c r="F1682" s="2" t="str">
        <f>IFERROR(VLOOKUP(VLOOKUP(A1682,'[1]Sales Order'!A:B,2,FALSE),[1]Customer!A:C,3,FALSE),"Not Specified")</f>
        <v>Rizaldy, Arif</v>
      </c>
      <c r="G1682" s="2" t="str">
        <f t="shared" si="52"/>
        <v>Rizaldy Arif</v>
      </c>
      <c r="H1682" s="8" t="str">
        <f>IFERROR(VLOOKUP(VLOOKUP(A1682,'[1]Sales Order'!A:C,3,FALSE),[1]Employee!A:E,5,FALSE)&amp;" "&amp;VLOOKUP(VLOOKUP(A1682,'[1]Sales Order'!A:C,3,FALSE),[1]Employee!A:C,3,FALSE)&amp;" "&amp;VLOOKUP(VLOOKUP(A1682,'[1]Sales Order'!A:C,3,FALSE),[1]Employee!A:B,2,FALSE),"Not Specified")</f>
        <v>Mr. Russell King</v>
      </c>
      <c r="I1682">
        <f>IFERROR(VLOOKUP(VLOOKUP(A1682,'[1]Sales Order'!A:C,3,FALSE),[1]Employee!A:J,10,FALSE),"Not Specified")</f>
        <v>0</v>
      </c>
      <c r="J1682" t="str">
        <f>VLOOKUP(B1682,[1]Product!A:B,2,FALSE)</f>
        <v>Product SWNJY</v>
      </c>
      <c r="K1682" t="str">
        <f>VLOOKUP(VLOOKUP(B1682,[1]Product!A:D,4,FALSE),[1]Category!A:B,2,FALSE)</f>
        <v>Beverages</v>
      </c>
      <c r="L1682" s="10">
        <f>IFERROR(VLOOKUP(A1682,'[1]Sales Order'!A:D,4,FALSE),"")</f>
        <v>39494</v>
      </c>
      <c r="M1682" s="10">
        <f>IFERROR(VLOOKUP(A1682,'[1]Sales Order'!A:F,6,FALSE),"")</f>
        <v>39496</v>
      </c>
      <c r="N1682" t="str">
        <f>IFERROR(VLOOKUP(VLOOKUP(A1682,'[1]Sales Order'!A:G,7,FALSE),[1]Shipper!A:B,2,FALSE),"Not Specified")</f>
        <v>Shipper GVSUA</v>
      </c>
      <c r="O1682" t="str">
        <f>IFERROR(VLOOKUP(A1682,'[1]Sales Order'!A:I,9,FALSE),"Not Specified")</f>
        <v>Destination JNSYI</v>
      </c>
      <c r="P1682" t="str">
        <f>IFERROR(VLOOKUP(A1682,'[1]Sales Order'!A:N,14,FALSE),"Not Specified")</f>
        <v>France</v>
      </c>
      <c r="Q1682" t="str">
        <f>VLOOKUP(VLOOKUP(B1682,[1]Product!A:C,3,FALSE),[1]Supplier!A:B,2,FALSE)</f>
        <v>Supplier UHZRG</v>
      </c>
      <c r="R1682" t="str">
        <f>VLOOKUP(VLOOKUP(B1682,[1]Product!A:C,3,FALSE),[1]Supplier!A:I,9,FALSE)</f>
        <v>USA</v>
      </c>
      <c r="S1682" t="str">
        <f>IFERROR(IF(VLOOKUP(A1682,'[1]Sales Order'!A:H,8,FALSE)&gt;100,"High Freight","Low Freight"),"Not Specified")</f>
        <v>Low Freight</v>
      </c>
      <c r="T1682">
        <f t="shared" si="53"/>
        <v>140</v>
      </c>
    </row>
    <row r="1683" spans="1:20">
      <c r="A1683" s="1">
        <v>10890</v>
      </c>
      <c r="B1683" s="2">
        <v>41</v>
      </c>
      <c r="C1683" s="2">
        <v>9.65</v>
      </c>
      <c r="D1683" s="2">
        <v>14</v>
      </c>
      <c r="E1683" s="3">
        <v>0</v>
      </c>
      <c r="F1683" s="2" t="str">
        <f>IFERROR(VLOOKUP(VLOOKUP(A1683,'[1]Sales Order'!A:B,2,FALSE),[1]Customer!A:C,3,FALSE),"Not Specified")</f>
        <v>Rizaldy, Arif</v>
      </c>
      <c r="G1683" s="2" t="str">
        <f t="shared" si="52"/>
        <v>Rizaldy Arif</v>
      </c>
      <c r="H1683" s="8" t="str">
        <f>IFERROR(VLOOKUP(VLOOKUP(A1683,'[1]Sales Order'!A:C,3,FALSE),[1]Employee!A:E,5,FALSE)&amp;" "&amp;VLOOKUP(VLOOKUP(A1683,'[1]Sales Order'!A:C,3,FALSE),[1]Employee!A:C,3,FALSE)&amp;" "&amp;VLOOKUP(VLOOKUP(A1683,'[1]Sales Order'!A:C,3,FALSE),[1]Employee!A:B,2,FALSE),"Not Specified")</f>
        <v>Mr. Russell King</v>
      </c>
      <c r="I1683">
        <f>IFERROR(VLOOKUP(VLOOKUP(A1683,'[1]Sales Order'!A:C,3,FALSE),[1]Employee!A:J,10,FALSE),"Not Specified")</f>
        <v>0</v>
      </c>
      <c r="J1683" t="str">
        <f>VLOOKUP(B1683,[1]Product!A:B,2,FALSE)</f>
        <v>Product TTEEX</v>
      </c>
      <c r="K1683" t="str">
        <f>VLOOKUP(VLOOKUP(B1683,[1]Product!A:D,4,FALSE),[1]Category!A:B,2,FALSE)</f>
        <v>Seafood</v>
      </c>
      <c r="L1683" s="10">
        <f>IFERROR(VLOOKUP(A1683,'[1]Sales Order'!A:D,4,FALSE),"")</f>
        <v>39494</v>
      </c>
      <c r="M1683" s="10">
        <f>IFERROR(VLOOKUP(A1683,'[1]Sales Order'!A:F,6,FALSE),"")</f>
        <v>39496</v>
      </c>
      <c r="N1683" t="str">
        <f>IFERROR(VLOOKUP(VLOOKUP(A1683,'[1]Sales Order'!A:G,7,FALSE),[1]Shipper!A:B,2,FALSE),"Not Specified")</f>
        <v>Shipper GVSUA</v>
      </c>
      <c r="O1683" t="str">
        <f>IFERROR(VLOOKUP(A1683,'[1]Sales Order'!A:I,9,FALSE),"Not Specified")</f>
        <v>Destination JNSYI</v>
      </c>
      <c r="P1683" t="str">
        <f>IFERROR(VLOOKUP(A1683,'[1]Sales Order'!A:N,14,FALSE),"Not Specified")</f>
        <v>France</v>
      </c>
      <c r="Q1683" t="str">
        <f>VLOOKUP(VLOOKUP(B1683,[1]Product!A:C,3,FALSE),[1]Supplier!A:B,2,FALSE)</f>
        <v>Supplier JDNUG</v>
      </c>
      <c r="R1683" t="str">
        <f>VLOOKUP(VLOOKUP(B1683,[1]Product!A:C,3,FALSE),[1]Supplier!A:I,9,FALSE)</f>
        <v>USA</v>
      </c>
      <c r="S1683" t="str">
        <f>IFERROR(IF(VLOOKUP(A1683,'[1]Sales Order'!A:H,8,FALSE)&gt;100,"High Freight","Low Freight"),"Not Specified")</f>
        <v>Low Freight</v>
      </c>
      <c r="T1683">
        <f t="shared" si="53"/>
        <v>135.1</v>
      </c>
    </row>
    <row r="1684" spans="1:20">
      <c r="A1684" s="1">
        <v>10891</v>
      </c>
      <c r="B1684" s="2">
        <v>30</v>
      </c>
      <c r="C1684" s="2">
        <v>25.89</v>
      </c>
      <c r="D1684" s="2">
        <v>15</v>
      </c>
      <c r="E1684" s="3">
        <v>0.05</v>
      </c>
      <c r="F1684" s="2" t="str">
        <f>IFERROR(VLOOKUP(VLOOKUP(A1684,'[1]Sales Order'!A:B,2,FALSE),[1]Customer!A:C,3,FALSE),"Not Specified")</f>
        <v>Louverdis, George</v>
      </c>
      <c r="G1684" s="2" t="str">
        <f t="shared" si="52"/>
        <v>Louverdis George</v>
      </c>
      <c r="H1684" s="8" t="str">
        <f>IFERROR(VLOOKUP(VLOOKUP(A1684,'[1]Sales Order'!A:C,3,FALSE),[1]Employee!A:E,5,FALSE)&amp;" "&amp;VLOOKUP(VLOOKUP(A1684,'[1]Sales Order'!A:C,3,FALSE),[1]Employee!A:C,3,FALSE)&amp;" "&amp;VLOOKUP(VLOOKUP(A1684,'[1]Sales Order'!A:C,3,FALSE),[1]Employee!A:B,2,FALSE),"Not Specified")</f>
        <v>Mr. Russell King</v>
      </c>
      <c r="I1684">
        <f>IFERROR(VLOOKUP(VLOOKUP(A1684,'[1]Sales Order'!A:C,3,FALSE),[1]Employee!A:J,10,FALSE),"Not Specified")</f>
        <v>0</v>
      </c>
      <c r="J1684" t="str">
        <f>VLOOKUP(B1684,[1]Product!A:B,2,FALSE)</f>
        <v>Product LYERX</v>
      </c>
      <c r="K1684" t="str">
        <f>VLOOKUP(VLOOKUP(B1684,[1]Product!A:D,4,FALSE),[1]Category!A:B,2,FALSE)</f>
        <v>Seafood</v>
      </c>
      <c r="L1684" s="10">
        <f>IFERROR(VLOOKUP(A1684,'[1]Sales Order'!A:D,4,FALSE),"")</f>
        <v>39495</v>
      </c>
      <c r="M1684" s="10">
        <f>IFERROR(VLOOKUP(A1684,'[1]Sales Order'!A:F,6,FALSE),"")</f>
        <v>39497</v>
      </c>
      <c r="N1684" t="str">
        <f>IFERROR(VLOOKUP(VLOOKUP(A1684,'[1]Sales Order'!A:G,7,FALSE),[1]Shipper!A:B,2,FALSE),"Not Specified")</f>
        <v>Shipper ETYNR</v>
      </c>
      <c r="O1684" t="str">
        <f>IFERROR(VLOOKUP(A1684,'[1]Sales Order'!A:I,9,FALSE),"Not Specified")</f>
        <v>Ship to 44-A</v>
      </c>
      <c r="P1684" t="str">
        <f>IFERROR(VLOOKUP(A1684,'[1]Sales Order'!A:N,14,FALSE),"Not Specified")</f>
        <v>Germany</v>
      </c>
      <c r="Q1684" t="str">
        <f>VLOOKUP(VLOOKUP(B1684,[1]Product!A:C,3,FALSE),[1]Supplier!A:B,2,FALSE)</f>
        <v>Supplier TEGSC</v>
      </c>
      <c r="R1684" t="str">
        <f>VLOOKUP(VLOOKUP(B1684,[1]Product!A:C,3,FALSE),[1]Supplier!A:I,9,FALSE)</f>
        <v>Germany</v>
      </c>
      <c r="S1684" t="str">
        <f>IFERROR(IF(VLOOKUP(A1684,'[1]Sales Order'!A:H,8,FALSE)&gt;100,"High Freight","Low Freight"),"Not Specified")</f>
        <v>Low Freight</v>
      </c>
      <c r="T1684">
        <f t="shared" si="53"/>
        <v>368.9325</v>
      </c>
    </row>
    <row r="1685" spans="1:20">
      <c r="A1685" s="1">
        <v>10892</v>
      </c>
      <c r="B1685" s="2">
        <v>59</v>
      </c>
      <c r="C1685" s="2">
        <v>55</v>
      </c>
      <c r="D1685" s="2">
        <v>40</v>
      </c>
      <c r="E1685" s="3">
        <v>0.05</v>
      </c>
      <c r="F1685" s="2" t="str">
        <f>IFERROR(VLOOKUP(VLOOKUP(A1685,'[1]Sales Order'!A:B,2,FALSE),[1]Customer!A:C,3,FALSE),"Not Specified")</f>
        <v>Mace, Donald</v>
      </c>
      <c r="G1685" s="2" t="str">
        <f t="shared" si="52"/>
        <v>Mace Donald</v>
      </c>
      <c r="H1685" s="8" t="str">
        <f>IFERROR(VLOOKUP(VLOOKUP(A1685,'[1]Sales Order'!A:C,3,FALSE),[1]Employee!A:E,5,FALSE)&amp;" "&amp;VLOOKUP(VLOOKUP(A1685,'[1]Sales Order'!A:C,3,FALSE),[1]Employee!A:C,3,FALSE)&amp;" "&amp;VLOOKUP(VLOOKUP(A1685,'[1]Sales Order'!A:C,3,FALSE),[1]Employee!A:B,2,FALSE),"Not Specified")</f>
        <v>Mrs. Yael Peled</v>
      </c>
      <c r="I1685" t="str">
        <f>IFERROR(VLOOKUP(VLOOKUP(A1685,'[1]Sales Order'!A:C,3,FALSE),[1]Employee!A:J,10,FALSE),"Not Specified")</f>
        <v>WA</v>
      </c>
      <c r="J1685" t="str">
        <f>VLOOKUP(B1685,[1]Product!A:B,2,FALSE)</f>
        <v>Product UKXRI</v>
      </c>
      <c r="K1685" t="str">
        <f>VLOOKUP(VLOOKUP(B1685,[1]Product!A:D,4,FALSE),[1]Category!A:B,2,FALSE)</f>
        <v>Dairy Product</v>
      </c>
      <c r="L1685" s="10">
        <f>IFERROR(VLOOKUP(A1685,'[1]Sales Order'!A:D,4,FALSE),"")</f>
        <v>39495</v>
      </c>
      <c r="M1685" s="10">
        <f>IFERROR(VLOOKUP(A1685,'[1]Sales Order'!A:F,6,FALSE),"")</f>
        <v>39497</v>
      </c>
      <c r="N1685" t="str">
        <f>IFERROR(VLOOKUP(VLOOKUP(A1685,'[1]Sales Order'!A:G,7,FALSE),[1]Shipper!A:B,2,FALSE),"Not Specified")</f>
        <v>Shipper ETYNR</v>
      </c>
      <c r="O1685" t="str">
        <f>IFERROR(VLOOKUP(A1685,'[1]Sales Order'!A:I,9,FALSE),"Not Specified")</f>
        <v>Ship to 50-A</v>
      </c>
      <c r="P1685" t="str">
        <f>IFERROR(VLOOKUP(A1685,'[1]Sales Order'!A:N,14,FALSE),"Not Specified")</f>
        <v>Belgium</v>
      </c>
      <c r="Q1685" t="str">
        <f>VLOOKUP(VLOOKUP(B1685,[1]Product!A:C,3,FALSE),[1]Supplier!A:B,2,FALSE)</f>
        <v>Supplier OAVQT</v>
      </c>
      <c r="R1685" t="str">
        <f>VLOOKUP(VLOOKUP(B1685,[1]Product!A:C,3,FALSE),[1]Supplier!A:I,9,FALSE)</f>
        <v>France</v>
      </c>
      <c r="S1685" t="str">
        <f>IFERROR(IF(VLOOKUP(A1685,'[1]Sales Order'!A:H,8,FALSE)&gt;100,"High Freight","Low Freight"),"Not Specified")</f>
        <v>High Freight</v>
      </c>
      <c r="T1685">
        <f t="shared" si="53"/>
        <v>2090</v>
      </c>
    </row>
    <row r="1686" spans="1:20">
      <c r="A1686" s="1">
        <v>10893</v>
      </c>
      <c r="B1686" s="2">
        <v>8</v>
      </c>
      <c r="C1686" s="2">
        <v>40</v>
      </c>
      <c r="D1686" s="2">
        <v>30</v>
      </c>
      <c r="E1686" s="3">
        <v>0</v>
      </c>
      <c r="F1686" s="2" t="str">
        <f>IFERROR(VLOOKUP(VLOOKUP(A1686,'[1]Sales Order'!A:B,2,FALSE),[1]Customer!A:C,3,FALSE),"Not Specified")</f>
        <v>Song, Lolan</v>
      </c>
      <c r="G1686" s="2" t="str">
        <f t="shared" si="52"/>
        <v>Song Lolan</v>
      </c>
      <c r="H1686" s="8" t="str">
        <f>IFERROR(VLOOKUP(VLOOKUP(A1686,'[1]Sales Order'!A:C,3,FALSE),[1]Employee!A:E,5,FALSE)&amp;" "&amp;VLOOKUP(VLOOKUP(A1686,'[1]Sales Order'!A:C,3,FALSE),[1]Employee!A:C,3,FALSE)&amp;" "&amp;VLOOKUP(VLOOKUP(A1686,'[1]Sales Order'!A:C,3,FALSE),[1]Employee!A:B,2,FALSE),"Not Specified")</f>
        <v>Ms. Zoya Dolgopyatova</v>
      </c>
      <c r="I1686">
        <f>IFERROR(VLOOKUP(VLOOKUP(A1686,'[1]Sales Order'!A:C,3,FALSE),[1]Employee!A:J,10,FALSE),"Not Specified")</f>
        <v>0</v>
      </c>
      <c r="J1686" t="str">
        <f>VLOOKUP(B1686,[1]Product!A:B,2,FALSE)</f>
        <v>Product WVJFP</v>
      </c>
      <c r="K1686" t="str">
        <f>VLOOKUP(VLOOKUP(B1686,[1]Product!A:D,4,FALSE),[1]Category!A:B,2,FALSE)</f>
        <v>Condiments</v>
      </c>
      <c r="L1686" s="10">
        <f>IFERROR(VLOOKUP(A1686,'[1]Sales Order'!A:D,4,FALSE),"")</f>
        <v>39496</v>
      </c>
      <c r="M1686" s="10">
        <f>IFERROR(VLOOKUP(A1686,'[1]Sales Order'!A:F,6,FALSE),"")</f>
        <v>39498</v>
      </c>
      <c r="N1686" t="str">
        <f>IFERROR(VLOOKUP(VLOOKUP(A1686,'[1]Sales Order'!A:G,7,FALSE),[1]Shipper!A:B,2,FALSE),"Not Specified")</f>
        <v>Shipper ETYNR</v>
      </c>
      <c r="O1686" t="str">
        <f>IFERROR(VLOOKUP(A1686,'[1]Sales Order'!A:I,9,FALSE),"Not Specified")</f>
        <v>Destination RMBHM</v>
      </c>
      <c r="P1686" t="str">
        <f>IFERROR(VLOOKUP(A1686,'[1]Sales Order'!A:N,14,FALSE),"Not Specified")</f>
        <v>Germany</v>
      </c>
      <c r="Q1686" t="str">
        <f>VLOOKUP(VLOOKUP(B1686,[1]Product!A:C,3,FALSE),[1]Supplier!A:B,2,FALSE)</f>
        <v>Supplier STUAZ</v>
      </c>
      <c r="R1686" t="str">
        <f>VLOOKUP(VLOOKUP(B1686,[1]Product!A:C,3,FALSE),[1]Supplier!A:I,9,FALSE)</f>
        <v>USA</v>
      </c>
      <c r="S1686" t="str">
        <f>IFERROR(IF(VLOOKUP(A1686,'[1]Sales Order'!A:H,8,FALSE)&gt;100,"High Freight","Low Freight"),"Not Specified")</f>
        <v>Low Freight</v>
      </c>
      <c r="T1686">
        <f t="shared" si="53"/>
        <v>1200</v>
      </c>
    </row>
    <row r="1687" spans="1:20">
      <c r="A1687" s="1">
        <v>10893</v>
      </c>
      <c r="B1687" s="2">
        <v>24</v>
      </c>
      <c r="C1687" s="2">
        <v>4.5</v>
      </c>
      <c r="D1687" s="2">
        <v>10</v>
      </c>
      <c r="E1687" s="3">
        <v>0</v>
      </c>
      <c r="F1687" s="2" t="str">
        <f>IFERROR(VLOOKUP(VLOOKUP(A1687,'[1]Sales Order'!A:B,2,FALSE),[1]Customer!A:C,3,FALSE),"Not Specified")</f>
        <v>Song, Lolan</v>
      </c>
      <c r="G1687" s="2" t="str">
        <f t="shared" si="52"/>
        <v>Song Lolan</v>
      </c>
      <c r="H1687" s="8" t="str">
        <f>IFERROR(VLOOKUP(VLOOKUP(A1687,'[1]Sales Order'!A:C,3,FALSE),[1]Employee!A:E,5,FALSE)&amp;" "&amp;VLOOKUP(VLOOKUP(A1687,'[1]Sales Order'!A:C,3,FALSE),[1]Employee!A:C,3,FALSE)&amp;" "&amp;VLOOKUP(VLOOKUP(A1687,'[1]Sales Order'!A:C,3,FALSE),[1]Employee!A:B,2,FALSE),"Not Specified")</f>
        <v>Ms. Zoya Dolgopyatova</v>
      </c>
      <c r="I1687">
        <f>IFERROR(VLOOKUP(VLOOKUP(A1687,'[1]Sales Order'!A:C,3,FALSE),[1]Employee!A:J,10,FALSE),"Not Specified")</f>
        <v>0</v>
      </c>
      <c r="J1687" t="str">
        <f>VLOOKUP(B1687,[1]Product!A:B,2,FALSE)</f>
        <v>Product QOGNU</v>
      </c>
      <c r="K1687" t="str">
        <f>VLOOKUP(VLOOKUP(B1687,[1]Product!A:D,4,FALSE),[1]Category!A:B,2,FALSE)</f>
        <v>Beverages</v>
      </c>
      <c r="L1687" s="10">
        <f>IFERROR(VLOOKUP(A1687,'[1]Sales Order'!A:D,4,FALSE),"")</f>
        <v>39496</v>
      </c>
      <c r="M1687" s="10">
        <f>IFERROR(VLOOKUP(A1687,'[1]Sales Order'!A:F,6,FALSE),"")</f>
        <v>39498</v>
      </c>
      <c r="N1687" t="str">
        <f>IFERROR(VLOOKUP(VLOOKUP(A1687,'[1]Sales Order'!A:G,7,FALSE),[1]Shipper!A:B,2,FALSE),"Not Specified")</f>
        <v>Shipper ETYNR</v>
      </c>
      <c r="O1687" t="str">
        <f>IFERROR(VLOOKUP(A1687,'[1]Sales Order'!A:I,9,FALSE),"Not Specified")</f>
        <v>Destination RMBHM</v>
      </c>
      <c r="P1687" t="str">
        <f>IFERROR(VLOOKUP(A1687,'[1]Sales Order'!A:N,14,FALSE),"Not Specified")</f>
        <v>Germany</v>
      </c>
      <c r="Q1687" t="str">
        <f>VLOOKUP(VLOOKUP(B1687,[1]Product!A:C,3,FALSE),[1]Supplier!A:B,2,FALSE)</f>
        <v>Supplier UNAHG</v>
      </c>
      <c r="R1687" t="str">
        <f>VLOOKUP(VLOOKUP(B1687,[1]Product!A:C,3,FALSE),[1]Supplier!A:I,9,FALSE)</f>
        <v>Brazil</v>
      </c>
      <c r="S1687" t="str">
        <f>IFERROR(IF(VLOOKUP(A1687,'[1]Sales Order'!A:H,8,FALSE)&gt;100,"High Freight","Low Freight"),"Not Specified")</f>
        <v>Low Freight</v>
      </c>
      <c r="T1687">
        <f t="shared" si="53"/>
        <v>45</v>
      </c>
    </row>
    <row r="1688" spans="1:20">
      <c r="A1688" s="1">
        <v>10893</v>
      </c>
      <c r="B1688" s="2">
        <v>29</v>
      </c>
      <c r="C1688" s="2">
        <v>123.79</v>
      </c>
      <c r="D1688" s="2">
        <v>24</v>
      </c>
      <c r="E1688" s="3">
        <v>0</v>
      </c>
      <c r="F1688" s="2" t="str">
        <f>IFERROR(VLOOKUP(VLOOKUP(A1688,'[1]Sales Order'!A:B,2,FALSE),[1]Customer!A:C,3,FALSE),"Not Specified")</f>
        <v>Song, Lolan</v>
      </c>
      <c r="G1688" s="2" t="str">
        <f t="shared" si="52"/>
        <v>Song Lolan</v>
      </c>
      <c r="H1688" s="8" t="str">
        <f>IFERROR(VLOOKUP(VLOOKUP(A1688,'[1]Sales Order'!A:C,3,FALSE),[1]Employee!A:E,5,FALSE)&amp;" "&amp;VLOOKUP(VLOOKUP(A1688,'[1]Sales Order'!A:C,3,FALSE),[1]Employee!A:C,3,FALSE)&amp;" "&amp;VLOOKUP(VLOOKUP(A1688,'[1]Sales Order'!A:C,3,FALSE),[1]Employee!A:B,2,FALSE),"Not Specified")</f>
        <v>Ms. Zoya Dolgopyatova</v>
      </c>
      <c r="I1688">
        <f>IFERROR(VLOOKUP(VLOOKUP(A1688,'[1]Sales Order'!A:C,3,FALSE),[1]Employee!A:J,10,FALSE),"Not Specified")</f>
        <v>0</v>
      </c>
      <c r="J1688" t="str">
        <f>VLOOKUP(B1688,[1]Product!A:B,2,FALSE)</f>
        <v>Product VJXYN</v>
      </c>
      <c r="K1688" t="str">
        <f>VLOOKUP(VLOOKUP(B1688,[1]Product!A:D,4,FALSE),[1]Category!A:B,2,FALSE)</f>
        <v>Meat/Poultry</v>
      </c>
      <c r="L1688" s="10">
        <f>IFERROR(VLOOKUP(A1688,'[1]Sales Order'!A:D,4,FALSE),"")</f>
        <v>39496</v>
      </c>
      <c r="M1688" s="10">
        <f>IFERROR(VLOOKUP(A1688,'[1]Sales Order'!A:F,6,FALSE),"")</f>
        <v>39498</v>
      </c>
      <c r="N1688" t="str">
        <f>IFERROR(VLOOKUP(VLOOKUP(A1688,'[1]Sales Order'!A:G,7,FALSE),[1]Shipper!A:B,2,FALSE),"Not Specified")</f>
        <v>Shipper ETYNR</v>
      </c>
      <c r="O1688" t="str">
        <f>IFERROR(VLOOKUP(A1688,'[1]Sales Order'!A:I,9,FALSE),"Not Specified")</f>
        <v>Destination RMBHM</v>
      </c>
      <c r="P1688" t="str">
        <f>IFERROR(VLOOKUP(A1688,'[1]Sales Order'!A:N,14,FALSE),"Not Specified")</f>
        <v>Germany</v>
      </c>
      <c r="Q1688" t="str">
        <f>VLOOKUP(VLOOKUP(B1688,[1]Product!A:C,3,FALSE),[1]Supplier!A:B,2,FALSE)</f>
        <v>Supplier SVIYA</v>
      </c>
      <c r="R1688" t="str">
        <f>VLOOKUP(VLOOKUP(B1688,[1]Product!A:C,3,FALSE),[1]Supplier!A:I,9,FALSE)</f>
        <v>Germany</v>
      </c>
      <c r="S1688" t="str">
        <f>IFERROR(IF(VLOOKUP(A1688,'[1]Sales Order'!A:H,8,FALSE)&gt;100,"High Freight","Low Freight"),"Not Specified")</f>
        <v>Low Freight</v>
      </c>
      <c r="T1688">
        <f t="shared" si="53"/>
        <v>2970.96</v>
      </c>
    </row>
    <row r="1689" spans="1:20">
      <c r="A1689" s="1">
        <v>10893</v>
      </c>
      <c r="B1689" s="2">
        <v>30</v>
      </c>
      <c r="C1689" s="2">
        <v>25.89</v>
      </c>
      <c r="D1689" s="2">
        <v>35</v>
      </c>
      <c r="E1689" s="3">
        <v>0</v>
      </c>
      <c r="F1689" s="2" t="str">
        <f>IFERROR(VLOOKUP(VLOOKUP(A1689,'[1]Sales Order'!A:B,2,FALSE),[1]Customer!A:C,3,FALSE),"Not Specified")</f>
        <v>Song, Lolan</v>
      </c>
      <c r="G1689" s="2" t="str">
        <f t="shared" si="52"/>
        <v>Song Lolan</v>
      </c>
      <c r="H1689" s="8" t="str">
        <f>IFERROR(VLOOKUP(VLOOKUP(A1689,'[1]Sales Order'!A:C,3,FALSE),[1]Employee!A:E,5,FALSE)&amp;" "&amp;VLOOKUP(VLOOKUP(A1689,'[1]Sales Order'!A:C,3,FALSE),[1]Employee!A:C,3,FALSE)&amp;" "&amp;VLOOKUP(VLOOKUP(A1689,'[1]Sales Order'!A:C,3,FALSE),[1]Employee!A:B,2,FALSE),"Not Specified")</f>
        <v>Ms. Zoya Dolgopyatova</v>
      </c>
      <c r="I1689">
        <f>IFERROR(VLOOKUP(VLOOKUP(A1689,'[1]Sales Order'!A:C,3,FALSE),[1]Employee!A:J,10,FALSE),"Not Specified")</f>
        <v>0</v>
      </c>
      <c r="J1689" t="str">
        <f>VLOOKUP(B1689,[1]Product!A:B,2,FALSE)</f>
        <v>Product LYERX</v>
      </c>
      <c r="K1689" t="str">
        <f>VLOOKUP(VLOOKUP(B1689,[1]Product!A:D,4,FALSE),[1]Category!A:B,2,FALSE)</f>
        <v>Seafood</v>
      </c>
      <c r="L1689" s="10">
        <f>IFERROR(VLOOKUP(A1689,'[1]Sales Order'!A:D,4,FALSE),"")</f>
        <v>39496</v>
      </c>
      <c r="M1689" s="10">
        <f>IFERROR(VLOOKUP(A1689,'[1]Sales Order'!A:F,6,FALSE),"")</f>
        <v>39498</v>
      </c>
      <c r="N1689" t="str">
        <f>IFERROR(VLOOKUP(VLOOKUP(A1689,'[1]Sales Order'!A:G,7,FALSE),[1]Shipper!A:B,2,FALSE),"Not Specified")</f>
        <v>Shipper ETYNR</v>
      </c>
      <c r="O1689" t="str">
        <f>IFERROR(VLOOKUP(A1689,'[1]Sales Order'!A:I,9,FALSE),"Not Specified")</f>
        <v>Destination RMBHM</v>
      </c>
      <c r="P1689" t="str">
        <f>IFERROR(VLOOKUP(A1689,'[1]Sales Order'!A:N,14,FALSE),"Not Specified")</f>
        <v>Germany</v>
      </c>
      <c r="Q1689" t="str">
        <f>VLOOKUP(VLOOKUP(B1689,[1]Product!A:C,3,FALSE),[1]Supplier!A:B,2,FALSE)</f>
        <v>Supplier TEGSC</v>
      </c>
      <c r="R1689" t="str">
        <f>VLOOKUP(VLOOKUP(B1689,[1]Product!A:C,3,FALSE),[1]Supplier!A:I,9,FALSE)</f>
        <v>Germany</v>
      </c>
      <c r="S1689" t="str">
        <f>IFERROR(IF(VLOOKUP(A1689,'[1]Sales Order'!A:H,8,FALSE)&gt;100,"High Freight","Low Freight"),"Not Specified")</f>
        <v>Low Freight</v>
      </c>
      <c r="T1689">
        <f t="shared" si="53"/>
        <v>906.15</v>
      </c>
    </row>
    <row r="1690" spans="1:20">
      <c r="A1690" s="1">
        <v>10893</v>
      </c>
      <c r="B1690" s="2">
        <v>36</v>
      </c>
      <c r="C1690" s="2">
        <v>19</v>
      </c>
      <c r="D1690" s="2">
        <v>20</v>
      </c>
      <c r="E1690" s="3">
        <v>0</v>
      </c>
      <c r="F1690" s="2" t="str">
        <f>IFERROR(VLOOKUP(VLOOKUP(A1690,'[1]Sales Order'!A:B,2,FALSE),[1]Customer!A:C,3,FALSE),"Not Specified")</f>
        <v>Song, Lolan</v>
      </c>
      <c r="G1690" s="2" t="str">
        <f t="shared" si="52"/>
        <v>Song Lolan</v>
      </c>
      <c r="H1690" s="8" t="str">
        <f>IFERROR(VLOOKUP(VLOOKUP(A1690,'[1]Sales Order'!A:C,3,FALSE),[1]Employee!A:E,5,FALSE)&amp;" "&amp;VLOOKUP(VLOOKUP(A1690,'[1]Sales Order'!A:C,3,FALSE),[1]Employee!A:C,3,FALSE)&amp;" "&amp;VLOOKUP(VLOOKUP(A1690,'[1]Sales Order'!A:C,3,FALSE),[1]Employee!A:B,2,FALSE),"Not Specified")</f>
        <v>Ms. Zoya Dolgopyatova</v>
      </c>
      <c r="I1690">
        <f>IFERROR(VLOOKUP(VLOOKUP(A1690,'[1]Sales Order'!A:C,3,FALSE),[1]Employee!A:J,10,FALSE),"Not Specified")</f>
        <v>0</v>
      </c>
      <c r="J1690" t="str">
        <f>VLOOKUP(B1690,[1]Product!A:B,2,FALSE)</f>
        <v>Product GMKIJ</v>
      </c>
      <c r="K1690" t="str">
        <f>VLOOKUP(VLOOKUP(B1690,[1]Product!A:D,4,FALSE),[1]Category!A:B,2,FALSE)</f>
        <v>Seafood</v>
      </c>
      <c r="L1690" s="10">
        <f>IFERROR(VLOOKUP(A1690,'[1]Sales Order'!A:D,4,FALSE),"")</f>
        <v>39496</v>
      </c>
      <c r="M1690" s="10">
        <f>IFERROR(VLOOKUP(A1690,'[1]Sales Order'!A:F,6,FALSE),"")</f>
        <v>39498</v>
      </c>
      <c r="N1690" t="str">
        <f>IFERROR(VLOOKUP(VLOOKUP(A1690,'[1]Sales Order'!A:G,7,FALSE),[1]Shipper!A:B,2,FALSE),"Not Specified")</f>
        <v>Shipper ETYNR</v>
      </c>
      <c r="O1690" t="str">
        <f>IFERROR(VLOOKUP(A1690,'[1]Sales Order'!A:I,9,FALSE),"Not Specified")</f>
        <v>Destination RMBHM</v>
      </c>
      <c r="P1690" t="str">
        <f>IFERROR(VLOOKUP(A1690,'[1]Sales Order'!A:N,14,FALSE),"Not Specified")</f>
        <v>Germany</v>
      </c>
      <c r="Q1690" t="str">
        <f>VLOOKUP(VLOOKUP(B1690,[1]Product!A:C,3,FALSE),[1]Supplier!A:B,2,FALSE)</f>
        <v>Supplier QZGUF</v>
      </c>
      <c r="R1690" t="str">
        <f>VLOOKUP(VLOOKUP(B1690,[1]Product!A:C,3,FALSE),[1]Supplier!A:I,9,FALSE)</f>
        <v>Sweden</v>
      </c>
      <c r="S1690" t="str">
        <f>IFERROR(IF(VLOOKUP(A1690,'[1]Sales Order'!A:H,8,FALSE)&gt;100,"High Freight","Low Freight"),"Not Specified")</f>
        <v>Low Freight</v>
      </c>
      <c r="T1690">
        <f t="shared" si="53"/>
        <v>380</v>
      </c>
    </row>
    <row r="1691" spans="1:20">
      <c r="A1691" s="1">
        <v>10894</v>
      </c>
      <c r="B1691" s="2">
        <v>13</v>
      </c>
      <c r="C1691" s="2">
        <v>6</v>
      </c>
      <c r="D1691" s="2">
        <v>28</v>
      </c>
      <c r="E1691" s="3">
        <v>0.05</v>
      </c>
      <c r="F1691" s="2" t="str">
        <f>IFERROR(VLOOKUP(VLOOKUP(A1691,'[1]Sales Order'!A:B,2,FALSE),[1]Customer!A:C,3,FALSE),"Not Specified")</f>
        <v>Navarro, Tomás</v>
      </c>
      <c r="G1691" s="2" t="str">
        <f t="shared" si="52"/>
        <v>Navarro Tomás</v>
      </c>
      <c r="H1691" s="8" t="str">
        <f>IFERROR(VLOOKUP(VLOOKUP(A1691,'[1]Sales Order'!A:C,3,FALSE),[1]Employee!A:E,5,FALSE)&amp;" "&amp;VLOOKUP(VLOOKUP(A1691,'[1]Sales Order'!A:C,3,FALSE),[1]Employee!A:C,3,FALSE)&amp;" "&amp;VLOOKUP(VLOOKUP(A1691,'[1]Sales Order'!A:C,3,FALSE),[1]Employee!A:B,2,FALSE),"Not Specified")</f>
        <v>Ms. Sara Davis</v>
      </c>
      <c r="I1691" t="str">
        <f>IFERROR(VLOOKUP(VLOOKUP(A1691,'[1]Sales Order'!A:C,3,FALSE),[1]Employee!A:J,10,FALSE),"Not Specified")</f>
        <v>WA</v>
      </c>
      <c r="J1691" t="str">
        <f>VLOOKUP(B1691,[1]Product!A:B,2,FALSE)</f>
        <v>Product POXFU</v>
      </c>
      <c r="K1691" t="str">
        <f>VLOOKUP(VLOOKUP(B1691,[1]Product!A:D,4,FALSE),[1]Category!A:B,2,FALSE)</f>
        <v>Seafood</v>
      </c>
      <c r="L1691" s="10">
        <f>IFERROR(VLOOKUP(A1691,'[1]Sales Order'!A:D,4,FALSE),"")</f>
        <v>39496</v>
      </c>
      <c r="M1691" s="10">
        <f>IFERROR(VLOOKUP(A1691,'[1]Sales Order'!A:F,6,FALSE),"")</f>
        <v>39498</v>
      </c>
      <c r="N1691" t="str">
        <f>IFERROR(VLOOKUP(VLOOKUP(A1691,'[1]Sales Order'!A:G,7,FALSE),[1]Shipper!A:B,2,FALSE),"Not Specified")</f>
        <v>Shipper GVSUA</v>
      </c>
      <c r="O1691" t="str">
        <f>IFERROR(VLOOKUP(A1691,'[1]Sales Order'!A:I,9,FALSE),"Not Specified")</f>
        <v>Ship to 71-A</v>
      </c>
      <c r="P1691" t="str">
        <f>IFERROR(VLOOKUP(A1691,'[1]Sales Order'!A:N,14,FALSE),"Not Specified")</f>
        <v>USA</v>
      </c>
      <c r="Q1691" t="str">
        <f>VLOOKUP(VLOOKUP(B1691,[1]Product!A:C,3,FALSE),[1]Supplier!A:B,2,FALSE)</f>
        <v>Supplier QWUSF</v>
      </c>
      <c r="R1691" t="str">
        <f>VLOOKUP(VLOOKUP(B1691,[1]Product!A:C,3,FALSE),[1]Supplier!A:I,9,FALSE)</f>
        <v>Japan</v>
      </c>
      <c r="S1691" t="str">
        <f>IFERROR(IF(VLOOKUP(A1691,'[1]Sales Order'!A:H,8,FALSE)&gt;100,"High Freight","Low Freight"),"Not Specified")</f>
        <v>High Freight</v>
      </c>
      <c r="T1691">
        <f t="shared" si="53"/>
        <v>159.6</v>
      </c>
    </row>
    <row r="1692" spans="1:20">
      <c r="A1692" s="1">
        <v>10894</v>
      </c>
      <c r="B1692" s="2">
        <v>69</v>
      </c>
      <c r="C1692" s="2">
        <v>36</v>
      </c>
      <c r="D1692" s="2">
        <v>50</v>
      </c>
      <c r="E1692" s="3">
        <v>0.05</v>
      </c>
      <c r="F1692" s="2" t="str">
        <f>IFERROR(VLOOKUP(VLOOKUP(A1692,'[1]Sales Order'!A:B,2,FALSE),[1]Customer!A:C,3,FALSE),"Not Specified")</f>
        <v>Navarro, Tomás</v>
      </c>
      <c r="G1692" s="2" t="str">
        <f t="shared" si="52"/>
        <v>Navarro Tomás</v>
      </c>
      <c r="H1692" s="8" t="str">
        <f>IFERROR(VLOOKUP(VLOOKUP(A1692,'[1]Sales Order'!A:C,3,FALSE),[1]Employee!A:E,5,FALSE)&amp;" "&amp;VLOOKUP(VLOOKUP(A1692,'[1]Sales Order'!A:C,3,FALSE),[1]Employee!A:C,3,FALSE)&amp;" "&amp;VLOOKUP(VLOOKUP(A1692,'[1]Sales Order'!A:C,3,FALSE),[1]Employee!A:B,2,FALSE),"Not Specified")</f>
        <v>Ms. Sara Davis</v>
      </c>
      <c r="I1692" t="str">
        <f>IFERROR(VLOOKUP(VLOOKUP(A1692,'[1]Sales Order'!A:C,3,FALSE),[1]Employee!A:J,10,FALSE),"Not Specified")</f>
        <v>WA</v>
      </c>
      <c r="J1692" t="str">
        <f>VLOOKUP(B1692,[1]Product!A:B,2,FALSE)</f>
        <v>Product COAXA</v>
      </c>
      <c r="K1692" t="str">
        <f>VLOOKUP(VLOOKUP(B1692,[1]Product!A:D,4,FALSE),[1]Category!A:B,2,FALSE)</f>
        <v>Dairy Product</v>
      </c>
      <c r="L1692" s="10">
        <f>IFERROR(VLOOKUP(A1692,'[1]Sales Order'!A:D,4,FALSE),"")</f>
        <v>39496</v>
      </c>
      <c r="M1692" s="10">
        <f>IFERROR(VLOOKUP(A1692,'[1]Sales Order'!A:F,6,FALSE),"")</f>
        <v>39498</v>
      </c>
      <c r="N1692" t="str">
        <f>IFERROR(VLOOKUP(VLOOKUP(A1692,'[1]Sales Order'!A:G,7,FALSE),[1]Shipper!A:B,2,FALSE),"Not Specified")</f>
        <v>Shipper GVSUA</v>
      </c>
      <c r="O1692" t="str">
        <f>IFERROR(VLOOKUP(A1692,'[1]Sales Order'!A:I,9,FALSE),"Not Specified")</f>
        <v>Ship to 71-A</v>
      </c>
      <c r="P1692" t="str">
        <f>IFERROR(VLOOKUP(A1692,'[1]Sales Order'!A:N,14,FALSE),"Not Specified")</f>
        <v>USA</v>
      </c>
      <c r="Q1692" t="str">
        <f>VLOOKUP(VLOOKUP(B1692,[1]Product!A:C,3,FALSE),[1]Supplier!A:B,2,FALSE)</f>
        <v>Supplier NZLIF</v>
      </c>
      <c r="R1692" t="str">
        <f>VLOOKUP(VLOOKUP(B1692,[1]Product!A:C,3,FALSE),[1]Supplier!A:I,9,FALSE)</f>
        <v>Norway</v>
      </c>
      <c r="S1692" t="str">
        <f>IFERROR(IF(VLOOKUP(A1692,'[1]Sales Order'!A:H,8,FALSE)&gt;100,"High Freight","Low Freight"),"Not Specified")</f>
        <v>High Freight</v>
      </c>
      <c r="T1692">
        <f t="shared" si="53"/>
        <v>1710</v>
      </c>
    </row>
    <row r="1693" spans="1:20">
      <c r="A1693" s="1">
        <v>10894</v>
      </c>
      <c r="B1693" s="2">
        <v>75</v>
      </c>
      <c r="C1693" s="2">
        <v>7.75</v>
      </c>
      <c r="D1693" s="2">
        <v>120</v>
      </c>
      <c r="E1693" s="3">
        <v>0.05</v>
      </c>
      <c r="F1693" s="2" t="str">
        <f>IFERROR(VLOOKUP(VLOOKUP(A1693,'[1]Sales Order'!A:B,2,FALSE),[1]Customer!A:C,3,FALSE),"Not Specified")</f>
        <v>Navarro, Tomás</v>
      </c>
      <c r="G1693" s="2" t="str">
        <f t="shared" si="52"/>
        <v>Navarro Tomás</v>
      </c>
      <c r="H1693" s="8" t="str">
        <f>IFERROR(VLOOKUP(VLOOKUP(A1693,'[1]Sales Order'!A:C,3,FALSE),[1]Employee!A:E,5,FALSE)&amp;" "&amp;VLOOKUP(VLOOKUP(A1693,'[1]Sales Order'!A:C,3,FALSE),[1]Employee!A:C,3,FALSE)&amp;" "&amp;VLOOKUP(VLOOKUP(A1693,'[1]Sales Order'!A:C,3,FALSE),[1]Employee!A:B,2,FALSE),"Not Specified")</f>
        <v>Ms. Sara Davis</v>
      </c>
      <c r="I1693" t="str">
        <f>IFERROR(VLOOKUP(VLOOKUP(A1693,'[1]Sales Order'!A:C,3,FALSE),[1]Employee!A:J,10,FALSE),"Not Specified")</f>
        <v>WA</v>
      </c>
      <c r="J1693" t="str">
        <f>VLOOKUP(B1693,[1]Product!A:B,2,FALSE)</f>
        <v>Product BWRLG</v>
      </c>
      <c r="K1693" t="str">
        <f>VLOOKUP(VLOOKUP(B1693,[1]Product!A:D,4,FALSE),[1]Category!A:B,2,FALSE)</f>
        <v>Beverages</v>
      </c>
      <c r="L1693" s="10">
        <f>IFERROR(VLOOKUP(A1693,'[1]Sales Order'!A:D,4,FALSE),"")</f>
        <v>39496</v>
      </c>
      <c r="M1693" s="10">
        <f>IFERROR(VLOOKUP(A1693,'[1]Sales Order'!A:F,6,FALSE),"")</f>
        <v>39498</v>
      </c>
      <c r="N1693" t="str">
        <f>IFERROR(VLOOKUP(VLOOKUP(A1693,'[1]Sales Order'!A:G,7,FALSE),[1]Shipper!A:B,2,FALSE),"Not Specified")</f>
        <v>Shipper GVSUA</v>
      </c>
      <c r="O1693" t="str">
        <f>IFERROR(VLOOKUP(A1693,'[1]Sales Order'!A:I,9,FALSE),"Not Specified")</f>
        <v>Ship to 71-A</v>
      </c>
      <c r="P1693" t="str">
        <f>IFERROR(VLOOKUP(A1693,'[1]Sales Order'!A:N,14,FALSE),"Not Specified")</f>
        <v>USA</v>
      </c>
      <c r="Q1693" t="str">
        <f>VLOOKUP(VLOOKUP(B1693,[1]Product!A:C,3,FALSE),[1]Supplier!A:B,2,FALSE)</f>
        <v>Supplier SVIYA</v>
      </c>
      <c r="R1693" t="str">
        <f>VLOOKUP(VLOOKUP(B1693,[1]Product!A:C,3,FALSE),[1]Supplier!A:I,9,FALSE)</f>
        <v>Germany</v>
      </c>
      <c r="S1693" t="str">
        <f>IFERROR(IF(VLOOKUP(A1693,'[1]Sales Order'!A:H,8,FALSE)&gt;100,"High Freight","Low Freight"),"Not Specified")</f>
        <v>High Freight</v>
      </c>
      <c r="T1693">
        <f t="shared" si="53"/>
        <v>883.5</v>
      </c>
    </row>
    <row r="1694" spans="1:20">
      <c r="A1694" s="1">
        <v>10895</v>
      </c>
      <c r="B1694" s="2">
        <v>24</v>
      </c>
      <c r="C1694" s="2">
        <v>4.5</v>
      </c>
      <c r="D1694" s="2">
        <v>110</v>
      </c>
      <c r="E1694" s="3">
        <v>0</v>
      </c>
      <c r="F1694" s="2" t="str">
        <f>IFERROR(VLOOKUP(VLOOKUP(A1694,'[1]Sales Order'!A:B,2,FALSE),[1]Customer!A:C,3,FALSE),"Not Specified")</f>
        <v>Kane, John</v>
      </c>
      <c r="G1694" s="2" t="str">
        <f t="shared" si="52"/>
        <v>Kane John</v>
      </c>
      <c r="H1694" s="8" t="str">
        <f>IFERROR(VLOOKUP(VLOOKUP(A1694,'[1]Sales Order'!A:C,3,FALSE),[1]Employee!A:E,5,FALSE)&amp;" "&amp;VLOOKUP(VLOOKUP(A1694,'[1]Sales Order'!A:C,3,FALSE),[1]Employee!A:C,3,FALSE)&amp;" "&amp;VLOOKUP(VLOOKUP(A1694,'[1]Sales Order'!A:C,3,FALSE),[1]Employee!A:B,2,FALSE),"Not Specified")</f>
        <v>Ms. Judy Lew</v>
      </c>
      <c r="I1694" t="str">
        <f>IFERROR(VLOOKUP(VLOOKUP(A1694,'[1]Sales Order'!A:C,3,FALSE),[1]Employee!A:J,10,FALSE),"Not Specified")</f>
        <v>WA</v>
      </c>
      <c r="J1694" t="str">
        <f>VLOOKUP(B1694,[1]Product!A:B,2,FALSE)</f>
        <v>Product QOGNU</v>
      </c>
      <c r="K1694" t="str">
        <f>VLOOKUP(VLOOKUP(B1694,[1]Product!A:D,4,FALSE),[1]Category!A:B,2,FALSE)</f>
        <v>Beverages</v>
      </c>
      <c r="L1694" s="10">
        <f>IFERROR(VLOOKUP(A1694,'[1]Sales Order'!A:D,4,FALSE),"")</f>
        <v>39496</v>
      </c>
      <c r="M1694" s="10">
        <f>IFERROR(VLOOKUP(A1694,'[1]Sales Order'!A:F,6,FALSE),"")</f>
        <v>39501</v>
      </c>
      <c r="N1694" t="str">
        <f>IFERROR(VLOOKUP(VLOOKUP(A1694,'[1]Sales Order'!A:G,7,FALSE),[1]Shipper!A:B,2,FALSE),"Not Specified")</f>
        <v>Shipper GVSUA</v>
      </c>
      <c r="O1694" t="str">
        <f>IFERROR(VLOOKUP(A1694,'[1]Sales Order'!A:I,9,FALSE),"Not Specified")</f>
        <v>Destination CUVPF</v>
      </c>
      <c r="P1694" t="str">
        <f>IFERROR(VLOOKUP(A1694,'[1]Sales Order'!A:N,14,FALSE),"Not Specified")</f>
        <v>Austria</v>
      </c>
      <c r="Q1694" t="str">
        <f>VLOOKUP(VLOOKUP(B1694,[1]Product!A:C,3,FALSE),[1]Supplier!A:B,2,FALSE)</f>
        <v>Supplier UNAHG</v>
      </c>
      <c r="R1694" t="str">
        <f>VLOOKUP(VLOOKUP(B1694,[1]Product!A:C,3,FALSE),[1]Supplier!A:I,9,FALSE)</f>
        <v>Brazil</v>
      </c>
      <c r="S1694" t="str">
        <f>IFERROR(IF(VLOOKUP(A1694,'[1]Sales Order'!A:H,8,FALSE)&gt;100,"High Freight","Low Freight"),"Not Specified")</f>
        <v>High Freight</v>
      </c>
      <c r="T1694">
        <f t="shared" si="53"/>
        <v>495</v>
      </c>
    </row>
    <row r="1695" spans="1:20">
      <c r="A1695" s="1">
        <v>10895</v>
      </c>
      <c r="B1695" s="2">
        <v>39</v>
      </c>
      <c r="C1695" s="2">
        <v>18</v>
      </c>
      <c r="D1695" s="2">
        <v>45</v>
      </c>
      <c r="E1695" s="3">
        <v>0</v>
      </c>
      <c r="F1695" s="2" t="str">
        <f>IFERROR(VLOOKUP(VLOOKUP(A1695,'[1]Sales Order'!A:B,2,FALSE),[1]Customer!A:C,3,FALSE),"Not Specified")</f>
        <v>Kane, John</v>
      </c>
      <c r="G1695" s="2" t="str">
        <f t="shared" si="52"/>
        <v>Kane John</v>
      </c>
      <c r="H1695" s="8" t="str">
        <f>IFERROR(VLOOKUP(VLOOKUP(A1695,'[1]Sales Order'!A:C,3,FALSE),[1]Employee!A:E,5,FALSE)&amp;" "&amp;VLOOKUP(VLOOKUP(A1695,'[1]Sales Order'!A:C,3,FALSE),[1]Employee!A:C,3,FALSE)&amp;" "&amp;VLOOKUP(VLOOKUP(A1695,'[1]Sales Order'!A:C,3,FALSE),[1]Employee!A:B,2,FALSE),"Not Specified")</f>
        <v>Ms. Judy Lew</v>
      </c>
      <c r="I1695" t="str">
        <f>IFERROR(VLOOKUP(VLOOKUP(A1695,'[1]Sales Order'!A:C,3,FALSE),[1]Employee!A:J,10,FALSE),"Not Specified")</f>
        <v>WA</v>
      </c>
      <c r="J1695" t="str">
        <f>VLOOKUP(B1695,[1]Product!A:B,2,FALSE)</f>
        <v>Product LSOFL</v>
      </c>
      <c r="K1695" t="str">
        <f>VLOOKUP(VLOOKUP(B1695,[1]Product!A:D,4,FALSE),[1]Category!A:B,2,FALSE)</f>
        <v>Beverages</v>
      </c>
      <c r="L1695" s="10">
        <f>IFERROR(VLOOKUP(A1695,'[1]Sales Order'!A:D,4,FALSE),"")</f>
        <v>39496</v>
      </c>
      <c r="M1695" s="10">
        <f>IFERROR(VLOOKUP(A1695,'[1]Sales Order'!A:F,6,FALSE),"")</f>
        <v>39501</v>
      </c>
      <c r="N1695" t="str">
        <f>IFERROR(VLOOKUP(VLOOKUP(A1695,'[1]Sales Order'!A:G,7,FALSE),[1]Shipper!A:B,2,FALSE),"Not Specified")</f>
        <v>Shipper GVSUA</v>
      </c>
      <c r="O1695" t="str">
        <f>IFERROR(VLOOKUP(A1695,'[1]Sales Order'!A:I,9,FALSE),"Not Specified")</f>
        <v>Destination CUVPF</v>
      </c>
      <c r="P1695" t="str">
        <f>IFERROR(VLOOKUP(A1695,'[1]Sales Order'!A:N,14,FALSE),"Not Specified")</f>
        <v>Austria</v>
      </c>
      <c r="Q1695" t="str">
        <f>VLOOKUP(VLOOKUP(B1695,[1]Product!A:C,3,FALSE),[1]Supplier!A:B,2,FALSE)</f>
        <v>Supplier LVJUA</v>
      </c>
      <c r="R1695" t="str">
        <f>VLOOKUP(VLOOKUP(B1695,[1]Product!A:C,3,FALSE),[1]Supplier!A:I,9,FALSE)</f>
        <v>France</v>
      </c>
      <c r="S1695" t="str">
        <f>IFERROR(IF(VLOOKUP(A1695,'[1]Sales Order'!A:H,8,FALSE)&gt;100,"High Freight","Low Freight"),"Not Specified")</f>
        <v>High Freight</v>
      </c>
      <c r="T1695">
        <f t="shared" si="53"/>
        <v>810</v>
      </c>
    </row>
    <row r="1696" spans="1:20">
      <c r="A1696" s="1">
        <v>10895</v>
      </c>
      <c r="B1696" s="2">
        <v>40</v>
      </c>
      <c r="C1696" s="2">
        <v>18.399999999999999</v>
      </c>
      <c r="D1696" s="2">
        <v>91</v>
      </c>
      <c r="E1696" s="3">
        <v>0</v>
      </c>
      <c r="F1696" s="2" t="str">
        <f>IFERROR(VLOOKUP(VLOOKUP(A1696,'[1]Sales Order'!A:B,2,FALSE),[1]Customer!A:C,3,FALSE),"Not Specified")</f>
        <v>Kane, John</v>
      </c>
      <c r="G1696" s="2" t="str">
        <f t="shared" si="52"/>
        <v>Kane John</v>
      </c>
      <c r="H1696" s="8" t="str">
        <f>IFERROR(VLOOKUP(VLOOKUP(A1696,'[1]Sales Order'!A:C,3,FALSE),[1]Employee!A:E,5,FALSE)&amp;" "&amp;VLOOKUP(VLOOKUP(A1696,'[1]Sales Order'!A:C,3,FALSE),[1]Employee!A:C,3,FALSE)&amp;" "&amp;VLOOKUP(VLOOKUP(A1696,'[1]Sales Order'!A:C,3,FALSE),[1]Employee!A:B,2,FALSE),"Not Specified")</f>
        <v>Ms. Judy Lew</v>
      </c>
      <c r="I1696" t="str">
        <f>IFERROR(VLOOKUP(VLOOKUP(A1696,'[1]Sales Order'!A:C,3,FALSE),[1]Employee!A:J,10,FALSE),"Not Specified")</f>
        <v>WA</v>
      </c>
      <c r="J1696" t="str">
        <f>VLOOKUP(B1696,[1]Product!A:B,2,FALSE)</f>
        <v>Product YZIXQ</v>
      </c>
      <c r="K1696" t="str">
        <f>VLOOKUP(VLOOKUP(B1696,[1]Product!A:D,4,FALSE),[1]Category!A:B,2,FALSE)</f>
        <v>Seafood</v>
      </c>
      <c r="L1696" s="10">
        <f>IFERROR(VLOOKUP(A1696,'[1]Sales Order'!A:D,4,FALSE),"")</f>
        <v>39496</v>
      </c>
      <c r="M1696" s="10">
        <f>IFERROR(VLOOKUP(A1696,'[1]Sales Order'!A:F,6,FALSE),"")</f>
        <v>39501</v>
      </c>
      <c r="N1696" t="str">
        <f>IFERROR(VLOOKUP(VLOOKUP(A1696,'[1]Sales Order'!A:G,7,FALSE),[1]Shipper!A:B,2,FALSE),"Not Specified")</f>
        <v>Shipper GVSUA</v>
      </c>
      <c r="O1696" t="str">
        <f>IFERROR(VLOOKUP(A1696,'[1]Sales Order'!A:I,9,FALSE),"Not Specified")</f>
        <v>Destination CUVPF</v>
      </c>
      <c r="P1696" t="str">
        <f>IFERROR(VLOOKUP(A1696,'[1]Sales Order'!A:N,14,FALSE),"Not Specified")</f>
        <v>Austria</v>
      </c>
      <c r="Q1696" t="str">
        <f>VLOOKUP(VLOOKUP(B1696,[1]Product!A:C,3,FALSE),[1]Supplier!A:B,2,FALSE)</f>
        <v>Supplier JDNUG</v>
      </c>
      <c r="R1696" t="str">
        <f>VLOOKUP(VLOOKUP(B1696,[1]Product!A:C,3,FALSE),[1]Supplier!A:I,9,FALSE)</f>
        <v>USA</v>
      </c>
      <c r="S1696" t="str">
        <f>IFERROR(IF(VLOOKUP(A1696,'[1]Sales Order'!A:H,8,FALSE)&gt;100,"High Freight","Low Freight"),"Not Specified")</f>
        <v>High Freight</v>
      </c>
      <c r="T1696">
        <f t="shared" si="53"/>
        <v>1674.3999999999999</v>
      </c>
    </row>
    <row r="1697" spans="1:20">
      <c r="A1697" s="1">
        <v>10895</v>
      </c>
      <c r="B1697" s="2">
        <v>60</v>
      </c>
      <c r="C1697" s="2">
        <v>34</v>
      </c>
      <c r="D1697" s="2">
        <v>100</v>
      </c>
      <c r="E1697" s="3">
        <v>0</v>
      </c>
      <c r="F1697" s="2" t="str">
        <f>IFERROR(VLOOKUP(VLOOKUP(A1697,'[1]Sales Order'!A:B,2,FALSE),[1]Customer!A:C,3,FALSE),"Not Specified")</f>
        <v>Kane, John</v>
      </c>
      <c r="G1697" s="2" t="str">
        <f t="shared" si="52"/>
        <v>Kane John</v>
      </c>
      <c r="H1697" s="8" t="str">
        <f>IFERROR(VLOOKUP(VLOOKUP(A1697,'[1]Sales Order'!A:C,3,FALSE),[1]Employee!A:E,5,FALSE)&amp;" "&amp;VLOOKUP(VLOOKUP(A1697,'[1]Sales Order'!A:C,3,FALSE),[1]Employee!A:C,3,FALSE)&amp;" "&amp;VLOOKUP(VLOOKUP(A1697,'[1]Sales Order'!A:C,3,FALSE),[1]Employee!A:B,2,FALSE),"Not Specified")</f>
        <v>Ms. Judy Lew</v>
      </c>
      <c r="I1697" t="str">
        <f>IFERROR(VLOOKUP(VLOOKUP(A1697,'[1]Sales Order'!A:C,3,FALSE),[1]Employee!A:J,10,FALSE),"Not Specified")</f>
        <v>WA</v>
      </c>
      <c r="J1697" t="str">
        <f>VLOOKUP(B1697,[1]Product!A:B,2,FALSE)</f>
        <v>Product WHBYK</v>
      </c>
      <c r="K1697" t="str">
        <f>VLOOKUP(VLOOKUP(B1697,[1]Product!A:D,4,FALSE),[1]Category!A:B,2,FALSE)</f>
        <v>Dairy Product</v>
      </c>
      <c r="L1697" s="10">
        <f>IFERROR(VLOOKUP(A1697,'[1]Sales Order'!A:D,4,FALSE),"")</f>
        <v>39496</v>
      </c>
      <c r="M1697" s="10">
        <f>IFERROR(VLOOKUP(A1697,'[1]Sales Order'!A:F,6,FALSE),"")</f>
        <v>39501</v>
      </c>
      <c r="N1697" t="str">
        <f>IFERROR(VLOOKUP(VLOOKUP(A1697,'[1]Sales Order'!A:G,7,FALSE),[1]Shipper!A:B,2,FALSE),"Not Specified")</f>
        <v>Shipper GVSUA</v>
      </c>
      <c r="O1697" t="str">
        <f>IFERROR(VLOOKUP(A1697,'[1]Sales Order'!A:I,9,FALSE),"Not Specified")</f>
        <v>Destination CUVPF</v>
      </c>
      <c r="P1697" t="str">
        <f>IFERROR(VLOOKUP(A1697,'[1]Sales Order'!A:N,14,FALSE),"Not Specified")</f>
        <v>Austria</v>
      </c>
      <c r="Q1697" t="str">
        <f>VLOOKUP(VLOOKUP(B1697,[1]Product!A:C,3,FALSE),[1]Supplier!A:B,2,FALSE)</f>
        <v>Supplier OAVQT</v>
      </c>
      <c r="R1697" t="str">
        <f>VLOOKUP(VLOOKUP(B1697,[1]Product!A:C,3,FALSE),[1]Supplier!A:I,9,FALSE)</f>
        <v>France</v>
      </c>
      <c r="S1697" t="str">
        <f>IFERROR(IF(VLOOKUP(A1697,'[1]Sales Order'!A:H,8,FALSE)&gt;100,"High Freight","Low Freight"),"Not Specified")</f>
        <v>High Freight</v>
      </c>
      <c r="T1697">
        <f t="shared" si="53"/>
        <v>3400</v>
      </c>
    </row>
    <row r="1698" spans="1:20">
      <c r="A1698" s="1">
        <v>10896</v>
      </c>
      <c r="B1698" s="2">
        <v>45</v>
      </c>
      <c r="C1698" s="2">
        <v>9.5</v>
      </c>
      <c r="D1698" s="2">
        <v>15</v>
      </c>
      <c r="E1698" s="3">
        <v>0</v>
      </c>
      <c r="F1698" s="2" t="str">
        <f>IFERROR(VLOOKUP(VLOOKUP(A1698,'[1]Sales Order'!A:B,2,FALSE),[1]Customer!A:C,3,FALSE),"Not Specified")</f>
        <v>Mace, Donald</v>
      </c>
      <c r="G1698" s="2" t="str">
        <f t="shared" si="52"/>
        <v>Mace Donald</v>
      </c>
      <c r="H1698" s="8" t="str">
        <f>IFERROR(VLOOKUP(VLOOKUP(A1698,'[1]Sales Order'!A:C,3,FALSE),[1]Employee!A:E,5,FALSE)&amp;" "&amp;VLOOKUP(VLOOKUP(A1698,'[1]Sales Order'!A:C,3,FALSE),[1]Employee!A:C,3,FALSE)&amp;" "&amp;VLOOKUP(VLOOKUP(A1698,'[1]Sales Order'!A:C,3,FALSE),[1]Employee!A:B,2,FALSE),"Not Specified")</f>
        <v>Mr. Russell King</v>
      </c>
      <c r="I1698">
        <f>IFERROR(VLOOKUP(VLOOKUP(A1698,'[1]Sales Order'!A:C,3,FALSE),[1]Employee!A:J,10,FALSE),"Not Specified")</f>
        <v>0</v>
      </c>
      <c r="J1698" t="str">
        <f>VLOOKUP(B1698,[1]Product!A:B,2,FALSE)</f>
        <v>Product AQOKR</v>
      </c>
      <c r="K1698" t="str">
        <f>VLOOKUP(VLOOKUP(B1698,[1]Product!A:D,4,FALSE),[1]Category!A:B,2,FALSE)</f>
        <v>Seafood</v>
      </c>
      <c r="L1698" s="10">
        <f>IFERROR(VLOOKUP(A1698,'[1]Sales Order'!A:D,4,FALSE),"")</f>
        <v>39497</v>
      </c>
      <c r="M1698" s="10">
        <f>IFERROR(VLOOKUP(A1698,'[1]Sales Order'!A:F,6,FALSE),"")</f>
        <v>39505</v>
      </c>
      <c r="N1698" t="str">
        <f>IFERROR(VLOOKUP(VLOOKUP(A1698,'[1]Sales Order'!A:G,7,FALSE),[1]Shipper!A:B,2,FALSE),"Not Specified")</f>
        <v>Shipper ZHISN</v>
      </c>
      <c r="O1698" t="str">
        <f>IFERROR(VLOOKUP(A1698,'[1]Sales Order'!A:I,9,FALSE),"Not Specified")</f>
        <v>Ship to 50-A</v>
      </c>
      <c r="P1698" t="str">
        <f>IFERROR(VLOOKUP(A1698,'[1]Sales Order'!A:N,14,FALSE),"Not Specified")</f>
        <v>Belgium</v>
      </c>
      <c r="Q1698" t="str">
        <f>VLOOKUP(VLOOKUP(B1698,[1]Product!A:C,3,FALSE),[1]Supplier!A:B,2,FALSE)</f>
        <v>Supplier XOXZA</v>
      </c>
      <c r="R1698" t="str">
        <f>VLOOKUP(VLOOKUP(B1698,[1]Product!A:C,3,FALSE),[1]Supplier!A:I,9,FALSE)</f>
        <v>Denmark</v>
      </c>
      <c r="S1698" t="str">
        <f>IFERROR(IF(VLOOKUP(A1698,'[1]Sales Order'!A:H,8,FALSE)&gt;100,"High Freight","Low Freight"),"Not Specified")</f>
        <v>Low Freight</v>
      </c>
      <c r="T1698">
        <f t="shared" si="53"/>
        <v>142.5</v>
      </c>
    </row>
    <row r="1699" spans="1:20">
      <c r="A1699" s="1">
        <v>10896</v>
      </c>
      <c r="B1699" s="2">
        <v>56</v>
      </c>
      <c r="C1699" s="2">
        <v>38</v>
      </c>
      <c r="D1699" s="2">
        <v>16</v>
      </c>
      <c r="E1699" s="3">
        <v>0</v>
      </c>
      <c r="F1699" s="2" t="str">
        <f>IFERROR(VLOOKUP(VLOOKUP(A1699,'[1]Sales Order'!A:B,2,FALSE),[1]Customer!A:C,3,FALSE),"Not Specified")</f>
        <v>Mace, Donald</v>
      </c>
      <c r="G1699" s="2" t="str">
        <f t="shared" si="52"/>
        <v>Mace Donald</v>
      </c>
      <c r="H1699" s="8" t="str">
        <f>IFERROR(VLOOKUP(VLOOKUP(A1699,'[1]Sales Order'!A:C,3,FALSE),[1]Employee!A:E,5,FALSE)&amp;" "&amp;VLOOKUP(VLOOKUP(A1699,'[1]Sales Order'!A:C,3,FALSE),[1]Employee!A:C,3,FALSE)&amp;" "&amp;VLOOKUP(VLOOKUP(A1699,'[1]Sales Order'!A:C,3,FALSE),[1]Employee!A:B,2,FALSE),"Not Specified")</f>
        <v>Mr. Russell King</v>
      </c>
      <c r="I1699">
        <f>IFERROR(VLOOKUP(VLOOKUP(A1699,'[1]Sales Order'!A:C,3,FALSE),[1]Employee!A:J,10,FALSE),"Not Specified")</f>
        <v>0</v>
      </c>
      <c r="J1699" t="str">
        <f>VLOOKUP(B1699,[1]Product!A:B,2,FALSE)</f>
        <v>Product VKCMF</v>
      </c>
      <c r="K1699" t="str">
        <f>VLOOKUP(VLOOKUP(B1699,[1]Product!A:D,4,FALSE),[1]Category!A:B,2,FALSE)</f>
        <v>Grains/Cereals</v>
      </c>
      <c r="L1699" s="10">
        <f>IFERROR(VLOOKUP(A1699,'[1]Sales Order'!A:D,4,FALSE),"")</f>
        <v>39497</v>
      </c>
      <c r="M1699" s="10">
        <f>IFERROR(VLOOKUP(A1699,'[1]Sales Order'!A:F,6,FALSE),"")</f>
        <v>39505</v>
      </c>
      <c r="N1699" t="str">
        <f>IFERROR(VLOOKUP(VLOOKUP(A1699,'[1]Sales Order'!A:G,7,FALSE),[1]Shipper!A:B,2,FALSE),"Not Specified")</f>
        <v>Shipper ZHISN</v>
      </c>
      <c r="O1699" t="str">
        <f>IFERROR(VLOOKUP(A1699,'[1]Sales Order'!A:I,9,FALSE),"Not Specified")</f>
        <v>Ship to 50-A</v>
      </c>
      <c r="P1699" t="str">
        <f>IFERROR(VLOOKUP(A1699,'[1]Sales Order'!A:N,14,FALSE),"Not Specified")</f>
        <v>Belgium</v>
      </c>
      <c r="Q1699" t="str">
        <f>VLOOKUP(VLOOKUP(B1699,[1]Product!A:C,3,FALSE),[1]Supplier!A:B,2,FALSE)</f>
        <v>Supplier ZWZDM</v>
      </c>
      <c r="R1699" t="str">
        <f>VLOOKUP(VLOOKUP(B1699,[1]Product!A:C,3,FALSE),[1]Supplier!A:I,9,FALSE)</f>
        <v>Italy</v>
      </c>
      <c r="S1699" t="str">
        <f>IFERROR(IF(VLOOKUP(A1699,'[1]Sales Order'!A:H,8,FALSE)&gt;100,"High Freight","Low Freight"),"Not Specified")</f>
        <v>Low Freight</v>
      </c>
      <c r="T1699">
        <f t="shared" si="53"/>
        <v>608</v>
      </c>
    </row>
    <row r="1700" spans="1:20">
      <c r="A1700" s="1">
        <v>10897</v>
      </c>
      <c r="B1700" s="2">
        <v>29</v>
      </c>
      <c r="C1700" s="2">
        <v>123.79</v>
      </c>
      <c r="D1700" s="2">
        <v>80</v>
      </c>
      <c r="E1700" s="3">
        <v>0</v>
      </c>
      <c r="F1700" s="2" t="str">
        <f>IFERROR(VLOOKUP(VLOOKUP(A1700,'[1]Sales Order'!A:B,2,FALSE),[1]Customer!A:C,3,FALSE),"Not Specified")</f>
        <v>Crăciun, Ovidiu V.</v>
      </c>
      <c r="G1700" s="2" t="str">
        <f t="shared" si="52"/>
        <v>Crăciun Ovidiu V.</v>
      </c>
      <c r="H1700" s="8" t="str">
        <f>IFERROR(VLOOKUP(VLOOKUP(A1700,'[1]Sales Order'!A:C,3,FALSE),[1]Employee!A:E,5,FALSE)&amp;" "&amp;VLOOKUP(VLOOKUP(A1700,'[1]Sales Order'!A:C,3,FALSE),[1]Employee!A:C,3,FALSE)&amp;" "&amp;VLOOKUP(VLOOKUP(A1700,'[1]Sales Order'!A:C,3,FALSE),[1]Employee!A:B,2,FALSE),"Not Specified")</f>
        <v>Ms. Judy Lew</v>
      </c>
      <c r="I1700" t="str">
        <f>IFERROR(VLOOKUP(VLOOKUP(A1700,'[1]Sales Order'!A:C,3,FALSE),[1]Employee!A:J,10,FALSE),"Not Specified")</f>
        <v>WA</v>
      </c>
      <c r="J1700" t="str">
        <f>VLOOKUP(B1700,[1]Product!A:B,2,FALSE)</f>
        <v>Product VJXYN</v>
      </c>
      <c r="K1700" t="str">
        <f>VLOOKUP(VLOOKUP(B1700,[1]Product!A:D,4,FALSE),[1]Category!A:B,2,FALSE)</f>
        <v>Meat/Poultry</v>
      </c>
      <c r="L1700" s="10">
        <f>IFERROR(VLOOKUP(A1700,'[1]Sales Order'!A:D,4,FALSE),"")</f>
        <v>39497</v>
      </c>
      <c r="M1700" s="10">
        <f>IFERROR(VLOOKUP(A1700,'[1]Sales Order'!A:F,6,FALSE),"")</f>
        <v>39503</v>
      </c>
      <c r="N1700" t="str">
        <f>IFERROR(VLOOKUP(VLOOKUP(A1700,'[1]Sales Order'!A:G,7,FALSE),[1]Shipper!A:B,2,FALSE),"Not Specified")</f>
        <v>Shipper ETYNR</v>
      </c>
      <c r="O1700" t="str">
        <f>IFERROR(VLOOKUP(A1700,'[1]Sales Order'!A:I,9,FALSE),"Not Specified")</f>
        <v>Destination DGKOU</v>
      </c>
      <c r="P1700" t="str">
        <f>IFERROR(VLOOKUP(A1700,'[1]Sales Order'!A:N,14,FALSE),"Not Specified")</f>
        <v>Ireland</v>
      </c>
      <c r="Q1700" t="str">
        <f>VLOOKUP(VLOOKUP(B1700,[1]Product!A:C,3,FALSE),[1]Supplier!A:B,2,FALSE)</f>
        <v>Supplier SVIYA</v>
      </c>
      <c r="R1700" t="str">
        <f>VLOOKUP(VLOOKUP(B1700,[1]Product!A:C,3,FALSE),[1]Supplier!A:I,9,FALSE)</f>
        <v>Germany</v>
      </c>
      <c r="S1700" t="str">
        <f>IFERROR(IF(VLOOKUP(A1700,'[1]Sales Order'!A:H,8,FALSE)&gt;100,"High Freight","Low Freight"),"Not Specified")</f>
        <v>High Freight</v>
      </c>
      <c r="T1700">
        <f t="shared" si="53"/>
        <v>9903.2000000000007</v>
      </c>
    </row>
    <row r="1701" spans="1:20">
      <c r="A1701" s="1">
        <v>10897</v>
      </c>
      <c r="B1701" s="2">
        <v>30</v>
      </c>
      <c r="C1701" s="2">
        <v>25.89</v>
      </c>
      <c r="D1701" s="2">
        <v>36</v>
      </c>
      <c r="E1701" s="3">
        <v>0</v>
      </c>
      <c r="F1701" s="2" t="str">
        <f>IFERROR(VLOOKUP(VLOOKUP(A1701,'[1]Sales Order'!A:B,2,FALSE),[1]Customer!A:C,3,FALSE),"Not Specified")</f>
        <v>Crăciun, Ovidiu V.</v>
      </c>
      <c r="G1701" s="2" t="str">
        <f t="shared" si="52"/>
        <v>Crăciun Ovidiu V.</v>
      </c>
      <c r="H1701" s="8" t="str">
        <f>IFERROR(VLOOKUP(VLOOKUP(A1701,'[1]Sales Order'!A:C,3,FALSE),[1]Employee!A:E,5,FALSE)&amp;" "&amp;VLOOKUP(VLOOKUP(A1701,'[1]Sales Order'!A:C,3,FALSE),[1]Employee!A:C,3,FALSE)&amp;" "&amp;VLOOKUP(VLOOKUP(A1701,'[1]Sales Order'!A:C,3,FALSE),[1]Employee!A:B,2,FALSE),"Not Specified")</f>
        <v>Ms. Judy Lew</v>
      </c>
      <c r="I1701" t="str">
        <f>IFERROR(VLOOKUP(VLOOKUP(A1701,'[1]Sales Order'!A:C,3,FALSE),[1]Employee!A:J,10,FALSE),"Not Specified")</f>
        <v>WA</v>
      </c>
      <c r="J1701" t="str">
        <f>VLOOKUP(B1701,[1]Product!A:B,2,FALSE)</f>
        <v>Product LYERX</v>
      </c>
      <c r="K1701" t="str">
        <f>VLOOKUP(VLOOKUP(B1701,[1]Product!A:D,4,FALSE),[1]Category!A:B,2,FALSE)</f>
        <v>Seafood</v>
      </c>
      <c r="L1701" s="10">
        <f>IFERROR(VLOOKUP(A1701,'[1]Sales Order'!A:D,4,FALSE),"")</f>
        <v>39497</v>
      </c>
      <c r="M1701" s="10">
        <f>IFERROR(VLOOKUP(A1701,'[1]Sales Order'!A:F,6,FALSE),"")</f>
        <v>39503</v>
      </c>
      <c r="N1701" t="str">
        <f>IFERROR(VLOOKUP(VLOOKUP(A1701,'[1]Sales Order'!A:G,7,FALSE),[1]Shipper!A:B,2,FALSE),"Not Specified")</f>
        <v>Shipper ETYNR</v>
      </c>
      <c r="O1701" t="str">
        <f>IFERROR(VLOOKUP(A1701,'[1]Sales Order'!A:I,9,FALSE),"Not Specified")</f>
        <v>Destination DGKOU</v>
      </c>
      <c r="P1701" t="str">
        <f>IFERROR(VLOOKUP(A1701,'[1]Sales Order'!A:N,14,FALSE),"Not Specified")</f>
        <v>Ireland</v>
      </c>
      <c r="Q1701" t="str">
        <f>VLOOKUP(VLOOKUP(B1701,[1]Product!A:C,3,FALSE),[1]Supplier!A:B,2,FALSE)</f>
        <v>Supplier TEGSC</v>
      </c>
      <c r="R1701" t="str">
        <f>VLOOKUP(VLOOKUP(B1701,[1]Product!A:C,3,FALSE),[1]Supplier!A:I,9,FALSE)</f>
        <v>Germany</v>
      </c>
      <c r="S1701" t="str">
        <f>IFERROR(IF(VLOOKUP(A1701,'[1]Sales Order'!A:H,8,FALSE)&gt;100,"High Freight","Low Freight"),"Not Specified")</f>
        <v>High Freight</v>
      </c>
      <c r="T1701">
        <f t="shared" si="53"/>
        <v>932.04</v>
      </c>
    </row>
    <row r="1702" spans="1:20">
      <c r="A1702" s="1">
        <v>10898</v>
      </c>
      <c r="B1702" s="2">
        <v>13</v>
      </c>
      <c r="C1702" s="2">
        <v>6</v>
      </c>
      <c r="D1702" s="2">
        <v>5</v>
      </c>
      <c r="E1702" s="3">
        <v>0</v>
      </c>
      <c r="F1702" s="2" t="str">
        <f>IFERROR(VLOOKUP(VLOOKUP(A1702,'[1]Sales Order'!A:B,2,FALSE),[1]Customer!A:C,3,FALSE),"Not Specified")</f>
        <v>Tiano, Mike</v>
      </c>
      <c r="G1702" s="2" t="str">
        <f t="shared" si="52"/>
        <v>Tiano Mike</v>
      </c>
      <c r="H1702" s="8" t="str">
        <f>IFERROR(VLOOKUP(VLOOKUP(A1702,'[1]Sales Order'!A:C,3,FALSE),[1]Employee!A:E,5,FALSE)&amp;" "&amp;VLOOKUP(VLOOKUP(A1702,'[1]Sales Order'!A:C,3,FALSE),[1]Employee!A:C,3,FALSE)&amp;" "&amp;VLOOKUP(VLOOKUP(A1702,'[1]Sales Order'!A:C,3,FALSE),[1]Employee!A:B,2,FALSE),"Not Specified")</f>
        <v>Mrs. Yael Peled</v>
      </c>
      <c r="I1702" t="str">
        <f>IFERROR(VLOOKUP(VLOOKUP(A1702,'[1]Sales Order'!A:C,3,FALSE),[1]Employee!A:J,10,FALSE),"Not Specified")</f>
        <v>WA</v>
      </c>
      <c r="J1702" t="str">
        <f>VLOOKUP(B1702,[1]Product!A:B,2,FALSE)</f>
        <v>Product POXFU</v>
      </c>
      <c r="K1702" t="str">
        <f>VLOOKUP(VLOOKUP(B1702,[1]Product!A:D,4,FALSE),[1]Category!A:B,2,FALSE)</f>
        <v>Seafood</v>
      </c>
      <c r="L1702" s="10">
        <f>IFERROR(VLOOKUP(A1702,'[1]Sales Order'!A:D,4,FALSE),"")</f>
        <v>39498</v>
      </c>
      <c r="M1702" s="10">
        <f>IFERROR(VLOOKUP(A1702,'[1]Sales Order'!A:F,6,FALSE),"")</f>
        <v>39513</v>
      </c>
      <c r="N1702" t="str">
        <f>IFERROR(VLOOKUP(VLOOKUP(A1702,'[1]Sales Order'!A:G,7,FALSE),[1]Shipper!A:B,2,FALSE),"Not Specified")</f>
        <v>Shipper ETYNR</v>
      </c>
      <c r="O1702" t="str">
        <f>IFERROR(VLOOKUP(A1702,'[1]Sales Order'!A:I,9,FALSE),"Not Specified")</f>
        <v>Ship to 54-B</v>
      </c>
      <c r="P1702" t="str">
        <f>IFERROR(VLOOKUP(A1702,'[1]Sales Order'!A:N,14,FALSE),"Not Specified")</f>
        <v>Argentina</v>
      </c>
      <c r="Q1702" t="str">
        <f>VLOOKUP(VLOOKUP(B1702,[1]Product!A:C,3,FALSE),[1]Supplier!A:B,2,FALSE)</f>
        <v>Supplier QWUSF</v>
      </c>
      <c r="R1702" t="str">
        <f>VLOOKUP(VLOOKUP(B1702,[1]Product!A:C,3,FALSE),[1]Supplier!A:I,9,FALSE)</f>
        <v>Japan</v>
      </c>
      <c r="S1702" t="str">
        <f>IFERROR(IF(VLOOKUP(A1702,'[1]Sales Order'!A:H,8,FALSE)&gt;100,"High Freight","Low Freight"),"Not Specified")</f>
        <v>Low Freight</v>
      </c>
      <c r="T1702">
        <f t="shared" si="53"/>
        <v>30</v>
      </c>
    </row>
    <row r="1703" spans="1:20">
      <c r="A1703" s="1">
        <v>10899</v>
      </c>
      <c r="B1703" s="2">
        <v>39</v>
      </c>
      <c r="C1703" s="2">
        <v>18</v>
      </c>
      <c r="D1703" s="2">
        <v>8</v>
      </c>
      <c r="E1703" s="3">
        <v>0.15</v>
      </c>
      <c r="F1703" s="2" t="str">
        <f>IFERROR(VLOOKUP(VLOOKUP(A1703,'[1]Sales Order'!A:B,2,FALSE),[1]Customer!A:C,3,FALSE),"Not Specified")</f>
        <v>Dressler, Marlies</v>
      </c>
      <c r="G1703" s="2" t="str">
        <f t="shared" si="52"/>
        <v>Dressler Marlies</v>
      </c>
      <c r="H1703" s="8" t="str">
        <f>IFERROR(VLOOKUP(VLOOKUP(A1703,'[1]Sales Order'!A:C,3,FALSE),[1]Employee!A:E,5,FALSE)&amp;" "&amp;VLOOKUP(VLOOKUP(A1703,'[1]Sales Order'!A:C,3,FALSE),[1]Employee!A:C,3,FALSE)&amp;" "&amp;VLOOKUP(VLOOKUP(A1703,'[1]Sales Order'!A:C,3,FALSE),[1]Employee!A:B,2,FALSE),"Not Specified")</f>
        <v>Mr. Sven Buck</v>
      </c>
      <c r="I1703">
        <f>IFERROR(VLOOKUP(VLOOKUP(A1703,'[1]Sales Order'!A:C,3,FALSE),[1]Employee!A:J,10,FALSE),"Not Specified")</f>
        <v>0</v>
      </c>
      <c r="J1703" t="str">
        <f>VLOOKUP(B1703,[1]Product!A:B,2,FALSE)</f>
        <v>Product LSOFL</v>
      </c>
      <c r="K1703" t="str">
        <f>VLOOKUP(VLOOKUP(B1703,[1]Product!A:D,4,FALSE),[1]Category!A:B,2,FALSE)</f>
        <v>Beverages</v>
      </c>
      <c r="L1703" s="10">
        <f>IFERROR(VLOOKUP(A1703,'[1]Sales Order'!A:D,4,FALSE),"")</f>
        <v>39498</v>
      </c>
      <c r="M1703" s="10">
        <f>IFERROR(VLOOKUP(A1703,'[1]Sales Order'!A:F,6,FALSE),"")</f>
        <v>39504</v>
      </c>
      <c r="N1703" t="str">
        <f>IFERROR(VLOOKUP(VLOOKUP(A1703,'[1]Sales Order'!A:G,7,FALSE),[1]Shipper!A:B,2,FALSE),"Not Specified")</f>
        <v>Shipper ZHISN</v>
      </c>
      <c r="O1703" t="str">
        <f>IFERROR(VLOOKUP(A1703,'[1]Sales Order'!A:I,9,FALSE),"Not Specified")</f>
        <v>Ship to 46-C</v>
      </c>
      <c r="P1703" t="str">
        <f>IFERROR(VLOOKUP(A1703,'[1]Sales Order'!A:N,14,FALSE),"Not Specified")</f>
        <v>Venezuela</v>
      </c>
      <c r="Q1703" t="str">
        <f>VLOOKUP(VLOOKUP(B1703,[1]Product!A:C,3,FALSE),[1]Supplier!A:B,2,FALSE)</f>
        <v>Supplier LVJUA</v>
      </c>
      <c r="R1703" t="str">
        <f>VLOOKUP(VLOOKUP(B1703,[1]Product!A:C,3,FALSE),[1]Supplier!A:I,9,FALSE)</f>
        <v>France</v>
      </c>
      <c r="S1703" t="str">
        <f>IFERROR(IF(VLOOKUP(A1703,'[1]Sales Order'!A:H,8,FALSE)&gt;100,"High Freight","Low Freight"),"Not Specified")</f>
        <v>Low Freight</v>
      </c>
      <c r="T1703">
        <f t="shared" si="53"/>
        <v>122.39999999999999</v>
      </c>
    </row>
    <row r="1704" spans="1:20">
      <c r="A1704" s="1">
        <v>10900</v>
      </c>
      <c r="B1704" s="2">
        <v>70</v>
      </c>
      <c r="C1704" s="2">
        <v>15</v>
      </c>
      <c r="D1704" s="2">
        <v>3</v>
      </c>
      <c r="E1704" s="3">
        <v>0.25</v>
      </c>
      <c r="F1704" s="2" t="str">
        <f>IFERROR(VLOOKUP(VLOOKUP(A1704,'[1]Sales Order'!A:B,2,FALSE),[1]Customer!A:C,3,FALSE),"Not Specified")</f>
        <v>Li, Yan</v>
      </c>
      <c r="G1704" s="2" t="str">
        <f t="shared" si="52"/>
        <v>Li Yan</v>
      </c>
      <c r="H1704" s="8" t="str">
        <f>IFERROR(VLOOKUP(VLOOKUP(A1704,'[1]Sales Order'!A:C,3,FALSE),[1]Employee!A:E,5,FALSE)&amp;" "&amp;VLOOKUP(VLOOKUP(A1704,'[1]Sales Order'!A:C,3,FALSE),[1]Employee!A:C,3,FALSE)&amp;" "&amp;VLOOKUP(VLOOKUP(A1704,'[1]Sales Order'!A:C,3,FALSE),[1]Employee!A:B,2,FALSE),"Not Specified")</f>
        <v>Ms. Sara Davis</v>
      </c>
      <c r="I1704" t="str">
        <f>IFERROR(VLOOKUP(VLOOKUP(A1704,'[1]Sales Order'!A:C,3,FALSE),[1]Employee!A:J,10,FALSE),"Not Specified")</f>
        <v>WA</v>
      </c>
      <c r="J1704" t="str">
        <f>VLOOKUP(B1704,[1]Product!A:B,2,FALSE)</f>
        <v>Product TOONT</v>
      </c>
      <c r="K1704" t="str">
        <f>VLOOKUP(VLOOKUP(B1704,[1]Product!A:D,4,FALSE),[1]Category!A:B,2,FALSE)</f>
        <v>Beverages</v>
      </c>
      <c r="L1704" s="10">
        <f>IFERROR(VLOOKUP(A1704,'[1]Sales Order'!A:D,4,FALSE),"")</f>
        <v>39498</v>
      </c>
      <c r="M1704" s="10">
        <f>IFERROR(VLOOKUP(A1704,'[1]Sales Order'!A:F,6,FALSE),"")</f>
        <v>39511</v>
      </c>
      <c r="N1704" t="str">
        <f>IFERROR(VLOOKUP(VLOOKUP(A1704,'[1]Sales Order'!A:G,7,FALSE),[1]Shipper!A:B,2,FALSE),"Not Specified")</f>
        <v>Shipper ETYNR</v>
      </c>
      <c r="O1704" t="str">
        <f>IFERROR(VLOOKUP(A1704,'[1]Sales Order'!A:I,9,FALSE),"Not Specified")</f>
        <v>Ship to 88-A</v>
      </c>
      <c r="P1704" t="str">
        <f>IFERROR(VLOOKUP(A1704,'[1]Sales Order'!A:N,14,FALSE),"Not Specified")</f>
        <v>Brazil</v>
      </c>
      <c r="Q1704" t="str">
        <f>VLOOKUP(VLOOKUP(B1704,[1]Product!A:C,3,FALSE),[1]Supplier!A:B,2,FALSE)</f>
        <v>Supplier GQRCV</v>
      </c>
      <c r="R1704" t="str">
        <f>VLOOKUP(VLOOKUP(B1704,[1]Product!A:C,3,FALSE),[1]Supplier!A:I,9,FALSE)</f>
        <v>Australia</v>
      </c>
      <c r="S1704" t="str">
        <f>IFERROR(IF(VLOOKUP(A1704,'[1]Sales Order'!A:H,8,FALSE)&gt;100,"High Freight","Low Freight"),"Not Specified")</f>
        <v>Low Freight</v>
      </c>
      <c r="T1704">
        <f t="shared" si="53"/>
        <v>33.75</v>
      </c>
    </row>
    <row r="1705" spans="1:20">
      <c r="A1705" s="1">
        <v>10901</v>
      </c>
      <c r="B1705" s="2">
        <v>41</v>
      </c>
      <c r="C1705" s="2">
        <v>9.65</v>
      </c>
      <c r="D1705" s="2">
        <v>30</v>
      </c>
      <c r="E1705" s="3">
        <v>0</v>
      </c>
      <c r="F1705" s="2" t="str">
        <f>IFERROR(VLOOKUP(VLOOKUP(A1705,'[1]Sales Order'!A:B,2,FALSE),[1]Customer!A:C,3,FALSE),"Not Specified")</f>
        <v>Langohr, Kris</v>
      </c>
      <c r="G1705" s="2" t="str">
        <f t="shared" si="52"/>
        <v>Langohr Kris</v>
      </c>
      <c r="H1705" s="8" t="str">
        <f>IFERROR(VLOOKUP(VLOOKUP(A1705,'[1]Sales Order'!A:C,3,FALSE),[1]Employee!A:E,5,FALSE)&amp;" "&amp;VLOOKUP(VLOOKUP(A1705,'[1]Sales Order'!A:C,3,FALSE),[1]Employee!A:C,3,FALSE)&amp;" "&amp;VLOOKUP(VLOOKUP(A1705,'[1]Sales Order'!A:C,3,FALSE),[1]Employee!A:B,2,FALSE),"Not Specified")</f>
        <v>Mrs. Yael Peled</v>
      </c>
      <c r="I1705" t="str">
        <f>IFERROR(VLOOKUP(VLOOKUP(A1705,'[1]Sales Order'!A:C,3,FALSE),[1]Employee!A:J,10,FALSE),"Not Specified")</f>
        <v>WA</v>
      </c>
      <c r="J1705" t="str">
        <f>VLOOKUP(B1705,[1]Product!A:B,2,FALSE)</f>
        <v>Product TTEEX</v>
      </c>
      <c r="K1705" t="str">
        <f>VLOOKUP(VLOOKUP(B1705,[1]Product!A:D,4,FALSE),[1]Category!A:B,2,FALSE)</f>
        <v>Seafood</v>
      </c>
      <c r="L1705" s="10">
        <f>IFERROR(VLOOKUP(A1705,'[1]Sales Order'!A:D,4,FALSE),"")</f>
        <v>39501</v>
      </c>
      <c r="M1705" s="10">
        <f>IFERROR(VLOOKUP(A1705,'[1]Sales Order'!A:F,6,FALSE),"")</f>
        <v>39504</v>
      </c>
      <c r="N1705" t="str">
        <f>IFERROR(VLOOKUP(VLOOKUP(A1705,'[1]Sales Order'!A:G,7,FALSE),[1]Shipper!A:B,2,FALSE),"Not Specified")</f>
        <v>Shipper GVSUA</v>
      </c>
      <c r="O1705" t="str">
        <f>IFERROR(VLOOKUP(A1705,'[1]Sales Order'!A:I,9,FALSE),"Not Specified")</f>
        <v>Destination UOUWK</v>
      </c>
      <c r="P1705" t="str">
        <f>IFERROR(VLOOKUP(A1705,'[1]Sales Order'!A:N,14,FALSE),"Not Specified")</f>
        <v>Venezuela</v>
      </c>
      <c r="Q1705" t="str">
        <f>VLOOKUP(VLOOKUP(B1705,[1]Product!A:C,3,FALSE),[1]Supplier!A:B,2,FALSE)</f>
        <v>Supplier JDNUG</v>
      </c>
      <c r="R1705" t="str">
        <f>VLOOKUP(VLOOKUP(B1705,[1]Product!A:C,3,FALSE),[1]Supplier!A:I,9,FALSE)</f>
        <v>USA</v>
      </c>
      <c r="S1705" t="str">
        <f>IFERROR(IF(VLOOKUP(A1705,'[1]Sales Order'!A:H,8,FALSE)&gt;100,"High Freight","Low Freight"),"Not Specified")</f>
        <v>Low Freight</v>
      </c>
      <c r="T1705">
        <f t="shared" si="53"/>
        <v>289.5</v>
      </c>
    </row>
    <row r="1706" spans="1:20">
      <c r="A1706" s="1">
        <v>10901</v>
      </c>
      <c r="B1706" s="2">
        <v>71</v>
      </c>
      <c r="C1706" s="2">
        <v>21.5</v>
      </c>
      <c r="D1706" s="2">
        <v>30</v>
      </c>
      <c r="E1706" s="3">
        <v>0</v>
      </c>
      <c r="F1706" s="2" t="str">
        <f>IFERROR(VLOOKUP(VLOOKUP(A1706,'[1]Sales Order'!A:B,2,FALSE),[1]Customer!A:C,3,FALSE),"Not Specified")</f>
        <v>Langohr, Kris</v>
      </c>
      <c r="G1706" s="2" t="str">
        <f t="shared" si="52"/>
        <v>Langohr Kris</v>
      </c>
      <c r="H1706" s="8" t="str">
        <f>IFERROR(VLOOKUP(VLOOKUP(A1706,'[1]Sales Order'!A:C,3,FALSE),[1]Employee!A:E,5,FALSE)&amp;" "&amp;VLOOKUP(VLOOKUP(A1706,'[1]Sales Order'!A:C,3,FALSE),[1]Employee!A:C,3,FALSE)&amp;" "&amp;VLOOKUP(VLOOKUP(A1706,'[1]Sales Order'!A:C,3,FALSE),[1]Employee!A:B,2,FALSE),"Not Specified")</f>
        <v>Mrs. Yael Peled</v>
      </c>
      <c r="I1706" t="str">
        <f>IFERROR(VLOOKUP(VLOOKUP(A1706,'[1]Sales Order'!A:C,3,FALSE),[1]Employee!A:J,10,FALSE),"Not Specified")</f>
        <v>WA</v>
      </c>
      <c r="J1706" t="str">
        <f>VLOOKUP(B1706,[1]Product!A:B,2,FALSE)</f>
        <v>Product MYMOI</v>
      </c>
      <c r="K1706" t="str">
        <f>VLOOKUP(VLOOKUP(B1706,[1]Product!A:D,4,FALSE),[1]Category!A:B,2,FALSE)</f>
        <v>Dairy Product</v>
      </c>
      <c r="L1706" s="10">
        <f>IFERROR(VLOOKUP(A1706,'[1]Sales Order'!A:D,4,FALSE),"")</f>
        <v>39501</v>
      </c>
      <c r="M1706" s="10">
        <f>IFERROR(VLOOKUP(A1706,'[1]Sales Order'!A:F,6,FALSE),"")</f>
        <v>39504</v>
      </c>
      <c r="N1706" t="str">
        <f>IFERROR(VLOOKUP(VLOOKUP(A1706,'[1]Sales Order'!A:G,7,FALSE),[1]Shipper!A:B,2,FALSE),"Not Specified")</f>
        <v>Shipper GVSUA</v>
      </c>
      <c r="O1706" t="str">
        <f>IFERROR(VLOOKUP(A1706,'[1]Sales Order'!A:I,9,FALSE),"Not Specified")</f>
        <v>Destination UOUWK</v>
      </c>
      <c r="P1706" t="str">
        <f>IFERROR(VLOOKUP(A1706,'[1]Sales Order'!A:N,14,FALSE),"Not Specified")</f>
        <v>Venezuela</v>
      </c>
      <c r="Q1706" t="str">
        <f>VLOOKUP(VLOOKUP(B1706,[1]Product!A:C,3,FALSE),[1]Supplier!A:B,2,FALSE)</f>
        <v>Supplier NZLIF</v>
      </c>
      <c r="R1706" t="str">
        <f>VLOOKUP(VLOOKUP(B1706,[1]Product!A:C,3,FALSE),[1]Supplier!A:I,9,FALSE)</f>
        <v>Norway</v>
      </c>
      <c r="S1706" t="str">
        <f>IFERROR(IF(VLOOKUP(A1706,'[1]Sales Order'!A:H,8,FALSE)&gt;100,"High Freight","Low Freight"),"Not Specified")</f>
        <v>Low Freight</v>
      </c>
      <c r="T1706">
        <f t="shared" si="53"/>
        <v>645</v>
      </c>
    </row>
    <row r="1707" spans="1:20">
      <c r="A1707" s="1">
        <v>10902</v>
      </c>
      <c r="B1707" s="2">
        <v>55</v>
      </c>
      <c r="C1707" s="2">
        <v>24</v>
      </c>
      <c r="D1707" s="2">
        <v>30</v>
      </c>
      <c r="E1707" s="3">
        <v>0.15</v>
      </c>
      <c r="F1707" s="2" t="str">
        <f>IFERROR(VLOOKUP(VLOOKUP(A1707,'[1]Sales Order'!A:B,2,FALSE),[1]Customer!A:C,3,FALSE),"Not Specified")</f>
        <v>San Juan, Patricia</v>
      </c>
      <c r="G1707" s="2" t="str">
        <f t="shared" si="52"/>
        <v>San Juan Patricia</v>
      </c>
      <c r="H1707" s="8" t="str">
        <f>IFERROR(VLOOKUP(VLOOKUP(A1707,'[1]Sales Order'!A:C,3,FALSE),[1]Employee!A:E,5,FALSE)&amp;" "&amp;VLOOKUP(VLOOKUP(A1707,'[1]Sales Order'!A:C,3,FALSE),[1]Employee!A:C,3,FALSE)&amp;" "&amp;VLOOKUP(VLOOKUP(A1707,'[1]Sales Order'!A:C,3,FALSE),[1]Employee!A:B,2,FALSE),"Not Specified")</f>
        <v>Ms. Sara Davis</v>
      </c>
      <c r="I1707" t="str">
        <f>IFERROR(VLOOKUP(VLOOKUP(A1707,'[1]Sales Order'!A:C,3,FALSE),[1]Employee!A:J,10,FALSE),"Not Specified")</f>
        <v>WA</v>
      </c>
      <c r="J1707" t="str">
        <f>VLOOKUP(B1707,[1]Product!A:B,2,FALSE)</f>
        <v>Product YYWRT</v>
      </c>
      <c r="K1707" t="str">
        <f>VLOOKUP(VLOOKUP(B1707,[1]Product!A:D,4,FALSE),[1]Category!A:B,2,FALSE)</f>
        <v>Meat/Poultry</v>
      </c>
      <c r="L1707" s="10">
        <f>IFERROR(VLOOKUP(A1707,'[1]Sales Order'!A:D,4,FALSE),"")</f>
        <v>39501</v>
      </c>
      <c r="M1707" s="10">
        <f>IFERROR(VLOOKUP(A1707,'[1]Sales Order'!A:F,6,FALSE),"")</f>
        <v>39510</v>
      </c>
      <c r="N1707" t="str">
        <f>IFERROR(VLOOKUP(VLOOKUP(A1707,'[1]Sales Order'!A:G,7,FALSE),[1]Shipper!A:B,2,FALSE),"Not Specified")</f>
        <v>Shipper GVSUA</v>
      </c>
      <c r="O1707" t="str">
        <f>IFERROR(VLOOKUP(A1707,'[1]Sales Order'!A:I,9,FALSE),"Not Specified")</f>
        <v>Destination NCKKO</v>
      </c>
      <c r="P1707" t="str">
        <f>IFERROR(VLOOKUP(A1707,'[1]Sales Order'!A:N,14,FALSE),"Not Specified")</f>
        <v>Sweden</v>
      </c>
      <c r="Q1707" t="str">
        <f>VLOOKUP(VLOOKUP(B1707,[1]Product!A:C,3,FALSE),[1]Supplier!A:B,2,FALSE)</f>
        <v>Supplier ERVYZ</v>
      </c>
      <c r="R1707" t="str">
        <f>VLOOKUP(VLOOKUP(B1707,[1]Product!A:C,3,FALSE),[1]Supplier!A:I,9,FALSE)</f>
        <v>Canada</v>
      </c>
      <c r="S1707" t="str">
        <f>IFERROR(IF(VLOOKUP(A1707,'[1]Sales Order'!A:H,8,FALSE)&gt;100,"High Freight","Low Freight"),"Not Specified")</f>
        <v>Low Freight</v>
      </c>
      <c r="T1707">
        <f t="shared" si="53"/>
        <v>612</v>
      </c>
    </row>
    <row r="1708" spans="1:20">
      <c r="A1708" s="1">
        <v>10902</v>
      </c>
      <c r="B1708" s="2">
        <v>62</v>
      </c>
      <c r="C1708" s="2">
        <v>49.3</v>
      </c>
      <c r="D1708" s="2">
        <v>6</v>
      </c>
      <c r="E1708" s="3">
        <v>0.15</v>
      </c>
      <c r="F1708" s="2" t="str">
        <f>IFERROR(VLOOKUP(VLOOKUP(A1708,'[1]Sales Order'!A:B,2,FALSE),[1]Customer!A:C,3,FALSE),"Not Specified")</f>
        <v>San Juan, Patricia</v>
      </c>
      <c r="G1708" s="2" t="str">
        <f t="shared" si="52"/>
        <v>San Juan Patricia</v>
      </c>
      <c r="H1708" s="8" t="str">
        <f>IFERROR(VLOOKUP(VLOOKUP(A1708,'[1]Sales Order'!A:C,3,FALSE),[1]Employee!A:E,5,FALSE)&amp;" "&amp;VLOOKUP(VLOOKUP(A1708,'[1]Sales Order'!A:C,3,FALSE),[1]Employee!A:C,3,FALSE)&amp;" "&amp;VLOOKUP(VLOOKUP(A1708,'[1]Sales Order'!A:C,3,FALSE),[1]Employee!A:B,2,FALSE),"Not Specified")</f>
        <v>Ms. Sara Davis</v>
      </c>
      <c r="I1708" t="str">
        <f>IFERROR(VLOOKUP(VLOOKUP(A1708,'[1]Sales Order'!A:C,3,FALSE),[1]Employee!A:J,10,FALSE),"Not Specified")</f>
        <v>WA</v>
      </c>
      <c r="J1708" t="str">
        <f>VLOOKUP(B1708,[1]Product!A:B,2,FALSE)</f>
        <v>Product WUXYK</v>
      </c>
      <c r="K1708" t="str">
        <f>VLOOKUP(VLOOKUP(B1708,[1]Product!A:D,4,FALSE),[1]Category!A:B,2,FALSE)</f>
        <v>Confections</v>
      </c>
      <c r="L1708" s="10">
        <f>IFERROR(VLOOKUP(A1708,'[1]Sales Order'!A:D,4,FALSE),"")</f>
        <v>39501</v>
      </c>
      <c r="M1708" s="10">
        <f>IFERROR(VLOOKUP(A1708,'[1]Sales Order'!A:F,6,FALSE),"")</f>
        <v>39510</v>
      </c>
      <c r="N1708" t="str">
        <f>IFERROR(VLOOKUP(VLOOKUP(A1708,'[1]Sales Order'!A:G,7,FALSE),[1]Shipper!A:B,2,FALSE),"Not Specified")</f>
        <v>Shipper GVSUA</v>
      </c>
      <c r="O1708" t="str">
        <f>IFERROR(VLOOKUP(A1708,'[1]Sales Order'!A:I,9,FALSE),"Not Specified")</f>
        <v>Destination NCKKO</v>
      </c>
      <c r="P1708" t="str">
        <f>IFERROR(VLOOKUP(A1708,'[1]Sales Order'!A:N,14,FALSE),"Not Specified")</f>
        <v>Sweden</v>
      </c>
      <c r="Q1708" t="str">
        <f>VLOOKUP(VLOOKUP(B1708,[1]Product!A:C,3,FALSE),[1]Supplier!A:B,2,FALSE)</f>
        <v>Supplier OGLRK</v>
      </c>
      <c r="R1708" t="str">
        <f>VLOOKUP(VLOOKUP(B1708,[1]Product!A:C,3,FALSE),[1]Supplier!A:I,9,FALSE)</f>
        <v>Canada</v>
      </c>
      <c r="S1708" t="str">
        <f>IFERROR(IF(VLOOKUP(A1708,'[1]Sales Order'!A:H,8,FALSE)&gt;100,"High Freight","Low Freight"),"Not Specified")</f>
        <v>Low Freight</v>
      </c>
      <c r="T1708">
        <f t="shared" si="53"/>
        <v>251.42999999999995</v>
      </c>
    </row>
    <row r="1709" spans="1:20">
      <c r="A1709" s="1">
        <v>10903</v>
      </c>
      <c r="B1709" s="2">
        <v>13</v>
      </c>
      <c r="C1709" s="2">
        <v>6</v>
      </c>
      <c r="D1709" s="2">
        <v>40</v>
      </c>
      <c r="E1709" s="3">
        <v>0</v>
      </c>
      <c r="F1709" s="2" t="str">
        <f>IFERROR(VLOOKUP(VLOOKUP(A1709,'[1]Sales Order'!A:B,2,FALSE),[1]Customer!A:C,3,FALSE),"Not Specified")</f>
        <v>Cohen, Shy</v>
      </c>
      <c r="G1709" s="2" t="str">
        <f t="shared" si="52"/>
        <v>Cohen Shy</v>
      </c>
      <c r="H1709" s="8" t="str">
        <f>IFERROR(VLOOKUP(VLOOKUP(A1709,'[1]Sales Order'!A:C,3,FALSE),[1]Employee!A:E,5,FALSE)&amp;" "&amp;VLOOKUP(VLOOKUP(A1709,'[1]Sales Order'!A:C,3,FALSE),[1]Employee!A:C,3,FALSE)&amp;" "&amp;VLOOKUP(VLOOKUP(A1709,'[1]Sales Order'!A:C,3,FALSE),[1]Employee!A:B,2,FALSE),"Not Specified")</f>
        <v>Ms. Judy Lew</v>
      </c>
      <c r="I1709" t="str">
        <f>IFERROR(VLOOKUP(VLOOKUP(A1709,'[1]Sales Order'!A:C,3,FALSE),[1]Employee!A:J,10,FALSE),"Not Specified")</f>
        <v>WA</v>
      </c>
      <c r="J1709" t="str">
        <f>VLOOKUP(B1709,[1]Product!A:B,2,FALSE)</f>
        <v>Product POXFU</v>
      </c>
      <c r="K1709" t="str">
        <f>VLOOKUP(VLOOKUP(B1709,[1]Product!A:D,4,FALSE),[1]Category!A:B,2,FALSE)</f>
        <v>Seafood</v>
      </c>
      <c r="L1709" s="10">
        <f>IFERROR(VLOOKUP(A1709,'[1]Sales Order'!A:D,4,FALSE),"")</f>
        <v>39502</v>
      </c>
      <c r="M1709" s="10">
        <f>IFERROR(VLOOKUP(A1709,'[1]Sales Order'!A:F,6,FALSE),"")</f>
        <v>39511</v>
      </c>
      <c r="N1709" t="str">
        <f>IFERROR(VLOOKUP(VLOOKUP(A1709,'[1]Sales Order'!A:G,7,FALSE),[1]Shipper!A:B,2,FALSE),"Not Specified")</f>
        <v>Shipper ZHISN</v>
      </c>
      <c r="O1709" t="str">
        <f>IFERROR(VLOOKUP(A1709,'[1]Sales Order'!A:I,9,FALSE),"Not Specified")</f>
        <v>Destination DPCVR</v>
      </c>
      <c r="P1709" t="str">
        <f>IFERROR(VLOOKUP(A1709,'[1]Sales Order'!A:N,14,FALSE),"Not Specified")</f>
        <v>Brazil</v>
      </c>
      <c r="Q1709" t="str">
        <f>VLOOKUP(VLOOKUP(B1709,[1]Product!A:C,3,FALSE),[1]Supplier!A:B,2,FALSE)</f>
        <v>Supplier QWUSF</v>
      </c>
      <c r="R1709" t="str">
        <f>VLOOKUP(VLOOKUP(B1709,[1]Product!A:C,3,FALSE),[1]Supplier!A:I,9,FALSE)</f>
        <v>Japan</v>
      </c>
      <c r="S1709" t="str">
        <f>IFERROR(IF(VLOOKUP(A1709,'[1]Sales Order'!A:H,8,FALSE)&gt;100,"High Freight","Low Freight"),"Not Specified")</f>
        <v>Low Freight</v>
      </c>
      <c r="T1709">
        <f t="shared" si="53"/>
        <v>240</v>
      </c>
    </row>
    <row r="1710" spans="1:20">
      <c r="A1710" s="1">
        <v>10903</v>
      </c>
      <c r="B1710" s="2">
        <v>65</v>
      </c>
      <c r="C1710" s="2">
        <v>21.05</v>
      </c>
      <c r="D1710" s="2">
        <v>21</v>
      </c>
      <c r="E1710" s="3">
        <v>0</v>
      </c>
      <c r="F1710" s="2" t="str">
        <f>IFERROR(VLOOKUP(VLOOKUP(A1710,'[1]Sales Order'!A:B,2,FALSE),[1]Customer!A:C,3,FALSE),"Not Specified")</f>
        <v>Cohen, Shy</v>
      </c>
      <c r="G1710" s="2" t="str">
        <f t="shared" si="52"/>
        <v>Cohen Shy</v>
      </c>
      <c r="H1710" s="8" t="str">
        <f>IFERROR(VLOOKUP(VLOOKUP(A1710,'[1]Sales Order'!A:C,3,FALSE),[1]Employee!A:E,5,FALSE)&amp;" "&amp;VLOOKUP(VLOOKUP(A1710,'[1]Sales Order'!A:C,3,FALSE),[1]Employee!A:C,3,FALSE)&amp;" "&amp;VLOOKUP(VLOOKUP(A1710,'[1]Sales Order'!A:C,3,FALSE),[1]Employee!A:B,2,FALSE),"Not Specified")</f>
        <v>Ms. Judy Lew</v>
      </c>
      <c r="I1710" t="str">
        <f>IFERROR(VLOOKUP(VLOOKUP(A1710,'[1]Sales Order'!A:C,3,FALSE),[1]Employee!A:J,10,FALSE),"Not Specified")</f>
        <v>WA</v>
      </c>
      <c r="J1710" t="str">
        <f>VLOOKUP(B1710,[1]Product!A:B,2,FALSE)</f>
        <v>Product XYWBZ</v>
      </c>
      <c r="K1710" t="str">
        <f>VLOOKUP(VLOOKUP(B1710,[1]Product!A:D,4,FALSE),[1]Category!A:B,2,FALSE)</f>
        <v>Condiments</v>
      </c>
      <c r="L1710" s="10">
        <f>IFERROR(VLOOKUP(A1710,'[1]Sales Order'!A:D,4,FALSE),"")</f>
        <v>39502</v>
      </c>
      <c r="M1710" s="10">
        <f>IFERROR(VLOOKUP(A1710,'[1]Sales Order'!A:F,6,FALSE),"")</f>
        <v>39511</v>
      </c>
      <c r="N1710" t="str">
        <f>IFERROR(VLOOKUP(VLOOKUP(A1710,'[1]Sales Order'!A:G,7,FALSE),[1]Shipper!A:B,2,FALSE),"Not Specified")</f>
        <v>Shipper ZHISN</v>
      </c>
      <c r="O1710" t="str">
        <f>IFERROR(VLOOKUP(A1710,'[1]Sales Order'!A:I,9,FALSE),"Not Specified")</f>
        <v>Destination DPCVR</v>
      </c>
      <c r="P1710" t="str">
        <f>IFERROR(VLOOKUP(A1710,'[1]Sales Order'!A:N,14,FALSE),"Not Specified")</f>
        <v>Brazil</v>
      </c>
      <c r="Q1710" t="str">
        <f>VLOOKUP(VLOOKUP(B1710,[1]Product!A:C,3,FALSE),[1]Supplier!A:B,2,FALSE)</f>
        <v>Supplier VHQZD</v>
      </c>
      <c r="R1710" t="str">
        <f>VLOOKUP(VLOOKUP(B1710,[1]Product!A:C,3,FALSE),[1]Supplier!A:I,9,FALSE)</f>
        <v>USA</v>
      </c>
      <c r="S1710" t="str">
        <f>IFERROR(IF(VLOOKUP(A1710,'[1]Sales Order'!A:H,8,FALSE)&gt;100,"High Freight","Low Freight"),"Not Specified")</f>
        <v>Low Freight</v>
      </c>
      <c r="T1710">
        <f t="shared" si="53"/>
        <v>442.05</v>
      </c>
    </row>
    <row r="1711" spans="1:20">
      <c r="A1711" s="1">
        <v>10903</v>
      </c>
      <c r="B1711" s="2">
        <v>68</v>
      </c>
      <c r="C1711" s="2">
        <v>12.5</v>
      </c>
      <c r="D1711" s="2">
        <v>20</v>
      </c>
      <c r="E1711" s="3">
        <v>0</v>
      </c>
      <c r="F1711" s="2" t="str">
        <f>IFERROR(VLOOKUP(VLOOKUP(A1711,'[1]Sales Order'!A:B,2,FALSE),[1]Customer!A:C,3,FALSE),"Not Specified")</f>
        <v>Cohen, Shy</v>
      </c>
      <c r="G1711" s="2" t="str">
        <f t="shared" si="52"/>
        <v>Cohen Shy</v>
      </c>
      <c r="H1711" s="8" t="str">
        <f>IFERROR(VLOOKUP(VLOOKUP(A1711,'[1]Sales Order'!A:C,3,FALSE),[1]Employee!A:E,5,FALSE)&amp;" "&amp;VLOOKUP(VLOOKUP(A1711,'[1]Sales Order'!A:C,3,FALSE),[1]Employee!A:C,3,FALSE)&amp;" "&amp;VLOOKUP(VLOOKUP(A1711,'[1]Sales Order'!A:C,3,FALSE),[1]Employee!A:B,2,FALSE),"Not Specified")</f>
        <v>Ms. Judy Lew</v>
      </c>
      <c r="I1711" t="str">
        <f>IFERROR(VLOOKUP(VLOOKUP(A1711,'[1]Sales Order'!A:C,3,FALSE),[1]Employee!A:J,10,FALSE),"Not Specified")</f>
        <v>WA</v>
      </c>
      <c r="J1711" t="str">
        <f>VLOOKUP(B1711,[1]Product!A:B,2,FALSE)</f>
        <v>Product TBTBL</v>
      </c>
      <c r="K1711" t="str">
        <f>VLOOKUP(VLOOKUP(B1711,[1]Product!A:D,4,FALSE),[1]Category!A:B,2,FALSE)</f>
        <v>Confections</v>
      </c>
      <c r="L1711" s="10">
        <f>IFERROR(VLOOKUP(A1711,'[1]Sales Order'!A:D,4,FALSE),"")</f>
        <v>39502</v>
      </c>
      <c r="M1711" s="10">
        <f>IFERROR(VLOOKUP(A1711,'[1]Sales Order'!A:F,6,FALSE),"")</f>
        <v>39511</v>
      </c>
      <c r="N1711" t="str">
        <f>IFERROR(VLOOKUP(VLOOKUP(A1711,'[1]Sales Order'!A:G,7,FALSE),[1]Shipper!A:B,2,FALSE),"Not Specified")</f>
        <v>Shipper ZHISN</v>
      </c>
      <c r="O1711" t="str">
        <f>IFERROR(VLOOKUP(A1711,'[1]Sales Order'!A:I,9,FALSE),"Not Specified")</f>
        <v>Destination DPCVR</v>
      </c>
      <c r="P1711" t="str">
        <f>IFERROR(VLOOKUP(A1711,'[1]Sales Order'!A:N,14,FALSE),"Not Specified")</f>
        <v>Brazil</v>
      </c>
      <c r="Q1711" t="str">
        <f>VLOOKUP(VLOOKUP(B1711,[1]Product!A:C,3,FALSE),[1]Supplier!A:B,2,FALSE)</f>
        <v>Supplier BWGYE</v>
      </c>
      <c r="R1711" t="str">
        <f>VLOOKUP(VLOOKUP(B1711,[1]Product!A:C,3,FALSE),[1]Supplier!A:I,9,FALSE)</f>
        <v>UK</v>
      </c>
      <c r="S1711" t="str">
        <f>IFERROR(IF(VLOOKUP(A1711,'[1]Sales Order'!A:H,8,FALSE)&gt;100,"High Freight","Low Freight"),"Not Specified")</f>
        <v>Low Freight</v>
      </c>
      <c r="T1711">
        <f t="shared" si="53"/>
        <v>250</v>
      </c>
    </row>
    <row r="1712" spans="1:20">
      <c r="A1712" s="1">
        <v>10904</v>
      </c>
      <c r="B1712" s="2">
        <v>58</v>
      </c>
      <c r="C1712" s="2">
        <v>13.25</v>
      </c>
      <c r="D1712" s="2">
        <v>15</v>
      </c>
      <c r="E1712" s="3">
        <v>0</v>
      </c>
      <c r="F1712" s="2" t="str">
        <f>IFERROR(VLOOKUP(VLOOKUP(A1712,'[1]Sales Order'!A:B,2,FALSE),[1]Customer!A:C,3,FALSE),"Not Specified")</f>
        <v>Smith Jr., Ronaldo</v>
      </c>
      <c r="G1712" s="2" t="str">
        <f t="shared" si="52"/>
        <v>Smith Jr. Ronaldo</v>
      </c>
      <c r="H1712" s="8" t="str">
        <f>IFERROR(VLOOKUP(VLOOKUP(A1712,'[1]Sales Order'!A:C,3,FALSE),[1]Employee!A:E,5,FALSE)&amp;" "&amp;VLOOKUP(VLOOKUP(A1712,'[1]Sales Order'!A:C,3,FALSE),[1]Employee!A:C,3,FALSE)&amp;" "&amp;VLOOKUP(VLOOKUP(A1712,'[1]Sales Order'!A:C,3,FALSE),[1]Employee!A:B,2,FALSE),"Not Specified")</f>
        <v>Ms. Judy Lew</v>
      </c>
      <c r="I1712" t="str">
        <f>IFERROR(VLOOKUP(VLOOKUP(A1712,'[1]Sales Order'!A:C,3,FALSE),[1]Employee!A:J,10,FALSE),"Not Specified")</f>
        <v>WA</v>
      </c>
      <c r="J1712" t="str">
        <f>VLOOKUP(B1712,[1]Product!A:B,2,FALSE)</f>
        <v>Product ACRVI</v>
      </c>
      <c r="K1712" t="str">
        <f>VLOOKUP(VLOOKUP(B1712,[1]Product!A:D,4,FALSE),[1]Category!A:B,2,FALSE)</f>
        <v>Seafood</v>
      </c>
      <c r="L1712" s="10">
        <f>IFERROR(VLOOKUP(A1712,'[1]Sales Order'!A:D,4,FALSE),"")</f>
        <v>39502</v>
      </c>
      <c r="M1712" s="10">
        <f>IFERROR(VLOOKUP(A1712,'[1]Sales Order'!A:F,6,FALSE),"")</f>
        <v>39505</v>
      </c>
      <c r="N1712" t="str">
        <f>IFERROR(VLOOKUP(VLOOKUP(A1712,'[1]Sales Order'!A:G,7,FALSE),[1]Shipper!A:B,2,FALSE),"Not Specified")</f>
        <v>Shipper ZHISN</v>
      </c>
      <c r="O1712" t="str">
        <f>IFERROR(VLOOKUP(A1712,'[1]Sales Order'!A:I,9,FALSE),"Not Specified")</f>
        <v>Ship to 89-A</v>
      </c>
      <c r="P1712" t="str">
        <f>IFERROR(VLOOKUP(A1712,'[1]Sales Order'!A:N,14,FALSE),"Not Specified")</f>
        <v>USA</v>
      </c>
      <c r="Q1712" t="str">
        <f>VLOOKUP(VLOOKUP(B1712,[1]Product!A:C,3,FALSE),[1]Supplier!A:B,2,FALSE)</f>
        <v>Supplier ZRYDZ</v>
      </c>
      <c r="R1712" t="str">
        <f>VLOOKUP(VLOOKUP(B1712,[1]Product!A:C,3,FALSE),[1]Supplier!A:I,9,FALSE)</f>
        <v>France</v>
      </c>
      <c r="S1712" t="str">
        <f>IFERROR(IF(VLOOKUP(A1712,'[1]Sales Order'!A:H,8,FALSE)&gt;100,"High Freight","Low Freight"),"Not Specified")</f>
        <v>High Freight</v>
      </c>
      <c r="T1712">
        <f t="shared" si="53"/>
        <v>198.75</v>
      </c>
    </row>
    <row r="1713" spans="1:20">
      <c r="A1713" s="1">
        <v>10904</v>
      </c>
      <c r="B1713" s="2">
        <v>62</v>
      </c>
      <c r="C1713" s="2">
        <v>49.3</v>
      </c>
      <c r="D1713" s="2">
        <v>35</v>
      </c>
      <c r="E1713" s="3">
        <v>0</v>
      </c>
      <c r="F1713" s="2" t="str">
        <f>IFERROR(VLOOKUP(VLOOKUP(A1713,'[1]Sales Order'!A:B,2,FALSE),[1]Customer!A:C,3,FALSE),"Not Specified")</f>
        <v>Smith Jr., Ronaldo</v>
      </c>
      <c r="G1713" s="2" t="str">
        <f t="shared" si="52"/>
        <v>Smith Jr. Ronaldo</v>
      </c>
      <c r="H1713" s="8" t="str">
        <f>IFERROR(VLOOKUP(VLOOKUP(A1713,'[1]Sales Order'!A:C,3,FALSE),[1]Employee!A:E,5,FALSE)&amp;" "&amp;VLOOKUP(VLOOKUP(A1713,'[1]Sales Order'!A:C,3,FALSE),[1]Employee!A:C,3,FALSE)&amp;" "&amp;VLOOKUP(VLOOKUP(A1713,'[1]Sales Order'!A:C,3,FALSE),[1]Employee!A:B,2,FALSE),"Not Specified")</f>
        <v>Ms. Judy Lew</v>
      </c>
      <c r="I1713" t="str">
        <f>IFERROR(VLOOKUP(VLOOKUP(A1713,'[1]Sales Order'!A:C,3,FALSE),[1]Employee!A:J,10,FALSE),"Not Specified")</f>
        <v>WA</v>
      </c>
      <c r="J1713" t="str">
        <f>VLOOKUP(B1713,[1]Product!A:B,2,FALSE)</f>
        <v>Product WUXYK</v>
      </c>
      <c r="K1713" t="str">
        <f>VLOOKUP(VLOOKUP(B1713,[1]Product!A:D,4,FALSE),[1]Category!A:B,2,FALSE)</f>
        <v>Confections</v>
      </c>
      <c r="L1713" s="10">
        <f>IFERROR(VLOOKUP(A1713,'[1]Sales Order'!A:D,4,FALSE),"")</f>
        <v>39502</v>
      </c>
      <c r="M1713" s="10">
        <f>IFERROR(VLOOKUP(A1713,'[1]Sales Order'!A:F,6,FALSE),"")</f>
        <v>39505</v>
      </c>
      <c r="N1713" t="str">
        <f>IFERROR(VLOOKUP(VLOOKUP(A1713,'[1]Sales Order'!A:G,7,FALSE),[1]Shipper!A:B,2,FALSE),"Not Specified")</f>
        <v>Shipper ZHISN</v>
      </c>
      <c r="O1713" t="str">
        <f>IFERROR(VLOOKUP(A1713,'[1]Sales Order'!A:I,9,FALSE),"Not Specified")</f>
        <v>Ship to 89-A</v>
      </c>
      <c r="P1713" t="str">
        <f>IFERROR(VLOOKUP(A1713,'[1]Sales Order'!A:N,14,FALSE),"Not Specified")</f>
        <v>USA</v>
      </c>
      <c r="Q1713" t="str">
        <f>VLOOKUP(VLOOKUP(B1713,[1]Product!A:C,3,FALSE),[1]Supplier!A:B,2,FALSE)</f>
        <v>Supplier OGLRK</v>
      </c>
      <c r="R1713" t="str">
        <f>VLOOKUP(VLOOKUP(B1713,[1]Product!A:C,3,FALSE),[1]Supplier!A:I,9,FALSE)</f>
        <v>Canada</v>
      </c>
      <c r="S1713" t="str">
        <f>IFERROR(IF(VLOOKUP(A1713,'[1]Sales Order'!A:H,8,FALSE)&gt;100,"High Freight","Low Freight"),"Not Specified")</f>
        <v>High Freight</v>
      </c>
      <c r="T1713">
        <f t="shared" si="53"/>
        <v>1725.5</v>
      </c>
    </row>
    <row r="1714" spans="1:20">
      <c r="A1714" s="1">
        <v>10905</v>
      </c>
      <c r="B1714" s="2">
        <v>1</v>
      </c>
      <c r="C1714" s="2">
        <v>18</v>
      </c>
      <c r="D1714" s="2">
        <v>20</v>
      </c>
      <c r="E1714" s="3">
        <v>0.05</v>
      </c>
      <c r="F1714" s="2" t="str">
        <f>IFERROR(VLOOKUP(VLOOKUP(A1714,'[1]Sales Order'!A:B,2,FALSE),[1]Customer!A:C,3,FALSE),"Not Specified")</f>
        <v>Li, Yan</v>
      </c>
      <c r="G1714" s="2" t="str">
        <f t="shared" si="52"/>
        <v>Li Yan</v>
      </c>
      <c r="H1714" s="8" t="str">
        <f>IFERROR(VLOOKUP(VLOOKUP(A1714,'[1]Sales Order'!A:C,3,FALSE),[1]Employee!A:E,5,FALSE)&amp;" "&amp;VLOOKUP(VLOOKUP(A1714,'[1]Sales Order'!A:C,3,FALSE),[1]Employee!A:C,3,FALSE)&amp;" "&amp;VLOOKUP(VLOOKUP(A1714,'[1]Sales Order'!A:C,3,FALSE),[1]Employee!A:B,2,FALSE),"Not Specified")</f>
        <v>Ms. Zoya Dolgopyatova</v>
      </c>
      <c r="I1714">
        <f>IFERROR(VLOOKUP(VLOOKUP(A1714,'[1]Sales Order'!A:C,3,FALSE),[1]Employee!A:J,10,FALSE),"Not Specified")</f>
        <v>0</v>
      </c>
      <c r="J1714" t="str">
        <f>VLOOKUP(B1714,[1]Product!A:B,2,FALSE)</f>
        <v>Product HHYDP</v>
      </c>
      <c r="K1714" t="str">
        <f>VLOOKUP(VLOOKUP(B1714,[1]Product!A:D,4,FALSE),[1]Category!A:B,2,FALSE)</f>
        <v>Beverages</v>
      </c>
      <c r="L1714" s="10">
        <f>IFERROR(VLOOKUP(A1714,'[1]Sales Order'!A:D,4,FALSE),"")</f>
        <v>39502</v>
      </c>
      <c r="M1714" s="10">
        <f>IFERROR(VLOOKUP(A1714,'[1]Sales Order'!A:F,6,FALSE),"")</f>
        <v>39513</v>
      </c>
      <c r="N1714" t="str">
        <f>IFERROR(VLOOKUP(VLOOKUP(A1714,'[1]Sales Order'!A:G,7,FALSE),[1]Shipper!A:B,2,FALSE),"Not Specified")</f>
        <v>Shipper ETYNR</v>
      </c>
      <c r="O1714" t="str">
        <f>IFERROR(VLOOKUP(A1714,'[1]Sales Order'!A:I,9,FALSE),"Not Specified")</f>
        <v>Ship to 88-A</v>
      </c>
      <c r="P1714" t="str">
        <f>IFERROR(VLOOKUP(A1714,'[1]Sales Order'!A:N,14,FALSE),"Not Specified")</f>
        <v>Brazil</v>
      </c>
      <c r="Q1714" t="str">
        <f>VLOOKUP(VLOOKUP(B1714,[1]Product!A:C,3,FALSE),[1]Supplier!A:B,2,FALSE)</f>
        <v>Supplier SWRXU</v>
      </c>
      <c r="R1714" t="str">
        <f>VLOOKUP(VLOOKUP(B1714,[1]Product!A:C,3,FALSE),[1]Supplier!A:I,9,FALSE)</f>
        <v>UK</v>
      </c>
      <c r="S1714" t="str">
        <f>IFERROR(IF(VLOOKUP(A1714,'[1]Sales Order'!A:H,8,FALSE)&gt;100,"High Freight","Low Freight"),"Not Specified")</f>
        <v>Low Freight</v>
      </c>
      <c r="T1714">
        <f t="shared" si="53"/>
        <v>342</v>
      </c>
    </row>
    <row r="1715" spans="1:20">
      <c r="A1715" s="1">
        <v>10906</v>
      </c>
      <c r="B1715" s="2">
        <v>61</v>
      </c>
      <c r="C1715" s="2">
        <v>28.5</v>
      </c>
      <c r="D1715" s="2">
        <v>15</v>
      </c>
      <c r="E1715" s="3">
        <v>0</v>
      </c>
      <c r="F1715" s="2" t="str">
        <f>IFERROR(VLOOKUP(VLOOKUP(A1715,'[1]Sales Order'!A:B,2,FALSE),[1]Customer!A:C,3,FALSE),"Not Specified")</f>
        <v>Conn, Steve</v>
      </c>
      <c r="G1715" s="2" t="str">
        <f t="shared" si="52"/>
        <v>Conn Steve</v>
      </c>
      <c r="H1715" s="8" t="str">
        <f>IFERROR(VLOOKUP(VLOOKUP(A1715,'[1]Sales Order'!A:C,3,FALSE),[1]Employee!A:E,5,FALSE)&amp;" "&amp;VLOOKUP(VLOOKUP(A1715,'[1]Sales Order'!A:C,3,FALSE),[1]Employee!A:C,3,FALSE)&amp;" "&amp;VLOOKUP(VLOOKUP(A1715,'[1]Sales Order'!A:C,3,FALSE),[1]Employee!A:B,2,FALSE),"Not Specified")</f>
        <v>Mrs. Yael Peled</v>
      </c>
      <c r="I1715" t="str">
        <f>IFERROR(VLOOKUP(VLOOKUP(A1715,'[1]Sales Order'!A:C,3,FALSE),[1]Employee!A:J,10,FALSE),"Not Specified")</f>
        <v>WA</v>
      </c>
      <c r="J1715" t="str">
        <f>VLOOKUP(B1715,[1]Product!A:B,2,FALSE)</f>
        <v>Product XYZPE</v>
      </c>
      <c r="K1715" t="str">
        <f>VLOOKUP(VLOOKUP(B1715,[1]Product!A:D,4,FALSE),[1]Category!A:B,2,FALSE)</f>
        <v>Condiments</v>
      </c>
      <c r="L1715" s="10">
        <f>IFERROR(VLOOKUP(A1715,'[1]Sales Order'!A:D,4,FALSE),"")</f>
        <v>39503</v>
      </c>
      <c r="M1715" s="10">
        <f>IFERROR(VLOOKUP(A1715,'[1]Sales Order'!A:F,6,FALSE),"")</f>
        <v>39510</v>
      </c>
      <c r="N1715" t="str">
        <f>IFERROR(VLOOKUP(VLOOKUP(A1715,'[1]Sales Order'!A:G,7,FALSE),[1]Shipper!A:B,2,FALSE),"Not Specified")</f>
        <v>Shipper ZHISN</v>
      </c>
      <c r="O1715" t="str">
        <f>IFERROR(VLOOKUP(A1715,'[1]Sales Order'!A:I,9,FALSE),"Not Specified")</f>
        <v>Ship to 91-B</v>
      </c>
      <c r="P1715" t="str">
        <f>IFERROR(VLOOKUP(A1715,'[1]Sales Order'!A:N,14,FALSE),"Not Specified")</f>
        <v>Poland</v>
      </c>
      <c r="Q1715" t="str">
        <f>VLOOKUP(VLOOKUP(B1715,[1]Product!A:C,3,FALSE),[1]Supplier!A:B,2,FALSE)</f>
        <v>Supplier OGLRK</v>
      </c>
      <c r="R1715" t="str">
        <f>VLOOKUP(VLOOKUP(B1715,[1]Product!A:C,3,FALSE),[1]Supplier!A:I,9,FALSE)</f>
        <v>Canada</v>
      </c>
      <c r="S1715" t="str">
        <f>IFERROR(IF(VLOOKUP(A1715,'[1]Sales Order'!A:H,8,FALSE)&gt;100,"High Freight","Low Freight"),"Not Specified")</f>
        <v>Low Freight</v>
      </c>
      <c r="T1715">
        <f t="shared" si="53"/>
        <v>427.5</v>
      </c>
    </row>
    <row r="1716" spans="1:20">
      <c r="A1716" s="1">
        <v>10907</v>
      </c>
      <c r="B1716" s="2">
        <v>75</v>
      </c>
      <c r="C1716" s="2">
        <v>7.75</v>
      </c>
      <c r="D1716" s="2">
        <v>14</v>
      </c>
      <c r="E1716" s="3">
        <v>0</v>
      </c>
      <c r="F1716" s="2" t="str">
        <f>IFERROR(VLOOKUP(VLOOKUP(A1716,'[1]Sales Order'!A:B,2,FALSE),[1]Customer!A:C,3,FALSE),"Not Specified")</f>
        <v>O’Brien, Dave</v>
      </c>
      <c r="G1716" s="2" t="str">
        <f t="shared" si="52"/>
        <v>O’Brien Dave</v>
      </c>
      <c r="H1716" s="8" t="str">
        <f>IFERROR(VLOOKUP(VLOOKUP(A1716,'[1]Sales Order'!A:C,3,FALSE),[1]Employee!A:E,5,FALSE)&amp;" "&amp;VLOOKUP(VLOOKUP(A1716,'[1]Sales Order'!A:C,3,FALSE),[1]Employee!A:C,3,FALSE)&amp;" "&amp;VLOOKUP(VLOOKUP(A1716,'[1]Sales Order'!A:C,3,FALSE),[1]Employee!A:B,2,FALSE),"Not Specified")</f>
        <v>Mr. Paul Suurs</v>
      </c>
      <c r="I1716">
        <f>IFERROR(VLOOKUP(VLOOKUP(A1716,'[1]Sales Order'!A:C,3,FALSE),[1]Employee!A:J,10,FALSE),"Not Specified")</f>
        <v>0</v>
      </c>
      <c r="J1716" t="str">
        <f>VLOOKUP(B1716,[1]Product!A:B,2,FALSE)</f>
        <v>Product BWRLG</v>
      </c>
      <c r="K1716" t="str">
        <f>VLOOKUP(VLOOKUP(B1716,[1]Product!A:D,4,FALSE),[1]Category!A:B,2,FALSE)</f>
        <v>Beverages</v>
      </c>
      <c r="L1716" s="10">
        <f>IFERROR(VLOOKUP(A1716,'[1]Sales Order'!A:D,4,FALSE),"")</f>
        <v>39503</v>
      </c>
      <c r="M1716" s="10">
        <f>IFERROR(VLOOKUP(A1716,'[1]Sales Order'!A:F,6,FALSE),"")</f>
        <v>39505</v>
      </c>
      <c r="N1716" t="str">
        <f>IFERROR(VLOOKUP(VLOOKUP(A1716,'[1]Sales Order'!A:G,7,FALSE),[1]Shipper!A:B,2,FALSE),"Not Specified")</f>
        <v>Shipper ZHISN</v>
      </c>
      <c r="O1716" t="str">
        <f>IFERROR(VLOOKUP(A1716,'[1]Sales Order'!A:I,9,FALSE),"Not Specified")</f>
        <v>Ship to 74-B</v>
      </c>
      <c r="P1716" t="str">
        <f>IFERROR(VLOOKUP(A1716,'[1]Sales Order'!A:N,14,FALSE),"Not Specified")</f>
        <v>France</v>
      </c>
      <c r="Q1716" t="str">
        <f>VLOOKUP(VLOOKUP(B1716,[1]Product!A:C,3,FALSE),[1]Supplier!A:B,2,FALSE)</f>
        <v>Supplier SVIYA</v>
      </c>
      <c r="R1716" t="str">
        <f>VLOOKUP(VLOOKUP(B1716,[1]Product!A:C,3,FALSE),[1]Supplier!A:I,9,FALSE)</f>
        <v>Germany</v>
      </c>
      <c r="S1716" t="str">
        <f>IFERROR(IF(VLOOKUP(A1716,'[1]Sales Order'!A:H,8,FALSE)&gt;100,"High Freight","Low Freight"),"Not Specified")</f>
        <v>Low Freight</v>
      </c>
      <c r="T1716">
        <f t="shared" si="53"/>
        <v>108.5</v>
      </c>
    </row>
    <row r="1717" spans="1:20">
      <c r="A1717" s="1">
        <v>10908</v>
      </c>
      <c r="B1717" s="2">
        <v>7</v>
      </c>
      <c r="C1717" s="2">
        <v>30</v>
      </c>
      <c r="D1717" s="2">
        <v>20</v>
      </c>
      <c r="E1717" s="3">
        <v>0.05</v>
      </c>
      <c r="F1717" s="2" t="str">
        <f>IFERROR(VLOOKUP(VLOOKUP(A1717,'[1]Sales Order'!A:B,2,FALSE),[1]Customer!A:C,3,FALSE),"Not Specified")</f>
        <v>Voss, Florian</v>
      </c>
      <c r="G1717" s="2" t="str">
        <f t="shared" si="52"/>
        <v>Voss Florian</v>
      </c>
      <c r="H1717" s="8" t="str">
        <f>IFERROR(VLOOKUP(VLOOKUP(A1717,'[1]Sales Order'!A:C,3,FALSE),[1]Employee!A:E,5,FALSE)&amp;" "&amp;VLOOKUP(VLOOKUP(A1717,'[1]Sales Order'!A:C,3,FALSE),[1]Employee!A:C,3,FALSE)&amp;" "&amp;VLOOKUP(VLOOKUP(A1717,'[1]Sales Order'!A:C,3,FALSE),[1]Employee!A:B,2,FALSE),"Not Specified")</f>
        <v>Mrs. Yael Peled</v>
      </c>
      <c r="I1717" t="str">
        <f>IFERROR(VLOOKUP(VLOOKUP(A1717,'[1]Sales Order'!A:C,3,FALSE),[1]Employee!A:J,10,FALSE),"Not Specified")</f>
        <v>WA</v>
      </c>
      <c r="J1717" t="str">
        <f>VLOOKUP(B1717,[1]Product!A:B,2,FALSE)</f>
        <v>Product HMLNI</v>
      </c>
      <c r="K1717" t="str">
        <f>VLOOKUP(VLOOKUP(B1717,[1]Product!A:D,4,FALSE),[1]Category!A:B,2,FALSE)</f>
        <v>Produce</v>
      </c>
      <c r="L1717" s="10">
        <f>IFERROR(VLOOKUP(A1717,'[1]Sales Order'!A:D,4,FALSE),"")</f>
        <v>39504</v>
      </c>
      <c r="M1717" s="10">
        <f>IFERROR(VLOOKUP(A1717,'[1]Sales Order'!A:F,6,FALSE),"")</f>
        <v>39513</v>
      </c>
      <c r="N1717" t="str">
        <f>IFERROR(VLOOKUP(VLOOKUP(A1717,'[1]Sales Order'!A:G,7,FALSE),[1]Shipper!A:B,2,FALSE),"Not Specified")</f>
        <v>Shipper ETYNR</v>
      </c>
      <c r="O1717" t="str">
        <f>IFERROR(VLOOKUP(A1717,'[1]Sales Order'!A:I,9,FALSE),"Not Specified")</f>
        <v>Ship to 66-B</v>
      </c>
      <c r="P1717" t="str">
        <f>IFERROR(VLOOKUP(A1717,'[1]Sales Order'!A:N,14,FALSE),"Not Specified")</f>
        <v>Italy</v>
      </c>
      <c r="Q1717" t="str">
        <f>VLOOKUP(VLOOKUP(B1717,[1]Product!A:C,3,FALSE),[1]Supplier!A:B,2,FALSE)</f>
        <v>Supplier STUAZ</v>
      </c>
      <c r="R1717" t="str">
        <f>VLOOKUP(VLOOKUP(B1717,[1]Product!A:C,3,FALSE),[1]Supplier!A:I,9,FALSE)</f>
        <v>USA</v>
      </c>
      <c r="S1717" t="str">
        <f>IFERROR(IF(VLOOKUP(A1717,'[1]Sales Order'!A:H,8,FALSE)&gt;100,"High Freight","Low Freight"),"Not Specified")</f>
        <v>Low Freight</v>
      </c>
      <c r="T1717">
        <f t="shared" si="53"/>
        <v>570</v>
      </c>
    </row>
    <row r="1718" spans="1:20">
      <c r="A1718" s="1">
        <v>10908</v>
      </c>
      <c r="B1718" s="2">
        <v>52</v>
      </c>
      <c r="C1718" s="2">
        <v>7</v>
      </c>
      <c r="D1718" s="2">
        <v>14</v>
      </c>
      <c r="E1718" s="3">
        <v>0.05</v>
      </c>
      <c r="F1718" s="2" t="str">
        <f>IFERROR(VLOOKUP(VLOOKUP(A1718,'[1]Sales Order'!A:B,2,FALSE),[1]Customer!A:C,3,FALSE),"Not Specified")</f>
        <v>Voss, Florian</v>
      </c>
      <c r="G1718" s="2" t="str">
        <f t="shared" si="52"/>
        <v>Voss Florian</v>
      </c>
      <c r="H1718" s="8" t="str">
        <f>IFERROR(VLOOKUP(VLOOKUP(A1718,'[1]Sales Order'!A:C,3,FALSE),[1]Employee!A:E,5,FALSE)&amp;" "&amp;VLOOKUP(VLOOKUP(A1718,'[1]Sales Order'!A:C,3,FALSE),[1]Employee!A:C,3,FALSE)&amp;" "&amp;VLOOKUP(VLOOKUP(A1718,'[1]Sales Order'!A:C,3,FALSE),[1]Employee!A:B,2,FALSE),"Not Specified")</f>
        <v>Mrs. Yael Peled</v>
      </c>
      <c r="I1718" t="str">
        <f>IFERROR(VLOOKUP(VLOOKUP(A1718,'[1]Sales Order'!A:C,3,FALSE),[1]Employee!A:J,10,FALSE),"Not Specified")</f>
        <v>WA</v>
      </c>
      <c r="J1718" t="str">
        <f>VLOOKUP(B1718,[1]Product!A:B,2,FALSE)</f>
        <v>Product QSRXF</v>
      </c>
      <c r="K1718" t="str">
        <f>VLOOKUP(VLOOKUP(B1718,[1]Product!A:D,4,FALSE),[1]Category!A:B,2,FALSE)</f>
        <v>Grains/Cereals</v>
      </c>
      <c r="L1718" s="10">
        <f>IFERROR(VLOOKUP(A1718,'[1]Sales Order'!A:D,4,FALSE),"")</f>
        <v>39504</v>
      </c>
      <c r="M1718" s="10">
        <f>IFERROR(VLOOKUP(A1718,'[1]Sales Order'!A:F,6,FALSE),"")</f>
        <v>39513</v>
      </c>
      <c r="N1718" t="str">
        <f>IFERROR(VLOOKUP(VLOOKUP(A1718,'[1]Sales Order'!A:G,7,FALSE),[1]Shipper!A:B,2,FALSE),"Not Specified")</f>
        <v>Shipper ETYNR</v>
      </c>
      <c r="O1718" t="str">
        <f>IFERROR(VLOOKUP(A1718,'[1]Sales Order'!A:I,9,FALSE),"Not Specified")</f>
        <v>Ship to 66-B</v>
      </c>
      <c r="P1718" t="str">
        <f>IFERROR(VLOOKUP(A1718,'[1]Sales Order'!A:N,14,FALSE),"Not Specified")</f>
        <v>Italy</v>
      </c>
      <c r="Q1718" t="str">
        <f>VLOOKUP(VLOOKUP(B1718,[1]Product!A:C,3,FALSE),[1]Supplier!A:B,2,FALSE)</f>
        <v>Supplier JNNES</v>
      </c>
      <c r="R1718" t="str">
        <f>VLOOKUP(VLOOKUP(B1718,[1]Product!A:C,3,FALSE),[1]Supplier!A:I,9,FALSE)</f>
        <v>Australia</v>
      </c>
      <c r="S1718" t="str">
        <f>IFERROR(IF(VLOOKUP(A1718,'[1]Sales Order'!A:H,8,FALSE)&gt;100,"High Freight","Low Freight"),"Not Specified")</f>
        <v>Low Freight</v>
      </c>
      <c r="T1718">
        <f t="shared" si="53"/>
        <v>93.1</v>
      </c>
    </row>
    <row r="1719" spans="1:20">
      <c r="A1719" s="1">
        <v>10909</v>
      </c>
      <c r="B1719" s="2">
        <v>7</v>
      </c>
      <c r="C1719" s="2">
        <v>30</v>
      </c>
      <c r="D1719" s="2">
        <v>12</v>
      </c>
      <c r="E1719" s="3">
        <v>0</v>
      </c>
      <c r="F1719" s="2" t="str">
        <f>IFERROR(VLOOKUP(VLOOKUP(A1719,'[1]Sales Order'!A:B,2,FALSE),[1]Customer!A:C,3,FALSE),"Not Specified")</f>
        <v>Ginters, Kaspars</v>
      </c>
      <c r="G1719" s="2" t="str">
        <f t="shared" si="52"/>
        <v>Ginters Kaspars</v>
      </c>
      <c r="H1719" s="8" t="str">
        <f>IFERROR(VLOOKUP(VLOOKUP(A1719,'[1]Sales Order'!A:C,3,FALSE),[1]Employee!A:E,5,FALSE)&amp;" "&amp;VLOOKUP(VLOOKUP(A1719,'[1]Sales Order'!A:C,3,FALSE),[1]Employee!A:C,3,FALSE)&amp;" "&amp;VLOOKUP(VLOOKUP(A1719,'[1]Sales Order'!A:C,3,FALSE),[1]Employee!A:B,2,FALSE),"Not Specified")</f>
        <v>Ms. Sara Davis</v>
      </c>
      <c r="I1719" t="str">
        <f>IFERROR(VLOOKUP(VLOOKUP(A1719,'[1]Sales Order'!A:C,3,FALSE),[1]Employee!A:J,10,FALSE),"Not Specified")</f>
        <v>WA</v>
      </c>
      <c r="J1719" t="str">
        <f>VLOOKUP(B1719,[1]Product!A:B,2,FALSE)</f>
        <v>Product HMLNI</v>
      </c>
      <c r="K1719" t="str">
        <f>VLOOKUP(VLOOKUP(B1719,[1]Product!A:D,4,FALSE),[1]Category!A:B,2,FALSE)</f>
        <v>Produce</v>
      </c>
      <c r="L1719" s="10">
        <f>IFERROR(VLOOKUP(A1719,'[1]Sales Order'!A:D,4,FALSE),"")</f>
        <v>39504</v>
      </c>
      <c r="M1719" s="10">
        <f>IFERROR(VLOOKUP(A1719,'[1]Sales Order'!A:F,6,FALSE),"")</f>
        <v>39517</v>
      </c>
      <c r="N1719" t="str">
        <f>IFERROR(VLOOKUP(VLOOKUP(A1719,'[1]Sales Order'!A:G,7,FALSE),[1]Shipper!A:B,2,FALSE),"Not Specified")</f>
        <v>Shipper ETYNR</v>
      </c>
      <c r="O1719" t="str">
        <f>IFERROR(VLOOKUP(A1719,'[1]Sales Order'!A:I,9,FALSE),"Not Specified")</f>
        <v>Ship to 70-C</v>
      </c>
      <c r="P1719" t="str">
        <f>IFERROR(VLOOKUP(A1719,'[1]Sales Order'!A:N,14,FALSE),"Not Specified")</f>
        <v>Norway</v>
      </c>
      <c r="Q1719" t="str">
        <f>VLOOKUP(VLOOKUP(B1719,[1]Product!A:C,3,FALSE),[1]Supplier!A:B,2,FALSE)</f>
        <v>Supplier STUAZ</v>
      </c>
      <c r="R1719" t="str">
        <f>VLOOKUP(VLOOKUP(B1719,[1]Product!A:C,3,FALSE),[1]Supplier!A:I,9,FALSE)</f>
        <v>USA</v>
      </c>
      <c r="S1719" t="str">
        <f>IFERROR(IF(VLOOKUP(A1719,'[1]Sales Order'!A:H,8,FALSE)&gt;100,"High Freight","Low Freight"),"Not Specified")</f>
        <v>Low Freight</v>
      </c>
      <c r="T1719">
        <f t="shared" si="53"/>
        <v>360</v>
      </c>
    </row>
    <row r="1720" spans="1:20">
      <c r="A1720" s="1">
        <v>10909</v>
      </c>
      <c r="B1720" s="2">
        <v>16</v>
      </c>
      <c r="C1720" s="2">
        <v>17.45</v>
      </c>
      <c r="D1720" s="2">
        <v>15</v>
      </c>
      <c r="E1720" s="3">
        <v>0</v>
      </c>
      <c r="F1720" s="2" t="str">
        <f>IFERROR(VLOOKUP(VLOOKUP(A1720,'[1]Sales Order'!A:B,2,FALSE),[1]Customer!A:C,3,FALSE),"Not Specified")</f>
        <v>Ginters, Kaspars</v>
      </c>
      <c r="G1720" s="2" t="str">
        <f t="shared" si="52"/>
        <v>Ginters Kaspars</v>
      </c>
      <c r="H1720" s="8" t="str">
        <f>IFERROR(VLOOKUP(VLOOKUP(A1720,'[1]Sales Order'!A:C,3,FALSE),[1]Employee!A:E,5,FALSE)&amp;" "&amp;VLOOKUP(VLOOKUP(A1720,'[1]Sales Order'!A:C,3,FALSE),[1]Employee!A:C,3,FALSE)&amp;" "&amp;VLOOKUP(VLOOKUP(A1720,'[1]Sales Order'!A:C,3,FALSE),[1]Employee!A:B,2,FALSE),"Not Specified")</f>
        <v>Ms. Sara Davis</v>
      </c>
      <c r="I1720" t="str">
        <f>IFERROR(VLOOKUP(VLOOKUP(A1720,'[1]Sales Order'!A:C,3,FALSE),[1]Employee!A:J,10,FALSE),"Not Specified")</f>
        <v>WA</v>
      </c>
      <c r="J1720" t="str">
        <f>VLOOKUP(B1720,[1]Product!A:B,2,FALSE)</f>
        <v>Product PAFRH</v>
      </c>
      <c r="K1720" t="str">
        <f>VLOOKUP(VLOOKUP(B1720,[1]Product!A:D,4,FALSE),[1]Category!A:B,2,FALSE)</f>
        <v>Confections</v>
      </c>
      <c r="L1720" s="10">
        <f>IFERROR(VLOOKUP(A1720,'[1]Sales Order'!A:D,4,FALSE),"")</f>
        <v>39504</v>
      </c>
      <c r="M1720" s="10">
        <f>IFERROR(VLOOKUP(A1720,'[1]Sales Order'!A:F,6,FALSE),"")</f>
        <v>39517</v>
      </c>
      <c r="N1720" t="str">
        <f>IFERROR(VLOOKUP(VLOOKUP(A1720,'[1]Sales Order'!A:G,7,FALSE),[1]Shipper!A:B,2,FALSE),"Not Specified")</f>
        <v>Shipper ETYNR</v>
      </c>
      <c r="O1720" t="str">
        <f>IFERROR(VLOOKUP(A1720,'[1]Sales Order'!A:I,9,FALSE),"Not Specified")</f>
        <v>Ship to 70-C</v>
      </c>
      <c r="P1720" t="str">
        <f>IFERROR(VLOOKUP(A1720,'[1]Sales Order'!A:N,14,FALSE),"Not Specified")</f>
        <v>Norway</v>
      </c>
      <c r="Q1720" t="str">
        <f>VLOOKUP(VLOOKUP(B1720,[1]Product!A:C,3,FALSE),[1]Supplier!A:B,2,FALSE)</f>
        <v>Supplier GQRCV</v>
      </c>
      <c r="R1720" t="str">
        <f>VLOOKUP(VLOOKUP(B1720,[1]Product!A:C,3,FALSE),[1]Supplier!A:I,9,FALSE)</f>
        <v>Australia</v>
      </c>
      <c r="S1720" t="str">
        <f>IFERROR(IF(VLOOKUP(A1720,'[1]Sales Order'!A:H,8,FALSE)&gt;100,"High Freight","Low Freight"),"Not Specified")</f>
        <v>Low Freight</v>
      </c>
      <c r="T1720">
        <f t="shared" si="53"/>
        <v>261.75</v>
      </c>
    </row>
    <row r="1721" spans="1:20">
      <c r="A1721" s="1">
        <v>10909</v>
      </c>
      <c r="B1721" s="2">
        <v>41</v>
      </c>
      <c r="C1721" s="2">
        <v>9.65</v>
      </c>
      <c r="D1721" s="2">
        <v>5</v>
      </c>
      <c r="E1721" s="3">
        <v>0</v>
      </c>
      <c r="F1721" s="2" t="str">
        <f>IFERROR(VLOOKUP(VLOOKUP(A1721,'[1]Sales Order'!A:B,2,FALSE),[1]Customer!A:C,3,FALSE),"Not Specified")</f>
        <v>Ginters, Kaspars</v>
      </c>
      <c r="G1721" s="2" t="str">
        <f t="shared" si="52"/>
        <v>Ginters Kaspars</v>
      </c>
      <c r="H1721" s="8" t="str">
        <f>IFERROR(VLOOKUP(VLOOKUP(A1721,'[1]Sales Order'!A:C,3,FALSE),[1]Employee!A:E,5,FALSE)&amp;" "&amp;VLOOKUP(VLOOKUP(A1721,'[1]Sales Order'!A:C,3,FALSE),[1]Employee!A:C,3,FALSE)&amp;" "&amp;VLOOKUP(VLOOKUP(A1721,'[1]Sales Order'!A:C,3,FALSE),[1]Employee!A:B,2,FALSE),"Not Specified")</f>
        <v>Ms. Sara Davis</v>
      </c>
      <c r="I1721" t="str">
        <f>IFERROR(VLOOKUP(VLOOKUP(A1721,'[1]Sales Order'!A:C,3,FALSE),[1]Employee!A:J,10,FALSE),"Not Specified")</f>
        <v>WA</v>
      </c>
      <c r="J1721" t="str">
        <f>VLOOKUP(B1721,[1]Product!A:B,2,FALSE)</f>
        <v>Product TTEEX</v>
      </c>
      <c r="K1721" t="str">
        <f>VLOOKUP(VLOOKUP(B1721,[1]Product!A:D,4,FALSE),[1]Category!A:B,2,FALSE)</f>
        <v>Seafood</v>
      </c>
      <c r="L1721" s="10">
        <f>IFERROR(VLOOKUP(A1721,'[1]Sales Order'!A:D,4,FALSE),"")</f>
        <v>39504</v>
      </c>
      <c r="M1721" s="10">
        <f>IFERROR(VLOOKUP(A1721,'[1]Sales Order'!A:F,6,FALSE),"")</f>
        <v>39517</v>
      </c>
      <c r="N1721" t="str">
        <f>IFERROR(VLOOKUP(VLOOKUP(A1721,'[1]Sales Order'!A:G,7,FALSE),[1]Shipper!A:B,2,FALSE),"Not Specified")</f>
        <v>Shipper ETYNR</v>
      </c>
      <c r="O1721" t="str">
        <f>IFERROR(VLOOKUP(A1721,'[1]Sales Order'!A:I,9,FALSE),"Not Specified")</f>
        <v>Ship to 70-C</v>
      </c>
      <c r="P1721" t="str">
        <f>IFERROR(VLOOKUP(A1721,'[1]Sales Order'!A:N,14,FALSE),"Not Specified")</f>
        <v>Norway</v>
      </c>
      <c r="Q1721" t="str">
        <f>VLOOKUP(VLOOKUP(B1721,[1]Product!A:C,3,FALSE),[1]Supplier!A:B,2,FALSE)</f>
        <v>Supplier JDNUG</v>
      </c>
      <c r="R1721" t="str">
        <f>VLOOKUP(VLOOKUP(B1721,[1]Product!A:C,3,FALSE),[1]Supplier!A:I,9,FALSE)</f>
        <v>USA</v>
      </c>
      <c r="S1721" t="str">
        <f>IFERROR(IF(VLOOKUP(A1721,'[1]Sales Order'!A:H,8,FALSE)&gt;100,"High Freight","Low Freight"),"Not Specified")</f>
        <v>Low Freight</v>
      </c>
      <c r="T1721">
        <f t="shared" si="53"/>
        <v>48.25</v>
      </c>
    </row>
    <row r="1722" spans="1:20">
      <c r="A1722" s="1">
        <v>10910</v>
      </c>
      <c r="B1722" s="2">
        <v>19</v>
      </c>
      <c r="C1722" s="2">
        <v>9.1999999999999993</v>
      </c>
      <c r="D1722" s="2">
        <v>12</v>
      </c>
      <c r="E1722" s="3">
        <v>0</v>
      </c>
      <c r="F1722" s="2" t="str">
        <f>IFERROR(VLOOKUP(VLOOKUP(A1722,'[1]Sales Order'!A:B,2,FALSE),[1]Customer!A:C,3,FALSE),"Not Specified")</f>
        <v>Larsson, Katarina</v>
      </c>
      <c r="G1722" s="2" t="str">
        <f t="shared" si="52"/>
        <v>Larsson Katarina</v>
      </c>
      <c r="H1722" s="8" t="str">
        <f>IFERROR(VLOOKUP(VLOOKUP(A1722,'[1]Sales Order'!A:C,3,FALSE),[1]Employee!A:E,5,FALSE)&amp;" "&amp;VLOOKUP(VLOOKUP(A1722,'[1]Sales Order'!A:C,3,FALSE),[1]Employee!A:C,3,FALSE)&amp;" "&amp;VLOOKUP(VLOOKUP(A1722,'[1]Sales Order'!A:C,3,FALSE),[1]Employee!A:B,2,FALSE),"Not Specified")</f>
        <v>Ms. Sara Davis</v>
      </c>
      <c r="I1722" t="str">
        <f>IFERROR(VLOOKUP(VLOOKUP(A1722,'[1]Sales Order'!A:C,3,FALSE),[1]Employee!A:J,10,FALSE),"Not Specified")</f>
        <v>WA</v>
      </c>
      <c r="J1722" t="str">
        <f>VLOOKUP(B1722,[1]Product!A:B,2,FALSE)</f>
        <v>Product XKXDO</v>
      </c>
      <c r="K1722" t="str">
        <f>VLOOKUP(VLOOKUP(B1722,[1]Product!A:D,4,FALSE),[1]Category!A:B,2,FALSE)</f>
        <v>Confections</v>
      </c>
      <c r="L1722" s="10">
        <f>IFERROR(VLOOKUP(A1722,'[1]Sales Order'!A:D,4,FALSE),"")</f>
        <v>39504</v>
      </c>
      <c r="M1722" s="10">
        <f>IFERROR(VLOOKUP(A1722,'[1]Sales Order'!A:F,6,FALSE),"")</f>
        <v>39511</v>
      </c>
      <c r="N1722" t="str">
        <f>IFERROR(VLOOKUP(VLOOKUP(A1722,'[1]Sales Order'!A:G,7,FALSE),[1]Shipper!A:B,2,FALSE),"Not Specified")</f>
        <v>Shipper ZHISN</v>
      </c>
      <c r="O1722" t="str">
        <f>IFERROR(VLOOKUP(A1722,'[1]Sales Order'!A:I,9,FALSE),"Not Specified")</f>
        <v>Ship to 90-A</v>
      </c>
      <c r="P1722" t="str">
        <f>IFERROR(VLOOKUP(A1722,'[1]Sales Order'!A:N,14,FALSE),"Not Specified")</f>
        <v>Finland</v>
      </c>
      <c r="Q1722" t="str">
        <f>VLOOKUP(VLOOKUP(B1722,[1]Product!A:C,3,FALSE),[1]Supplier!A:B,2,FALSE)</f>
        <v>Supplier BWGYE</v>
      </c>
      <c r="R1722" t="str">
        <f>VLOOKUP(VLOOKUP(B1722,[1]Product!A:C,3,FALSE),[1]Supplier!A:I,9,FALSE)</f>
        <v>UK</v>
      </c>
      <c r="S1722" t="str">
        <f>IFERROR(IF(VLOOKUP(A1722,'[1]Sales Order'!A:H,8,FALSE)&gt;100,"High Freight","Low Freight"),"Not Specified")</f>
        <v>Low Freight</v>
      </c>
      <c r="T1722">
        <f t="shared" si="53"/>
        <v>110.39999999999999</v>
      </c>
    </row>
    <row r="1723" spans="1:20">
      <c r="A1723" s="1">
        <v>10910</v>
      </c>
      <c r="B1723" s="2">
        <v>49</v>
      </c>
      <c r="C1723" s="2">
        <v>20</v>
      </c>
      <c r="D1723" s="2">
        <v>10</v>
      </c>
      <c r="E1723" s="3">
        <v>0</v>
      </c>
      <c r="F1723" s="2" t="str">
        <f>IFERROR(VLOOKUP(VLOOKUP(A1723,'[1]Sales Order'!A:B,2,FALSE),[1]Customer!A:C,3,FALSE),"Not Specified")</f>
        <v>Larsson, Katarina</v>
      </c>
      <c r="G1723" s="2" t="str">
        <f t="shared" si="52"/>
        <v>Larsson Katarina</v>
      </c>
      <c r="H1723" s="8" t="str">
        <f>IFERROR(VLOOKUP(VLOOKUP(A1723,'[1]Sales Order'!A:C,3,FALSE),[1]Employee!A:E,5,FALSE)&amp;" "&amp;VLOOKUP(VLOOKUP(A1723,'[1]Sales Order'!A:C,3,FALSE),[1]Employee!A:C,3,FALSE)&amp;" "&amp;VLOOKUP(VLOOKUP(A1723,'[1]Sales Order'!A:C,3,FALSE),[1]Employee!A:B,2,FALSE),"Not Specified")</f>
        <v>Ms. Sara Davis</v>
      </c>
      <c r="I1723" t="str">
        <f>IFERROR(VLOOKUP(VLOOKUP(A1723,'[1]Sales Order'!A:C,3,FALSE),[1]Employee!A:J,10,FALSE),"Not Specified")</f>
        <v>WA</v>
      </c>
      <c r="J1723" t="str">
        <f>VLOOKUP(B1723,[1]Product!A:B,2,FALSE)</f>
        <v>Product FPYPN</v>
      </c>
      <c r="K1723" t="str">
        <f>VLOOKUP(VLOOKUP(B1723,[1]Product!A:D,4,FALSE),[1]Category!A:B,2,FALSE)</f>
        <v>Confections</v>
      </c>
      <c r="L1723" s="10">
        <f>IFERROR(VLOOKUP(A1723,'[1]Sales Order'!A:D,4,FALSE),"")</f>
        <v>39504</v>
      </c>
      <c r="M1723" s="10">
        <f>IFERROR(VLOOKUP(A1723,'[1]Sales Order'!A:F,6,FALSE),"")</f>
        <v>39511</v>
      </c>
      <c r="N1723" t="str">
        <f>IFERROR(VLOOKUP(VLOOKUP(A1723,'[1]Sales Order'!A:G,7,FALSE),[1]Shipper!A:B,2,FALSE),"Not Specified")</f>
        <v>Shipper ZHISN</v>
      </c>
      <c r="O1723" t="str">
        <f>IFERROR(VLOOKUP(A1723,'[1]Sales Order'!A:I,9,FALSE),"Not Specified")</f>
        <v>Ship to 90-A</v>
      </c>
      <c r="P1723" t="str">
        <f>IFERROR(VLOOKUP(A1723,'[1]Sales Order'!A:N,14,FALSE),"Not Specified")</f>
        <v>Finland</v>
      </c>
      <c r="Q1723" t="str">
        <f>VLOOKUP(VLOOKUP(B1723,[1]Product!A:C,3,FALSE),[1]Supplier!A:B,2,FALSE)</f>
        <v>Supplier ELCRN</v>
      </c>
      <c r="R1723" t="str">
        <f>VLOOKUP(VLOOKUP(B1723,[1]Product!A:C,3,FALSE),[1]Supplier!A:I,9,FALSE)</f>
        <v>Finland</v>
      </c>
      <c r="S1723" t="str">
        <f>IFERROR(IF(VLOOKUP(A1723,'[1]Sales Order'!A:H,8,FALSE)&gt;100,"High Freight","Low Freight"),"Not Specified")</f>
        <v>Low Freight</v>
      </c>
      <c r="T1723">
        <f t="shared" si="53"/>
        <v>200</v>
      </c>
    </row>
    <row r="1724" spans="1:20">
      <c r="A1724" s="1">
        <v>10910</v>
      </c>
      <c r="B1724" s="2">
        <v>61</v>
      </c>
      <c r="C1724" s="2">
        <v>28.5</v>
      </c>
      <c r="D1724" s="2">
        <v>5</v>
      </c>
      <c r="E1724" s="3">
        <v>0</v>
      </c>
      <c r="F1724" s="2" t="str">
        <f>IFERROR(VLOOKUP(VLOOKUP(A1724,'[1]Sales Order'!A:B,2,FALSE),[1]Customer!A:C,3,FALSE),"Not Specified")</f>
        <v>Larsson, Katarina</v>
      </c>
      <c r="G1724" s="2" t="str">
        <f t="shared" si="52"/>
        <v>Larsson Katarina</v>
      </c>
      <c r="H1724" s="8" t="str">
        <f>IFERROR(VLOOKUP(VLOOKUP(A1724,'[1]Sales Order'!A:C,3,FALSE),[1]Employee!A:E,5,FALSE)&amp;" "&amp;VLOOKUP(VLOOKUP(A1724,'[1]Sales Order'!A:C,3,FALSE),[1]Employee!A:C,3,FALSE)&amp;" "&amp;VLOOKUP(VLOOKUP(A1724,'[1]Sales Order'!A:C,3,FALSE),[1]Employee!A:B,2,FALSE),"Not Specified")</f>
        <v>Ms. Sara Davis</v>
      </c>
      <c r="I1724" t="str">
        <f>IFERROR(VLOOKUP(VLOOKUP(A1724,'[1]Sales Order'!A:C,3,FALSE),[1]Employee!A:J,10,FALSE),"Not Specified")</f>
        <v>WA</v>
      </c>
      <c r="J1724" t="str">
        <f>VLOOKUP(B1724,[1]Product!A:B,2,FALSE)</f>
        <v>Product XYZPE</v>
      </c>
      <c r="K1724" t="str">
        <f>VLOOKUP(VLOOKUP(B1724,[1]Product!A:D,4,FALSE),[1]Category!A:B,2,FALSE)</f>
        <v>Condiments</v>
      </c>
      <c r="L1724" s="10">
        <f>IFERROR(VLOOKUP(A1724,'[1]Sales Order'!A:D,4,FALSE),"")</f>
        <v>39504</v>
      </c>
      <c r="M1724" s="10">
        <f>IFERROR(VLOOKUP(A1724,'[1]Sales Order'!A:F,6,FALSE),"")</f>
        <v>39511</v>
      </c>
      <c r="N1724" t="str">
        <f>IFERROR(VLOOKUP(VLOOKUP(A1724,'[1]Sales Order'!A:G,7,FALSE),[1]Shipper!A:B,2,FALSE),"Not Specified")</f>
        <v>Shipper ZHISN</v>
      </c>
      <c r="O1724" t="str">
        <f>IFERROR(VLOOKUP(A1724,'[1]Sales Order'!A:I,9,FALSE),"Not Specified")</f>
        <v>Ship to 90-A</v>
      </c>
      <c r="P1724" t="str">
        <f>IFERROR(VLOOKUP(A1724,'[1]Sales Order'!A:N,14,FALSE),"Not Specified")</f>
        <v>Finland</v>
      </c>
      <c r="Q1724" t="str">
        <f>VLOOKUP(VLOOKUP(B1724,[1]Product!A:C,3,FALSE),[1]Supplier!A:B,2,FALSE)</f>
        <v>Supplier OGLRK</v>
      </c>
      <c r="R1724" t="str">
        <f>VLOOKUP(VLOOKUP(B1724,[1]Product!A:C,3,FALSE),[1]Supplier!A:I,9,FALSE)</f>
        <v>Canada</v>
      </c>
      <c r="S1724" t="str">
        <f>IFERROR(IF(VLOOKUP(A1724,'[1]Sales Order'!A:H,8,FALSE)&gt;100,"High Freight","Low Freight"),"Not Specified")</f>
        <v>Low Freight</v>
      </c>
      <c r="T1724">
        <f t="shared" si="53"/>
        <v>142.5</v>
      </c>
    </row>
    <row r="1725" spans="1:20">
      <c r="A1725" s="1">
        <v>10911</v>
      </c>
      <c r="B1725" s="2">
        <v>1</v>
      </c>
      <c r="C1725" s="2">
        <v>18</v>
      </c>
      <c r="D1725" s="2">
        <v>10</v>
      </c>
      <c r="E1725" s="3">
        <v>0</v>
      </c>
      <c r="F1725" s="2" t="str">
        <f>IFERROR(VLOOKUP(VLOOKUP(A1725,'[1]Sales Order'!A:B,2,FALSE),[1]Customer!A:C,3,FALSE),"Not Specified")</f>
        <v>Shabalin, Rostislav</v>
      </c>
      <c r="G1725" s="2" t="str">
        <f t="shared" si="52"/>
        <v>Shabalin Rostislav</v>
      </c>
      <c r="H1725" s="8" t="str">
        <f>IFERROR(VLOOKUP(VLOOKUP(A1725,'[1]Sales Order'!A:C,3,FALSE),[1]Employee!A:E,5,FALSE)&amp;" "&amp;VLOOKUP(VLOOKUP(A1725,'[1]Sales Order'!A:C,3,FALSE),[1]Employee!A:C,3,FALSE)&amp;" "&amp;VLOOKUP(VLOOKUP(A1725,'[1]Sales Order'!A:C,3,FALSE),[1]Employee!A:B,2,FALSE),"Not Specified")</f>
        <v>Ms. Judy Lew</v>
      </c>
      <c r="I1725" t="str">
        <f>IFERROR(VLOOKUP(VLOOKUP(A1725,'[1]Sales Order'!A:C,3,FALSE),[1]Employee!A:J,10,FALSE),"Not Specified")</f>
        <v>WA</v>
      </c>
      <c r="J1725" t="str">
        <f>VLOOKUP(B1725,[1]Product!A:B,2,FALSE)</f>
        <v>Product HHYDP</v>
      </c>
      <c r="K1725" t="str">
        <f>VLOOKUP(VLOOKUP(B1725,[1]Product!A:D,4,FALSE),[1]Category!A:B,2,FALSE)</f>
        <v>Beverages</v>
      </c>
      <c r="L1725" s="10">
        <f>IFERROR(VLOOKUP(A1725,'[1]Sales Order'!A:D,4,FALSE),"")</f>
        <v>39504</v>
      </c>
      <c r="M1725" s="10">
        <f>IFERROR(VLOOKUP(A1725,'[1]Sales Order'!A:F,6,FALSE),"")</f>
        <v>39512</v>
      </c>
      <c r="N1725" t="str">
        <f>IFERROR(VLOOKUP(VLOOKUP(A1725,'[1]Sales Order'!A:G,7,FALSE),[1]Shipper!A:B,2,FALSE),"Not Specified")</f>
        <v>Shipper GVSUA</v>
      </c>
      <c r="O1725" t="str">
        <f>IFERROR(VLOOKUP(A1725,'[1]Sales Order'!A:I,9,FALSE),"Not Specified")</f>
        <v>Destination IIYDD</v>
      </c>
      <c r="P1725" t="str">
        <f>IFERROR(VLOOKUP(A1725,'[1]Sales Order'!A:N,14,FALSE),"Not Specified")</f>
        <v>Spain</v>
      </c>
      <c r="Q1725" t="str">
        <f>VLOOKUP(VLOOKUP(B1725,[1]Product!A:C,3,FALSE),[1]Supplier!A:B,2,FALSE)</f>
        <v>Supplier SWRXU</v>
      </c>
      <c r="R1725" t="str">
        <f>VLOOKUP(VLOOKUP(B1725,[1]Product!A:C,3,FALSE),[1]Supplier!A:I,9,FALSE)</f>
        <v>UK</v>
      </c>
      <c r="S1725" t="str">
        <f>IFERROR(IF(VLOOKUP(A1725,'[1]Sales Order'!A:H,8,FALSE)&gt;100,"High Freight","Low Freight"),"Not Specified")</f>
        <v>Low Freight</v>
      </c>
      <c r="T1725">
        <f t="shared" si="53"/>
        <v>180</v>
      </c>
    </row>
    <row r="1726" spans="1:20">
      <c r="A1726" s="1">
        <v>10911</v>
      </c>
      <c r="B1726" s="2">
        <v>17</v>
      </c>
      <c r="C1726" s="2">
        <v>39</v>
      </c>
      <c r="D1726" s="2">
        <v>12</v>
      </c>
      <c r="E1726" s="3">
        <v>0</v>
      </c>
      <c r="F1726" s="2" t="str">
        <f>IFERROR(VLOOKUP(VLOOKUP(A1726,'[1]Sales Order'!A:B,2,FALSE),[1]Customer!A:C,3,FALSE),"Not Specified")</f>
        <v>Shabalin, Rostislav</v>
      </c>
      <c r="G1726" s="2" t="str">
        <f t="shared" si="52"/>
        <v>Shabalin Rostislav</v>
      </c>
      <c r="H1726" s="8" t="str">
        <f>IFERROR(VLOOKUP(VLOOKUP(A1726,'[1]Sales Order'!A:C,3,FALSE),[1]Employee!A:E,5,FALSE)&amp;" "&amp;VLOOKUP(VLOOKUP(A1726,'[1]Sales Order'!A:C,3,FALSE),[1]Employee!A:C,3,FALSE)&amp;" "&amp;VLOOKUP(VLOOKUP(A1726,'[1]Sales Order'!A:C,3,FALSE),[1]Employee!A:B,2,FALSE),"Not Specified")</f>
        <v>Ms. Judy Lew</v>
      </c>
      <c r="I1726" t="str">
        <f>IFERROR(VLOOKUP(VLOOKUP(A1726,'[1]Sales Order'!A:C,3,FALSE),[1]Employee!A:J,10,FALSE),"Not Specified")</f>
        <v>WA</v>
      </c>
      <c r="J1726" t="str">
        <f>VLOOKUP(B1726,[1]Product!A:B,2,FALSE)</f>
        <v>Product BLCAX</v>
      </c>
      <c r="K1726" t="str">
        <f>VLOOKUP(VLOOKUP(B1726,[1]Product!A:D,4,FALSE),[1]Category!A:B,2,FALSE)</f>
        <v>Meat/Poultry</v>
      </c>
      <c r="L1726" s="10">
        <f>IFERROR(VLOOKUP(A1726,'[1]Sales Order'!A:D,4,FALSE),"")</f>
        <v>39504</v>
      </c>
      <c r="M1726" s="10">
        <f>IFERROR(VLOOKUP(A1726,'[1]Sales Order'!A:F,6,FALSE),"")</f>
        <v>39512</v>
      </c>
      <c r="N1726" t="str">
        <f>IFERROR(VLOOKUP(VLOOKUP(A1726,'[1]Sales Order'!A:G,7,FALSE),[1]Shipper!A:B,2,FALSE),"Not Specified")</f>
        <v>Shipper GVSUA</v>
      </c>
      <c r="O1726" t="str">
        <f>IFERROR(VLOOKUP(A1726,'[1]Sales Order'!A:I,9,FALSE),"Not Specified")</f>
        <v>Destination IIYDD</v>
      </c>
      <c r="P1726" t="str">
        <f>IFERROR(VLOOKUP(A1726,'[1]Sales Order'!A:N,14,FALSE),"Not Specified")</f>
        <v>Spain</v>
      </c>
      <c r="Q1726" t="str">
        <f>VLOOKUP(VLOOKUP(B1726,[1]Product!A:C,3,FALSE),[1]Supplier!A:B,2,FALSE)</f>
        <v>Supplier GQRCV</v>
      </c>
      <c r="R1726" t="str">
        <f>VLOOKUP(VLOOKUP(B1726,[1]Product!A:C,3,FALSE),[1]Supplier!A:I,9,FALSE)</f>
        <v>Australia</v>
      </c>
      <c r="S1726" t="str">
        <f>IFERROR(IF(VLOOKUP(A1726,'[1]Sales Order'!A:H,8,FALSE)&gt;100,"High Freight","Low Freight"),"Not Specified")</f>
        <v>Low Freight</v>
      </c>
      <c r="T1726">
        <f t="shared" si="53"/>
        <v>468</v>
      </c>
    </row>
    <row r="1727" spans="1:20">
      <c r="A1727" s="1">
        <v>10911</v>
      </c>
      <c r="B1727" s="2">
        <v>67</v>
      </c>
      <c r="C1727" s="2">
        <v>14</v>
      </c>
      <c r="D1727" s="2">
        <v>15</v>
      </c>
      <c r="E1727" s="3">
        <v>0</v>
      </c>
      <c r="F1727" s="2" t="str">
        <f>IFERROR(VLOOKUP(VLOOKUP(A1727,'[1]Sales Order'!A:B,2,FALSE),[1]Customer!A:C,3,FALSE),"Not Specified")</f>
        <v>Shabalin, Rostislav</v>
      </c>
      <c r="G1727" s="2" t="str">
        <f t="shared" si="52"/>
        <v>Shabalin Rostislav</v>
      </c>
      <c r="H1727" s="8" t="str">
        <f>IFERROR(VLOOKUP(VLOOKUP(A1727,'[1]Sales Order'!A:C,3,FALSE),[1]Employee!A:E,5,FALSE)&amp;" "&amp;VLOOKUP(VLOOKUP(A1727,'[1]Sales Order'!A:C,3,FALSE),[1]Employee!A:C,3,FALSE)&amp;" "&amp;VLOOKUP(VLOOKUP(A1727,'[1]Sales Order'!A:C,3,FALSE),[1]Employee!A:B,2,FALSE),"Not Specified")</f>
        <v>Ms. Judy Lew</v>
      </c>
      <c r="I1727" t="str">
        <f>IFERROR(VLOOKUP(VLOOKUP(A1727,'[1]Sales Order'!A:C,3,FALSE),[1]Employee!A:J,10,FALSE),"Not Specified")</f>
        <v>WA</v>
      </c>
      <c r="J1727" t="str">
        <f>VLOOKUP(B1727,[1]Product!A:B,2,FALSE)</f>
        <v>Product XLXQF</v>
      </c>
      <c r="K1727" t="str">
        <f>VLOOKUP(VLOOKUP(B1727,[1]Product!A:D,4,FALSE),[1]Category!A:B,2,FALSE)</f>
        <v>Beverages</v>
      </c>
      <c r="L1727" s="10">
        <f>IFERROR(VLOOKUP(A1727,'[1]Sales Order'!A:D,4,FALSE),"")</f>
        <v>39504</v>
      </c>
      <c r="M1727" s="10">
        <f>IFERROR(VLOOKUP(A1727,'[1]Sales Order'!A:F,6,FALSE),"")</f>
        <v>39512</v>
      </c>
      <c r="N1727" t="str">
        <f>IFERROR(VLOOKUP(VLOOKUP(A1727,'[1]Sales Order'!A:G,7,FALSE),[1]Shipper!A:B,2,FALSE),"Not Specified")</f>
        <v>Shipper GVSUA</v>
      </c>
      <c r="O1727" t="str">
        <f>IFERROR(VLOOKUP(A1727,'[1]Sales Order'!A:I,9,FALSE),"Not Specified")</f>
        <v>Destination IIYDD</v>
      </c>
      <c r="P1727" t="str">
        <f>IFERROR(VLOOKUP(A1727,'[1]Sales Order'!A:N,14,FALSE),"Not Specified")</f>
        <v>Spain</v>
      </c>
      <c r="Q1727" t="str">
        <f>VLOOKUP(VLOOKUP(B1727,[1]Product!A:C,3,FALSE),[1]Supplier!A:B,2,FALSE)</f>
        <v>Supplier UHZRG</v>
      </c>
      <c r="R1727" t="str">
        <f>VLOOKUP(VLOOKUP(B1727,[1]Product!A:C,3,FALSE),[1]Supplier!A:I,9,FALSE)</f>
        <v>USA</v>
      </c>
      <c r="S1727" t="str">
        <f>IFERROR(IF(VLOOKUP(A1727,'[1]Sales Order'!A:H,8,FALSE)&gt;100,"High Freight","Low Freight"),"Not Specified")</f>
        <v>Low Freight</v>
      </c>
      <c r="T1727">
        <f t="shared" si="53"/>
        <v>210</v>
      </c>
    </row>
    <row r="1728" spans="1:20">
      <c r="A1728" s="1">
        <v>10912</v>
      </c>
      <c r="B1728" s="2">
        <v>11</v>
      </c>
      <c r="C1728" s="2">
        <v>21</v>
      </c>
      <c r="D1728" s="2">
        <v>40</v>
      </c>
      <c r="E1728" s="3">
        <v>0.25</v>
      </c>
      <c r="F1728" s="2" t="str">
        <f>IFERROR(VLOOKUP(VLOOKUP(A1728,'[1]Sales Order'!A:B,2,FALSE),[1]Customer!A:C,3,FALSE),"Not Specified")</f>
        <v>Crăciun, Ovidiu V.</v>
      </c>
      <c r="G1728" s="2" t="str">
        <f t="shared" si="52"/>
        <v>Crăciun Ovidiu V.</v>
      </c>
      <c r="H1728" s="8" t="str">
        <f>IFERROR(VLOOKUP(VLOOKUP(A1728,'[1]Sales Order'!A:C,3,FALSE),[1]Employee!A:E,5,FALSE)&amp;" "&amp;VLOOKUP(VLOOKUP(A1728,'[1]Sales Order'!A:C,3,FALSE),[1]Employee!A:C,3,FALSE)&amp;" "&amp;VLOOKUP(VLOOKUP(A1728,'[1]Sales Order'!A:C,3,FALSE),[1]Employee!A:B,2,FALSE),"Not Specified")</f>
        <v>Dr. Don Funk</v>
      </c>
      <c r="I1728" t="str">
        <f>IFERROR(VLOOKUP(VLOOKUP(A1728,'[1]Sales Order'!A:C,3,FALSE),[1]Employee!A:J,10,FALSE),"Not Specified")</f>
        <v>WA</v>
      </c>
      <c r="J1728" t="str">
        <f>VLOOKUP(B1728,[1]Product!A:B,2,FALSE)</f>
        <v>Product QMVUN</v>
      </c>
      <c r="K1728" t="str">
        <f>VLOOKUP(VLOOKUP(B1728,[1]Product!A:D,4,FALSE),[1]Category!A:B,2,FALSE)</f>
        <v>Dairy Product</v>
      </c>
      <c r="L1728" s="10">
        <f>IFERROR(VLOOKUP(A1728,'[1]Sales Order'!A:D,4,FALSE),"")</f>
        <v>39504</v>
      </c>
      <c r="M1728" s="10">
        <f>IFERROR(VLOOKUP(A1728,'[1]Sales Order'!A:F,6,FALSE),"")</f>
        <v>39525</v>
      </c>
      <c r="N1728" t="str">
        <f>IFERROR(VLOOKUP(VLOOKUP(A1728,'[1]Sales Order'!A:G,7,FALSE),[1]Shipper!A:B,2,FALSE),"Not Specified")</f>
        <v>Shipper ETYNR</v>
      </c>
      <c r="O1728" t="str">
        <f>IFERROR(VLOOKUP(A1728,'[1]Sales Order'!A:I,9,FALSE),"Not Specified")</f>
        <v>Destination DGKOU</v>
      </c>
      <c r="P1728" t="str">
        <f>IFERROR(VLOOKUP(A1728,'[1]Sales Order'!A:N,14,FALSE),"Not Specified")</f>
        <v>Ireland</v>
      </c>
      <c r="Q1728" t="str">
        <f>VLOOKUP(VLOOKUP(B1728,[1]Product!A:C,3,FALSE),[1]Supplier!A:B,2,FALSE)</f>
        <v>Supplier EQPNC</v>
      </c>
      <c r="R1728" t="str">
        <f>VLOOKUP(VLOOKUP(B1728,[1]Product!A:C,3,FALSE),[1]Supplier!A:I,9,FALSE)</f>
        <v>Spain</v>
      </c>
      <c r="S1728" t="str">
        <f>IFERROR(IF(VLOOKUP(A1728,'[1]Sales Order'!A:H,8,FALSE)&gt;100,"High Freight","Low Freight"),"Not Specified")</f>
        <v>High Freight</v>
      </c>
      <c r="T1728">
        <f t="shared" si="53"/>
        <v>630</v>
      </c>
    </row>
    <row r="1729" spans="1:20">
      <c r="A1729" s="1">
        <v>10912</v>
      </c>
      <c r="B1729" s="2">
        <v>29</v>
      </c>
      <c r="C1729" s="2">
        <v>123.79</v>
      </c>
      <c r="D1729" s="2">
        <v>60</v>
      </c>
      <c r="E1729" s="3">
        <v>0.25</v>
      </c>
      <c r="F1729" s="2" t="str">
        <f>IFERROR(VLOOKUP(VLOOKUP(A1729,'[1]Sales Order'!A:B,2,FALSE),[1]Customer!A:C,3,FALSE),"Not Specified")</f>
        <v>Crăciun, Ovidiu V.</v>
      </c>
      <c r="G1729" s="2" t="str">
        <f t="shared" si="52"/>
        <v>Crăciun Ovidiu V.</v>
      </c>
      <c r="H1729" s="8" t="str">
        <f>IFERROR(VLOOKUP(VLOOKUP(A1729,'[1]Sales Order'!A:C,3,FALSE),[1]Employee!A:E,5,FALSE)&amp;" "&amp;VLOOKUP(VLOOKUP(A1729,'[1]Sales Order'!A:C,3,FALSE),[1]Employee!A:C,3,FALSE)&amp;" "&amp;VLOOKUP(VLOOKUP(A1729,'[1]Sales Order'!A:C,3,FALSE),[1]Employee!A:B,2,FALSE),"Not Specified")</f>
        <v>Dr. Don Funk</v>
      </c>
      <c r="I1729" t="str">
        <f>IFERROR(VLOOKUP(VLOOKUP(A1729,'[1]Sales Order'!A:C,3,FALSE),[1]Employee!A:J,10,FALSE),"Not Specified")</f>
        <v>WA</v>
      </c>
      <c r="J1729" t="str">
        <f>VLOOKUP(B1729,[1]Product!A:B,2,FALSE)</f>
        <v>Product VJXYN</v>
      </c>
      <c r="K1729" t="str">
        <f>VLOOKUP(VLOOKUP(B1729,[1]Product!A:D,4,FALSE),[1]Category!A:B,2,FALSE)</f>
        <v>Meat/Poultry</v>
      </c>
      <c r="L1729" s="10">
        <f>IFERROR(VLOOKUP(A1729,'[1]Sales Order'!A:D,4,FALSE),"")</f>
        <v>39504</v>
      </c>
      <c r="M1729" s="10">
        <f>IFERROR(VLOOKUP(A1729,'[1]Sales Order'!A:F,6,FALSE),"")</f>
        <v>39525</v>
      </c>
      <c r="N1729" t="str">
        <f>IFERROR(VLOOKUP(VLOOKUP(A1729,'[1]Sales Order'!A:G,7,FALSE),[1]Shipper!A:B,2,FALSE),"Not Specified")</f>
        <v>Shipper ETYNR</v>
      </c>
      <c r="O1729" t="str">
        <f>IFERROR(VLOOKUP(A1729,'[1]Sales Order'!A:I,9,FALSE),"Not Specified")</f>
        <v>Destination DGKOU</v>
      </c>
      <c r="P1729" t="str">
        <f>IFERROR(VLOOKUP(A1729,'[1]Sales Order'!A:N,14,FALSE),"Not Specified")</f>
        <v>Ireland</v>
      </c>
      <c r="Q1729" t="str">
        <f>VLOOKUP(VLOOKUP(B1729,[1]Product!A:C,3,FALSE),[1]Supplier!A:B,2,FALSE)</f>
        <v>Supplier SVIYA</v>
      </c>
      <c r="R1729" t="str">
        <f>VLOOKUP(VLOOKUP(B1729,[1]Product!A:C,3,FALSE),[1]Supplier!A:I,9,FALSE)</f>
        <v>Germany</v>
      </c>
      <c r="S1729" t="str">
        <f>IFERROR(IF(VLOOKUP(A1729,'[1]Sales Order'!A:H,8,FALSE)&gt;100,"High Freight","Low Freight"),"Not Specified")</f>
        <v>High Freight</v>
      </c>
      <c r="T1729">
        <f t="shared" si="53"/>
        <v>5570.55</v>
      </c>
    </row>
    <row r="1730" spans="1:20">
      <c r="A1730" s="1">
        <v>10913</v>
      </c>
      <c r="B1730" s="2">
        <v>4</v>
      </c>
      <c r="C1730" s="2">
        <v>22</v>
      </c>
      <c r="D1730" s="2">
        <v>30</v>
      </c>
      <c r="E1730" s="3">
        <v>0.25</v>
      </c>
      <c r="F1730" s="2" t="str">
        <f>IFERROR(VLOOKUP(VLOOKUP(A1730,'[1]Sales Order'!A:B,2,FALSE),[1]Customer!A:C,3,FALSE),"Not Specified")</f>
        <v>Misiec, Anna</v>
      </c>
      <c r="G1730" s="2" t="str">
        <f t="shared" si="52"/>
        <v>Misiec Anna</v>
      </c>
      <c r="H1730" s="8" t="str">
        <f>IFERROR(VLOOKUP(VLOOKUP(A1730,'[1]Sales Order'!A:C,3,FALSE),[1]Employee!A:E,5,FALSE)&amp;" "&amp;VLOOKUP(VLOOKUP(A1730,'[1]Sales Order'!A:C,3,FALSE),[1]Employee!A:C,3,FALSE)&amp;" "&amp;VLOOKUP(VLOOKUP(A1730,'[1]Sales Order'!A:C,3,FALSE),[1]Employee!A:B,2,FALSE),"Not Specified")</f>
        <v>Mrs. Yael Peled</v>
      </c>
      <c r="I1730" t="str">
        <f>IFERROR(VLOOKUP(VLOOKUP(A1730,'[1]Sales Order'!A:C,3,FALSE),[1]Employee!A:J,10,FALSE),"Not Specified")</f>
        <v>WA</v>
      </c>
      <c r="J1730" t="str">
        <f>VLOOKUP(B1730,[1]Product!A:B,2,FALSE)</f>
        <v>Product KSBRM</v>
      </c>
      <c r="K1730" t="str">
        <f>VLOOKUP(VLOOKUP(B1730,[1]Product!A:D,4,FALSE),[1]Category!A:B,2,FALSE)</f>
        <v>Condiments</v>
      </c>
      <c r="L1730" s="10">
        <f>IFERROR(VLOOKUP(A1730,'[1]Sales Order'!A:D,4,FALSE),"")</f>
        <v>39504</v>
      </c>
      <c r="M1730" s="10">
        <f>IFERROR(VLOOKUP(A1730,'[1]Sales Order'!A:F,6,FALSE),"")</f>
        <v>39511</v>
      </c>
      <c r="N1730" t="str">
        <f>IFERROR(VLOOKUP(VLOOKUP(A1730,'[1]Sales Order'!A:G,7,FALSE),[1]Shipper!A:B,2,FALSE),"Not Specified")</f>
        <v>Shipper GVSUA</v>
      </c>
      <c r="O1730" t="str">
        <f>IFERROR(VLOOKUP(A1730,'[1]Sales Order'!A:I,9,FALSE),"Not Specified")</f>
        <v>Ship to 62-A</v>
      </c>
      <c r="P1730" t="str">
        <f>IFERROR(VLOOKUP(A1730,'[1]Sales Order'!A:N,14,FALSE),"Not Specified")</f>
        <v>Brazil</v>
      </c>
      <c r="Q1730" t="str">
        <f>VLOOKUP(VLOOKUP(B1730,[1]Product!A:C,3,FALSE),[1]Supplier!A:B,2,FALSE)</f>
        <v>Supplier VHQZD</v>
      </c>
      <c r="R1730" t="str">
        <f>VLOOKUP(VLOOKUP(B1730,[1]Product!A:C,3,FALSE),[1]Supplier!A:I,9,FALSE)</f>
        <v>USA</v>
      </c>
      <c r="S1730" t="str">
        <f>IFERROR(IF(VLOOKUP(A1730,'[1]Sales Order'!A:H,8,FALSE)&gt;100,"High Freight","Low Freight"),"Not Specified")</f>
        <v>Low Freight</v>
      </c>
      <c r="T1730">
        <f t="shared" si="53"/>
        <v>495</v>
      </c>
    </row>
    <row r="1731" spans="1:20">
      <c r="A1731" s="1">
        <v>10913</v>
      </c>
      <c r="B1731" s="2">
        <v>33</v>
      </c>
      <c r="C1731" s="2">
        <v>2.5</v>
      </c>
      <c r="D1731" s="2">
        <v>40</v>
      </c>
      <c r="E1731" s="3">
        <v>0.25</v>
      </c>
      <c r="F1731" s="2" t="str">
        <f>IFERROR(VLOOKUP(VLOOKUP(A1731,'[1]Sales Order'!A:B,2,FALSE),[1]Customer!A:C,3,FALSE),"Not Specified")</f>
        <v>Misiec, Anna</v>
      </c>
      <c r="G1731" s="2" t="str">
        <f t="shared" ref="G1731:G1794" si="54">SUBSTITUTE(F1731,",","",1)</f>
        <v>Misiec Anna</v>
      </c>
      <c r="H1731" s="8" t="str">
        <f>IFERROR(VLOOKUP(VLOOKUP(A1731,'[1]Sales Order'!A:C,3,FALSE),[1]Employee!A:E,5,FALSE)&amp;" "&amp;VLOOKUP(VLOOKUP(A1731,'[1]Sales Order'!A:C,3,FALSE),[1]Employee!A:C,3,FALSE)&amp;" "&amp;VLOOKUP(VLOOKUP(A1731,'[1]Sales Order'!A:C,3,FALSE),[1]Employee!A:B,2,FALSE),"Not Specified")</f>
        <v>Mrs. Yael Peled</v>
      </c>
      <c r="I1731" t="str">
        <f>IFERROR(VLOOKUP(VLOOKUP(A1731,'[1]Sales Order'!A:C,3,FALSE),[1]Employee!A:J,10,FALSE),"Not Specified")</f>
        <v>WA</v>
      </c>
      <c r="J1731" t="str">
        <f>VLOOKUP(B1731,[1]Product!A:B,2,FALSE)</f>
        <v>Product ASTMN</v>
      </c>
      <c r="K1731" t="str">
        <f>VLOOKUP(VLOOKUP(B1731,[1]Product!A:D,4,FALSE),[1]Category!A:B,2,FALSE)</f>
        <v>Dairy Product</v>
      </c>
      <c r="L1731" s="10">
        <f>IFERROR(VLOOKUP(A1731,'[1]Sales Order'!A:D,4,FALSE),"")</f>
        <v>39504</v>
      </c>
      <c r="M1731" s="10">
        <f>IFERROR(VLOOKUP(A1731,'[1]Sales Order'!A:F,6,FALSE),"")</f>
        <v>39511</v>
      </c>
      <c r="N1731" t="str">
        <f>IFERROR(VLOOKUP(VLOOKUP(A1731,'[1]Sales Order'!A:G,7,FALSE),[1]Shipper!A:B,2,FALSE),"Not Specified")</f>
        <v>Shipper GVSUA</v>
      </c>
      <c r="O1731" t="str">
        <f>IFERROR(VLOOKUP(A1731,'[1]Sales Order'!A:I,9,FALSE),"Not Specified")</f>
        <v>Ship to 62-A</v>
      </c>
      <c r="P1731" t="str">
        <f>IFERROR(VLOOKUP(A1731,'[1]Sales Order'!A:N,14,FALSE),"Not Specified")</f>
        <v>Brazil</v>
      </c>
      <c r="Q1731" t="str">
        <f>VLOOKUP(VLOOKUP(B1731,[1]Product!A:C,3,FALSE),[1]Supplier!A:B,2,FALSE)</f>
        <v>Supplier NZLIF</v>
      </c>
      <c r="R1731" t="str">
        <f>VLOOKUP(VLOOKUP(B1731,[1]Product!A:C,3,FALSE),[1]Supplier!A:I,9,FALSE)</f>
        <v>Norway</v>
      </c>
      <c r="S1731" t="str">
        <f>IFERROR(IF(VLOOKUP(A1731,'[1]Sales Order'!A:H,8,FALSE)&gt;100,"High Freight","Low Freight"),"Not Specified")</f>
        <v>Low Freight</v>
      </c>
      <c r="T1731">
        <f t="shared" ref="T1731:T1794" si="55">C1731*D1731*(1-E1731)</f>
        <v>75</v>
      </c>
    </row>
    <row r="1732" spans="1:20">
      <c r="A1732" s="1">
        <v>10913</v>
      </c>
      <c r="B1732" s="2">
        <v>58</v>
      </c>
      <c r="C1732" s="2">
        <v>13.25</v>
      </c>
      <c r="D1732" s="2">
        <v>15</v>
      </c>
      <c r="E1732" s="3">
        <v>0</v>
      </c>
      <c r="F1732" s="2" t="str">
        <f>IFERROR(VLOOKUP(VLOOKUP(A1732,'[1]Sales Order'!A:B,2,FALSE),[1]Customer!A:C,3,FALSE),"Not Specified")</f>
        <v>Misiec, Anna</v>
      </c>
      <c r="G1732" s="2" t="str">
        <f t="shared" si="54"/>
        <v>Misiec Anna</v>
      </c>
      <c r="H1732" s="8" t="str">
        <f>IFERROR(VLOOKUP(VLOOKUP(A1732,'[1]Sales Order'!A:C,3,FALSE),[1]Employee!A:E,5,FALSE)&amp;" "&amp;VLOOKUP(VLOOKUP(A1732,'[1]Sales Order'!A:C,3,FALSE),[1]Employee!A:C,3,FALSE)&amp;" "&amp;VLOOKUP(VLOOKUP(A1732,'[1]Sales Order'!A:C,3,FALSE),[1]Employee!A:B,2,FALSE),"Not Specified")</f>
        <v>Mrs. Yael Peled</v>
      </c>
      <c r="I1732" t="str">
        <f>IFERROR(VLOOKUP(VLOOKUP(A1732,'[1]Sales Order'!A:C,3,FALSE),[1]Employee!A:J,10,FALSE),"Not Specified")</f>
        <v>WA</v>
      </c>
      <c r="J1732" t="str">
        <f>VLOOKUP(B1732,[1]Product!A:B,2,FALSE)</f>
        <v>Product ACRVI</v>
      </c>
      <c r="K1732" t="str">
        <f>VLOOKUP(VLOOKUP(B1732,[1]Product!A:D,4,FALSE),[1]Category!A:B,2,FALSE)</f>
        <v>Seafood</v>
      </c>
      <c r="L1732" s="10">
        <f>IFERROR(VLOOKUP(A1732,'[1]Sales Order'!A:D,4,FALSE),"")</f>
        <v>39504</v>
      </c>
      <c r="M1732" s="10">
        <f>IFERROR(VLOOKUP(A1732,'[1]Sales Order'!A:F,6,FALSE),"")</f>
        <v>39511</v>
      </c>
      <c r="N1732" t="str">
        <f>IFERROR(VLOOKUP(VLOOKUP(A1732,'[1]Sales Order'!A:G,7,FALSE),[1]Shipper!A:B,2,FALSE),"Not Specified")</f>
        <v>Shipper GVSUA</v>
      </c>
      <c r="O1732" t="str">
        <f>IFERROR(VLOOKUP(A1732,'[1]Sales Order'!A:I,9,FALSE),"Not Specified")</f>
        <v>Ship to 62-A</v>
      </c>
      <c r="P1732" t="str">
        <f>IFERROR(VLOOKUP(A1732,'[1]Sales Order'!A:N,14,FALSE),"Not Specified")</f>
        <v>Brazil</v>
      </c>
      <c r="Q1732" t="str">
        <f>VLOOKUP(VLOOKUP(B1732,[1]Product!A:C,3,FALSE),[1]Supplier!A:B,2,FALSE)</f>
        <v>Supplier ZRYDZ</v>
      </c>
      <c r="R1732" t="str">
        <f>VLOOKUP(VLOOKUP(B1732,[1]Product!A:C,3,FALSE),[1]Supplier!A:I,9,FALSE)</f>
        <v>France</v>
      </c>
      <c r="S1732" t="str">
        <f>IFERROR(IF(VLOOKUP(A1732,'[1]Sales Order'!A:H,8,FALSE)&gt;100,"High Freight","Low Freight"),"Not Specified")</f>
        <v>Low Freight</v>
      </c>
      <c r="T1732">
        <f t="shared" si="55"/>
        <v>198.75</v>
      </c>
    </row>
    <row r="1733" spans="1:20">
      <c r="A1733" s="1">
        <v>10914</v>
      </c>
      <c r="B1733" s="2">
        <v>71</v>
      </c>
      <c r="C1733" s="2">
        <v>21.5</v>
      </c>
      <c r="D1733" s="2">
        <v>25</v>
      </c>
      <c r="E1733" s="3">
        <v>0</v>
      </c>
      <c r="F1733" s="2" t="str">
        <f>IFERROR(VLOOKUP(VLOOKUP(A1733,'[1]Sales Order'!A:B,2,FALSE),[1]Customer!A:C,3,FALSE),"Not Specified")</f>
        <v>Misiec, Anna</v>
      </c>
      <c r="G1733" s="2" t="str">
        <f t="shared" si="54"/>
        <v>Misiec Anna</v>
      </c>
      <c r="H1733" s="8" t="str">
        <f>IFERROR(VLOOKUP(VLOOKUP(A1733,'[1]Sales Order'!A:C,3,FALSE),[1]Employee!A:E,5,FALSE)&amp;" "&amp;VLOOKUP(VLOOKUP(A1733,'[1]Sales Order'!A:C,3,FALSE),[1]Employee!A:C,3,FALSE)&amp;" "&amp;VLOOKUP(VLOOKUP(A1733,'[1]Sales Order'!A:C,3,FALSE),[1]Employee!A:B,2,FALSE),"Not Specified")</f>
        <v>Mr. Paul Suurs</v>
      </c>
      <c r="I1733">
        <f>IFERROR(VLOOKUP(VLOOKUP(A1733,'[1]Sales Order'!A:C,3,FALSE),[1]Employee!A:J,10,FALSE),"Not Specified")</f>
        <v>0</v>
      </c>
      <c r="J1733" t="str">
        <f>VLOOKUP(B1733,[1]Product!A:B,2,FALSE)</f>
        <v>Product MYMOI</v>
      </c>
      <c r="K1733" t="str">
        <f>VLOOKUP(VLOOKUP(B1733,[1]Product!A:D,4,FALSE),[1]Category!A:B,2,FALSE)</f>
        <v>Dairy Product</v>
      </c>
      <c r="L1733" s="10">
        <f>IFERROR(VLOOKUP(A1733,'[1]Sales Order'!A:D,4,FALSE),"")</f>
        <v>39505</v>
      </c>
      <c r="M1733" s="10">
        <f>IFERROR(VLOOKUP(A1733,'[1]Sales Order'!A:F,6,FALSE),"")</f>
        <v>39509</v>
      </c>
      <c r="N1733" t="str">
        <f>IFERROR(VLOOKUP(VLOOKUP(A1733,'[1]Sales Order'!A:G,7,FALSE),[1]Shipper!A:B,2,FALSE),"Not Specified")</f>
        <v>Shipper GVSUA</v>
      </c>
      <c r="O1733" t="str">
        <f>IFERROR(VLOOKUP(A1733,'[1]Sales Order'!A:I,9,FALSE),"Not Specified")</f>
        <v>Ship to 62-B</v>
      </c>
      <c r="P1733" t="str">
        <f>IFERROR(VLOOKUP(A1733,'[1]Sales Order'!A:N,14,FALSE),"Not Specified")</f>
        <v>Brazil</v>
      </c>
      <c r="Q1733" t="str">
        <f>VLOOKUP(VLOOKUP(B1733,[1]Product!A:C,3,FALSE),[1]Supplier!A:B,2,FALSE)</f>
        <v>Supplier NZLIF</v>
      </c>
      <c r="R1733" t="str">
        <f>VLOOKUP(VLOOKUP(B1733,[1]Product!A:C,3,FALSE),[1]Supplier!A:I,9,FALSE)</f>
        <v>Norway</v>
      </c>
      <c r="S1733" t="str">
        <f>IFERROR(IF(VLOOKUP(A1733,'[1]Sales Order'!A:H,8,FALSE)&gt;100,"High Freight","Low Freight"),"Not Specified")</f>
        <v>Low Freight</v>
      </c>
      <c r="T1733">
        <f t="shared" si="55"/>
        <v>537.5</v>
      </c>
    </row>
    <row r="1734" spans="1:20">
      <c r="A1734" s="1">
        <v>10915</v>
      </c>
      <c r="B1734" s="2">
        <v>17</v>
      </c>
      <c r="C1734" s="2">
        <v>39</v>
      </c>
      <c r="D1734" s="2">
        <v>10</v>
      </c>
      <c r="E1734" s="3">
        <v>0</v>
      </c>
      <c r="F1734" s="2" t="str">
        <f>IFERROR(VLOOKUP(VLOOKUP(A1734,'[1]Sales Order'!A:B,2,FALSE),[1]Customer!A:C,3,FALSE),"Not Specified")</f>
        <v>Geschwandtner, Jens</v>
      </c>
      <c r="G1734" s="2" t="str">
        <f t="shared" si="54"/>
        <v>Geschwandtner Jens</v>
      </c>
      <c r="H1734" s="8" t="str">
        <f>IFERROR(VLOOKUP(VLOOKUP(A1734,'[1]Sales Order'!A:C,3,FALSE),[1]Employee!A:E,5,FALSE)&amp;" "&amp;VLOOKUP(VLOOKUP(A1734,'[1]Sales Order'!A:C,3,FALSE),[1]Employee!A:C,3,FALSE)&amp;" "&amp;VLOOKUP(VLOOKUP(A1734,'[1]Sales Order'!A:C,3,FALSE),[1]Employee!A:B,2,FALSE),"Not Specified")</f>
        <v>Dr. Don Funk</v>
      </c>
      <c r="I1734" t="str">
        <f>IFERROR(VLOOKUP(VLOOKUP(A1734,'[1]Sales Order'!A:C,3,FALSE),[1]Employee!A:J,10,FALSE),"Not Specified")</f>
        <v>WA</v>
      </c>
      <c r="J1734" t="str">
        <f>VLOOKUP(B1734,[1]Product!A:B,2,FALSE)</f>
        <v>Product BLCAX</v>
      </c>
      <c r="K1734" t="str">
        <f>VLOOKUP(VLOOKUP(B1734,[1]Product!A:D,4,FALSE),[1]Category!A:B,2,FALSE)</f>
        <v>Meat/Poultry</v>
      </c>
      <c r="L1734" s="10">
        <f>IFERROR(VLOOKUP(A1734,'[1]Sales Order'!A:D,4,FALSE),"")</f>
        <v>39505</v>
      </c>
      <c r="M1734" s="10">
        <f>IFERROR(VLOOKUP(A1734,'[1]Sales Order'!A:F,6,FALSE),"")</f>
        <v>39509</v>
      </c>
      <c r="N1734" t="str">
        <f>IFERROR(VLOOKUP(VLOOKUP(A1734,'[1]Sales Order'!A:G,7,FALSE),[1]Shipper!A:B,2,FALSE),"Not Specified")</f>
        <v>Shipper ETYNR</v>
      </c>
      <c r="O1734" t="str">
        <f>IFERROR(VLOOKUP(A1734,'[1]Sales Order'!A:I,9,FALSE),"Not Specified")</f>
        <v>Ship to 80-C</v>
      </c>
      <c r="P1734" t="str">
        <f>IFERROR(VLOOKUP(A1734,'[1]Sales Order'!A:N,14,FALSE),"Not Specified")</f>
        <v>Mexico</v>
      </c>
      <c r="Q1734" t="str">
        <f>VLOOKUP(VLOOKUP(B1734,[1]Product!A:C,3,FALSE),[1]Supplier!A:B,2,FALSE)</f>
        <v>Supplier GQRCV</v>
      </c>
      <c r="R1734" t="str">
        <f>VLOOKUP(VLOOKUP(B1734,[1]Product!A:C,3,FALSE),[1]Supplier!A:I,9,FALSE)</f>
        <v>Australia</v>
      </c>
      <c r="S1734" t="str">
        <f>IFERROR(IF(VLOOKUP(A1734,'[1]Sales Order'!A:H,8,FALSE)&gt;100,"High Freight","Low Freight"),"Not Specified")</f>
        <v>Low Freight</v>
      </c>
      <c r="T1734">
        <f t="shared" si="55"/>
        <v>390</v>
      </c>
    </row>
    <row r="1735" spans="1:20">
      <c r="A1735" s="1">
        <v>10915</v>
      </c>
      <c r="B1735" s="2">
        <v>33</v>
      </c>
      <c r="C1735" s="2">
        <v>2.5</v>
      </c>
      <c r="D1735" s="2">
        <v>30</v>
      </c>
      <c r="E1735" s="3">
        <v>0</v>
      </c>
      <c r="F1735" s="2" t="str">
        <f>IFERROR(VLOOKUP(VLOOKUP(A1735,'[1]Sales Order'!A:B,2,FALSE),[1]Customer!A:C,3,FALSE),"Not Specified")</f>
        <v>Geschwandtner, Jens</v>
      </c>
      <c r="G1735" s="2" t="str">
        <f t="shared" si="54"/>
        <v>Geschwandtner Jens</v>
      </c>
      <c r="H1735" s="8" t="str">
        <f>IFERROR(VLOOKUP(VLOOKUP(A1735,'[1]Sales Order'!A:C,3,FALSE),[1]Employee!A:E,5,FALSE)&amp;" "&amp;VLOOKUP(VLOOKUP(A1735,'[1]Sales Order'!A:C,3,FALSE),[1]Employee!A:C,3,FALSE)&amp;" "&amp;VLOOKUP(VLOOKUP(A1735,'[1]Sales Order'!A:C,3,FALSE),[1]Employee!A:B,2,FALSE),"Not Specified")</f>
        <v>Dr. Don Funk</v>
      </c>
      <c r="I1735" t="str">
        <f>IFERROR(VLOOKUP(VLOOKUP(A1735,'[1]Sales Order'!A:C,3,FALSE),[1]Employee!A:J,10,FALSE),"Not Specified")</f>
        <v>WA</v>
      </c>
      <c r="J1735" t="str">
        <f>VLOOKUP(B1735,[1]Product!A:B,2,FALSE)</f>
        <v>Product ASTMN</v>
      </c>
      <c r="K1735" t="str">
        <f>VLOOKUP(VLOOKUP(B1735,[1]Product!A:D,4,FALSE),[1]Category!A:B,2,FALSE)</f>
        <v>Dairy Product</v>
      </c>
      <c r="L1735" s="10">
        <f>IFERROR(VLOOKUP(A1735,'[1]Sales Order'!A:D,4,FALSE),"")</f>
        <v>39505</v>
      </c>
      <c r="M1735" s="10">
        <f>IFERROR(VLOOKUP(A1735,'[1]Sales Order'!A:F,6,FALSE),"")</f>
        <v>39509</v>
      </c>
      <c r="N1735" t="str">
        <f>IFERROR(VLOOKUP(VLOOKUP(A1735,'[1]Sales Order'!A:G,7,FALSE),[1]Shipper!A:B,2,FALSE),"Not Specified")</f>
        <v>Shipper ETYNR</v>
      </c>
      <c r="O1735" t="str">
        <f>IFERROR(VLOOKUP(A1735,'[1]Sales Order'!A:I,9,FALSE),"Not Specified")</f>
        <v>Ship to 80-C</v>
      </c>
      <c r="P1735" t="str">
        <f>IFERROR(VLOOKUP(A1735,'[1]Sales Order'!A:N,14,FALSE),"Not Specified")</f>
        <v>Mexico</v>
      </c>
      <c r="Q1735" t="str">
        <f>VLOOKUP(VLOOKUP(B1735,[1]Product!A:C,3,FALSE),[1]Supplier!A:B,2,FALSE)</f>
        <v>Supplier NZLIF</v>
      </c>
      <c r="R1735" t="str">
        <f>VLOOKUP(VLOOKUP(B1735,[1]Product!A:C,3,FALSE),[1]Supplier!A:I,9,FALSE)</f>
        <v>Norway</v>
      </c>
      <c r="S1735" t="str">
        <f>IFERROR(IF(VLOOKUP(A1735,'[1]Sales Order'!A:H,8,FALSE)&gt;100,"High Freight","Low Freight"),"Not Specified")</f>
        <v>Low Freight</v>
      </c>
      <c r="T1735">
        <f t="shared" si="55"/>
        <v>75</v>
      </c>
    </row>
    <row r="1736" spans="1:20">
      <c r="A1736" s="1">
        <v>10915</v>
      </c>
      <c r="B1736" s="2">
        <v>54</v>
      </c>
      <c r="C1736" s="2">
        <v>7.45</v>
      </c>
      <c r="D1736" s="2">
        <v>10</v>
      </c>
      <c r="E1736" s="3">
        <v>0</v>
      </c>
      <c r="F1736" s="2" t="str">
        <f>IFERROR(VLOOKUP(VLOOKUP(A1736,'[1]Sales Order'!A:B,2,FALSE),[1]Customer!A:C,3,FALSE),"Not Specified")</f>
        <v>Geschwandtner, Jens</v>
      </c>
      <c r="G1736" s="2" t="str">
        <f t="shared" si="54"/>
        <v>Geschwandtner Jens</v>
      </c>
      <c r="H1736" s="8" t="str">
        <f>IFERROR(VLOOKUP(VLOOKUP(A1736,'[1]Sales Order'!A:C,3,FALSE),[1]Employee!A:E,5,FALSE)&amp;" "&amp;VLOOKUP(VLOOKUP(A1736,'[1]Sales Order'!A:C,3,FALSE),[1]Employee!A:C,3,FALSE)&amp;" "&amp;VLOOKUP(VLOOKUP(A1736,'[1]Sales Order'!A:C,3,FALSE),[1]Employee!A:B,2,FALSE),"Not Specified")</f>
        <v>Dr. Don Funk</v>
      </c>
      <c r="I1736" t="str">
        <f>IFERROR(VLOOKUP(VLOOKUP(A1736,'[1]Sales Order'!A:C,3,FALSE),[1]Employee!A:J,10,FALSE),"Not Specified")</f>
        <v>WA</v>
      </c>
      <c r="J1736" t="str">
        <f>VLOOKUP(B1736,[1]Product!A:B,2,FALSE)</f>
        <v>Product QAQRL</v>
      </c>
      <c r="K1736" t="str">
        <f>VLOOKUP(VLOOKUP(B1736,[1]Product!A:D,4,FALSE),[1]Category!A:B,2,FALSE)</f>
        <v>Meat/Poultry</v>
      </c>
      <c r="L1736" s="10">
        <f>IFERROR(VLOOKUP(A1736,'[1]Sales Order'!A:D,4,FALSE),"")</f>
        <v>39505</v>
      </c>
      <c r="M1736" s="10">
        <f>IFERROR(VLOOKUP(A1736,'[1]Sales Order'!A:F,6,FALSE),"")</f>
        <v>39509</v>
      </c>
      <c r="N1736" t="str">
        <f>IFERROR(VLOOKUP(VLOOKUP(A1736,'[1]Sales Order'!A:G,7,FALSE),[1]Shipper!A:B,2,FALSE),"Not Specified")</f>
        <v>Shipper ETYNR</v>
      </c>
      <c r="O1736" t="str">
        <f>IFERROR(VLOOKUP(A1736,'[1]Sales Order'!A:I,9,FALSE),"Not Specified")</f>
        <v>Ship to 80-C</v>
      </c>
      <c r="P1736" t="str">
        <f>IFERROR(VLOOKUP(A1736,'[1]Sales Order'!A:N,14,FALSE),"Not Specified")</f>
        <v>Mexico</v>
      </c>
      <c r="Q1736" t="str">
        <f>VLOOKUP(VLOOKUP(B1736,[1]Product!A:C,3,FALSE),[1]Supplier!A:B,2,FALSE)</f>
        <v>Supplier ERVYZ</v>
      </c>
      <c r="R1736" t="str">
        <f>VLOOKUP(VLOOKUP(B1736,[1]Product!A:C,3,FALSE),[1]Supplier!A:I,9,FALSE)</f>
        <v>Canada</v>
      </c>
      <c r="S1736" t="str">
        <f>IFERROR(IF(VLOOKUP(A1736,'[1]Sales Order'!A:H,8,FALSE)&gt;100,"High Freight","Low Freight"),"Not Specified")</f>
        <v>Low Freight</v>
      </c>
      <c r="T1736">
        <f t="shared" si="55"/>
        <v>74.5</v>
      </c>
    </row>
    <row r="1737" spans="1:20">
      <c r="A1737" s="1">
        <v>10916</v>
      </c>
      <c r="B1737" s="2">
        <v>16</v>
      </c>
      <c r="C1737" s="2">
        <v>17.45</v>
      </c>
      <c r="D1737" s="2">
        <v>6</v>
      </c>
      <c r="E1737" s="3">
        <v>0</v>
      </c>
      <c r="F1737" s="2" t="str">
        <f>IFERROR(VLOOKUP(VLOOKUP(A1737,'[1]Sales Order'!A:B,2,FALSE),[1]Customer!A:C,3,FALSE),"Not Specified")</f>
        <v>Gaffney, Lawrie</v>
      </c>
      <c r="G1737" s="2" t="str">
        <f t="shared" si="54"/>
        <v>Gaffney Lawrie</v>
      </c>
      <c r="H1737" s="8" t="str">
        <f>IFERROR(VLOOKUP(VLOOKUP(A1737,'[1]Sales Order'!A:C,3,FALSE),[1]Employee!A:E,5,FALSE)&amp;" "&amp;VLOOKUP(VLOOKUP(A1737,'[1]Sales Order'!A:C,3,FALSE),[1]Employee!A:C,3,FALSE)&amp;" "&amp;VLOOKUP(VLOOKUP(A1737,'[1]Sales Order'!A:C,3,FALSE),[1]Employee!A:B,2,FALSE),"Not Specified")</f>
        <v>Ms. Sara Davis</v>
      </c>
      <c r="I1737" t="str">
        <f>IFERROR(VLOOKUP(VLOOKUP(A1737,'[1]Sales Order'!A:C,3,FALSE),[1]Employee!A:J,10,FALSE),"Not Specified")</f>
        <v>WA</v>
      </c>
      <c r="J1737" t="str">
        <f>VLOOKUP(B1737,[1]Product!A:B,2,FALSE)</f>
        <v>Product PAFRH</v>
      </c>
      <c r="K1737" t="str">
        <f>VLOOKUP(VLOOKUP(B1737,[1]Product!A:D,4,FALSE),[1]Category!A:B,2,FALSE)</f>
        <v>Confections</v>
      </c>
      <c r="L1737" s="10">
        <f>IFERROR(VLOOKUP(A1737,'[1]Sales Order'!A:D,4,FALSE),"")</f>
        <v>39505</v>
      </c>
      <c r="M1737" s="10">
        <f>IFERROR(VLOOKUP(A1737,'[1]Sales Order'!A:F,6,FALSE),"")</f>
        <v>39516</v>
      </c>
      <c r="N1737" t="str">
        <f>IFERROR(VLOOKUP(VLOOKUP(A1737,'[1]Sales Order'!A:G,7,FALSE),[1]Shipper!A:B,2,FALSE),"Not Specified")</f>
        <v>Shipper ETYNR</v>
      </c>
      <c r="O1737" t="str">
        <f>IFERROR(VLOOKUP(A1737,'[1]Sales Order'!A:I,9,FALSE),"Not Specified")</f>
        <v>Ship to 64-C</v>
      </c>
      <c r="P1737" t="str">
        <f>IFERROR(VLOOKUP(A1737,'[1]Sales Order'!A:N,14,FALSE),"Not Specified")</f>
        <v>Argentina</v>
      </c>
      <c r="Q1737" t="str">
        <f>VLOOKUP(VLOOKUP(B1737,[1]Product!A:C,3,FALSE),[1]Supplier!A:B,2,FALSE)</f>
        <v>Supplier GQRCV</v>
      </c>
      <c r="R1737" t="str">
        <f>VLOOKUP(VLOOKUP(B1737,[1]Product!A:C,3,FALSE),[1]Supplier!A:I,9,FALSE)</f>
        <v>Australia</v>
      </c>
      <c r="S1737" t="str">
        <f>IFERROR(IF(VLOOKUP(A1737,'[1]Sales Order'!A:H,8,FALSE)&gt;100,"High Freight","Low Freight"),"Not Specified")</f>
        <v>Low Freight</v>
      </c>
      <c r="T1737">
        <f t="shared" si="55"/>
        <v>104.69999999999999</v>
      </c>
    </row>
    <row r="1738" spans="1:20">
      <c r="A1738" s="1">
        <v>10916</v>
      </c>
      <c r="B1738" s="2">
        <v>32</v>
      </c>
      <c r="C1738" s="2">
        <v>32</v>
      </c>
      <c r="D1738" s="2">
        <v>6</v>
      </c>
      <c r="E1738" s="3">
        <v>0</v>
      </c>
      <c r="F1738" s="2" t="str">
        <f>IFERROR(VLOOKUP(VLOOKUP(A1738,'[1]Sales Order'!A:B,2,FALSE),[1]Customer!A:C,3,FALSE),"Not Specified")</f>
        <v>Gaffney, Lawrie</v>
      </c>
      <c r="G1738" s="2" t="str">
        <f t="shared" si="54"/>
        <v>Gaffney Lawrie</v>
      </c>
      <c r="H1738" s="8" t="str">
        <f>IFERROR(VLOOKUP(VLOOKUP(A1738,'[1]Sales Order'!A:C,3,FALSE),[1]Employee!A:E,5,FALSE)&amp;" "&amp;VLOOKUP(VLOOKUP(A1738,'[1]Sales Order'!A:C,3,FALSE),[1]Employee!A:C,3,FALSE)&amp;" "&amp;VLOOKUP(VLOOKUP(A1738,'[1]Sales Order'!A:C,3,FALSE),[1]Employee!A:B,2,FALSE),"Not Specified")</f>
        <v>Ms. Sara Davis</v>
      </c>
      <c r="I1738" t="str">
        <f>IFERROR(VLOOKUP(VLOOKUP(A1738,'[1]Sales Order'!A:C,3,FALSE),[1]Employee!A:J,10,FALSE),"Not Specified")</f>
        <v>WA</v>
      </c>
      <c r="J1738" t="str">
        <f>VLOOKUP(B1738,[1]Product!A:B,2,FALSE)</f>
        <v>Product NUNAW</v>
      </c>
      <c r="K1738" t="str">
        <f>VLOOKUP(VLOOKUP(B1738,[1]Product!A:D,4,FALSE),[1]Category!A:B,2,FALSE)</f>
        <v>Dairy Product</v>
      </c>
      <c r="L1738" s="10">
        <f>IFERROR(VLOOKUP(A1738,'[1]Sales Order'!A:D,4,FALSE),"")</f>
        <v>39505</v>
      </c>
      <c r="M1738" s="10">
        <f>IFERROR(VLOOKUP(A1738,'[1]Sales Order'!A:F,6,FALSE),"")</f>
        <v>39516</v>
      </c>
      <c r="N1738" t="str">
        <f>IFERROR(VLOOKUP(VLOOKUP(A1738,'[1]Sales Order'!A:G,7,FALSE),[1]Shipper!A:B,2,FALSE),"Not Specified")</f>
        <v>Shipper ETYNR</v>
      </c>
      <c r="O1738" t="str">
        <f>IFERROR(VLOOKUP(A1738,'[1]Sales Order'!A:I,9,FALSE),"Not Specified")</f>
        <v>Ship to 64-C</v>
      </c>
      <c r="P1738" t="str">
        <f>IFERROR(VLOOKUP(A1738,'[1]Sales Order'!A:N,14,FALSE),"Not Specified")</f>
        <v>Argentina</v>
      </c>
      <c r="Q1738" t="str">
        <f>VLOOKUP(VLOOKUP(B1738,[1]Product!A:C,3,FALSE),[1]Supplier!A:B,2,FALSE)</f>
        <v>Supplier KEREV</v>
      </c>
      <c r="R1738" t="str">
        <f>VLOOKUP(VLOOKUP(B1738,[1]Product!A:C,3,FALSE),[1]Supplier!A:I,9,FALSE)</f>
        <v>Italy</v>
      </c>
      <c r="S1738" t="str">
        <f>IFERROR(IF(VLOOKUP(A1738,'[1]Sales Order'!A:H,8,FALSE)&gt;100,"High Freight","Low Freight"),"Not Specified")</f>
        <v>Low Freight</v>
      </c>
      <c r="T1738">
        <f t="shared" si="55"/>
        <v>192</v>
      </c>
    </row>
    <row r="1739" spans="1:20">
      <c r="A1739" s="1">
        <v>10916</v>
      </c>
      <c r="B1739" s="2">
        <v>57</v>
      </c>
      <c r="C1739" s="2">
        <v>19.5</v>
      </c>
      <c r="D1739" s="2">
        <v>20</v>
      </c>
      <c r="E1739" s="3">
        <v>0</v>
      </c>
      <c r="F1739" s="2" t="str">
        <f>IFERROR(VLOOKUP(VLOOKUP(A1739,'[1]Sales Order'!A:B,2,FALSE),[1]Customer!A:C,3,FALSE),"Not Specified")</f>
        <v>Gaffney, Lawrie</v>
      </c>
      <c r="G1739" s="2" t="str">
        <f t="shared" si="54"/>
        <v>Gaffney Lawrie</v>
      </c>
      <c r="H1739" s="8" t="str">
        <f>IFERROR(VLOOKUP(VLOOKUP(A1739,'[1]Sales Order'!A:C,3,FALSE),[1]Employee!A:E,5,FALSE)&amp;" "&amp;VLOOKUP(VLOOKUP(A1739,'[1]Sales Order'!A:C,3,FALSE),[1]Employee!A:C,3,FALSE)&amp;" "&amp;VLOOKUP(VLOOKUP(A1739,'[1]Sales Order'!A:C,3,FALSE),[1]Employee!A:B,2,FALSE),"Not Specified")</f>
        <v>Ms. Sara Davis</v>
      </c>
      <c r="I1739" t="str">
        <f>IFERROR(VLOOKUP(VLOOKUP(A1739,'[1]Sales Order'!A:C,3,FALSE),[1]Employee!A:J,10,FALSE),"Not Specified")</f>
        <v>WA</v>
      </c>
      <c r="J1739" t="str">
        <f>VLOOKUP(B1739,[1]Product!A:B,2,FALSE)</f>
        <v>Product OVLQI</v>
      </c>
      <c r="K1739" t="str">
        <f>VLOOKUP(VLOOKUP(B1739,[1]Product!A:D,4,FALSE),[1]Category!A:B,2,FALSE)</f>
        <v>Grains/Cereals</v>
      </c>
      <c r="L1739" s="10">
        <f>IFERROR(VLOOKUP(A1739,'[1]Sales Order'!A:D,4,FALSE),"")</f>
        <v>39505</v>
      </c>
      <c r="M1739" s="10">
        <f>IFERROR(VLOOKUP(A1739,'[1]Sales Order'!A:F,6,FALSE),"")</f>
        <v>39516</v>
      </c>
      <c r="N1739" t="str">
        <f>IFERROR(VLOOKUP(VLOOKUP(A1739,'[1]Sales Order'!A:G,7,FALSE),[1]Shipper!A:B,2,FALSE),"Not Specified")</f>
        <v>Shipper ETYNR</v>
      </c>
      <c r="O1739" t="str">
        <f>IFERROR(VLOOKUP(A1739,'[1]Sales Order'!A:I,9,FALSE),"Not Specified")</f>
        <v>Ship to 64-C</v>
      </c>
      <c r="P1739" t="str">
        <f>IFERROR(VLOOKUP(A1739,'[1]Sales Order'!A:N,14,FALSE),"Not Specified")</f>
        <v>Argentina</v>
      </c>
      <c r="Q1739" t="str">
        <f>VLOOKUP(VLOOKUP(B1739,[1]Product!A:C,3,FALSE),[1]Supplier!A:B,2,FALSE)</f>
        <v>Supplier ZWZDM</v>
      </c>
      <c r="R1739" t="str">
        <f>VLOOKUP(VLOOKUP(B1739,[1]Product!A:C,3,FALSE),[1]Supplier!A:I,9,FALSE)</f>
        <v>Italy</v>
      </c>
      <c r="S1739" t="str">
        <f>IFERROR(IF(VLOOKUP(A1739,'[1]Sales Order'!A:H,8,FALSE)&gt;100,"High Freight","Low Freight"),"Not Specified")</f>
        <v>Low Freight</v>
      </c>
      <c r="T1739">
        <f t="shared" si="55"/>
        <v>390</v>
      </c>
    </row>
    <row r="1740" spans="1:20">
      <c r="A1740" s="1">
        <v>10917</v>
      </c>
      <c r="B1740" s="2">
        <v>30</v>
      </c>
      <c r="C1740" s="2">
        <v>25.89</v>
      </c>
      <c r="D1740" s="2">
        <v>1</v>
      </c>
      <c r="E1740" s="3">
        <v>0</v>
      </c>
      <c r="F1740" s="2" t="str">
        <f>IFERROR(VLOOKUP(VLOOKUP(A1740,'[1]Sales Order'!A:B,2,FALSE),[1]Customer!A:C,3,FALSE),"Not Specified")</f>
        <v>Watters, Jason M.</v>
      </c>
      <c r="G1740" s="2" t="str">
        <f t="shared" si="54"/>
        <v>Watters Jason M.</v>
      </c>
      <c r="H1740" s="8" t="str">
        <f>IFERROR(VLOOKUP(VLOOKUP(A1740,'[1]Sales Order'!A:C,3,FALSE),[1]Employee!A:E,5,FALSE)&amp;" "&amp;VLOOKUP(VLOOKUP(A1740,'[1]Sales Order'!A:C,3,FALSE),[1]Employee!A:C,3,FALSE)&amp;" "&amp;VLOOKUP(VLOOKUP(A1740,'[1]Sales Order'!A:C,3,FALSE),[1]Employee!A:B,2,FALSE),"Not Specified")</f>
        <v>Mrs. Yael Peled</v>
      </c>
      <c r="I1740" t="str">
        <f>IFERROR(VLOOKUP(VLOOKUP(A1740,'[1]Sales Order'!A:C,3,FALSE),[1]Employee!A:J,10,FALSE),"Not Specified")</f>
        <v>WA</v>
      </c>
      <c r="J1740" t="str">
        <f>VLOOKUP(B1740,[1]Product!A:B,2,FALSE)</f>
        <v>Product LYERX</v>
      </c>
      <c r="K1740" t="str">
        <f>VLOOKUP(VLOOKUP(B1740,[1]Product!A:D,4,FALSE),[1]Category!A:B,2,FALSE)</f>
        <v>Seafood</v>
      </c>
      <c r="L1740" s="10">
        <f>IFERROR(VLOOKUP(A1740,'[1]Sales Order'!A:D,4,FALSE),"")</f>
        <v>39509</v>
      </c>
      <c r="M1740" s="10">
        <f>IFERROR(VLOOKUP(A1740,'[1]Sales Order'!A:F,6,FALSE),"")</f>
        <v>39518</v>
      </c>
      <c r="N1740" t="str">
        <f>IFERROR(VLOOKUP(VLOOKUP(A1740,'[1]Sales Order'!A:G,7,FALSE),[1]Shipper!A:B,2,FALSE),"Not Specified")</f>
        <v>Shipper ETYNR</v>
      </c>
      <c r="O1740" t="str">
        <f>IFERROR(VLOOKUP(A1740,'[1]Sales Order'!A:I,9,FALSE),"Not Specified")</f>
        <v>Ship to 69-C</v>
      </c>
      <c r="P1740" t="str">
        <f>IFERROR(VLOOKUP(A1740,'[1]Sales Order'!A:N,14,FALSE),"Not Specified")</f>
        <v>Spain</v>
      </c>
      <c r="Q1740" t="str">
        <f>VLOOKUP(VLOOKUP(B1740,[1]Product!A:C,3,FALSE),[1]Supplier!A:B,2,FALSE)</f>
        <v>Supplier TEGSC</v>
      </c>
      <c r="R1740" t="str">
        <f>VLOOKUP(VLOOKUP(B1740,[1]Product!A:C,3,FALSE),[1]Supplier!A:I,9,FALSE)</f>
        <v>Germany</v>
      </c>
      <c r="S1740" t="str">
        <f>IFERROR(IF(VLOOKUP(A1740,'[1]Sales Order'!A:H,8,FALSE)&gt;100,"High Freight","Low Freight"),"Not Specified")</f>
        <v>Low Freight</v>
      </c>
      <c r="T1740">
        <f t="shared" si="55"/>
        <v>25.89</v>
      </c>
    </row>
    <row r="1741" spans="1:20">
      <c r="A1741" s="1">
        <v>10917</v>
      </c>
      <c r="B1741" s="2">
        <v>60</v>
      </c>
      <c r="C1741" s="2">
        <v>34</v>
      </c>
      <c r="D1741" s="2">
        <v>10</v>
      </c>
      <c r="E1741" s="3">
        <v>0</v>
      </c>
      <c r="F1741" s="2" t="str">
        <f>IFERROR(VLOOKUP(VLOOKUP(A1741,'[1]Sales Order'!A:B,2,FALSE),[1]Customer!A:C,3,FALSE),"Not Specified")</f>
        <v>Watters, Jason M.</v>
      </c>
      <c r="G1741" s="2" t="str">
        <f t="shared" si="54"/>
        <v>Watters Jason M.</v>
      </c>
      <c r="H1741" s="8" t="str">
        <f>IFERROR(VLOOKUP(VLOOKUP(A1741,'[1]Sales Order'!A:C,3,FALSE),[1]Employee!A:E,5,FALSE)&amp;" "&amp;VLOOKUP(VLOOKUP(A1741,'[1]Sales Order'!A:C,3,FALSE),[1]Employee!A:C,3,FALSE)&amp;" "&amp;VLOOKUP(VLOOKUP(A1741,'[1]Sales Order'!A:C,3,FALSE),[1]Employee!A:B,2,FALSE),"Not Specified")</f>
        <v>Mrs. Yael Peled</v>
      </c>
      <c r="I1741" t="str">
        <f>IFERROR(VLOOKUP(VLOOKUP(A1741,'[1]Sales Order'!A:C,3,FALSE),[1]Employee!A:J,10,FALSE),"Not Specified")</f>
        <v>WA</v>
      </c>
      <c r="J1741" t="str">
        <f>VLOOKUP(B1741,[1]Product!A:B,2,FALSE)</f>
        <v>Product WHBYK</v>
      </c>
      <c r="K1741" t="str">
        <f>VLOOKUP(VLOOKUP(B1741,[1]Product!A:D,4,FALSE),[1]Category!A:B,2,FALSE)</f>
        <v>Dairy Product</v>
      </c>
      <c r="L1741" s="10">
        <f>IFERROR(VLOOKUP(A1741,'[1]Sales Order'!A:D,4,FALSE),"")</f>
        <v>39509</v>
      </c>
      <c r="M1741" s="10">
        <f>IFERROR(VLOOKUP(A1741,'[1]Sales Order'!A:F,6,FALSE),"")</f>
        <v>39518</v>
      </c>
      <c r="N1741" t="str">
        <f>IFERROR(VLOOKUP(VLOOKUP(A1741,'[1]Sales Order'!A:G,7,FALSE),[1]Shipper!A:B,2,FALSE),"Not Specified")</f>
        <v>Shipper ETYNR</v>
      </c>
      <c r="O1741" t="str">
        <f>IFERROR(VLOOKUP(A1741,'[1]Sales Order'!A:I,9,FALSE),"Not Specified")</f>
        <v>Ship to 69-C</v>
      </c>
      <c r="P1741" t="str">
        <f>IFERROR(VLOOKUP(A1741,'[1]Sales Order'!A:N,14,FALSE),"Not Specified")</f>
        <v>Spain</v>
      </c>
      <c r="Q1741" t="str">
        <f>VLOOKUP(VLOOKUP(B1741,[1]Product!A:C,3,FALSE),[1]Supplier!A:B,2,FALSE)</f>
        <v>Supplier OAVQT</v>
      </c>
      <c r="R1741" t="str">
        <f>VLOOKUP(VLOOKUP(B1741,[1]Product!A:C,3,FALSE),[1]Supplier!A:I,9,FALSE)</f>
        <v>France</v>
      </c>
      <c r="S1741" t="str">
        <f>IFERROR(IF(VLOOKUP(A1741,'[1]Sales Order'!A:H,8,FALSE)&gt;100,"High Freight","Low Freight"),"Not Specified")</f>
        <v>Low Freight</v>
      </c>
      <c r="T1741">
        <f t="shared" si="55"/>
        <v>340</v>
      </c>
    </row>
    <row r="1742" spans="1:20">
      <c r="A1742" s="1">
        <v>10918</v>
      </c>
      <c r="B1742" s="2">
        <v>1</v>
      </c>
      <c r="C1742" s="2">
        <v>18</v>
      </c>
      <c r="D1742" s="2">
        <v>60</v>
      </c>
      <c r="E1742" s="3">
        <v>0.25</v>
      </c>
      <c r="F1742" s="2" t="str">
        <f>IFERROR(VLOOKUP(VLOOKUP(A1742,'[1]Sales Order'!A:B,2,FALSE),[1]Customer!A:C,3,FALSE),"Not Specified")</f>
        <v>Bassols, Pilar Colome</v>
      </c>
      <c r="G1742" s="2" t="str">
        <f t="shared" si="54"/>
        <v>Bassols Pilar Colome</v>
      </c>
      <c r="H1742" s="8" t="str">
        <f>IFERROR(VLOOKUP(VLOOKUP(A1742,'[1]Sales Order'!A:C,3,FALSE),[1]Employee!A:E,5,FALSE)&amp;" "&amp;VLOOKUP(VLOOKUP(A1742,'[1]Sales Order'!A:C,3,FALSE),[1]Employee!A:C,3,FALSE)&amp;" "&amp;VLOOKUP(VLOOKUP(A1742,'[1]Sales Order'!A:C,3,FALSE),[1]Employee!A:B,2,FALSE),"Not Specified")</f>
        <v>Ms. Judy Lew</v>
      </c>
      <c r="I1742" t="str">
        <f>IFERROR(VLOOKUP(VLOOKUP(A1742,'[1]Sales Order'!A:C,3,FALSE),[1]Employee!A:J,10,FALSE),"Not Specified")</f>
        <v>WA</v>
      </c>
      <c r="J1742" t="str">
        <f>VLOOKUP(B1742,[1]Product!A:B,2,FALSE)</f>
        <v>Product HHYDP</v>
      </c>
      <c r="K1742" t="str">
        <f>VLOOKUP(VLOOKUP(B1742,[1]Product!A:D,4,FALSE),[1]Category!A:B,2,FALSE)</f>
        <v>Beverages</v>
      </c>
      <c r="L1742" s="10">
        <f>IFERROR(VLOOKUP(A1742,'[1]Sales Order'!A:D,4,FALSE),"")</f>
        <v>39509</v>
      </c>
      <c r="M1742" s="10">
        <f>IFERROR(VLOOKUP(A1742,'[1]Sales Order'!A:F,6,FALSE),"")</f>
        <v>39518</v>
      </c>
      <c r="N1742" t="str">
        <f>IFERROR(VLOOKUP(VLOOKUP(A1742,'[1]Sales Order'!A:G,7,FALSE),[1]Shipper!A:B,2,FALSE),"Not Specified")</f>
        <v>Shipper ZHISN</v>
      </c>
      <c r="O1742" t="str">
        <f>IFERROR(VLOOKUP(A1742,'[1]Sales Order'!A:I,9,FALSE),"Not Specified")</f>
        <v>Destination OLSSJ</v>
      </c>
      <c r="P1742" t="str">
        <f>IFERROR(VLOOKUP(A1742,'[1]Sales Order'!A:N,14,FALSE),"Not Specified")</f>
        <v>Canada</v>
      </c>
      <c r="Q1742" t="str">
        <f>VLOOKUP(VLOOKUP(B1742,[1]Product!A:C,3,FALSE),[1]Supplier!A:B,2,FALSE)</f>
        <v>Supplier SWRXU</v>
      </c>
      <c r="R1742" t="str">
        <f>VLOOKUP(VLOOKUP(B1742,[1]Product!A:C,3,FALSE),[1]Supplier!A:I,9,FALSE)</f>
        <v>UK</v>
      </c>
      <c r="S1742" t="str">
        <f>IFERROR(IF(VLOOKUP(A1742,'[1]Sales Order'!A:H,8,FALSE)&gt;100,"High Freight","Low Freight"),"Not Specified")</f>
        <v>Low Freight</v>
      </c>
      <c r="T1742">
        <f t="shared" si="55"/>
        <v>810</v>
      </c>
    </row>
    <row r="1743" spans="1:20">
      <c r="A1743" s="1">
        <v>10918</v>
      </c>
      <c r="B1743" s="2">
        <v>60</v>
      </c>
      <c r="C1743" s="2">
        <v>34</v>
      </c>
      <c r="D1743" s="2">
        <v>25</v>
      </c>
      <c r="E1743" s="3">
        <v>0.25</v>
      </c>
      <c r="F1743" s="2" t="str">
        <f>IFERROR(VLOOKUP(VLOOKUP(A1743,'[1]Sales Order'!A:B,2,FALSE),[1]Customer!A:C,3,FALSE),"Not Specified")</f>
        <v>Bassols, Pilar Colome</v>
      </c>
      <c r="G1743" s="2" t="str">
        <f t="shared" si="54"/>
        <v>Bassols Pilar Colome</v>
      </c>
      <c r="H1743" s="8" t="str">
        <f>IFERROR(VLOOKUP(VLOOKUP(A1743,'[1]Sales Order'!A:C,3,FALSE),[1]Employee!A:E,5,FALSE)&amp;" "&amp;VLOOKUP(VLOOKUP(A1743,'[1]Sales Order'!A:C,3,FALSE),[1]Employee!A:C,3,FALSE)&amp;" "&amp;VLOOKUP(VLOOKUP(A1743,'[1]Sales Order'!A:C,3,FALSE),[1]Employee!A:B,2,FALSE),"Not Specified")</f>
        <v>Ms. Judy Lew</v>
      </c>
      <c r="I1743" t="str">
        <f>IFERROR(VLOOKUP(VLOOKUP(A1743,'[1]Sales Order'!A:C,3,FALSE),[1]Employee!A:J,10,FALSE),"Not Specified")</f>
        <v>WA</v>
      </c>
      <c r="J1743" t="str">
        <f>VLOOKUP(B1743,[1]Product!A:B,2,FALSE)</f>
        <v>Product WHBYK</v>
      </c>
      <c r="K1743" t="str">
        <f>VLOOKUP(VLOOKUP(B1743,[1]Product!A:D,4,FALSE),[1]Category!A:B,2,FALSE)</f>
        <v>Dairy Product</v>
      </c>
      <c r="L1743" s="10">
        <f>IFERROR(VLOOKUP(A1743,'[1]Sales Order'!A:D,4,FALSE),"")</f>
        <v>39509</v>
      </c>
      <c r="M1743" s="10">
        <f>IFERROR(VLOOKUP(A1743,'[1]Sales Order'!A:F,6,FALSE),"")</f>
        <v>39518</v>
      </c>
      <c r="N1743" t="str">
        <f>IFERROR(VLOOKUP(VLOOKUP(A1743,'[1]Sales Order'!A:G,7,FALSE),[1]Shipper!A:B,2,FALSE),"Not Specified")</f>
        <v>Shipper ZHISN</v>
      </c>
      <c r="O1743" t="str">
        <f>IFERROR(VLOOKUP(A1743,'[1]Sales Order'!A:I,9,FALSE),"Not Specified")</f>
        <v>Destination OLSSJ</v>
      </c>
      <c r="P1743" t="str">
        <f>IFERROR(VLOOKUP(A1743,'[1]Sales Order'!A:N,14,FALSE),"Not Specified")</f>
        <v>Canada</v>
      </c>
      <c r="Q1743" t="str">
        <f>VLOOKUP(VLOOKUP(B1743,[1]Product!A:C,3,FALSE),[1]Supplier!A:B,2,FALSE)</f>
        <v>Supplier OAVQT</v>
      </c>
      <c r="R1743" t="str">
        <f>VLOOKUP(VLOOKUP(B1743,[1]Product!A:C,3,FALSE),[1]Supplier!A:I,9,FALSE)</f>
        <v>France</v>
      </c>
      <c r="S1743" t="str">
        <f>IFERROR(IF(VLOOKUP(A1743,'[1]Sales Order'!A:H,8,FALSE)&gt;100,"High Freight","Low Freight"),"Not Specified")</f>
        <v>Low Freight</v>
      </c>
      <c r="T1743">
        <f t="shared" si="55"/>
        <v>637.5</v>
      </c>
    </row>
    <row r="1744" spans="1:20">
      <c r="A1744" s="1">
        <v>10919</v>
      </c>
      <c r="B1744" s="2">
        <v>16</v>
      </c>
      <c r="C1744" s="2">
        <v>17.45</v>
      </c>
      <c r="D1744" s="2">
        <v>24</v>
      </c>
      <c r="E1744" s="3">
        <v>0</v>
      </c>
      <c r="F1744" s="2" t="str">
        <f>IFERROR(VLOOKUP(VLOOKUP(A1744,'[1]Sales Order'!A:B,2,FALSE),[1]Customer!A:C,3,FALSE),"Not Specified")</f>
        <v>Lupu, Cornel</v>
      </c>
      <c r="G1744" s="2" t="str">
        <f t="shared" si="54"/>
        <v>Lupu Cornel</v>
      </c>
      <c r="H1744" s="8" t="str">
        <f>IFERROR(VLOOKUP(VLOOKUP(A1744,'[1]Sales Order'!A:C,3,FALSE),[1]Employee!A:E,5,FALSE)&amp;" "&amp;VLOOKUP(VLOOKUP(A1744,'[1]Sales Order'!A:C,3,FALSE),[1]Employee!A:C,3,FALSE)&amp;" "&amp;VLOOKUP(VLOOKUP(A1744,'[1]Sales Order'!A:C,3,FALSE),[1]Employee!A:B,2,FALSE),"Not Specified")</f>
        <v>Dr. Don Funk</v>
      </c>
      <c r="I1744" t="str">
        <f>IFERROR(VLOOKUP(VLOOKUP(A1744,'[1]Sales Order'!A:C,3,FALSE),[1]Employee!A:J,10,FALSE),"Not Specified")</f>
        <v>WA</v>
      </c>
      <c r="J1744" t="str">
        <f>VLOOKUP(B1744,[1]Product!A:B,2,FALSE)</f>
        <v>Product PAFRH</v>
      </c>
      <c r="K1744" t="str">
        <f>VLOOKUP(VLOOKUP(B1744,[1]Product!A:D,4,FALSE),[1]Category!A:B,2,FALSE)</f>
        <v>Confections</v>
      </c>
      <c r="L1744" s="10">
        <f>IFERROR(VLOOKUP(A1744,'[1]Sales Order'!A:D,4,FALSE),"")</f>
        <v>39509</v>
      </c>
      <c r="M1744" s="10">
        <f>IFERROR(VLOOKUP(A1744,'[1]Sales Order'!A:F,6,FALSE),"")</f>
        <v>39511</v>
      </c>
      <c r="N1744" t="str">
        <f>IFERROR(VLOOKUP(VLOOKUP(A1744,'[1]Sales Order'!A:G,7,FALSE),[1]Shipper!A:B,2,FALSE),"Not Specified")</f>
        <v>Shipper ETYNR</v>
      </c>
      <c r="O1744" t="str">
        <f>IFERROR(VLOOKUP(A1744,'[1]Sales Order'!A:I,9,FALSE),"Not Specified")</f>
        <v>Ship to 47-B</v>
      </c>
      <c r="P1744" t="str">
        <f>IFERROR(VLOOKUP(A1744,'[1]Sales Order'!A:N,14,FALSE),"Not Specified")</f>
        <v>Venezuela</v>
      </c>
      <c r="Q1744" t="str">
        <f>VLOOKUP(VLOOKUP(B1744,[1]Product!A:C,3,FALSE),[1]Supplier!A:B,2,FALSE)</f>
        <v>Supplier GQRCV</v>
      </c>
      <c r="R1744" t="str">
        <f>VLOOKUP(VLOOKUP(B1744,[1]Product!A:C,3,FALSE),[1]Supplier!A:I,9,FALSE)</f>
        <v>Australia</v>
      </c>
      <c r="S1744" t="str">
        <f>IFERROR(IF(VLOOKUP(A1744,'[1]Sales Order'!A:H,8,FALSE)&gt;100,"High Freight","Low Freight"),"Not Specified")</f>
        <v>Low Freight</v>
      </c>
      <c r="T1744">
        <f t="shared" si="55"/>
        <v>418.79999999999995</v>
      </c>
    </row>
    <row r="1745" spans="1:20">
      <c r="A1745" s="1">
        <v>10919</v>
      </c>
      <c r="B1745" s="2">
        <v>25</v>
      </c>
      <c r="C1745" s="2">
        <v>14</v>
      </c>
      <c r="D1745" s="2">
        <v>24</v>
      </c>
      <c r="E1745" s="3">
        <v>0</v>
      </c>
      <c r="F1745" s="2" t="str">
        <f>IFERROR(VLOOKUP(VLOOKUP(A1745,'[1]Sales Order'!A:B,2,FALSE),[1]Customer!A:C,3,FALSE),"Not Specified")</f>
        <v>Lupu, Cornel</v>
      </c>
      <c r="G1745" s="2" t="str">
        <f t="shared" si="54"/>
        <v>Lupu Cornel</v>
      </c>
      <c r="H1745" s="8" t="str">
        <f>IFERROR(VLOOKUP(VLOOKUP(A1745,'[1]Sales Order'!A:C,3,FALSE),[1]Employee!A:E,5,FALSE)&amp;" "&amp;VLOOKUP(VLOOKUP(A1745,'[1]Sales Order'!A:C,3,FALSE),[1]Employee!A:C,3,FALSE)&amp;" "&amp;VLOOKUP(VLOOKUP(A1745,'[1]Sales Order'!A:C,3,FALSE),[1]Employee!A:B,2,FALSE),"Not Specified")</f>
        <v>Dr. Don Funk</v>
      </c>
      <c r="I1745" t="str">
        <f>IFERROR(VLOOKUP(VLOOKUP(A1745,'[1]Sales Order'!A:C,3,FALSE),[1]Employee!A:J,10,FALSE),"Not Specified")</f>
        <v>WA</v>
      </c>
      <c r="J1745" t="str">
        <f>VLOOKUP(B1745,[1]Product!A:B,2,FALSE)</f>
        <v>Product LYLNI</v>
      </c>
      <c r="K1745" t="str">
        <f>VLOOKUP(VLOOKUP(B1745,[1]Product!A:D,4,FALSE),[1]Category!A:B,2,FALSE)</f>
        <v>Confections</v>
      </c>
      <c r="L1745" s="10">
        <f>IFERROR(VLOOKUP(A1745,'[1]Sales Order'!A:D,4,FALSE),"")</f>
        <v>39509</v>
      </c>
      <c r="M1745" s="10">
        <f>IFERROR(VLOOKUP(A1745,'[1]Sales Order'!A:F,6,FALSE),"")</f>
        <v>39511</v>
      </c>
      <c r="N1745" t="str">
        <f>IFERROR(VLOOKUP(VLOOKUP(A1745,'[1]Sales Order'!A:G,7,FALSE),[1]Shipper!A:B,2,FALSE),"Not Specified")</f>
        <v>Shipper ETYNR</v>
      </c>
      <c r="O1745" t="str">
        <f>IFERROR(VLOOKUP(A1745,'[1]Sales Order'!A:I,9,FALSE),"Not Specified")</f>
        <v>Ship to 47-B</v>
      </c>
      <c r="P1745" t="str">
        <f>IFERROR(VLOOKUP(A1745,'[1]Sales Order'!A:N,14,FALSE),"Not Specified")</f>
        <v>Venezuela</v>
      </c>
      <c r="Q1745" t="str">
        <f>VLOOKUP(VLOOKUP(B1745,[1]Product!A:C,3,FALSE),[1]Supplier!A:B,2,FALSE)</f>
        <v>Supplier ZPYVS</v>
      </c>
      <c r="R1745" t="str">
        <f>VLOOKUP(VLOOKUP(B1745,[1]Product!A:C,3,FALSE),[1]Supplier!A:I,9,FALSE)</f>
        <v>Germany</v>
      </c>
      <c r="S1745" t="str">
        <f>IFERROR(IF(VLOOKUP(A1745,'[1]Sales Order'!A:H,8,FALSE)&gt;100,"High Freight","Low Freight"),"Not Specified")</f>
        <v>Low Freight</v>
      </c>
      <c r="T1745">
        <f t="shared" si="55"/>
        <v>336</v>
      </c>
    </row>
    <row r="1746" spans="1:20">
      <c r="A1746" s="1">
        <v>10919</v>
      </c>
      <c r="B1746" s="2">
        <v>40</v>
      </c>
      <c r="C1746" s="2">
        <v>18.399999999999999</v>
      </c>
      <c r="D1746" s="2">
        <v>20</v>
      </c>
      <c r="E1746" s="3">
        <v>0</v>
      </c>
      <c r="F1746" s="2" t="str">
        <f>IFERROR(VLOOKUP(VLOOKUP(A1746,'[1]Sales Order'!A:B,2,FALSE),[1]Customer!A:C,3,FALSE),"Not Specified")</f>
        <v>Lupu, Cornel</v>
      </c>
      <c r="G1746" s="2" t="str">
        <f t="shared" si="54"/>
        <v>Lupu Cornel</v>
      </c>
      <c r="H1746" s="8" t="str">
        <f>IFERROR(VLOOKUP(VLOOKUP(A1746,'[1]Sales Order'!A:C,3,FALSE),[1]Employee!A:E,5,FALSE)&amp;" "&amp;VLOOKUP(VLOOKUP(A1746,'[1]Sales Order'!A:C,3,FALSE),[1]Employee!A:C,3,FALSE)&amp;" "&amp;VLOOKUP(VLOOKUP(A1746,'[1]Sales Order'!A:C,3,FALSE),[1]Employee!A:B,2,FALSE),"Not Specified")</f>
        <v>Dr. Don Funk</v>
      </c>
      <c r="I1746" t="str">
        <f>IFERROR(VLOOKUP(VLOOKUP(A1746,'[1]Sales Order'!A:C,3,FALSE),[1]Employee!A:J,10,FALSE),"Not Specified")</f>
        <v>WA</v>
      </c>
      <c r="J1746" t="str">
        <f>VLOOKUP(B1746,[1]Product!A:B,2,FALSE)</f>
        <v>Product YZIXQ</v>
      </c>
      <c r="K1746" t="str">
        <f>VLOOKUP(VLOOKUP(B1746,[1]Product!A:D,4,FALSE),[1]Category!A:B,2,FALSE)</f>
        <v>Seafood</v>
      </c>
      <c r="L1746" s="10">
        <f>IFERROR(VLOOKUP(A1746,'[1]Sales Order'!A:D,4,FALSE),"")</f>
        <v>39509</v>
      </c>
      <c r="M1746" s="10">
        <f>IFERROR(VLOOKUP(A1746,'[1]Sales Order'!A:F,6,FALSE),"")</f>
        <v>39511</v>
      </c>
      <c r="N1746" t="str">
        <f>IFERROR(VLOOKUP(VLOOKUP(A1746,'[1]Sales Order'!A:G,7,FALSE),[1]Shipper!A:B,2,FALSE),"Not Specified")</f>
        <v>Shipper ETYNR</v>
      </c>
      <c r="O1746" t="str">
        <f>IFERROR(VLOOKUP(A1746,'[1]Sales Order'!A:I,9,FALSE),"Not Specified")</f>
        <v>Ship to 47-B</v>
      </c>
      <c r="P1746" t="str">
        <f>IFERROR(VLOOKUP(A1746,'[1]Sales Order'!A:N,14,FALSE),"Not Specified")</f>
        <v>Venezuela</v>
      </c>
      <c r="Q1746" t="str">
        <f>VLOOKUP(VLOOKUP(B1746,[1]Product!A:C,3,FALSE),[1]Supplier!A:B,2,FALSE)</f>
        <v>Supplier JDNUG</v>
      </c>
      <c r="R1746" t="str">
        <f>VLOOKUP(VLOOKUP(B1746,[1]Product!A:C,3,FALSE),[1]Supplier!A:I,9,FALSE)</f>
        <v>USA</v>
      </c>
      <c r="S1746" t="str">
        <f>IFERROR(IF(VLOOKUP(A1746,'[1]Sales Order'!A:H,8,FALSE)&gt;100,"High Freight","Low Freight"),"Not Specified")</f>
        <v>Low Freight</v>
      </c>
      <c r="T1746">
        <f t="shared" si="55"/>
        <v>368</v>
      </c>
    </row>
    <row r="1747" spans="1:20">
      <c r="A1747" s="1">
        <v>10920</v>
      </c>
      <c r="B1747" s="2">
        <v>50</v>
      </c>
      <c r="C1747" s="2">
        <v>16.25</v>
      </c>
      <c r="D1747" s="2">
        <v>24</v>
      </c>
      <c r="E1747" s="3">
        <v>0</v>
      </c>
      <c r="F1747" s="2" t="str">
        <f>IFERROR(VLOOKUP(VLOOKUP(A1747,'[1]Sales Order'!A:B,2,FALSE),[1]Customer!A:C,3,FALSE),"Not Specified")</f>
        <v>Arndt, Torsten</v>
      </c>
      <c r="G1747" s="2" t="str">
        <f t="shared" si="54"/>
        <v>Arndt Torsten</v>
      </c>
      <c r="H1747" s="8" t="str">
        <f>IFERROR(VLOOKUP(VLOOKUP(A1747,'[1]Sales Order'!A:C,3,FALSE),[1]Employee!A:E,5,FALSE)&amp;" "&amp;VLOOKUP(VLOOKUP(A1747,'[1]Sales Order'!A:C,3,FALSE),[1]Employee!A:C,3,FALSE)&amp;" "&amp;VLOOKUP(VLOOKUP(A1747,'[1]Sales Order'!A:C,3,FALSE),[1]Employee!A:B,2,FALSE),"Not Specified")</f>
        <v>Mrs. Yael Peled</v>
      </c>
      <c r="I1747" t="str">
        <f>IFERROR(VLOOKUP(VLOOKUP(A1747,'[1]Sales Order'!A:C,3,FALSE),[1]Employee!A:J,10,FALSE),"Not Specified")</f>
        <v>WA</v>
      </c>
      <c r="J1747" t="str">
        <f>VLOOKUP(B1747,[1]Product!A:B,2,FALSE)</f>
        <v>Product BIUDV</v>
      </c>
      <c r="K1747" t="str">
        <f>VLOOKUP(VLOOKUP(B1747,[1]Product!A:D,4,FALSE),[1]Category!A:B,2,FALSE)</f>
        <v>Confections</v>
      </c>
      <c r="L1747" s="10">
        <f>IFERROR(VLOOKUP(A1747,'[1]Sales Order'!A:D,4,FALSE),"")</f>
        <v>39510</v>
      </c>
      <c r="M1747" s="10">
        <f>IFERROR(VLOOKUP(A1747,'[1]Sales Order'!A:F,6,FALSE),"")</f>
        <v>39516</v>
      </c>
      <c r="N1747" t="str">
        <f>IFERROR(VLOOKUP(VLOOKUP(A1747,'[1]Sales Order'!A:G,7,FALSE),[1]Shipper!A:B,2,FALSE),"Not Specified")</f>
        <v>Shipper ETYNR</v>
      </c>
      <c r="O1747" t="str">
        <f>IFERROR(VLOOKUP(A1747,'[1]Sales Order'!A:I,9,FALSE),"Not Specified")</f>
        <v>Ship to 4-A</v>
      </c>
      <c r="P1747" t="str">
        <f>IFERROR(VLOOKUP(A1747,'[1]Sales Order'!A:N,14,FALSE),"Not Specified")</f>
        <v>UK</v>
      </c>
      <c r="Q1747" t="str">
        <f>VLOOKUP(VLOOKUP(B1747,[1]Product!A:C,3,FALSE),[1]Supplier!A:B,2,FALSE)</f>
        <v>Supplier ELCRN</v>
      </c>
      <c r="R1747" t="str">
        <f>VLOOKUP(VLOOKUP(B1747,[1]Product!A:C,3,FALSE),[1]Supplier!A:I,9,FALSE)</f>
        <v>Finland</v>
      </c>
      <c r="S1747" t="str">
        <f>IFERROR(IF(VLOOKUP(A1747,'[1]Sales Order'!A:H,8,FALSE)&gt;100,"High Freight","Low Freight"),"Not Specified")</f>
        <v>Low Freight</v>
      </c>
      <c r="T1747">
        <f t="shared" si="55"/>
        <v>390</v>
      </c>
    </row>
    <row r="1748" spans="1:20">
      <c r="A1748" s="1">
        <v>10921</v>
      </c>
      <c r="B1748" s="2">
        <v>35</v>
      </c>
      <c r="C1748" s="2">
        <v>18</v>
      </c>
      <c r="D1748" s="2">
        <v>10</v>
      </c>
      <c r="E1748" s="3">
        <v>0</v>
      </c>
      <c r="F1748" s="2" t="str">
        <f>IFERROR(VLOOKUP(VLOOKUP(A1748,'[1]Sales Order'!A:B,2,FALSE),[1]Customer!A:C,3,FALSE),"Not Specified")</f>
        <v>Fonteneau, Karl</v>
      </c>
      <c r="G1748" s="2" t="str">
        <f t="shared" si="54"/>
        <v>Fonteneau Karl</v>
      </c>
      <c r="H1748" s="8" t="str">
        <f>IFERROR(VLOOKUP(VLOOKUP(A1748,'[1]Sales Order'!A:C,3,FALSE),[1]Employee!A:E,5,FALSE)&amp;" "&amp;VLOOKUP(VLOOKUP(A1748,'[1]Sales Order'!A:C,3,FALSE),[1]Employee!A:C,3,FALSE)&amp;" "&amp;VLOOKUP(VLOOKUP(A1748,'[1]Sales Order'!A:C,3,FALSE),[1]Employee!A:B,2,FALSE),"Not Specified")</f>
        <v>Ms. Sara Davis</v>
      </c>
      <c r="I1748" t="str">
        <f>IFERROR(VLOOKUP(VLOOKUP(A1748,'[1]Sales Order'!A:C,3,FALSE),[1]Employee!A:J,10,FALSE),"Not Specified")</f>
        <v>WA</v>
      </c>
      <c r="J1748" t="str">
        <f>VLOOKUP(B1748,[1]Product!A:B,2,FALSE)</f>
        <v>Product NEVTJ</v>
      </c>
      <c r="K1748" t="str">
        <f>VLOOKUP(VLOOKUP(B1748,[1]Product!A:D,4,FALSE),[1]Category!A:B,2,FALSE)</f>
        <v>Beverages</v>
      </c>
      <c r="L1748" s="10">
        <f>IFERROR(VLOOKUP(A1748,'[1]Sales Order'!A:D,4,FALSE),"")</f>
        <v>39510</v>
      </c>
      <c r="M1748" s="10">
        <f>IFERROR(VLOOKUP(A1748,'[1]Sales Order'!A:F,6,FALSE),"")</f>
        <v>39516</v>
      </c>
      <c r="N1748" t="str">
        <f>IFERROR(VLOOKUP(VLOOKUP(A1748,'[1]Sales Order'!A:G,7,FALSE),[1]Shipper!A:B,2,FALSE),"Not Specified")</f>
        <v>Shipper GVSUA</v>
      </c>
      <c r="O1748" t="str">
        <f>IFERROR(VLOOKUP(A1748,'[1]Sales Order'!A:I,9,FALSE),"Not Specified")</f>
        <v>Ship to 83-A</v>
      </c>
      <c r="P1748" t="str">
        <f>IFERROR(VLOOKUP(A1748,'[1]Sales Order'!A:N,14,FALSE),"Not Specified")</f>
        <v>Denmark</v>
      </c>
      <c r="Q1748" t="str">
        <f>VLOOKUP(VLOOKUP(B1748,[1]Product!A:C,3,FALSE),[1]Supplier!A:B,2,FALSE)</f>
        <v>Supplier UHZRG</v>
      </c>
      <c r="R1748" t="str">
        <f>VLOOKUP(VLOOKUP(B1748,[1]Product!A:C,3,FALSE),[1]Supplier!A:I,9,FALSE)</f>
        <v>USA</v>
      </c>
      <c r="S1748" t="str">
        <f>IFERROR(IF(VLOOKUP(A1748,'[1]Sales Order'!A:H,8,FALSE)&gt;100,"High Freight","Low Freight"),"Not Specified")</f>
        <v>High Freight</v>
      </c>
      <c r="T1748">
        <f t="shared" si="55"/>
        <v>180</v>
      </c>
    </row>
    <row r="1749" spans="1:20">
      <c r="A1749" s="1">
        <v>10921</v>
      </c>
      <c r="B1749" s="2">
        <v>63</v>
      </c>
      <c r="C1749" s="2">
        <v>43.9</v>
      </c>
      <c r="D1749" s="2">
        <v>40</v>
      </c>
      <c r="E1749" s="3">
        <v>0</v>
      </c>
      <c r="F1749" s="2" t="str">
        <f>IFERROR(VLOOKUP(VLOOKUP(A1749,'[1]Sales Order'!A:B,2,FALSE),[1]Customer!A:C,3,FALSE),"Not Specified")</f>
        <v>Fonteneau, Karl</v>
      </c>
      <c r="G1749" s="2" t="str">
        <f t="shared" si="54"/>
        <v>Fonteneau Karl</v>
      </c>
      <c r="H1749" s="8" t="str">
        <f>IFERROR(VLOOKUP(VLOOKUP(A1749,'[1]Sales Order'!A:C,3,FALSE),[1]Employee!A:E,5,FALSE)&amp;" "&amp;VLOOKUP(VLOOKUP(A1749,'[1]Sales Order'!A:C,3,FALSE),[1]Employee!A:C,3,FALSE)&amp;" "&amp;VLOOKUP(VLOOKUP(A1749,'[1]Sales Order'!A:C,3,FALSE),[1]Employee!A:B,2,FALSE),"Not Specified")</f>
        <v>Ms. Sara Davis</v>
      </c>
      <c r="I1749" t="str">
        <f>IFERROR(VLOOKUP(VLOOKUP(A1749,'[1]Sales Order'!A:C,3,FALSE),[1]Employee!A:J,10,FALSE),"Not Specified")</f>
        <v>WA</v>
      </c>
      <c r="J1749" t="str">
        <f>VLOOKUP(B1749,[1]Product!A:B,2,FALSE)</f>
        <v>Product ICKNK</v>
      </c>
      <c r="K1749" t="str">
        <f>VLOOKUP(VLOOKUP(B1749,[1]Product!A:D,4,FALSE),[1]Category!A:B,2,FALSE)</f>
        <v>Condiments</v>
      </c>
      <c r="L1749" s="10">
        <f>IFERROR(VLOOKUP(A1749,'[1]Sales Order'!A:D,4,FALSE),"")</f>
        <v>39510</v>
      </c>
      <c r="M1749" s="10">
        <f>IFERROR(VLOOKUP(A1749,'[1]Sales Order'!A:F,6,FALSE),"")</f>
        <v>39516</v>
      </c>
      <c r="N1749" t="str">
        <f>IFERROR(VLOOKUP(VLOOKUP(A1749,'[1]Sales Order'!A:G,7,FALSE),[1]Shipper!A:B,2,FALSE),"Not Specified")</f>
        <v>Shipper GVSUA</v>
      </c>
      <c r="O1749" t="str">
        <f>IFERROR(VLOOKUP(A1749,'[1]Sales Order'!A:I,9,FALSE),"Not Specified")</f>
        <v>Ship to 83-A</v>
      </c>
      <c r="P1749" t="str">
        <f>IFERROR(VLOOKUP(A1749,'[1]Sales Order'!A:N,14,FALSE),"Not Specified")</f>
        <v>Denmark</v>
      </c>
      <c r="Q1749" t="str">
        <f>VLOOKUP(VLOOKUP(B1749,[1]Product!A:C,3,FALSE),[1]Supplier!A:B,2,FALSE)</f>
        <v>Supplier GQRCV</v>
      </c>
      <c r="R1749" t="str">
        <f>VLOOKUP(VLOOKUP(B1749,[1]Product!A:C,3,FALSE),[1]Supplier!A:I,9,FALSE)</f>
        <v>Australia</v>
      </c>
      <c r="S1749" t="str">
        <f>IFERROR(IF(VLOOKUP(A1749,'[1]Sales Order'!A:H,8,FALSE)&gt;100,"High Freight","Low Freight"),"Not Specified")</f>
        <v>High Freight</v>
      </c>
      <c r="T1749">
        <f t="shared" si="55"/>
        <v>1756</v>
      </c>
    </row>
    <row r="1750" spans="1:20">
      <c r="A1750" s="1">
        <v>10922</v>
      </c>
      <c r="B1750" s="2">
        <v>17</v>
      </c>
      <c r="C1750" s="2">
        <v>39</v>
      </c>
      <c r="D1750" s="2">
        <v>15</v>
      </c>
      <c r="E1750" s="3">
        <v>0</v>
      </c>
      <c r="F1750" s="2" t="str">
        <f>IFERROR(VLOOKUP(VLOOKUP(A1750,'[1]Sales Order'!A:B,2,FALSE),[1]Customer!A:C,3,FALSE),"Not Specified")</f>
        <v>Cohen, Shy</v>
      </c>
      <c r="G1750" s="2" t="str">
        <f t="shared" si="54"/>
        <v>Cohen Shy</v>
      </c>
      <c r="H1750" s="8" t="str">
        <f>IFERROR(VLOOKUP(VLOOKUP(A1750,'[1]Sales Order'!A:C,3,FALSE),[1]Employee!A:E,5,FALSE)&amp;" "&amp;VLOOKUP(VLOOKUP(A1750,'[1]Sales Order'!A:C,3,FALSE),[1]Employee!A:C,3,FALSE)&amp;" "&amp;VLOOKUP(VLOOKUP(A1750,'[1]Sales Order'!A:C,3,FALSE),[1]Employee!A:B,2,FALSE),"Not Specified")</f>
        <v>Mr. Sven Buck</v>
      </c>
      <c r="I1750">
        <f>IFERROR(VLOOKUP(VLOOKUP(A1750,'[1]Sales Order'!A:C,3,FALSE),[1]Employee!A:J,10,FALSE),"Not Specified")</f>
        <v>0</v>
      </c>
      <c r="J1750" t="str">
        <f>VLOOKUP(B1750,[1]Product!A:B,2,FALSE)</f>
        <v>Product BLCAX</v>
      </c>
      <c r="K1750" t="str">
        <f>VLOOKUP(VLOOKUP(B1750,[1]Product!A:D,4,FALSE),[1]Category!A:B,2,FALSE)</f>
        <v>Meat/Poultry</v>
      </c>
      <c r="L1750" s="10">
        <f>IFERROR(VLOOKUP(A1750,'[1]Sales Order'!A:D,4,FALSE),"")</f>
        <v>39510</v>
      </c>
      <c r="M1750" s="10">
        <f>IFERROR(VLOOKUP(A1750,'[1]Sales Order'!A:F,6,FALSE),"")</f>
        <v>39512</v>
      </c>
      <c r="N1750" t="str">
        <f>IFERROR(VLOOKUP(VLOOKUP(A1750,'[1]Sales Order'!A:G,7,FALSE),[1]Shipper!A:B,2,FALSE),"Not Specified")</f>
        <v>Shipper ZHISN</v>
      </c>
      <c r="O1750" t="str">
        <f>IFERROR(VLOOKUP(A1750,'[1]Sales Order'!A:I,9,FALSE),"Not Specified")</f>
        <v>Destination DPCVR</v>
      </c>
      <c r="P1750" t="str">
        <f>IFERROR(VLOOKUP(A1750,'[1]Sales Order'!A:N,14,FALSE),"Not Specified")</f>
        <v>Brazil</v>
      </c>
      <c r="Q1750" t="str">
        <f>VLOOKUP(VLOOKUP(B1750,[1]Product!A:C,3,FALSE),[1]Supplier!A:B,2,FALSE)</f>
        <v>Supplier GQRCV</v>
      </c>
      <c r="R1750" t="str">
        <f>VLOOKUP(VLOOKUP(B1750,[1]Product!A:C,3,FALSE),[1]Supplier!A:I,9,FALSE)</f>
        <v>Australia</v>
      </c>
      <c r="S1750" t="str">
        <f>IFERROR(IF(VLOOKUP(A1750,'[1]Sales Order'!A:H,8,FALSE)&gt;100,"High Freight","Low Freight"),"Not Specified")</f>
        <v>Low Freight</v>
      </c>
      <c r="T1750">
        <f t="shared" si="55"/>
        <v>585</v>
      </c>
    </row>
    <row r="1751" spans="1:20">
      <c r="A1751" s="1">
        <v>10922</v>
      </c>
      <c r="B1751" s="2">
        <v>24</v>
      </c>
      <c r="C1751" s="2">
        <v>4.5</v>
      </c>
      <c r="D1751" s="2">
        <v>35</v>
      </c>
      <c r="E1751" s="3">
        <v>0</v>
      </c>
      <c r="F1751" s="2" t="str">
        <f>IFERROR(VLOOKUP(VLOOKUP(A1751,'[1]Sales Order'!A:B,2,FALSE),[1]Customer!A:C,3,FALSE),"Not Specified")</f>
        <v>Cohen, Shy</v>
      </c>
      <c r="G1751" s="2" t="str">
        <f t="shared" si="54"/>
        <v>Cohen Shy</v>
      </c>
      <c r="H1751" s="8" t="str">
        <f>IFERROR(VLOOKUP(VLOOKUP(A1751,'[1]Sales Order'!A:C,3,FALSE),[1]Employee!A:E,5,FALSE)&amp;" "&amp;VLOOKUP(VLOOKUP(A1751,'[1]Sales Order'!A:C,3,FALSE),[1]Employee!A:C,3,FALSE)&amp;" "&amp;VLOOKUP(VLOOKUP(A1751,'[1]Sales Order'!A:C,3,FALSE),[1]Employee!A:B,2,FALSE),"Not Specified")</f>
        <v>Mr. Sven Buck</v>
      </c>
      <c r="I1751">
        <f>IFERROR(VLOOKUP(VLOOKUP(A1751,'[1]Sales Order'!A:C,3,FALSE),[1]Employee!A:J,10,FALSE),"Not Specified")</f>
        <v>0</v>
      </c>
      <c r="J1751" t="str">
        <f>VLOOKUP(B1751,[1]Product!A:B,2,FALSE)</f>
        <v>Product QOGNU</v>
      </c>
      <c r="K1751" t="str">
        <f>VLOOKUP(VLOOKUP(B1751,[1]Product!A:D,4,FALSE),[1]Category!A:B,2,FALSE)</f>
        <v>Beverages</v>
      </c>
      <c r="L1751" s="10">
        <f>IFERROR(VLOOKUP(A1751,'[1]Sales Order'!A:D,4,FALSE),"")</f>
        <v>39510</v>
      </c>
      <c r="M1751" s="10">
        <f>IFERROR(VLOOKUP(A1751,'[1]Sales Order'!A:F,6,FALSE),"")</f>
        <v>39512</v>
      </c>
      <c r="N1751" t="str">
        <f>IFERROR(VLOOKUP(VLOOKUP(A1751,'[1]Sales Order'!A:G,7,FALSE),[1]Shipper!A:B,2,FALSE),"Not Specified")</f>
        <v>Shipper ZHISN</v>
      </c>
      <c r="O1751" t="str">
        <f>IFERROR(VLOOKUP(A1751,'[1]Sales Order'!A:I,9,FALSE),"Not Specified")</f>
        <v>Destination DPCVR</v>
      </c>
      <c r="P1751" t="str">
        <f>IFERROR(VLOOKUP(A1751,'[1]Sales Order'!A:N,14,FALSE),"Not Specified")</f>
        <v>Brazil</v>
      </c>
      <c r="Q1751" t="str">
        <f>VLOOKUP(VLOOKUP(B1751,[1]Product!A:C,3,FALSE),[1]Supplier!A:B,2,FALSE)</f>
        <v>Supplier UNAHG</v>
      </c>
      <c r="R1751" t="str">
        <f>VLOOKUP(VLOOKUP(B1751,[1]Product!A:C,3,FALSE),[1]Supplier!A:I,9,FALSE)</f>
        <v>Brazil</v>
      </c>
      <c r="S1751" t="str">
        <f>IFERROR(IF(VLOOKUP(A1751,'[1]Sales Order'!A:H,8,FALSE)&gt;100,"High Freight","Low Freight"),"Not Specified")</f>
        <v>Low Freight</v>
      </c>
      <c r="T1751">
        <f t="shared" si="55"/>
        <v>157.5</v>
      </c>
    </row>
    <row r="1752" spans="1:20">
      <c r="A1752" s="1">
        <v>10923</v>
      </c>
      <c r="B1752" s="2">
        <v>42</v>
      </c>
      <c r="C1752" s="2">
        <v>14</v>
      </c>
      <c r="D1752" s="2">
        <v>10</v>
      </c>
      <c r="E1752" s="3">
        <v>0.2</v>
      </c>
      <c r="F1752" s="2" t="str">
        <f>IFERROR(VLOOKUP(VLOOKUP(A1752,'[1]Sales Order'!A:B,2,FALSE),[1]Customer!A:C,3,FALSE),"Not Specified")</f>
        <v>Litton, Tim</v>
      </c>
      <c r="G1752" s="2" t="str">
        <f t="shared" si="54"/>
        <v>Litton Tim</v>
      </c>
      <c r="H1752" s="8" t="str">
        <f>IFERROR(VLOOKUP(VLOOKUP(A1752,'[1]Sales Order'!A:C,3,FALSE),[1]Employee!A:E,5,FALSE)&amp;" "&amp;VLOOKUP(VLOOKUP(A1752,'[1]Sales Order'!A:C,3,FALSE),[1]Employee!A:C,3,FALSE)&amp;" "&amp;VLOOKUP(VLOOKUP(A1752,'[1]Sales Order'!A:C,3,FALSE),[1]Employee!A:B,2,FALSE),"Not Specified")</f>
        <v>Mr. Russell King</v>
      </c>
      <c r="I1752">
        <f>IFERROR(VLOOKUP(VLOOKUP(A1752,'[1]Sales Order'!A:C,3,FALSE),[1]Employee!A:J,10,FALSE),"Not Specified")</f>
        <v>0</v>
      </c>
      <c r="J1752" t="str">
        <f>VLOOKUP(B1752,[1]Product!A:B,2,FALSE)</f>
        <v>Product RJVNM</v>
      </c>
      <c r="K1752" t="str">
        <f>VLOOKUP(VLOOKUP(B1752,[1]Product!A:D,4,FALSE),[1]Category!A:B,2,FALSE)</f>
        <v>Grains/Cereals</v>
      </c>
      <c r="L1752" s="10">
        <f>IFERROR(VLOOKUP(A1752,'[1]Sales Order'!A:D,4,FALSE),"")</f>
        <v>39510</v>
      </c>
      <c r="M1752" s="10">
        <f>IFERROR(VLOOKUP(A1752,'[1]Sales Order'!A:F,6,FALSE),"")</f>
        <v>39520</v>
      </c>
      <c r="N1752" t="str">
        <f>IFERROR(VLOOKUP(VLOOKUP(A1752,'[1]Sales Order'!A:G,7,FALSE),[1]Shipper!A:B,2,FALSE),"Not Specified")</f>
        <v>Shipper ZHISN</v>
      </c>
      <c r="O1752" t="str">
        <f>IFERROR(VLOOKUP(A1752,'[1]Sales Order'!A:I,9,FALSE),"Not Specified")</f>
        <v>Destination OLJND</v>
      </c>
      <c r="P1752" t="str">
        <f>IFERROR(VLOOKUP(A1752,'[1]Sales Order'!A:N,14,FALSE),"Not Specified")</f>
        <v>France</v>
      </c>
      <c r="Q1752" t="str">
        <f>VLOOKUP(VLOOKUP(B1752,[1]Product!A:C,3,FALSE),[1]Supplier!A:B,2,FALSE)</f>
        <v>Supplier CIYNM</v>
      </c>
      <c r="R1752" t="str">
        <f>VLOOKUP(VLOOKUP(B1752,[1]Product!A:C,3,FALSE),[1]Supplier!A:I,9,FALSE)</f>
        <v>Singapore</v>
      </c>
      <c r="S1752" t="str">
        <f>IFERROR(IF(VLOOKUP(A1752,'[1]Sales Order'!A:H,8,FALSE)&gt;100,"High Freight","Low Freight"),"Not Specified")</f>
        <v>Low Freight</v>
      </c>
      <c r="T1752">
        <f t="shared" si="55"/>
        <v>112</v>
      </c>
    </row>
    <row r="1753" spans="1:20">
      <c r="A1753" s="1">
        <v>10923</v>
      </c>
      <c r="B1753" s="2">
        <v>43</v>
      </c>
      <c r="C1753" s="2">
        <v>46</v>
      </c>
      <c r="D1753" s="2">
        <v>10</v>
      </c>
      <c r="E1753" s="3">
        <v>0.2</v>
      </c>
      <c r="F1753" s="2" t="str">
        <f>IFERROR(VLOOKUP(VLOOKUP(A1753,'[1]Sales Order'!A:B,2,FALSE),[1]Customer!A:C,3,FALSE),"Not Specified")</f>
        <v>Litton, Tim</v>
      </c>
      <c r="G1753" s="2" t="str">
        <f t="shared" si="54"/>
        <v>Litton Tim</v>
      </c>
      <c r="H1753" s="8" t="str">
        <f>IFERROR(VLOOKUP(VLOOKUP(A1753,'[1]Sales Order'!A:C,3,FALSE),[1]Employee!A:E,5,FALSE)&amp;" "&amp;VLOOKUP(VLOOKUP(A1753,'[1]Sales Order'!A:C,3,FALSE),[1]Employee!A:C,3,FALSE)&amp;" "&amp;VLOOKUP(VLOOKUP(A1753,'[1]Sales Order'!A:C,3,FALSE),[1]Employee!A:B,2,FALSE),"Not Specified")</f>
        <v>Mr. Russell King</v>
      </c>
      <c r="I1753">
        <f>IFERROR(VLOOKUP(VLOOKUP(A1753,'[1]Sales Order'!A:C,3,FALSE),[1]Employee!A:J,10,FALSE),"Not Specified")</f>
        <v>0</v>
      </c>
      <c r="J1753" t="str">
        <f>VLOOKUP(B1753,[1]Product!A:B,2,FALSE)</f>
        <v>Product ZZZHR</v>
      </c>
      <c r="K1753" t="str">
        <f>VLOOKUP(VLOOKUP(B1753,[1]Product!A:D,4,FALSE),[1]Category!A:B,2,FALSE)</f>
        <v>Beverages</v>
      </c>
      <c r="L1753" s="10">
        <f>IFERROR(VLOOKUP(A1753,'[1]Sales Order'!A:D,4,FALSE),"")</f>
        <v>39510</v>
      </c>
      <c r="M1753" s="10">
        <f>IFERROR(VLOOKUP(A1753,'[1]Sales Order'!A:F,6,FALSE),"")</f>
        <v>39520</v>
      </c>
      <c r="N1753" t="str">
        <f>IFERROR(VLOOKUP(VLOOKUP(A1753,'[1]Sales Order'!A:G,7,FALSE),[1]Shipper!A:B,2,FALSE),"Not Specified")</f>
        <v>Shipper ZHISN</v>
      </c>
      <c r="O1753" t="str">
        <f>IFERROR(VLOOKUP(A1753,'[1]Sales Order'!A:I,9,FALSE),"Not Specified")</f>
        <v>Destination OLJND</v>
      </c>
      <c r="P1753" t="str">
        <f>IFERROR(VLOOKUP(A1753,'[1]Sales Order'!A:N,14,FALSE),"Not Specified")</f>
        <v>France</v>
      </c>
      <c r="Q1753" t="str">
        <f>VLOOKUP(VLOOKUP(B1753,[1]Product!A:C,3,FALSE),[1]Supplier!A:B,2,FALSE)</f>
        <v>Supplier CIYNM</v>
      </c>
      <c r="R1753" t="str">
        <f>VLOOKUP(VLOOKUP(B1753,[1]Product!A:C,3,FALSE),[1]Supplier!A:I,9,FALSE)</f>
        <v>Singapore</v>
      </c>
      <c r="S1753" t="str">
        <f>IFERROR(IF(VLOOKUP(A1753,'[1]Sales Order'!A:H,8,FALSE)&gt;100,"High Freight","Low Freight"),"Not Specified")</f>
        <v>Low Freight</v>
      </c>
      <c r="T1753">
        <f t="shared" si="55"/>
        <v>368</v>
      </c>
    </row>
    <row r="1754" spans="1:20">
      <c r="A1754" s="1">
        <v>10923</v>
      </c>
      <c r="B1754" s="2">
        <v>67</v>
      </c>
      <c r="C1754" s="2">
        <v>14</v>
      </c>
      <c r="D1754" s="2">
        <v>24</v>
      </c>
      <c r="E1754" s="3">
        <v>0.2</v>
      </c>
      <c r="F1754" s="2" t="str">
        <f>IFERROR(VLOOKUP(VLOOKUP(A1754,'[1]Sales Order'!A:B,2,FALSE),[1]Customer!A:C,3,FALSE),"Not Specified")</f>
        <v>Litton, Tim</v>
      </c>
      <c r="G1754" s="2" t="str">
        <f t="shared" si="54"/>
        <v>Litton Tim</v>
      </c>
      <c r="H1754" s="8" t="str">
        <f>IFERROR(VLOOKUP(VLOOKUP(A1754,'[1]Sales Order'!A:C,3,FALSE),[1]Employee!A:E,5,FALSE)&amp;" "&amp;VLOOKUP(VLOOKUP(A1754,'[1]Sales Order'!A:C,3,FALSE),[1]Employee!A:C,3,FALSE)&amp;" "&amp;VLOOKUP(VLOOKUP(A1754,'[1]Sales Order'!A:C,3,FALSE),[1]Employee!A:B,2,FALSE),"Not Specified")</f>
        <v>Mr. Russell King</v>
      </c>
      <c r="I1754">
        <f>IFERROR(VLOOKUP(VLOOKUP(A1754,'[1]Sales Order'!A:C,3,FALSE),[1]Employee!A:J,10,FALSE),"Not Specified")</f>
        <v>0</v>
      </c>
      <c r="J1754" t="str">
        <f>VLOOKUP(B1754,[1]Product!A:B,2,FALSE)</f>
        <v>Product XLXQF</v>
      </c>
      <c r="K1754" t="str">
        <f>VLOOKUP(VLOOKUP(B1754,[1]Product!A:D,4,FALSE),[1]Category!A:B,2,FALSE)</f>
        <v>Beverages</v>
      </c>
      <c r="L1754" s="10">
        <f>IFERROR(VLOOKUP(A1754,'[1]Sales Order'!A:D,4,FALSE),"")</f>
        <v>39510</v>
      </c>
      <c r="M1754" s="10">
        <f>IFERROR(VLOOKUP(A1754,'[1]Sales Order'!A:F,6,FALSE),"")</f>
        <v>39520</v>
      </c>
      <c r="N1754" t="str">
        <f>IFERROR(VLOOKUP(VLOOKUP(A1754,'[1]Sales Order'!A:G,7,FALSE),[1]Shipper!A:B,2,FALSE),"Not Specified")</f>
        <v>Shipper ZHISN</v>
      </c>
      <c r="O1754" t="str">
        <f>IFERROR(VLOOKUP(A1754,'[1]Sales Order'!A:I,9,FALSE),"Not Specified")</f>
        <v>Destination OLJND</v>
      </c>
      <c r="P1754" t="str">
        <f>IFERROR(VLOOKUP(A1754,'[1]Sales Order'!A:N,14,FALSE),"Not Specified")</f>
        <v>France</v>
      </c>
      <c r="Q1754" t="str">
        <f>VLOOKUP(VLOOKUP(B1754,[1]Product!A:C,3,FALSE),[1]Supplier!A:B,2,FALSE)</f>
        <v>Supplier UHZRG</v>
      </c>
      <c r="R1754" t="str">
        <f>VLOOKUP(VLOOKUP(B1754,[1]Product!A:C,3,FALSE),[1]Supplier!A:I,9,FALSE)</f>
        <v>USA</v>
      </c>
      <c r="S1754" t="str">
        <f>IFERROR(IF(VLOOKUP(A1754,'[1]Sales Order'!A:H,8,FALSE)&gt;100,"High Freight","Low Freight"),"Not Specified")</f>
        <v>Low Freight</v>
      </c>
      <c r="T1754">
        <f t="shared" si="55"/>
        <v>268.8</v>
      </c>
    </row>
    <row r="1755" spans="1:20">
      <c r="A1755" s="1">
        <v>10924</v>
      </c>
      <c r="B1755" s="2">
        <v>10</v>
      </c>
      <c r="C1755" s="2">
        <v>31</v>
      </c>
      <c r="D1755" s="2">
        <v>20</v>
      </c>
      <c r="E1755" s="3">
        <v>0.1</v>
      </c>
      <c r="F1755" s="2" t="str">
        <f>IFERROR(VLOOKUP(VLOOKUP(A1755,'[1]Sales Order'!A:B,2,FALSE),[1]Customer!A:C,3,FALSE),"Not Specified")</f>
        <v>Higginbotham, Tom</v>
      </c>
      <c r="G1755" s="2" t="str">
        <f t="shared" si="54"/>
        <v>Higginbotham Tom</v>
      </c>
      <c r="H1755" s="8" t="str">
        <f>IFERROR(VLOOKUP(VLOOKUP(A1755,'[1]Sales Order'!A:C,3,FALSE),[1]Employee!A:E,5,FALSE)&amp;" "&amp;VLOOKUP(VLOOKUP(A1755,'[1]Sales Order'!A:C,3,FALSE),[1]Employee!A:C,3,FALSE)&amp;" "&amp;VLOOKUP(VLOOKUP(A1755,'[1]Sales Order'!A:C,3,FALSE),[1]Employee!A:B,2,FALSE),"Not Specified")</f>
        <v>Ms. Judy Lew</v>
      </c>
      <c r="I1755" t="str">
        <f>IFERROR(VLOOKUP(VLOOKUP(A1755,'[1]Sales Order'!A:C,3,FALSE),[1]Employee!A:J,10,FALSE),"Not Specified")</f>
        <v>WA</v>
      </c>
      <c r="J1755" t="str">
        <f>VLOOKUP(B1755,[1]Product!A:B,2,FALSE)</f>
        <v>Product YHXGE</v>
      </c>
      <c r="K1755" t="str">
        <f>VLOOKUP(VLOOKUP(B1755,[1]Product!A:D,4,FALSE),[1]Category!A:B,2,FALSE)</f>
        <v>Seafood</v>
      </c>
      <c r="L1755" s="10">
        <f>IFERROR(VLOOKUP(A1755,'[1]Sales Order'!A:D,4,FALSE),"")</f>
        <v>39511</v>
      </c>
      <c r="M1755" s="10">
        <f>IFERROR(VLOOKUP(A1755,'[1]Sales Order'!A:F,6,FALSE),"")</f>
        <v>39546</v>
      </c>
      <c r="N1755" t="str">
        <f>IFERROR(VLOOKUP(VLOOKUP(A1755,'[1]Sales Order'!A:G,7,FALSE),[1]Shipper!A:B,2,FALSE),"Not Specified")</f>
        <v>Shipper ETYNR</v>
      </c>
      <c r="O1755" t="str">
        <f>IFERROR(VLOOKUP(A1755,'[1]Sales Order'!A:I,9,FALSE),"Not Specified")</f>
        <v>Ship to 5-A</v>
      </c>
      <c r="P1755" t="str">
        <f>IFERROR(VLOOKUP(A1755,'[1]Sales Order'!A:N,14,FALSE),"Not Specified")</f>
        <v>Sweden</v>
      </c>
      <c r="Q1755" t="str">
        <f>VLOOKUP(VLOOKUP(B1755,[1]Product!A:C,3,FALSE),[1]Supplier!A:B,2,FALSE)</f>
        <v>Supplier QOVFD</v>
      </c>
      <c r="R1755" t="str">
        <f>VLOOKUP(VLOOKUP(B1755,[1]Product!A:C,3,FALSE),[1]Supplier!A:I,9,FALSE)</f>
        <v>Japan</v>
      </c>
      <c r="S1755" t="str">
        <f>IFERROR(IF(VLOOKUP(A1755,'[1]Sales Order'!A:H,8,FALSE)&gt;100,"High Freight","Low Freight"),"Not Specified")</f>
        <v>High Freight</v>
      </c>
      <c r="T1755">
        <f t="shared" si="55"/>
        <v>558</v>
      </c>
    </row>
    <row r="1756" spans="1:20">
      <c r="A1756" s="1">
        <v>10924</v>
      </c>
      <c r="B1756" s="2">
        <v>28</v>
      </c>
      <c r="C1756" s="2">
        <v>45.6</v>
      </c>
      <c r="D1756" s="2">
        <v>30</v>
      </c>
      <c r="E1756" s="3">
        <v>0.1</v>
      </c>
      <c r="F1756" s="2" t="str">
        <f>IFERROR(VLOOKUP(VLOOKUP(A1756,'[1]Sales Order'!A:B,2,FALSE),[1]Customer!A:C,3,FALSE),"Not Specified")</f>
        <v>Higginbotham, Tom</v>
      </c>
      <c r="G1756" s="2" t="str">
        <f t="shared" si="54"/>
        <v>Higginbotham Tom</v>
      </c>
      <c r="H1756" s="8" t="str">
        <f>IFERROR(VLOOKUP(VLOOKUP(A1756,'[1]Sales Order'!A:C,3,FALSE),[1]Employee!A:E,5,FALSE)&amp;" "&amp;VLOOKUP(VLOOKUP(A1756,'[1]Sales Order'!A:C,3,FALSE),[1]Employee!A:C,3,FALSE)&amp;" "&amp;VLOOKUP(VLOOKUP(A1756,'[1]Sales Order'!A:C,3,FALSE),[1]Employee!A:B,2,FALSE),"Not Specified")</f>
        <v>Ms. Judy Lew</v>
      </c>
      <c r="I1756" t="str">
        <f>IFERROR(VLOOKUP(VLOOKUP(A1756,'[1]Sales Order'!A:C,3,FALSE),[1]Employee!A:J,10,FALSE),"Not Specified")</f>
        <v>WA</v>
      </c>
      <c r="J1756" t="str">
        <f>VLOOKUP(B1756,[1]Product!A:B,2,FALSE)</f>
        <v>Product OFBNT</v>
      </c>
      <c r="K1756" t="str">
        <f>VLOOKUP(VLOOKUP(B1756,[1]Product!A:D,4,FALSE),[1]Category!A:B,2,FALSE)</f>
        <v>Produce</v>
      </c>
      <c r="L1756" s="10">
        <f>IFERROR(VLOOKUP(A1756,'[1]Sales Order'!A:D,4,FALSE),"")</f>
        <v>39511</v>
      </c>
      <c r="M1756" s="10">
        <f>IFERROR(VLOOKUP(A1756,'[1]Sales Order'!A:F,6,FALSE),"")</f>
        <v>39546</v>
      </c>
      <c r="N1756" t="str">
        <f>IFERROR(VLOOKUP(VLOOKUP(A1756,'[1]Sales Order'!A:G,7,FALSE),[1]Shipper!A:B,2,FALSE),"Not Specified")</f>
        <v>Shipper ETYNR</v>
      </c>
      <c r="O1756" t="str">
        <f>IFERROR(VLOOKUP(A1756,'[1]Sales Order'!A:I,9,FALSE),"Not Specified")</f>
        <v>Ship to 5-A</v>
      </c>
      <c r="P1756" t="str">
        <f>IFERROR(VLOOKUP(A1756,'[1]Sales Order'!A:N,14,FALSE),"Not Specified")</f>
        <v>Sweden</v>
      </c>
      <c r="Q1756" t="str">
        <f>VLOOKUP(VLOOKUP(B1756,[1]Product!A:C,3,FALSE),[1]Supplier!A:B,2,FALSE)</f>
        <v>Supplier SVIYA</v>
      </c>
      <c r="R1756" t="str">
        <f>VLOOKUP(VLOOKUP(B1756,[1]Product!A:C,3,FALSE),[1]Supplier!A:I,9,FALSE)</f>
        <v>Germany</v>
      </c>
      <c r="S1756" t="str">
        <f>IFERROR(IF(VLOOKUP(A1756,'[1]Sales Order'!A:H,8,FALSE)&gt;100,"High Freight","Low Freight"),"Not Specified")</f>
        <v>High Freight</v>
      </c>
      <c r="T1756">
        <f t="shared" si="55"/>
        <v>1231.2</v>
      </c>
    </row>
    <row r="1757" spans="1:20">
      <c r="A1757" s="1">
        <v>10924</v>
      </c>
      <c r="B1757" s="2">
        <v>75</v>
      </c>
      <c r="C1757" s="2">
        <v>7.75</v>
      </c>
      <c r="D1757" s="2">
        <v>6</v>
      </c>
      <c r="E1757" s="3">
        <v>0</v>
      </c>
      <c r="F1757" s="2" t="str">
        <f>IFERROR(VLOOKUP(VLOOKUP(A1757,'[1]Sales Order'!A:B,2,FALSE),[1]Customer!A:C,3,FALSE),"Not Specified")</f>
        <v>Higginbotham, Tom</v>
      </c>
      <c r="G1757" s="2" t="str">
        <f t="shared" si="54"/>
        <v>Higginbotham Tom</v>
      </c>
      <c r="H1757" s="8" t="str">
        <f>IFERROR(VLOOKUP(VLOOKUP(A1757,'[1]Sales Order'!A:C,3,FALSE),[1]Employee!A:E,5,FALSE)&amp;" "&amp;VLOOKUP(VLOOKUP(A1757,'[1]Sales Order'!A:C,3,FALSE),[1]Employee!A:C,3,FALSE)&amp;" "&amp;VLOOKUP(VLOOKUP(A1757,'[1]Sales Order'!A:C,3,FALSE),[1]Employee!A:B,2,FALSE),"Not Specified")</f>
        <v>Ms. Judy Lew</v>
      </c>
      <c r="I1757" t="str">
        <f>IFERROR(VLOOKUP(VLOOKUP(A1757,'[1]Sales Order'!A:C,3,FALSE),[1]Employee!A:J,10,FALSE),"Not Specified")</f>
        <v>WA</v>
      </c>
      <c r="J1757" t="str">
        <f>VLOOKUP(B1757,[1]Product!A:B,2,FALSE)</f>
        <v>Product BWRLG</v>
      </c>
      <c r="K1757" t="str">
        <f>VLOOKUP(VLOOKUP(B1757,[1]Product!A:D,4,FALSE),[1]Category!A:B,2,FALSE)</f>
        <v>Beverages</v>
      </c>
      <c r="L1757" s="10">
        <f>IFERROR(VLOOKUP(A1757,'[1]Sales Order'!A:D,4,FALSE),"")</f>
        <v>39511</v>
      </c>
      <c r="M1757" s="10">
        <f>IFERROR(VLOOKUP(A1757,'[1]Sales Order'!A:F,6,FALSE),"")</f>
        <v>39546</v>
      </c>
      <c r="N1757" t="str">
        <f>IFERROR(VLOOKUP(VLOOKUP(A1757,'[1]Sales Order'!A:G,7,FALSE),[1]Shipper!A:B,2,FALSE),"Not Specified")</f>
        <v>Shipper ETYNR</v>
      </c>
      <c r="O1757" t="str">
        <f>IFERROR(VLOOKUP(A1757,'[1]Sales Order'!A:I,9,FALSE),"Not Specified")</f>
        <v>Ship to 5-A</v>
      </c>
      <c r="P1757" t="str">
        <f>IFERROR(VLOOKUP(A1757,'[1]Sales Order'!A:N,14,FALSE),"Not Specified")</f>
        <v>Sweden</v>
      </c>
      <c r="Q1757" t="str">
        <f>VLOOKUP(VLOOKUP(B1757,[1]Product!A:C,3,FALSE),[1]Supplier!A:B,2,FALSE)</f>
        <v>Supplier SVIYA</v>
      </c>
      <c r="R1757" t="str">
        <f>VLOOKUP(VLOOKUP(B1757,[1]Product!A:C,3,FALSE),[1]Supplier!A:I,9,FALSE)</f>
        <v>Germany</v>
      </c>
      <c r="S1757" t="str">
        <f>IFERROR(IF(VLOOKUP(A1757,'[1]Sales Order'!A:H,8,FALSE)&gt;100,"High Freight","Low Freight"),"Not Specified")</f>
        <v>High Freight</v>
      </c>
      <c r="T1757">
        <f t="shared" si="55"/>
        <v>46.5</v>
      </c>
    </row>
    <row r="1758" spans="1:20">
      <c r="A1758" s="1">
        <v>10925</v>
      </c>
      <c r="B1758" s="2">
        <v>36</v>
      </c>
      <c r="C1758" s="2">
        <v>19</v>
      </c>
      <c r="D1758" s="2">
        <v>25</v>
      </c>
      <c r="E1758" s="3">
        <v>0.15</v>
      </c>
      <c r="F1758" s="2" t="str">
        <f>IFERROR(VLOOKUP(VLOOKUP(A1758,'[1]Sales Order'!A:B,2,FALSE),[1]Customer!A:C,3,FALSE),"Not Specified")</f>
        <v>Cohen, Shy</v>
      </c>
      <c r="G1758" s="2" t="str">
        <f t="shared" si="54"/>
        <v>Cohen Shy</v>
      </c>
      <c r="H1758" s="8" t="str">
        <f>IFERROR(VLOOKUP(VLOOKUP(A1758,'[1]Sales Order'!A:C,3,FALSE),[1]Employee!A:E,5,FALSE)&amp;" "&amp;VLOOKUP(VLOOKUP(A1758,'[1]Sales Order'!A:C,3,FALSE),[1]Employee!A:C,3,FALSE)&amp;" "&amp;VLOOKUP(VLOOKUP(A1758,'[1]Sales Order'!A:C,3,FALSE),[1]Employee!A:B,2,FALSE),"Not Specified")</f>
        <v>Ms. Judy Lew</v>
      </c>
      <c r="I1758" t="str">
        <f>IFERROR(VLOOKUP(VLOOKUP(A1758,'[1]Sales Order'!A:C,3,FALSE),[1]Employee!A:J,10,FALSE),"Not Specified")</f>
        <v>WA</v>
      </c>
      <c r="J1758" t="str">
        <f>VLOOKUP(B1758,[1]Product!A:B,2,FALSE)</f>
        <v>Product GMKIJ</v>
      </c>
      <c r="K1758" t="str">
        <f>VLOOKUP(VLOOKUP(B1758,[1]Product!A:D,4,FALSE),[1]Category!A:B,2,FALSE)</f>
        <v>Seafood</v>
      </c>
      <c r="L1758" s="10">
        <f>IFERROR(VLOOKUP(A1758,'[1]Sales Order'!A:D,4,FALSE),"")</f>
        <v>39511</v>
      </c>
      <c r="M1758" s="10">
        <f>IFERROR(VLOOKUP(A1758,'[1]Sales Order'!A:F,6,FALSE),"")</f>
        <v>39520</v>
      </c>
      <c r="N1758" t="str">
        <f>IFERROR(VLOOKUP(VLOOKUP(A1758,'[1]Sales Order'!A:G,7,FALSE),[1]Shipper!A:B,2,FALSE),"Not Specified")</f>
        <v>Shipper GVSUA</v>
      </c>
      <c r="O1758" t="str">
        <f>IFERROR(VLOOKUP(A1758,'[1]Sales Order'!A:I,9,FALSE),"Not Specified")</f>
        <v>Destination JPAIY</v>
      </c>
      <c r="P1758" t="str">
        <f>IFERROR(VLOOKUP(A1758,'[1]Sales Order'!A:N,14,FALSE),"Not Specified")</f>
        <v>Brazil</v>
      </c>
      <c r="Q1758" t="str">
        <f>VLOOKUP(VLOOKUP(B1758,[1]Product!A:C,3,FALSE),[1]Supplier!A:B,2,FALSE)</f>
        <v>Supplier QZGUF</v>
      </c>
      <c r="R1758" t="str">
        <f>VLOOKUP(VLOOKUP(B1758,[1]Product!A:C,3,FALSE),[1]Supplier!A:I,9,FALSE)</f>
        <v>Sweden</v>
      </c>
      <c r="S1758" t="str">
        <f>IFERROR(IF(VLOOKUP(A1758,'[1]Sales Order'!A:H,8,FALSE)&gt;100,"High Freight","Low Freight"),"Not Specified")</f>
        <v>Low Freight</v>
      </c>
      <c r="T1758">
        <f t="shared" si="55"/>
        <v>403.75</v>
      </c>
    </row>
    <row r="1759" spans="1:20">
      <c r="A1759" s="1">
        <v>10925</v>
      </c>
      <c r="B1759" s="2">
        <v>52</v>
      </c>
      <c r="C1759" s="2">
        <v>7</v>
      </c>
      <c r="D1759" s="2">
        <v>12</v>
      </c>
      <c r="E1759" s="3">
        <v>0.15</v>
      </c>
      <c r="F1759" s="2" t="str">
        <f>IFERROR(VLOOKUP(VLOOKUP(A1759,'[1]Sales Order'!A:B,2,FALSE),[1]Customer!A:C,3,FALSE),"Not Specified")</f>
        <v>Cohen, Shy</v>
      </c>
      <c r="G1759" s="2" t="str">
        <f t="shared" si="54"/>
        <v>Cohen Shy</v>
      </c>
      <c r="H1759" s="8" t="str">
        <f>IFERROR(VLOOKUP(VLOOKUP(A1759,'[1]Sales Order'!A:C,3,FALSE),[1]Employee!A:E,5,FALSE)&amp;" "&amp;VLOOKUP(VLOOKUP(A1759,'[1]Sales Order'!A:C,3,FALSE),[1]Employee!A:C,3,FALSE)&amp;" "&amp;VLOOKUP(VLOOKUP(A1759,'[1]Sales Order'!A:C,3,FALSE),[1]Employee!A:B,2,FALSE),"Not Specified")</f>
        <v>Ms. Judy Lew</v>
      </c>
      <c r="I1759" t="str">
        <f>IFERROR(VLOOKUP(VLOOKUP(A1759,'[1]Sales Order'!A:C,3,FALSE),[1]Employee!A:J,10,FALSE),"Not Specified")</f>
        <v>WA</v>
      </c>
      <c r="J1759" t="str">
        <f>VLOOKUP(B1759,[1]Product!A:B,2,FALSE)</f>
        <v>Product QSRXF</v>
      </c>
      <c r="K1759" t="str">
        <f>VLOOKUP(VLOOKUP(B1759,[1]Product!A:D,4,FALSE),[1]Category!A:B,2,FALSE)</f>
        <v>Grains/Cereals</v>
      </c>
      <c r="L1759" s="10">
        <f>IFERROR(VLOOKUP(A1759,'[1]Sales Order'!A:D,4,FALSE),"")</f>
        <v>39511</v>
      </c>
      <c r="M1759" s="10">
        <f>IFERROR(VLOOKUP(A1759,'[1]Sales Order'!A:F,6,FALSE),"")</f>
        <v>39520</v>
      </c>
      <c r="N1759" t="str">
        <f>IFERROR(VLOOKUP(VLOOKUP(A1759,'[1]Sales Order'!A:G,7,FALSE),[1]Shipper!A:B,2,FALSE),"Not Specified")</f>
        <v>Shipper GVSUA</v>
      </c>
      <c r="O1759" t="str">
        <f>IFERROR(VLOOKUP(A1759,'[1]Sales Order'!A:I,9,FALSE),"Not Specified")</f>
        <v>Destination JPAIY</v>
      </c>
      <c r="P1759" t="str">
        <f>IFERROR(VLOOKUP(A1759,'[1]Sales Order'!A:N,14,FALSE),"Not Specified")</f>
        <v>Brazil</v>
      </c>
      <c r="Q1759" t="str">
        <f>VLOOKUP(VLOOKUP(B1759,[1]Product!A:C,3,FALSE),[1]Supplier!A:B,2,FALSE)</f>
        <v>Supplier JNNES</v>
      </c>
      <c r="R1759" t="str">
        <f>VLOOKUP(VLOOKUP(B1759,[1]Product!A:C,3,FALSE),[1]Supplier!A:I,9,FALSE)</f>
        <v>Australia</v>
      </c>
      <c r="S1759" t="str">
        <f>IFERROR(IF(VLOOKUP(A1759,'[1]Sales Order'!A:H,8,FALSE)&gt;100,"High Freight","Low Freight"),"Not Specified")</f>
        <v>Low Freight</v>
      </c>
      <c r="T1759">
        <f t="shared" si="55"/>
        <v>71.399999999999991</v>
      </c>
    </row>
    <row r="1760" spans="1:20">
      <c r="A1760" s="1">
        <v>10926</v>
      </c>
      <c r="B1760" s="2">
        <v>11</v>
      </c>
      <c r="C1760" s="2">
        <v>21</v>
      </c>
      <c r="D1760" s="2">
        <v>2</v>
      </c>
      <c r="E1760" s="3">
        <v>0</v>
      </c>
      <c r="F1760" s="2" t="str">
        <f>IFERROR(VLOOKUP(VLOOKUP(A1760,'[1]Sales Order'!A:B,2,FALSE),[1]Customer!A:C,3,FALSE),"Not Specified")</f>
        <v>Hassall, Mark</v>
      </c>
      <c r="G1760" s="2" t="str">
        <f t="shared" si="54"/>
        <v>Hassall Mark</v>
      </c>
      <c r="H1760" s="8" t="str">
        <f>IFERROR(VLOOKUP(VLOOKUP(A1760,'[1]Sales Order'!A:C,3,FALSE),[1]Employee!A:E,5,FALSE)&amp;" "&amp;VLOOKUP(VLOOKUP(A1760,'[1]Sales Order'!A:C,3,FALSE),[1]Employee!A:C,3,FALSE)&amp;" "&amp;VLOOKUP(VLOOKUP(A1760,'[1]Sales Order'!A:C,3,FALSE),[1]Employee!A:B,2,FALSE),"Not Specified")</f>
        <v>Mrs. Yael Peled</v>
      </c>
      <c r="I1760" t="str">
        <f>IFERROR(VLOOKUP(VLOOKUP(A1760,'[1]Sales Order'!A:C,3,FALSE),[1]Employee!A:J,10,FALSE),"Not Specified")</f>
        <v>WA</v>
      </c>
      <c r="J1760" t="str">
        <f>VLOOKUP(B1760,[1]Product!A:B,2,FALSE)</f>
        <v>Product QMVUN</v>
      </c>
      <c r="K1760" t="str">
        <f>VLOOKUP(VLOOKUP(B1760,[1]Product!A:D,4,FALSE),[1]Category!A:B,2,FALSE)</f>
        <v>Dairy Product</v>
      </c>
      <c r="L1760" s="10">
        <f>IFERROR(VLOOKUP(A1760,'[1]Sales Order'!A:D,4,FALSE),"")</f>
        <v>39511</v>
      </c>
      <c r="M1760" s="10">
        <f>IFERROR(VLOOKUP(A1760,'[1]Sales Order'!A:F,6,FALSE),"")</f>
        <v>39518</v>
      </c>
      <c r="N1760" t="str">
        <f>IFERROR(VLOOKUP(VLOOKUP(A1760,'[1]Sales Order'!A:G,7,FALSE),[1]Shipper!A:B,2,FALSE),"Not Specified")</f>
        <v>Shipper ZHISN</v>
      </c>
      <c r="O1760" t="str">
        <f>IFERROR(VLOOKUP(A1760,'[1]Sales Order'!A:I,9,FALSE),"Not Specified")</f>
        <v>Destination RAIGI</v>
      </c>
      <c r="P1760" t="str">
        <f>IFERROR(VLOOKUP(A1760,'[1]Sales Order'!A:N,14,FALSE),"Not Specified")</f>
        <v>Mexico</v>
      </c>
      <c r="Q1760" t="str">
        <f>VLOOKUP(VLOOKUP(B1760,[1]Product!A:C,3,FALSE),[1]Supplier!A:B,2,FALSE)</f>
        <v>Supplier EQPNC</v>
      </c>
      <c r="R1760" t="str">
        <f>VLOOKUP(VLOOKUP(B1760,[1]Product!A:C,3,FALSE),[1]Supplier!A:I,9,FALSE)</f>
        <v>Spain</v>
      </c>
      <c r="S1760" t="str">
        <f>IFERROR(IF(VLOOKUP(A1760,'[1]Sales Order'!A:H,8,FALSE)&gt;100,"High Freight","Low Freight"),"Not Specified")</f>
        <v>Low Freight</v>
      </c>
      <c r="T1760">
        <f t="shared" si="55"/>
        <v>42</v>
      </c>
    </row>
    <row r="1761" spans="1:20">
      <c r="A1761" s="1">
        <v>10926</v>
      </c>
      <c r="B1761" s="2">
        <v>13</v>
      </c>
      <c r="C1761" s="2">
        <v>6</v>
      </c>
      <c r="D1761" s="2">
        <v>10</v>
      </c>
      <c r="E1761" s="3">
        <v>0</v>
      </c>
      <c r="F1761" s="2" t="str">
        <f>IFERROR(VLOOKUP(VLOOKUP(A1761,'[1]Sales Order'!A:B,2,FALSE),[1]Customer!A:C,3,FALSE),"Not Specified")</f>
        <v>Hassall, Mark</v>
      </c>
      <c r="G1761" s="2" t="str">
        <f t="shared" si="54"/>
        <v>Hassall Mark</v>
      </c>
      <c r="H1761" s="8" t="str">
        <f>IFERROR(VLOOKUP(VLOOKUP(A1761,'[1]Sales Order'!A:C,3,FALSE),[1]Employee!A:E,5,FALSE)&amp;" "&amp;VLOOKUP(VLOOKUP(A1761,'[1]Sales Order'!A:C,3,FALSE),[1]Employee!A:C,3,FALSE)&amp;" "&amp;VLOOKUP(VLOOKUP(A1761,'[1]Sales Order'!A:C,3,FALSE),[1]Employee!A:B,2,FALSE),"Not Specified")</f>
        <v>Mrs. Yael Peled</v>
      </c>
      <c r="I1761" t="str">
        <f>IFERROR(VLOOKUP(VLOOKUP(A1761,'[1]Sales Order'!A:C,3,FALSE),[1]Employee!A:J,10,FALSE),"Not Specified")</f>
        <v>WA</v>
      </c>
      <c r="J1761" t="str">
        <f>VLOOKUP(B1761,[1]Product!A:B,2,FALSE)</f>
        <v>Product POXFU</v>
      </c>
      <c r="K1761" t="str">
        <f>VLOOKUP(VLOOKUP(B1761,[1]Product!A:D,4,FALSE),[1]Category!A:B,2,FALSE)</f>
        <v>Seafood</v>
      </c>
      <c r="L1761" s="10">
        <f>IFERROR(VLOOKUP(A1761,'[1]Sales Order'!A:D,4,FALSE),"")</f>
        <v>39511</v>
      </c>
      <c r="M1761" s="10">
        <f>IFERROR(VLOOKUP(A1761,'[1]Sales Order'!A:F,6,FALSE),"")</f>
        <v>39518</v>
      </c>
      <c r="N1761" t="str">
        <f>IFERROR(VLOOKUP(VLOOKUP(A1761,'[1]Sales Order'!A:G,7,FALSE),[1]Shipper!A:B,2,FALSE),"Not Specified")</f>
        <v>Shipper ZHISN</v>
      </c>
      <c r="O1761" t="str">
        <f>IFERROR(VLOOKUP(A1761,'[1]Sales Order'!A:I,9,FALSE),"Not Specified")</f>
        <v>Destination RAIGI</v>
      </c>
      <c r="P1761" t="str">
        <f>IFERROR(VLOOKUP(A1761,'[1]Sales Order'!A:N,14,FALSE),"Not Specified")</f>
        <v>Mexico</v>
      </c>
      <c r="Q1761" t="str">
        <f>VLOOKUP(VLOOKUP(B1761,[1]Product!A:C,3,FALSE),[1]Supplier!A:B,2,FALSE)</f>
        <v>Supplier QWUSF</v>
      </c>
      <c r="R1761" t="str">
        <f>VLOOKUP(VLOOKUP(B1761,[1]Product!A:C,3,FALSE),[1]Supplier!A:I,9,FALSE)</f>
        <v>Japan</v>
      </c>
      <c r="S1761" t="str">
        <f>IFERROR(IF(VLOOKUP(A1761,'[1]Sales Order'!A:H,8,FALSE)&gt;100,"High Freight","Low Freight"),"Not Specified")</f>
        <v>Low Freight</v>
      </c>
      <c r="T1761">
        <f t="shared" si="55"/>
        <v>60</v>
      </c>
    </row>
    <row r="1762" spans="1:20">
      <c r="A1762" s="1">
        <v>10926</v>
      </c>
      <c r="B1762" s="2">
        <v>19</v>
      </c>
      <c r="C1762" s="2">
        <v>9.1999999999999993</v>
      </c>
      <c r="D1762" s="2">
        <v>7</v>
      </c>
      <c r="E1762" s="3">
        <v>0</v>
      </c>
      <c r="F1762" s="2" t="str">
        <f>IFERROR(VLOOKUP(VLOOKUP(A1762,'[1]Sales Order'!A:B,2,FALSE),[1]Customer!A:C,3,FALSE),"Not Specified")</f>
        <v>Hassall, Mark</v>
      </c>
      <c r="G1762" s="2" t="str">
        <f t="shared" si="54"/>
        <v>Hassall Mark</v>
      </c>
      <c r="H1762" s="8" t="str">
        <f>IFERROR(VLOOKUP(VLOOKUP(A1762,'[1]Sales Order'!A:C,3,FALSE),[1]Employee!A:E,5,FALSE)&amp;" "&amp;VLOOKUP(VLOOKUP(A1762,'[1]Sales Order'!A:C,3,FALSE),[1]Employee!A:C,3,FALSE)&amp;" "&amp;VLOOKUP(VLOOKUP(A1762,'[1]Sales Order'!A:C,3,FALSE),[1]Employee!A:B,2,FALSE),"Not Specified")</f>
        <v>Mrs. Yael Peled</v>
      </c>
      <c r="I1762" t="str">
        <f>IFERROR(VLOOKUP(VLOOKUP(A1762,'[1]Sales Order'!A:C,3,FALSE),[1]Employee!A:J,10,FALSE),"Not Specified")</f>
        <v>WA</v>
      </c>
      <c r="J1762" t="str">
        <f>VLOOKUP(B1762,[1]Product!A:B,2,FALSE)</f>
        <v>Product XKXDO</v>
      </c>
      <c r="K1762" t="str">
        <f>VLOOKUP(VLOOKUP(B1762,[1]Product!A:D,4,FALSE),[1]Category!A:B,2,FALSE)</f>
        <v>Confections</v>
      </c>
      <c r="L1762" s="10">
        <f>IFERROR(VLOOKUP(A1762,'[1]Sales Order'!A:D,4,FALSE),"")</f>
        <v>39511</v>
      </c>
      <c r="M1762" s="10">
        <f>IFERROR(VLOOKUP(A1762,'[1]Sales Order'!A:F,6,FALSE),"")</f>
        <v>39518</v>
      </c>
      <c r="N1762" t="str">
        <f>IFERROR(VLOOKUP(VLOOKUP(A1762,'[1]Sales Order'!A:G,7,FALSE),[1]Shipper!A:B,2,FALSE),"Not Specified")</f>
        <v>Shipper ZHISN</v>
      </c>
      <c r="O1762" t="str">
        <f>IFERROR(VLOOKUP(A1762,'[1]Sales Order'!A:I,9,FALSE),"Not Specified")</f>
        <v>Destination RAIGI</v>
      </c>
      <c r="P1762" t="str">
        <f>IFERROR(VLOOKUP(A1762,'[1]Sales Order'!A:N,14,FALSE),"Not Specified")</f>
        <v>Mexico</v>
      </c>
      <c r="Q1762" t="str">
        <f>VLOOKUP(VLOOKUP(B1762,[1]Product!A:C,3,FALSE),[1]Supplier!A:B,2,FALSE)</f>
        <v>Supplier BWGYE</v>
      </c>
      <c r="R1762" t="str">
        <f>VLOOKUP(VLOOKUP(B1762,[1]Product!A:C,3,FALSE),[1]Supplier!A:I,9,FALSE)</f>
        <v>UK</v>
      </c>
      <c r="S1762" t="str">
        <f>IFERROR(IF(VLOOKUP(A1762,'[1]Sales Order'!A:H,8,FALSE)&gt;100,"High Freight","Low Freight"),"Not Specified")</f>
        <v>Low Freight</v>
      </c>
      <c r="T1762">
        <f t="shared" si="55"/>
        <v>64.399999999999991</v>
      </c>
    </row>
    <row r="1763" spans="1:20">
      <c r="A1763" s="1">
        <v>10926</v>
      </c>
      <c r="B1763" s="2">
        <v>72</v>
      </c>
      <c r="C1763" s="2">
        <v>34.799999999999997</v>
      </c>
      <c r="D1763" s="2">
        <v>10</v>
      </c>
      <c r="E1763" s="3">
        <v>0</v>
      </c>
      <c r="F1763" s="2" t="str">
        <f>IFERROR(VLOOKUP(VLOOKUP(A1763,'[1]Sales Order'!A:B,2,FALSE),[1]Customer!A:C,3,FALSE),"Not Specified")</f>
        <v>Hassall, Mark</v>
      </c>
      <c r="G1763" s="2" t="str">
        <f t="shared" si="54"/>
        <v>Hassall Mark</v>
      </c>
      <c r="H1763" s="8" t="str">
        <f>IFERROR(VLOOKUP(VLOOKUP(A1763,'[1]Sales Order'!A:C,3,FALSE),[1]Employee!A:E,5,FALSE)&amp;" "&amp;VLOOKUP(VLOOKUP(A1763,'[1]Sales Order'!A:C,3,FALSE),[1]Employee!A:C,3,FALSE)&amp;" "&amp;VLOOKUP(VLOOKUP(A1763,'[1]Sales Order'!A:C,3,FALSE),[1]Employee!A:B,2,FALSE),"Not Specified")</f>
        <v>Mrs. Yael Peled</v>
      </c>
      <c r="I1763" t="str">
        <f>IFERROR(VLOOKUP(VLOOKUP(A1763,'[1]Sales Order'!A:C,3,FALSE),[1]Employee!A:J,10,FALSE),"Not Specified")</f>
        <v>WA</v>
      </c>
      <c r="J1763" t="str">
        <f>VLOOKUP(B1763,[1]Product!A:B,2,FALSE)</f>
        <v>Product GEEOO</v>
      </c>
      <c r="K1763" t="str">
        <f>VLOOKUP(VLOOKUP(B1763,[1]Product!A:D,4,FALSE),[1]Category!A:B,2,FALSE)</f>
        <v>Dairy Product</v>
      </c>
      <c r="L1763" s="10">
        <f>IFERROR(VLOOKUP(A1763,'[1]Sales Order'!A:D,4,FALSE),"")</f>
        <v>39511</v>
      </c>
      <c r="M1763" s="10">
        <f>IFERROR(VLOOKUP(A1763,'[1]Sales Order'!A:F,6,FALSE),"")</f>
        <v>39518</v>
      </c>
      <c r="N1763" t="str">
        <f>IFERROR(VLOOKUP(VLOOKUP(A1763,'[1]Sales Order'!A:G,7,FALSE),[1]Shipper!A:B,2,FALSE),"Not Specified")</f>
        <v>Shipper ZHISN</v>
      </c>
      <c r="O1763" t="str">
        <f>IFERROR(VLOOKUP(A1763,'[1]Sales Order'!A:I,9,FALSE),"Not Specified")</f>
        <v>Destination RAIGI</v>
      </c>
      <c r="P1763" t="str">
        <f>IFERROR(VLOOKUP(A1763,'[1]Sales Order'!A:N,14,FALSE),"Not Specified")</f>
        <v>Mexico</v>
      </c>
      <c r="Q1763" t="str">
        <f>VLOOKUP(VLOOKUP(B1763,[1]Product!A:C,3,FALSE),[1]Supplier!A:B,2,FALSE)</f>
        <v>Supplier KEREV</v>
      </c>
      <c r="R1763" t="str">
        <f>VLOOKUP(VLOOKUP(B1763,[1]Product!A:C,3,FALSE),[1]Supplier!A:I,9,FALSE)</f>
        <v>Italy</v>
      </c>
      <c r="S1763" t="str">
        <f>IFERROR(IF(VLOOKUP(A1763,'[1]Sales Order'!A:H,8,FALSE)&gt;100,"High Freight","Low Freight"),"Not Specified")</f>
        <v>Low Freight</v>
      </c>
      <c r="T1763">
        <f t="shared" si="55"/>
        <v>348</v>
      </c>
    </row>
    <row r="1764" spans="1:20">
      <c r="A1764" s="1">
        <v>10927</v>
      </c>
      <c r="B1764" s="2">
        <v>20</v>
      </c>
      <c r="C1764" s="2">
        <v>81</v>
      </c>
      <c r="D1764" s="2">
        <v>5</v>
      </c>
      <c r="E1764" s="3">
        <v>0</v>
      </c>
      <c r="F1764" s="2" t="str">
        <f>IFERROR(VLOOKUP(VLOOKUP(A1764,'[1]Sales Order'!A:B,2,FALSE),[1]Customer!A:C,3,FALSE),"Not Specified")</f>
        <v>De Oliveira, Jose</v>
      </c>
      <c r="G1764" s="2" t="str">
        <f t="shared" si="54"/>
        <v>De Oliveira Jose</v>
      </c>
      <c r="H1764" s="8" t="str">
        <f>IFERROR(VLOOKUP(VLOOKUP(A1764,'[1]Sales Order'!A:C,3,FALSE),[1]Employee!A:E,5,FALSE)&amp;" "&amp;VLOOKUP(VLOOKUP(A1764,'[1]Sales Order'!A:C,3,FALSE),[1]Employee!A:C,3,FALSE)&amp;" "&amp;VLOOKUP(VLOOKUP(A1764,'[1]Sales Order'!A:C,3,FALSE),[1]Employee!A:B,2,FALSE),"Not Specified")</f>
        <v>Mrs. Yael Peled</v>
      </c>
      <c r="I1764" t="str">
        <f>IFERROR(VLOOKUP(VLOOKUP(A1764,'[1]Sales Order'!A:C,3,FALSE),[1]Employee!A:J,10,FALSE),"Not Specified")</f>
        <v>WA</v>
      </c>
      <c r="J1764" t="str">
        <f>VLOOKUP(B1764,[1]Product!A:B,2,FALSE)</f>
        <v>Product QHFFP</v>
      </c>
      <c r="K1764" t="str">
        <f>VLOOKUP(VLOOKUP(B1764,[1]Product!A:D,4,FALSE),[1]Category!A:B,2,FALSE)</f>
        <v>Confections</v>
      </c>
      <c r="L1764" s="10">
        <f>IFERROR(VLOOKUP(A1764,'[1]Sales Order'!A:D,4,FALSE),"")</f>
        <v>39512</v>
      </c>
      <c r="M1764" s="10">
        <f>IFERROR(VLOOKUP(A1764,'[1]Sales Order'!A:F,6,FALSE),"")</f>
        <v>39546</v>
      </c>
      <c r="N1764" t="str">
        <f>IFERROR(VLOOKUP(VLOOKUP(A1764,'[1]Sales Order'!A:G,7,FALSE),[1]Shipper!A:B,2,FALSE),"Not Specified")</f>
        <v>Shipper GVSUA</v>
      </c>
      <c r="O1764" t="str">
        <f>IFERROR(VLOOKUP(A1764,'[1]Sales Order'!A:I,9,FALSE),"Not Specified")</f>
        <v>Destination WWJLO</v>
      </c>
      <c r="P1764" t="str">
        <f>IFERROR(VLOOKUP(A1764,'[1]Sales Order'!A:N,14,FALSE),"Not Specified")</f>
        <v>France</v>
      </c>
      <c r="Q1764" t="str">
        <f>VLOOKUP(VLOOKUP(B1764,[1]Product!A:C,3,FALSE),[1]Supplier!A:B,2,FALSE)</f>
        <v>Supplier BWGYE</v>
      </c>
      <c r="R1764" t="str">
        <f>VLOOKUP(VLOOKUP(B1764,[1]Product!A:C,3,FALSE),[1]Supplier!A:I,9,FALSE)</f>
        <v>UK</v>
      </c>
      <c r="S1764" t="str">
        <f>IFERROR(IF(VLOOKUP(A1764,'[1]Sales Order'!A:H,8,FALSE)&gt;100,"High Freight","Low Freight"),"Not Specified")</f>
        <v>Low Freight</v>
      </c>
      <c r="T1764">
        <f t="shared" si="55"/>
        <v>405</v>
      </c>
    </row>
    <row r="1765" spans="1:20">
      <c r="A1765" s="1">
        <v>10927</v>
      </c>
      <c r="B1765" s="2">
        <v>52</v>
      </c>
      <c r="C1765" s="2">
        <v>7</v>
      </c>
      <c r="D1765" s="2">
        <v>5</v>
      </c>
      <c r="E1765" s="3">
        <v>0</v>
      </c>
      <c r="F1765" s="2" t="str">
        <f>IFERROR(VLOOKUP(VLOOKUP(A1765,'[1]Sales Order'!A:B,2,FALSE),[1]Customer!A:C,3,FALSE),"Not Specified")</f>
        <v>De Oliveira, Jose</v>
      </c>
      <c r="G1765" s="2" t="str">
        <f t="shared" si="54"/>
        <v>De Oliveira Jose</v>
      </c>
      <c r="H1765" s="8" t="str">
        <f>IFERROR(VLOOKUP(VLOOKUP(A1765,'[1]Sales Order'!A:C,3,FALSE),[1]Employee!A:E,5,FALSE)&amp;" "&amp;VLOOKUP(VLOOKUP(A1765,'[1]Sales Order'!A:C,3,FALSE),[1]Employee!A:C,3,FALSE)&amp;" "&amp;VLOOKUP(VLOOKUP(A1765,'[1]Sales Order'!A:C,3,FALSE),[1]Employee!A:B,2,FALSE),"Not Specified")</f>
        <v>Mrs. Yael Peled</v>
      </c>
      <c r="I1765" t="str">
        <f>IFERROR(VLOOKUP(VLOOKUP(A1765,'[1]Sales Order'!A:C,3,FALSE),[1]Employee!A:J,10,FALSE),"Not Specified")</f>
        <v>WA</v>
      </c>
      <c r="J1765" t="str">
        <f>VLOOKUP(B1765,[1]Product!A:B,2,FALSE)</f>
        <v>Product QSRXF</v>
      </c>
      <c r="K1765" t="str">
        <f>VLOOKUP(VLOOKUP(B1765,[1]Product!A:D,4,FALSE),[1]Category!A:B,2,FALSE)</f>
        <v>Grains/Cereals</v>
      </c>
      <c r="L1765" s="10">
        <f>IFERROR(VLOOKUP(A1765,'[1]Sales Order'!A:D,4,FALSE),"")</f>
        <v>39512</v>
      </c>
      <c r="M1765" s="10">
        <f>IFERROR(VLOOKUP(A1765,'[1]Sales Order'!A:F,6,FALSE),"")</f>
        <v>39546</v>
      </c>
      <c r="N1765" t="str">
        <f>IFERROR(VLOOKUP(VLOOKUP(A1765,'[1]Sales Order'!A:G,7,FALSE),[1]Shipper!A:B,2,FALSE),"Not Specified")</f>
        <v>Shipper GVSUA</v>
      </c>
      <c r="O1765" t="str">
        <f>IFERROR(VLOOKUP(A1765,'[1]Sales Order'!A:I,9,FALSE),"Not Specified")</f>
        <v>Destination WWJLO</v>
      </c>
      <c r="P1765" t="str">
        <f>IFERROR(VLOOKUP(A1765,'[1]Sales Order'!A:N,14,FALSE),"Not Specified")</f>
        <v>France</v>
      </c>
      <c r="Q1765" t="str">
        <f>VLOOKUP(VLOOKUP(B1765,[1]Product!A:C,3,FALSE),[1]Supplier!A:B,2,FALSE)</f>
        <v>Supplier JNNES</v>
      </c>
      <c r="R1765" t="str">
        <f>VLOOKUP(VLOOKUP(B1765,[1]Product!A:C,3,FALSE),[1]Supplier!A:I,9,FALSE)</f>
        <v>Australia</v>
      </c>
      <c r="S1765" t="str">
        <f>IFERROR(IF(VLOOKUP(A1765,'[1]Sales Order'!A:H,8,FALSE)&gt;100,"High Freight","Low Freight"),"Not Specified")</f>
        <v>Low Freight</v>
      </c>
      <c r="T1765">
        <f t="shared" si="55"/>
        <v>35</v>
      </c>
    </row>
    <row r="1766" spans="1:20">
      <c r="A1766" s="1">
        <v>10927</v>
      </c>
      <c r="B1766" s="2">
        <v>76</v>
      </c>
      <c r="C1766" s="2">
        <v>18</v>
      </c>
      <c r="D1766" s="2">
        <v>20</v>
      </c>
      <c r="E1766" s="3">
        <v>0</v>
      </c>
      <c r="F1766" s="2" t="str">
        <f>IFERROR(VLOOKUP(VLOOKUP(A1766,'[1]Sales Order'!A:B,2,FALSE),[1]Customer!A:C,3,FALSE),"Not Specified")</f>
        <v>De Oliveira, Jose</v>
      </c>
      <c r="G1766" s="2" t="str">
        <f t="shared" si="54"/>
        <v>De Oliveira Jose</v>
      </c>
      <c r="H1766" s="8" t="str">
        <f>IFERROR(VLOOKUP(VLOOKUP(A1766,'[1]Sales Order'!A:C,3,FALSE),[1]Employee!A:E,5,FALSE)&amp;" "&amp;VLOOKUP(VLOOKUP(A1766,'[1]Sales Order'!A:C,3,FALSE),[1]Employee!A:C,3,FALSE)&amp;" "&amp;VLOOKUP(VLOOKUP(A1766,'[1]Sales Order'!A:C,3,FALSE),[1]Employee!A:B,2,FALSE),"Not Specified")</f>
        <v>Mrs. Yael Peled</v>
      </c>
      <c r="I1766" t="str">
        <f>IFERROR(VLOOKUP(VLOOKUP(A1766,'[1]Sales Order'!A:C,3,FALSE),[1]Employee!A:J,10,FALSE),"Not Specified")</f>
        <v>WA</v>
      </c>
      <c r="J1766" t="str">
        <f>VLOOKUP(B1766,[1]Product!A:B,2,FALSE)</f>
        <v>Product JYGFE</v>
      </c>
      <c r="K1766" t="str">
        <f>VLOOKUP(VLOOKUP(B1766,[1]Product!A:D,4,FALSE),[1]Category!A:B,2,FALSE)</f>
        <v>Beverages</v>
      </c>
      <c r="L1766" s="10">
        <f>IFERROR(VLOOKUP(A1766,'[1]Sales Order'!A:D,4,FALSE),"")</f>
        <v>39512</v>
      </c>
      <c r="M1766" s="10">
        <f>IFERROR(VLOOKUP(A1766,'[1]Sales Order'!A:F,6,FALSE),"")</f>
        <v>39546</v>
      </c>
      <c r="N1766" t="str">
        <f>IFERROR(VLOOKUP(VLOOKUP(A1766,'[1]Sales Order'!A:G,7,FALSE),[1]Shipper!A:B,2,FALSE),"Not Specified")</f>
        <v>Shipper GVSUA</v>
      </c>
      <c r="O1766" t="str">
        <f>IFERROR(VLOOKUP(A1766,'[1]Sales Order'!A:I,9,FALSE),"Not Specified")</f>
        <v>Destination WWJLO</v>
      </c>
      <c r="P1766" t="str">
        <f>IFERROR(VLOOKUP(A1766,'[1]Sales Order'!A:N,14,FALSE),"Not Specified")</f>
        <v>France</v>
      </c>
      <c r="Q1766" t="str">
        <f>VLOOKUP(VLOOKUP(B1766,[1]Product!A:C,3,FALSE),[1]Supplier!A:B,2,FALSE)</f>
        <v>Supplier ELCRN</v>
      </c>
      <c r="R1766" t="str">
        <f>VLOOKUP(VLOOKUP(B1766,[1]Product!A:C,3,FALSE),[1]Supplier!A:I,9,FALSE)</f>
        <v>Finland</v>
      </c>
      <c r="S1766" t="str">
        <f>IFERROR(IF(VLOOKUP(A1766,'[1]Sales Order'!A:H,8,FALSE)&gt;100,"High Freight","Low Freight"),"Not Specified")</f>
        <v>Low Freight</v>
      </c>
      <c r="T1766">
        <f t="shared" si="55"/>
        <v>360</v>
      </c>
    </row>
    <row r="1767" spans="1:20">
      <c r="A1767" s="1">
        <v>10928</v>
      </c>
      <c r="B1767" s="2">
        <v>47</v>
      </c>
      <c r="C1767" s="2">
        <v>9.5</v>
      </c>
      <c r="D1767" s="2">
        <v>5</v>
      </c>
      <c r="E1767" s="3">
        <v>0</v>
      </c>
      <c r="F1767" s="2" t="str">
        <f>IFERROR(VLOOKUP(VLOOKUP(A1767,'[1]Sales Order'!A:B,2,FALSE),[1]Customer!A:C,3,FALSE),"Not Specified")</f>
        <v>Kolesnikova, Katerina</v>
      </c>
      <c r="G1767" s="2" t="str">
        <f t="shared" si="54"/>
        <v>Kolesnikova Katerina</v>
      </c>
      <c r="H1767" s="8" t="str">
        <f>IFERROR(VLOOKUP(VLOOKUP(A1767,'[1]Sales Order'!A:C,3,FALSE),[1]Employee!A:E,5,FALSE)&amp;" "&amp;VLOOKUP(VLOOKUP(A1767,'[1]Sales Order'!A:C,3,FALSE),[1]Employee!A:C,3,FALSE)&amp;" "&amp;VLOOKUP(VLOOKUP(A1767,'[1]Sales Order'!A:C,3,FALSE),[1]Employee!A:B,2,FALSE),"Not Specified")</f>
        <v>Ms. Sara Davis</v>
      </c>
      <c r="I1767" t="str">
        <f>IFERROR(VLOOKUP(VLOOKUP(A1767,'[1]Sales Order'!A:C,3,FALSE),[1]Employee!A:J,10,FALSE),"Not Specified")</f>
        <v>WA</v>
      </c>
      <c r="J1767" t="str">
        <f>VLOOKUP(B1767,[1]Product!A:B,2,FALSE)</f>
        <v>Product EZZPR</v>
      </c>
      <c r="K1767" t="str">
        <f>VLOOKUP(VLOOKUP(B1767,[1]Product!A:D,4,FALSE),[1]Category!A:B,2,FALSE)</f>
        <v>Confections</v>
      </c>
      <c r="L1767" s="10">
        <f>IFERROR(VLOOKUP(A1767,'[1]Sales Order'!A:D,4,FALSE),"")</f>
        <v>39512</v>
      </c>
      <c r="M1767" s="10">
        <f>IFERROR(VLOOKUP(A1767,'[1]Sales Order'!A:F,6,FALSE),"")</f>
        <v>39525</v>
      </c>
      <c r="N1767" t="str">
        <f>IFERROR(VLOOKUP(VLOOKUP(A1767,'[1]Sales Order'!A:G,7,FALSE),[1]Shipper!A:B,2,FALSE),"Not Specified")</f>
        <v>Shipper GVSUA</v>
      </c>
      <c r="O1767" t="str">
        <f>IFERROR(VLOOKUP(A1767,'[1]Sales Order'!A:I,9,FALSE),"Not Specified")</f>
        <v>Destination WOFLH</v>
      </c>
      <c r="P1767" t="str">
        <f>IFERROR(VLOOKUP(A1767,'[1]Sales Order'!A:N,14,FALSE),"Not Specified")</f>
        <v>Spain</v>
      </c>
      <c r="Q1767" t="str">
        <f>VLOOKUP(VLOOKUP(B1767,[1]Product!A:C,3,FALSE),[1]Supplier!A:B,2,FALSE)</f>
        <v>Supplier FNUXM</v>
      </c>
      <c r="R1767" t="str">
        <f>VLOOKUP(VLOOKUP(B1767,[1]Product!A:C,3,FALSE),[1]Supplier!A:I,9,FALSE)</f>
        <v>Netherlands</v>
      </c>
      <c r="S1767" t="str">
        <f>IFERROR(IF(VLOOKUP(A1767,'[1]Sales Order'!A:H,8,FALSE)&gt;100,"High Freight","Low Freight"),"Not Specified")</f>
        <v>Low Freight</v>
      </c>
      <c r="T1767">
        <f t="shared" si="55"/>
        <v>47.5</v>
      </c>
    </row>
    <row r="1768" spans="1:20">
      <c r="A1768" s="1">
        <v>10928</v>
      </c>
      <c r="B1768" s="2">
        <v>76</v>
      </c>
      <c r="C1768" s="2">
        <v>18</v>
      </c>
      <c r="D1768" s="2">
        <v>5</v>
      </c>
      <c r="E1768" s="3">
        <v>0</v>
      </c>
      <c r="F1768" s="2" t="str">
        <f>IFERROR(VLOOKUP(VLOOKUP(A1768,'[1]Sales Order'!A:B,2,FALSE),[1]Customer!A:C,3,FALSE),"Not Specified")</f>
        <v>Kolesnikova, Katerina</v>
      </c>
      <c r="G1768" s="2" t="str">
        <f t="shared" si="54"/>
        <v>Kolesnikova Katerina</v>
      </c>
      <c r="H1768" s="8" t="str">
        <f>IFERROR(VLOOKUP(VLOOKUP(A1768,'[1]Sales Order'!A:C,3,FALSE),[1]Employee!A:E,5,FALSE)&amp;" "&amp;VLOOKUP(VLOOKUP(A1768,'[1]Sales Order'!A:C,3,FALSE),[1]Employee!A:C,3,FALSE)&amp;" "&amp;VLOOKUP(VLOOKUP(A1768,'[1]Sales Order'!A:C,3,FALSE),[1]Employee!A:B,2,FALSE),"Not Specified")</f>
        <v>Ms. Sara Davis</v>
      </c>
      <c r="I1768" t="str">
        <f>IFERROR(VLOOKUP(VLOOKUP(A1768,'[1]Sales Order'!A:C,3,FALSE),[1]Employee!A:J,10,FALSE),"Not Specified")</f>
        <v>WA</v>
      </c>
      <c r="J1768" t="str">
        <f>VLOOKUP(B1768,[1]Product!A:B,2,FALSE)</f>
        <v>Product JYGFE</v>
      </c>
      <c r="K1768" t="str">
        <f>VLOOKUP(VLOOKUP(B1768,[1]Product!A:D,4,FALSE),[1]Category!A:B,2,FALSE)</f>
        <v>Beverages</v>
      </c>
      <c r="L1768" s="10">
        <f>IFERROR(VLOOKUP(A1768,'[1]Sales Order'!A:D,4,FALSE),"")</f>
        <v>39512</v>
      </c>
      <c r="M1768" s="10">
        <f>IFERROR(VLOOKUP(A1768,'[1]Sales Order'!A:F,6,FALSE),"")</f>
        <v>39525</v>
      </c>
      <c r="N1768" t="str">
        <f>IFERROR(VLOOKUP(VLOOKUP(A1768,'[1]Sales Order'!A:G,7,FALSE),[1]Shipper!A:B,2,FALSE),"Not Specified")</f>
        <v>Shipper GVSUA</v>
      </c>
      <c r="O1768" t="str">
        <f>IFERROR(VLOOKUP(A1768,'[1]Sales Order'!A:I,9,FALSE),"Not Specified")</f>
        <v>Destination WOFLH</v>
      </c>
      <c r="P1768" t="str">
        <f>IFERROR(VLOOKUP(A1768,'[1]Sales Order'!A:N,14,FALSE),"Not Specified")</f>
        <v>Spain</v>
      </c>
      <c r="Q1768" t="str">
        <f>VLOOKUP(VLOOKUP(B1768,[1]Product!A:C,3,FALSE),[1]Supplier!A:B,2,FALSE)</f>
        <v>Supplier ELCRN</v>
      </c>
      <c r="R1768" t="str">
        <f>VLOOKUP(VLOOKUP(B1768,[1]Product!A:C,3,FALSE),[1]Supplier!A:I,9,FALSE)</f>
        <v>Finland</v>
      </c>
      <c r="S1768" t="str">
        <f>IFERROR(IF(VLOOKUP(A1768,'[1]Sales Order'!A:H,8,FALSE)&gt;100,"High Freight","Low Freight"),"Not Specified")</f>
        <v>Low Freight</v>
      </c>
      <c r="T1768">
        <f t="shared" si="55"/>
        <v>90</v>
      </c>
    </row>
    <row r="1769" spans="1:20">
      <c r="A1769" s="1">
        <v>10929</v>
      </c>
      <c r="B1769" s="2">
        <v>21</v>
      </c>
      <c r="C1769" s="2">
        <v>10</v>
      </c>
      <c r="D1769" s="2">
        <v>60</v>
      </c>
      <c r="E1769" s="3">
        <v>0</v>
      </c>
      <c r="F1769" s="2" t="str">
        <f>IFERROR(VLOOKUP(VLOOKUP(A1769,'[1]Sales Order'!A:B,2,FALSE),[1]Customer!A:C,3,FALSE),"Not Specified")</f>
        <v>Carlson, Jason</v>
      </c>
      <c r="G1769" s="2" t="str">
        <f t="shared" si="54"/>
        <v>Carlson Jason</v>
      </c>
      <c r="H1769" s="8" t="str">
        <f>IFERROR(VLOOKUP(VLOOKUP(A1769,'[1]Sales Order'!A:C,3,FALSE),[1]Employee!A:E,5,FALSE)&amp;" "&amp;VLOOKUP(VLOOKUP(A1769,'[1]Sales Order'!A:C,3,FALSE),[1]Employee!A:C,3,FALSE)&amp;" "&amp;VLOOKUP(VLOOKUP(A1769,'[1]Sales Order'!A:C,3,FALSE),[1]Employee!A:B,2,FALSE),"Not Specified")</f>
        <v>Mr. Paul Suurs</v>
      </c>
      <c r="I1769">
        <f>IFERROR(VLOOKUP(VLOOKUP(A1769,'[1]Sales Order'!A:C,3,FALSE),[1]Employee!A:J,10,FALSE),"Not Specified")</f>
        <v>0</v>
      </c>
      <c r="J1769" t="str">
        <f>VLOOKUP(B1769,[1]Product!A:B,2,FALSE)</f>
        <v>Product VJZZH</v>
      </c>
      <c r="K1769" t="str">
        <f>VLOOKUP(VLOOKUP(B1769,[1]Product!A:D,4,FALSE),[1]Category!A:B,2,FALSE)</f>
        <v>Confections</v>
      </c>
      <c r="L1769" s="10">
        <f>IFERROR(VLOOKUP(A1769,'[1]Sales Order'!A:D,4,FALSE),"")</f>
        <v>39512</v>
      </c>
      <c r="M1769" s="10">
        <f>IFERROR(VLOOKUP(A1769,'[1]Sales Order'!A:F,6,FALSE),"")</f>
        <v>39519</v>
      </c>
      <c r="N1769" t="str">
        <f>IFERROR(VLOOKUP(VLOOKUP(A1769,'[1]Sales Order'!A:G,7,FALSE),[1]Shipper!A:B,2,FALSE),"Not Specified")</f>
        <v>Shipper GVSUA</v>
      </c>
      <c r="O1769" t="str">
        <f>IFERROR(VLOOKUP(A1769,'[1]Sales Order'!A:I,9,FALSE),"Not Specified")</f>
        <v>Destination QOCBL</v>
      </c>
      <c r="P1769" t="str">
        <f>IFERROR(VLOOKUP(A1769,'[1]Sales Order'!A:N,14,FALSE),"Not Specified")</f>
        <v>Germany</v>
      </c>
      <c r="Q1769" t="str">
        <f>VLOOKUP(VLOOKUP(B1769,[1]Product!A:C,3,FALSE),[1]Supplier!A:B,2,FALSE)</f>
        <v>Supplier BWGYE</v>
      </c>
      <c r="R1769" t="str">
        <f>VLOOKUP(VLOOKUP(B1769,[1]Product!A:C,3,FALSE),[1]Supplier!A:I,9,FALSE)</f>
        <v>UK</v>
      </c>
      <c r="S1769" t="str">
        <f>IFERROR(IF(VLOOKUP(A1769,'[1]Sales Order'!A:H,8,FALSE)&gt;100,"High Freight","Low Freight"),"Not Specified")</f>
        <v>Low Freight</v>
      </c>
      <c r="T1769">
        <f t="shared" si="55"/>
        <v>600</v>
      </c>
    </row>
    <row r="1770" spans="1:20">
      <c r="A1770" s="1">
        <v>10929</v>
      </c>
      <c r="B1770" s="2">
        <v>75</v>
      </c>
      <c r="C1770" s="2">
        <v>7.75</v>
      </c>
      <c r="D1770" s="2">
        <v>49</v>
      </c>
      <c r="E1770" s="3">
        <v>0</v>
      </c>
      <c r="F1770" s="2" t="str">
        <f>IFERROR(VLOOKUP(VLOOKUP(A1770,'[1]Sales Order'!A:B,2,FALSE),[1]Customer!A:C,3,FALSE),"Not Specified")</f>
        <v>Carlson, Jason</v>
      </c>
      <c r="G1770" s="2" t="str">
        <f t="shared" si="54"/>
        <v>Carlson Jason</v>
      </c>
      <c r="H1770" s="8" t="str">
        <f>IFERROR(VLOOKUP(VLOOKUP(A1770,'[1]Sales Order'!A:C,3,FALSE),[1]Employee!A:E,5,FALSE)&amp;" "&amp;VLOOKUP(VLOOKUP(A1770,'[1]Sales Order'!A:C,3,FALSE),[1]Employee!A:C,3,FALSE)&amp;" "&amp;VLOOKUP(VLOOKUP(A1770,'[1]Sales Order'!A:C,3,FALSE),[1]Employee!A:B,2,FALSE),"Not Specified")</f>
        <v>Mr. Paul Suurs</v>
      </c>
      <c r="I1770">
        <f>IFERROR(VLOOKUP(VLOOKUP(A1770,'[1]Sales Order'!A:C,3,FALSE),[1]Employee!A:J,10,FALSE),"Not Specified")</f>
        <v>0</v>
      </c>
      <c r="J1770" t="str">
        <f>VLOOKUP(B1770,[1]Product!A:B,2,FALSE)</f>
        <v>Product BWRLG</v>
      </c>
      <c r="K1770" t="str">
        <f>VLOOKUP(VLOOKUP(B1770,[1]Product!A:D,4,FALSE),[1]Category!A:B,2,FALSE)</f>
        <v>Beverages</v>
      </c>
      <c r="L1770" s="10">
        <f>IFERROR(VLOOKUP(A1770,'[1]Sales Order'!A:D,4,FALSE),"")</f>
        <v>39512</v>
      </c>
      <c r="M1770" s="10">
        <f>IFERROR(VLOOKUP(A1770,'[1]Sales Order'!A:F,6,FALSE),"")</f>
        <v>39519</v>
      </c>
      <c r="N1770" t="str">
        <f>IFERROR(VLOOKUP(VLOOKUP(A1770,'[1]Sales Order'!A:G,7,FALSE),[1]Shipper!A:B,2,FALSE),"Not Specified")</f>
        <v>Shipper GVSUA</v>
      </c>
      <c r="O1770" t="str">
        <f>IFERROR(VLOOKUP(A1770,'[1]Sales Order'!A:I,9,FALSE),"Not Specified")</f>
        <v>Destination QOCBL</v>
      </c>
      <c r="P1770" t="str">
        <f>IFERROR(VLOOKUP(A1770,'[1]Sales Order'!A:N,14,FALSE),"Not Specified")</f>
        <v>Germany</v>
      </c>
      <c r="Q1770" t="str">
        <f>VLOOKUP(VLOOKUP(B1770,[1]Product!A:C,3,FALSE),[1]Supplier!A:B,2,FALSE)</f>
        <v>Supplier SVIYA</v>
      </c>
      <c r="R1770" t="str">
        <f>VLOOKUP(VLOOKUP(B1770,[1]Product!A:C,3,FALSE),[1]Supplier!A:I,9,FALSE)</f>
        <v>Germany</v>
      </c>
      <c r="S1770" t="str">
        <f>IFERROR(IF(VLOOKUP(A1770,'[1]Sales Order'!A:H,8,FALSE)&gt;100,"High Freight","Low Freight"),"Not Specified")</f>
        <v>Low Freight</v>
      </c>
      <c r="T1770">
        <f t="shared" si="55"/>
        <v>379.75</v>
      </c>
    </row>
    <row r="1771" spans="1:20">
      <c r="A1771" s="1">
        <v>10929</v>
      </c>
      <c r="B1771" s="2">
        <v>77</v>
      </c>
      <c r="C1771" s="2">
        <v>13</v>
      </c>
      <c r="D1771" s="2">
        <v>15</v>
      </c>
      <c r="E1771" s="3">
        <v>0</v>
      </c>
      <c r="F1771" s="2" t="str">
        <f>IFERROR(VLOOKUP(VLOOKUP(A1771,'[1]Sales Order'!A:B,2,FALSE),[1]Customer!A:C,3,FALSE),"Not Specified")</f>
        <v>Carlson, Jason</v>
      </c>
      <c r="G1771" s="2" t="str">
        <f t="shared" si="54"/>
        <v>Carlson Jason</v>
      </c>
      <c r="H1771" s="8" t="str">
        <f>IFERROR(VLOOKUP(VLOOKUP(A1771,'[1]Sales Order'!A:C,3,FALSE),[1]Employee!A:E,5,FALSE)&amp;" "&amp;VLOOKUP(VLOOKUP(A1771,'[1]Sales Order'!A:C,3,FALSE),[1]Employee!A:C,3,FALSE)&amp;" "&amp;VLOOKUP(VLOOKUP(A1771,'[1]Sales Order'!A:C,3,FALSE),[1]Employee!A:B,2,FALSE),"Not Specified")</f>
        <v>Mr. Paul Suurs</v>
      </c>
      <c r="I1771">
        <f>IFERROR(VLOOKUP(VLOOKUP(A1771,'[1]Sales Order'!A:C,3,FALSE),[1]Employee!A:J,10,FALSE),"Not Specified")</f>
        <v>0</v>
      </c>
      <c r="J1771" t="str">
        <f>VLOOKUP(B1771,[1]Product!A:B,2,FALSE)</f>
        <v>Product LUNZZ</v>
      </c>
      <c r="K1771" t="str">
        <f>VLOOKUP(VLOOKUP(B1771,[1]Product!A:D,4,FALSE),[1]Category!A:B,2,FALSE)</f>
        <v>Condiments</v>
      </c>
      <c r="L1771" s="10">
        <f>IFERROR(VLOOKUP(A1771,'[1]Sales Order'!A:D,4,FALSE),"")</f>
        <v>39512</v>
      </c>
      <c r="M1771" s="10">
        <f>IFERROR(VLOOKUP(A1771,'[1]Sales Order'!A:F,6,FALSE),"")</f>
        <v>39519</v>
      </c>
      <c r="N1771" t="str">
        <f>IFERROR(VLOOKUP(VLOOKUP(A1771,'[1]Sales Order'!A:G,7,FALSE),[1]Shipper!A:B,2,FALSE),"Not Specified")</f>
        <v>Shipper GVSUA</v>
      </c>
      <c r="O1771" t="str">
        <f>IFERROR(VLOOKUP(A1771,'[1]Sales Order'!A:I,9,FALSE),"Not Specified")</f>
        <v>Destination QOCBL</v>
      </c>
      <c r="P1771" t="str">
        <f>IFERROR(VLOOKUP(A1771,'[1]Sales Order'!A:N,14,FALSE),"Not Specified")</f>
        <v>Germany</v>
      </c>
      <c r="Q1771" t="str">
        <f>VLOOKUP(VLOOKUP(B1771,[1]Product!A:C,3,FALSE),[1]Supplier!A:B,2,FALSE)</f>
        <v>Supplier SVIYA</v>
      </c>
      <c r="R1771" t="str">
        <f>VLOOKUP(VLOOKUP(B1771,[1]Product!A:C,3,FALSE),[1]Supplier!A:I,9,FALSE)</f>
        <v>Germany</v>
      </c>
      <c r="S1771" t="str">
        <f>IFERROR(IF(VLOOKUP(A1771,'[1]Sales Order'!A:H,8,FALSE)&gt;100,"High Freight","Low Freight"),"Not Specified")</f>
        <v>Low Freight</v>
      </c>
      <c r="T1771">
        <f t="shared" si="55"/>
        <v>195</v>
      </c>
    </row>
    <row r="1772" spans="1:20">
      <c r="A1772" s="1">
        <v>10930</v>
      </c>
      <c r="B1772" s="2">
        <v>21</v>
      </c>
      <c r="C1772" s="2">
        <v>10</v>
      </c>
      <c r="D1772" s="2">
        <v>36</v>
      </c>
      <c r="E1772" s="3">
        <v>0</v>
      </c>
      <c r="F1772" s="2" t="str">
        <f>IFERROR(VLOOKUP(VLOOKUP(A1772,'[1]Sales Order'!A:B,2,FALSE),[1]Customer!A:C,3,FALSE),"Not Specified")</f>
        <v>Gulbis, Katrin</v>
      </c>
      <c r="G1772" s="2" t="str">
        <f t="shared" si="54"/>
        <v>Gulbis Katrin</v>
      </c>
      <c r="H1772" s="8" t="str">
        <f>IFERROR(VLOOKUP(VLOOKUP(A1772,'[1]Sales Order'!A:C,3,FALSE),[1]Employee!A:E,5,FALSE)&amp;" "&amp;VLOOKUP(VLOOKUP(A1772,'[1]Sales Order'!A:C,3,FALSE),[1]Employee!A:C,3,FALSE)&amp;" "&amp;VLOOKUP(VLOOKUP(A1772,'[1]Sales Order'!A:C,3,FALSE),[1]Employee!A:B,2,FALSE),"Not Specified")</f>
        <v>Mrs. Yael Peled</v>
      </c>
      <c r="I1772" t="str">
        <f>IFERROR(VLOOKUP(VLOOKUP(A1772,'[1]Sales Order'!A:C,3,FALSE),[1]Employee!A:J,10,FALSE),"Not Specified")</f>
        <v>WA</v>
      </c>
      <c r="J1772" t="str">
        <f>VLOOKUP(B1772,[1]Product!A:B,2,FALSE)</f>
        <v>Product VJZZH</v>
      </c>
      <c r="K1772" t="str">
        <f>VLOOKUP(VLOOKUP(B1772,[1]Product!A:D,4,FALSE),[1]Category!A:B,2,FALSE)</f>
        <v>Confections</v>
      </c>
      <c r="L1772" s="10">
        <f>IFERROR(VLOOKUP(A1772,'[1]Sales Order'!A:D,4,FALSE),"")</f>
        <v>39513</v>
      </c>
      <c r="M1772" s="10">
        <f>IFERROR(VLOOKUP(A1772,'[1]Sales Order'!A:F,6,FALSE),"")</f>
        <v>39525</v>
      </c>
      <c r="N1772" t="str">
        <f>IFERROR(VLOOKUP(VLOOKUP(A1772,'[1]Sales Order'!A:G,7,FALSE),[1]Shipper!A:B,2,FALSE),"Not Specified")</f>
        <v>Shipper ZHISN</v>
      </c>
      <c r="O1772" t="str">
        <f>IFERROR(VLOOKUP(A1772,'[1]Sales Order'!A:I,9,FALSE),"Not Specified")</f>
        <v>Ship to 76-A</v>
      </c>
      <c r="P1772" t="str">
        <f>IFERROR(VLOOKUP(A1772,'[1]Sales Order'!A:N,14,FALSE),"Not Specified")</f>
        <v>Belgium</v>
      </c>
      <c r="Q1772" t="str">
        <f>VLOOKUP(VLOOKUP(B1772,[1]Product!A:C,3,FALSE),[1]Supplier!A:B,2,FALSE)</f>
        <v>Supplier BWGYE</v>
      </c>
      <c r="R1772" t="str">
        <f>VLOOKUP(VLOOKUP(B1772,[1]Product!A:C,3,FALSE),[1]Supplier!A:I,9,FALSE)</f>
        <v>UK</v>
      </c>
      <c r="S1772" t="str">
        <f>IFERROR(IF(VLOOKUP(A1772,'[1]Sales Order'!A:H,8,FALSE)&gt;100,"High Freight","Low Freight"),"Not Specified")</f>
        <v>Low Freight</v>
      </c>
      <c r="T1772">
        <f t="shared" si="55"/>
        <v>360</v>
      </c>
    </row>
    <row r="1773" spans="1:20">
      <c r="A1773" s="1">
        <v>10930</v>
      </c>
      <c r="B1773" s="2">
        <v>27</v>
      </c>
      <c r="C1773" s="2">
        <v>43.9</v>
      </c>
      <c r="D1773" s="2">
        <v>25</v>
      </c>
      <c r="E1773" s="3">
        <v>0</v>
      </c>
      <c r="F1773" s="2" t="str">
        <f>IFERROR(VLOOKUP(VLOOKUP(A1773,'[1]Sales Order'!A:B,2,FALSE),[1]Customer!A:C,3,FALSE),"Not Specified")</f>
        <v>Gulbis, Katrin</v>
      </c>
      <c r="G1773" s="2" t="str">
        <f t="shared" si="54"/>
        <v>Gulbis Katrin</v>
      </c>
      <c r="H1773" s="8" t="str">
        <f>IFERROR(VLOOKUP(VLOOKUP(A1773,'[1]Sales Order'!A:C,3,FALSE),[1]Employee!A:E,5,FALSE)&amp;" "&amp;VLOOKUP(VLOOKUP(A1773,'[1]Sales Order'!A:C,3,FALSE),[1]Employee!A:C,3,FALSE)&amp;" "&amp;VLOOKUP(VLOOKUP(A1773,'[1]Sales Order'!A:C,3,FALSE),[1]Employee!A:B,2,FALSE),"Not Specified")</f>
        <v>Mrs. Yael Peled</v>
      </c>
      <c r="I1773" t="str">
        <f>IFERROR(VLOOKUP(VLOOKUP(A1773,'[1]Sales Order'!A:C,3,FALSE),[1]Employee!A:J,10,FALSE),"Not Specified")</f>
        <v>WA</v>
      </c>
      <c r="J1773" t="str">
        <f>VLOOKUP(B1773,[1]Product!A:B,2,FALSE)</f>
        <v>Product SMIOH</v>
      </c>
      <c r="K1773" t="str">
        <f>VLOOKUP(VLOOKUP(B1773,[1]Product!A:D,4,FALSE),[1]Category!A:B,2,FALSE)</f>
        <v>Confections</v>
      </c>
      <c r="L1773" s="10">
        <f>IFERROR(VLOOKUP(A1773,'[1]Sales Order'!A:D,4,FALSE),"")</f>
        <v>39513</v>
      </c>
      <c r="M1773" s="10">
        <f>IFERROR(VLOOKUP(A1773,'[1]Sales Order'!A:F,6,FALSE),"")</f>
        <v>39525</v>
      </c>
      <c r="N1773" t="str">
        <f>IFERROR(VLOOKUP(VLOOKUP(A1773,'[1]Sales Order'!A:G,7,FALSE),[1]Shipper!A:B,2,FALSE),"Not Specified")</f>
        <v>Shipper ZHISN</v>
      </c>
      <c r="O1773" t="str">
        <f>IFERROR(VLOOKUP(A1773,'[1]Sales Order'!A:I,9,FALSE),"Not Specified")</f>
        <v>Ship to 76-A</v>
      </c>
      <c r="P1773" t="str">
        <f>IFERROR(VLOOKUP(A1773,'[1]Sales Order'!A:N,14,FALSE),"Not Specified")</f>
        <v>Belgium</v>
      </c>
      <c r="Q1773" t="str">
        <f>VLOOKUP(VLOOKUP(B1773,[1]Product!A:C,3,FALSE),[1]Supplier!A:B,2,FALSE)</f>
        <v>Supplier ZPYVS</v>
      </c>
      <c r="R1773" t="str">
        <f>VLOOKUP(VLOOKUP(B1773,[1]Product!A:C,3,FALSE),[1]Supplier!A:I,9,FALSE)</f>
        <v>Germany</v>
      </c>
      <c r="S1773" t="str">
        <f>IFERROR(IF(VLOOKUP(A1773,'[1]Sales Order'!A:H,8,FALSE)&gt;100,"High Freight","Low Freight"),"Not Specified")</f>
        <v>Low Freight</v>
      </c>
      <c r="T1773">
        <f t="shared" si="55"/>
        <v>1097.5</v>
      </c>
    </row>
    <row r="1774" spans="1:20">
      <c r="A1774" s="1">
        <v>10930</v>
      </c>
      <c r="B1774" s="2">
        <v>55</v>
      </c>
      <c r="C1774" s="2">
        <v>24</v>
      </c>
      <c r="D1774" s="2">
        <v>25</v>
      </c>
      <c r="E1774" s="3">
        <v>0.2</v>
      </c>
      <c r="F1774" s="2" t="str">
        <f>IFERROR(VLOOKUP(VLOOKUP(A1774,'[1]Sales Order'!A:B,2,FALSE),[1]Customer!A:C,3,FALSE),"Not Specified")</f>
        <v>Gulbis, Katrin</v>
      </c>
      <c r="G1774" s="2" t="str">
        <f t="shared" si="54"/>
        <v>Gulbis Katrin</v>
      </c>
      <c r="H1774" s="8" t="str">
        <f>IFERROR(VLOOKUP(VLOOKUP(A1774,'[1]Sales Order'!A:C,3,FALSE),[1]Employee!A:E,5,FALSE)&amp;" "&amp;VLOOKUP(VLOOKUP(A1774,'[1]Sales Order'!A:C,3,FALSE),[1]Employee!A:C,3,FALSE)&amp;" "&amp;VLOOKUP(VLOOKUP(A1774,'[1]Sales Order'!A:C,3,FALSE),[1]Employee!A:B,2,FALSE),"Not Specified")</f>
        <v>Mrs. Yael Peled</v>
      </c>
      <c r="I1774" t="str">
        <f>IFERROR(VLOOKUP(VLOOKUP(A1774,'[1]Sales Order'!A:C,3,FALSE),[1]Employee!A:J,10,FALSE),"Not Specified")</f>
        <v>WA</v>
      </c>
      <c r="J1774" t="str">
        <f>VLOOKUP(B1774,[1]Product!A:B,2,FALSE)</f>
        <v>Product YYWRT</v>
      </c>
      <c r="K1774" t="str">
        <f>VLOOKUP(VLOOKUP(B1774,[1]Product!A:D,4,FALSE),[1]Category!A:B,2,FALSE)</f>
        <v>Meat/Poultry</v>
      </c>
      <c r="L1774" s="10">
        <f>IFERROR(VLOOKUP(A1774,'[1]Sales Order'!A:D,4,FALSE),"")</f>
        <v>39513</v>
      </c>
      <c r="M1774" s="10">
        <f>IFERROR(VLOOKUP(A1774,'[1]Sales Order'!A:F,6,FALSE),"")</f>
        <v>39525</v>
      </c>
      <c r="N1774" t="str">
        <f>IFERROR(VLOOKUP(VLOOKUP(A1774,'[1]Sales Order'!A:G,7,FALSE),[1]Shipper!A:B,2,FALSE),"Not Specified")</f>
        <v>Shipper ZHISN</v>
      </c>
      <c r="O1774" t="str">
        <f>IFERROR(VLOOKUP(A1774,'[1]Sales Order'!A:I,9,FALSE),"Not Specified")</f>
        <v>Ship to 76-A</v>
      </c>
      <c r="P1774" t="str">
        <f>IFERROR(VLOOKUP(A1774,'[1]Sales Order'!A:N,14,FALSE),"Not Specified")</f>
        <v>Belgium</v>
      </c>
      <c r="Q1774" t="str">
        <f>VLOOKUP(VLOOKUP(B1774,[1]Product!A:C,3,FALSE),[1]Supplier!A:B,2,FALSE)</f>
        <v>Supplier ERVYZ</v>
      </c>
      <c r="R1774" t="str">
        <f>VLOOKUP(VLOOKUP(B1774,[1]Product!A:C,3,FALSE),[1]Supplier!A:I,9,FALSE)</f>
        <v>Canada</v>
      </c>
      <c r="S1774" t="str">
        <f>IFERROR(IF(VLOOKUP(A1774,'[1]Sales Order'!A:H,8,FALSE)&gt;100,"High Freight","Low Freight"),"Not Specified")</f>
        <v>Low Freight</v>
      </c>
      <c r="T1774">
        <f t="shared" si="55"/>
        <v>480</v>
      </c>
    </row>
    <row r="1775" spans="1:20">
      <c r="A1775" s="1">
        <v>10930</v>
      </c>
      <c r="B1775" s="2">
        <v>58</v>
      </c>
      <c r="C1775" s="2">
        <v>13.25</v>
      </c>
      <c r="D1775" s="2">
        <v>30</v>
      </c>
      <c r="E1775" s="3">
        <v>0.2</v>
      </c>
      <c r="F1775" s="2" t="str">
        <f>IFERROR(VLOOKUP(VLOOKUP(A1775,'[1]Sales Order'!A:B,2,FALSE),[1]Customer!A:C,3,FALSE),"Not Specified")</f>
        <v>Gulbis, Katrin</v>
      </c>
      <c r="G1775" s="2" t="str">
        <f t="shared" si="54"/>
        <v>Gulbis Katrin</v>
      </c>
      <c r="H1775" s="8" t="str">
        <f>IFERROR(VLOOKUP(VLOOKUP(A1775,'[1]Sales Order'!A:C,3,FALSE),[1]Employee!A:E,5,FALSE)&amp;" "&amp;VLOOKUP(VLOOKUP(A1775,'[1]Sales Order'!A:C,3,FALSE),[1]Employee!A:C,3,FALSE)&amp;" "&amp;VLOOKUP(VLOOKUP(A1775,'[1]Sales Order'!A:C,3,FALSE),[1]Employee!A:B,2,FALSE),"Not Specified")</f>
        <v>Mrs. Yael Peled</v>
      </c>
      <c r="I1775" t="str">
        <f>IFERROR(VLOOKUP(VLOOKUP(A1775,'[1]Sales Order'!A:C,3,FALSE),[1]Employee!A:J,10,FALSE),"Not Specified")</f>
        <v>WA</v>
      </c>
      <c r="J1775" t="str">
        <f>VLOOKUP(B1775,[1]Product!A:B,2,FALSE)</f>
        <v>Product ACRVI</v>
      </c>
      <c r="K1775" t="str">
        <f>VLOOKUP(VLOOKUP(B1775,[1]Product!A:D,4,FALSE),[1]Category!A:B,2,FALSE)</f>
        <v>Seafood</v>
      </c>
      <c r="L1775" s="10">
        <f>IFERROR(VLOOKUP(A1775,'[1]Sales Order'!A:D,4,FALSE),"")</f>
        <v>39513</v>
      </c>
      <c r="M1775" s="10">
        <f>IFERROR(VLOOKUP(A1775,'[1]Sales Order'!A:F,6,FALSE),"")</f>
        <v>39525</v>
      </c>
      <c r="N1775" t="str">
        <f>IFERROR(VLOOKUP(VLOOKUP(A1775,'[1]Sales Order'!A:G,7,FALSE),[1]Shipper!A:B,2,FALSE),"Not Specified")</f>
        <v>Shipper ZHISN</v>
      </c>
      <c r="O1775" t="str">
        <f>IFERROR(VLOOKUP(A1775,'[1]Sales Order'!A:I,9,FALSE),"Not Specified")</f>
        <v>Ship to 76-A</v>
      </c>
      <c r="P1775" t="str">
        <f>IFERROR(VLOOKUP(A1775,'[1]Sales Order'!A:N,14,FALSE),"Not Specified")</f>
        <v>Belgium</v>
      </c>
      <c r="Q1775" t="str">
        <f>VLOOKUP(VLOOKUP(B1775,[1]Product!A:C,3,FALSE),[1]Supplier!A:B,2,FALSE)</f>
        <v>Supplier ZRYDZ</v>
      </c>
      <c r="R1775" t="str">
        <f>VLOOKUP(VLOOKUP(B1775,[1]Product!A:C,3,FALSE),[1]Supplier!A:I,9,FALSE)</f>
        <v>France</v>
      </c>
      <c r="S1775" t="str">
        <f>IFERROR(IF(VLOOKUP(A1775,'[1]Sales Order'!A:H,8,FALSE)&gt;100,"High Freight","Low Freight"),"Not Specified")</f>
        <v>Low Freight</v>
      </c>
      <c r="T1775">
        <f t="shared" si="55"/>
        <v>318</v>
      </c>
    </row>
    <row r="1776" spans="1:20">
      <c r="A1776" s="1">
        <v>10931</v>
      </c>
      <c r="B1776" s="2">
        <v>13</v>
      </c>
      <c r="C1776" s="2">
        <v>6</v>
      </c>
      <c r="D1776" s="2">
        <v>42</v>
      </c>
      <c r="E1776" s="3">
        <v>0.15</v>
      </c>
      <c r="F1776" s="2" t="str">
        <f>IFERROR(VLOOKUP(VLOOKUP(A1776,'[1]Sales Order'!A:B,2,FALSE),[1]Customer!A:C,3,FALSE),"Not Specified")</f>
        <v>Myrcha, Jacek</v>
      </c>
      <c r="G1776" s="2" t="str">
        <f t="shared" si="54"/>
        <v>Myrcha Jacek</v>
      </c>
      <c r="H1776" s="8" t="str">
        <f>IFERROR(VLOOKUP(VLOOKUP(A1776,'[1]Sales Order'!A:C,3,FALSE),[1]Employee!A:E,5,FALSE)&amp;" "&amp;VLOOKUP(VLOOKUP(A1776,'[1]Sales Order'!A:C,3,FALSE),[1]Employee!A:C,3,FALSE)&amp;" "&amp;VLOOKUP(VLOOKUP(A1776,'[1]Sales Order'!A:C,3,FALSE),[1]Employee!A:B,2,FALSE),"Not Specified")</f>
        <v>Mrs. Yael Peled</v>
      </c>
      <c r="I1776" t="str">
        <f>IFERROR(VLOOKUP(VLOOKUP(A1776,'[1]Sales Order'!A:C,3,FALSE),[1]Employee!A:J,10,FALSE),"Not Specified")</f>
        <v>WA</v>
      </c>
      <c r="J1776" t="str">
        <f>VLOOKUP(B1776,[1]Product!A:B,2,FALSE)</f>
        <v>Product POXFU</v>
      </c>
      <c r="K1776" t="str">
        <f>VLOOKUP(VLOOKUP(B1776,[1]Product!A:D,4,FALSE),[1]Category!A:B,2,FALSE)</f>
        <v>Seafood</v>
      </c>
      <c r="L1776" s="10">
        <f>IFERROR(VLOOKUP(A1776,'[1]Sales Order'!A:D,4,FALSE),"")</f>
        <v>39513</v>
      </c>
      <c r="M1776" s="10">
        <f>IFERROR(VLOOKUP(A1776,'[1]Sales Order'!A:F,6,FALSE),"")</f>
        <v>39526</v>
      </c>
      <c r="N1776" t="str">
        <f>IFERROR(VLOOKUP(VLOOKUP(A1776,'[1]Sales Order'!A:G,7,FALSE),[1]Shipper!A:B,2,FALSE),"Not Specified")</f>
        <v>Shipper ETYNR</v>
      </c>
      <c r="O1776" t="str">
        <f>IFERROR(VLOOKUP(A1776,'[1]Sales Order'!A:I,9,FALSE),"Not Specified")</f>
        <v>Ship to 68-B</v>
      </c>
      <c r="P1776" t="str">
        <f>IFERROR(VLOOKUP(A1776,'[1]Sales Order'!A:N,14,FALSE),"Not Specified")</f>
        <v>Switzerland</v>
      </c>
      <c r="Q1776" t="str">
        <f>VLOOKUP(VLOOKUP(B1776,[1]Product!A:C,3,FALSE),[1]Supplier!A:B,2,FALSE)</f>
        <v>Supplier QWUSF</v>
      </c>
      <c r="R1776" t="str">
        <f>VLOOKUP(VLOOKUP(B1776,[1]Product!A:C,3,FALSE),[1]Supplier!A:I,9,FALSE)</f>
        <v>Japan</v>
      </c>
      <c r="S1776" t="str">
        <f>IFERROR(IF(VLOOKUP(A1776,'[1]Sales Order'!A:H,8,FALSE)&gt;100,"High Freight","Low Freight"),"Not Specified")</f>
        <v>Low Freight</v>
      </c>
      <c r="T1776">
        <f t="shared" si="55"/>
        <v>214.2</v>
      </c>
    </row>
    <row r="1777" spans="1:20">
      <c r="A1777" s="1">
        <v>10931</v>
      </c>
      <c r="B1777" s="2">
        <v>57</v>
      </c>
      <c r="C1777" s="2">
        <v>19.5</v>
      </c>
      <c r="D1777" s="2">
        <v>30</v>
      </c>
      <c r="E1777" s="3">
        <v>0</v>
      </c>
      <c r="F1777" s="2" t="str">
        <f>IFERROR(VLOOKUP(VLOOKUP(A1777,'[1]Sales Order'!A:B,2,FALSE),[1]Customer!A:C,3,FALSE),"Not Specified")</f>
        <v>Myrcha, Jacek</v>
      </c>
      <c r="G1777" s="2" t="str">
        <f t="shared" si="54"/>
        <v>Myrcha Jacek</v>
      </c>
      <c r="H1777" s="8" t="str">
        <f>IFERROR(VLOOKUP(VLOOKUP(A1777,'[1]Sales Order'!A:C,3,FALSE),[1]Employee!A:E,5,FALSE)&amp;" "&amp;VLOOKUP(VLOOKUP(A1777,'[1]Sales Order'!A:C,3,FALSE),[1]Employee!A:C,3,FALSE)&amp;" "&amp;VLOOKUP(VLOOKUP(A1777,'[1]Sales Order'!A:C,3,FALSE),[1]Employee!A:B,2,FALSE),"Not Specified")</f>
        <v>Mrs. Yael Peled</v>
      </c>
      <c r="I1777" t="str">
        <f>IFERROR(VLOOKUP(VLOOKUP(A1777,'[1]Sales Order'!A:C,3,FALSE),[1]Employee!A:J,10,FALSE),"Not Specified")</f>
        <v>WA</v>
      </c>
      <c r="J1777" t="str">
        <f>VLOOKUP(B1777,[1]Product!A:B,2,FALSE)</f>
        <v>Product OVLQI</v>
      </c>
      <c r="K1777" t="str">
        <f>VLOOKUP(VLOOKUP(B1777,[1]Product!A:D,4,FALSE),[1]Category!A:B,2,FALSE)</f>
        <v>Grains/Cereals</v>
      </c>
      <c r="L1777" s="10">
        <f>IFERROR(VLOOKUP(A1777,'[1]Sales Order'!A:D,4,FALSE),"")</f>
        <v>39513</v>
      </c>
      <c r="M1777" s="10">
        <f>IFERROR(VLOOKUP(A1777,'[1]Sales Order'!A:F,6,FALSE),"")</f>
        <v>39526</v>
      </c>
      <c r="N1777" t="str">
        <f>IFERROR(VLOOKUP(VLOOKUP(A1777,'[1]Sales Order'!A:G,7,FALSE),[1]Shipper!A:B,2,FALSE),"Not Specified")</f>
        <v>Shipper ETYNR</v>
      </c>
      <c r="O1777" t="str">
        <f>IFERROR(VLOOKUP(A1777,'[1]Sales Order'!A:I,9,FALSE),"Not Specified")</f>
        <v>Ship to 68-B</v>
      </c>
      <c r="P1777" t="str">
        <f>IFERROR(VLOOKUP(A1777,'[1]Sales Order'!A:N,14,FALSE),"Not Specified")</f>
        <v>Switzerland</v>
      </c>
      <c r="Q1777" t="str">
        <f>VLOOKUP(VLOOKUP(B1777,[1]Product!A:C,3,FALSE),[1]Supplier!A:B,2,FALSE)</f>
        <v>Supplier ZWZDM</v>
      </c>
      <c r="R1777" t="str">
        <f>VLOOKUP(VLOOKUP(B1777,[1]Product!A:C,3,FALSE),[1]Supplier!A:I,9,FALSE)</f>
        <v>Italy</v>
      </c>
      <c r="S1777" t="str">
        <f>IFERROR(IF(VLOOKUP(A1777,'[1]Sales Order'!A:H,8,FALSE)&gt;100,"High Freight","Low Freight"),"Not Specified")</f>
        <v>Low Freight</v>
      </c>
      <c r="T1777">
        <f t="shared" si="55"/>
        <v>585</v>
      </c>
    </row>
    <row r="1778" spans="1:20">
      <c r="A1778" s="1">
        <v>10932</v>
      </c>
      <c r="B1778" s="2">
        <v>16</v>
      </c>
      <c r="C1778" s="2">
        <v>17.45</v>
      </c>
      <c r="D1778" s="2">
        <v>30</v>
      </c>
      <c r="E1778" s="3">
        <v>0.1</v>
      </c>
      <c r="F1778" s="2" t="str">
        <f>IFERROR(VLOOKUP(VLOOKUP(A1778,'[1]Sales Order'!A:B,2,FALSE),[1]Customer!A:C,3,FALSE),"Not Specified")</f>
        <v>Raghav, Amritansh</v>
      </c>
      <c r="G1778" s="2" t="str">
        <f t="shared" si="54"/>
        <v>Raghav Amritansh</v>
      </c>
      <c r="H1778" s="8" t="str">
        <f>IFERROR(VLOOKUP(VLOOKUP(A1778,'[1]Sales Order'!A:C,3,FALSE),[1]Employee!A:E,5,FALSE)&amp;" "&amp;VLOOKUP(VLOOKUP(A1778,'[1]Sales Order'!A:C,3,FALSE),[1]Employee!A:C,3,FALSE)&amp;" "&amp;VLOOKUP(VLOOKUP(A1778,'[1]Sales Order'!A:C,3,FALSE),[1]Employee!A:B,2,FALSE),"Not Specified")</f>
        <v>Ms. Maria Cameron</v>
      </c>
      <c r="I1778" t="str">
        <f>IFERROR(VLOOKUP(VLOOKUP(A1778,'[1]Sales Order'!A:C,3,FALSE),[1]Employee!A:J,10,FALSE),"Not Specified")</f>
        <v>WA</v>
      </c>
      <c r="J1778" t="str">
        <f>VLOOKUP(B1778,[1]Product!A:B,2,FALSE)</f>
        <v>Product PAFRH</v>
      </c>
      <c r="K1778" t="str">
        <f>VLOOKUP(VLOOKUP(B1778,[1]Product!A:D,4,FALSE),[1]Category!A:B,2,FALSE)</f>
        <v>Confections</v>
      </c>
      <c r="L1778" s="10">
        <f>IFERROR(VLOOKUP(A1778,'[1]Sales Order'!A:D,4,FALSE),"")</f>
        <v>39513</v>
      </c>
      <c r="M1778" s="10">
        <f>IFERROR(VLOOKUP(A1778,'[1]Sales Order'!A:F,6,FALSE),"")</f>
        <v>39531</v>
      </c>
      <c r="N1778" t="str">
        <f>IFERROR(VLOOKUP(VLOOKUP(A1778,'[1]Sales Order'!A:G,7,FALSE),[1]Shipper!A:B,2,FALSE),"Not Specified")</f>
        <v>Shipper GVSUA</v>
      </c>
      <c r="O1778" t="str">
        <f>IFERROR(VLOOKUP(A1778,'[1]Sales Order'!A:I,9,FALSE),"Not Specified")</f>
        <v>Ship to 9-B</v>
      </c>
      <c r="P1778" t="str">
        <f>IFERROR(VLOOKUP(A1778,'[1]Sales Order'!A:N,14,FALSE),"Not Specified")</f>
        <v>France</v>
      </c>
      <c r="Q1778" t="str">
        <f>VLOOKUP(VLOOKUP(B1778,[1]Product!A:C,3,FALSE),[1]Supplier!A:B,2,FALSE)</f>
        <v>Supplier GQRCV</v>
      </c>
      <c r="R1778" t="str">
        <f>VLOOKUP(VLOOKUP(B1778,[1]Product!A:C,3,FALSE),[1]Supplier!A:I,9,FALSE)</f>
        <v>Australia</v>
      </c>
      <c r="S1778" t="str">
        <f>IFERROR(IF(VLOOKUP(A1778,'[1]Sales Order'!A:H,8,FALSE)&gt;100,"High Freight","Low Freight"),"Not Specified")</f>
        <v>High Freight</v>
      </c>
      <c r="T1778">
        <f t="shared" si="55"/>
        <v>471.15000000000003</v>
      </c>
    </row>
    <row r="1779" spans="1:20">
      <c r="A1779" s="1">
        <v>10932</v>
      </c>
      <c r="B1779" s="2">
        <v>62</v>
      </c>
      <c r="C1779" s="2">
        <v>49.3</v>
      </c>
      <c r="D1779" s="2">
        <v>14</v>
      </c>
      <c r="E1779" s="3">
        <v>0.1</v>
      </c>
      <c r="F1779" s="2" t="str">
        <f>IFERROR(VLOOKUP(VLOOKUP(A1779,'[1]Sales Order'!A:B,2,FALSE),[1]Customer!A:C,3,FALSE),"Not Specified")</f>
        <v>Raghav, Amritansh</v>
      </c>
      <c r="G1779" s="2" t="str">
        <f t="shared" si="54"/>
        <v>Raghav Amritansh</v>
      </c>
      <c r="H1779" s="8" t="str">
        <f>IFERROR(VLOOKUP(VLOOKUP(A1779,'[1]Sales Order'!A:C,3,FALSE),[1]Employee!A:E,5,FALSE)&amp;" "&amp;VLOOKUP(VLOOKUP(A1779,'[1]Sales Order'!A:C,3,FALSE),[1]Employee!A:C,3,FALSE)&amp;" "&amp;VLOOKUP(VLOOKUP(A1779,'[1]Sales Order'!A:C,3,FALSE),[1]Employee!A:B,2,FALSE),"Not Specified")</f>
        <v>Ms. Maria Cameron</v>
      </c>
      <c r="I1779" t="str">
        <f>IFERROR(VLOOKUP(VLOOKUP(A1779,'[1]Sales Order'!A:C,3,FALSE),[1]Employee!A:J,10,FALSE),"Not Specified")</f>
        <v>WA</v>
      </c>
      <c r="J1779" t="str">
        <f>VLOOKUP(B1779,[1]Product!A:B,2,FALSE)</f>
        <v>Product WUXYK</v>
      </c>
      <c r="K1779" t="str">
        <f>VLOOKUP(VLOOKUP(B1779,[1]Product!A:D,4,FALSE),[1]Category!A:B,2,FALSE)</f>
        <v>Confections</v>
      </c>
      <c r="L1779" s="10">
        <f>IFERROR(VLOOKUP(A1779,'[1]Sales Order'!A:D,4,FALSE),"")</f>
        <v>39513</v>
      </c>
      <c r="M1779" s="10">
        <f>IFERROR(VLOOKUP(A1779,'[1]Sales Order'!A:F,6,FALSE),"")</f>
        <v>39531</v>
      </c>
      <c r="N1779" t="str">
        <f>IFERROR(VLOOKUP(VLOOKUP(A1779,'[1]Sales Order'!A:G,7,FALSE),[1]Shipper!A:B,2,FALSE),"Not Specified")</f>
        <v>Shipper GVSUA</v>
      </c>
      <c r="O1779" t="str">
        <f>IFERROR(VLOOKUP(A1779,'[1]Sales Order'!A:I,9,FALSE),"Not Specified")</f>
        <v>Ship to 9-B</v>
      </c>
      <c r="P1779" t="str">
        <f>IFERROR(VLOOKUP(A1779,'[1]Sales Order'!A:N,14,FALSE),"Not Specified")</f>
        <v>France</v>
      </c>
      <c r="Q1779" t="str">
        <f>VLOOKUP(VLOOKUP(B1779,[1]Product!A:C,3,FALSE),[1]Supplier!A:B,2,FALSE)</f>
        <v>Supplier OGLRK</v>
      </c>
      <c r="R1779" t="str">
        <f>VLOOKUP(VLOOKUP(B1779,[1]Product!A:C,3,FALSE),[1]Supplier!A:I,9,FALSE)</f>
        <v>Canada</v>
      </c>
      <c r="S1779" t="str">
        <f>IFERROR(IF(VLOOKUP(A1779,'[1]Sales Order'!A:H,8,FALSE)&gt;100,"High Freight","Low Freight"),"Not Specified")</f>
        <v>High Freight</v>
      </c>
      <c r="T1779">
        <f t="shared" si="55"/>
        <v>621.17999999999995</v>
      </c>
    </row>
    <row r="1780" spans="1:20">
      <c r="A1780" s="1">
        <v>10932</v>
      </c>
      <c r="B1780" s="2">
        <v>72</v>
      </c>
      <c r="C1780" s="2">
        <v>34.799999999999997</v>
      </c>
      <c r="D1780" s="2">
        <v>16</v>
      </c>
      <c r="E1780" s="3">
        <v>0</v>
      </c>
      <c r="F1780" s="2" t="str">
        <f>IFERROR(VLOOKUP(VLOOKUP(A1780,'[1]Sales Order'!A:B,2,FALSE),[1]Customer!A:C,3,FALSE),"Not Specified")</f>
        <v>Raghav, Amritansh</v>
      </c>
      <c r="G1780" s="2" t="str">
        <f t="shared" si="54"/>
        <v>Raghav Amritansh</v>
      </c>
      <c r="H1780" s="8" t="str">
        <f>IFERROR(VLOOKUP(VLOOKUP(A1780,'[1]Sales Order'!A:C,3,FALSE),[1]Employee!A:E,5,FALSE)&amp;" "&amp;VLOOKUP(VLOOKUP(A1780,'[1]Sales Order'!A:C,3,FALSE),[1]Employee!A:C,3,FALSE)&amp;" "&amp;VLOOKUP(VLOOKUP(A1780,'[1]Sales Order'!A:C,3,FALSE),[1]Employee!A:B,2,FALSE),"Not Specified")</f>
        <v>Ms. Maria Cameron</v>
      </c>
      <c r="I1780" t="str">
        <f>IFERROR(VLOOKUP(VLOOKUP(A1780,'[1]Sales Order'!A:C,3,FALSE),[1]Employee!A:J,10,FALSE),"Not Specified")</f>
        <v>WA</v>
      </c>
      <c r="J1780" t="str">
        <f>VLOOKUP(B1780,[1]Product!A:B,2,FALSE)</f>
        <v>Product GEEOO</v>
      </c>
      <c r="K1780" t="str">
        <f>VLOOKUP(VLOOKUP(B1780,[1]Product!A:D,4,FALSE),[1]Category!A:B,2,FALSE)</f>
        <v>Dairy Product</v>
      </c>
      <c r="L1780" s="10">
        <f>IFERROR(VLOOKUP(A1780,'[1]Sales Order'!A:D,4,FALSE),"")</f>
        <v>39513</v>
      </c>
      <c r="M1780" s="10">
        <f>IFERROR(VLOOKUP(A1780,'[1]Sales Order'!A:F,6,FALSE),"")</f>
        <v>39531</v>
      </c>
      <c r="N1780" t="str">
        <f>IFERROR(VLOOKUP(VLOOKUP(A1780,'[1]Sales Order'!A:G,7,FALSE),[1]Shipper!A:B,2,FALSE),"Not Specified")</f>
        <v>Shipper GVSUA</v>
      </c>
      <c r="O1780" t="str">
        <f>IFERROR(VLOOKUP(A1780,'[1]Sales Order'!A:I,9,FALSE),"Not Specified")</f>
        <v>Ship to 9-B</v>
      </c>
      <c r="P1780" t="str">
        <f>IFERROR(VLOOKUP(A1780,'[1]Sales Order'!A:N,14,FALSE),"Not Specified")</f>
        <v>France</v>
      </c>
      <c r="Q1780" t="str">
        <f>VLOOKUP(VLOOKUP(B1780,[1]Product!A:C,3,FALSE),[1]Supplier!A:B,2,FALSE)</f>
        <v>Supplier KEREV</v>
      </c>
      <c r="R1780" t="str">
        <f>VLOOKUP(VLOOKUP(B1780,[1]Product!A:C,3,FALSE),[1]Supplier!A:I,9,FALSE)</f>
        <v>Italy</v>
      </c>
      <c r="S1780" t="str">
        <f>IFERROR(IF(VLOOKUP(A1780,'[1]Sales Order'!A:H,8,FALSE)&gt;100,"High Freight","Low Freight"),"Not Specified")</f>
        <v>High Freight</v>
      </c>
      <c r="T1780">
        <f t="shared" si="55"/>
        <v>556.79999999999995</v>
      </c>
    </row>
    <row r="1781" spans="1:20">
      <c r="A1781" s="1">
        <v>10932</v>
      </c>
      <c r="B1781" s="2">
        <v>75</v>
      </c>
      <c r="C1781" s="2">
        <v>7.75</v>
      </c>
      <c r="D1781" s="2">
        <v>20</v>
      </c>
      <c r="E1781" s="3">
        <v>0.1</v>
      </c>
      <c r="F1781" s="2" t="str">
        <f>IFERROR(VLOOKUP(VLOOKUP(A1781,'[1]Sales Order'!A:B,2,FALSE),[1]Customer!A:C,3,FALSE),"Not Specified")</f>
        <v>Raghav, Amritansh</v>
      </c>
      <c r="G1781" s="2" t="str">
        <f t="shared" si="54"/>
        <v>Raghav Amritansh</v>
      </c>
      <c r="H1781" s="8" t="str">
        <f>IFERROR(VLOOKUP(VLOOKUP(A1781,'[1]Sales Order'!A:C,3,FALSE),[1]Employee!A:E,5,FALSE)&amp;" "&amp;VLOOKUP(VLOOKUP(A1781,'[1]Sales Order'!A:C,3,FALSE),[1]Employee!A:C,3,FALSE)&amp;" "&amp;VLOOKUP(VLOOKUP(A1781,'[1]Sales Order'!A:C,3,FALSE),[1]Employee!A:B,2,FALSE),"Not Specified")</f>
        <v>Ms. Maria Cameron</v>
      </c>
      <c r="I1781" t="str">
        <f>IFERROR(VLOOKUP(VLOOKUP(A1781,'[1]Sales Order'!A:C,3,FALSE),[1]Employee!A:J,10,FALSE),"Not Specified")</f>
        <v>WA</v>
      </c>
      <c r="J1781" t="str">
        <f>VLOOKUP(B1781,[1]Product!A:B,2,FALSE)</f>
        <v>Product BWRLG</v>
      </c>
      <c r="K1781" t="str">
        <f>VLOOKUP(VLOOKUP(B1781,[1]Product!A:D,4,FALSE),[1]Category!A:B,2,FALSE)</f>
        <v>Beverages</v>
      </c>
      <c r="L1781" s="10">
        <f>IFERROR(VLOOKUP(A1781,'[1]Sales Order'!A:D,4,FALSE),"")</f>
        <v>39513</v>
      </c>
      <c r="M1781" s="10">
        <f>IFERROR(VLOOKUP(A1781,'[1]Sales Order'!A:F,6,FALSE),"")</f>
        <v>39531</v>
      </c>
      <c r="N1781" t="str">
        <f>IFERROR(VLOOKUP(VLOOKUP(A1781,'[1]Sales Order'!A:G,7,FALSE),[1]Shipper!A:B,2,FALSE),"Not Specified")</f>
        <v>Shipper GVSUA</v>
      </c>
      <c r="O1781" t="str">
        <f>IFERROR(VLOOKUP(A1781,'[1]Sales Order'!A:I,9,FALSE),"Not Specified")</f>
        <v>Ship to 9-B</v>
      </c>
      <c r="P1781" t="str">
        <f>IFERROR(VLOOKUP(A1781,'[1]Sales Order'!A:N,14,FALSE),"Not Specified")</f>
        <v>France</v>
      </c>
      <c r="Q1781" t="str">
        <f>VLOOKUP(VLOOKUP(B1781,[1]Product!A:C,3,FALSE),[1]Supplier!A:B,2,FALSE)</f>
        <v>Supplier SVIYA</v>
      </c>
      <c r="R1781" t="str">
        <f>VLOOKUP(VLOOKUP(B1781,[1]Product!A:C,3,FALSE),[1]Supplier!A:I,9,FALSE)</f>
        <v>Germany</v>
      </c>
      <c r="S1781" t="str">
        <f>IFERROR(IF(VLOOKUP(A1781,'[1]Sales Order'!A:H,8,FALSE)&gt;100,"High Freight","Low Freight"),"Not Specified")</f>
        <v>High Freight</v>
      </c>
      <c r="T1781">
        <f t="shared" si="55"/>
        <v>139.5</v>
      </c>
    </row>
    <row r="1782" spans="1:20">
      <c r="A1782" s="1">
        <v>10933</v>
      </c>
      <c r="B1782" s="2">
        <v>53</v>
      </c>
      <c r="C1782" s="2">
        <v>32.799999999999997</v>
      </c>
      <c r="D1782" s="2">
        <v>2</v>
      </c>
      <c r="E1782" s="3">
        <v>0</v>
      </c>
      <c r="F1782" s="2" t="str">
        <f>IFERROR(VLOOKUP(VLOOKUP(A1782,'[1]Sales Order'!A:B,2,FALSE),[1]Customer!A:C,3,FALSE),"Not Specified")</f>
        <v>Lee, Frank</v>
      </c>
      <c r="G1782" s="2" t="str">
        <f t="shared" si="54"/>
        <v>Lee Frank</v>
      </c>
      <c r="H1782" s="8" t="str">
        <f>IFERROR(VLOOKUP(VLOOKUP(A1782,'[1]Sales Order'!A:C,3,FALSE),[1]Employee!A:E,5,FALSE)&amp;" "&amp;VLOOKUP(VLOOKUP(A1782,'[1]Sales Order'!A:C,3,FALSE),[1]Employee!A:C,3,FALSE)&amp;" "&amp;VLOOKUP(VLOOKUP(A1782,'[1]Sales Order'!A:C,3,FALSE),[1]Employee!A:B,2,FALSE),"Not Specified")</f>
        <v>Mr. Paul Suurs</v>
      </c>
      <c r="I1782">
        <f>IFERROR(VLOOKUP(VLOOKUP(A1782,'[1]Sales Order'!A:C,3,FALSE),[1]Employee!A:J,10,FALSE),"Not Specified")</f>
        <v>0</v>
      </c>
      <c r="J1782" t="str">
        <f>VLOOKUP(B1782,[1]Product!A:B,2,FALSE)</f>
        <v>Product BKGEA</v>
      </c>
      <c r="K1782" t="str">
        <f>VLOOKUP(VLOOKUP(B1782,[1]Product!A:D,4,FALSE),[1]Category!A:B,2,FALSE)</f>
        <v>Meat/Poultry</v>
      </c>
      <c r="L1782" s="10">
        <f>IFERROR(VLOOKUP(A1782,'[1]Sales Order'!A:D,4,FALSE),"")</f>
        <v>39513</v>
      </c>
      <c r="M1782" s="10">
        <f>IFERROR(VLOOKUP(A1782,'[1]Sales Order'!A:F,6,FALSE),"")</f>
        <v>39523</v>
      </c>
      <c r="N1782" t="str">
        <f>IFERROR(VLOOKUP(VLOOKUP(A1782,'[1]Sales Order'!A:G,7,FALSE),[1]Shipper!A:B,2,FALSE),"Not Specified")</f>
        <v>Shipper ZHISN</v>
      </c>
      <c r="O1782" t="str">
        <f>IFERROR(VLOOKUP(A1782,'[1]Sales Order'!A:I,9,FALSE),"Not Specified")</f>
        <v>Destination QVTLW</v>
      </c>
      <c r="P1782" t="str">
        <f>IFERROR(VLOOKUP(A1782,'[1]Sales Order'!A:N,14,FALSE),"Not Specified")</f>
        <v>UK</v>
      </c>
      <c r="Q1782" t="str">
        <f>VLOOKUP(VLOOKUP(B1782,[1]Product!A:C,3,FALSE),[1]Supplier!A:B,2,FALSE)</f>
        <v>Supplier JNNES</v>
      </c>
      <c r="R1782" t="str">
        <f>VLOOKUP(VLOOKUP(B1782,[1]Product!A:C,3,FALSE),[1]Supplier!A:I,9,FALSE)</f>
        <v>Australia</v>
      </c>
      <c r="S1782" t="str">
        <f>IFERROR(IF(VLOOKUP(A1782,'[1]Sales Order'!A:H,8,FALSE)&gt;100,"High Freight","Low Freight"),"Not Specified")</f>
        <v>Low Freight</v>
      </c>
      <c r="T1782">
        <f t="shared" si="55"/>
        <v>65.599999999999994</v>
      </c>
    </row>
    <row r="1783" spans="1:20">
      <c r="A1783" s="1">
        <v>10933</v>
      </c>
      <c r="B1783" s="2">
        <v>61</v>
      </c>
      <c r="C1783" s="2">
        <v>28.5</v>
      </c>
      <c r="D1783" s="2">
        <v>30</v>
      </c>
      <c r="E1783" s="3">
        <v>0</v>
      </c>
      <c r="F1783" s="2" t="str">
        <f>IFERROR(VLOOKUP(VLOOKUP(A1783,'[1]Sales Order'!A:B,2,FALSE),[1]Customer!A:C,3,FALSE),"Not Specified")</f>
        <v>Lee, Frank</v>
      </c>
      <c r="G1783" s="2" t="str">
        <f t="shared" si="54"/>
        <v>Lee Frank</v>
      </c>
      <c r="H1783" s="8" t="str">
        <f>IFERROR(VLOOKUP(VLOOKUP(A1783,'[1]Sales Order'!A:C,3,FALSE),[1]Employee!A:E,5,FALSE)&amp;" "&amp;VLOOKUP(VLOOKUP(A1783,'[1]Sales Order'!A:C,3,FALSE),[1]Employee!A:C,3,FALSE)&amp;" "&amp;VLOOKUP(VLOOKUP(A1783,'[1]Sales Order'!A:C,3,FALSE),[1]Employee!A:B,2,FALSE),"Not Specified")</f>
        <v>Mr. Paul Suurs</v>
      </c>
      <c r="I1783">
        <f>IFERROR(VLOOKUP(VLOOKUP(A1783,'[1]Sales Order'!A:C,3,FALSE),[1]Employee!A:J,10,FALSE),"Not Specified")</f>
        <v>0</v>
      </c>
      <c r="J1783" t="str">
        <f>VLOOKUP(B1783,[1]Product!A:B,2,FALSE)</f>
        <v>Product XYZPE</v>
      </c>
      <c r="K1783" t="str">
        <f>VLOOKUP(VLOOKUP(B1783,[1]Product!A:D,4,FALSE),[1]Category!A:B,2,FALSE)</f>
        <v>Condiments</v>
      </c>
      <c r="L1783" s="10">
        <f>IFERROR(VLOOKUP(A1783,'[1]Sales Order'!A:D,4,FALSE),"")</f>
        <v>39513</v>
      </c>
      <c r="M1783" s="10">
        <f>IFERROR(VLOOKUP(A1783,'[1]Sales Order'!A:F,6,FALSE),"")</f>
        <v>39523</v>
      </c>
      <c r="N1783" t="str">
        <f>IFERROR(VLOOKUP(VLOOKUP(A1783,'[1]Sales Order'!A:G,7,FALSE),[1]Shipper!A:B,2,FALSE),"Not Specified")</f>
        <v>Shipper ZHISN</v>
      </c>
      <c r="O1783" t="str">
        <f>IFERROR(VLOOKUP(A1783,'[1]Sales Order'!A:I,9,FALSE),"Not Specified")</f>
        <v>Destination QVTLW</v>
      </c>
      <c r="P1783" t="str">
        <f>IFERROR(VLOOKUP(A1783,'[1]Sales Order'!A:N,14,FALSE),"Not Specified")</f>
        <v>UK</v>
      </c>
      <c r="Q1783" t="str">
        <f>VLOOKUP(VLOOKUP(B1783,[1]Product!A:C,3,FALSE),[1]Supplier!A:B,2,FALSE)</f>
        <v>Supplier OGLRK</v>
      </c>
      <c r="R1783" t="str">
        <f>VLOOKUP(VLOOKUP(B1783,[1]Product!A:C,3,FALSE),[1]Supplier!A:I,9,FALSE)</f>
        <v>Canada</v>
      </c>
      <c r="S1783" t="str">
        <f>IFERROR(IF(VLOOKUP(A1783,'[1]Sales Order'!A:H,8,FALSE)&gt;100,"High Freight","Low Freight"),"Not Specified")</f>
        <v>Low Freight</v>
      </c>
      <c r="T1783">
        <f t="shared" si="55"/>
        <v>855</v>
      </c>
    </row>
    <row r="1784" spans="1:20">
      <c r="A1784" s="1">
        <v>10934</v>
      </c>
      <c r="B1784" s="2">
        <v>6</v>
      </c>
      <c r="C1784" s="2">
        <v>25</v>
      </c>
      <c r="D1784" s="2">
        <v>20</v>
      </c>
      <c r="E1784" s="3">
        <v>0</v>
      </c>
      <c r="F1784" s="2" t="str">
        <f>IFERROR(VLOOKUP(VLOOKUP(A1784,'[1]Sales Order'!A:B,2,FALSE),[1]Customer!A:C,3,FALSE),"Not Specified")</f>
        <v>Louverdis, George</v>
      </c>
      <c r="G1784" s="2" t="str">
        <f t="shared" si="54"/>
        <v>Louverdis George</v>
      </c>
      <c r="H1784" s="8" t="str">
        <f>IFERROR(VLOOKUP(VLOOKUP(A1784,'[1]Sales Order'!A:C,3,FALSE),[1]Employee!A:E,5,FALSE)&amp;" "&amp;VLOOKUP(VLOOKUP(A1784,'[1]Sales Order'!A:C,3,FALSE),[1]Employee!A:C,3,FALSE)&amp;" "&amp;VLOOKUP(VLOOKUP(A1784,'[1]Sales Order'!A:C,3,FALSE),[1]Employee!A:B,2,FALSE),"Not Specified")</f>
        <v>Ms. Judy Lew</v>
      </c>
      <c r="I1784" t="str">
        <f>IFERROR(VLOOKUP(VLOOKUP(A1784,'[1]Sales Order'!A:C,3,FALSE),[1]Employee!A:J,10,FALSE),"Not Specified")</f>
        <v>WA</v>
      </c>
      <c r="J1784" t="str">
        <f>VLOOKUP(B1784,[1]Product!A:B,2,FALSE)</f>
        <v>Product VAIIV</v>
      </c>
      <c r="K1784" t="str">
        <f>VLOOKUP(VLOOKUP(B1784,[1]Product!A:D,4,FALSE),[1]Category!A:B,2,FALSE)</f>
        <v>Condiments</v>
      </c>
      <c r="L1784" s="10">
        <f>IFERROR(VLOOKUP(A1784,'[1]Sales Order'!A:D,4,FALSE),"")</f>
        <v>39516</v>
      </c>
      <c r="M1784" s="10">
        <f>IFERROR(VLOOKUP(A1784,'[1]Sales Order'!A:F,6,FALSE),"")</f>
        <v>39519</v>
      </c>
      <c r="N1784" t="str">
        <f>IFERROR(VLOOKUP(VLOOKUP(A1784,'[1]Sales Order'!A:G,7,FALSE),[1]Shipper!A:B,2,FALSE),"Not Specified")</f>
        <v>Shipper ZHISN</v>
      </c>
      <c r="O1784" t="str">
        <f>IFERROR(VLOOKUP(A1784,'[1]Sales Order'!A:I,9,FALSE),"Not Specified")</f>
        <v>Ship to 44-C</v>
      </c>
      <c r="P1784" t="str">
        <f>IFERROR(VLOOKUP(A1784,'[1]Sales Order'!A:N,14,FALSE),"Not Specified")</f>
        <v>Germany</v>
      </c>
      <c r="Q1784" t="str">
        <f>VLOOKUP(VLOOKUP(B1784,[1]Product!A:C,3,FALSE),[1]Supplier!A:B,2,FALSE)</f>
        <v>Supplier STUAZ</v>
      </c>
      <c r="R1784" t="str">
        <f>VLOOKUP(VLOOKUP(B1784,[1]Product!A:C,3,FALSE),[1]Supplier!A:I,9,FALSE)</f>
        <v>USA</v>
      </c>
      <c r="S1784" t="str">
        <f>IFERROR(IF(VLOOKUP(A1784,'[1]Sales Order'!A:H,8,FALSE)&gt;100,"High Freight","Low Freight"),"Not Specified")</f>
        <v>Low Freight</v>
      </c>
      <c r="T1784">
        <f t="shared" si="55"/>
        <v>500</v>
      </c>
    </row>
    <row r="1785" spans="1:20">
      <c r="A1785" s="1">
        <v>10935</v>
      </c>
      <c r="B1785" s="2">
        <v>1</v>
      </c>
      <c r="C1785" s="2">
        <v>18</v>
      </c>
      <c r="D1785" s="2">
        <v>21</v>
      </c>
      <c r="E1785" s="3">
        <v>0</v>
      </c>
      <c r="F1785" s="2" t="str">
        <f>IFERROR(VLOOKUP(VLOOKUP(A1785,'[1]Sales Order'!A:B,2,FALSE),[1]Customer!A:C,3,FALSE),"Not Specified")</f>
        <v>Li, Yan</v>
      </c>
      <c r="G1785" s="2" t="str">
        <f t="shared" si="54"/>
        <v>Li Yan</v>
      </c>
      <c r="H1785" s="8" t="str">
        <f>IFERROR(VLOOKUP(VLOOKUP(A1785,'[1]Sales Order'!A:C,3,FALSE),[1]Employee!A:E,5,FALSE)&amp;" "&amp;VLOOKUP(VLOOKUP(A1785,'[1]Sales Order'!A:C,3,FALSE),[1]Employee!A:C,3,FALSE)&amp;" "&amp;VLOOKUP(VLOOKUP(A1785,'[1]Sales Order'!A:C,3,FALSE),[1]Employee!A:B,2,FALSE),"Not Specified")</f>
        <v>Mrs. Yael Peled</v>
      </c>
      <c r="I1785" t="str">
        <f>IFERROR(VLOOKUP(VLOOKUP(A1785,'[1]Sales Order'!A:C,3,FALSE),[1]Employee!A:J,10,FALSE),"Not Specified")</f>
        <v>WA</v>
      </c>
      <c r="J1785" t="str">
        <f>VLOOKUP(B1785,[1]Product!A:B,2,FALSE)</f>
        <v>Product HHYDP</v>
      </c>
      <c r="K1785" t="str">
        <f>VLOOKUP(VLOOKUP(B1785,[1]Product!A:D,4,FALSE),[1]Category!A:B,2,FALSE)</f>
        <v>Beverages</v>
      </c>
      <c r="L1785" s="10">
        <f>IFERROR(VLOOKUP(A1785,'[1]Sales Order'!A:D,4,FALSE),"")</f>
        <v>39516</v>
      </c>
      <c r="M1785" s="10">
        <f>IFERROR(VLOOKUP(A1785,'[1]Sales Order'!A:F,6,FALSE),"")</f>
        <v>39525</v>
      </c>
      <c r="N1785" t="str">
        <f>IFERROR(VLOOKUP(VLOOKUP(A1785,'[1]Sales Order'!A:G,7,FALSE),[1]Shipper!A:B,2,FALSE),"Not Specified")</f>
        <v>Shipper ZHISN</v>
      </c>
      <c r="O1785" t="str">
        <f>IFERROR(VLOOKUP(A1785,'[1]Sales Order'!A:I,9,FALSE),"Not Specified")</f>
        <v>Ship to 88-A</v>
      </c>
      <c r="P1785" t="str">
        <f>IFERROR(VLOOKUP(A1785,'[1]Sales Order'!A:N,14,FALSE),"Not Specified")</f>
        <v>Brazil</v>
      </c>
      <c r="Q1785" t="str">
        <f>VLOOKUP(VLOOKUP(B1785,[1]Product!A:C,3,FALSE),[1]Supplier!A:B,2,FALSE)</f>
        <v>Supplier SWRXU</v>
      </c>
      <c r="R1785" t="str">
        <f>VLOOKUP(VLOOKUP(B1785,[1]Product!A:C,3,FALSE),[1]Supplier!A:I,9,FALSE)</f>
        <v>UK</v>
      </c>
      <c r="S1785" t="str">
        <f>IFERROR(IF(VLOOKUP(A1785,'[1]Sales Order'!A:H,8,FALSE)&gt;100,"High Freight","Low Freight"),"Not Specified")</f>
        <v>Low Freight</v>
      </c>
      <c r="T1785">
        <f t="shared" si="55"/>
        <v>378</v>
      </c>
    </row>
    <row r="1786" spans="1:20">
      <c r="A1786" s="1">
        <v>10935</v>
      </c>
      <c r="B1786" s="2">
        <v>18</v>
      </c>
      <c r="C1786" s="2">
        <v>62.5</v>
      </c>
      <c r="D1786" s="2">
        <v>4</v>
      </c>
      <c r="E1786" s="3">
        <v>0.25</v>
      </c>
      <c r="F1786" s="2" t="str">
        <f>IFERROR(VLOOKUP(VLOOKUP(A1786,'[1]Sales Order'!A:B,2,FALSE),[1]Customer!A:C,3,FALSE),"Not Specified")</f>
        <v>Li, Yan</v>
      </c>
      <c r="G1786" s="2" t="str">
        <f t="shared" si="54"/>
        <v>Li Yan</v>
      </c>
      <c r="H1786" s="8" t="str">
        <f>IFERROR(VLOOKUP(VLOOKUP(A1786,'[1]Sales Order'!A:C,3,FALSE),[1]Employee!A:E,5,FALSE)&amp;" "&amp;VLOOKUP(VLOOKUP(A1786,'[1]Sales Order'!A:C,3,FALSE),[1]Employee!A:C,3,FALSE)&amp;" "&amp;VLOOKUP(VLOOKUP(A1786,'[1]Sales Order'!A:C,3,FALSE),[1]Employee!A:B,2,FALSE),"Not Specified")</f>
        <v>Mrs. Yael Peled</v>
      </c>
      <c r="I1786" t="str">
        <f>IFERROR(VLOOKUP(VLOOKUP(A1786,'[1]Sales Order'!A:C,3,FALSE),[1]Employee!A:J,10,FALSE),"Not Specified")</f>
        <v>WA</v>
      </c>
      <c r="J1786" t="str">
        <f>VLOOKUP(B1786,[1]Product!A:B,2,FALSE)</f>
        <v>Product CKEDC</v>
      </c>
      <c r="K1786" t="str">
        <f>VLOOKUP(VLOOKUP(B1786,[1]Product!A:D,4,FALSE),[1]Category!A:B,2,FALSE)</f>
        <v>Seafood</v>
      </c>
      <c r="L1786" s="10">
        <f>IFERROR(VLOOKUP(A1786,'[1]Sales Order'!A:D,4,FALSE),"")</f>
        <v>39516</v>
      </c>
      <c r="M1786" s="10">
        <f>IFERROR(VLOOKUP(A1786,'[1]Sales Order'!A:F,6,FALSE),"")</f>
        <v>39525</v>
      </c>
      <c r="N1786" t="str">
        <f>IFERROR(VLOOKUP(VLOOKUP(A1786,'[1]Sales Order'!A:G,7,FALSE),[1]Shipper!A:B,2,FALSE),"Not Specified")</f>
        <v>Shipper ZHISN</v>
      </c>
      <c r="O1786" t="str">
        <f>IFERROR(VLOOKUP(A1786,'[1]Sales Order'!A:I,9,FALSE),"Not Specified")</f>
        <v>Ship to 88-A</v>
      </c>
      <c r="P1786" t="str">
        <f>IFERROR(VLOOKUP(A1786,'[1]Sales Order'!A:N,14,FALSE),"Not Specified")</f>
        <v>Brazil</v>
      </c>
      <c r="Q1786" t="str">
        <f>VLOOKUP(VLOOKUP(B1786,[1]Product!A:C,3,FALSE),[1]Supplier!A:B,2,FALSE)</f>
        <v>Supplier GQRCV</v>
      </c>
      <c r="R1786" t="str">
        <f>VLOOKUP(VLOOKUP(B1786,[1]Product!A:C,3,FALSE),[1]Supplier!A:I,9,FALSE)</f>
        <v>Australia</v>
      </c>
      <c r="S1786" t="str">
        <f>IFERROR(IF(VLOOKUP(A1786,'[1]Sales Order'!A:H,8,FALSE)&gt;100,"High Freight","Low Freight"),"Not Specified")</f>
        <v>Low Freight</v>
      </c>
      <c r="T1786">
        <f t="shared" si="55"/>
        <v>187.5</v>
      </c>
    </row>
    <row r="1787" spans="1:20">
      <c r="A1787" s="1">
        <v>10935</v>
      </c>
      <c r="B1787" s="2">
        <v>23</v>
      </c>
      <c r="C1787" s="2">
        <v>9</v>
      </c>
      <c r="D1787" s="2">
        <v>8</v>
      </c>
      <c r="E1787" s="3">
        <v>0.25</v>
      </c>
      <c r="F1787" s="2" t="str">
        <f>IFERROR(VLOOKUP(VLOOKUP(A1787,'[1]Sales Order'!A:B,2,FALSE),[1]Customer!A:C,3,FALSE),"Not Specified")</f>
        <v>Li, Yan</v>
      </c>
      <c r="G1787" s="2" t="str">
        <f t="shared" si="54"/>
        <v>Li Yan</v>
      </c>
      <c r="H1787" s="8" t="str">
        <f>IFERROR(VLOOKUP(VLOOKUP(A1787,'[1]Sales Order'!A:C,3,FALSE),[1]Employee!A:E,5,FALSE)&amp;" "&amp;VLOOKUP(VLOOKUP(A1787,'[1]Sales Order'!A:C,3,FALSE),[1]Employee!A:C,3,FALSE)&amp;" "&amp;VLOOKUP(VLOOKUP(A1787,'[1]Sales Order'!A:C,3,FALSE),[1]Employee!A:B,2,FALSE),"Not Specified")</f>
        <v>Mrs. Yael Peled</v>
      </c>
      <c r="I1787" t="str">
        <f>IFERROR(VLOOKUP(VLOOKUP(A1787,'[1]Sales Order'!A:C,3,FALSE),[1]Employee!A:J,10,FALSE),"Not Specified")</f>
        <v>WA</v>
      </c>
      <c r="J1787" t="str">
        <f>VLOOKUP(B1787,[1]Product!A:B,2,FALSE)</f>
        <v>Product JLUDZ</v>
      </c>
      <c r="K1787" t="str">
        <f>VLOOKUP(VLOOKUP(B1787,[1]Product!A:D,4,FALSE),[1]Category!A:B,2,FALSE)</f>
        <v>Grains/Cereals</v>
      </c>
      <c r="L1787" s="10">
        <f>IFERROR(VLOOKUP(A1787,'[1]Sales Order'!A:D,4,FALSE),"")</f>
        <v>39516</v>
      </c>
      <c r="M1787" s="10">
        <f>IFERROR(VLOOKUP(A1787,'[1]Sales Order'!A:F,6,FALSE),"")</f>
        <v>39525</v>
      </c>
      <c r="N1787" t="str">
        <f>IFERROR(VLOOKUP(VLOOKUP(A1787,'[1]Sales Order'!A:G,7,FALSE),[1]Shipper!A:B,2,FALSE),"Not Specified")</f>
        <v>Shipper ZHISN</v>
      </c>
      <c r="O1787" t="str">
        <f>IFERROR(VLOOKUP(A1787,'[1]Sales Order'!A:I,9,FALSE),"Not Specified")</f>
        <v>Ship to 88-A</v>
      </c>
      <c r="P1787" t="str">
        <f>IFERROR(VLOOKUP(A1787,'[1]Sales Order'!A:N,14,FALSE),"Not Specified")</f>
        <v>Brazil</v>
      </c>
      <c r="Q1787" t="str">
        <f>VLOOKUP(VLOOKUP(B1787,[1]Product!A:C,3,FALSE),[1]Supplier!A:B,2,FALSE)</f>
        <v>Supplier QQYEU</v>
      </c>
      <c r="R1787" t="str">
        <f>VLOOKUP(VLOOKUP(B1787,[1]Product!A:C,3,FALSE),[1]Supplier!A:I,9,FALSE)</f>
        <v>Sweden</v>
      </c>
      <c r="S1787" t="str">
        <f>IFERROR(IF(VLOOKUP(A1787,'[1]Sales Order'!A:H,8,FALSE)&gt;100,"High Freight","Low Freight"),"Not Specified")</f>
        <v>Low Freight</v>
      </c>
      <c r="T1787">
        <f t="shared" si="55"/>
        <v>54</v>
      </c>
    </row>
    <row r="1788" spans="1:20">
      <c r="A1788" s="1">
        <v>10936</v>
      </c>
      <c r="B1788" s="2">
        <v>36</v>
      </c>
      <c r="C1788" s="2">
        <v>19</v>
      </c>
      <c r="D1788" s="2">
        <v>30</v>
      </c>
      <c r="E1788" s="3">
        <v>0.2</v>
      </c>
      <c r="F1788" s="2" t="str">
        <f>IFERROR(VLOOKUP(VLOOKUP(A1788,'[1]Sales Order'!A:B,2,FALSE),[1]Customer!A:C,3,FALSE),"Not Specified")</f>
        <v>Krishnan, Venky</v>
      </c>
      <c r="G1788" s="2" t="str">
        <f t="shared" si="54"/>
        <v>Krishnan Venky</v>
      </c>
      <c r="H1788" s="8" t="str">
        <f>IFERROR(VLOOKUP(VLOOKUP(A1788,'[1]Sales Order'!A:C,3,FALSE),[1]Employee!A:E,5,FALSE)&amp;" "&amp;VLOOKUP(VLOOKUP(A1788,'[1]Sales Order'!A:C,3,FALSE),[1]Employee!A:C,3,FALSE)&amp;" "&amp;VLOOKUP(VLOOKUP(A1788,'[1]Sales Order'!A:C,3,FALSE),[1]Employee!A:B,2,FALSE),"Not Specified")</f>
        <v>Ms. Judy Lew</v>
      </c>
      <c r="I1788" t="str">
        <f>IFERROR(VLOOKUP(VLOOKUP(A1788,'[1]Sales Order'!A:C,3,FALSE),[1]Employee!A:J,10,FALSE),"Not Specified")</f>
        <v>WA</v>
      </c>
      <c r="J1788" t="str">
        <f>VLOOKUP(B1788,[1]Product!A:B,2,FALSE)</f>
        <v>Product GMKIJ</v>
      </c>
      <c r="K1788" t="str">
        <f>VLOOKUP(VLOOKUP(B1788,[1]Product!A:D,4,FALSE),[1]Category!A:B,2,FALSE)</f>
        <v>Seafood</v>
      </c>
      <c r="L1788" s="10">
        <f>IFERROR(VLOOKUP(A1788,'[1]Sales Order'!A:D,4,FALSE),"")</f>
        <v>39516</v>
      </c>
      <c r="M1788" s="10">
        <f>IFERROR(VLOOKUP(A1788,'[1]Sales Order'!A:F,6,FALSE),"")</f>
        <v>39525</v>
      </c>
      <c r="N1788" t="str">
        <f>IFERROR(VLOOKUP(VLOOKUP(A1788,'[1]Sales Order'!A:G,7,FALSE),[1]Shipper!A:B,2,FALSE),"Not Specified")</f>
        <v>Shipper ETYNR</v>
      </c>
      <c r="O1788" t="str">
        <f>IFERROR(VLOOKUP(A1788,'[1]Sales Order'!A:I,9,FALSE),"Not Specified")</f>
        <v>Destination AVQUS</v>
      </c>
      <c r="P1788" t="str">
        <f>IFERROR(VLOOKUP(A1788,'[1]Sales Order'!A:N,14,FALSE),"Not Specified")</f>
        <v>USA</v>
      </c>
      <c r="Q1788" t="str">
        <f>VLOOKUP(VLOOKUP(B1788,[1]Product!A:C,3,FALSE),[1]Supplier!A:B,2,FALSE)</f>
        <v>Supplier QZGUF</v>
      </c>
      <c r="R1788" t="str">
        <f>VLOOKUP(VLOOKUP(B1788,[1]Product!A:C,3,FALSE),[1]Supplier!A:I,9,FALSE)</f>
        <v>Sweden</v>
      </c>
      <c r="S1788" t="str">
        <f>IFERROR(IF(VLOOKUP(A1788,'[1]Sales Order'!A:H,8,FALSE)&gt;100,"High Freight","Low Freight"),"Not Specified")</f>
        <v>Low Freight</v>
      </c>
      <c r="T1788">
        <f t="shared" si="55"/>
        <v>456</v>
      </c>
    </row>
    <row r="1789" spans="1:20">
      <c r="A1789" s="1">
        <v>10937</v>
      </c>
      <c r="B1789" s="2">
        <v>28</v>
      </c>
      <c r="C1789" s="2">
        <v>45.6</v>
      </c>
      <c r="D1789" s="2">
        <v>8</v>
      </c>
      <c r="E1789" s="3">
        <v>0</v>
      </c>
      <c r="F1789" s="2" t="str">
        <f>IFERROR(VLOOKUP(VLOOKUP(A1789,'[1]Sales Order'!A:B,2,FALSE),[1]Customer!A:C,3,FALSE),"Not Specified")</f>
        <v>Ray, Mike</v>
      </c>
      <c r="G1789" s="2" t="str">
        <f t="shared" si="54"/>
        <v>Ray Mike</v>
      </c>
      <c r="H1789" s="8" t="str">
        <f>IFERROR(VLOOKUP(VLOOKUP(A1789,'[1]Sales Order'!A:C,3,FALSE),[1]Employee!A:E,5,FALSE)&amp;" "&amp;VLOOKUP(VLOOKUP(A1789,'[1]Sales Order'!A:C,3,FALSE),[1]Employee!A:C,3,FALSE)&amp;" "&amp;VLOOKUP(VLOOKUP(A1789,'[1]Sales Order'!A:C,3,FALSE),[1]Employee!A:B,2,FALSE),"Not Specified")</f>
        <v>Mr. Russell King</v>
      </c>
      <c r="I1789">
        <f>IFERROR(VLOOKUP(VLOOKUP(A1789,'[1]Sales Order'!A:C,3,FALSE),[1]Employee!A:J,10,FALSE),"Not Specified")</f>
        <v>0</v>
      </c>
      <c r="J1789" t="str">
        <f>VLOOKUP(B1789,[1]Product!A:B,2,FALSE)</f>
        <v>Product OFBNT</v>
      </c>
      <c r="K1789" t="str">
        <f>VLOOKUP(VLOOKUP(B1789,[1]Product!A:D,4,FALSE),[1]Category!A:B,2,FALSE)</f>
        <v>Produce</v>
      </c>
      <c r="L1789" s="10">
        <f>IFERROR(VLOOKUP(A1789,'[1]Sales Order'!A:D,4,FALSE),"")</f>
        <v>39517</v>
      </c>
      <c r="M1789" s="10">
        <f>IFERROR(VLOOKUP(A1789,'[1]Sales Order'!A:F,6,FALSE),"")</f>
        <v>39520</v>
      </c>
      <c r="N1789" t="str">
        <f>IFERROR(VLOOKUP(VLOOKUP(A1789,'[1]Sales Order'!A:G,7,FALSE),[1]Shipper!A:B,2,FALSE),"Not Specified")</f>
        <v>Shipper ZHISN</v>
      </c>
      <c r="O1789" t="str">
        <f>IFERROR(VLOOKUP(A1789,'[1]Sales Order'!A:I,9,FALSE),"Not Specified")</f>
        <v>Destination QTHBC</v>
      </c>
      <c r="P1789" t="str">
        <f>IFERROR(VLOOKUP(A1789,'[1]Sales Order'!A:N,14,FALSE),"Not Specified")</f>
        <v>Argentina</v>
      </c>
      <c r="Q1789" t="str">
        <f>VLOOKUP(VLOOKUP(B1789,[1]Product!A:C,3,FALSE),[1]Supplier!A:B,2,FALSE)</f>
        <v>Supplier SVIYA</v>
      </c>
      <c r="R1789" t="str">
        <f>VLOOKUP(VLOOKUP(B1789,[1]Product!A:C,3,FALSE),[1]Supplier!A:I,9,FALSE)</f>
        <v>Germany</v>
      </c>
      <c r="S1789" t="str">
        <f>IFERROR(IF(VLOOKUP(A1789,'[1]Sales Order'!A:H,8,FALSE)&gt;100,"High Freight","Low Freight"),"Not Specified")</f>
        <v>Low Freight</v>
      </c>
      <c r="T1789">
        <f t="shared" si="55"/>
        <v>364.8</v>
      </c>
    </row>
    <row r="1790" spans="1:20">
      <c r="A1790" s="1">
        <v>10937</v>
      </c>
      <c r="B1790" s="2">
        <v>34</v>
      </c>
      <c r="C1790" s="2">
        <v>14</v>
      </c>
      <c r="D1790" s="2">
        <v>20</v>
      </c>
      <c r="E1790" s="3">
        <v>0</v>
      </c>
      <c r="F1790" s="2" t="str">
        <f>IFERROR(VLOOKUP(VLOOKUP(A1790,'[1]Sales Order'!A:B,2,FALSE),[1]Customer!A:C,3,FALSE),"Not Specified")</f>
        <v>Ray, Mike</v>
      </c>
      <c r="G1790" s="2" t="str">
        <f t="shared" si="54"/>
        <v>Ray Mike</v>
      </c>
      <c r="H1790" s="8" t="str">
        <f>IFERROR(VLOOKUP(VLOOKUP(A1790,'[1]Sales Order'!A:C,3,FALSE),[1]Employee!A:E,5,FALSE)&amp;" "&amp;VLOOKUP(VLOOKUP(A1790,'[1]Sales Order'!A:C,3,FALSE),[1]Employee!A:C,3,FALSE)&amp;" "&amp;VLOOKUP(VLOOKUP(A1790,'[1]Sales Order'!A:C,3,FALSE),[1]Employee!A:B,2,FALSE),"Not Specified")</f>
        <v>Mr. Russell King</v>
      </c>
      <c r="I1790">
        <f>IFERROR(VLOOKUP(VLOOKUP(A1790,'[1]Sales Order'!A:C,3,FALSE),[1]Employee!A:J,10,FALSE),"Not Specified")</f>
        <v>0</v>
      </c>
      <c r="J1790" t="str">
        <f>VLOOKUP(B1790,[1]Product!A:B,2,FALSE)</f>
        <v>Product SWNJY</v>
      </c>
      <c r="K1790" t="str">
        <f>VLOOKUP(VLOOKUP(B1790,[1]Product!A:D,4,FALSE),[1]Category!A:B,2,FALSE)</f>
        <v>Beverages</v>
      </c>
      <c r="L1790" s="10">
        <f>IFERROR(VLOOKUP(A1790,'[1]Sales Order'!A:D,4,FALSE),"")</f>
        <v>39517</v>
      </c>
      <c r="M1790" s="10">
        <f>IFERROR(VLOOKUP(A1790,'[1]Sales Order'!A:F,6,FALSE),"")</f>
        <v>39520</v>
      </c>
      <c r="N1790" t="str">
        <f>IFERROR(VLOOKUP(VLOOKUP(A1790,'[1]Sales Order'!A:G,7,FALSE),[1]Shipper!A:B,2,FALSE),"Not Specified")</f>
        <v>Shipper ZHISN</v>
      </c>
      <c r="O1790" t="str">
        <f>IFERROR(VLOOKUP(A1790,'[1]Sales Order'!A:I,9,FALSE),"Not Specified")</f>
        <v>Destination QTHBC</v>
      </c>
      <c r="P1790" t="str">
        <f>IFERROR(VLOOKUP(A1790,'[1]Sales Order'!A:N,14,FALSE),"Not Specified")</f>
        <v>Argentina</v>
      </c>
      <c r="Q1790" t="str">
        <f>VLOOKUP(VLOOKUP(B1790,[1]Product!A:C,3,FALSE),[1]Supplier!A:B,2,FALSE)</f>
        <v>Supplier UHZRG</v>
      </c>
      <c r="R1790" t="str">
        <f>VLOOKUP(VLOOKUP(B1790,[1]Product!A:C,3,FALSE),[1]Supplier!A:I,9,FALSE)</f>
        <v>USA</v>
      </c>
      <c r="S1790" t="str">
        <f>IFERROR(IF(VLOOKUP(A1790,'[1]Sales Order'!A:H,8,FALSE)&gt;100,"High Freight","Low Freight"),"Not Specified")</f>
        <v>Low Freight</v>
      </c>
      <c r="T1790">
        <f t="shared" si="55"/>
        <v>280</v>
      </c>
    </row>
    <row r="1791" spans="1:20">
      <c r="A1791" s="1">
        <v>10938</v>
      </c>
      <c r="B1791" s="2">
        <v>13</v>
      </c>
      <c r="C1791" s="2">
        <v>6</v>
      </c>
      <c r="D1791" s="2">
        <v>20</v>
      </c>
      <c r="E1791" s="3">
        <v>0.25</v>
      </c>
      <c r="F1791" s="2" t="str">
        <f>IFERROR(VLOOKUP(VLOOKUP(A1791,'[1]Sales Order'!A:B,2,FALSE),[1]Customer!A:C,3,FALSE),"Not Specified")</f>
        <v>Veronesi, Giorgio</v>
      </c>
      <c r="G1791" s="2" t="str">
        <f t="shared" si="54"/>
        <v>Veronesi Giorgio</v>
      </c>
      <c r="H1791" s="8" t="str">
        <f>IFERROR(VLOOKUP(VLOOKUP(A1791,'[1]Sales Order'!A:C,3,FALSE),[1]Employee!A:E,5,FALSE)&amp;" "&amp;VLOOKUP(VLOOKUP(A1791,'[1]Sales Order'!A:C,3,FALSE),[1]Employee!A:C,3,FALSE)&amp;" "&amp;VLOOKUP(VLOOKUP(A1791,'[1]Sales Order'!A:C,3,FALSE),[1]Employee!A:B,2,FALSE),"Not Specified")</f>
        <v>Ms. Judy Lew</v>
      </c>
      <c r="I1791" t="str">
        <f>IFERROR(VLOOKUP(VLOOKUP(A1791,'[1]Sales Order'!A:C,3,FALSE),[1]Employee!A:J,10,FALSE),"Not Specified")</f>
        <v>WA</v>
      </c>
      <c r="J1791" t="str">
        <f>VLOOKUP(B1791,[1]Product!A:B,2,FALSE)</f>
        <v>Product POXFU</v>
      </c>
      <c r="K1791" t="str">
        <f>VLOOKUP(VLOOKUP(B1791,[1]Product!A:D,4,FALSE),[1]Category!A:B,2,FALSE)</f>
        <v>Seafood</v>
      </c>
      <c r="L1791" s="10">
        <f>IFERROR(VLOOKUP(A1791,'[1]Sales Order'!A:D,4,FALSE),"")</f>
        <v>39517</v>
      </c>
      <c r="M1791" s="10">
        <f>IFERROR(VLOOKUP(A1791,'[1]Sales Order'!A:F,6,FALSE),"")</f>
        <v>39523</v>
      </c>
      <c r="N1791" t="str">
        <f>IFERROR(VLOOKUP(VLOOKUP(A1791,'[1]Sales Order'!A:G,7,FALSE),[1]Shipper!A:B,2,FALSE),"Not Specified")</f>
        <v>Shipper ETYNR</v>
      </c>
      <c r="O1791" t="str">
        <f>IFERROR(VLOOKUP(A1791,'[1]Sales Order'!A:I,9,FALSE),"Not Specified")</f>
        <v>Ship to 63-C</v>
      </c>
      <c r="P1791" t="str">
        <f>IFERROR(VLOOKUP(A1791,'[1]Sales Order'!A:N,14,FALSE),"Not Specified")</f>
        <v>Germany</v>
      </c>
      <c r="Q1791" t="str">
        <f>VLOOKUP(VLOOKUP(B1791,[1]Product!A:C,3,FALSE),[1]Supplier!A:B,2,FALSE)</f>
        <v>Supplier QWUSF</v>
      </c>
      <c r="R1791" t="str">
        <f>VLOOKUP(VLOOKUP(B1791,[1]Product!A:C,3,FALSE),[1]Supplier!A:I,9,FALSE)</f>
        <v>Japan</v>
      </c>
      <c r="S1791" t="str">
        <f>IFERROR(IF(VLOOKUP(A1791,'[1]Sales Order'!A:H,8,FALSE)&gt;100,"High Freight","Low Freight"),"Not Specified")</f>
        <v>Low Freight</v>
      </c>
      <c r="T1791">
        <f t="shared" si="55"/>
        <v>90</v>
      </c>
    </row>
    <row r="1792" spans="1:20">
      <c r="A1792" s="1">
        <v>10938</v>
      </c>
      <c r="B1792" s="2">
        <v>43</v>
      </c>
      <c r="C1792" s="2">
        <v>46</v>
      </c>
      <c r="D1792" s="2">
        <v>24</v>
      </c>
      <c r="E1792" s="3">
        <v>0.25</v>
      </c>
      <c r="F1792" s="2" t="str">
        <f>IFERROR(VLOOKUP(VLOOKUP(A1792,'[1]Sales Order'!A:B,2,FALSE),[1]Customer!A:C,3,FALSE),"Not Specified")</f>
        <v>Veronesi, Giorgio</v>
      </c>
      <c r="G1792" s="2" t="str">
        <f t="shared" si="54"/>
        <v>Veronesi Giorgio</v>
      </c>
      <c r="H1792" s="8" t="str">
        <f>IFERROR(VLOOKUP(VLOOKUP(A1792,'[1]Sales Order'!A:C,3,FALSE),[1]Employee!A:E,5,FALSE)&amp;" "&amp;VLOOKUP(VLOOKUP(A1792,'[1]Sales Order'!A:C,3,FALSE),[1]Employee!A:C,3,FALSE)&amp;" "&amp;VLOOKUP(VLOOKUP(A1792,'[1]Sales Order'!A:C,3,FALSE),[1]Employee!A:B,2,FALSE),"Not Specified")</f>
        <v>Ms. Judy Lew</v>
      </c>
      <c r="I1792" t="str">
        <f>IFERROR(VLOOKUP(VLOOKUP(A1792,'[1]Sales Order'!A:C,3,FALSE),[1]Employee!A:J,10,FALSE),"Not Specified")</f>
        <v>WA</v>
      </c>
      <c r="J1792" t="str">
        <f>VLOOKUP(B1792,[1]Product!A:B,2,FALSE)</f>
        <v>Product ZZZHR</v>
      </c>
      <c r="K1792" t="str">
        <f>VLOOKUP(VLOOKUP(B1792,[1]Product!A:D,4,FALSE),[1]Category!A:B,2,FALSE)</f>
        <v>Beverages</v>
      </c>
      <c r="L1792" s="10">
        <f>IFERROR(VLOOKUP(A1792,'[1]Sales Order'!A:D,4,FALSE),"")</f>
        <v>39517</v>
      </c>
      <c r="M1792" s="10">
        <f>IFERROR(VLOOKUP(A1792,'[1]Sales Order'!A:F,6,FALSE),"")</f>
        <v>39523</v>
      </c>
      <c r="N1792" t="str">
        <f>IFERROR(VLOOKUP(VLOOKUP(A1792,'[1]Sales Order'!A:G,7,FALSE),[1]Shipper!A:B,2,FALSE),"Not Specified")</f>
        <v>Shipper ETYNR</v>
      </c>
      <c r="O1792" t="str">
        <f>IFERROR(VLOOKUP(A1792,'[1]Sales Order'!A:I,9,FALSE),"Not Specified")</f>
        <v>Ship to 63-C</v>
      </c>
      <c r="P1792" t="str">
        <f>IFERROR(VLOOKUP(A1792,'[1]Sales Order'!A:N,14,FALSE),"Not Specified")</f>
        <v>Germany</v>
      </c>
      <c r="Q1792" t="str">
        <f>VLOOKUP(VLOOKUP(B1792,[1]Product!A:C,3,FALSE),[1]Supplier!A:B,2,FALSE)</f>
        <v>Supplier CIYNM</v>
      </c>
      <c r="R1792" t="str">
        <f>VLOOKUP(VLOOKUP(B1792,[1]Product!A:C,3,FALSE),[1]Supplier!A:I,9,FALSE)</f>
        <v>Singapore</v>
      </c>
      <c r="S1792" t="str">
        <f>IFERROR(IF(VLOOKUP(A1792,'[1]Sales Order'!A:H,8,FALSE)&gt;100,"High Freight","Low Freight"),"Not Specified")</f>
        <v>Low Freight</v>
      </c>
      <c r="T1792">
        <f t="shared" si="55"/>
        <v>828</v>
      </c>
    </row>
    <row r="1793" spans="1:20">
      <c r="A1793" s="1">
        <v>10938</v>
      </c>
      <c r="B1793" s="2">
        <v>60</v>
      </c>
      <c r="C1793" s="2">
        <v>34</v>
      </c>
      <c r="D1793" s="2">
        <v>49</v>
      </c>
      <c r="E1793" s="3">
        <v>0.25</v>
      </c>
      <c r="F1793" s="2" t="str">
        <f>IFERROR(VLOOKUP(VLOOKUP(A1793,'[1]Sales Order'!A:B,2,FALSE),[1]Customer!A:C,3,FALSE),"Not Specified")</f>
        <v>Veronesi, Giorgio</v>
      </c>
      <c r="G1793" s="2" t="str">
        <f t="shared" si="54"/>
        <v>Veronesi Giorgio</v>
      </c>
      <c r="H1793" s="8" t="str">
        <f>IFERROR(VLOOKUP(VLOOKUP(A1793,'[1]Sales Order'!A:C,3,FALSE),[1]Employee!A:E,5,FALSE)&amp;" "&amp;VLOOKUP(VLOOKUP(A1793,'[1]Sales Order'!A:C,3,FALSE),[1]Employee!A:C,3,FALSE)&amp;" "&amp;VLOOKUP(VLOOKUP(A1793,'[1]Sales Order'!A:C,3,FALSE),[1]Employee!A:B,2,FALSE),"Not Specified")</f>
        <v>Ms. Judy Lew</v>
      </c>
      <c r="I1793" t="str">
        <f>IFERROR(VLOOKUP(VLOOKUP(A1793,'[1]Sales Order'!A:C,3,FALSE),[1]Employee!A:J,10,FALSE),"Not Specified")</f>
        <v>WA</v>
      </c>
      <c r="J1793" t="str">
        <f>VLOOKUP(B1793,[1]Product!A:B,2,FALSE)</f>
        <v>Product WHBYK</v>
      </c>
      <c r="K1793" t="str">
        <f>VLOOKUP(VLOOKUP(B1793,[1]Product!A:D,4,FALSE),[1]Category!A:B,2,FALSE)</f>
        <v>Dairy Product</v>
      </c>
      <c r="L1793" s="10">
        <f>IFERROR(VLOOKUP(A1793,'[1]Sales Order'!A:D,4,FALSE),"")</f>
        <v>39517</v>
      </c>
      <c r="M1793" s="10">
        <f>IFERROR(VLOOKUP(A1793,'[1]Sales Order'!A:F,6,FALSE),"")</f>
        <v>39523</v>
      </c>
      <c r="N1793" t="str">
        <f>IFERROR(VLOOKUP(VLOOKUP(A1793,'[1]Sales Order'!A:G,7,FALSE),[1]Shipper!A:B,2,FALSE),"Not Specified")</f>
        <v>Shipper ETYNR</v>
      </c>
      <c r="O1793" t="str">
        <f>IFERROR(VLOOKUP(A1793,'[1]Sales Order'!A:I,9,FALSE),"Not Specified")</f>
        <v>Ship to 63-C</v>
      </c>
      <c r="P1793" t="str">
        <f>IFERROR(VLOOKUP(A1793,'[1]Sales Order'!A:N,14,FALSE),"Not Specified")</f>
        <v>Germany</v>
      </c>
      <c r="Q1793" t="str">
        <f>VLOOKUP(VLOOKUP(B1793,[1]Product!A:C,3,FALSE),[1]Supplier!A:B,2,FALSE)</f>
        <v>Supplier OAVQT</v>
      </c>
      <c r="R1793" t="str">
        <f>VLOOKUP(VLOOKUP(B1793,[1]Product!A:C,3,FALSE),[1]Supplier!A:I,9,FALSE)</f>
        <v>France</v>
      </c>
      <c r="S1793" t="str">
        <f>IFERROR(IF(VLOOKUP(A1793,'[1]Sales Order'!A:H,8,FALSE)&gt;100,"High Freight","Low Freight"),"Not Specified")</f>
        <v>Low Freight</v>
      </c>
      <c r="T1793">
        <f t="shared" si="55"/>
        <v>1249.5</v>
      </c>
    </row>
    <row r="1794" spans="1:20">
      <c r="A1794" s="1">
        <v>10938</v>
      </c>
      <c r="B1794" s="2">
        <v>71</v>
      </c>
      <c r="C1794" s="2">
        <v>21.5</v>
      </c>
      <c r="D1794" s="2">
        <v>35</v>
      </c>
      <c r="E1794" s="3">
        <v>0.25</v>
      </c>
      <c r="F1794" s="2" t="str">
        <f>IFERROR(VLOOKUP(VLOOKUP(A1794,'[1]Sales Order'!A:B,2,FALSE),[1]Customer!A:C,3,FALSE),"Not Specified")</f>
        <v>Veronesi, Giorgio</v>
      </c>
      <c r="G1794" s="2" t="str">
        <f t="shared" si="54"/>
        <v>Veronesi Giorgio</v>
      </c>
      <c r="H1794" s="8" t="str">
        <f>IFERROR(VLOOKUP(VLOOKUP(A1794,'[1]Sales Order'!A:C,3,FALSE),[1]Employee!A:E,5,FALSE)&amp;" "&amp;VLOOKUP(VLOOKUP(A1794,'[1]Sales Order'!A:C,3,FALSE),[1]Employee!A:C,3,FALSE)&amp;" "&amp;VLOOKUP(VLOOKUP(A1794,'[1]Sales Order'!A:C,3,FALSE),[1]Employee!A:B,2,FALSE),"Not Specified")</f>
        <v>Ms. Judy Lew</v>
      </c>
      <c r="I1794" t="str">
        <f>IFERROR(VLOOKUP(VLOOKUP(A1794,'[1]Sales Order'!A:C,3,FALSE),[1]Employee!A:J,10,FALSE),"Not Specified")</f>
        <v>WA</v>
      </c>
      <c r="J1794" t="str">
        <f>VLOOKUP(B1794,[1]Product!A:B,2,FALSE)</f>
        <v>Product MYMOI</v>
      </c>
      <c r="K1794" t="str">
        <f>VLOOKUP(VLOOKUP(B1794,[1]Product!A:D,4,FALSE),[1]Category!A:B,2,FALSE)</f>
        <v>Dairy Product</v>
      </c>
      <c r="L1794" s="10">
        <f>IFERROR(VLOOKUP(A1794,'[1]Sales Order'!A:D,4,FALSE),"")</f>
        <v>39517</v>
      </c>
      <c r="M1794" s="10">
        <f>IFERROR(VLOOKUP(A1794,'[1]Sales Order'!A:F,6,FALSE),"")</f>
        <v>39523</v>
      </c>
      <c r="N1794" t="str">
        <f>IFERROR(VLOOKUP(VLOOKUP(A1794,'[1]Sales Order'!A:G,7,FALSE),[1]Shipper!A:B,2,FALSE),"Not Specified")</f>
        <v>Shipper ETYNR</v>
      </c>
      <c r="O1794" t="str">
        <f>IFERROR(VLOOKUP(A1794,'[1]Sales Order'!A:I,9,FALSE),"Not Specified")</f>
        <v>Ship to 63-C</v>
      </c>
      <c r="P1794" t="str">
        <f>IFERROR(VLOOKUP(A1794,'[1]Sales Order'!A:N,14,FALSE),"Not Specified")</f>
        <v>Germany</v>
      </c>
      <c r="Q1794" t="str">
        <f>VLOOKUP(VLOOKUP(B1794,[1]Product!A:C,3,FALSE),[1]Supplier!A:B,2,FALSE)</f>
        <v>Supplier NZLIF</v>
      </c>
      <c r="R1794" t="str">
        <f>VLOOKUP(VLOOKUP(B1794,[1]Product!A:C,3,FALSE),[1]Supplier!A:I,9,FALSE)</f>
        <v>Norway</v>
      </c>
      <c r="S1794" t="str">
        <f>IFERROR(IF(VLOOKUP(A1794,'[1]Sales Order'!A:H,8,FALSE)&gt;100,"High Freight","Low Freight"),"Not Specified")</f>
        <v>Low Freight</v>
      </c>
      <c r="T1794">
        <f t="shared" si="55"/>
        <v>564.375</v>
      </c>
    </row>
    <row r="1795" spans="1:20">
      <c r="A1795" s="1">
        <v>10939</v>
      </c>
      <c r="B1795" s="2">
        <v>2</v>
      </c>
      <c r="C1795" s="2">
        <v>19</v>
      </c>
      <c r="D1795" s="2">
        <v>10</v>
      </c>
      <c r="E1795" s="3">
        <v>0.15</v>
      </c>
      <c r="F1795" s="2" t="str">
        <f>IFERROR(VLOOKUP(VLOOKUP(A1795,'[1]Sales Order'!A:B,2,FALSE),[1]Customer!A:C,3,FALSE),"Not Specified")</f>
        <v>Duerr, Bernard</v>
      </c>
      <c r="G1795" s="2" t="str">
        <f t="shared" ref="G1795:G1858" si="56">SUBSTITUTE(F1795,",","",1)</f>
        <v>Duerr Bernard</v>
      </c>
      <c r="H1795" s="8" t="str">
        <f>IFERROR(VLOOKUP(VLOOKUP(A1795,'[1]Sales Order'!A:C,3,FALSE),[1]Employee!A:E,5,FALSE)&amp;" "&amp;VLOOKUP(VLOOKUP(A1795,'[1]Sales Order'!A:C,3,FALSE),[1]Employee!A:C,3,FALSE)&amp;" "&amp;VLOOKUP(VLOOKUP(A1795,'[1]Sales Order'!A:C,3,FALSE),[1]Employee!A:B,2,FALSE),"Not Specified")</f>
        <v>Dr. Don Funk</v>
      </c>
      <c r="I1795" t="str">
        <f>IFERROR(VLOOKUP(VLOOKUP(A1795,'[1]Sales Order'!A:C,3,FALSE),[1]Employee!A:J,10,FALSE),"Not Specified")</f>
        <v>WA</v>
      </c>
      <c r="J1795" t="str">
        <f>VLOOKUP(B1795,[1]Product!A:B,2,FALSE)</f>
        <v>Product RECZE</v>
      </c>
      <c r="K1795" t="str">
        <f>VLOOKUP(VLOOKUP(B1795,[1]Product!A:D,4,FALSE),[1]Category!A:B,2,FALSE)</f>
        <v>Beverages</v>
      </c>
      <c r="L1795" s="10">
        <f>IFERROR(VLOOKUP(A1795,'[1]Sales Order'!A:D,4,FALSE),"")</f>
        <v>39517</v>
      </c>
      <c r="M1795" s="10">
        <f>IFERROR(VLOOKUP(A1795,'[1]Sales Order'!A:F,6,FALSE),"")</f>
        <v>39520</v>
      </c>
      <c r="N1795" t="str">
        <f>IFERROR(VLOOKUP(VLOOKUP(A1795,'[1]Sales Order'!A:G,7,FALSE),[1]Shipper!A:B,2,FALSE),"Not Specified")</f>
        <v>Shipper ETYNR</v>
      </c>
      <c r="O1795" t="str">
        <f>IFERROR(VLOOKUP(A1795,'[1]Sales Order'!A:I,9,FALSE),"Not Specified")</f>
        <v>Ship to 49-A</v>
      </c>
      <c r="P1795" t="str">
        <f>IFERROR(VLOOKUP(A1795,'[1]Sales Order'!A:N,14,FALSE),"Not Specified")</f>
        <v>Italy</v>
      </c>
      <c r="Q1795" t="str">
        <f>VLOOKUP(VLOOKUP(B1795,[1]Product!A:C,3,FALSE),[1]Supplier!A:B,2,FALSE)</f>
        <v>Supplier SWRXU</v>
      </c>
      <c r="R1795" t="str">
        <f>VLOOKUP(VLOOKUP(B1795,[1]Product!A:C,3,FALSE),[1]Supplier!A:I,9,FALSE)</f>
        <v>UK</v>
      </c>
      <c r="S1795" t="str">
        <f>IFERROR(IF(VLOOKUP(A1795,'[1]Sales Order'!A:H,8,FALSE)&gt;100,"High Freight","Low Freight"),"Not Specified")</f>
        <v>Low Freight</v>
      </c>
      <c r="T1795">
        <f t="shared" ref="T1795:T1858" si="57">C1795*D1795*(1-E1795)</f>
        <v>161.5</v>
      </c>
    </row>
    <row r="1796" spans="1:20">
      <c r="A1796" s="1">
        <v>10939</v>
      </c>
      <c r="B1796" s="2">
        <v>67</v>
      </c>
      <c r="C1796" s="2">
        <v>14</v>
      </c>
      <c r="D1796" s="2">
        <v>40</v>
      </c>
      <c r="E1796" s="3">
        <v>0.15</v>
      </c>
      <c r="F1796" s="2" t="str">
        <f>IFERROR(VLOOKUP(VLOOKUP(A1796,'[1]Sales Order'!A:B,2,FALSE),[1]Customer!A:C,3,FALSE),"Not Specified")</f>
        <v>Duerr, Bernard</v>
      </c>
      <c r="G1796" s="2" t="str">
        <f t="shared" si="56"/>
        <v>Duerr Bernard</v>
      </c>
      <c r="H1796" s="8" t="str">
        <f>IFERROR(VLOOKUP(VLOOKUP(A1796,'[1]Sales Order'!A:C,3,FALSE),[1]Employee!A:E,5,FALSE)&amp;" "&amp;VLOOKUP(VLOOKUP(A1796,'[1]Sales Order'!A:C,3,FALSE),[1]Employee!A:C,3,FALSE)&amp;" "&amp;VLOOKUP(VLOOKUP(A1796,'[1]Sales Order'!A:C,3,FALSE),[1]Employee!A:B,2,FALSE),"Not Specified")</f>
        <v>Dr. Don Funk</v>
      </c>
      <c r="I1796" t="str">
        <f>IFERROR(VLOOKUP(VLOOKUP(A1796,'[1]Sales Order'!A:C,3,FALSE),[1]Employee!A:J,10,FALSE),"Not Specified")</f>
        <v>WA</v>
      </c>
      <c r="J1796" t="str">
        <f>VLOOKUP(B1796,[1]Product!A:B,2,FALSE)</f>
        <v>Product XLXQF</v>
      </c>
      <c r="K1796" t="str">
        <f>VLOOKUP(VLOOKUP(B1796,[1]Product!A:D,4,FALSE),[1]Category!A:B,2,FALSE)</f>
        <v>Beverages</v>
      </c>
      <c r="L1796" s="10">
        <f>IFERROR(VLOOKUP(A1796,'[1]Sales Order'!A:D,4,FALSE),"")</f>
        <v>39517</v>
      </c>
      <c r="M1796" s="10">
        <f>IFERROR(VLOOKUP(A1796,'[1]Sales Order'!A:F,6,FALSE),"")</f>
        <v>39520</v>
      </c>
      <c r="N1796" t="str">
        <f>IFERROR(VLOOKUP(VLOOKUP(A1796,'[1]Sales Order'!A:G,7,FALSE),[1]Shipper!A:B,2,FALSE),"Not Specified")</f>
        <v>Shipper ETYNR</v>
      </c>
      <c r="O1796" t="str">
        <f>IFERROR(VLOOKUP(A1796,'[1]Sales Order'!A:I,9,FALSE),"Not Specified")</f>
        <v>Ship to 49-A</v>
      </c>
      <c r="P1796" t="str">
        <f>IFERROR(VLOOKUP(A1796,'[1]Sales Order'!A:N,14,FALSE),"Not Specified")</f>
        <v>Italy</v>
      </c>
      <c r="Q1796" t="str">
        <f>VLOOKUP(VLOOKUP(B1796,[1]Product!A:C,3,FALSE),[1]Supplier!A:B,2,FALSE)</f>
        <v>Supplier UHZRG</v>
      </c>
      <c r="R1796" t="str">
        <f>VLOOKUP(VLOOKUP(B1796,[1]Product!A:C,3,FALSE),[1]Supplier!A:I,9,FALSE)</f>
        <v>USA</v>
      </c>
      <c r="S1796" t="str">
        <f>IFERROR(IF(VLOOKUP(A1796,'[1]Sales Order'!A:H,8,FALSE)&gt;100,"High Freight","Low Freight"),"Not Specified")</f>
        <v>Low Freight</v>
      </c>
      <c r="T1796">
        <f t="shared" si="57"/>
        <v>476</v>
      </c>
    </row>
    <row r="1797" spans="1:20">
      <c r="A1797" s="1">
        <v>10940</v>
      </c>
      <c r="B1797" s="2">
        <v>7</v>
      </c>
      <c r="C1797" s="2">
        <v>30</v>
      </c>
      <c r="D1797" s="2">
        <v>8</v>
      </c>
      <c r="E1797" s="3">
        <v>0</v>
      </c>
      <c r="F1797" s="2" t="str">
        <f>IFERROR(VLOOKUP(VLOOKUP(A1797,'[1]Sales Order'!A:B,2,FALSE),[1]Customer!A:C,3,FALSE),"Not Specified")</f>
        <v>Raghav, Amritansh</v>
      </c>
      <c r="G1797" s="2" t="str">
        <f t="shared" si="56"/>
        <v>Raghav Amritansh</v>
      </c>
      <c r="H1797" s="8" t="str">
        <f>IFERROR(VLOOKUP(VLOOKUP(A1797,'[1]Sales Order'!A:C,3,FALSE),[1]Employee!A:E,5,FALSE)&amp;" "&amp;VLOOKUP(VLOOKUP(A1797,'[1]Sales Order'!A:C,3,FALSE),[1]Employee!A:C,3,FALSE)&amp;" "&amp;VLOOKUP(VLOOKUP(A1797,'[1]Sales Order'!A:C,3,FALSE),[1]Employee!A:B,2,FALSE),"Not Specified")</f>
        <v>Ms. Maria Cameron</v>
      </c>
      <c r="I1797" t="str">
        <f>IFERROR(VLOOKUP(VLOOKUP(A1797,'[1]Sales Order'!A:C,3,FALSE),[1]Employee!A:J,10,FALSE),"Not Specified")</f>
        <v>WA</v>
      </c>
      <c r="J1797" t="str">
        <f>VLOOKUP(B1797,[1]Product!A:B,2,FALSE)</f>
        <v>Product HMLNI</v>
      </c>
      <c r="K1797" t="str">
        <f>VLOOKUP(VLOOKUP(B1797,[1]Product!A:D,4,FALSE),[1]Category!A:B,2,FALSE)</f>
        <v>Produce</v>
      </c>
      <c r="L1797" s="10">
        <f>IFERROR(VLOOKUP(A1797,'[1]Sales Order'!A:D,4,FALSE),"")</f>
        <v>39518</v>
      </c>
      <c r="M1797" s="10">
        <f>IFERROR(VLOOKUP(A1797,'[1]Sales Order'!A:F,6,FALSE),"")</f>
        <v>39530</v>
      </c>
      <c r="N1797" t="str">
        <f>IFERROR(VLOOKUP(VLOOKUP(A1797,'[1]Sales Order'!A:G,7,FALSE),[1]Shipper!A:B,2,FALSE),"Not Specified")</f>
        <v>Shipper ZHISN</v>
      </c>
      <c r="O1797" t="str">
        <f>IFERROR(VLOOKUP(A1797,'[1]Sales Order'!A:I,9,FALSE),"Not Specified")</f>
        <v>Ship to 9-C</v>
      </c>
      <c r="P1797" t="str">
        <f>IFERROR(VLOOKUP(A1797,'[1]Sales Order'!A:N,14,FALSE),"Not Specified")</f>
        <v>France</v>
      </c>
      <c r="Q1797" t="str">
        <f>VLOOKUP(VLOOKUP(B1797,[1]Product!A:C,3,FALSE),[1]Supplier!A:B,2,FALSE)</f>
        <v>Supplier STUAZ</v>
      </c>
      <c r="R1797" t="str">
        <f>VLOOKUP(VLOOKUP(B1797,[1]Product!A:C,3,FALSE),[1]Supplier!A:I,9,FALSE)</f>
        <v>USA</v>
      </c>
      <c r="S1797" t="str">
        <f>IFERROR(IF(VLOOKUP(A1797,'[1]Sales Order'!A:H,8,FALSE)&gt;100,"High Freight","Low Freight"),"Not Specified")</f>
        <v>Low Freight</v>
      </c>
      <c r="T1797">
        <f t="shared" si="57"/>
        <v>240</v>
      </c>
    </row>
    <row r="1798" spans="1:20">
      <c r="A1798" s="1">
        <v>10940</v>
      </c>
      <c r="B1798" s="2">
        <v>13</v>
      </c>
      <c r="C1798" s="2">
        <v>6</v>
      </c>
      <c r="D1798" s="2">
        <v>20</v>
      </c>
      <c r="E1798" s="3">
        <v>0</v>
      </c>
      <c r="F1798" s="2" t="str">
        <f>IFERROR(VLOOKUP(VLOOKUP(A1798,'[1]Sales Order'!A:B,2,FALSE),[1]Customer!A:C,3,FALSE),"Not Specified")</f>
        <v>Raghav, Amritansh</v>
      </c>
      <c r="G1798" s="2" t="str">
        <f t="shared" si="56"/>
        <v>Raghav Amritansh</v>
      </c>
      <c r="H1798" s="8" t="str">
        <f>IFERROR(VLOOKUP(VLOOKUP(A1798,'[1]Sales Order'!A:C,3,FALSE),[1]Employee!A:E,5,FALSE)&amp;" "&amp;VLOOKUP(VLOOKUP(A1798,'[1]Sales Order'!A:C,3,FALSE),[1]Employee!A:C,3,FALSE)&amp;" "&amp;VLOOKUP(VLOOKUP(A1798,'[1]Sales Order'!A:C,3,FALSE),[1]Employee!A:B,2,FALSE),"Not Specified")</f>
        <v>Ms. Maria Cameron</v>
      </c>
      <c r="I1798" t="str">
        <f>IFERROR(VLOOKUP(VLOOKUP(A1798,'[1]Sales Order'!A:C,3,FALSE),[1]Employee!A:J,10,FALSE),"Not Specified")</f>
        <v>WA</v>
      </c>
      <c r="J1798" t="str">
        <f>VLOOKUP(B1798,[1]Product!A:B,2,FALSE)</f>
        <v>Product POXFU</v>
      </c>
      <c r="K1798" t="str">
        <f>VLOOKUP(VLOOKUP(B1798,[1]Product!A:D,4,FALSE),[1]Category!A:B,2,FALSE)</f>
        <v>Seafood</v>
      </c>
      <c r="L1798" s="10">
        <f>IFERROR(VLOOKUP(A1798,'[1]Sales Order'!A:D,4,FALSE),"")</f>
        <v>39518</v>
      </c>
      <c r="M1798" s="10">
        <f>IFERROR(VLOOKUP(A1798,'[1]Sales Order'!A:F,6,FALSE),"")</f>
        <v>39530</v>
      </c>
      <c r="N1798" t="str">
        <f>IFERROR(VLOOKUP(VLOOKUP(A1798,'[1]Sales Order'!A:G,7,FALSE),[1]Shipper!A:B,2,FALSE),"Not Specified")</f>
        <v>Shipper ZHISN</v>
      </c>
      <c r="O1798" t="str">
        <f>IFERROR(VLOOKUP(A1798,'[1]Sales Order'!A:I,9,FALSE),"Not Specified")</f>
        <v>Ship to 9-C</v>
      </c>
      <c r="P1798" t="str">
        <f>IFERROR(VLOOKUP(A1798,'[1]Sales Order'!A:N,14,FALSE),"Not Specified")</f>
        <v>France</v>
      </c>
      <c r="Q1798" t="str">
        <f>VLOOKUP(VLOOKUP(B1798,[1]Product!A:C,3,FALSE),[1]Supplier!A:B,2,FALSE)</f>
        <v>Supplier QWUSF</v>
      </c>
      <c r="R1798" t="str">
        <f>VLOOKUP(VLOOKUP(B1798,[1]Product!A:C,3,FALSE),[1]Supplier!A:I,9,FALSE)</f>
        <v>Japan</v>
      </c>
      <c r="S1798" t="str">
        <f>IFERROR(IF(VLOOKUP(A1798,'[1]Sales Order'!A:H,8,FALSE)&gt;100,"High Freight","Low Freight"),"Not Specified")</f>
        <v>Low Freight</v>
      </c>
      <c r="T1798">
        <f t="shared" si="57"/>
        <v>120</v>
      </c>
    </row>
    <row r="1799" spans="1:20">
      <c r="A1799" s="1">
        <v>10941</v>
      </c>
      <c r="B1799" s="2">
        <v>31</v>
      </c>
      <c r="C1799" s="2">
        <v>12.5</v>
      </c>
      <c r="D1799" s="2">
        <v>44</v>
      </c>
      <c r="E1799" s="3">
        <v>0.25</v>
      </c>
      <c r="F1799" s="2" t="str">
        <f>IFERROR(VLOOKUP(VLOOKUP(A1799,'[1]Sales Order'!A:B,2,FALSE),[1]Customer!A:C,3,FALSE),"Not Specified")</f>
        <v>Navarro, Tomás</v>
      </c>
      <c r="G1799" s="2" t="str">
        <f t="shared" si="56"/>
        <v>Navarro Tomás</v>
      </c>
      <c r="H1799" s="8" t="str">
        <f>IFERROR(VLOOKUP(VLOOKUP(A1799,'[1]Sales Order'!A:C,3,FALSE),[1]Employee!A:E,5,FALSE)&amp;" "&amp;VLOOKUP(VLOOKUP(A1799,'[1]Sales Order'!A:C,3,FALSE),[1]Employee!A:C,3,FALSE)&amp;" "&amp;VLOOKUP(VLOOKUP(A1799,'[1]Sales Order'!A:C,3,FALSE),[1]Employee!A:B,2,FALSE),"Not Specified")</f>
        <v>Mr. Russell King</v>
      </c>
      <c r="I1799">
        <f>IFERROR(VLOOKUP(VLOOKUP(A1799,'[1]Sales Order'!A:C,3,FALSE),[1]Employee!A:J,10,FALSE),"Not Specified")</f>
        <v>0</v>
      </c>
      <c r="J1799" t="str">
        <f>VLOOKUP(B1799,[1]Product!A:B,2,FALSE)</f>
        <v>Product XWOXC</v>
      </c>
      <c r="K1799" t="str">
        <f>VLOOKUP(VLOOKUP(B1799,[1]Product!A:D,4,FALSE),[1]Category!A:B,2,FALSE)</f>
        <v>Dairy Product</v>
      </c>
      <c r="L1799" s="10">
        <f>IFERROR(VLOOKUP(A1799,'[1]Sales Order'!A:D,4,FALSE),"")</f>
        <v>39518</v>
      </c>
      <c r="M1799" s="10">
        <f>IFERROR(VLOOKUP(A1799,'[1]Sales Order'!A:F,6,FALSE),"")</f>
        <v>39527</v>
      </c>
      <c r="N1799" t="str">
        <f>IFERROR(VLOOKUP(VLOOKUP(A1799,'[1]Sales Order'!A:G,7,FALSE),[1]Shipper!A:B,2,FALSE),"Not Specified")</f>
        <v>Shipper ETYNR</v>
      </c>
      <c r="O1799" t="str">
        <f>IFERROR(VLOOKUP(A1799,'[1]Sales Order'!A:I,9,FALSE),"Not Specified")</f>
        <v>Ship to 71-A</v>
      </c>
      <c r="P1799" t="str">
        <f>IFERROR(VLOOKUP(A1799,'[1]Sales Order'!A:N,14,FALSE),"Not Specified")</f>
        <v>USA</v>
      </c>
      <c r="Q1799" t="str">
        <f>VLOOKUP(VLOOKUP(B1799,[1]Product!A:C,3,FALSE),[1]Supplier!A:B,2,FALSE)</f>
        <v>Supplier KEREV</v>
      </c>
      <c r="R1799" t="str">
        <f>VLOOKUP(VLOOKUP(B1799,[1]Product!A:C,3,FALSE),[1]Supplier!A:I,9,FALSE)</f>
        <v>Italy</v>
      </c>
      <c r="S1799" t="str">
        <f>IFERROR(IF(VLOOKUP(A1799,'[1]Sales Order'!A:H,8,FALSE)&gt;100,"High Freight","Low Freight"),"Not Specified")</f>
        <v>High Freight</v>
      </c>
      <c r="T1799">
        <f t="shared" si="57"/>
        <v>412.5</v>
      </c>
    </row>
    <row r="1800" spans="1:20">
      <c r="A1800" s="1">
        <v>10941</v>
      </c>
      <c r="B1800" s="2">
        <v>62</v>
      </c>
      <c r="C1800" s="2">
        <v>49.3</v>
      </c>
      <c r="D1800" s="2">
        <v>30</v>
      </c>
      <c r="E1800" s="3">
        <v>0.25</v>
      </c>
      <c r="F1800" s="2" t="str">
        <f>IFERROR(VLOOKUP(VLOOKUP(A1800,'[1]Sales Order'!A:B,2,FALSE),[1]Customer!A:C,3,FALSE),"Not Specified")</f>
        <v>Navarro, Tomás</v>
      </c>
      <c r="G1800" s="2" t="str">
        <f t="shared" si="56"/>
        <v>Navarro Tomás</v>
      </c>
      <c r="H1800" s="8" t="str">
        <f>IFERROR(VLOOKUP(VLOOKUP(A1800,'[1]Sales Order'!A:C,3,FALSE),[1]Employee!A:E,5,FALSE)&amp;" "&amp;VLOOKUP(VLOOKUP(A1800,'[1]Sales Order'!A:C,3,FALSE),[1]Employee!A:C,3,FALSE)&amp;" "&amp;VLOOKUP(VLOOKUP(A1800,'[1]Sales Order'!A:C,3,FALSE),[1]Employee!A:B,2,FALSE),"Not Specified")</f>
        <v>Mr. Russell King</v>
      </c>
      <c r="I1800">
        <f>IFERROR(VLOOKUP(VLOOKUP(A1800,'[1]Sales Order'!A:C,3,FALSE),[1]Employee!A:J,10,FALSE),"Not Specified")</f>
        <v>0</v>
      </c>
      <c r="J1800" t="str">
        <f>VLOOKUP(B1800,[1]Product!A:B,2,FALSE)</f>
        <v>Product WUXYK</v>
      </c>
      <c r="K1800" t="str">
        <f>VLOOKUP(VLOOKUP(B1800,[1]Product!A:D,4,FALSE),[1]Category!A:B,2,FALSE)</f>
        <v>Confections</v>
      </c>
      <c r="L1800" s="10">
        <f>IFERROR(VLOOKUP(A1800,'[1]Sales Order'!A:D,4,FALSE),"")</f>
        <v>39518</v>
      </c>
      <c r="M1800" s="10">
        <f>IFERROR(VLOOKUP(A1800,'[1]Sales Order'!A:F,6,FALSE),"")</f>
        <v>39527</v>
      </c>
      <c r="N1800" t="str">
        <f>IFERROR(VLOOKUP(VLOOKUP(A1800,'[1]Sales Order'!A:G,7,FALSE),[1]Shipper!A:B,2,FALSE),"Not Specified")</f>
        <v>Shipper ETYNR</v>
      </c>
      <c r="O1800" t="str">
        <f>IFERROR(VLOOKUP(A1800,'[1]Sales Order'!A:I,9,FALSE),"Not Specified")</f>
        <v>Ship to 71-A</v>
      </c>
      <c r="P1800" t="str">
        <f>IFERROR(VLOOKUP(A1800,'[1]Sales Order'!A:N,14,FALSE),"Not Specified")</f>
        <v>USA</v>
      </c>
      <c r="Q1800" t="str">
        <f>VLOOKUP(VLOOKUP(B1800,[1]Product!A:C,3,FALSE),[1]Supplier!A:B,2,FALSE)</f>
        <v>Supplier OGLRK</v>
      </c>
      <c r="R1800" t="str">
        <f>VLOOKUP(VLOOKUP(B1800,[1]Product!A:C,3,FALSE),[1]Supplier!A:I,9,FALSE)</f>
        <v>Canada</v>
      </c>
      <c r="S1800" t="str">
        <f>IFERROR(IF(VLOOKUP(A1800,'[1]Sales Order'!A:H,8,FALSE)&gt;100,"High Freight","Low Freight"),"Not Specified")</f>
        <v>High Freight</v>
      </c>
      <c r="T1800">
        <f t="shared" si="57"/>
        <v>1109.25</v>
      </c>
    </row>
    <row r="1801" spans="1:20">
      <c r="A1801" s="1">
        <v>10941</v>
      </c>
      <c r="B1801" s="2">
        <v>68</v>
      </c>
      <c r="C1801" s="2">
        <v>12.5</v>
      </c>
      <c r="D1801" s="2">
        <v>80</v>
      </c>
      <c r="E1801" s="3">
        <v>0.25</v>
      </c>
      <c r="F1801" s="2" t="str">
        <f>IFERROR(VLOOKUP(VLOOKUP(A1801,'[1]Sales Order'!A:B,2,FALSE),[1]Customer!A:C,3,FALSE),"Not Specified")</f>
        <v>Navarro, Tomás</v>
      </c>
      <c r="G1801" s="2" t="str">
        <f t="shared" si="56"/>
        <v>Navarro Tomás</v>
      </c>
      <c r="H1801" s="8" t="str">
        <f>IFERROR(VLOOKUP(VLOOKUP(A1801,'[1]Sales Order'!A:C,3,FALSE),[1]Employee!A:E,5,FALSE)&amp;" "&amp;VLOOKUP(VLOOKUP(A1801,'[1]Sales Order'!A:C,3,FALSE),[1]Employee!A:C,3,FALSE)&amp;" "&amp;VLOOKUP(VLOOKUP(A1801,'[1]Sales Order'!A:C,3,FALSE),[1]Employee!A:B,2,FALSE),"Not Specified")</f>
        <v>Mr. Russell King</v>
      </c>
      <c r="I1801">
        <f>IFERROR(VLOOKUP(VLOOKUP(A1801,'[1]Sales Order'!A:C,3,FALSE),[1]Employee!A:J,10,FALSE),"Not Specified")</f>
        <v>0</v>
      </c>
      <c r="J1801" t="str">
        <f>VLOOKUP(B1801,[1]Product!A:B,2,FALSE)</f>
        <v>Product TBTBL</v>
      </c>
      <c r="K1801" t="str">
        <f>VLOOKUP(VLOOKUP(B1801,[1]Product!A:D,4,FALSE),[1]Category!A:B,2,FALSE)</f>
        <v>Confections</v>
      </c>
      <c r="L1801" s="10">
        <f>IFERROR(VLOOKUP(A1801,'[1]Sales Order'!A:D,4,FALSE),"")</f>
        <v>39518</v>
      </c>
      <c r="M1801" s="10">
        <f>IFERROR(VLOOKUP(A1801,'[1]Sales Order'!A:F,6,FALSE),"")</f>
        <v>39527</v>
      </c>
      <c r="N1801" t="str">
        <f>IFERROR(VLOOKUP(VLOOKUP(A1801,'[1]Sales Order'!A:G,7,FALSE),[1]Shipper!A:B,2,FALSE),"Not Specified")</f>
        <v>Shipper ETYNR</v>
      </c>
      <c r="O1801" t="str">
        <f>IFERROR(VLOOKUP(A1801,'[1]Sales Order'!A:I,9,FALSE),"Not Specified")</f>
        <v>Ship to 71-A</v>
      </c>
      <c r="P1801" t="str">
        <f>IFERROR(VLOOKUP(A1801,'[1]Sales Order'!A:N,14,FALSE),"Not Specified")</f>
        <v>USA</v>
      </c>
      <c r="Q1801" t="str">
        <f>VLOOKUP(VLOOKUP(B1801,[1]Product!A:C,3,FALSE),[1]Supplier!A:B,2,FALSE)</f>
        <v>Supplier BWGYE</v>
      </c>
      <c r="R1801" t="str">
        <f>VLOOKUP(VLOOKUP(B1801,[1]Product!A:C,3,FALSE),[1]Supplier!A:I,9,FALSE)</f>
        <v>UK</v>
      </c>
      <c r="S1801" t="str">
        <f>IFERROR(IF(VLOOKUP(A1801,'[1]Sales Order'!A:H,8,FALSE)&gt;100,"High Freight","Low Freight"),"Not Specified")</f>
        <v>High Freight</v>
      </c>
      <c r="T1801">
        <f t="shared" si="57"/>
        <v>750</v>
      </c>
    </row>
    <row r="1802" spans="1:20">
      <c r="A1802" s="1">
        <v>10941</v>
      </c>
      <c r="B1802" s="2">
        <v>72</v>
      </c>
      <c r="C1802" s="2">
        <v>34.799999999999997</v>
      </c>
      <c r="D1802" s="2">
        <v>50</v>
      </c>
      <c r="E1802" s="3">
        <v>0</v>
      </c>
      <c r="F1802" s="2" t="str">
        <f>IFERROR(VLOOKUP(VLOOKUP(A1802,'[1]Sales Order'!A:B,2,FALSE),[1]Customer!A:C,3,FALSE),"Not Specified")</f>
        <v>Navarro, Tomás</v>
      </c>
      <c r="G1802" s="2" t="str">
        <f t="shared" si="56"/>
        <v>Navarro Tomás</v>
      </c>
      <c r="H1802" s="8" t="str">
        <f>IFERROR(VLOOKUP(VLOOKUP(A1802,'[1]Sales Order'!A:C,3,FALSE),[1]Employee!A:E,5,FALSE)&amp;" "&amp;VLOOKUP(VLOOKUP(A1802,'[1]Sales Order'!A:C,3,FALSE),[1]Employee!A:C,3,FALSE)&amp;" "&amp;VLOOKUP(VLOOKUP(A1802,'[1]Sales Order'!A:C,3,FALSE),[1]Employee!A:B,2,FALSE),"Not Specified")</f>
        <v>Mr. Russell King</v>
      </c>
      <c r="I1802">
        <f>IFERROR(VLOOKUP(VLOOKUP(A1802,'[1]Sales Order'!A:C,3,FALSE),[1]Employee!A:J,10,FALSE),"Not Specified")</f>
        <v>0</v>
      </c>
      <c r="J1802" t="str">
        <f>VLOOKUP(B1802,[1]Product!A:B,2,FALSE)</f>
        <v>Product GEEOO</v>
      </c>
      <c r="K1802" t="str">
        <f>VLOOKUP(VLOOKUP(B1802,[1]Product!A:D,4,FALSE),[1]Category!A:B,2,FALSE)</f>
        <v>Dairy Product</v>
      </c>
      <c r="L1802" s="10">
        <f>IFERROR(VLOOKUP(A1802,'[1]Sales Order'!A:D,4,FALSE),"")</f>
        <v>39518</v>
      </c>
      <c r="M1802" s="10">
        <f>IFERROR(VLOOKUP(A1802,'[1]Sales Order'!A:F,6,FALSE),"")</f>
        <v>39527</v>
      </c>
      <c r="N1802" t="str">
        <f>IFERROR(VLOOKUP(VLOOKUP(A1802,'[1]Sales Order'!A:G,7,FALSE),[1]Shipper!A:B,2,FALSE),"Not Specified")</f>
        <v>Shipper ETYNR</v>
      </c>
      <c r="O1802" t="str">
        <f>IFERROR(VLOOKUP(A1802,'[1]Sales Order'!A:I,9,FALSE),"Not Specified")</f>
        <v>Ship to 71-A</v>
      </c>
      <c r="P1802" t="str">
        <f>IFERROR(VLOOKUP(A1802,'[1]Sales Order'!A:N,14,FALSE),"Not Specified")</f>
        <v>USA</v>
      </c>
      <c r="Q1802" t="str">
        <f>VLOOKUP(VLOOKUP(B1802,[1]Product!A:C,3,FALSE),[1]Supplier!A:B,2,FALSE)</f>
        <v>Supplier KEREV</v>
      </c>
      <c r="R1802" t="str">
        <f>VLOOKUP(VLOOKUP(B1802,[1]Product!A:C,3,FALSE),[1]Supplier!A:I,9,FALSE)</f>
        <v>Italy</v>
      </c>
      <c r="S1802" t="str">
        <f>IFERROR(IF(VLOOKUP(A1802,'[1]Sales Order'!A:H,8,FALSE)&gt;100,"High Freight","Low Freight"),"Not Specified")</f>
        <v>High Freight</v>
      </c>
      <c r="T1802">
        <f t="shared" si="57"/>
        <v>1739.9999999999998</v>
      </c>
    </row>
    <row r="1803" spans="1:20">
      <c r="A1803" s="1">
        <v>10942</v>
      </c>
      <c r="B1803" s="2">
        <v>49</v>
      </c>
      <c r="C1803" s="2">
        <v>20</v>
      </c>
      <c r="D1803" s="2">
        <v>28</v>
      </c>
      <c r="E1803" s="3">
        <v>0</v>
      </c>
      <c r="F1803" s="2" t="str">
        <f>IFERROR(VLOOKUP(VLOOKUP(A1803,'[1]Sales Order'!A:B,2,FALSE),[1]Customer!A:C,3,FALSE),"Not Specified")</f>
        <v>Voss, Florian</v>
      </c>
      <c r="G1803" s="2" t="str">
        <f t="shared" si="56"/>
        <v>Voss Florian</v>
      </c>
      <c r="H1803" s="8" t="str">
        <f>IFERROR(VLOOKUP(VLOOKUP(A1803,'[1]Sales Order'!A:C,3,FALSE),[1]Employee!A:E,5,FALSE)&amp;" "&amp;VLOOKUP(VLOOKUP(A1803,'[1]Sales Order'!A:C,3,FALSE),[1]Employee!A:C,3,FALSE)&amp;" "&amp;VLOOKUP(VLOOKUP(A1803,'[1]Sales Order'!A:C,3,FALSE),[1]Employee!A:B,2,FALSE),"Not Specified")</f>
        <v>Ms. Zoya Dolgopyatova</v>
      </c>
      <c r="I1803">
        <f>IFERROR(VLOOKUP(VLOOKUP(A1803,'[1]Sales Order'!A:C,3,FALSE),[1]Employee!A:J,10,FALSE),"Not Specified")</f>
        <v>0</v>
      </c>
      <c r="J1803" t="str">
        <f>VLOOKUP(B1803,[1]Product!A:B,2,FALSE)</f>
        <v>Product FPYPN</v>
      </c>
      <c r="K1803" t="str">
        <f>VLOOKUP(VLOOKUP(B1803,[1]Product!A:D,4,FALSE),[1]Category!A:B,2,FALSE)</f>
        <v>Confections</v>
      </c>
      <c r="L1803" s="10">
        <f>IFERROR(VLOOKUP(A1803,'[1]Sales Order'!A:D,4,FALSE),"")</f>
        <v>39518</v>
      </c>
      <c r="M1803" s="10">
        <f>IFERROR(VLOOKUP(A1803,'[1]Sales Order'!A:F,6,FALSE),"")</f>
        <v>39525</v>
      </c>
      <c r="N1803" t="str">
        <f>IFERROR(VLOOKUP(VLOOKUP(A1803,'[1]Sales Order'!A:G,7,FALSE),[1]Shipper!A:B,2,FALSE),"Not Specified")</f>
        <v>Shipper ZHISN</v>
      </c>
      <c r="O1803" t="str">
        <f>IFERROR(VLOOKUP(A1803,'[1]Sales Order'!A:I,9,FALSE),"Not Specified")</f>
        <v>Ship to 66-C</v>
      </c>
      <c r="P1803" t="str">
        <f>IFERROR(VLOOKUP(A1803,'[1]Sales Order'!A:N,14,FALSE),"Not Specified")</f>
        <v>Italy</v>
      </c>
      <c r="Q1803" t="str">
        <f>VLOOKUP(VLOOKUP(B1803,[1]Product!A:C,3,FALSE),[1]Supplier!A:B,2,FALSE)</f>
        <v>Supplier ELCRN</v>
      </c>
      <c r="R1803" t="str">
        <f>VLOOKUP(VLOOKUP(B1803,[1]Product!A:C,3,FALSE),[1]Supplier!A:I,9,FALSE)</f>
        <v>Finland</v>
      </c>
      <c r="S1803" t="str">
        <f>IFERROR(IF(VLOOKUP(A1803,'[1]Sales Order'!A:H,8,FALSE)&gt;100,"High Freight","Low Freight"),"Not Specified")</f>
        <v>Low Freight</v>
      </c>
      <c r="T1803">
        <f t="shared" si="57"/>
        <v>560</v>
      </c>
    </row>
    <row r="1804" spans="1:20">
      <c r="A1804" s="1">
        <v>10943</v>
      </c>
      <c r="B1804" s="2">
        <v>13</v>
      </c>
      <c r="C1804" s="2">
        <v>6</v>
      </c>
      <c r="D1804" s="2">
        <v>15</v>
      </c>
      <c r="E1804" s="3">
        <v>0</v>
      </c>
      <c r="F1804" s="2" t="str">
        <f>IFERROR(VLOOKUP(VLOOKUP(A1804,'[1]Sales Order'!A:B,2,FALSE),[1]Customer!A:C,3,FALSE),"Not Specified")</f>
        <v>Jaffe, David</v>
      </c>
      <c r="G1804" s="2" t="str">
        <f t="shared" si="56"/>
        <v>Jaffe David</v>
      </c>
      <c r="H1804" s="8" t="str">
        <f>IFERROR(VLOOKUP(VLOOKUP(A1804,'[1]Sales Order'!A:C,3,FALSE),[1]Employee!A:E,5,FALSE)&amp;" "&amp;VLOOKUP(VLOOKUP(A1804,'[1]Sales Order'!A:C,3,FALSE),[1]Employee!A:C,3,FALSE)&amp;" "&amp;VLOOKUP(VLOOKUP(A1804,'[1]Sales Order'!A:C,3,FALSE),[1]Employee!A:B,2,FALSE),"Not Specified")</f>
        <v>Mrs. Yael Peled</v>
      </c>
      <c r="I1804" t="str">
        <f>IFERROR(VLOOKUP(VLOOKUP(A1804,'[1]Sales Order'!A:C,3,FALSE),[1]Employee!A:J,10,FALSE),"Not Specified")</f>
        <v>WA</v>
      </c>
      <c r="J1804" t="str">
        <f>VLOOKUP(B1804,[1]Product!A:B,2,FALSE)</f>
        <v>Product POXFU</v>
      </c>
      <c r="K1804" t="str">
        <f>VLOOKUP(VLOOKUP(B1804,[1]Product!A:D,4,FALSE),[1]Category!A:B,2,FALSE)</f>
        <v>Seafood</v>
      </c>
      <c r="L1804" s="10">
        <f>IFERROR(VLOOKUP(A1804,'[1]Sales Order'!A:D,4,FALSE),"")</f>
        <v>39518</v>
      </c>
      <c r="M1804" s="10">
        <f>IFERROR(VLOOKUP(A1804,'[1]Sales Order'!A:F,6,FALSE),"")</f>
        <v>39526</v>
      </c>
      <c r="N1804" t="str">
        <f>IFERROR(VLOOKUP(VLOOKUP(A1804,'[1]Sales Order'!A:G,7,FALSE),[1]Shipper!A:B,2,FALSE),"Not Specified")</f>
        <v>Shipper ETYNR</v>
      </c>
      <c r="O1804" t="str">
        <f>IFERROR(VLOOKUP(A1804,'[1]Sales Order'!A:I,9,FALSE),"Not Specified")</f>
        <v>Destination NZASL</v>
      </c>
      <c r="P1804" t="str">
        <f>IFERROR(VLOOKUP(A1804,'[1]Sales Order'!A:N,14,FALSE),"Not Specified")</f>
        <v>UK</v>
      </c>
      <c r="Q1804" t="str">
        <f>VLOOKUP(VLOOKUP(B1804,[1]Product!A:C,3,FALSE),[1]Supplier!A:B,2,FALSE)</f>
        <v>Supplier QWUSF</v>
      </c>
      <c r="R1804" t="str">
        <f>VLOOKUP(VLOOKUP(B1804,[1]Product!A:C,3,FALSE),[1]Supplier!A:I,9,FALSE)</f>
        <v>Japan</v>
      </c>
      <c r="S1804" t="str">
        <f>IFERROR(IF(VLOOKUP(A1804,'[1]Sales Order'!A:H,8,FALSE)&gt;100,"High Freight","Low Freight"),"Not Specified")</f>
        <v>Low Freight</v>
      </c>
      <c r="T1804">
        <f t="shared" si="57"/>
        <v>90</v>
      </c>
    </row>
    <row r="1805" spans="1:20">
      <c r="A1805" s="1">
        <v>10943</v>
      </c>
      <c r="B1805" s="2">
        <v>22</v>
      </c>
      <c r="C1805" s="2">
        <v>21</v>
      </c>
      <c r="D1805" s="2">
        <v>21</v>
      </c>
      <c r="E1805" s="3">
        <v>0</v>
      </c>
      <c r="F1805" s="2" t="str">
        <f>IFERROR(VLOOKUP(VLOOKUP(A1805,'[1]Sales Order'!A:B,2,FALSE),[1]Customer!A:C,3,FALSE),"Not Specified")</f>
        <v>Jaffe, David</v>
      </c>
      <c r="G1805" s="2" t="str">
        <f t="shared" si="56"/>
        <v>Jaffe David</v>
      </c>
      <c r="H1805" s="8" t="str">
        <f>IFERROR(VLOOKUP(VLOOKUP(A1805,'[1]Sales Order'!A:C,3,FALSE),[1]Employee!A:E,5,FALSE)&amp;" "&amp;VLOOKUP(VLOOKUP(A1805,'[1]Sales Order'!A:C,3,FALSE),[1]Employee!A:C,3,FALSE)&amp;" "&amp;VLOOKUP(VLOOKUP(A1805,'[1]Sales Order'!A:C,3,FALSE),[1]Employee!A:B,2,FALSE),"Not Specified")</f>
        <v>Mrs. Yael Peled</v>
      </c>
      <c r="I1805" t="str">
        <f>IFERROR(VLOOKUP(VLOOKUP(A1805,'[1]Sales Order'!A:C,3,FALSE),[1]Employee!A:J,10,FALSE),"Not Specified")</f>
        <v>WA</v>
      </c>
      <c r="J1805" t="str">
        <f>VLOOKUP(B1805,[1]Product!A:B,2,FALSE)</f>
        <v>Product CPHFY</v>
      </c>
      <c r="K1805" t="str">
        <f>VLOOKUP(VLOOKUP(B1805,[1]Product!A:D,4,FALSE),[1]Category!A:B,2,FALSE)</f>
        <v>Grains/Cereals</v>
      </c>
      <c r="L1805" s="10">
        <f>IFERROR(VLOOKUP(A1805,'[1]Sales Order'!A:D,4,FALSE),"")</f>
        <v>39518</v>
      </c>
      <c r="M1805" s="10">
        <f>IFERROR(VLOOKUP(A1805,'[1]Sales Order'!A:F,6,FALSE),"")</f>
        <v>39526</v>
      </c>
      <c r="N1805" t="str">
        <f>IFERROR(VLOOKUP(VLOOKUP(A1805,'[1]Sales Order'!A:G,7,FALSE),[1]Shipper!A:B,2,FALSE),"Not Specified")</f>
        <v>Shipper ETYNR</v>
      </c>
      <c r="O1805" t="str">
        <f>IFERROR(VLOOKUP(A1805,'[1]Sales Order'!A:I,9,FALSE),"Not Specified")</f>
        <v>Destination NZASL</v>
      </c>
      <c r="P1805" t="str">
        <f>IFERROR(VLOOKUP(A1805,'[1]Sales Order'!A:N,14,FALSE),"Not Specified")</f>
        <v>UK</v>
      </c>
      <c r="Q1805" t="str">
        <f>VLOOKUP(VLOOKUP(B1805,[1]Product!A:C,3,FALSE),[1]Supplier!A:B,2,FALSE)</f>
        <v>Supplier QQYEU</v>
      </c>
      <c r="R1805" t="str">
        <f>VLOOKUP(VLOOKUP(B1805,[1]Product!A:C,3,FALSE),[1]Supplier!A:I,9,FALSE)</f>
        <v>Sweden</v>
      </c>
      <c r="S1805" t="str">
        <f>IFERROR(IF(VLOOKUP(A1805,'[1]Sales Order'!A:H,8,FALSE)&gt;100,"High Freight","Low Freight"),"Not Specified")</f>
        <v>Low Freight</v>
      </c>
      <c r="T1805">
        <f t="shared" si="57"/>
        <v>441</v>
      </c>
    </row>
    <row r="1806" spans="1:20">
      <c r="A1806" s="1">
        <v>10943</v>
      </c>
      <c r="B1806" s="2">
        <v>46</v>
      </c>
      <c r="C1806" s="2">
        <v>12</v>
      </c>
      <c r="D1806" s="2">
        <v>15</v>
      </c>
      <c r="E1806" s="3">
        <v>0</v>
      </c>
      <c r="F1806" s="2" t="str">
        <f>IFERROR(VLOOKUP(VLOOKUP(A1806,'[1]Sales Order'!A:B,2,FALSE),[1]Customer!A:C,3,FALSE),"Not Specified")</f>
        <v>Jaffe, David</v>
      </c>
      <c r="G1806" s="2" t="str">
        <f t="shared" si="56"/>
        <v>Jaffe David</v>
      </c>
      <c r="H1806" s="8" t="str">
        <f>IFERROR(VLOOKUP(VLOOKUP(A1806,'[1]Sales Order'!A:C,3,FALSE),[1]Employee!A:E,5,FALSE)&amp;" "&amp;VLOOKUP(VLOOKUP(A1806,'[1]Sales Order'!A:C,3,FALSE),[1]Employee!A:C,3,FALSE)&amp;" "&amp;VLOOKUP(VLOOKUP(A1806,'[1]Sales Order'!A:C,3,FALSE),[1]Employee!A:B,2,FALSE),"Not Specified")</f>
        <v>Mrs. Yael Peled</v>
      </c>
      <c r="I1806" t="str">
        <f>IFERROR(VLOOKUP(VLOOKUP(A1806,'[1]Sales Order'!A:C,3,FALSE),[1]Employee!A:J,10,FALSE),"Not Specified")</f>
        <v>WA</v>
      </c>
      <c r="J1806" t="str">
        <f>VLOOKUP(B1806,[1]Product!A:B,2,FALSE)</f>
        <v>Product CBRRL</v>
      </c>
      <c r="K1806" t="str">
        <f>VLOOKUP(VLOOKUP(B1806,[1]Product!A:D,4,FALSE),[1]Category!A:B,2,FALSE)</f>
        <v>Seafood</v>
      </c>
      <c r="L1806" s="10">
        <f>IFERROR(VLOOKUP(A1806,'[1]Sales Order'!A:D,4,FALSE),"")</f>
        <v>39518</v>
      </c>
      <c r="M1806" s="10">
        <f>IFERROR(VLOOKUP(A1806,'[1]Sales Order'!A:F,6,FALSE),"")</f>
        <v>39526</v>
      </c>
      <c r="N1806" t="str">
        <f>IFERROR(VLOOKUP(VLOOKUP(A1806,'[1]Sales Order'!A:G,7,FALSE),[1]Shipper!A:B,2,FALSE),"Not Specified")</f>
        <v>Shipper ETYNR</v>
      </c>
      <c r="O1806" t="str">
        <f>IFERROR(VLOOKUP(A1806,'[1]Sales Order'!A:I,9,FALSE),"Not Specified")</f>
        <v>Destination NZASL</v>
      </c>
      <c r="P1806" t="str">
        <f>IFERROR(VLOOKUP(A1806,'[1]Sales Order'!A:N,14,FALSE),"Not Specified")</f>
        <v>UK</v>
      </c>
      <c r="Q1806" t="str">
        <f>VLOOKUP(VLOOKUP(B1806,[1]Product!A:C,3,FALSE),[1]Supplier!A:B,2,FALSE)</f>
        <v>Supplier XOXZA</v>
      </c>
      <c r="R1806" t="str">
        <f>VLOOKUP(VLOOKUP(B1806,[1]Product!A:C,3,FALSE),[1]Supplier!A:I,9,FALSE)</f>
        <v>Denmark</v>
      </c>
      <c r="S1806" t="str">
        <f>IFERROR(IF(VLOOKUP(A1806,'[1]Sales Order'!A:H,8,FALSE)&gt;100,"High Freight","Low Freight"),"Not Specified")</f>
        <v>Low Freight</v>
      </c>
      <c r="T1806">
        <f t="shared" si="57"/>
        <v>180</v>
      </c>
    </row>
    <row r="1807" spans="1:20">
      <c r="A1807" s="1">
        <v>10944</v>
      </c>
      <c r="B1807" s="2">
        <v>11</v>
      </c>
      <c r="C1807" s="2">
        <v>21</v>
      </c>
      <c r="D1807" s="2">
        <v>5</v>
      </c>
      <c r="E1807" s="3">
        <v>0.25</v>
      </c>
      <c r="F1807" s="2" t="str">
        <f>IFERROR(VLOOKUP(VLOOKUP(A1807,'[1]Sales Order'!A:B,2,FALSE),[1]Customer!A:C,3,FALSE),"Not Specified")</f>
        <v>Bassols, Pilar Colome</v>
      </c>
      <c r="G1807" s="2" t="str">
        <f t="shared" si="56"/>
        <v>Bassols Pilar Colome</v>
      </c>
      <c r="H1807" s="8" t="str">
        <f>IFERROR(VLOOKUP(VLOOKUP(A1807,'[1]Sales Order'!A:C,3,FALSE),[1]Employee!A:E,5,FALSE)&amp;" "&amp;VLOOKUP(VLOOKUP(A1807,'[1]Sales Order'!A:C,3,FALSE),[1]Employee!A:C,3,FALSE)&amp;" "&amp;VLOOKUP(VLOOKUP(A1807,'[1]Sales Order'!A:C,3,FALSE),[1]Employee!A:B,2,FALSE),"Not Specified")</f>
        <v>Mr. Paul Suurs</v>
      </c>
      <c r="I1807">
        <f>IFERROR(VLOOKUP(VLOOKUP(A1807,'[1]Sales Order'!A:C,3,FALSE),[1]Employee!A:J,10,FALSE),"Not Specified")</f>
        <v>0</v>
      </c>
      <c r="J1807" t="str">
        <f>VLOOKUP(B1807,[1]Product!A:B,2,FALSE)</f>
        <v>Product QMVUN</v>
      </c>
      <c r="K1807" t="str">
        <f>VLOOKUP(VLOOKUP(B1807,[1]Product!A:D,4,FALSE),[1]Category!A:B,2,FALSE)</f>
        <v>Dairy Product</v>
      </c>
      <c r="L1807" s="10">
        <f>IFERROR(VLOOKUP(A1807,'[1]Sales Order'!A:D,4,FALSE),"")</f>
        <v>39519</v>
      </c>
      <c r="M1807" s="10">
        <f>IFERROR(VLOOKUP(A1807,'[1]Sales Order'!A:F,6,FALSE),"")</f>
        <v>39520</v>
      </c>
      <c r="N1807" t="str">
        <f>IFERROR(VLOOKUP(VLOOKUP(A1807,'[1]Sales Order'!A:G,7,FALSE),[1]Shipper!A:B,2,FALSE),"Not Specified")</f>
        <v>Shipper ZHISN</v>
      </c>
      <c r="O1807" t="str">
        <f>IFERROR(VLOOKUP(A1807,'[1]Sales Order'!A:I,9,FALSE),"Not Specified")</f>
        <v>Destination XJIBQ</v>
      </c>
      <c r="P1807" t="str">
        <f>IFERROR(VLOOKUP(A1807,'[1]Sales Order'!A:N,14,FALSE),"Not Specified")</f>
        <v>Canada</v>
      </c>
      <c r="Q1807" t="str">
        <f>VLOOKUP(VLOOKUP(B1807,[1]Product!A:C,3,FALSE),[1]Supplier!A:B,2,FALSE)</f>
        <v>Supplier EQPNC</v>
      </c>
      <c r="R1807" t="str">
        <f>VLOOKUP(VLOOKUP(B1807,[1]Product!A:C,3,FALSE),[1]Supplier!A:I,9,FALSE)</f>
        <v>Spain</v>
      </c>
      <c r="S1807" t="str">
        <f>IFERROR(IF(VLOOKUP(A1807,'[1]Sales Order'!A:H,8,FALSE)&gt;100,"High Freight","Low Freight"),"Not Specified")</f>
        <v>Low Freight</v>
      </c>
      <c r="T1807">
        <f t="shared" si="57"/>
        <v>78.75</v>
      </c>
    </row>
    <row r="1808" spans="1:20">
      <c r="A1808" s="1">
        <v>10944</v>
      </c>
      <c r="B1808" s="2">
        <v>44</v>
      </c>
      <c r="C1808" s="2">
        <v>19.45</v>
      </c>
      <c r="D1808" s="2">
        <v>18</v>
      </c>
      <c r="E1808" s="3">
        <v>0.25</v>
      </c>
      <c r="F1808" s="2" t="str">
        <f>IFERROR(VLOOKUP(VLOOKUP(A1808,'[1]Sales Order'!A:B,2,FALSE),[1]Customer!A:C,3,FALSE),"Not Specified")</f>
        <v>Bassols, Pilar Colome</v>
      </c>
      <c r="G1808" s="2" t="str">
        <f t="shared" si="56"/>
        <v>Bassols Pilar Colome</v>
      </c>
      <c r="H1808" s="8" t="str">
        <f>IFERROR(VLOOKUP(VLOOKUP(A1808,'[1]Sales Order'!A:C,3,FALSE),[1]Employee!A:E,5,FALSE)&amp;" "&amp;VLOOKUP(VLOOKUP(A1808,'[1]Sales Order'!A:C,3,FALSE),[1]Employee!A:C,3,FALSE)&amp;" "&amp;VLOOKUP(VLOOKUP(A1808,'[1]Sales Order'!A:C,3,FALSE),[1]Employee!A:B,2,FALSE),"Not Specified")</f>
        <v>Mr. Paul Suurs</v>
      </c>
      <c r="I1808">
        <f>IFERROR(VLOOKUP(VLOOKUP(A1808,'[1]Sales Order'!A:C,3,FALSE),[1]Employee!A:J,10,FALSE),"Not Specified")</f>
        <v>0</v>
      </c>
      <c r="J1808" t="str">
        <f>VLOOKUP(B1808,[1]Product!A:B,2,FALSE)</f>
        <v>Product VJIEO</v>
      </c>
      <c r="K1808" t="str">
        <f>VLOOKUP(VLOOKUP(B1808,[1]Product!A:D,4,FALSE),[1]Category!A:B,2,FALSE)</f>
        <v>Condiments</v>
      </c>
      <c r="L1808" s="10">
        <f>IFERROR(VLOOKUP(A1808,'[1]Sales Order'!A:D,4,FALSE),"")</f>
        <v>39519</v>
      </c>
      <c r="M1808" s="10">
        <f>IFERROR(VLOOKUP(A1808,'[1]Sales Order'!A:F,6,FALSE),"")</f>
        <v>39520</v>
      </c>
      <c r="N1808" t="str">
        <f>IFERROR(VLOOKUP(VLOOKUP(A1808,'[1]Sales Order'!A:G,7,FALSE),[1]Shipper!A:B,2,FALSE),"Not Specified")</f>
        <v>Shipper ZHISN</v>
      </c>
      <c r="O1808" t="str">
        <f>IFERROR(VLOOKUP(A1808,'[1]Sales Order'!A:I,9,FALSE),"Not Specified")</f>
        <v>Destination XJIBQ</v>
      </c>
      <c r="P1808" t="str">
        <f>IFERROR(VLOOKUP(A1808,'[1]Sales Order'!A:N,14,FALSE),"Not Specified")</f>
        <v>Canada</v>
      </c>
      <c r="Q1808" t="str">
        <f>VLOOKUP(VLOOKUP(B1808,[1]Product!A:C,3,FALSE),[1]Supplier!A:B,2,FALSE)</f>
        <v>Supplier CIYNM</v>
      </c>
      <c r="R1808" t="str">
        <f>VLOOKUP(VLOOKUP(B1808,[1]Product!A:C,3,FALSE),[1]Supplier!A:I,9,FALSE)</f>
        <v>Singapore</v>
      </c>
      <c r="S1808" t="str">
        <f>IFERROR(IF(VLOOKUP(A1808,'[1]Sales Order'!A:H,8,FALSE)&gt;100,"High Freight","Low Freight"),"Not Specified")</f>
        <v>Low Freight</v>
      </c>
      <c r="T1808">
        <f t="shared" si="57"/>
        <v>262.57499999999999</v>
      </c>
    </row>
    <row r="1809" spans="1:20">
      <c r="A1809" s="1">
        <v>10944</v>
      </c>
      <c r="B1809" s="2">
        <v>56</v>
      </c>
      <c r="C1809" s="2">
        <v>38</v>
      </c>
      <c r="D1809" s="2">
        <v>18</v>
      </c>
      <c r="E1809" s="3">
        <v>0</v>
      </c>
      <c r="F1809" s="2" t="str">
        <f>IFERROR(VLOOKUP(VLOOKUP(A1809,'[1]Sales Order'!A:B,2,FALSE),[1]Customer!A:C,3,FALSE),"Not Specified")</f>
        <v>Bassols, Pilar Colome</v>
      </c>
      <c r="G1809" s="2" t="str">
        <f t="shared" si="56"/>
        <v>Bassols Pilar Colome</v>
      </c>
      <c r="H1809" s="8" t="str">
        <f>IFERROR(VLOOKUP(VLOOKUP(A1809,'[1]Sales Order'!A:C,3,FALSE),[1]Employee!A:E,5,FALSE)&amp;" "&amp;VLOOKUP(VLOOKUP(A1809,'[1]Sales Order'!A:C,3,FALSE),[1]Employee!A:C,3,FALSE)&amp;" "&amp;VLOOKUP(VLOOKUP(A1809,'[1]Sales Order'!A:C,3,FALSE),[1]Employee!A:B,2,FALSE),"Not Specified")</f>
        <v>Mr. Paul Suurs</v>
      </c>
      <c r="I1809">
        <f>IFERROR(VLOOKUP(VLOOKUP(A1809,'[1]Sales Order'!A:C,3,FALSE),[1]Employee!A:J,10,FALSE),"Not Specified")</f>
        <v>0</v>
      </c>
      <c r="J1809" t="str">
        <f>VLOOKUP(B1809,[1]Product!A:B,2,FALSE)</f>
        <v>Product VKCMF</v>
      </c>
      <c r="K1809" t="str">
        <f>VLOOKUP(VLOOKUP(B1809,[1]Product!A:D,4,FALSE),[1]Category!A:B,2,FALSE)</f>
        <v>Grains/Cereals</v>
      </c>
      <c r="L1809" s="10">
        <f>IFERROR(VLOOKUP(A1809,'[1]Sales Order'!A:D,4,FALSE),"")</f>
        <v>39519</v>
      </c>
      <c r="M1809" s="10">
        <f>IFERROR(VLOOKUP(A1809,'[1]Sales Order'!A:F,6,FALSE),"")</f>
        <v>39520</v>
      </c>
      <c r="N1809" t="str">
        <f>IFERROR(VLOOKUP(VLOOKUP(A1809,'[1]Sales Order'!A:G,7,FALSE),[1]Shipper!A:B,2,FALSE),"Not Specified")</f>
        <v>Shipper ZHISN</v>
      </c>
      <c r="O1809" t="str">
        <f>IFERROR(VLOOKUP(A1809,'[1]Sales Order'!A:I,9,FALSE),"Not Specified")</f>
        <v>Destination XJIBQ</v>
      </c>
      <c r="P1809" t="str">
        <f>IFERROR(VLOOKUP(A1809,'[1]Sales Order'!A:N,14,FALSE),"Not Specified")</f>
        <v>Canada</v>
      </c>
      <c r="Q1809" t="str">
        <f>VLOOKUP(VLOOKUP(B1809,[1]Product!A:C,3,FALSE),[1]Supplier!A:B,2,FALSE)</f>
        <v>Supplier ZWZDM</v>
      </c>
      <c r="R1809" t="str">
        <f>VLOOKUP(VLOOKUP(B1809,[1]Product!A:C,3,FALSE),[1]Supplier!A:I,9,FALSE)</f>
        <v>Italy</v>
      </c>
      <c r="S1809" t="str">
        <f>IFERROR(IF(VLOOKUP(A1809,'[1]Sales Order'!A:H,8,FALSE)&gt;100,"High Freight","Low Freight"),"Not Specified")</f>
        <v>Low Freight</v>
      </c>
      <c r="T1809">
        <f t="shared" si="57"/>
        <v>684</v>
      </c>
    </row>
    <row r="1810" spans="1:20">
      <c r="A1810" s="1">
        <v>10945</v>
      </c>
      <c r="B1810" s="2">
        <v>13</v>
      </c>
      <c r="C1810" s="2">
        <v>6</v>
      </c>
      <c r="D1810" s="2">
        <v>20</v>
      </c>
      <c r="E1810" s="3">
        <v>0</v>
      </c>
      <c r="F1810" s="2" t="str">
        <f>IFERROR(VLOOKUP(VLOOKUP(A1810,'[1]Sales Order'!A:B,2,FALSE),[1]Customer!A:C,3,FALSE),"Not Specified")</f>
        <v>Dupont-Roc, Patrice</v>
      </c>
      <c r="G1810" s="2" t="str">
        <f t="shared" si="56"/>
        <v>Dupont-Roc Patrice</v>
      </c>
      <c r="H1810" s="8" t="str">
        <f>IFERROR(VLOOKUP(VLOOKUP(A1810,'[1]Sales Order'!A:C,3,FALSE),[1]Employee!A:E,5,FALSE)&amp;" "&amp;VLOOKUP(VLOOKUP(A1810,'[1]Sales Order'!A:C,3,FALSE),[1]Employee!A:C,3,FALSE)&amp;" "&amp;VLOOKUP(VLOOKUP(A1810,'[1]Sales Order'!A:C,3,FALSE),[1]Employee!A:B,2,FALSE),"Not Specified")</f>
        <v>Mrs. Yael Peled</v>
      </c>
      <c r="I1810" t="str">
        <f>IFERROR(VLOOKUP(VLOOKUP(A1810,'[1]Sales Order'!A:C,3,FALSE),[1]Employee!A:J,10,FALSE),"Not Specified")</f>
        <v>WA</v>
      </c>
      <c r="J1810" t="str">
        <f>VLOOKUP(B1810,[1]Product!A:B,2,FALSE)</f>
        <v>Product POXFU</v>
      </c>
      <c r="K1810" t="str">
        <f>VLOOKUP(VLOOKUP(B1810,[1]Product!A:D,4,FALSE),[1]Category!A:B,2,FALSE)</f>
        <v>Seafood</v>
      </c>
      <c r="L1810" s="10">
        <f>IFERROR(VLOOKUP(A1810,'[1]Sales Order'!A:D,4,FALSE),"")</f>
        <v>39519</v>
      </c>
      <c r="M1810" s="10">
        <f>IFERROR(VLOOKUP(A1810,'[1]Sales Order'!A:F,6,FALSE),"")</f>
        <v>39525</v>
      </c>
      <c r="N1810" t="str">
        <f>IFERROR(VLOOKUP(VLOOKUP(A1810,'[1]Sales Order'!A:G,7,FALSE),[1]Shipper!A:B,2,FALSE),"Not Specified")</f>
        <v>Shipper GVSUA</v>
      </c>
      <c r="O1810" t="str">
        <f>IFERROR(VLOOKUP(A1810,'[1]Sales Order'!A:I,9,FALSE),"Not Specified")</f>
        <v>Ship to 52-B</v>
      </c>
      <c r="P1810" t="str">
        <f>IFERROR(VLOOKUP(A1810,'[1]Sales Order'!A:N,14,FALSE),"Not Specified")</f>
        <v>Germany</v>
      </c>
      <c r="Q1810" t="str">
        <f>VLOOKUP(VLOOKUP(B1810,[1]Product!A:C,3,FALSE),[1]Supplier!A:B,2,FALSE)</f>
        <v>Supplier QWUSF</v>
      </c>
      <c r="R1810" t="str">
        <f>VLOOKUP(VLOOKUP(B1810,[1]Product!A:C,3,FALSE),[1]Supplier!A:I,9,FALSE)</f>
        <v>Japan</v>
      </c>
      <c r="S1810" t="str">
        <f>IFERROR(IF(VLOOKUP(A1810,'[1]Sales Order'!A:H,8,FALSE)&gt;100,"High Freight","Low Freight"),"Not Specified")</f>
        <v>Low Freight</v>
      </c>
      <c r="T1810">
        <f t="shared" si="57"/>
        <v>120</v>
      </c>
    </row>
    <row r="1811" spans="1:20">
      <c r="A1811" s="1">
        <v>10945</v>
      </c>
      <c r="B1811" s="2">
        <v>31</v>
      </c>
      <c r="C1811" s="2">
        <v>12.5</v>
      </c>
      <c r="D1811" s="2">
        <v>10</v>
      </c>
      <c r="E1811" s="3">
        <v>0</v>
      </c>
      <c r="F1811" s="2" t="str">
        <f>IFERROR(VLOOKUP(VLOOKUP(A1811,'[1]Sales Order'!A:B,2,FALSE),[1]Customer!A:C,3,FALSE),"Not Specified")</f>
        <v>Dupont-Roc, Patrice</v>
      </c>
      <c r="G1811" s="2" t="str">
        <f t="shared" si="56"/>
        <v>Dupont-Roc Patrice</v>
      </c>
      <c r="H1811" s="8" t="str">
        <f>IFERROR(VLOOKUP(VLOOKUP(A1811,'[1]Sales Order'!A:C,3,FALSE),[1]Employee!A:E,5,FALSE)&amp;" "&amp;VLOOKUP(VLOOKUP(A1811,'[1]Sales Order'!A:C,3,FALSE),[1]Employee!A:C,3,FALSE)&amp;" "&amp;VLOOKUP(VLOOKUP(A1811,'[1]Sales Order'!A:C,3,FALSE),[1]Employee!A:B,2,FALSE),"Not Specified")</f>
        <v>Mrs. Yael Peled</v>
      </c>
      <c r="I1811" t="str">
        <f>IFERROR(VLOOKUP(VLOOKUP(A1811,'[1]Sales Order'!A:C,3,FALSE),[1]Employee!A:J,10,FALSE),"Not Specified")</f>
        <v>WA</v>
      </c>
      <c r="J1811" t="str">
        <f>VLOOKUP(B1811,[1]Product!A:B,2,FALSE)</f>
        <v>Product XWOXC</v>
      </c>
      <c r="K1811" t="str">
        <f>VLOOKUP(VLOOKUP(B1811,[1]Product!A:D,4,FALSE),[1]Category!A:B,2,FALSE)</f>
        <v>Dairy Product</v>
      </c>
      <c r="L1811" s="10">
        <f>IFERROR(VLOOKUP(A1811,'[1]Sales Order'!A:D,4,FALSE),"")</f>
        <v>39519</v>
      </c>
      <c r="M1811" s="10">
        <f>IFERROR(VLOOKUP(A1811,'[1]Sales Order'!A:F,6,FALSE),"")</f>
        <v>39525</v>
      </c>
      <c r="N1811" t="str">
        <f>IFERROR(VLOOKUP(VLOOKUP(A1811,'[1]Sales Order'!A:G,7,FALSE),[1]Shipper!A:B,2,FALSE),"Not Specified")</f>
        <v>Shipper GVSUA</v>
      </c>
      <c r="O1811" t="str">
        <f>IFERROR(VLOOKUP(A1811,'[1]Sales Order'!A:I,9,FALSE),"Not Specified")</f>
        <v>Ship to 52-B</v>
      </c>
      <c r="P1811" t="str">
        <f>IFERROR(VLOOKUP(A1811,'[1]Sales Order'!A:N,14,FALSE),"Not Specified")</f>
        <v>Germany</v>
      </c>
      <c r="Q1811" t="str">
        <f>VLOOKUP(VLOOKUP(B1811,[1]Product!A:C,3,FALSE),[1]Supplier!A:B,2,FALSE)</f>
        <v>Supplier KEREV</v>
      </c>
      <c r="R1811" t="str">
        <f>VLOOKUP(VLOOKUP(B1811,[1]Product!A:C,3,FALSE),[1]Supplier!A:I,9,FALSE)</f>
        <v>Italy</v>
      </c>
      <c r="S1811" t="str">
        <f>IFERROR(IF(VLOOKUP(A1811,'[1]Sales Order'!A:H,8,FALSE)&gt;100,"High Freight","Low Freight"),"Not Specified")</f>
        <v>Low Freight</v>
      </c>
      <c r="T1811">
        <f t="shared" si="57"/>
        <v>125</v>
      </c>
    </row>
    <row r="1812" spans="1:20">
      <c r="A1812" s="1">
        <v>10946</v>
      </c>
      <c r="B1812" s="2">
        <v>10</v>
      </c>
      <c r="C1812" s="2">
        <v>31</v>
      </c>
      <c r="D1812" s="2">
        <v>25</v>
      </c>
      <c r="E1812" s="3">
        <v>0</v>
      </c>
      <c r="F1812" s="2" t="str">
        <f>IFERROR(VLOOKUP(VLOOKUP(A1812,'[1]Sales Order'!A:B,2,FALSE),[1]Customer!A:C,3,FALSE),"Not Specified")</f>
        <v>Fonteneau, Karl</v>
      </c>
      <c r="G1812" s="2" t="str">
        <f t="shared" si="56"/>
        <v>Fonteneau Karl</v>
      </c>
      <c r="H1812" s="8" t="str">
        <f>IFERROR(VLOOKUP(VLOOKUP(A1812,'[1]Sales Order'!A:C,3,FALSE),[1]Employee!A:E,5,FALSE)&amp;" "&amp;VLOOKUP(VLOOKUP(A1812,'[1]Sales Order'!A:C,3,FALSE),[1]Employee!A:C,3,FALSE)&amp;" "&amp;VLOOKUP(VLOOKUP(A1812,'[1]Sales Order'!A:C,3,FALSE),[1]Employee!A:B,2,FALSE),"Not Specified")</f>
        <v>Ms. Sara Davis</v>
      </c>
      <c r="I1812" t="str">
        <f>IFERROR(VLOOKUP(VLOOKUP(A1812,'[1]Sales Order'!A:C,3,FALSE),[1]Employee!A:J,10,FALSE),"Not Specified")</f>
        <v>WA</v>
      </c>
      <c r="J1812" t="str">
        <f>VLOOKUP(B1812,[1]Product!A:B,2,FALSE)</f>
        <v>Product YHXGE</v>
      </c>
      <c r="K1812" t="str">
        <f>VLOOKUP(VLOOKUP(B1812,[1]Product!A:D,4,FALSE),[1]Category!A:B,2,FALSE)</f>
        <v>Seafood</v>
      </c>
      <c r="L1812" s="10">
        <f>IFERROR(VLOOKUP(A1812,'[1]Sales Order'!A:D,4,FALSE),"")</f>
        <v>39519</v>
      </c>
      <c r="M1812" s="10">
        <f>IFERROR(VLOOKUP(A1812,'[1]Sales Order'!A:F,6,FALSE),"")</f>
        <v>39526</v>
      </c>
      <c r="N1812" t="str">
        <f>IFERROR(VLOOKUP(VLOOKUP(A1812,'[1]Sales Order'!A:G,7,FALSE),[1]Shipper!A:B,2,FALSE),"Not Specified")</f>
        <v>Shipper ETYNR</v>
      </c>
      <c r="O1812" t="str">
        <f>IFERROR(VLOOKUP(A1812,'[1]Sales Order'!A:I,9,FALSE),"Not Specified")</f>
        <v>Ship to 83-B</v>
      </c>
      <c r="P1812" t="str">
        <f>IFERROR(VLOOKUP(A1812,'[1]Sales Order'!A:N,14,FALSE),"Not Specified")</f>
        <v>Denmark</v>
      </c>
      <c r="Q1812" t="str">
        <f>VLOOKUP(VLOOKUP(B1812,[1]Product!A:C,3,FALSE),[1]Supplier!A:B,2,FALSE)</f>
        <v>Supplier QOVFD</v>
      </c>
      <c r="R1812" t="str">
        <f>VLOOKUP(VLOOKUP(B1812,[1]Product!A:C,3,FALSE),[1]Supplier!A:I,9,FALSE)</f>
        <v>Japan</v>
      </c>
      <c r="S1812" t="str">
        <f>IFERROR(IF(VLOOKUP(A1812,'[1]Sales Order'!A:H,8,FALSE)&gt;100,"High Freight","Low Freight"),"Not Specified")</f>
        <v>Low Freight</v>
      </c>
      <c r="T1812">
        <f t="shared" si="57"/>
        <v>775</v>
      </c>
    </row>
    <row r="1813" spans="1:20">
      <c r="A1813" s="1">
        <v>10946</v>
      </c>
      <c r="B1813" s="2">
        <v>24</v>
      </c>
      <c r="C1813" s="2">
        <v>4.5</v>
      </c>
      <c r="D1813" s="2">
        <v>25</v>
      </c>
      <c r="E1813" s="3">
        <v>0</v>
      </c>
      <c r="F1813" s="2" t="str">
        <f>IFERROR(VLOOKUP(VLOOKUP(A1813,'[1]Sales Order'!A:B,2,FALSE),[1]Customer!A:C,3,FALSE),"Not Specified")</f>
        <v>Fonteneau, Karl</v>
      </c>
      <c r="G1813" s="2" t="str">
        <f t="shared" si="56"/>
        <v>Fonteneau Karl</v>
      </c>
      <c r="H1813" s="8" t="str">
        <f>IFERROR(VLOOKUP(VLOOKUP(A1813,'[1]Sales Order'!A:C,3,FALSE),[1]Employee!A:E,5,FALSE)&amp;" "&amp;VLOOKUP(VLOOKUP(A1813,'[1]Sales Order'!A:C,3,FALSE),[1]Employee!A:C,3,FALSE)&amp;" "&amp;VLOOKUP(VLOOKUP(A1813,'[1]Sales Order'!A:C,3,FALSE),[1]Employee!A:B,2,FALSE),"Not Specified")</f>
        <v>Ms. Sara Davis</v>
      </c>
      <c r="I1813" t="str">
        <f>IFERROR(VLOOKUP(VLOOKUP(A1813,'[1]Sales Order'!A:C,3,FALSE),[1]Employee!A:J,10,FALSE),"Not Specified")</f>
        <v>WA</v>
      </c>
      <c r="J1813" t="str">
        <f>VLOOKUP(B1813,[1]Product!A:B,2,FALSE)</f>
        <v>Product QOGNU</v>
      </c>
      <c r="K1813" t="str">
        <f>VLOOKUP(VLOOKUP(B1813,[1]Product!A:D,4,FALSE),[1]Category!A:B,2,FALSE)</f>
        <v>Beverages</v>
      </c>
      <c r="L1813" s="10">
        <f>IFERROR(VLOOKUP(A1813,'[1]Sales Order'!A:D,4,FALSE),"")</f>
        <v>39519</v>
      </c>
      <c r="M1813" s="10">
        <f>IFERROR(VLOOKUP(A1813,'[1]Sales Order'!A:F,6,FALSE),"")</f>
        <v>39526</v>
      </c>
      <c r="N1813" t="str">
        <f>IFERROR(VLOOKUP(VLOOKUP(A1813,'[1]Sales Order'!A:G,7,FALSE),[1]Shipper!A:B,2,FALSE),"Not Specified")</f>
        <v>Shipper ETYNR</v>
      </c>
      <c r="O1813" t="str">
        <f>IFERROR(VLOOKUP(A1813,'[1]Sales Order'!A:I,9,FALSE),"Not Specified")</f>
        <v>Ship to 83-B</v>
      </c>
      <c r="P1813" t="str">
        <f>IFERROR(VLOOKUP(A1813,'[1]Sales Order'!A:N,14,FALSE),"Not Specified")</f>
        <v>Denmark</v>
      </c>
      <c r="Q1813" t="str">
        <f>VLOOKUP(VLOOKUP(B1813,[1]Product!A:C,3,FALSE),[1]Supplier!A:B,2,FALSE)</f>
        <v>Supplier UNAHG</v>
      </c>
      <c r="R1813" t="str">
        <f>VLOOKUP(VLOOKUP(B1813,[1]Product!A:C,3,FALSE),[1]Supplier!A:I,9,FALSE)</f>
        <v>Brazil</v>
      </c>
      <c r="S1813" t="str">
        <f>IFERROR(IF(VLOOKUP(A1813,'[1]Sales Order'!A:H,8,FALSE)&gt;100,"High Freight","Low Freight"),"Not Specified")</f>
        <v>Low Freight</v>
      </c>
      <c r="T1813">
        <f t="shared" si="57"/>
        <v>112.5</v>
      </c>
    </row>
    <row r="1814" spans="1:20">
      <c r="A1814" s="1">
        <v>10946</v>
      </c>
      <c r="B1814" s="2">
        <v>77</v>
      </c>
      <c r="C1814" s="2">
        <v>13</v>
      </c>
      <c r="D1814" s="2">
        <v>40</v>
      </c>
      <c r="E1814" s="3">
        <v>0</v>
      </c>
      <c r="F1814" s="2" t="str">
        <f>IFERROR(VLOOKUP(VLOOKUP(A1814,'[1]Sales Order'!A:B,2,FALSE),[1]Customer!A:C,3,FALSE),"Not Specified")</f>
        <v>Fonteneau, Karl</v>
      </c>
      <c r="G1814" s="2" t="str">
        <f t="shared" si="56"/>
        <v>Fonteneau Karl</v>
      </c>
      <c r="H1814" s="8" t="str">
        <f>IFERROR(VLOOKUP(VLOOKUP(A1814,'[1]Sales Order'!A:C,3,FALSE),[1]Employee!A:E,5,FALSE)&amp;" "&amp;VLOOKUP(VLOOKUP(A1814,'[1]Sales Order'!A:C,3,FALSE),[1]Employee!A:C,3,FALSE)&amp;" "&amp;VLOOKUP(VLOOKUP(A1814,'[1]Sales Order'!A:C,3,FALSE),[1]Employee!A:B,2,FALSE),"Not Specified")</f>
        <v>Ms. Sara Davis</v>
      </c>
      <c r="I1814" t="str">
        <f>IFERROR(VLOOKUP(VLOOKUP(A1814,'[1]Sales Order'!A:C,3,FALSE),[1]Employee!A:J,10,FALSE),"Not Specified")</f>
        <v>WA</v>
      </c>
      <c r="J1814" t="str">
        <f>VLOOKUP(B1814,[1]Product!A:B,2,FALSE)</f>
        <v>Product LUNZZ</v>
      </c>
      <c r="K1814" t="str">
        <f>VLOOKUP(VLOOKUP(B1814,[1]Product!A:D,4,FALSE),[1]Category!A:B,2,FALSE)</f>
        <v>Condiments</v>
      </c>
      <c r="L1814" s="10">
        <f>IFERROR(VLOOKUP(A1814,'[1]Sales Order'!A:D,4,FALSE),"")</f>
        <v>39519</v>
      </c>
      <c r="M1814" s="10">
        <f>IFERROR(VLOOKUP(A1814,'[1]Sales Order'!A:F,6,FALSE),"")</f>
        <v>39526</v>
      </c>
      <c r="N1814" t="str">
        <f>IFERROR(VLOOKUP(VLOOKUP(A1814,'[1]Sales Order'!A:G,7,FALSE),[1]Shipper!A:B,2,FALSE),"Not Specified")</f>
        <v>Shipper ETYNR</v>
      </c>
      <c r="O1814" t="str">
        <f>IFERROR(VLOOKUP(A1814,'[1]Sales Order'!A:I,9,FALSE),"Not Specified")</f>
        <v>Ship to 83-B</v>
      </c>
      <c r="P1814" t="str">
        <f>IFERROR(VLOOKUP(A1814,'[1]Sales Order'!A:N,14,FALSE),"Not Specified")</f>
        <v>Denmark</v>
      </c>
      <c r="Q1814" t="str">
        <f>VLOOKUP(VLOOKUP(B1814,[1]Product!A:C,3,FALSE),[1]Supplier!A:B,2,FALSE)</f>
        <v>Supplier SVIYA</v>
      </c>
      <c r="R1814" t="str">
        <f>VLOOKUP(VLOOKUP(B1814,[1]Product!A:C,3,FALSE),[1]Supplier!A:I,9,FALSE)</f>
        <v>Germany</v>
      </c>
      <c r="S1814" t="str">
        <f>IFERROR(IF(VLOOKUP(A1814,'[1]Sales Order'!A:H,8,FALSE)&gt;100,"High Freight","Low Freight"),"Not Specified")</f>
        <v>Low Freight</v>
      </c>
      <c r="T1814">
        <f t="shared" si="57"/>
        <v>520</v>
      </c>
    </row>
    <row r="1815" spans="1:20">
      <c r="A1815" s="1">
        <v>10947</v>
      </c>
      <c r="B1815" s="2">
        <v>59</v>
      </c>
      <c r="C1815" s="2">
        <v>55</v>
      </c>
      <c r="D1815" s="2">
        <v>4</v>
      </c>
      <c r="E1815" s="3">
        <v>0</v>
      </c>
      <c r="F1815" s="2" t="str">
        <f>IFERROR(VLOOKUP(VLOOKUP(A1815,'[1]Sales Order'!A:B,2,FALSE),[1]Customer!A:C,3,FALSE),"Not Specified")</f>
        <v>Jaffe, David</v>
      </c>
      <c r="G1815" s="2" t="str">
        <f t="shared" si="56"/>
        <v>Jaffe David</v>
      </c>
      <c r="H1815" s="8" t="str">
        <f>IFERROR(VLOOKUP(VLOOKUP(A1815,'[1]Sales Order'!A:C,3,FALSE),[1]Employee!A:E,5,FALSE)&amp;" "&amp;VLOOKUP(VLOOKUP(A1815,'[1]Sales Order'!A:C,3,FALSE),[1]Employee!A:C,3,FALSE)&amp;" "&amp;VLOOKUP(VLOOKUP(A1815,'[1]Sales Order'!A:C,3,FALSE),[1]Employee!A:B,2,FALSE),"Not Specified")</f>
        <v>Ms. Judy Lew</v>
      </c>
      <c r="I1815" t="str">
        <f>IFERROR(VLOOKUP(VLOOKUP(A1815,'[1]Sales Order'!A:C,3,FALSE),[1]Employee!A:J,10,FALSE),"Not Specified")</f>
        <v>WA</v>
      </c>
      <c r="J1815" t="str">
        <f>VLOOKUP(B1815,[1]Product!A:B,2,FALSE)</f>
        <v>Product UKXRI</v>
      </c>
      <c r="K1815" t="str">
        <f>VLOOKUP(VLOOKUP(B1815,[1]Product!A:D,4,FALSE),[1]Category!A:B,2,FALSE)</f>
        <v>Dairy Product</v>
      </c>
      <c r="L1815" s="10">
        <f>IFERROR(VLOOKUP(A1815,'[1]Sales Order'!A:D,4,FALSE),"")</f>
        <v>39520</v>
      </c>
      <c r="M1815" s="10">
        <f>IFERROR(VLOOKUP(A1815,'[1]Sales Order'!A:F,6,FALSE),"")</f>
        <v>39523</v>
      </c>
      <c r="N1815" t="str">
        <f>IFERROR(VLOOKUP(VLOOKUP(A1815,'[1]Sales Order'!A:G,7,FALSE),[1]Shipper!A:B,2,FALSE),"Not Specified")</f>
        <v>Shipper ETYNR</v>
      </c>
      <c r="O1815" t="str">
        <f>IFERROR(VLOOKUP(A1815,'[1]Sales Order'!A:I,9,FALSE),"Not Specified")</f>
        <v>Destination NZASL</v>
      </c>
      <c r="P1815" t="str">
        <f>IFERROR(VLOOKUP(A1815,'[1]Sales Order'!A:N,14,FALSE),"Not Specified")</f>
        <v>UK</v>
      </c>
      <c r="Q1815" t="str">
        <f>VLOOKUP(VLOOKUP(B1815,[1]Product!A:C,3,FALSE),[1]Supplier!A:B,2,FALSE)</f>
        <v>Supplier OAVQT</v>
      </c>
      <c r="R1815" t="str">
        <f>VLOOKUP(VLOOKUP(B1815,[1]Product!A:C,3,FALSE),[1]Supplier!A:I,9,FALSE)</f>
        <v>France</v>
      </c>
      <c r="S1815" t="str">
        <f>IFERROR(IF(VLOOKUP(A1815,'[1]Sales Order'!A:H,8,FALSE)&gt;100,"High Freight","Low Freight"),"Not Specified")</f>
        <v>Low Freight</v>
      </c>
      <c r="T1815">
        <f t="shared" si="57"/>
        <v>220</v>
      </c>
    </row>
    <row r="1816" spans="1:20">
      <c r="A1816" s="1">
        <v>10948</v>
      </c>
      <c r="B1816" s="2">
        <v>50</v>
      </c>
      <c r="C1816" s="2">
        <v>16.25</v>
      </c>
      <c r="D1816" s="2">
        <v>9</v>
      </c>
      <c r="E1816" s="3">
        <v>0</v>
      </c>
      <c r="F1816" s="2" t="str">
        <f>IFERROR(VLOOKUP(VLOOKUP(A1816,'[1]Sales Order'!A:B,2,FALSE),[1]Customer!A:C,3,FALSE),"Not Specified")</f>
        <v>Shabalin, Rostislav</v>
      </c>
      <c r="G1816" s="2" t="str">
        <f t="shared" si="56"/>
        <v>Shabalin Rostislav</v>
      </c>
      <c r="H1816" s="8" t="str">
        <f>IFERROR(VLOOKUP(VLOOKUP(A1816,'[1]Sales Order'!A:C,3,FALSE),[1]Employee!A:E,5,FALSE)&amp;" "&amp;VLOOKUP(VLOOKUP(A1816,'[1]Sales Order'!A:C,3,FALSE),[1]Employee!A:C,3,FALSE)&amp;" "&amp;VLOOKUP(VLOOKUP(A1816,'[1]Sales Order'!A:C,3,FALSE),[1]Employee!A:B,2,FALSE),"Not Specified")</f>
        <v>Ms. Judy Lew</v>
      </c>
      <c r="I1816" t="str">
        <f>IFERROR(VLOOKUP(VLOOKUP(A1816,'[1]Sales Order'!A:C,3,FALSE),[1]Employee!A:J,10,FALSE),"Not Specified")</f>
        <v>WA</v>
      </c>
      <c r="J1816" t="str">
        <f>VLOOKUP(B1816,[1]Product!A:B,2,FALSE)</f>
        <v>Product BIUDV</v>
      </c>
      <c r="K1816" t="str">
        <f>VLOOKUP(VLOOKUP(B1816,[1]Product!A:D,4,FALSE),[1]Category!A:B,2,FALSE)</f>
        <v>Confections</v>
      </c>
      <c r="L1816" s="10">
        <f>IFERROR(VLOOKUP(A1816,'[1]Sales Order'!A:D,4,FALSE),"")</f>
        <v>39520</v>
      </c>
      <c r="M1816" s="10">
        <f>IFERROR(VLOOKUP(A1816,'[1]Sales Order'!A:F,6,FALSE),"")</f>
        <v>39526</v>
      </c>
      <c r="N1816" t="str">
        <f>IFERROR(VLOOKUP(VLOOKUP(A1816,'[1]Sales Order'!A:G,7,FALSE),[1]Shipper!A:B,2,FALSE),"Not Specified")</f>
        <v>Shipper ZHISN</v>
      </c>
      <c r="O1816" t="str">
        <f>IFERROR(VLOOKUP(A1816,'[1]Sales Order'!A:I,9,FALSE),"Not Specified")</f>
        <v>Destination GGQIR</v>
      </c>
      <c r="P1816" t="str">
        <f>IFERROR(VLOOKUP(A1816,'[1]Sales Order'!A:N,14,FALSE),"Not Specified")</f>
        <v>Spain</v>
      </c>
      <c r="Q1816" t="str">
        <f>VLOOKUP(VLOOKUP(B1816,[1]Product!A:C,3,FALSE),[1]Supplier!A:B,2,FALSE)</f>
        <v>Supplier ELCRN</v>
      </c>
      <c r="R1816" t="str">
        <f>VLOOKUP(VLOOKUP(B1816,[1]Product!A:C,3,FALSE),[1]Supplier!A:I,9,FALSE)</f>
        <v>Finland</v>
      </c>
      <c r="S1816" t="str">
        <f>IFERROR(IF(VLOOKUP(A1816,'[1]Sales Order'!A:H,8,FALSE)&gt;100,"High Freight","Low Freight"),"Not Specified")</f>
        <v>Low Freight</v>
      </c>
      <c r="T1816">
        <f t="shared" si="57"/>
        <v>146.25</v>
      </c>
    </row>
    <row r="1817" spans="1:20">
      <c r="A1817" s="1">
        <v>10948</v>
      </c>
      <c r="B1817" s="2">
        <v>51</v>
      </c>
      <c r="C1817" s="2">
        <v>53</v>
      </c>
      <c r="D1817" s="2">
        <v>40</v>
      </c>
      <c r="E1817" s="3">
        <v>0</v>
      </c>
      <c r="F1817" s="2" t="str">
        <f>IFERROR(VLOOKUP(VLOOKUP(A1817,'[1]Sales Order'!A:B,2,FALSE),[1]Customer!A:C,3,FALSE),"Not Specified")</f>
        <v>Shabalin, Rostislav</v>
      </c>
      <c r="G1817" s="2" t="str">
        <f t="shared" si="56"/>
        <v>Shabalin Rostislav</v>
      </c>
      <c r="H1817" s="8" t="str">
        <f>IFERROR(VLOOKUP(VLOOKUP(A1817,'[1]Sales Order'!A:C,3,FALSE),[1]Employee!A:E,5,FALSE)&amp;" "&amp;VLOOKUP(VLOOKUP(A1817,'[1]Sales Order'!A:C,3,FALSE),[1]Employee!A:C,3,FALSE)&amp;" "&amp;VLOOKUP(VLOOKUP(A1817,'[1]Sales Order'!A:C,3,FALSE),[1]Employee!A:B,2,FALSE),"Not Specified")</f>
        <v>Ms. Judy Lew</v>
      </c>
      <c r="I1817" t="str">
        <f>IFERROR(VLOOKUP(VLOOKUP(A1817,'[1]Sales Order'!A:C,3,FALSE),[1]Employee!A:J,10,FALSE),"Not Specified")</f>
        <v>WA</v>
      </c>
      <c r="J1817" t="str">
        <f>VLOOKUP(B1817,[1]Product!A:B,2,FALSE)</f>
        <v>Product APITJ</v>
      </c>
      <c r="K1817" t="str">
        <f>VLOOKUP(VLOOKUP(B1817,[1]Product!A:D,4,FALSE),[1]Category!A:B,2,FALSE)</f>
        <v>Produce</v>
      </c>
      <c r="L1817" s="10">
        <f>IFERROR(VLOOKUP(A1817,'[1]Sales Order'!A:D,4,FALSE),"")</f>
        <v>39520</v>
      </c>
      <c r="M1817" s="10">
        <f>IFERROR(VLOOKUP(A1817,'[1]Sales Order'!A:F,6,FALSE),"")</f>
        <v>39526</v>
      </c>
      <c r="N1817" t="str">
        <f>IFERROR(VLOOKUP(VLOOKUP(A1817,'[1]Sales Order'!A:G,7,FALSE),[1]Shipper!A:B,2,FALSE),"Not Specified")</f>
        <v>Shipper ZHISN</v>
      </c>
      <c r="O1817" t="str">
        <f>IFERROR(VLOOKUP(A1817,'[1]Sales Order'!A:I,9,FALSE),"Not Specified")</f>
        <v>Destination GGQIR</v>
      </c>
      <c r="P1817" t="str">
        <f>IFERROR(VLOOKUP(A1817,'[1]Sales Order'!A:N,14,FALSE),"Not Specified")</f>
        <v>Spain</v>
      </c>
      <c r="Q1817" t="str">
        <f>VLOOKUP(VLOOKUP(B1817,[1]Product!A:C,3,FALSE),[1]Supplier!A:B,2,FALSE)</f>
        <v>Supplier JNNES</v>
      </c>
      <c r="R1817" t="str">
        <f>VLOOKUP(VLOOKUP(B1817,[1]Product!A:C,3,FALSE),[1]Supplier!A:I,9,FALSE)</f>
        <v>Australia</v>
      </c>
      <c r="S1817" t="str">
        <f>IFERROR(IF(VLOOKUP(A1817,'[1]Sales Order'!A:H,8,FALSE)&gt;100,"High Freight","Low Freight"),"Not Specified")</f>
        <v>Low Freight</v>
      </c>
      <c r="T1817">
        <f t="shared" si="57"/>
        <v>2120</v>
      </c>
    </row>
    <row r="1818" spans="1:20">
      <c r="A1818" s="1">
        <v>10948</v>
      </c>
      <c r="B1818" s="2">
        <v>55</v>
      </c>
      <c r="C1818" s="2">
        <v>24</v>
      </c>
      <c r="D1818" s="2">
        <v>4</v>
      </c>
      <c r="E1818" s="3">
        <v>0</v>
      </c>
      <c r="F1818" s="2" t="str">
        <f>IFERROR(VLOOKUP(VLOOKUP(A1818,'[1]Sales Order'!A:B,2,FALSE),[1]Customer!A:C,3,FALSE),"Not Specified")</f>
        <v>Shabalin, Rostislav</v>
      </c>
      <c r="G1818" s="2" t="str">
        <f t="shared" si="56"/>
        <v>Shabalin Rostislav</v>
      </c>
      <c r="H1818" s="8" t="str">
        <f>IFERROR(VLOOKUP(VLOOKUP(A1818,'[1]Sales Order'!A:C,3,FALSE),[1]Employee!A:E,5,FALSE)&amp;" "&amp;VLOOKUP(VLOOKUP(A1818,'[1]Sales Order'!A:C,3,FALSE),[1]Employee!A:C,3,FALSE)&amp;" "&amp;VLOOKUP(VLOOKUP(A1818,'[1]Sales Order'!A:C,3,FALSE),[1]Employee!A:B,2,FALSE),"Not Specified")</f>
        <v>Ms. Judy Lew</v>
      </c>
      <c r="I1818" t="str">
        <f>IFERROR(VLOOKUP(VLOOKUP(A1818,'[1]Sales Order'!A:C,3,FALSE),[1]Employee!A:J,10,FALSE),"Not Specified")</f>
        <v>WA</v>
      </c>
      <c r="J1818" t="str">
        <f>VLOOKUP(B1818,[1]Product!A:B,2,FALSE)</f>
        <v>Product YYWRT</v>
      </c>
      <c r="K1818" t="str">
        <f>VLOOKUP(VLOOKUP(B1818,[1]Product!A:D,4,FALSE),[1]Category!A:B,2,FALSE)</f>
        <v>Meat/Poultry</v>
      </c>
      <c r="L1818" s="10">
        <f>IFERROR(VLOOKUP(A1818,'[1]Sales Order'!A:D,4,FALSE),"")</f>
        <v>39520</v>
      </c>
      <c r="M1818" s="10">
        <f>IFERROR(VLOOKUP(A1818,'[1]Sales Order'!A:F,6,FALSE),"")</f>
        <v>39526</v>
      </c>
      <c r="N1818" t="str">
        <f>IFERROR(VLOOKUP(VLOOKUP(A1818,'[1]Sales Order'!A:G,7,FALSE),[1]Shipper!A:B,2,FALSE),"Not Specified")</f>
        <v>Shipper ZHISN</v>
      </c>
      <c r="O1818" t="str">
        <f>IFERROR(VLOOKUP(A1818,'[1]Sales Order'!A:I,9,FALSE),"Not Specified")</f>
        <v>Destination GGQIR</v>
      </c>
      <c r="P1818" t="str">
        <f>IFERROR(VLOOKUP(A1818,'[1]Sales Order'!A:N,14,FALSE),"Not Specified")</f>
        <v>Spain</v>
      </c>
      <c r="Q1818" t="str">
        <f>VLOOKUP(VLOOKUP(B1818,[1]Product!A:C,3,FALSE),[1]Supplier!A:B,2,FALSE)</f>
        <v>Supplier ERVYZ</v>
      </c>
      <c r="R1818" t="str">
        <f>VLOOKUP(VLOOKUP(B1818,[1]Product!A:C,3,FALSE),[1]Supplier!A:I,9,FALSE)</f>
        <v>Canada</v>
      </c>
      <c r="S1818" t="str">
        <f>IFERROR(IF(VLOOKUP(A1818,'[1]Sales Order'!A:H,8,FALSE)&gt;100,"High Freight","Low Freight"),"Not Specified")</f>
        <v>Low Freight</v>
      </c>
      <c r="T1818">
        <f t="shared" si="57"/>
        <v>96</v>
      </c>
    </row>
    <row r="1819" spans="1:20">
      <c r="A1819" s="1">
        <v>10949</v>
      </c>
      <c r="B1819" s="2">
        <v>6</v>
      </c>
      <c r="C1819" s="2">
        <v>25</v>
      </c>
      <c r="D1819" s="2">
        <v>12</v>
      </c>
      <c r="E1819" s="3">
        <v>0</v>
      </c>
      <c r="F1819" s="2" t="str">
        <f>IFERROR(VLOOKUP(VLOOKUP(A1819,'[1]Sales Order'!A:B,2,FALSE),[1]Customer!A:C,3,FALSE),"Not Specified")</f>
        <v>Bassols, Pilar Colome</v>
      </c>
      <c r="G1819" s="2" t="str">
        <f t="shared" si="56"/>
        <v>Bassols Pilar Colome</v>
      </c>
      <c r="H1819" s="8" t="str">
        <f>IFERROR(VLOOKUP(VLOOKUP(A1819,'[1]Sales Order'!A:C,3,FALSE),[1]Employee!A:E,5,FALSE)&amp;" "&amp;VLOOKUP(VLOOKUP(A1819,'[1]Sales Order'!A:C,3,FALSE),[1]Employee!A:C,3,FALSE)&amp;" "&amp;VLOOKUP(VLOOKUP(A1819,'[1]Sales Order'!A:C,3,FALSE),[1]Employee!A:B,2,FALSE),"Not Specified")</f>
        <v>Dr. Don Funk</v>
      </c>
      <c r="I1819" t="str">
        <f>IFERROR(VLOOKUP(VLOOKUP(A1819,'[1]Sales Order'!A:C,3,FALSE),[1]Employee!A:J,10,FALSE),"Not Specified")</f>
        <v>WA</v>
      </c>
      <c r="J1819" t="str">
        <f>VLOOKUP(B1819,[1]Product!A:B,2,FALSE)</f>
        <v>Product VAIIV</v>
      </c>
      <c r="K1819" t="str">
        <f>VLOOKUP(VLOOKUP(B1819,[1]Product!A:D,4,FALSE),[1]Category!A:B,2,FALSE)</f>
        <v>Condiments</v>
      </c>
      <c r="L1819" s="10">
        <f>IFERROR(VLOOKUP(A1819,'[1]Sales Order'!A:D,4,FALSE),"")</f>
        <v>39520</v>
      </c>
      <c r="M1819" s="10">
        <f>IFERROR(VLOOKUP(A1819,'[1]Sales Order'!A:F,6,FALSE),"")</f>
        <v>39524</v>
      </c>
      <c r="N1819" t="str">
        <f>IFERROR(VLOOKUP(VLOOKUP(A1819,'[1]Sales Order'!A:G,7,FALSE),[1]Shipper!A:B,2,FALSE),"Not Specified")</f>
        <v>Shipper ZHISN</v>
      </c>
      <c r="O1819" t="str">
        <f>IFERROR(VLOOKUP(A1819,'[1]Sales Order'!A:I,9,FALSE),"Not Specified")</f>
        <v>Destination OLSSJ</v>
      </c>
      <c r="P1819" t="str">
        <f>IFERROR(VLOOKUP(A1819,'[1]Sales Order'!A:N,14,FALSE),"Not Specified")</f>
        <v>Canada</v>
      </c>
      <c r="Q1819" t="str">
        <f>VLOOKUP(VLOOKUP(B1819,[1]Product!A:C,3,FALSE),[1]Supplier!A:B,2,FALSE)</f>
        <v>Supplier STUAZ</v>
      </c>
      <c r="R1819" t="str">
        <f>VLOOKUP(VLOOKUP(B1819,[1]Product!A:C,3,FALSE),[1]Supplier!A:I,9,FALSE)</f>
        <v>USA</v>
      </c>
      <c r="S1819" t="str">
        <f>IFERROR(IF(VLOOKUP(A1819,'[1]Sales Order'!A:H,8,FALSE)&gt;100,"High Freight","Low Freight"),"Not Specified")</f>
        <v>Low Freight</v>
      </c>
      <c r="T1819">
        <f t="shared" si="57"/>
        <v>300</v>
      </c>
    </row>
    <row r="1820" spans="1:20">
      <c r="A1820" s="1">
        <v>10949</v>
      </c>
      <c r="B1820" s="2">
        <v>10</v>
      </c>
      <c r="C1820" s="2">
        <v>31</v>
      </c>
      <c r="D1820" s="2">
        <v>30</v>
      </c>
      <c r="E1820" s="3">
        <v>0</v>
      </c>
      <c r="F1820" s="2" t="str">
        <f>IFERROR(VLOOKUP(VLOOKUP(A1820,'[1]Sales Order'!A:B,2,FALSE),[1]Customer!A:C,3,FALSE),"Not Specified")</f>
        <v>Bassols, Pilar Colome</v>
      </c>
      <c r="G1820" s="2" t="str">
        <f t="shared" si="56"/>
        <v>Bassols Pilar Colome</v>
      </c>
      <c r="H1820" s="8" t="str">
        <f>IFERROR(VLOOKUP(VLOOKUP(A1820,'[1]Sales Order'!A:C,3,FALSE),[1]Employee!A:E,5,FALSE)&amp;" "&amp;VLOOKUP(VLOOKUP(A1820,'[1]Sales Order'!A:C,3,FALSE),[1]Employee!A:C,3,FALSE)&amp;" "&amp;VLOOKUP(VLOOKUP(A1820,'[1]Sales Order'!A:C,3,FALSE),[1]Employee!A:B,2,FALSE),"Not Specified")</f>
        <v>Dr. Don Funk</v>
      </c>
      <c r="I1820" t="str">
        <f>IFERROR(VLOOKUP(VLOOKUP(A1820,'[1]Sales Order'!A:C,3,FALSE),[1]Employee!A:J,10,FALSE),"Not Specified")</f>
        <v>WA</v>
      </c>
      <c r="J1820" t="str">
        <f>VLOOKUP(B1820,[1]Product!A:B,2,FALSE)</f>
        <v>Product YHXGE</v>
      </c>
      <c r="K1820" t="str">
        <f>VLOOKUP(VLOOKUP(B1820,[1]Product!A:D,4,FALSE),[1]Category!A:B,2,FALSE)</f>
        <v>Seafood</v>
      </c>
      <c r="L1820" s="10">
        <f>IFERROR(VLOOKUP(A1820,'[1]Sales Order'!A:D,4,FALSE),"")</f>
        <v>39520</v>
      </c>
      <c r="M1820" s="10">
        <f>IFERROR(VLOOKUP(A1820,'[1]Sales Order'!A:F,6,FALSE),"")</f>
        <v>39524</v>
      </c>
      <c r="N1820" t="str">
        <f>IFERROR(VLOOKUP(VLOOKUP(A1820,'[1]Sales Order'!A:G,7,FALSE),[1]Shipper!A:B,2,FALSE),"Not Specified")</f>
        <v>Shipper ZHISN</v>
      </c>
      <c r="O1820" t="str">
        <f>IFERROR(VLOOKUP(A1820,'[1]Sales Order'!A:I,9,FALSE),"Not Specified")</f>
        <v>Destination OLSSJ</v>
      </c>
      <c r="P1820" t="str">
        <f>IFERROR(VLOOKUP(A1820,'[1]Sales Order'!A:N,14,FALSE),"Not Specified")</f>
        <v>Canada</v>
      </c>
      <c r="Q1820" t="str">
        <f>VLOOKUP(VLOOKUP(B1820,[1]Product!A:C,3,FALSE),[1]Supplier!A:B,2,FALSE)</f>
        <v>Supplier QOVFD</v>
      </c>
      <c r="R1820" t="str">
        <f>VLOOKUP(VLOOKUP(B1820,[1]Product!A:C,3,FALSE),[1]Supplier!A:I,9,FALSE)</f>
        <v>Japan</v>
      </c>
      <c r="S1820" t="str">
        <f>IFERROR(IF(VLOOKUP(A1820,'[1]Sales Order'!A:H,8,FALSE)&gt;100,"High Freight","Low Freight"),"Not Specified")</f>
        <v>Low Freight</v>
      </c>
      <c r="T1820">
        <f t="shared" si="57"/>
        <v>930</v>
      </c>
    </row>
    <row r="1821" spans="1:20">
      <c r="A1821" s="1">
        <v>10949</v>
      </c>
      <c r="B1821" s="2">
        <v>17</v>
      </c>
      <c r="C1821" s="2">
        <v>39</v>
      </c>
      <c r="D1821" s="2">
        <v>6</v>
      </c>
      <c r="E1821" s="3">
        <v>0</v>
      </c>
      <c r="F1821" s="2" t="str">
        <f>IFERROR(VLOOKUP(VLOOKUP(A1821,'[1]Sales Order'!A:B,2,FALSE),[1]Customer!A:C,3,FALSE),"Not Specified")</f>
        <v>Bassols, Pilar Colome</v>
      </c>
      <c r="G1821" s="2" t="str">
        <f t="shared" si="56"/>
        <v>Bassols Pilar Colome</v>
      </c>
      <c r="H1821" s="8" t="str">
        <f>IFERROR(VLOOKUP(VLOOKUP(A1821,'[1]Sales Order'!A:C,3,FALSE),[1]Employee!A:E,5,FALSE)&amp;" "&amp;VLOOKUP(VLOOKUP(A1821,'[1]Sales Order'!A:C,3,FALSE),[1]Employee!A:C,3,FALSE)&amp;" "&amp;VLOOKUP(VLOOKUP(A1821,'[1]Sales Order'!A:C,3,FALSE),[1]Employee!A:B,2,FALSE),"Not Specified")</f>
        <v>Dr. Don Funk</v>
      </c>
      <c r="I1821" t="str">
        <f>IFERROR(VLOOKUP(VLOOKUP(A1821,'[1]Sales Order'!A:C,3,FALSE),[1]Employee!A:J,10,FALSE),"Not Specified")</f>
        <v>WA</v>
      </c>
      <c r="J1821" t="str">
        <f>VLOOKUP(B1821,[1]Product!A:B,2,FALSE)</f>
        <v>Product BLCAX</v>
      </c>
      <c r="K1821" t="str">
        <f>VLOOKUP(VLOOKUP(B1821,[1]Product!A:D,4,FALSE),[1]Category!A:B,2,FALSE)</f>
        <v>Meat/Poultry</v>
      </c>
      <c r="L1821" s="10">
        <f>IFERROR(VLOOKUP(A1821,'[1]Sales Order'!A:D,4,FALSE),"")</f>
        <v>39520</v>
      </c>
      <c r="M1821" s="10">
        <f>IFERROR(VLOOKUP(A1821,'[1]Sales Order'!A:F,6,FALSE),"")</f>
        <v>39524</v>
      </c>
      <c r="N1821" t="str">
        <f>IFERROR(VLOOKUP(VLOOKUP(A1821,'[1]Sales Order'!A:G,7,FALSE),[1]Shipper!A:B,2,FALSE),"Not Specified")</f>
        <v>Shipper ZHISN</v>
      </c>
      <c r="O1821" t="str">
        <f>IFERROR(VLOOKUP(A1821,'[1]Sales Order'!A:I,9,FALSE),"Not Specified")</f>
        <v>Destination OLSSJ</v>
      </c>
      <c r="P1821" t="str">
        <f>IFERROR(VLOOKUP(A1821,'[1]Sales Order'!A:N,14,FALSE),"Not Specified")</f>
        <v>Canada</v>
      </c>
      <c r="Q1821" t="str">
        <f>VLOOKUP(VLOOKUP(B1821,[1]Product!A:C,3,FALSE),[1]Supplier!A:B,2,FALSE)</f>
        <v>Supplier GQRCV</v>
      </c>
      <c r="R1821" t="str">
        <f>VLOOKUP(VLOOKUP(B1821,[1]Product!A:C,3,FALSE),[1]Supplier!A:I,9,FALSE)</f>
        <v>Australia</v>
      </c>
      <c r="S1821" t="str">
        <f>IFERROR(IF(VLOOKUP(A1821,'[1]Sales Order'!A:H,8,FALSE)&gt;100,"High Freight","Low Freight"),"Not Specified")</f>
        <v>Low Freight</v>
      </c>
      <c r="T1821">
        <f t="shared" si="57"/>
        <v>234</v>
      </c>
    </row>
    <row r="1822" spans="1:20">
      <c r="A1822" s="1">
        <v>10949</v>
      </c>
      <c r="B1822" s="2">
        <v>62</v>
      </c>
      <c r="C1822" s="2">
        <v>49.3</v>
      </c>
      <c r="D1822" s="2">
        <v>60</v>
      </c>
      <c r="E1822" s="3">
        <v>0</v>
      </c>
      <c r="F1822" s="2" t="str">
        <f>IFERROR(VLOOKUP(VLOOKUP(A1822,'[1]Sales Order'!A:B,2,FALSE),[1]Customer!A:C,3,FALSE),"Not Specified")</f>
        <v>Bassols, Pilar Colome</v>
      </c>
      <c r="G1822" s="2" t="str">
        <f t="shared" si="56"/>
        <v>Bassols Pilar Colome</v>
      </c>
      <c r="H1822" s="8" t="str">
        <f>IFERROR(VLOOKUP(VLOOKUP(A1822,'[1]Sales Order'!A:C,3,FALSE),[1]Employee!A:E,5,FALSE)&amp;" "&amp;VLOOKUP(VLOOKUP(A1822,'[1]Sales Order'!A:C,3,FALSE),[1]Employee!A:C,3,FALSE)&amp;" "&amp;VLOOKUP(VLOOKUP(A1822,'[1]Sales Order'!A:C,3,FALSE),[1]Employee!A:B,2,FALSE),"Not Specified")</f>
        <v>Dr. Don Funk</v>
      </c>
      <c r="I1822" t="str">
        <f>IFERROR(VLOOKUP(VLOOKUP(A1822,'[1]Sales Order'!A:C,3,FALSE),[1]Employee!A:J,10,FALSE),"Not Specified")</f>
        <v>WA</v>
      </c>
      <c r="J1822" t="str">
        <f>VLOOKUP(B1822,[1]Product!A:B,2,FALSE)</f>
        <v>Product WUXYK</v>
      </c>
      <c r="K1822" t="str">
        <f>VLOOKUP(VLOOKUP(B1822,[1]Product!A:D,4,FALSE),[1]Category!A:B,2,FALSE)</f>
        <v>Confections</v>
      </c>
      <c r="L1822" s="10">
        <f>IFERROR(VLOOKUP(A1822,'[1]Sales Order'!A:D,4,FALSE),"")</f>
        <v>39520</v>
      </c>
      <c r="M1822" s="10">
        <f>IFERROR(VLOOKUP(A1822,'[1]Sales Order'!A:F,6,FALSE),"")</f>
        <v>39524</v>
      </c>
      <c r="N1822" t="str">
        <f>IFERROR(VLOOKUP(VLOOKUP(A1822,'[1]Sales Order'!A:G,7,FALSE),[1]Shipper!A:B,2,FALSE),"Not Specified")</f>
        <v>Shipper ZHISN</v>
      </c>
      <c r="O1822" t="str">
        <f>IFERROR(VLOOKUP(A1822,'[1]Sales Order'!A:I,9,FALSE),"Not Specified")</f>
        <v>Destination OLSSJ</v>
      </c>
      <c r="P1822" t="str">
        <f>IFERROR(VLOOKUP(A1822,'[1]Sales Order'!A:N,14,FALSE),"Not Specified")</f>
        <v>Canada</v>
      </c>
      <c r="Q1822" t="str">
        <f>VLOOKUP(VLOOKUP(B1822,[1]Product!A:C,3,FALSE),[1]Supplier!A:B,2,FALSE)</f>
        <v>Supplier OGLRK</v>
      </c>
      <c r="R1822" t="str">
        <f>VLOOKUP(VLOOKUP(B1822,[1]Product!A:C,3,FALSE),[1]Supplier!A:I,9,FALSE)</f>
        <v>Canada</v>
      </c>
      <c r="S1822" t="str">
        <f>IFERROR(IF(VLOOKUP(A1822,'[1]Sales Order'!A:H,8,FALSE)&gt;100,"High Freight","Low Freight"),"Not Specified")</f>
        <v>Low Freight</v>
      </c>
      <c r="T1822">
        <f t="shared" si="57"/>
        <v>2958</v>
      </c>
    </row>
    <row r="1823" spans="1:20">
      <c r="A1823" s="1">
        <v>10950</v>
      </c>
      <c r="B1823" s="2">
        <v>4</v>
      </c>
      <c r="C1823" s="2">
        <v>22</v>
      </c>
      <c r="D1823" s="2">
        <v>5</v>
      </c>
      <c r="E1823" s="3">
        <v>0</v>
      </c>
      <c r="F1823" s="2" t="str">
        <f>IFERROR(VLOOKUP(VLOOKUP(A1823,'[1]Sales Order'!A:B,2,FALSE),[1]Customer!A:C,3,FALSE),"Not Specified")</f>
        <v>Duerr, Bernard</v>
      </c>
      <c r="G1823" s="2" t="str">
        <f t="shared" si="56"/>
        <v>Duerr Bernard</v>
      </c>
      <c r="H1823" s="8" t="str">
        <f>IFERROR(VLOOKUP(VLOOKUP(A1823,'[1]Sales Order'!A:C,3,FALSE),[1]Employee!A:E,5,FALSE)&amp;" "&amp;VLOOKUP(VLOOKUP(A1823,'[1]Sales Order'!A:C,3,FALSE),[1]Employee!A:C,3,FALSE)&amp;" "&amp;VLOOKUP(VLOOKUP(A1823,'[1]Sales Order'!A:C,3,FALSE),[1]Employee!A:B,2,FALSE),"Not Specified")</f>
        <v>Ms. Sara Davis</v>
      </c>
      <c r="I1823" t="str">
        <f>IFERROR(VLOOKUP(VLOOKUP(A1823,'[1]Sales Order'!A:C,3,FALSE),[1]Employee!A:J,10,FALSE),"Not Specified")</f>
        <v>WA</v>
      </c>
      <c r="J1823" t="str">
        <f>VLOOKUP(B1823,[1]Product!A:B,2,FALSE)</f>
        <v>Product KSBRM</v>
      </c>
      <c r="K1823" t="str">
        <f>VLOOKUP(VLOOKUP(B1823,[1]Product!A:D,4,FALSE),[1]Category!A:B,2,FALSE)</f>
        <v>Condiments</v>
      </c>
      <c r="L1823" s="10">
        <f>IFERROR(VLOOKUP(A1823,'[1]Sales Order'!A:D,4,FALSE),"")</f>
        <v>39523</v>
      </c>
      <c r="M1823" s="10">
        <f>IFERROR(VLOOKUP(A1823,'[1]Sales Order'!A:F,6,FALSE),"")</f>
        <v>39530</v>
      </c>
      <c r="N1823" t="str">
        <f>IFERROR(VLOOKUP(VLOOKUP(A1823,'[1]Sales Order'!A:G,7,FALSE),[1]Shipper!A:B,2,FALSE),"Not Specified")</f>
        <v>Shipper ETYNR</v>
      </c>
      <c r="O1823" t="str">
        <f>IFERROR(VLOOKUP(A1823,'[1]Sales Order'!A:I,9,FALSE),"Not Specified")</f>
        <v>Ship to 49-B</v>
      </c>
      <c r="P1823" t="str">
        <f>IFERROR(VLOOKUP(A1823,'[1]Sales Order'!A:N,14,FALSE),"Not Specified")</f>
        <v>Italy</v>
      </c>
      <c r="Q1823" t="str">
        <f>VLOOKUP(VLOOKUP(B1823,[1]Product!A:C,3,FALSE),[1]Supplier!A:B,2,FALSE)</f>
        <v>Supplier VHQZD</v>
      </c>
      <c r="R1823" t="str">
        <f>VLOOKUP(VLOOKUP(B1823,[1]Product!A:C,3,FALSE),[1]Supplier!A:I,9,FALSE)</f>
        <v>USA</v>
      </c>
      <c r="S1823" t="str">
        <f>IFERROR(IF(VLOOKUP(A1823,'[1]Sales Order'!A:H,8,FALSE)&gt;100,"High Freight","Low Freight"),"Not Specified")</f>
        <v>Low Freight</v>
      </c>
      <c r="T1823">
        <f t="shared" si="57"/>
        <v>110</v>
      </c>
    </row>
    <row r="1824" spans="1:20">
      <c r="A1824" s="1">
        <v>10951</v>
      </c>
      <c r="B1824" s="2">
        <v>33</v>
      </c>
      <c r="C1824" s="2">
        <v>2.5</v>
      </c>
      <c r="D1824" s="2">
        <v>15</v>
      </c>
      <c r="E1824" s="3">
        <v>0.05</v>
      </c>
      <c r="F1824" s="2" t="str">
        <f>IFERROR(VLOOKUP(VLOOKUP(A1824,'[1]Sales Order'!A:B,2,FALSE),[1]Customer!A:C,3,FALSE),"Not Specified")</f>
        <v>Myrcha, Jacek</v>
      </c>
      <c r="G1824" s="2" t="str">
        <f t="shared" si="56"/>
        <v>Myrcha Jacek</v>
      </c>
      <c r="H1824" s="8" t="str">
        <f>IFERROR(VLOOKUP(VLOOKUP(A1824,'[1]Sales Order'!A:C,3,FALSE),[1]Employee!A:E,5,FALSE)&amp;" "&amp;VLOOKUP(VLOOKUP(A1824,'[1]Sales Order'!A:C,3,FALSE),[1]Employee!A:C,3,FALSE)&amp;" "&amp;VLOOKUP(VLOOKUP(A1824,'[1]Sales Order'!A:C,3,FALSE),[1]Employee!A:B,2,FALSE),"Not Specified")</f>
        <v>Ms. Zoya Dolgopyatova</v>
      </c>
      <c r="I1824">
        <f>IFERROR(VLOOKUP(VLOOKUP(A1824,'[1]Sales Order'!A:C,3,FALSE),[1]Employee!A:J,10,FALSE),"Not Specified")</f>
        <v>0</v>
      </c>
      <c r="J1824" t="str">
        <f>VLOOKUP(B1824,[1]Product!A:B,2,FALSE)</f>
        <v>Product ASTMN</v>
      </c>
      <c r="K1824" t="str">
        <f>VLOOKUP(VLOOKUP(B1824,[1]Product!A:D,4,FALSE),[1]Category!A:B,2,FALSE)</f>
        <v>Dairy Product</v>
      </c>
      <c r="L1824" s="10">
        <f>IFERROR(VLOOKUP(A1824,'[1]Sales Order'!A:D,4,FALSE),"")</f>
        <v>39523</v>
      </c>
      <c r="M1824" s="10">
        <f>IFERROR(VLOOKUP(A1824,'[1]Sales Order'!A:F,6,FALSE),"")</f>
        <v>39545</v>
      </c>
      <c r="N1824" t="str">
        <f>IFERROR(VLOOKUP(VLOOKUP(A1824,'[1]Sales Order'!A:G,7,FALSE),[1]Shipper!A:B,2,FALSE),"Not Specified")</f>
        <v>Shipper ETYNR</v>
      </c>
      <c r="O1824" t="str">
        <f>IFERROR(VLOOKUP(A1824,'[1]Sales Order'!A:I,9,FALSE),"Not Specified")</f>
        <v>Ship to 68-A</v>
      </c>
      <c r="P1824" t="str">
        <f>IFERROR(VLOOKUP(A1824,'[1]Sales Order'!A:N,14,FALSE),"Not Specified")</f>
        <v>Switzerland</v>
      </c>
      <c r="Q1824" t="str">
        <f>VLOOKUP(VLOOKUP(B1824,[1]Product!A:C,3,FALSE),[1]Supplier!A:B,2,FALSE)</f>
        <v>Supplier NZLIF</v>
      </c>
      <c r="R1824" t="str">
        <f>VLOOKUP(VLOOKUP(B1824,[1]Product!A:C,3,FALSE),[1]Supplier!A:I,9,FALSE)</f>
        <v>Norway</v>
      </c>
      <c r="S1824" t="str">
        <f>IFERROR(IF(VLOOKUP(A1824,'[1]Sales Order'!A:H,8,FALSE)&gt;100,"High Freight","Low Freight"),"Not Specified")</f>
        <v>Low Freight</v>
      </c>
      <c r="T1824">
        <f t="shared" si="57"/>
        <v>35.625</v>
      </c>
    </row>
    <row r="1825" spans="1:20">
      <c r="A1825" s="1">
        <v>10951</v>
      </c>
      <c r="B1825" s="2">
        <v>41</v>
      </c>
      <c r="C1825" s="2">
        <v>9.65</v>
      </c>
      <c r="D1825" s="2">
        <v>6</v>
      </c>
      <c r="E1825" s="3">
        <v>0.05</v>
      </c>
      <c r="F1825" s="2" t="str">
        <f>IFERROR(VLOOKUP(VLOOKUP(A1825,'[1]Sales Order'!A:B,2,FALSE),[1]Customer!A:C,3,FALSE),"Not Specified")</f>
        <v>Myrcha, Jacek</v>
      </c>
      <c r="G1825" s="2" t="str">
        <f t="shared" si="56"/>
        <v>Myrcha Jacek</v>
      </c>
      <c r="H1825" s="8" t="str">
        <f>IFERROR(VLOOKUP(VLOOKUP(A1825,'[1]Sales Order'!A:C,3,FALSE),[1]Employee!A:E,5,FALSE)&amp;" "&amp;VLOOKUP(VLOOKUP(A1825,'[1]Sales Order'!A:C,3,FALSE),[1]Employee!A:C,3,FALSE)&amp;" "&amp;VLOOKUP(VLOOKUP(A1825,'[1]Sales Order'!A:C,3,FALSE),[1]Employee!A:B,2,FALSE),"Not Specified")</f>
        <v>Ms. Zoya Dolgopyatova</v>
      </c>
      <c r="I1825">
        <f>IFERROR(VLOOKUP(VLOOKUP(A1825,'[1]Sales Order'!A:C,3,FALSE),[1]Employee!A:J,10,FALSE),"Not Specified")</f>
        <v>0</v>
      </c>
      <c r="J1825" t="str">
        <f>VLOOKUP(B1825,[1]Product!A:B,2,FALSE)</f>
        <v>Product TTEEX</v>
      </c>
      <c r="K1825" t="str">
        <f>VLOOKUP(VLOOKUP(B1825,[1]Product!A:D,4,FALSE),[1]Category!A:B,2,FALSE)</f>
        <v>Seafood</v>
      </c>
      <c r="L1825" s="10">
        <f>IFERROR(VLOOKUP(A1825,'[1]Sales Order'!A:D,4,FALSE),"")</f>
        <v>39523</v>
      </c>
      <c r="M1825" s="10">
        <f>IFERROR(VLOOKUP(A1825,'[1]Sales Order'!A:F,6,FALSE),"")</f>
        <v>39545</v>
      </c>
      <c r="N1825" t="str">
        <f>IFERROR(VLOOKUP(VLOOKUP(A1825,'[1]Sales Order'!A:G,7,FALSE),[1]Shipper!A:B,2,FALSE),"Not Specified")</f>
        <v>Shipper ETYNR</v>
      </c>
      <c r="O1825" t="str">
        <f>IFERROR(VLOOKUP(A1825,'[1]Sales Order'!A:I,9,FALSE),"Not Specified")</f>
        <v>Ship to 68-A</v>
      </c>
      <c r="P1825" t="str">
        <f>IFERROR(VLOOKUP(A1825,'[1]Sales Order'!A:N,14,FALSE),"Not Specified")</f>
        <v>Switzerland</v>
      </c>
      <c r="Q1825" t="str">
        <f>VLOOKUP(VLOOKUP(B1825,[1]Product!A:C,3,FALSE),[1]Supplier!A:B,2,FALSE)</f>
        <v>Supplier JDNUG</v>
      </c>
      <c r="R1825" t="str">
        <f>VLOOKUP(VLOOKUP(B1825,[1]Product!A:C,3,FALSE),[1]Supplier!A:I,9,FALSE)</f>
        <v>USA</v>
      </c>
      <c r="S1825" t="str">
        <f>IFERROR(IF(VLOOKUP(A1825,'[1]Sales Order'!A:H,8,FALSE)&gt;100,"High Freight","Low Freight"),"Not Specified")</f>
        <v>Low Freight</v>
      </c>
      <c r="T1825">
        <f t="shared" si="57"/>
        <v>55.005000000000003</v>
      </c>
    </row>
    <row r="1826" spans="1:20">
      <c r="A1826" s="1">
        <v>10951</v>
      </c>
      <c r="B1826" s="2">
        <v>75</v>
      </c>
      <c r="C1826" s="2">
        <v>7.75</v>
      </c>
      <c r="D1826" s="2">
        <v>50</v>
      </c>
      <c r="E1826" s="3">
        <v>0.05</v>
      </c>
      <c r="F1826" s="2" t="str">
        <f>IFERROR(VLOOKUP(VLOOKUP(A1826,'[1]Sales Order'!A:B,2,FALSE),[1]Customer!A:C,3,FALSE),"Not Specified")</f>
        <v>Myrcha, Jacek</v>
      </c>
      <c r="G1826" s="2" t="str">
        <f t="shared" si="56"/>
        <v>Myrcha Jacek</v>
      </c>
      <c r="H1826" s="8" t="str">
        <f>IFERROR(VLOOKUP(VLOOKUP(A1826,'[1]Sales Order'!A:C,3,FALSE),[1]Employee!A:E,5,FALSE)&amp;" "&amp;VLOOKUP(VLOOKUP(A1826,'[1]Sales Order'!A:C,3,FALSE),[1]Employee!A:C,3,FALSE)&amp;" "&amp;VLOOKUP(VLOOKUP(A1826,'[1]Sales Order'!A:C,3,FALSE),[1]Employee!A:B,2,FALSE),"Not Specified")</f>
        <v>Ms. Zoya Dolgopyatova</v>
      </c>
      <c r="I1826">
        <f>IFERROR(VLOOKUP(VLOOKUP(A1826,'[1]Sales Order'!A:C,3,FALSE),[1]Employee!A:J,10,FALSE),"Not Specified")</f>
        <v>0</v>
      </c>
      <c r="J1826" t="str">
        <f>VLOOKUP(B1826,[1]Product!A:B,2,FALSE)</f>
        <v>Product BWRLG</v>
      </c>
      <c r="K1826" t="str">
        <f>VLOOKUP(VLOOKUP(B1826,[1]Product!A:D,4,FALSE),[1]Category!A:B,2,FALSE)</f>
        <v>Beverages</v>
      </c>
      <c r="L1826" s="10">
        <f>IFERROR(VLOOKUP(A1826,'[1]Sales Order'!A:D,4,FALSE),"")</f>
        <v>39523</v>
      </c>
      <c r="M1826" s="10">
        <f>IFERROR(VLOOKUP(A1826,'[1]Sales Order'!A:F,6,FALSE),"")</f>
        <v>39545</v>
      </c>
      <c r="N1826" t="str">
        <f>IFERROR(VLOOKUP(VLOOKUP(A1826,'[1]Sales Order'!A:G,7,FALSE),[1]Shipper!A:B,2,FALSE),"Not Specified")</f>
        <v>Shipper ETYNR</v>
      </c>
      <c r="O1826" t="str">
        <f>IFERROR(VLOOKUP(A1826,'[1]Sales Order'!A:I,9,FALSE),"Not Specified")</f>
        <v>Ship to 68-A</v>
      </c>
      <c r="P1826" t="str">
        <f>IFERROR(VLOOKUP(A1826,'[1]Sales Order'!A:N,14,FALSE),"Not Specified")</f>
        <v>Switzerland</v>
      </c>
      <c r="Q1826" t="str">
        <f>VLOOKUP(VLOOKUP(B1826,[1]Product!A:C,3,FALSE),[1]Supplier!A:B,2,FALSE)</f>
        <v>Supplier SVIYA</v>
      </c>
      <c r="R1826" t="str">
        <f>VLOOKUP(VLOOKUP(B1826,[1]Product!A:C,3,FALSE),[1]Supplier!A:I,9,FALSE)</f>
        <v>Germany</v>
      </c>
      <c r="S1826" t="str">
        <f>IFERROR(IF(VLOOKUP(A1826,'[1]Sales Order'!A:H,8,FALSE)&gt;100,"High Freight","Low Freight"),"Not Specified")</f>
        <v>Low Freight</v>
      </c>
      <c r="T1826">
        <f t="shared" si="57"/>
        <v>368.125</v>
      </c>
    </row>
    <row r="1827" spans="1:20">
      <c r="A1827" s="1">
        <v>10952</v>
      </c>
      <c r="B1827" s="2">
        <v>6</v>
      </c>
      <c r="C1827" s="2">
        <v>25</v>
      </c>
      <c r="D1827" s="2">
        <v>16</v>
      </c>
      <c r="E1827" s="3">
        <v>0.05</v>
      </c>
      <c r="F1827" s="2" t="str">
        <f>IFERROR(VLOOKUP(VLOOKUP(A1827,'[1]Sales Order'!A:B,2,FALSE),[1]Customer!A:C,3,FALSE),"Not Specified")</f>
        <v>Allen, Michael</v>
      </c>
      <c r="G1827" s="2" t="str">
        <f t="shared" si="56"/>
        <v>Allen Michael</v>
      </c>
      <c r="H1827" s="8" t="str">
        <f>IFERROR(VLOOKUP(VLOOKUP(A1827,'[1]Sales Order'!A:C,3,FALSE),[1]Employee!A:E,5,FALSE)&amp;" "&amp;VLOOKUP(VLOOKUP(A1827,'[1]Sales Order'!A:C,3,FALSE),[1]Employee!A:C,3,FALSE)&amp;" "&amp;VLOOKUP(VLOOKUP(A1827,'[1]Sales Order'!A:C,3,FALSE),[1]Employee!A:B,2,FALSE),"Not Specified")</f>
        <v>Ms. Sara Davis</v>
      </c>
      <c r="I1827" t="str">
        <f>IFERROR(VLOOKUP(VLOOKUP(A1827,'[1]Sales Order'!A:C,3,FALSE),[1]Employee!A:J,10,FALSE),"Not Specified")</f>
        <v>WA</v>
      </c>
      <c r="J1827" t="str">
        <f>VLOOKUP(B1827,[1]Product!A:B,2,FALSE)</f>
        <v>Product VAIIV</v>
      </c>
      <c r="K1827" t="str">
        <f>VLOOKUP(VLOOKUP(B1827,[1]Product!A:D,4,FALSE),[1]Category!A:B,2,FALSE)</f>
        <v>Condiments</v>
      </c>
      <c r="L1827" s="10">
        <f>IFERROR(VLOOKUP(A1827,'[1]Sales Order'!A:D,4,FALSE),"")</f>
        <v>39523</v>
      </c>
      <c r="M1827" s="10">
        <f>IFERROR(VLOOKUP(A1827,'[1]Sales Order'!A:F,6,FALSE),"")</f>
        <v>39531</v>
      </c>
      <c r="N1827" t="str">
        <f>IFERROR(VLOOKUP(VLOOKUP(A1827,'[1]Sales Order'!A:G,7,FALSE),[1]Shipper!A:B,2,FALSE),"Not Specified")</f>
        <v>Shipper GVSUA</v>
      </c>
      <c r="O1827" t="str">
        <f>IFERROR(VLOOKUP(A1827,'[1]Sales Order'!A:I,9,FALSE),"Not Specified")</f>
        <v>Destination LOUIE</v>
      </c>
      <c r="P1827" t="str">
        <f>IFERROR(VLOOKUP(A1827,'[1]Sales Order'!A:N,14,FALSE),"Not Specified")</f>
        <v>Germany</v>
      </c>
      <c r="Q1827" t="str">
        <f>VLOOKUP(VLOOKUP(B1827,[1]Product!A:C,3,FALSE),[1]Supplier!A:B,2,FALSE)</f>
        <v>Supplier STUAZ</v>
      </c>
      <c r="R1827" t="str">
        <f>VLOOKUP(VLOOKUP(B1827,[1]Product!A:C,3,FALSE),[1]Supplier!A:I,9,FALSE)</f>
        <v>USA</v>
      </c>
      <c r="S1827" t="str">
        <f>IFERROR(IF(VLOOKUP(A1827,'[1]Sales Order'!A:H,8,FALSE)&gt;100,"High Freight","Low Freight"),"Not Specified")</f>
        <v>Low Freight</v>
      </c>
      <c r="T1827">
        <f t="shared" si="57"/>
        <v>380</v>
      </c>
    </row>
    <row r="1828" spans="1:20">
      <c r="A1828" s="1">
        <v>10952</v>
      </c>
      <c r="B1828" s="2">
        <v>28</v>
      </c>
      <c r="C1828" s="2">
        <v>45.6</v>
      </c>
      <c r="D1828" s="2">
        <v>2</v>
      </c>
      <c r="E1828" s="3">
        <v>0</v>
      </c>
      <c r="F1828" s="2" t="str">
        <f>IFERROR(VLOOKUP(VLOOKUP(A1828,'[1]Sales Order'!A:B,2,FALSE),[1]Customer!A:C,3,FALSE),"Not Specified")</f>
        <v>Allen, Michael</v>
      </c>
      <c r="G1828" s="2" t="str">
        <f t="shared" si="56"/>
        <v>Allen Michael</v>
      </c>
      <c r="H1828" s="8" t="str">
        <f>IFERROR(VLOOKUP(VLOOKUP(A1828,'[1]Sales Order'!A:C,3,FALSE),[1]Employee!A:E,5,FALSE)&amp;" "&amp;VLOOKUP(VLOOKUP(A1828,'[1]Sales Order'!A:C,3,FALSE),[1]Employee!A:C,3,FALSE)&amp;" "&amp;VLOOKUP(VLOOKUP(A1828,'[1]Sales Order'!A:C,3,FALSE),[1]Employee!A:B,2,FALSE),"Not Specified")</f>
        <v>Ms. Sara Davis</v>
      </c>
      <c r="I1828" t="str">
        <f>IFERROR(VLOOKUP(VLOOKUP(A1828,'[1]Sales Order'!A:C,3,FALSE),[1]Employee!A:J,10,FALSE),"Not Specified")</f>
        <v>WA</v>
      </c>
      <c r="J1828" t="str">
        <f>VLOOKUP(B1828,[1]Product!A:B,2,FALSE)</f>
        <v>Product OFBNT</v>
      </c>
      <c r="K1828" t="str">
        <f>VLOOKUP(VLOOKUP(B1828,[1]Product!A:D,4,FALSE),[1]Category!A:B,2,FALSE)</f>
        <v>Produce</v>
      </c>
      <c r="L1828" s="10">
        <f>IFERROR(VLOOKUP(A1828,'[1]Sales Order'!A:D,4,FALSE),"")</f>
        <v>39523</v>
      </c>
      <c r="M1828" s="10">
        <f>IFERROR(VLOOKUP(A1828,'[1]Sales Order'!A:F,6,FALSE),"")</f>
        <v>39531</v>
      </c>
      <c r="N1828" t="str">
        <f>IFERROR(VLOOKUP(VLOOKUP(A1828,'[1]Sales Order'!A:G,7,FALSE),[1]Shipper!A:B,2,FALSE),"Not Specified")</f>
        <v>Shipper GVSUA</v>
      </c>
      <c r="O1828" t="str">
        <f>IFERROR(VLOOKUP(A1828,'[1]Sales Order'!A:I,9,FALSE),"Not Specified")</f>
        <v>Destination LOUIE</v>
      </c>
      <c r="P1828" t="str">
        <f>IFERROR(VLOOKUP(A1828,'[1]Sales Order'!A:N,14,FALSE),"Not Specified")</f>
        <v>Germany</v>
      </c>
      <c r="Q1828" t="str">
        <f>VLOOKUP(VLOOKUP(B1828,[1]Product!A:C,3,FALSE),[1]Supplier!A:B,2,FALSE)</f>
        <v>Supplier SVIYA</v>
      </c>
      <c r="R1828" t="str">
        <f>VLOOKUP(VLOOKUP(B1828,[1]Product!A:C,3,FALSE),[1]Supplier!A:I,9,FALSE)</f>
        <v>Germany</v>
      </c>
      <c r="S1828" t="str">
        <f>IFERROR(IF(VLOOKUP(A1828,'[1]Sales Order'!A:H,8,FALSE)&gt;100,"High Freight","Low Freight"),"Not Specified")</f>
        <v>Low Freight</v>
      </c>
      <c r="T1828">
        <f t="shared" si="57"/>
        <v>91.2</v>
      </c>
    </row>
    <row r="1829" spans="1:20">
      <c r="A1829" s="1">
        <v>10953</v>
      </c>
      <c r="B1829" s="2">
        <v>20</v>
      </c>
      <c r="C1829" s="2">
        <v>81</v>
      </c>
      <c r="D1829" s="2">
        <v>50</v>
      </c>
      <c r="E1829" s="3">
        <v>0.05</v>
      </c>
      <c r="F1829" s="2" t="str">
        <f>IFERROR(VLOOKUP(VLOOKUP(A1829,'[1]Sales Order'!A:B,2,FALSE),[1]Customer!A:C,3,FALSE),"Not Specified")</f>
        <v>Arndt, Torsten</v>
      </c>
      <c r="G1829" s="2" t="str">
        <f t="shared" si="56"/>
        <v>Arndt Torsten</v>
      </c>
      <c r="H1829" s="8" t="str">
        <f>IFERROR(VLOOKUP(VLOOKUP(A1829,'[1]Sales Order'!A:C,3,FALSE),[1]Employee!A:E,5,FALSE)&amp;" "&amp;VLOOKUP(VLOOKUP(A1829,'[1]Sales Order'!A:C,3,FALSE),[1]Employee!A:C,3,FALSE)&amp;" "&amp;VLOOKUP(VLOOKUP(A1829,'[1]Sales Order'!A:C,3,FALSE),[1]Employee!A:B,2,FALSE),"Not Specified")</f>
        <v>Ms. Zoya Dolgopyatova</v>
      </c>
      <c r="I1829">
        <f>IFERROR(VLOOKUP(VLOOKUP(A1829,'[1]Sales Order'!A:C,3,FALSE),[1]Employee!A:J,10,FALSE),"Not Specified")</f>
        <v>0</v>
      </c>
      <c r="J1829" t="str">
        <f>VLOOKUP(B1829,[1]Product!A:B,2,FALSE)</f>
        <v>Product QHFFP</v>
      </c>
      <c r="K1829" t="str">
        <f>VLOOKUP(VLOOKUP(B1829,[1]Product!A:D,4,FALSE),[1]Category!A:B,2,FALSE)</f>
        <v>Confections</v>
      </c>
      <c r="L1829" s="10">
        <f>IFERROR(VLOOKUP(A1829,'[1]Sales Order'!A:D,4,FALSE),"")</f>
        <v>39523</v>
      </c>
      <c r="M1829" s="10">
        <f>IFERROR(VLOOKUP(A1829,'[1]Sales Order'!A:F,6,FALSE),"")</f>
        <v>39532</v>
      </c>
      <c r="N1829" t="str">
        <f>IFERROR(VLOOKUP(VLOOKUP(A1829,'[1]Sales Order'!A:G,7,FALSE),[1]Shipper!A:B,2,FALSE),"Not Specified")</f>
        <v>Shipper ETYNR</v>
      </c>
      <c r="O1829" t="str">
        <f>IFERROR(VLOOKUP(A1829,'[1]Sales Order'!A:I,9,FALSE),"Not Specified")</f>
        <v>Ship to 4-B</v>
      </c>
      <c r="P1829" t="str">
        <f>IFERROR(VLOOKUP(A1829,'[1]Sales Order'!A:N,14,FALSE),"Not Specified")</f>
        <v>UK</v>
      </c>
      <c r="Q1829" t="str">
        <f>VLOOKUP(VLOOKUP(B1829,[1]Product!A:C,3,FALSE),[1]Supplier!A:B,2,FALSE)</f>
        <v>Supplier BWGYE</v>
      </c>
      <c r="R1829" t="str">
        <f>VLOOKUP(VLOOKUP(B1829,[1]Product!A:C,3,FALSE),[1]Supplier!A:I,9,FALSE)</f>
        <v>UK</v>
      </c>
      <c r="S1829" t="str">
        <f>IFERROR(IF(VLOOKUP(A1829,'[1]Sales Order'!A:H,8,FALSE)&gt;100,"High Freight","Low Freight"),"Not Specified")</f>
        <v>Low Freight</v>
      </c>
      <c r="T1829">
        <f t="shared" si="57"/>
        <v>3847.5</v>
      </c>
    </row>
    <row r="1830" spans="1:20">
      <c r="A1830" s="1">
        <v>10953</v>
      </c>
      <c r="B1830" s="2">
        <v>31</v>
      </c>
      <c r="C1830" s="2">
        <v>12.5</v>
      </c>
      <c r="D1830" s="2">
        <v>50</v>
      </c>
      <c r="E1830" s="3">
        <v>0.05</v>
      </c>
      <c r="F1830" s="2" t="str">
        <f>IFERROR(VLOOKUP(VLOOKUP(A1830,'[1]Sales Order'!A:B,2,FALSE),[1]Customer!A:C,3,FALSE),"Not Specified")</f>
        <v>Arndt, Torsten</v>
      </c>
      <c r="G1830" s="2" t="str">
        <f t="shared" si="56"/>
        <v>Arndt Torsten</v>
      </c>
      <c r="H1830" s="8" t="str">
        <f>IFERROR(VLOOKUP(VLOOKUP(A1830,'[1]Sales Order'!A:C,3,FALSE),[1]Employee!A:E,5,FALSE)&amp;" "&amp;VLOOKUP(VLOOKUP(A1830,'[1]Sales Order'!A:C,3,FALSE),[1]Employee!A:C,3,FALSE)&amp;" "&amp;VLOOKUP(VLOOKUP(A1830,'[1]Sales Order'!A:C,3,FALSE),[1]Employee!A:B,2,FALSE),"Not Specified")</f>
        <v>Ms. Zoya Dolgopyatova</v>
      </c>
      <c r="I1830">
        <f>IFERROR(VLOOKUP(VLOOKUP(A1830,'[1]Sales Order'!A:C,3,FALSE),[1]Employee!A:J,10,FALSE),"Not Specified")</f>
        <v>0</v>
      </c>
      <c r="J1830" t="str">
        <f>VLOOKUP(B1830,[1]Product!A:B,2,FALSE)</f>
        <v>Product XWOXC</v>
      </c>
      <c r="K1830" t="str">
        <f>VLOOKUP(VLOOKUP(B1830,[1]Product!A:D,4,FALSE),[1]Category!A:B,2,FALSE)</f>
        <v>Dairy Product</v>
      </c>
      <c r="L1830" s="10">
        <f>IFERROR(VLOOKUP(A1830,'[1]Sales Order'!A:D,4,FALSE),"")</f>
        <v>39523</v>
      </c>
      <c r="M1830" s="10">
        <f>IFERROR(VLOOKUP(A1830,'[1]Sales Order'!A:F,6,FALSE),"")</f>
        <v>39532</v>
      </c>
      <c r="N1830" t="str">
        <f>IFERROR(VLOOKUP(VLOOKUP(A1830,'[1]Sales Order'!A:G,7,FALSE),[1]Shipper!A:B,2,FALSE),"Not Specified")</f>
        <v>Shipper ETYNR</v>
      </c>
      <c r="O1830" t="str">
        <f>IFERROR(VLOOKUP(A1830,'[1]Sales Order'!A:I,9,FALSE),"Not Specified")</f>
        <v>Ship to 4-B</v>
      </c>
      <c r="P1830" t="str">
        <f>IFERROR(VLOOKUP(A1830,'[1]Sales Order'!A:N,14,FALSE),"Not Specified")</f>
        <v>UK</v>
      </c>
      <c r="Q1830" t="str">
        <f>VLOOKUP(VLOOKUP(B1830,[1]Product!A:C,3,FALSE),[1]Supplier!A:B,2,FALSE)</f>
        <v>Supplier KEREV</v>
      </c>
      <c r="R1830" t="str">
        <f>VLOOKUP(VLOOKUP(B1830,[1]Product!A:C,3,FALSE),[1]Supplier!A:I,9,FALSE)</f>
        <v>Italy</v>
      </c>
      <c r="S1830" t="str">
        <f>IFERROR(IF(VLOOKUP(A1830,'[1]Sales Order'!A:H,8,FALSE)&gt;100,"High Freight","Low Freight"),"Not Specified")</f>
        <v>Low Freight</v>
      </c>
      <c r="T1830">
        <f t="shared" si="57"/>
        <v>593.75</v>
      </c>
    </row>
    <row r="1831" spans="1:20">
      <c r="A1831" s="1">
        <v>10954</v>
      </c>
      <c r="B1831" s="2">
        <v>16</v>
      </c>
      <c r="C1831" s="2">
        <v>17.45</v>
      </c>
      <c r="D1831" s="2">
        <v>28</v>
      </c>
      <c r="E1831" s="3">
        <v>0.15</v>
      </c>
      <c r="F1831" s="2" t="str">
        <f>IFERROR(VLOOKUP(VLOOKUP(A1831,'[1]Sales Order'!A:B,2,FALSE),[1]Customer!A:C,3,FALSE),"Not Specified")</f>
        <v>Lupu, Cornel</v>
      </c>
      <c r="G1831" s="2" t="str">
        <f t="shared" si="56"/>
        <v>Lupu Cornel</v>
      </c>
      <c r="H1831" s="8" t="str">
        <f>IFERROR(VLOOKUP(VLOOKUP(A1831,'[1]Sales Order'!A:C,3,FALSE),[1]Employee!A:E,5,FALSE)&amp;" "&amp;VLOOKUP(VLOOKUP(A1831,'[1]Sales Order'!A:C,3,FALSE),[1]Employee!A:C,3,FALSE)&amp;" "&amp;VLOOKUP(VLOOKUP(A1831,'[1]Sales Order'!A:C,3,FALSE),[1]Employee!A:B,2,FALSE),"Not Specified")</f>
        <v>Mr. Sven Buck</v>
      </c>
      <c r="I1831">
        <f>IFERROR(VLOOKUP(VLOOKUP(A1831,'[1]Sales Order'!A:C,3,FALSE),[1]Employee!A:J,10,FALSE),"Not Specified")</f>
        <v>0</v>
      </c>
      <c r="J1831" t="str">
        <f>VLOOKUP(B1831,[1]Product!A:B,2,FALSE)</f>
        <v>Product PAFRH</v>
      </c>
      <c r="K1831" t="str">
        <f>VLOOKUP(VLOOKUP(B1831,[1]Product!A:D,4,FALSE),[1]Category!A:B,2,FALSE)</f>
        <v>Confections</v>
      </c>
      <c r="L1831" s="10">
        <f>IFERROR(VLOOKUP(A1831,'[1]Sales Order'!A:D,4,FALSE),"")</f>
        <v>39524</v>
      </c>
      <c r="M1831" s="10">
        <f>IFERROR(VLOOKUP(A1831,'[1]Sales Order'!A:F,6,FALSE),"")</f>
        <v>39527</v>
      </c>
      <c r="N1831" t="str">
        <f>IFERROR(VLOOKUP(VLOOKUP(A1831,'[1]Sales Order'!A:G,7,FALSE),[1]Shipper!A:B,2,FALSE),"Not Specified")</f>
        <v>Shipper GVSUA</v>
      </c>
      <c r="O1831" t="str">
        <f>IFERROR(VLOOKUP(A1831,'[1]Sales Order'!A:I,9,FALSE),"Not Specified")</f>
        <v>Ship to 47-B</v>
      </c>
      <c r="P1831" t="str">
        <f>IFERROR(VLOOKUP(A1831,'[1]Sales Order'!A:N,14,FALSE),"Not Specified")</f>
        <v>Venezuela</v>
      </c>
      <c r="Q1831" t="str">
        <f>VLOOKUP(VLOOKUP(B1831,[1]Product!A:C,3,FALSE),[1]Supplier!A:B,2,FALSE)</f>
        <v>Supplier GQRCV</v>
      </c>
      <c r="R1831" t="str">
        <f>VLOOKUP(VLOOKUP(B1831,[1]Product!A:C,3,FALSE),[1]Supplier!A:I,9,FALSE)</f>
        <v>Australia</v>
      </c>
      <c r="S1831" t="str">
        <f>IFERROR(IF(VLOOKUP(A1831,'[1]Sales Order'!A:H,8,FALSE)&gt;100,"High Freight","Low Freight"),"Not Specified")</f>
        <v>Low Freight</v>
      </c>
      <c r="T1831">
        <f t="shared" si="57"/>
        <v>415.30999999999995</v>
      </c>
    </row>
    <row r="1832" spans="1:20">
      <c r="A1832" s="1">
        <v>10954</v>
      </c>
      <c r="B1832" s="2">
        <v>31</v>
      </c>
      <c r="C1832" s="2">
        <v>12.5</v>
      </c>
      <c r="D1832" s="2">
        <v>25</v>
      </c>
      <c r="E1832" s="3">
        <v>0.15</v>
      </c>
      <c r="F1832" s="2" t="str">
        <f>IFERROR(VLOOKUP(VLOOKUP(A1832,'[1]Sales Order'!A:B,2,FALSE),[1]Customer!A:C,3,FALSE),"Not Specified")</f>
        <v>Lupu, Cornel</v>
      </c>
      <c r="G1832" s="2" t="str">
        <f t="shared" si="56"/>
        <v>Lupu Cornel</v>
      </c>
      <c r="H1832" s="8" t="str">
        <f>IFERROR(VLOOKUP(VLOOKUP(A1832,'[1]Sales Order'!A:C,3,FALSE),[1]Employee!A:E,5,FALSE)&amp;" "&amp;VLOOKUP(VLOOKUP(A1832,'[1]Sales Order'!A:C,3,FALSE),[1]Employee!A:C,3,FALSE)&amp;" "&amp;VLOOKUP(VLOOKUP(A1832,'[1]Sales Order'!A:C,3,FALSE),[1]Employee!A:B,2,FALSE),"Not Specified")</f>
        <v>Mr. Sven Buck</v>
      </c>
      <c r="I1832">
        <f>IFERROR(VLOOKUP(VLOOKUP(A1832,'[1]Sales Order'!A:C,3,FALSE),[1]Employee!A:J,10,FALSE),"Not Specified")</f>
        <v>0</v>
      </c>
      <c r="J1832" t="str">
        <f>VLOOKUP(B1832,[1]Product!A:B,2,FALSE)</f>
        <v>Product XWOXC</v>
      </c>
      <c r="K1832" t="str">
        <f>VLOOKUP(VLOOKUP(B1832,[1]Product!A:D,4,FALSE),[1]Category!A:B,2,FALSE)</f>
        <v>Dairy Product</v>
      </c>
      <c r="L1832" s="10">
        <f>IFERROR(VLOOKUP(A1832,'[1]Sales Order'!A:D,4,FALSE),"")</f>
        <v>39524</v>
      </c>
      <c r="M1832" s="10">
        <f>IFERROR(VLOOKUP(A1832,'[1]Sales Order'!A:F,6,FALSE),"")</f>
        <v>39527</v>
      </c>
      <c r="N1832" t="str">
        <f>IFERROR(VLOOKUP(VLOOKUP(A1832,'[1]Sales Order'!A:G,7,FALSE),[1]Shipper!A:B,2,FALSE),"Not Specified")</f>
        <v>Shipper GVSUA</v>
      </c>
      <c r="O1832" t="str">
        <f>IFERROR(VLOOKUP(A1832,'[1]Sales Order'!A:I,9,FALSE),"Not Specified")</f>
        <v>Ship to 47-B</v>
      </c>
      <c r="P1832" t="str">
        <f>IFERROR(VLOOKUP(A1832,'[1]Sales Order'!A:N,14,FALSE),"Not Specified")</f>
        <v>Venezuela</v>
      </c>
      <c r="Q1832" t="str">
        <f>VLOOKUP(VLOOKUP(B1832,[1]Product!A:C,3,FALSE),[1]Supplier!A:B,2,FALSE)</f>
        <v>Supplier KEREV</v>
      </c>
      <c r="R1832" t="str">
        <f>VLOOKUP(VLOOKUP(B1832,[1]Product!A:C,3,FALSE),[1]Supplier!A:I,9,FALSE)</f>
        <v>Italy</v>
      </c>
      <c r="S1832" t="str">
        <f>IFERROR(IF(VLOOKUP(A1832,'[1]Sales Order'!A:H,8,FALSE)&gt;100,"High Freight","Low Freight"),"Not Specified")</f>
        <v>Low Freight</v>
      </c>
      <c r="T1832">
        <f t="shared" si="57"/>
        <v>265.625</v>
      </c>
    </row>
    <row r="1833" spans="1:20">
      <c r="A1833" s="1">
        <v>10954</v>
      </c>
      <c r="B1833" s="2">
        <v>45</v>
      </c>
      <c r="C1833" s="2">
        <v>9.5</v>
      </c>
      <c r="D1833" s="2">
        <v>30</v>
      </c>
      <c r="E1833" s="3">
        <v>0</v>
      </c>
      <c r="F1833" s="2" t="str">
        <f>IFERROR(VLOOKUP(VLOOKUP(A1833,'[1]Sales Order'!A:B,2,FALSE),[1]Customer!A:C,3,FALSE),"Not Specified")</f>
        <v>Lupu, Cornel</v>
      </c>
      <c r="G1833" s="2" t="str">
        <f t="shared" si="56"/>
        <v>Lupu Cornel</v>
      </c>
      <c r="H1833" s="8" t="str">
        <f>IFERROR(VLOOKUP(VLOOKUP(A1833,'[1]Sales Order'!A:C,3,FALSE),[1]Employee!A:E,5,FALSE)&amp;" "&amp;VLOOKUP(VLOOKUP(A1833,'[1]Sales Order'!A:C,3,FALSE),[1]Employee!A:C,3,FALSE)&amp;" "&amp;VLOOKUP(VLOOKUP(A1833,'[1]Sales Order'!A:C,3,FALSE),[1]Employee!A:B,2,FALSE),"Not Specified")</f>
        <v>Mr. Sven Buck</v>
      </c>
      <c r="I1833">
        <f>IFERROR(VLOOKUP(VLOOKUP(A1833,'[1]Sales Order'!A:C,3,FALSE),[1]Employee!A:J,10,FALSE),"Not Specified")</f>
        <v>0</v>
      </c>
      <c r="J1833" t="str">
        <f>VLOOKUP(B1833,[1]Product!A:B,2,FALSE)</f>
        <v>Product AQOKR</v>
      </c>
      <c r="K1833" t="str">
        <f>VLOOKUP(VLOOKUP(B1833,[1]Product!A:D,4,FALSE),[1]Category!A:B,2,FALSE)</f>
        <v>Seafood</v>
      </c>
      <c r="L1833" s="10">
        <f>IFERROR(VLOOKUP(A1833,'[1]Sales Order'!A:D,4,FALSE),"")</f>
        <v>39524</v>
      </c>
      <c r="M1833" s="10">
        <f>IFERROR(VLOOKUP(A1833,'[1]Sales Order'!A:F,6,FALSE),"")</f>
        <v>39527</v>
      </c>
      <c r="N1833" t="str">
        <f>IFERROR(VLOOKUP(VLOOKUP(A1833,'[1]Sales Order'!A:G,7,FALSE),[1]Shipper!A:B,2,FALSE),"Not Specified")</f>
        <v>Shipper GVSUA</v>
      </c>
      <c r="O1833" t="str">
        <f>IFERROR(VLOOKUP(A1833,'[1]Sales Order'!A:I,9,FALSE),"Not Specified")</f>
        <v>Ship to 47-B</v>
      </c>
      <c r="P1833" t="str">
        <f>IFERROR(VLOOKUP(A1833,'[1]Sales Order'!A:N,14,FALSE),"Not Specified")</f>
        <v>Venezuela</v>
      </c>
      <c r="Q1833" t="str">
        <f>VLOOKUP(VLOOKUP(B1833,[1]Product!A:C,3,FALSE),[1]Supplier!A:B,2,FALSE)</f>
        <v>Supplier XOXZA</v>
      </c>
      <c r="R1833" t="str">
        <f>VLOOKUP(VLOOKUP(B1833,[1]Product!A:C,3,FALSE),[1]Supplier!A:I,9,FALSE)</f>
        <v>Denmark</v>
      </c>
      <c r="S1833" t="str">
        <f>IFERROR(IF(VLOOKUP(A1833,'[1]Sales Order'!A:H,8,FALSE)&gt;100,"High Freight","Low Freight"),"Not Specified")</f>
        <v>Low Freight</v>
      </c>
      <c r="T1833">
        <f t="shared" si="57"/>
        <v>285</v>
      </c>
    </row>
    <row r="1834" spans="1:20">
      <c r="A1834" s="1">
        <v>10954</v>
      </c>
      <c r="B1834" s="2">
        <v>60</v>
      </c>
      <c r="C1834" s="2">
        <v>34</v>
      </c>
      <c r="D1834" s="2">
        <v>24</v>
      </c>
      <c r="E1834" s="3">
        <v>0.15</v>
      </c>
      <c r="F1834" s="2" t="str">
        <f>IFERROR(VLOOKUP(VLOOKUP(A1834,'[1]Sales Order'!A:B,2,FALSE),[1]Customer!A:C,3,FALSE),"Not Specified")</f>
        <v>Lupu, Cornel</v>
      </c>
      <c r="G1834" s="2" t="str">
        <f t="shared" si="56"/>
        <v>Lupu Cornel</v>
      </c>
      <c r="H1834" s="8" t="str">
        <f>IFERROR(VLOOKUP(VLOOKUP(A1834,'[1]Sales Order'!A:C,3,FALSE),[1]Employee!A:E,5,FALSE)&amp;" "&amp;VLOOKUP(VLOOKUP(A1834,'[1]Sales Order'!A:C,3,FALSE),[1]Employee!A:C,3,FALSE)&amp;" "&amp;VLOOKUP(VLOOKUP(A1834,'[1]Sales Order'!A:C,3,FALSE),[1]Employee!A:B,2,FALSE),"Not Specified")</f>
        <v>Mr. Sven Buck</v>
      </c>
      <c r="I1834">
        <f>IFERROR(VLOOKUP(VLOOKUP(A1834,'[1]Sales Order'!A:C,3,FALSE),[1]Employee!A:J,10,FALSE),"Not Specified")</f>
        <v>0</v>
      </c>
      <c r="J1834" t="str">
        <f>VLOOKUP(B1834,[1]Product!A:B,2,FALSE)</f>
        <v>Product WHBYK</v>
      </c>
      <c r="K1834" t="str">
        <f>VLOOKUP(VLOOKUP(B1834,[1]Product!A:D,4,FALSE),[1]Category!A:B,2,FALSE)</f>
        <v>Dairy Product</v>
      </c>
      <c r="L1834" s="10">
        <f>IFERROR(VLOOKUP(A1834,'[1]Sales Order'!A:D,4,FALSE),"")</f>
        <v>39524</v>
      </c>
      <c r="M1834" s="10">
        <f>IFERROR(VLOOKUP(A1834,'[1]Sales Order'!A:F,6,FALSE),"")</f>
        <v>39527</v>
      </c>
      <c r="N1834" t="str">
        <f>IFERROR(VLOOKUP(VLOOKUP(A1834,'[1]Sales Order'!A:G,7,FALSE),[1]Shipper!A:B,2,FALSE),"Not Specified")</f>
        <v>Shipper GVSUA</v>
      </c>
      <c r="O1834" t="str">
        <f>IFERROR(VLOOKUP(A1834,'[1]Sales Order'!A:I,9,FALSE),"Not Specified")</f>
        <v>Ship to 47-B</v>
      </c>
      <c r="P1834" t="str">
        <f>IFERROR(VLOOKUP(A1834,'[1]Sales Order'!A:N,14,FALSE),"Not Specified")</f>
        <v>Venezuela</v>
      </c>
      <c r="Q1834" t="str">
        <f>VLOOKUP(VLOOKUP(B1834,[1]Product!A:C,3,FALSE),[1]Supplier!A:B,2,FALSE)</f>
        <v>Supplier OAVQT</v>
      </c>
      <c r="R1834" t="str">
        <f>VLOOKUP(VLOOKUP(B1834,[1]Product!A:C,3,FALSE),[1]Supplier!A:I,9,FALSE)</f>
        <v>France</v>
      </c>
      <c r="S1834" t="str">
        <f>IFERROR(IF(VLOOKUP(A1834,'[1]Sales Order'!A:H,8,FALSE)&gt;100,"High Freight","Low Freight"),"Not Specified")</f>
        <v>Low Freight</v>
      </c>
      <c r="T1834">
        <f t="shared" si="57"/>
        <v>693.6</v>
      </c>
    </row>
    <row r="1835" spans="1:20">
      <c r="A1835" s="1">
        <v>10955</v>
      </c>
      <c r="B1835" s="2">
        <v>75</v>
      </c>
      <c r="C1835" s="2">
        <v>7.75</v>
      </c>
      <c r="D1835" s="2">
        <v>12</v>
      </c>
      <c r="E1835" s="3">
        <v>0.2</v>
      </c>
      <c r="F1835" s="2" t="str">
        <f>IFERROR(VLOOKUP(VLOOKUP(A1835,'[1]Sales Order'!A:B,2,FALSE),[1]Customer!A:C,3,FALSE),"Not Specified")</f>
        <v>San Juan, Patricia</v>
      </c>
      <c r="G1835" s="2" t="str">
        <f t="shared" si="56"/>
        <v>San Juan Patricia</v>
      </c>
      <c r="H1835" s="8" t="str">
        <f>IFERROR(VLOOKUP(VLOOKUP(A1835,'[1]Sales Order'!A:C,3,FALSE),[1]Employee!A:E,5,FALSE)&amp;" "&amp;VLOOKUP(VLOOKUP(A1835,'[1]Sales Order'!A:C,3,FALSE),[1]Employee!A:C,3,FALSE)&amp;" "&amp;VLOOKUP(VLOOKUP(A1835,'[1]Sales Order'!A:C,3,FALSE),[1]Employee!A:B,2,FALSE),"Not Specified")</f>
        <v>Ms. Maria Cameron</v>
      </c>
      <c r="I1835" t="str">
        <f>IFERROR(VLOOKUP(VLOOKUP(A1835,'[1]Sales Order'!A:C,3,FALSE),[1]Employee!A:J,10,FALSE),"Not Specified")</f>
        <v>WA</v>
      </c>
      <c r="J1835" t="str">
        <f>VLOOKUP(B1835,[1]Product!A:B,2,FALSE)</f>
        <v>Product BWRLG</v>
      </c>
      <c r="K1835" t="str">
        <f>VLOOKUP(VLOOKUP(B1835,[1]Product!A:D,4,FALSE),[1]Category!A:B,2,FALSE)</f>
        <v>Beverages</v>
      </c>
      <c r="L1835" s="10">
        <f>IFERROR(VLOOKUP(A1835,'[1]Sales Order'!A:D,4,FALSE),"")</f>
        <v>39524</v>
      </c>
      <c r="M1835" s="10">
        <f>IFERROR(VLOOKUP(A1835,'[1]Sales Order'!A:F,6,FALSE),"")</f>
        <v>39527</v>
      </c>
      <c r="N1835" t="str">
        <f>IFERROR(VLOOKUP(VLOOKUP(A1835,'[1]Sales Order'!A:G,7,FALSE),[1]Shipper!A:B,2,FALSE),"Not Specified")</f>
        <v>Shipper ETYNR</v>
      </c>
      <c r="O1835" t="str">
        <f>IFERROR(VLOOKUP(A1835,'[1]Sales Order'!A:I,9,FALSE),"Not Specified")</f>
        <v>Destination YCMPK</v>
      </c>
      <c r="P1835" t="str">
        <f>IFERROR(VLOOKUP(A1835,'[1]Sales Order'!A:N,14,FALSE),"Not Specified")</f>
        <v>Sweden</v>
      </c>
      <c r="Q1835" t="str">
        <f>VLOOKUP(VLOOKUP(B1835,[1]Product!A:C,3,FALSE),[1]Supplier!A:B,2,FALSE)</f>
        <v>Supplier SVIYA</v>
      </c>
      <c r="R1835" t="str">
        <f>VLOOKUP(VLOOKUP(B1835,[1]Product!A:C,3,FALSE),[1]Supplier!A:I,9,FALSE)</f>
        <v>Germany</v>
      </c>
      <c r="S1835" t="str">
        <f>IFERROR(IF(VLOOKUP(A1835,'[1]Sales Order'!A:H,8,FALSE)&gt;100,"High Freight","Low Freight"),"Not Specified")</f>
        <v>Low Freight</v>
      </c>
      <c r="T1835">
        <f t="shared" si="57"/>
        <v>74.400000000000006</v>
      </c>
    </row>
    <row r="1836" spans="1:20">
      <c r="A1836" s="1">
        <v>10956</v>
      </c>
      <c r="B1836" s="2">
        <v>21</v>
      </c>
      <c r="C1836" s="2">
        <v>10</v>
      </c>
      <c r="D1836" s="2">
        <v>12</v>
      </c>
      <c r="E1836" s="3">
        <v>0</v>
      </c>
      <c r="F1836" s="2" t="str">
        <f>IFERROR(VLOOKUP(VLOOKUP(A1836,'[1]Sales Order'!A:B,2,FALSE),[1]Customer!A:C,3,FALSE),"Not Specified")</f>
        <v>Poland, Carole</v>
      </c>
      <c r="G1836" s="2" t="str">
        <f t="shared" si="56"/>
        <v>Poland Carole</v>
      </c>
      <c r="H1836" s="8" t="str">
        <f>IFERROR(VLOOKUP(VLOOKUP(A1836,'[1]Sales Order'!A:C,3,FALSE),[1]Employee!A:E,5,FALSE)&amp;" "&amp;VLOOKUP(VLOOKUP(A1836,'[1]Sales Order'!A:C,3,FALSE),[1]Employee!A:C,3,FALSE)&amp;" "&amp;VLOOKUP(VLOOKUP(A1836,'[1]Sales Order'!A:C,3,FALSE),[1]Employee!A:B,2,FALSE),"Not Specified")</f>
        <v>Mr. Paul Suurs</v>
      </c>
      <c r="I1836">
        <f>IFERROR(VLOOKUP(VLOOKUP(A1836,'[1]Sales Order'!A:C,3,FALSE),[1]Employee!A:J,10,FALSE),"Not Specified")</f>
        <v>0</v>
      </c>
      <c r="J1836" t="str">
        <f>VLOOKUP(B1836,[1]Product!A:B,2,FALSE)</f>
        <v>Product VJZZH</v>
      </c>
      <c r="K1836" t="str">
        <f>VLOOKUP(VLOOKUP(B1836,[1]Product!A:D,4,FALSE),[1]Category!A:B,2,FALSE)</f>
        <v>Confections</v>
      </c>
      <c r="L1836" s="10">
        <f>IFERROR(VLOOKUP(A1836,'[1]Sales Order'!A:D,4,FALSE),"")</f>
        <v>39524</v>
      </c>
      <c r="M1836" s="10">
        <f>IFERROR(VLOOKUP(A1836,'[1]Sales Order'!A:F,6,FALSE),"")</f>
        <v>39527</v>
      </c>
      <c r="N1836" t="str">
        <f>IFERROR(VLOOKUP(VLOOKUP(A1836,'[1]Sales Order'!A:G,7,FALSE),[1]Shipper!A:B,2,FALSE),"Not Specified")</f>
        <v>Shipper ETYNR</v>
      </c>
      <c r="O1836" t="str">
        <f>IFERROR(VLOOKUP(A1836,'[1]Sales Order'!A:I,9,FALSE),"Not Specified")</f>
        <v>Ship to 6-B</v>
      </c>
      <c r="P1836" t="str">
        <f>IFERROR(VLOOKUP(A1836,'[1]Sales Order'!A:N,14,FALSE),"Not Specified")</f>
        <v>Germany</v>
      </c>
      <c r="Q1836" t="str">
        <f>VLOOKUP(VLOOKUP(B1836,[1]Product!A:C,3,FALSE),[1]Supplier!A:B,2,FALSE)</f>
        <v>Supplier BWGYE</v>
      </c>
      <c r="R1836" t="str">
        <f>VLOOKUP(VLOOKUP(B1836,[1]Product!A:C,3,FALSE),[1]Supplier!A:I,9,FALSE)</f>
        <v>UK</v>
      </c>
      <c r="S1836" t="str">
        <f>IFERROR(IF(VLOOKUP(A1836,'[1]Sales Order'!A:H,8,FALSE)&gt;100,"High Freight","Low Freight"),"Not Specified")</f>
        <v>Low Freight</v>
      </c>
      <c r="T1836">
        <f t="shared" si="57"/>
        <v>120</v>
      </c>
    </row>
    <row r="1837" spans="1:20">
      <c r="A1837" s="1">
        <v>10956</v>
      </c>
      <c r="B1837" s="2">
        <v>47</v>
      </c>
      <c r="C1837" s="2">
        <v>9.5</v>
      </c>
      <c r="D1837" s="2">
        <v>14</v>
      </c>
      <c r="E1837" s="3">
        <v>0</v>
      </c>
      <c r="F1837" s="2" t="str">
        <f>IFERROR(VLOOKUP(VLOOKUP(A1837,'[1]Sales Order'!A:B,2,FALSE),[1]Customer!A:C,3,FALSE),"Not Specified")</f>
        <v>Poland, Carole</v>
      </c>
      <c r="G1837" s="2" t="str">
        <f t="shared" si="56"/>
        <v>Poland Carole</v>
      </c>
      <c r="H1837" s="8" t="str">
        <f>IFERROR(VLOOKUP(VLOOKUP(A1837,'[1]Sales Order'!A:C,3,FALSE),[1]Employee!A:E,5,FALSE)&amp;" "&amp;VLOOKUP(VLOOKUP(A1837,'[1]Sales Order'!A:C,3,FALSE),[1]Employee!A:C,3,FALSE)&amp;" "&amp;VLOOKUP(VLOOKUP(A1837,'[1]Sales Order'!A:C,3,FALSE),[1]Employee!A:B,2,FALSE),"Not Specified")</f>
        <v>Mr. Paul Suurs</v>
      </c>
      <c r="I1837">
        <f>IFERROR(VLOOKUP(VLOOKUP(A1837,'[1]Sales Order'!A:C,3,FALSE),[1]Employee!A:J,10,FALSE),"Not Specified")</f>
        <v>0</v>
      </c>
      <c r="J1837" t="str">
        <f>VLOOKUP(B1837,[1]Product!A:B,2,FALSE)</f>
        <v>Product EZZPR</v>
      </c>
      <c r="K1837" t="str">
        <f>VLOOKUP(VLOOKUP(B1837,[1]Product!A:D,4,FALSE),[1]Category!A:B,2,FALSE)</f>
        <v>Confections</v>
      </c>
      <c r="L1837" s="10">
        <f>IFERROR(VLOOKUP(A1837,'[1]Sales Order'!A:D,4,FALSE),"")</f>
        <v>39524</v>
      </c>
      <c r="M1837" s="10">
        <f>IFERROR(VLOOKUP(A1837,'[1]Sales Order'!A:F,6,FALSE),"")</f>
        <v>39527</v>
      </c>
      <c r="N1837" t="str">
        <f>IFERROR(VLOOKUP(VLOOKUP(A1837,'[1]Sales Order'!A:G,7,FALSE),[1]Shipper!A:B,2,FALSE),"Not Specified")</f>
        <v>Shipper ETYNR</v>
      </c>
      <c r="O1837" t="str">
        <f>IFERROR(VLOOKUP(A1837,'[1]Sales Order'!A:I,9,FALSE),"Not Specified")</f>
        <v>Ship to 6-B</v>
      </c>
      <c r="P1837" t="str">
        <f>IFERROR(VLOOKUP(A1837,'[1]Sales Order'!A:N,14,FALSE),"Not Specified")</f>
        <v>Germany</v>
      </c>
      <c r="Q1837" t="str">
        <f>VLOOKUP(VLOOKUP(B1837,[1]Product!A:C,3,FALSE),[1]Supplier!A:B,2,FALSE)</f>
        <v>Supplier FNUXM</v>
      </c>
      <c r="R1837" t="str">
        <f>VLOOKUP(VLOOKUP(B1837,[1]Product!A:C,3,FALSE),[1]Supplier!A:I,9,FALSE)</f>
        <v>Netherlands</v>
      </c>
      <c r="S1837" t="str">
        <f>IFERROR(IF(VLOOKUP(A1837,'[1]Sales Order'!A:H,8,FALSE)&gt;100,"High Freight","Low Freight"),"Not Specified")</f>
        <v>Low Freight</v>
      </c>
      <c r="T1837">
        <f t="shared" si="57"/>
        <v>133</v>
      </c>
    </row>
    <row r="1838" spans="1:20">
      <c r="A1838" s="1">
        <v>10956</v>
      </c>
      <c r="B1838" s="2">
        <v>51</v>
      </c>
      <c r="C1838" s="2">
        <v>53</v>
      </c>
      <c r="D1838" s="2">
        <v>8</v>
      </c>
      <c r="E1838" s="3">
        <v>0</v>
      </c>
      <c r="F1838" s="2" t="str">
        <f>IFERROR(VLOOKUP(VLOOKUP(A1838,'[1]Sales Order'!A:B,2,FALSE),[1]Customer!A:C,3,FALSE),"Not Specified")</f>
        <v>Poland, Carole</v>
      </c>
      <c r="G1838" s="2" t="str">
        <f t="shared" si="56"/>
        <v>Poland Carole</v>
      </c>
      <c r="H1838" s="8" t="str">
        <f>IFERROR(VLOOKUP(VLOOKUP(A1838,'[1]Sales Order'!A:C,3,FALSE),[1]Employee!A:E,5,FALSE)&amp;" "&amp;VLOOKUP(VLOOKUP(A1838,'[1]Sales Order'!A:C,3,FALSE),[1]Employee!A:C,3,FALSE)&amp;" "&amp;VLOOKUP(VLOOKUP(A1838,'[1]Sales Order'!A:C,3,FALSE),[1]Employee!A:B,2,FALSE),"Not Specified")</f>
        <v>Mr. Paul Suurs</v>
      </c>
      <c r="I1838">
        <f>IFERROR(VLOOKUP(VLOOKUP(A1838,'[1]Sales Order'!A:C,3,FALSE),[1]Employee!A:J,10,FALSE),"Not Specified")</f>
        <v>0</v>
      </c>
      <c r="J1838" t="str">
        <f>VLOOKUP(B1838,[1]Product!A:B,2,FALSE)</f>
        <v>Product APITJ</v>
      </c>
      <c r="K1838" t="str">
        <f>VLOOKUP(VLOOKUP(B1838,[1]Product!A:D,4,FALSE),[1]Category!A:B,2,FALSE)</f>
        <v>Produce</v>
      </c>
      <c r="L1838" s="10">
        <f>IFERROR(VLOOKUP(A1838,'[1]Sales Order'!A:D,4,FALSE),"")</f>
        <v>39524</v>
      </c>
      <c r="M1838" s="10">
        <f>IFERROR(VLOOKUP(A1838,'[1]Sales Order'!A:F,6,FALSE),"")</f>
        <v>39527</v>
      </c>
      <c r="N1838" t="str">
        <f>IFERROR(VLOOKUP(VLOOKUP(A1838,'[1]Sales Order'!A:G,7,FALSE),[1]Shipper!A:B,2,FALSE),"Not Specified")</f>
        <v>Shipper ETYNR</v>
      </c>
      <c r="O1838" t="str">
        <f>IFERROR(VLOOKUP(A1838,'[1]Sales Order'!A:I,9,FALSE),"Not Specified")</f>
        <v>Ship to 6-B</v>
      </c>
      <c r="P1838" t="str">
        <f>IFERROR(VLOOKUP(A1838,'[1]Sales Order'!A:N,14,FALSE),"Not Specified")</f>
        <v>Germany</v>
      </c>
      <c r="Q1838" t="str">
        <f>VLOOKUP(VLOOKUP(B1838,[1]Product!A:C,3,FALSE),[1]Supplier!A:B,2,FALSE)</f>
        <v>Supplier JNNES</v>
      </c>
      <c r="R1838" t="str">
        <f>VLOOKUP(VLOOKUP(B1838,[1]Product!A:C,3,FALSE),[1]Supplier!A:I,9,FALSE)</f>
        <v>Australia</v>
      </c>
      <c r="S1838" t="str">
        <f>IFERROR(IF(VLOOKUP(A1838,'[1]Sales Order'!A:H,8,FALSE)&gt;100,"High Freight","Low Freight"),"Not Specified")</f>
        <v>Low Freight</v>
      </c>
      <c r="T1838">
        <f t="shared" si="57"/>
        <v>424</v>
      </c>
    </row>
    <row r="1839" spans="1:20">
      <c r="A1839" s="1">
        <v>10957</v>
      </c>
      <c r="B1839" s="2">
        <v>30</v>
      </c>
      <c r="C1839" s="2">
        <v>25.89</v>
      </c>
      <c r="D1839" s="2">
        <v>30</v>
      </c>
      <c r="E1839" s="3">
        <v>0</v>
      </c>
      <c r="F1839" s="2" t="str">
        <f>IFERROR(VLOOKUP(VLOOKUP(A1839,'[1]Sales Order'!A:B,2,FALSE),[1]Customer!A:C,3,FALSE),"Not Specified")</f>
        <v>Langohr, Kris</v>
      </c>
      <c r="G1839" s="2" t="str">
        <f t="shared" si="56"/>
        <v>Langohr Kris</v>
      </c>
      <c r="H1839" s="8" t="str">
        <f>IFERROR(VLOOKUP(VLOOKUP(A1839,'[1]Sales Order'!A:C,3,FALSE),[1]Employee!A:E,5,FALSE)&amp;" "&amp;VLOOKUP(VLOOKUP(A1839,'[1]Sales Order'!A:C,3,FALSE),[1]Employee!A:C,3,FALSE)&amp;" "&amp;VLOOKUP(VLOOKUP(A1839,'[1]Sales Order'!A:C,3,FALSE),[1]Employee!A:B,2,FALSE),"Not Specified")</f>
        <v>Ms. Maria Cameron</v>
      </c>
      <c r="I1839" t="str">
        <f>IFERROR(VLOOKUP(VLOOKUP(A1839,'[1]Sales Order'!A:C,3,FALSE),[1]Employee!A:J,10,FALSE),"Not Specified")</f>
        <v>WA</v>
      </c>
      <c r="J1839" t="str">
        <f>VLOOKUP(B1839,[1]Product!A:B,2,FALSE)</f>
        <v>Product LYERX</v>
      </c>
      <c r="K1839" t="str">
        <f>VLOOKUP(VLOOKUP(B1839,[1]Product!A:D,4,FALSE),[1]Category!A:B,2,FALSE)</f>
        <v>Seafood</v>
      </c>
      <c r="L1839" s="10">
        <f>IFERROR(VLOOKUP(A1839,'[1]Sales Order'!A:D,4,FALSE),"")</f>
        <v>39525</v>
      </c>
      <c r="M1839" s="10">
        <f>IFERROR(VLOOKUP(A1839,'[1]Sales Order'!A:F,6,FALSE),"")</f>
        <v>39534</v>
      </c>
      <c r="N1839" t="str">
        <f>IFERROR(VLOOKUP(VLOOKUP(A1839,'[1]Sales Order'!A:G,7,FALSE),[1]Shipper!A:B,2,FALSE),"Not Specified")</f>
        <v>Shipper ZHISN</v>
      </c>
      <c r="O1839" t="str">
        <f>IFERROR(VLOOKUP(A1839,'[1]Sales Order'!A:I,9,FALSE),"Not Specified")</f>
        <v>Destination UOUWK</v>
      </c>
      <c r="P1839" t="str">
        <f>IFERROR(VLOOKUP(A1839,'[1]Sales Order'!A:N,14,FALSE),"Not Specified")</f>
        <v>Venezuela</v>
      </c>
      <c r="Q1839" t="str">
        <f>VLOOKUP(VLOOKUP(B1839,[1]Product!A:C,3,FALSE),[1]Supplier!A:B,2,FALSE)</f>
        <v>Supplier TEGSC</v>
      </c>
      <c r="R1839" t="str">
        <f>VLOOKUP(VLOOKUP(B1839,[1]Product!A:C,3,FALSE),[1]Supplier!A:I,9,FALSE)</f>
        <v>Germany</v>
      </c>
      <c r="S1839" t="str">
        <f>IFERROR(IF(VLOOKUP(A1839,'[1]Sales Order'!A:H,8,FALSE)&gt;100,"High Freight","Low Freight"),"Not Specified")</f>
        <v>High Freight</v>
      </c>
      <c r="T1839">
        <f t="shared" si="57"/>
        <v>776.7</v>
      </c>
    </row>
    <row r="1840" spans="1:20">
      <c r="A1840" s="1">
        <v>10957</v>
      </c>
      <c r="B1840" s="2">
        <v>35</v>
      </c>
      <c r="C1840" s="2">
        <v>18</v>
      </c>
      <c r="D1840" s="2">
        <v>40</v>
      </c>
      <c r="E1840" s="3">
        <v>0</v>
      </c>
      <c r="F1840" s="2" t="str">
        <f>IFERROR(VLOOKUP(VLOOKUP(A1840,'[1]Sales Order'!A:B,2,FALSE),[1]Customer!A:C,3,FALSE),"Not Specified")</f>
        <v>Langohr, Kris</v>
      </c>
      <c r="G1840" s="2" t="str">
        <f t="shared" si="56"/>
        <v>Langohr Kris</v>
      </c>
      <c r="H1840" s="8" t="str">
        <f>IFERROR(VLOOKUP(VLOOKUP(A1840,'[1]Sales Order'!A:C,3,FALSE),[1]Employee!A:E,5,FALSE)&amp;" "&amp;VLOOKUP(VLOOKUP(A1840,'[1]Sales Order'!A:C,3,FALSE),[1]Employee!A:C,3,FALSE)&amp;" "&amp;VLOOKUP(VLOOKUP(A1840,'[1]Sales Order'!A:C,3,FALSE),[1]Employee!A:B,2,FALSE),"Not Specified")</f>
        <v>Ms. Maria Cameron</v>
      </c>
      <c r="I1840" t="str">
        <f>IFERROR(VLOOKUP(VLOOKUP(A1840,'[1]Sales Order'!A:C,3,FALSE),[1]Employee!A:J,10,FALSE),"Not Specified")</f>
        <v>WA</v>
      </c>
      <c r="J1840" t="str">
        <f>VLOOKUP(B1840,[1]Product!A:B,2,FALSE)</f>
        <v>Product NEVTJ</v>
      </c>
      <c r="K1840" t="str">
        <f>VLOOKUP(VLOOKUP(B1840,[1]Product!A:D,4,FALSE),[1]Category!A:B,2,FALSE)</f>
        <v>Beverages</v>
      </c>
      <c r="L1840" s="10">
        <f>IFERROR(VLOOKUP(A1840,'[1]Sales Order'!A:D,4,FALSE),"")</f>
        <v>39525</v>
      </c>
      <c r="M1840" s="10">
        <f>IFERROR(VLOOKUP(A1840,'[1]Sales Order'!A:F,6,FALSE),"")</f>
        <v>39534</v>
      </c>
      <c r="N1840" t="str">
        <f>IFERROR(VLOOKUP(VLOOKUP(A1840,'[1]Sales Order'!A:G,7,FALSE),[1]Shipper!A:B,2,FALSE),"Not Specified")</f>
        <v>Shipper ZHISN</v>
      </c>
      <c r="O1840" t="str">
        <f>IFERROR(VLOOKUP(A1840,'[1]Sales Order'!A:I,9,FALSE),"Not Specified")</f>
        <v>Destination UOUWK</v>
      </c>
      <c r="P1840" t="str">
        <f>IFERROR(VLOOKUP(A1840,'[1]Sales Order'!A:N,14,FALSE),"Not Specified")</f>
        <v>Venezuela</v>
      </c>
      <c r="Q1840" t="str">
        <f>VLOOKUP(VLOOKUP(B1840,[1]Product!A:C,3,FALSE),[1]Supplier!A:B,2,FALSE)</f>
        <v>Supplier UHZRG</v>
      </c>
      <c r="R1840" t="str">
        <f>VLOOKUP(VLOOKUP(B1840,[1]Product!A:C,3,FALSE),[1]Supplier!A:I,9,FALSE)</f>
        <v>USA</v>
      </c>
      <c r="S1840" t="str">
        <f>IFERROR(IF(VLOOKUP(A1840,'[1]Sales Order'!A:H,8,FALSE)&gt;100,"High Freight","Low Freight"),"Not Specified")</f>
        <v>High Freight</v>
      </c>
      <c r="T1840">
        <f t="shared" si="57"/>
        <v>720</v>
      </c>
    </row>
    <row r="1841" spans="1:20">
      <c r="A1841" s="1">
        <v>10957</v>
      </c>
      <c r="B1841" s="2">
        <v>64</v>
      </c>
      <c r="C1841" s="2">
        <v>33.25</v>
      </c>
      <c r="D1841" s="2">
        <v>8</v>
      </c>
      <c r="E1841" s="3">
        <v>0</v>
      </c>
      <c r="F1841" s="2" t="str">
        <f>IFERROR(VLOOKUP(VLOOKUP(A1841,'[1]Sales Order'!A:B,2,FALSE),[1]Customer!A:C,3,FALSE),"Not Specified")</f>
        <v>Langohr, Kris</v>
      </c>
      <c r="G1841" s="2" t="str">
        <f t="shared" si="56"/>
        <v>Langohr Kris</v>
      </c>
      <c r="H1841" s="8" t="str">
        <f>IFERROR(VLOOKUP(VLOOKUP(A1841,'[1]Sales Order'!A:C,3,FALSE),[1]Employee!A:E,5,FALSE)&amp;" "&amp;VLOOKUP(VLOOKUP(A1841,'[1]Sales Order'!A:C,3,FALSE),[1]Employee!A:C,3,FALSE)&amp;" "&amp;VLOOKUP(VLOOKUP(A1841,'[1]Sales Order'!A:C,3,FALSE),[1]Employee!A:B,2,FALSE),"Not Specified")</f>
        <v>Ms. Maria Cameron</v>
      </c>
      <c r="I1841" t="str">
        <f>IFERROR(VLOOKUP(VLOOKUP(A1841,'[1]Sales Order'!A:C,3,FALSE),[1]Employee!A:J,10,FALSE),"Not Specified")</f>
        <v>WA</v>
      </c>
      <c r="J1841" t="str">
        <f>VLOOKUP(B1841,[1]Product!A:B,2,FALSE)</f>
        <v>Product HCQDE</v>
      </c>
      <c r="K1841" t="str">
        <f>VLOOKUP(VLOOKUP(B1841,[1]Product!A:D,4,FALSE),[1]Category!A:B,2,FALSE)</f>
        <v>Grains/Cereals</v>
      </c>
      <c r="L1841" s="10">
        <f>IFERROR(VLOOKUP(A1841,'[1]Sales Order'!A:D,4,FALSE),"")</f>
        <v>39525</v>
      </c>
      <c r="M1841" s="10">
        <f>IFERROR(VLOOKUP(A1841,'[1]Sales Order'!A:F,6,FALSE),"")</f>
        <v>39534</v>
      </c>
      <c r="N1841" t="str">
        <f>IFERROR(VLOOKUP(VLOOKUP(A1841,'[1]Sales Order'!A:G,7,FALSE),[1]Shipper!A:B,2,FALSE),"Not Specified")</f>
        <v>Shipper ZHISN</v>
      </c>
      <c r="O1841" t="str">
        <f>IFERROR(VLOOKUP(A1841,'[1]Sales Order'!A:I,9,FALSE),"Not Specified")</f>
        <v>Destination UOUWK</v>
      </c>
      <c r="P1841" t="str">
        <f>IFERROR(VLOOKUP(A1841,'[1]Sales Order'!A:N,14,FALSE),"Not Specified")</f>
        <v>Venezuela</v>
      </c>
      <c r="Q1841" t="str">
        <f>VLOOKUP(VLOOKUP(B1841,[1]Product!A:C,3,FALSE),[1]Supplier!A:B,2,FALSE)</f>
        <v>Supplier SVIYA</v>
      </c>
      <c r="R1841" t="str">
        <f>VLOOKUP(VLOOKUP(B1841,[1]Product!A:C,3,FALSE),[1]Supplier!A:I,9,FALSE)</f>
        <v>Germany</v>
      </c>
      <c r="S1841" t="str">
        <f>IFERROR(IF(VLOOKUP(A1841,'[1]Sales Order'!A:H,8,FALSE)&gt;100,"High Freight","Low Freight"),"Not Specified")</f>
        <v>High Freight</v>
      </c>
      <c r="T1841">
        <f t="shared" si="57"/>
        <v>266</v>
      </c>
    </row>
    <row r="1842" spans="1:20">
      <c r="A1842" s="1">
        <v>10958</v>
      </c>
      <c r="B1842" s="2">
        <v>5</v>
      </c>
      <c r="C1842" s="2">
        <v>21.35</v>
      </c>
      <c r="D1842" s="2">
        <v>20</v>
      </c>
      <c r="E1842" s="3">
        <v>0</v>
      </c>
      <c r="F1842" s="2" t="str">
        <f>IFERROR(VLOOKUP(VLOOKUP(A1842,'[1]Sales Order'!A:B,2,FALSE),[1]Customer!A:C,3,FALSE),"Not Specified")</f>
        <v>Tiano, Mike</v>
      </c>
      <c r="G1842" s="2" t="str">
        <f t="shared" si="56"/>
        <v>Tiano Mike</v>
      </c>
      <c r="H1842" s="8" t="str">
        <f>IFERROR(VLOOKUP(VLOOKUP(A1842,'[1]Sales Order'!A:C,3,FALSE),[1]Employee!A:E,5,FALSE)&amp;" "&amp;VLOOKUP(VLOOKUP(A1842,'[1]Sales Order'!A:C,3,FALSE),[1]Employee!A:C,3,FALSE)&amp;" "&amp;VLOOKUP(VLOOKUP(A1842,'[1]Sales Order'!A:C,3,FALSE),[1]Employee!A:B,2,FALSE),"Not Specified")</f>
        <v>Mr. Russell King</v>
      </c>
      <c r="I1842">
        <f>IFERROR(VLOOKUP(VLOOKUP(A1842,'[1]Sales Order'!A:C,3,FALSE),[1]Employee!A:J,10,FALSE),"Not Specified")</f>
        <v>0</v>
      </c>
      <c r="J1842" t="str">
        <f>VLOOKUP(B1842,[1]Product!A:B,2,FALSE)</f>
        <v>Product EPEIM</v>
      </c>
      <c r="K1842" t="str">
        <f>VLOOKUP(VLOOKUP(B1842,[1]Product!A:D,4,FALSE),[1]Category!A:B,2,FALSE)</f>
        <v>Condiments</v>
      </c>
      <c r="L1842" s="10">
        <f>IFERROR(VLOOKUP(A1842,'[1]Sales Order'!A:D,4,FALSE),"")</f>
        <v>39525</v>
      </c>
      <c r="M1842" s="10">
        <f>IFERROR(VLOOKUP(A1842,'[1]Sales Order'!A:F,6,FALSE),"")</f>
        <v>39534</v>
      </c>
      <c r="N1842" t="str">
        <f>IFERROR(VLOOKUP(VLOOKUP(A1842,'[1]Sales Order'!A:G,7,FALSE),[1]Shipper!A:B,2,FALSE),"Not Specified")</f>
        <v>Shipper ETYNR</v>
      </c>
      <c r="O1842" t="str">
        <f>IFERROR(VLOOKUP(A1842,'[1]Sales Order'!A:I,9,FALSE),"Not Specified")</f>
        <v>Ship to 54-C</v>
      </c>
      <c r="P1842" t="str">
        <f>IFERROR(VLOOKUP(A1842,'[1]Sales Order'!A:N,14,FALSE),"Not Specified")</f>
        <v>Argentina</v>
      </c>
      <c r="Q1842" t="str">
        <f>VLOOKUP(VLOOKUP(B1842,[1]Product!A:C,3,FALSE),[1]Supplier!A:B,2,FALSE)</f>
        <v>Supplier VHQZD</v>
      </c>
      <c r="R1842" t="str">
        <f>VLOOKUP(VLOOKUP(B1842,[1]Product!A:C,3,FALSE),[1]Supplier!A:I,9,FALSE)</f>
        <v>USA</v>
      </c>
      <c r="S1842" t="str">
        <f>IFERROR(IF(VLOOKUP(A1842,'[1]Sales Order'!A:H,8,FALSE)&gt;100,"High Freight","Low Freight"),"Not Specified")</f>
        <v>Low Freight</v>
      </c>
      <c r="T1842">
        <f t="shared" si="57"/>
        <v>427</v>
      </c>
    </row>
    <row r="1843" spans="1:20">
      <c r="A1843" s="1">
        <v>10958</v>
      </c>
      <c r="B1843" s="2">
        <v>7</v>
      </c>
      <c r="C1843" s="2">
        <v>30</v>
      </c>
      <c r="D1843" s="2">
        <v>6</v>
      </c>
      <c r="E1843" s="3">
        <v>0</v>
      </c>
      <c r="F1843" s="2" t="str">
        <f>IFERROR(VLOOKUP(VLOOKUP(A1843,'[1]Sales Order'!A:B,2,FALSE),[1]Customer!A:C,3,FALSE),"Not Specified")</f>
        <v>Tiano, Mike</v>
      </c>
      <c r="G1843" s="2" t="str">
        <f t="shared" si="56"/>
        <v>Tiano Mike</v>
      </c>
      <c r="H1843" s="8" t="str">
        <f>IFERROR(VLOOKUP(VLOOKUP(A1843,'[1]Sales Order'!A:C,3,FALSE),[1]Employee!A:E,5,FALSE)&amp;" "&amp;VLOOKUP(VLOOKUP(A1843,'[1]Sales Order'!A:C,3,FALSE),[1]Employee!A:C,3,FALSE)&amp;" "&amp;VLOOKUP(VLOOKUP(A1843,'[1]Sales Order'!A:C,3,FALSE),[1]Employee!A:B,2,FALSE),"Not Specified")</f>
        <v>Mr. Russell King</v>
      </c>
      <c r="I1843">
        <f>IFERROR(VLOOKUP(VLOOKUP(A1843,'[1]Sales Order'!A:C,3,FALSE),[1]Employee!A:J,10,FALSE),"Not Specified")</f>
        <v>0</v>
      </c>
      <c r="J1843" t="str">
        <f>VLOOKUP(B1843,[1]Product!A:B,2,FALSE)</f>
        <v>Product HMLNI</v>
      </c>
      <c r="K1843" t="str">
        <f>VLOOKUP(VLOOKUP(B1843,[1]Product!A:D,4,FALSE),[1]Category!A:B,2,FALSE)</f>
        <v>Produce</v>
      </c>
      <c r="L1843" s="10">
        <f>IFERROR(VLOOKUP(A1843,'[1]Sales Order'!A:D,4,FALSE),"")</f>
        <v>39525</v>
      </c>
      <c r="M1843" s="10">
        <f>IFERROR(VLOOKUP(A1843,'[1]Sales Order'!A:F,6,FALSE),"")</f>
        <v>39534</v>
      </c>
      <c r="N1843" t="str">
        <f>IFERROR(VLOOKUP(VLOOKUP(A1843,'[1]Sales Order'!A:G,7,FALSE),[1]Shipper!A:B,2,FALSE),"Not Specified")</f>
        <v>Shipper ETYNR</v>
      </c>
      <c r="O1843" t="str">
        <f>IFERROR(VLOOKUP(A1843,'[1]Sales Order'!A:I,9,FALSE),"Not Specified")</f>
        <v>Ship to 54-C</v>
      </c>
      <c r="P1843" t="str">
        <f>IFERROR(VLOOKUP(A1843,'[1]Sales Order'!A:N,14,FALSE),"Not Specified")</f>
        <v>Argentina</v>
      </c>
      <c r="Q1843" t="str">
        <f>VLOOKUP(VLOOKUP(B1843,[1]Product!A:C,3,FALSE),[1]Supplier!A:B,2,FALSE)</f>
        <v>Supplier STUAZ</v>
      </c>
      <c r="R1843" t="str">
        <f>VLOOKUP(VLOOKUP(B1843,[1]Product!A:C,3,FALSE),[1]Supplier!A:I,9,FALSE)</f>
        <v>USA</v>
      </c>
      <c r="S1843" t="str">
        <f>IFERROR(IF(VLOOKUP(A1843,'[1]Sales Order'!A:H,8,FALSE)&gt;100,"High Freight","Low Freight"),"Not Specified")</f>
        <v>Low Freight</v>
      </c>
      <c r="T1843">
        <f t="shared" si="57"/>
        <v>180</v>
      </c>
    </row>
    <row r="1844" spans="1:20">
      <c r="A1844" s="1">
        <v>10958</v>
      </c>
      <c r="B1844" s="2">
        <v>72</v>
      </c>
      <c r="C1844" s="2">
        <v>34.799999999999997</v>
      </c>
      <c r="D1844" s="2">
        <v>5</v>
      </c>
      <c r="E1844" s="3">
        <v>0</v>
      </c>
      <c r="F1844" s="2" t="str">
        <f>IFERROR(VLOOKUP(VLOOKUP(A1844,'[1]Sales Order'!A:B,2,FALSE),[1]Customer!A:C,3,FALSE),"Not Specified")</f>
        <v>Tiano, Mike</v>
      </c>
      <c r="G1844" s="2" t="str">
        <f t="shared" si="56"/>
        <v>Tiano Mike</v>
      </c>
      <c r="H1844" s="8" t="str">
        <f>IFERROR(VLOOKUP(VLOOKUP(A1844,'[1]Sales Order'!A:C,3,FALSE),[1]Employee!A:E,5,FALSE)&amp;" "&amp;VLOOKUP(VLOOKUP(A1844,'[1]Sales Order'!A:C,3,FALSE),[1]Employee!A:C,3,FALSE)&amp;" "&amp;VLOOKUP(VLOOKUP(A1844,'[1]Sales Order'!A:C,3,FALSE),[1]Employee!A:B,2,FALSE),"Not Specified")</f>
        <v>Mr. Russell King</v>
      </c>
      <c r="I1844">
        <f>IFERROR(VLOOKUP(VLOOKUP(A1844,'[1]Sales Order'!A:C,3,FALSE),[1]Employee!A:J,10,FALSE),"Not Specified")</f>
        <v>0</v>
      </c>
      <c r="J1844" t="str">
        <f>VLOOKUP(B1844,[1]Product!A:B,2,FALSE)</f>
        <v>Product GEEOO</v>
      </c>
      <c r="K1844" t="str">
        <f>VLOOKUP(VLOOKUP(B1844,[1]Product!A:D,4,FALSE),[1]Category!A:B,2,FALSE)</f>
        <v>Dairy Product</v>
      </c>
      <c r="L1844" s="10">
        <f>IFERROR(VLOOKUP(A1844,'[1]Sales Order'!A:D,4,FALSE),"")</f>
        <v>39525</v>
      </c>
      <c r="M1844" s="10">
        <f>IFERROR(VLOOKUP(A1844,'[1]Sales Order'!A:F,6,FALSE),"")</f>
        <v>39534</v>
      </c>
      <c r="N1844" t="str">
        <f>IFERROR(VLOOKUP(VLOOKUP(A1844,'[1]Sales Order'!A:G,7,FALSE),[1]Shipper!A:B,2,FALSE),"Not Specified")</f>
        <v>Shipper ETYNR</v>
      </c>
      <c r="O1844" t="str">
        <f>IFERROR(VLOOKUP(A1844,'[1]Sales Order'!A:I,9,FALSE),"Not Specified")</f>
        <v>Ship to 54-C</v>
      </c>
      <c r="P1844" t="str">
        <f>IFERROR(VLOOKUP(A1844,'[1]Sales Order'!A:N,14,FALSE),"Not Specified")</f>
        <v>Argentina</v>
      </c>
      <c r="Q1844" t="str">
        <f>VLOOKUP(VLOOKUP(B1844,[1]Product!A:C,3,FALSE),[1]Supplier!A:B,2,FALSE)</f>
        <v>Supplier KEREV</v>
      </c>
      <c r="R1844" t="str">
        <f>VLOOKUP(VLOOKUP(B1844,[1]Product!A:C,3,FALSE),[1]Supplier!A:I,9,FALSE)</f>
        <v>Italy</v>
      </c>
      <c r="S1844" t="str">
        <f>IFERROR(IF(VLOOKUP(A1844,'[1]Sales Order'!A:H,8,FALSE)&gt;100,"High Freight","Low Freight"),"Not Specified")</f>
        <v>Low Freight</v>
      </c>
      <c r="T1844">
        <f t="shared" si="57"/>
        <v>174</v>
      </c>
    </row>
    <row r="1845" spans="1:20">
      <c r="A1845" s="1">
        <v>10959</v>
      </c>
      <c r="B1845" s="2">
        <v>75</v>
      </c>
      <c r="C1845" s="2">
        <v>7.75</v>
      </c>
      <c r="D1845" s="2">
        <v>20</v>
      </c>
      <c r="E1845" s="3">
        <v>0.15</v>
      </c>
      <c r="F1845" s="2" t="str">
        <f>IFERROR(VLOOKUP(VLOOKUP(A1845,'[1]Sales Order'!A:B,2,FALSE),[1]Customer!A:C,3,FALSE),"Not Specified")</f>
        <v>Cheng, Yao-Qiang</v>
      </c>
      <c r="G1845" s="2" t="str">
        <f t="shared" si="56"/>
        <v>Cheng Yao-Qiang</v>
      </c>
      <c r="H1845" s="8" t="str">
        <f>IFERROR(VLOOKUP(VLOOKUP(A1845,'[1]Sales Order'!A:C,3,FALSE),[1]Employee!A:E,5,FALSE)&amp;" "&amp;VLOOKUP(VLOOKUP(A1845,'[1]Sales Order'!A:C,3,FALSE),[1]Employee!A:C,3,FALSE)&amp;" "&amp;VLOOKUP(VLOOKUP(A1845,'[1]Sales Order'!A:C,3,FALSE),[1]Employee!A:B,2,FALSE),"Not Specified")</f>
        <v>Mr. Paul Suurs</v>
      </c>
      <c r="I1845">
        <f>IFERROR(VLOOKUP(VLOOKUP(A1845,'[1]Sales Order'!A:C,3,FALSE),[1]Employee!A:J,10,FALSE),"Not Specified")</f>
        <v>0</v>
      </c>
      <c r="J1845" t="str">
        <f>VLOOKUP(B1845,[1]Product!A:B,2,FALSE)</f>
        <v>Product BWRLG</v>
      </c>
      <c r="K1845" t="str">
        <f>VLOOKUP(VLOOKUP(B1845,[1]Product!A:D,4,FALSE),[1]Category!A:B,2,FALSE)</f>
        <v>Beverages</v>
      </c>
      <c r="L1845" s="10">
        <f>IFERROR(VLOOKUP(A1845,'[1]Sales Order'!A:D,4,FALSE),"")</f>
        <v>39525</v>
      </c>
      <c r="M1845" s="10">
        <f>IFERROR(VLOOKUP(A1845,'[1]Sales Order'!A:F,6,FALSE),"")</f>
        <v>39530</v>
      </c>
      <c r="N1845" t="str">
        <f>IFERROR(VLOOKUP(VLOOKUP(A1845,'[1]Sales Order'!A:G,7,FALSE),[1]Shipper!A:B,2,FALSE),"Not Specified")</f>
        <v>Shipper ETYNR</v>
      </c>
      <c r="O1845" t="str">
        <f>IFERROR(VLOOKUP(A1845,'[1]Sales Order'!A:I,9,FALSE),"Not Specified")</f>
        <v>Destination GWPFK</v>
      </c>
      <c r="P1845" t="str">
        <f>IFERROR(VLOOKUP(A1845,'[1]Sales Order'!A:N,14,FALSE),"Not Specified")</f>
        <v>Brazil</v>
      </c>
      <c r="Q1845" t="str">
        <f>VLOOKUP(VLOOKUP(B1845,[1]Product!A:C,3,FALSE),[1]Supplier!A:B,2,FALSE)</f>
        <v>Supplier SVIYA</v>
      </c>
      <c r="R1845" t="str">
        <f>VLOOKUP(VLOOKUP(B1845,[1]Product!A:C,3,FALSE),[1]Supplier!A:I,9,FALSE)</f>
        <v>Germany</v>
      </c>
      <c r="S1845" t="str">
        <f>IFERROR(IF(VLOOKUP(A1845,'[1]Sales Order'!A:H,8,FALSE)&gt;100,"High Freight","Low Freight"),"Not Specified")</f>
        <v>Low Freight</v>
      </c>
      <c r="T1845">
        <f t="shared" si="57"/>
        <v>131.75</v>
      </c>
    </row>
    <row r="1846" spans="1:20">
      <c r="A1846" s="1">
        <v>10960</v>
      </c>
      <c r="B1846" s="2">
        <v>24</v>
      </c>
      <c r="C1846" s="2">
        <v>4.5</v>
      </c>
      <c r="D1846" s="2">
        <v>10</v>
      </c>
      <c r="E1846" s="3">
        <v>0.25</v>
      </c>
      <c r="F1846" s="2" t="str">
        <f>IFERROR(VLOOKUP(VLOOKUP(A1846,'[1]Sales Order'!A:B,2,FALSE),[1]Customer!A:C,3,FALSE),"Not Specified")</f>
        <v>Langohr, Kris</v>
      </c>
      <c r="G1846" s="2" t="str">
        <f t="shared" si="56"/>
        <v>Langohr Kris</v>
      </c>
      <c r="H1846" s="8" t="str">
        <f>IFERROR(VLOOKUP(VLOOKUP(A1846,'[1]Sales Order'!A:C,3,FALSE),[1]Employee!A:E,5,FALSE)&amp;" "&amp;VLOOKUP(VLOOKUP(A1846,'[1]Sales Order'!A:C,3,FALSE),[1]Employee!A:C,3,FALSE)&amp;" "&amp;VLOOKUP(VLOOKUP(A1846,'[1]Sales Order'!A:C,3,FALSE),[1]Employee!A:B,2,FALSE),"Not Specified")</f>
        <v>Ms. Judy Lew</v>
      </c>
      <c r="I1846" t="str">
        <f>IFERROR(VLOOKUP(VLOOKUP(A1846,'[1]Sales Order'!A:C,3,FALSE),[1]Employee!A:J,10,FALSE),"Not Specified")</f>
        <v>WA</v>
      </c>
      <c r="J1846" t="str">
        <f>VLOOKUP(B1846,[1]Product!A:B,2,FALSE)</f>
        <v>Product QOGNU</v>
      </c>
      <c r="K1846" t="str">
        <f>VLOOKUP(VLOOKUP(B1846,[1]Product!A:D,4,FALSE),[1]Category!A:B,2,FALSE)</f>
        <v>Beverages</v>
      </c>
      <c r="L1846" s="10">
        <f>IFERROR(VLOOKUP(A1846,'[1]Sales Order'!A:D,4,FALSE),"")</f>
        <v>39526</v>
      </c>
      <c r="M1846" s="10">
        <f>IFERROR(VLOOKUP(A1846,'[1]Sales Order'!A:F,6,FALSE),"")</f>
        <v>39546</v>
      </c>
      <c r="N1846" t="str">
        <f>IFERROR(VLOOKUP(VLOOKUP(A1846,'[1]Sales Order'!A:G,7,FALSE),[1]Shipper!A:B,2,FALSE),"Not Specified")</f>
        <v>Shipper GVSUA</v>
      </c>
      <c r="O1846" t="str">
        <f>IFERROR(VLOOKUP(A1846,'[1]Sales Order'!A:I,9,FALSE),"Not Specified")</f>
        <v>Destination SXYQX</v>
      </c>
      <c r="P1846" t="str">
        <f>IFERROR(VLOOKUP(A1846,'[1]Sales Order'!A:N,14,FALSE),"Not Specified")</f>
        <v>Venezuela</v>
      </c>
      <c r="Q1846" t="str">
        <f>VLOOKUP(VLOOKUP(B1846,[1]Product!A:C,3,FALSE),[1]Supplier!A:B,2,FALSE)</f>
        <v>Supplier UNAHG</v>
      </c>
      <c r="R1846" t="str">
        <f>VLOOKUP(VLOOKUP(B1846,[1]Product!A:C,3,FALSE),[1]Supplier!A:I,9,FALSE)</f>
        <v>Brazil</v>
      </c>
      <c r="S1846" t="str">
        <f>IFERROR(IF(VLOOKUP(A1846,'[1]Sales Order'!A:H,8,FALSE)&gt;100,"High Freight","Low Freight"),"Not Specified")</f>
        <v>Low Freight</v>
      </c>
      <c r="T1846">
        <f t="shared" si="57"/>
        <v>33.75</v>
      </c>
    </row>
    <row r="1847" spans="1:20">
      <c r="A1847" s="1">
        <v>10960</v>
      </c>
      <c r="B1847" s="2">
        <v>41</v>
      </c>
      <c r="C1847" s="2">
        <v>9.65</v>
      </c>
      <c r="D1847" s="2">
        <v>24</v>
      </c>
      <c r="E1847" s="3">
        <v>0</v>
      </c>
      <c r="F1847" s="2" t="str">
        <f>IFERROR(VLOOKUP(VLOOKUP(A1847,'[1]Sales Order'!A:B,2,FALSE),[1]Customer!A:C,3,FALSE),"Not Specified")</f>
        <v>Langohr, Kris</v>
      </c>
      <c r="G1847" s="2" t="str">
        <f t="shared" si="56"/>
        <v>Langohr Kris</v>
      </c>
      <c r="H1847" s="8" t="str">
        <f>IFERROR(VLOOKUP(VLOOKUP(A1847,'[1]Sales Order'!A:C,3,FALSE),[1]Employee!A:E,5,FALSE)&amp;" "&amp;VLOOKUP(VLOOKUP(A1847,'[1]Sales Order'!A:C,3,FALSE),[1]Employee!A:C,3,FALSE)&amp;" "&amp;VLOOKUP(VLOOKUP(A1847,'[1]Sales Order'!A:C,3,FALSE),[1]Employee!A:B,2,FALSE),"Not Specified")</f>
        <v>Ms. Judy Lew</v>
      </c>
      <c r="I1847" t="str">
        <f>IFERROR(VLOOKUP(VLOOKUP(A1847,'[1]Sales Order'!A:C,3,FALSE),[1]Employee!A:J,10,FALSE),"Not Specified")</f>
        <v>WA</v>
      </c>
      <c r="J1847" t="str">
        <f>VLOOKUP(B1847,[1]Product!A:B,2,FALSE)</f>
        <v>Product TTEEX</v>
      </c>
      <c r="K1847" t="str">
        <f>VLOOKUP(VLOOKUP(B1847,[1]Product!A:D,4,FALSE),[1]Category!A:B,2,FALSE)</f>
        <v>Seafood</v>
      </c>
      <c r="L1847" s="10">
        <f>IFERROR(VLOOKUP(A1847,'[1]Sales Order'!A:D,4,FALSE),"")</f>
        <v>39526</v>
      </c>
      <c r="M1847" s="10">
        <f>IFERROR(VLOOKUP(A1847,'[1]Sales Order'!A:F,6,FALSE),"")</f>
        <v>39546</v>
      </c>
      <c r="N1847" t="str">
        <f>IFERROR(VLOOKUP(VLOOKUP(A1847,'[1]Sales Order'!A:G,7,FALSE),[1]Shipper!A:B,2,FALSE),"Not Specified")</f>
        <v>Shipper GVSUA</v>
      </c>
      <c r="O1847" t="str">
        <f>IFERROR(VLOOKUP(A1847,'[1]Sales Order'!A:I,9,FALSE),"Not Specified")</f>
        <v>Destination SXYQX</v>
      </c>
      <c r="P1847" t="str">
        <f>IFERROR(VLOOKUP(A1847,'[1]Sales Order'!A:N,14,FALSE),"Not Specified")</f>
        <v>Venezuela</v>
      </c>
      <c r="Q1847" t="str">
        <f>VLOOKUP(VLOOKUP(B1847,[1]Product!A:C,3,FALSE),[1]Supplier!A:B,2,FALSE)</f>
        <v>Supplier JDNUG</v>
      </c>
      <c r="R1847" t="str">
        <f>VLOOKUP(VLOOKUP(B1847,[1]Product!A:C,3,FALSE),[1]Supplier!A:I,9,FALSE)</f>
        <v>USA</v>
      </c>
      <c r="S1847" t="str">
        <f>IFERROR(IF(VLOOKUP(A1847,'[1]Sales Order'!A:H,8,FALSE)&gt;100,"High Freight","Low Freight"),"Not Specified")</f>
        <v>Low Freight</v>
      </c>
      <c r="T1847">
        <f t="shared" si="57"/>
        <v>231.60000000000002</v>
      </c>
    </row>
    <row r="1848" spans="1:20">
      <c r="A1848" s="1">
        <v>10961</v>
      </c>
      <c r="B1848" s="2">
        <v>52</v>
      </c>
      <c r="C1848" s="2">
        <v>7</v>
      </c>
      <c r="D1848" s="2">
        <v>6</v>
      </c>
      <c r="E1848" s="3">
        <v>0.05</v>
      </c>
      <c r="F1848" s="2" t="str">
        <f>IFERROR(VLOOKUP(VLOOKUP(A1848,'[1]Sales Order'!A:B,2,FALSE),[1]Customer!A:C,3,FALSE),"Not Specified")</f>
        <v>Misiec, Anna</v>
      </c>
      <c r="G1848" s="2" t="str">
        <f t="shared" si="56"/>
        <v>Misiec Anna</v>
      </c>
      <c r="H1848" s="8" t="str">
        <f>IFERROR(VLOOKUP(VLOOKUP(A1848,'[1]Sales Order'!A:C,3,FALSE),[1]Employee!A:E,5,FALSE)&amp;" "&amp;VLOOKUP(VLOOKUP(A1848,'[1]Sales Order'!A:C,3,FALSE),[1]Employee!A:C,3,FALSE)&amp;" "&amp;VLOOKUP(VLOOKUP(A1848,'[1]Sales Order'!A:C,3,FALSE),[1]Employee!A:B,2,FALSE),"Not Specified")</f>
        <v>Ms. Maria Cameron</v>
      </c>
      <c r="I1848" t="str">
        <f>IFERROR(VLOOKUP(VLOOKUP(A1848,'[1]Sales Order'!A:C,3,FALSE),[1]Employee!A:J,10,FALSE),"Not Specified")</f>
        <v>WA</v>
      </c>
      <c r="J1848" t="str">
        <f>VLOOKUP(B1848,[1]Product!A:B,2,FALSE)</f>
        <v>Product QSRXF</v>
      </c>
      <c r="K1848" t="str">
        <f>VLOOKUP(VLOOKUP(B1848,[1]Product!A:D,4,FALSE),[1]Category!A:B,2,FALSE)</f>
        <v>Grains/Cereals</v>
      </c>
      <c r="L1848" s="10">
        <f>IFERROR(VLOOKUP(A1848,'[1]Sales Order'!A:D,4,FALSE),"")</f>
        <v>39526</v>
      </c>
      <c r="M1848" s="10">
        <f>IFERROR(VLOOKUP(A1848,'[1]Sales Order'!A:F,6,FALSE),"")</f>
        <v>39537</v>
      </c>
      <c r="N1848" t="str">
        <f>IFERROR(VLOOKUP(VLOOKUP(A1848,'[1]Sales Order'!A:G,7,FALSE),[1]Shipper!A:B,2,FALSE),"Not Specified")</f>
        <v>Shipper GVSUA</v>
      </c>
      <c r="O1848" t="str">
        <f>IFERROR(VLOOKUP(A1848,'[1]Sales Order'!A:I,9,FALSE),"Not Specified")</f>
        <v>Ship to 62-A</v>
      </c>
      <c r="P1848" t="str">
        <f>IFERROR(VLOOKUP(A1848,'[1]Sales Order'!A:N,14,FALSE),"Not Specified")</f>
        <v>Brazil</v>
      </c>
      <c r="Q1848" t="str">
        <f>VLOOKUP(VLOOKUP(B1848,[1]Product!A:C,3,FALSE),[1]Supplier!A:B,2,FALSE)</f>
        <v>Supplier JNNES</v>
      </c>
      <c r="R1848" t="str">
        <f>VLOOKUP(VLOOKUP(B1848,[1]Product!A:C,3,FALSE),[1]Supplier!A:I,9,FALSE)</f>
        <v>Australia</v>
      </c>
      <c r="S1848" t="str">
        <f>IFERROR(IF(VLOOKUP(A1848,'[1]Sales Order'!A:H,8,FALSE)&gt;100,"High Freight","Low Freight"),"Not Specified")</f>
        <v>High Freight</v>
      </c>
      <c r="T1848">
        <f t="shared" si="57"/>
        <v>39.9</v>
      </c>
    </row>
    <row r="1849" spans="1:20">
      <c r="A1849" s="1">
        <v>10961</v>
      </c>
      <c r="B1849" s="2">
        <v>76</v>
      </c>
      <c r="C1849" s="2">
        <v>18</v>
      </c>
      <c r="D1849" s="2">
        <v>60</v>
      </c>
      <c r="E1849" s="3">
        <v>0</v>
      </c>
      <c r="F1849" s="2" t="str">
        <f>IFERROR(VLOOKUP(VLOOKUP(A1849,'[1]Sales Order'!A:B,2,FALSE),[1]Customer!A:C,3,FALSE),"Not Specified")</f>
        <v>Misiec, Anna</v>
      </c>
      <c r="G1849" s="2" t="str">
        <f t="shared" si="56"/>
        <v>Misiec Anna</v>
      </c>
      <c r="H1849" s="8" t="str">
        <f>IFERROR(VLOOKUP(VLOOKUP(A1849,'[1]Sales Order'!A:C,3,FALSE),[1]Employee!A:E,5,FALSE)&amp;" "&amp;VLOOKUP(VLOOKUP(A1849,'[1]Sales Order'!A:C,3,FALSE),[1]Employee!A:C,3,FALSE)&amp;" "&amp;VLOOKUP(VLOOKUP(A1849,'[1]Sales Order'!A:C,3,FALSE),[1]Employee!A:B,2,FALSE),"Not Specified")</f>
        <v>Ms. Maria Cameron</v>
      </c>
      <c r="I1849" t="str">
        <f>IFERROR(VLOOKUP(VLOOKUP(A1849,'[1]Sales Order'!A:C,3,FALSE),[1]Employee!A:J,10,FALSE),"Not Specified")</f>
        <v>WA</v>
      </c>
      <c r="J1849" t="str">
        <f>VLOOKUP(B1849,[1]Product!A:B,2,FALSE)</f>
        <v>Product JYGFE</v>
      </c>
      <c r="K1849" t="str">
        <f>VLOOKUP(VLOOKUP(B1849,[1]Product!A:D,4,FALSE),[1]Category!A:B,2,FALSE)</f>
        <v>Beverages</v>
      </c>
      <c r="L1849" s="10">
        <f>IFERROR(VLOOKUP(A1849,'[1]Sales Order'!A:D,4,FALSE),"")</f>
        <v>39526</v>
      </c>
      <c r="M1849" s="10">
        <f>IFERROR(VLOOKUP(A1849,'[1]Sales Order'!A:F,6,FALSE),"")</f>
        <v>39537</v>
      </c>
      <c r="N1849" t="str">
        <f>IFERROR(VLOOKUP(VLOOKUP(A1849,'[1]Sales Order'!A:G,7,FALSE),[1]Shipper!A:B,2,FALSE),"Not Specified")</f>
        <v>Shipper GVSUA</v>
      </c>
      <c r="O1849" t="str">
        <f>IFERROR(VLOOKUP(A1849,'[1]Sales Order'!A:I,9,FALSE),"Not Specified")</f>
        <v>Ship to 62-A</v>
      </c>
      <c r="P1849" t="str">
        <f>IFERROR(VLOOKUP(A1849,'[1]Sales Order'!A:N,14,FALSE),"Not Specified")</f>
        <v>Brazil</v>
      </c>
      <c r="Q1849" t="str">
        <f>VLOOKUP(VLOOKUP(B1849,[1]Product!A:C,3,FALSE),[1]Supplier!A:B,2,FALSE)</f>
        <v>Supplier ELCRN</v>
      </c>
      <c r="R1849" t="str">
        <f>VLOOKUP(VLOOKUP(B1849,[1]Product!A:C,3,FALSE),[1]Supplier!A:I,9,FALSE)</f>
        <v>Finland</v>
      </c>
      <c r="S1849" t="str">
        <f>IFERROR(IF(VLOOKUP(A1849,'[1]Sales Order'!A:H,8,FALSE)&gt;100,"High Freight","Low Freight"),"Not Specified")</f>
        <v>High Freight</v>
      </c>
      <c r="T1849">
        <f t="shared" si="57"/>
        <v>1080</v>
      </c>
    </row>
    <row r="1850" spans="1:20">
      <c r="A1850" s="1">
        <v>10962</v>
      </c>
      <c r="B1850" s="2">
        <v>7</v>
      </c>
      <c r="C1850" s="2">
        <v>30</v>
      </c>
      <c r="D1850" s="2">
        <v>45</v>
      </c>
      <c r="E1850" s="3">
        <v>0</v>
      </c>
      <c r="F1850" s="2" t="str">
        <f>IFERROR(VLOOKUP(VLOOKUP(A1850,'[1]Sales Order'!A:B,2,FALSE),[1]Customer!A:C,3,FALSE),"Not Specified")</f>
        <v>Veronesi, Giorgio</v>
      </c>
      <c r="G1850" s="2" t="str">
        <f t="shared" si="56"/>
        <v>Veronesi Giorgio</v>
      </c>
      <c r="H1850" s="8" t="str">
        <f>IFERROR(VLOOKUP(VLOOKUP(A1850,'[1]Sales Order'!A:C,3,FALSE),[1]Employee!A:E,5,FALSE)&amp;" "&amp;VLOOKUP(VLOOKUP(A1850,'[1]Sales Order'!A:C,3,FALSE),[1]Employee!A:C,3,FALSE)&amp;" "&amp;VLOOKUP(VLOOKUP(A1850,'[1]Sales Order'!A:C,3,FALSE),[1]Employee!A:B,2,FALSE),"Not Specified")</f>
        <v>Ms. Maria Cameron</v>
      </c>
      <c r="I1850" t="str">
        <f>IFERROR(VLOOKUP(VLOOKUP(A1850,'[1]Sales Order'!A:C,3,FALSE),[1]Employee!A:J,10,FALSE),"Not Specified")</f>
        <v>WA</v>
      </c>
      <c r="J1850" t="str">
        <f>VLOOKUP(B1850,[1]Product!A:B,2,FALSE)</f>
        <v>Product HMLNI</v>
      </c>
      <c r="K1850" t="str">
        <f>VLOOKUP(VLOOKUP(B1850,[1]Product!A:D,4,FALSE),[1]Category!A:B,2,FALSE)</f>
        <v>Produce</v>
      </c>
      <c r="L1850" s="10">
        <f>IFERROR(VLOOKUP(A1850,'[1]Sales Order'!A:D,4,FALSE),"")</f>
        <v>39526</v>
      </c>
      <c r="M1850" s="10">
        <f>IFERROR(VLOOKUP(A1850,'[1]Sales Order'!A:F,6,FALSE),"")</f>
        <v>39530</v>
      </c>
      <c r="N1850" t="str">
        <f>IFERROR(VLOOKUP(VLOOKUP(A1850,'[1]Sales Order'!A:G,7,FALSE),[1]Shipper!A:B,2,FALSE),"Not Specified")</f>
        <v>Shipper ETYNR</v>
      </c>
      <c r="O1850" t="str">
        <f>IFERROR(VLOOKUP(A1850,'[1]Sales Order'!A:I,9,FALSE),"Not Specified")</f>
        <v>Ship to 63-B</v>
      </c>
      <c r="P1850" t="str">
        <f>IFERROR(VLOOKUP(A1850,'[1]Sales Order'!A:N,14,FALSE),"Not Specified")</f>
        <v>Germany</v>
      </c>
      <c r="Q1850" t="str">
        <f>VLOOKUP(VLOOKUP(B1850,[1]Product!A:C,3,FALSE),[1]Supplier!A:B,2,FALSE)</f>
        <v>Supplier STUAZ</v>
      </c>
      <c r="R1850" t="str">
        <f>VLOOKUP(VLOOKUP(B1850,[1]Product!A:C,3,FALSE),[1]Supplier!A:I,9,FALSE)</f>
        <v>USA</v>
      </c>
      <c r="S1850" t="str">
        <f>IFERROR(IF(VLOOKUP(A1850,'[1]Sales Order'!A:H,8,FALSE)&gt;100,"High Freight","Low Freight"),"Not Specified")</f>
        <v>High Freight</v>
      </c>
      <c r="T1850">
        <f t="shared" si="57"/>
        <v>1350</v>
      </c>
    </row>
    <row r="1851" spans="1:20">
      <c r="A1851" s="1">
        <v>10962</v>
      </c>
      <c r="B1851" s="2">
        <v>13</v>
      </c>
      <c r="C1851" s="2">
        <v>6</v>
      </c>
      <c r="D1851" s="2">
        <v>77</v>
      </c>
      <c r="E1851" s="3">
        <v>0</v>
      </c>
      <c r="F1851" s="2" t="str">
        <f>IFERROR(VLOOKUP(VLOOKUP(A1851,'[1]Sales Order'!A:B,2,FALSE),[1]Customer!A:C,3,FALSE),"Not Specified")</f>
        <v>Veronesi, Giorgio</v>
      </c>
      <c r="G1851" s="2" t="str">
        <f t="shared" si="56"/>
        <v>Veronesi Giorgio</v>
      </c>
      <c r="H1851" s="8" t="str">
        <f>IFERROR(VLOOKUP(VLOOKUP(A1851,'[1]Sales Order'!A:C,3,FALSE),[1]Employee!A:E,5,FALSE)&amp;" "&amp;VLOOKUP(VLOOKUP(A1851,'[1]Sales Order'!A:C,3,FALSE),[1]Employee!A:C,3,FALSE)&amp;" "&amp;VLOOKUP(VLOOKUP(A1851,'[1]Sales Order'!A:C,3,FALSE),[1]Employee!A:B,2,FALSE),"Not Specified")</f>
        <v>Ms. Maria Cameron</v>
      </c>
      <c r="I1851" t="str">
        <f>IFERROR(VLOOKUP(VLOOKUP(A1851,'[1]Sales Order'!A:C,3,FALSE),[1]Employee!A:J,10,FALSE),"Not Specified")</f>
        <v>WA</v>
      </c>
      <c r="J1851" t="str">
        <f>VLOOKUP(B1851,[1]Product!A:B,2,FALSE)</f>
        <v>Product POXFU</v>
      </c>
      <c r="K1851" t="str">
        <f>VLOOKUP(VLOOKUP(B1851,[1]Product!A:D,4,FALSE),[1]Category!A:B,2,FALSE)</f>
        <v>Seafood</v>
      </c>
      <c r="L1851" s="10">
        <f>IFERROR(VLOOKUP(A1851,'[1]Sales Order'!A:D,4,FALSE),"")</f>
        <v>39526</v>
      </c>
      <c r="M1851" s="10">
        <f>IFERROR(VLOOKUP(A1851,'[1]Sales Order'!A:F,6,FALSE),"")</f>
        <v>39530</v>
      </c>
      <c r="N1851" t="str">
        <f>IFERROR(VLOOKUP(VLOOKUP(A1851,'[1]Sales Order'!A:G,7,FALSE),[1]Shipper!A:B,2,FALSE),"Not Specified")</f>
        <v>Shipper ETYNR</v>
      </c>
      <c r="O1851" t="str">
        <f>IFERROR(VLOOKUP(A1851,'[1]Sales Order'!A:I,9,FALSE),"Not Specified")</f>
        <v>Ship to 63-B</v>
      </c>
      <c r="P1851" t="str">
        <f>IFERROR(VLOOKUP(A1851,'[1]Sales Order'!A:N,14,FALSE),"Not Specified")</f>
        <v>Germany</v>
      </c>
      <c r="Q1851" t="str">
        <f>VLOOKUP(VLOOKUP(B1851,[1]Product!A:C,3,FALSE),[1]Supplier!A:B,2,FALSE)</f>
        <v>Supplier QWUSF</v>
      </c>
      <c r="R1851" t="str">
        <f>VLOOKUP(VLOOKUP(B1851,[1]Product!A:C,3,FALSE),[1]Supplier!A:I,9,FALSE)</f>
        <v>Japan</v>
      </c>
      <c r="S1851" t="str">
        <f>IFERROR(IF(VLOOKUP(A1851,'[1]Sales Order'!A:H,8,FALSE)&gt;100,"High Freight","Low Freight"),"Not Specified")</f>
        <v>High Freight</v>
      </c>
      <c r="T1851">
        <f t="shared" si="57"/>
        <v>462</v>
      </c>
    </row>
    <row r="1852" spans="1:20">
      <c r="A1852" s="1">
        <v>10962</v>
      </c>
      <c r="B1852" s="2">
        <v>53</v>
      </c>
      <c r="C1852" s="2">
        <v>32.799999999999997</v>
      </c>
      <c r="D1852" s="2">
        <v>20</v>
      </c>
      <c r="E1852" s="3">
        <v>0</v>
      </c>
      <c r="F1852" s="2" t="str">
        <f>IFERROR(VLOOKUP(VLOOKUP(A1852,'[1]Sales Order'!A:B,2,FALSE),[1]Customer!A:C,3,FALSE),"Not Specified")</f>
        <v>Veronesi, Giorgio</v>
      </c>
      <c r="G1852" s="2" t="str">
        <f t="shared" si="56"/>
        <v>Veronesi Giorgio</v>
      </c>
      <c r="H1852" s="8" t="str">
        <f>IFERROR(VLOOKUP(VLOOKUP(A1852,'[1]Sales Order'!A:C,3,FALSE),[1]Employee!A:E,5,FALSE)&amp;" "&amp;VLOOKUP(VLOOKUP(A1852,'[1]Sales Order'!A:C,3,FALSE),[1]Employee!A:C,3,FALSE)&amp;" "&amp;VLOOKUP(VLOOKUP(A1852,'[1]Sales Order'!A:C,3,FALSE),[1]Employee!A:B,2,FALSE),"Not Specified")</f>
        <v>Ms. Maria Cameron</v>
      </c>
      <c r="I1852" t="str">
        <f>IFERROR(VLOOKUP(VLOOKUP(A1852,'[1]Sales Order'!A:C,3,FALSE),[1]Employee!A:J,10,FALSE),"Not Specified")</f>
        <v>WA</v>
      </c>
      <c r="J1852" t="str">
        <f>VLOOKUP(B1852,[1]Product!A:B,2,FALSE)</f>
        <v>Product BKGEA</v>
      </c>
      <c r="K1852" t="str">
        <f>VLOOKUP(VLOOKUP(B1852,[1]Product!A:D,4,FALSE),[1]Category!A:B,2,FALSE)</f>
        <v>Meat/Poultry</v>
      </c>
      <c r="L1852" s="10">
        <f>IFERROR(VLOOKUP(A1852,'[1]Sales Order'!A:D,4,FALSE),"")</f>
        <v>39526</v>
      </c>
      <c r="M1852" s="10">
        <f>IFERROR(VLOOKUP(A1852,'[1]Sales Order'!A:F,6,FALSE),"")</f>
        <v>39530</v>
      </c>
      <c r="N1852" t="str">
        <f>IFERROR(VLOOKUP(VLOOKUP(A1852,'[1]Sales Order'!A:G,7,FALSE),[1]Shipper!A:B,2,FALSE),"Not Specified")</f>
        <v>Shipper ETYNR</v>
      </c>
      <c r="O1852" t="str">
        <f>IFERROR(VLOOKUP(A1852,'[1]Sales Order'!A:I,9,FALSE),"Not Specified")</f>
        <v>Ship to 63-B</v>
      </c>
      <c r="P1852" t="str">
        <f>IFERROR(VLOOKUP(A1852,'[1]Sales Order'!A:N,14,FALSE),"Not Specified")</f>
        <v>Germany</v>
      </c>
      <c r="Q1852" t="str">
        <f>VLOOKUP(VLOOKUP(B1852,[1]Product!A:C,3,FALSE),[1]Supplier!A:B,2,FALSE)</f>
        <v>Supplier JNNES</v>
      </c>
      <c r="R1852" t="str">
        <f>VLOOKUP(VLOOKUP(B1852,[1]Product!A:C,3,FALSE),[1]Supplier!A:I,9,FALSE)</f>
        <v>Australia</v>
      </c>
      <c r="S1852" t="str">
        <f>IFERROR(IF(VLOOKUP(A1852,'[1]Sales Order'!A:H,8,FALSE)&gt;100,"High Freight","Low Freight"),"Not Specified")</f>
        <v>High Freight</v>
      </c>
      <c r="T1852">
        <f t="shared" si="57"/>
        <v>656</v>
      </c>
    </row>
    <row r="1853" spans="1:20">
      <c r="A1853" s="1">
        <v>10962</v>
      </c>
      <c r="B1853" s="2">
        <v>69</v>
      </c>
      <c r="C1853" s="2">
        <v>36</v>
      </c>
      <c r="D1853" s="2">
        <v>9</v>
      </c>
      <c r="E1853" s="3">
        <v>0</v>
      </c>
      <c r="F1853" s="2" t="str">
        <f>IFERROR(VLOOKUP(VLOOKUP(A1853,'[1]Sales Order'!A:B,2,FALSE),[1]Customer!A:C,3,FALSE),"Not Specified")</f>
        <v>Veronesi, Giorgio</v>
      </c>
      <c r="G1853" s="2" t="str">
        <f t="shared" si="56"/>
        <v>Veronesi Giorgio</v>
      </c>
      <c r="H1853" s="8" t="str">
        <f>IFERROR(VLOOKUP(VLOOKUP(A1853,'[1]Sales Order'!A:C,3,FALSE),[1]Employee!A:E,5,FALSE)&amp;" "&amp;VLOOKUP(VLOOKUP(A1853,'[1]Sales Order'!A:C,3,FALSE),[1]Employee!A:C,3,FALSE)&amp;" "&amp;VLOOKUP(VLOOKUP(A1853,'[1]Sales Order'!A:C,3,FALSE),[1]Employee!A:B,2,FALSE),"Not Specified")</f>
        <v>Ms. Maria Cameron</v>
      </c>
      <c r="I1853" t="str">
        <f>IFERROR(VLOOKUP(VLOOKUP(A1853,'[1]Sales Order'!A:C,3,FALSE),[1]Employee!A:J,10,FALSE),"Not Specified")</f>
        <v>WA</v>
      </c>
      <c r="J1853" t="str">
        <f>VLOOKUP(B1853,[1]Product!A:B,2,FALSE)</f>
        <v>Product COAXA</v>
      </c>
      <c r="K1853" t="str">
        <f>VLOOKUP(VLOOKUP(B1853,[1]Product!A:D,4,FALSE),[1]Category!A:B,2,FALSE)</f>
        <v>Dairy Product</v>
      </c>
      <c r="L1853" s="10">
        <f>IFERROR(VLOOKUP(A1853,'[1]Sales Order'!A:D,4,FALSE),"")</f>
        <v>39526</v>
      </c>
      <c r="M1853" s="10">
        <f>IFERROR(VLOOKUP(A1853,'[1]Sales Order'!A:F,6,FALSE),"")</f>
        <v>39530</v>
      </c>
      <c r="N1853" t="str">
        <f>IFERROR(VLOOKUP(VLOOKUP(A1853,'[1]Sales Order'!A:G,7,FALSE),[1]Shipper!A:B,2,FALSE),"Not Specified")</f>
        <v>Shipper ETYNR</v>
      </c>
      <c r="O1853" t="str">
        <f>IFERROR(VLOOKUP(A1853,'[1]Sales Order'!A:I,9,FALSE),"Not Specified")</f>
        <v>Ship to 63-B</v>
      </c>
      <c r="P1853" t="str">
        <f>IFERROR(VLOOKUP(A1853,'[1]Sales Order'!A:N,14,FALSE),"Not Specified")</f>
        <v>Germany</v>
      </c>
      <c r="Q1853" t="str">
        <f>VLOOKUP(VLOOKUP(B1853,[1]Product!A:C,3,FALSE),[1]Supplier!A:B,2,FALSE)</f>
        <v>Supplier NZLIF</v>
      </c>
      <c r="R1853" t="str">
        <f>VLOOKUP(VLOOKUP(B1853,[1]Product!A:C,3,FALSE),[1]Supplier!A:I,9,FALSE)</f>
        <v>Norway</v>
      </c>
      <c r="S1853" t="str">
        <f>IFERROR(IF(VLOOKUP(A1853,'[1]Sales Order'!A:H,8,FALSE)&gt;100,"High Freight","Low Freight"),"Not Specified")</f>
        <v>High Freight</v>
      </c>
      <c r="T1853">
        <f t="shared" si="57"/>
        <v>324</v>
      </c>
    </row>
    <row r="1854" spans="1:20">
      <c r="A1854" s="1">
        <v>10962</v>
      </c>
      <c r="B1854" s="2">
        <v>76</v>
      </c>
      <c r="C1854" s="2">
        <v>18</v>
      </c>
      <c r="D1854" s="2">
        <v>44</v>
      </c>
      <c r="E1854" s="3">
        <v>0</v>
      </c>
      <c r="F1854" s="2" t="str">
        <f>IFERROR(VLOOKUP(VLOOKUP(A1854,'[1]Sales Order'!A:B,2,FALSE),[1]Customer!A:C,3,FALSE),"Not Specified")</f>
        <v>Veronesi, Giorgio</v>
      </c>
      <c r="G1854" s="2" t="str">
        <f t="shared" si="56"/>
        <v>Veronesi Giorgio</v>
      </c>
      <c r="H1854" s="8" t="str">
        <f>IFERROR(VLOOKUP(VLOOKUP(A1854,'[1]Sales Order'!A:C,3,FALSE),[1]Employee!A:E,5,FALSE)&amp;" "&amp;VLOOKUP(VLOOKUP(A1854,'[1]Sales Order'!A:C,3,FALSE),[1]Employee!A:C,3,FALSE)&amp;" "&amp;VLOOKUP(VLOOKUP(A1854,'[1]Sales Order'!A:C,3,FALSE),[1]Employee!A:B,2,FALSE),"Not Specified")</f>
        <v>Ms. Maria Cameron</v>
      </c>
      <c r="I1854" t="str">
        <f>IFERROR(VLOOKUP(VLOOKUP(A1854,'[1]Sales Order'!A:C,3,FALSE),[1]Employee!A:J,10,FALSE),"Not Specified")</f>
        <v>WA</v>
      </c>
      <c r="J1854" t="str">
        <f>VLOOKUP(B1854,[1]Product!A:B,2,FALSE)</f>
        <v>Product JYGFE</v>
      </c>
      <c r="K1854" t="str">
        <f>VLOOKUP(VLOOKUP(B1854,[1]Product!A:D,4,FALSE),[1]Category!A:B,2,FALSE)</f>
        <v>Beverages</v>
      </c>
      <c r="L1854" s="10">
        <f>IFERROR(VLOOKUP(A1854,'[1]Sales Order'!A:D,4,FALSE),"")</f>
        <v>39526</v>
      </c>
      <c r="M1854" s="10">
        <f>IFERROR(VLOOKUP(A1854,'[1]Sales Order'!A:F,6,FALSE),"")</f>
        <v>39530</v>
      </c>
      <c r="N1854" t="str">
        <f>IFERROR(VLOOKUP(VLOOKUP(A1854,'[1]Sales Order'!A:G,7,FALSE),[1]Shipper!A:B,2,FALSE),"Not Specified")</f>
        <v>Shipper ETYNR</v>
      </c>
      <c r="O1854" t="str">
        <f>IFERROR(VLOOKUP(A1854,'[1]Sales Order'!A:I,9,FALSE),"Not Specified")</f>
        <v>Ship to 63-B</v>
      </c>
      <c r="P1854" t="str">
        <f>IFERROR(VLOOKUP(A1854,'[1]Sales Order'!A:N,14,FALSE),"Not Specified")</f>
        <v>Germany</v>
      </c>
      <c r="Q1854" t="str">
        <f>VLOOKUP(VLOOKUP(B1854,[1]Product!A:C,3,FALSE),[1]Supplier!A:B,2,FALSE)</f>
        <v>Supplier ELCRN</v>
      </c>
      <c r="R1854" t="str">
        <f>VLOOKUP(VLOOKUP(B1854,[1]Product!A:C,3,FALSE),[1]Supplier!A:I,9,FALSE)</f>
        <v>Finland</v>
      </c>
      <c r="S1854" t="str">
        <f>IFERROR(IF(VLOOKUP(A1854,'[1]Sales Order'!A:H,8,FALSE)&gt;100,"High Freight","Low Freight"),"Not Specified")</f>
        <v>High Freight</v>
      </c>
      <c r="T1854">
        <f t="shared" si="57"/>
        <v>792</v>
      </c>
    </row>
    <row r="1855" spans="1:20">
      <c r="A1855" s="1">
        <v>10963</v>
      </c>
      <c r="B1855" s="2">
        <v>60</v>
      </c>
      <c r="C1855" s="2">
        <v>34</v>
      </c>
      <c r="D1855" s="2">
        <v>2</v>
      </c>
      <c r="E1855" s="3">
        <v>0.15</v>
      </c>
      <c r="F1855" s="2" t="str">
        <f>IFERROR(VLOOKUP(VLOOKUP(A1855,'[1]Sales Order'!A:B,2,FALSE),[1]Customer!A:C,3,FALSE),"Not Specified")</f>
        <v>Cavaglieri, Giorgio</v>
      </c>
      <c r="G1855" s="2" t="str">
        <f t="shared" si="56"/>
        <v>Cavaglieri Giorgio</v>
      </c>
      <c r="H1855" s="8" t="str">
        <f>IFERROR(VLOOKUP(VLOOKUP(A1855,'[1]Sales Order'!A:C,3,FALSE),[1]Employee!A:E,5,FALSE)&amp;" "&amp;VLOOKUP(VLOOKUP(A1855,'[1]Sales Order'!A:C,3,FALSE),[1]Employee!A:C,3,FALSE)&amp;" "&amp;VLOOKUP(VLOOKUP(A1855,'[1]Sales Order'!A:C,3,FALSE),[1]Employee!A:B,2,FALSE),"Not Specified")</f>
        <v>Ms. Zoya Dolgopyatova</v>
      </c>
      <c r="I1855">
        <f>IFERROR(VLOOKUP(VLOOKUP(A1855,'[1]Sales Order'!A:C,3,FALSE),[1]Employee!A:J,10,FALSE),"Not Specified")</f>
        <v>0</v>
      </c>
      <c r="J1855" t="str">
        <f>VLOOKUP(B1855,[1]Product!A:B,2,FALSE)</f>
        <v>Product WHBYK</v>
      </c>
      <c r="K1855" t="str">
        <f>VLOOKUP(VLOOKUP(B1855,[1]Product!A:D,4,FALSE),[1]Category!A:B,2,FALSE)</f>
        <v>Dairy Product</v>
      </c>
      <c r="L1855" s="10">
        <f>IFERROR(VLOOKUP(A1855,'[1]Sales Order'!A:D,4,FALSE),"")</f>
        <v>39526</v>
      </c>
      <c r="M1855" s="10">
        <f>IFERROR(VLOOKUP(A1855,'[1]Sales Order'!A:F,6,FALSE),"")</f>
        <v>39533</v>
      </c>
      <c r="N1855" t="str">
        <f>IFERROR(VLOOKUP(VLOOKUP(A1855,'[1]Sales Order'!A:G,7,FALSE),[1]Shipper!A:B,2,FALSE),"Not Specified")</f>
        <v>Shipper ZHISN</v>
      </c>
      <c r="O1855" t="str">
        <f>IFERROR(VLOOKUP(A1855,'[1]Sales Order'!A:I,9,FALSE),"Not Specified")</f>
        <v>Destination CIRQO</v>
      </c>
      <c r="P1855" t="str">
        <f>IFERROR(VLOOKUP(A1855,'[1]Sales Order'!A:N,14,FALSE),"Not Specified")</f>
        <v>Portugal</v>
      </c>
      <c r="Q1855" t="str">
        <f>VLOOKUP(VLOOKUP(B1855,[1]Product!A:C,3,FALSE),[1]Supplier!A:B,2,FALSE)</f>
        <v>Supplier OAVQT</v>
      </c>
      <c r="R1855" t="str">
        <f>VLOOKUP(VLOOKUP(B1855,[1]Product!A:C,3,FALSE),[1]Supplier!A:I,9,FALSE)</f>
        <v>France</v>
      </c>
      <c r="S1855" t="str">
        <f>IFERROR(IF(VLOOKUP(A1855,'[1]Sales Order'!A:H,8,FALSE)&gt;100,"High Freight","Low Freight"),"Not Specified")</f>
        <v>Low Freight</v>
      </c>
      <c r="T1855">
        <f t="shared" si="57"/>
        <v>57.8</v>
      </c>
    </row>
    <row r="1856" spans="1:20">
      <c r="A1856" s="1">
        <v>10964</v>
      </c>
      <c r="B1856" s="2">
        <v>18</v>
      </c>
      <c r="C1856" s="2">
        <v>62.5</v>
      </c>
      <c r="D1856" s="2">
        <v>6</v>
      </c>
      <c r="E1856" s="3">
        <v>0</v>
      </c>
      <c r="F1856" s="2" t="str">
        <f>IFERROR(VLOOKUP(VLOOKUP(A1856,'[1]Sales Order'!A:B,2,FALSE),[1]Customer!A:C,3,FALSE),"Not Specified")</f>
        <v>O’Brien, Dave</v>
      </c>
      <c r="G1856" s="2" t="str">
        <f t="shared" si="56"/>
        <v>O’Brien Dave</v>
      </c>
      <c r="H1856" s="8" t="str">
        <f>IFERROR(VLOOKUP(VLOOKUP(A1856,'[1]Sales Order'!A:C,3,FALSE),[1]Employee!A:E,5,FALSE)&amp;" "&amp;VLOOKUP(VLOOKUP(A1856,'[1]Sales Order'!A:C,3,FALSE),[1]Employee!A:C,3,FALSE)&amp;" "&amp;VLOOKUP(VLOOKUP(A1856,'[1]Sales Order'!A:C,3,FALSE),[1]Employee!A:B,2,FALSE),"Not Specified")</f>
        <v>Ms. Judy Lew</v>
      </c>
      <c r="I1856" t="str">
        <f>IFERROR(VLOOKUP(VLOOKUP(A1856,'[1]Sales Order'!A:C,3,FALSE),[1]Employee!A:J,10,FALSE),"Not Specified")</f>
        <v>WA</v>
      </c>
      <c r="J1856" t="str">
        <f>VLOOKUP(B1856,[1]Product!A:B,2,FALSE)</f>
        <v>Product CKEDC</v>
      </c>
      <c r="K1856" t="str">
        <f>VLOOKUP(VLOOKUP(B1856,[1]Product!A:D,4,FALSE),[1]Category!A:B,2,FALSE)</f>
        <v>Seafood</v>
      </c>
      <c r="L1856" s="10">
        <f>IFERROR(VLOOKUP(A1856,'[1]Sales Order'!A:D,4,FALSE),"")</f>
        <v>39527</v>
      </c>
      <c r="M1856" s="10">
        <f>IFERROR(VLOOKUP(A1856,'[1]Sales Order'!A:F,6,FALSE),"")</f>
        <v>39531</v>
      </c>
      <c r="N1856" t="str">
        <f>IFERROR(VLOOKUP(VLOOKUP(A1856,'[1]Sales Order'!A:G,7,FALSE),[1]Shipper!A:B,2,FALSE),"Not Specified")</f>
        <v>Shipper ETYNR</v>
      </c>
      <c r="O1856" t="str">
        <f>IFERROR(VLOOKUP(A1856,'[1]Sales Order'!A:I,9,FALSE),"Not Specified")</f>
        <v>Ship to 74-B</v>
      </c>
      <c r="P1856" t="str">
        <f>IFERROR(VLOOKUP(A1856,'[1]Sales Order'!A:N,14,FALSE),"Not Specified")</f>
        <v>France</v>
      </c>
      <c r="Q1856" t="str">
        <f>VLOOKUP(VLOOKUP(B1856,[1]Product!A:C,3,FALSE),[1]Supplier!A:B,2,FALSE)</f>
        <v>Supplier GQRCV</v>
      </c>
      <c r="R1856" t="str">
        <f>VLOOKUP(VLOOKUP(B1856,[1]Product!A:C,3,FALSE),[1]Supplier!A:I,9,FALSE)</f>
        <v>Australia</v>
      </c>
      <c r="S1856" t="str">
        <f>IFERROR(IF(VLOOKUP(A1856,'[1]Sales Order'!A:H,8,FALSE)&gt;100,"High Freight","Low Freight"),"Not Specified")</f>
        <v>Low Freight</v>
      </c>
      <c r="T1856">
        <f t="shared" si="57"/>
        <v>375</v>
      </c>
    </row>
    <row r="1857" spans="1:20">
      <c r="A1857" s="1">
        <v>10964</v>
      </c>
      <c r="B1857" s="2">
        <v>38</v>
      </c>
      <c r="C1857" s="2">
        <v>263.5</v>
      </c>
      <c r="D1857" s="2">
        <v>5</v>
      </c>
      <c r="E1857" s="3">
        <v>0</v>
      </c>
      <c r="F1857" s="2" t="str">
        <f>IFERROR(VLOOKUP(VLOOKUP(A1857,'[1]Sales Order'!A:B,2,FALSE),[1]Customer!A:C,3,FALSE),"Not Specified")</f>
        <v>O’Brien, Dave</v>
      </c>
      <c r="G1857" s="2" t="str">
        <f t="shared" si="56"/>
        <v>O’Brien Dave</v>
      </c>
      <c r="H1857" s="8" t="str">
        <f>IFERROR(VLOOKUP(VLOOKUP(A1857,'[1]Sales Order'!A:C,3,FALSE),[1]Employee!A:E,5,FALSE)&amp;" "&amp;VLOOKUP(VLOOKUP(A1857,'[1]Sales Order'!A:C,3,FALSE),[1]Employee!A:C,3,FALSE)&amp;" "&amp;VLOOKUP(VLOOKUP(A1857,'[1]Sales Order'!A:C,3,FALSE),[1]Employee!A:B,2,FALSE),"Not Specified")</f>
        <v>Ms. Judy Lew</v>
      </c>
      <c r="I1857" t="str">
        <f>IFERROR(VLOOKUP(VLOOKUP(A1857,'[1]Sales Order'!A:C,3,FALSE),[1]Employee!A:J,10,FALSE),"Not Specified")</f>
        <v>WA</v>
      </c>
      <c r="J1857" t="str">
        <f>VLOOKUP(B1857,[1]Product!A:B,2,FALSE)</f>
        <v>Product QDOMO</v>
      </c>
      <c r="K1857" t="str">
        <f>VLOOKUP(VLOOKUP(B1857,[1]Product!A:D,4,FALSE),[1]Category!A:B,2,FALSE)</f>
        <v>Beverages</v>
      </c>
      <c r="L1857" s="10">
        <f>IFERROR(VLOOKUP(A1857,'[1]Sales Order'!A:D,4,FALSE),"")</f>
        <v>39527</v>
      </c>
      <c r="M1857" s="10">
        <f>IFERROR(VLOOKUP(A1857,'[1]Sales Order'!A:F,6,FALSE),"")</f>
        <v>39531</v>
      </c>
      <c r="N1857" t="str">
        <f>IFERROR(VLOOKUP(VLOOKUP(A1857,'[1]Sales Order'!A:G,7,FALSE),[1]Shipper!A:B,2,FALSE),"Not Specified")</f>
        <v>Shipper ETYNR</v>
      </c>
      <c r="O1857" t="str">
        <f>IFERROR(VLOOKUP(A1857,'[1]Sales Order'!A:I,9,FALSE),"Not Specified")</f>
        <v>Ship to 74-B</v>
      </c>
      <c r="P1857" t="str">
        <f>IFERROR(VLOOKUP(A1857,'[1]Sales Order'!A:N,14,FALSE),"Not Specified")</f>
        <v>France</v>
      </c>
      <c r="Q1857" t="str">
        <f>VLOOKUP(VLOOKUP(B1857,[1]Product!A:C,3,FALSE),[1]Supplier!A:B,2,FALSE)</f>
        <v>Supplier LVJUA</v>
      </c>
      <c r="R1857" t="str">
        <f>VLOOKUP(VLOOKUP(B1857,[1]Product!A:C,3,FALSE),[1]Supplier!A:I,9,FALSE)</f>
        <v>France</v>
      </c>
      <c r="S1857" t="str">
        <f>IFERROR(IF(VLOOKUP(A1857,'[1]Sales Order'!A:H,8,FALSE)&gt;100,"High Freight","Low Freight"),"Not Specified")</f>
        <v>Low Freight</v>
      </c>
      <c r="T1857">
        <f t="shared" si="57"/>
        <v>1317.5</v>
      </c>
    </row>
    <row r="1858" spans="1:20">
      <c r="A1858" s="1">
        <v>10964</v>
      </c>
      <c r="B1858" s="2">
        <v>69</v>
      </c>
      <c r="C1858" s="2">
        <v>36</v>
      </c>
      <c r="D1858" s="2">
        <v>10</v>
      </c>
      <c r="E1858" s="3">
        <v>0</v>
      </c>
      <c r="F1858" s="2" t="str">
        <f>IFERROR(VLOOKUP(VLOOKUP(A1858,'[1]Sales Order'!A:B,2,FALSE),[1]Customer!A:C,3,FALSE),"Not Specified")</f>
        <v>O’Brien, Dave</v>
      </c>
      <c r="G1858" s="2" t="str">
        <f t="shared" si="56"/>
        <v>O’Brien Dave</v>
      </c>
      <c r="H1858" s="8" t="str">
        <f>IFERROR(VLOOKUP(VLOOKUP(A1858,'[1]Sales Order'!A:C,3,FALSE),[1]Employee!A:E,5,FALSE)&amp;" "&amp;VLOOKUP(VLOOKUP(A1858,'[1]Sales Order'!A:C,3,FALSE),[1]Employee!A:C,3,FALSE)&amp;" "&amp;VLOOKUP(VLOOKUP(A1858,'[1]Sales Order'!A:C,3,FALSE),[1]Employee!A:B,2,FALSE),"Not Specified")</f>
        <v>Ms. Judy Lew</v>
      </c>
      <c r="I1858" t="str">
        <f>IFERROR(VLOOKUP(VLOOKUP(A1858,'[1]Sales Order'!A:C,3,FALSE),[1]Employee!A:J,10,FALSE),"Not Specified")</f>
        <v>WA</v>
      </c>
      <c r="J1858" t="str">
        <f>VLOOKUP(B1858,[1]Product!A:B,2,FALSE)</f>
        <v>Product COAXA</v>
      </c>
      <c r="K1858" t="str">
        <f>VLOOKUP(VLOOKUP(B1858,[1]Product!A:D,4,FALSE),[1]Category!A:B,2,FALSE)</f>
        <v>Dairy Product</v>
      </c>
      <c r="L1858" s="10">
        <f>IFERROR(VLOOKUP(A1858,'[1]Sales Order'!A:D,4,FALSE),"")</f>
        <v>39527</v>
      </c>
      <c r="M1858" s="10">
        <f>IFERROR(VLOOKUP(A1858,'[1]Sales Order'!A:F,6,FALSE),"")</f>
        <v>39531</v>
      </c>
      <c r="N1858" t="str">
        <f>IFERROR(VLOOKUP(VLOOKUP(A1858,'[1]Sales Order'!A:G,7,FALSE),[1]Shipper!A:B,2,FALSE),"Not Specified")</f>
        <v>Shipper ETYNR</v>
      </c>
      <c r="O1858" t="str">
        <f>IFERROR(VLOOKUP(A1858,'[1]Sales Order'!A:I,9,FALSE),"Not Specified")</f>
        <v>Ship to 74-B</v>
      </c>
      <c r="P1858" t="str">
        <f>IFERROR(VLOOKUP(A1858,'[1]Sales Order'!A:N,14,FALSE),"Not Specified")</f>
        <v>France</v>
      </c>
      <c r="Q1858" t="str">
        <f>VLOOKUP(VLOOKUP(B1858,[1]Product!A:C,3,FALSE),[1]Supplier!A:B,2,FALSE)</f>
        <v>Supplier NZLIF</v>
      </c>
      <c r="R1858" t="str">
        <f>VLOOKUP(VLOOKUP(B1858,[1]Product!A:C,3,FALSE),[1]Supplier!A:I,9,FALSE)</f>
        <v>Norway</v>
      </c>
      <c r="S1858" t="str">
        <f>IFERROR(IF(VLOOKUP(A1858,'[1]Sales Order'!A:H,8,FALSE)&gt;100,"High Freight","Low Freight"),"Not Specified")</f>
        <v>Low Freight</v>
      </c>
      <c r="T1858">
        <f t="shared" si="57"/>
        <v>360</v>
      </c>
    </row>
    <row r="1859" spans="1:20">
      <c r="A1859" s="1">
        <v>10965</v>
      </c>
      <c r="B1859" s="2">
        <v>51</v>
      </c>
      <c r="C1859" s="2">
        <v>53</v>
      </c>
      <c r="D1859" s="2">
        <v>16</v>
      </c>
      <c r="E1859" s="3">
        <v>0</v>
      </c>
      <c r="F1859" s="2" t="str">
        <f>IFERROR(VLOOKUP(VLOOKUP(A1859,'[1]Sales Order'!A:B,2,FALSE),[1]Customer!A:C,3,FALSE),"Not Specified")</f>
        <v>Egelund-Muller, Anja</v>
      </c>
      <c r="G1859" s="2" t="str">
        <f t="shared" ref="G1859:G1922" si="58">SUBSTITUTE(F1859,",","",1)</f>
        <v>Egelund-Muller Anja</v>
      </c>
      <c r="H1859" s="8" t="str">
        <f>IFERROR(VLOOKUP(VLOOKUP(A1859,'[1]Sales Order'!A:C,3,FALSE),[1]Employee!A:E,5,FALSE)&amp;" "&amp;VLOOKUP(VLOOKUP(A1859,'[1]Sales Order'!A:C,3,FALSE),[1]Employee!A:C,3,FALSE)&amp;" "&amp;VLOOKUP(VLOOKUP(A1859,'[1]Sales Order'!A:C,3,FALSE),[1]Employee!A:B,2,FALSE),"Not Specified")</f>
        <v>Mr. Paul Suurs</v>
      </c>
      <c r="I1859">
        <f>IFERROR(VLOOKUP(VLOOKUP(A1859,'[1]Sales Order'!A:C,3,FALSE),[1]Employee!A:J,10,FALSE),"Not Specified")</f>
        <v>0</v>
      </c>
      <c r="J1859" t="str">
        <f>VLOOKUP(B1859,[1]Product!A:B,2,FALSE)</f>
        <v>Product APITJ</v>
      </c>
      <c r="K1859" t="str">
        <f>VLOOKUP(VLOOKUP(B1859,[1]Product!A:D,4,FALSE),[1]Category!A:B,2,FALSE)</f>
        <v>Produce</v>
      </c>
      <c r="L1859" s="10">
        <f>IFERROR(VLOOKUP(A1859,'[1]Sales Order'!A:D,4,FALSE),"")</f>
        <v>39527</v>
      </c>
      <c r="M1859" s="10">
        <f>IFERROR(VLOOKUP(A1859,'[1]Sales Order'!A:F,6,FALSE),"")</f>
        <v>39537</v>
      </c>
      <c r="N1859" t="str">
        <f>IFERROR(VLOOKUP(VLOOKUP(A1859,'[1]Sales Order'!A:G,7,FALSE),[1]Shipper!A:B,2,FALSE),"Not Specified")</f>
        <v>Shipper ZHISN</v>
      </c>
      <c r="O1859" t="str">
        <f>IFERROR(VLOOKUP(A1859,'[1]Sales Order'!A:I,9,FALSE),"Not Specified")</f>
        <v>Ship to 55-B</v>
      </c>
      <c r="P1859" t="str">
        <f>IFERROR(VLOOKUP(A1859,'[1]Sales Order'!A:N,14,FALSE),"Not Specified")</f>
        <v>USA</v>
      </c>
      <c r="Q1859" t="str">
        <f>VLOOKUP(VLOOKUP(B1859,[1]Product!A:C,3,FALSE),[1]Supplier!A:B,2,FALSE)</f>
        <v>Supplier JNNES</v>
      </c>
      <c r="R1859" t="str">
        <f>VLOOKUP(VLOOKUP(B1859,[1]Product!A:C,3,FALSE),[1]Supplier!A:I,9,FALSE)</f>
        <v>Australia</v>
      </c>
      <c r="S1859" t="str">
        <f>IFERROR(IF(VLOOKUP(A1859,'[1]Sales Order'!A:H,8,FALSE)&gt;100,"High Freight","Low Freight"),"Not Specified")</f>
        <v>High Freight</v>
      </c>
      <c r="T1859">
        <f t="shared" ref="T1859:T1922" si="59">C1859*D1859*(1-E1859)</f>
        <v>848</v>
      </c>
    </row>
    <row r="1860" spans="1:20">
      <c r="A1860" s="1">
        <v>10966</v>
      </c>
      <c r="B1860" s="2">
        <v>37</v>
      </c>
      <c r="C1860" s="2">
        <v>26</v>
      </c>
      <c r="D1860" s="2">
        <v>8</v>
      </c>
      <c r="E1860" s="3">
        <v>0</v>
      </c>
      <c r="F1860" s="2" t="str">
        <f>IFERROR(VLOOKUP(VLOOKUP(A1860,'[1]Sales Order'!A:B,2,FALSE),[1]Customer!A:C,3,FALSE),"Not Specified")</f>
        <v>Jelitto, Jacek</v>
      </c>
      <c r="G1860" s="2" t="str">
        <f t="shared" si="58"/>
        <v>Jelitto Jacek</v>
      </c>
      <c r="H1860" s="8" t="str">
        <f>IFERROR(VLOOKUP(VLOOKUP(A1860,'[1]Sales Order'!A:C,3,FALSE),[1]Employee!A:E,5,FALSE)&amp;" "&amp;VLOOKUP(VLOOKUP(A1860,'[1]Sales Order'!A:C,3,FALSE),[1]Employee!A:C,3,FALSE)&amp;" "&amp;VLOOKUP(VLOOKUP(A1860,'[1]Sales Order'!A:C,3,FALSE),[1]Employee!A:B,2,FALSE),"Not Specified")</f>
        <v>Mrs. Yael Peled</v>
      </c>
      <c r="I1860" t="str">
        <f>IFERROR(VLOOKUP(VLOOKUP(A1860,'[1]Sales Order'!A:C,3,FALSE),[1]Employee!A:J,10,FALSE),"Not Specified")</f>
        <v>WA</v>
      </c>
      <c r="J1860" t="str">
        <f>VLOOKUP(B1860,[1]Product!A:B,2,FALSE)</f>
        <v>Product EVFFA</v>
      </c>
      <c r="K1860" t="str">
        <f>VLOOKUP(VLOOKUP(B1860,[1]Product!A:D,4,FALSE),[1]Category!A:B,2,FALSE)</f>
        <v>Seafood</v>
      </c>
      <c r="L1860" s="10">
        <f>IFERROR(VLOOKUP(A1860,'[1]Sales Order'!A:D,4,FALSE),"")</f>
        <v>39527</v>
      </c>
      <c r="M1860" s="10">
        <f>IFERROR(VLOOKUP(A1860,'[1]Sales Order'!A:F,6,FALSE),"")</f>
        <v>39546</v>
      </c>
      <c r="N1860" t="str">
        <f>IFERROR(VLOOKUP(VLOOKUP(A1860,'[1]Sales Order'!A:G,7,FALSE),[1]Shipper!A:B,2,FALSE),"Not Specified")</f>
        <v>Shipper GVSUA</v>
      </c>
      <c r="O1860" t="str">
        <f>IFERROR(VLOOKUP(A1860,'[1]Sales Order'!A:I,9,FALSE),"Not Specified")</f>
        <v>Destination NRTZZ</v>
      </c>
      <c r="P1860" t="str">
        <f>IFERROR(VLOOKUP(A1860,'[1]Sales Order'!A:N,14,FALSE),"Not Specified")</f>
        <v>Switzerland</v>
      </c>
      <c r="Q1860" t="str">
        <f>VLOOKUP(VLOOKUP(B1860,[1]Product!A:C,3,FALSE),[1]Supplier!A:B,2,FALSE)</f>
        <v>Supplier QZGUF</v>
      </c>
      <c r="R1860" t="str">
        <f>VLOOKUP(VLOOKUP(B1860,[1]Product!A:C,3,FALSE),[1]Supplier!A:I,9,FALSE)</f>
        <v>Sweden</v>
      </c>
      <c r="S1860" t="str">
        <f>IFERROR(IF(VLOOKUP(A1860,'[1]Sales Order'!A:H,8,FALSE)&gt;100,"High Freight","Low Freight"),"Not Specified")</f>
        <v>Low Freight</v>
      </c>
      <c r="T1860">
        <f t="shared" si="59"/>
        <v>208</v>
      </c>
    </row>
    <row r="1861" spans="1:20">
      <c r="A1861" s="1">
        <v>10966</v>
      </c>
      <c r="B1861" s="2">
        <v>56</v>
      </c>
      <c r="C1861" s="2">
        <v>38</v>
      </c>
      <c r="D1861" s="2">
        <v>12</v>
      </c>
      <c r="E1861" s="3">
        <v>0.15</v>
      </c>
      <c r="F1861" s="2" t="str">
        <f>IFERROR(VLOOKUP(VLOOKUP(A1861,'[1]Sales Order'!A:B,2,FALSE),[1]Customer!A:C,3,FALSE),"Not Specified")</f>
        <v>Jelitto, Jacek</v>
      </c>
      <c r="G1861" s="2" t="str">
        <f t="shared" si="58"/>
        <v>Jelitto Jacek</v>
      </c>
      <c r="H1861" s="8" t="str">
        <f>IFERROR(VLOOKUP(VLOOKUP(A1861,'[1]Sales Order'!A:C,3,FALSE),[1]Employee!A:E,5,FALSE)&amp;" "&amp;VLOOKUP(VLOOKUP(A1861,'[1]Sales Order'!A:C,3,FALSE),[1]Employee!A:C,3,FALSE)&amp;" "&amp;VLOOKUP(VLOOKUP(A1861,'[1]Sales Order'!A:C,3,FALSE),[1]Employee!A:B,2,FALSE),"Not Specified")</f>
        <v>Mrs. Yael Peled</v>
      </c>
      <c r="I1861" t="str">
        <f>IFERROR(VLOOKUP(VLOOKUP(A1861,'[1]Sales Order'!A:C,3,FALSE),[1]Employee!A:J,10,FALSE),"Not Specified")</f>
        <v>WA</v>
      </c>
      <c r="J1861" t="str">
        <f>VLOOKUP(B1861,[1]Product!A:B,2,FALSE)</f>
        <v>Product VKCMF</v>
      </c>
      <c r="K1861" t="str">
        <f>VLOOKUP(VLOOKUP(B1861,[1]Product!A:D,4,FALSE),[1]Category!A:B,2,FALSE)</f>
        <v>Grains/Cereals</v>
      </c>
      <c r="L1861" s="10">
        <f>IFERROR(VLOOKUP(A1861,'[1]Sales Order'!A:D,4,FALSE),"")</f>
        <v>39527</v>
      </c>
      <c r="M1861" s="10">
        <f>IFERROR(VLOOKUP(A1861,'[1]Sales Order'!A:F,6,FALSE),"")</f>
        <v>39546</v>
      </c>
      <c r="N1861" t="str">
        <f>IFERROR(VLOOKUP(VLOOKUP(A1861,'[1]Sales Order'!A:G,7,FALSE),[1]Shipper!A:B,2,FALSE),"Not Specified")</f>
        <v>Shipper GVSUA</v>
      </c>
      <c r="O1861" t="str">
        <f>IFERROR(VLOOKUP(A1861,'[1]Sales Order'!A:I,9,FALSE),"Not Specified")</f>
        <v>Destination NRTZZ</v>
      </c>
      <c r="P1861" t="str">
        <f>IFERROR(VLOOKUP(A1861,'[1]Sales Order'!A:N,14,FALSE),"Not Specified")</f>
        <v>Switzerland</v>
      </c>
      <c r="Q1861" t="str">
        <f>VLOOKUP(VLOOKUP(B1861,[1]Product!A:C,3,FALSE),[1]Supplier!A:B,2,FALSE)</f>
        <v>Supplier ZWZDM</v>
      </c>
      <c r="R1861" t="str">
        <f>VLOOKUP(VLOOKUP(B1861,[1]Product!A:C,3,FALSE),[1]Supplier!A:I,9,FALSE)</f>
        <v>Italy</v>
      </c>
      <c r="S1861" t="str">
        <f>IFERROR(IF(VLOOKUP(A1861,'[1]Sales Order'!A:H,8,FALSE)&gt;100,"High Freight","Low Freight"),"Not Specified")</f>
        <v>Low Freight</v>
      </c>
      <c r="T1861">
        <f t="shared" si="59"/>
        <v>387.59999999999997</v>
      </c>
    </row>
    <row r="1862" spans="1:20">
      <c r="A1862" s="1">
        <v>10966</v>
      </c>
      <c r="B1862" s="2">
        <v>62</v>
      </c>
      <c r="C1862" s="2">
        <v>49.3</v>
      </c>
      <c r="D1862" s="2">
        <v>12</v>
      </c>
      <c r="E1862" s="3">
        <v>0.15</v>
      </c>
      <c r="F1862" s="2" t="str">
        <f>IFERROR(VLOOKUP(VLOOKUP(A1862,'[1]Sales Order'!A:B,2,FALSE),[1]Customer!A:C,3,FALSE),"Not Specified")</f>
        <v>Jelitto, Jacek</v>
      </c>
      <c r="G1862" s="2" t="str">
        <f t="shared" si="58"/>
        <v>Jelitto Jacek</v>
      </c>
      <c r="H1862" s="8" t="str">
        <f>IFERROR(VLOOKUP(VLOOKUP(A1862,'[1]Sales Order'!A:C,3,FALSE),[1]Employee!A:E,5,FALSE)&amp;" "&amp;VLOOKUP(VLOOKUP(A1862,'[1]Sales Order'!A:C,3,FALSE),[1]Employee!A:C,3,FALSE)&amp;" "&amp;VLOOKUP(VLOOKUP(A1862,'[1]Sales Order'!A:C,3,FALSE),[1]Employee!A:B,2,FALSE),"Not Specified")</f>
        <v>Mrs. Yael Peled</v>
      </c>
      <c r="I1862" t="str">
        <f>IFERROR(VLOOKUP(VLOOKUP(A1862,'[1]Sales Order'!A:C,3,FALSE),[1]Employee!A:J,10,FALSE),"Not Specified")</f>
        <v>WA</v>
      </c>
      <c r="J1862" t="str">
        <f>VLOOKUP(B1862,[1]Product!A:B,2,FALSE)</f>
        <v>Product WUXYK</v>
      </c>
      <c r="K1862" t="str">
        <f>VLOOKUP(VLOOKUP(B1862,[1]Product!A:D,4,FALSE),[1]Category!A:B,2,FALSE)</f>
        <v>Confections</v>
      </c>
      <c r="L1862" s="10">
        <f>IFERROR(VLOOKUP(A1862,'[1]Sales Order'!A:D,4,FALSE),"")</f>
        <v>39527</v>
      </c>
      <c r="M1862" s="10">
        <f>IFERROR(VLOOKUP(A1862,'[1]Sales Order'!A:F,6,FALSE),"")</f>
        <v>39546</v>
      </c>
      <c r="N1862" t="str">
        <f>IFERROR(VLOOKUP(VLOOKUP(A1862,'[1]Sales Order'!A:G,7,FALSE),[1]Shipper!A:B,2,FALSE),"Not Specified")</f>
        <v>Shipper GVSUA</v>
      </c>
      <c r="O1862" t="str">
        <f>IFERROR(VLOOKUP(A1862,'[1]Sales Order'!A:I,9,FALSE),"Not Specified")</f>
        <v>Destination NRTZZ</v>
      </c>
      <c r="P1862" t="str">
        <f>IFERROR(VLOOKUP(A1862,'[1]Sales Order'!A:N,14,FALSE),"Not Specified")</f>
        <v>Switzerland</v>
      </c>
      <c r="Q1862" t="str">
        <f>VLOOKUP(VLOOKUP(B1862,[1]Product!A:C,3,FALSE),[1]Supplier!A:B,2,FALSE)</f>
        <v>Supplier OGLRK</v>
      </c>
      <c r="R1862" t="str">
        <f>VLOOKUP(VLOOKUP(B1862,[1]Product!A:C,3,FALSE),[1]Supplier!A:I,9,FALSE)</f>
        <v>Canada</v>
      </c>
      <c r="S1862" t="str">
        <f>IFERROR(IF(VLOOKUP(A1862,'[1]Sales Order'!A:H,8,FALSE)&gt;100,"High Freight","Low Freight"),"Not Specified")</f>
        <v>Low Freight</v>
      </c>
      <c r="T1862">
        <f t="shared" si="59"/>
        <v>502.8599999999999</v>
      </c>
    </row>
    <row r="1863" spans="1:20">
      <c r="A1863" s="1">
        <v>10967</v>
      </c>
      <c r="B1863" s="2">
        <v>19</v>
      </c>
      <c r="C1863" s="2">
        <v>9.1999999999999993</v>
      </c>
      <c r="D1863" s="2">
        <v>12</v>
      </c>
      <c r="E1863" s="3">
        <v>0</v>
      </c>
      <c r="F1863" s="2" t="str">
        <f>IFERROR(VLOOKUP(VLOOKUP(A1863,'[1]Sales Order'!A:B,2,FALSE),[1]Customer!A:C,3,FALSE),"Not Specified")</f>
        <v>Wickham, Jim</v>
      </c>
      <c r="G1863" s="2" t="str">
        <f t="shared" si="58"/>
        <v>Wickham Jim</v>
      </c>
      <c r="H1863" s="8" t="str">
        <f>IFERROR(VLOOKUP(VLOOKUP(A1863,'[1]Sales Order'!A:C,3,FALSE),[1]Employee!A:E,5,FALSE)&amp;" "&amp;VLOOKUP(VLOOKUP(A1863,'[1]Sales Order'!A:C,3,FALSE),[1]Employee!A:C,3,FALSE)&amp;" "&amp;VLOOKUP(VLOOKUP(A1863,'[1]Sales Order'!A:C,3,FALSE),[1]Employee!A:B,2,FALSE),"Not Specified")</f>
        <v>Dr. Don Funk</v>
      </c>
      <c r="I1863" t="str">
        <f>IFERROR(VLOOKUP(VLOOKUP(A1863,'[1]Sales Order'!A:C,3,FALSE),[1]Employee!A:J,10,FALSE),"Not Specified")</f>
        <v>WA</v>
      </c>
      <c r="J1863" t="str">
        <f>VLOOKUP(B1863,[1]Product!A:B,2,FALSE)</f>
        <v>Product XKXDO</v>
      </c>
      <c r="K1863" t="str">
        <f>VLOOKUP(VLOOKUP(B1863,[1]Product!A:D,4,FALSE),[1]Category!A:B,2,FALSE)</f>
        <v>Confections</v>
      </c>
      <c r="L1863" s="10">
        <f>IFERROR(VLOOKUP(A1863,'[1]Sales Order'!A:D,4,FALSE),"")</f>
        <v>39530</v>
      </c>
      <c r="M1863" s="10">
        <f>IFERROR(VLOOKUP(A1863,'[1]Sales Order'!A:F,6,FALSE),"")</f>
        <v>39540</v>
      </c>
      <c r="N1863" t="str">
        <f>IFERROR(VLOOKUP(VLOOKUP(A1863,'[1]Sales Order'!A:G,7,FALSE),[1]Shipper!A:B,2,FALSE),"Not Specified")</f>
        <v>Shipper ETYNR</v>
      </c>
      <c r="O1863" t="str">
        <f>IFERROR(VLOOKUP(A1863,'[1]Sales Order'!A:I,9,FALSE),"Not Specified")</f>
        <v>Ship to 79-B</v>
      </c>
      <c r="P1863" t="str">
        <f>IFERROR(VLOOKUP(A1863,'[1]Sales Order'!A:N,14,FALSE),"Not Specified")</f>
        <v>Germany</v>
      </c>
      <c r="Q1863" t="str">
        <f>VLOOKUP(VLOOKUP(B1863,[1]Product!A:C,3,FALSE),[1]Supplier!A:B,2,FALSE)</f>
        <v>Supplier BWGYE</v>
      </c>
      <c r="R1863" t="str">
        <f>VLOOKUP(VLOOKUP(B1863,[1]Product!A:C,3,FALSE),[1]Supplier!A:I,9,FALSE)</f>
        <v>UK</v>
      </c>
      <c r="S1863" t="str">
        <f>IFERROR(IF(VLOOKUP(A1863,'[1]Sales Order'!A:H,8,FALSE)&gt;100,"High Freight","Low Freight"),"Not Specified")</f>
        <v>Low Freight</v>
      </c>
      <c r="T1863">
        <f t="shared" si="59"/>
        <v>110.39999999999999</v>
      </c>
    </row>
    <row r="1864" spans="1:20">
      <c r="A1864" s="1">
        <v>10967</v>
      </c>
      <c r="B1864" s="2">
        <v>49</v>
      </c>
      <c r="C1864" s="2">
        <v>20</v>
      </c>
      <c r="D1864" s="2">
        <v>40</v>
      </c>
      <c r="E1864" s="3">
        <v>0</v>
      </c>
      <c r="F1864" s="2" t="str">
        <f>IFERROR(VLOOKUP(VLOOKUP(A1864,'[1]Sales Order'!A:B,2,FALSE),[1]Customer!A:C,3,FALSE),"Not Specified")</f>
        <v>Wickham, Jim</v>
      </c>
      <c r="G1864" s="2" t="str">
        <f t="shared" si="58"/>
        <v>Wickham Jim</v>
      </c>
      <c r="H1864" s="8" t="str">
        <f>IFERROR(VLOOKUP(VLOOKUP(A1864,'[1]Sales Order'!A:C,3,FALSE),[1]Employee!A:E,5,FALSE)&amp;" "&amp;VLOOKUP(VLOOKUP(A1864,'[1]Sales Order'!A:C,3,FALSE),[1]Employee!A:C,3,FALSE)&amp;" "&amp;VLOOKUP(VLOOKUP(A1864,'[1]Sales Order'!A:C,3,FALSE),[1]Employee!A:B,2,FALSE),"Not Specified")</f>
        <v>Dr. Don Funk</v>
      </c>
      <c r="I1864" t="str">
        <f>IFERROR(VLOOKUP(VLOOKUP(A1864,'[1]Sales Order'!A:C,3,FALSE),[1]Employee!A:J,10,FALSE),"Not Specified")</f>
        <v>WA</v>
      </c>
      <c r="J1864" t="str">
        <f>VLOOKUP(B1864,[1]Product!A:B,2,FALSE)</f>
        <v>Product FPYPN</v>
      </c>
      <c r="K1864" t="str">
        <f>VLOOKUP(VLOOKUP(B1864,[1]Product!A:D,4,FALSE),[1]Category!A:B,2,FALSE)</f>
        <v>Confections</v>
      </c>
      <c r="L1864" s="10">
        <f>IFERROR(VLOOKUP(A1864,'[1]Sales Order'!A:D,4,FALSE),"")</f>
        <v>39530</v>
      </c>
      <c r="M1864" s="10">
        <f>IFERROR(VLOOKUP(A1864,'[1]Sales Order'!A:F,6,FALSE),"")</f>
        <v>39540</v>
      </c>
      <c r="N1864" t="str">
        <f>IFERROR(VLOOKUP(VLOOKUP(A1864,'[1]Sales Order'!A:G,7,FALSE),[1]Shipper!A:B,2,FALSE),"Not Specified")</f>
        <v>Shipper ETYNR</v>
      </c>
      <c r="O1864" t="str">
        <f>IFERROR(VLOOKUP(A1864,'[1]Sales Order'!A:I,9,FALSE),"Not Specified")</f>
        <v>Ship to 79-B</v>
      </c>
      <c r="P1864" t="str">
        <f>IFERROR(VLOOKUP(A1864,'[1]Sales Order'!A:N,14,FALSE),"Not Specified")</f>
        <v>Germany</v>
      </c>
      <c r="Q1864" t="str">
        <f>VLOOKUP(VLOOKUP(B1864,[1]Product!A:C,3,FALSE),[1]Supplier!A:B,2,FALSE)</f>
        <v>Supplier ELCRN</v>
      </c>
      <c r="R1864" t="str">
        <f>VLOOKUP(VLOOKUP(B1864,[1]Product!A:C,3,FALSE),[1]Supplier!A:I,9,FALSE)</f>
        <v>Finland</v>
      </c>
      <c r="S1864" t="str">
        <f>IFERROR(IF(VLOOKUP(A1864,'[1]Sales Order'!A:H,8,FALSE)&gt;100,"High Freight","Low Freight"),"Not Specified")</f>
        <v>Low Freight</v>
      </c>
      <c r="T1864">
        <f t="shared" si="59"/>
        <v>800</v>
      </c>
    </row>
    <row r="1865" spans="1:20">
      <c r="A1865" s="1">
        <v>10968</v>
      </c>
      <c r="B1865" s="2">
        <v>12</v>
      </c>
      <c r="C1865" s="2">
        <v>38</v>
      </c>
      <c r="D1865" s="2">
        <v>30</v>
      </c>
      <c r="E1865" s="3">
        <v>0</v>
      </c>
      <c r="F1865" s="2" t="str">
        <f>IFERROR(VLOOKUP(VLOOKUP(A1865,'[1]Sales Order'!A:B,2,FALSE),[1]Customer!A:C,3,FALSE),"Not Specified")</f>
        <v>Kane, John</v>
      </c>
      <c r="G1865" s="2" t="str">
        <f t="shared" si="58"/>
        <v>Kane John</v>
      </c>
      <c r="H1865" s="8" t="str">
        <f>IFERROR(VLOOKUP(VLOOKUP(A1865,'[1]Sales Order'!A:C,3,FALSE),[1]Employee!A:E,5,FALSE)&amp;" "&amp;VLOOKUP(VLOOKUP(A1865,'[1]Sales Order'!A:C,3,FALSE),[1]Employee!A:C,3,FALSE)&amp;" "&amp;VLOOKUP(VLOOKUP(A1865,'[1]Sales Order'!A:C,3,FALSE),[1]Employee!A:B,2,FALSE),"Not Specified")</f>
        <v>Ms. Sara Davis</v>
      </c>
      <c r="I1865" t="str">
        <f>IFERROR(VLOOKUP(VLOOKUP(A1865,'[1]Sales Order'!A:C,3,FALSE),[1]Employee!A:J,10,FALSE),"Not Specified")</f>
        <v>WA</v>
      </c>
      <c r="J1865" t="str">
        <f>VLOOKUP(B1865,[1]Product!A:B,2,FALSE)</f>
        <v>Product OSFNS</v>
      </c>
      <c r="K1865" t="str">
        <f>VLOOKUP(VLOOKUP(B1865,[1]Product!A:D,4,FALSE),[1]Category!A:B,2,FALSE)</f>
        <v>Dairy Product</v>
      </c>
      <c r="L1865" s="10">
        <f>IFERROR(VLOOKUP(A1865,'[1]Sales Order'!A:D,4,FALSE),"")</f>
        <v>39530</v>
      </c>
      <c r="M1865" s="10">
        <f>IFERROR(VLOOKUP(A1865,'[1]Sales Order'!A:F,6,FALSE),"")</f>
        <v>39539</v>
      </c>
      <c r="N1865" t="str">
        <f>IFERROR(VLOOKUP(VLOOKUP(A1865,'[1]Sales Order'!A:G,7,FALSE),[1]Shipper!A:B,2,FALSE),"Not Specified")</f>
        <v>Shipper ZHISN</v>
      </c>
      <c r="O1865" t="str">
        <f>IFERROR(VLOOKUP(A1865,'[1]Sales Order'!A:I,9,FALSE),"Not Specified")</f>
        <v>Destination CUVPF</v>
      </c>
      <c r="P1865" t="str">
        <f>IFERROR(VLOOKUP(A1865,'[1]Sales Order'!A:N,14,FALSE),"Not Specified")</f>
        <v>Austria</v>
      </c>
      <c r="Q1865" t="str">
        <f>VLOOKUP(VLOOKUP(B1865,[1]Product!A:C,3,FALSE),[1]Supplier!A:B,2,FALSE)</f>
        <v>Supplier EQPNC</v>
      </c>
      <c r="R1865" t="str">
        <f>VLOOKUP(VLOOKUP(B1865,[1]Product!A:C,3,FALSE),[1]Supplier!A:I,9,FALSE)</f>
        <v>Spain</v>
      </c>
      <c r="S1865" t="str">
        <f>IFERROR(IF(VLOOKUP(A1865,'[1]Sales Order'!A:H,8,FALSE)&gt;100,"High Freight","Low Freight"),"Not Specified")</f>
        <v>Low Freight</v>
      </c>
      <c r="T1865">
        <f t="shared" si="59"/>
        <v>1140</v>
      </c>
    </row>
    <row r="1866" spans="1:20">
      <c r="A1866" s="1">
        <v>10968</v>
      </c>
      <c r="B1866" s="2">
        <v>24</v>
      </c>
      <c r="C1866" s="2">
        <v>4.5</v>
      </c>
      <c r="D1866" s="2">
        <v>30</v>
      </c>
      <c r="E1866" s="3">
        <v>0</v>
      </c>
      <c r="F1866" s="2" t="str">
        <f>IFERROR(VLOOKUP(VLOOKUP(A1866,'[1]Sales Order'!A:B,2,FALSE),[1]Customer!A:C,3,FALSE),"Not Specified")</f>
        <v>Kane, John</v>
      </c>
      <c r="G1866" s="2" t="str">
        <f t="shared" si="58"/>
        <v>Kane John</v>
      </c>
      <c r="H1866" s="8" t="str">
        <f>IFERROR(VLOOKUP(VLOOKUP(A1866,'[1]Sales Order'!A:C,3,FALSE),[1]Employee!A:E,5,FALSE)&amp;" "&amp;VLOOKUP(VLOOKUP(A1866,'[1]Sales Order'!A:C,3,FALSE),[1]Employee!A:C,3,FALSE)&amp;" "&amp;VLOOKUP(VLOOKUP(A1866,'[1]Sales Order'!A:C,3,FALSE),[1]Employee!A:B,2,FALSE),"Not Specified")</f>
        <v>Ms. Sara Davis</v>
      </c>
      <c r="I1866" t="str">
        <f>IFERROR(VLOOKUP(VLOOKUP(A1866,'[1]Sales Order'!A:C,3,FALSE),[1]Employee!A:J,10,FALSE),"Not Specified")</f>
        <v>WA</v>
      </c>
      <c r="J1866" t="str">
        <f>VLOOKUP(B1866,[1]Product!A:B,2,FALSE)</f>
        <v>Product QOGNU</v>
      </c>
      <c r="K1866" t="str">
        <f>VLOOKUP(VLOOKUP(B1866,[1]Product!A:D,4,FALSE),[1]Category!A:B,2,FALSE)</f>
        <v>Beverages</v>
      </c>
      <c r="L1866" s="10">
        <f>IFERROR(VLOOKUP(A1866,'[1]Sales Order'!A:D,4,FALSE),"")</f>
        <v>39530</v>
      </c>
      <c r="M1866" s="10">
        <f>IFERROR(VLOOKUP(A1866,'[1]Sales Order'!A:F,6,FALSE),"")</f>
        <v>39539</v>
      </c>
      <c r="N1866" t="str">
        <f>IFERROR(VLOOKUP(VLOOKUP(A1866,'[1]Sales Order'!A:G,7,FALSE),[1]Shipper!A:B,2,FALSE),"Not Specified")</f>
        <v>Shipper ZHISN</v>
      </c>
      <c r="O1866" t="str">
        <f>IFERROR(VLOOKUP(A1866,'[1]Sales Order'!A:I,9,FALSE),"Not Specified")</f>
        <v>Destination CUVPF</v>
      </c>
      <c r="P1866" t="str">
        <f>IFERROR(VLOOKUP(A1866,'[1]Sales Order'!A:N,14,FALSE),"Not Specified")</f>
        <v>Austria</v>
      </c>
      <c r="Q1866" t="str">
        <f>VLOOKUP(VLOOKUP(B1866,[1]Product!A:C,3,FALSE),[1]Supplier!A:B,2,FALSE)</f>
        <v>Supplier UNAHG</v>
      </c>
      <c r="R1866" t="str">
        <f>VLOOKUP(VLOOKUP(B1866,[1]Product!A:C,3,FALSE),[1]Supplier!A:I,9,FALSE)</f>
        <v>Brazil</v>
      </c>
      <c r="S1866" t="str">
        <f>IFERROR(IF(VLOOKUP(A1866,'[1]Sales Order'!A:H,8,FALSE)&gt;100,"High Freight","Low Freight"),"Not Specified")</f>
        <v>Low Freight</v>
      </c>
      <c r="T1866">
        <f t="shared" si="59"/>
        <v>135</v>
      </c>
    </row>
    <row r="1867" spans="1:20">
      <c r="A1867" s="1">
        <v>10968</v>
      </c>
      <c r="B1867" s="2">
        <v>64</v>
      </c>
      <c r="C1867" s="2">
        <v>33.25</v>
      </c>
      <c r="D1867" s="2">
        <v>4</v>
      </c>
      <c r="E1867" s="3">
        <v>0</v>
      </c>
      <c r="F1867" s="2" t="str">
        <f>IFERROR(VLOOKUP(VLOOKUP(A1867,'[1]Sales Order'!A:B,2,FALSE),[1]Customer!A:C,3,FALSE),"Not Specified")</f>
        <v>Kane, John</v>
      </c>
      <c r="G1867" s="2" t="str">
        <f t="shared" si="58"/>
        <v>Kane John</v>
      </c>
      <c r="H1867" s="8" t="str">
        <f>IFERROR(VLOOKUP(VLOOKUP(A1867,'[1]Sales Order'!A:C,3,FALSE),[1]Employee!A:E,5,FALSE)&amp;" "&amp;VLOOKUP(VLOOKUP(A1867,'[1]Sales Order'!A:C,3,FALSE),[1]Employee!A:C,3,FALSE)&amp;" "&amp;VLOOKUP(VLOOKUP(A1867,'[1]Sales Order'!A:C,3,FALSE),[1]Employee!A:B,2,FALSE),"Not Specified")</f>
        <v>Ms. Sara Davis</v>
      </c>
      <c r="I1867" t="str">
        <f>IFERROR(VLOOKUP(VLOOKUP(A1867,'[1]Sales Order'!A:C,3,FALSE),[1]Employee!A:J,10,FALSE),"Not Specified")</f>
        <v>WA</v>
      </c>
      <c r="J1867" t="str">
        <f>VLOOKUP(B1867,[1]Product!A:B,2,FALSE)</f>
        <v>Product HCQDE</v>
      </c>
      <c r="K1867" t="str">
        <f>VLOOKUP(VLOOKUP(B1867,[1]Product!A:D,4,FALSE),[1]Category!A:B,2,FALSE)</f>
        <v>Grains/Cereals</v>
      </c>
      <c r="L1867" s="10">
        <f>IFERROR(VLOOKUP(A1867,'[1]Sales Order'!A:D,4,FALSE),"")</f>
        <v>39530</v>
      </c>
      <c r="M1867" s="10">
        <f>IFERROR(VLOOKUP(A1867,'[1]Sales Order'!A:F,6,FALSE),"")</f>
        <v>39539</v>
      </c>
      <c r="N1867" t="str">
        <f>IFERROR(VLOOKUP(VLOOKUP(A1867,'[1]Sales Order'!A:G,7,FALSE),[1]Shipper!A:B,2,FALSE),"Not Specified")</f>
        <v>Shipper ZHISN</v>
      </c>
      <c r="O1867" t="str">
        <f>IFERROR(VLOOKUP(A1867,'[1]Sales Order'!A:I,9,FALSE),"Not Specified")</f>
        <v>Destination CUVPF</v>
      </c>
      <c r="P1867" t="str">
        <f>IFERROR(VLOOKUP(A1867,'[1]Sales Order'!A:N,14,FALSE),"Not Specified")</f>
        <v>Austria</v>
      </c>
      <c r="Q1867" t="str">
        <f>VLOOKUP(VLOOKUP(B1867,[1]Product!A:C,3,FALSE),[1]Supplier!A:B,2,FALSE)</f>
        <v>Supplier SVIYA</v>
      </c>
      <c r="R1867" t="str">
        <f>VLOOKUP(VLOOKUP(B1867,[1]Product!A:C,3,FALSE),[1]Supplier!A:I,9,FALSE)</f>
        <v>Germany</v>
      </c>
      <c r="S1867" t="str">
        <f>IFERROR(IF(VLOOKUP(A1867,'[1]Sales Order'!A:H,8,FALSE)&gt;100,"High Freight","Low Freight"),"Not Specified")</f>
        <v>Low Freight</v>
      </c>
      <c r="T1867">
        <f t="shared" si="59"/>
        <v>133</v>
      </c>
    </row>
    <row r="1868" spans="1:20">
      <c r="A1868" s="1">
        <v>10969</v>
      </c>
      <c r="B1868" s="2">
        <v>46</v>
      </c>
      <c r="C1868" s="2">
        <v>12</v>
      </c>
      <c r="D1868" s="2">
        <v>9</v>
      </c>
      <c r="E1868" s="3">
        <v>0</v>
      </c>
      <c r="F1868" s="2" t="str">
        <f>IFERROR(VLOOKUP(VLOOKUP(A1868,'[1]Sales Order'!A:B,2,FALSE),[1]Customer!A:C,3,FALSE),"Not Specified")</f>
        <v>Richardson, Shawn</v>
      </c>
      <c r="G1868" s="2" t="str">
        <f t="shared" si="58"/>
        <v>Richardson Shawn</v>
      </c>
      <c r="H1868" s="8" t="str">
        <f>IFERROR(VLOOKUP(VLOOKUP(A1868,'[1]Sales Order'!A:C,3,FALSE),[1]Employee!A:E,5,FALSE)&amp;" "&amp;VLOOKUP(VLOOKUP(A1868,'[1]Sales Order'!A:C,3,FALSE),[1]Employee!A:C,3,FALSE)&amp;" "&amp;VLOOKUP(VLOOKUP(A1868,'[1]Sales Order'!A:C,3,FALSE),[1]Employee!A:B,2,FALSE),"Not Specified")</f>
        <v>Ms. Sara Davis</v>
      </c>
      <c r="I1868" t="str">
        <f>IFERROR(VLOOKUP(VLOOKUP(A1868,'[1]Sales Order'!A:C,3,FALSE),[1]Employee!A:J,10,FALSE),"Not Specified")</f>
        <v>WA</v>
      </c>
      <c r="J1868" t="str">
        <f>VLOOKUP(B1868,[1]Product!A:B,2,FALSE)</f>
        <v>Product CBRRL</v>
      </c>
      <c r="K1868" t="str">
        <f>VLOOKUP(VLOOKUP(B1868,[1]Product!A:D,4,FALSE),[1]Category!A:B,2,FALSE)</f>
        <v>Seafood</v>
      </c>
      <c r="L1868" s="10">
        <f>IFERROR(VLOOKUP(A1868,'[1]Sales Order'!A:D,4,FALSE),"")</f>
        <v>39530</v>
      </c>
      <c r="M1868" s="10">
        <f>IFERROR(VLOOKUP(A1868,'[1]Sales Order'!A:F,6,FALSE),"")</f>
        <v>39537</v>
      </c>
      <c r="N1868" t="str">
        <f>IFERROR(VLOOKUP(VLOOKUP(A1868,'[1]Sales Order'!A:G,7,FALSE),[1]Shipper!A:B,2,FALSE),"Not Specified")</f>
        <v>Shipper ETYNR</v>
      </c>
      <c r="O1868" t="str">
        <f>IFERROR(VLOOKUP(A1868,'[1]Sales Order'!A:I,9,FALSE),"Not Specified")</f>
        <v>Destination EVHYA</v>
      </c>
      <c r="P1868" t="str">
        <f>IFERROR(VLOOKUP(A1868,'[1]Sales Order'!A:N,14,FALSE),"Not Specified")</f>
        <v>Brazil</v>
      </c>
      <c r="Q1868" t="str">
        <f>VLOOKUP(VLOOKUP(B1868,[1]Product!A:C,3,FALSE),[1]Supplier!A:B,2,FALSE)</f>
        <v>Supplier XOXZA</v>
      </c>
      <c r="R1868" t="str">
        <f>VLOOKUP(VLOOKUP(B1868,[1]Product!A:C,3,FALSE),[1]Supplier!A:I,9,FALSE)</f>
        <v>Denmark</v>
      </c>
      <c r="S1868" t="str">
        <f>IFERROR(IF(VLOOKUP(A1868,'[1]Sales Order'!A:H,8,FALSE)&gt;100,"High Freight","Low Freight"),"Not Specified")</f>
        <v>Low Freight</v>
      </c>
      <c r="T1868">
        <f t="shared" si="59"/>
        <v>108</v>
      </c>
    </row>
    <row r="1869" spans="1:20">
      <c r="A1869" s="1">
        <v>10970</v>
      </c>
      <c r="B1869" s="2">
        <v>52</v>
      </c>
      <c r="C1869" s="2">
        <v>7</v>
      </c>
      <c r="D1869" s="2">
        <v>40</v>
      </c>
      <c r="E1869" s="3">
        <v>0.2</v>
      </c>
      <c r="F1869" s="2" t="str">
        <f>IFERROR(VLOOKUP(VLOOKUP(A1869,'[1]Sales Order'!A:B,2,FALSE),[1]Customer!A:C,3,FALSE),"Not Specified")</f>
        <v>Ilyina, Julia</v>
      </c>
      <c r="G1869" s="2" t="str">
        <f t="shared" si="58"/>
        <v>Ilyina Julia</v>
      </c>
      <c r="H1869" s="8" t="str">
        <f>IFERROR(VLOOKUP(VLOOKUP(A1869,'[1]Sales Order'!A:C,3,FALSE),[1]Employee!A:E,5,FALSE)&amp;" "&amp;VLOOKUP(VLOOKUP(A1869,'[1]Sales Order'!A:C,3,FALSE),[1]Employee!A:C,3,FALSE)&amp;" "&amp;VLOOKUP(VLOOKUP(A1869,'[1]Sales Order'!A:C,3,FALSE),[1]Employee!A:B,2,FALSE),"Not Specified")</f>
        <v>Ms. Zoya Dolgopyatova</v>
      </c>
      <c r="I1869">
        <f>IFERROR(VLOOKUP(VLOOKUP(A1869,'[1]Sales Order'!A:C,3,FALSE),[1]Employee!A:J,10,FALSE),"Not Specified")</f>
        <v>0</v>
      </c>
      <c r="J1869" t="str">
        <f>VLOOKUP(B1869,[1]Product!A:B,2,FALSE)</f>
        <v>Product QSRXF</v>
      </c>
      <c r="K1869" t="str">
        <f>VLOOKUP(VLOOKUP(B1869,[1]Product!A:D,4,FALSE),[1]Category!A:B,2,FALSE)</f>
        <v>Grains/Cereals</v>
      </c>
      <c r="L1869" s="10">
        <f>IFERROR(VLOOKUP(A1869,'[1]Sales Order'!A:D,4,FALSE),"")</f>
        <v>39531</v>
      </c>
      <c r="M1869" s="10">
        <f>IFERROR(VLOOKUP(A1869,'[1]Sales Order'!A:F,6,FALSE),"")</f>
        <v>39562</v>
      </c>
      <c r="N1869" t="str">
        <f>IFERROR(VLOOKUP(VLOOKUP(A1869,'[1]Sales Order'!A:G,7,FALSE),[1]Shipper!A:B,2,FALSE),"Not Specified")</f>
        <v>Shipper GVSUA</v>
      </c>
      <c r="O1869" t="str">
        <f>IFERROR(VLOOKUP(A1869,'[1]Sales Order'!A:I,9,FALSE),"Not Specified")</f>
        <v>Ship to 8-C</v>
      </c>
      <c r="P1869" t="str">
        <f>IFERROR(VLOOKUP(A1869,'[1]Sales Order'!A:N,14,FALSE),"Not Specified")</f>
        <v>Spain</v>
      </c>
      <c r="Q1869" t="str">
        <f>VLOOKUP(VLOOKUP(B1869,[1]Product!A:C,3,FALSE),[1]Supplier!A:B,2,FALSE)</f>
        <v>Supplier JNNES</v>
      </c>
      <c r="R1869" t="str">
        <f>VLOOKUP(VLOOKUP(B1869,[1]Product!A:C,3,FALSE),[1]Supplier!A:I,9,FALSE)</f>
        <v>Australia</v>
      </c>
      <c r="S1869" t="str">
        <f>IFERROR(IF(VLOOKUP(A1869,'[1]Sales Order'!A:H,8,FALSE)&gt;100,"High Freight","Low Freight"),"Not Specified")</f>
        <v>Low Freight</v>
      </c>
      <c r="T1869">
        <f t="shared" si="59"/>
        <v>224</v>
      </c>
    </row>
    <row r="1870" spans="1:20">
      <c r="A1870" s="1">
        <v>10971</v>
      </c>
      <c r="B1870" s="2">
        <v>29</v>
      </c>
      <c r="C1870" s="2">
        <v>123.79</v>
      </c>
      <c r="D1870" s="2">
        <v>14</v>
      </c>
      <c r="E1870" s="3">
        <v>0</v>
      </c>
      <c r="F1870" s="2" t="str">
        <f>IFERROR(VLOOKUP(VLOOKUP(A1870,'[1]Sales Order'!A:B,2,FALSE),[1]Customer!A:C,3,FALSE),"Not Specified")</f>
        <v>Koch, Paul</v>
      </c>
      <c r="G1870" s="2" t="str">
        <f t="shared" si="58"/>
        <v>Koch Paul</v>
      </c>
      <c r="H1870" s="8" t="str">
        <f>IFERROR(VLOOKUP(VLOOKUP(A1870,'[1]Sales Order'!A:C,3,FALSE),[1]Employee!A:E,5,FALSE)&amp;" "&amp;VLOOKUP(VLOOKUP(A1870,'[1]Sales Order'!A:C,3,FALSE),[1]Employee!A:C,3,FALSE)&amp;" "&amp;VLOOKUP(VLOOKUP(A1870,'[1]Sales Order'!A:C,3,FALSE),[1]Employee!A:B,2,FALSE),"Not Specified")</f>
        <v>Dr. Don Funk</v>
      </c>
      <c r="I1870" t="str">
        <f>IFERROR(VLOOKUP(VLOOKUP(A1870,'[1]Sales Order'!A:C,3,FALSE),[1]Employee!A:J,10,FALSE),"Not Specified")</f>
        <v>WA</v>
      </c>
      <c r="J1870" t="str">
        <f>VLOOKUP(B1870,[1]Product!A:B,2,FALSE)</f>
        <v>Product VJXYN</v>
      </c>
      <c r="K1870" t="str">
        <f>VLOOKUP(VLOOKUP(B1870,[1]Product!A:D,4,FALSE),[1]Category!A:B,2,FALSE)</f>
        <v>Meat/Poultry</v>
      </c>
      <c r="L1870" s="10">
        <f>IFERROR(VLOOKUP(A1870,'[1]Sales Order'!A:D,4,FALSE),"")</f>
        <v>39531</v>
      </c>
      <c r="M1870" s="10">
        <f>IFERROR(VLOOKUP(A1870,'[1]Sales Order'!A:F,6,FALSE),"")</f>
        <v>39540</v>
      </c>
      <c r="N1870" t="str">
        <f>IFERROR(VLOOKUP(VLOOKUP(A1870,'[1]Sales Order'!A:G,7,FALSE),[1]Shipper!A:B,2,FALSE),"Not Specified")</f>
        <v>Shipper ETYNR</v>
      </c>
      <c r="O1870" t="str">
        <f>IFERROR(VLOOKUP(A1870,'[1]Sales Order'!A:I,9,FALSE),"Not Specified")</f>
        <v>Destination XBVKN</v>
      </c>
      <c r="P1870" t="str">
        <f>IFERROR(VLOOKUP(A1870,'[1]Sales Order'!A:N,14,FALSE),"Not Specified")</f>
        <v>France</v>
      </c>
      <c r="Q1870" t="str">
        <f>VLOOKUP(VLOOKUP(B1870,[1]Product!A:C,3,FALSE),[1]Supplier!A:B,2,FALSE)</f>
        <v>Supplier SVIYA</v>
      </c>
      <c r="R1870" t="str">
        <f>VLOOKUP(VLOOKUP(B1870,[1]Product!A:C,3,FALSE),[1]Supplier!A:I,9,FALSE)</f>
        <v>Germany</v>
      </c>
      <c r="S1870" t="str">
        <f>IFERROR(IF(VLOOKUP(A1870,'[1]Sales Order'!A:H,8,FALSE)&gt;100,"High Freight","Low Freight"),"Not Specified")</f>
        <v>High Freight</v>
      </c>
      <c r="T1870">
        <f t="shared" si="59"/>
        <v>1733.0600000000002</v>
      </c>
    </row>
    <row r="1871" spans="1:20">
      <c r="A1871" s="1">
        <v>10972</v>
      </c>
      <c r="B1871" s="2">
        <v>17</v>
      </c>
      <c r="C1871" s="2">
        <v>39</v>
      </c>
      <c r="D1871" s="2">
        <v>6</v>
      </c>
      <c r="E1871" s="3">
        <v>0</v>
      </c>
      <c r="F1871" s="2" t="str">
        <f>IFERROR(VLOOKUP(VLOOKUP(A1871,'[1]Sales Order'!A:B,2,FALSE),[1]Customer!A:C,3,FALSE),"Not Specified")</f>
        <v>De Oliveira, Jose</v>
      </c>
      <c r="G1871" s="2" t="str">
        <f t="shared" si="58"/>
        <v>De Oliveira Jose</v>
      </c>
      <c r="H1871" s="8" t="str">
        <f>IFERROR(VLOOKUP(VLOOKUP(A1871,'[1]Sales Order'!A:C,3,FALSE),[1]Employee!A:E,5,FALSE)&amp;" "&amp;VLOOKUP(VLOOKUP(A1871,'[1]Sales Order'!A:C,3,FALSE),[1]Employee!A:C,3,FALSE)&amp;" "&amp;VLOOKUP(VLOOKUP(A1871,'[1]Sales Order'!A:C,3,FALSE),[1]Employee!A:B,2,FALSE),"Not Specified")</f>
        <v>Mrs. Yael Peled</v>
      </c>
      <c r="I1871" t="str">
        <f>IFERROR(VLOOKUP(VLOOKUP(A1871,'[1]Sales Order'!A:C,3,FALSE),[1]Employee!A:J,10,FALSE),"Not Specified")</f>
        <v>WA</v>
      </c>
      <c r="J1871" t="str">
        <f>VLOOKUP(B1871,[1]Product!A:B,2,FALSE)</f>
        <v>Product BLCAX</v>
      </c>
      <c r="K1871" t="str">
        <f>VLOOKUP(VLOOKUP(B1871,[1]Product!A:D,4,FALSE),[1]Category!A:B,2,FALSE)</f>
        <v>Meat/Poultry</v>
      </c>
      <c r="L1871" s="10">
        <f>IFERROR(VLOOKUP(A1871,'[1]Sales Order'!A:D,4,FALSE),"")</f>
        <v>39531</v>
      </c>
      <c r="M1871" s="10">
        <f>IFERROR(VLOOKUP(A1871,'[1]Sales Order'!A:F,6,FALSE),"")</f>
        <v>39533</v>
      </c>
      <c r="N1871" t="str">
        <f>IFERROR(VLOOKUP(VLOOKUP(A1871,'[1]Sales Order'!A:G,7,FALSE),[1]Shipper!A:B,2,FALSE),"Not Specified")</f>
        <v>Shipper ETYNR</v>
      </c>
      <c r="O1871" t="str">
        <f>IFERROR(VLOOKUP(A1871,'[1]Sales Order'!A:I,9,FALSE),"Not Specified")</f>
        <v>Destination MVTWX</v>
      </c>
      <c r="P1871" t="str">
        <f>IFERROR(VLOOKUP(A1871,'[1]Sales Order'!A:N,14,FALSE),"Not Specified")</f>
        <v>France</v>
      </c>
      <c r="Q1871" t="str">
        <f>VLOOKUP(VLOOKUP(B1871,[1]Product!A:C,3,FALSE),[1]Supplier!A:B,2,FALSE)</f>
        <v>Supplier GQRCV</v>
      </c>
      <c r="R1871" t="str">
        <f>VLOOKUP(VLOOKUP(B1871,[1]Product!A:C,3,FALSE),[1]Supplier!A:I,9,FALSE)</f>
        <v>Australia</v>
      </c>
      <c r="S1871" t="str">
        <f>IFERROR(IF(VLOOKUP(A1871,'[1]Sales Order'!A:H,8,FALSE)&gt;100,"High Freight","Low Freight"),"Not Specified")</f>
        <v>Low Freight</v>
      </c>
      <c r="T1871">
        <f t="shared" si="59"/>
        <v>234</v>
      </c>
    </row>
    <row r="1872" spans="1:20">
      <c r="A1872" s="1">
        <v>10972</v>
      </c>
      <c r="B1872" s="2">
        <v>33</v>
      </c>
      <c r="C1872" s="2">
        <v>2.5</v>
      </c>
      <c r="D1872" s="2">
        <v>7</v>
      </c>
      <c r="E1872" s="3">
        <v>0</v>
      </c>
      <c r="F1872" s="2" t="str">
        <f>IFERROR(VLOOKUP(VLOOKUP(A1872,'[1]Sales Order'!A:B,2,FALSE),[1]Customer!A:C,3,FALSE),"Not Specified")</f>
        <v>De Oliveira, Jose</v>
      </c>
      <c r="G1872" s="2" t="str">
        <f t="shared" si="58"/>
        <v>De Oliveira Jose</v>
      </c>
      <c r="H1872" s="8" t="str">
        <f>IFERROR(VLOOKUP(VLOOKUP(A1872,'[1]Sales Order'!A:C,3,FALSE),[1]Employee!A:E,5,FALSE)&amp;" "&amp;VLOOKUP(VLOOKUP(A1872,'[1]Sales Order'!A:C,3,FALSE),[1]Employee!A:C,3,FALSE)&amp;" "&amp;VLOOKUP(VLOOKUP(A1872,'[1]Sales Order'!A:C,3,FALSE),[1]Employee!A:B,2,FALSE),"Not Specified")</f>
        <v>Mrs. Yael Peled</v>
      </c>
      <c r="I1872" t="str">
        <f>IFERROR(VLOOKUP(VLOOKUP(A1872,'[1]Sales Order'!A:C,3,FALSE),[1]Employee!A:J,10,FALSE),"Not Specified")</f>
        <v>WA</v>
      </c>
      <c r="J1872" t="str">
        <f>VLOOKUP(B1872,[1]Product!A:B,2,FALSE)</f>
        <v>Product ASTMN</v>
      </c>
      <c r="K1872" t="str">
        <f>VLOOKUP(VLOOKUP(B1872,[1]Product!A:D,4,FALSE),[1]Category!A:B,2,FALSE)</f>
        <v>Dairy Product</v>
      </c>
      <c r="L1872" s="10">
        <f>IFERROR(VLOOKUP(A1872,'[1]Sales Order'!A:D,4,FALSE),"")</f>
        <v>39531</v>
      </c>
      <c r="M1872" s="10">
        <f>IFERROR(VLOOKUP(A1872,'[1]Sales Order'!A:F,6,FALSE),"")</f>
        <v>39533</v>
      </c>
      <c r="N1872" t="str">
        <f>IFERROR(VLOOKUP(VLOOKUP(A1872,'[1]Sales Order'!A:G,7,FALSE),[1]Shipper!A:B,2,FALSE),"Not Specified")</f>
        <v>Shipper ETYNR</v>
      </c>
      <c r="O1872" t="str">
        <f>IFERROR(VLOOKUP(A1872,'[1]Sales Order'!A:I,9,FALSE),"Not Specified")</f>
        <v>Destination MVTWX</v>
      </c>
      <c r="P1872" t="str">
        <f>IFERROR(VLOOKUP(A1872,'[1]Sales Order'!A:N,14,FALSE),"Not Specified")</f>
        <v>France</v>
      </c>
      <c r="Q1872" t="str">
        <f>VLOOKUP(VLOOKUP(B1872,[1]Product!A:C,3,FALSE),[1]Supplier!A:B,2,FALSE)</f>
        <v>Supplier NZLIF</v>
      </c>
      <c r="R1872" t="str">
        <f>VLOOKUP(VLOOKUP(B1872,[1]Product!A:C,3,FALSE),[1]Supplier!A:I,9,FALSE)</f>
        <v>Norway</v>
      </c>
      <c r="S1872" t="str">
        <f>IFERROR(IF(VLOOKUP(A1872,'[1]Sales Order'!A:H,8,FALSE)&gt;100,"High Freight","Low Freight"),"Not Specified")</f>
        <v>Low Freight</v>
      </c>
      <c r="T1872">
        <f t="shared" si="59"/>
        <v>17.5</v>
      </c>
    </row>
    <row r="1873" spans="1:20">
      <c r="A1873" s="1">
        <v>10973</v>
      </c>
      <c r="B1873" s="2">
        <v>26</v>
      </c>
      <c r="C1873" s="2">
        <v>31.23</v>
      </c>
      <c r="D1873" s="2">
        <v>5</v>
      </c>
      <c r="E1873" s="3">
        <v>0</v>
      </c>
      <c r="F1873" s="2" t="str">
        <f>IFERROR(VLOOKUP(VLOOKUP(A1873,'[1]Sales Order'!A:B,2,FALSE),[1]Customer!A:C,3,FALSE),"Not Specified")</f>
        <v>De Oliveira, Jose</v>
      </c>
      <c r="G1873" s="2" t="str">
        <f t="shared" si="58"/>
        <v>De Oliveira Jose</v>
      </c>
      <c r="H1873" s="8" t="str">
        <f>IFERROR(VLOOKUP(VLOOKUP(A1873,'[1]Sales Order'!A:C,3,FALSE),[1]Employee!A:E,5,FALSE)&amp;" "&amp;VLOOKUP(VLOOKUP(A1873,'[1]Sales Order'!A:C,3,FALSE),[1]Employee!A:C,3,FALSE)&amp;" "&amp;VLOOKUP(VLOOKUP(A1873,'[1]Sales Order'!A:C,3,FALSE),[1]Employee!A:B,2,FALSE),"Not Specified")</f>
        <v>Mr. Paul Suurs</v>
      </c>
      <c r="I1873">
        <f>IFERROR(VLOOKUP(VLOOKUP(A1873,'[1]Sales Order'!A:C,3,FALSE),[1]Employee!A:J,10,FALSE),"Not Specified")</f>
        <v>0</v>
      </c>
      <c r="J1873" t="str">
        <f>VLOOKUP(B1873,[1]Product!A:B,2,FALSE)</f>
        <v>Product HLGZA</v>
      </c>
      <c r="K1873" t="str">
        <f>VLOOKUP(VLOOKUP(B1873,[1]Product!A:D,4,FALSE),[1]Category!A:B,2,FALSE)</f>
        <v>Confections</v>
      </c>
      <c r="L1873" s="10">
        <f>IFERROR(VLOOKUP(A1873,'[1]Sales Order'!A:D,4,FALSE),"")</f>
        <v>39531</v>
      </c>
      <c r="M1873" s="10">
        <f>IFERROR(VLOOKUP(A1873,'[1]Sales Order'!A:F,6,FALSE),"")</f>
        <v>39534</v>
      </c>
      <c r="N1873" t="str">
        <f>IFERROR(VLOOKUP(VLOOKUP(A1873,'[1]Sales Order'!A:G,7,FALSE),[1]Shipper!A:B,2,FALSE),"Not Specified")</f>
        <v>Shipper ETYNR</v>
      </c>
      <c r="O1873" t="str">
        <f>IFERROR(VLOOKUP(A1873,'[1]Sales Order'!A:I,9,FALSE),"Not Specified")</f>
        <v>Destination WWJLO</v>
      </c>
      <c r="P1873" t="str">
        <f>IFERROR(VLOOKUP(A1873,'[1]Sales Order'!A:N,14,FALSE),"Not Specified")</f>
        <v>France</v>
      </c>
      <c r="Q1873" t="str">
        <f>VLOOKUP(VLOOKUP(B1873,[1]Product!A:C,3,FALSE),[1]Supplier!A:B,2,FALSE)</f>
        <v>Supplier ZPYVS</v>
      </c>
      <c r="R1873" t="str">
        <f>VLOOKUP(VLOOKUP(B1873,[1]Product!A:C,3,FALSE),[1]Supplier!A:I,9,FALSE)</f>
        <v>Germany</v>
      </c>
      <c r="S1873" t="str">
        <f>IFERROR(IF(VLOOKUP(A1873,'[1]Sales Order'!A:H,8,FALSE)&gt;100,"High Freight","Low Freight"),"Not Specified")</f>
        <v>Low Freight</v>
      </c>
      <c r="T1873">
        <f t="shared" si="59"/>
        <v>156.15</v>
      </c>
    </row>
    <row r="1874" spans="1:20">
      <c r="A1874" s="1">
        <v>10973</v>
      </c>
      <c r="B1874" s="2">
        <v>41</v>
      </c>
      <c r="C1874" s="2">
        <v>9.65</v>
      </c>
      <c r="D1874" s="2">
        <v>6</v>
      </c>
      <c r="E1874" s="3">
        <v>0</v>
      </c>
      <c r="F1874" s="2" t="str">
        <f>IFERROR(VLOOKUP(VLOOKUP(A1874,'[1]Sales Order'!A:B,2,FALSE),[1]Customer!A:C,3,FALSE),"Not Specified")</f>
        <v>De Oliveira, Jose</v>
      </c>
      <c r="G1874" s="2" t="str">
        <f t="shared" si="58"/>
        <v>De Oliveira Jose</v>
      </c>
      <c r="H1874" s="8" t="str">
        <f>IFERROR(VLOOKUP(VLOOKUP(A1874,'[1]Sales Order'!A:C,3,FALSE),[1]Employee!A:E,5,FALSE)&amp;" "&amp;VLOOKUP(VLOOKUP(A1874,'[1]Sales Order'!A:C,3,FALSE),[1]Employee!A:C,3,FALSE)&amp;" "&amp;VLOOKUP(VLOOKUP(A1874,'[1]Sales Order'!A:C,3,FALSE),[1]Employee!A:B,2,FALSE),"Not Specified")</f>
        <v>Mr. Paul Suurs</v>
      </c>
      <c r="I1874">
        <f>IFERROR(VLOOKUP(VLOOKUP(A1874,'[1]Sales Order'!A:C,3,FALSE),[1]Employee!A:J,10,FALSE),"Not Specified")</f>
        <v>0</v>
      </c>
      <c r="J1874" t="str">
        <f>VLOOKUP(B1874,[1]Product!A:B,2,FALSE)</f>
        <v>Product TTEEX</v>
      </c>
      <c r="K1874" t="str">
        <f>VLOOKUP(VLOOKUP(B1874,[1]Product!A:D,4,FALSE),[1]Category!A:B,2,FALSE)</f>
        <v>Seafood</v>
      </c>
      <c r="L1874" s="10">
        <f>IFERROR(VLOOKUP(A1874,'[1]Sales Order'!A:D,4,FALSE),"")</f>
        <v>39531</v>
      </c>
      <c r="M1874" s="10">
        <f>IFERROR(VLOOKUP(A1874,'[1]Sales Order'!A:F,6,FALSE),"")</f>
        <v>39534</v>
      </c>
      <c r="N1874" t="str">
        <f>IFERROR(VLOOKUP(VLOOKUP(A1874,'[1]Sales Order'!A:G,7,FALSE),[1]Shipper!A:B,2,FALSE),"Not Specified")</f>
        <v>Shipper ETYNR</v>
      </c>
      <c r="O1874" t="str">
        <f>IFERROR(VLOOKUP(A1874,'[1]Sales Order'!A:I,9,FALSE),"Not Specified")</f>
        <v>Destination WWJLO</v>
      </c>
      <c r="P1874" t="str">
        <f>IFERROR(VLOOKUP(A1874,'[1]Sales Order'!A:N,14,FALSE),"Not Specified")</f>
        <v>France</v>
      </c>
      <c r="Q1874" t="str">
        <f>VLOOKUP(VLOOKUP(B1874,[1]Product!A:C,3,FALSE),[1]Supplier!A:B,2,FALSE)</f>
        <v>Supplier JDNUG</v>
      </c>
      <c r="R1874" t="str">
        <f>VLOOKUP(VLOOKUP(B1874,[1]Product!A:C,3,FALSE),[1]Supplier!A:I,9,FALSE)</f>
        <v>USA</v>
      </c>
      <c r="S1874" t="str">
        <f>IFERROR(IF(VLOOKUP(A1874,'[1]Sales Order'!A:H,8,FALSE)&gt;100,"High Freight","Low Freight"),"Not Specified")</f>
        <v>Low Freight</v>
      </c>
      <c r="T1874">
        <f t="shared" si="59"/>
        <v>57.900000000000006</v>
      </c>
    </row>
    <row r="1875" spans="1:20">
      <c r="A1875" s="1">
        <v>10973</v>
      </c>
      <c r="B1875" s="2">
        <v>75</v>
      </c>
      <c r="C1875" s="2">
        <v>7.75</v>
      </c>
      <c r="D1875" s="2">
        <v>10</v>
      </c>
      <c r="E1875" s="3">
        <v>0</v>
      </c>
      <c r="F1875" s="2" t="str">
        <f>IFERROR(VLOOKUP(VLOOKUP(A1875,'[1]Sales Order'!A:B,2,FALSE),[1]Customer!A:C,3,FALSE),"Not Specified")</f>
        <v>De Oliveira, Jose</v>
      </c>
      <c r="G1875" s="2" t="str">
        <f t="shared" si="58"/>
        <v>De Oliveira Jose</v>
      </c>
      <c r="H1875" s="8" t="str">
        <f>IFERROR(VLOOKUP(VLOOKUP(A1875,'[1]Sales Order'!A:C,3,FALSE),[1]Employee!A:E,5,FALSE)&amp;" "&amp;VLOOKUP(VLOOKUP(A1875,'[1]Sales Order'!A:C,3,FALSE),[1]Employee!A:C,3,FALSE)&amp;" "&amp;VLOOKUP(VLOOKUP(A1875,'[1]Sales Order'!A:C,3,FALSE),[1]Employee!A:B,2,FALSE),"Not Specified")</f>
        <v>Mr. Paul Suurs</v>
      </c>
      <c r="I1875">
        <f>IFERROR(VLOOKUP(VLOOKUP(A1875,'[1]Sales Order'!A:C,3,FALSE),[1]Employee!A:J,10,FALSE),"Not Specified")</f>
        <v>0</v>
      </c>
      <c r="J1875" t="str">
        <f>VLOOKUP(B1875,[1]Product!A:B,2,FALSE)</f>
        <v>Product BWRLG</v>
      </c>
      <c r="K1875" t="str">
        <f>VLOOKUP(VLOOKUP(B1875,[1]Product!A:D,4,FALSE),[1]Category!A:B,2,FALSE)</f>
        <v>Beverages</v>
      </c>
      <c r="L1875" s="10">
        <f>IFERROR(VLOOKUP(A1875,'[1]Sales Order'!A:D,4,FALSE),"")</f>
        <v>39531</v>
      </c>
      <c r="M1875" s="10">
        <f>IFERROR(VLOOKUP(A1875,'[1]Sales Order'!A:F,6,FALSE),"")</f>
        <v>39534</v>
      </c>
      <c r="N1875" t="str">
        <f>IFERROR(VLOOKUP(VLOOKUP(A1875,'[1]Sales Order'!A:G,7,FALSE),[1]Shipper!A:B,2,FALSE),"Not Specified")</f>
        <v>Shipper ETYNR</v>
      </c>
      <c r="O1875" t="str">
        <f>IFERROR(VLOOKUP(A1875,'[1]Sales Order'!A:I,9,FALSE),"Not Specified")</f>
        <v>Destination WWJLO</v>
      </c>
      <c r="P1875" t="str">
        <f>IFERROR(VLOOKUP(A1875,'[1]Sales Order'!A:N,14,FALSE),"Not Specified")</f>
        <v>France</v>
      </c>
      <c r="Q1875" t="str">
        <f>VLOOKUP(VLOOKUP(B1875,[1]Product!A:C,3,FALSE),[1]Supplier!A:B,2,FALSE)</f>
        <v>Supplier SVIYA</v>
      </c>
      <c r="R1875" t="str">
        <f>VLOOKUP(VLOOKUP(B1875,[1]Product!A:C,3,FALSE),[1]Supplier!A:I,9,FALSE)</f>
        <v>Germany</v>
      </c>
      <c r="S1875" t="str">
        <f>IFERROR(IF(VLOOKUP(A1875,'[1]Sales Order'!A:H,8,FALSE)&gt;100,"High Freight","Low Freight"),"Not Specified")</f>
        <v>Low Freight</v>
      </c>
      <c r="T1875">
        <f t="shared" si="59"/>
        <v>77.5</v>
      </c>
    </row>
    <row r="1876" spans="1:20">
      <c r="A1876" s="1">
        <v>10974</v>
      </c>
      <c r="B1876" s="2">
        <v>63</v>
      </c>
      <c r="C1876" s="2">
        <v>43.9</v>
      </c>
      <c r="D1876" s="2">
        <v>10</v>
      </c>
      <c r="E1876" s="3">
        <v>0</v>
      </c>
      <c r="F1876" s="2" t="str">
        <f>IFERROR(VLOOKUP(VLOOKUP(A1876,'[1]Sales Order'!A:B,2,FALSE),[1]Customer!A:C,3,FALSE),"Not Specified")</f>
        <v>Wojciechowska, Agnieszka</v>
      </c>
      <c r="G1876" s="2" t="str">
        <f t="shared" si="58"/>
        <v>Wojciechowska Agnieszka</v>
      </c>
      <c r="H1876" s="8" t="str">
        <f>IFERROR(VLOOKUP(VLOOKUP(A1876,'[1]Sales Order'!A:C,3,FALSE),[1]Employee!A:E,5,FALSE)&amp;" "&amp;VLOOKUP(VLOOKUP(A1876,'[1]Sales Order'!A:C,3,FALSE),[1]Employee!A:C,3,FALSE)&amp;" "&amp;VLOOKUP(VLOOKUP(A1876,'[1]Sales Order'!A:C,3,FALSE),[1]Employee!A:B,2,FALSE),"Not Specified")</f>
        <v>Ms. Judy Lew</v>
      </c>
      <c r="I1876" t="str">
        <f>IFERROR(VLOOKUP(VLOOKUP(A1876,'[1]Sales Order'!A:C,3,FALSE),[1]Employee!A:J,10,FALSE),"Not Specified")</f>
        <v>WA</v>
      </c>
      <c r="J1876" t="str">
        <f>VLOOKUP(B1876,[1]Product!A:B,2,FALSE)</f>
        <v>Product ICKNK</v>
      </c>
      <c r="K1876" t="str">
        <f>VLOOKUP(VLOOKUP(B1876,[1]Product!A:D,4,FALSE),[1]Category!A:B,2,FALSE)</f>
        <v>Condiments</v>
      </c>
      <c r="L1876" s="10">
        <f>IFERROR(VLOOKUP(A1876,'[1]Sales Order'!A:D,4,FALSE),"")</f>
        <v>39532</v>
      </c>
      <c r="M1876" s="10">
        <f>IFERROR(VLOOKUP(A1876,'[1]Sales Order'!A:F,6,FALSE),"")</f>
        <v>39541</v>
      </c>
      <c r="N1876" t="str">
        <f>IFERROR(VLOOKUP(VLOOKUP(A1876,'[1]Sales Order'!A:G,7,FALSE),[1]Shipper!A:B,2,FALSE),"Not Specified")</f>
        <v>Shipper ZHISN</v>
      </c>
      <c r="O1876" t="str">
        <f>IFERROR(VLOOKUP(A1876,'[1]Sales Order'!A:I,9,FALSE),"Not Specified")</f>
        <v>Ship to 75-B</v>
      </c>
      <c r="P1876" t="str">
        <f>IFERROR(VLOOKUP(A1876,'[1]Sales Order'!A:N,14,FALSE),"Not Specified")</f>
        <v>USA</v>
      </c>
      <c r="Q1876" t="str">
        <f>VLOOKUP(VLOOKUP(B1876,[1]Product!A:C,3,FALSE),[1]Supplier!A:B,2,FALSE)</f>
        <v>Supplier GQRCV</v>
      </c>
      <c r="R1876" t="str">
        <f>VLOOKUP(VLOOKUP(B1876,[1]Product!A:C,3,FALSE),[1]Supplier!A:I,9,FALSE)</f>
        <v>Australia</v>
      </c>
      <c r="S1876" t="str">
        <f>IFERROR(IF(VLOOKUP(A1876,'[1]Sales Order'!A:H,8,FALSE)&gt;100,"High Freight","Low Freight"),"Not Specified")</f>
        <v>Low Freight</v>
      </c>
      <c r="T1876">
        <f t="shared" si="59"/>
        <v>439</v>
      </c>
    </row>
    <row r="1877" spans="1:20">
      <c r="A1877" s="1">
        <v>10975</v>
      </c>
      <c r="B1877" s="2">
        <v>8</v>
      </c>
      <c r="C1877" s="2">
        <v>40</v>
      </c>
      <c r="D1877" s="2">
        <v>16</v>
      </c>
      <c r="E1877" s="3">
        <v>0</v>
      </c>
      <c r="F1877" s="2" t="str">
        <f>IFERROR(VLOOKUP(VLOOKUP(A1877,'[1]Sales Order'!A:B,2,FALSE),[1]Customer!A:C,3,FALSE),"Not Specified")</f>
        <v>Bassols, Pilar Colome</v>
      </c>
      <c r="G1877" s="2" t="str">
        <f t="shared" si="58"/>
        <v>Bassols Pilar Colome</v>
      </c>
      <c r="H1877" s="8" t="str">
        <f>IFERROR(VLOOKUP(VLOOKUP(A1877,'[1]Sales Order'!A:C,3,FALSE),[1]Employee!A:E,5,FALSE)&amp;" "&amp;VLOOKUP(VLOOKUP(A1877,'[1]Sales Order'!A:C,3,FALSE),[1]Employee!A:C,3,FALSE)&amp;" "&amp;VLOOKUP(VLOOKUP(A1877,'[1]Sales Order'!A:C,3,FALSE),[1]Employee!A:B,2,FALSE),"Not Specified")</f>
        <v>Ms. Sara Davis</v>
      </c>
      <c r="I1877" t="str">
        <f>IFERROR(VLOOKUP(VLOOKUP(A1877,'[1]Sales Order'!A:C,3,FALSE),[1]Employee!A:J,10,FALSE),"Not Specified")</f>
        <v>WA</v>
      </c>
      <c r="J1877" t="str">
        <f>VLOOKUP(B1877,[1]Product!A:B,2,FALSE)</f>
        <v>Product WVJFP</v>
      </c>
      <c r="K1877" t="str">
        <f>VLOOKUP(VLOOKUP(B1877,[1]Product!A:D,4,FALSE),[1]Category!A:B,2,FALSE)</f>
        <v>Condiments</v>
      </c>
      <c r="L1877" s="10">
        <f>IFERROR(VLOOKUP(A1877,'[1]Sales Order'!A:D,4,FALSE),"")</f>
        <v>39532</v>
      </c>
      <c r="M1877" s="10">
        <f>IFERROR(VLOOKUP(A1877,'[1]Sales Order'!A:F,6,FALSE),"")</f>
        <v>39534</v>
      </c>
      <c r="N1877" t="str">
        <f>IFERROR(VLOOKUP(VLOOKUP(A1877,'[1]Sales Order'!A:G,7,FALSE),[1]Shipper!A:B,2,FALSE),"Not Specified")</f>
        <v>Shipper ZHISN</v>
      </c>
      <c r="O1877" t="str">
        <f>IFERROR(VLOOKUP(A1877,'[1]Sales Order'!A:I,9,FALSE),"Not Specified")</f>
        <v>Destination OLSSJ</v>
      </c>
      <c r="P1877" t="str">
        <f>IFERROR(VLOOKUP(A1877,'[1]Sales Order'!A:N,14,FALSE),"Not Specified")</f>
        <v>Canada</v>
      </c>
      <c r="Q1877" t="str">
        <f>VLOOKUP(VLOOKUP(B1877,[1]Product!A:C,3,FALSE),[1]Supplier!A:B,2,FALSE)</f>
        <v>Supplier STUAZ</v>
      </c>
      <c r="R1877" t="str">
        <f>VLOOKUP(VLOOKUP(B1877,[1]Product!A:C,3,FALSE),[1]Supplier!A:I,9,FALSE)</f>
        <v>USA</v>
      </c>
      <c r="S1877" t="str">
        <f>IFERROR(IF(VLOOKUP(A1877,'[1]Sales Order'!A:H,8,FALSE)&gt;100,"High Freight","Low Freight"),"Not Specified")</f>
        <v>Low Freight</v>
      </c>
      <c r="T1877">
        <f t="shared" si="59"/>
        <v>640</v>
      </c>
    </row>
    <row r="1878" spans="1:20">
      <c r="A1878" s="1">
        <v>10975</v>
      </c>
      <c r="B1878" s="2">
        <v>75</v>
      </c>
      <c r="C1878" s="2">
        <v>7.75</v>
      </c>
      <c r="D1878" s="2">
        <v>10</v>
      </c>
      <c r="E1878" s="3">
        <v>0</v>
      </c>
      <c r="F1878" s="2" t="str">
        <f>IFERROR(VLOOKUP(VLOOKUP(A1878,'[1]Sales Order'!A:B,2,FALSE),[1]Customer!A:C,3,FALSE),"Not Specified")</f>
        <v>Bassols, Pilar Colome</v>
      </c>
      <c r="G1878" s="2" t="str">
        <f t="shared" si="58"/>
        <v>Bassols Pilar Colome</v>
      </c>
      <c r="H1878" s="8" t="str">
        <f>IFERROR(VLOOKUP(VLOOKUP(A1878,'[1]Sales Order'!A:C,3,FALSE),[1]Employee!A:E,5,FALSE)&amp;" "&amp;VLOOKUP(VLOOKUP(A1878,'[1]Sales Order'!A:C,3,FALSE),[1]Employee!A:C,3,FALSE)&amp;" "&amp;VLOOKUP(VLOOKUP(A1878,'[1]Sales Order'!A:C,3,FALSE),[1]Employee!A:B,2,FALSE),"Not Specified")</f>
        <v>Ms. Sara Davis</v>
      </c>
      <c r="I1878" t="str">
        <f>IFERROR(VLOOKUP(VLOOKUP(A1878,'[1]Sales Order'!A:C,3,FALSE),[1]Employee!A:J,10,FALSE),"Not Specified")</f>
        <v>WA</v>
      </c>
      <c r="J1878" t="str">
        <f>VLOOKUP(B1878,[1]Product!A:B,2,FALSE)</f>
        <v>Product BWRLG</v>
      </c>
      <c r="K1878" t="str">
        <f>VLOOKUP(VLOOKUP(B1878,[1]Product!A:D,4,FALSE),[1]Category!A:B,2,FALSE)</f>
        <v>Beverages</v>
      </c>
      <c r="L1878" s="10">
        <f>IFERROR(VLOOKUP(A1878,'[1]Sales Order'!A:D,4,FALSE),"")</f>
        <v>39532</v>
      </c>
      <c r="M1878" s="10">
        <f>IFERROR(VLOOKUP(A1878,'[1]Sales Order'!A:F,6,FALSE),"")</f>
        <v>39534</v>
      </c>
      <c r="N1878" t="str">
        <f>IFERROR(VLOOKUP(VLOOKUP(A1878,'[1]Sales Order'!A:G,7,FALSE),[1]Shipper!A:B,2,FALSE),"Not Specified")</f>
        <v>Shipper ZHISN</v>
      </c>
      <c r="O1878" t="str">
        <f>IFERROR(VLOOKUP(A1878,'[1]Sales Order'!A:I,9,FALSE),"Not Specified")</f>
        <v>Destination OLSSJ</v>
      </c>
      <c r="P1878" t="str">
        <f>IFERROR(VLOOKUP(A1878,'[1]Sales Order'!A:N,14,FALSE),"Not Specified")</f>
        <v>Canada</v>
      </c>
      <c r="Q1878" t="str">
        <f>VLOOKUP(VLOOKUP(B1878,[1]Product!A:C,3,FALSE),[1]Supplier!A:B,2,FALSE)</f>
        <v>Supplier SVIYA</v>
      </c>
      <c r="R1878" t="str">
        <f>VLOOKUP(VLOOKUP(B1878,[1]Product!A:C,3,FALSE),[1]Supplier!A:I,9,FALSE)</f>
        <v>Germany</v>
      </c>
      <c r="S1878" t="str">
        <f>IFERROR(IF(VLOOKUP(A1878,'[1]Sales Order'!A:H,8,FALSE)&gt;100,"High Freight","Low Freight"),"Not Specified")</f>
        <v>Low Freight</v>
      </c>
      <c r="T1878">
        <f t="shared" si="59"/>
        <v>77.5</v>
      </c>
    </row>
    <row r="1879" spans="1:20">
      <c r="A1879" s="1">
        <v>10976</v>
      </c>
      <c r="B1879" s="2">
        <v>28</v>
      </c>
      <c r="C1879" s="2">
        <v>45.6</v>
      </c>
      <c r="D1879" s="2">
        <v>20</v>
      </c>
      <c r="E1879" s="3">
        <v>0</v>
      </c>
      <c r="F1879" s="2" t="str">
        <f>IFERROR(VLOOKUP(VLOOKUP(A1879,'[1]Sales Order'!A:B,2,FALSE),[1]Customer!A:C,3,FALSE),"Not Specified")</f>
        <v>Langohr, Kris</v>
      </c>
      <c r="G1879" s="2" t="str">
        <f t="shared" si="58"/>
        <v>Langohr Kris</v>
      </c>
      <c r="H1879" s="8" t="str">
        <f>IFERROR(VLOOKUP(VLOOKUP(A1879,'[1]Sales Order'!A:C,3,FALSE),[1]Employee!A:E,5,FALSE)&amp;" "&amp;VLOOKUP(VLOOKUP(A1879,'[1]Sales Order'!A:C,3,FALSE),[1]Employee!A:C,3,FALSE)&amp;" "&amp;VLOOKUP(VLOOKUP(A1879,'[1]Sales Order'!A:C,3,FALSE),[1]Employee!A:B,2,FALSE),"Not Specified")</f>
        <v>Ms. Sara Davis</v>
      </c>
      <c r="I1879" t="str">
        <f>IFERROR(VLOOKUP(VLOOKUP(A1879,'[1]Sales Order'!A:C,3,FALSE),[1]Employee!A:J,10,FALSE),"Not Specified")</f>
        <v>WA</v>
      </c>
      <c r="J1879" t="str">
        <f>VLOOKUP(B1879,[1]Product!A:B,2,FALSE)</f>
        <v>Product OFBNT</v>
      </c>
      <c r="K1879" t="str">
        <f>VLOOKUP(VLOOKUP(B1879,[1]Product!A:D,4,FALSE),[1]Category!A:B,2,FALSE)</f>
        <v>Produce</v>
      </c>
      <c r="L1879" s="10">
        <f>IFERROR(VLOOKUP(A1879,'[1]Sales Order'!A:D,4,FALSE),"")</f>
        <v>39532</v>
      </c>
      <c r="M1879" s="10">
        <f>IFERROR(VLOOKUP(A1879,'[1]Sales Order'!A:F,6,FALSE),"")</f>
        <v>39541</v>
      </c>
      <c r="N1879" t="str">
        <f>IFERROR(VLOOKUP(VLOOKUP(A1879,'[1]Sales Order'!A:G,7,FALSE),[1]Shipper!A:B,2,FALSE),"Not Specified")</f>
        <v>Shipper GVSUA</v>
      </c>
      <c r="O1879" t="str">
        <f>IFERROR(VLOOKUP(A1879,'[1]Sales Order'!A:I,9,FALSE),"Not Specified")</f>
        <v>Destination SXYQX</v>
      </c>
      <c r="P1879" t="str">
        <f>IFERROR(VLOOKUP(A1879,'[1]Sales Order'!A:N,14,FALSE),"Not Specified")</f>
        <v>Venezuela</v>
      </c>
      <c r="Q1879" t="str">
        <f>VLOOKUP(VLOOKUP(B1879,[1]Product!A:C,3,FALSE),[1]Supplier!A:B,2,FALSE)</f>
        <v>Supplier SVIYA</v>
      </c>
      <c r="R1879" t="str">
        <f>VLOOKUP(VLOOKUP(B1879,[1]Product!A:C,3,FALSE),[1]Supplier!A:I,9,FALSE)</f>
        <v>Germany</v>
      </c>
      <c r="S1879" t="str">
        <f>IFERROR(IF(VLOOKUP(A1879,'[1]Sales Order'!A:H,8,FALSE)&gt;100,"High Freight","Low Freight"),"Not Specified")</f>
        <v>Low Freight</v>
      </c>
      <c r="T1879">
        <f t="shared" si="59"/>
        <v>912</v>
      </c>
    </row>
    <row r="1880" spans="1:20">
      <c r="A1880" s="1">
        <v>10977</v>
      </c>
      <c r="B1880" s="2">
        <v>39</v>
      </c>
      <c r="C1880" s="2">
        <v>18</v>
      </c>
      <c r="D1880" s="2">
        <v>30</v>
      </c>
      <c r="E1880" s="3">
        <v>0</v>
      </c>
      <c r="F1880" s="2" t="str">
        <f>IFERROR(VLOOKUP(VLOOKUP(A1880,'[1]Sales Order'!A:B,2,FALSE),[1]Customer!A:C,3,FALSE),"Not Specified")</f>
        <v>San Juan, Patricia</v>
      </c>
      <c r="G1880" s="2" t="str">
        <f t="shared" si="58"/>
        <v>San Juan Patricia</v>
      </c>
      <c r="H1880" s="8" t="str">
        <f>IFERROR(VLOOKUP(VLOOKUP(A1880,'[1]Sales Order'!A:C,3,FALSE),[1]Employee!A:E,5,FALSE)&amp;" "&amp;VLOOKUP(VLOOKUP(A1880,'[1]Sales Order'!A:C,3,FALSE),[1]Employee!A:C,3,FALSE)&amp;" "&amp;VLOOKUP(VLOOKUP(A1880,'[1]Sales Order'!A:C,3,FALSE),[1]Employee!A:B,2,FALSE),"Not Specified")</f>
        <v>Ms. Maria Cameron</v>
      </c>
      <c r="I1880" t="str">
        <f>IFERROR(VLOOKUP(VLOOKUP(A1880,'[1]Sales Order'!A:C,3,FALSE),[1]Employee!A:J,10,FALSE),"Not Specified")</f>
        <v>WA</v>
      </c>
      <c r="J1880" t="str">
        <f>VLOOKUP(B1880,[1]Product!A:B,2,FALSE)</f>
        <v>Product LSOFL</v>
      </c>
      <c r="K1880" t="str">
        <f>VLOOKUP(VLOOKUP(B1880,[1]Product!A:D,4,FALSE),[1]Category!A:B,2,FALSE)</f>
        <v>Beverages</v>
      </c>
      <c r="L1880" s="10">
        <f>IFERROR(VLOOKUP(A1880,'[1]Sales Order'!A:D,4,FALSE),"")</f>
        <v>39533</v>
      </c>
      <c r="M1880" s="10">
        <f>IFERROR(VLOOKUP(A1880,'[1]Sales Order'!A:F,6,FALSE),"")</f>
        <v>39548</v>
      </c>
      <c r="N1880" t="str">
        <f>IFERROR(VLOOKUP(VLOOKUP(A1880,'[1]Sales Order'!A:G,7,FALSE),[1]Shipper!A:B,2,FALSE),"Not Specified")</f>
        <v>Shipper ZHISN</v>
      </c>
      <c r="O1880" t="str">
        <f>IFERROR(VLOOKUP(A1880,'[1]Sales Order'!A:I,9,FALSE),"Not Specified")</f>
        <v>Destination NCKKO</v>
      </c>
      <c r="P1880" t="str">
        <f>IFERROR(VLOOKUP(A1880,'[1]Sales Order'!A:N,14,FALSE),"Not Specified")</f>
        <v>Sweden</v>
      </c>
      <c r="Q1880" t="str">
        <f>VLOOKUP(VLOOKUP(B1880,[1]Product!A:C,3,FALSE),[1]Supplier!A:B,2,FALSE)</f>
        <v>Supplier LVJUA</v>
      </c>
      <c r="R1880" t="str">
        <f>VLOOKUP(VLOOKUP(B1880,[1]Product!A:C,3,FALSE),[1]Supplier!A:I,9,FALSE)</f>
        <v>France</v>
      </c>
      <c r="S1880" t="str">
        <f>IFERROR(IF(VLOOKUP(A1880,'[1]Sales Order'!A:H,8,FALSE)&gt;100,"High Freight","Low Freight"),"Not Specified")</f>
        <v>High Freight</v>
      </c>
      <c r="T1880">
        <f t="shared" si="59"/>
        <v>540</v>
      </c>
    </row>
    <row r="1881" spans="1:20">
      <c r="A1881" s="1">
        <v>10977</v>
      </c>
      <c r="B1881" s="2">
        <v>47</v>
      </c>
      <c r="C1881" s="2">
        <v>9.5</v>
      </c>
      <c r="D1881" s="2">
        <v>30</v>
      </c>
      <c r="E1881" s="3">
        <v>0</v>
      </c>
      <c r="F1881" s="2" t="str">
        <f>IFERROR(VLOOKUP(VLOOKUP(A1881,'[1]Sales Order'!A:B,2,FALSE),[1]Customer!A:C,3,FALSE),"Not Specified")</f>
        <v>San Juan, Patricia</v>
      </c>
      <c r="G1881" s="2" t="str">
        <f t="shared" si="58"/>
        <v>San Juan Patricia</v>
      </c>
      <c r="H1881" s="8" t="str">
        <f>IFERROR(VLOOKUP(VLOOKUP(A1881,'[1]Sales Order'!A:C,3,FALSE),[1]Employee!A:E,5,FALSE)&amp;" "&amp;VLOOKUP(VLOOKUP(A1881,'[1]Sales Order'!A:C,3,FALSE),[1]Employee!A:C,3,FALSE)&amp;" "&amp;VLOOKUP(VLOOKUP(A1881,'[1]Sales Order'!A:C,3,FALSE),[1]Employee!A:B,2,FALSE),"Not Specified")</f>
        <v>Ms. Maria Cameron</v>
      </c>
      <c r="I1881" t="str">
        <f>IFERROR(VLOOKUP(VLOOKUP(A1881,'[1]Sales Order'!A:C,3,FALSE),[1]Employee!A:J,10,FALSE),"Not Specified")</f>
        <v>WA</v>
      </c>
      <c r="J1881" t="str">
        <f>VLOOKUP(B1881,[1]Product!A:B,2,FALSE)</f>
        <v>Product EZZPR</v>
      </c>
      <c r="K1881" t="str">
        <f>VLOOKUP(VLOOKUP(B1881,[1]Product!A:D,4,FALSE),[1]Category!A:B,2,FALSE)</f>
        <v>Confections</v>
      </c>
      <c r="L1881" s="10">
        <f>IFERROR(VLOOKUP(A1881,'[1]Sales Order'!A:D,4,FALSE),"")</f>
        <v>39533</v>
      </c>
      <c r="M1881" s="10">
        <f>IFERROR(VLOOKUP(A1881,'[1]Sales Order'!A:F,6,FALSE),"")</f>
        <v>39548</v>
      </c>
      <c r="N1881" t="str">
        <f>IFERROR(VLOOKUP(VLOOKUP(A1881,'[1]Sales Order'!A:G,7,FALSE),[1]Shipper!A:B,2,FALSE),"Not Specified")</f>
        <v>Shipper ZHISN</v>
      </c>
      <c r="O1881" t="str">
        <f>IFERROR(VLOOKUP(A1881,'[1]Sales Order'!A:I,9,FALSE),"Not Specified")</f>
        <v>Destination NCKKO</v>
      </c>
      <c r="P1881" t="str">
        <f>IFERROR(VLOOKUP(A1881,'[1]Sales Order'!A:N,14,FALSE),"Not Specified")</f>
        <v>Sweden</v>
      </c>
      <c r="Q1881" t="str">
        <f>VLOOKUP(VLOOKUP(B1881,[1]Product!A:C,3,FALSE),[1]Supplier!A:B,2,FALSE)</f>
        <v>Supplier FNUXM</v>
      </c>
      <c r="R1881" t="str">
        <f>VLOOKUP(VLOOKUP(B1881,[1]Product!A:C,3,FALSE),[1]Supplier!A:I,9,FALSE)</f>
        <v>Netherlands</v>
      </c>
      <c r="S1881" t="str">
        <f>IFERROR(IF(VLOOKUP(A1881,'[1]Sales Order'!A:H,8,FALSE)&gt;100,"High Freight","Low Freight"),"Not Specified")</f>
        <v>High Freight</v>
      </c>
      <c r="T1881">
        <f t="shared" si="59"/>
        <v>285</v>
      </c>
    </row>
    <row r="1882" spans="1:20">
      <c r="A1882" s="1">
        <v>10977</v>
      </c>
      <c r="B1882" s="2">
        <v>51</v>
      </c>
      <c r="C1882" s="2">
        <v>53</v>
      </c>
      <c r="D1882" s="2">
        <v>10</v>
      </c>
      <c r="E1882" s="3">
        <v>0</v>
      </c>
      <c r="F1882" s="2" t="str">
        <f>IFERROR(VLOOKUP(VLOOKUP(A1882,'[1]Sales Order'!A:B,2,FALSE),[1]Customer!A:C,3,FALSE),"Not Specified")</f>
        <v>San Juan, Patricia</v>
      </c>
      <c r="G1882" s="2" t="str">
        <f t="shared" si="58"/>
        <v>San Juan Patricia</v>
      </c>
      <c r="H1882" s="8" t="str">
        <f>IFERROR(VLOOKUP(VLOOKUP(A1882,'[1]Sales Order'!A:C,3,FALSE),[1]Employee!A:E,5,FALSE)&amp;" "&amp;VLOOKUP(VLOOKUP(A1882,'[1]Sales Order'!A:C,3,FALSE),[1]Employee!A:C,3,FALSE)&amp;" "&amp;VLOOKUP(VLOOKUP(A1882,'[1]Sales Order'!A:C,3,FALSE),[1]Employee!A:B,2,FALSE),"Not Specified")</f>
        <v>Ms. Maria Cameron</v>
      </c>
      <c r="I1882" t="str">
        <f>IFERROR(VLOOKUP(VLOOKUP(A1882,'[1]Sales Order'!A:C,3,FALSE),[1]Employee!A:J,10,FALSE),"Not Specified")</f>
        <v>WA</v>
      </c>
      <c r="J1882" t="str">
        <f>VLOOKUP(B1882,[1]Product!A:B,2,FALSE)</f>
        <v>Product APITJ</v>
      </c>
      <c r="K1882" t="str">
        <f>VLOOKUP(VLOOKUP(B1882,[1]Product!A:D,4,FALSE),[1]Category!A:B,2,FALSE)</f>
        <v>Produce</v>
      </c>
      <c r="L1882" s="10">
        <f>IFERROR(VLOOKUP(A1882,'[1]Sales Order'!A:D,4,FALSE),"")</f>
        <v>39533</v>
      </c>
      <c r="M1882" s="10">
        <f>IFERROR(VLOOKUP(A1882,'[1]Sales Order'!A:F,6,FALSE),"")</f>
        <v>39548</v>
      </c>
      <c r="N1882" t="str">
        <f>IFERROR(VLOOKUP(VLOOKUP(A1882,'[1]Sales Order'!A:G,7,FALSE),[1]Shipper!A:B,2,FALSE),"Not Specified")</f>
        <v>Shipper ZHISN</v>
      </c>
      <c r="O1882" t="str">
        <f>IFERROR(VLOOKUP(A1882,'[1]Sales Order'!A:I,9,FALSE),"Not Specified")</f>
        <v>Destination NCKKO</v>
      </c>
      <c r="P1882" t="str">
        <f>IFERROR(VLOOKUP(A1882,'[1]Sales Order'!A:N,14,FALSE),"Not Specified")</f>
        <v>Sweden</v>
      </c>
      <c r="Q1882" t="str">
        <f>VLOOKUP(VLOOKUP(B1882,[1]Product!A:C,3,FALSE),[1]Supplier!A:B,2,FALSE)</f>
        <v>Supplier JNNES</v>
      </c>
      <c r="R1882" t="str">
        <f>VLOOKUP(VLOOKUP(B1882,[1]Product!A:C,3,FALSE),[1]Supplier!A:I,9,FALSE)</f>
        <v>Australia</v>
      </c>
      <c r="S1882" t="str">
        <f>IFERROR(IF(VLOOKUP(A1882,'[1]Sales Order'!A:H,8,FALSE)&gt;100,"High Freight","Low Freight"),"Not Specified")</f>
        <v>High Freight</v>
      </c>
      <c r="T1882">
        <f t="shared" si="59"/>
        <v>530</v>
      </c>
    </row>
    <row r="1883" spans="1:20">
      <c r="A1883" s="1">
        <v>10977</v>
      </c>
      <c r="B1883" s="2">
        <v>63</v>
      </c>
      <c r="C1883" s="2">
        <v>43.9</v>
      </c>
      <c r="D1883" s="2">
        <v>20</v>
      </c>
      <c r="E1883" s="3">
        <v>0</v>
      </c>
      <c r="F1883" s="2" t="str">
        <f>IFERROR(VLOOKUP(VLOOKUP(A1883,'[1]Sales Order'!A:B,2,FALSE),[1]Customer!A:C,3,FALSE),"Not Specified")</f>
        <v>San Juan, Patricia</v>
      </c>
      <c r="G1883" s="2" t="str">
        <f t="shared" si="58"/>
        <v>San Juan Patricia</v>
      </c>
      <c r="H1883" s="8" t="str">
        <f>IFERROR(VLOOKUP(VLOOKUP(A1883,'[1]Sales Order'!A:C,3,FALSE),[1]Employee!A:E,5,FALSE)&amp;" "&amp;VLOOKUP(VLOOKUP(A1883,'[1]Sales Order'!A:C,3,FALSE),[1]Employee!A:C,3,FALSE)&amp;" "&amp;VLOOKUP(VLOOKUP(A1883,'[1]Sales Order'!A:C,3,FALSE),[1]Employee!A:B,2,FALSE),"Not Specified")</f>
        <v>Ms. Maria Cameron</v>
      </c>
      <c r="I1883" t="str">
        <f>IFERROR(VLOOKUP(VLOOKUP(A1883,'[1]Sales Order'!A:C,3,FALSE),[1]Employee!A:J,10,FALSE),"Not Specified")</f>
        <v>WA</v>
      </c>
      <c r="J1883" t="str">
        <f>VLOOKUP(B1883,[1]Product!A:B,2,FALSE)</f>
        <v>Product ICKNK</v>
      </c>
      <c r="K1883" t="str">
        <f>VLOOKUP(VLOOKUP(B1883,[1]Product!A:D,4,FALSE),[1]Category!A:B,2,FALSE)</f>
        <v>Condiments</v>
      </c>
      <c r="L1883" s="10">
        <f>IFERROR(VLOOKUP(A1883,'[1]Sales Order'!A:D,4,FALSE),"")</f>
        <v>39533</v>
      </c>
      <c r="M1883" s="10">
        <f>IFERROR(VLOOKUP(A1883,'[1]Sales Order'!A:F,6,FALSE),"")</f>
        <v>39548</v>
      </c>
      <c r="N1883" t="str">
        <f>IFERROR(VLOOKUP(VLOOKUP(A1883,'[1]Sales Order'!A:G,7,FALSE),[1]Shipper!A:B,2,FALSE),"Not Specified")</f>
        <v>Shipper ZHISN</v>
      </c>
      <c r="O1883" t="str">
        <f>IFERROR(VLOOKUP(A1883,'[1]Sales Order'!A:I,9,FALSE),"Not Specified")</f>
        <v>Destination NCKKO</v>
      </c>
      <c r="P1883" t="str">
        <f>IFERROR(VLOOKUP(A1883,'[1]Sales Order'!A:N,14,FALSE),"Not Specified")</f>
        <v>Sweden</v>
      </c>
      <c r="Q1883" t="str">
        <f>VLOOKUP(VLOOKUP(B1883,[1]Product!A:C,3,FALSE),[1]Supplier!A:B,2,FALSE)</f>
        <v>Supplier GQRCV</v>
      </c>
      <c r="R1883" t="str">
        <f>VLOOKUP(VLOOKUP(B1883,[1]Product!A:C,3,FALSE),[1]Supplier!A:I,9,FALSE)</f>
        <v>Australia</v>
      </c>
      <c r="S1883" t="str">
        <f>IFERROR(IF(VLOOKUP(A1883,'[1]Sales Order'!A:H,8,FALSE)&gt;100,"High Freight","Low Freight"),"Not Specified")</f>
        <v>High Freight</v>
      </c>
      <c r="T1883">
        <f t="shared" si="59"/>
        <v>878</v>
      </c>
    </row>
    <row r="1884" spans="1:20">
      <c r="A1884" s="1">
        <v>10978</v>
      </c>
      <c r="B1884" s="2">
        <v>8</v>
      </c>
      <c r="C1884" s="2">
        <v>40</v>
      </c>
      <c r="D1884" s="2">
        <v>20</v>
      </c>
      <c r="E1884" s="3">
        <v>0.15</v>
      </c>
      <c r="F1884" s="2" t="str">
        <f>IFERROR(VLOOKUP(VLOOKUP(A1884,'[1]Sales Order'!A:B,2,FALSE),[1]Customer!A:C,3,FALSE),"Not Specified")</f>
        <v>Mace, Donald</v>
      </c>
      <c r="G1884" s="2" t="str">
        <f t="shared" si="58"/>
        <v>Mace Donald</v>
      </c>
      <c r="H1884" s="8" t="str">
        <f>IFERROR(VLOOKUP(VLOOKUP(A1884,'[1]Sales Order'!A:C,3,FALSE),[1]Employee!A:E,5,FALSE)&amp;" "&amp;VLOOKUP(VLOOKUP(A1884,'[1]Sales Order'!A:C,3,FALSE),[1]Employee!A:C,3,FALSE)&amp;" "&amp;VLOOKUP(VLOOKUP(A1884,'[1]Sales Order'!A:C,3,FALSE),[1]Employee!A:B,2,FALSE),"Not Specified")</f>
        <v>Ms. Zoya Dolgopyatova</v>
      </c>
      <c r="I1884">
        <f>IFERROR(VLOOKUP(VLOOKUP(A1884,'[1]Sales Order'!A:C,3,FALSE),[1]Employee!A:J,10,FALSE),"Not Specified")</f>
        <v>0</v>
      </c>
      <c r="J1884" t="str">
        <f>VLOOKUP(B1884,[1]Product!A:B,2,FALSE)</f>
        <v>Product WVJFP</v>
      </c>
      <c r="K1884" t="str">
        <f>VLOOKUP(VLOOKUP(B1884,[1]Product!A:D,4,FALSE),[1]Category!A:B,2,FALSE)</f>
        <v>Condiments</v>
      </c>
      <c r="L1884" s="10">
        <f>IFERROR(VLOOKUP(A1884,'[1]Sales Order'!A:D,4,FALSE),"")</f>
        <v>39533</v>
      </c>
      <c r="M1884" s="10">
        <f>IFERROR(VLOOKUP(A1884,'[1]Sales Order'!A:F,6,FALSE),"")</f>
        <v>39561</v>
      </c>
      <c r="N1884" t="str">
        <f>IFERROR(VLOOKUP(VLOOKUP(A1884,'[1]Sales Order'!A:G,7,FALSE),[1]Shipper!A:B,2,FALSE),"Not Specified")</f>
        <v>Shipper ETYNR</v>
      </c>
      <c r="O1884" t="str">
        <f>IFERROR(VLOOKUP(A1884,'[1]Sales Order'!A:I,9,FALSE),"Not Specified")</f>
        <v>Ship to 50-A</v>
      </c>
      <c r="P1884" t="str">
        <f>IFERROR(VLOOKUP(A1884,'[1]Sales Order'!A:N,14,FALSE),"Not Specified")</f>
        <v>Belgium</v>
      </c>
      <c r="Q1884" t="str">
        <f>VLOOKUP(VLOOKUP(B1884,[1]Product!A:C,3,FALSE),[1]Supplier!A:B,2,FALSE)</f>
        <v>Supplier STUAZ</v>
      </c>
      <c r="R1884" t="str">
        <f>VLOOKUP(VLOOKUP(B1884,[1]Product!A:C,3,FALSE),[1]Supplier!A:I,9,FALSE)</f>
        <v>USA</v>
      </c>
      <c r="S1884" t="str">
        <f>IFERROR(IF(VLOOKUP(A1884,'[1]Sales Order'!A:H,8,FALSE)&gt;100,"High Freight","Low Freight"),"Not Specified")</f>
        <v>Low Freight</v>
      </c>
      <c r="T1884">
        <f t="shared" si="59"/>
        <v>680</v>
      </c>
    </row>
    <row r="1885" spans="1:20">
      <c r="A1885" s="1">
        <v>10978</v>
      </c>
      <c r="B1885" s="2">
        <v>21</v>
      </c>
      <c r="C1885" s="2">
        <v>10</v>
      </c>
      <c r="D1885" s="2">
        <v>40</v>
      </c>
      <c r="E1885" s="3">
        <v>0.15</v>
      </c>
      <c r="F1885" s="2" t="str">
        <f>IFERROR(VLOOKUP(VLOOKUP(A1885,'[1]Sales Order'!A:B,2,FALSE),[1]Customer!A:C,3,FALSE),"Not Specified")</f>
        <v>Mace, Donald</v>
      </c>
      <c r="G1885" s="2" t="str">
        <f t="shared" si="58"/>
        <v>Mace Donald</v>
      </c>
      <c r="H1885" s="8" t="str">
        <f>IFERROR(VLOOKUP(VLOOKUP(A1885,'[1]Sales Order'!A:C,3,FALSE),[1]Employee!A:E,5,FALSE)&amp;" "&amp;VLOOKUP(VLOOKUP(A1885,'[1]Sales Order'!A:C,3,FALSE),[1]Employee!A:C,3,FALSE)&amp;" "&amp;VLOOKUP(VLOOKUP(A1885,'[1]Sales Order'!A:C,3,FALSE),[1]Employee!A:B,2,FALSE),"Not Specified")</f>
        <v>Ms. Zoya Dolgopyatova</v>
      </c>
      <c r="I1885">
        <f>IFERROR(VLOOKUP(VLOOKUP(A1885,'[1]Sales Order'!A:C,3,FALSE),[1]Employee!A:J,10,FALSE),"Not Specified")</f>
        <v>0</v>
      </c>
      <c r="J1885" t="str">
        <f>VLOOKUP(B1885,[1]Product!A:B,2,FALSE)</f>
        <v>Product VJZZH</v>
      </c>
      <c r="K1885" t="str">
        <f>VLOOKUP(VLOOKUP(B1885,[1]Product!A:D,4,FALSE),[1]Category!A:B,2,FALSE)</f>
        <v>Confections</v>
      </c>
      <c r="L1885" s="10">
        <f>IFERROR(VLOOKUP(A1885,'[1]Sales Order'!A:D,4,FALSE),"")</f>
        <v>39533</v>
      </c>
      <c r="M1885" s="10">
        <f>IFERROR(VLOOKUP(A1885,'[1]Sales Order'!A:F,6,FALSE),"")</f>
        <v>39561</v>
      </c>
      <c r="N1885" t="str">
        <f>IFERROR(VLOOKUP(VLOOKUP(A1885,'[1]Sales Order'!A:G,7,FALSE),[1]Shipper!A:B,2,FALSE),"Not Specified")</f>
        <v>Shipper ETYNR</v>
      </c>
      <c r="O1885" t="str">
        <f>IFERROR(VLOOKUP(A1885,'[1]Sales Order'!A:I,9,FALSE),"Not Specified")</f>
        <v>Ship to 50-A</v>
      </c>
      <c r="P1885" t="str">
        <f>IFERROR(VLOOKUP(A1885,'[1]Sales Order'!A:N,14,FALSE),"Not Specified")</f>
        <v>Belgium</v>
      </c>
      <c r="Q1885" t="str">
        <f>VLOOKUP(VLOOKUP(B1885,[1]Product!A:C,3,FALSE),[1]Supplier!A:B,2,FALSE)</f>
        <v>Supplier BWGYE</v>
      </c>
      <c r="R1885" t="str">
        <f>VLOOKUP(VLOOKUP(B1885,[1]Product!A:C,3,FALSE),[1]Supplier!A:I,9,FALSE)</f>
        <v>UK</v>
      </c>
      <c r="S1885" t="str">
        <f>IFERROR(IF(VLOOKUP(A1885,'[1]Sales Order'!A:H,8,FALSE)&gt;100,"High Freight","Low Freight"),"Not Specified")</f>
        <v>Low Freight</v>
      </c>
      <c r="T1885">
        <f t="shared" si="59"/>
        <v>340</v>
      </c>
    </row>
    <row r="1886" spans="1:20">
      <c r="A1886" s="1">
        <v>10978</v>
      </c>
      <c r="B1886" s="2">
        <v>40</v>
      </c>
      <c r="C1886" s="2">
        <v>18.399999999999999</v>
      </c>
      <c r="D1886" s="2">
        <v>10</v>
      </c>
      <c r="E1886" s="3">
        <v>0</v>
      </c>
      <c r="F1886" s="2" t="str">
        <f>IFERROR(VLOOKUP(VLOOKUP(A1886,'[1]Sales Order'!A:B,2,FALSE),[1]Customer!A:C,3,FALSE),"Not Specified")</f>
        <v>Mace, Donald</v>
      </c>
      <c r="G1886" s="2" t="str">
        <f t="shared" si="58"/>
        <v>Mace Donald</v>
      </c>
      <c r="H1886" s="8" t="str">
        <f>IFERROR(VLOOKUP(VLOOKUP(A1886,'[1]Sales Order'!A:C,3,FALSE),[1]Employee!A:E,5,FALSE)&amp;" "&amp;VLOOKUP(VLOOKUP(A1886,'[1]Sales Order'!A:C,3,FALSE),[1]Employee!A:C,3,FALSE)&amp;" "&amp;VLOOKUP(VLOOKUP(A1886,'[1]Sales Order'!A:C,3,FALSE),[1]Employee!A:B,2,FALSE),"Not Specified")</f>
        <v>Ms. Zoya Dolgopyatova</v>
      </c>
      <c r="I1886">
        <f>IFERROR(VLOOKUP(VLOOKUP(A1886,'[1]Sales Order'!A:C,3,FALSE),[1]Employee!A:J,10,FALSE),"Not Specified")</f>
        <v>0</v>
      </c>
      <c r="J1886" t="str">
        <f>VLOOKUP(B1886,[1]Product!A:B,2,FALSE)</f>
        <v>Product YZIXQ</v>
      </c>
      <c r="K1886" t="str">
        <f>VLOOKUP(VLOOKUP(B1886,[1]Product!A:D,4,FALSE),[1]Category!A:B,2,FALSE)</f>
        <v>Seafood</v>
      </c>
      <c r="L1886" s="10">
        <f>IFERROR(VLOOKUP(A1886,'[1]Sales Order'!A:D,4,FALSE),"")</f>
        <v>39533</v>
      </c>
      <c r="M1886" s="10">
        <f>IFERROR(VLOOKUP(A1886,'[1]Sales Order'!A:F,6,FALSE),"")</f>
        <v>39561</v>
      </c>
      <c r="N1886" t="str">
        <f>IFERROR(VLOOKUP(VLOOKUP(A1886,'[1]Sales Order'!A:G,7,FALSE),[1]Shipper!A:B,2,FALSE),"Not Specified")</f>
        <v>Shipper ETYNR</v>
      </c>
      <c r="O1886" t="str">
        <f>IFERROR(VLOOKUP(A1886,'[1]Sales Order'!A:I,9,FALSE),"Not Specified")</f>
        <v>Ship to 50-A</v>
      </c>
      <c r="P1886" t="str">
        <f>IFERROR(VLOOKUP(A1886,'[1]Sales Order'!A:N,14,FALSE),"Not Specified")</f>
        <v>Belgium</v>
      </c>
      <c r="Q1886" t="str">
        <f>VLOOKUP(VLOOKUP(B1886,[1]Product!A:C,3,FALSE),[1]Supplier!A:B,2,FALSE)</f>
        <v>Supplier JDNUG</v>
      </c>
      <c r="R1886" t="str">
        <f>VLOOKUP(VLOOKUP(B1886,[1]Product!A:C,3,FALSE),[1]Supplier!A:I,9,FALSE)</f>
        <v>USA</v>
      </c>
      <c r="S1886" t="str">
        <f>IFERROR(IF(VLOOKUP(A1886,'[1]Sales Order'!A:H,8,FALSE)&gt;100,"High Freight","Low Freight"),"Not Specified")</f>
        <v>Low Freight</v>
      </c>
      <c r="T1886">
        <f t="shared" si="59"/>
        <v>184</v>
      </c>
    </row>
    <row r="1887" spans="1:20">
      <c r="A1887" s="1">
        <v>10978</v>
      </c>
      <c r="B1887" s="2">
        <v>44</v>
      </c>
      <c r="C1887" s="2">
        <v>19.45</v>
      </c>
      <c r="D1887" s="2">
        <v>6</v>
      </c>
      <c r="E1887" s="3">
        <v>0.15</v>
      </c>
      <c r="F1887" s="2" t="str">
        <f>IFERROR(VLOOKUP(VLOOKUP(A1887,'[1]Sales Order'!A:B,2,FALSE),[1]Customer!A:C,3,FALSE),"Not Specified")</f>
        <v>Mace, Donald</v>
      </c>
      <c r="G1887" s="2" t="str">
        <f t="shared" si="58"/>
        <v>Mace Donald</v>
      </c>
      <c r="H1887" s="8" t="str">
        <f>IFERROR(VLOOKUP(VLOOKUP(A1887,'[1]Sales Order'!A:C,3,FALSE),[1]Employee!A:E,5,FALSE)&amp;" "&amp;VLOOKUP(VLOOKUP(A1887,'[1]Sales Order'!A:C,3,FALSE),[1]Employee!A:C,3,FALSE)&amp;" "&amp;VLOOKUP(VLOOKUP(A1887,'[1]Sales Order'!A:C,3,FALSE),[1]Employee!A:B,2,FALSE),"Not Specified")</f>
        <v>Ms. Zoya Dolgopyatova</v>
      </c>
      <c r="I1887">
        <f>IFERROR(VLOOKUP(VLOOKUP(A1887,'[1]Sales Order'!A:C,3,FALSE),[1]Employee!A:J,10,FALSE),"Not Specified")</f>
        <v>0</v>
      </c>
      <c r="J1887" t="str">
        <f>VLOOKUP(B1887,[1]Product!A:B,2,FALSE)</f>
        <v>Product VJIEO</v>
      </c>
      <c r="K1887" t="str">
        <f>VLOOKUP(VLOOKUP(B1887,[1]Product!A:D,4,FALSE),[1]Category!A:B,2,FALSE)</f>
        <v>Condiments</v>
      </c>
      <c r="L1887" s="10">
        <f>IFERROR(VLOOKUP(A1887,'[1]Sales Order'!A:D,4,FALSE),"")</f>
        <v>39533</v>
      </c>
      <c r="M1887" s="10">
        <f>IFERROR(VLOOKUP(A1887,'[1]Sales Order'!A:F,6,FALSE),"")</f>
        <v>39561</v>
      </c>
      <c r="N1887" t="str">
        <f>IFERROR(VLOOKUP(VLOOKUP(A1887,'[1]Sales Order'!A:G,7,FALSE),[1]Shipper!A:B,2,FALSE),"Not Specified")</f>
        <v>Shipper ETYNR</v>
      </c>
      <c r="O1887" t="str">
        <f>IFERROR(VLOOKUP(A1887,'[1]Sales Order'!A:I,9,FALSE),"Not Specified")</f>
        <v>Ship to 50-A</v>
      </c>
      <c r="P1887" t="str">
        <f>IFERROR(VLOOKUP(A1887,'[1]Sales Order'!A:N,14,FALSE),"Not Specified")</f>
        <v>Belgium</v>
      </c>
      <c r="Q1887" t="str">
        <f>VLOOKUP(VLOOKUP(B1887,[1]Product!A:C,3,FALSE),[1]Supplier!A:B,2,FALSE)</f>
        <v>Supplier CIYNM</v>
      </c>
      <c r="R1887" t="str">
        <f>VLOOKUP(VLOOKUP(B1887,[1]Product!A:C,3,FALSE),[1]Supplier!A:I,9,FALSE)</f>
        <v>Singapore</v>
      </c>
      <c r="S1887" t="str">
        <f>IFERROR(IF(VLOOKUP(A1887,'[1]Sales Order'!A:H,8,FALSE)&gt;100,"High Freight","Low Freight"),"Not Specified")</f>
        <v>Low Freight</v>
      </c>
      <c r="T1887">
        <f t="shared" si="59"/>
        <v>99.194999999999993</v>
      </c>
    </row>
    <row r="1888" spans="1:20">
      <c r="A1888" s="1">
        <v>10979</v>
      </c>
      <c r="B1888" s="2">
        <v>7</v>
      </c>
      <c r="C1888" s="2">
        <v>30</v>
      </c>
      <c r="D1888" s="2">
        <v>18</v>
      </c>
      <c r="E1888" s="3">
        <v>0</v>
      </c>
      <c r="F1888" s="2" t="str">
        <f>IFERROR(VLOOKUP(VLOOKUP(A1888,'[1]Sales Order'!A:B,2,FALSE),[1]Customer!A:C,3,FALSE),"Not Specified")</f>
        <v>Kane, John</v>
      </c>
      <c r="G1888" s="2" t="str">
        <f t="shared" si="58"/>
        <v>Kane John</v>
      </c>
      <c r="H1888" s="8" t="str">
        <f>IFERROR(VLOOKUP(VLOOKUP(A1888,'[1]Sales Order'!A:C,3,FALSE),[1]Employee!A:E,5,FALSE)&amp;" "&amp;VLOOKUP(VLOOKUP(A1888,'[1]Sales Order'!A:C,3,FALSE),[1]Employee!A:C,3,FALSE)&amp;" "&amp;VLOOKUP(VLOOKUP(A1888,'[1]Sales Order'!A:C,3,FALSE),[1]Employee!A:B,2,FALSE),"Not Specified")</f>
        <v>Ms. Maria Cameron</v>
      </c>
      <c r="I1888" t="str">
        <f>IFERROR(VLOOKUP(VLOOKUP(A1888,'[1]Sales Order'!A:C,3,FALSE),[1]Employee!A:J,10,FALSE),"Not Specified")</f>
        <v>WA</v>
      </c>
      <c r="J1888" t="str">
        <f>VLOOKUP(B1888,[1]Product!A:B,2,FALSE)</f>
        <v>Product HMLNI</v>
      </c>
      <c r="K1888" t="str">
        <f>VLOOKUP(VLOOKUP(B1888,[1]Product!A:D,4,FALSE),[1]Category!A:B,2,FALSE)</f>
        <v>Produce</v>
      </c>
      <c r="L1888" s="10">
        <f>IFERROR(VLOOKUP(A1888,'[1]Sales Order'!A:D,4,FALSE),"")</f>
        <v>39533</v>
      </c>
      <c r="M1888" s="10">
        <f>IFERROR(VLOOKUP(A1888,'[1]Sales Order'!A:F,6,FALSE),"")</f>
        <v>39538</v>
      </c>
      <c r="N1888" t="str">
        <f>IFERROR(VLOOKUP(VLOOKUP(A1888,'[1]Sales Order'!A:G,7,FALSE),[1]Shipper!A:B,2,FALSE),"Not Specified")</f>
        <v>Shipper ETYNR</v>
      </c>
      <c r="O1888" t="str">
        <f>IFERROR(VLOOKUP(A1888,'[1]Sales Order'!A:I,9,FALSE),"Not Specified")</f>
        <v>Destination CUVPF</v>
      </c>
      <c r="P1888" t="str">
        <f>IFERROR(VLOOKUP(A1888,'[1]Sales Order'!A:N,14,FALSE),"Not Specified")</f>
        <v>Austria</v>
      </c>
      <c r="Q1888" t="str">
        <f>VLOOKUP(VLOOKUP(B1888,[1]Product!A:C,3,FALSE),[1]Supplier!A:B,2,FALSE)</f>
        <v>Supplier STUAZ</v>
      </c>
      <c r="R1888" t="str">
        <f>VLOOKUP(VLOOKUP(B1888,[1]Product!A:C,3,FALSE),[1]Supplier!A:I,9,FALSE)</f>
        <v>USA</v>
      </c>
      <c r="S1888" t="str">
        <f>IFERROR(IF(VLOOKUP(A1888,'[1]Sales Order'!A:H,8,FALSE)&gt;100,"High Freight","Low Freight"),"Not Specified")</f>
        <v>High Freight</v>
      </c>
      <c r="T1888">
        <f t="shared" si="59"/>
        <v>540</v>
      </c>
    </row>
    <row r="1889" spans="1:20">
      <c r="A1889" s="1">
        <v>10979</v>
      </c>
      <c r="B1889" s="2">
        <v>12</v>
      </c>
      <c r="C1889" s="2">
        <v>38</v>
      </c>
      <c r="D1889" s="2">
        <v>20</v>
      </c>
      <c r="E1889" s="3">
        <v>0</v>
      </c>
      <c r="F1889" s="2" t="str">
        <f>IFERROR(VLOOKUP(VLOOKUP(A1889,'[1]Sales Order'!A:B,2,FALSE),[1]Customer!A:C,3,FALSE),"Not Specified")</f>
        <v>Kane, John</v>
      </c>
      <c r="G1889" s="2" t="str">
        <f t="shared" si="58"/>
        <v>Kane John</v>
      </c>
      <c r="H1889" s="8" t="str">
        <f>IFERROR(VLOOKUP(VLOOKUP(A1889,'[1]Sales Order'!A:C,3,FALSE),[1]Employee!A:E,5,FALSE)&amp;" "&amp;VLOOKUP(VLOOKUP(A1889,'[1]Sales Order'!A:C,3,FALSE),[1]Employee!A:C,3,FALSE)&amp;" "&amp;VLOOKUP(VLOOKUP(A1889,'[1]Sales Order'!A:C,3,FALSE),[1]Employee!A:B,2,FALSE),"Not Specified")</f>
        <v>Ms. Maria Cameron</v>
      </c>
      <c r="I1889" t="str">
        <f>IFERROR(VLOOKUP(VLOOKUP(A1889,'[1]Sales Order'!A:C,3,FALSE),[1]Employee!A:J,10,FALSE),"Not Specified")</f>
        <v>WA</v>
      </c>
      <c r="J1889" t="str">
        <f>VLOOKUP(B1889,[1]Product!A:B,2,FALSE)</f>
        <v>Product OSFNS</v>
      </c>
      <c r="K1889" t="str">
        <f>VLOOKUP(VLOOKUP(B1889,[1]Product!A:D,4,FALSE),[1]Category!A:B,2,FALSE)</f>
        <v>Dairy Product</v>
      </c>
      <c r="L1889" s="10">
        <f>IFERROR(VLOOKUP(A1889,'[1]Sales Order'!A:D,4,FALSE),"")</f>
        <v>39533</v>
      </c>
      <c r="M1889" s="10">
        <f>IFERROR(VLOOKUP(A1889,'[1]Sales Order'!A:F,6,FALSE),"")</f>
        <v>39538</v>
      </c>
      <c r="N1889" t="str">
        <f>IFERROR(VLOOKUP(VLOOKUP(A1889,'[1]Sales Order'!A:G,7,FALSE),[1]Shipper!A:B,2,FALSE),"Not Specified")</f>
        <v>Shipper ETYNR</v>
      </c>
      <c r="O1889" t="str">
        <f>IFERROR(VLOOKUP(A1889,'[1]Sales Order'!A:I,9,FALSE),"Not Specified")</f>
        <v>Destination CUVPF</v>
      </c>
      <c r="P1889" t="str">
        <f>IFERROR(VLOOKUP(A1889,'[1]Sales Order'!A:N,14,FALSE),"Not Specified")</f>
        <v>Austria</v>
      </c>
      <c r="Q1889" t="str">
        <f>VLOOKUP(VLOOKUP(B1889,[1]Product!A:C,3,FALSE),[1]Supplier!A:B,2,FALSE)</f>
        <v>Supplier EQPNC</v>
      </c>
      <c r="R1889" t="str">
        <f>VLOOKUP(VLOOKUP(B1889,[1]Product!A:C,3,FALSE),[1]Supplier!A:I,9,FALSE)</f>
        <v>Spain</v>
      </c>
      <c r="S1889" t="str">
        <f>IFERROR(IF(VLOOKUP(A1889,'[1]Sales Order'!A:H,8,FALSE)&gt;100,"High Freight","Low Freight"),"Not Specified")</f>
        <v>High Freight</v>
      </c>
      <c r="T1889">
        <f t="shared" si="59"/>
        <v>760</v>
      </c>
    </row>
    <row r="1890" spans="1:20">
      <c r="A1890" s="1">
        <v>10979</v>
      </c>
      <c r="B1890" s="2">
        <v>24</v>
      </c>
      <c r="C1890" s="2">
        <v>4.5</v>
      </c>
      <c r="D1890" s="2">
        <v>80</v>
      </c>
      <c r="E1890" s="3">
        <v>0</v>
      </c>
      <c r="F1890" s="2" t="str">
        <f>IFERROR(VLOOKUP(VLOOKUP(A1890,'[1]Sales Order'!A:B,2,FALSE),[1]Customer!A:C,3,FALSE),"Not Specified")</f>
        <v>Kane, John</v>
      </c>
      <c r="G1890" s="2" t="str">
        <f t="shared" si="58"/>
        <v>Kane John</v>
      </c>
      <c r="H1890" s="8" t="str">
        <f>IFERROR(VLOOKUP(VLOOKUP(A1890,'[1]Sales Order'!A:C,3,FALSE),[1]Employee!A:E,5,FALSE)&amp;" "&amp;VLOOKUP(VLOOKUP(A1890,'[1]Sales Order'!A:C,3,FALSE),[1]Employee!A:C,3,FALSE)&amp;" "&amp;VLOOKUP(VLOOKUP(A1890,'[1]Sales Order'!A:C,3,FALSE),[1]Employee!A:B,2,FALSE),"Not Specified")</f>
        <v>Ms. Maria Cameron</v>
      </c>
      <c r="I1890" t="str">
        <f>IFERROR(VLOOKUP(VLOOKUP(A1890,'[1]Sales Order'!A:C,3,FALSE),[1]Employee!A:J,10,FALSE),"Not Specified")</f>
        <v>WA</v>
      </c>
      <c r="J1890" t="str">
        <f>VLOOKUP(B1890,[1]Product!A:B,2,FALSE)</f>
        <v>Product QOGNU</v>
      </c>
      <c r="K1890" t="str">
        <f>VLOOKUP(VLOOKUP(B1890,[1]Product!A:D,4,FALSE),[1]Category!A:B,2,FALSE)</f>
        <v>Beverages</v>
      </c>
      <c r="L1890" s="10">
        <f>IFERROR(VLOOKUP(A1890,'[1]Sales Order'!A:D,4,FALSE),"")</f>
        <v>39533</v>
      </c>
      <c r="M1890" s="10">
        <f>IFERROR(VLOOKUP(A1890,'[1]Sales Order'!A:F,6,FALSE),"")</f>
        <v>39538</v>
      </c>
      <c r="N1890" t="str">
        <f>IFERROR(VLOOKUP(VLOOKUP(A1890,'[1]Sales Order'!A:G,7,FALSE),[1]Shipper!A:B,2,FALSE),"Not Specified")</f>
        <v>Shipper ETYNR</v>
      </c>
      <c r="O1890" t="str">
        <f>IFERROR(VLOOKUP(A1890,'[1]Sales Order'!A:I,9,FALSE),"Not Specified")</f>
        <v>Destination CUVPF</v>
      </c>
      <c r="P1890" t="str">
        <f>IFERROR(VLOOKUP(A1890,'[1]Sales Order'!A:N,14,FALSE),"Not Specified")</f>
        <v>Austria</v>
      </c>
      <c r="Q1890" t="str">
        <f>VLOOKUP(VLOOKUP(B1890,[1]Product!A:C,3,FALSE),[1]Supplier!A:B,2,FALSE)</f>
        <v>Supplier UNAHG</v>
      </c>
      <c r="R1890" t="str">
        <f>VLOOKUP(VLOOKUP(B1890,[1]Product!A:C,3,FALSE),[1]Supplier!A:I,9,FALSE)</f>
        <v>Brazil</v>
      </c>
      <c r="S1890" t="str">
        <f>IFERROR(IF(VLOOKUP(A1890,'[1]Sales Order'!A:H,8,FALSE)&gt;100,"High Freight","Low Freight"),"Not Specified")</f>
        <v>High Freight</v>
      </c>
      <c r="T1890">
        <f t="shared" si="59"/>
        <v>360</v>
      </c>
    </row>
    <row r="1891" spans="1:20">
      <c r="A1891" s="1">
        <v>10979</v>
      </c>
      <c r="B1891" s="2">
        <v>27</v>
      </c>
      <c r="C1891" s="2">
        <v>43.9</v>
      </c>
      <c r="D1891" s="2">
        <v>30</v>
      </c>
      <c r="E1891" s="3">
        <v>0</v>
      </c>
      <c r="F1891" s="2" t="str">
        <f>IFERROR(VLOOKUP(VLOOKUP(A1891,'[1]Sales Order'!A:B,2,FALSE),[1]Customer!A:C,3,FALSE),"Not Specified")</f>
        <v>Kane, John</v>
      </c>
      <c r="G1891" s="2" t="str">
        <f t="shared" si="58"/>
        <v>Kane John</v>
      </c>
      <c r="H1891" s="8" t="str">
        <f>IFERROR(VLOOKUP(VLOOKUP(A1891,'[1]Sales Order'!A:C,3,FALSE),[1]Employee!A:E,5,FALSE)&amp;" "&amp;VLOOKUP(VLOOKUP(A1891,'[1]Sales Order'!A:C,3,FALSE),[1]Employee!A:C,3,FALSE)&amp;" "&amp;VLOOKUP(VLOOKUP(A1891,'[1]Sales Order'!A:C,3,FALSE),[1]Employee!A:B,2,FALSE),"Not Specified")</f>
        <v>Ms. Maria Cameron</v>
      </c>
      <c r="I1891" t="str">
        <f>IFERROR(VLOOKUP(VLOOKUP(A1891,'[1]Sales Order'!A:C,3,FALSE),[1]Employee!A:J,10,FALSE),"Not Specified")</f>
        <v>WA</v>
      </c>
      <c r="J1891" t="str">
        <f>VLOOKUP(B1891,[1]Product!A:B,2,FALSE)</f>
        <v>Product SMIOH</v>
      </c>
      <c r="K1891" t="str">
        <f>VLOOKUP(VLOOKUP(B1891,[1]Product!A:D,4,FALSE),[1]Category!A:B,2,FALSE)</f>
        <v>Confections</v>
      </c>
      <c r="L1891" s="10">
        <f>IFERROR(VLOOKUP(A1891,'[1]Sales Order'!A:D,4,FALSE),"")</f>
        <v>39533</v>
      </c>
      <c r="M1891" s="10">
        <f>IFERROR(VLOOKUP(A1891,'[1]Sales Order'!A:F,6,FALSE),"")</f>
        <v>39538</v>
      </c>
      <c r="N1891" t="str">
        <f>IFERROR(VLOOKUP(VLOOKUP(A1891,'[1]Sales Order'!A:G,7,FALSE),[1]Shipper!A:B,2,FALSE),"Not Specified")</f>
        <v>Shipper ETYNR</v>
      </c>
      <c r="O1891" t="str">
        <f>IFERROR(VLOOKUP(A1891,'[1]Sales Order'!A:I,9,FALSE),"Not Specified")</f>
        <v>Destination CUVPF</v>
      </c>
      <c r="P1891" t="str">
        <f>IFERROR(VLOOKUP(A1891,'[1]Sales Order'!A:N,14,FALSE),"Not Specified")</f>
        <v>Austria</v>
      </c>
      <c r="Q1891" t="str">
        <f>VLOOKUP(VLOOKUP(B1891,[1]Product!A:C,3,FALSE),[1]Supplier!A:B,2,FALSE)</f>
        <v>Supplier ZPYVS</v>
      </c>
      <c r="R1891" t="str">
        <f>VLOOKUP(VLOOKUP(B1891,[1]Product!A:C,3,FALSE),[1]Supplier!A:I,9,FALSE)</f>
        <v>Germany</v>
      </c>
      <c r="S1891" t="str">
        <f>IFERROR(IF(VLOOKUP(A1891,'[1]Sales Order'!A:H,8,FALSE)&gt;100,"High Freight","Low Freight"),"Not Specified")</f>
        <v>High Freight</v>
      </c>
      <c r="T1891">
        <f t="shared" si="59"/>
        <v>1317</v>
      </c>
    </row>
    <row r="1892" spans="1:20">
      <c r="A1892" s="1">
        <v>10979</v>
      </c>
      <c r="B1892" s="2">
        <v>31</v>
      </c>
      <c r="C1892" s="2">
        <v>12.5</v>
      </c>
      <c r="D1892" s="2">
        <v>24</v>
      </c>
      <c r="E1892" s="3">
        <v>0</v>
      </c>
      <c r="F1892" s="2" t="str">
        <f>IFERROR(VLOOKUP(VLOOKUP(A1892,'[1]Sales Order'!A:B,2,FALSE),[1]Customer!A:C,3,FALSE),"Not Specified")</f>
        <v>Kane, John</v>
      </c>
      <c r="G1892" s="2" t="str">
        <f t="shared" si="58"/>
        <v>Kane John</v>
      </c>
      <c r="H1892" s="8" t="str">
        <f>IFERROR(VLOOKUP(VLOOKUP(A1892,'[1]Sales Order'!A:C,3,FALSE),[1]Employee!A:E,5,FALSE)&amp;" "&amp;VLOOKUP(VLOOKUP(A1892,'[1]Sales Order'!A:C,3,FALSE),[1]Employee!A:C,3,FALSE)&amp;" "&amp;VLOOKUP(VLOOKUP(A1892,'[1]Sales Order'!A:C,3,FALSE),[1]Employee!A:B,2,FALSE),"Not Specified")</f>
        <v>Ms. Maria Cameron</v>
      </c>
      <c r="I1892" t="str">
        <f>IFERROR(VLOOKUP(VLOOKUP(A1892,'[1]Sales Order'!A:C,3,FALSE),[1]Employee!A:J,10,FALSE),"Not Specified")</f>
        <v>WA</v>
      </c>
      <c r="J1892" t="str">
        <f>VLOOKUP(B1892,[1]Product!A:B,2,FALSE)</f>
        <v>Product XWOXC</v>
      </c>
      <c r="K1892" t="str">
        <f>VLOOKUP(VLOOKUP(B1892,[1]Product!A:D,4,FALSE),[1]Category!A:B,2,FALSE)</f>
        <v>Dairy Product</v>
      </c>
      <c r="L1892" s="10">
        <f>IFERROR(VLOOKUP(A1892,'[1]Sales Order'!A:D,4,FALSE),"")</f>
        <v>39533</v>
      </c>
      <c r="M1892" s="10">
        <f>IFERROR(VLOOKUP(A1892,'[1]Sales Order'!A:F,6,FALSE),"")</f>
        <v>39538</v>
      </c>
      <c r="N1892" t="str">
        <f>IFERROR(VLOOKUP(VLOOKUP(A1892,'[1]Sales Order'!A:G,7,FALSE),[1]Shipper!A:B,2,FALSE),"Not Specified")</f>
        <v>Shipper ETYNR</v>
      </c>
      <c r="O1892" t="str">
        <f>IFERROR(VLOOKUP(A1892,'[1]Sales Order'!A:I,9,FALSE),"Not Specified")</f>
        <v>Destination CUVPF</v>
      </c>
      <c r="P1892" t="str">
        <f>IFERROR(VLOOKUP(A1892,'[1]Sales Order'!A:N,14,FALSE),"Not Specified")</f>
        <v>Austria</v>
      </c>
      <c r="Q1892" t="str">
        <f>VLOOKUP(VLOOKUP(B1892,[1]Product!A:C,3,FALSE),[1]Supplier!A:B,2,FALSE)</f>
        <v>Supplier KEREV</v>
      </c>
      <c r="R1892" t="str">
        <f>VLOOKUP(VLOOKUP(B1892,[1]Product!A:C,3,FALSE),[1]Supplier!A:I,9,FALSE)</f>
        <v>Italy</v>
      </c>
      <c r="S1892" t="str">
        <f>IFERROR(IF(VLOOKUP(A1892,'[1]Sales Order'!A:H,8,FALSE)&gt;100,"High Freight","Low Freight"),"Not Specified")</f>
        <v>High Freight</v>
      </c>
      <c r="T1892">
        <f t="shared" si="59"/>
        <v>300</v>
      </c>
    </row>
    <row r="1893" spans="1:20">
      <c r="A1893" s="1">
        <v>10979</v>
      </c>
      <c r="B1893" s="2">
        <v>63</v>
      </c>
      <c r="C1893" s="2">
        <v>43.9</v>
      </c>
      <c r="D1893" s="2">
        <v>35</v>
      </c>
      <c r="E1893" s="3">
        <v>0</v>
      </c>
      <c r="F1893" s="2" t="str">
        <f>IFERROR(VLOOKUP(VLOOKUP(A1893,'[1]Sales Order'!A:B,2,FALSE),[1]Customer!A:C,3,FALSE),"Not Specified")</f>
        <v>Kane, John</v>
      </c>
      <c r="G1893" s="2" t="str">
        <f t="shared" si="58"/>
        <v>Kane John</v>
      </c>
      <c r="H1893" s="8" t="str">
        <f>IFERROR(VLOOKUP(VLOOKUP(A1893,'[1]Sales Order'!A:C,3,FALSE),[1]Employee!A:E,5,FALSE)&amp;" "&amp;VLOOKUP(VLOOKUP(A1893,'[1]Sales Order'!A:C,3,FALSE),[1]Employee!A:C,3,FALSE)&amp;" "&amp;VLOOKUP(VLOOKUP(A1893,'[1]Sales Order'!A:C,3,FALSE),[1]Employee!A:B,2,FALSE),"Not Specified")</f>
        <v>Ms. Maria Cameron</v>
      </c>
      <c r="I1893" t="str">
        <f>IFERROR(VLOOKUP(VLOOKUP(A1893,'[1]Sales Order'!A:C,3,FALSE),[1]Employee!A:J,10,FALSE),"Not Specified")</f>
        <v>WA</v>
      </c>
      <c r="J1893" t="str">
        <f>VLOOKUP(B1893,[1]Product!A:B,2,FALSE)</f>
        <v>Product ICKNK</v>
      </c>
      <c r="K1893" t="str">
        <f>VLOOKUP(VLOOKUP(B1893,[1]Product!A:D,4,FALSE),[1]Category!A:B,2,FALSE)</f>
        <v>Condiments</v>
      </c>
      <c r="L1893" s="10">
        <f>IFERROR(VLOOKUP(A1893,'[1]Sales Order'!A:D,4,FALSE),"")</f>
        <v>39533</v>
      </c>
      <c r="M1893" s="10">
        <f>IFERROR(VLOOKUP(A1893,'[1]Sales Order'!A:F,6,FALSE),"")</f>
        <v>39538</v>
      </c>
      <c r="N1893" t="str">
        <f>IFERROR(VLOOKUP(VLOOKUP(A1893,'[1]Sales Order'!A:G,7,FALSE),[1]Shipper!A:B,2,FALSE),"Not Specified")</f>
        <v>Shipper ETYNR</v>
      </c>
      <c r="O1893" t="str">
        <f>IFERROR(VLOOKUP(A1893,'[1]Sales Order'!A:I,9,FALSE),"Not Specified")</f>
        <v>Destination CUVPF</v>
      </c>
      <c r="P1893" t="str">
        <f>IFERROR(VLOOKUP(A1893,'[1]Sales Order'!A:N,14,FALSE),"Not Specified")</f>
        <v>Austria</v>
      </c>
      <c r="Q1893" t="str">
        <f>VLOOKUP(VLOOKUP(B1893,[1]Product!A:C,3,FALSE),[1]Supplier!A:B,2,FALSE)</f>
        <v>Supplier GQRCV</v>
      </c>
      <c r="R1893" t="str">
        <f>VLOOKUP(VLOOKUP(B1893,[1]Product!A:C,3,FALSE),[1]Supplier!A:I,9,FALSE)</f>
        <v>Australia</v>
      </c>
      <c r="S1893" t="str">
        <f>IFERROR(IF(VLOOKUP(A1893,'[1]Sales Order'!A:H,8,FALSE)&gt;100,"High Freight","Low Freight"),"Not Specified")</f>
        <v>High Freight</v>
      </c>
      <c r="T1893">
        <f t="shared" si="59"/>
        <v>1536.5</v>
      </c>
    </row>
    <row r="1894" spans="1:20">
      <c r="A1894" s="1">
        <v>10980</v>
      </c>
      <c r="B1894" s="2">
        <v>75</v>
      </c>
      <c r="C1894" s="2">
        <v>7.75</v>
      </c>
      <c r="D1894" s="2">
        <v>40</v>
      </c>
      <c r="E1894" s="3">
        <v>0.2</v>
      </c>
      <c r="F1894" s="2" t="str">
        <f>IFERROR(VLOOKUP(VLOOKUP(A1894,'[1]Sales Order'!A:B,2,FALSE),[1]Customer!A:C,3,FALSE),"Not Specified")</f>
        <v>San Juan, Patricia</v>
      </c>
      <c r="G1894" s="2" t="str">
        <f t="shared" si="58"/>
        <v>San Juan Patricia</v>
      </c>
      <c r="H1894" s="8" t="str">
        <f>IFERROR(VLOOKUP(VLOOKUP(A1894,'[1]Sales Order'!A:C,3,FALSE),[1]Employee!A:E,5,FALSE)&amp;" "&amp;VLOOKUP(VLOOKUP(A1894,'[1]Sales Order'!A:C,3,FALSE),[1]Employee!A:C,3,FALSE)&amp;" "&amp;VLOOKUP(VLOOKUP(A1894,'[1]Sales Order'!A:C,3,FALSE),[1]Employee!A:B,2,FALSE),"Not Specified")</f>
        <v>Mrs. Yael Peled</v>
      </c>
      <c r="I1894" t="str">
        <f>IFERROR(VLOOKUP(VLOOKUP(A1894,'[1]Sales Order'!A:C,3,FALSE),[1]Employee!A:J,10,FALSE),"Not Specified")</f>
        <v>WA</v>
      </c>
      <c r="J1894" t="str">
        <f>VLOOKUP(B1894,[1]Product!A:B,2,FALSE)</f>
        <v>Product BWRLG</v>
      </c>
      <c r="K1894" t="str">
        <f>VLOOKUP(VLOOKUP(B1894,[1]Product!A:D,4,FALSE),[1]Category!A:B,2,FALSE)</f>
        <v>Beverages</v>
      </c>
      <c r="L1894" s="10">
        <f>IFERROR(VLOOKUP(A1894,'[1]Sales Order'!A:D,4,FALSE),"")</f>
        <v>39534</v>
      </c>
      <c r="M1894" s="10">
        <f>IFERROR(VLOOKUP(A1894,'[1]Sales Order'!A:F,6,FALSE),"")</f>
        <v>39555</v>
      </c>
      <c r="N1894" t="str">
        <f>IFERROR(VLOOKUP(VLOOKUP(A1894,'[1]Sales Order'!A:G,7,FALSE),[1]Shipper!A:B,2,FALSE),"Not Specified")</f>
        <v>Shipper GVSUA</v>
      </c>
      <c r="O1894" t="str">
        <f>IFERROR(VLOOKUP(A1894,'[1]Sales Order'!A:I,9,FALSE),"Not Specified")</f>
        <v>Destination YCMPK</v>
      </c>
      <c r="P1894" t="str">
        <f>IFERROR(VLOOKUP(A1894,'[1]Sales Order'!A:N,14,FALSE),"Not Specified")</f>
        <v>Sweden</v>
      </c>
      <c r="Q1894" t="str">
        <f>VLOOKUP(VLOOKUP(B1894,[1]Product!A:C,3,FALSE),[1]Supplier!A:B,2,FALSE)</f>
        <v>Supplier SVIYA</v>
      </c>
      <c r="R1894" t="str">
        <f>VLOOKUP(VLOOKUP(B1894,[1]Product!A:C,3,FALSE),[1]Supplier!A:I,9,FALSE)</f>
        <v>Germany</v>
      </c>
      <c r="S1894" t="str">
        <f>IFERROR(IF(VLOOKUP(A1894,'[1]Sales Order'!A:H,8,FALSE)&gt;100,"High Freight","Low Freight"),"Not Specified")</f>
        <v>Low Freight</v>
      </c>
      <c r="T1894">
        <f t="shared" si="59"/>
        <v>248</v>
      </c>
    </row>
    <row r="1895" spans="1:20">
      <c r="A1895" s="1">
        <v>10981</v>
      </c>
      <c r="B1895" s="2">
        <v>38</v>
      </c>
      <c r="C1895" s="2">
        <v>263.5</v>
      </c>
      <c r="D1895" s="2">
        <v>60</v>
      </c>
      <c r="E1895" s="3">
        <v>0</v>
      </c>
      <c r="F1895" s="2" t="str">
        <f>IFERROR(VLOOKUP(VLOOKUP(A1895,'[1]Sales Order'!A:B,2,FALSE),[1]Customer!A:C,3,FALSE),"Not Specified")</f>
        <v>Cohen, Shy</v>
      </c>
      <c r="G1895" s="2" t="str">
        <f t="shared" si="58"/>
        <v>Cohen Shy</v>
      </c>
      <c r="H1895" s="8" t="str">
        <f>IFERROR(VLOOKUP(VLOOKUP(A1895,'[1]Sales Order'!A:C,3,FALSE),[1]Employee!A:E,5,FALSE)&amp;" "&amp;VLOOKUP(VLOOKUP(A1895,'[1]Sales Order'!A:C,3,FALSE),[1]Employee!A:C,3,FALSE)&amp;" "&amp;VLOOKUP(VLOOKUP(A1895,'[1]Sales Order'!A:C,3,FALSE),[1]Employee!A:B,2,FALSE),"Not Specified")</f>
        <v>Ms. Sara Davis</v>
      </c>
      <c r="I1895" t="str">
        <f>IFERROR(VLOOKUP(VLOOKUP(A1895,'[1]Sales Order'!A:C,3,FALSE),[1]Employee!A:J,10,FALSE),"Not Specified")</f>
        <v>WA</v>
      </c>
      <c r="J1895" t="str">
        <f>VLOOKUP(B1895,[1]Product!A:B,2,FALSE)</f>
        <v>Product QDOMO</v>
      </c>
      <c r="K1895" t="str">
        <f>VLOOKUP(VLOOKUP(B1895,[1]Product!A:D,4,FALSE),[1]Category!A:B,2,FALSE)</f>
        <v>Beverages</v>
      </c>
      <c r="L1895" s="10">
        <f>IFERROR(VLOOKUP(A1895,'[1]Sales Order'!A:D,4,FALSE),"")</f>
        <v>39534</v>
      </c>
      <c r="M1895" s="10">
        <f>IFERROR(VLOOKUP(A1895,'[1]Sales Order'!A:F,6,FALSE),"")</f>
        <v>39540</v>
      </c>
      <c r="N1895" t="str">
        <f>IFERROR(VLOOKUP(VLOOKUP(A1895,'[1]Sales Order'!A:G,7,FALSE),[1]Shipper!A:B,2,FALSE),"Not Specified")</f>
        <v>Shipper ETYNR</v>
      </c>
      <c r="O1895" t="str">
        <f>IFERROR(VLOOKUP(A1895,'[1]Sales Order'!A:I,9,FALSE),"Not Specified")</f>
        <v>Destination JPAIY</v>
      </c>
      <c r="P1895" t="str">
        <f>IFERROR(VLOOKUP(A1895,'[1]Sales Order'!A:N,14,FALSE),"Not Specified")</f>
        <v>Brazil</v>
      </c>
      <c r="Q1895" t="str">
        <f>VLOOKUP(VLOOKUP(B1895,[1]Product!A:C,3,FALSE),[1]Supplier!A:B,2,FALSE)</f>
        <v>Supplier LVJUA</v>
      </c>
      <c r="R1895" t="str">
        <f>VLOOKUP(VLOOKUP(B1895,[1]Product!A:C,3,FALSE),[1]Supplier!A:I,9,FALSE)</f>
        <v>France</v>
      </c>
      <c r="S1895" t="str">
        <f>IFERROR(IF(VLOOKUP(A1895,'[1]Sales Order'!A:H,8,FALSE)&gt;100,"High Freight","Low Freight"),"Not Specified")</f>
        <v>High Freight</v>
      </c>
      <c r="T1895">
        <f t="shared" si="59"/>
        <v>15810</v>
      </c>
    </row>
    <row r="1896" spans="1:20">
      <c r="A1896" s="1">
        <v>10982</v>
      </c>
      <c r="B1896" s="2">
        <v>7</v>
      </c>
      <c r="C1896" s="2">
        <v>30</v>
      </c>
      <c r="D1896" s="2">
        <v>20</v>
      </c>
      <c r="E1896" s="3">
        <v>0</v>
      </c>
      <c r="F1896" s="2" t="str">
        <f>IFERROR(VLOOKUP(VLOOKUP(A1896,'[1]Sales Order'!A:B,2,FALSE),[1]Customer!A:C,3,FALSE),"Not Specified")</f>
        <v>Bassols, Pilar Colome</v>
      </c>
      <c r="G1896" s="2" t="str">
        <f t="shared" si="58"/>
        <v>Bassols Pilar Colome</v>
      </c>
      <c r="H1896" s="8" t="str">
        <f>IFERROR(VLOOKUP(VLOOKUP(A1896,'[1]Sales Order'!A:C,3,FALSE),[1]Employee!A:E,5,FALSE)&amp;" "&amp;VLOOKUP(VLOOKUP(A1896,'[1]Sales Order'!A:C,3,FALSE),[1]Employee!A:C,3,FALSE)&amp;" "&amp;VLOOKUP(VLOOKUP(A1896,'[1]Sales Order'!A:C,3,FALSE),[1]Employee!A:B,2,FALSE),"Not Specified")</f>
        <v>Dr. Don Funk</v>
      </c>
      <c r="I1896" t="str">
        <f>IFERROR(VLOOKUP(VLOOKUP(A1896,'[1]Sales Order'!A:C,3,FALSE),[1]Employee!A:J,10,FALSE),"Not Specified")</f>
        <v>WA</v>
      </c>
      <c r="J1896" t="str">
        <f>VLOOKUP(B1896,[1]Product!A:B,2,FALSE)</f>
        <v>Product HMLNI</v>
      </c>
      <c r="K1896" t="str">
        <f>VLOOKUP(VLOOKUP(B1896,[1]Product!A:D,4,FALSE),[1]Category!A:B,2,FALSE)</f>
        <v>Produce</v>
      </c>
      <c r="L1896" s="10">
        <f>IFERROR(VLOOKUP(A1896,'[1]Sales Order'!A:D,4,FALSE),"")</f>
        <v>39534</v>
      </c>
      <c r="M1896" s="10">
        <f>IFERROR(VLOOKUP(A1896,'[1]Sales Order'!A:F,6,FALSE),"")</f>
        <v>39546</v>
      </c>
      <c r="N1896" t="str">
        <f>IFERROR(VLOOKUP(VLOOKUP(A1896,'[1]Sales Order'!A:G,7,FALSE),[1]Shipper!A:B,2,FALSE),"Not Specified")</f>
        <v>Shipper GVSUA</v>
      </c>
      <c r="O1896" t="str">
        <f>IFERROR(VLOOKUP(A1896,'[1]Sales Order'!A:I,9,FALSE),"Not Specified")</f>
        <v>Destination XJIBQ</v>
      </c>
      <c r="P1896" t="str">
        <f>IFERROR(VLOOKUP(A1896,'[1]Sales Order'!A:N,14,FALSE),"Not Specified")</f>
        <v>Canada</v>
      </c>
      <c r="Q1896" t="str">
        <f>VLOOKUP(VLOOKUP(B1896,[1]Product!A:C,3,FALSE),[1]Supplier!A:B,2,FALSE)</f>
        <v>Supplier STUAZ</v>
      </c>
      <c r="R1896" t="str">
        <f>VLOOKUP(VLOOKUP(B1896,[1]Product!A:C,3,FALSE),[1]Supplier!A:I,9,FALSE)</f>
        <v>USA</v>
      </c>
      <c r="S1896" t="str">
        <f>IFERROR(IF(VLOOKUP(A1896,'[1]Sales Order'!A:H,8,FALSE)&gt;100,"High Freight","Low Freight"),"Not Specified")</f>
        <v>Low Freight</v>
      </c>
      <c r="T1896">
        <f t="shared" si="59"/>
        <v>600</v>
      </c>
    </row>
    <row r="1897" spans="1:20">
      <c r="A1897" s="1">
        <v>10982</v>
      </c>
      <c r="B1897" s="2">
        <v>43</v>
      </c>
      <c r="C1897" s="2">
        <v>46</v>
      </c>
      <c r="D1897" s="2">
        <v>9</v>
      </c>
      <c r="E1897" s="3">
        <v>0</v>
      </c>
      <c r="F1897" s="2" t="str">
        <f>IFERROR(VLOOKUP(VLOOKUP(A1897,'[1]Sales Order'!A:B,2,FALSE),[1]Customer!A:C,3,FALSE),"Not Specified")</f>
        <v>Bassols, Pilar Colome</v>
      </c>
      <c r="G1897" s="2" t="str">
        <f t="shared" si="58"/>
        <v>Bassols Pilar Colome</v>
      </c>
      <c r="H1897" s="8" t="str">
        <f>IFERROR(VLOOKUP(VLOOKUP(A1897,'[1]Sales Order'!A:C,3,FALSE),[1]Employee!A:E,5,FALSE)&amp;" "&amp;VLOOKUP(VLOOKUP(A1897,'[1]Sales Order'!A:C,3,FALSE),[1]Employee!A:C,3,FALSE)&amp;" "&amp;VLOOKUP(VLOOKUP(A1897,'[1]Sales Order'!A:C,3,FALSE),[1]Employee!A:B,2,FALSE),"Not Specified")</f>
        <v>Dr. Don Funk</v>
      </c>
      <c r="I1897" t="str">
        <f>IFERROR(VLOOKUP(VLOOKUP(A1897,'[1]Sales Order'!A:C,3,FALSE),[1]Employee!A:J,10,FALSE),"Not Specified")</f>
        <v>WA</v>
      </c>
      <c r="J1897" t="str">
        <f>VLOOKUP(B1897,[1]Product!A:B,2,FALSE)</f>
        <v>Product ZZZHR</v>
      </c>
      <c r="K1897" t="str">
        <f>VLOOKUP(VLOOKUP(B1897,[1]Product!A:D,4,FALSE),[1]Category!A:B,2,FALSE)</f>
        <v>Beverages</v>
      </c>
      <c r="L1897" s="10">
        <f>IFERROR(VLOOKUP(A1897,'[1]Sales Order'!A:D,4,FALSE),"")</f>
        <v>39534</v>
      </c>
      <c r="M1897" s="10">
        <f>IFERROR(VLOOKUP(A1897,'[1]Sales Order'!A:F,6,FALSE),"")</f>
        <v>39546</v>
      </c>
      <c r="N1897" t="str">
        <f>IFERROR(VLOOKUP(VLOOKUP(A1897,'[1]Sales Order'!A:G,7,FALSE),[1]Shipper!A:B,2,FALSE),"Not Specified")</f>
        <v>Shipper GVSUA</v>
      </c>
      <c r="O1897" t="str">
        <f>IFERROR(VLOOKUP(A1897,'[1]Sales Order'!A:I,9,FALSE),"Not Specified")</f>
        <v>Destination XJIBQ</v>
      </c>
      <c r="P1897" t="str">
        <f>IFERROR(VLOOKUP(A1897,'[1]Sales Order'!A:N,14,FALSE),"Not Specified")</f>
        <v>Canada</v>
      </c>
      <c r="Q1897" t="str">
        <f>VLOOKUP(VLOOKUP(B1897,[1]Product!A:C,3,FALSE),[1]Supplier!A:B,2,FALSE)</f>
        <v>Supplier CIYNM</v>
      </c>
      <c r="R1897" t="str">
        <f>VLOOKUP(VLOOKUP(B1897,[1]Product!A:C,3,FALSE),[1]Supplier!A:I,9,FALSE)</f>
        <v>Singapore</v>
      </c>
      <c r="S1897" t="str">
        <f>IFERROR(IF(VLOOKUP(A1897,'[1]Sales Order'!A:H,8,FALSE)&gt;100,"High Freight","Low Freight"),"Not Specified")</f>
        <v>Low Freight</v>
      </c>
      <c r="T1897">
        <f t="shared" si="59"/>
        <v>414</v>
      </c>
    </row>
    <row r="1898" spans="1:20">
      <c r="A1898" s="1">
        <v>10983</v>
      </c>
      <c r="B1898" s="2">
        <v>13</v>
      </c>
      <c r="C1898" s="2">
        <v>6</v>
      </c>
      <c r="D1898" s="2">
        <v>84</v>
      </c>
      <c r="E1898" s="3">
        <v>0.15</v>
      </c>
      <c r="F1898" s="2" t="str">
        <f>IFERROR(VLOOKUP(VLOOKUP(A1898,'[1]Sales Order'!A:B,2,FALSE),[1]Customer!A:C,3,FALSE),"Not Specified")</f>
        <v>Navarro, Tomás</v>
      </c>
      <c r="G1898" s="2" t="str">
        <f t="shared" si="58"/>
        <v>Navarro Tomás</v>
      </c>
      <c r="H1898" s="8" t="str">
        <f>IFERROR(VLOOKUP(VLOOKUP(A1898,'[1]Sales Order'!A:C,3,FALSE),[1]Employee!A:E,5,FALSE)&amp;" "&amp;VLOOKUP(VLOOKUP(A1898,'[1]Sales Order'!A:C,3,FALSE),[1]Employee!A:C,3,FALSE)&amp;" "&amp;VLOOKUP(VLOOKUP(A1898,'[1]Sales Order'!A:C,3,FALSE),[1]Employee!A:B,2,FALSE),"Not Specified")</f>
        <v>Dr. Don Funk</v>
      </c>
      <c r="I1898" t="str">
        <f>IFERROR(VLOOKUP(VLOOKUP(A1898,'[1]Sales Order'!A:C,3,FALSE),[1]Employee!A:J,10,FALSE),"Not Specified")</f>
        <v>WA</v>
      </c>
      <c r="J1898" t="str">
        <f>VLOOKUP(B1898,[1]Product!A:B,2,FALSE)</f>
        <v>Product POXFU</v>
      </c>
      <c r="K1898" t="str">
        <f>VLOOKUP(VLOOKUP(B1898,[1]Product!A:D,4,FALSE),[1]Category!A:B,2,FALSE)</f>
        <v>Seafood</v>
      </c>
      <c r="L1898" s="10">
        <f>IFERROR(VLOOKUP(A1898,'[1]Sales Order'!A:D,4,FALSE),"")</f>
        <v>39534</v>
      </c>
      <c r="M1898" s="10">
        <f>IFERROR(VLOOKUP(A1898,'[1]Sales Order'!A:F,6,FALSE),"")</f>
        <v>39544</v>
      </c>
      <c r="N1898" t="str">
        <f>IFERROR(VLOOKUP(VLOOKUP(A1898,'[1]Sales Order'!A:G,7,FALSE),[1]Shipper!A:B,2,FALSE),"Not Specified")</f>
        <v>Shipper ETYNR</v>
      </c>
      <c r="O1898" t="str">
        <f>IFERROR(VLOOKUP(A1898,'[1]Sales Order'!A:I,9,FALSE),"Not Specified")</f>
        <v>Ship to 71-B</v>
      </c>
      <c r="P1898" t="str">
        <f>IFERROR(VLOOKUP(A1898,'[1]Sales Order'!A:N,14,FALSE),"Not Specified")</f>
        <v>USA</v>
      </c>
      <c r="Q1898" t="str">
        <f>VLOOKUP(VLOOKUP(B1898,[1]Product!A:C,3,FALSE),[1]Supplier!A:B,2,FALSE)</f>
        <v>Supplier QWUSF</v>
      </c>
      <c r="R1898" t="str">
        <f>VLOOKUP(VLOOKUP(B1898,[1]Product!A:C,3,FALSE),[1]Supplier!A:I,9,FALSE)</f>
        <v>Japan</v>
      </c>
      <c r="S1898" t="str">
        <f>IFERROR(IF(VLOOKUP(A1898,'[1]Sales Order'!A:H,8,FALSE)&gt;100,"High Freight","Low Freight"),"Not Specified")</f>
        <v>High Freight</v>
      </c>
      <c r="T1898">
        <f t="shared" si="59"/>
        <v>428.4</v>
      </c>
    </row>
    <row r="1899" spans="1:20">
      <c r="A1899" s="1">
        <v>10983</v>
      </c>
      <c r="B1899" s="2">
        <v>57</v>
      </c>
      <c r="C1899" s="2">
        <v>19.5</v>
      </c>
      <c r="D1899" s="2">
        <v>15</v>
      </c>
      <c r="E1899" s="3">
        <v>0</v>
      </c>
      <c r="F1899" s="2" t="str">
        <f>IFERROR(VLOOKUP(VLOOKUP(A1899,'[1]Sales Order'!A:B,2,FALSE),[1]Customer!A:C,3,FALSE),"Not Specified")</f>
        <v>Navarro, Tomás</v>
      </c>
      <c r="G1899" s="2" t="str">
        <f t="shared" si="58"/>
        <v>Navarro Tomás</v>
      </c>
      <c r="H1899" s="8" t="str">
        <f>IFERROR(VLOOKUP(VLOOKUP(A1899,'[1]Sales Order'!A:C,3,FALSE),[1]Employee!A:E,5,FALSE)&amp;" "&amp;VLOOKUP(VLOOKUP(A1899,'[1]Sales Order'!A:C,3,FALSE),[1]Employee!A:C,3,FALSE)&amp;" "&amp;VLOOKUP(VLOOKUP(A1899,'[1]Sales Order'!A:C,3,FALSE),[1]Employee!A:B,2,FALSE),"Not Specified")</f>
        <v>Dr. Don Funk</v>
      </c>
      <c r="I1899" t="str">
        <f>IFERROR(VLOOKUP(VLOOKUP(A1899,'[1]Sales Order'!A:C,3,FALSE),[1]Employee!A:J,10,FALSE),"Not Specified")</f>
        <v>WA</v>
      </c>
      <c r="J1899" t="str">
        <f>VLOOKUP(B1899,[1]Product!A:B,2,FALSE)</f>
        <v>Product OVLQI</v>
      </c>
      <c r="K1899" t="str">
        <f>VLOOKUP(VLOOKUP(B1899,[1]Product!A:D,4,FALSE),[1]Category!A:B,2,FALSE)</f>
        <v>Grains/Cereals</v>
      </c>
      <c r="L1899" s="10">
        <f>IFERROR(VLOOKUP(A1899,'[1]Sales Order'!A:D,4,FALSE),"")</f>
        <v>39534</v>
      </c>
      <c r="M1899" s="10">
        <f>IFERROR(VLOOKUP(A1899,'[1]Sales Order'!A:F,6,FALSE),"")</f>
        <v>39544</v>
      </c>
      <c r="N1899" t="str">
        <f>IFERROR(VLOOKUP(VLOOKUP(A1899,'[1]Sales Order'!A:G,7,FALSE),[1]Shipper!A:B,2,FALSE),"Not Specified")</f>
        <v>Shipper ETYNR</v>
      </c>
      <c r="O1899" t="str">
        <f>IFERROR(VLOOKUP(A1899,'[1]Sales Order'!A:I,9,FALSE),"Not Specified")</f>
        <v>Ship to 71-B</v>
      </c>
      <c r="P1899" t="str">
        <f>IFERROR(VLOOKUP(A1899,'[1]Sales Order'!A:N,14,FALSE),"Not Specified")</f>
        <v>USA</v>
      </c>
      <c r="Q1899" t="str">
        <f>VLOOKUP(VLOOKUP(B1899,[1]Product!A:C,3,FALSE),[1]Supplier!A:B,2,FALSE)</f>
        <v>Supplier ZWZDM</v>
      </c>
      <c r="R1899" t="str">
        <f>VLOOKUP(VLOOKUP(B1899,[1]Product!A:C,3,FALSE),[1]Supplier!A:I,9,FALSE)</f>
        <v>Italy</v>
      </c>
      <c r="S1899" t="str">
        <f>IFERROR(IF(VLOOKUP(A1899,'[1]Sales Order'!A:H,8,FALSE)&gt;100,"High Freight","Low Freight"),"Not Specified")</f>
        <v>High Freight</v>
      </c>
      <c r="T1899">
        <f t="shared" si="59"/>
        <v>292.5</v>
      </c>
    </row>
    <row r="1900" spans="1:20">
      <c r="A1900" s="1">
        <v>10984</v>
      </c>
      <c r="B1900" s="2">
        <v>16</v>
      </c>
      <c r="C1900" s="2">
        <v>17.45</v>
      </c>
      <c r="D1900" s="2">
        <v>55</v>
      </c>
      <c r="E1900" s="3">
        <v>0</v>
      </c>
      <c r="F1900" s="2" t="str">
        <f>IFERROR(VLOOKUP(VLOOKUP(A1900,'[1]Sales Order'!A:B,2,FALSE),[1]Customer!A:C,3,FALSE),"Not Specified")</f>
        <v>Navarro, Tomás</v>
      </c>
      <c r="G1900" s="2" t="str">
        <f t="shared" si="58"/>
        <v>Navarro Tomás</v>
      </c>
      <c r="H1900" s="8" t="str">
        <f>IFERROR(VLOOKUP(VLOOKUP(A1900,'[1]Sales Order'!A:C,3,FALSE),[1]Employee!A:E,5,FALSE)&amp;" "&amp;VLOOKUP(VLOOKUP(A1900,'[1]Sales Order'!A:C,3,FALSE),[1]Employee!A:C,3,FALSE)&amp;" "&amp;VLOOKUP(VLOOKUP(A1900,'[1]Sales Order'!A:C,3,FALSE),[1]Employee!A:B,2,FALSE),"Not Specified")</f>
        <v>Ms. Sara Davis</v>
      </c>
      <c r="I1900" t="str">
        <f>IFERROR(VLOOKUP(VLOOKUP(A1900,'[1]Sales Order'!A:C,3,FALSE),[1]Employee!A:J,10,FALSE),"Not Specified")</f>
        <v>WA</v>
      </c>
      <c r="J1900" t="str">
        <f>VLOOKUP(B1900,[1]Product!A:B,2,FALSE)</f>
        <v>Product PAFRH</v>
      </c>
      <c r="K1900" t="str">
        <f>VLOOKUP(VLOOKUP(B1900,[1]Product!A:D,4,FALSE),[1]Category!A:B,2,FALSE)</f>
        <v>Confections</v>
      </c>
      <c r="L1900" s="10">
        <f>IFERROR(VLOOKUP(A1900,'[1]Sales Order'!A:D,4,FALSE),"")</f>
        <v>39537</v>
      </c>
      <c r="M1900" s="10">
        <f>IFERROR(VLOOKUP(A1900,'[1]Sales Order'!A:F,6,FALSE),"")</f>
        <v>39541</v>
      </c>
      <c r="N1900" t="str">
        <f>IFERROR(VLOOKUP(VLOOKUP(A1900,'[1]Sales Order'!A:G,7,FALSE),[1]Shipper!A:B,2,FALSE),"Not Specified")</f>
        <v>Shipper ZHISN</v>
      </c>
      <c r="O1900" t="str">
        <f>IFERROR(VLOOKUP(A1900,'[1]Sales Order'!A:I,9,FALSE),"Not Specified")</f>
        <v>Ship to 71-B</v>
      </c>
      <c r="P1900" t="str">
        <f>IFERROR(VLOOKUP(A1900,'[1]Sales Order'!A:N,14,FALSE),"Not Specified")</f>
        <v>USA</v>
      </c>
      <c r="Q1900" t="str">
        <f>VLOOKUP(VLOOKUP(B1900,[1]Product!A:C,3,FALSE),[1]Supplier!A:B,2,FALSE)</f>
        <v>Supplier GQRCV</v>
      </c>
      <c r="R1900" t="str">
        <f>VLOOKUP(VLOOKUP(B1900,[1]Product!A:C,3,FALSE),[1]Supplier!A:I,9,FALSE)</f>
        <v>Australia</v>
      </c>
      <c r="S1900" t="str">
        <f>IFERROR(IF(VLOOKUP(A1900,'[1]Sales Order'!A:H,8,FALSE)&gt;100,"High Freight","Low Freight"),"Not Specified")</f>
        <v>High Freight</v>
      </c>
      <c r="T1900">
        <f t="shared" si="59"/>
        <v>959.75</v>
      </c>
    </row>
    <row r="1901" spans="1:20">
      <c r="A1901" s="1">
        <v>10984</v>
      </c>
      <c r="B1901" s="2">
        <v>24</v>
      </c>
      <c r="C1901" s="2">
        <v>4.5</v>
      </c>
      <c r="D1901" s="2">
        <v>20</v>
      </c>
      <c r="E1901" s="3">
        <v>0</v>
      </c>
      <c r="F1901" s="2" t="str">
        <f>IFERROR(VLOOKUP(VLOOKUP(A1901,'[1]Sales Order'!A:B,2,FALSE),[1]Customer!A:C,3,FALSE),"Not Specified")</f>
        <v>Navarro, Tomás</v>
      </c>
      <c r="G1901" s="2" t="str">
        <f t="shared" si="58"/>
        <v>Navarro Tomás</v>
      </c>
      <c r="H1901" s="8" t="str">
        <f>IFERROR(VLOOKUP(VLOOKUP(A1901,'[1]Sales Order'!A:C,3,FALSE),[1]Employee!A:E,5,FALSE)&amp;" "&amp;VLOOKUP(VLOOKUP(A1901,'[1]Sales Order'!A:C,3,FALSE),[1]Employee!A:C,3,FALSE)&amp;" "&amp;VLOOKUP(VLOOKUP(A1901,'[1]Sales Order'!A:C,3,FALSE),[1]Employee!A:B,2,FALSE),"Not Specified")</f>
        <v>Ms. Sara Davis</v>
      </c>
      <c r="I1901" t="str">
        <f>IFERROR(VLOOKUP(VLOOKUP(A1901,'[1]Sales Order'!A:C,3,FALSE),[1]Employee!A:J,10,FALSE),"Not Specified")</f>
        <v>WA</v>
      </c>
      <c r="J1901" t="str">
        <f>VLOOKUP(B1901,[1]Product!A:B,2,FALSE)</f>
        <v>Product QOGNU</v>
      </c>
      <c r="K1901" t="str">
        <f>VLOOKUP(VLOOKUP(B1901,[1]Product!A:D,4,FALSE),[1]Category!A:B,2,FALSE)</f>
        <v>Beverages</v>
      </c>
      <c r="L1901" s="10">
        <f>IFERROR(VLOOKUP(A1901,'[1]Sales Order'!A:D,4,FALSE),"")</f>
        <v>39537</v>
      </c>
      <c r="M1901" s="10">
        <f>IFERROR(VLOOKUP(A1901,'[1]Sales Order'!A:F,6,FALSE),"")</f>
        <v>39541</v>
      </c>
      <c r="N1901" t="str">
        <f>IFERROR(VLOOKUP(VLOOKUP(A1901,'[1]Sales Order'!A:G,7,FALSE),[1]Shipper!A:B,2,FALSE),"Not Specified")</f>
        <v>Shipper ZHISN</v>
      </c>
      <c r="O1901" t="str">
        <f>IFERROR(VLOOKUP(A1901,'[1]Sales Order'!A:I,9,FALSE),"Not Specified")</f>
        <v>Ship to 71-B</v>
      </c>
      <c r="P1901" t="str">
        <f>IFERROR(VLOOKUP(A1901,'[1]Sales Order'!A:N,14,FALSE),"Not Specified")</f>
        <v>USA</v>
      </c>
      <c r="Q1901" t="str">
        <f>VLOOKUP(VLOOKUP(B1901,[1]Product!A:C,3,FALSE),[1]Supplier!A:B,2,FALSE)</f>
        <v>Supplier UNAHG</v>
      </c>
      <c r="R1901" t="str">
        <f>VLOOKUP(VLOOKUP(B1901,[1]Product!A:C,3,FALSE),[1]Supplier!A:I,9,FALSE)</f>
        <v>Brazil</v>
      </c>
      <c r="S1901" t="str">
        <f>IFERROR(IF(VLOOKUP(A1901,'[1]Sales Order'!A:H,8,FALSE)&gt;100,"High Freight","Low Freight"),"Not Specified")</f>
        <v>High Freight</v>
      </c>
      <c r="T1901">
        <f t="shared" si="59"/>
        <v>90</v>
      </c>
    </row>
    <row r="1902" spans="1:20">
      <c r="A1902" s="1">
        <v>10984</v>
      </c>
      <c r="B1902" s="2">
        <v>36</v>
      </c>
      <c r="C1902" s="2">
        <v>19</v>
      </c>
      <c r="D1902" s="2">
        <v>40</v>
      </c>
      <c r="E1902" s="3">
        <v>0</v>
      </c>
      <c r="F1902" s="2" t="str">
        <f>IFERROR(VLOOKUP(VLOOKUP(A1902,'[1]Sales Order'!A:B,2,FALSE),[1]Customer!A:C,3,FALSE),"Not Specified")</f>
        <v>Navarro, Tomás</v>
      </c>
      <c r="G1902" s="2" t="str">
        <f t="shared" si="58"/>
        <v>Navarro Tomás</v>
      </c>
      <c r="H1902" s="8" t="str">
        <f>IFERROR(VLOOKUP(VLOOKUP(A1902,'[1]Sales Order'!A:C,3,FALSE),[1]Employee!A:E,5,FALSE)&amp;" "&amp;VLOOKUP(VLOOKUP(A1902,'[1]Sales Order'!A:C,3,FALSE),[1]Employee!A:C,3,FALSE)&amp;" "&amp;VLOOKUP(VLOOKUP(A1902,'[1]Sales Order'!A:C,3,FALSE),[1]Employee!A:B,2,FALSE),"Not Specified")</f>
        <v>Ms. Sara Davis</v>
      </c>
      <c r="I1902" t="str">
        <f>IFERROR(VLOOKUP(VLOOKUP(A1902,'[1]Sales Order'!A:C,3,FALSE),[1]Employee!A:J,10,FALSE),"Not Specified")</f>
        <v>WA</v>
      </c>
      <c r="J1902" t="str">
        <f>VLOOKUP(B1902,[1]Product!A:B,2,FALSE)</f>
        <v>Product GMKIJ</v>
      </c>
      <c r="K1902" t="str">
        <f>VLOOKUP(VLOOKUP(B1902,[1]Product!A:D,4,FALSE),[1]Category!A:B,2,FALSE)</f>
        <v>Seafood</v>
      </c>
      <c r="L1902" s="10">
        <f>IFERROR(VLOOKUP(A1902,'[1]Sales Order'!A:D,4,FALSE),"")</f>
        <v>39537</v>
      </c>
      <c r="M1902" s="10">
        <f>IFERROR(VLOOKUP(A1902,'[1]Sales Order'!A:F,6,FALSE),"")</f>
        <v>39541</v>
      </c>
      <c r="N1902" t="str">
        <f>IFERROR(VLOOKUP(VLOOKUP(A1902,'[1]Sales Order'!A:G,7,FALSE),[1]Shipper!A:B,2,FALSE),"Not Specified")</f>
        <v>Shipper ZHISN</v>
      </c>
      <c r="O1902" t="str">
        <f>IFERROR(VLOOKUP(A1902,'[1]Sales Order'!A:I,9,FALSE),"Not Specified")</f>
        <v>Ship to 71-B</v>
      </c>
      <c r="P1902" t="str">
        <f>IFERROR(VLOOKUP(A1902,'[1]Sales Order'!A:N,14,FALSE),"Not Specified")</f>
        <v>USA</v>
      </c>
      <c r="Q1902" t="str">
        <f>VLOOKUP(VLOOKUP(B1902,[1]Product!A:C,3,FALSE),[1]Supplier!A:B,2,FALSE)</f>
        <v>Supplier QZGUF</v>
      </c>
      <c r="R1902" t="str">
        <f>VLOOKUP(VLOOKUP(B1902,[1]Product!A:C,3,FALSE),[1]Supplier!A:I,9,FALSE)</f>
        <v>Sweden</v>
      </c>
      <c r="S1902" t="str">
        <f>IFERROR(IF(VLOOKUP(A1902,'[1]Sales Order'!A:H,8,FALSE)&gt;100,"High Freight","Low Freight"),"Not Specified")</f>
        <v>High Freight</v>
      </c>
      <c r="T1902">
        <f t="shared" si="59"/>
        <v>760</v>
      </c>
    </row>
    <row r="1903" spans="1:20">
      <c r="A1903" s="1">
        <v>10985</v>
      </c>
      <c r="B1903" s="2">
        <v>16</v>
      </c>
      <c r="C1903" s="2">
        <v>17.45</v>
      </c>
      <c r="D1903" s="2">
        <v>36</v>
      </c>
      <c r="E1903" s="3">
        <v>0.1</v>
      </c>
      <c r="F1903" s="2" t="str">
        <f>IFERROR(VLOOKUP(VLOOKUP(A1903,'[1]Sales Order'!A:B,2,FALSE),[1]Customer!A:C,3,FALSE),"Not Specified")</f>
        <v>Crăciun, Ovidiu V.</v>
      </c>
      <c r="G1903" s="2" t="str">
        <f t="shared" si="58"/>
        <v>Crăciun Ovidiu V.</v>
      </c>
      <c r="H1903" s="8" t="str">
        <f>IFERROR(VLOOKUP(VLOOKUP(A1903,'[1]Sales Order'!A:C,3,FALSE),[1]Employee!A:E,5,FALSE)&amp;" "&amp;VLOOKUP(VLOOKUP(A1903,'[1]Sales Order'!A:C,3,FALSE),[1]Employee!A:C,3,FALSE)&amp;" "&amp;VLOOKUP(VLOOKUP(A1903,'[1]Sales Order'!A:C,3,FALSE),[1]Employee!A:B,2,FALSE),"Not Specified")</f>
        <v>Dr. Don Funk</v>
      </c>
      <c r="I1903" t="str">
        <f>IFERROR(VLOOKUP(VLOOKUP(A1903,'[1]Sales Order'!A:C,3,FALSE),[1]Employee!A:J,10,FALSE),"Not Specified")</f>
        <v>WA</v>
      </c>
      <c r="J1903" t="str">
        <f>VLOOKUP(B1903,[1]Product!A:B,2,FALSE)</f>
        <v>Product PAFRH</v>
      </c>
      <c r="K1903" t="str">
        <f>VLOOKUP(VLOOKUP(B1903,[1]Product!A:D,4,FALSE),[1]Category!A:B,2,FALSE)</f>
        <v>Confections</v>
      </c>
      <c r="L1903" s="10">
        <f>IFERROR(VLOOKUP(A1903,'[1]Sales Order'!A:D,4,FALSE),"")</f>
        <v>39537</v>
      </c>
      <c r="M1903" s="10">
        <f>IFERROR(VLOOKUP(A1903,'[1]Sales Order'!A:F,6,FALSE),"")</f>
        <v>39540</v>
      </c>
      <c r="N1903" t="str">
        <f>IFERROR(VLOOKUP(VLOOKUP(A1903,'[1]Sales Order'!A:G,7,FALSE),[1]Shipper!A:B,2,FALSE),"Not Specified")</f>
        <v>Shipper GVSUA</v>
      </c>
      <c r="O1903" t="str">
        <f>IFERROR(VLOOKUP(A1903,'[1]Sales Order'!A:I,9,FALSE),"Not Specified")</f>
        <v>Destination ATSOA</v>
      </c>
      <c r="P1903" t="str">
        <f>IFERROR(VLOOKUP(A1903,'[1]Sales Order'!A:N,14,FALSE),"Not Specified")</f>
        <v>Ireland</v>
      </c>
      <c r="Q1903" t="str">
        <f>VLOOKUP(VLOOKUP(B1903,[1]Product!A:C,3,FALSE),[1]Supplier!A:B,2,FALSE)</f>
        <v>Supplier GQRCV</v>
      </c>
      <c r="R1903" t="str">
        <f>VLOOKUP(VLOOKUP(B1903,[1]Product!A:C,3,FALSE),[1]Supplier!A:I,9,FALSE)</f>
        <v>Australia</v>
      </c>
      <c r="S1903" t="str">
        <f>IFERROR(IF(VLOOKUP(A1903,'[1]Sales Order'!A:H,8,FALSE)&gt;100,"High Freight","Low Freight"),"Not Specified")</f>
        <v>Low Freight</v>
      </c>
      <c r="T1903">
        <f t="shared" si="59"/>
        <v>565.38</v>
      </c>
    </row>
    <row r="1904" spans="1:20">
      <c r="A1904" s="1">
        <v>10985</v>
      </c>
      <c r="B1904" s="2">
        <v>18</v>
      </c>
      <c r="C1904" s="2">
        <v>62.5</v>
      </c>
      <c r="D1904" s="2">
        <v>8</v>
      </c>
      <c r="E1904" s="3">
        <v>0.1</v>
      </c>
      <c r="F1904" s="2" t="str">
        <f>IFERROR(VLOOKUP(VLOOKUP(A1904,'[1]Sales Order'!A:B,2,FALSE),[1]Customer!A:C,3,FALSE),"Not Specified")</f>
        <v>Crăciun, Ovidiu V.</v>
      </c>
      <c r="G1904" s="2" t="str">
        <f t="shared" si="58"/>
        <v>Crăciun Ovidiu V.</v>
      </c>
      <c r="H1904" s="8" t="str">
        <f>IFERROR(VLOOKUP(VLOOKUP(A1904,'[1]Sales Order'!A:C,3,FALSE),[1]Employee!A:E,5,FALSE)&amp;" "&amp;VLOOKUP(VLOOKUP(A1904,'[1]Sales Order'!A:C,3,FALSE),[1]Employee!A:C,3,FALSE)&amp;" "&amp;VLOOKUP(VLOOKUP(A1904,'[1]Sales Order'!A:C,3,FALSE),[1]Employee!A:B,2,FALSE),"Not Specified")</f>
        <v>Dr. Don Funk</v>
      </c>
      <c r="I1904" t="str">
        <f>IFERROR(VLOOKUP(VLOOKUP(A1904,'[1]Sales Order'!A:C,3,FALSE),[1]Employee!A:J,10,FALSE),"Not Specified")</f>
        <v>WA</v>
      </c>
      <c r="J1904" t="str">
        <f>VLOOKUP(B1904,[1]Product!A:B,2,FALSE)</f>
        <v>Product CKEDC</v>
      </c>
      <c r="K1904" t="str">
        <f>VLOOKUP(VLOOKUP(B1904,[1]Product!A:D,4,FALSE),[1]Category!A:B,2,FALSE)</f>
        <v>Seafood</v>
      </c>
      <c r="L1904" s="10">
        <f>IFERROR(VLOOKUP(A1904,'[1]Sales Order'!A:D,4,FALSE),"")</f>
        <v>39537</v>
      </c>
      <c r="M1904" s="10">
        <f>IFERROR(VLOOKUP(A1904,'[1]Sales Order'!A:F,6,FALSE),"")</f>
        <v>39540</v>
      </c>
      <c r="N1904" t="str">
        <f>IFERROR(VLOOKUP(VLOOKUP(A1904,'[1]Sales Order'!A:G,7,FALSE),[1]Shipper!A:B,2,FALSE),"Not Specified")</f>
        <v>Shipper GVSUA</v>
      </c>
      <c r="O1904" t="str">
        <f>IFERROR(VLOOKUP(A1904,'[1]Sales Order'!A:I,9,FALSE),"Not Specified")</f>
        <v>Destination ATSOA</v>
      </c>
      <c r="P1904" t="str">
        <f>IFERROR(VLOOKUP(A1904,'[1]Sales Order'!A:N,14,FALSE),"Not Specified")</f>
        <v>Ireland</v>
      </c>
      <c r="Q1904" t="str">
        <f>VLOOKUP(VLOOKUP(B1904,[1]Product!A:C,3,FALSE),[1]Supplier!A:B,2,FALSE)</f>
        <v>Supplier GQRCV</v>
      </c>
      <c r="R1904" t="str">
        <f>VLOOKUP(VLOOKUP(B1904,[1]Product!A:C,3,FALSE),[1]Supplier!A:I,9,FALSE)</f>
        <v>Australia</v>
      </c>
      <c r="S1904" t="str">
        <f>IFERROR(IF(VLOOKUP(A1904,'[1]Sales Order'!A:H,8,FALSE)&gt;100,"High Freight","Low Freight"),"Not Specified")</f>
        <v>Low Freight</v>
      </c>
      <c r="T1904">
        <f t="shared" si="59"/>
        <v>450</v>
      </c>
    </row>
    <row r="1905" spans="1:20">
      <c r="A1905" s="1">
        <v>10985</v>
      </c>
      <c r="B1905" s="2">
        <v>32</v>
      </c>
      <c r="C1905" s="2">
        <v>32</v>
      </c>
      <c r="D1905" s="2">
        <v>35</v>
      </c>
      <c r="E1905" s="3">
        <v>0.1</v>
      </c>
      <c r="F1905" s="2" t="str">
        <f>IFERROR(VLOOKUP(VLOOKUP(A1905,'[1]Sales Order'!A:B,2,FALSE),[1]Customer!A:C,3,FALSE),"Not Specified")</f>
        <v>Crăciun, Ovidiu V.</v>
      </c>
      <c r="G1905" s="2" t="str">
        <f t="shared" si="58"/>
        <v>Crăciun Ovidiu V.</v>
      </c>
      <c r="H1905" s="8" t="str">
        <f>IFERROR(VLOOKUP(VLOOKUP(A1905,'[1]Sales Order'!A:C,3,FALSE),[1]Employee!A:E,5,FALSE)&amp;" "&amp;VLOOKUP(VLOOKUP(A1905,'[1]Sales Order'!A:C,3,FALSE),[1]Employee!A:C,3,FALSE)&amp;" "&amp;VLOOKUP(VLOOKUP(A1905,'[1]Sales Order'!A:C,3,FALSE),[1]Employee!A:B,2,FALSE),"Not Specified")</f>
        <v>Dr. Don Funk</v>
      </c>
      <c r="I1905" t="str">
        <f>IFERROR(VLOOKUP(VLOOKUP(A1905,'[1]Sales Order'!A:C,3,FALSE),[1]Employee!A:J,10,FALSE),"Not Specified")</f>
        <v>WA</v>
      </c>
      <c r="J1905" t="str">
        <f>VLOOKUP(B1905,[1]Product!A:B,2,FALSE)</f>
        <v>Product NUNAW</v>
      </c>
      <c r="K1905" t="str">
        <f>VLOOKUP(VLOOKUP(B1905,[1]Product!A:D,4,FALSE),[1]Category!A:B,2,FALSE)</f>
        <v>Dairy Product</v>
      </c>
      <c r="L1905" s="10">
        <f>IFERROR(VLOOKUP(A1905,'[1]Sales Order'!A:D,4,FALSE),"")</f>
        <v>39537</v>
      </c>
      <c r="M1905" s="10">
        <f>IFERROR(VLOOKUP(A1905,'[1]Sales Order'!A:F,6,FALSE),"")</f>
        <v>39540</v>
      </c>
      <c r="N1905" t="str">
        <f>IFERROR(VLOOKUP(VLOOKUP(A1905,'[1]Sales Order'!A:G,7,FALSE),[1]Shipper!A:B,2,FALSE),"Not Specified")</f>
        <v>Shipper GVSUA</v>
      </c>
      <c r="O1905" t="str">
        <f>IFERROR(VLOOKUP(A1905,'[1]Sales Order'!A:I,9,FALSE),"Not Specified")</f>
        <v>Destination ATSOA</v>
      </c>
      <c r="P1905" t="str">
        <f>IFERROR(VLOOKUP(A1905,'[1]Sales Order'!A:N,14,FALSE),"Not Specified")</f>
        <v>Ireland</v>
      </c>
      <c r="Q1905" t="str">
        <f>VLOOKUP(VLOOKUP(B1905,[1]Product!A:C,3,FALSE),[1]Supplier!A:B,2,FALSE)</f>
        <v>Supplier KEREV</v>
      </c>
      <c r="R1905" t="str">
        <f>VLOOKUP(VLOOKUP(B1905,[1]Product!A:C,3,FALSE),[1]Supplier!A:I,9,FALSE)</f>
        <v>Italy</v>
      </c>
      <c r="S1905" t="str">
        <f>IFERROR(IF(VLOOKUP(A1905,'[1]Sales Order'!A:H,8,FALSE)&gt;100,"High Freight","Low Freight"),"Not Specified")</f>
        <v>Low Freight</v>
      </c>
      <c r="T1905">
        <f t="shared" si="59"/>
        <v>1008</v>
      </c>
    </row>
    <row r="1906" spans="1:20">
      <c r="A1906" s="1">
        <v>10986</v>
      </c>
      <c r="B1906" s="2">
        <v>11</v>
      </c>
      <c r="C1906" s="2">
        <v>21</v>
      </c>
      <c r="D1906" s="2">
        <v>30</v>
      </c>
      <c r="E1906" s="3">
        <v>0</v>
      </c>
      <c r="F1906" s="2" t="str">
        <f>IFERROR(VLOOKUP(VLOOKUP(A1906,'[1]Sales Order'!A:B,2,FALSE),[1]Customer!A:C,3,FALSE),"Not Specified")</f>
        <v>Tiano, Mike</v>
      </c>
      <c r="G1906" s="2" t="str">
        <f t="shared" si="58"/>
        <v>Tiano Mike</v>
      </c>
      <c r="H1906" s="8" t="str">
        <f>IFERROR(VLOOKUP(VLOOKUP(A1906,'[1]Sales Order'!A:C,3,FALSE),[1]Employee!A:E,5,FALSE)&amp;" "&amp;VLOOKUP(VLOOKUP(A1906,'[1]Sales Order'!A:C,3,FALSE),[1]Employee!A:C,3,FALSE)&amp;" "&amp;VLOOKUP(VLOOKUP(A1906,'[1]Sales Order'!A:C,3,FALSE),[1]Employee!A:B,2,FALSE),"Not Specified")</f>
        <v>Ms. Maria Cameron</v>
      </c>
      <c r="I1906" t="str">
        <f>IFERROR(VLOOKUP(VLOOKUP(A1906,'[1]Sales Order'!A:C,3,FALSE),[1]Employee!A:J,10,FALSE),"Not Specified")</f>
        <v>WA</v>
      </c>
      <c r="J1906" t="str">
        <f>VLOOKUP(B1906,[1]Product!A:B,2,FALSE)</f>
        <v>Product QMVUN</v>
      </c>
      <c r="K1906" t="str">
        <f>VLOOKUP(VLOOKUP(B1906,[1]Product!A:D,4,FALSE),[1]Category!A:B,2,FALSE)</f>
        <v>Dairy Product</v>
      </c>
      <c r="L1906" s="10">
        <f>IFERROR(VLOOKUP(A1906,'[1]Sales Order'!A:D,4,FALSE),"")</f>
        <v>39537</v>
      </c>
      <c r="M1906" s="10">
        <f>IFERROR(VLOOKUP(A1906,'[1]Sales Order'!A:F,6,FALSE),"")</f>
        <v>39559</v>
      </c>
      <c r="N1906" t="str">
        <f>IFERROR(VLOOKUP(VLOOKUP(A1906,'[1]Sales Order'!A:G,7,FALSE),[1]Shipper!A:B,2,FALSE),"Not Specified")</f>
        <v>Shipper ETYNR</v>
      </c>
      <c r="O1906" t="str">
        <f>IFERROR(VLOOKUP(A1906,'[1]Sales Order'!A:I,9,FALSE),"Not Specified")</f>
        <v>Ship to 54-A</v>
      </c>
      <c r="P1906" t="str">
        <f>IFERROR(VLOOKUP(A1906,'[1]Sales Order'!A:N,14,FALSE),"Not Specified")</f>
        <v>Argentina</v>
      </c>
      <c r="Q1906" t="str">
        <f>VLOOKUP(VLOOKUP(B1906,[1]Product!A:C,3,FALSE),[1]Supplier!A:B,2,FALSE)</f>
        <v>Supplier EQPNC</v>
      </c>
      <c r="R1906" t="str">
        <f>VLOOKUP(VLOOKUP(B1906,[1]Product!A:C,3,FALSE),[1]Supplier!A:I,9,FALSE)</f>
        <v>Spain</v>
      </c>
      <c r="S1906" t="str">
        <f>IFERROR(IF(VLOOKUP(A1906,'[1]Sales Order'!A:H,8,FALSE)&gt;100,"High Freight","Low Freight"),"Not Specified")</f>
        <v>High Freight</v>
      </c>
      <c r="T1906">
        <f t="shared" si="59"/>
        <v>630</v>
      </c>
    </row>
    <row r="1907" spans="1:20">
      <c r="A1907" s="1">
        <v>10986</v>
      </c>
      <c r="B1907" s="2">
        <v>20</v>
      </c>
      <c r="C1907" s="2">
        <v>81</v>
      </c>
      <c r="D1907" s="2">
        <v>15</v>
      </c>
      <c r="E1907" s="3">
        <v>0</v>
      </c>
      <c r="F1907" s="2" t="str">
        <f>IFERROR(VLOOKUP(VLOOKUP(A1907,'[1]Sales Order'!A:B,2,FALSE),[1]Customer!A:C,3,FALSE),"Not Specified")</f>
        <v>Tiano, Mike</v>
      </c>
      <c r="G1907" s="2" t="str">
        <f t="shared" si="58"/>
        <v>Tiano Mike</v>
      </c>
      <c r="H1907" s="8" t="str">
        <f>IFERROR(VLOOKUP(VLOOKUP(A1907,'[1]Sales Order'!A:C,3,FALSE),[1]Employee!A:E,5,FALSE)&amp;" "&amp;VLOOKUP(VLOOKUP(A1907,'[1]Sales Order'!A:C,3,FALSE),[1]Employee!A:C,3,FALSE)&amp;" "&amp;VLOOKUP(VLOOKUP(A1907,'[1]Sales Order'!A:C,3,FALSE),[1]Employee!A:B,2,FALSE),"Not Specified")</f>
        <v>Ms. Maria Cameron</v>
      </c>
      <c r="I1907" t="str">
        <f>IFERROR(VLOOKUP(VLOOKUP(A1907,'[1]Sales Order'!A:C,3,FALSE),[1]Employee!A:J,10,FALSE),"Not Specified")</f>
        <v>WA</v>
      </c>
      <c r="J1907" t="str">
        <f>VLOOKUP(B1907,[1]Product!A:B,2,FALSE)</f>
        <v>Product QHFFP</v>
      </c>
      <c r="K1907" t="str">
        <f>VLOOKUP(VLOOKUP(B1907,[1]Product!A:D,4,FALSE),[1]Category!A:B,2,FALSE)</f>
        <v>Confections</v>
      </c>
      <c r="L1907" s="10">
        <f>IFERROR(VLOOKUP(A1907,'[1]Sales Order'!A:D,4,FALSE),"")</f>
        <v>39537</v>
      </c>
      <c r="M1907" s="10">
        <f>IFERROR(VLOOKUP(A1907,'[1]Sales Order'!A:F,6,FALSE),"")</f>
        <v>39559</v>
      </c>
      <c r="N1907" t="str">
        <f>IFERROR(VLOOKUP(VLOOKUP(A1907,'[1]Sales Order'!A:G,7,FALSE),[1]Shipper!A:B,2,FALSE),"Not Specified")</f>
        <v>Shipper ETYNR</v>
      </c>
      <c r="O1907" t="str">
        <f>IFERROR(VLOOKUP(A1907,'[1]Sales Order'!A:I,9,FALSE),"Not Specified")</f>
        <v>Ship to 54-A</v>
      </c>
      <c r="P1907" t="str">
        <f>IFERROR(VLOOKUP(A1907,'[1]Sales Order'!A:N,14,FALSE),"Not Specified")</f>
        <v>Argentina</v>
      </c>
      <c r="Q1907" t="str">
        <f>VLOOKUP(VLOOKUP(B1907,[1]Product!A:C,3,FALSE),[1]Supplier!A:B,2,FALSE)</f>
        <v>Supplier BWGYE</v>
      </c>
      <c r="R1907" t="str">
        <f>VLOOKUP(VLOOKUP(B1907,[1]Product!A:C,3,FALSE),[1]Supplier!A:I,9,FALSE)</f>
        <v>UK</v>
      </c>
      <c r="S1907" t="str">
        <f>IFERROR(IF(VLOOKUP(A1907,'[1]Sales Order'!A:H,8,FALSE)&gt;100,"High Freight","Low Freight"),"Not Specified")</f>
        <v>High Freight</v>
      </c>
      <c r="T1907">
        <f t="shared" si="59"/>
        <v>1215</v>
      </c>
    </row>
    <row r="1908" spans="1:20">
      <c r="A1908" s="1">
        <v>10986</v>
      </c>
      <c r="B1908" s="2">
        <v>76</v>
      </c>
      <c r="C1908" s="2">
        <v>18</v>
      </c>
      <c r="D1908" s="2">
        <v>10</v>
      </c>
      <c r="E1908" s="3">
        <v>0</v>
      </c>
      <c r="F1908" s="2" t="str">
        <f>IFERROR(VLOOKUP(VLOOKUP(A1908,'[1]Sales Order'!A:B,2,FALSE),[1]Customer!A:C,3,FALSE),"Not Specified")</f>
        <v>Tiano, Mike</v>
      </c>
      <c r="G1908" s="2" t="str">
        <f t="shared" si="58"/>
        <v>Tiano Mike</v>
      </c>
      <c r="H1908" s="8" t="str">
        <f>IFERROR(VLOOKUP(VLOOKUP(A1908,'[1]Sales Order'!A:C,3,FALSE),[1]Employee!A:E,5,FALSE)&amp;" "&amp;VLOOKUP(VLOOKUP(A1908,'[1]Sales Order'!A:C,3,FALSE),[1]Employee!A:C,3,FALSE)&amp;" "&amp;VLOOKUP(VLOOKUP(A1908,'[1]Sales Order'!A:C,3,FALSE),[1]Employee!A:B,2,FALSE),"Not Specified")</f>
        <v>Ms. Maria Cameron</v>
      </c>
      <c r="I1908" t="str">
        <f>IFERROR(VLOOKUP(VLOOKUP(A1908,'[1]Sales Order'!A:C,3,FALSE),[1]Employee!A:J,10,FALSE),"Not Specified")</f>
        <v>WA</v>
      </c>
      <c r="J1908" t="str">
        <f>VLOOKUP(B1908,[1]Product!A:B,2,FALSE)</f>
        <v>Product JYGFE</v>
      </c>
      <c r="K1908" t="str">
        <f>VLOOKUP(VLOOKUP(B1908,[1]Product!A:D,4,FALSE),[1]Category!A:B,2,FALSE)</f>
        <v>Beverages</v>
      </c>
      <c r="L1908" s="10">
        <f>IFERROR(VLOOKUP(A1908,'[1]Sales Order'!A:D,4,FALSE),"")</f>
        <v>39537</v>
      </c>
      <c r="M1908" s="10">
        <f>IFERROR(VLOOKUP(A1908,'[1]Sales Order'!A:F,6,FALSE),"")</f>
        <v>39559</v>
      </c>
      <c r="N1908" t="str">
        <f>IFERROR(VLOOKUP(VLOOKUP(A1908,'[1]Sales Order'!A:G,7,FALSE),[1]Shipper!A:B,2,FALSE),"Not Specified")</f>
        <v>Shipper ETYNR</v>
      </c>
      <c r="O1908" t="str">
        <f>IFERROR(VLOOKUP(A1908,'[1]Sales Order'!A:I,9,FALSE),"Not Specified")</f>
        <v>Ship to 54-A</v>
      </c>
      <c r="P1908" t="str">
        <f>IFERROR(VLOOKUP(A1908,'[1]Sales Order'!A:N,14,FALSE),"Not Specified")</f>
        <v>Argentina</v>
      </c>
      <c r="Q1908" t="str">
        <f>VLOOKUP(VLOOKUP(B1908,[1]Product!A:C,3,FALSE),[1]Supplier!A:B,2,FALSE)</f>
        <v>Supplier ELCRN</v>
      </c>
      <c r="R1908" t="str">
        <f>VLOOKUP(VLOOKUP(B1908,[1]Product!A:C,3,FALSE),[1]Supplier!A:I,9,FALSE)</f>
        <v>Finland</v>
      </c>
      <c r="S1908" t="str">
        <f>IFERROR(IF(VLOOKUP(A1908,'[1]Sales Order'!A:H,8,FALSE)&gt;100,"High Freight","Low Freight"),"Not Specified")</f>
        <v>High Freight</v>
      </c>
      <c r="T1908">
        <f t="shared" si="59"/>
        <v>180</v>
      </c>
    </row>
    <row r="1909" spans="1:20">
      <c r="A1909" s="1">
        <v>10986</v>
      </c>
      <c r="B1909" s="2">
        <v>77</v>
      </c>
      <c r="C1909" s="2">
        <v>13</v>
      </c>
      <c r="D1909" s="2">
        <v>15</v>
      </c>
      <c r="E1909" s="3">
        <v>0</v>
      </c>
      <c r="F1909" s="2" t="str">
        <f>IFERROR(VLOOKUP(VLOOKUP(A1909,'[1]Sales Order'!A:B,2,FALSE),[1]Customer!A:C,3,FALSE),"Not Specified")</f>
        <v>Tiano, Mike</v>
      </c>
      <c r="G1909" s="2" t="str">
        <f t="shared" si="58"/>
        <v>Tiano Mike</v>
      </c>
      <c r="H1909" s="8" t="str">
        <f>IFERROR(VLOOKUP(VLOOKUP(A1909,'[1]Sales Order'!A:C,3,FALSE),[1]Employee!A:E,5,FALSE)&amp;" "&amp;VLOOKUP(VLOOKUP(A1909,'[1]Sales Order'!A:C,3,FALSE),[1]Employee!A:C,3,FALSE)&amp;" "&amp;VLOOKUP(VLOOKUP(A1909,'[1]Sales Order'!A:C,3,FALSE),[1]Employee!A:B,2,FALSE),"Not Specified")</f>
        <v>Ms. Maria Cameron</v>
      </c>
      <c r="I1909" t="str">
        <f>IFERROR(VLOOKUP(VLOOKUP(A1909,'[1]Sales Order'!A:C,3,FALSE),[1]Employee!A:J,10,FALSE),"Not Specified")</f>
        <v>WA</v>
      </c>
      <c r="J1909" t="str">
        <f>VLOOKUP(B1909,[1]Product!A:B,2,FALSE)</f>
        <v>Product LUNZZ</v>
      </c>
      <c r="K1909" t="str">
        <f>VLOOKUP(VLOOKUP(B1909,[1]Product!A:D,4,FALSE),[1]Category!A:B,2,FALSE)</f>
        <v>Condiments</v>
      </c>
      <c r="L1909" s="10">
        <f>IFERROR(VLOOKUP(A1909,'[1]Sales Order'!A:D,4,FALSE),"")</f>
        <v>39537</v>
      </c>
      <c r="M1909" s="10">
        <f>IFERROR(VLOOKUP(A1909,'[1]Sales Order'!A:F,6,FALSE),"")</f>
        <v>39559</v>
      </c>
      <c r="N1909" t="str">
        <f>IFERROR(VLOOKUP(VLOOKUP(A1909,'[1]Sales Order'!A:G,7,FALSE),[1]Shipper!A:B,2,FALSE),"Not Specified")</f>
        <v>Shipper ETYNR</v>
      </c>
      <c r="O1909" t="str">
        <f>IFERROR(VLOOKUP(A1909,'[1]Sales Order'!A:I,9,FALSE),"Not Specified")</f>
        <v>Ship to 54-A</v>
      </c>
      <c r="P1909" t="str">
        <f>IFERROR(VLOOKUP(A1909,'[1]Sales Order'!A:N,14,FALSE),"Not Specified")</f>
        <v>Argentina</v>
      </c>
      <c r="Q1909" t="str">
        <f>VLOOKUP(VLOOKUP(B1909,[1]Product!A:C,3,FALSE),[1]Supplier!A:B,2,FALSE)</f>
        <v>Supplier SVIYA</v>
      </c>
      <c r="R1909" t="str">
        <f>VLOOKUP(VLOOKUP(B1909,[1]Product!A:C,3,FALSE),[1]Supplier!A:I,9,FALSE)</f>
        <v>Germany</v>
      </c>
      <c r="S1909" t="str">
        <f>IFERROR(IF(VLOOKUP(A1909,'[1]Sales Order'!A:H,8,FALSE)&gt;100,"High Freight","Low Freight"),"Not Specified")</f>
        <v>High Freight</v>
      </c>
      <c r="T1909">
        <f t="shared" si="59"/>
        <v>195</v>
      </c>
    </row>
    <row r="1910" spans="1:20">
      <c r="A1910" s="1">
        <v>10987</v>
      </c>
      <c r="B1910" s="2">
        <v>7</v>
      </c>
      <c r="C1910" s="2">
        <v>30</v>
      </c>
      <c r="D1910" s="2">
        <v>60</v>
      </c>
      <c r="E1910" s="3">
        <v>0</v>
      </c>
      <c r="F1910" s="2" t="str">
        <f>IFERROR(VLOOKUP(VLOOKUP(A1910,'[1]Sales Order'!A:B,2,FALSE),[1]Customer!A:C,3,FALSE),"Not Specified")</f>
        <v>Boseman, Randall</v>
      </c>
      <c r="G1910" s="2" t="str">
        <f t="shared" si="58"/>
        <v>Boseman Randall</v>
      </c>
      <c r="H1910" s="8" t="str">
        <f>IFERROR(VLOOKUP(VLOOKUP(A1910,'[1]Sales Order'!A:C,3,FALSE),[1]Employee!A:E,5,FALSE)&amp;" "&amp;VLOOKUP(VLOOKUP(A1910,'[1]Sales Order'!A:C,3,FALSE),[1]Employee!A:C,3,FALSE)&amp;" "&amp;VLOOKUP(VLOOKUP(A1910,'[1]Sales Order'!A:C,3,FALSE),[1]Employee!A:B,2,FALSE),"Not Specified")</f>
        <v>Ms. Maria Cameron</v>
      </c>
      <c r="I1910" t="str">
        <f>IFERROR(VLOOKUP(VLOOKUP(A1910,'[1]Sales Order'!A:C,3,FALSE),[1]Employee!A:J,10,FALSE),"Not Specified")</f>
        <v>WA</v>
      </c>
      <c r="J1910" t="str">
        <f>VLOOKUP(B1910,[1]Product!A:B,2,FALSE)</f>
        <v>Product HMLNI</v>
      </c>
      <c r="K1910" t="str">
        <f>VLOOKUP(VLOOKUP(B1910,[1]Product!A:D,4,FALSE),[1]Category!A:B,2,FALSE)</f>
        <v>Produce</v>
      </c>
      <c r="L1910" s="10">
        <f>IFERROR(VLOOKUP(A1910,'[1]Sales Order'!A:D,4,FALSE),"")</f>
        <v>39538</v>
      </c>
      <c r="M1910" s="10">
        <f>IFERROR(VLOOKUP(A1910,'[1]Sales Order'!A:F,6,FALSE),"")</f>
        <v>39544</v>
      </c>
      <c r="N1910" t="str">
        <f>IFERROR(VLOOKUP(VLOOKUP(A1910,'[1]Sales Order'!A:G,7,FALSE),[1]Shipper!A:B,2,FALSE),"Not Specified")</f>
        <v>Shipper GVSUA</v>
      </c>
      <c r="O1910" t="str">
        <f>IFERROR(VLOOKUP(A1910,'[1]Sales Order'!A:I,9,FALSE),"Not Specified")</f>
        <v>Destination FRCGJ</v>
      </c>
      <c r="P1910" t="str">
        <f>IFERROR(VLOOKUP(A1910,'[1]Sales Order'!A:N,14,FALSE),"Not Specified")</f>
        <v>UK</v>
      </c>
      <c r="Q1910" t="str">
        <f>VLOOKUP(VLOOKUP(B1910,[1]Product!A:C,3,FALSE),[1]Supplier!A:B,2,FALSE)</f>
        <v>Supplier STUAZ</v>
      </c>
      <c r="R1910" t="str">
        <f>VLOOKUP(VLOOKUP(B1910,[1]Product!A:C,3,FALSE),[1]Supplier!A:I,9,FALSE)</f>
        <v>USA</v>
      </c>
      <c r="S1910" t="str">
        <f>IFERROR(IF(VLOOKUP(A1910,'[1]Sales Order'!A:H,8,FALSE)&gt;100,"High Freight","Low Freight"),"Not Specified")</f>
        <v>High Freight</v>
      </c>
      <c r="T1910">
        <f t="shared" si="59"/>
        <v>1800</v>
      </c>
    </row>
    <row r="1911" spans="1:20">
      <c r="A1911" s="1">
        <v>10987</v>
      </c>
      <c r="B1911" s="2">
        <v>43</v>
      </c>
      <c r="C1911" s="2">
        <v>46</v>
      </c>
      <c r="D1911" s="2">
        <v>6</v>
      </c>
      <c r="E1911" s="3">
        <v>0</v>
      </c>
      <c r="F1911" s="2" t="str">
        <f>IFERROR(VLOOKUP(VLOOKUP(A1911,'[1]Sales Order'!A:B,2,FALSE),[1]Customer!A:C,3,FALSE),"Not Specified")</f>
        <v>Boseman, Randall</v>
      </c>
      <c r="G1911" s="2" t="str">
        <f t="shared" si="58"/>
        <v>Boseman Randall</v>
      </c>
      <c r="H1911" s="8" t="str">
        <f>IFERROR(VLOOKUP(VLOOKUP(A1911,'[1]Sales Order'!A:C,3,FALSE),[1]Employee!A:E,5,FALSE)&amp;" "&amp;VLOOKUP(VLOOKUP(A1911,'[1]Sales Order'!A:C,3,FALSE),[1]Employee!A:C,3,FALSE)&amp;" "&amp;VLOOKUP(VLOOKUP(A1911,'[1]Sales Order'!A:C,3,FALSE),[1]Employee!A:B,2,FALSE),"Not Specified")</f>
        <v>Ms. Maria Cameron</v>
      </c>
      <c r="I1911" t="str">
        <f>IFERROR(VLOOKUP(VLOOKUP(A1911,'[1]Sales Order'!A:C,3,FALSE),[1]Employee!A:J,10,FALSE),"Not Specified")</f>
        <v>WA</v>
      </c>
      <c r="J1911" t="str">
        <f>VLOOKUP(B1911,[1]Product!A:B,2,FALSE)</f>
        <v>Product ZZZHR</v>
      </c>
      <c r="K1911" t="str">
        <f>VLOOKUP(VLOOKUP(B1911,[1]Product!A:D,4,FALSE),[1]Category!A:B,2,FALSE)</f>
        <v>Beverages</v>
      </c>
      <c r="L1911" s="10">
        <f>IFERROR(VLOOKUP(A1911,'[1]Sales Order'!A:D,4,FALSE),"")</f>
        <v>39538</v>
      </c>
      <c r="M1911" s="10">
        <f>IFERROR(VLOOKUP(A1911,'[1]Sales Order'!A:F,6,FALSE),"")</f>
        <v>39544</v>
      </c>
      <c r="N1911" t="str">
        <f>IFERROR(VLOOKUP(VLOOKUP(A1911,'[1]Sales Order'!A:G,7,FALSE),[1]Shipper!A:B,2,FALSE),"Not Specified")</f>
        <v>Shipper GVSUA</v>
      </c>
      <c r="O1911" t="str">
        <f>IFERROR(VLOOKUP(A1911,'[1]Sales Order'!A:I,9,FALSE),"Not Specified")</f>
        <v>Destination FRCGJ</v>
      </c>
      <c r="P1911" t="str">
        <f>IFERROR(VLOOKUP(A1911,'[1]Sales Order'!A:N,14,FALSE),"Not Specified")</f>
        <v>UK</v>
      </c>
      <c r="Q1911" t="str">
        <f>VLOOKUP(VLOOKUP(B1911,[1]Product!A:C,3,FALSE),[1]Supplier!A:B,2,FALSE)</f>
        <v>Supplier CIYNM</v>
      </c>
      <c r="R1911" t="str">
        <f>VLOOKUP(VLOOKUP(B1911,[1]Product!A:C,3,FALSE),[1]Supplier!A:I,9,FALSE)</f>
        <v>Singapore</v>
      </c>
      <c r="S1911" t="str">
        <f>IFERROR(IF(VLOOKUP(A1911,'[1]Sales Order'!A:H,8,FALSE)&gt;100,"High Freight","Low Freight"),"Not Specified")</f>
        <v>High Freight</v>
      </c>
      <c r="T1911">
        <f t="shared" si="59"/>
        <v>276</v>
      </c>
    </row>
    <row r="1912" spans="1:20">
      <c r="A1912" s="1">
        <v>10987</v>
      </c>
      <c r="B1912" s="2">
        <v>72</v>
      </c>
      <c r="C1912" s="2">
        <v>34.799999999999997</v>
      </c>
      <c r="D1912" s="2">
        <v>20</v>
      </c>
      <c r="E1912" s="3">
        <v>0</v>
      </c>
      <c r="F1912" s="2" t="str">
        <f>IFERROR(VLOOKUP(VLOOKUP(A1912,'[1]Sales Order'!A:B,2,FALSE),[1]Customer!A:C,3,FALSE),"Not Specified")</f>
        <v>Boseman, Randall</v>
      </c>
      <c r="G1912" s="2" t="str">
        <f t="shared" si="58"/>
        <v>Boseman Randall</v>
      </c>
      <c r="H1912" s="8" t="str">
        <f>IFERROR(VLOOKUP(VLOOKUP(A1912,'[1]Sales Order'!A:C,3,FALSE),[1]Employee!A:E,5,FALSE)&amp;" "&amp;VLOOKUP(VLOOKUP(A1912,'[1]Sales Order'!A:C,3,FALSE),[1]Employee!A:C,3,FALSE)&amp;" "&amp;VLOOKUP(VLOOKUP(A1912,'[1]Sales Order'!A:C,3,FALSE),[1]Employee!A:B,2,FALSE),"Not Specified")</f>
        <v>Ms. Maria Cameron</v>
      </c>
      <c r="I1912" t="str">
        <f>IFERROR(VLOOKUP(VLOOKUP(A1912,'[1]Sales Order'!A:C,3,FALSE),[1]Employee!A:J,10,FALSE),"Not Specified")</f>
        <v>WA</v>
      </c>
      <c r="J1912" t="str">
        <f>VLOOKUP(B1912,[1]Product!A:B,2,FALSE)</f>
        <v>Product GEEOO</v>
      </c>
      <c r="K1912" t="str">
        <f>VLOOKUP(VLOOKUP(B1912,[1]Product!A:D,4,FALSE),[1]Category!A:B,2,FALSE)</f>
        <v>Dairy Product</v>
      </c>
      <c r="L1912" s="10">
        <f>IFERROR(VLOOKUP(A1912,'[1]Sales Order'!A:D,4,FALSE),"")</f>
        <v>39538</v>
      </c>
      <c r="M1912" s="10">
        <f>IFERROR(VLOOKUP(A1912,'[1]Sales Order'!A:F,6,FALSE),"")</f>
        <v>39544</v>
      </c>
      <c r="N1912" t="str">
        <f>IFERROR(VLOOKUP(VLOOKUP(A1912,'[1]Sales Order'!A:G,7,FALSE),[1]Shipper!A:B,2,FALSE),"Not Specified")</f>
        <v>Shipper GVSUA</v>
      </c>
      <c r="O1912" t="str">
        <f>IFERROR(VLOOKUP(A1912,'[1]Sales Order'!A:I,9,FALSE),"Not Specified")</f>
        <v>Destination FRCGJ</v>
      </c>
      <c r="P1912" t="str">
        <f>IFERROR(VLOOKUP(A1912,'[1]Sales Order'!A:N,14,FALSE),"Not Specified")</f>
        <v>UK</v>
      </c>
      <c r="Q1912" t="str">
        <f>VLOOKUP(VLOOKUP(B1912,[1]Product!A:C,3,FALSE),[1]Supplier!A:B,2,FALSE)</f>
        <v>Supplier KEREV</v>
      </c>
      <c r="R1912" t="str">
        <f>VLOOKUP(VLOOKUP(B1912,[1]Product!A:C,3,FALSE),[1]Supplier!A:I,9,FALSE)</f>
        <v>Italy</v>
      </c>
      <c r="S1912" t="str">
        <f>IFERROR(IF(VLOOKUP(A1912,'[1]Sales Order'!A:H,8,FALSE)&gt;100,"High Freight","Low Freight"),"Not Specified")</f>
        <v>High Freight</v>
      </c>
      <c r="T1912">
        <f t="shared" si="59"/>
        <v>696</v>
      </c>
    </row>
    <row r="1913" spans="1:20">
      <c r="A1913" s="1">
        <v>10988</v>
      </c>
      <c r="B1913" s="2">
        <v>7</v>
      </c>
      <c r="C1913" s="2">
        <v>30</v>
      </c>
      <c r="D1913" s="2">
        <v>60</v>
      </c>
      <c r="E1913" s="3">
        <v>0</v>
      </c>
      <c r="F1913" s="2" t="str">
        <f>IFERROR(VLOOKUP(VLOOKUP(A1913,'[1]Sales Order'!A:B,2,FALSE),[1]Customer!A:C,3,FALSE),"Not Specified")</f>
        <v>Moore, Michael</v>
      </c>
      <c r="G1913" s="2" t="str">
        <f t="shared" si="58"/>
        <v>Moore Michael</v>
      </c>
      <c r="H1913" s="8" t="str">
        <f>IFERROR(VLOOKUP(VLOOKUP(A1913,'[1]Sales Order'!A:C,3,FALSE),[1]Employee!A:E,5,FALSE)&amp;" "&amp;VLOOKUP(VLOOKUP(A1913,'[1]Sales Order'!A:C,3,FALSE),[1]Employee!A:C,3,FALSE)&amp;" "&amp;VLOOKUP(VLOOKUP(A1913,'[1]Sales Order'!A:C,3,FALSE),[1]Employee!A:B,2,FALSE),"Not Specified")</f>
        <v>Ms. Judy Lew</v>
      </c>
      <c r="I1913" t="str">
        <f>IFERROR(VLOOKUP(VLOOKUP(A1913,'[1]Sales Order'!A:C,3,FALSE),[1]Employee!A:J,10,FALSE),"Not Specified")</f>
        <v>WA</v>
      </c>
      <c r="J1913" t="str">
        <f>VLOOKUP(B1913,[1]Product!A:B,2,FALSE)</f>
        <v>Product HMLNI</v>
      </c>
      <c r="K1913" t="str">
        <f>VLOOKUP(VLOOKUP(B1913,[1]Product!A:D,4,FALSE),[1]Category!A:B,2,FALSE)</f>
        <v>Produce</v>
      </c>
      <c r="L1913" s="10">
        <f>IFERROR(VLOOKUP(A1913,'[1]Sales Order'!A:D,4,FALSE),"")</f>
        <v>39538</v>
      </c>
      <c r="M1913" s="10">
        <f>IFERROR(VLOOKUP(A1913,'[1]Sales Order'!A:F,6,FALSE),"")</f>
        <v>39548</v>
      </c>
      <c r="N1913" t="str">
        <f>IFERROR(VLOOKUP(VLOOKUP(A1913,'[1]Sales Order'!A:G,7,FALSE),[1]Shipper!A:B,2,FALSE),"Not Specified")</f>
        <v>Shipper ETYNR</v>
      </c>
      <c r="O1913" t="str">
        <f>IFERROR(VLOOKUP(A1913,'[1]Sales Order'!A:I,9,FALSE),"Not Specified")</f>
        <v>Ship to 65-A</v>
      </c>
      <c r="P1913" t="str">
        <f>IFERROR(VLOOKUP(A1913,'[1]Sales Order'!A:N,14,FALSE),"Not Specified")</f>
        <v>USA</v>
      </c>
      <c r="Q1913" t="str">
        <f>VLOOKUP(VLOOKUP(B1913,[1]Product!A:C,3,FALSE),[1]Supplier!A:B,2,FALSE)</f>
        <v>Supplier STUAZ</v>
      </c>
      <c r="R1913" t="str">
        <f>VLOOKUP(VLOOKUP(B1913,[1]Product!A:C,3,FALSE),[1]Supplier!A:I,9,FALSE)</f>
        <v>USA</v>
      </c>
      <c r="S1913" t="str">
        <f>IFERROR(IF(VLOOKUP(A1913,'[1]Sales Order'!A:H,8,FALSE)&gt;100,"High Freight","Low Freight"),"Not Specified")</f>
        <v>Low Freight</v>
      </c>
      <c r="T1913">
        <f t="shared" si="59"/>
        <v>1800</v>
      </c>
    </row>
    <row r="1914" spans="1:20">
      <c r="A1914" s="1">
        <v>10988</v>
      </c>
      <c r="B1914" s="2">
        <v>62</v>
      </c>
      <c r="C1914" s="2">
        <v>49.3</v>
      </c>
      <c r="D1914" s="2">
        <v>40</v>
      </c>
      <c r="E1914" s="3">
        <v>0.1</v>
      </c>
      <c r="F1914" s="2" t="str">
        <f>IFERROR(VLOOKUP(VLOOKUP(A1914,'[1]Sales Order'!A:B,2,FALSE),[1]Customer!A:C,3,FALSE),"Not Specified")</f>
        <v>Moore, Michael</v>
      </c>
      <c r="G1914" s="2" t="str">
        <f t="shared" si="58"/>
        <v>Moore Michael</v>
      </c>
      <c r="H1914" s="8" t="str">
        <f>IFERROR(VLOOKUP(VLOOKUP(A1914,'[1]Sales Order'!A:C,3,FALSE),[1]Employee!A:E,5,FALSE)&amp;" "&amp;VLOOKUP(VLOOKUP(A1914,'[1]Sales Order'!A:C,3,FALSE),[1]Employee!A:C,3,FALSE)&amp;" "&amp;VLOOKUP(VLOOKUP(A1914,'[1]Sales Order'!A:C,3,FALSE),[1]Employee!A:B,2,FALSE),"Not Specified")</f>
        <v>Ms. Judy Lew</v>
      </c>
      <c r="I1914" t="str">
        <f>IFERROR(VLOOKUP(VLOOKUP(A1914,'[1]Sales Order'!A:C,3,FALSE),[1]Employee!A:J,10,FALSE),"Not Specified")</f>
        <v>WA</v>
      </c>
      <c r="J1914" t="str">
        <f>VLOOKUP(B1914,[1]Product!A:B,2,FALSE)</f>
        <v>Product WUXYK</v>
      </c>
      <c r="K1914" t="str">
        <f>VLOOKUP(VLOOKUP(B1914,[1]Product!A:D,4,FALSE),[1]Category!A:B,2,FALSE)</f>
        <v>Confections</v>
      </c>
      <c r="L1914" s="10">
        <f>IFERROR(VLOOKUP(A1914,'[1]Sales Order'!A:D,4,FALSE),"")</f>
        <v>39538</v>
      </c>
      <c r="M1914" s="10">
        <f>IFERROR(VLOOKUP(A1914,'[1]Sales Order'!A:F,6,FALSE),"")</f>
        <v>39548</v>
      </c>
      <c r="N1914" t="str">
        <f>IFERROR(VLOOKUP(VLOOKUP(A1914,'[1]Sales Order'!A:G,7,FALSE),[1]Shipper!A:B,2,FALSE),"Not Specified")</f>
        <v>Shipper ETYNR</v>
      </c>
      <c r="O1914" t="str">
        <f>IFERROR(VLOOKUP(A1914,'[1]Sales Order'!A:I,9,FALSE),"Not Specified")</f>
        <v>Ship to 65-A</v>
      </c>
      <c r="P1914" t="str">
        <f>IFERROR(VLOOKUP(A1914,'[1]Sales Order'!A:N,14,FALSE),"Not Specified")</f>
        <v>USA</v>
      </c>
      <c r="Q1914" t="str">
        <f>VLOOKUP(VLOOKUP(B1914,[1]Product!A:C,3,FALSE),[1]Supplier!A:B,2,FALSE)</f>
        <v>Supplier OGLRK</v>
      </c>
      <c r="R1914" t="str">
        <f>VLOOKUP(VLOOKUP(B1914,[1]Product!A:C,3,FALSE),[1]Supplier!A:I,9,FALSE)</f>
        <v>Canada</v>
      </c>
      <c r="S1914" t="str">
        <f>IFERROR(IF(VLOOKUP(A1914,'[1]Sales Order'!A:H,8,FALSE)&gt;100,"High Freight","Low Freight"),"Not Specified")</f>
        <v>Low Freight</v>
      </c>
      <c r="T1914">
        <f t="shared" si="59"/>
        <v>1774.8</v>
      </c>
    </row>
    <row r="1915" spans="1:20">
      <c r="A1915" s="1">
        <v>10989</v>
      </c>
      <c r="B1915" s="2">
        <v>6</v>
      </c>
      <c r="C1915" s="2">
        <v>25</v>
      </c>
      <c r="D1915" s="2">
        <v>40</v>
      </c>
      <c r="E1915" s="3">
        <v>0</v>
      </c>
      <c r="F1915" s="2" t="str">
        <f>IFERROR(VLOOKUP(VLOOKUP(A1915,'[1]Sales Order'!A:B,2,FALSE),[1]Customer!A:C,3,FALSE),"Not Specified")</f>
        <v>Florczyk, Krzysztof</v>
      </c>
      <c r="G1915" s="2" t="str">
        <f t="shared" si="58"/>
        <v>Florczyk Krzysztof</v>
      </c>
      <c r="H1915" s="8" t="str">
        <f>IFERROR(VLOOKUP(VLOOKUP(A1915,'[1]Sales Order'!A:C,3,FALSE),[1]Employee!A:E,5,FALSE)&amp;" "&amp;VLOOKUP(VLOOKUP(A1915,'[1]Sales Order'!A:C,3,FALSE),[1]Employee!A:C,3,FALSE)&amp;" "&amp;VLOOKUP(VLOOKUP(A1915,'[1]Sales Order'!A:C,3,FALSE),[1]Employee!A:B,2,FALSE),"Not Specified")</f>
        <v>Dr. Don Funk</v>
      </c>
      <c r="I1915" t="str">
        <f>IFERROR(VLOOKUP(VLOOKUP(A1915,'[1]Sales Order'!A:C,3,FALSE),[1]Employee!A:J,10,FALSE),"Not Specified")</f>
        <v>WA</v>
      </c>
      <c r="J1915" t="str">
        <f>VLOOKUP(B1915,[1]Product!A:B,2,FALSE)</f>
        <v>Product VAIIV</v>
      </c>
      <c r="K1915" t="str">
        <f>VLOOKUP(VLOOKUP(B1915,[1]Product!A:D,4,FALSE),[1]Category!A:B,2,FALSE)</f>
        <v>Condiments</v>
      </c>
      <c r="L1915" s="10">
        <f>IFERROR(VLOOKUP(A1915,'[1]Sales Order'!A:D,4,FALSE),"")</f>
        <v>39538</v>
      </c>
      <c r="M1915" s="10">
        <f>IFERROR(VLOOKUP(A1915,'[1]Sales Order'!A:F,6,FALSE),"")</f>
        <v>39540</v>
      </c>
      <c r="N1915" t="str">
        <f>IFERROR(VLOOKUP(VLOOKUP(A1915,'[1]Sales Order'!A:G,7,FALSE),[1]Shipper!A:B,2,FALSE),"Not Specified")</f>
        <v>Shipper GVSUA</v>
      </c>
      <c r="O1915" t="str">
        <f>IFERROR(VLOOKUP(A1915,'[1]Sales Order'!A:I,9,FALSE),"Not Specified")</f>
        <v>Ship to 61-A</v>
      </c>
      <c r="P1915" t="str">
        <f>IFERROR(VLOOKUP(A1915,'[1]Sales Order'!A:N,14,FALSE),"Not Specified")</f>
        <v>Brazil</v>
      </c>
      <c r="Q1915" t="str">
        <f>VLOOKUP(VLOOKUP(B1915,[1]Product!A:C,3,FALSE),[1]Supplier!A:B,2,FALSE)</f>
        <v>Supplier STUAZ</v>
      </c>
      <c r="R1915" t="str">
        <f>VLOOKUP(VLOOKUP(B1915,[1]Product!A:C,3,FALSE),[1]Supplier!A:I,9,FALSE)</f>
        <v>USA</v>
      </c>
      <c r="S1915" t="str">
        <f>IFERROR(IF(VLOOKUP(A1915,'[1]Sales Order'!A:H,8,FALSE)&gt;100,"High Freight","Low Freight"),"Not Specified")</f>
        <v>Low Freight</v>
      </c>
      <c r="T1915">
        <f t="shared" si="59"/>
        <v>1000</v>
      </c>
    </row>
    <row r="1916" spans="1:20">
      <c r="A1916" s="1">
        <v>10989</v>
      </c>
      <c r="B1916" s="2">
        <v>11</v>
      </c>
      <c r="C1916" s="2">
        <v>21</v>
      </c>
      <c r="D1916" s="2">
        <v>15</v>
      </c>
      <c r="E1916" s="3">
        <v>0</v>
      </c>
      <c r="F1916" s="2" t="str">
        <f>IFERROR(VLOOKUP(VLOOKUP(A1916,'[1]Sales Order'!A:B,2,FALSE),[1]Customer!A:C,3,FALSE),"Not Specified")</f>
        <v>Florczyk, Krzysztof</v>
      </c>
      <c r="G1916" s="2" t="str">
        <f t="shared" si="58"/>
        <v>Florczyk Krzysztof</v>
      </c>
      <c r="H1916" s="8" t="str">
        <f>IFERROR(VLOOKUP(VLOOKUP(A1916,'[1]Sales Order'!A:C,3,FALSE),[1]Employee!A:E,5,FALSE)&amp;" "&amp;VLOOKUP(VLOOKUP(A1916,'[1]Sales Order'!A:C,3,FALSE),[1]Employee!A:C,3,FALSE)&amp;" "&amp;VLOOKUP(VLOOKUP(A1916,'[1]Sales Order'!A:C,3,FALSE),[1]Employee!A:B,2,FALSE),"Not Specified")</f>
        <v>Dr. Don Funk</v>
      </c>
      <c r="I1916" t="str">
        <f>IFERROR(VLOOKUP(VLOOKUP(A1916,'[1]Sales Order'!A:C,3,FALSE),[1]Employee!A:J,10,FALSE),"Not Specified")</f>
        <v>WA</v>
      </c>
      <c r="J1916" t="str">
        <f>VLOOKUP(B1916,[1]Product!A:B,2,FALSE)</f>
        <v>Product QMVUN</v>
      </c>
      <c r="K1916" t="str">
        <f>VLOOKUP(VLOOKUP(B1916,[1]Product!A:D,4,FALSE),[1]Category!A:B,2,FALSE)</f>
        <v>Dairy Product</v>
      </c>
      <c r="L1916" s="10">
        <f>IFERROR(VLOOKUP(A1916,'[1]Sales Order'!A:D,4,FALSE),"")</f>
        <v>39538</v>
      </c>
      <c r="M1916" s="10">
        <f>IFERROR(VLOOKUP(A1916,'[1]Sales Order'!A:F,6,FALSE),"")</f>
        <v>39540</v>
      </c>
      <c r="N1916" t="str">
        <f>IFERROR(VLOOKUP(VLOOKUP(A1916,'[1]Sales Order'!A:G,7,FALSE),[1]Shipper!A:B,2,FALSE),"Not Specified")</f>
        <v>Shipper GVSUA</v>
      </c>
      <c r="O1916" t="str">
        <f>IFERROR(VLOOKUP(A1916,'[1]Sales Order'!A:I,9,FALSE),"Not Specified")</f>
        <v>Ship to 61-A</v>
      </c>
      <c r="P1916" t="str">
        <f>IFERROR(VLOOKUP(A1916,'[1]Sales Order'!A:N,14,FALSE),"Not Specified")</f>
        <v>Brazil</v>
      </c>
      <c r="Q1916" t="str">
        <f>VLOOKUP(VLOOKUP(B1916,[1]Product!A:C,3,FALSE),[1]Supplier!A:B,2,FALSE)</f>
        <v>Supplier EQPNC</v>
      </c>
      <c r="R1916" t="str">
        <f>VLOOKUP(VLOOKUP(B1916,[1]Product!A:C,3,FALSE),[1]Supplier!A:I,9,FALSE)</f>
        <v>Spain</v>
      </c>
      <c r="S1916" t="str">
        <f>IFERROR(IF(VLOOKUP(A1916,'[1]Sales Order'!A:H,8,FALSE)&gt;100,"High Freight","Low Freight"),"Not Specified")</f>
        <v>Low Freight</v>
      </c>
      <c r="T1916">
        <f t="shared" si="59"/>
        <v>315</v>
      </c>
    </row>
    <row r="1917" spans="1:20">
      <c r="A1917" s="1">
        <v>10989</v>
      </c>
      <c r="B1917" s="2">
        <v>41</v>
      </c>
      <c r="C1917" s="2">
        <v>9.65</v>
      </c>
      <c r="D1917" s="2">
        <v>4</v>
      </c>
      <c r="E1917" s="3">
        <v>0</v>
      </c>
      <c r="F1917" s="2" t="str">
        <f>IFERROR(VLOOKUP(VLOOKUP(A1917,'[1]Sales Order'!A:B,2,FALSE),[1]Customer!A:C,3,FALSE),"Not Specified")</f>
        <v>Florczyk, Krzysztof</v>
      </c>
      <c r="G1917" s="2" t="str">
        <f t="shared" si="58"/>
        <v>Florczyk Krzysztof</v>
      </c>
      <c r="H1917" s="8" t="str">
        <f>IFERROR(VLOOKUP(VLOOKUP(A1917,'[1]Sales Order'!A:C,3,FALSE),[1]Employee!A:E,5,FALSE)&amp;" "&amp;VLOOKUP(VLOOKUP(A1917,'[1]Sales Order'!A:C,3,FALSE),[1]Employee!A:C,3,FALSE)&amp;" "&amp;VLOOKUP(VLOOKUP(A1917,'[1]Sales Order'!A:C,3,FALSE),[1]Employee!A:B,2,FALSE),"Not Specified")</f>
        <v>Dr. Don Funk</v>
      </c>
      <c r="I1917" t="str">
        <f>IFERROR(VLOOKUP(VLOOKUP(A1917,'[1]Sales Order'!A:C,3,FALSE),[1]Employee!A:J,10,FALSE),"Not Specified")</f>
        <v>WA</v>
      </c>
      <c r="J1917" t="str">
        <f>VLOOKUP(B1917,[1]Product!A:B,2,FALSE)</f>
        <v>Product TTEEX</v>
      </c>
      <c r="K1917" t="str">
        <f>VLOOKUP(VLOOKUP(B1917,[1]Product!A:D,4,FALSE),[1]Category!A:B,2,FALSE)</f>
        <v>Seafood</v>
      </c>
      <c r="L1917" s="10">
        <f>IFERROR(VLOOKUP(A1917,'[1]Sales Order'!A:D,4,FALSE),"")</f>
        <v>39538</v>
      </c>
      <c r="M1917" s="10">
        <f>IFERROR(VLOOKUP(A1917,'[1]Sales Order'!A:F,6,FALSE),"")</f>
        <v>39540</v>
      </c>
      <c r="N1917" t="str">
        <f>IFERROR(VLOOKUP(VLOOKUP(A1917,'[1]Sales Order'!A:G,7,FALSE),[1]Shipper!A:B,2,FALSE),"Not Specified")</f>
        <v>Shipper GVSUA</v>
      </c>
      <c r="O1917" t="str">
        <f>IFERROR(VLOOKUP(A1917,'[1]Sales Order'!A:I,9,FALSE),"Not Specified")</f>
        <v>Ship to 61-A</v>
      </c>
      <c r="P1917" t="str">
        <f>IFERROR(VLOOKUP(A1917,'[1]Sales Order'!A:N,14,FALSE),"Not Specified")</f>
        <v>Brazil</v>
      </c>
      <c r="Q1917" t="str">
        <f>VLOOKUP(VLOOKUP(B1917,[1]Product!A:C,3,FALSE),[1]Supplier!A:B,2,FALSE)</f>
        <v>Supplier JDNUG</v>
      </c>
      <c r="R1917" t="str">
        <f>VLOOKUP(VLOOKUP(B1917,[1]Product!A:C,3,FALSE),[1]Supplier!A:I,9,FALSE)</f>
        <v>USA</v>
      </c>
      <c r="S1917" t="str">
        <f>IFERROR(IF(VLOOKUP(A1917,'[1]Sales Order'!A:H,8,FALSE)&gt;100,"High Freight","Low Freight"),"Not Specified")</f>
        <v>Low Freight</v>
      </c>
      <c r="T1917">
        <f t="shared" si="59"/>
        <v>38.6</v>
      </c>
    </row>
    <row r="1918" spans="1:20">
      <c r="A1918" s="1">
        <v>10990</v>
      </c>
      <c r="B1918" s="2">
        <v>21</v>
      </c>
      <c r="C1918" s="2">
        <v>10</v>
      </c>
      <c r="D1918" s="2">
        <v>65</v>
      </c>
      <c r="E1918" s="3">
        <v>0</v>
      </c>
      <c r="F1918" s="2" t="str">
        <f>IFERROR(VLOOKUP(VLOOKUP(A1918,'[1]Sales Order'!A:B,2,FALSE),[1]Customer!A:C,3,FALSE),"Not Specified")</f>
        <v>Kane, John</v>
      </c>
      <c r="G1918" s="2" t="str">
        <f t="shared" si="58"/>
        <v>Kane John</v>
      </c>
      <c r="H1918" s="8" t="str">
        <f>IFERROR(VLOOKUP(VLOOKUP(A1918,'[1]Sales Order'!A:C,3,FALSE),[1]Employee!A:E,5,FALSE)&amp;" "&amp;VLOOKUP(VLOOKUP(A1918,'[1]Sales Order'!A:C,3,FALSE),[1]Employee!A:C,3,FALSE)&amp;" "&amp;VLOOKUP(VLOOKUP(A1918,'[1]Sales Order'!A:C,3,FALSE),[1]Employee!A:B,2,FALSE),"Not Specified")</f>
        <v>Dr. Don Funk</v>
      </c>
      <c r="I1918" t="str">
        <f>IFERROR(VLOOKUP(VLOOKUP(A1918,'[1]Sales Order'!A:C,3,FALSE),[1]Employee!A:J,10,FALSE),"Not Specified")</f>
        <v>WA</v>
      </c>
      <c r="J1918" t="str">
        <f>VLOOKUP(B1918,[1]Product!A:B,2,FALSE)</f>
        <v>Product VJZZH</v>
      </c>
      <c r="K1918" t="str">
        <f>VLOOKUP(VLOOKUP(B1918,[1]Product!A:D,4,FALSE),[1]Category!A:B,2,FALSE)</f>
        <v>Confections</v>
      </c>
      <c r="L1918" s="10">
        <f>IFERROR(VLOOKUP(A1918,'[1]Sales Order'!A:D,4,FALSE),"")</f>
        <v>39539</v>
      </c>
      <c r="M1918" s="10">
        <f>IFERROR(VLOOKUP(A1918,'[1]Sales Order'!A:F,6,FALSE),"")</f>
        <v>39545</v>
      </c>
      <c r="N1918" t="str">
        <f>IFERROR(VLOOKUP(VLOOKUP(A1918,'[1]Sales Order'!A:G,7,FALSE),[1]Shipper!A:B,2,FALSE),"Not Specified")</f>
        <v>Shipper ZHISN</v>
      </c>
      <c r="O1918" t="str">
        <f>IFERROR(VLOOKUP(A1918,'[1]Sales Order'!A:I,9,FALSE),"Not Specified")</f>
        <v>Destination RVDMF</v>
      </c>
      <c r="P1918" t="str">
        <f>IFERROR(VLOOKUP(A1918,'[1]Sales Order'!A:N,14,FALSE),"Not Specified")</f>
        <v>Austria</v>
      </c>
      <c r="Q1918" t="str">
        <f>VLOOKUP(VLOOKUP(B1918,[1]Product!A:C,3,FALSE),[1]Supplier!A:B,2,FALSE)</f>
        <v>Supplier BWGYE</v>
      </c>
      <c r="R1918" t="str">
        <f>VLOOKUP(VLOOKUP(B1918,[1]Product!A:C,3,FALSE),[1]Supplier!A:I,9,FALSE)</f>
        <v>UK</v>
      </c>
      <c r="S1918" t="str">
        <f>IFERROR(IF(VLOOKUP(A1918,'[1]Sales Order'!A:H,8,FALSE)&gt;100,"High Freight","Low Freight"),"Not Specified")</f>
        <v>High Freight</v>
      </c>
      <c r="T1918">
        <f t="shared" si="59"/>
        <v>650</v>
      </c>
    </row>
    <row r="1919" spans="1:20">
      <c r="A1919" s="1">
        <v>10990</v>
      </c>
      <c r="B1919" s="2">
        <v>34</v>
      </c>
      <c r="C1919" s="2">
        <v>14</v>
      </c>
      <c r="D1919" s="2">
        <v>60</v>
      </c>
      <c r="E1919" s="3">
        <v>0.15</v>
      </c>
      <c r="F1919" s="2" t="str">
        <f>IFERROR(VLOOKUP(VLOOKUP(A1919,'[1]Sales Order'!A:B,2,FALSE),[1]Customer!A:C,3,FALSE),"Not Specified")</f>
        <v>Kane, John</v>
      </c>
      <c r="G1919" s="2" t="str">
        <f t="shared" si="58"/>
        <v>Kane John</v>
      </c>
      <c r="H1919" s="8" t="str">
        <f>IFERROR(VLOOKUP(VLOOKUP(A1919,'[1]Sales Order'!A:C,3,FALSE),[1]Employee!A:E,5,FALSE)&amp;" "&amp;VLOOKUP(VLOOKUP(A1919,'[1]Sales Order'!A:C,3,FALSE),[1]Employee!A:C,3,FALSE)&amp;" "&amp;VLOOKUP(VLOOKUP(A1919,'[1]Sales Order'!A:C,3,FALSE),[1]Employee!A:B,2,FALSE),"Not Specified")</f>
        <v>Dr. Don Funk</v>
      </c>
      <c r="I1919" t="str">
        <f>IFERROR(VLOOKUP(VLOOKUP(A1919,'[1]Sales Order'!A:C,3,FALSE),[1]Employee!A:J,10,FALSE),"Not Specified")</f>
        <v>WA</v>
      </c>
      <c r="J1919" t="str">
        <f>VLOOKUP(B1919,[1]Product!A:B,2,FALSE)</f>
        <v>Product SWNJY</v>
      </c>
      <c r="K1919" t="str">
        <f>VLOOKUP(VLOOKUP(B1919,[1]Product!A:D,4,FALSE),[1]Category!A:B,2,FALSE)</f>
        <v>Beverages</v>
      </c>
      <c r="L1919" s="10">
        <f>IFERROR(VLOOKUP(A1919,'[1]Sales Order'!A:D,4,FALSE),"")</f>
        <v>39539</v>
      </c>
      <c r="M1919" s="10">
        <f>IFERROR(VLOOKUP(A1919,'[1]Sales Order'!A:F,6,FALSE),"")</f>
        <v>39545</v>
      </c>
      <c r="N1919" t="str">
        <f>IFERROR(VLOOKUP(VLOOKUP(A1919,'[1]Sales Order'!A:G,7,FALSE),[1]Shipper!A:B,2,FALSE),"Not Specified")</f>
        <v>Shipper ZHISN</v>
      </c>
      <c r="O1919" t="str">
        <f>IFERROR(VLOOKUP(A1919,'[1]Sales Order'!A:I,9,FALSE),"Not Specified")</f>
        <v>Destination RVDMF</v>
      </c>
      <c r="P1919" t="str">
        <f>IFERROR(VLOOKUP(A1919,'[1]Sales Order'!A:N,14,FALSE),"Not Specified")</f>
        <v>Austria</v>
      </c>
      <c r="Q1919" t="str">
        <f>VLOOKUP(VLOOKUP(B1919,[1]Product!A:C,3,FALSE),[1]Supplier!A:B,2,FALSE)</f>
        <v>Supplier UHZRG</v>
      </c>
      <c r="R1919" t="str">
        <f>VLOOKUP(VLOOKUP(B1919,[1]Product!A:C,3,FALSE),[1]Supplier!A:I,9,FALSE)</f>
        <v>USA</v>
      </c>
      <c r="S1919" t="str">
        <f>IFERROR(IF(VLOOKUP(A1919,'[1]Sales Order'!A:H,8,FALSE)&gt;100,"High Freight","Low Freight"),"Not Specified")</f>
        <v>High Freight</v>
      </c>
      <c r="T1919">
        <f t="shared" si="59"/>
        <v>714</v>
      </c>
    </row>
    <row r="1920" spans="1:20">
      <c r="A1920" s="1">
        <v>10990</v>
      </c>
      <c r="B1920" s="2">
        <v>55</v>
      </c>
      <c r="C1920" s="2">
        <v>24</v>
      </c>
      <c r="D1920" s="2">
        <v>65</v>
      </c>
      <c r="E1920" s="3">
        <v>0.15</v>
      </c>
      <c r="F1920" s="2" t="str">
        <f>IFERROR(VLOOKUP(VLOOKUP(A1920,'[1]Sales Order'!A:B,2,FALSE),[1]Customer!A:C,3,FALSE),"Not Specified")</f>
        <v>Kane, John</v>
      </c>
      <c r="G1920" s="2" t="str">
        <f t="shared" si="58"/>
        <v>Kane John</v>
      </c>
      <c r="H1920" s="8" t="str">
        <f>IFERROR(VLOOKUP(VLOOKUP(A1920,'[1]Sales Order'!A:C,3,FALSE),[1]Employee!A:E,5,FALSE)&amp;" "&amp;VLOOKUP(VLOOKUP(A1920,'[1]Sales Order'!A:C,3,FALSE),[1]Employee!A:C,3,FALSE)&amp;" "&amp;VLOOKUP(VLOOKUP(A1920,'[1]Sales Order'!A:C,3,FALSE),[1]Employee!A:B,2,FALSE),"Not Specified")</f>
        <v>Dr. Don Funk</v>
      </c>
      <c r="I1920" t="str">
        <f>IFERROR(VLOOKUP(VLOOKUP(A1920,'[1]Sales Order'!A:C,3,FALSE),[1]Employee!A:J,10,FALSE),"Not Specified")</f>
        <v>WA</v>
      </c>
      <c r="J1920" t="str">
        <f>VLOOKUP(B1920,[1]Product!A:B,2,FALSE)</f>
        <v>Product YYWRT</v>
      </c>
      <c r="K1920" t="str">
        <f>VLOOKUP(VLOOKUP(B1920,[1]Product!A:D,4,FALSE),[1]Category!A:B,2,FALSE)</f>
        <v>Meat/Poultry</v>
      </c>
      <c r="L1920" s="10">
        <f>IFERROR(VLOOKUP(A1920,'[1]Sales Order'!A:D,4,FALSE),"")</f>
        <v>39539</v>
      </c>
      <c r="M1920" s="10">
        <f>IFERROR(VLOOKUP(A1920,'[1]Sales Order'!A:F,6,FALSE),"")</f>
        <v>39545</v>
      </c>
      <c r="N1920" t="str">
        <f>IFERROR(VLOOKUP(VLOOKUP(A1920,'[1]Sales Order'!A:G,7,FALSE),[1]Shipper!A:B,2,FALSE),"Not Specified")</f>
        <v>Shipper ZHISN</v>
      </c>
      <c r="O1920" t="str">
        <f>IFERROR(VLOOKUP(A1920,'[1]Sales Order'!A:I,9,FALSE),"Not Specified")</f>
        <v>Destination RVDMF</v>
      </c>
      <c r="P1920" t="str">
        <f>IFERROR(VLOOKUP(A1920,'[1]Sales Order'!A:N,14,FALSE),"Not Specified")</f>
        <v>Austria</v>
      </c>
      <c r="Q1920" t="str">
        <f>VLOOKUP(VLOOKUP(B1920,[1]Product!A:C,3,FALSE),[1]Supplier!A:B,2,FALSE)</f>
        <v>Supplier ERVYZ</v>
      </c>
      <c r="R1920" t="str">
        <f>VLOOKUP(VLOOKUP(B1920,[1]Product!A:C,3,FALSE),[1]Supplier!A:I,9,FALSE)</f>
        <v>Canada</v>
      </c>
      <c r="S1920" t="str">
        <f>IFERROR(IF(VLOOKUP(A1920,'[1]Sales Order'!A:H,8,FALSE)&gt;100,"High Freight","Low Freight"),"Not Specified")</f>
        <v>High Freight</v>
      </c>
      <c r="T1920">
        <f t="shared" si="59"/>
        <v>1326</v>
      </c>
    </row>
    <row r="1921" spans="1:20">
      <c r="A1921" s="1">
        <v>10990</v>
      </c>
      <c r="B1921" s="2">
        <v>61</v>
      </c>
      <c r="C1921" s="2">
        <v>28.5</v>
      </c>
      <c r="D1921" s="2">
        <v>66</v>
      </c>
      <c r="E1921" s="3">
        <v>0.15</v>
      </c>
      <c r="F1921" s="2" t="str">
        <f>IFERROR(VLOOKUP(VLOOKUP(A1921,'[1]Sales Order'!A:B,2,FALSE),[1]Customer!A:C,3,FALSE),"Not Specified")</f>
        <v>Kane, John</v>
      </c>
      <c r="G1921" s="2" t="str">
        <f t="shared" si="58"/>
        <v>Kane John</v>
      </c>
      <c r="H1921" s="8" t="str">
        <f>IFERROR(VLOOKUP(VLOOKUP(A1921,'[1]Sales Order'!A:C,3,FALSE),[1]Employee!A:E,5,FALSE)&amp;" "&amp;VLOOKUP(VLOOKUP(A1921,'[1]Sales Order'!A:C,3,FALSE),[1]Employee!A:C,3,FALSE)&amp;" "&amp;VLOOKUP(VLOOKUP(A1921,'[1]Sales Order'!A:C,3,FALSE),[1]Employee!A:B,2,FALSE),"Not Specified")</f>
        <v>Dr. Don Funk</v>
      </c>
      <c r="I1921" t="str">
        <f>IFERROR(VLOOKUP(VLOOKUP(A1921,'[1]Sales Order'!A:C,3,FALSE),[1]Employee!A:J,10,FALSE),"Not Specified")</f>
        <v>WA</v>
      </c>
      <c r="J1921" t="str">
        <f>VLOOKUP(B1921,[1]Product!A:B,2,FALSE)</f>
        <v>Product XYZPE</v>
      </c>
      <c r="K1921" t="str">
        <f>VLOOKUP(VLOOKUP(B1921,[1]Product!A:D,4,FALSE),[1]Category!A:B,2,FALSE)</f>
        <v>Condiments</v>
      </c>
      <c r="L1921" s="10">
        <f>IFERROR(VLOOKUP(A1921,'[1]Sales Order'!A:D,4,FALSE),"")</f>
        <v>39539</v>
      </c>
      <c r="M1921" s="10">
        <f>IFERROR(VLOOKUP(A1921,'[1]Sales Order'!A:F,6,FALSE),"")</f>
        <v>39545</v>
      </c>
      <c r="N1921" t="str">
        <f>IFERROR(VLOOKUP(VLOOKUP(A1921,'[1]Sales Order'!A:G,7,FALSE),[1]Shipper!A:B,2,FALSE),"Not Specified")</f>
        <v>Shipper ZHISN</v>
      </c>
      <c r="O1921" t="str">
        <f>IFERROR(VLOOKUP(A1921,'[1]Sales Order'!A:I,9,FALSE),"Not Specified")</f>
        <v>Destination RVDMF</v>
      </c>
      <c r="P1921" t="str">
        <f>IFERROR(VLOOKUP(A1921,'[1]Sales Order'!A:N,14,FALSE),"Not Specified")</f>
        <v>Austria</v>
      </c>
      <c r="Q1921" t="str">
        <f>VLOOKUP(VLOOKUP(B1921,[1]Product!A:C,3,FALSE),[1]Supplier!A:B,2,FALSE)</f>
        <v>Supplier OGLRK</v>
      </c>
      <c r="R1921" t="str">
        <f>VLOOKUP(VLOOKUP(B1921,[1]Product!A:C,3,FALSE),[1]Supplier!A:I,9,FALSE)</f>
        <v>Canada</v>
      </c>
      <c r="S1921" t="str">
        <f>IFERROR(IF(VLOOKUP(A1921,'[1]Sales Order'!A:H,8,FALSE)&gt;100,"High Freight","Low Freight"),"Not Specified")</f>
        <v>High Freight</v>
      </c>
      <c r="T1921">
        <f t="shared" si="59"/>
        <v>1598.85</v>
      </c>
    </row>
    <row r="1922" spans="1:20">
      <c r="A1922" s="1">
        <v>10991</v>
      </c>
      <c r="B1922" s="2">
        <v>2</v>
      </c>
      <c r="C1922" s="2">
        <v>19</v>
      </c>
      <c r="D1922" s="2">
        <v>50</v>
      </c>
      <c r="E1922" s="3">
        <v>0.2</v>
      </c>
      <c r="F1922" s="2" t="str">
        <f>IFERROR(VLOOKUP(VLOOKUP(A1922,'[1]Sales Order'!A:B,2,FALSE),[1]Customer!A:C,3,FALSE),"Not Specified")</f>
        <v>Veronesi, Giorgio</v>
      </c>
      <c r="G1922" s="2" t="str">
        <f t="shared" si="58"/>
        <v>Veronesi Giorgio</v>
      </c>
      <c r="H1922" s="8" t="str">
        <f>IFERROR(VLOOKUP(VLOOKUP(A1922,'[1]Sales Order'!A:C,3,FALSE),[1]Employee!A:E,5,FALSE)&amp;" "&amp;VLOOKUP(VLOOKUP(A1922,'[1]Sales Order'!A:C,3,FALSE),[1]Employee!A:C,3,FALSE)&amp;" "&amp;VLOOKUP(VLOOKUP(A1922,'[1]Sales Order'!A:C,3,FALSE),[1]Employee!A:B,2,FALSE),"Not Specified")</f>
        <v>Ms. Sara Davis</v>
      </c>
      <c r="I1922" t="str">
        <f>IFERROR(VLOOKUP(VLOOKUP(A1922,'[1]Sales Order'!A:C,3,FALSE),[1]Employee!A:J,10,FALSE),"Not Specified")</f>
        <v>WA</v>
      </c>
      <c r="J1922" t="str">
        <f>VLOOKUP(B1922,[1]Product!A:B,2,FALSE)</f>
        <v>Product RECZE</v>
      </c>
      <c r="K1922" t="str">
        <f>VLOOKUP(VLOOKUP(B1922,[1]Product!A:D,4,FALSE),[1]Category!A:B,2,FALSE)</f>
        <v>Beverages</v>
      </c>
      <c r="L1922" s="10">
        <f>IFERROR(VLOOKUP(A1922,'[1]Sales Order'!A:D,4,FALSE),"")</f>
        <v>39539</v>
      </c>
      <c r="M1922" s="10">
        <f>IFERROR(VLOOKUP(A1922,'[1]Sales Order'!A:F,6,FALSE),"")</f>
        <v>39545</v>
      </c>
      <c r="N1922" t="str">
        <f>IFERROR(VLOOKUP(VLOOKUP(A1922,'[1]Sales Order'!A:G,7,FALSE),[1]Shipper!A:B,2,FALSE),"Not Specified")</f>
        <v>Shipper GVSUA</v>
      </c>
      <c r="O1922" t="str">
        <f>IFERROR(VLOOKUP(A1922,'[1]Sales Order'!A:I,9,FALSE),"Not Specified")</f>
        <v>Ship to 63-A</v>
      </c>
      <c r="P1922" t="str">
        <f>IFERROR(VLOOKUP(A1922,'[1]Sales Order'!A:N,14,FALSE),"Not Specified")</f>
        <v>Germany</v>
      </c>
      <c r="Q1922" t="str">
        <f>VLOOKUP(VLOOKUP(B1922,[1]Product!A:C,3,FALSE),[1]Supplier!A:B,2,FALSE)</f>
        <v>Supplier SWRXU</v>
      </c>
      <c r="R1922" t="str">
        <f>VLOOKUP(VLOOKUP(B1922,[1]Product!A:C,3,FALSE),[1]Supplier!A:I,9,FALSE)</f>
        <v>UK</v>
      </c>
      <c r="S1922" t="str">
        <f>IFERROR(IF(VLOOKUP(A1922,'[1]Sales Order'!A:H,8,FALSE)&gt;100,"High Freight","Low Freight"),"Not Specified")</f>
        <v>Low Freight</v>
      </c>
      <c r="T1922">
        <f t="shared" si="59"/>
        <v>760</v>
      </c>
    </row>
    <row r="1923" spans="1:20">
      <c r="A1923" s="1">
        <v>10991</v>
      </c>
      <c r="B1923" s="2">
        <v>70</v>
      </c>
      <c r="C1923" s="2">
        <v>15</v>
      </c>
      <c r="D1923" s="2">
        <v>20</v>
      </c>
      <c r="E1923" s="3">
        <v>0.2</v>
      </c>
      <c r="F1923" s="2" t="str">
        <f>IFERROR(VLOOKUP(VLOOKUP(A1923,'[1]Sales Order'!A:B,2,FALSE),[1]Customer!A:C,3,FALSE),"Not Specified")</f>
        <v>Veronesi, Giorgio</v>
      </c>
      <c r="G1923" s="2" t="str">
        <f t="shared" ref="G1923:G1986" si="60">SUBSTITUTE(F1923,",","",1)</f>
        <v>Veronesi Giorgio</v>
      </c>
      <c r="H1923" s="8" t="str">
        <f>IFERROR(VLOOKUP(VLOOKUP(A1923,'[1]Sales Order'!A:C,3,FALSE),[1]Employee!A:E,5,FALSE)&amp;" "&amp;VLOOKUP(VLOOKUP(A1923,'[1]Sales Order'!A:C,3,FALSE),[1]Employee!A:C,3,FALSE)&amp;" "&amp;VLOOKUP(VLOOKUP(A1923,'[1]Sales Order'!A:C,3,FALSE),[1]Employee!A:B,2,FALSE),"Not Specified")</f>
        <v>Ms. Sara Davis</v>
      </c>
      <c r="I1923" t="str">
        <f>IFERROR(VLOOKUP(VLOOKUP(A1923,'[1]Sales Order'!A:C,3,FALSE),[1]Employee!A:J,10,FALSE),"Not Specified")</f>
        <v>WA</v>
      </c>
      <c r="J1923" t="str">
        <f>VLOOKUP(B1923,[1]Product!A:B,2,FALSE)</f>
        <v>Product TOONT</v>
      </c>
      <c r="K1923" t="str">
        <f>VLOOKUP(VLOOKUP(B1923,[1]Product!A:D,4,FALSE),[1]Category!A:B,2,FALSE)</f>
        <v>Beverages</v>
      </c>
      <c r="L1923" s="10">
        <f>IFERROR(VLOOKUP(A1923,'[1]Sales Order'!A:D,4,FALSE),"")</f>
        <v>39539</v>
      </c>
      <c r="M1923" s="10">
        <f>IFERROR(VLOOKUP(A1923,'[1]Sales Order'!A:F,6,FALSE),"")</f>
        <v>39545</v>
      </c>
      <c r="N1923" t="str">
        <f>IFERROR(VLOOKUP(VLOOKUP(A1923,'[1]Sales Order'!A:G,7,FALSE),[1]Shipper!A:B,2,FALSE),"Not Specified")</f>
        <v>Shipper GVSUA</v>
      </c>
      <c r="O1923" t="str">
        <f>IFERROR(VLOOKUP(A1923,'[1]Sales Order'!A:I,9,FALSE),"Not Specified")</f>
        <v>Ship to 63-A</v>
      </c>
      <c r="P1923" t="str">
        <f>IFERROR(VLOOKUP(A1923,'[1]Sales Order'!A:N,14,FALSE),"Not Specified")</f>
        <v>Germany</v>
      </c>
      <c r="Q1923" t="str">
        <f>VLOOKUP(VLOOKUP(B1923,[1]Product!A:C,3,FALSE),[1]Supplier!A:B,2,FALSE)</f>
        <v>Supplier GQRCV</v>
      </c>
      <c r="R1923" t="str">
        <f>VLOOKUP(VLOOKUP(B1923,[1]Product!A:C,3,FALSE),[1]Supplier!A:I,9,FALSE)</f>
        <v>Australia</v>
      </c>
      <c r="S1923" t="str">
        <f>IFERROR(IF(VLOOKUP(A1923,'[1]Sales Order'!A:H,8,FALSE)&gt;100,"High Freight","Low Freight"),"Not Specified")</f>
        <v>Low Freight</v>
      </c>
      <c r="T1923">
        <f t="shared" ref="T1923:T1986" si="61">C1923*D1923*(1-E1923)</f>
        <v>240</v>
      </c>
    </row>
    <row r="1924" spans="1:20">
      <c r="A1924" s="1">
        <v>10991</v>
      </c>
      <c r="B1924" s="2">
        <v>76</v>
      </c>
      <c r="C1924" s="2">
        <v>18</v>
      </c>
      <c r="D1924" s="2">
        <v>90</v>
      </c>
      <c r="E1924" s="3">
        <v>0.2</v>
      </c>
      <c r="F1924" s="2" t="str">
        <f>IFERROR(VLOOKUP(VLOOKUP(A1924,'[1]Sales Order'!A:B,2,FALSE),[1]Customer!A:C,3,FALSE),"Not Specified")</f>
        <v>Veronesi, Giorgio</v>
      </c>
      <c r="G1924" s="2" t="str">
        <f t="shared" si="60"/>
        <v>Veronesi Giorgio</v>
      </c>
      <c r="H1924" s="8" t="str">
        <f>IFERROR(VLOOKUP(VLOOKUP(A1924,'[1]Sales Order'!A:C,3,FALSE),[1]Employee!A:E,5,FALSE)&amp;" "&amp;VLOOKUP(VLOOKUP(A1924,'[1]Sales Order'!A:C,3,FALSE),[1]Employee!A:C,3,FALSE)&amp;" "&amp;VLOOKUP(VLOOKUP(A1924,'[1]Sales Order'!A:C,3,FALSE),[1]Employee!A:B,2,FALSE),"Not Specified")</f>
        <v>Ms. Sara Davis</v>
      </c>
      <c r="I1924" t="str">
        <f>IFERROR(VLOOKUP(VLOOKUP(A1924,'[1]Sales Order'!A:C,3,FALSE),[1]Employee!A:J,10,FALSE),"Not Specified")</f>
        <v>WA</v>
      </c>
      <c r="J1924" t="str">
        <f>VLOOKUP(B1924,[1]Product!A:B,2,FALSE)</f>
        <v>Product JYGFE</v>
      </c>
      <c r="K1924" t="str">
        <f>VLOOKUP(VLOOKUP(B1924,[1]Product!A:D,4,FALSE),[1]Category!A:B,2,FALSE)</f>
        <v>Beverages</v>
      </c>
      <c r="L1924" s="10">
        <f>IFERROR(VLOOKUP(A1924,'[1]Sales Order'!A:D,4,FALSE),"")</f>
        <v>39539</v>
      </c>
      <c r="M1924" s="10">
        <f>IFERROR(VLOOKUP(A1924,'[1]Sales Order'!A:F,6,FALSE),"")</f>
        <v>39545</v>
      </c>
      <c r="N1924" t="str">
        <f>IFERROR(VLOOKUP(VLOOKUP(A1924,'[1]Sales Order'!A:G,7,FALSE),[1]Shipper!A:B,2,FALSE),"Not Specified")</f>
        <v>Shipper GVSUA</v>
      </c>
      <c r="O1924" t="str">
        <f>IFERROR(VLOOKUP(A1924,'[1]Sales Order'!A:I,9,FALSE),"Not Specified")</f>
        <v>Ship to 63-A</v>
      </c>
      <c r="P1924" t="str">
        <f>IFERROR(VLOOKUP(A1924,'[1]Sales Order'!A:N,14,FALSE),"Not Specified")</f>
        <v>Germany</v>
      </c>
      <c r="Q1924" t="str">
        <f>VLOOKUP(VLOOKUP(B1924,[1]Product!A:C,3,FALSE),[1]Supplier!A:B,2,FALSE)</f>
        <v>Supplier ELCRN</v>
      </c>
      <c r="R1924" t="str">
        <f>VLOOKUP(VLOOKUP(B1924,[1]Product!A:C,3,FALSE),[1]Supplier!A:I,9,FALSE)</f>
        <v>Finland</v>
      </c>
      <c r="S1924" t="str">
        <f>IFERROR(IF(VLOOKUP(A1924,'[1]Sales Order'!A:H,8,FALSE)&gt;100,"High Freight","Low Freight"),"Not Specified")</f>
        <v>Low Freight</v>
      </c>
      <c r="T1924">
        <f t="shared" si="61"/>
        <v>1296</v>
      </c>
    </row>
    <row r="1925" spans="1:20">
      <c r="A1925" s="1">
        <v>10992</v>
      </c>
      <c r="B1925" s="2">
        <v>72</v>
      </c>
      <c r="C1925" s="2">
        <v>34.799999999999997</v>
      </c>
      <c r="D1925" s="2">
        <v>2</v>
      </c>
      <c r="E1925" s="3">
        <v>0</v>
      </c>
      <c r="F1925" s="2" t="str">
        <f>IFERROR(VLOOKUP(VLOOKUP(A1925,'[1]Sales Order'!A:B,2,FALSE),[1]Customer!A:C,3,FALSE),"Not Specified")</f>
        <v>Osorio, Cristian</v>
      </c>
      <c r="G1925" s="2" t="str">
        <f t="shared" si="60"/>
        <v>Osorio Cristian</v>
      </c>
      <c r="H1925" s="8" t="str">
        <f>IFERROR(VLOOKUP(VLOOKUP(A1925,'[1]Sales Order'!A:C,3,FALSE),[1]Employee!A:E,5,FALSE)&amp;" "&amp;VLOOKUP(VLOOKUP(A1925,'[1]Sales Order'!A:C,3,FALSE),[1]Employee!A:C,3,FALSE)&amp;" "&amp;VLOOKUP(VLOOKUP(A1925,'[1]Sales Order'!A:C,3,FALSE),[1]Employee!A:B,2,FALSE),"Not Specified")</f>
        <v>Ms. Sara Davis</v>
      </c>
      <c r="I1925" t="str">
        <f>IFERROR(VLOOKUP(VLOOKUP(A1925,'[1]Sales Order'!A:C,3,FALSE),[1]Employee!A:J,10,FALSE),"Not Specified")</f>
        <v>WA</v>
      </c>
      <c r="J1925" t="str">
        <f>VLOOKUP(B1925,[1]Product!A:B,2,FALSE)</f>
        <v>Product GEEOO</v>
      </c>
      <c r="K1925" t="str">
        <f>VLOOKUP(VLOOKUP(B1925,[1]Product!A:D,4,FALSE),[1]Category!A:B,2,FALSE)</f>
        <v>Dairy Product</v>
      </c>
      <c r="L1925" s="10">
        <f>IFERROR(VLOOKUP(A1925,'[1]Sales Order'!A:D,4,FALSE),"")</f>
        <v>39539</v>
      </c>
      <c r="M1925" s="10">
        <f>IFERROR(VLOOKUP(A1925,'[1]Sales Order'!A:F,6,FALSE),"")</f>
        <v>39541</v>
      </c>
      <c r="N1925" t="str">
        <f>IFERROR(VLOOKUP(VLOOKUP(A1925,'[1]Sales Order'!A:G,7,FALSE),[1]Shipper!A:B,2,FALSE),"Not Specified")</f>
        <v>Shipper ZHISN</v>
      </c>
      <c r="O1925" t="str">
        <f>IFERROR(VLOOKUP(A1925,'[1]Sales Order'!A:I,9,FALSE),"Not Specified")</f>
        <v>Ship to 77-C</v>
      </c>
      <c r="P1925" t="str">
        <f>IFERROR(VLOOKUP(A1925,'[1]Sales Order'!A:N,14,FALSE),"Not Specified")</f>
        <v>USA</v>
      </c>
      <c r="Q1925" t="str">
        <f>VLOOKUP(VLOOKUP(B1925,[1]Product!A:C,3,FALSE),[1]Supplier!A:B,2,FALSE)</f>
        <v>Supplier KEREV</v>
      </c>
      <c r="R1925" t="str">
        <f>VLOOKUP(VLOOKUP(B1925,[1]Product!A:C,3,FALSE),[1]Supplier!A:I,9,FALSE)</f>
        <v>Italy</v>
      </c>
      <c r="S1925" t="str">
        <f>IFERROR(IF(VLOOKUP(A1925,'[1]Sales Order'!A:H,8,FALSE)&gt;100,"High Freight","Low Freight"),"Not Specified")</f>
        <v>Low Freight</v>
      </c>
      <c r="T1925">
        <f t="shared" si="61"/>
        <v>69.599999999999994</v>
      </c>
    </row>
    <row r="1926" spans="1:20">
      <c r="A1926" s="1">
        <v>10993</v>
      </c>
      <c r="B1926" s="2">
        <v>29</v>
      </c>
      <c r="C1926" s="2">
        <v>123.79</v>
      </c>
      <c r="D1926" s="2">
        <v>50</v>
      </c>
      <c r="E1926" s="3">
        <v>0.25</v>
      </c>
      <c r="F1926" s="2" t="str">
        <f>IFERROR(VLOOKUP(VLOOKUP(A1926,'[1]Sales Order'!A:B,2,FALSE),[1]Customer!A:C,3,FALSE),"Not Specified")</f>
        <v>San Juan, Patricia</v>
      </c>
      <c r="G1926" s="2" t="str">
        <f t="shared" si="60"/>
        <v>San Juan Patricia</v>
      </c>
      <c r="H1926" s="8" t="str">
        <f>IFERROR(VLOOKUP(VLOOKUP(A1926,'[1]Sales Order'!A:C,3,FALSE),[1]Employee!A:E,5,FALSE)&amp;" "&amp;VLOOKUP(VLOOKUP(A1926,'[1]Sales Order'!A:C,3,FALSE),[1]Employee!A:C,3,FALSE)&amp;" "&amp;VLOOKUP(VLOOKUP(A1926,'[1]Sales Order'!A:C,3,FALSE),[1]Employee!A:B,2,FALSE),"Not Specified")</f>
        <v>Mr. Russell King</v>
      </c>
      <c r="I1926">
        <f>IFERROR(VLOOKUP(VLOOKUP(A1926,'[1]Sales Order'!A:C,3,FALSE),[1]Employee!A:J,10,FALSE),"Not Specified")</f>
        <v>0</v>
      </c>
      <c r="J1926" t="str">
        <f>VLOOKUP(B1926,[1]Product!A:B,2,FALSE)</f>
        <v>Product VJXYN</v>
      </c>
      <c r="K1926" t="str">
        <f>VLOOKUP(VLOOKUP(B1926,[1]Product!A:D,4,FALSE),[1]Category!A:B,2,FALSE)</f>
        <v>Meat/Poultry</v>
      </c>
      <c r="L1926" s="10">
        <f>IFERROR(VLOOKUP(A1926,'[1]Sales Order'!A:D,4,FALSE),"")</f>
        <v>39539</v>
      </c>
      <c r="M1926" s="10">
        <f>IFERROR(VLOOKUP(A1926,'[1]Sales Order'!A:F,6,FALSE),"")</f>
        <v>39548</v>
      </c>
      <c r="N1926" t="str">
        <f>IFERROR(VLOOKUP(VLOOKUP(A1926,'[1]Sales Order'!A:G,7,FALSE),[1]Shipper!A:B,2,FALSE),"Not Specified")</f>
        <v>Shipper ZHISN</v>
      </c>
      <c r="O1926" t="str">
        <f>IFERROR(VLOOKUP(A1926,'[1]Sales Order'!A:I,9,FALSE),"Not Specified")</f>
        <v>Destination NCKKO</v>
      </c>
      <c r="P1926" t="str">
        <f>IFERROR(VLOOKUP(A1926,'[1]Sales Order'!A:N,14,FALSE),"Not Specified")</f>
        <v>Sweden</v>
      </c>
      <c r="Q1926" t="str">
        <f>VLOOKUP(VLOOKUP(B1926,[1]Product!A:C,3,FALSE),[1]Supplier!A:B,2,FALSE)</f>
        <v>Supplier SVIYA</v>
      </c>
      <c r="R1926" t="str">
        <f>VLOOKUP(VLOOKUP(B1926,[1]Product!A:C,3,FALSE),[1]Supplier!A:I,9,FALSE)</f>
        <v>Germany</v>
      </c>
      <c r="S1926" t="str">
        <f>IFERROR(IF(VLOOKUP(A1926,'[1]Sales Order'!A:H,8,FALSE)&gt;100,"High Freight","Low Freight"),"Not Specified")</f>
        <v>Low Freight</v>
      </c>
      <c r="T1926">
        <f t="shared" si="61"/>
        <v>4642.125</v>
      </c>
    </row>
    <row r="1927" spans="1:20">
      <c r="A1927" s="1">
        <v>10993</v>
      </c>
      <c r="B1927" s="2">
        <v>41</v>
      </c>
      <c r="C1927" s="2">
        <v>9.65</v>
      </c>
      <c r="D1927" s="2">
        <v>35</v>
      </c>
      <c r="E1927" s="3">
        <v>0.25</v>
      </c>
      <c r="F1927" s="2" t="str">
        <f>IFERROR(VLOOKUP(VLOOKUP(A1927,'[1]Sales Order'!A:B,2,FALSE),[1]Customer!A:C,3,FALSE),"Not Specified")</f>
        <v>San Juan, Patricia</v>
      </c>
      <c r="G1927" s="2" t="str">
        <f t="shared" si="60"/>
        <v>San Juan Patricia</v>
      </c>
      <c r="H1927" s="8" t="str">
        <f>IFERROR(VLOOKUP(VLOOKUP(A1927,'[1]Sales Order'!A:C,3,FALSE),[1]Employee!A:E,5,FALSE)&amp;" "&amp;VLOOKUP(VLOOKUP(A1927,'[1]Sales Order'!A:C,3,FALSE),[1]Employee!A:C,3,FALSE)&amp;" "&amp;VLOOKUP(VLOOKUP(A1927,'[1]Sales Order'!A:C,3,FALSE),[1]Employee!A:B,2,FALSE),"Not Specified")</f>
        <v>Mr. Russell King</v>
      </c>
      <c r="I1927">
        <f>IFERROR(VLOOKUP(VLOOKUP(A1927,'[1]Sales Order'!A:C,3,FALSE),[1]Employee!A:J,10,FALSE),"Not Specified")</f>
        <v>0</v>
      </c>
      <c r="J1927" t="str">
        <f>VLOOKUP(B1927,[1]Product!A:B,2,FALSE)</f>
        <v>Product TTEEX</v>
      </c>
      <c r="K1927" t="str">
        <f>VLOOKUP(VLOOKUP(B1927,[1]Product!A:D,4,FALSE),[1]Category!A:B,2,FALSE)</f>
        <v>Seafood</v>
      </c>
      <c r="L1927" s="10">
        <f>IFERROR(VLOOKUP(A1927,'[1]Sales Order'!A:D,4,FALSE),"")</f>
        <v>39539</v>
      </c>
      <c r="M1927" s="10">
        <f>IFERROR(VLOOKUP(A1927,'[1]Sales Order'!A:F,6,FALSE),"")</f>
        <v>39548</v>
      </c>
      <c r="N1927" t="str">
        <f>IFERROR(VLOOKUP(VLOOKUP(A1927,'[1]Sales Order'!A:G,7,FALSE),[1]Shipper!A:B,2,FALSE),"Not Specified")</f>
        <v>Shipper ZHISN</v>
      </c>
      <c r="O1927" t="str">
        <f>IFERROR(VLOOKUP(A1927,'[1]Sales Order'!A:I,9,FALSE),"Not Specified")</f>
        <v>Destination NCKKO</v>
      </c>
      <c r="P1927" t="str">
        <f>IFERROR(VLOOKUP(A1927,'[1]Sales Order'!A:N,14,FALSE),"Not Specified")</f>
        <v>Sweden</v>
      </c>
      <c r="Q1927" t="str">
        <f>VLOOKUP(VLOOKUP(B1927,[1]Product!A:C,3,FALSE),[1]Supplier!A:B,2,FALSE)</f>
        <v>Supplier JDNUG</v>
      </c>
      <c r="R1927" t="str">
        <f>VLOOKUP(VLOOKUP(B1927,[1]Product!A:C,3,FALSE),[1]Supplier!A:I,9,FALSE)</f>
        <v>USA</v>
      </c>
      <c r="S1927" t="str">
        <f>IFERROR(IF(VLOOKUP(A1927,'[1]Sales Order'!A:H,8,FALSE)&gt;100,"High Freight","Low Freight"),"Not Specified")</f>
        <v>Low Freight</v>
      </c>
      <c r="T1927">
        <f t="shared" si="61"/>
        <v>253.3125</v>
      </c>
    </row>
    <row r="1928" spans="1:20">
      <c r="A1928" s="1">
        <v>10994</v>
      </c>
      <c r="B1928" s="2">
        <v>59</v>
      </c>
      <c r="C1928" s="2">
        <v>55</v>
      </c>
      <c r="D1928" s="2">
        <v>18</v>
      </c>
      <c r="E1928" s="3">
        <v>0.05</v>
      </c>
      <c r="F1928" s="2" t="str">
        <f>IFERROR(VLOOKUP(VLOOKUP(A1928,'[1]Sales Order'!A:B,2,FALSE),[1]Customer!A:C,3,FALSE),"Not Specified")</f>
        <v>Fonteneau, Karl</v>
      </c>
      <c r="G1928" s="2" t="str">
        <f t="shared" si="60"/>
        <v>Fonteneau Karl</v>
      </c>
      <c r="H1928" s="8" t="str">
        <f>IFERROR(VLOOKUP(VLOOKUP(A1928,'[1]Sales Order'!A:C,3,FALSE),[1]Employee!A:E,5,FALSE)&amp;" "&amp;VLOOKUP(VLOOKUP(A1928,'[1]Sales Order'!A:C,3,FALSE),[1]Employee!A:C,3,FALSE)&amp;" "&amp;VLOOKUP(VLOOKUP(A1928,'[1]Sales Order'!A:C,3,FALSE),[1]Employee!A:B,2,FALSE),"Not Specified")</f>
        <v>Dr. Don Funk</v>
      </c>
      <c r="I1928" t="str">
        <f>IFERROR(VLOOKUP(VLOOKUP(A1928,'[1]Sales Order'!A:C,3,FALSE),[1]Employee!A:J,10,FALSE),"Not Specified")</f>
        <v>WA</v>
      </c>
      <c r="J1928" t="str">
        <f>VLOOKUP(B1928,[1]Product!A:B,2,FALSE)</f>
        <v>Product UKXRI</v>
      </c>
      <c r="K1928" t="str">
        <f>VLOOKUP(VLOOKUP(B1928,[1]Product!A:D,4,FALSE),[1]Category!A:B,2,FALSE)</f>
        <v>Dairy Product</v>
      </c>
      <c r="L1928" s="10">
        <f>IFERROR(VLOOKUP(A1928,'[1]Sales Order'!A:D,4,FALSE),"")</f>
        <v>39540</v>
      </c>
      <c r="M1928" s="10">
        <f>IFERROR(VLOOKUP(A1928,'[1]Sales Order'!A:F,6,FALSE),"")</f>
        <v>39547</v>
      </c>
      <c r="N1928" t="str">
        <f>IFERROR(VLOOKUP(VLOOKUP(A1928,'[1]Sales Order'!A:G,7,FALSE),[1]Shipper!A:B,2,FALSE),"Not Specified")</f>
        <v>Shipper ZHISN</v>
      </c>
      <c r="O1928" t="str">
        <f>IFERROR(VLOOKUP(A1928,'[1]Sales Order'!A:I,9,FALSE),"Not Specified")</f>
        <v>Ship to 83-C</v>
      </c>
      <c r="P1928" t="str">
        <f>IFERROR(VLOOKUP(A1928,'[1]Sales Order'!A:N,14,FALSE),"Not Specified")</f>
        <v>Denmark</v>
      </c>
      <c r="Q1928" t="str">
        <f>VLOOKUP(VLOOKUP(B1928,[1]Product!A:C,3,FALSE),[1]Supplier!A:B,2,FALSE)</f>
        <v>Supplier OAVQT</v>
      </c>
      <c r="R1928" t="str">
        <f>VLOOKUP(VLOOKUP(B1928,[1]Product!A:C,3,FALSE),[1]Supplier!A:I,9,FALSE)</f>
        <v>France</v>
      </c>
      <c r="S1928" t="str">
        <f>IFERROR(IF(VLOOKUP(A1928,'[1]Sales Order'!A:H,8,FALSE)&gt;100,"High Freight","Low Freight"),"Not Specified")</f>
        <v>Low Freight</v>
      </c>
      <c r="T1928">
        <f t="shared" si="61"/>
        <v>940.5</v>
      </c>
    </row>
    <row r="1929" spans="1:20">
      <c r="A1929" s="1">
        <v>10995</v>
      </c>
      <c r="B1929" s="2">
        <v>51</v>
      </c>
      <c r="C1929" s="2">
        <v>53</v>
      </c>
      <c r="D1929" s="2">
        <v>20</v>
      </c>
      <c r="E1929" s="3">
        <v>0</v>
      </c>
      <c r="F1929" s="2" t="str">
        <f>IFERROR(VLOOKUP(VLOOKUP(A1929,'[1]Sales Order'!A:B,2,FALSE),[1]Customer!A:C,3,FALSE),"Not Specified")</f>
        <v>Fakhouri, Fadi</v>
      </c>
      <c r="G1929" s="2" t="str">
        <f t="shared" si="60"/>
        <v>Fakhouri Fadi</v>
      </c>
      <c r="H1929" s="8" t="str">
        <f>IFERROR(VLOOKUP(VLOOKUP(A1929,'[1]Sales Order'!A:C,3,FALSE),[1]Employee!A:E,5,FALSE)&amp;" "&amp;VLOOKUP(VLOOKUP(A1929,'[1]Sales Order'!A:C,3,FALSE),[1]Employee!A:C,3,FALSE)&amp;" "&amp;VLOOKUP(VLOOKUP(A1929,'[1]Sales Order'!A:C,3,FALSE),[1]Employee!A:B,2,FALSE),"Not Specified")</f>
        <v>Ms. Sara Davis</v>
      </c>
      <c r="I1929" t="str">
        <f>IFERROR(VLOOKUP(VLOOKUP(A1929,'[1]Sales Order'!A:C,3,FALSE),[1]Employee!A:J,10,FALSE),"Not Specified")</f>
        <v>WA</v>
      </c>
      <c r="J1929" t="str">
        <f>VLOOKUP(B1929,[1]Product!A:B,2,FALSE)</f>
        <v>Product APITJ</v>
      </c>
      <c r="K1929" t="str">
        <f>VLOOKUP(VLOOKUP(B1929,[1]Product!A:D,4,FALSE),[1]Category!A:B,2,FALSE)</f>
        <v>Produce</v>
      </c>
      <c r="L1929" s="10">
        <f>IFERROR(VLOOKUP(A1929,'[1]Sales Order'!A:D,4,FALSE),"")</f>
        <v>39540</v>
      </c>
      <c r="M1929" s="10">
        <f>IFERROR(VLOOKUP(A1929,'[1]Sales Order'!A:F,6,FALSE),"")</f>
        <v>39544</v>
      </c>
      <c r="N1929" t="str">
        <f>IFERROR(VLOOKUP(VLOOKUP(A1929,'[1]Sales Order'!A:G,7,FALSE),[1]Shipper!A:B,2,FALSE),"Not Specified")</f>
        <v>Shipper ZHISN</v>
      </c>
      <c r="O1929" t="str">
        <f>IFERROR(VLOOKUP(A1929,'[1]Sales Order'!A:I,9,FALSE),"Not Specified")</f>
        <v>Ship to 58-B</v>
      </c>
      <c r="P1929" t="str">
        <f>IFERROR(VLOOKUP(A1929,'[1]Sales Order'!A:N,14,FALSE),"Not Specified")</f>
        <v>Mexico</v>
      </c>
      <c r="Q1929" t="str">
        <f>VLOOKUP(VLOOKUP(B1929,[1]Product!A:C,3,FALSE),[1]Supplier!A:B,2,FALSE)</f>
        <v>Supplier JNNES</v>
      </c>
      <c r="R1929" t="str">
        <f>VLOOKUP(VLOOKUP(B1929,[1]Product!A:C,3,FALSE),[1]Supplier!A:I,9,FALSE)</f>
        <v>Australia</v>
      </c>
      <c r="S1929" t="str">
        <f>IFERROR(IF(VLOOKUP(A1929,'[1]Sales Order'!A:H,8,FALSE)&gt;100,"High Freight","Low Freight"),"Not Specified")</f>
        <v>Low Freight</v>
      </c>
      <c r="T1929">
        <f t="shared" si="61"/>
        <v>1060</v>
      </c>
    </row>
    <row r="1930" spans="1:20">
      <c r="A1930" s="1">
        <v>10995</v>
      </c>
      <c r="B1930" s="2">
        <v>60</v>
      </c>
      <c r="C1930" s="2">
        <v>34</v>
      </c>
      <c r="D1930" s="2">
        <v>4</v>
      </c>
      <c r="E1930" s="3">
        <v>0</v>
      </c>
      <c r="F1930" s="2" t="str">
        <f>IFERROR(VLOOKUP(VLOOKUP(A1930,'[1]Sales Order'!A:B,2,FALSE),[1]Customer!A:C,3,FALSE),"Not Specified")</f>
        <v>Fakhouri, Fadi</v>
      </c>
      <c r="G1930" s="2" t="str">
        <f t="shared" si="60"/>
        <v>Fakhouri Fadi</v>
      </c>
      <c r="H1930" s="8" t="str">
        <f>IFERROR(VLOOKUP(VLOOKUP(A1930,'[1]Sales Order'!A:C,3,FALSE),[1]Employee!A:E,5,FALSE)&amp;" "&amp;VLOOKUP(VLOOKUP(A1930,'[1]Sales Order'!A:C,3,FALSE),[1]Employee!A:C,3,FALSE)&amp;" "&amp;VLOOKUP(VLOOKUP(A1930,'[1]Sales Order'!A:C,3,FALSE),[1]Employee!A:B,2,FALSE),"Not Specified")</f>
        <v>Ms. Sara Davis</v>
      </c>
      <c r="I1930" t="str">
        <f>IFERROR(VLOOKUP(VLOOKUP(A1930,'[1]Sales Order'!A:C,3,FALSE),[1]Employee!A:J,10,FALSE),"Not Specified")</f>
        <v>WA</v>
      </c>
      <c r="J1930" t="str">
        <f>VLOOKUP(B1930,[1]Product!A:B,2,FALSE)</f>
        <v>Product WHBYK</v>
      </c>
      <c r="K1930" t="str">
        <f>VLOOKUP(VLOOKUP(B1930,[1]Product!A:D,4,FALSE),[1]Category!A:B,2,FALSE)</f>
        <v>Dairy Product</v>
      </c>
      <c r="L1930" s="10">
        <f>IFERROR(VLOOKUP(A1930,'[1]Sales Order'!A:D,4,FALSE),"")</f>
        <v>39540</v>
      </c>
      <c r="M1930" s="10">
        <f>IFERROR(VLOOKUP(A1930,'[1]Sales Order'!A:F,6,FALSE),"")</f>
        <v>39544</v>
      </c>
      <c r="N1930" t="str">
        <f>IFERROR(VLOOKUP(VLOOKUP(A1930,'[1]Sales Order'!A:G,7,FALSE),[1]Shipper!A:B,2,FALSE),"Not Specified")</f>
        <v>Shipper ZHISN</v>
      </c>
      <c r="O1930" t="str">
        <f>IFERROR(VLOOKUP(A1930,'[1]Sales Order'!A:I,9,FALSE),"Not Specified")</f>
        <v>Ship to 58-B</v>
      </c>
      <c r="P1930" t="str">
        <f>IFERROR(VLOOKUP(A1930,'[1]Sales Order'!A:N,14,FALSE),"Not Specified")</f>
        <v>Mexico</v>
      </c>
      <c r="Q1930" t="str">
        <f>VLOOKUP(VLOOKUP(B1930,[1]Product!A:C,3,FALSE),[1]Supplier!A:B,2,FALSE)</f>
        <v>Supplier OAVQT</v>
      </c>
      <c r="R1930" t="str">
        <f>VLOOKUP(VLOOKUP(B1930,[1]Product!A:C,3,FALSE),[1]Supplier!A:I,9,FALSE)</f>
        <v>France</v>
      </c>
      <c r="S1930" t="str">
        <f>IFERROR(IF(VLOOKUP(A1930,'[1]Sales Order'!A:H,8,FALSE)&gt;100,"High Freight","Low Freight"),"Not Specified")</f>
        <v>Low Freight</v>
      </c>
      <c r="T1930">
        <f t="shared" si="61"/>
        <v>136</v>
      </c>
    </row>
    <row r="1931" spans="1:20">
      <c r="A1931" s="1">
        <v>10996</v>
      </c>
      <c r="B1931" s="2">
        <v>42</v>
      </c>
      <c r="C1931" s="2">
        <v>14</v>
      </c>
      <c r="D1931" s="2">
        <v>40</v>
      </c>
      <c r="E1931" s="3">
        <v>0</v>
      </c>
      <c r="F1931" s="2" t="str">
        <f>IFERROR(VLOOKUP(VLOOKUP(A1931,'[1]Sales Order'!A:B,2,FALSE),[1]Customer!A:C,3,FALSE),"Not Specified")</f>
        <v>Veronesi, Giorgio</v>
      </c>
      <c r="G1931" s="2" t="str">
        <f t="shared" si="60"/>
        <v>Veronesi Giorgio</v>
      </c>
      <c r="H1931" s="8" t="str">
        <f>IFERROR(VLOOKUP(VLOOKUP(A1931,'[1]Sales Order'!A:C,3,FALSE),[1]Employee!A:E,5,FALSE)&amp;" "&amp;VLOOKUP(VLOOKUP(A1931,'[1]Sales Order'!A:C,3,FALSE),[1]Employee!A:C,3,FALSE)&amp;" "&amp;VLOOKUP(VLOOKUP(A1931,'[1]Sales Order'!A:C,3,FALSE),[1]Employee!A:B,2,FALSE),"Not Specified")</f>
        <v>Mrs. Yael Peled</v>
      </c>
      <c r="I1931" t="str">
        <f>IFERROR(VLOOKUP(VLOOKUP(A1931,'[1]Sales Order'!A:C,3,FALSE),[1]Employee!A:J,10,FALSE),"Not Specified")</f>
        <v>WA</v>
      </c>
      <c r="J1931" t="str">
        <f>VLOOKUP(B1931,[1]Product!A:B,2,FALSE)</f>
        <v>Product RJVNM</v>
      </c>
      <c r="K1931" t="str">
        <f>VLOOKUP(VLOOKUP(B1931,[1]Product!A:D,4,FALSE),[1]Category!A:B,2,FALSE)</f>
        <v>Grains/Cereals</v>
      </c>
      <c r="L1931" s="10">
        <f>IFERROR(VLOOKUP(A1931,'[1]Sales Order'!A:D,4,FALSE),"")</f>
        <v>39540</v>
      </c>
      <c r="M1931" s="10">
        <f>IFERROR(VLOOKUP(A1931,'[1]Sales Order'!A:F,6,FALSE),"")</f>
        <v>39548</v>
      </c>
      <c r="N1931" t="str">
        <f>IFERROR(VLOOKUP(VLOOKUP(A1931,'[1]Sales Order'!A:G,7,FALSE),[1]Shipper!A:B,2,FALSE),"Not Specified")</f>
        <v>Shipper ETYNR</v>
      </c>
      <c r="O1931" t="str">
        <f>IFERROR(VLOOKUP(A1931,'[1]Sales Order'!A:I,9,FALSE),"Not Specified")</f>
        <v>Ship to 63-C</v>
      </c>
      <c r="P1931" t="str">
        <f>IFERROR(VLOOKUP(A1931,'[1]Sales Order'!A:N,14,FALSE),"Not Specified")</f>
        <v>Germany</v>
      </c>
      <c r="Q1931" t="str">
        <f>VLOOKUP(VLOOKUP(B1931,[1]Product!A:C,3,FALSE),[1]Supplier!A:B,2,FALSE)</f>
        <v>Supplier CIYNM</v>
      </c>
      <c r="R1931" t="str">
        <f>VLOOKUP(VLOOKUP(B1931,[1]Product!A:C,3,FALSE),[1]Supplier!A:I,9,FALSE)</f>
        <v>Singapore</v>
      </c>
      <c r="S1931" t="str">
        <f>IFERROR(IF(VLOOKUP(A1931,'[1]Sales Order'!A:H,8,FALSE)&gt;100,"High Freight","Low Freight"),"Not Specified")</f>
        <v>Low Freight</v>
      </c>
      <c r="T1931">
        <f t="shared" si="61"/>
        <v>560</v>
      </c>
    </row>
    <row r="1932" spans="1:20">
      <c r="A1932" s="1">
        <v>10997</v>
      </c>
      <c r="B1932" s="2">
        <v>32</v>
      </c>
      <c r="C1932" s="2">
        <v>32</v>
      </c>
      <c r="D1932" s="2">
        <v>50</v>
      </c>
      <c r="E1932" s="3">
        <v>0</v>
      </c>
      <c r="F1932" s="2" t="str">
        <f>IFERROR(VLOOKUP(VLOOKUP(A1932,'[1]Sales Order'!A:B,2,FALSE),[1]Customer!A:C,3,FALSE),"Not Specified")</f>
        <v>Dressler, Marlies</v>
      </c>
      <c r="G1932" s="2" t="str">
        <f t="shared" si="60"/>
        <v>Dressler Marlies</v>
      </c>
      <c r="H1932" s="8" t="str">
        <f>IFERROR(VLOOKUP(VLOOKUP(A1932,'[1]Sales Order'!A:C,3,FALSE),[1]Employee!A:E,5,FALSE)&amp;" "&amp;VLOOKUP(VLOOKUP(A1932,'[1]Sales Order'!A:C,3,FALSE),[1]Employee!A:C,3,FALSE)&amp;" "&amp;VLOOKUP(VLOOKUP(A1932,'[1]Sales Order'!A:C,3,FALSE),[1]Employee!A:B,2,FALSE),"Not Specified")</f>
        <v>Ms. Maria Cameron</v>
      </c>
      <c r="I1932" t="str">
        <f>IFERROR(VLOOKUP(VLOOKUP(A1932,'[1]Sales Order'!A:C,3,FALSE),[1]Employee!A:J,10,FALSE),"Not Specified")</f>
        <v>WA</v>
      </c>
      <c r="J1932" t="str">
        <f>VLOOKUP(B1932,[1]Product!A:B,2,FALSE)</f>
        <v>Product NUNAW</v>
      </c>
      <c r="K1932" t="str">
        <f>VLOOKUP(VLOOKUP(B1932,[1]Product!A:D,4,FALSE),[1]Category!A:B,2,FALSE)</f>
        <v>Dairy Product</v>
      </c>
      <c r="L1932" s="10">
        <f>IFERROR(VLOOKUP(A1932,'[1]Sales Order'!A:D,4,FALSE),"")</f>
        <v>39541</v>
      </c>
      <c r="M1932" s="10">
        <f>IFERROR(VLOOKUP(A1932,'[1]Sales Order'!A:F,6,FALSE),"")</f>
        <v>39551</v>
      </c>
      <c r="N1932" t="str">
        <f>IFERROR(VLOOKUP(VLOOKUP(A1932,'[1]Sales Order'!A:G,7,FALSE),[1]Shipper!A:B,2,FALSE),"Not Specified")</f>
        <v>Shipper ETYNR</v>
      </c>
      <c r="O1932" t="str">
        <f>IFERROR(VLOOKUP(A1932,'[1]Sales Order'!A:I,9,FALSE),"Not Specified")</f>
        <v>Ship to 46-A</v>
      </c>
      <c r="P1932" t="str">
        <f>IFERROR(VLOOKUP(A1932,'[1]Sales Order'!A:N,14,FALSE),"Not Specified")</f>
        <v>Venezuela</v>
      </c>
      <c r="Q1932" t="str">
        <f>VLOOKUP(VLOOKUP(B1932,[1]Product!A:C,3,FALSE),[1]Supplier!A:B,2,FALSE)</f>
        <v>Supplier KEREV</v>
      </c>
      <c r="R1932" t="str">
        <f>VLOOKUP(VLOOKUP(B1932,[1]Product!A:C,3,FALSE),[1]Supplier!A:I,9,FALSE)</f>
        <v>Italy</v>
      </c>
      <c r="S1932" t="str">
        <f>IFERROR(IF(VLOOKUP(A1932,'[1]Sales Order'!A:H,8,FALSE)&gt;100,"High Freight","Low Freight"),"Not Specified")</f>
        <v>Low Freight</v>
      </c>
      <c r="T1932">
        <f t="shared" si="61"/>
        <v>1600</v>
      </c>
    </row>
    <row r="1933" spans="1:20">
      <c r="A1933" s="1">
        <v>10997</v>
      </c>
      <c r="B1933" s="2">
        <v>46</v>
      </c>
      <c r="C1933" s="2">
        <v>12</v>
      </c>
      <c r="D1933" s="2">
        <v>20</v>
      </c>
      <c r="E1933" s="3">
        <v>0.25</v>
      </c>
      <c r="F1933" s="2" t="str">
        <f>IFERROR(VLOOKUP(VLOOKUP(A1933,'[1]Sales Order'!A:B,2,FALSE),[1]Customer!A:C,3,FALSE),"Not Specified")</f>
        <v>Dressler, Marlies</v>
      </c>
      <c r="G1933" s="2" t="str">
        <f t="shared" si="60"/>
        <v>Dressler Marlies</v>
      </c>
      <c r="H1933" s="8" t="str">
        <f>IFERROR(VLOOKUP(VLOOKUP(A1933,'[1]Sales Order'!A:C,3,FALSE),[1]Employee!A:E,5,FALSE)&amp;" "&amp;VLOOKUP(VLOOKUP(A1933,'[1]Sales Order'!A:C,3,FALSE),[1]Employee!A:C,3,FALSE)&amp;" "&amp;VLOOKUP(VLOOKUP(A1933,'[1]Sales Order'!A:C,3,FALSE),[1]Employee!A:B,2,FALSE),"Not Specified")</f>
        <v>Ms. Maria Cameron</v>
      </c>
      <c r="I1933" t="str">
        <f>IFERROR(VLOOKUP(VLOOKUP(A1933,'[1]Sales Order'!A:C,3,FALSE),[1]Employee!A:J,10,FALSE),"Not Specified")</f>
        <v>WA</v>
      </c>
      <c r="J1933" t="str">
        <f>VLOOKUP(B1933,[1]Product!A:B,2,FALSE)</f>
        <v>Product CBRRL</v>
      </c>
      <c r="K1933" t="str">
        <f>VLOOKUP(VLOOKUP(B1933,[1]Product!A:D,4,FALSE),[1]Category!A:B,2,FALSE)</f>
        <v>Seafood</v>
      </c>
      <c r="L1933" s="10">
        <f>IFERROR(VLOOKUP(A1933,'[1]Sales Order'!A:D,4,FALSE),"")</f>
        <v>39541</v>
      </c>
      <c r="M1933" s="10">
        <f>IFERROR(VLOOKUP(A1933,'[1]Sales Order'!A:F,6,FALSE),"")</f>
        <v>39551</v>
      </c>
      <c r="N1933" t="str">
        <f>IFERROR(VLOOKUP(VLOOKUP(A1933,'[1]Sales Order'!A:G,7,FALSE),[1]Shipper!A:B,2,FALSE),"Not Specified")</f>
        <v>Shipper ETYNR</v>
      </c>
      <c r="O1933" t="str">
        <f>IFERROR(VLOOKUP(A1933,'[1]Sales Order'!A:I,9,FALSE),"Not Specified")</f>
        <v>Ship to 46-A</v>
      </c>
      <c r="P1933" t="str">
        <f>IFERROR(VLOOKUP(A1933,'[1]Sales Order'!A:N,14,FALSE),"Not Specified")</f>
        <v>Venezuela</v>
      </c>
      <c r="Q1933" t="str">
        <f>VLOOKUP(VLOOKUP(B1933,[1]Product!A:C,3,FALSE),[1]Supplier!A:B,2,FALSE)</f>
        <v>Supplier XOXZA</v>
      </c>
      <c r="R1933" t="str">
        <f>VLOOKUP(VLOOKUP(B1933,[1]Product!A:C,3,FALSE),[1]Supplier!A:I,9,FALSE)</f>
        <v>Denmark</v>
      </c>
      <c r="S1933" t="str">
        <f>IFERROR(IF(VLOOKUP(A1933,'[1]Sales Order'!A:H,8,FALSE)&gt;100,"High Freight","Low Freight"),"Not Specified")</f>
        <v>Low Freight</v>
      </c>
      <c r="T1933">
        <f t="shared" si="61"/>
        <v>180</v>
      </c>
    </row>
    <row r="1934" spans="1:20">
      <c r="A1934" s="1">
        <v>10997</v>
      </c>
      <c r="B1934" s="2">
        <v>52</v>
      </c>
      <c r="C1934" s="2">
        <v>7</v>
      </c>
      <c r="D1934" s="2">
        <v>20</v>
      </c>
      <c r="E1934" s="3">
        <v>0.25</v>
      </c>
      <c r="F1934" s="2" t="str">
        <f>IFERROR(VLOOKUP(VLOOKUP(A1934,'[1]Sales Order'!A:B,2,FALSE),[1]Customer!A:C,3,FALSE),"Not Specified")</f>
        <v>Dressler, Marlies</v>
      </c>
      <c r="G1934" s="2" t="str">
        <f t="shared" si="60"/>
        <v>Dressler Marlies</v>
      </c>
      <c r="H1934" s="8" t="str">
        <f>IFERROR(VLOOKUP(VLOOKUP(A1934,'[1]Sales Order'!A:C,3,FALSE),[1]Employee!A:E,5,FALSE)&amp;" "&amp;VLOOKUP(VLOOKUP(A1934,'[1]Sales Order'!A:C,3,FALSE),[1]Employee!A:C,3,FALSE)&amp;" "&amp;VLOOKUP(VLOOKUP(A1934,'[1]Sales Order'!A:C,3,FALSE),[1]Employee!A:B,2,FALSE),"Not Specified")</f>
        <v>Ms. Maria Cameron</v>
      </c>
      <c r="I1934" t="str">
        <f>IFERROR(VLOOKUP(VLOOKUP(A1934,'[1]Sales Order'!A:C,3,FALSE),[1]Employee!A:J,10,FALSE),"Not Specified")</f>
        <v>WA</v>
      </c>
      <c r="J1934" t="str">
        <f>VLOOKUP(B1934,[1]Product!A:B,2,FALSE)</f>
        <v>Product QSRXF</v>
      </c>
      <c r="K1934" t="str">
        <f>VLOOKUP(VLOOKUP(B1934,[1]Product!A:D,4,FALSE),[1]Category!A:B,2,FALSE)</f>
        <v>Grains/Cereals</v>
      </c>
      <c r="L1934" s="10">
        <f>IFERROR(VLOOKUP(A1934,'[1]Sales Order'!A:D,4,FALSE),"")</f>
        <v>39541</v>
      </c>
      <c r="M1934" s="10">
        <f>IFERROR(VLOOKUP(A1934,'[1]Sales Order'!A:F,6,FALSE),"")</f>
        <v>39551</v>
      </c>
      <c r="N1934" t="str">
        <f>IFERROR(VLOOKUP(VLOOKUP(A1934,'[1]Sales Order'!A:G,7,FALSE),[1]Shipper!A:B,2,FALSE),"Not Specified")</f>
        <v>Shipper ETYNR</v>
      </c>
      <c r="O1934" t="str">
        <f>IFERROR(VLOOKUP(A1934,'[1]Sales Order'!A:I,9,FALSE),"Not Specified")</f>
        <v>Ship to 46-A</v>
      </c>
      <c r="P1934" t="str">
        <f>IFERROR(VLOOKUP(A1934,'[1]Sales Order'!A:N,14,FALSE),"Not Specified")</f>
        <v>Venezuela</v>
      </c>
      <c r="Q1934" t="str">
        <f>VLOOKUP(VLOOKUP(B1934,[1]Product!A:C,3,FALSE),[1]Supplier!A:B,2,FALSE)</f>
        <v>Supplier JNNES</v>
      </c>
      <c r="R1934" t="str">
        <f>VLOOKUP(VLOOKUP(B1934,[1]Product!A:C,3,FALSE),[1]Supplier!A:I,9,FALSE)</f>
        <v>Australia</v>
      </c>
      <c r="S1934" t="str">
        <f>IFERROR(IF(VLOOKUP(A1934,'[1]Sales Order'!A:H,8,FALSE)&gt;100,"High Freight","Low Freight"),"Not Specified")</f>
        <v>Low Freight</v>
      </c>
      <c r="T1934">
        <f t="shared" si="61"/>
        <v>105</v>
      </c>
    </row>
    <row r="1935" spans="1:20">
      <c r="A1935" s="1">
        <v>10998</v>
      </c>
      <c r="B1935" s="2">
        <v>24</v>
      </c>
      <c r="C1935" s="2">
        <v>4.5</v>
      </c>
      <c r="D1935" s="2">
        <v>12</v>
      </c>
      <c r="E1935" s="3">
        <v>0</v>
      </c>
      <c r="F1935" s="2" t="str">
        <f>IFERROR(VLOOKUP(VLOOKUP(A1935,'[1]Sales Order'!A:B,2,FALSE),[1]Customer!A:C,3,FALSE),"Not Specified")</f>
        <v>Conn, Steve</v>
      </c>
      <c r="G1935" s="2" t="str">
        <f t="shared" si="60"/>
        <v>Conn Steve</v>
      </c>
      <c r="H1935" s="8" t="str">
        <f>IFERROR(VLOOKUP(VLOOKUP(A1935,'[1]Sales Order'!A:C,3,FALSE),[1]Employee!A:E,5,FALSE)&amp;" "&amp;VLOOKUP(VLOOKUP(A1935,'[1]Sales Order'!A:C,3,FALSE),[1]Employee!A:C,3,FALSE)&amp;" "&amp;VLOOKUP(VLOOKUP(A1935,'[1]Sales Order'!A:C,3,FALSE),[1]Employee!A:B,2,FALSE),"Not Specified")</f>
        <v>Ms. Maria Cameron</v>
      </c>
      <c r="I1935" t="str">
        <f>IFERROR(VLOOKUP(VLOOKUP(A1935,'[1]Sales Order'!A:C,3,FALSE),[1]Employee!A:J,10,FALSE),"Not Specified")</f>
        <v>WA</v>
      </c>
      <c r="J1935" t="str">
        <f>VLOOKUP(B1935,[1]Product!A:B,2,FALSE)</f>
        <v>Product QOGNU</v>
      </c>
      <c r="K1935" t="str">
        <f>VLOOKUP(VLOOKUP(B1935,[1]Product!A:D,4,FALSE),[1]Category!A:B,2,FALSE)</f>
        <v>Beverages</v>
      </c>
      <c r="L1935" s="10">
        <f>IFERROR(VLOOKUP(A1935,'[1]Sales Order'!A:D,4,FALSE),"")</f>
        <v>39541</v>
      </c>
      <c r="M1935" s="10">
        <f>IFERROR(VLOOKUP(A1935,'[1]Sales Order'!A:F,6,FALSE),"")</f>
        <v>39555</v>
      </c>
      <c r="N1935" t="str">
        <f>IFERROR(VLOOKUP(VLOOKUP(A1935,'[1]Sales Order'!A:G,7,FALSE),[1]Shipper!A:B,2,FALSE),"Not Specified")</f>
        <v>Shipper ETYNR</v>
      </c>
      <c r="O1935" t="str">
        <f>IFERROR(VLOOKUP(A1935,'[1]Sales Order'!A:I,9,FALSE),"Not Specified")</f>
        <v>Ship to 91-A</v>
      </c>
      <c r="P1935" t="str">
        <f>IFERROR(VLOOKUP(A1935,'[1]Sales Order'!A:N,14,FALSE),"Not Specified")</f>
        <v>Poland</v>
      </c>
      <c r="Q1935" t="str">
        <f>VLOOKUP(VLOOKUP(B1935,[1]Product!A:C,3,FALSE),[1]Supplier!A:B,2,FALSE)</f>
        <v>Supplier UNAHG</v>
      </c>
      <c r="R1935" t="str">
        <f>VLOOKUP(VLOOKUP(B1935,[1]Product!A:C,3,FALSE),[1]Supplier!A:I,9,FALSE)</f>
        <v>Brazil</v>
      </c>
      <c r="S1935" t="str">
        <f>IFERROR(IF(VLOOKUP(A1935,'[1]Sales Order'!A:H,8,FALSE)&gt;100,"High Freight","Low Freight"),"Not Specified")</f>
        <v>Low Freight</v>
      </c>
      <c r="T1935">
        <f t="shared" si="61"/>
        <v>54</v>
      </c>
    </row>
    <row r="1936" spans="1:20">
      <c r="A1936" s="1">
        <v>10998</v>
      </c>
      <c r="B1936" s="2">
        <v>61</v>
      </c>
      <c r="C1936" s="2">
        <v>28.5</v>
      </c>
      <c r="D1936" s="2">
        <v>7</v>
      </c>
      <c r="E1936" s="3">
        <v>0</v>
      </c>
      <c r="F1936" s="2" t="str">
        <f>IFERROR(VLOOKUP(VLOOKUP(A1936,'[1]Sales Order'!A:B,2,FALSE),[1]Customer!A:C,3,FALSE),"Not Specified")</f>
        <v>Conn, Steve</v>
      </c>
      <c r="G1936" s="2" t="str">
        <f t="shared" si="60"/>
        <v>Conn Steve</v>
      </c>
      <c r="H1936" s="8" t="str">
        <f>IFERROR(VLOOKUP(VLOOKUP(A1936,'[1]Sales Order'!A:C,3,FALSE),[1]Employee!A:E,5,FALSE)&amp;" "&amp;VLOOKUP(VLOOKUP(A1936,'[1]Sales Order'!A:C,3,FALSE),[1]Employee!A:C,3,FALSE)&amp;" "&amp;VLOOKUP(VLOOKUP(A1936,'[1]Sales Order'!A:C,3,FALSE),[1]Employee!A:B,2,FALSE),"Not Specified")</f>
        <v>Ms. Maria Cameron</v>
      </c>
      <c r="I1936" t="str">
        <f>IFERROR(VLOOKUP(VLOOKUP(A1936,'[1]Sales Order'!A:C,3,FALSE),[1]Employee!A:J,10,FALSE),"Not Specified")</f>
        <v>WA</v>
      </c>
      <c r="J1936" t="str">
        <f>VLOOKUP(B1936,[1]Product!A:B,2,FALSE)</f>
        <v>Product XYZPE</v>
      </c>
      <c r="K1936" t="str">
        <f>VLOOKUP(VLOOKUP(B1936,[1]Product!A:D,4,FALSE),[1]Category!A:B,2,FALSE)</f>
        <v>Condiments</v>
      </c>
      <c r="L1936" s="10">
        <f>IFERROR(VLOOKUP(A1936,'[1]Sales Order'!A:D,4,FALSE),"")</f>
        <v>39541</v>
      </c>
      <c r="M1936" s="10">
        <f>IFERROR(VLOOKUP(A1936,'[1]Sales Order'!A:F,6,FALSE),"")</f>
        <v>39555</v>
      </c>
      <c r="N1936" t="str">
        <f>IFERROR(VLOOKUP(VLOOKUP(A1936,'[1]Sales Order'!A:G,7,FALSE),[1]Shipper!A:B,2,FALSE),"Not Specified")</f>
        <v>Shipper ETYNR</v>
      </c>
      <c r="O1936" t="str">
        <f>IFERROR(VLOOKUP(A1936,'[1]Sales Order'!A:I,9,FALSE),"Not Specified")</f>
        <v>Ship to 91-A</v>
      </c>
      <c r="P1936" t="str">
        <f>IFERROR(VLOOKUP(A1936,'[1]Sales Order'!A:N,14,FALSE),"Not Specified")</f>
        <v>Poland</v>
      </c>
      <c r="Q1936" t="str">
        <f>VLOOKUP(VLOOKUP(B1936,[1]Product!A:C,3,FALSE),[1]Supplier!A:B,2,FALSE)</f>
        <v>Supplier OGLRK</v>
      </c>
      <c r="R1936" t="str">
        <f>VLOOKUP(VLOOKUP(B1936,[1]Product!A:C,3,FALSE),[1]Supplier!A:I,9,FALSE)</f>
        <v>Canada</v>
      </c>
      <c r="S1936" t="str">
        <f>IFERROR(IF(VLOOKUP(A1936,'[1]Sales Order'!A:H,8,FALSE)&gt;100,"High Freight","Low Freight"),"Not Specified")</f>
        <v>Low Freight</v>
      </c>
      <c r="T1936">
        <f t="shared" si="61"/>
        <v>199.5</v>
      </c>
    </row>
    <row r="1937" spans="1:20">
      <c r="A1937" s="1">
        <v>10998</v>
      </c>
      <c r="B1937" s="2">
        <v>74</v>
      </c>
      <c r="C1937" s="2">
        <v>10</v>
      </c>
      <c r="D1937" s="2">
        <v>20</v>
      </c>
      <c r="E1937" s="3">
        <v>0</v>
      </c>
      <c r="F1937" s="2" t="str">
        <f>IFERROR(VLOOKUP(VLOOKUP(A1937,'[1]Sales Order'!A:B,2,FALSE),[1]Customer!A:C,3,FALSE),"Not Specified")</f>
        <v>Conn, Steve</v>
      </c>
      <c r="G1937" s="2" t="str">
        <f t="shared" si="60"/>
        <v>Conn Steve</v>
      </c>
      <c r="H1937" s="8" t="str">
        <f>IFERROR(VLOOKUP(VLOOKUP(A1937,'[1]Sales Order'!A:C,3,FALSE),[1]Employee!A:E,5,FALSE)&amp;" "&amp;VLOOKUP(VLOOKUP(A1937,'[1]Sales Order'!A:C,3,FALSE),[1]Employee!A:C,3,FALSE)&amp;" "&amp;VLOOKUP(VLOOKUP(A1937,'[1]Sales Order'!A:C,3,FALSE),[1]Employee!A:B,2,FALSE),"Not Specified")</f>
        <v>Ms. Maria Cameron</v>
      </c>
      <c r="I1937" t="str">
        <f>IFERROR(VLOOKUP(VLOOKUP(A1937,'[1]Sales Order'!A:C,3,FALSE),[1]Employee!A:J,10,FALSE),"Not Specified")</f>
        <v>WA</v>
      </c>
      <c r="J1937" t="str">
        <f>VLOOKUP(B1937,[1]Product!A:B,2,FALSE)</f>
        <v>Product BKAZJ</v>
      </c>
      <c r="K1937" t="str">
        <f>VLOOKUP(VLOOKUP(B1937,[1]Product!A:D,4,FALSE),[1]Category!A:B,2,FALSE)</f>
        <v>Produce</v>
      </c>
      <c r="L1937" s="10">
        <f>IFERROR(VLOOKUP(A1937,'[1]Sales Order'!A:D,4,FALSE),"")</f>
        <v>39541</v>
      </c>
      <c r="M1937" s="10">
        <f>IFERROR(VLOOKUP(A1937,'[1]Sales Order'!A:F,6,FALSE),"")</f>
        <v>39555</v>
      </c>
      <c r="N1937" t="str">
        <f>IFERROR(VLOOKUP(VLOOKUP(A1937,'[1]Sales Order'!A:G,7,FALSE),[1]Shipper!A:B,2,FALSE),"Not Specified")</f>
        <v>Shipper ETYNR</v>
      </c>
      <c r="O1937" t="str">
        <f>IFERROR(VLOOKUP(A1937,'[1]Sales Order'!A:I,9,FALSE),"Not Specified")</f>
        <v>Ship to 91-A</v>
      </c>
      <c r="P1937" t="str">
        <f>IFERROR(VLOOKUP(A1937,'[1]Sales Order'!A:N,14,FALSE),"Not Specified")</f>
        <v>Poland</v>
      </c>
      <c r="Q1937" t="str">
        <f>VLOOKUP(VLOOKUP(B1937,[1]Product!A:C,3,FALSE),[1]Supplier!A:B,2,FALSE)</f>
        <v>Supplier QOVFD</v>
      </c>
      <c r="R1937" t="str">
        <f>VLOOKUP(VLOOKUP(B1937,[1]Product!A:C,3,FALSE),[1]Supplier!A:I,9,FALSE)</f>
        <v>Japan</v>
      </c>
      <c r="S1937" t="str">
        <f>IFERROR(IF(VLOOKUP(A1937,'[1]Sales Order'!A:H,8,FALSE)&gt;100,"High Freight","Low Freight"),"Not Specified")</f>
        <v>Low Freight</v>
      </c>
      <c r="T1937">
        <f t="shared" si="61"/>
        <v>200</v>
      </c>
    </row>
    <row r="1938" spans="1:20">
      <c r="A1938" s="1">
        <v>10998</v>
      </c>
      <c r="B1938" s="2">
        <v>75</v>
      </c>
      <c r="C1938" s="2">
        <v>7.75</v>
      </c>
      <c r="D1938" s="2">
        <v>30</v>
      </c>
      <c r="E1938" s="3">
        <v>0</v>
      </c>
      <c r="F1938" s="2" t="str">
        <f>IFERROR(VLOOKUP(VLOOKUP(A1938,'[1]Sales Order'!A:B,2,FALSE),[1]Customer!A:C,3,FALSE),"Not Specified")</f>
        <v>Conn, Steve</v>
      </c>
      <c r="G1938" s="2" t="str">
        <f t="shared" si="60"/>
        <v>Conn Steve</v>
      </c>
      <c r="H1938" s="8" t="str">
        <f>IFERROR(VLOOKUP(VLOOKUP(A1938,'[1]Sales Order'!A:C,3,FALSE),[1]Employee!A:E,5,FALSE)&amp;" "&amp;VLOOKUP(VLOOKUP(A1938,'[1]Sales Order'!A:C,3,FALSE),[1]Employee!A:C,3,FALSE)&amp;" "&amp;VLOOKUP(VLOOKUP(A1938,'[1]Sales Order'!A:C,3,FALSE),[1]Employee!A:B,2,FALSE),"Not Specified")</f>
        <v>Ms. Maria Cameron</v>
      </c>
      <c r="I1938" t="str">
        <f>IFERROR(VLOOKUP(VLOOKUP(A1938,'[1]Sales Order'!A:C,3,FALSE),[1]Employee!A:J,10,FALSE),"Not Specified")</f>
        <v>WA</v>
      </c>
      <c r="J1938" t="str">
        <f>VLOOKUP(B1938,[1]Product!A:B,2,FALSE)</f>
        <v>Product BWRLG</v>
      </c>
      <c r="K1938" t="str">
        <f>VLOOKUP(VLOOKUP(B1938,[1]Product!A:D,4,FALSE),[1]Category!A:B,2,FALSE)</f>
        <v>Beverages</v>
      </c>
      <c r="L1938" s="10">
        <f>IFERROR(VLOOKUP(A1938,'[1]Sales Order'!A:D,4,FALSE),"")</f>
        <v>39541</v>
      </c>
      <c r="M1938" s="10">
        <f>IFERROR(VLOOKUP(A1938,'[1]Sales Order'!A:F,6,FALSE),"")</f>
        <v>39555</v>
      </c>
      <c r="N1938" t="str">
        <f>IFERROR(VLOOKUP(VLOOKUP(A1938,'[1]Sales Order'!A:G,7,FALSE),[1]Shipper!A:B,2,FALSE),"Not Specified")</f>
        <v>Shipper ETYNR</v>
      </c>
      <c r="O1938" t="str">
        <f>IFERROR(VLOOKUP(A1938,'[1]Sales Order'!A:I,9,FALSE),"Not Specified")</f>
        <v>Ship to 91-A</v>
      </c>
      <c r="P1938" t="str">
        <f>IFERROR(VLOOKUP(A1938,'[1]Sales Order'!A:N,14,FALSE),"Not Specified")</f>
        <v>Poland</v>
      </c>
      <c r="Q1938" t="str">
        <f>VLOOKUP(VLOOKUP(B1938,[1]Product!A:C,3,FALSE),[1]Supplier!A:B,2,FALSE)</f>
        <v>Supplier SVIYA</v>
      </c>
      <c r="R1938" t="str">
        <f>VLOOKUP(VLOOKUP(B1938,[1]Product!A:C,3,FALSE),[1]Supplier!A:I,9,FALSE)</f>
        <v>Germany</v>
      </c>
      <c r="S1938" t="str">
        <f>IFERROR(IF(VLOOKUP(A1938,'[1]Sales Order'!A:H,8,FALSE)&gt;100,"High Freight","Low Freight"),"Not Specified")</f>
        <v>Low Freight</v>
      </c>
      <c r="T1938">
        <f t="shared" si="61"/>
        <v>232.5</v>
      </c>
    </row>
    <row r="1939" spans="1:20">
      <c r="A1939" s="1">
        <v>10999</v>
      </c>
      <c r="B1939" s="2">
        <v>41</v>
      </c>
      <c r="C1939" s="2">
        <v>9.65</v>
      </c>
      <c r="D1939" s="2">
        <v>20</v>
      </c>
      <c r="E1939" s="3">
        <v>0.05</v>
      </c>
      <c r="F1939" s="2" t="str">
        <f>IFERROR(VLOOKUP(VLOOKUP(A1939,'[1]Sales Order'!A:B,2,FALSE),[1]Customer!A:C,3,FALSE),"Not Specified")</f>
        <v>Marinova, Nadejda</v>
      </c>
      <c r="G1939" s="2" t="str">
        <f t="shared" si="60"/>
        <v>Marinova Nadejda</v>
      </c>
      <c r="H1939" s="8" t="str">
        <f>IFERROR(VLOOKUP(VLOOKUP(A1939,'[1]Sales Order'!A:C,3,FALSE),[1]Employee!A:E,5,FALSE)&amp;" "&amp;VLOOKUP(VLOOKUP(A1939,'[1]Sales Order'!A:C,3,FALSE),[1]Employee!A:C,3,FALSE)&amp;" "&amp;VLOOKUP(VLOOKUP(A1939,'[1]Sales Order'!A:C,3,FALSE),[1]Employee!A:B,2,FALSE),"Not Specified")</f>
        <v>Mr. Paul Suurs</v>
      </c>
      <c r="I1939">
        <f>IFERROR(VLOOKUP(VLOOKUP(A1939,'[1]Sales Order'!A:C,3,FALSE),[1]Employee!A:J,10,FALSE),"Not Specified")</f>
        <v>0</v>
      </c>
      <c r="J1939" t="str">
        <f>VLOOKUP(B1939,[1]Product!A:B,2,FALSE)</f>
        <v>Product TTEEX</v>
      </c>
      <c r="K1939" t="str">
        <f>VLOOKUP(VLOOKUP(B1939,[1]Product!A:D,4,FALSE),[1]Category!A:B,2,FALSE)</f>
        <v>Seafood</v>
      </c>
      <c r="L1939" s="10">
        <f>IFERROR(VLOOKUP(A1939,'[1]Sales Order'!A:D,4,FALSE),"")</f>
        <v>39541</v>
      </c>
      <c r="M1939" s="10">
        <f>IFERROR(VLOOKUP(A1939,'[1]Sales Order'!A:F,6,FALSE),"")</f>
        <v>39548</v>
      </c>
      <c r="N1939" t="str">
        <f>IFERROR(VLOOKUP(VLOOKUP(A1939,'[1]Sales Order'!A:G,7,FALSE),[1]Shipper!A:B,2,FALSE),"Not Specified")</f>
        <v>Shipper ETYNR</v>
      </c>
      <c r="O1939" t="str">
        <f>IFERROR(VLOOKUP(A1939,'[1]Sales Order'!A:I,9,FALSE),"Not Specified")</f>
        <v>Ship to 56-B</v>
      </c>
      <c r="P1939" t="str">
        <f>IFERROR(VLOOKUP(A1939,'[1]Sales Order'!A:N,14,FALSE),"Not Specified")</f>
        <v>Germany</v>
      </c>
      <c r="Q1939" t="str">
        <f>VLOOKUP(VLOOKUP(B1939,[1]Product!A:C,3,FALSE),[1]Supplier!A:B,2,FALSE)</f>
        <v>Supplier JDNUG</v>
      </c>
      <c r="R1939" t="str">
        <f>VLOOKUP(VLOOKUP(B1939,[1]Product!A:C,3,FALSE),[1]Supplier!A:I,9,FALSE)</f>
        <v>USA</v>
      </c>
      <c r="S1939" t="str">
        <f>IFERROR(IF(VLOOKUP(A1939,'[1]Sales Order'!A:H,8,FALSE)&gt;100,"High Freight","Low Freight"),"Not Specified")</f>
        <v>Low Freight</v>
      </c>
      <c r="T1939">
        <f t="shared" si="61"/>
        <v>183.35</v>
      </c>
    </row>
    <row r="1940" spans="1:20">
      <c r="A1940" s="1">
        <v>10999</v>
      </c>
      <c r="B1940" s="2">
        <v>51</v>
      </c>
      <c r="C1940" s="2">
        <v>53</v>
      </c>
      <c r="D1940" s="2">
        <v>15</v>
      </c>
      <c r="E1940" s="3">
        <v>0.05</v>
      </c>
      <c r="F1940" s="2" t="str">
        <f>IFERROR(VLOOKUP(VLOOKUP(A1940,'[1]Sales Order'!A:B,2,FALSE),[1]Customer!A:C,3,FALSE),"Not Specified")</f>
        <v>Marinova, Nadejda</v>
      </c>
      <c r="G1940" s="2" t="str">
        <f t="shared" si="60"/>
        <v>Marinova Nadejda</v>
      </c>
      <c r="H1940" s="8" t="str">
        <f>IFERROR(VLOOKUP(VLOOKUP(A1940,'[1]Sales Order'!A:C,3,FALSE),[1]Employee!A:E,5,FALSE)&amp;" "&amp;VLOOKUP(VLOOKUP(A1940,'[1]Sales Order'!A:C,3,FALSE),[1]Employee!A:C,3,FALSE)&amp;" "&amp;VLOOKUP(VLOOKUP(A1940,'[1]Sales Order'!A:C,3,FALSE),[1]Employee!A:B,2,FALSE),"Not Specified")</f>
        <v>Mr. Paul Suurs</v>
      </c>
      <c r="I1940">
        <f>IFERROR(VLOOKUP(VLOOKUP(A1940,'[1]Sales Order'!A:C,3,FALSE),[1]Employee!A:J,10,FALSE),"Not Specified")</f>
        <v>0</v>
      </c>
      <c r="J1940" t="str">
        <f>VLOOKUP(B1940,[1]Product!A:B,2,FALSE)</f>
        <v>Product APITJ</v>
      </c>
      <c r="K1940" t="str">
        <f>VLOOKUP(VLOOKUP(B1940,[1]Product!A:D,4,FALSE),[1]Category!A:B,2,FALSE)</f>
        <v>Produce</v>
      </c>
      <c r="L1940" s="10">
        <f>IFERROR(VLOOKUP(A1940,'[1]Sales Order'!A:D,4,FALSE),"")</f>
        <v>39541</v>
      </c>
      <c r="M1940" s="10">
        <f>IFERROR(VLOOKUP(A1940,'[1]Sales Order'!A:F,6,FALSE),"")</f>
        <v>39548</v>
      </c>
      <c r="N1940" t="str">
        <f>IFERROR(VLOOKUP(VLOOKUP(A1940,'[1]Sales Order'!A:G,7,FALSE),[1]Shipper!A:B,2,FALSE),"Not Specified")</f>
        <v>Shipper ETYNR</v>
      </c>
      <c r="O1940" t="str">
        <f>IFERROR(VLOOKUP(A1940,'[1]Sales Order'!A:I,9,FALSE),"Not Specified")</f>
        <v>Ship to 56-B</v>
      </c>
      <c r="P1940" t="str">
        <f>IFERROR(VLOOKUP(A1940,'[1]Sales Order'!A:N,14,FALSE),"Not Specified")</f>
        <v>Germany</v>
      </c>
      <c r="Q1940" t="str">
        <f>VLOOKUP(VLOOKUP(B1940,[1]Product!A:C,3,FALSE),[1]Supplier!A:B,2,FALSE)</f>
        <v>Supplier JNNES</v>
      </c>
      <c r="R1940" t="str">
        <f>VLOOKUP(VLOOKUP(B1940,[1]Product!A:C,3,FALSE),[1]Supplier!A:I,9,FALSE)</f>
        <v>Australia</v>
      </c>
      <c r="S1940" t="str">
        <f>IFERROR(IF(VLOOKUP(A1940,'[1]Sales Order'!A:H,8,FALSE)&gt;100,"High Freight","Low Freight"),"Not Specified")</f>
        <v>Low Freight</v>
      </c>
      <c r="T1940">
        <f t="shared" si="61"/>
        <v>755.25</v>
      </c>
    </row>
    <row r="1941" spans="1:20">
      <c r="A1941" s="1">
        <v>10999</v>
      </c>
      <c r="B1941" s="2">
        <v>77</v>
      </c>
      <c r="C1941" s="2">
        <v>13</v>
      </c>
      <c r="D1941" s="2">
        <v>21</v>
      </c>
      <c r="E1941" s="3">
        <v>0.05</v>
      </c>
      <c r="F1941" s="2" t="str">
        <f>IFERROR(VLOOKUP(VLOOKUP(A1941,'[1]Sales Order'!A:B,2,FALSE),[1]Customer!A:C,3,FALSE),"Not Specified")</f>
        <v>Marinova, Nadejda</v>
      </c>
      <c r="G1941" s="2" t="str">
        <f t="shared" si="60"/>
        <v>Marinova Nadejda</v>
      </c>
      <c r="H1941" s="8" t="str">
        <f>IFERROR(VLOOKUP(VLOOKUP(A1941,'[1]Sales Order'!A:C,3,FALSE),[1]Employee!A:E,5,FALSE)&amp;" "&amp;VLOOKUP(VLOOKUP(A1941,'[1]Sales Order'!A:C,3,FALSE),[1]Employee!A:C,3,FALSE)&amp;" "&amp;VLOOKUP(VLOOKUP(A1941,'[1]Sales Order'!A:C,3,FALSE),[1]Employee!A:B,2,FALSE),"Not Specified")</f>
        <v>Mr. Paul Suurs</v>
      </c>
      <c r="I1941">
        <f>IFERROR(VLOOKUP(VLOOKUP(A1941,'[1]Sales Order'!A:C,3,FALSE),[1]Employee!A:J,10,FALSE),"Not Specified")</f>
        <v>0</v>
      </c>
      <c r="J1941" t="str">
        <f>VLOOKUP(B1941,[1]Product!A:B,2,FALSE)</f>
        <v>Product LUNZZ</v>
      </c>
      <c r="K1941" t="str">
        <f>VLOOKUP(VLOOKUP(B1941,[1]Product!A:D,4,FALSE),[1]Category!A:B,2,FALSE)</f>
        <v>Condiments</v>
      </c>
      <c r="L1941" s="10">
        <f>IFERROR(VLOOKUP(A1941,'[1]Sales Order'!A:D,4,FALSE),"")</f>
        <v>39541</v>
      </c>
      <c r="M1941" s="10">
        <f>IFERROR(VLOOKUP(A1941,'[1]Sales Order'!A:F,6,FALSE),"")</f>
        <v>39548</v>
      </c>
      <c r="N1941" t="str">
        <f>IFERROR(VLOOKUP(VLOOKUP(A1941,'[1]Sales Order'!A:G,7,FALSE),[1]Shipper!A:B,2,FALSE),"Not Specified")</f>
        <v>Shipper ETYNR</v>
      </c>
      <c r="O1941" t="str">
        <f>IFERROR(VLOOKUP(A1941,'[1]Sales Order'!A:I,9,FALSE),"Not Specified")</f>
        <v>Ship to 56-B</v>
      </c>
      <c r="P1941" t="str">
        <f>IFERROR(VLOOKUP(A1941,'[1]Sales Order'!A:N,14,FALSE),"Not Specified")</f>
        <v>Germany</v>
      </c>
      <c r="Q1941" t="str">
        <f>VLOOKUP(VLOOKUP(B1941,[1]Product!A:C,3,FALSE),[1]Supplier!A:B,2,FALSE)</f>
        <v>Supplier SVIYA</v>
      </c>
      <c r="R1941" t="str">
        <f>VLOOKUP(VLOOKUP(B1941,[1]Product!A:C,3,FALSE),[1]Supplier!A:I,9,FALSE)</f>
        <v>Germany</v>
      </c>
      <c r="S1941" t="str">
        <f>IFERROR(IF(VLOOKUP(A1941,'[1]Sales Order'!A:H,8,FALSE)&gt;100,"High Freight","Low Freight"),"Not Specified")</f>
        <v>Low Freight</v>
      </c>
      <c r="T1941">
        <f t="shared" si="61"/>
        <v>259.34999999999997</v>
      </c>
    </row>
    <row r="1942" spans="1:20">
      <c r="A1942" s="1">
        <v>11000</v>
      </c>
      <c r="B1942" s="2">
        <v>4</v>
      </c>
      <c r="C1942" s="2">
        <v>22</v>
      </c>
      <c r="D1942" s="2">
        <v>25</v>
      </c>
      <c r="E1942" s="3">
        <v>0.25</v>
      </c>
      <c r="F1942" s="2" t="str">
        <f>IFERROR(VLOOKUP(VLOOKUP(A1942,'[1]Sales Order'!A:B,2,FALSE),[1]Customer!A:C,3,FALSE),"Not Specified")</f>
        <v>Moore, Michael</v>
      </c>
      <c r="G1942" s="2" t="str">
        <f t="shared" si="60"/>
        <v>Moore Michael</v>
      </c>
      <c r="H1942" s="8" t="str">
        <f>IFERROR(VLOOKUP(VLOOKUP(A1942,'[1]Sales Order'!A:C,3,FALSE),[1]Employee!A:E,5,FALSE)&amp;" "&amp;VLOOKUP(VLOOKUP(A1942,'[1]Sales Order'!A:C,3,FALSE),[1]Employee!A:C,3,FALSE)&amp;" "&amp;VLOOKUP(VLOOKUP(A1942,'[1]Sales Order'!A:C,3,FALSE),[1]Employee!A:B,2,FALSE),"Not Specified")</f>
        <v>Dr. Don Funk</v>
      </c>
      <c r="I1942" t="str">
        <f>IFERROR(VLOOKUP(VLOOKUP(A1942,'[1]Sales Order'!A:C,3,FALSE),[1]Employee!A:J,10,FALSE),"Not Specified")</f>
        <v>WA</v>
      </c>
      <c r="J1942" t="str">
        <f>VLOOKUP(B1942,[1]Product!A:B,2,FALSE)</f>
        <v>Product KSBRM</v>
      </c>
      <c r="K1942" t="str">
        <f>VLOOKUP(VLOOKUP(B1942,[1]Product!A:D,4,FALSE),[1]Category!A:B,2,FALSE)</f>
        <v>Condiments</v>
      </c>
      <c r="L1942" s="10">
        <f>IFERROR(VLOOKUP(A1942,'[1]Sales Order'!A:D,4,FALSE),"")</f>
        <v>39544</v>
      </c>
      <c r="M1942" s="10">
        <f>IFERROR(VLOOKUP(A1942,'[1]Sales Order'!A:F,6,FALSE),"")</f>
        <v>39552</v>
      </c>
      <c r="N1942" t="str">
        <f>IFERROR(VLOOKUP(VLOOKUP(A1942,'[1]Sales Order'!A:G,7,FALSE),[1]Shipper!A:B,2,FALSE),"Not Specified")</f>
        <v>Shipper ZHISN</v>
      </c>
      <c r="O1942" t="str">
        <f>IFERROR(VLOOKUP(A1942,'[1]Sales Order'!A:I,9,FALSE),"Not Specified")</f>
        <v>Ship to 65-A</v>
      </c>
      <c r="P1942" t="str">
        <f>IFERROR(VLOOKUP(A1942,'[1]Sales Order'!A:N,14,FALSE),"Not Specified")</f>
        <v>USA</v>
      </c>
      <c r="Q1942" t="str">
        <f>VLOOKUP(VLOOKUP(B1942,[1]Product!A:C,3,FALSE),[1]Supplier!A:B,2,FALSE)</f>
        <v>Supplier VHQZD</v>
      </c>
      <c r="R1942" t="str">
        <f>VLOOKUP(VLOOKUP(B1942,[1]Product!A:C,3,FALSE),[1]Supplier!A:I,9,FALSE)</f>
        <v>USA</v>
      </c>
      <c r="S1942" t="str">
        <f>IFERROR(IF(VLOOKUP(A1942,'[1]Sales Order'!A:H,8,FALSE)&gt;100,"High Freight","Low Freight"),"Not Specified")</f>
        <v>Low Freight</v>
      </c>
      <c r="T1942">
        <f t="shared" si="61"/>
        <v>412.5</v>
      </c>
    </row>
    <row r="1943" spans="1:20">
      <c r="A1943" s="1">
        <v>11000</v>
      </c>
      <c r="B1943" s="2">
        <v>24</v>
      </c>
      <c r="C1943" s="2">
        <v>4.5</v>
      </c>
      <c r="D1943" s="2">
        <v>30</v>
      </c>
      <c r="E1943" s="3">
        <v>0.25</v>
      </c>
      <c r="F1943" s="2" t="str">
        <f>IFERROR(VLOOKUP(VLOOKUP(A1943,'[1]Sales Order'!A:B,2,FALSE),[1]Customer!A:C,3,FALSE),"Not Specified")</f>
        <v>Moore, Michael</v>
      </c>
      <c r="G1943" s="2" t="str">
        <f t="shared" si="60"/>
        <v>Moore Michael</v>
      </c>
      <c r="H1943" s="8" t="str">
        <f>IFERROR(VLOOKUP(VLOOKUP(A1943,'[1]Sales Order'!A:C,3,FALSE),[1]Employee!A:E,5,FALSE)&amp;" "&amp;VLOOKUP(VLOOKUP(A1943,'[1]Sales Order'!A:C,3,FALSE),[1]Employee!A:C,3,FALSE)&amp;" "&amp;VLOOKUP(VLOOKUP(A1943,'[1]Sales Order'!A:C,3,FALSE),[1]Employee!A:B,2,FALSE),"Not Specified")</f>
        <v>Dr. Don Funk</v>
      </c>
      <c r="I1943" t="str">
        <f>IFERROR(VLOOKUP(VLOOKUP(A1943,'[1]Sales Order'!A:C,3,FALSE),[1]Employee!A:J,10,FALSE),"Not Specified")</f>
        <v>WA</v>
      </c>
      <c r="J1943" t="str">
        <f>VLOOKUP(B1943,[1]Product!A:B,2,FALSE)</f>
        <v>Product QOGNU</v>
      </c>
      <c r="K1943" t="str">
        <f>VLOOKUP(VLOOKUP(B1943,[1]Product!A:D,4,FALSE),[1]Category!A:B,2,FALSE)</f>
        <v>Beverages</v>
      </c>
      <c r="L1943" s="10">
        <f>IFERROR(VLOOKUP(A1943,'[1]Sales Order'!A:D,4,FALSE),"")</f>
        <v>39544</v>
      </c>
      <c r="M1943" s="10">
        <f>IFERROR(VLOOKUP(A1943,'[1]Sales Order'!A:F,6,FALSE),"")</f>
        <v>39552</v>
      </c>
      <c r="N1943" t="str">
        <f>IFERROR(VLOOKUP(VLOOKUP(A1943,'[1]Sales Order'!A:G,7,FALSE),[1]Shipper!A:B,2,FALSE),"Not Specified")</f>
        <v>Shipper ZHISN</v>
      </c>
      <c r="O1943" t="str">
        <f>IFERROR(VLOOKUP(A1943,'[1]Sales Order'!A:I,9,FALSE),"Not Specified")</f>
        <v>Ship to 65-A</v>
      </c>
      <c r="P1943" t="str">
        <f>IFERROR(VLOOKUP(A1943,'[1]Sales Order'!A:N,14,FALSE),"Not Specified")</f>
        <v>USA</v>
      </c>
      <c r="Q1943" t="str">
        <f>VLOOKUP(VLOOKUP(B1943,[1]Product!A:C,3,FALSE),[1]Supplier!A:B,2,FALSE)</f>
        <v>Supplier UNAHG</v>
      </c>
      <c r="R1943" t="str">
        <f>VLOOKUP(VLOOKUP(B1943,[1]Product!A:C,3,FALSE),[1]Supplier!A:I,9,FALSE)</f>
        <v>Brazil</v>
      </c>
      <c r="S1943" t="str">
        <f>IFERROR(IF(VLOOKUP(A1943,'[1]Sales Order'!A:H,8,FALSE)&gt;100,"High Freight","Low Freight"),"Not Specified")</f>
        <v>Low Freight</v>
      </c>
      <c r="T1943">
        <f t="shared" si="61"/>
        <v>101.25</v>
      </c>
    </row>
    <row r="1944" spans="1:20">
      <c r="A1944" s="1">
        <v>11000</v>
      </c>
      <c r="B1944" s="2">
        <v>77</v>
      </c>
      <c r="C1944" s="2">
        <v>13</v>
      </c>
      <c r="D1944" s="2">
        <v>30</v>
      </c>
      <c r="E1944" s="3">
        <v>0</v>
      </c>
      <c r="F1944" s="2" t="str">
        <f>IFERROR(VLOOKUP(VLOOKUP(A1944,'[1]Sales Order'!A:B,2,FALSE),[1]Customer!A:C,3,FALSE),"Not Specified")</f>
        <v>Moore, Michael</v>
      </c>
      <c r="G1944" s="2" t="str">
        <f t="shared" si="60"/>
        <v>Moore Michael</v>
      </c>
      <c r="H1944" s="8" t="str">
        <f>IFERROR(VLOOKUP(VLOOKUP(A1944,'[1]Sales Order'!A:C,3,FALSE),[1]Employee!A:E,5,FALSE)&amp;" "&amp;VLOOKUP(VLOOKUP(A1944,'[1]Sales Order'!A:C,3,FALSE),[1]Employee!A:C,3,FALSE)&amp;" "&amp;VLOOKUP(VLOOKUP(A1944,'[1]Sales Order'!A:C,3,FALSE),[1]Employee!A:B,2,FALSE),"Not Specified")</f>
        <v>Dr. Don Funk</v>
      </c>
      <c r="I1944" t="str">
        <f>IFERROR(VLOOKUP(VLOOKUP(A1944,'[1]Sales Order'!A:C,3,FALSE),[1]Employee!A:J,10,FALSE),"Not Specified")</f>
        <v>WA</v>
      </c>
      <c r="J1944" t="str">
        <f>VLOOKUP(B1944,[1]Product!A:B,2,FALSE)</f>
        <v>Product LUNZZ</v>
      </c>
      <c r="K1944" t="str">
        <f>VLOOKUP(VLOOKUP(B1944,[1]Product!A:D,4,FALSE),[1]Category!A:B,2,FALSE)</f>
        <v>Condiments</v>
      </c>
      <c r="L1944" s="10">
        <f>IFERROR(VLOOKUP(A1944,'[1]Sales Order'!A:D,4,FALSE),"")</f>
        <v>39544</v>
      </c>
      <c r="M1944" s="10">
        <f>IFERROR(VLOOKUP(A1944,'[1]Sales Order'!A:F,6,FALSE),"")</f>
        <v>39552</v>
      </c>
      <c r="N1944" t="str">
        <f>IFERROR(VLOOKUP(VLOOKUP(A1944,'[1]Sales Order'!A:G,7,FALSE),[1]Shipper!A:B,2,FALSE),"Not Specified")</f>
        <v>Shipper ZHISN</v>
      </c>
      <c r="O1944" t="str">
        <f>IFERROR(VLOOKUP(A1944,'[1]Sales Order'!A:I,9,FALSE),"Not Specified")</f>
        <v>Ship to 65-A</v>
      </c>
      <c r="P1944" t="str">
        <f>IFERROR(VLOOKUP(A1944,'[1]Sales Order'!A:N,14,FALSE),"Not Specified")</f>
        <v>USA</v>
      </c>
      <c r="Q1944" t="str">
        <f>VLOOKUP(VLOOKUP(B1944,[1]Product!A:C,3,FALSE),[1]Supplier!A:B,2,FALSE)</f>
        <v>Supplier SVIYA</v>
      </c>
      <c r="R1944" t="str">
        <f>VLOOKUP(VLOOKUP(B1944,[1]Product!A:C,3,FALSE),[1]Supplier!A:I,9,FALSE)</f>
        <v>Germany</v>
      </c>
      <c r="S1944" t="str">
        <f>IFERROR(IF(VLOOKUP(A1944,'[1]Sales Order'!A:H,8,FALSE)&gt;100,"High Freight","Low Freight"),"Not Specified")</f>
        <v>Low Freight</v>
      </c>
      <c r="T1944">
        <f t="shared" si="61"/>
        <v>390</v>
      </c>
    </row>
    <row r="1945" spans="1:20">
      <c r="A1945" s="1">
        <v>11001</v>
      </c>
      <c r="B1945" s="2">
        <v>7</v>
      </c>
      <c r="C1945" s="2">
        <v>30</v>
      </c>
      <c r="D1945" s="2">
        <v>60</v>
      </c>
      <c r="E1945" s="3">
        <v>0</v>
      </c>
      <c r="F1945" s="2" t="str">
        <f>IFERROR(VLOOKUP(VLOOKUP(A1945,'[1]Sales Order'!A:B,2,FALSE),[1]Customer!A:C,3,FALSE),"Not Specified")</f>
        <v>San Juan, Patricia</v>
      </c>
      <c r="G1945" s="2" t="str">
        <f t="shared" si="60"/>
        <v>San Juan Patricia</v>
      </c>
      <c r="H1945" s="8" t="str">
        <f>IFERROR(VLOOKUP(VLOOKUP(A1945,'[1]Sales Order'!A:C,3,FALSE),[1]Employee!A:E,5,FALSE)&amp;" "&amp;VLOOKUP(VLOOKUP(A1945,'[1]Sales Order'!A:C,3,FALSE),[1]Employee!A:C,3,FALSE)&amp;" "&amp;VLOOKUP(VLOOKUP(A1945,'[1]Sales Order'!A:C,3,FALSE),[1]Employee!A:B,2,FALSE),"Not Specified")</f>
        <v>Dr. Don Funk</v>
      </c>
      <c r="I1945" t="str">
        <f>IFERROR(VLOOKUP(VLOOKUP(A1945,'[1]Sales Order'!A:C,3,FALSE),[1]Employee!A:J,10,FALSE),"Not Specified")</f>
        <v>WA</v>
      </c>
      <c r="J1945" t="str">
        <f>VLOOKUP(B1945,[1]Product!A:B,2,FALSE)</f>
        <v>Product HMLNI</v>
      </c>
      <c r="K1945" t="str">
        <f>VLOOKUP(VLOOKUP(B1945,[1]Product!A:D,4,FALSE),[1]Category!A:B,2,FALSE)</f>
        <v>Produce</v>
      </c>
      <c r="L1945" s="10">
        <f>IFERROR(VLOOKUP(A1945,'[1]Sales Order'!A:D,4,FALSE),"")</f>
        <v>39544</v>
      </c>
      <c r="M1945" s="10">
        <f>IFERROR(VLOOKUP(A1945,'[1]Sales Order'!A:F,6,FALSE),"")</f>
        <v>39552</v>
      </c>
      <c r="N1945" t="str">
        <f>IFERROR(VLOOKUP(VLOOKUP(A1945,'[1]Sales Order'!A:G,7,FALSE),[1]Shipper!A:B,2,FALSE),"Not Specified")</f>
        <v>Shipper ETYNR</v>
      </c>
      <c r="O1945" t="str">
        <f>IFERROR(VLOOKUP(A1945,'[1]Sales Order'!A:I,9,FALSE),"Not Specified")</f>
        <v>Destination YCMPK</v>
      </c>
      <c r="P1945" t="str">
        <f>IFERROR(VLOOKUP(A1945,'[1]Sales Order'!A:N,14,FALSE),"Not Specified")</f>
        <v>Sweden</v>
      </c>
      <c r="Q1945" t="str">
        <f>VLOOKUP(VLOOKUP(B1945,[1]Product!A:C,3,FALSE),[1]Supplier!A:B,2,FALSE)</f>
        <v>Supplier STUAZ</v>
      </c>
      <c r="R1945" t="str">
        <f>VLOOKUP(VLOOKUP(B1945,[1]Product!A:C,3,FALSE),[1]Supplier!A:I,9,FALSE)</f>
        <v>USA</v>
      </c>
      <c r="S1945" t="str">
        <f>IFERROR(IF(VLOOKUP(A1945,'[1]Sales Order'!A:H,8,FALSE)&gt;100,"High Freight","Low Freight"),"Not Specified")</f>
        <v>High Freight</v>
      </c>
      <c r="T1945">
        <f t="shared" si="61"/>
        <v>1800</v>
      </c>
    </row>
    <row r="1946" spans="1:20">
      <c r="A1946" s="1">
        <v>11001</v>
      </c>
      <c r="B1946" s="2">
        <v>22</v>
      </c>
      <c r="C1946" s="2">
        <v>21</v>
      </c>
      <c r="D1946" s="2">
        <v>25</v>
      </c>
      <c r="E1946" s="3">
        <v>0</v>
      </c>
      <c r="F1946" s="2" t="str">
        <f>IFERROR(VLOOKUP(VLOOKUP(A1946,'[1]Sales Order'!A:B,2,FALSE),[1]Customer!A:C,3,FALSE),"Not Specified")</f>
        <v>San Juan, Patricia</v>
      </c>
      <c r="G1946" s="2" t="str">
        <f t="shared" si="60"/>
        <v>San Juan Patricia</v>
      </c>
      <c r="H1946" s="8" t="str">
        <f>IFERROR(VLOOKUP(VLOOKUP(A1946,'[1]Sales Order'!A:C,3,FALSE),[1]Employee!A:E,5,FALSE)&amp;" "&amp;VLOOKUP(VLOOKUP(A1946,'[1]Sales Order'!A:C,3,FALSE),[1]Employee!A:C,3,FALSE)&amp;" "&amp;VLOOKUP(VLOOKUP(A1946,'[1]Sales Order'!A:C,3,FALSE),[1]Employee!A:B,2,FALSE),"Not Specified")</f>
        <v>Dr. Don Funk</v>
      </c>
      <c r="I1946" t="str">
        <f>IFERROR(VLOOKUP(VLOOKUP(A1946,'[1]Sales Order'!A:C,3,FALSE),[1]Employee!A:J,10,FALSE),"Not Specified")</f>
        <v>WA</v>
      </c>
      <c r="J1946" t="str">
        <f>VLOOKUP(B1946,[1]Product!A:B,2,FALSE)</f>
        <v>Product CPHFY</v>
      </c>
      <c r="K1946" t="str">
        <f>VLOOKUP(VLOOKUP(B1946,[1]Product!A:D,4,FALSE),[1]Category!A:B,2,FALSE)</f>
        <v>Grains/Cereals</v>
      </c>
      <c r="L1946" s="10">
        <f>IFERROR(VLOOKUP(A1946,'[1]Sales Order'!A:D,4,FALSE),"")</f>
        <v>39544</v>
      </c>
      <c r="M1946" s="10">
        <f>IFERROR(VLOOKUP(A1946,'[1]Sales Order'!A:F,6,FALSE),"")</f>
        <v>39552</v>
      </c>
      <c r="N1946" t="str">
        <f>IFERROR(VLOOKUP(VLOOKUP(A1946,'[1]Sales Order'!A:G,7,FALSE),[1]Shipper!A:B,2,FALSE),"Not Specified")</f>
        <v>Shipper ETYNR</v>
      </c>
      <c r="O1946" t="str">
        <f>IFERROR(VLOOKUP(A1946,'[1]Sales Order'!A:I,9,FALSE),"Not Specified")</f>
        <v>Destination YCMPK</v>
      </c>
      <c r="P1946" t="str">
        <f>IFERROR(VLOOKUP(A1946,'[1]Sales Order'!A:N,14,FALSE),"Not Specified")</f>
        <v>Sweden</v>
      </c>
      <c r="Q1946" t="str">
        <f>VLOOKUP(VLOOKUP(B1946,[1]Product!A:C,3,FALSE),[1]Supplier!A:B,2,FALSE)</f>
        <v>Supplier QQYEU</v>
      </c>
      <c r="R1946" t="str">
        <f>VLOOKUP(VLOOKUP(B1946,[1]Product!A:C,3,FALSE),[1]Supplier!A:I,9,FALSE)</f>
        <v>Sweden</v>
      </c>
      <c r="S1946" t="str">
        <f>IFERROR(IF(VLOOKUP(A1946,'[1]Sales Order'!A:H,8,FALSE)&gt;100,"High Freight","Low Freight"),"Not Specified")</f>
        <v>High Freight</v>
      </c>
      <c r="T1946">
        <f t="shared" si="61"/>
        <v>525</v>
      </c>
    </row>
    <row r="1947" spans="1:20">
      <c r="A1947" s="1">
        <v>11001</v>
      </c>
      <c r="B1947" s="2">
        <v>46</v>
      </c>
      <c r="C1947" s="2">
        <v>12</v>
      </c>
      <c r="D1947" s="2">
        <v>25</v>
      </c>
      <c r="E1947" s="3">
        <v>0</v>
      </c>
      <c r="F1947" s="2" t="str">
        <f>IFERROR(VLOOKUP(VLOOKUP(A1947,'[1]Sales Order'!A:B,2,FALSE),[1]Customer!A:C,3,FALSE),"Not Specified")</f>
        <v>San Juan, Patricia</v>
      </c>
      <c r="G1947" s="2" t="str">
        <f t="shared" si="60"/>
        <v>San Juan Patricia</v>
      </c>
      <c r="H1947" s="8" t="str">
        <f>IFERROR(VLOOKUP(VLOOKUP(A1947,'[1]Sales Order'!A:C,3,FALSE),[1]Employee!A:E,5,FALSE)&amp;" "&amp;VLOOKUP(VLOOKUP(A1947,'[1]Sales Order'!A:C,3,FALSE),[1]Employee!A:C,3,FALSE)&amp;" "&amp;VLOOKUP(VLOOKUP(A1947,'[1]Sales Order'!A:C,3,FALSE),[1]Employee!A:B,2,FALSE),"Not Specified")</f>
        <v>Dr. Don Funk</v>
      </c>
      <c r="I1947" t="str">
        <f>IFERROR(VLOOKUP(VLOOKUP(A1947,'[1]Sales Order'!A:C,3,FALSE),[1]Employee!A:J,10,FALSE),"Not Specified")</f>
        <v>WA</v>
      </c>
      <c r="J1947" t="str">
        <f>VLOOKUP(B1947,[1]Product!A:B,2,FALSE)</f>
        <v>Product CBRRL</v>
      </c>
      <c r="K1947" t="str">
        <f>VLOOKUP(VLOOKUP(B1947,[1]Product!A:D,4,FALSE),[1]Category!A:B,2,FALSE)</f>
        <v>Seafood</v>
      </c>
      <c r="L1947" s="10">
        <f>IFERROR(VLOOKUP(A1947,'[1]Sales Order'!A:D,4,FALSE),"")</f>
        <v>39544</v>
      </c>
      <c r="M1947" s="10">
        <f>IFERROR(VLOOKUP(A1947,'[1]Sales Order'!A:F,6,FALSE),"")</f>
        <v>39552</v>
      </c>
      <c r="N1947" t="str">
        <f>IFERROR(VLOOKUP(VLOOKUP(A1947,'[1]Sales Order'!A:G,7,FALSE),[1]Shipper!A:B,2,FALSE),"Not Specified")</f>
        <v>Shipper ETYNR</v>
      </c>
      <c r="O1947" t="str">
        <f>IFERROR(VLOOKUP(A1947,'[1]Sales Order'!A:I,9,FALSE),"Not Specified")</f>
        <v>Destination YCMPK</v>
      </c>
      <c r="P1947" t="str">
        <f>IFERROR(VLOOKUP(A1947,'[1]Sales Order'!A:N,14,FALSE),"Not Specified")</f>
        <v>Sweden</v>
      </c>
      <c r="Q1947" t="str">
        <f>VLOOKUP(VLOOKUP(B1947,[1]Product!A:C,3,FALSE),[1]Supplier!A:B,2,FALSE)</f>
        <v>Supplier XOXZA</v>
      </c>
      <c r="R1947" t="str">
        <f>VLOOKUP(VLOOKUP(B1947,[1]Product!A:C,3,FALSE),[1]Supplier!A:I,9,FALSE)</f>
        <v>Denmark</v>
      </c>
      <c r="S1947" t="str">
        <f>IFERROR(IF(VLOOKUP(A1947,'[1]Sales Order'!A:H,8,FALSE)&gt;100,"High Freight","Low Freight"),"Not Specified")</f>
        <v>High Freight</v>
      </c>
      <c r="T1947">
        <f t="shared" si="61"/>
        <v>300</v>
      </c>
    </row>
    <row r="1948" spans="1:20">
      <c r="A1948" s="1">
        <v>11001</v>
      </c>
      <c r="B1948" s="2">
        <v>55</v>
      </c>
      <c r="C1948" s="2">
        <v>24</v>
      </c>
      <c r="D1948" s="2">
        <v>6</v>
      </c>
      <c r="E1948" s="3">
        <v>0</v>
      </c>
      <c r="F1948" s="2" t="str">
        <f>IFERROR(VLOOKUP(VLOOKUP(A1948,'[1]Sales Order'!A:B,2,FALSE),[1]Customer!A:C,3,FALSE),"Not Specified")</f>
        <v>San Juan, Patricia</v>
      </c>
      <c r="G1948" s="2" t="str">
        <f t="shared" si="60"/>
        <v>San Juan Patricia</v>
      </c>
      <c r="H1948" s="8" t="str">
        <f>IFERROR(VLOOKUP(VLOOKUP(A1948,'[1]Sales Order'!A:C,3,FALSE),[1]Employee!A:E,5,FALSE)&amp;" "&amp;VLOOKUP(VLOOKUP(A1948,'[1]Sales Order'!A:C,3,FALSE),[1]Employee!A:C,3,FALSE)&amp;" "&amp;VLOOKUP(VLOOKUP(A1948,'[1]Sales Order'!A:C,3,FALSE),[1]Employee!A:B,2,FALSE),"Not Specified")</f>
        <v>Dr. Don Funk</v>
      </c>
      <c r="I1948" t="str">
        <f>IFERROR(VLOOKUP(VLOOKUP(A1948,'[1]Sales Order'!A:C,3,FALSE),[1]Employee!A:J,10,FALSE),"Not Specified")</f>
        <v>WA</v>
      </c>
      <c r="J1948" t="str">
        <f>VLOOKUP(B1948,[1]Product!A:B,2,FALSE)</f>
        <v>Product YYWRT</v>
      </c>
      <c r="K1948" t="str">
        <f>VLOOKUP(VLOOKUP(B1948,[1]Product!A:D,4,FALSE),[1]Category!A:B,2,FALSE)</f>
        <v>Meat/Poultry</v>
      </c>
      <c r="L1948" s="10">
        <f>IFERROR(VLOOKUP(A1948,'[1]Sales Order'!A:D,4,FALSE),"")</f>
        <v>39544</v>
      </c>
      <c r="M1948" s="10">
        <f>IFERROR(VLOOKUP(A1948,'[1]Sales Order'!A:F,6,FALSE),"")</f>
        <v>39552</v>
      </c>
      <c r="N1948" t="str">
        <f>IFERROR(VLOOKUP(VLOOKUP(A1948,'[1]Sales Order'!A:G,7,FALSE),[1]Shipper!A:B,2,FALSE),"Not Specified")</f>
        <v>Shipper ETYNR</v>
      </c>
      <c r="O1948" t="str">
        <f>IFERROR(VLOOKUP(A1948,'[1]Sales Order'!A:I,9,FALSE),"Not Specified")</f>
        <v>Destination YCMPK</v>
      </c>
      <c r="P1948" t="str">
        <f>IFERROR(VLOOKUP(A1948,'[1]Sales Order'!A:N,14,FALSE),"Not Specified")</f>
        <v>Sweden</v>
      </c>
      <c r="Q1948" t="str">
        <f>VLOOKUP(VLOOKUP(B1948,[1]Product!A:C,3,FALSE),[1]Supplier!A:B,2,FALSE)</f>
        <v>Supplier ERVYZ</v>
      </c>
      <c r="R1948" t="str">
        <f>VLOOKUP(VLOOKUP(B1948,[1]Product!A:C,3,FALSE),[1]Supplier!A:I,9,FALSE)</f>
        <v>Canada</v>
      </c>
      <c r="S1948" t="str">
        <f>IFERROR(IF(VLOOKUP(A1948,'[1]Sales Order'!A:H,8,FALSE)&gt;100,"High Freight","Low Freight"),"Not Specified")</f>
        <v>High Freight</v>
      </c>
      <c r="T1948">
        <f t="shared" si="61"/>
        <v>144</v>
      </c>
    </row>
    <row r="1949" spans="1:20">
      <c r="A1949" s="1">
        <v>11002</v>
      </c>
      <c r="B1949" s="2">
        <v>13</v>
      </c>
      <c r="C1949" s="2">
        <v>6</v>
      </c>
      <c r="D1949" s="2">
        <v>56</v>
      </c>
      <c r="E1949" s="3">
        <v>0</v>
      </c>
      <c r="F1949" s="2" t="str">
        <f>IFERROR(VLOOKUP(VLOOKUP(A1949,'[1]Sales Order'!A:B,2,FALSE),[1]Customer!A:C,3,FALSE),"Not Specified")</f>
        <v>Navarro, Tomás</v>
      </c>
      <c r="G1949" s="2" t="str">
        <f t="shared" si="60"/>
        <v>Navarro Tomás</v>
      </c>
      <c r="H1949" s="8" t="str">
        <f>IFERROR(VLOOKUP(VLOOKUP(A1949,'[1]Sales Order'!A:C,3,FALSE),[1]Employee!A:E,5,FALSE)&amp;" "&amp;VLOOKUP(VLOOKUP(A1949,'[1]Sales Order'!A:C,3,FALSE),[1]Employee!A:C,3,FALSE)&amp;" "&amp;VLOOKUP(VLOOKUP(A1949,'[1]Sales Order'!A:C,3,FALSE),[1]Employee!A:B,2,FALSE),"Not Specified")</f>
        <v>Mrs. Yael Peled</v>
      </c>
      <c r="I1949" t="str">
        <f>IFERROR(VLOOKUP(VLOOKUP(A1949,'[1]Sales Order'!A:C,3,FALSE),[1]Employee!A:J,10,FALSE),"Not Specified")</f>
        <v>WA</v>
      </c>
      <c r="J1949" t="str">
        <f>VLOOKUP(B1949,[1]Product!A:B,2,FALSE)</f>
        <v>Product POXFU</v>
      </c>
      <c r="K1949" t="str">
        <f>VLOOKUP(VLOOKUP(B1949,[1]Product!A:D,4,FALSE),[1]Category!A:B,2,FALSE)</f>
        <v>Seafood</v>
      </c>
      <c r="L1949" s="10">
        <f>IFERROR(VLOOKUP(A1949,'[1]Sales Order'!A:D,4,FALSE),"")</f>
        <v>39544</v>
      </c>
      <c r="M1949" s="10">
        <f>IFERROR(VLOOKUP(A1949,'[1]Sales Order'!A:F,6,FALSE),"")</f>
        <v>39554</v>
      </c>
      <c r="N1949" t="str">
        <f>IFERROR(VLOOKUP(VLOOKUP(A1949,'[1]Sales Order'!A:G,7,FALSE),[1]Shipper!A:B,2,FALSE),"Not Specified")</f>
        <v>Shipper GVSUA</v>
      </c>
      <c r="O1949" t="str">
        <f>IFERROR(VLOOKUP(A1949,'[1]Sales Order'!A:I,9,FALSE),"Not Specified")</f>
        <v>Ship to 71-A</v>
      </c>
      <c r="P1949" t="str">
        <f>IFERROR(VLOOKUP(A1949,'[1]Sales Order'!A:N,14,FALSE),"Not Specified")</f>
        <v>USA</v>
      </c>
      <c r="Q1949" t="str">
        <f>VLOOKUP(VLOOKUP(B1949,[1]Product!A:C,3,FALSE),[1]Supplier!A:B,2,FALSE)</f>
        <v>Supplier QWUSF</v>
      </c>
      <c r="R1949" t="str">
        <f>VLOOKUP(VLOOKUP(B1949,[1]Product!A:C,3,FALSE),[1]Supplier!A:I,9,FALSE)</f>
        <v>Japan</v>
      </c>
      <c r="S1949" t="str">
        <f>IFERROR(IF(VLOOKUP(A1949,'[1]Sales Order'!A:H,8,FALSE)&gt;100,"High Freight","Low Freight"),"Not Specified")</f>
        <v>High Freight</v>
      </c>
      <c r="T1949">
        <f t="shared" si="61"/>
        <v>336</v>
      </c>
    </row>
    <row r="1950" spans="1:20">
      <c r="A1950" s="1">
        <v>11002</v>
      </c>
      <c r="B1950" s="2">
        <v>35</v>
      </c>
      <c r="C1950" s="2">
        <v>18</v>
      </c>
      <c r="D1950" s="2">
        <v>15</v>
      </c>
      <c r="E1950" s="3">
        <v>0.15</v>
      </c>
      <c r="F1950" s="2" t="str">
        <f>IFERROR(VLOOKUP(VLOOKUP(A1950,'[1]Sales Order'!A:B,2,FALSE),[1]Customer!A:C,3,FALSE),"Not Specified")</f>
        <v>Navarro, Tomás</v>
      </c>
      <c r="G1950" s="2" t="str">
        <f t="shared" si="60"/>
        <v>Navarro Tomás</v>
      </c>
      <c r="H1950" s="8" t="str">
        <f>IFERROR(VLOOKUP(VLOOKUP(A1950,'[1]Sales Order'!A:C,3,FALSE),[1]Employee!A:E,5,FALSE)&amp;" "&amp;VLOOKUP(VLOOKUP(A1950,'[1]Sales Order'!A:C,3,FALSE),[1]Employee!A:C,3,FALSE)&amp;" "&amp;VLOOKUP(VLOOKUP(A1950,'[1]Sales Order'!A:C,3,FALSE),[1]Employee!A:B,2,FALSE),"Not Specified")</f>
        <v>Mrs. Yael Peled</v>
      </c>
      <c r="I1950" t="str">
        <f>IFERROR(VLOOKUP(VLOOKUP(A1950,'[1]Sales Order'!A:C,3,FALSE),[1]Employee!A:J,10,FALSE),"Not Specified")</f>
        <v>WA</v>
      </c>
      <c r="J1950" t="str">
        <f>VLOOKUP(B1950,[1]Product!A:B,2,FALSE)</f>
        <v>Product NEVTJ</v>
      </c>
      <c r="K1950" t="str">
        <f>VLOOKUP(VLOOKUP(B1950,[1]Product!A:D,4,FALSE),[1]Category!A:B,2,FALSE)</f>
        <v>Beverages</v>
      </c>
      <c r="L1950" s="10">
        <f>IFERROR(VLOOKUP(A1950,'[1]Sales Order'!A:D,4,FALSE),"")</f>
        <v>39544</v>
      </c>
      <c r="M1950" s="10">
        <f>IFERROR(VLOOKUP(A1950,'[1]Sales Order'!A:F,6,FALSE),"")</f>
        <v>39554</v>
      </c>
      <c r="N1950" t="str">
        <f>IFERROR(VLOOKUP(VLOOKUP(A1950,'[1]Sales Order'!A:G,7,FALSE),[1]Shipper!A:B,2,FALSE),"Not Specified")</f>
        <v>Shipper GVSUA</v>
      </c>
      <c r="O1950" t="str">
        <f>IFERROR(VLOOKUP(A1950,'[1]Sales Order'!A:I,9,FALSE),"Not Specified")</f>
        <v>Ship to 71-A</v>
      </c>
      <c r="P1950" t="str">
        <f>IFERROR(VLOOKUP(A1950,'[1]Sales Order'!A:N,14,FALSE),"Not Specified")</f>
        <v>USA</v>
      </c>
      <c r="Q1950" t="str">
        <f>VLOOKUP(VLOOKUP(B1950,[1]Product!A:C,3,FALSE),[1]Supplier!A:B,2,FALSE)</f>
        <v>Supplier UHZRG</v>
      </c>
      <c r="R1950" t="str">
        <f>VLOOKUP(VLOOKUP(B1950,[1]Product!A:C,3,FALSE),[1]Supplier!A:I,9,FALSE)</f>
        <v>USA</v>
      </c>
      <c r="S1950" t="str">
        <f>IFERROR(IF(VLOOKUP(A1950,'[1]Sales Order'!A:H,8,FALSE)&gt;100,"High Freight","Low Freight"),"Not Specified")</f>
        <v>High Freight</v>
      </c>
      <c r="T1950">
        <f t="shared" si="61"/>
        <v>229.5</v>
      </c>
    </row>
    <row r="1951" spans="1:20">
      <c r="A1951" s="1">
        <v>11002</v>
      </c>
      <c r="B1951" s="2">
        <v>42</v>
      </c>
      <c r="C1951" s="2">
        <v>14</v>
      </c>
      <c r="D1951" s="2">
        <v>24</v>
      </c>
      <c r="E1951" s="3">
        <v>0.15</v>
      </c>
      <c r="F1951" s="2" t="str">
        <f>IFERROR(VLOOKUP(VLOOKUP(A1951,'[1]Sales Order'!A:B,2,FALSE),[1]Customer!A:C,3,FALSE),"Not Specified")</f>
        <v>Navarro, Tomás</v>
      </c>
      <c r="G1951" s="2" t="str">
        <f t="shared" si="60"/>
        <v>Navarro Tomás</v>
      </c>
      <c r="H1951" s="8" t="str">
        <f>IFERROR(VLOOKUP(VLOOKUP(A1951,'[1]Sales Order'!A:C,3,FALSE),[1]Employee!A:E,5,FALSE)&amp;" "&amp;VLOOKUP(VLOOKUP(A1951,'[1]Sales Order'!A:C,3,FALSE),[1]Employee!A:C,3,FALSE)&amp;" "&amp;VLOOKUP(VLOOKUP(A1951,'[1]Sales Order'!A:C,3,FALSE),[1]Employee!A:B,2,FALSE),"Not Specified")</f>
        <v>Mrs. Yael Peled</v>
      </c>
      <c r="I1951" t="str">
        <f>IFERROR(VLOOKUP(VLOOKUP(A1951,'[1]Sales Order'!A:C,3,FALSE),[1]Employee!A:J,10,FALSE),"Not Specified")</f>
        <v>WA</v>
      </c>
      <c r="J1951" t="str">
        <f>VLOOKUP(B1951,[1]Product!A:B,2,FALSE)</f>
        <v>Product RJVNM</v>
      </c>
      <c r="K1951" t="str">
        <f>VLOOKUP(VLOOKUP(B1951,[1]Product!A:D,4,FALSE),[1]Category!A:B,2,FALSE)</f>
        <v>Grains/Cereals</v>
      </c>
      <c r="L1951" s="10">
        <f>IFERROR(VLOOKUP(A1951,'[1]Sales Order'!A:D,4,FALSE),"")</f>
        <v>39544</v>
      </c>
      <c r="M1951" s="10">
        <f>IFERROR(VLOOKUP(A1951,'[1]Sales Order'!A:F,6,FALSE),"")</f>
        <v>39554</v>
      </c>
      <c r="N1951" t="str">
        <f>IFERROR(VLOOKUP(VLOOKUP(A1951,'[1]Sales Order'!A:G,7,FALSE),[1]Shipper!A:B,2,FALSE),"Not Specified")</f>
        <v>Shipper GVSUA</v>
      </c>
      <c r="O1951" t="str">
        <f>IFERROR(VLOOKUP(A1951,'[1]Sales Order'!A:I,9,FALSE),"Not Specified")</f>
        <v>Ship to 71-A</v>
      </c>
      <c r="P1951" t="str">
        <f>IFERROR(VLOOKUP(A1951,'[1]Sales Order'!A:N,14,FALSE),"Not Specified")</f>
        <v>USA</v>
      </c>
      <c r="Q1951" t="str">
        <f>VLOOKUP(VLOOKUP(B1951,[1]Product!A:C,3,FALSE),[1]Supplier!A:B,2,FALSE)</f>
        <v>Supplier CIYNM</v>
      </c>
      <c r="R1951" t="str">
        <f>VLOOKUP(VLOOKUP(B1951,[1]Product!A:C,3,FALSE),[1]Supplier!A:I,9,FALSE)</f>
        <v>Singapore</v>
      </c>
      <c r="S1951" t="str">
        <f>IFERROR(IF(VLOOKUP(A1951,'[1]Sales Order'!A:H,8,FALSE)&gt;100,"High Freight","Low Freight"),"Not Specified")</f>
        <v>High Freight</v>
      </c>
      <c r="T1951">
        <f t="shared" si="61"/>
        <v>285.59999999999997</v>
      </c>
    </row>
    <row r="1952" spans="1:20">
      <c r="A1952" s="1">
        <v>11002</v>
      </c>
      <c r="B1952" s="2">
        <v>55</v>
      </c>
      <c r="C1952" s="2">
        <v>24</v>
      </c>
      <c r="D1952" s="2">
        <v>40</v>
      </c>
      <c r="E1952" s="3">
        <v>0</v>
      </c>
      <c r="F1952" s="2" t="str">
        <f>IFERROR(VLOOKUP(VLOOKUP(A1952,'[1]Sales Order'!A:B,2,FALSE),[1]Customer!A:C,3,FALSE),"Not Specified")</f>
        <v>Navarro, Tomás</v>
      </c>
      <c r="G1952" s="2" t="str">
        <f t="shared" si="60"/>
        <v>Navarro Tomás</v>
      </c>
      <c r="H1952" s="8" t="str">
        <f>IFERROR(VLOOKUP(VLOOKUP(A1952,'[1]Sales Order'!A:C,3,FALSE),[1]Employee!A:E,5,FALSE)&amp;" "&amp;VLOOKUP(VLOOKUP(A1952,'[1]Sales Order'!A:C,3,FALSE),[1]Employee!A:C,3,FALSE)&amp;" "&amp;VLOOKUP(VLOOKUP(A1952,'[1]Sales Order'!A:C,3,FALSE),[1]Employee!A:B,2,FALSE),"Not Specified")</f>
        <v>Mrs. Yael Peled</v>
      </c>
      <c r="I1952" t="str">
        <f>IFERROR(VLOOKUP(VLOOKUP(A1952,'[1]Sales Order'!A:C,3,FALSE),[1]Employee!A:J,10,FALSE),"Not Specified")</f>
        <v>WA</v>
      </c>
      <c r="J1952" t="str">
        <f>VLOOKUP(B1952,[1]Product!A:B,2,FALSE)</f>
        <v>Product YYWRT</v>
      </c>
      <c r="K1952" t="str">
        <f>VLOOKUP(VLOOKUP(B1952,[1]Product!A:D,4,FALSE),[1]Category!A:B,2,FALSE)</f>
        <v>Meat/Poultry</v>
      </c>
      <c r="L1952" s="10">
        <f>IFERROR(VLOOKUP(A1952,'[1]Sales Order'!A:D,4,FALSE),"")</f>
        <v>39544</v>
      </c>
      <c r="M1952" s="10">
        <f>IFERROR(VLOOKUP(A1952,'[1]Sales Order'!A:F,6,FALSE),"")</f>
        <v>39554</v>
      </c>
      <c r="N1952" t="str">
        <f>IFERROR(VLOOKUP(VLOOKUP(A1952,'[1]Sales Order'!A:G,7,FALSE),[1]Shipper!A:B,2,FALSE),"Not Specified")</f>
        <v>Shipper GVSUA</v>
      </c>
      <c r="O1952" t="str">
        <f>IFERROR(VLOOKUP(A1952,'[1]Sales Order'!A:I,9,FALSE),"Not Specified")</f>
        <v>Ship to 71-A</v>
      </c>
      <c r="P1952" t="str">
        <f>IFERROR(VLOOKUP(A1952,'[1]Sales Order'!A:N,14,FALSE),"Not Specified")</f>
        <v>USA</v>
      </c>
      <c r="Q1952" t="str">
        <f>VLOOKUP(VLOOKUP(B1952,[1]Product!A:C,3,FALSE),[1]Supplier!A:B,2,FALSE)</f>
        <v>Supplier ERVYZ</v>
      </c>
      <c r="R1952" t="str">
        <f>VLOOKUP(VLOOKUP(B1952,[1]Product!A:C,3,FALSE),[1]Supplier!A:I,9,FALSE)</f>
        <v>Canada</v>
      </c>
      <c r="S1952" t="str">
        <f>IFERROR(IF(VLOOKUP(A1952,'[1]Sales Order'!A:H,8,FALSE)&gt;100,"High Freight","Low Freight"),"Not Specified")</f>
        <v>High Freight</v>
      </c>
      <c r="T1952">
        <f t="shared" si="61"/>
        <v>960</v>
      </c>
    </row>
    <row r="1953" spans="1:20">
      <c r="A1953" s="1">
        <v>11003</v>
      </c>
      <c r="B1953" s="2">
        <v>1</v>
      </c>
      <c r="C1953" s="2">
        <v>18</v>
      </c>
      <c r="D1953" s="2">
        <v>4</v>
      </c>
      <c r="E1953" s="3">
        <v>0</v>
      </c>
      <c r="F1953" s="2" t="str">
        <f>IFERROR(VLOOKUP(VLOOKUP(A1953,'[1]Sales Order'!A:B,2,FALSE),[1]Customer!A:C,3,FALSE),"Not Specified")</f>
        <v>Young, Robin</v>
      </c>
      <c r="G1953" s="2" t="str">
        <f t="shared" si="60"/>
        <v>Young Robin</v>
      </c>
      <c r="H1953" s="8" t="str">
        <f>IFERROR(VLOOKUP(VLOOKUP(A1953,'[1]Sales Order'!A:C,3,FALSE),[1]Employee!A:E,5,FALSE)&amp;" "&amp;VLOOKUP(VLOOKUP(A1953,'[1]Sales Order'!A:C,3,FALSE),[1]Employee!A:C,3,FALSE)&amp;" "&amp;VLOOKUP(VLOOKUP(A1953,'[1]Sales Order'!A:C,3,FALSE),[1]Employee!A:B,2,FALSE),"Not Specified")</f>
        <v>Ms. Judy Lew</v>
      </c>
      <c r="I1953" t="str">
        <f>IFERROR(VLOOKUP(VLOOKUP(A1953,'[1]Sales Order'!A:C,3,FALSE),[1]Employee!A:J,10,FALSE),"Not Specified")</f>
        <v>WA</v>
      </c>
      <c r="J1953" t="str">
        <f>VLOOKUP(B1953,[1]Product!A:B,2,FALSE)</f>
        <v>Product HHYDP</v>
      </c>
      <c r="K1953" t="str">
        <f>VLOOKUP(VLOOKUP(B1953,[1]Product!A:D,4,FALSE),[1]Category!A:B,2,FALSE)</f>
        <v>Beverages</v>
      </c>
      <c r="L1953" s="10">
        <f>IFERROR(VLOOKUP(A1953,'[1]Sales Order'!A:D,4,FALSE),"")</f>
        <v>39544</v>
      </c>
      <c r="M1953" s="10">
        <f>IFERROR(VLOOKUP(A1953,'[1]Sales Order'!A:F,6,FALSE),"")</f>
        <v>39546</v>
      </c>
      <c r="N1953" t="str">
        <f>IFERROR(VLOOKUP(VLOOKUP(A1953,'[1]Sales Order'!A:G,7,FALSE),[1]Shipper!A:B,2,FALSE),"Not Specified")</f>
        <v>Shipper ZHISN</v>
      </c>
      <c r="O1953" t="str">
        <f>IFERROR(VLOOKUP(A1953,'[1]Sales Order'!A:I,9,FALSE),"Not Specified")</f>
        <v>Ship to 78-B</v>
      </c>
      <c r="P1953" t="str">
        <f>IFERROR(VLOOKUP(A1953,'[1]Sales Order'!A:N,14,FALSE),"Not Specified")</f>
        <v>USA</v>
      </c>
      <c r="Q1953" t="str">
        <f>VLOOKUP(VLOOKUP(B1953,[1]Product!A:C,3,FALSE),[1]Supplier!A:B,2,FALSE)</f>
        <v>Supplier SWRXU</v>
      </c>
      <c r="R1953" t="str">
        <f>VLOOKUP(VLOOKUP(B1953,[1]Product!A:C,3,FALSE),[1]Supplier!A:I,9,FALSE)</f>
        <v>UK</v>
      </c>
      <c r="S1953" t="str">
        <f>IFERROR(IF(VLOOKUP(A1953,'[1]Sales Order'!A:H,8,FALSE)&gt;100,"High Freight","Low Freight"),"Not Specified")</f>
        <v>Low Freight</v>
      </c>
      <c r="T1953">
        <f t="shared" si="61"/>
        <v>72</v>
      </c>
    </row>
    <row r="1954" spans="1:20">
      <c r="A1954" s="1">
        <v>11003</v>
      </c>
      <c r="B1954" s="2">
        <v>40</v>
      </c>
      <c r="C1954" s="2">
        <v>18.399999999999999</v>
      </c>
      <c r="D1954" s="2">
        <v>10</v>
      </c>
      <c r="E1954" s="3">
        <v>0</v>
      </c>
      <c r="F1954" s="2" t="str">
        <f>IFERROR(VLOOKUP(VLOOKUP(A1954,'[1]Sales Order'!A:B,2,FALSE),[1]Customer!A:C,3,FALSE),"Not Specified")</f>
        <v>Young, Robin</v>
      </c>
      <c r="G1954" s="2" t="str">
        <f t="shared" si="60"/>
        <v>Young Robin</v>
      </c>
      <c r="H1954" s="8" t="str">
        <f>IFERROR(VLOOKUP(VLOOKUP(A1954,'[1]Sales Order'!A:C,3,FALSE),[1]Employee!A:E,5,FALSE)&amp;" "&amp;VLOOKUP(VLOOKUP(A1954,'[1]Sales Order'!A:C,3,FALSE),[1]Employee!A:C,3,FALSE)&amp;" "&amp;VLOOKUP(VLOOKUP(A1954,'[1]Sales Order'!A:C,3,FALSE),[1]Employee!A:B,2,FALSE),"Not Specified")</f>
        <v>Ms. Judy Lew</v>
      </c>
      <c r="I1954" t="str">
        <f>IFERROR(VLOOKUP(VLOOKUP(A1954,'[1]Sales Order'!A:C,3,FALSE),[1]Employee!A:J,10,FALSE),"Not Specified")</f>
        <v>WA</v>
      </c>
      <c r="J1954" t="str">
        <f>VLOOKUP(B1954,[1]Product!A:B,2,FALSE)</f>
        <v>Product YZIXQ</v>
      </c>
      <c r="K1954" t="str">
        <f>VLOOKUP(VLOOKUP(B1954,[1]Product!A:D,4,FALSE),[1]Category!A:B,2,FALSE)</f>
        <v>Seafood</v>
      </c>
      <c r="L1954" s="10">
        <f>IFERROR(VLOOKUP(A1954,'[1]Sales Order'!A:D,4,FALSE),"")</f>
        <v>39544</v>
      </c>
      <c r="M1954" s="10">
        <f>IFERROR(VLOOKUP(A1954,'[1]Sales Order'!A:F,6,FALSE),"")</f>
        <v>39546</v>
      </c>
      <c r="N1954" t="str">
        <f>IFERROR(VLOOKUP(VLOOKUP(A1954,'[1]Sales Order'!A:G,7,FALSE),[1]Shipper!A:B,2,FALSE),"Not Specified")</f>
        <v>Shipper ZHISN</v>
      </c>
      <c r="O1954" t="str">
        <f>IFERROR(VLOOKUP(A1954,'[1]Sales Order'!A:I,9,FALSE),"Not Specified")</f>
        <v>Ship to 78-B</v>
      </c>
      <c r="P1954" t="str">
        <f>IFERROR(VLOOKUP(A1954,'[1]Sales Order'!A:N,14,FALSE),"Not Specified")</f>
        <v>USA</v>
      </c>
      <c r="Q1954" t="str">
        <f>VLOOKUP(VLOOKUP(B1954,[1]Product!A:C,3,FALSE),[1]Supplier!A:B,2,FALSE)</f>
        <v>Supplier JDNUG</v>
      </c>
      <c r="R1954" t="str">
        <f>VLOOKUP(VLOOKUP(B1954,[1]Product!A:C,3,FALSE),[1]Supplier!A:I,9,FALSE)</f>
        <v>USA</v>
      </c>
      <c r="S1954" t="str">
        <f>IFERROR(IF(VLOOKUP(A1954,'[1]Sales Order'!A:H,8,FALSE)&gt;100,"High Freight","Low Freight"),"Not Specified")</f>
        <v>Low Freight</v>
      </c>
      <c r="T1954">
        <f t="shared" si="61"/>
        <v>184</v>
      </c>
    </row>
    <row r="1955" spans="1:20">
      <c r="A1955" s="1">
        <v>11003</v>
      </c>
      <c r="B1955" s="2">
        <v>52</v>
      </c>
      <c r="C1955" s="2">
        <v>7</v>
      </c>
      <c r="D1955" s="2">
        <v>10</v>
      </c>
      <c r="E1955" s="3">
        <v>0</v>
      </c>
      <c r="F1955" s="2" t="str">
        <f>IFERROR(VLOOKUP(VLOOKUP(A1955,'[1]Sales Order'!A:B,2,FALSE),[1]Customer!A:C,3,FALSE),"Not Specified")</f>
        <v>Young, Robin</v>
      </c>
      <c r="G1955" s="2" t="str">
        <f t="shared" si="60"/>
        <v>Young Robin</v>
      </c>
      <c r="H1955" s="8" t="str">
        <f>IFERROR(VLOOKUP(VLOOKUP(A1955,'[1]Sales Order'!A:C,3,FALSE),[1]Employee!A:E,5,FALSE)&amp;" "&amp;VLOOKUP(VLOOKUP(A1955,'[1]Sales Order'!A:C,3,FALSE),[1]Employee!A:C,3,FALSE)&amp;" "&amp;VLOOKUP(VLOOKUP(A1955,'[1]Sales Order'!A:C,3,FALSE),[1]Employee!A:B,2,FALSE),"Not Specified")</f>
        <v>Ms. Judy Lew</v>
      </c>
      <c r="I1955" t="str">
        <f>IFERROR(VLOOKUP(VLOOKUP(A1955,'[1]Sales Order'!A:C,3,FALSE),[1]Employee!A:J,10,FALSE),"Not Specified")</f>
        <v>WA</v>
      </c>
      <c r="J1955" t="str">
        <f>VLOOKUP(B1955,[1]Product!A:B,2,FALSE)</f>
        <v>Product QSRXF</v>
      </c>
      <c r="K1955" t="str">
        <f>VLOOKUP(VLOOKUP(B1955,[1]Product!A:D,4,FALSE),[1]Category!A:B,2,FALSE)</f>
        <v>Grains/Cereals</v>
      </c>
      <c r="L1955" s="10">
        <f>IFERROR(VLOOKUP(A1955,'[1]Sales Order'!A:D,4,FALSE),"")</f>
        <v>39544</v>
      </c>
      <c r="M1955" s="10">
        <f>IFERROR(VLOOKUP(A1955,'[1]Sales Order'!A:F,6,FALSE),"")</f>
        <v>39546</v>
      </c>
      <c r="N1955" t="str">
        <f>IFERROR(VLOOKUP(VLOOKUP(A1955,'[1]Sales Order'!A:G,7,FALSE),[1]Shipper!A:B,2,FALSE),"Not Specified")</f>
        <v>Shipper ZHISN</v>
      </c>
      <c r="O1955" t="str">
        <f>IFERROR(VLOOKUP(A1955,'[1]Sales Order'!A:I,9,FALSE),"Not Specified")</f>
        <v>Ship to 78-B</v>
      </c>
      <c r="P1955" t="str">
        <f>IFERROR(VLOOKUP(A1955,'[1]Sales Order'!A:N,14,FALSE),"Not Specified")</f>
        <v>USA</v>
      </c>
      <c r="Q1955" t="str">
        <f>VLOOKUP(VLOOKUP(B1955,[1]Product!A:C,3,FALSE),[1]Supplier!A:B,2,FALSE)</f>
        <v>Supplier JNNES</v>
      </c>
      <c r="R1955" t="str">
        <f>VLOOKUP(VLOOKUP(B1955,[1]Product!A:C,3,FALSE),[1]Supplier!A:I,9,FALSE)</f>
        <v>Australia</v>
      </c>
      <c r="S1955" t="str">
        <f>IFERROR(IF(VLOOKUP(A1955,'[1]Sales Order'!A:H,8,FALSE)&gt;100,"High Freight","Low Freight"),"Not Specified")</f>
        <v>Low Freight</v>
      </c>
      <c r="T1955">
        <f t="shared" si="61"/>
        <v>70</v>
      </c>
    </row>
    <row r="1956" spans="1:20">
      <c r="A1956" s="1">
        <v>11004</v>
      </c>
      <c r="B1956" s="2">
        <v>26</v>
      </c>
      <c r="C1956" s="2">
        <v>31.23</v>
      </c>
      <c r="D1956" s="2">
        <v>6</v>
      </c>
      <c r="E1956" s="3">
        <v>0</v>
      </c>
      <c r="F1956" s="2" t="str">
        <f>IFERROR(VLOOKUP(VLOOKUP(A1956,'[1]Sales Order'!A:B,2,FALSE),[1]Customer!A:C,3,FALSE),"Not Specified")</f>
        <v>Mace, Donald</v>
      </c>
      <c r="G1956" s="2" t="str">
        <f t="shared" si="60"/>
        <v>Mace Donald</v>
      </c>
      <c r="H1956" s="8" t="str">
        <f>IFERROR(VLOOKUP(VLOOKUP(A1956,'[1]Sales Order'!A:C,3,FALSE),[1]Employee!A:E,5,FALSE)&amp;" "&amp;VLOOKUP(VLOOKUP(A1956,'[1]Sales Order'!A:C,3,FALSE),[1]Employee!A:C,3,FALSE)&amp;" "&amp;VLOOKUP(VLOOKUP(A1956,'[1]Sales Order'!A:C,3,FALSE),[1]Employee!A:B,2,FALSE),"Not Specified")</f>
        <v>Ms. Judy Lew</v>
      </c>
      <c r="I1956" t="str">
        <f>IFERROR(VLOOKUP(VLOOKUP(A1956,'[1]Sales Order'!A:C,3,FALSE),[1]Employee!A:J,10,FALSE),"Not Specified")</f>
        <v>WA</v>
      </c>
      <c r="J1956" t="str">
        <f>VLOOKUP(B1956,[1]Product!A:B,2,FALSE)</f>
        <v>Product HLGZA</v>
      </c>
      <c r="K1956" t="str">
        <f>VLOOKUP(VLOOKUP(B1956,[1]Product!A:D,4,FALSE),[1]Category!A:B,2,FALSE)</f>
        <v>Confections</v>
      </c>
      <c r="L1956" s="10">
        <f>IFERROR(VLOOKUP(A1956,'[1]Sales Order'!A:D,4,FALSE),"")</f>
        <v>39545</v>
      </c>
      <c r="M1956" s="10">
        <f>IFERROR(VLOOKUP(A1956,'[1]Sales Order'!A:F,6,FALSE),"")</f>
        <v>39558</v>
      </c>
      <c r="N1956" t="str">
        <f>IFERROR(VLOOKUP(VLOOKUP(A1956,'[1]Sales Order'!A:G,7,FALSE),[1]Shipper!A:B,2,FALSE),"Not Specified")</f>
        <v>Shipper GVSUA</v>
      </c>
      <c r="O1956" t="str">
        <f>IFERROR(VLOOKUP(A1956,'[1]Sales Order'!A:I,9,FALSE),"Not Specified")</f>
        <v>Ship to 50-C</v>
      </c>
      <c r="P1956" t="str">
        <f>IFERROR(VLOOKUP(A1956,'[1]Sales Order'!A:N,14,FALSE),"Not Specified")</f>
        <v>Belgium</v>
      </c>
      <c r="Q1956" t="str">
        <f>VLOOKUP(VLOOKUP(B1956,[1]Product!A:C,3,FALSE),[1]Supplier!A:B,2,FALSE)</f>
        <v>Supplier ZPYVS</v>
      </c>
      <c r="R1956" t="str">
        <f>VLOOKUP(VLOOKUP(B1956,[1]Product!A:C,3,FALSE),[1]Supplier!A:I,9,FALSE)</f>
        <v>Germany</v>
      </c>
      <c r="S1956" t="str">
        <f>IFERROR(IF(VLOOKUP(A1956,'[1]Sales Order'!A:H,8,FALSE)&gt;100,"High Freight","Low Freight"),"Not Specified")</f>
        <v>Low Freight</v>
      </c>
      <c r="T1956">
        <f t="shared" si="61"/>
        <v>187.38</v>
      </c>
    </row>
    <row r="1957" spans="1:20">
      <c r="A1957" s="1">
        <v>11004</v>
      </c>
      <c r="B1957" s="2">
        <v>76</v>
      </c>
      <c r="C1957" s="2">
        <v>18</v>
      </c>
      <c r="D1957" s="2">
        <v>6</v>
      </c>
      <c r="E1957" s="3">
        <v>0</v>
      </c>
      <c r="F1957" s="2" t="str">
        <f>IFERROR(VLOOKUP(VLOOKUP(A1957,'[1]Sales Order'!A:B,2,FALSE),[1]Customer!A:C,3,FALSE),"Not Specified")</f>
        <v>Mace, Donald</v>
      </c>
      <c r="G1957" s="2" t="str">
        <f t="shared" si="60"/>
        <v>Mace Donald</v>
      </c>
      <c r="H1957" s="8" t="str">
        <f>IFERROR(VLOOKUP(VLOOKUP(A1957,'[1]Sales Order'!A:C,3,FALSE),[1]Employee!A:E,5,FALSE)&amp;" "&amp;VLOOKUP(VLOOKUP(A1957,'[1]Sales Order'!A:C,3,FALSE),[1]Employee!A:C,3,FALSE)&amp;" "&amp;VLOOKUP(VLOOKUP(A1957,'[1]Sales Order'!A:C,3,FALSE),[1]Employee!A:B,2,FALSE),"Not Specified")</f>
        <v>Ms. Judy Lew</v>
      </c>
      <c r="I1957" t="str">
        <f>IFERROR(VLOOKUP(VLOOKUP(A1957,'[1]Sales Order'!A:C,3,FALSE),[1]Employee!A:J,10,FALSE),"Not Specified")</f>
        <v>WA</v>
      </c>
      <c r="J1957" t="str">
        <f>VLOOKUP(B1957,[1]Product!A:B,2,FALSE)</f>
        <v>Product JYGFE</v>
      </c>
      <c r="K1957" t="str">
        <f>VLOOKUP(VLOOKUP(B1957,[1]Product!A:D,4,FALSE),[1]Category!A:B,2,FALSE)</f>
        <v>Beverages</v>
      </c>
      <c r="L1957" s="10">
        <f>IFERROR(VLOOKUP(A1957,'[1]Sales Order'!A:D,4,FALSE),"")</f>
        <v>39545</v>
      </c>
      <c r="M1957" s="10">
        <f>IFERROR(VLOOKUP(A1957,'[1]Sales Order'!A:F,6,FALSE),"")</f>
        <v>39558</v>
      </c>
      <c r="N1957" t="str">
        <f>IFERROR(VLOOKUP(VLOOKUP(A1957,'[1]Sales Order'!A:G,7,FALSE),[1]Shipper!A:B,2,FALSE),"Not Specified")</f>
        <v>Shipper GVSUA</v>
      </c>
      <c r="O1957" t="str">
        <f>IFERROR(VLOOKUP(A1957,'[1]Sales Order'!A:I,9,FALSE),"Not Specified")</f>
        <v>Ship to 50-C</v>
      </c>
      <c r="P1957" t="str">
        <f>IFERROR(VLOOKUP(A1957,'[1]Sales Order'!A:N,14,FALSE),"Not Specified")</f>
        <v>Belgium</v>
      </c>
      <c r="Q1957" t="str">
        <f>VLOOKUP(VLOOKUP(B1957,[1]Product!A:C,3,FALSE),[1]Supplier!A:B,2,FALSE)</f>
        <v>Supplier ELCRN</v>
      </c>
      <c r="R1957" t="str">
        <f>VLOOKUP(VLOOKUP(B1957,[1]Product!A:C,3,FALSE),[1]Supplier!A:I,9,FALSE)</f>
        <v>Finland</v>
      </c>
      <c r="S1957" t="str">
        <f>IFERROR(IF(VLOOKUP(A1957,'[1]Sales Order'!A:H,8,FALSE)&gt;100,"High Freight","Low Freight"),"Not Specified")</f>
        <v>Low Freight</v>
      </c>
      <c r="T1957">
        <f t="shared" si="61"/>
        <v>108</v>
      </c>
    </row>
    <row r="1958" spans="1:20">
      <c r="A1958" s="1">
        <v>11005</v>
      </c>
      <c r="B1958" s="2">
        <v>1</v>
      </c>
      <c r="C1958" s="2">
        <v>18</v>
      </c>
      <c r="D1958" s="2">
        <v>2</v>
      </c>
      <c r="E1958" s="3">
        <v>0</v>
      </c>
      <c r="F1958" s="2" t="str">
        <f>IFERROR(VLOOKUP(VLOOKUP(A1958,'[1]Sales Order'!A:B,2,FALSE),[1]Customer!A:C,3,FALSE),"Not Specified")</f>
        <v>Larsson, Katarina</v>
      </c>
      <c r="G1958" s="2" t="str">
        <f t="shared" si="60"/>
        <v>Larsson Katarina</v>
      </c>
      <c r="H1958" s="8" t="str">
        <f>IFERROR(VLOOKUP(VLOOKUP(A1958,'[1]Sales Order'!A:C,3,FALSE),[1]Employee!A:E,5,FALSE)&amp;" "&amp;VLOOKUP(VLOOKUP(A1958,'[1]Sales Order'!A:C,3,FALSE),[1]Employee!A:C,3,FALSE)&amp;" "&amp;VLOOKUP(VLOOKUP(A1958,'[1]Sales Order'!A:C,3,FALSE),[1]Employee!A:B,2,FALSE),"Not Specified")</f>
        <v>Dr. Don Funk</v>
      </c>
      <c r="I1958" t="str">
        <f>IFERROR(VLOOKUP(VLOOKUP(A1958,'[1]Sales Order'!A:C,3,FALSE),[1]Employee!A:J,10,FALSE),"Not Specified")</f>
        <v>WA</v>
      </c>
      <c r="J1958" t="str">
        <f>VLOOKUP(B1958,[1]Product!A:B,2,FALSE)</f>
        <v>Product HHYDP</v>
      </c>
      <c r="K1958" t="str">
        <f>VLOOKUP(VLOOKUP(B1958,[1]Product!A:D,4,FALSE),[1]Category!A:B,2,FALSE)</f>
        <v>Beverages</v>
      </c>
      <c r="L1958" s="10">
        <f>IFERROR(VLOOKUP(A1958,'[1]Sales Order'!A:D,4,FALSE),"")</f>
        <v>39545</v>
      </c>
      <c r="M1958" s="10">
        <f>IFERROR(VLOOKUP(A1958,'[1]Sales Order'!A:F,6,FALSE),"")</f>
        <v>39548</v>
      </c>
      <c r="N1958" t="str">
        <f>IFERROR(VLOOKUP(VLOOKUP(A1958,'[1]Sales Order'!A:G,7,FALSE),[1]Shipper!A:B,2,FALSE),"Not Specified")</f>
        <v>Shipper GVSUA</v>
      </c>
      <c r="O1958" t="str">
        <f>IFERROR(VLOOKUP(A1958,'[1]Sales Order'!A:I,9,FALSE),"Not Specified")</f>
        <v>Ship to 90-A</v>
      </c>
      <c r="P1958" t="str">
        <f>IFERROR(VLOOKUP(A1958,'[1]Sales Order'!A:N,14,FALSE),"Not Specified")</f>
        <v>Finland</v>
      </c>
      <c r="Q1958" t="str">
        <f>VLOOKUP(VLOOKUP(B1958,[1]Product!A:C,3,FALSE),[1]Supplier!A:B,2,FALSE)</f>
        <v>Supplier SWRXU</v>
      </c>
      <c r="R1958" t="str">
        <f>VLOOKUP(VLOOKUP(B1958,[1]Product!A:C,3,FALSE),[1]Supplier!A:I,9,FALSE)</f>
        <v>UK</v>
      </c>
      <c r="S1958" t="str">
        <f>IFERROR(IF(VLOOKUP(A1958,'[1]Sales Order'!A:H,8,FALSE)&gt;100,"High Freight","Low Freight"),"Not Specified")</f>
        <v>Low Freight</v>
      </c>
      <c r="T1958">
        <f t="shared" si="61"/>
        <v>36</v>
      </c>
    </row>
    <row r="1959" spans="1:20">
      <c r="A1959" s="1">
        <v>11005</v>
      </c>
      <c r="B1959" s="2">
        <v>59</v>
      </c>
      <c r="C1959" s="2">
        <v>55</v>
      </c>
      <c r="D1959" s="2">
        <v>10</v>
      </c>
      <c r="E1959" s="3">
        <v>0</v>
      </c>
      <c r="F1959" s="2" t="str">
        <f>IFERROR(VLOOKUP(VLOOKUP(A1959,'[1]Sales Order'!A:B,2,FALSE),[1]Customer!A:C,3,FALSE),"Not Specified")</f>
        <v>Larsson, Katarina</v>
      </c>
      <c r="G1959" s="2" t="str">
        <f t="shared" si="60"/>
        <v>Larsson Katarina</v>
      </c>
      <c r="H1959" s="8" t="str">
        <f>IFERROR(VLOOKUP(VLOOKUP(A1959,'[1]Sales Order'!A:C,3,FALSE),[1]Employee!A:E,5,FALSE)&amp;" "&amp;VLOOKUP(VLOOKUP(A1959,'[1]Sales Order'!A:C,3,FALSE),[1]Employee!A:C,3,FALSE)&amp;" "&amp;VLOOKUP(VLOOKUP(A1959,'[1]Sales Order'!A:C,3,FALSE),[1]Employee!A:B,2,FALSE),"Not Specified")</f>
        <v>Dr. Don Funk</v>
      </c>
      <c r="I1959" t="str">
        <f>IFERROR(VLOOKUP(VLOOKUP(A1959,'[1]Sales Order'!A:C,3,FALSE),[1]Employee!A:J,10,FALSE),"Not Specified")</f>
        <v>WA</v>
      </c>
      <c r="J1959" t="str">
        <f>VLOOKUP(B1959,[1]Product!A:B,2,FALSE)</f>
        <v>Product UKXRI</v>
      </c>
      <c r="K1959" t="str">
        <f>VLOOKUP(VLOOKUP(B1959,[1]Product!A:D,4,FALSE),[1]Category!A:B,2,FALSE)</f>
        <v>Dairy Product</v>
      </c>
      <c r="L1959" s="10">
        <f>IFERROR(VLOOKUP(A1959,'[1]Sales Order'!A:D,4,FALSE),"")</f>
        <v>39545</v>
      </c>
      <c r="M1959" s="10">
        <f>IFERROR(VLOOKUP(A1959,'[1]Sales Order'!A:F,6,FALSE),"")</f>
        <v>39548</v>
      </c>
      <c r="N1959" t="str">
        <f>IFERROR(VLOOKUP(VLOOKUP(A1959,'[1]Sales Order'!A:G,7,FALSE),[1]Shipper!A:B,2,FALSE),"Not Specified")</f>
        <v>Shipper GVSUA</v>
      </c>
      <c r="O1959" t="str">
        <f>IFERROR(VLOOKUP(A1959,'[1]Sales Order'!A:I,9,FALSE),"Not Specified")</f>
        <v>Ship to 90-A</v>
      </c>
      <c r="P1959" t="str">
        <f>IFERROR(VLOOKUP(A1959,'[1]Sales Order'!A:N,14,FALSE),"Not Specified")</f>
        <v>Finland</v>
      </c>
      <c r="Q1959" t="str">
        <f>VLOOKUP(VLOOKUP(B1959,[1]Product!A:C,3,FALSE),[1]Supplier!A:B,2,FALSE)</f>
        <v>Supplier OAVQT</v>
      </c>
      <c r="R1959" t="str">
        <f>VLOOKUP(VLOOKUP(B1959,[1]Product!A:C,3,FALSE),[1]Supplier!A:I,9,FALSE)</f>
        <v>France</v>
      </c>
      <c r="S1959" t="str">
        <f>IFERROR(IF(VLOOKUP(A1959,'[1]Sales Order'!A:H,8,FALSE)&gt;100,"High Freight","Low Freight"),"Not Specified")</f>
        <v>Low Freight</v>
      </c>
      <c r="T1959">
        <f t="shared" si="61"/>
        <v>550</v>
      </c>
    </row>
    <row r="1960" spans="1:20">
      <c r="A1960" s="1">
        <v>11006</v>
      </c>
      <c r="B1960" s="2">
        <v>1</v>
      </c>
      <c r="C1960" s="2">
        <v>18</v>
      </c>
      <c r="D1960" s="2">
        <v>8</v>
      </c>
      <c r="E1960" s="3">
        <v>0</v>
      </c>
      <c r="F1960" s="2" t="str">
        <f>IFERROR(VLOOKUP(VLOOKUP(A1960,'[1]Sales Order'!A:B,2,FALSE),[1]Customer!A:C,3,FALSE),"Not Specified")</f>
        <v>Krishnan, Venky</v>
      </c>
      <c r="G1960" s="2" t="str">
        <f t="shared" si="60"/>
        <v>Krishnan Venky</v>
      </c>
      <c r="H1960" s="8" t="str">
        <f>IFERROR(VLOOKUP(VLOOKUP(A1960,'[1]Sales Order'!A:C,3,FALSE),[1]Employee!A:E,5,FALSE)&amp;" "&amp;VLOOKUP(VLOOKUP(A1960,'[1]Sales Order'!A:C,3,FALSE),[1]Employee!A:C,3,FALSE)&amp;" "&amp;VLOOKUP(VLOOKUP(A1960,'[1]Sales Order'!A:C,3,FALSE),[1]Employee!A:B,2,FALSE),"Not Specified")</f>
        <v>Ms. Judy Lew</v>
      </c>
      <c r="I1960" t="str">
        <f>IFERROR(VLOOKUP(VLOOKUP(A1960,'[1]Sales Order'!A:C,3,FALSE),[1]Employee!A:J,10,FALSE),"Not Specified")</f>
        <v>WA</v>
      </c>
      <c r="J1960" t="str">
        <f>VLOOKUP(B1960,[1]Product!A:B,2,FALSE)</f>
        <v>Product HHYDP</v>
      </c>
      <c r="K1960" t="str">
        <f>VLOOKUP(VLOOKUP(B1960,[1]Product!A:D,4,FALSE),[1]Category!A:B,2,FALSE)</f>
        <v>Beverages</v>
      </c>
      <c r="L1960" s="10">
        <f>IFERROR(VLOOKUP(A1960,'[1]Sales Order'!A:D,4,FALSE),"")</f>
        <v>39545</v>
      </c>
      <c r="M1960" s="10">
        <f>IFERROR(VLOOKUP(A1960,'[1]Sales Order'!A:F,6,FALSE),"")</f>
        <v>39553</v>
      </c>
      <c r="N1960" t="str">
        <f>IFERROR(VLOOKUP(VLOOKUP(A1960,'[1]Sales Order'!A:G,7,FALSE),[1]Shipper!A:B,2,FALSE),"Not Specified")</f>
        <v>Shipper ETYNR</v>
      </c>
      <c r="O1960" t="str">
        <f>IFERROR(VLOOKUP(A1960,'[1]Sales Order'!A:I,9,FALSE),"Not Specified")</f>
        <v>Destination LLUXZ</v>
      </c>
      <c r="P1960" t="str">
        <f>IFERROR(VLOOKUP(A1960,'[1]Sales Order'!A:N,14,FALSE),"Not Specified")</f>
        <v>USA</v>
      </c>
      <c r="Q1960" t="str">
        <f>VLOOKUP(VLOOKUP(B1960,[1]Product!A:C,3,FALSE),[1]Supplier!A:B,2,FALSE)</f>
        <v>Supplier SWRXU</v>
      </c>
      <c r="R1960" t="str">
        <f>VLOOKUP(VLOOKUP(B1960,[1]Product!A:C,3,FALSE),[1]Supplier!A:I,9,FALSE)</f>
        <v>UK</v>
      </c>
      <c r="S1960" t="str">
        <f>IFERROR(IF(VLOOKUP(A1960,'[1]Sales Order'!A:H,8,FALSE)&gt;100,"High Freight","Low Freight"),"Not Specified")</f>
        <v>Low Freight</v>
      </c>
      <c r="T1960">
        <f t="shared" si="61"/>
        <v>144</v>
      </c>
    </row>
    <row r="1961" spans="1:20">
      <c r="A1961" s="1">
        <v>11006</v>
      </c>
      <c r="B1961" s="2">
        <v>29</v>
      </c>
      <c r="C1961" s="2">
        <v>123.79</v>
      </c>
      <c r="D1961" s="2">
        <v>2</v>
      </c>
      <c r="E1961" s="3">
        <v>0.25</v>
      </c>
      <c r="F1961" s="2" t="str">
        <f>IFERROR(VLOOKUP(VLOOKUP(A1961,'[1]Sales Order'!A:B,2,FALSE),[1]Customer!A:C,3,FALSE),"Not Specified")</f>
        <v>Krishnan, Venky</v>
      </c>
      <c r="G1961" s="2" t="str">
        <f t="shared" si="60"/>
        <v>Krishnan Venky</v>
      </c>
      <c r="H1961" s="8" t="str">
        <f>IFERROR(VLOOKUP(VLOOKUP(A1961,'[1]Sales Order'!A:C,3,FALSE),[1]Employee!A:E,5,FALSE)&amp;" "&amp;VLOOKUP(VLOOKUP(A1961,'[1]Sales Order'!A:C,3,FALSE),[1]Employee!A:C,3,FALSE)&amp;" "&amp;VLOOKUP(VLOOKUP(A1961,'[1]Sales Order'!A:C,3,FALSE),[1]Employee!A:B,2,FALSE),"Not Specified")</f>
        <v>Ms. Judy Lew</v>
      </c>
      <c r="I1961" t="str">
        <f>IFERROR(VLOOKUP(VLOOKUP(A1961,'[1]Sales Order'!A:C,3,FALSE),[1]Employee!A:J,10,FALSE),"Not Specified")</f>
        <v>WA</v>
      </c>
      <c r="J1961" t="str">
        <f>VLOOKUP(B1961,[1]Product!A:B,2,FALSE)</f>
        <v>Product VJXYN</v>
      </c>
      <c r="K1961" t="str">
        <f>VLOOKUP(VLOOKUP(B1961,[1]Product!A:D,4,FALSE),[1]Category!A:B,2,FALSE)</f>
        <v>Meat/Poultry</v>
      </c>
      <c r="L1961" s="10">
        <f>IFERROR(VLOOKUP(A1961,'[1]Sales Order'!A:D,4,FALSE),"")</f>
        <v>39545</v>
      </c>
      <c r="M1961" s="10">
        <f>IFERROR(VLOOKUP(A1961,'[1]Sales Order'!A:F,6,FALSE),"")</f>
        <v>39553</v>
      </c>
      <c r="N1961" t="str">
        <f>IFERROR(VLOOKUP(VLOOKUP(A1961,'[1]Sales Order'!A:G,7,FALSE),[1]Shipper!A:B,2,FALSE),"Not Specified")</f>
        <v>Shipper ETYNR</v>
      </c>
      <c r="O1961" t="str">
        <f>IFERROR(VLOOKUP(A1961,'[1]Sales Order'!A:I,9,FALSE),"Not Specified")</f>
        <v>Destination LLUXZ</v>
      </c>
      <c r="P1961" t="str">
        <f>IFERROR(VLOOKUP(A1961,'[1]Sales Order'!A:N,14,FALSE),"Not Specified")</f>
        <v>USA</v>
      </c>
      <c r="Q1961" t="str">
        <f>VLOOKUP(VLOOKUP(B1961,[1]Product!A:C,3,FALSE),[1]Supplier!A:B,2,FALSE)</f>
        <v>Supplier SVIYA</v>
      </c>
      <c r="R1961" t="str">
        <f>VLOOKUP(VLOOKUP(B1961,[1]Product!A:C,3,FALSE),[1]Supplier!A:I,9,FALSE)</f>
        <v>Germany</v>
      </c>
      <c r="S1961" t="str">
        <f>IFERROR(IF(VLOOKUP(A1961,'[1]Sales Order'!A:H,8,FALSE)&gt;100,"High Freight","Low Freight"),"Not Specified")</f>
        <v>Low Freight</v>
      </c>
      <c r="T1961">
        <f t="shared" si="61"/>
        <v>185.685</v>
      </c>
    </row>
    <row r="1962" spans="1:20">
      <c r="A1962" s="1">
        <v>11007</v>
      </c>
      <c r="B1962" s="2">
        <v>8</v>
      </c>
      <c r="C1962" s="2">
        <v>40</v>
      </c>
      <c r="D1962" s="2">
        <v>30</v>
      </c>
      <c r="E1962" s="3">
        <v>0</v>
      </c>
      <c r="F1962" s="2" t="str">
        <f>IFERROR(VLOOKUP(VLOOKUP(A1962,'[1]Sales Order'!A:B,2,FALSE),[1]Customer!A:C,3,FALSE),"Not Specified")</f>
        <v>Uppal, Sunil</v>
      </c>
      <c r="G1962" s="2" t="str">
        <f t="shared" si="60"/>
        <v>Uppal Sunil</v>
      </c>
      <c r="H1962" s="8" t="str">
        <f>IFERROR(VLOOKUP(VLOOKUP(A1962,'[1]Sales Order'!A:C,3,FALSE),[1]Employee!A:E,5,FALSE)&amp;" "&amp;VLOOKUP(VLOOKUP(A1962,'[1]Sales Order'!A:C,3,FALSE),[1]Employee!A:C,3,FALSE)&amp;" "&amp;VLOOKUP(VLOOKUP(A1962,'[1]Sales Order'!A:C,3,FALSE),[1]Employee!A:B,2,FALSE),"Not Specified")</f>
        <v>Ms. Maria Cameron</v>
      </c>
      <c r="I1962" t="str">
        <f>IFERROR(VLOOKUP(VLOOKUP(A1962,'[1]Sales Order'!A:C,3,FALSE),[1]Employee!A:J,10,FALSE),"Not Specified")</f>
        <v>WA</v>
      </c>
      <c r="J1962" t="str">
        <f>VLOOKUP(B1962,[1]Product!A:B,2,FALSE)</f>
        <v>Product WVJFP</v>
      </c>
      <c r="K1962" t="str">
        <f>VLOOKUP(VLOOKUP(B1962,[1]Product!A:D,4,FALSE),[1]Category!A:B,2,FALSE)</f>
        <v>Condiments</v>
      </c>
      <c r="L1962" s="10">
        <f>IFERROR(VLOOKUP(A1962,'[1]Sales Order'!A:D,4,FALSE),"")</f>
        <v>39546</v>
      </c>
      <c r="M1962" s="10">
        <f>IFERROR(VLOOKUP(A1962,'[1]Sales Order'!A:F,6,FALSE),"")</f>
        <v>39551</v>
      </c>
      <c r="N1962" t="str">
        <f>IFERROR(VLOOKUP(VLOOKUP(A1962,'[1]Sales Order'!A:G,7,FALSE),[1]Shipper!A:B,2,FALSE),"Not Specified")</f>
        <v>Shipper ETYNR</v>
      </c>
      <c r="O1962" t="str">
        <f>IFERROR(VLOOKUP(A1962,'[1]Sales Order'!A:I,9,FALSE),"Not Specified")</f>
        <v>Ship to 60-C</v>
      </c>
      <c r="P1962" t="str">
        <f>IFERROR(VLOOKUP(A1962,'[1]Sales Order'!A:N,14,FALSE),"Not Specified")</f>
        <v>Portugal</v>
      </c>
      <c r="Q1962" t="str">
        <f>VLOOKUP(VLOOKUP(B1962,[1]Product!A:C,3,FALSE),[1]Supplier!A:B,2,FALSE)</f>
        <v>Supplier STUAZ</v>
      </c>
      <c r="R1962" t="str">
        <f>VLOOKUP(VLOOKUP(B1962,[1]Product!A:C,3,FALSE),[1]Supplier!A:I,9,FALSE)</f>
        <v>USA</v>
      </c>
      <c r="S1962" t="str">
        <f>IFERROR(IF(VLOOKUP(A1962,'[1]Sales Order'!A:H,8,FALSE)&gt;100,"High Freight","Low Freight"),"Not Specified")</f>
        <v>High Freight</v>
      </c>
      <c r="T1962">
        <f t="shared" si="61"/>
        <v>1200</v>
      </c>
    </row>
    <row r="1963" spans="1:20">
      <c r="A1963" s="1">
        <v>11007</v>
      </c>
      <c r="B1963" s="2">
        <v>29</v>
      </c>
      <c r="C1963" s="2">
        <v>123.79</v>
      </c>
      <c r="D1963" s="2">
        <v>10</v>
      </c>
      <c r="E1963" s="3">
        <v>0</v>
      </c>
      <c r="F1963" s="2" t="str">
        <f>IFERROR(VLOOKUP(VLOOKUP(A1963,'[1]Sales Order'!A:B,2,FALSE),[1]Customer!A:C,3,FALSE),"Not Specified")</f>
        <v>Uppal, Sunil</v>
      </c>
      <c r="G1963" s="2" t="str">
        <f t="shared" si="60"/>
        <v>Uppal Sunil</v>
      </c>
      <c r="H1963" s="8" t="str">
        <f>IFERROR(VLOOKUP(VLOOKUP(A1963,'[1]Sales Order'!A:C,3,FALSE),[1]Employee!A:E,5,FALSE)&amp;" "&amp;VLOOKUP(VLOOKUP(A1963,'[1]Sales Order'!A:C,3,FALSE),[1]Employee!A:C,3,FALSE)&amp;" "&amp;VLOOKUP(VLOOKUP(A1963,'[1]Sales Order'!A:C,3,FALSE),[1]Employee!A:B,2,FALSE),"Not Specified")</f>
        <v>Ms. Maria Cameron</v>
      </c>
      <c r="I1963" t="str">
        <f>IFERROR(VLOOKUP(VLOOKUP(A1963,'[1]Sales Order'!A:C,3,FALSE),[1]Employee!A:J,10,FALSE),"Not Specified")</f>
        <v>WA</v>
      </c>
      <c r="J1963" t="str">
        <f>VLOOKUP(B1963,[1]Product!A:B,2,FALSE)</f>
        <v>Product VJXYN</v>
      </c>
      <c r="K1963" t="str">
        <f>VLOOKUP(VLOOKUP(B1963,[1]Product!A:D,4,FALSE),[1]Category!A:B,2,FALSE)</f>
        <v>Meat/Poultry</v>
      </c>
      <c r="L1963" s="10">
        <f>IFERROR(VLOOKUP(A1963,'[1]Sales Order'!A:D,4,FALSE),"")</f>
        <v>39546</v>
      </c>
      <c r="M1963" s="10">
        <f>IFERROR(VLOOKUP(A1963,'[1]Sales Order'!A:F,6,FALSE),"")</f>
        <v>39551</v>
      </c>
      <c r="N1963" t="str">
        <f>IFERROR(VLOOKUP(VLOOKUP(A1963,'[1]Sales Order'!A:G,7,FALSE),[1]Shipper!A:B,2,FALSE),"Not Specified")</f>
        <v>Shipper ETYNR</v>
      </c>
      <c r="O1963" t="str">
        <f>IFERROR(VLOOKUP(A1963,'[1]Sales Order'!A:I,9,FALSE),"Not Specified")</f>
        <v>Ship to 60-C</v>
      </c>
      <c r="P1963" t="str">
        <f>IFERROR(VLOOKUP(A1963,'[1]Sales Order'!A:N,14,FALSE),"Not Specified")</f>
        <v>Portugal</v>
      </c>
      <c r="Q1963" t="str">
        <f>VLOOKUP(VLOOKUP(B1963,[1]Product!A:C,3,FALSE),[1]Supplier!A:B,2,FALSE)</f>
        <v>Supplier SVIYA</v>
      </c>
      <c r="R1963" t="str">
        <f>VLOOKUP(VLOOKUP(B1963,[1]Product!A:C,3,FALSE),[1]Supplier!A:I,9,FALSE)</f>
        <v>Germany</v>
      </c>
      <c r="S1963" t="str">
        <f>IFERROR(IF(VLOOKUP(A1963,'[1]Sales Order'!A:H,8,FALSE)&gt;100,"High Freight","Low Freight"),"Not Specified")</f>
        <v>High Freight</v>
      </c>
      <c r="T1963">
        <f t="shared" si="61"/>
        <v>1237.9000000000001</v>
      </c>
    </row>
    <row r="1964" spans="1:20">
      <c r="A1964" s="1">
        <v>11007</v>
      </c>
      <c r="B1964" s="2">
        <v>42</v>
      </c>
      <c r="C1964" s="2">
        <v>14</v>
      </c>
      <c r="D1964" s="2">
        <v>14</v>
      </c>
      <c r="E1964" s="3">
        <v>0</v>
      </c>
      <c r="F1964" s="2" t="str">
        <f>IFERROR(VLOOKUP(VLOOKUP(A1964,'[1]Sales Order'!A:B,2,FALSE),[1]Customer!A:C,3,FALSE),"Not Specified")</f>
        <v>Uppal, Sunil</v>
      </c>
      <c r="G1964" s="2" t="str">
        <f t="shared" si="60"/>
        <v>Uppal Sunil</v>
      </c>
      <c r="H1964" s="8" t="str">
        <f>IFERROR(VLOOKUP(VLOOKUP(A1964,'[1]Sales Order'!A:C,3,FALSE),[1]Employee!A:E,5,FALSE)&amp;" "&amp;VLOOKUP(VLOOKUP(A1964,'[1]Sales Order'!A:C,3,FALSE),[1]Employee!A:C,3,FALSE)&amp;" "&amp;VLOOKUP(VLOOKUP(A1964,'[1]Sales Order'!A:C,3,FALSE),[1]Employee!A:B,2,FALSE),"Not Specified")</f>
        <v>Ms. Maria Cameron</v>
      </c>
      <c r="I1964" t="str">
        <f>IFERROR(VLOOKUP(VLOOKUP(A1964,'[1]Sales Order'!A:C,3,FALSE),[1]Employee!A:J,10,FALSE),"Not Specified")</f>
        <v>WA</v>
      </c>
      <c r="J1964" t="str">
        <f>VLOOKUP(B1964,[1]Product!A:B,2,FALSE)</f>
        <v>Product RJVNM</v>
      </c>
      <c r="K1964" t="str">
        <f>VLOOKUP(VLOOKUP(B1964,[1]Product!A:D,4,FALSE),[1]Category!A:B,2,FALSE)</f>
        <v>Grains/Cereals</v>
      </c>
      <c r="L1964" s="10">
        <f>IFERROR(VLOOKUP(A1964,'[1]Sales Order'!A:D,4,FALSE),"")</f>
        <v>39546</v>
      </c>
      <c r="M1964" s="10">
        <f>IFERROR(VLOOKUP(A1964,'[1]Sales Order'!A:F,6,FALSE),"")</f>
        <v>39551</v>
      </c>
      <c r="N1964" t="str">
        <f>IFERROR(VLOOKUP(VLOOKUP(A1964,'[1]Sales Order'!A:G,7,FALSE),[1]Shipper!A:B,2,FALSE),"Not Specified")</f>
        <v>Shipper ETYNR</v>
      </c>
      <c r="O1964" t="str">
        <f>IFERROR(VLOOKUP(A1964,'[1]Sales Order'!A:I,9,FALSE),"Not Specified")</f>
        <v>Ship to 60-C</v>
      </c>
      <c r="P1964" t="str">
        <f>IFERROR(VLOOKUP(A1964,'[1]Sales Order'!A:N,14,FALSE),"Not Specified")</f>
        <v>Portugal</v>
      </c>
      <c r="Q1964" t="str">
        <f>VLOOKUP(VLOOKUP(B1964,[1]Product!A:C,3,FALSE),[1]Supplier!A:B,2,FALSE)</f>
        <v>Supplier CIYNM</v>
      </c>
      <c r="R1964" t="str">
        <f>VLOOKUP(VLOOKUP(B1964,[1]Product!A:C,3,FALSE),[1]Supplier!A:I,9,FALSE)</f>
        <v>Singapore</v>
      </c>
      <c r="S1964" t="str">
        <f>IFERROR(IF(VLOOKUP(A1964,'[1]Sales Order'!A:H,8,FALSE)&gt;100,"High Freight","Low Freight"),"Not Specified")</f>
        <v>High Freight</v>
      </c>
      <c r="T1964">
        <f t="shared" si="61"/>
        <v>196</v>
      </c>
    </row>
    <row r="1965" spans="1:20">
      <c r="A1965" s="1">
        <v>11008</v>
      </c>
      <c r="B1965" s="2">
        <v>28</v>
      </c>
      <c r="C1965" s="2">
        <v>45.6</v>
      </c>
      <c r="D1965" s="2">
        <v>70</v>
      </c>
      <c r="E1965" s="3">
        <v>0.05</v>
      </c>
      <c r="F1965" s="2" t="str">
        <f>IFERROR(VLOOKUP(VLOOKUP(A1965,'[1]Sales Order'!A:B,2,FALSE),[1]Customer!A:C,3,FALSE),"Not Specified")</f>
        <v>Kane, John</v>
      </c>
      <c r="G1965" s="2" t="str">
        <f t="shared" si="60"/>
        <v>Kane John</v>
      </c>
      <c r="H1965" s="8" t="str">
        <f>IFERROR(VLOOKUP(VLOOKUP(A1965,'[1]Sales Order'!A:C,3,FALSE),[1]Employee!A:E,5,FALSE)&amp;" "&amp;VLOOKUP(VLOOKUP(A1965,'[1]Sales Order'!A:C,3,FALSE),[1]Employee!A:C,3,FALSE)&amp;" "&amp;VLOOKUP(VLOOKUP(A1965,'[1]Sales Order'!A:C,3,FALSE),[1]Employee!A:B,2,FALSE),"Not Specified")</f>
        <v>Mr. Russell King</v>
      </c>
      <c r="I1965">
        <f>IFERROR(VLOOKUP(VLOOKUP(A1965,'[1]Sales Order'!A:C,3,FALSE),[1]Employee!A:J,10,FALSE),"Not Specified")</f>
        <v>0</v>
      </c>
      <c r="J1965" t="str">
        <f>VLOOKUP(B1965,[1]Product!A:B,2,FALSE)</f>
        <v>Product OFBNT</v>
      </c>
      <c r="K1965" t="str">
        <f>VLOOKUP(VLOOKUP(B1965,[1]Product!A:D,4,FALSE),[1]Category!A:B,2,FALSE)</f>
        <v>Produce</v>
      </c>
      <c r="L1965" s="10">
        <f>IFERROR(VLOOKUP(A1965,'[1]Sales Order'!A:D,4,FALSE),"")</f>
        <v>39546</v>
      </c>
      <c r="M1965" s="10">
        <f>IFERROR(VLOOKUP(A1965,'[1]Sales Order'!A:F,6,FALSE),"")</f>
        <v>0</v>
      </c>
      <c r="N1965" t="str">
        <f>IFERROR(VLOOKUP(VLOOKUP(A1965,'[1]Sales Order'!A:G,7,FALSE),[1]Shipper!A:B,2,FALSE),"Not Specified")</f>
        <v>Shipper ZHISN</v>
      </c>
      <c r="O1965" t="str">
        <f>IFERROR(VLOOKUP(A1965,'[1]Sales Order'!A:I,9,FALSE),"Not Specified")</f>
        <v>Destination CUVPF</v>
      </c>
      <c r="P1965" t="str">
        <f>IFERROR(VLOOKUP(A1965,'[1]Sales Order'!A:N,14,FALSE),"Not Specified")</f>
        <v>Austria</v>
      </c>
      <c r="Q1965" t="str">
        <f>VLOOKUP(VLOOKUP(B1965,[1]Product!A:C,3,FALSE),[1]Supplier!A:B,2,FALSE)</f>
        <v>Supplier SVIYA</v>
      </c>
      <c r="R1965" t="str">
        <f>VLOOKUP(VLOOKUP(B1965,[1]Product!A:C,3,FALSE),[1]Supplier!A:I,9,FALSE)</f>
        <v>Germany</v>
      </c>
      <c r="S1965" t="str">
        <f>IFERROR(IF(VLOOKUP(A1965,'[1]Sales Order'!A:H,8,FALSE)&gt;100,"High Freight","Low Freight"),"Not Specified")</f>
        <v>Low Freight</v>
      </c>
      <c r="T1965">
        <f t="shared" si="61"/>
        <v>3032.3999999999996</v>
      </c>
    </row>
    <row r="1966" spans="1:20">
      <c r="A1966" s="1">
        <v>11008</v>
      </c>
      <c r="B1966" s="2">
        <v>34</v>
      </c>
      <c r="C1966" s="2">
        <v>14</v>
      </c>
      <c r="D1966" s="2">
        <v>90</v>
      </c>
      <c r="E1966" s="3">
        <v>0.05</v>
      </c>
      <c r="F1966" s="2" t="str">
        <f>IFERROR(VLOOKUP(VLOOKUP(A1966,'[1]Sales Order'!A:B,2,FALSE),[1]Customer!A:C,3,FALSE),"Not Specified")</f>
        <v>Kane, John</v>
      </c>
      <c r="G1966" s="2" t="str">
        <f t="shared" si="60"/>
        <v>Kane John</v>
      </c>
      <c r="H1966" s="8" t="str">
        <f>IFERROR(VLOOKUP(VLOOKUP(A1966,'[1]Sales Order'!A:C,3,FALSE),[1]Employee!A:E,5,FALSE)&amp;" "&amp;VLOOKUP(VLOOKUP(A1966,'[1]Sales Order'!A:C,3,FALSE),[1]Employee!A:C,3,FALSE)&amp;" "&amp;VLOOKUP(VLOOKUP(A1966,'[1]Sales Order'!A:C,3,FALSE),[1]Employee!A:B,2,FALSE),"Not Specified")</f>
        <v>Mr. Russell King</v>
      </c>
      <c r="I1966">
        <f>IFERROR(VLOOKUP(VLOOKUP(A1966,'[1]Sales Order'!A:C,3,FALSE),[1]Employee!A:J,10,FALSE),"Not Specified")</f>
        <v>0</v>
      </c>
      <c r="J1966" t="str">
        <f>VLOOKUP(B1966,[1]Product!A:B,2,FALSE)</f>
        <v>Product SWNJY</v>
      </c>
      <c r="K1966" t="str">
        <f>VLOOKUP(VLOOKUP(B1966,[1]Product!A:D,4,FALSE),[1]Category!A:B,2,FALSE)</f>
        <v>Beverages</v>
      </c>
      <c r="L1966" s="10">
        <f>IFERROR(VLOOKUP(A1966,'[1]Sales Order'!A:D,4,FALSE),"")</f>
        <v>39546</v>
      </c>
      <c r="M1966" s="10">
        <f>IFERROR(VLOOKUP(A1966,'[1]Sales Order'!A:F,6,FALSE),"")</f>
        <v>0</v>
      </c>
      <c r="N1966" t="str">
        <f>IFERROR(VLOOKUP(VLOOKUP(A1966,'[1]Sales Order'!A:G,7,FALSE),[1]Shipper!A:B,2,FALSE),"Not Specified")</f>
        <v>Shipper ZHISN</v>
      </c>
      <c r="O1966" t="str">
        <f>IFERROR(VLOOKUP(A1966,'[1]Sales Order'!A:I,9,FALSE),"Not Specified")</f>
        <v>Destination CUVPF</v>
      </c>
      <c r="P1966" t="str">
        <f>IFERROR(VLOOKUP(A1966,'[1]Sales Order'!A:N,14,FALSE),"Not Specified")</f>
        <v>Austria</v>
      </c>
      <c r="Q1966" t="str">
        <f>VLOOKUP(VLOOKUP(B1966,[1]Product!A:C,3,FALSE),[1]Supplier!A:B,2,FALSE)</f>
        <v>Supplier UHZRG</v>
      </c>
      <c r="R1966" t="str">
        <f>VLOOKUP(VLOOKUP(B1966,[1]Product!A:C,3,FALSE),[1]Supplier!A:I,9,FALSE)</f>
        <v>USA</v>
      </c>
      <c r="S1966" t="str">
        <f>IFERROR(IF(VLOOKUP(A1966,'[1]Sales Order'!A:H,8,FALSE)&gt;100,"High Freight","Low Freight"),"Not Specified")</f>
        <v>Low Freight</v>
      </c>
      <c r="T1966">
        <f t="shared" si="61"/>
        <v>1197</v>
      </c>
    </row>
    <row r="1967" spans="1:20">
      <c r="A1967" s="1">
        <v>11008</v>
      </c>
      <c r="B1967" s="2">
        <v>71</v>
      </c>
      <c r="C1967" s="2">
        <v>21.5</v>
      </c>
      <c r="D1967" s="2">
        <v>21</v>
      </c>
      <c r="E1967" s="3">
        <v>0</v>
      </c>
      <c r="F1967" s="2" t="str">
        <f>IFERROR(VLOOKUP(VLOOKUP(A1967,'[1]Sales Order'!A:B,2,FALSE),[1]Customer!A:C,3,FALSE),"Not Specified")</f>
        <v>Kane, John</v>
      </c>
      <c r="G1967" s="2" t="str">
        <f t="shared" si="60"/>
        <v>Kane John</v>
      </c>
      <c r="H1967" s="8" t="str">
        <f>IFERROR(VLOOKUP(VLOOKUP(A1967,'[1]Sales Order'!A:C,3,FALSE),[1]Employee!A:E,5,FALSE)&amp;" "&amp;VLOOKUP(VLOOKUP(A1967,'[1]Sales Order'!A:C,3,FALSE),[1]Employee!A:C,3,FALSE)&amp;" "&amp;VLOOKUP(VLOOKUP(A1967,'[1]Sales Order'!A:C,3,FALSE),[1]Employee!A:B,2,FALSE),"Not Specified")</f>
        <v>Mr. Russell King</v>
      </c>
      <c r="I1967">
        <f>IFERROR(VLOOKUP(VLOOKUP(A1967,'[1]Sales Order'!A:C,3,FALSE),[1]Employee!A:J,10,FALSE),"Not Specified")</f>
        <v>0</v>
      </c>
      <c r="J1967" t="str">
        <f>VLOOKUP(B1967,[1]Product!A:B,2,FALSE)</f>
        <v>Product MYMOI</v>
      </c>
      <c r="K1967" t="str">
        <f>VLOOKUP(VLOOKUP(B1967,[1]Product!A:D,4,FALSE),[1]Category!A:B,2,FALSE)</f>
        <v>Dairy Product</v>
      </c>
      <c r="L1967" s="10">
        <f>IFERROR(VLOOKUP(A1967,'[1]Sales Order'!A:D,4,FALSE),"")</f>
        <v>39546</v>
      </c>
      <c r="M1967" s="10">
        <f>IFERROR(VLOOKUP(A1967,'[1]Sales Order'!A:F,6,FALSE),"")</f>
        <v>0</v>
      </c>
      <c r="N1967" t="str">
        <f>IFERROR(VLOOKUP(VLOOKUP(A1967,'[1]Sales Order'!A:G,7,FALSE),[1]Shipper!A:B,2,FALSE),"Not Specified")</f>
        <v>Shipper ZHISN</v>
      </c>
      <c r="O1967" t="str">
        <f>IFERROR(VLOOKUP(A1967,'[1]Sales Order'!A:I,9,FALSE),"Not Specified")</f>
        <v>Destination CUVPF</v>
      </c>
      <c r="P1967" t="str">
        <f>IFERROR(VLOOKUP(A1967,'[1]Sales Order'!A:N,14,FALSE),"Not Specified")</f>
        <v>Austria</v>
      </c>
      <c r="Q1967" t="str">
        <f>VLOOKUP(VLOOKUP(B1967,[1]Product!A:C,3,FALSE),[1]Supplier!A:B,2,FALSE)</f>
        <v>Supplier NZLIF</v>
      </c>
      <c r="R1967" t="str">
        <f>VLOOKUP(VLOOKUP(B1967,[1]Product!A:C,3,FALSE),[1]Supplier!A:I,9,FALSE)</f>
        <v>Norway</v>
      </c>
      <c r="S1967" t="str">
        <f>IFERROR(IF(VLOOKUP(A1967,'[1]Sales Order'!A:H,8,FALSE)&gt;100,"High Freight","Low Freight"),"Not Specified")</f>
        <v>Low Freight</v>
      </c>
      <c r="T1967">
        <f t="shared" si="61"/>
        <v>451.5</v>
      </c>
    </row>
    <row r="1968" spans="1:20">
      <c r="A1968" s="1">
        <v>11009</v>
      </c>
      <c r="B1968" s="2">
        <v>24</v>
      </c>
      <c r="C1968" s="2">
        <v>4.5</v>
      </c>
      <c r="D1968" s="2">
        <v>12</v>
      </c>
      <c r="E1968" s="3">
        <v>0</v>
      </c>
      <c r="F1968" s="2" t="str">
        <f>IFERROR(VLOOKUP(VLOOKUP(A1968,'[1]Sales Order'!A:B,2,FALSE),[1]Customer!A:C,3,FALSE),"Not Specified")</f>
        <v>Shabalin, Rostislav</v>
      </c>
      <c r="G1968" s="2" t="str">
        <f t="shared" si="60"/>
        <v>Shabalin Rostislav</v>
      </c>
      <c r="H1968" s="8" t="str">
        <f>IFERROR(VLOOKUP(VLOOKUP(A1968,'[1]Sales Order'!A:C,3,FALSE),[1]Employee!A:E,5,FALSE)&amp;" "&amp;VLOOKUP(VLOOKUP(A1968,'[1]Sales Order'!A:C,3,FALSE),[1]Employee!A:C,3,FALSE)&amp;" "&amp;VLOOKUP(VLOOKUP(A1968,'[1]Sales Order'!A:C,3,FALSE),[1]Employee!A:B,2,FALSE),"Not Specified")</f>
        <v>Dr. Don Funk</v>
      </c>
      <c r="I1968" t="str">
        <f>IFERROR(VLOOKUP(VLOOKUP(A1968,'[1]Sales Order'!A:C,3,FALSE),[1]Employee!A:J,10,FALSE),"Not Specified")</f>
        <v>WA</v>
      </c>
      <c r="J1968" t="str">
        <f>VLOOKUP(B1968,[1]Product!A:B,2,FALSE)</f>
        <v>Product QOGNU</v>
      </c>
      <c r="K1968" t="str">
        <f>VLOOKUP(VLOOKUP(B1968,[1]Product!A:D,4,FALSE),[1]Category!A:B,2,FALSE)</f>
        <v>Beverages</v>
      </c>
      <c r="L1968" s="10">
        <f>IFERROR(VLOOKUP(A1968,'[1]Sales Order'!A:D,4,FALSE),"")</f>
        <v>39546</v>
      </c>
      <c r="M1968" s="10">
        <f>IFERROR(VLOOKUP(A1968,'[1]Sales Order'!A:F,6,FALSE),"")</f>
        <v>39548</v>
      </c>
      <c r="N1968" t="str">
        <f>IFERROR(VLOOKUP(VLOOKUP(A1968,'[1]Sales Order'!A:G,7,FALSE),[1]Shipper!A:B,2,FALSE),"Not Specified")</f>
        <v>Shipper GVSUA</v>
      </c>
      <c r="O1968" t="str">
        <f>IFERROR(VLOOKUP(A1968,'[1]Sales Order'!A:I,9,FALSE),"Not Specified")</f>
        <v>Destination WVLDH</v>
      </c>
      <c r="P1968" t="str">
        <f>IFERROR(VLOOKUP(A1968,'[1]Sales Order'!A:N,14,FALSE),"Not Specified")</f>
        <v>Spain</v>
      </c>
      <c r="Q1968" t="str">
        <f>VLOOKUP(VLOOKUP(B1968,[1]Product!A:C,3,FALSE),[1]Supplier!A:B,2,FALSE)</f>
        <v>Supplier UNAHG</v>
      </c>
      <c r="R1968" t="str">
        <f>VLOOKUP(VLOOKUP(B1968,[1]Product!A:C,3,FALSE),[1]Supplier!A:I,9,FALSE)</f>
        <v>Brazil</v>
      </c>
      <c r="S1968" t="str">
        <f>IFERROR(IF(VLOOKUP(A1968,'[1]Sales Order'!A:H,8,FALSE)&gt;100,"High Freight","Low Freight"),"Not Specified")</f>
        <v>Low Freight</v>
      </c>
      <c r="T1968">
        <f t="shared" si="61"/>
        <v>54</v>
      </c>
    </row>
    <row r="1969" spans="1:20">
      <c r="A1969" s="1">
        <v>11009</v>
      </c>
      <c r="B1969" s="2">
        <v>36</v>
      </c>
      <c r="C1969" s="2">
        <v>19</v>
      </c>
      <c r="D1969" s="2">
        <v>18</v>
      </c>
      <c r="E1969" s="3">
        <v>0.25</v>
      </c>
      <c r="F1969" s="2" t="str">
        <f>IFERROR(VLOOKUP(VLOOKUP(A1969,'[1]Sales Order'!A:B,2,FALSE),[1]Customer!A:C,3,FALSE),"Not Specified")</f>
        <v>Shabalin, Rostislav</v>
      </c>
      <c r="G1969" s="2" t="str">
        <f t="shared" si="60"/>
        <v>Shabalin Rostislav</v>
      </c>
      <c r="H1969" s="8" t="str">
        <f>IFERROR(VLOOKUP(VLOOKUP(A1969,'[1]Sales Order'!A:C,3,FALSE),[1]Employee!A:E,5,FALSE)&amp;" "&amp;VLOOKUP(VLOOKUP(A1969,'[1]Sales Order'!A:C,3,FALSE),[1]Employee!A:C,3,FALSE)&amp;" "&amp;VLOOKUP(VLOOKUP(A1969,'[1]Sales Order'!A:C,3,FALSE),[1]Employee!A:B,2,FALSE),"Not Specified")</f>
        <v>Dr. Don Funk</v>
      </c>
      <c r="I1969" t="str">
        <f>IFERROR(VLOOKUP(VLOOKUP(A1969,'[1]Sales Order'!A:C,3,FALSE),[1]Employee!A:J,10,FALSE),"Not Specified")</f>
        <v>WA</v>
      </c>
      <c r="J1969" t="str">
        <f>VLOOKUP(B1969,[1]Product!A:B,2,FALSE)</f>
        <v>Product GMKIJ</v>
      </c>
      <c r="K1969" t="str">
        <f>VLOOKUP(VLOOKUP(B1969,[1]Product!A:D,4,FALSE),[1]Category!A:B,2,FALSE)</f>
        <v>Seafood</v>
      </c>
      <c r="L1969" s="10">
        <f>IFERROR(VLOOKUP(A1969,'[1]Sales Order'!A:D,4,FALSE),"")</f>
        <v>39546</v>
      </c>
      <c r="M1969" s="10">
        <f>IFERROR(VLOOKUP(A1969,'[1]Sales Order'!A:F,6,FALSE),"")</f>
        <v>39548</v>
      </c>
      <c r="N1969" t="str">
        <f>IFERROR(VLOOKUP(VLOOKUP(A1969,'[1]Sales Order'!A:G,7,FALSE),[1]Shipper!A:B,2,FALSE),"Not Specified")</f>
        <v>Shipper GVSUA</v>
      </c>
      <c r="O1969" t="str">
        <f>IFERROR(VLOOKUP(A1969,'[1]Sales Order'!A:I,9,FALSE),"Not Specified")</f>
        <v>Destination WVLDH</v>
      </c>
      <c r="P1969" t="str">
        <f>IFERROR(VLOOKUP(A1969,'[1]Sales Order'!A:N,14,FALSE),"Not Specified")</f>
        <v>Spain</v>
      </c>
      <c r="Q1969" t="str">
        <f>VLOOKUP(VLOOKUP(B1969,[1]Product!A:C,3,FALSE),[1]Supplier!A:B,2,FALSE)</f>
        <v>Supplier QZGUF</v>
      </c>
      <c r="R1969" t="str">
        <f>VLOOKUP(VLOOKUP(B1969,[1]Product!A:C,3,FALSE),[1]Supplier!A:I,9,FALSE)</f>
        <v>Sweden</v>
      </c>
      <c r="S1969" t="str">
        <f>IFERROR(IF(VLOOKUP(A1969,'[1]Sales Order'!A:H,8,FALSE)&gt;100,"High Freight","Low Freight"),"Not Specified")</f>
        <v>Low Freight</v>
      </c>
      <c r="T1969">
        <f t="shared" si="61"/>
        <v>256.5</v>
      </c>
    </row>
    <row r="1970" spans="1:20">
      <c r="A1970" s="1">
        <v>11009</v>
      </c>
      <c r="B1970" s="2">
        <v>60</v>
      </c>
      <c r="C1970" s="2">
        <v>34</v>
      </c>
      <c r="D1970" s="2">
        <v>9</v>
      </c>
      <c r="E1970" s="3">
        <v>0</v>
      </c>
      <c r="F1970" s="2" t="str">
        <f>IFERROR(VLOOKUP(VLOOKUP(A1970,'[1]Sales Order'!A:B,2,FALSE),[1]Customer!A:C,3,FALSE),"Not Specified")</f>
        <v>Shabalin, Rostislav</v>
      </c>
      <c r="G1970" s="2" t="str">
        <f t="shared" si="60"/>
        <v>Shabalin Rostislav</v>
      </c>
      <c r="H1970" s="8" t="str">
        <f>IFERROR(VLOOKUP(VLOOKUP(A1970,'[1]Sales Order'!A:C,3,FALSE),[1]Employee!A:E,5,FALSE)&amp;" "&amp;VLOOKUP(VLOOKUP(A1970,'[1]Sales Order'!A:C,3,FALSE),[1]Employee!A:C,3,FALSE)&amp;" "&amp;VLOOKUP(VLOOKUP(A1970,'[1]Sales Order'!A:C,3,FALSE),[1]Employee!A:B,2,FALSE),"Not Specified")</f>
        <v>Dr. Don Funk</v>
      </c>
      <c r="I1970" t="str">
        <f>IFERROR(VLOOKUP(VLOOKUP(A1970,'[1]Sales Order'!A:C,3,FALSE),[1]Employee!A:J,10,FALSE),"Not Specified")</f>
        <v>WA</v>
      </c>
      <c r="J1970" t="str">
        <f>VLOOKUP(B1970,[1]Product!A:B,2,FALSE)</f>
        <v>Product WHBYK</v>
      </c>
      <c r="K1970" t="str">
        <f>VLOOKUP(VLOOKUP(B1970,[1]Product!A:D,4,FALSE),[1]Category!A:B,2,FALSE)</f>
        <v>Dairy Product</v>
      </c>
      <c r="L1970" s="10">
        <f>IFERROR(VLOOKUP(A1970,'[1]Sales Order'!A:D,4,FALSE),"")</f>
        <v>39546</v>
      </c>
      <c r="M1970" s="10">
        <f>IFERROR(VLOOKUP(A1970,'[1]Sales Order'!A:F,6,FALSE),"")</f>
        <v>39548</v>
      </c>
      <c r="N1970" t="str">
        <f>IFERROR(VLOOKUP(VLOOKUP(A1970,'[1]Sales Order'!A:G,7,FALSE),[1]Shipper!A:B,2,FALSE),"Not Specified")</f>
        <v>Shipper GVSUA</v>
      </c>
      <c r="O1970" t="str">
        <f>IFERROR(VLOOKUP(A1970,'[1]Sales Order'!A:I,9,FALSE),"Not Specified")</f>
        <v>Destination WVLDH</v>
      </c>
      <c r="P1970" t="str">
        <f>IFERROR(VLOOKUP(A1970,'[1]Sales Order'!A:N,14,FALSE),"Not Specified")</f>
        <v>Spain</v>
      </c>
      <c r="Q1970" t="str">
        <f>VLOOKUP(VLOOKUP(B1970,[1]Product!A:C,3,FALSE),[1]Supplier!A:B,2,FALSE)</f>
        <v>Supplier OAVQT</v>
      </c>
      <c r="R1970" t="str">
        <f>VLOOKUP(VLOOKUP(B1970,[1]Product!A:C,3,FALSE),[1]Supplier!A:I,9,FALSE)</f>
        <v>France</v>
      </c>
      <c r="S1970" t="str">
        <f>IFERROR(IF(VLOOKUP(A1970,'[1]Sales Order'!A:H,8,FALSE)&gt;100,"High Freight","Low Freight"),"Not Specified")</f>
        <v>Low Freight</v>
      </c>
      <c r="T1970">
        <f t="shared" si="61"/>
        <v>306</v>
      </c>
    </row>
    <row r="1971" spans="1:20">
      <c r="A1971" s="1">
        <v>11010</v>
      </c>
      <c r="B1971" s="2">
        <v>7</v>
      </c>
      <c r="C1971" s="2">
        <v>30</v>
      </c>
      <c r="D1971" s="2">
        <v>20</v>
      </c>
      <c r="E1971" s="3">
        <v>0</v>
      </c>
      <c r="F1971" s="2" t="str">
        <f>IFERROR(VLOOKUP(VLOOKUP(A1971,'[1]Sales Order'!A:B,2,FALSE),[1]Customer!A:C,3,FALSE),"Not Specified")</f>
        <v>Voss, Florian</v>
      </c>
      <c r="G1971" s="2" t="str">
        <f t="shared" si="60"/>
        <v>Voss Florian</v>
      </c>
      <c r="H1971" s="8" t="str">
        <f>IFERROR(VLOOKUP(VLOOKUP(A1971,'[1]Sales Order'!A:C,3,FALSE),[1]Employee!A:E,5,FALSE)&amp;" "&amp;VLOOKUP(VLOOKUP(A1971,'[1]Sales Order'!A:C,3,FALSE),[1]Employee!A:C,3,FALSE)&amp;" "&amp;VLOOKUP(VLOOKUP(A1971,'[1]Sales Order'!A:C,3,FALSE),[1]Employee!A:B,2,FALSE),"Not Specified")</f>
        <v>Dr. Don Funk</v>
      </c>
      <c r="I1971" t="str">
        <f>IFERROR(VLOOKUP(VLOOKUP(A1971,'[1]Sales Order'!A:C,3,FALSE),[1]Employee!A:J,10,FALSE),"Not Specified")</f>
        <v>WA</v>
      </c>
      <c r="J1971" t="str">
        <f>VLOOKUP(B1971,[1]Product!A:B,2,FALSE)</f>
        <v>Product HMLNI</v>
      </c>
      <c r="K1971" t="str">
        <f>VLOOKUP(VLOOKUP(B1971,[1]Product!A:D,4,FALSE),[1]Category!A:B,2,FALSE)</f>
        <v>Produce</v>
      </c>
      <c r="L1971" s="10">
        <f>IFERROR(VLOOKUP(A1971,'[1]Sales Order'!A:D,4,FALSE),"")</f>
        <v>39547</v>
      </c>
      <c r="M1971" s="10">
        <f>IFERROR(VLOOKUP(A1971,'[1]Sales Order'!A:F,6,FALSE),"")</f>
        <v>39559</v>
      </c>
      <c r="N1971" t="str">
        <f>IFERROR(VLOOKUP(VLOOKUP(A1971,'[1]Sales Order'!A:G,7,FALSE),[1]Shipper!A:B,2,FALSE),"Not Specified")</f>
        <v>Shipper ETYNR</v>
      </c>
      <c r="O1971" t="str">
        <f>IFERROR(VLOOKUP(A1971,'[1]Sales Order'!A:I,9,FALSE),"Not Specified")</f>
        <v>Ship to 66-A</v>
      </c>
      <c r="P1971" t="str">
        <f>IFERROR(VLOOKUP(A1971,'[1]Sales Order'!A:N,14,FALSE),"Not Specified")</f>
        <v>Italy</v>
      </c>
      <c r="Q1971" t="str">
        <f>VLOOKUP(VLOOKUP(B1971,[1]Product!A:C,3,FALSE),[1]Supplier!A:B,2,FALSE)</f>
        <v>Supplier STUAZ</v>
      </c>
      <c r="R1971" t="str">
        <f>VLOOKUP(VLOOKUP(B1971,[1]Product!A:C,3,FALSE),[1]Supplier!A:I,9,FALSE)</f>
        <v>USA</v>
      </c>
      <c r="S1971" t="str">
        <f>IFERROR(IF(VLOOKUP(A1971,'[1]Sales Order'!A:H,8,FALSE)&gt;100,"High Freight","Low Freight"),"Not Specified")</f>
        <v>Low Freight</v>
      </c>
      <c r="T1971">
        <f t="shared" si="61"/>
        <v>600</v>
      </c>
    </row>
    <row r="1972" spans="1:20">
      <c r="A1972" s="1">
        <v>11010</v>
      </c>
      <c r="B1972" s="2">
        <v>24</v>
      </c>
      <c r="C1972" s="2">
        <v>4.5</v>
      </c>
      <c r="D1972" s="2">
        <v>10</v>
      </c>
      <c r="E1972" s="3">
        <v>0</v>
      </c>
      <c r="F1972" s="2" t="str">
        <f>IFERROR(VLOOKUP(VLOOKUP(A1972,'[1]Sales Order'!A:B,2,FALSE),[1]Customer!A:C,3,FALSE),"Not Specified")</f>
        <v>Voss, Florian</v>
      </c>
      <c r="G1972" s="2" t="str">
        <f t="shared" si="60"/>
        <v>Voss Florian</v>
      </c>
      <c r="H1972" s="8" t="str">
        <f>IFERROR(VLOOKUP(VLOOKUP(A1972,'[1]Sales Order'!A:C,3,FALSE),[1]Employee!A:E,5,FALSE)&amp;" "&amp;VLOOKUP(VLOOKUP(A1972,'[1]Sales Order'!A:C,3,FALSE),[1]Employee!A:C,3,FALSE)&amp;" "&amp;VLOOKUP(VLOOKUP(A1972,'[1]Sales Order'!A:C,3,FALSE),[1]Employee!A:B,2,FALSE),"Not Specified")</f>
        <v>Dr. Don Funk</v>
      </c>
      <c r="I1972" t="str">
        <f>IFERROR(VLOOKUP(VLOOKUP(A1972,'[1]Sales Order'!A:C,3,FALSE),[1]Employee!A:J,10,FALSE),"Not Specified")</f>
        <v>WA</v>
      </c>
      <c r="J1972" t="str">
        <f>VLOOKUP(B1972,[1]Product!A:B,2,FALSE)</f>
        <v>Product QOGNU</v>
      </c>
      <c r="K1972" t="str">
        <f>VLOOKUP(VLOOKUP(B1972,[1]Product!A:D,4,FALSE),[1]Category!A:B,2,FALSE)</f>
        <v>Beverages</v>
      </c>
      <c r="L1972" s="10">
        <f>IFERROR(VLOOKUP(A1972,'[1]Sales Order'!A:D,4,FALSE),"")</f>
        <v>39547</v>
      </c>
      <c r="M1972" s="10">
        <f>IFERROR(VLOOKUP(A1972,'[1]Sales Order'!A:F,6,FALSE),"")</f>
        <v>39559</v>
      </c>
      <c r="N1972" t="str">
        <f>IFERROR(VLOOKUP(VLOOKUP(A1972,'[1]Sales Order'!A:G,7,FALSE),[1]Shipper!A:B,2,FALSE),"Not Specified")</f>
        <v>Shipper ETYNR</v>
      </c>
      <c r="O1972" t="str">
        <f>IFERROR(VLOOKUP(A1972,'[1]Sales Order'!A:I,9,FALSE),"Not Specified")</f>
        <v>Ship to 66-A</v>
      </c>
      <c r="P1972" t="str">
        <f>IFERROR(VLOOKUP(A1972,'[1]Sales Order'!A:N,14,FALSE),"Not Specified")</f>
        <v>Italy</v>
      </c>
      <c r="Q1972" t="str">
        <f>VLOOKUP(VLOOKUP(B1972,[1]Product!A:C,3,FALSE),[1]Supplier!A:B,2,FALSE)</f>
        <v>Supplier UNAHG</v>
      </c>
      <c r="R1972" t="str">
        <f>VLOOKUP(VLOOKUP(B1972,[1]Product!A:C,3,FALSE),[1]Supplier!A:I,9,FALSE)</f>
        <v>Brazil</v>
      </c>
      <c r="S1972" t="str">
        <f>IFERROR(IF(VLOOKUP(A1972,'[1]Sales Order'!A:H,8,FALSE)&gt;100,"High Freight","Low Freight"),"Not Specified")</f>
        <v>Low Freight</v>
      </c>
      <c r="T1972">
        <f t="shared" si="61"/>
        <v>45</v>
      </c>
    </row>
    <row r="1973" spans="1:20">
      <c r="A1973" s="1">
        <v>11011</v>
      </c>
      <c r="B1973" s="2">
        <v>58</v>
      </c>
      <c r="C1973" s="2">
        <v>13.25</v>
      </c>
      <c r="D1973" s="2">
        <v>40</v>
      </c>
      <c r="E1973" s="3">
        <v>0.05</v>
      </c>
      <c r="F1973" s="2" t="str">
        <f>IFERROR(VLOOKUP(VLOOKUP(A1973,'[1]Sales Order'!A:B,2,FALSE),[1]Customer!A:C,3,FALSE),"Not Specified")</f>
        <v>Allen, Michael</v>
      </c>
      <c r="G1973" s="2" t="str">
        <f t="shared" si="60"/>
        <v>Allen Michael</v>
      </c>
      <c r="H1973" s="8" t="str">
        <f>IFERROR(VLOOKUP(VLOOKUP(A1973,'[1]Sales Order'!A:C,3,FALSE),[1]Employee!A:E,5,FALSE)&amp;" "&amp;VLOOKUP(VLOOKUP(A1973,'[1]Sales Order'!A:C,3,FALSE),[1]Employee!A:C,3,FALSE)&amp;" "&amp;VLOOKUP(VLOOKUP(A1973,'[1]Sales Order'!A:C,3,FALSE),[1]Employee!A:B,2,FALSE),"Not Specified")</f>
        <v>Ms. Judy Lew</v>
      </c>
      <c r="I1973" t="str">
        <f>IFERROR(VLOOKUP(VLOOKUP(A1973,'[1]Sales Order'!A:C,3,FALSE),[1]Employee!A:J,10,FALSE),"Not Specified")</f>
        <v>WA</v>
      </c>
      <c r="J1973" t="str">
        <f>VLOOKUP(B1973,[1]Product!A:B,2,FALSE)</f>
        <v>Product ACRVI</v>
      </c>
      <c r="K1973" t="str">
        <f>VLOOKUP(VLOOKUP(B1973,[1]Product!A:D,4,FALSE),[1]Category!A:B,2,FALSE)</f>
        <v>Seafood</v>
      </c>
      <c r="L1973" s="10">
        <f>IFERROR(VLOOKUP(A1973,'[1]Sales Order'!A:D,4,FALSE),"")</f>
        <v>39547</v>
      </c>
      <c r="M1973" s="10">
        <f>IFERROR(VLOOKUP(A1973,'[1]Sales Order'!A:F,6,FALSE),"")</f>
        <v>39551</v>
      </c>
      <c r="N1973" t="str">
        <f>IFERROR(VLOOKUP(VLOOKUP(A1973,'[1]Sales Order'!A:G,7,FALSE),[1]Shipper!A:B,2,FALSE),"Not Specified")</f>
        <v>Shipper GVSUA</v>
      </c>
      <c r="O1973" t="str">
        <f>IFERROR(VLOOKUP(A1973,'[1]Sales Order'!A:I,9,FALSE),"Not Specified")</f>
        <v>Destination LOUIE</v>
      </c>
      <c r="P1973" t="str">
        <f>IFERROR(VLOOKUP(A1973,'[1]Sales Order'!A:N,14,FALSE),"Not Specified")</f>
        <v>Germany</v>
      </c>
      <c r="Q1973" t="str">
        <f>VLOOKUP(VLOOKUP(B1973,[1]Product!A:C,3,FALSE),[1]Supplier!A:B,2,FALSE)</f>
        <v>Supplier ZRYDZ</v>
      </c>
      <c r="R1973" t="str">
        <f>VLOOKUP(VLOOKUP(B1973,[1]Product!A:C,3,FALSE),[1]Supplier!A:I,9,FALSE)</f>
        <v>France</v>
      </c>
      <c r="S1973" t="str">
        <f>IFERROR(IF(VLOOKUP(A1973,'[1]Sales Order'!A:H,8,FALSE)&gt;100,"High Freight","Low Freight"),"Not Specified")</f>
        <v>Low Freight</v>
      </c>
      <c r="T1973">
        <f t="shared" si="61"/>
        <v>503.5</v>
      </c>
    </row>
    <row r="1974" spans="1:20">
      <c r="A1974" s="1">
        <v>11011</v>
      </c>
      <c r="B1974" s="2">
        <v>71</v>
      </c>
      <c r="C1974" s="2">
        <v>21.5</v>
      </c>
      <c r="D1974" s="2">
        <v>20</v>
      </c>
      <c r="E1974" s="3">
        <v>0</v>
      </c>
      <c r="F1974" s="2" t="str">
        <f>IFERROR(VLOOKUP(VLOOKUP(A1974,'[1]Sales Order'!A:B,2,FALSE),[1]Customer!A:C,3,FALSE),"Not Specified")</f>
        <v>Allen, Michael</v>
      </c>
      <c r="G1974" s="2" t="str">
        <f t="shared" si="60"/>
        <v>Allen Michael</v>
      </c>
      <c r="H1974" s="8" t="str">
        <f>IFERROR(VLOOKUP(VLOOKUP(A1974,'[1]Sales Order'!A:C,3,FALSE),[1]Employee!A:E,5,FALSE)&amp;" "&amp;VLOOKUP(VLOOKUP(A1974,'[1]Sales Order'!A:C,3,FALSE),[1]Employee!A:C,3,FALSE)&amp;" "&amp;VLOOKUP(VLOOKUP(A1974,'[1]Sales Order'!A:C,3,FALSE),[1]Employee!A:B,2,FALSE),"Not Specified")</f>
        <v>Ms. Judy Lew</v>
      </c>
      <c r="I1974" t="str">
        <f>IFERROR(VLOOKUP(VLOOKUP(A1974,'[1]Sales Order'!A:C,3,FALSE),[1]Employee!A:J,10,FALSE),"Not Specified")</f>
        <v>WA</v>
      </c>
      <c r="J1974" t="str">
        <f>VLOOKUP(B1974,[1]Product!A:B,2,FALSE)</f>
        <v>Product MYMOI</v>
      </c>
      <c r="K1974" t="str">
        <f>VLOOKUP(VLOOKUP(B1974,[1]Product!A:D,4,FALSE),[1]Category!A:B,2,FALSE)</f>
        <v>Dairy Product</v>
      </c>
      <c r="L1974" s="10">
        <f>IFERROR(VLOOKUP(A1974,'[1]Sales Order'!A:D,4,FALSE),"")</f>
        <v>39547</v>
      </c>
      <c r="M1974" s="10">
        <f>IFERROR(VLOOKUP(A1974,'[1]Sales Order'!A:F,6,FALSE),"")</f>
        <v>39551</v>
      </c>
      <c r="N1974" t="str">
        <f>IFERROR(VLOOKUP(VLOOKUP(A1974,'[1]Sales Order'!A:G,7,FALSE),[1]Shipper!A:B,2,FALSE),"Not Specified")</f>
        <v>Shipper GVSUA</v>
      </c>
      <c r="O1974" t="str">
        <f>IFERROR(VLOOKUP(A1974,'[1]Sales Order'!A:I,9,FALSE),"Not Specified")</f>
        <v>Destination LOUIE</v>
      </c>
      <c r="P1974" t="str">
        <f>IFERROR(VLOOKUP(A1974,'[1]Sales Order'!A:N,14,FALSE),"Not Specified")</f>
        <v>Germany</v>
      </c>
      <c r="Q1974" t="str">
        <f>VLOOKUP(VLOOKUP(B1974,[1]Product!A:C,3,FALSE),[1]Supplier!A:B,2,FALSE)</f>
        <v>Supplier NZLIF</v>
      </c>
      <c r="R1974" t="str">
        <f>VLOOKUP(VLOOKUP(B1974,[1]Product!A:C,3,FALSE),[1]Supplier!A:I,9,FALSE)</f>
        <v>Norway</v>
      </c>
      <c r="S1974" t="str">
        <f>IFERROR(IF(VLOOKUP(A1974,'[1]Sales Order'!A:H,8,FALSE)&gt;100,"High Freight","Low Freight"),"Not Specified")</f>
        <v>Low Freight</v>
      </c>
      <c r="T1974">
        <f t="shared" si="61"/>
        <v>430</v>
      </c>
    </row>
    <row r="1975" spans="1:20">
      <c r="A1975" s="1">
        <v>11012</v>
      </c>
      <c r="B1975" s="2">
        <v>19</v>
      </c>
      <c r="C1975" s="2">
        <v>9.1999999999999993</v>
      </c>
      <c r="D1975" s="2">
        <v>50</v>
      </c>
      <c r="E1975" s="3">
        <v>0.05</v>
      </c>
      <c r="F1975" s="2" t="str">
        <f>IFERROR(VLOOKUP(VLOOKUP(A1975,'[1]Sales Order'!A:B,2,FALSE),[1]Customer!A:C,3,FALSE),"Not Specified")</f>
        <v>Carlson, Jason</v>
      </c>
      <c r="G1975" s="2" t="str">
        <f t="shared" si="60"/>
        <v>Carlson Jason</v>
      </c>
      <c r="H1975" s="8" t="str">
        <f>IFERROR(VLOOKUP(VLOOKUP(A1975,'[1]Sales Order'!A:C,3,FALSE),[1]Employee!A:E,5,FALSE)&amp;" "&amp;VLOOKUP(VLOOKUP(A1975,'[1]Sales Order'!A:C,3,FALSE),[1]Employee!A:C,3,FALSE)&amp;" "&amp;VLOOKUP(VLOOKUP(A1975,'[1]Sales Order'!A:C,3,FALSE),[1]Employee!A:B,2,FALSE),"Not Specified")</f>
        <v>Ms. Sara Davis</v>
      </c>
      <c r="I1975" t="str">
        <f>IFERROR(VLOOKUP(VLOOKUP(A1975,'[1]Sales Order'!A:C,3,FALSE),[1]Employee!A:J,10,FALSE),"Not Specified")</f>
        <v>WA</v>
      </c>
      <c r="J1975" t="str">
        <f>VLOOKUP(B1975,[1]Product!A:B,2,FALSE)</f>
        <v>Product XKXDO</v>
      </c>
      <c r="K1975" t="str">
        <f>VLOOKUP(VLOOKUP(B1975,[1]Product!A:D,4,FALSE),[1]Category!A:B,2,FALSE)</f>
        <v>Confections</v>
      </c>
      <c r="L1975" s="10">
        <f>IFERROR(VLOOKUP(A1975,'[1]Sales Order'!A:D,4,FALSE),"")</f>
        <v>39547</v>
      </c>
      <c r="M1975" s="10">
        <f>IFERROR(VLOOKUP(A1975,'[1]Sales Order'!A:F,6,FALSE),"")</f>
        <v>39555</v>
      </c>
      <c r="N1975" t="str">
        <f>IFERROR(VLOOKUP(VLOOKUP(A1975,'[1]Sales Order'!A:G,7,FALSE),[1]Shipper!A:B,2,FALSE),"Not Specified")</f>
        <v>Shipper ZHISN</v>
      </c>
      <c r="O1975" t="str">
        <f>IFERROR(VLOOKUP(A1975,'[1]Sales Order'!A:I,9,FALSE),"Not Specified")</f>
        <v>Destination WEGWI</v>
      </c>
      <c r="P1975" t="str">
        <f>IFERROR(VLOOKUP(A1975,'[1]Sales Order'!A:N,14,FALSE),"Not Specified")</f>
        <v>Germany</v>
      </c>
      <c r="Q1975" t="str">
        <f>VLOOKUP(VLOOKUP(B1975,[1]Product!A:C,3,FALSE),[1]Supplier!A:B,2,FALSE)</f>
        <v>Supplier BWGYE</v>
      </c>
      <c r="R1975" t="str">
        <f>VLOOKUP(VLOOKUP(B1975,[1]Product!A:C,3,FALSE),[1]Supplier!A:I,9,FALSE)</f>
        <v>UK</v>
      </c>
      <c r="S1975" t="str">
        <f>IFERROR(IF(VLOOKUP(A1975,'[1]Sales Order'!A:H,8,FALSE)&gt;100,"High Freight","Low Freight"),"Not Specified")</f>
        <v>High Freight</v>
      </c>
      <c r="T1975">
        <f t="shared" si="61"/>
        <v>436.99999999999994</v>
      </c>
    </row>
    <row r="1976" spans="1:20">
      <c r="A1976" s="1">
        <v>11012</v>
      </c>
      <c r="B1976" s="2">
        <v>60</v>
      </c>
      <c r="C1976" s="2">
        <v>34</v>
      </c>
      <c r="D1976" s="2">
        <v>36</v>
      </c>
      <c r="E1976" s="3">
        <v>0.05</v>
      </c>
      <c r="F1976" s="2" t="str">
        <f>IFERROR(VLOOKUP(VLOOKUP(A1976,'[1]Sales Order'!A:B,2,FALSE),[1]Customer!A:C,3,FALSE),"Not Specified")</f>
        <v>Carlson, Jason</v>
      </c>
      <c r="G1976" s="2" t="str">
        <f t="shared" si="60"/>
        <v>Carlson Jason</v>
      </c>
      <c r="H1976" s="8" t="str">
        <f>IFERROR(VLOOKUP(VLOOKUP(A1976,'[1]Sales Order'!A:C,3,FALSE),[1]Employee!A:E,5,FALSE)&amp;" "&amp;VLOOKUP(VLOOKUP(A1976,'[1]Sales Order'!A:C,3,FALSE),[1]Employee!A:C,3,FALSE)&amp;" "&amp;VLOOKUP(VLOOKUP(A1976,'[1]Sales Order'!A:C,3,FALSE),[1]Employee!A:B,2,FALSE),"Not Specified")</f>
        <v>Ms. Sara Davis</v>
      </c>
      <c r="I1976" t="str">
        <f>IFERROR(VLOOKUP(VLOOKUP(A1976,'[1]Sales Order'!A:C,3,FALSE),[1]Employee!A:J,10,FALSE),"Not Specified")</f>
        <v>WA</v>
      </c>
      <c r="J1976" t="str">
        <f>VLOOKUP(B1976,[1]Product!A:B,2,FALSE)</f>
        <v>Product WHBYK</v>
      </c>
      <c r="K1976" t="str">
        <f>VLOOKUP(VLOOKUP(B1976,[1]Product!A:D,4,FALSE),[1]Category!A:B,2,FALSE)</f>
        <v>Dairy Product</v>
      </c>
      <c r="L1976" s="10">
        <f>IFERROR(VLOOKUP(A1976,'[1]Sales Order'!A:D,4,FALSE),"")</f>
        <v>39547</v>
      </c>
      <c r="M1976" s="10">
        <f>IFERROR(VLOOKUP(A1976,'[1]Sales Order'!A:F,6,FALSE),"")</f>
        <v>39555</v>
      </c>
      <c r="N1976" t="str">
        <f>IFERROR(VLOOKUP(VLOOKUP(A1976,'[1]Sales Order'!A:G,7,FALSE),[1]Shipper!A:B,2,FALSE),"Not Specified")</f>
        <v>Shipper ZHISN</v>
      </c>
      <c r="O1976" t="str">
        <f>IFERROR(VLOOKUP(A1976,'[1]Sales Order'!A:I,9,FALSE),"Not Specified")</f>
        <v>Destination WEGWI</v>
      </c>
      <c r="P1976" t="str">
        <f>IFERROR(VLOOKUP(A1976,'[1]Sales Order'!A:N,14,FALSE),"Not Specified")</f>
        <v>Germany</v>
      </c>
      <c r="Q1976" t="str">
        <f>VLOOKUP(VLOOKUP(B1976,[1]Product!A:C,3,FALSE),[1]Supplier!A:B,2,FALSE)</f>
        <v>Supplier OAVQT</v>
      </c>
      <c r="R1976" t="str">
        <f>VLOOKUP(VLOOKUP(B1976,[1]Product!A:C,3,FALSE),[1]Supplier!A:I,9,FALSE)</f>
        <v>France</v>
      </c>
      <c r="S1976" t="str">
        <f>IFERROR(IF(VLOOKUP(A1976,'[1]Sales Order'!A:H,8,FALSE)&gt;100,"High Freight","Low Freight"),"Not Specified")</f>
        <v>High Freight</v>
      </c>
      <c r="T1976">
        <f t="shared" si="61"/>
        <v>1162.8</v>
      </c>
    </row>
    <row r="1977" spans="1:20">
      <c r="A1977" s="1">
        <v>11012</v>
      </c>
      <c r="B1977" s="2">
        <v>71</v>
      </c>
      <c r="C1977" s="2">
        <v>21.5</v>
      </c>
      <c r="D1977" s="2">
        <v>60</v>
      </c>
      <c r="E1977" s="3">
        <v>0.05</v>
      </c>
      <c r="F1977" s="2" t="str">
        <f>IFERROR(VLOOKUP(VLOOKUP(A1977,'[1]Sales Order'!A:B,2,FALSE),[1]Customer!A:C,3,FALSE),"Not Specified")</f>
        <v>Carlson, Jason</v>
      </c>
      <c r="G1977" s="2" t="str">
        <f t="shared" si="60"/>
        <v>Carlson Jason</v>
      </c>
      <c r="H1977" s="8" t="str">
        <f>IFERROR(VLOOKUP(VLOOKUP(A1977,'[1]Sales Order'!A:C,3,FALSE),[1]Employee!A:E,5,FALSE)&amp;" "&amp;VLOOKUP(VLOOKUP(A1977,'[1]Sales Order'!A:C,3,FALSE),[1]Employee!A:C,3,FALSE)&amp;" "&amp;VLOOKUP(VLOOKUP(A1977,'[1]Sales Order'!A:C,3,FALSE),[1]Employee!A:B,2,FALSE),"Not Specified")</f>
        <v>Ms. Sara Davis</v>
      </c>
      <c r="I1977" t="str">
        <f>IFERROR(VLOOKUP(VLOOKUP(A1977,'[1]Sales Order'!A:C,3,FALSE),[1]Employee!A:J,10,FALSE),"Not Specified")</f>
        <v>WA</v>
      </c>
      <c r="J1977" t="str">
        <f>VLOOKUP(B1977,[1]Product!A:B,2,FALSE)</f>
        <v>Product MYMOI</v>
      </c>
      <c r="K1977" t="str">
        <f>VLOOKUP(VLOOKUP(B1977,[1]Product!A:D,4,FALSE),[1]Category!A:B,2,FALSE)</f>
        <v>Dairy Product</v>
      </c>
      <c r="L1977" s="10">
        <f>IFERROR(VLOOKUP(A1977,'[1]Sales Order'!A:D,4,FALSE),"")</f>
        <v>39547</v>
      </c>
      <c r="M1977" s="10">
        <f>IFERROR(VLOOKUP(A1977,'[1]Sales Order'!A:F,6,FALSE),"")</f>
        <v>39555</v>
      </c>
      <c r="N1977" t="str">
        <f>IFERROR(VLOOKUP(VLOOKUP(A1977,'[1]Sales Order'!A:G,7,FALSE),[1]Shipper!A:B,2,FALSE),"Not Specified")</f>
        <v>Shipper ZHISN</v>
      </c>
      <c r="O1977" t="str">
        <f>IFERROR(VLOOKUP(A1977,'[1]Sales Order'!A:I,9,FALSE),"Not Specified")</f>
        <v>Destination WEGWI</v>
      </c>
      <c r="P1977" t="str">
        <f>IFERROR(VLOOKUP(A1977,'[1]Sales Order'!A:N,14,FALSE),"Not Specified")</f>
        <v>Germany</v>
      </c>
      <c r="Q1977" t="str">
        <f>VLOOKUP(VLOOKUP(B1977,[1]Product!A:C,3,FALSE),[1]Supplier!A:B,2,FALSE)</f>
        <v>Supplier NZLIF</v>
      </c>
      <c r="R1977" t="str">
        <f>VLOOKUP(VLOOKUP(B1977,[1]Product!A:C,3,FALSE),[1]Supplier!A:I,9,FALSE)</f>
        <v>Norway</v>
      </c>
      <c r="S1977" t="str">
        <f>IFERROR(IF(VLOOKUP(A1977,'[1]Sales Order'!A:H,8,FALSE)&gt;100,"High Freight","Low Freight"),"Not Specified")</f>
        <v>High Freight</v>
      </c>
      <c r="T1977">
        <f t="shared" si="61"/>
        <v>1225.5</v>
      </c>
    </row>
    <row r="1978" spans="1:20">
      <c r="A1978" s="1">
        <v>11013</v>
      </c>
      <c r="B1978" s="2">
        <v>23</v>
      </c>
      <c r="C1978" s="2">
        <v>9</v>
      </c>
      <c r="D1978" s="2">
        <v>10</v>
      </c>
      <c r="E1978" s="3">
        <v>0</v>
      </c>
      <c r="F1978" s="2" t="str">
        <f>IFERROR(VLOOKUP(VLOOKUP(A1978,'[1]Sales Order'!A:B,2,FALSE),[1]Customer!A:C,3,FALSE),"Not Specified")</f>
        <v>Watters, Jason M.</v>
      </c>
      <c r="G1978" s="2" t="str">
        <f t="shared" si="60"/>
        <v>Watters Jason M.</v>
      </c>
      <c r="H1978" s="8" t="str">
        <f>IFERROR(VLOOKUP(VLOOKUP(A1978,'[1]Sales Order'!A:C,3,FALSE),[1]Employee!A:E,5,FALSE)&amp;" "&amp;VLOOKUP(VLOOKUP(A1978,'[1]Sales Order'!A:C,3,FALSE),[1]Employee!A:C,3,FALSE)&amp;" "&amp;VLOOKUP(VLOOKUP(A1978,'[1]Sales Order'!A:C,3,FALSE),[1]Employee!A:B,2,FALSE),"Not Specified")</f>
        <v>Dr. Don Funk</v>
      </c>
      <c r="I1978" t="str">
        <f>IFERROR(VLOOKUP(VLOOKUP(A1978,'[1]Sales Order'!A:C,3,FALSE),[1]Employee!A:J,10,FALSE),"Not Specified")</f>
        <v>WA</v>
      </c>
      <c r="J1978" t="str">
        <f>VLOOKUP(B1978,[1]Product!A:B,2,FALSE)</f>
        <v>Product JLUDZ</v>
      </c>
      <c r="K1978" t="str">
        <f>VLOOKUP(VLOOKUP(B1978,[1]Product!A:D,4,FALSE),[1]Category!A:B,2,FALSE)</f>
        <v>Grains/Cereals</v>
      </c>
      <c r="L1978" s="10">
        <f>IFERROR(VLOOKUP(A1978,'[1]Sales Order'!A:D,4,FALSE),"")</f>
        <v>39547</v>
      </c>
      <c r="M1978" s="10">
        <f>IFERROR(VLOOKUP(A1978,'[1]Sales Order'!A:F,6,FALSE),"")</f>
        <v>39548</v>
      </c>
      <c r="N1978" t="str">
        <f>IFERROR(VLOOKUP(VLOOKUP(A1978,'[1]Sales Order'!A:G,7,FALSE),[1]Shipper!A:B,2,FALSE),"Not Specified")</f>
        <v>Shipper GVSUA</v>
      </c>
      <c r="O1978" t="str">
        <f>IFERROR(VLOOKUP(A1978,'[1]Sales Order'!A:I,9,FALSE),"Not Specified")</f>
        <v>Ship to 69-A</v>
      </c>
      <c r="P1978" t="str">
        <f>IFERROR(VLOOKUP(A1978,'[1]Sales Order'!A:N,14,FALSE),"Not Specified")</f>
        <v>Spain</v>
      </c>
      <c r="Q1978" t="str">
        <f>VLOOKUP(VLOOKUP(B1978,[1]Product!A:C,3,FALSE),[1]Supplier!A:B,2,FALSE)</f>
        <v>Supplier QQYEU</v>
      </c>
      <c r="R1978" t="str">
        <f>VLOOKUP(VLOOKUP(B1978,[1]Product!A:C,3,FALSE),[1]Supplier!A:I,9,FALSE)</f>
        <v>Sweden</v>
      </c>
      <c r="S1978" t="str">
        <f>IFERROR(IF(VLOOKUP(A1978,'[1]Sales Order'!A:H,8,FALSE)&gt;100,"High Freight","Low Freight"),"Not Specified")</f>
        <v>Low Freight</v>
      </c>
      <c r="T1978">
        <f t="shared" si="61"/>
        <v>90</v>
      </c>
    </row>
    <row r="1979" spans="1:20">
      <c r="A1979" s="1">
        <v>11013</v>
      </c>
      <c r="B1979" s="2">
        <v>42</v>
      </c>
      <c r="C1979" s="2">
        <v>14</v>
      </c>
      <c r="D1979" s="2">
        <v>4</v>
      </c>
      <c r="E1979" s="3">
        <v>0</v>
      </c>
      <c r="F1979" s="2" t="str">
        <f>IFERROR(VLOOKUP(VLOOKUP(A1979,'[1]Sales Order'!A:B,2,FALSE),[1]Customer!A:C,3,FALSE),"Not Specified")</f>
        <v>Watters, Jason M.</v>
      </c>
      <c r="G1979" s="2" t="str">
        <f t="shared" si="60"/>
        <v>Watters Jason M.</v>
      </c>
      <c r="H1979" s="8" t="str">
        <f>IFERROR(VLOOKUP(VLOOKUP(A1979,'[1]Sales Order'!A:C,3,FALSE),[1]Employee!A:E,5,FALSE)&amp;" "&amp;VLOOKUP(VLOOKUP(A1979,'[1]Sales Order'!A:C,3,FALSE),[1]Employee!A:C,3,FALSE)&amp;" "&amp;VLOOKUP(VLOOKUP(A1979,'[1]Sales Order'!A:C,3,FALSE),[1]Employee!A:B,2,FALSE),"Not Specified")</f>
        <v>Dr. Don Funk</v>
      </c>
      <c r="I1979" t="str">
        <f>IFERROR(VLOOKUP(VLOOKUP(A1979,'[1]Sales Order'!A:C,3,FALSE),[1]Employee!A:J,10,FALSE),"Not Specified")</f>
        <v>WA</v>
      </c>
      <c r="J1979" t="str">
        <f>VLOOKUP(B1979,[1]Product!A:B,2,FALSE)</f>
        <v>Product RJVNM</v>
      </c>
      <c r="K1979" t="str">
        <f>VLOOKUP(VLOOKUP(B1979,[1]Product!A:D,4,FALSE),[1]Category!A:B,2,FALSE)</f>
        <v>Grains/Cereals</v>
      </c>
      <c r="L1979" s="10">
        <f>IFERROR(VLOOKUP(A1979,'[1]Sales Order'!A:D,4,FALSE),"")</f>
        <v>39547</v>
      </c>
      <c r="M1979" s="10">
        <f>IFERROR(VLOOKUP(A1979,'[1]Sales Order'!A:F,6,FALSE),"")</f>
        <v>39548</v>
      </c>
      <c r="N1979" t="str">
        <f>IFERROR(VLOOKUP(VLOOKUP(A1979,'[1]Sales Order'!A:G,7,FALSE),[1]Shipper!A:B,2,FALSE),"Not Specified")</f>
        <v>Shipper GVSUA</v>
      </c>
      <c r="O1979" t="str">
        <f>IFERROR(VLOOKUP(A1979,'[1]Sales Order'!A:I,9,FALSE),"Not Specified")</f>
        <v>Ship to 69-A</v>
      </c>
      <c r="P1979" t="str">
        <f>IFERROR(VLOOKUP(A1979,'[1]Sales Order'!A:N,14,FALSE),"Not Specified")</f>
        <v>Spain</v>
      </c>
      <c r="Q1979" t="str">
        <f>VLOOKUP(VLOOKUP(B1979,[1]Product!A:C,3,FALSE),[1]Supplier!A:B,2,FALSE)</f>
        <v>Supplier CIYNM</v>
      </c>
      <c r="R1979" t="str">
        <f>VLOOKUP(VLOOKUP(B1979,[1]Product!A:C,3,FALSE),[1]Supplier!A:I,9,FALSE)</f>
        <v>Singapore</v>
      </c>
      <c r="S1979" t="str">
        <f>IFERROR(IF(VLOOKUP(A1979,'[1]Sales Order'!A:H,8,FALSE)&gt;100,"High Freight","Low Freight"),"Not Specified")</f>
        <v>Low Freight</v>
      </c>
      <c r="T1979">
        <f t="shared" si="61"/>
        <v>56</v>
      </c>
    </row>
    <row r="1980" spans="1:20">
      <c r="A1980" s="1">
        <v>11013</v>
      </c>
      <c r="B1980" s="2">
        <v>45</v>
      </c>
      <c r="C1980" s="2">
        <v>9.5</v>
      </c>
      <c r="D1980" s="2">
        <v>20</v>
      </c>
      <c r="E1980" s="3">
        <v>0</v>
      </c>
      <c r="F1980" s="2" t="str">
        <f>IFERROR(VLOOKUP(VLOOKUP(A1980,'[1]Sales Order'!A:B,2,FALSE),[1]Customer!A:C,3,FALSE),"Not Specified")</f>
        <v>Watters, Jason M.</v>
      </c>
      <c r="G1980" s="2" t="str">
        <f t="shared" si="60"/>
        <v>Watters Jason M.</v>
      </c>
      <c r="H1980" s="8" t="str">
        <f>IFERROR(VLOOKUP(VLOOKUP(A1980,'[1]Sales Order'!A:C,3,FALSE),[1]Employee!A:E,5,FALSE)&amp;" "&amp;VLOOKUP(VLOOKUP(A1980,'[1]Sales Order'!A:C,3,FALSE),[1]Employee!A:C,3,FALSE)&amp;" "&amp;VLOOKUP(VLOOKUP(A1980,'[1]Sales Order'!A:C,3,FALSE),[1]Employee!A:B,2,FALSE),"Not Specified")</f>
        <v>Dr. Don Funk</v>
      </c>
      <c r="I1980" t="str">
        <f>IFERROR(VLOOKUP(VLOOKUP(A1980,'[1]Sales Order'!A:C,3,FALSE),[1]Employee!A:J,10,FALSE),"Not Specified")</f>
        <v>WA</v>
      </c>
      <c r="J1980" t="str">
        <f>VLOOKUP(B1980,[1]Product!A:B,2,FALSE)</f>
        <v>Product AQOKR</v>
      </c>
      <c r="K1980" t="str">
        <f>VLOOKUP(VLOOKUP(B1980,[1]Product!A:D,4,FALSE),[1]Category!A:B,2,FALSE)</f>
        <v>Seafood</v>
      </c>
      <c r="L1980" s="10">
        <f>IFERROR(VLOOKUP(A1980,'[1]Sales Order'!A:D,4,FALSE),"")</f>
        <v>39547</v>
      </c>
      <c r="M1980" s="10">
        <f>IFERROR(VLOOKUP(A1980,'[1]Sales Order'!A:F,6,FALSE),"")</f>
        <v>39548</v>
      </c>
      <c r="N1980" t="str">
        <f>IFERROR(VLOOKUP(VLOOKUP(A1980,'[1]Sales Order'!A:G,7,FALSE),[1]Shipper!A:B,2,FALSE),"Not Specified")</f>
        <v>Shipper GVSUA</v>
      </c>
      <c r="O1980" t="str">
        <f>IFERROR(VLOOKUP(A1980,'[1]Sales Order'!A:I,9,FALSE),"Not Specified")</f>
        <v>Ship to 69-A</v>
      </c>
      <c r="P1980" t="str">
        <f>IFERROR(VLOOKUP(A1980,'[1]Sales Order'!A:N,14,FALSE),"Not Specified")</f>
        <v>Spain</v>
      </c>
      <c r="Q1980" t="str">
        <f>VLOOKUP(VLOOKUP(B1980,[1]Product!A:C,3,FALSE),[1]Supplier!A:B,2,FALSE)</f>
        <v>Supplier XOXZA</v>
      </c>
      <c r="R1980" t="str">
        <f>VLOOKUP(VLOOKUP(B1980,[1]Product!A:C,3,FALSE),[1]Supplier!A:I,9,FALSE)</f>
        <v>Denmark</v>
      </c>
      <c r="S1980" t="str">
        <f>IFERROR(IF(VLOOKUP(A1980,'[1]Sales Order'!A:H,8,FALSE)&gt;100,"High Freight","Low Freight"),"Not Specified")</f>
        <v>Low Freight</v>
      </c>
      <c r="T1980">
        <f t="shared" si="61"/>
        <v>190</v>
      </c>
    </row>
    <row r="1981" spans="1:20">
      <c r="A1981" s="1">
        <v>11013</v>
      </c>
      <c r="B1981" s="2">
        <v>68</v>
      </c>
      <c r="C1981" s="2">
        <v>12.5</v>
      </c>
      <c r="D1981" s="2">
        <v>2</v>
      </c>
      <c r="E1981" s="3">
        <v>0</v>
      </c>
      <c r="F1981" s="2" t="str">
        <f>IFERROR(VLOOKUP(VLOOKUP(A1981,'[1]Sales Order'!A:B,2,FALSE),[1]Customer!A:C,3,FALSE),"Not Specified")</f>
        <v>Watters, Jason M.</v>
      </c>
      <c r="G1981" s="2" t="str">
        <f t="shared" si="60"/>
        <v>Watters Jason M.</v>
      </c>
      <c r="H1981" s="8" t="str">
        <f>IFERROR(VLOOKUP(VLOOKUP(A1981,'[1]Sales Order'!A:C,3,FALSE),[1]Employee!A:E,5,FALSE)&amp;" "&amp;VLOOKUP(VLOOKUP(A1981,'[1]Sales Order'!A:C,3,FALSE),[1]Employee!A:C,3,FALSE)&amp;" "&amp;VLOOKUP(VLOOKUP(A1981,'[1]Sales Order'!A:C,3,FALSE),[1]Employee!A:B,2,FALSE),"Not Specified")</f>
        <v>Dr. Don Funk</v>
      </c>
      <c r="I1981" t="str">
        <f>IFERROR(VLOOKUP(VLOOKUP(A1981,'[1]Sales Order'!A:C,3,FALSE),[1]Employee!A:J,10,FALSE),"Not Specified")</f>
        <v>WA</v>
      </c>
      <c r="J1981" t="str">
        <f>VLOOKUP(B1981,[1]Product!A:B,2,FALSE)</f>
        <v>Product TBTBL</v>
      </c>
      <c r="K1981" t="str">
        <f>VLOOKUP(VLOOKUP(B1981,[1]Product!A:D,4,FALSE),[1]Category!A:B,2,FALSE)</f>
        <v>Confections</v>
      </c>
      <c r="L1981" s="10">
        <f>IFERROR(VLOOKUP(A1981,'[1]Sales Order'!A:D,4,FALSE),"")</f>
        <v>39547</v>
      </c>
      <c r="M1981" s="10">
        <f>IFERROR(VLOOKUP(A1981,'[1]Sales Order'!A:F,6,FALSE),"")</f>
        <v>39548</v>
      </c>
      <c r="N1981" t="str">
        <f>IFERROR(VLOOKUP(VLOOKUP(A1981,'[1]Sales Order'!A:G,7,FALSE),[1]Shipper!A:B,2,FALSE),"Not Specified")</f>
        <v>Shipper GVSUA</v>
      </c>
      <c r="O1981" t="str">
        <f>IFERROR(VLOOKUP(A1981,'[1]Sales Order'!A:I,9,FALSE),"Not Specified")</f>
        <v>Ship to 69-A</v>
      </c>
      <c r="P1981" t="str">
        <f>IFERROR(VLOOKUP(A1981,'[1]Sales Order'!A:N,14,FALSE),"Not Specified")</f>
        <v>Spain</v>
      </c>
      <c r="Q1981" t="str">
        <f>VLOOKUP(VLOOKUP(B1981,[1]Product!A:C,3,FALSE),[1]Supplier!A:B,2,FALSE)</f>
        <v>Supplier BWGYE</v>
      </c>
      <c r="R1981" t="str">
        <f>VLOOKUP(VLOOKUP(B1981,[1]Product!A:C,3,FALSE),[1]Supplier!A:I,9,FALSE)</f>
        <v>UK</v>
      </c>
      <c r="S1981" t="str">
        <f>IFERROR(IF(VLOOKUP(A1981,'[1]Sales Order'!A:H,8,FALSE)&gt;100,"High Freight","Low Freight"),"Not Specified")</f>
        <v>Low Freight</v>
      </c>
      <c r="T1981">
        <f t="shared" si="61"/>
        <v>25</v>
      </c>
    </row>
    <row r="1982" spans="1:20">
      <c r="A1982" s="1">
        <v>11014</v>
      </c>
      <c r="B1982" s="2">
        <v>41</v>
      </c>
      <c r="C1982" s="2">
        <v>9.65</v>
      </c>
      <c r="D1982" s="2">
        <v>28</v>
      </c>
      <c r="E1982" s="3">
        <v>0.1</v>
      </c>
      <c r="F1982" s="2" t="str">
        <f>IFERROR(VLOOKUP(VLOOKUP(A1982,'[1]Sales Order'!A:B,2,FALSE),[1]Customer!A:C,3,FALSE),"Not Specified")</f>
        <v>Lupu, Cornel</v>
      </c>
      <c r="G1982" s="2" t="str">
        <f t="shared" si="60"/>
        <v>Lupu Cornel</v>
      </c>
      <c r="H1982" s="8" t="str">
        <f>IFERROR(VLOOKUP(VLOOKUP(A1982,'[1]Sales Order'!A:C,3,FALSE),[1]Employee!A:E,5,FALSE)&amp;" "&amp;VLOOKUP(VLOOKUP(A1982,'[1]Sales Order'!A:C,3,FALSE),[1]Employee!A:C,3,FALSE)&amp;" "&amp;VLOOKUP(VLOOKUP(A1982,'[1]Sales Order'!A:C,3,FALSE),[1]Employee!A:B,2,FALSE),"Not Specified")</f>
        <v>Dr. Don Funk</v>
      </c>
      <c r="I1982" t="str">
        <f>IFERROR(VLOOKUP(VLOOKUP(A1982,'[1]Sales Order'!A:C,3,FALSE),[1]Employee!A:J,10,FALSE),"Not Specified")</f>
        <v>WA</v>
      </c>
      <c r="J1982" t="str">
        <f>VLOOKUP(B1982,[1]Product!A:B,2,FALSE)</f>
        <v>Product TTEEX</v>
      </c>
      <c r="K1982" t="str">
        <f>VLOOKUP(VLOOKUP(B1982,[1]Product!A:D,4,FALSE),[1]Category!A:B,2,FALSE)</f>
        <v>Seafood</v>
      </c>
      <c r="L1982" s="10">
        <f>IFERROR(VLOOKUP(A1982,'[1]Sales Order'!A:D,4,FALSE),"")</f>
        <v>39548</v>
      </c>
      <c r="M1982" s="10">
        <f>IFERROR(VLOOKUP(A1982,'[1]Sales Order'!A:F,6,FALSE),"")</f>
        <v>39553</v>
      </c>
      <c r="N1982" t="str">
        <f>IFERROR(VLOOKUP(VLOOKUP(A1982,'[1]Sales Order'!A:G,7,FALSE),[1]Shipper!A:B,2,FALSE),"Not Specified")</f>
        <v>Shipper ZHISN</v>
      </c>
      <c r="O1982" t="str">
        <f>IFERROR(VLOOKUP(A1982,'[1]Sales Order'!A:I,9,FALSE),"Not Specified")</f>
        <v>Ship to 47-A</v>
      </c>
      <c r="P1982" t="str">
        <f>IFERROR(VLOOKUP(A1982,'[1]Sales Order'!A:N,14,FALSE),"Not Specified")</f>
        <v>Venezuela</v>
      </c>
      <c r="Q1982" t="str">
        <f>VLOOKUP(VLOOKUP(B1982,[1]Product!A:C,3,FALSE),[1]Supplier!A:B,2,FALSE)</f>
        <v>Supplier JDNUG</v>
      </c>
      <c r="R1982" t="str">
        <f>VLOOKUP(VLOOKUP(B1982,[1]Product!A:C,3,FALSE),[1]Supplier!A:I,9,FALSE)</f>
        <v>USA</v>
      </c>
      <c r="S1982" t="str">
        <f>IFERROR(IF(VLOOKUP(A1982,'[1]Sales Order'!A:H,8,FALSE)&gt;100,"High Freight","Low Freight"),"Not Specified")</f>
        <v>Low Freight</v>
      </c>
      <c r="T1982">
        <f t="shared" si="61"/>
        <v>243.18</v>
      </c>
    </row>
    <row r="1983" spans="1:20">
      <c r="A1983" s="1">
        <v>11015</v>
      </c>
      <c r="B1983" s="2">
        <v>30</v>
      </c>
      <c r="C1983" s="2">
        <v>25.89</v>
      </c>
      <c r="D1983" s="2">
        <v>15</v>
      </c>
      <c r="E1983" s="3">
        <v>0</v>
      </c>
      <c r="F1983" s="2" t="str">
        <f>IFERROR(VLOOKUP(VLOOKUP(A1983,'[1]Sales Order'!A:B,2,FALSE),[1]Customer!A:C,3,FALSE),"Not Specified")</f>
        <v>Ginters, Kaspars</v>
      </c>
      <c r="G1983" s="2" t="str">
        <f t="shared" si="60"/>
        <v>Ginters Kaspars</v>
      </c>
      <c r="H1983" s="8" t="str">
        <f>IFERROR(VLOOKUP(VLOOKUP(A1983,'[1]Sales Order'!A:C,3,FALSE),[1]Employee!A:E,5,FALSE)&amp;" "&amp;VLOOKUP(VLOOKUP(A1983,'[1]Sales Order'!A:C,3,FALSE),[1]Employee!A:C,3,FALSE)&amp;" "&amp;VLOOKUP(VLOOKUP(A1983,'[1]Sales Order'!A:C,3,FALSE),[1]Employee!A:B,2,FALSE),"Not Specified")</f>
        <v>Dr. Don Funk</v>
      </c>
      <c r="I1983" t="str">
        <f>IFERROR(VLOOKUP(VLOOKUP(A1983,'[1]Sales Order'!A:C,3,FALSE),[1]Employee!A:J,10,FALSE),"Not Specified")</f>
        <v>WA</v>
      </c>
      <c r="J1983" t="str">
        <f>VLOOKUP(B1983,[1]Product!A:B,2,FALSE)</f>
        <v>Product LYERX</v>
      </c>
      <c r="K1983" t="str">
        <f>VLOOKUP(VLOOKUP(B1983,[1]Product!A:D,4,FALSE),[1]Category!A:B,2,FALSE)</f>
        <v>Seafood</v>
      </c>
      <c r="L1983" s="10">
        <f>IFERROR(VLOOKUP(A1983,'[1]Sales Order'!A:D,4,FALSE),"")</f>
        <v>39548</v>
      </c>
      <c r="M1983" s="10">
        <f>IFERROR(VLOOKUP(A1983,'[1]Sales Order'!A:F,6,FALSE),"")</f>
        <v>39558</v>
      </c>
      <c r="N1983" t="str">
        <f>IFERROR(VLOOKUP(VLOOKUP(A1983,'[1]Sales Order'!A:G,7,FALSE),[1]Shipper!A:B,2,FALSE),"Not Specified")</f>
        <v>Shipper ETYNR</v>
      </c>
      <c r="O1983" t="str">
        <f>IFERROR(VLOOKUP(A1983,'[1]Sales Order'!A:I,9,FALSE),"Not Specified")</f>
        <v>Ship to 70-C</v>
      </c>
      <c r="P1983" t="str">
        <f>IFERROR(VLOOKUP(A1983,'[1]Sales Order'!A:N,14,FALSE),"Not Specified")</f>
        <v>Norway</v>
      </c>
      <c r="Q1983" t="str">
        <f>VLOOKUP(VLOOKUP(B1983,[1]Product!A:C,3,FALSE),[1]Supplier!A:B,2,FALSE)</f>
        <v>Supplier TEGSC</v>
      </c>
      <c r="R1983" t="str">
        <f>VLOOKUP(VLOOKUP(B1983,[1]Product!A:C,3,FALSE),[1]Supplier!A:I,9,FALSE)</f>
        <v>Germany</v>
      </c>
      <c r="S1983" t="str">
        <f>IFERROR(IF(VLOOKUP(A1983,'[1]Sales Order'!A:H,8,FALSE)&gt;100,"High Freight","Low Freight"),"Not Specified")</f>
        <v>Low Freight</v>
      </c>
      <c r="T1983">
        <f t="shared" si="61"/>
        <v>388.35</v>
      </c>
    </row>
    <row r="1984" spans="1:20">
      <c r="A1984" s="1">
        <v>11015</v>
      </c>
      <c r="B1984" s="2">
        <v>77</v>
      </c>
      <c r="C1984" s="2">
        <v>13</v>
      </c>
      <c r="D1984" s="2">
        <v>18</v>
      </c>
      <c r="E1984" s="3">
        <v>0</v>
      </c>
      <c r="F1984" s="2" t="str">
        <f>IFERROR(VLOOKUP(VLOOKUP(A1984,'[1]Sales Order'!A:B,2,FALSE),[1]Customer!A:C,3,FALSE),"Not Specified")</f>
        <v>Ginters, Kaspars</v>
      </c>
      <c r="G1984" s="2" t="str">
        <f t="shared" si="60"/>
        <v>Ginters Kaspars</v>
      </c>
      <c r="H1984" s="8" t="str">
        <f>IFERROR(VLOOKUP(VLOOKUP(A1984,'[1]Sales Order'!A:C,3,FALSE),[1]Employee!A:E,5,FALSE)&amp;" "&amp;VLOOKUP(VLOOKUP(A1984,'[1]Sales Order'!A:C,3,FALSE),[1]Employee!A:C,3,FALSE)&amp;" "&amp;VLOOKUP(VLOOKUP(A1984,'[1]Sales Order'!A:C,3,FALSE),[1]Employee!A:B,2,FALSE),"Not Specified")</f>
        <v>Dr. Don Funk</v>
      </c>
      <c r="I1984" t="str">
        <f>IFERROR(VLOOKUP(VLOOKUP(A1984,'[1]Sales Order'!A:C,3,FALSE),[1]Employee!A:J,10,FALSE),"Not Specified")</f>
        <v>WA</v>
      </c>
      <c r="J1984" t="str">
        <f>VLOOKUP(B1984,[1]Product!A:B,2,FALSE)</f>
        <v>Product LUNZZ</v>
      </c>
      <c r="K1984" t="str">
        <f>VLOOKUP(VLOOKUP(B1984,[1]Product!A:D,4,FALSE),[1]Category!A:B,2,FALSE)</f>
        <v>Condiments</v>
      </c>
      <c r="L1984" s="10">
        <f>IFERROR(VLOOKUP(A1984,'[1]Sales Order'!A:D,4,FALSE),"")</f>
        <v>39548</v>
      </c>
      <c r="M1984" s="10">
        <f>IFERROR(VLOOKUP(A1984,'[1]Sales Order'!A:F,6,FALSE),"")</f>
        <v>39558</v>
      </c>
      <c r="N1984" t="str">
        <f>IFERROR(VLOOKUP(VLOOKUP(A1984,'[1]Sales Order'!A:G,7,FALSE),[1]Shipper!A:B,2,FALSE),"Not Specified")</f>
        <v>Shipper ETYNR</v>
      </c>
      <c r="O1984" t="str">
        <f>IFERROR(VLOOKUP(A1984,'[1]Sales Order'!A:I,9,FALSE),"Not Specified")</f>
        <v>Ship to 70-C</v>
      </c>
      <c r="P1984" t="str">
        <f>IFERROR(VLOOKUP(A1984,'[1]Sales Order'!A:N,14,FALSE),"Not Specified")</f>
        <v>Norway</v>
      </c>
      <c r="Q1984" t="str">
        <f>VLOOKUP(VLOOKUP(B1984,[1]Product!A:C,3,FALSE),[1]Supplier!A:B,2,FALSE)</f>
        <v>Supplier SVIYA</v>
      </c>
      <c r="R1984" t="str">
        <f>VLOOKUP(VLOOKUP(B1984,[1]Product!A:C,3,FALSE),[1]Supplier!A:I,9,FALSE)</f>
        <v>Germany</v>
      </c>
      <c r="S1984" t="str">
        <f>IFERROR(IF(VLOOKUP(A1984,'[1]Sales Order'!A:H,8,FALSE)&gt;100,"High Freight","Low Freight"),"Not Specified")</f>
        <v>Low Freight</v>
      </c>
      <c r="T1984">
        <f t="shared" si="61"/>
        <v>234</v>
      </c>
    </row>
    <row r="1985" spans="1:20">
      <c r="A1985" s="1">
        <v>11016</v>
      </c>
      <c r="B1985" s="2">
        <v>31</v>
      </c>
      <c r="C1985" s="2">
        <v>12.5</v>
      </c>
      <c r="D1985" s="2">
        <v>15</v>
      </c>
      <c r="E1985" s="3">
        <v>0</v>
      </c>
      <c r="F1985" s="2" t="str">
        <f>IFERROR(VLOOKUP(VLOOKUP(A1985,'[1]Sales Order'!A:B,2,FALSE),[1]Customer!A:C,3,FALSE),"Not Specified")</f>
        <v>Arndt, Torsten</v>
      </c>
      <c r="G1985" s="2" t="str">
        <f t="shared" si="60"/>
        <v>Arndt Torsten</v>
      </c>
      <c r="H1985" s="8" t="str">
        <f>IFERROR(VLOOKUP(VLOOKUP(A1985,'[1]Sales Order'!A:C,3,FALSE),[1]Employee!A:E,5,FALSE)&amp;" "&amp;VLOOKUP(VLOOKUP(A1985,'[1]Sales Order'!A:C,3,FALSE),[1]Employee!A:C,3,FALSE)&amp;" "&amp;VLOOKUP(VLOOKUP(A1985,'[1]Sales Order'!A:C,3,FALSE),[1]Employee!A:B,2,FALSE),"Not Specified")</f>
        <v>Ms. Zoya Dolgopyatova</v>
      </c>
      <c r="I1985">
        <f>IFERROR(VLOOKUP(VLOOKUP(A1985,'[1]Sales Order'!A:C,3,FALSE),[1]Employee!A:J,10,FALSE),"Not Specified")</f>
        <v>0</v>
      </c>
      <c r="J1985" t="str">
        <f>VLOOKUP(B1985,[1]Product!A:B,2,FALSE)</f>
        <v>Product XWOXC</v>
      </c>
      <c r="K1985" t="str">
        <f>VLOOKUP(VLOOKUP(B1985,[1]Product!A:D,4,FALSE),[1]Category!A:B,2,FALSE)</f>
        <v>Dairy Product</v>
      </c>
      <c r="L1985" s="10">
        <f>IFERROR(VLOOKUP(A1985,'[1]Sales Order'!A:D,4,FALSE),"")</f>
        <v>39548</v>
      </c>
      <c r="M1985" s="10">
        <f>IFERROR(VLOOKUP(A1985,'[1]Sales Order'!A:F,6,FALSE),"")</f>
        <v>39551</v>
      </c>
      <c r="N1985" t="str">
        <f>IFERROR(VLOOKUP(VLOOKUP(A1985,'[1]Sales Order'!A:G,7,FALSE),[1]Shipper!A:B,2,FALSE),"Not Specified")</f>
        <v>Shipper ETYNR</v>
      </c>
      <c r="O1985" t="str">
        <f>IFERROR(VLOOKUP(A1985,'[1]Sales Order'!A:I,9,FALSE),"Not Specified")</f>
        <v>Ship to 4-A</v>
      </c>
      <c r="P1985" t="str">
        <f>IFERROR(VLOOKUP(A1985,'[1]Sales Order'!A:N,14,FALSE),"Not Specified")</f>
        <v>UK</v>
      </c>
      <c r="Q1985" t="str">
        <f>VLOOKUP(VLOOKUP(B1985,[1]Product!A:C,3,FALSE),[1]Supplier!A:B,2,FALSE)</f>
        <v>Supplier KEREV</v>
      </c>
      <c r="R1985" t="str">
        <f>VLOOKUP(VLOOKUP(B1985,[1]Product!A:C,3,FALSE),[1]Supplier!A:I,9,FALSE)</f>
        <v>Italy</v>
      </c>
      <c r="S1985" t="str">
        <f>IFERROR(IF(VLOOKUP(A1985,'[1]Sales Order'!A:H,8,FALSE)&gt;100,"High Freight","Low Freight"),"Not Specified")</f>
        <v>Low Freight</v>
      </c>
      <c r="T1985">
        <f t="shared" si="61"/>
        <v>187.5</v>
      </c>
    </row>
    <row r="1986" spans="1:20">
      <c r="A1986" s="1">
        <v>11016</v>
      </c>
      <c r="B1986" s="2">
        <v>36</v>
      </c>
      <c r="C1986" s="2">
        <v>19</v>
      </c>
      <c r="D1986" s="2">
        <v>16</v>
      </c>
      <c r="E1986" s="3">
        <v>0</v>
      </c>
      <c r="F1986" s="2" t="str">
        <f>IFERROR(VLOOKUP(VLOOKUP(A1986,'[1]Sales Order'!A:B,2,FALSE),[1]Customer!A:C,3,FALSE),"Not Specified")</f>
        <v>Arndt, Torsten</v>
      </c>
      <c r="G1986" s="2" t="str">
        <f t="shared" si="60"/>
        <v>Arndt Torsten</v>
      </c>
      <c r="H1986" s="8" t="str">
        <f>IFERROR(VLOOKUP(VLOOKUP(A1986,'[1]Sales Order'!A:C,3,FALSE),[1]Employee!A:E,5,FALSE)&amp;" "&amp;VLOOKUP(VLOOKUP(A1986,'[1]Sales Order'!A:C,3,FALSE),[1]Employee!A:C,3,FALSE)&amp;" "&amp;VLOOKUP(VLOOKUP(A1986,'[1]Sales Order'!A:C,3,FALSE),[1]Employee!A:B,2,FALSE),"Not Specified")</f>
        <v>Ms. Zoya Dolgopyatova</v>
      </c>
      <c r="I1986">
        <f>IFERROR(VLOOKUP(VLOOKUP(A1986,'[1]Sales Order'!A:C,3,FALSE),[1]Employee!A:J,10,FALSE),"Not Specified")</f>
        <v>0</v>
      </c>
      <c r="J1986" t="str">
        <f>VLOOKUP(B1986,[1]Product!A:B,2,FALSE)</f>
        <v>Product GMKIJ</v>
      </c>
      <c r="K1986" t="str">
        <f>VLOOKUP(VLOOKUP(B1986,[1]Product!A:D,4,FALSE),[1]Category!A:B,2,FALSE)</f>
        <v>Seafood</v>
      </c>
      <c r="L1986" s="10">
        <f>IFERROR(VLOOKUP(A1986,'[1]Sales Order'!A:D,4,FALSE),"")</f>
        <v>39548</v>
      </c>
      <c r="M1986" s="10">
        <f>IFERROR(VLOOKUP(A1986,'[1]Sales Order'!A:F,6,FALSE),"")</f>
        <v>39551</v>
      </c>
      <c r="N1986" t="str">
        <f>IFERROR(VLOOKUP(VLOOKUP(A1986,'[1]Sales Order'!A:G,7,FALSE),[1]Shipper!A:B,2,FALSE),"Not Specified")</f>
        <v>Shipper ETYNR</v>
      </c>
      <c r="O1986" t="str">
        <f>IFERROR(VLOOKUP(A1986,'[1]Sales Order'!A:I,9,FALSE),"Not Specified")</f>
        <v>Ship to 4-A</v>
      </c>
      <c r="P1986" t="str">
        <f>IFERROR(VLOOKUP(A1986,'[1]Sales Order'!A:N,14,FALSE),"Not Specified")</f>
        <v>UK</v>
      </c>
      <c r="Q1986" t="str">
        <f>VLOOKUP(VLOOKUP(B1986,[1]Product!A:C,3,FALSE),[1]Supplier!A:B,2,FALSE)</f>
        <v>Supplier QZGUF</v>
      </c>
      <c r="R1986" t="str">
        <f>VLOOKUP(VLOOKUP(B1986,[1]Product!A:C,3,FALSE),[1]Supplier!A:I,9,FALSE)</f>
        <v>Sweden</v>
      </c>
      <c r="S1986" t="str">
        <f>IFERROR(IF(VLOOKUP(A1986,'[1]Sales Order'!A:H,8,FALSE)&gt;100,"High Freight","Low Freight"),"Not Specified")</f>
        <v>Low Freight</v>
      </c>
      <c r="T1986">
        <f t="shared" si="61"/>
        <v>304</v>
      </c>
    </row>
    <row r="1987" spans="1:20">
      <c r="A1987" s="1">
        <v>11017</v>
      </c>
      <c r="B1987" s="2">
        <v>3</v>
      </c>
      <c r="C1987" s="2">
        <v>10</v>
      </c>
      <c r="D1987" s="2">
        <v>25</v>
      </c>
      <c r="E1987" s="3">
        <v>0</v>
      </c>
      <c r="F1987" s="2" t="str">
        <f>IFERROR(VLOOKUP(VLOOKUP(A1987,'[1]Sales Order'!A:B,2,FALSE),[1]Customer!A:C,3,FALSE),"Not Specified")</f>
        <v>Kane, John</v>
      </c>
      <c r="G1987" s="2" t="str">
        <f t="shared" ref="G1987:G2050" si="62">SUBSTITUTE(F1987,",","",1)</f>
        <v>Kane John</v>
      </c>
      <c r="H1987" s="8" t="str">
        <f>IFERROR(VLOOKUP(VLOOKUP(A1987,'[1]Sales Order'!A:C,3,FALSE),[1]Employee!A:E,5,FALSE)&amp;" "&amp;VLOOKUP(VLOOKUP(A1987,'[1]Sales Order'!A:C,3,FALSE),[1]Employee!A:C,3,FALSE)&amp;" "&amp;VLOOKUP(VLOOKUP(A1987,'[1]Sales Order'!A:C,3,FALSE),[1]Employee!A:B,2,FALSE),"Not Specified")</f>
        <v>Ms. Zoya Dolgopyatova</v>
      </c>
      <c r="I1987">
        <f>IFERROR(VLOOKUP(VLOOKUP(A1987,'[1]Sales Order'!A:C,3,FALSE),[1]Employee!A:J,10,FALSE),"Not Specified")</f>
        <v>0</v>
      </c>
      <c r="J1987" t="str">
        <f>VLOOKUP(B1987,[1]Product!A:B,2,FALSE)</f>
        <v>Product IMEHJ</v>
      </c>
      <c r="K1987" t="str">
        <f>VLOOKUP(VLOOKUP(B1987,[1]Product!A:D,4,FALSE),[1]Category!A:B,2,FALSE)</f>
        <v>Condiments</v>
      </c>
      <c r="L1987" s="10">
        <f>IFERROR(VLOOKUP(A1987,'[1]Sales Order'!A:D,4,FALSE),"")</f>
        <v>39551</v>
      </c>
      <c r="M1987" s="10">
        <f>IFERROR(VLOOKUP(A1987,'[1]Sales Order'!A:F,6,FALSE),"")</f>
        <v>39558</v>
      </c>
      <c r="N1987" t="str">
        <f>IFERROR(VLOOKUP(VLOOKUP(A1987,'[1]Sales Order'!A:G,7,FALSE),[1]Shipper!A:B,2,FALSE),"Not Specified")</f>
        <v>Shipper ETYNR</v>
      </c>
      <c r="O1987" t="str">
        <f>IFERROR(VLOOKUP(A1987,'[1]Sales Order'!A:I,9,FALSE),"Not Specified")</f>
        <v>Destination CUVPF</v>
      </c>
      <c r="P1987" t="str">
        <f>IFERROR(VLOOKUP(A1987,'[1]Sales Order'!A:N,14,FALSE),"Not Specified")</f>
        <v>Austria</v>
      </c>
      <c r="Q1987" t="str">
        <f>VLOOKUP(VLOOKUP(B1987,[1]Product!A:C,3,FALSE),[1]Supplier!A:B,2,FALSE)</f>
        <v>Supplier SWRXU</v>
      </c>
      <c r="R1987" t="str">
        <f>VLOOKUP(VLOOKUP(B1987,[1]Product!A:C,3,FALSE),[1]Supplier!A:I,9,FALSE)</f>
        <v>UK</v>
      </c>
      <c r="S1987" t="str">
        <f>IFERROR(IF(VLOOKUP(A1987,'[1]Sales Order'!A:H,8,FALSE)&gt;100,"High Freight","Low Freight"),"Not Specified")</f>
        <v>High Freight</v>
      </c>
      <c r="T1987">
        <f t="shared" ref="T1987:T2050" si="63">C1987*D1987*(1-E1987)</f>
        <v>250</v>
      </c>
    </row>
    <row r="1988" spans="1:20">
      <c r="A1988" s="1">
        <v>11017</v>
      </c>
      <c r="B1988" s="2">
        <v>59</v>
      </c>
      <c r="C1988" s="2">
        <v>55</v>
      </c>
      <c r="D1988" s="2">
        <v>110</v>
      </c>
      <c r="E1988" s="3">
        <v>0</v>
      </c>
      <c r="F1988" s="2" t="str">
        <f>IFERROR(VLOOKUP(VLOOKUP(A1988,'[1]Sales Order'!A:B,2,FALSE),[1]Customer!A:C,3,FALSE),"Not Specified")</f>
        <v>Kane, John</v>
      </c>
      <c r="G1988" s="2" t="str">
        <f t="shared" si="62"/>
        <v>Kane John</v>
      </c>
      <c r="H1988" s="8" t="str">
        <f>IFERROR(VLOOKUP(VLOOKUP(A1988,'[1]Sales Order'!A:C,3,FALSE),[1]Employee!A:E,5,FALSE)&amp;" "&amp;VLOOKUP(VLOOKUP(A1988,'[1]Sales Order'!A:C,3,FALSE),[1]Employee!A:C,3,FALSE)&amp;" "&amp;VLOOKUP(VLOOKUP(A1988,'[1]Sales Order'!A:C,3,FALSE),[1]Employee!A:B,2,FALSE),"Not Specified")</f>
        <v>Ms. Zoya Dolgopyatova</v>
      </c>
      <c r="I1988">
        <f>IFERROR(VLOOKUP(VLOOKUP(A1988,'[1]Sales Order'!A:C,3,FALSE),[1]Employee!A:J,10,FALSE),"Not Specified")</f>
        <v>0</v>
      </c>
      <c r="J1988" t="str">
        <f>VLOOKUP(B1988,[1]Product!A:B,2,FALSE)</f>
        <v>Product UKXRI</v>
      </c>
      <c r="K1988" t="str">
        <f>VLOOKUP(VLOOKUP(B1988,[1]Product!A:D,4,FALSE),[1]Category!A:B,2,FALSE)</f>
        <v>Dairy Product</v>
      </c>
      <c r="L1988" s="10">
        <f>IFERROR(VLOOKUP(A1988,'[1]Sales Order'!A:D,4,FALSE),"")</f>
        <v>39551</v>
      </c>
      <c r="M1988" s="10">
        <f>IFERROR(VLOOKUP(A1988,'[1]Sales Order'!A:F,6,FALSE),"")</f>
        <v>39558</v>
      </c>
      <c r="N1988" t="str">
        <f>IFERROR(VLOOKUP(VLOOKUP(A1988,'[1]Sales Order'!A:G,7,FALSE),[1]Shipper!A:B,2,FALSE),"Not Specified")</f>
        <v>Shipper ETYNR</v>
      </c>
      <c r="O1988" t="str">
        <f>IFERROR(VLOOKUP(A1988,'[1]Sales Order'!A:I,9,FALSE),"Not Specified")</f>
        <v>Destination CUVPF</v>
      </c>
      <c r="P1988" t="str">
        <f>IFERROR(VLOOKUP(A1988,'[1]Sales Order'!A:N,14,FALSE),"Not Specified")</f>
        <v>Austria</v>
      </c>
      <c r="Q1988" t="str">
        <f>VLOOKUP(VLOOKUP(B1988,[1]Product!A:C,3,FALSE),[1]Supplier!A:B,2,FALSE)</f>
        <v>Supplier OAVQT</v>
      </c>
      <c r="R1988" t="str">
        <f>VLOOKUP(VLOOKUP(B1988,[1]Product!A:C,3,FALSE),[1]Supplier!A:I,9,FALSE)</f>
        <v>France</v>
      </c>
      <c r="S1988" t="str">
        <f>IFERROR(IF(VLOOKUP(A1988,'[1]Sales Order'!A:H,8,FALSE)&gt;100,"High Freight","Low Freight"),"Not Specified")</f>
        <v>High Freight</v>
      </c>
      <c r="T1988">
        <f t="shared" si="63"/>
        <v>6050</v>
      </c>
    </row>
    <row r="1989" spans="1:20">
      <c r="A1989" s="1">
        <v>11017</v>
      </c>
      <c r="B1989" s="2">
        <v>70</v>
      </c>
      <c r="C1989" s="2">
        <v>15</v>
      </c>
      <c r="D1989" s="2">
        <v>30</v>
      </c>
      <c r="E1989" s="3">
        <v>0</v>
      </c>
      <c r="F1989" s="2" t="str">
        <f>IFERROR(VLOOKUP(VLOOKUP(A1989,'[1]Sales Order'!A:B,2,FALSE),[1]Customer!A:C,3,FALSE),"Not Specified")</f>
        <v>Kane, John</v>
      </c>
      <c r="G1989" s="2" t="str">
        <f t="shared" si="62"/>
        <v>Kane John</v>
      </c>
      <c r="H1989" s="8" t="str">
        <f>IFERROR(VLOOKUP(VLOOKUP(A1989,'[1]Sales Order'!A:C,3,FALSE),[1]Employee!A:E,5,FALSE)&amp;" "&amp;VLOOKUP(VLOOKUP(A1989,'[1]Sales Order'!A:C,3,FALSE),[1]Employee!A:C,3,FALSE)&amp;" "&amp;VLOOKUP(VLOOKUP(A1989,'[1]Sales Order'!A:C,3,FALSE),[1]Employee!A:B,2,FALSE),"Not Specified")</f>
        <v>Ms. Zoya Dolgopyatova</v>
      </c>
      <c r="I1989">
        <f>IFERROR(VLOOKUP(VLOOKUP(A1989,'[1]Sales Order'!A:C,3,FALSE),[1]Employee!A:J,10,FALSE),"Not Specified")</f>
        <v>0</v>
      </c>
      <c r="J1989" t="str">
        <f>VLOOKUP(B1989,[1]Product!A:B,2,FALSE)</f>
        <v>Product TOONT</v>
      </c>
      <c r="K1989" t="str">
        <f>VLOOKUP(VLOOKUP(B1989,[1]Product!A:D,4,FALSE),[1]Category!A:B,2,FALSE)</f>
        <v>Beverages</v>
      </c>
      <c r="L1989" s="10">
        <f>IFERROR(VLOOKUP(A1989,'[1]Sales Order'!A:D,4,FALSE),"")</f>
        <v>39551</v>
      </c>
      <c r="M1989" s="10">
        <f>IFERROR(VLOOKUP(A1989,'[1]Sales Order'!A:F,6,FALSE),"")</f>
        <v>39558</v>
      </c>
      <c r="N1989" t="str">
        <f>IFERROR(VLOOKUP(VLOOKUP(A1989,'[1]Sales Order'!A:G,7,FALSE),[1]Shipper!A:B,2,FALSE),"Not Specified")</f>
        <v>Shipper ETYNR</v>
      </c>
      <c r="O1989" t="str">
        <f>IFERROR(VLOOKUP(A1989,'[1]Sales Order'!A:I,9,FALSE),"Not Specified")</f>
        <v>Destination CUVPF</v>
      </c>
      <c r="P1989" t="str">
        <f>IFERROR(VLOOKUP(A1989,'[1]Sales Order'!A:N,14,FALSE),"Not Specified")</f>
        <v>Austria</v>
      </c>
      <c r="Q1989" t="str">
        <f>VLOOKUP(VLOOKUP(B1989,[1]Product!A:C,3,FALSE),[1]Supplier!A:B,2,FALSE)</f>
        <v>Supplier GQRCV</v>
      </c>
      <c r="R1989" t="str">
        <f>VLOOKUP(VLOOKUP(B1989,[1]Product!A:C,3,FALSE),[1]Supplier!A:I,9,FALSE)</f>
        <v>Australia</v>
      </c>
      <c r="S1989" t="str">
        <f>IFERROR(IF(VLOOKUP(A1989,'[1]Sales Order'!A:H,8,FALSE)&gt;100,"High Freight","Low Freight"),"Not Specified")</f>
        <v>High Freight</v>
      </c>
      <c r="T1989">
        <f t="shared" si="63"/>
        <v>450</v>
      </c>
    </row>
    <row r="1990" spans="1:20">
      <c r="A1990" s="1">
        <v>11018</v>
      </c>
      <c r="B1990" s="2">
        <v>12</v>
      </c>
      <c r="C1990" s="2">
        <v>38</v>
      </c>
      <c r="D1990" s="2">
        <v>20</v>
      </c>
      <c r="E1990" s="3">
        <v>0</v>
      </c>
      <c r="F1990" s="2" t="str">
        <f>IFERROR(VLOOKUP(VLOOKUP(A1990,'[1]Sales Order'!A:B,2,FALSE),[1]Customer!A:C,3,FALSE),"Not Specified")</f>
        <v>Szymczak, Radosław</v>
      </c>
      <c r="G1990" s="2" t="str">
        <f t="shared" si="62"/>
        <v>Szymczak Radosław</v>
      </c>
      <c r="H1990" s="8" t="str">
        <f>IFERROR(VLOOKUP(VLOOKUP(A1990,'[1]Sales Order'!A:C,3,FALSE),[1]Employee!A:E,5,FALSE)&amp;" "&amp;VLOOKUP(VLOOKUP(A1990,'[1]Sales Order'!A:C,3,FALSE),[1]Employee!A:C,3,FALSE)&amp;" "&amp;VLOOKUP(VLOOKUP(A1990,'[1]Sales Order'!A:C,3,FALSE),[1]Employee!A:B,2,FALSE),"Not Specified")</f>
        <v>Mrs. Yael Peled</v>
      </c>
      <c r="I1990" t="str">
        <f>IFERROR(VLOOKUP(VLOOKUP(A1990,'[1]Sales Order'!A:C,3,FALSE),[1]Employee!A:J,10,FALSE),"Not Specified")</f>
        <v>WA</v>
      </c>
      <c r="J1990" t="str">
        <f>VLOOKUP(B1990,[1]Product!A:B,2,FALSE)</f>
        <v>Product OSFNS</v>
      </c>
      <c r="K1990" t="str">
        <f>VLOOKUP(VLOOKUP(B1990,[1]Product!A:D,4,FALSE),[1]Category!A:B,2,FALSE)</f>
        <v>Dairy Product</v>
      </c>
      <c r="L1990" s="10">
        <f>IFERROR(VLOOKUP(A1990,'[1]Sales Order'!A:D,4,FALSE),"")</f>
        <v>39551</v>
      </c>
      <c r="M1990" s="10">
        <f>IFERROR(VLOOKUP(A1990,'[1]Sales Order'!A:F,6,FALSE),"")</f>
        <v>39554</v>
      </c>
      <c r="N1990" t="str">
        <f>IFERROR(VLOOKUP(VLOOKUP(A1990,'[1]Sales Order'!A:G,7,FALSE),[1]Shipper!A:B,2,FALSE),"Not Specified")</f>
        <v>Shipper ETYNR</v>
      </c>
      <c r="O1990" t="str">
        <f>IFERROR(VLOOKUP(A1990,'[1]Sales Order'!A:I,9,FALSE),"Not Specified")</f>
        <v>Ship to 48-B</v>
      </c>
      <c r="P1990" t="str">
        <f>IFERROR(VLOOKUP(A1990,'[1]Sales Order'!A:N,14,FALSE),"Not Specified")</f>
        <v>USA</v>
      </c>
      <c r="Q1990" t="str">
        <f>VLOOKUP(VLOOKUP(B1990,[1]Product!A:C,3,FALSE),[1]Supplier!A:B,2,FALSE)</f>
        <v>Supplier EQPNC</v>
      </c>
      <c r="R1990" t="str">
        <f>VLOOKUP(VLOOKUP(B1990,[1]Product!A:C,3,FALSE),[1]Supplier!A:I,9,FALSE)</f>
        <v>Spain</v>
      </c>
      <c r="S1990" t="str">
        <f>IFERROR(IF(VLOOKUP(A1990,'[1]Sales Order'!A:H,8,FALSE)&gt;100,"High Freight","Low Freight"),"Not Specified")</f>
        <v>Low Freight</v>
      </c>
      <c r="T1990">
        <f t="shared" si="63"/>
        <v>760</v>
      </c>
    </row>
    <row r="1991" spans="1:20">
      <c r="A1991" s="1">
        <v>11018</v>
      </c>
      <c r="B1991" s="2">
        <v>18</v>
      </c>
      <c r="C1991" s="2">
        <v>62.5</v>
      </c>
      <c r="D1991" s="2">
        <v>10</v>
      </c>
      <c r="E1991" s="3">
        <v>0</v>
      </c>
      <c r="F1991" s="2" t="str">
        <f>IFERROR(VLOOKUP(VLOOKUP(A1991,'[1]Sales Order'!A:B,2,FALSE),[1]Customer!A:C,3,FALSE),"Not Specified")</f>
        <v>Szymczak, Radosław</v>
      </c>
      <c r="G1991" s="2" t="str">
        <f t="shared" si="62"/>
        <v>Szymczak Radosław</v>
      </c>
      <c r="H1991" s="8" t="str">
        <f>IFERROR(VLOOKUP(VLOOKUP(A1991,'[1]Sales Order'!A:C,3,FALSE),[1]Employee!A:E,5,FALSE)&amp;" "&amp;VLOOKUP(VLOOKUP(A1991,'[1]Sales Order'!A:C,3,FALSE),[1]Employee!A:C,3,FALSE)&amp;" "&amp;VLOOKUP(VLOOKUP(A1991,'[1]Sales Order'!A:C,3,FALSE),[1]Employee!A:B,2,FALSE),"Not Specified")</f>
        <v>Mrs. Yael Peled</v>
      </c>
      <c r="I1991" t="str">
        <f>IFERROR(VLOOKUP(VLOOKUP(A1991,'[1]Sales Order'!A:C,3,FALSE),[1]Employee!A:J,10,FALSE),"Not Specified")</f>
        <v>WA</v>
      </c>
      <c r="J1991" t="str">
        <f>VLOOKUP(B1991,[1]Product!A:B,2,FALSE)</f>
        <v>Product CKEDC</v>
      </c>
      <c r="K1991" t="str">
        <f>VLOOKUP(VLOOKUP(B1991,[1]Product!A:D,4,FALSE),[1]Category!A:B,2,FALSE)</f>
        <v>Seafood</v>
      </c>
      <c r="L1991" s="10">
        <f>IFERROR(VLOOKUP(A1991,'[1]Sales Order'!A:D,4,FALSE),"")</f>
        <v>39551</v>
      </c>
      <c r="M1991" s="10">
        <f>IFERROR(VLOOKUP(A1991,'[1]Sales Order'!A:F,6,FALSE),"")</f>
        <v>39554</v>
      </c>
      <c r="N1991" t="str">
        <f>IFERROR(VLOOKUP(VLOOKUP(A1991,'[1]Sales Order'!A:G,7,FALSE),[1]Shipper!A:B,2,FALSE),"Not Specified")</f>
        <v>Shipper ETYNR</v>
      </c>
      <c r="O1991" t="str">
        <f>IFERROR(VLOOKUP(A1991,'[1]Sales Order'!A:I,9,FALSE),"Not Specified")</f>
        <v>Ship to 48-B</v>
      </c>
      <c r="P1991" t="str">
        <f>IFERROR(VLOOKUP(A1991,'[1]Sales Order'!A:N,14,FALSE),"Not Specified")</f>
        <v>USA</v>
      </c>
      <c r="Q1991" t="str">
        <f>VLOOKUP(VLOOKUP(B1991,[1]Product!A:C,3,FALSE),[1]Supplier!A:B,2,FALSE)</f>
        <v>Supplier GQRCV</v>
      </c>
      <c r="R1991" t="str">
        <f>VLOOKUP(VLOOKUP(B1991,[1]Product!A:C,3,FALSE),[1]Supplier!A:I,9,FALSE)</f>
        <v>Australia</v>
      </c>
      <c r="S1991" t="str">
        <f>IFERROR(IF(VLOOKUP(A1991,'[1]Sales Order'!A:H,8,FALSE)&gt;100,"High Freight","Low Freight"),"Not Specified")</f>
        <v>Low Freight</v>
      </c>
      <c r="T1991">
        <f t="shared" si="63"/>
        <v>625</v>
      </c>
    </row>
    <row r="1992" spans="1:20">
      <c r="A1992" s="1">
        <v>11018</v>
      </c>
      <c r="B1992" s="2">
        <v>56</v>
      </c>
      <c r="C1992" s="2">
        <v>38</v>
      </c>
      <c r="D1992" s="2">
        <v>5</v>
      </c>
      <c r="E1992" s="3">
        <v>0</v>
      </c>
      <c r="F1992" s="2" t="str">
        <f>IFERROR(VLOOKUP(VLOOKUP(A1992,'[1]Sales Order'!A:B,2,FALSE),[1]Customer!A:C,3,FALSE),"Not Specified")</f>
        <v>Szymczak, Radosław</v>
      </c>
      <c r="G1992" s="2" t="str">
        <f t="shared" si="62"/>
        <v>Szymczak Radosław</v>
      </c>
      <c r="H1992" s="8" t="str">
        <f>IFERROR(VLOOKUP(VLOOKUP(A1992,'[1]Sales Order'!A:C,3,FALSE),[1]Employee!A:E,5,FALSE)&amp;" "&amp;VLOOKUP(VLOOKUP(A1992,'[1]Sales Order'!A:C,3,FALSE),[1]Employee!A:C,3,FALSE)&amp;" "&amp;VLOOKUP(VLOOKUP(A1992,'[1]Sales Order'!A:C,3,FALSE),[1]Employee!A:B,2,FALSE),"Not Specified")</f>
        <v>Mrs. Yael Peled</v>
      </c>
      <c r="I1992" t="str">
        <f>IFERROR(VLOOKUP(VLOOKUP(A1992,'[1]Sales Order'!A:C,3,FALSE),[1]Employee!A:J,10,FALSE),"Not Specified")</f>
        <v>WA</v>
      </c>
      <c r="J1992" t="str">
        <f>VLOOKUP(B1992,[1]Product!A:B,2,FALSE)</f>
        <v>Product VKCMF</v>
      </c>
      <c r="K1992" t="str">
        <f>VLOOKUP(VLOOKUP(B1992,[1]Product!A:D,4,FALSE),[1]Category!A:B,2,FALSE)</f>
        <v>Grains/Cereals</v>
      </c>
      <c r="L1992" s="10">
        <f>IFERROR(VLOOKUP(A1992,'[1]Sales Order'!A:D,4,FALSE),"")</f>
        <v>39551</v>
      </c>
      <c r="M1992" s="10">
        <f>IFERROR(VLOOKUP(A1992,'[1]Sales Order'!A:F,6,FALSE),"")</f>
        <v>39554</v>
      </c>
      <c r="N1992" t="str">
        <f>IFERROR(VLOOKUP(VLOOKUP(A1992,'[1]Sales Order'!A:G,7,FALSE),[1]Shipper!A:B,2,FALSE),"Not Specified")</f>
        <v>Shipper ETYNR</v>
      </c>
      <c r="O1992" t="str">
        <f>IFERROR(VLOOKUP(A1992,'[1]Sales Order'!A:I,9,FALSE),"Not Specified")</f>
        <v>Ship to 48-B</v>
      </c>
      <c r="P1992" t="str">
        <f>IFERROR(VLOOKUP(A1992,'[1]Sales Order'!A:N,14,FALSE),"Not Specified")</f>
        <v>USA</v>
      </c>
      <c r="Q1992" t="str">
        <f>VLOOKUP(VLOOKUP(B1992,[1]Product!A:C,3,FALSE),[1]Supplier!A:B,2,FALSE)</f>
        <v>Supplier ZWZDM</v>
      </c>
      <c r="R1992" t="str">
        <f>VLOOKUP(VLOOKUP(B1992,[1]Product!A:C,3,FALSE),[1]Supplier!A:I,9,FALSE)</f>
        <v>Italy</v>
      </c>
      <c r="S1992" t="str">
        <f>IFERROR(IF(VLOOKUP(A1992,'[1]Sales Order'!A:H,8,FALSE)&gt;100,"High Freight","Low Freight"),"Not Specified")</f>
        <v>Low Freight</v>
      </c>
      <c r="T1992">
        <f t="shared" si="63"/>
        <v>190</v>
      </c>
    </row>
    <row r="1993" spans="1:20">
      <c r="A1993" s="1">
        <v>11019</v>
      </c>
      <c r="B1993" s="2">
        <v>46</v>
      </c>
      <c r="C1993" s="2">
        <v>12</v>
      </c>
      <c r="D1993" s="2">
        <v>3</v>
      </c>
      <c r="E1993" s="3">
        <v>0</v>
      </c>
      <c r="F1993" s="2" t="str">
        <f>IFERROR(VLOOKUP(VLOOKUP(A1993,'[1]Sales Order'!A:B,2,FALSE),[1]Customer!A:C,3,FALSE),"Not Specified")</f>
        <v>Gaffney, Lawrie</v>
      </c>
      <c r="G1993" s="2" t="str">
        <f t="shared" si="62"/>
        <v>Gaffney Lawrie</v>
      </c>
      <c r="H1993" s="8" t="str">
        <f>IFERROR(VLOOKUP(VLOOKUP(A1993,'[1]Sales Order'!A:C,3,FALSE),[1]Employee!A:E,5,FALSE)&amp;" "&amp;VLOOKUP(VLOOKUP(A1993,'[1]Sales Order'!A:C,3,FALSE),[1]Employee!A:C,3,FALSE)&amp;" "&amp;VLOOKUP(VLOOKUP(A1993,'[1]Sales Order'!A:C,3,FALSE),[1]Employee!A:B,2,FALSE),"Not Specified")</f>
        <v>Mr. Paul Suurs</v>
      </c>
      <c r="I1993">
        <f>IFERROR(VLOOKUP(VLOOKUP(A1993,'[1]Sales Order'!A:C,3,FALSE),[1]Employee!A:J,10,FALSE),"Not Specified")</f>
        <v>0</v>
      </c>
      <c r="J1993" t="str">
        <f>VLOOKUP(B1993,[1]Product!A:B,2,FALSE)</f>
        <v>Product CBRRL</v>
      </c>
      <c r="K1993" t="str">
        <f>VLOOKUP(VLOOKUP(B1993,[1]Product!A:D,4,FALSE),[1]Category!A:B,2,FALSE)</f>
        <v>Seafood</v>
      </c>
      <c r="L1993" s="10">
        <f>IFERROR(VLOOKUP(A1993,'[1]Sales Order'!A:D,4,FALSE),"")</f>
        <v>39551</v>
      </c>
      <c r="M1993" s="10">
        <f>IFERROR(VLOOKUP(A1993,'[1]Sales Order'!A:F,6,FALSE),"")</f>
        <v>0</v>
      </c>
      <c r="N1993" t="str">
        <f>IFERROR(VLOOKUP(VLOOKUP(A1993,'[1]Sales Order'!A:G,7,FALSE),[1]Shipper!A:B,2,FALSE),"Not Specified")</f>
        <v>Shipper ZHISN</v>
      </c>
      <c r="O1993" t="str">
        <f>IFERROR(VLOOKUP(A1993,'[1]Sales Order'!A:I,9,FALSE),"Not Specified")</f>
        <v>Ship to 64-B</v>
      </c>
      <c r="P1993" t="str">
        <f>IFERROR(VLOOKUP(A1993,'[1]Sales Order'!A:N,14,FALSE),"Not Specified")</f>
        <v>Argentina</v>
      </c>
      <c r="Q1993" t="str">
        <f>VLOOKUP(VLOOKUP(B1993,[1]Product!A:C,3,FALSE),[1]Supplier!A:B,2,FALSE)</f>
        <v>Supplier XOXZA</v>
      </c>
      <c r="R1993" t="str">
        <f>VLOOKUP(VLOOKUP(B1993,[1]Product!A:C,3,FALSE),[1]Supplier!A:I,9,FALSE)</f>
        <v>Denmark</v>
      </c>
      <c r="S1993" t="str">
        <f>IFERROR(IF(VLOOKUP(A1993,'[1]Sales Order'!A:H,8,FALSE)&gt;100,"High Freight","Low Freight"),"Not Specified")</f>
        <v>Low Freight</v>
      </c>
      <c r="T1993">
        <f t="shared" si="63"/>
        <v>36</v>
      </c>
    </row>
    <row r="1994" spans="1:20">
      <c r="A1994" s="1">
        <v>11019</v>
      </c>
      <c r="B1994" s="2">
        <v>49</v>
      </c>
      <c r="C1994" s="2">
        <v>20</v>
      </c>
      <c r="D1994" s="2">
        <v>2</v>
      </c>
      <c r="E1994" s="3">
        <v>0</v>
      </c>
      <c r="F1994" s="2" t="str">
        <f>IFERROR(VLOOKUP(VLOOKUP(A1994,'[1]Sales Order'!A:B,2,FALSE),[1]Customer!A:C,3,FALSE),"Not Specified")</f>
        <v>Gaffney, Lawrie</v>
      </c>
      <c r="G1994" s="2" t="str">
        <f t="shared" si="62"/>
        <v>Gaffney Lawrie</v>
      </c>
      <c r="H1994" s="8" t="str">
        <f>IFERROR(VLOOKUP(VLOOKUP(A1994,'[1]Sales Order'!A:C,3,FALSE),[1]Employee!A:E,5,FALSE)&amp;" "&amp;VLOOKUP(VLOOKUP(A1994,'[1]Sales Order'!A:C,3,FALSE),[1]Employee!A:C,3,FALSE)&amp;" "&amp;VLOOKUP(VLOOKUP(A1994,'[1]Sales Order'!A:C,3,FALSE),[1]Employee!A:B,2,FALSE),"Not Specified")</f>
        <v>Mr. Paul Suurs</v>
      </c>
      <c r="I1994">
        <f>IFERROR(VLOOKUP(VLOOKUP(A1994,'[1]Sales Order'!A:C,3,FALSE),[1]Employee!A:J,10,FALSE),"Not Specified")</f>
        <v>0</v>
      </c>
      <c r="J1994" t="str">
        <f>VLOOKUP(B1994,[1]Product!A:B,2,FALSE)</f>
        <v>Product FPYPN</v>
      </c>
      <c r="K1994" t="str">
        <f>VLOOKUP(VLOOKUP(B1994,[1]Product!A:D,4,FALSE),[1]Category!A:B,2,FALSE)</f>
        <v>Confections</v>
      </c>
      <c r="L1994" s="10">
        <f>IFERROR(VLOOKUP(A1994,'[1]Sales Order'!A:D,4,FALSE),"")</f>
        <v>39551</v>
      </c>
      <c r="M1994" s="10">
        <f>IFERROR(VLOOKUP(A1994,'[1]Sales Order'!A:F,6,FALSE),"")</f>
        <v>0</v>
      </c>
      <c r="N1994" t="str">
        <f>IFERROR(VLOOKUP(VLOOKUP(A1994,'[1]Sales Order'!A:G,7,FALSE),[1]Shipper!A:B,2,FALSE),"Not Specified")</f>
        <v>Shipper ZHISN</v>
      </c>
      <c r="O1994" t="str">
        <f>IFERROR(VLOOKUP(A1994,'[1]Sales Order'!A:I,9,FALSE),"Not Specified")</f>
        <v>Ship to 64-B</v>
      </c>
      <c r="P1994" t="str">
        <f>IFERROR(VLOOKUP(A1994,'[1]Sales Order'!A:N,14,FALSE),"Not Specified")</f>
        <v>Argentina</v>
      </c>
      <c r="Q1994" t="str">
        <f>VLOOKUP(VLOOKUP(B1994,[1]Product!A:C,3,FALSE),[1]Supplier!A:B,2,FALSE)</f>
        <v>Supplier ELCRN</v>
      </c>
      <c r="R1994" t="str">
        <f>VLOOKUP(VLOOKUP(B1994,[1]Product!A:C,3,FALSE),[1]Supplier!A:I,9,FALSE)</f>
        <v>Finland</v>
      </c>
      <c r="S1994" t="str">
        <f>IFERROR(IF(VLOOKUP(A1994,'[1]Sales Order'!A:H,8,FALSE)&gt;100,"High Freight","Low Freight"),"Not Specified")</f>
        <v>Low Freight</v>
      </c>
      <c r="T1994">
        <f t="shared" si="63"/>
        <v>40</v>
      </c>
    </row>
    <row r="1995" spans="1:20">
      <c r="A1995" s="1">
        <v>11020</v>
      </c>
      <c r="B1995" s="2">
        <v>10</v>
      </c>
      <c r="C1995" s="2">
        <v>31</v>
      </c>
      <c r="D1995" s="2">
        <v>24</v>
      </c>
      <c r="E1995" s="3">
        <v>0.15</v>
      </c>
      <c r="F1995" s="2" t="str">
        <f>IFERROR(VLOOKUP(VLOOKUP(A1995,'[1]Sales Order'!A:B,2,FALSE),[1]Customer!A:C,3,FALSE),"Not Specified")</f>
        <v>Marinova, Nadejda</v>
      </c>
      <c r="G1995" s="2" t="str">
        <f t="shared" si="62"/>
        <v>Marinova Nadejda</v>
      </c>
      <c r="H1995" s="8" t="str">
        <f>IFERROR(VLOOKUP(VLOOKUP(A1995,'[1]Sales Order'!A:C,3,FALSE),[1]Employee!A:E,5,FALSE)&amp;" "&amp;VLOOKUP(VLOOKUP(A1995,'[1]Sales Order'!A:C,3,FALSE),[1]Employee!A:C,3,FALSE)&amp;" "&amp;VLOOKUP(VLOOKUP(A1995,'[1]Sales Order'!A:C,3,FALSE),[1]Employee!A:B,2,FALSE),"Not Specified")</f>
        <v>Dr. Don Funk</v>
      </c>
      <c r="I1995" t="str">
        <f>IFERROR(VLOOKUP(VLOOKUP(A1995,'[1]Sales Order'!A:C,3,FALSE),[1]Employee!A:J,10,FALSE),"Not Specified")</f>
        <v>WA</v>
      </c>
      <c r="J1995" t="str">
        <f>VLOOKUP(B1995,[1]Product!A:B,2,FALSE)</f>
        <v>Product YHXGE</v>
      </c>
      <c r="K1995" t="str">
        <f>VLOOKUP(VLOOKUP(B1995,[1]Product!A:D,4,FALSE),[1]Category!A:B,2,FALSE)</f>
        <v>Seafood</v>
      </c>
      <c r="L1995" s="10">
        <f>IFERROR(VLOOKUP(A1995,'[1]Sales Order'!A:D,4,FALSE),"")</f>
        <v>39552</v>
      </c>
      <c r="M1995" s="10">
        <f>IFERROR(VLOOKUP(A1995,'[1]Sales Order'!A:F,6,FALSE),"")</f>
        <v>39554</v>
      </c>
      <c r="N1995" t="str">
        <f>IFERROR(VLOOKUP(VLOOKUP(A1995,'[1]Sales Order'!A:G,7,FALSE),[1]Shipper!A:B,2,FALSE),"Not Specified")</f>
        <v>Shipper ETYNR</v>
      </c>
      <c r="O1995" t="str">
        <f>IFERROR(VLOOKUP(A1995,'[1]Sales Order'!A:I,9,FALSE),"Not Specified")</f>
        <v>Ship to 56-B</v>
      </c>
      <c r="P1995" t="str">
        <f>IFERROR(VLOOKUP(A1995,'[1]Sales Order'!A:N,14,FALSE),"Not Specified")</f>
        <v>Germany</v>
      </c>
      <c r="Q1995" t="str">
        <f>VLOOKUP(VLOOKUP(B1995,[1]Product!A:C,3,FALSE),[1]Supplier!A:B,2,FALSE)</f>
        <v>Supplier QOVFD</v>
      </c>
      <c r="R1995" t="str">
        <f>VLOOKUP(VLOOKUP(B1995,[1]Product!A:C,3,FALSE),[1]Supplier!A:I,9,FALSE)</f>
        <v>Japan</v>
      </c>
      <c r="S1995" t="str">
        <f>IFERROR(IF(VLOOKUP(A1995,'[1]Sales Order'!A:H,8,FALSE)&gt;100,"High Freight","Low Freight"),"Not Specified")</f>
        <v>Low Freight</v>
      </c>
      <c r="T1995">
        <f t="shared" si="63"/>
        <v>632.4</v>
      </c>
    </row>
    <row r="1996" spans="1:20">
      <c r="A1996" s="1">
        <v>11021</v>
      </c>
      <c r="B1996" s="2">
        <v>2</v>
      </c>
      <c r="C1996" s="2">
        <v>19</v>
      </c>
      <c r="D1996" s="2">
        <v>11</v>
      </c>
      <c r="E1996" s="3">
        <v>0.25</v>
      </c>
      <c r="F1996" s="2" t="str">
        <f>IFERROR(VLOOKUP(VLOOKUP(A1996,'[1]Sales Order'!A:B,2,FALSE),[1]Customer!A:C,3,FALSE),"Not Specified")</f>
        <v>Veronesi, Giorgio</v>
      </c>
      <c r="G1996" s="2" t="str">
        <f t="shared" si="62"/>
        <v>Veronesi Giorgio</v>
      </c>
      <c r="H1996" s="8" t="str">
        <f>IFERROR(VLOOKUP(VLOOKUP(A1996,'[1]Sales Order'!A:C,3,FALSE),[1]Employee!A:E,5,FALSE)&amp;" "&amp;VLOOKUP(VLOOKUP(A1996,'[1]Sales Order'!A:C,3,FALSE),[1]Employee!A:C,3,FALSE)&amp;" "&amp;VLOOKUP(VLOOKUP(A1996,'[1]Sales Order'!A:C,3,FALSE),[1]Employee!A:B,2,FALSE),"Not Specified")</f>
        <v>Ms. Judy Lew</v>
      </c>
      <c r="I1996" t="str">
        <f>IFERROR(VLOOKUP(VLOOKUP(A1996,'[1]Sales Order'!A:C,3,FALSE),[1]Employee!A:J,10,FALSE),"Not Specified")</f>
        <v>WA</v>
      </c>
      <c r="J1996" t="str">
        <f>VLOOKUP(B1996,[1]Product!A:B,2,FALSE)</f>
        <v>Product RECZE</v>
      </c>
      <c r="K1996" t="str">
        <f>VLOOKUP(VLOOKUP(B1996,[1]Product!A:D,4,FALSE),[1]Category!A:B,2,FALSE)</f>
        <v>Beverages</v>
      </c>
      <c r="L1996" s="10">
        <f>IFERROR(VLOOKUP(A1996,'[1]Sales Order'!A:D,4,FALSE),"")</f>
        <v>39552</v>
      </c>
      <c r="M1996" s="10">
        <f>IFERROR(VLOOKUP(A1996,'[1]Sales Order'!A:F,6,FALSE),"")</f>
        <v>39559</v>
      </c>
      <c r="N1996" t="str">
        <f>IFERROR(VLOOKUP(VLOOKUP(A1996,'[1]Sales Order'!A:G,7,FALSE),[1]Shipper!A:B,2,FALSE),"Not Specified")</f>
        <v>Shipper GVSUA</v>
      </c>
      <c r="O1996" t="str">
        <f>IFERROR(VLOOKUP(A1996,'[1]Sales Order'!A:I,9,FALSE),"Not Specified")</f>
        <v>Ship to 63-B</v>
      </c>
      <c r="P1996" t="str">
        <f>IFERROR(VLOOKUP(A1996,'[1]Sales Order'!A:N,14,FALSE),"Not Specified")</f>
        <v>Germany</v>
      </c>
      <c r="Q1996" t="str">
        <f>VLOOKUP(VLOOKUP(B1996,[1]Product!A:C,3,FALSE),[1]Supplier!A:B,2,FALSE)</f>
        <v>Supplier SWRXU</v>
      </c>
      <c r="R1996" t="str">
        <f>VLOOKUP(VLOOKUP(B1996,[1]Product!A:C,3,FALSE),[1]Supplier!A:I,9,FALSE)</f>
        <v>UK</v>
      </c>
      <c r="S1996" t="str">
        <f>IFERROR(IF(VLOOKUP(A1996,'[1]Sales Order'!A:H,8,FALSE)&gt;100,"High Freight","Low Freight"),"Not Specified")</f>
        <v>High Freight</v>
      </c>
      <c r="T1996">
        <f t="shared" si="63"/>
        <v>156.75</v>
      </c>
    </row>
    <row r="1997" spans="1:20">
      <c r="A1997" s="1">
        <v>11021</v>
      </c>
      <c r="B1997" s="2">
        <v>20</v>
      </c>
      <c r="C1997" s="2">
        <v>81</v>
      </c>
      <c r="D1997" s="2">
        <v>15</v>
      </c>
      <c r="E1997" s="3">
        <v>0</v>
      </c>
      <c r="F1997" s="2" t="str">
        <f>IFERROR(VLOOKUP(VLOOKUP(A1997,'[1]Sales Order'!A:B,2,FALSE),[1]Customer!A:C,3,FALSE),"Not Specified")</f>
        <v>Veronesi, Giorgio</v>
      </c>
      <c r="G1997" s="2" t="str">
        <f t="shared" si="62"/>
        <v>Veronesi Giorgio</v>
      </c>
      <c r="H1997" s="8" t="str">
        <f>IFERROR(VLOOKUP(VLOOKUP(A1997,'[1]Sales Order'!A:C,3,FALSE),[1]Employee!A:E,5,FALSE)&amp;" "&amp;VLOOKUP(VLOOKUP(A1997,'[1]Sales Order'!A:C,3,FALSE),[1]Employee!A:C,3,FALSE)&amp;" "&amp;VLOOKUP(VLOOKUP(A1997,'[1]Sales Order'!A:C,3,FALSE),[1]Employee!A:B,2,FALSE),"Not Specified")</f>
        <v>Ms. Judy Lew</v>
      </c>
      <c r="I1997" t="str">
        <f>IFERROR(VLOOKUP(VLOOKUP(A1997,'[1]Sales Order'!A:C,3,FALSE),[1]Employee!A:J,10,FALSE),"Not Specified")</f>
        <v>WA</v>
      </c>
      <c r="J1997" t="str">
        <f>VLOOKUP(B1997,[1]Product!A:B,2,FALSE)</f>
        <v>Product QHFFP</v>
      </c>
      <c r="K1997" t="str">
        <f>VLOOKUP(VLOOKUP(B1997,[1]Product!A:D,4,FALSE),[1]Category!A:B,2,FALSE)</f>
        <v>Confections</v>
      </c>
      <c r="L1997" s="10">
        <f>IFERROR(VLOOKUP(A1997,'[1]Sales Order'!A:D,4,FALSE),"")</f>
        <v>39552</v>
      </c>
      <c r="M1997" s="10">
        <f>IFERROR(VLOOKUP(A1997,'[1]Sales Order'!A:F,6,FALSE),"")</f>
        <v>39559</v>
      </c>
      <c r="N1997" t="str">
        <f>IFERROR(VLOOKUP(VLOOKUP(A1997,'[1]Sales Order'!A:G,7,FALSE),[1]Shipper!A:B,2,FALSE),"Not Specified")</f>
        <v>Shipper GVSUA</v>
      </c>
      <c r="O1997" t="str">
        <f>IFERROR(VLOOKUP(A1997,'[1]Sales Order'!A:I,9,FALSE),"Not Specified")</f>
        <v>Ship to 63-B</v>
      </c>
      <c r="P1997" t="str">
        <f>IFERROR(VLOOKUP(A1997,'[1]Sales Order'!A:N,14,FALSE),"Not Specified")</f>
        <v>Germany</v>
      </c>
      <c r="Q1997" t="str">
        <f>VLOOKUP(VLOOKUP(B1997,[1]Product!A:C,3,FALSE),[1]Supplier!A:B,2,FALSE)</f>
        <v>Supplier BWGYE</v>
      </c>
      <c r="R1997" t="str">
        <f>VLOOKUP(VLOOKUP(B1997,[1]Product!A:C,3,FALSE),[1]Supplier!A:I,9,FALSE)</f>
        <v>UK</v>
      </c>
      <c r="S1997" t="str">
        <f>IFERROR(IF(VLOOKUP(A1997,'[1]Sales Order'!A:H,8,FALSE)&gt;100,"High Freight","Low Freight"),"Not Specified")</f>
        <v>High Freight</v>
      </c>
      <c r="T1997">
        <f t="shared" si="63"/>
        <v>1215</v>
      </c>
    </row>
    <row r="1998" spans="1:20">
      <c r="A1998" s="1">
        <v>11021</v>
      </c>
      <c r="B1998" s="2">
        <v>26</v>
      </c>
      <c r="C1998" s="2">
        <v>31.23</v>
      </c>
      <c r="D1998" s="2">
        <v>63</v>
      </c>
      <c r="E1998" s="3">
        <v>0</v>
      </c>
      <c r="F1998" s="2" t="str">
        <f>IFERROR(VLOOKUP(VLOOKUP(A1998,'[1]Sales Order'!A:B,2,FALSE),[1]Customer!A:C,3,FALSE),"Not Specified")</f>
        <v>Veronesi, Giorgio</v>
      </c>
      <c r="G1998" s="2" t="str">
        <f t="shared" si="62"/>
        <v>Veronesi Giorgio</v>
      </c>
      <c r="H1998" s="8" t="str">
        <f>IFERROR(VLOOKUP(VLOOKUP(A1998,'[1]Sales Order'!A:C,3,FALSE),[1]Employee!A:E,5,FALSE)&amp;" "&amp;VLOOKUP(VLOOKUP(A1998,'[1]Sales Order'!A:C,3,FALSE),[1]Employee!A:C,3,FALSE)&amp;" "&amp;VLOOKUP(VLOOKUP(A1998,'[1]Sales Order'!A:C,3,FALSE),[1]Employee!A:B,2,FALSE),"Not Specified")</f>
        <v>Ms. Judy Lew</v>
      </c>
      <c r="I1998" t="str">
        <f>IFERROR(VLOOKUP(VLOOKUP(A1998,'[1]Sales Order'!A:C,3,FALSE),[1]Employee!A:J,10,FALSE),"Not Specified")</f>
        <v>WA</v>
      </c>
      <c r="J1998" t="str">
        <f>VLOOKUP(B1998,[1]Product!A:B,2,FALSE)</f>
        <v>Product HLGZA</v>
      </c>
      <c r="K1998" t="str">
        <f>VLOOKUP(VLOOKUP(B1998,[1]Product!A:D,4,FALSE),[1]Category!A:B,2,FALSE)</f>
        <v>Confections</v>
      </c>
      <c r="L1998" s="10">
        <f>IFERROR(VLOOKUP(A1998,'[1]Sales Order'!A:D,4,FALSE),"")</f>
        <v>39552</v>
      </c>
      <c r="M1998" s="10">
        <f>IFERROR(VLOOKUP(A1998,'[1]Sales Order'!A:F,6,FALSE),"")</f>
        <v>39559</v>
      </c>
      <c r="N1998" t="str">
        <f>IFERROR(VLOOKUP(VLOOKUP(A1998,'[1]Sales Order'!A:G,7,FALSE),[1]Shipper!A:B,2,FALSE),"Not Specified")</f>
        <v>Shipper GVSUA</v>
      </c>
      <c r="O1998" t="str">
        <f>IFERROR(VLOOKUP(A1998,'[1]Sales Order'!A:I,9,FALSE),"Not Specified")</f>
        <v>Ship to 63-B</v>
      </c>
      <c r="P1998" t="str">
        <f>IFERROR(VLOOKUP(A1998,'[1]Sales Order'!A:N,14,FALSE),"Not Specified")</f>
        <v>Germany</v>
      </c>
      <c r="Q1998" t="str">
        <f>VLOOKUP(VLOOKUP(B1998,[1]Product!A:C,3,FALSE),[1]Supplier!A:B,2,FALSE)</f>
        <v>Supplier ZPYVS</v>
      </c>
      <c r="R1998" t="str">
        <f>VLOOKUP(VLOOKUP(B1998,[1]Product!A:C,3,FALSE),[1]Supplier!A:I,9,FALSE)</f>
        <v>Germany</v>
      </c>
      <c r="S1998" t="str">
        <f>IFERROR(IF(VLOOKUP(A1998,'[1]Sales Order'!A:H,8,FALSE)&gt;100,"High Freight","Low Freight"),"Not Specified")</f>
        <v>High Freight</v>
      </c>
      <c r="T1998">
        <f t="shared" si="63"/>
        <v>1967.49</v>
      </c>
    </row>
    <row r="1999" spans="1:20">
      <c r="A1999" s="1">
        <v>11021</v>
      </c>
      <c r="B1999" s="2">
        <v>51</v>
      </c>
      <c r="C1999" s="2">
        <v>53</v>
      </c>
      <c r="D1999" s="2">
        <v>44</v>
      </c>
      <c r="E1999" s="3">
        <v>0.25</v>
      </c>
      <c r="F1999" s="2" t="str">
        <f>IFERROR(VLOOKUP(VLOOKUP(A1999,'[1]Sales Order'!A:B,2,FALSE),[1]Customer!A:C,3,FALSE),"Not Specified")</f>
        <v>Veronesi, Giorgio</v>
      </c>
      <c r="G1999" s="2" t="str">
        <f t="shared" si="62"/>
        <v>Veronesi Giorgio</v>
      </c>
      <c r="H1999" s="8" t="str">
        <f>IFERROR(VLOOKUP(VLOOKUP(A1999,'[1]Sales Order'!A:C,3,FALSE),[1]Employee!A:E,5,FALSE)&amp;" "&amp;VLOOKUP(VLOOKUP(A1999,'[1]Sales Order'!A:C,3,FALSE),[1]Employee!A:C,3,FALSE)&amp;" "&amp;VLOOKUP(VLOOKUP(A1999,'[1]Sales Order'!A:C,3,FALSE),[1]Employee!A:B,2,FALSE),"Not Specified")</f>
        <v>Ms. Judy Lew</v>
      </c>
      <c r="I1999" t="str">
        <f>IFERROR(VLOOKUP(VLOOKUP(A1999,'[1]Sales Order'!A:C,3,FALSE),[1]Employee!A:J,10,FALSE),"Not Specified")</f>
        <v>WA</v>
      </c>
      <c r="J1999" t="str">
        <f>VLOOKUP(B1999,[1]Product!A:B,2,FALSE)</f>
        <v>Product APITJ</v>
      </c>
      <c r="K1999" t="str">
        <f>VLOOKUP(VLOOKUP(B1999,[1]Product!A:D,4,FALSE),[1]Category!A:B,2,FALSE)</f>
        <v>Produce</v>
      </c>
      <c r="L1999" s="10">
        <f>IFERROR(VLOOKUP(A1999,'[1]Sales Order'!A:D,4,FALSE),"")</f>
        <v>39552</v>
      </c>
      <c r="M1999" s="10">
        <f>IFERROR(VLOOKUP(A1999,'[1]Sales Order'!A:F,6,FALSE),"")</f>
        <v>39559</v>
      </c>
      <c r="N1999" t="str">
        <f>IFERROR(VLOOKUP(VLOOKUP(A1999,'[1]Sales Order'!A:G,7,FALSE),[1]Shipper!A:B,2,FALSE),"Not Specified")</f>
        <v>Shipper GVSUA</v>
      </c>
      <c r="O1999" t="str">
        <f>IFERROR(VLOOKUP(A1999,'[1]Sales Order'!A:I,9,FALSE),"Not Specified")</f>
        <v>Ship to 63-B</v>
      </c>
      <c r="P1999" t="str">
        <f>IFERROR(VLOOKUP(A1999,'[1]Sales Order'!A:N,14,FALSE),"Not Specified")</f>
        <v>Germany</v>
      </c>
      <c r="Q1999" t="str">
        <f>VLOOKUP(VLOOKUP(B1999,[1]Product!A:C,3,FALSE),[1]Supplier!A:B,2,FALSE)</f>
        <v>Supplier JNNES</v>
      </c>
      <c r="R1999" t="str">
        <f>VLOOKUP(VLOOKUP(B1999,[1]Product!A:C,3,FALSE),[1]Supplier!A:I,9,FALSE)</f>
        <v>Australia</v>
      </c>
      <c r="S1999" t="str">
        <f>IFERROR(IF(VLOOKUP(A1999,'[1]Sales Order'!A:H,8,FALSE)&gt;100,"High Freight","Low Freight"),"Not Specified")</f>
        <v>High Freight</v>
      </c>
      <c r="T1999">
        <f t="shared" si="63"/>
        <v>1749</v>
      </c>
    </row>
    <row r="2000" spans="1:20">
      <c r="A2000" s="1">
        <v>11021</v>
      </c>
      <c r="B2000" s="2">
        <v>72</v>
      </c>
      <c r="C2000" s="2">
        <v>34.799999999999997</v>
      </c>
      <c r="D2000" s="2">
        <v>35</v>
      </c>
      <c r="E2000" s="3">
        <v>0</v>
      </c>
      <c r="F2000" s="2" t="str">
        <f>IFERROR(VLOOKUP(VLOOKUP(A2000,'[1]Sales Order'!A:B,2,FALSE),[1]Customer!A:C,3,FALSE),"Not Specified")</f>
        <v>Veronesi, Giorgio</v>
      </c>
      <c r="G2000" s="2" t="str">
        <f t="shared" si="62"/>
        <v>Veronesi Giorgio</v>
      </c>
      <c r="H2000" s="8" t="str">
        <f>IFERROR(VLOOKUP(VLOOKUP(A2000,'[1]Sales Order'!A:C,3,FALSE),[1]Employee!A:E,5,FALSE)&amp;" "&amp;VLOOKUP(VLOOKUP(A2000,'[1]Sales Order'!A:C,3,FALSE),[1]Employee!A:C,3,FALSE)&amp;" "&amp;VLOOKUP(VLOOKUP(A2000,'[1]Sales Order'!A:C,3,FALSE),[1]Employee!A:B,2,FALSE),"Not Specified")</f>
        <v>Ms. Judy Lew</v>
      </c>
      <c r="I2000" t="str">
        <f>IFERROR(VLOOKUP(VLOOKUP(A2000,'[1]Sales Order'!A:C,3,FALSE),[1]Employee!A:J,10,FALSE),"Not Specified")</f>
        <v>WA</v>
      </c>
      <c r="J2000" t="str">
        <f>VLOOKUP(B2000,[1]Product!A:B,2,FALSE)</f>
        <v>Product GEEOO</v>
      </c>
      <c r="K2000" t="str">
        <f>VLOOKUP(VLOOKUP(B2000,[1]Product!A:D,4,FALSE),[1]Category!A:B,2,FALSE)</f>
        <v>Dairy Product</v>
      </c>
      <c r="L2000" s="10">
        <f>IFERROR(VLOOKUP(A2000,'[1]Sales Order'!A:D,4,FALSE),"")</f>
        <v>39552</v>
      </c>
      <c r="M2000" s="10">
        <f>IFERROR(VLOOKUP(A2000,'[1]Sales Order'!A:F,6,FALSE),"")</f>
        <v>39559</v>
      </c>
      <c r="N2000" t="str">
        <f>IFERROR(VLOOKUP(VLOOKUP(A2000,'[1]Sales Order'!A:G,7,FALSE),[1]Shipper!A:B,2,FALSE),"Not Specified")</f>
        <v>Shipper GVSUA</v>
      </c>
      <c r="O2000" t="str">
        <f>IFERROR(VLOOKUP(A2000,'[1]Sales Order'!A:I,9,FALSE),"Not Specified")</f>
        <v>Ship to 63-B</v>
      </c>
      <c r="P2000" t="str">
        <f>IFERROR(VLOOKUP(A2000,'[1]Sales Order'!A:N,14,FALSE),"Not Specified")</f>
        <v>Germany</v>
      </c>
      <c r="Q2000" t="str">
        <f>VLOOKUP(VLOOKUP(B2000,[1]Product!A:C,3,FALSE),[1]Supplier!A:B,2,FALSE)</f>
        <v>Supplier KEREV</v>
      </c>
      <c r="R2000" t="str">
        <f>VLOOKUP(VLOOKUP(B2000,[1]Product!A:C,3,FALSE),[1]Supplier!A:I,9,FALSE)</f>
        <v>Italy</v>
      </c>
      <c r="S2000" t="str">
        <f>IFERROR(IF(VLOOKUP(A2000,'[1]Sales Order'!A:H,8,FALSE)&gt;100,"High Freight","Low Freight"),"Not Specified")</f>
        <v>High Freight</v>
      </c>
      <c r="T2000">
        <f t="shared" si="63"/>
        <v>1218</v>
      </c>
    </row>
    <row r="2001" spans="1:20">
      <c r="A2001" s="1">
        <v>11022</v>
      </c>
      <c r="B2001" s="2">
        <v>19</v>
      </c>
      <c r="C2001" s="2">
        <v>9.1999999999999993</v>
      </c>
      <c r="D2001" s="2">
        <v>35</v>
      </c>
      <c r="E2001" s="3">
        <v>0</v>
      </c>
      <c r="F2001" s="2" t="str">
        <f>IFERROR(VLOOKUP(VLOOKUP(A2001,'[1]Sales Order'!A:B,2,FALSE),[1]Customer!A:C,3,FALSE),"Not Specified")</f>
        <v>Cohen, Shy</v>
      </c>
      <c r="G2001" s="2" t="str">
        <f t="shared" si="62"/>
        <v>Cohen Shy</v>
      </c>
      <c r="H2001" s="8" t="str">
        <f>IFERROR(VLOOKUP(VLOOKUP(A2001,'[1]Sales Order'!A:C,3,FALSE),[1]Employee!A:E,5,FALSE)&amp;" "&amp;VLOOKUP(VLOOKUP(A2001,'[1]Sales Order'!A:C,3,FALSE),[1]Employee!A:C,3,FALSE)&amp;" "&amp;VLOOKUP(VLOOKUP(A2001,'[1]Sales Order'!A:C,3,FALSE),[1]Employee!A:B,2,FALSE),"Not Specified")</f>
        <v>Ms. Zoya Dolgopyatova</v>
      </c>
      <c r="I2001">
        <f>IFERROR(VLOOKUP(VLOOKUP(A2001,'[1]Sales Order'!A:C,3,FALSE),[1]Employee!A:J,10,FALSE),"Not Specified")</f>
        <v>0</v>
      </c>
      <c r="J2001" t="str">
        <f>VLOOKUP(B2001,[1]Product!A:B,2,FALSE)</f>
        <v>Product XKXDO</v>
      </c>
      <c r="K2001" t="str">
        <f>VLOOKUP(VLOOKUP(B2001,[1]Product!A:D,4,FALSE),[1]Category!A:B,2,FALSE)</f>
        <v>Confections</v>
      </c>
      <c r="L2001" s="10">
        <f>IFERROR(VLOOKUP(A2001,'[1]Sales Order'!A:D,4,FALSE),"")</f>
        <v>39552</v>
      </c>
      <c r="M2001" s="10">
        <f>IFERROR(VLOOKUP(A2001,'[1]Sales Order'!A:F,6,FALSE),"")</f>
        <v>39572</v>
      </c>
      <c r="N2001" t="str">
        <f>IFERROR(VLOOKUP(VLOOKUP(A2001,'[1]Sales Order'!A:G,7,FALSE),[1]Shipper!A:B,2,FALSE),"Not Specified")</f>
        <v>Shipper ETYNR</v>
      </c>
      <c r="O2001" t="str">
        <f>IFERROR(VLOOKUP(A2001,'[1]Sales Order'!A:I,9,FALSE),"Not Specified")</f>
        <v>Destination SCQXA</v>
      </c>
      <c r="P2001" t="str">
        <f>IFERROR(VLOOKUP(A2001,'[1]Sales Order'!A:N,14,FALSE),"Not Specified")</f>
        <v>Brazil</v>
      </c>
      <c r="Q2001" t="str">
        <f>VLOOKUP(VLOOKUP(B2001,[1]Product!A:C,3,FALSE),[1]Supplier!A:B,2,FALSE)</f>
        <v>Supplier BWGYE</v>
      </c>
      <c r="R2001" t="str">
        <f>VLOOKUP(VLOOKUP(B2001,[1]Product!A:C,3,FALSE),[1]Supplier!A:I,9,FALSE)</f>
        <v>UK</v>
      </c>
      <c r="S2001" t="str">
        <f>IFERROR(IF(VLOOKUP(A2001,'[1]Sales Order'!A:H,8,FALSE)&gt;100,"High Freight","Low Freight"),"Not Specified")</f>
        <v>Low Freight</v>
      </c>
      <c r="T2001">
        <f t="shared" si="63"/>
        <v>322</v>
      </c>
    </row>
    <row r="2002" spans="1:20">
      <c r="A2002" s="1">
        <v>11022</v>
      </c>
      <c r="B2002" s="2">
        <v>69</v>
      </c>
      <c r="C2002" s="2">
        <v>36</v>
      </c>
      <c r="D2002" s="2">
        <v>30</v>
      </c>
      <c r="E2002" s="3">
        <v>0</v>
      </c>
      <c r="F2002" s="2" t="str">
        <f>IFERROR(VLOOKUP(VLOOKUP(A2002,'[1]Sales Order'!A:B,2,FALSE),[1]Customer!A:C,3,FALSE),"Not Specified")</f>
        <v>Cohen, Shy</v>
      </c>
      <c r="G2002" s="2" t="str">
        <f t="shared" si="62"/>
        <v>Cohen Shy</v>
      </c>
      <c r="H2002" s="8" t="str">
        <f>IFERROR(VLOOKUP(VLOOKUP(A2002,'[1]Sales Order'!A:C,3,FALSE),[1]Employee!A:E,5,FALSE)&amp;" "&amp;VLOOKUP(VLOOKUP(A2002,'[1]Sales Order'!A:C,3,FALSE),[1]Employee!A:C,3,FALSE)&amp;" "&amp;VLOOKUP(VLOOKUP(A2002,'[1]Sales Order'!A:C,3,FALSE),[1]Employee!A:B,2,FALSE),"Not Specified")</f>
        <v>Ms. Zoya Dolgopyatova</v>
      </c>
      <c r="I2002">
        <f>IFERROR(VLOOKUP(VLOOKUP(A2002,'[1]Sales Order'!A:C,3,FALSE),[1]Employee!A:J,10,FALSE),"Not Specified")</f>
        <v>0</v>
      </c>
      <c r="J2002" t="str">
        <f>VLOOKUP(B2002,[1]Product!A:B,2,FALSE)</f>
        <v>Product COAXA</v>
      </c>
      <c r="K2002" t="str">
        <f>VLOOKUP(VLOOKUP(B2002,[1]Product!A:D,4,FALSE),[1]Category!A:B,2,FALSE)</f>
        <v>Dairy Product</v>
      </c>
      <c r="L2002" s="10">
        <f>IFERROR(VLOOKUP(A2002,'[1]Sales Order'!A:D,4,FALSE),"")</f>
        <v>39552</v>
      </c>
      <c r="M2002" s="10">
        <f>IFERROR(VLOOKUP(A2002,'[1]Sales Order'!A:F,6,FALSE),"")</f>
        <v>39572</v>
      </c>
      <c r="N2002" t="str">
        <f>IFERROR(VLOOKUP(VLOOKUP(A2002,'[1]Sales Order'!A:G,7,FALSE),[1]Shipper!A:B,2,FALSE),"Not Specified")</f>
        <v>Shipper ETYNR</v>
      </c>
      <c r="O2002" t="str">
        <f>IFERROR(VLOOKUP(A2002,'[1]Sales Order'!A:I,9,FALSE),"Not Specified")</f>
        <v>Destination SCQXA</v>
      </c>
      <c r="P2002" t="str">
        <f>IFERROR(VLOOKUP(A2002,'[1]Sales Order'!A:N,14,FALSE),"Not Specified")</f>
        <v>Brazil</v>
      </c>
      <c r="Q2002" t="str">
        <f>VLOOKUP(VLOOKUP(B2002,[1]Product!A:C,3,FALSE),[1]Supplier!A:B,2,FALSE)</f>
        <v>Supplier NZLIF</v>
      </c>
      <c r="R2002" t="str">
        <f>VLOOKUP(VLOOKUP(B2002,[1]Product!A:C,3,FALSE),[1]Supplier!A:I,9,FALSE)</f>
        <v>Norway</v>
      </c>
      <c r="S2002" t="str">
        <f>IFERROR(IF(VLOOKUP(A2002,'[1]Sales Order'!A:H,8,FALSE)&gt;100,"High Freight","Low Freight"),"Not Specified")</f>
        <v>Low Freight</v>
      </c>
      <c r="T2002">
        <f t="shared" si="63"/>
        <v>1080</v>
      </c>
    </row>
    <row r="2003" spans="1:20">
      <c r="A2003" s="1">
        <v>11023</v>
      </c>
      <c r="B2003" s="2">
        <v>7</v>
      </c>
      <c r="C2003" s="2">
        <v>30</v>
      </c>
      <c r="D2003" s="2">
        <v>4</v>
      </c>
      <c r="E2003" s="3">
        <v>0</v>
      </c>
      <c r="F2003" s="2" t="str">
        <f>IFERROR(VLOOKUP(VLOOKUP(A2003,'[1]Sales Order'!A:B,2,FALSE),[1]Customer!A:C,3,FALSE),"Not Specified")</f>
        <v>Jaffe, David</v>
      </c>
      <c r="G2003" s="2" t="str">
        <f t="shared" si="62"/>
        <v>Jaffe David</v>
      </c>
      <c r="H2003" s="8" t="str">
        <f>IFERROR(VLOOKUP(VLOOKUP(A2003,'[1]Sales Order'!A:C,3,FALSE),[1]Employee!A:E,5,FALSE)&amp;" "&amp;VLOOKUP(VLOOKUP(A2003,'[1]Sales Order'!A:C,3,FALSE),[1]Employee!A:C,3,FALSE)&amp;" "&amp;VLOOKUP(VLOOKUP(A2003,'[1]Sales Order'!A:C,3,FALSE),[1]Employee!A:B,2,FALSE),"Not Specified")</f>
        <v>Ms. Sara Davis</v>
      </c>
      <c r="I2003" t="str">
        <f>IFERROR(VLOOKUP(VLOOKUP(A2003,'[1]Sales Order'!A:C,3,FALSE),[1]Employee!A:J,10,FALSE),"Not Specified")</f>
        <v>WA</v>
      </c>
      <c r="J2003" t="str">
        <f>VLOOKUP(B2003,[1]Product!A:B,2,FALSE)</f>
        <v>Product HMLNI</v>
      </c>
      <c r="K2003" t="str">
        <f>VLOOKUP(VLOOKUP(B2003,[1]Product!A:D,4,FALSE),[1]Category!A:B,2,FALSE)</f>
        <v>Produce</v>
      </c>
      <c r="L2003" s="10">
        <f>IFERROR(VLOOKUP(A2003,'[1]Sales Order'!A:D,4,FALSE),"")</f>
        <v>39552</v>
      </c>
      <c r="M2003" s="10">
        <f>IFERROR(VLOOKUP(A2003,'[1]Sales Order'!A:F,6,FALSE),"")</f>
        <v>39562</v>
      </c>
      <c r="N2003" t="str">
        <f>IFERROR(VLOOKUP(VLOOKUP(A2003,'[1]Sales Order'!A:G,7,FALSE),[1]Shipper!A:B,2,FALSE),"Not Specified")</f>
        <v>Shipper ETYNR</v>
      </c>
      <c r="O2003" t="str">
        <f>IFERROR(VLOOKUP(A2003,'[1]Sales Order'!A:I,9,FALSE),"Not Specified")</f>
        <v>Destination NZASL</v>
      </c>
      <c r="P2003" t="str">
        <f>IFERROR(VLOOKUP(A2003,'[1]Sales Order'!A:N,14,FALSE),"Not Specified")</f>
        <v>UK</v>
      </c>
      <c r="Q2003" t="str">
        <f>VLOOKUP(VLOOKUP(B2003,[1]Product!A:C,3,FALSE),[1]Supplier!A:B,2,FALSE)</f>
        <v>Supplier STUAZ</v>
      </c>
      <c r="R2003" t="str">
        <f>VLOOKUP(VLOOKUP(B2003,[1]Product!A:C,3,FALSE),[1]Supplier!A:I,9,FALSE)</f>
        <v>USA</v>
      </c>
      <c r="S2003" t="str">
        <f>IFERROR(IF(VLOOKUP(A2003,'[1]Sales Order'!A:H,8,FALSE)&gt;100,"High Freight","Low Freight"),"Not Specified")</f>
        <v>High Freight</v>
      </c>
      <c r="T2003">
        <f t="shared" si="63"/>
        <v>120</v>
      </c>
    </row>
    <row r="2004" spans="1:20">
      <c r="A2004" s="1">
        <v>11023</v>
      </c>
      <c r="B2004" s="2">
        <v>43</v>
      </c>
      <c r="C2004" s="2">
        <v>46</v>
      </c>
      <c r="D2004" s="2">
        <v>30</v>
      </c>
      <c r="E2004" s="3">
        <v>0</v>
      </c>
      <c r="F2004" s="2" t="str">
        <f>IFERROR(VLOOKUP(VLOOKUP(A2004,'[1]Sales Order'!A:B,2,FALSE),[1]Customer!A:C,3,FALSE),"Not Specified")</f>
        <v>Jaffe, David</v>
      </c>
      <c r="G2004" s="2" t="str">
        <f t="shared" si="62"/>
        <v>Jaffe David</v>
      </c>
      <c r="H2004" s="8" t="str">
        <f>IFERROR(VLOOKUP(VLOOKUP(A2004,'[1]Sales Order'!A:C,3,FALSE),[1]Employee!A:E,5,FALSE)&amp;" "&amp;VLOOKUP(VLOOKUP(A2004,'[1]Sales Order'!A:C,3,FALSE),[1]Employee!A:C,3,FALSE)&amp;" "&amp;VLOOKUP(VLOOKUP(A2004,'[1]Sales Order'!A:C,3,FALSE),[1]Employee!A:B,2,FALSE),"Not Specified")</f>
        <v>Ms. Sara Davis</v>
      </c>
      <c r="I2004" t="str">
        <f>IFERROR(VLOOKUP(VLOOKUP(A2004,'[1]Sales Order'!A:C,3,FALSE),[1]Employee!A:J,10,FALSE),"Not Specified")</f>
        <v>WA</v>
      </c>
      <c r="J2004" t="str">
        <f>VLOOKUP(B2004,[1]Product!A:B,2,FALSE)</f>
        <v>Product ZZZHR</v>
      </c>
      <c r="K2004" t="str">
        <f>VLOOKUP(VLOOKUP(B2004,[1]Product!A:D,4,FALSE),[1]Category!A:B,2,FALSE)</f>
        <v>Beverages</v>
      </c>
      <c r="L2004" s="10">
        <f>IFERROR(VLOOKUP(A2004,'[1]Sales Order'!A:D,4,FALSE),"")</f>
        <v>39552</v>
      </c>
      <c r="M2004" s="10">
        <f>IFERROR(VLOOKUP(A2004,'[1]Sales Order'!A:F,6,FALSE),"")</f>
        <v>39562</v>
      </c>
      <c r="N2004" t="str">
        <f>IFERROR(VLOOKUP(VLOOKUP(A2004,'[1]Sales Order'!A:G,7,FALSE),[1]Shipper!A:B,2,FALSE),"Not Specified")</f>
        <v>Shipper ETYNR</v>
      </c>
      <c r="O2004" t="str">
        <f>IFERROR(VLOOKUP(A2004,'[1]Sales Order'!A:I,9,FALSE),"Not Specified")</f>
        <v>Destination NZASL</v>
      </c>
      <c r="P2004" t="str">
        <f>IFERROR(VLOOKUP(A2004,'[1]Sales Order'!A:N,14,FALSE),"Not Specified")</f>
        <v>UK</v>
      </c>
      <c r="Q2004" t="str">
        <f>VLOOKUP(VLOOKUP(B2004,[1]Product!A:C,3,FALSE),[1]Supplier!A:B,2,FALSE)</f>
        <v>Supplier CIYNM</v>
      </c>
      <c r="R2004" t="str">
        <f>VLOOKUP(VLOOKUP(B2004,[1]Product!A:C,3,FALSE),[1]Supplier!A:I,9,FALSE)</f>
        <v>Singapore</v>
      </c>
      <c r="S2004" t="str">
        <f>IFERROR(IF(VLOOKUP(A2004,'[1]Sales Order'!A:H,8,FALSE)&gt;100,"High Freight","Low Freight"),"Not Specified")</f>
        <v>High Freight</v>
      </c>
      <c r="T2004">
        <f t="shared" si="63"/>
        <v>1380</v>
      </c>
    </row>
    <row r="2005" spans="1:20">
      <c r="A2005" s="1">
        <v>11024</v>
      </c>
      <c r="B2005" s="2">
        <v>26</v>
      </c>
      <c r="C2005" s="2">
        <v>31.23</v>
      </c>
      <c r="D2005" s="2">
        <v>12</v>
      </c>
      <c r="E2005" s="3">
        <v>0</v>
      </c>
      <c r="F2005" s="2" t="str">
        <f>IFERROR(VLOOKUP(VLOOKUP(A2005,'[1]Sales Order'!A:B,2,FALSE),[1]Customer!A:C,3,FALSE),"Not Specified")</f>
        <v>Boseman, Randall</v>
      </c>
      <c r="G2005" s="2" t="str">
        <f t="shared" si="62"/>
        <v>Boseman Randall</v>
      </c>
      <c r="H2005" s="8" t="str">
        <f>IFERROR(VLOOKUP(VLOOKUP(A2005,'[1]Sales Order'!A:C,3,FALSE),[1]Employee!A:E,5,FALSE)&amp;" "&amp;VLOOKUP(VLOOKUP(A2005,'[1]Sales Order'!A:C,3,FALSE),[1]Employee!A:C,3,FALSE)&amp;" "&amp;VLOOKUP(VLOOKUP(A2005,'[1]Sales Order'!A:C,3,FALSE),[1]Employee!A:B,2,FALSE),"Not Specified")</f>
        <v>Mrs. Yael Peled</v>
      </c>
      <c r="I2005" t="str">
        <f>IFERROR(VLOOKUP(VLOOKUP(A2005,'[1]Sales Order'!A:C,3,FALSE),[1]Employee!A:J,10,FALSE),"Not Specified")</f>
        <v>WA</v>
      </c>
      <c r="J2005" t="str">
        <f>VLOOKUP(B2005,[1]Product!A:B,2,FALSE)</f>
        <v>Product HLGZA</v>
      </c>
      <c r="K2005" t="str">
        <f>VLOOKUP(VLOOKUP(B2005,[1]Product!A:D,4,FALSE),[1]Category!A:B,2,FALSE)</f>
        <v>Confections</v>
      </c>
      <c r="L2005" s="10">
        <f>IFERROR(VLOOKUP(A2005,'[1]Sales Order'!A:D,4,FALSE),"")</f>
        <v>39553</v>
      </c>
      <c r="M2005" s="10">
        <f>IFERROR(VLOOKUP(A2005,'[1]Sales Order'!A:F,6,FALSE),"")</f>
        <v>39558</v>
      </c>
      <c r="N2005" t="str">
        <f>IFERROR(VLOOKUP(VLOOKUP(A2005,'[1]Sales Order'!A:G,7,FALSE),[1]Shipper!A:B,2,FALSE),"Not Specified")</f>
        <v>Shipper GVSUA</v>
      </c>
      <c r="O2005" t="str">
        <f>IFERROR(VLOOKUP(A2005,'[1]Sales Order'!A:I,9,FALSE),"Not Specified")</f>
        <v>Destination BBMRT</v>
      </c>
      <c r="P2005" t="str">
        <f>IFERROR(VLOOKUP(A2005,'[1]Sales Order'!A:N,14,FALSE),"Not Specified")</f>
        <v>UK</v>
      </c>
      <c r="Q2005" t="str">
        <f>VLOOKUP(VLOOKUP(B2005,[1]Product!A:C,3,FALSE),[1]Supplier!A:B,2,FALSE)</f>
        <v>Supplier ZPYVS</v>
      </c>
      <c r="R2005" t="str">
        <f>VLOOKUP(VLOOKUP(B2005,[1]Product!A:C,3,FALSE),[1]Supplier!A:I,9,FALSE)</f>
        <v>Germany</v>
      </c>
      <c r="S2005" t="str">
        <f>IFERROR(IF(VLOOKUP(A2005,'[1]Sales Order'!A:H,8,FALSE)&gt;100,"High Freight","Low Freight"),"Not Specified")</f>
        <v>Low Freight</v>
      </c>
      <c r="T2005">
        <f t="shared" si="63"/>
        <v>374.76</v>
      </c>
    </row>
    <row r="2006" spans="1:20">
      <c r="A2006" s="1">
        <v>11024</v>
      </c>
      <c r="B2006" s="2">
        <v>33</v>
      </c>
      <c r="C2006" s="2">
        <v>2.5</v>
      </c>
      <c r="D2006" s="2">
        <v>30</v>
      </c>
      <c r="E2006" s="3">
        <v>0</v>
      </c>
      <c r="F2006" s="2" t="str">
        <f>IFERROR(VLOOKUP(VLOOKUP(A2006,'[1]Sales Order'!A:B,2,FALSE),[1]Customer!A:C,3,FALSE),"Not Specified")</f>
        <v>Boseman, Randall</v>
      </c>
      <c r="G2006" s="2" t="str">
        <f t="shared" si="62"/>
        <v>Boseman Randall</v>
      </c>
      <c r="H2006" s="8" t="str">
        <f>IFERROR(VLOOKUP(VLOOKUP(A2006,'[1]Sales Order'!A:C,3,FALSE),[1]Employee!A:E,5,FALSE)&amp;" "&amp;VLOOKUP(VLOOKUP(A2006,'[1]Sales Order'!A:C,3,FALSE),[1]Employee!A:C,3,FALSE)&amp;" "&amp;VLOOKUP(VLOOKUP(A2006,'[1]Sales Order'!A:C,3,FALSE),[1]Employee!A:B,2,FALSE),"Not Specified")</f>
        <v>Mrs. Yael Peled</v>
      </c>
      <c r="I2006" t="str">
        <f>IFERROR(VLOOKUP(VLOOKUP(A2006,'[1]Sales Order'!A:C,3,FALSE),[1]Employee!A:J,10,FALSE),"Not Specified")</f>
        <v>WA</v>
      </c>
      <c r="J2006" t="str">
        <f>VLOOKUP(B2006,[1]Product!A:B,2,FALSE)</f>
        <v>Product ASTMN</v>
      </c>
      <c r="K2006" t="str">
        <f>VLOOKUP(VLOOKUP(B2006,[1]Product!A:D,4,FALSE),[1]Category!A:B,2,FALSE)</f>
        <v>Dairy Product</v>
      </c>
      <c r="L2006" s="10">
        <f>IFERROR(VLOOKUP(A2006,'[1]Sales Order'!A:D,4,FALSE),"")</f>
        <v>39553</v>
      </c>
      <c r="M2006" s="10">
        <f>IFERROR(VLOOKUP(A2006,'[1]Sales Order'!A:F,6,FALSE),"")</f>
        <v>39558</v>
      </c>
      <c r="N2006" t="str">
        <f>IFERROR(VLOOKUP(VLOOKUP(A2006,'[1]Sales Order'!A:G,7,FALSE),[1]Shipper!A:B,2,FALSE),"Not Specified")</f>
        <v>Shipper GVSUA</v>
      </c>
      <c r="O2006" t="str">
        <f>IFERROR(VLOOKUP(A2006,'[1]Sales Order'!A:I,9,FALSE),"Not Specified")</f>
        <v>Destination BBMRT</v>
      </c>
      <c r="P2006" t="str">
        <f>IFERROR(VLOOKUP(A2006,'[1]Sales Order'!A:N,14,FALSE),"Not Specified")</f>
        <v>UK</v>
      </c>
      <c r="Q2006" t="str">
        <f>VLOOKUP(VLOOKUP(B2006,[1]Product!A:C,3,FALSE),[1]Supplier!A:B,2,FALSE)</f>
        <v>Supplier NZLIF</v>
      </c>
      <c r="R2006" t="str">
        <f>VLOOKUP(VLOOKUP(B2006,[1]Product!A:C,3,FALSE),[1]Supplier!A:I,9,FALSE)</f>
        <v>Norway</v>
      </c>
      <c r="S2006" t="str">
        <f>IFERROR(IF(VLOOKUP(A2006,'[1]Sales Order'!A:H,8,FALSE)&gt;100,"High Freight","Low Freight"),"Not Specified")</f>
        <v>Low Freight</v>
      </c>
      <c r="T2006">
        <f t="shared" si="63"/>
        <v>75</v>
      </c>
    </row>
    <row r="2007" spans="1:20">
      <c r="A2007" s="1">
        <v>11024</v>
      </c>
      <c r="B2007" s="2">
        <v>65</v>
      </c>
      <c r="C2007" s="2">
        <v>21.05</v>
      </c>
      <c r="D2007" s="2">
        <v>21</v>
      </c>
      <c r="E2007" s="3">
        <v>0</v>
      </c>
      <c r="F2007" s="2" t="str">
        <f>IFERROR(VLOOKUP(VLOOKUP(A2007,'[1]Sales Order'!A:B,2,FALSE),[1]Customer!A:C,3,FALSE),"Not Specified")</f>
        <v>Boseman, Randall</v>
      </c>
      <c r="G2007" s="2" t="str">
        <f t="shared" si="62"/>
        <v>Boseman Randall</v>
      </c>
      <c r="H2007" s="8" t="str">
        <f>IFERROR(VLOOKUP(VLOOKUP(A2007,'[1]Sales Order'!A:C,3,FALSE),[1]Employee!A:E,5,FALSE)&amp;" "&amp;VLOOKUP(VLOOKUP(A2007,'[1]Sales Order'!A:C,3,FALSE),[1]Employee!A:C,3,FALSE)&amp;" "&amp;VLOOKUP(VLOOKUP(A2007,'[1]Sales Order'!A:C,3,FALSE),[1]Employee!A:B,2,FALSE),"Not Specified")</f>
        <v>Mrs. Yael Peled</v>
      </c>
      <c r="I2007" t="str">
        <f>IFERROR(VLOOKUP(VLOOKUP(A2007,'[1]Sales Order'!A:C,3,FALSE),[1]Employee!A:J,10,FALSE),"Not Specified")</f>
        <v>WA</v>
      </c>
      <c r="J2007" t="str">
        <f>VLOOKUP(B2007,[1]Product!A:B,2,FALSE)</f>
        <v>Product XYWBZ</v>
      </c>
      <c r="K2007" t="str">
        <f>VLOOKUP(VLOOKUP(B2007,[1]Product!A:D,4,FALSE),[1]Category!A:B,2,FALSE)</f>
        <v>Condiments</v>
      </c>
      <c r="L2007" s="10">
        <f>IFERROR(VLOOKUP(A2007,'[1]Sales Order'!A:D,4,FALSE),"")</f>
        <v>39553</v>
      </c>
      <c r="M2007" s="10">
        <f>IFERROR(VLOOKUP(A2007,'[1]Sales Order'!A:F,6,FALSE),"")</f>
        <v>39558</v>
      </c>
      <c r="N2007" t="str">
        <f>IFERROR(VLOOKUP(VLOOKUP(A2007,'[1]Sales Order'!A:G,7,FALSE),[1]Shipper!A:B,2,FALSE),"Not Specified")</f>
        <v>Shipper GVSUA</v>
      </c>
      <c r="O2007" t="str">
        <f>IFERROR(VLOOKUP(A2007,'[1]Sales Order'!A:I,9,FALSE),"Not Specified")</f>
        <v>Destination BBMRT</v>
      </c>
      <c r="P2007" t="str">
        <f>IFERROR(VLOOKUP(A2007,'[1]Sales Order'!A:N,14,FALSE),"Not Specified")</f>
        <v>UK</v>
      </c>
      <c r="Q2007" t="str">
        <f>VLOOKUP(VLOOKUP(B2007,[1]Product!A:C,3,FALSE),[1]Supplier!A:B,2,FALSE)</f>
        <v>Supplier VHQZD</v>
      </c>
      <c r="R2007" t="str">
        <f>VLOOKUP(VLOOKUP(B2007,[1]Product!A:C,3,FALSE),[1]Supplier!A:I,9,FALSE)</f>
        <v>USA</v>
      </c>
      <c r="S2007" t="str">
        <f>IFERROR(IF(VLOOKUP(A2007,'[1]Sales Order'!A:H,8,FALSE)&gt;100,"High Freight","Low Freight"),"Not Specified")</f>
        <v>Low Freight</v>
      </c>
      <c r="T2007">
        <f t="shared" si="63"/>
        <v>442.05</v>
      </c>
    </row>
    <row r="2008" spans="1:20">
      <c r="A2008" s="1">
        <v>11024</v>
      </c>
      <c r="B2008" s="2">
        <v>71</v>
      </c>
      <c r="C2008" s="2">
        <v>21.5</v>
      </c>
      <c r="D2008" s="2">
        <v>50</v>
      </c>
      <c r="E2008" s="3">
        <v>0</v>
      </c>
      <c r="F2008" s="2" t="str">
        <f>IFERROR(VLOOKUP(VLOOKUP(A2008,'[1]Sales Order'!A:B,2,FALSE),[1]Customer!A:C,3,FALSE),"Not Specified")</f>
        <v>Boseman, Randall</v>
      </c>
      <c r="G2008" s="2" t="str">
        <f t="shared" si="62"/>
        <v>Boseman Randall</v>
      </c>
      <c r="H2008" s="8" t="str">
        <f>IFERROR(VLOOKUP(VLOOKUP(A2008,'[1]Sales Order'!A:C,3,FALSE),[1]Employee!A:E,5,FALSE)&amp;" "&amp;VLOOKUP(VLOOKUP(A2008,'[1]Sales Order'!A:C,3,FALSE),[1]Employee!A:C,3,FALSE)&amp;" "&amp;VLOOKUP(VLOOKUP(A2008,'[1]Sales Order'!A:C,3,FALSE),[1]Employee!A:B,2,FALSE),"Not Specified")</f>
        <v>Mrs. Yael Peled</v>
      </c>
      <c r="I2008" t="str">
        <f>IFERROR(VLOOKUP(VLOOKUP(A2008,'[1]Sales Order'!A:C,3,FALSE),[1]Employee!A:J,10,FALSE),"Not Specified")</f>
        <v>WA</v>
      </c>
      <c r="J2008" t="str">
        <f>VLOOKUP(B2008,[1]Product!A:B,2,FALSE)</f>
        <v>Product MYMOI</v>
      </c>
      <c r="K2008" t="str">
        <f>VLOOKUP(VLOOKUP(B2008,[1]Product!A:D,4,FALSE),[1]Category!A:B,2,FALSE)</f>
        <v>Dairy Product</v>
      </c>
      <c r="L2008" s="10">
        <f>IFERROR(VLOOKUP(A2008,'[1]Sales Order'!A:D,4,FALSE),"")</f>
        <v>39553</v>
      </c>
      <c r="M2008" s="10">
        <f>IFERROR(VLOOKUP(A2008,'[1]Sales Order'!A:F,6,FALSE),"")</f>
        <v>39558</v>
      </c>
      <c r="N2008" t="str">
        <f>IFERROR(VLOOKUP(VLOOKUP(A2008,'[1]Sales Order'!A:G,7,FALSE),[1]Shipper!A:B,2,FALSE),"Not Specified")</f>
        <v>Shipper GVSUA</v>
      </c>
      <c r="O2008" t="str">
        <f>IFERROR(VLOOKUP(A2008,'[1]Sales Order'!A:I,9,FALSE),"Not Specified")</f>
        <v>Destination BBMRT</v>
      </c>
      <c r="P2008" t="str">
        <f>IFERROR(VLOOKUP(A2008,'[1]Sales Order'!A:N,14,FALSE),"Not Specified")</f>
        <v>UK</v>
      </c>
      <c r="Q2008" t="str">
        <f>VLOOKUP(VLOOKUP(B2008,[1]Product!A:C,3,FALSE),[1]Supplier!A:B,2,FALSE)</f>
        <v>Supplier NZLIF</v>
      </c>
      <c r="R2008" t="str">
        <f>VLOOKUP(VLOOKUP(B2008,[1]Product!A:C,3,FALSE),[1]Supplier!A:I,9,FALSE)</f>
        <v>Norway</v>
      </c>
      <c r="S2008" t="str">
        <f>IFERROR(IF(VLOOKUP(A2008,'[1]Sales Order'!A:H,8,FALSE)&gt;100,"High Freight","Low Freight"),"Not Specified")</f>
        <v>Low Freight</v>
      </c>
      <c r="T2008">
        <f t="shared" si="63"/>
        <v>1075</v>
      </c>
    </row>
    <row r="2009" spans="1:20">
      <c r="A2009" s="1">
        <v>11025</v>
      </c>
      <c r="B2009" s="2">
        <v>1</v>
      </c>
      <c r="C2009" s="2">
        <v>18</v>
      </c>
      <c r="D2009" s="2">
        <v>10</v>
      </c>
      <c r="E2009" s="3">
        <v>0.1</v>
      </c>
      <c r="F2009" s="2" t="str">
        <f>IFERROR(VLOOKUP(VLOOKUP(A2009,'[1]Sales Order'!A:B,2,FALSE),[1]Customer!A:C,3,FALSE),"Not Specified")</f>
        <v>Ludwig, Michael</v>
      </c>
      <c r="G2009" s="2" t="str">
        <f t="shared" si="62"/>
        <v>Ludwig Michael</v>
      </c>
      <c r="H2009" s="8" t="str">
        <f>IFERROR(VLOOKUP(VLOOKUP(A2009,'[1]Sales Order'!A:C,3,FALSE),[1]Employee!A:E,5,FALSE)&amp;" "&amp;VLOOKUP(VLOOKUP(A2009,'[1]Sales Order'!A:C,3,FALSE),[1]Employee!A:C,3,FALSE)&amp;" "&amp;VLOOKUP(VLOOKUP(A2009,'[1]Sales Order'!A:C,3,FALSE),[1]Employee!A:B,2,FALSE),"Not Specified")</f>
        <v>Mr. Paul Suurs</v>
      </c>
      <c r="I2009">
        <f>IFERROR(VLOOKUP(VLOOKUP(A2009,'[1]Sales Order'!A:C,3,FALSE),[1]Employee!A:J,10,FALSE),"Not Specified")</f>
        <v>0</v>
      </c>
      <c r="J2009" t="str">
        <f>VLOOKUP(B2009,[1]Product!A:B,2,FALSE)</f>
        <v>Product HHYDP</v>
      </c>
      <c r="K2009" t="str">
        <f>VLOOKUP(VLOOKUP(B2009,[1]Product!A:D,4,FALSE),[1]Category!A:B,2,FALSE)</f>
        <v>Beverages</v>
      </c>
      <c r="L2009" s="10">
        <f>IFERROR(VLOOKUP(A2009,'[1]Sales Order'!A:D,4,FALSE),"")</f>
        <v>39553</v>
      </c>
      <c r="M2009" s="10">
        <f>IFERROR(VLOOKUP(A2009,'[1]Sales Order'!A:F,6,FALSE),"")</f>
        <v>39562</v>
      </c>
      <c r="N2009" t="str">
        <f>IFERROR(VLOOKUP(VLOOKUP(A2009,'[1]Sales Order'!A:G,7,FALSE),[1]Shipper!A:B,2,FALSE),"Not Specified")</f>
        <v>Shipper ZHISN</v>
      </c>
      <c r="O2009" t="str">
        <f>IFERROR(VLOOKUP(A2009,'[1]Sales Order'!A:I,9,FALSE),"Not Specified")</f>
        <v>Ship to 87-C</v>
      </c>
      <c r="P2009" t="str">
        <f>IFERROR(VLOOKUP(A2009,'[1]Sales Order'!A:N,14,FALSE),"Not Specified")</f>
        <v>Finland</v>
      </c>
      <c r="Q2009" t="str">
        <f>VLOOKUP(VLOOKUP(B2009,[1]Product!A:C,3,FALSE),[1]Supplier!A:B,2,FALSE)</f>
        <v>Supplier SWRXU</v>
      </c>
      <c r="R2009" t="str">
        <f>VLOOKUP(VLOOKUP(B2009,[1]Product!A:C,3,FALSE),[1]Supplier!A:I,9,FALSE)</f>
        <v>UK</v>
      </c>
      <c r="S2009" t="str">
        <f>IFERROR(IF(VLOOKUP(A2009,'[1]Sales Order'!A:H,8,FALSE)&gt;100,"High Freight","Low Freight"),"Not Specified")</f>
        <v>Low Freight</v>
      </c>
      <c r="T2009">
        <f t="shared" si="63"/>
        <v>162</v>
      </c>
    </row>
    <row r="2010" spans="1:20">
      <c r="A2010" s="1">
        <v>11025</v>
      </c>
      <c r="B2010" s="2">
        <v>13</v>
      </c>
      <c r="C2010" s="2">
        <v>6</v>
      </c>
      <c r="D2010" s="2">
        <v>20</v>
      </c>
      <c r="E2010" s="3">
        <v>0.1</v>
      </c>
      <c r="F2010" s="2" t="str">
        <f>IFERROR(VLOOKUP(VLOOKUP(A2010,'[1]Sales Order'!A:B,2,FALSE),[1]Customer!A:C,3,FALSE),"Not Specified")</f>
        <v>Ludwig, Michael</v>
      </c>
      <c r="G2010" s="2" t="str">
        <f t="shared" si="62"/>
        <v>Ludwig Michael</v>
      </c>
      <c r="H2010" s="8" t="str">
        <f>IFERROR(VLOOKUP(VLOOKUP(A2010,'[1]Sales Order'!A:C,3,FALSE),[1]Employee!A:E,5,FALSE)&amp;" "&amp;VLOOKUP(VLOOKUP(A2010,'[1]Sales Order'!A:C,3,FALSE),[1]Employee!A:C,3,FALSE)&amp;" "&amp;VLOOKUP(VLOOKUP(A2010,'[1]Sales Order'!A:C,3,FALSE),[1]Employee!A:B,2,FALSE),"Not Specified")</f>
        <v>Mr. Paul Suurs</v>
      </c>
      <c r="I2010">
        <f>IFERROR(VLOOKUP(VLOOKUP(A2010,'[1]Sales Order'!A:C,3,FALSE),[1]Employee!A:J,10,FALSE),"Not Specified")</f>
        <v>0</v>
      </c>
      <c r="J2010" t="str">
        <f>VLOOKUP(B2010,[1]Product!A:B,2,FALSE)</f>
        <v>Product POXFU</v>
      </c>
      <c r="K2010" t="str">
        <f>VLOOKUP(VLOOKUP(B2010,[1]Product!A:D,4,FALSE),[1]Category!A:B,2,FALSE)</f>
        <v>Seafood</v>
      </c>
      <c r="L2010" s="10">
        <f>IFERROR(VLOOKUP(A2010,'[1]Sales Order'!A:D,4,FALSE),"")</f>
        <v>39553</v>
      </c>
      <c r="M2010" s="10">
        <f>IFERROR(VLOOKUP(A2010,'[1]Sales Order'!A:F,6,FALSE),"")</f>
        <v>39562</v>
      </c>
      <c r="N2010" t="str">
        <f>IFERROR(VLOOKUP(VLOOKUP(A2010,'[1]Sales Order'!A:G,7,FALSE),[1]Shipper!A:B,2,FALSE),"Not Specified")</f>
        <v>Shipper ZHISN</v>
      </c>
      <c r="O2010" t="str">
        <f>IFERROR(VLOOKUP(A2010,'[1]Sales Order'!A:I,9,FALSE),"Not Specified")</f>
        <v>Ship to 87-C</v>
      </c>
      <c r="P2010" t="str">
        <f>IFERROR(VLOOKUP(A2010,'[1]Sales Order'!A:N,14,FALSE),"Not Specified")</f>
        <v>Finland</v>
      </c>
      <c r="Q2010" t="str">
        <f>VLOOKUP(VLOOKUP(B2010,[1]Product!A:C,3,FALSE),[1]Supplier!A:B,2,FALSE)</f>
        <v>Supplier QWUSF</v>
      </c>
      <c r="R2010" t="str">
        <f>VLOOKUP(VLOOKUP(B2010,[1]Product!A:C,3,FALSE),[1]Supplier!A:I,9,FALSE)</f>
        <v>Japan</v>
      </c>
      <c r="S2010" t="str">
        <f>IFERROR(IF(VLOOKUP(A2010,'[1]Sales Order'!A:H,8,FALSE)&gt;100,"High Freight","Low Freight"),"Not Specified")</f>
        <v>Low Freight</v>
      </c>
      <c r="T2010">
        <f t="shared" si="63"/>
        <v>108</v>
      </c>
    </row>
    <row r="2011" spans="1:20">
      <c r="A2011" s="1">
        <v>11026</v>
      </c>
      <c r="B2011" s="2">
        <v>18</v>
      </c>
      <c r="C2011" s="2">
        <v>62.5</v>
      </c>
      <c r="D2011" s="2">
        <v>8</v>
      </c>
      <c r="E2011" s="3">
        <v>0</v>
      </c>
      <c r="F2011" s="2" t="str">
        <f>IFERROR(VLOOKUP(VLOOKUP(A2011,'[1]Sales Order'!A:B,2,FALSE),[1]Customer!A:C,3,FALSE),"Not Specified")</f>
        <v>Schmöllerl, Martin</v>
      </c>
      <c r="G2011" s="2" t="str">
        <f t="shared" si="62"/>
        <v>Schmöllerl Martin</v>
      </c>
      <c r="H2011" s="8" t="str">
        <f>IFERROR(VLOOKUP(VLOOKUP(A2011,'[1]Sales Order'!A:C,3,FALSE),[1]Employee!A:E,5,FALSE)&amp;" "&amp;VLOOKUP(VLOOKUP(A2011,'[1]Sales Order'!A:C,3,FALSE),[1]Employee!A:C,3,FALSE)&amp;" "&amp;VLOOKUP(VLOOKUP(A2011,'[1]Sales Order'!A:C,3,FALSE),[1]Employee!A:B,2,FALSE),"Not Specified")</f>
        <v>Mrs. Yael Peled</v>
      </c>
      <c r="I2011" t="str">
        <f>IFERROR(VLOOKUP(VLOOKUP(A2011,'[1]Sales Order'!A:C,3,FALSE),[1]Employee!A:J,10,FALSE),"Not Specified")</f>
        <v>WA</v>
      </c>
      <c r="J2011" t="str">
        <f>VLOOKUP(B2011,[1]Product!A:B,2,FALSE)</f>
        <v>Product CKEDC</v>
      </c>
      <c r="K2011" t="str">
        <f>VLOOKUP(VLOOKUP(B2011,[1]Product!A:D,4,FALSE),[1]Category!A:B,2,FALSE)</f>
        <v>Seafood</v>
      </c>
      <c r="L2011" s="10">
        <f>IFERROR(VLOOKUP(A2011,'[1]Sales Order'!A:D,4,FALSE),"")</f>
        <v>39553</v>
      </c>
      <c r="M2011" s="10">
        <f>IFERROR(VLOOKUP(A2011,'[1]Sales Order'!A:F,6,FALSE),"")</f>
        <v>39566</v>
      </c>
      <c r="N2011" t="str">
        <f>IFERROR(VLOOKUP(VLOOKUP(A2011,'[1]Sales Order'!A:G,7,FALSE),[1]Shipper!A:B,2,FALSE),"Not Specified")</f>
        <v>Shipper GVSUA</v>
      </c>
      <c r="O2011" t="str">
        <f>IFERROR(VLOOKUP(A2011,'[1]Sales Order'!A:I,9,FALSE),"Not Specified")</f>
        <v>Destination DICGM</v>
      </c>
      <c r="P2011" t="str">
        <f>IFERROR(VLOOKUP(A2011,'[1]Sales Order'!A:N,14,FALSE),"Not Specified")</f>
        <v>Italy</v>
      </c>
      <c r="Q2011" t="str">
        <f>VLOOKUP(VLOOKUP(B2011,[1]Product!A:C,3,FALSE),[1]Supplier!A:B,2,FALSE)</f>
        <v>Supplier GQRCV</v>
      </c>
      <c r="R2011" t="str">
        <f>VLOOKUP(VLOOKUP(B2011,[1]Product!A:C,3,FALSE),[1]Supplier!A:I,9,FALSE)</f>
        <v>Australia</v>
      </c>
      <c r="S2011" t="str">
        <f>IFERROR(IF(VLOOKUP(A2011,'[1]Sales Order'!A:H,8,FALSE)&gt;100,"High Freight","Low Freight"),"Not Specified")</f>
        <v>Low Freight</v>
      </c>
      <c r="T2011">
        <f t="shared" si="63"/>
        <v>500</v>
      </c>
    </row>
    <row r="2012" spans="1:20">
      <c r="A2012" s="1">
        <v>11026</v>
      </c>
      <c r="B2012" s="2">
        <v>51</v>
      </c>
      <c r="C2012" s="2">
        <v>53</v>
      </c>
      <c r="D2012" s="2">
        <v>10</v>
      </c>
      <c r="E2012" s="3">
        <v>0</v>
      </c>
      <c r="F2012" s="2" t="str">
        <f>IFERROR(VLOOKUP(VLOOKUP(A2012,'[1]Sales Order'!A:B,2,FALSE),[1]Customer!A:C,3,FALSE),"Not Specified")</f>
        <v>Schmöllerl, Martin</v>
      </c>
      <c r="G2012" s="2" t="str">
        <f t="shared" si="62"/>
        <v>Schmöllerl Martin</v>
      </c>
      <c r="H2012" s="8" t="str">
        <f>IFERROR(VLOOKUP(VLOOKUP(A2012,'[1]Sales Order'!A:C,3,FALSE),[1]Employee!A:E,5,FALSE)&amp;" "&amp;VLOOKUP(VLOOKUP(A2012,'[1]Sales Order'!A:C,3,FALSE),[1]Employee!A:C,3,FALSE)&amp;" "&amp;VLOOKUP(VLOOKUP(A2012,'[1]Sales Order'!A:C,3,FALSE),[1]Employee!A:B,2,FALSE),"Not Specified")</f>
        <v>Mrs. Yael Peled</v>
      </c>
      <c r="I2012" t="str">
        <f>IFERROR(VLOOKUP(VLOOKUP(A2012,'[1]Sales Order'!A:C,3,FALSE),[1]Employee!A:J,10,FALSE),"Not Specified")</f>
        <v>WA</v>
      </c>
      <c r="J2012" t="str">
        <f>VLOOKUP(B2012,[1]Product!A:B,2,FALSE)</f>
        <v>Product APITJ</v>
      </c>
      <c r="K2012" t="str">
        <f>VLOOKUP(VLOOKUP(B2012,[1]Product!A:D,4,FALSE),[1]Category!A:B,2,FALSE)</f>
        <v>Produce</v>
      </c>
      <c r="L2012" s="10">
        <f>IFERROR(VLOOKUP(A2012,'[1]Sales Order'!A:D,4,FALSE),"")</f>
        <v>39553</v>
      </c>
      <c r="M2012" s="10">
        <f>IFERROR(VLOOKUP(A2012,'[1]Sales Order'!A:F,6,FALSE),"")</f>
        <v>39566</v>
      </c>
      <c r="N2012" t="str">
        <f>IFERROR(VLOOKUP(VLOOKUP(A2012,'[1]Sales Order'!A:G,7,FALSE),[1]Shipper!A:B,2,FALSE),"Not Specified")</f>
        <v>Shipper GVSUA</v>
      </c>
      <c r="O2012" t="str">
        <f>IFERROR(VLOOKUP(A2012,'[1]Sales Order'!A:I,9,FALSE),"Not Specified")</f>
        <v>Destination DICGM</v>
      </c>
      <c r="P2012" t="str">
        <f>IFERROR(VLOOKUP(A2012,'[1]Sales Order'!A:N,14,FALSE),"Not Specified")</f>
        <v>Italy</v>
      </c>
      <c r="Q2012" t="str">
        <f>VLOOKUP(VLOOKUP(B2012,[1]Product!A:C,3,FALSE),[1]Supplier!A:B,2,FALSE)</f>
        <v>Supplier JNNES</v>
      </c>
      <c r="R2012" t="str">
        <f>VLOOKUP(VLOOKUP(B2012,[1]Product!A:C,3,FALSE),[1]Supplier!A:I,9,FALSE)</f>
        <v>Australia</v>
      </c>
      <c r="S2012" t="str">
        <f>IFERROR(IF(VLOOKUP(A2012,'[1]Sales Order'!A:H,8,FALSE)&gt;100,"High Freight","Low Freight"),"Not Specified")</f>
        <v>Low Freight</v>
      </c>
      <c r="T2012">
        <f t="shared" si="63"/>
        <v>530</v>
      </c>
    </row>
    <row r="2013" spans="1:20">
      <c r="A2013" s="1">
        <v>11027</v>
      </c>
      <c r="B2013" s="2">
        <v>24</v>
      </c>
      <c r="C2013" s="2">
        <v>4.5</v>
      </c>
      <c r="D2013" s="2">
        <v>30</v>
      </c>
      <c r="E2013" s="3">
        <v>0.25</v>
      </c>
      <c r="F2013" s="2" t="str">
        <f>IFERROR(VLOOKUP(VLOOKUP(A2013,'[1]Sales Order'!A:B,2,FALSE),[1]Customer!A:C,3,FALSE),"Not Specified")</f>
        <v>Bassols, Pilar Colome</v>
      </c>
      <c r="G2013" s="2" t="str">
        <f t="shared" si="62"/>
        <v>Bassols Pilar Colome</v>
      </c>
      <c r="H2013" s="8" t="str">
        <f>IFERROR(VLOOKUP(VLOOKUP(A2013,'[1]Sales Order'!A:C,3,FALSE),[1]Employee!A:E,5,FALSE)&amp;" "&amp;VLOOKUP(VLOOKUP(A2013,'[1]Sales Order'!A:C,3,FALSE),[1]Employee!A:C,3,FALSE)&amp;" "&amp;VLOOKUP(VLOOKUP(A2013,'[1]Sales Order'!A:C,3,FALSE),[1]Employee!A:B,2,FALSE),"Not Specified")</f>
        <v>Ms. Sara Davis</v>
      </c>
      <c r="I2013" t="str">
        <f>IFERROR(VLOOKUP(VLOOKUP(A2013,'[1]Sales Order'!A:C,3,FALSE),[1]Employee!A:J,10,FALSE),"Not Specified")</f>
        <v>WA</v>
      </c>
      <c r="J2013" t="str">
        <f>VLOOKUP(B2013,[1]Product!A:B,2,FALSE)</f>
        <v>Product QOGNU</v>
      </c>
      <c r="K2013" t="str">
        <f>VLOOKUP(VLOOKUP(B2013,[1]Product!A:D,4,FALSE),[1]Category!A:B,2,FALSE)</f>
        <v>Beverages</v>
      </c>
      <c r="L2013" s="10">
        <f>IFERROR(VLOOKUP(A2013,'[1]Sales Order'!A:D,4,FALSE),"")</f>
        <v>39554</v>
      </c>
      <c r="M2013" s="10">
        <f>IFERROR(VLOOKUP(A2013,'[1]Sales Order'!A:F,6,FALSE),"")</f>
        <v>39558</v>
      </c>
      <c r="N2013" t="str">
        <f>IFERROR(VLOOKUP(VLOOKUP(A2013,'[1]Sales Order'!A:G,7,FALSE),[1]Shipper!A:B,2,FALSE),"Not Specified")</f>
        <v>Shipper GVSUA</v>
      </c>
      <c r="O2013" t="str">
        <f>IFERROR(VLOOKUP(A2013,'[1]Sales Order'!A:I,9,FALSE),"Not Specified")</f>
        <v>Destination XJIBQ</v>
      </c>
      <c r="P2013" t="str">
        <f>IFERROR(VLOOKUP(A2013,'[1]Sales Order'!A:N,14,FALSE),"Not Specified")</f>
        <v>Canada</v>
      </c>
      <c r="Q2013" t="str">
        <f>VLOOKUP(VLOOKUP(B2013,[1]Product!A:C,3,FALSE),[1]Supplier!A:B,2,FALSE)</f>
        <v>Supplier UNAHG</v>
      </c>
      <c r="R2013" t="str">
        <f>VLOOKUP(VLOOKUP(B2013,[1]Product!A:C,3,FALSE),[1]Supplier!A:I,9,FALSE)</f>
        <v>Brazil</v>
      </c>
      <c r="S2013" t="str">
        <f>IFERROR(IF(VLOOKUP(A2013,'[1]Sales Order'!A:H,8,FALSE)&gt;100,"High Freight","Low Freight"),"Not Specified")</f>
        <v>Low Freight</v>
      </c>
      <c r="T2013">
        <f t="shared" si="63"/>
        <v>101.25</v>
      </c>
    </row>
    <row r="2014" spans="1:20">
      <c r="A2014" s="1">
        <v>11027</v>
      </c>
      <c r="B2014" s="2">
        <v>62</v>
      </c>
      <c r="C2014" s="2">
        <v>49.3</v>
      </c>
      <c r="D2014" s="2">
        <v>21</v>
      </c>
      <c r="E2014" s="3">
        <v>0.25</v>
      </c>
      <c r="F2014" s="2" t="str">
        <f>IFERROR(VLOOKUP(VLOOKUP(A2014,'[1]Sales Order'!A:B,2,FALSE),[1]Customer!A:C,3,FALSE),"Not Specified")</f>
        <v>Bassols, Pilar Colome</v>
      </c>
      <c r="G2014" s="2" t="str">
        <f t="shared" si="62"/>
        <v>Bassols Pilar Colome</v>
      </c>
      <c r="H2014" s="8" t="str">
        <f>IFERROR(VLOOKUP(VLOOKUP(A2014,'[1]Sales Order'!A:C,3,FALSE),[1]Employee!A:E,5,FALSE)&amp;" "&amp;VLOOKUP(VLOOKUP(A2014,'[1]Sales Order'!A:C,3,FALSE),[1]Employee!A:C,3,FALSE)&amp;" "&amp;VLOOKUP(VLOOKUP(A2014,'[1]Sales Order'!A:C,3,FALSE),[1]Employee!A:B,2,FALSE),"Not Specified")</f>
        <v>Ms. Sara Davis</v>
      </c>
      <c r="I2014" t="str">
        <f>IFERROR(VLOOKUP(VLOOKUP(A2014,'[1]Sales Order'!A:C,3,FALSE),[1]Employee!A:J,10,FALSE),"Not Specified")</f>
        <v>WA</v>
      </c>
      <c r="J2014" t="str">
        <f>VLOOKUP(B2014,[1]Product!A:B,2,FALSE)</f>
        <v>Product WUXYK</v>
      </c>
      <c r="K2014" t="str">
        <f>VLOOKUP(VLOOKUP(B2014,[1]Product!A:D,4,FALSE),[1]Category!A:B,2,FALSE)</f>
        <v>Confections</v>
      </c>
      <c r="L2014" s="10">
        <f>IFERROR(VLOOKUP(A2014,'[1]Sales Order'!A:D,4,FALSE),"")</f>
        <v>39554</v>
      </c>
      <c r="M2014" s="10">
        <f>IFERROR(VLOOKUP(A2014,'[1]Sales Order'!A:F,6,FALSE),"")</f>
        <v>39558</v>
      </c>
      <c r="N2014" t="str">
        <f>IFERROR(VLOOKUP(VLOOKUP(A2014,'[1]Sales Order'!A:G,7,FALSE),[1]Shipper!A:B,2,FALSE),"Not Specified")</f>
        <v>Shipper GVSUA</v>
      </c>
      <c r="O2014" t="str">
        <f>IFERROR(VLOOKUP(A2014,'[1]Sales Order'!A:I,9,FALSE),"Not Specified")</f>
        <v>Destination XJIBQ</v>
      </c>
      <c r="P2014" t="str">
        <f>IFERROR(VLOOKUP(A2014,'[1]Sales Order'!A:N,14,FALSE),"Not Specified")</f>
        <v>Canada</v>
      </c>
      <c r="Q2014" t="str">
        <f>VLOOKUP(VLOOKUP(B2014,[1]Product!A:C,3,FALSE),[1]Supplier!A:B,2,FALSE)</f>
        <v>Supplier OGLRK</v>
      </c>
      <c r="R2014" t="str">
        <f>VLOOKUP(VLOOKUP(B2014,[1]Product!A:C,3,FALSE),[1]Supplier!A:I,9,FALSE)</f>
        <v>Canada</v>
      </c>
      <c r="S2014" t="str">
        <f>IFERROR(IF(VLOOKUP(A2014,'[1]Sales Order'!A:H,8,FALSE)&gt;100,"High Freight","Low Freight"),"Not Specified")</f>
        <v>Low Freight</v>
      </c>
      <c r="T2014">
        <f t="shared" si="63"/>
        <v>776.47499999999991</v>
      </c>
    </row>
    <row r="2015" spans="1:20">
      <c r="A2015" s="1">
        <v>11028</v>
      </c>
      <c r="B2015" s="2">
        <v>55</v>
      </c>
      <c r="C2015" s="2">
        <v>24</v>
      </c>
      <c r="D2015" s="2">
        <v>35</v>
      </c>
      <c r="E2015" s="3">
        <v>0</v>
      </c>
      <c r="F2015" s="2" t="str">
        <f>IFERROR(VLOOKUP(VLOOKUP(A2015,'[1]Sales Order'!A:B,2,FALSE),[1]Customer!A:C,3,FALSE),"Not Specified")</f>
        <v>Song, Lolan</v>
      </c>
      <c r="G2015" s="2" t="str">
        <f t="shared" si="62"/>
        <v>Song Lolan</v>
      </c>
      <c r="H2015" s="8" t="str">
        <f>IFERROR(VLOOKUP(VLOOKUP(A2015,'[1]Sales Order'!A:C,3,FALSE),[1]Employee!A:E,5,FALSE)&amp;" "&amp;VLOOKUP(VLOOKUP(A2015,'[1]Sales Order'!A:C,3,FALSE),[1]Employee!A:C,3,FALSE)&amp;" "&amp;VLOOKUP(VLOOKUP(A2015,'[1]Sales Order'!A:C,3,FALSE),[1]Employee!A:B,2,FALSE),"Not Specified")</f>
        <v>Dr. Don Funk</v>
      </c>
      <c r="I2015" t="str">
        <f>IFERROR(VLOOKUP(VLOOKUP(A2015,'[1]Sales Order'!A:C,3,FALSE),[1]Employee!A:J,10,FALSE),"Not Specified")</f>
        <v>WA</v>
      </c>
      <c r="J2015" t="str">
        <f>VLOOKUP(B2015,[1]Product!A:B,2,FALSE)</f>
        <v>Product YYWRT</v>
      </c>
      <c r="K2015" t="str">
        <f>VLOOKUP(VLOOKUP(B2015,[1]Product!A:D,4,FALSE),[1]Category!A:B,2,FALSE)</f>
        <v>Meat/Poultry</v>
      </c>
      <c r="L2015" s="10">
        <f>IFERROR(VLOOKUP(A2015,'[1]Sales Order'!A:D,4,FALSE),"")</f>
        <v>39554</v>
      </c>
      <c r="M2015" s="10">
        <f>IFERROR(VLOOKUP(A2015,'[1]Sales Order'!A:F,6,FALSE),"")</f>
        <v>39560</v>
      </c>
      <c r="N2015" t="str">
        <f>IFERROR(VLOOKUP(VLOOKUP(A2015,'[1]Sales Order'!A:G,7,FALSE),[1]Shipper!A:B,2,FALSE),"Not Specified")</f>
        <v>Shipper GVSUA</v>
      </c>
      <c r="O2015" t="str">
        <f>IFERROR(VLOOKUP(A2015,'[1]Sales Order'!A:I,9,FALSE),"Not Specified")</f>
        <v>Destination DKMQA</v>
      </c>
      <c r="P2015" t="str">
        <f>IFERROR(VLOOKUP(A2015,'[1]Sales Order'!A:N,14,FALSE),"Not Specified")</f>
        <v>Germany</v>
      </c>
      <c r="Q2015" t="str">
        <f>VLOOKUP(VLOOKUP(B2015,[1]Product!A:C,3,FALSE),[1]Supplier!A:B,2,FALSE)</f>
        <v>Supplier ERVYZ</v>
      </c>
      <c r="R2015" t="str">
        <f>VLOOKUP(VLOOKUP(B2015,[1]Product!A:C,3,FALSE),[1]Supplier!A:I,9,FALSE)</f>
        <v>Canada</v>
      </c>
      <c r="S2015" t="str">
        <f>IFERROR(IF(VLOOKUP(A2015,'[1]Sales Order'!A:H,8,FALSE)&gt;100,"High Freight","Low Freight"),"Not Specified")</f>
        <v>Low Freight</v>
      </c>
      <c r="T2015">
        <f t="shared" si="63"/>
        <v>840</v>
      </c>
    </row>
    <row r="2016" spans="1:20">
      <c r="A2016" s="1">
        <v>11028</v>
      </c>
      <c r="B2016" s="2">
        <v>59</v>
      </c>
      <c r="C2016" s="2">
        <v>55</v>
      </c>
      <c r="D2016" s="2">
        <v>24</v>
      </c>
      <c r="E2016" s="3">
        <v>0</v>
      </c>
      <c r="F2016" s="2" t="str">
        <f>IFERROR(VLOOKUP(VLOOKUP(A2016,'[1]Sales Order'!A:B,2,FALSE),[1]Customer!A:C,3,FALSE),"Not Specified")</f>
        <v>Song, Lolan</v>
      </c>
      <c r="G2016" s="2" t="str">
        <f t="shared" si="62"/>
        <v>Song Lolan</v>
      </c>
      <c r="H2016" s="8" t="str">
        <f>IFERROR(VLOOKUP(VLOOKUP(A2016,'[1]Sales Order'!A:C,3,FALSE),[1]Employee!A:E,5,FALSE)&amp;" "&amp;VLOOKUP(VLOOKUP(A2016,'[1]Sales Order'!A:C,3,FALSE),[1]Employee!A:C,3,FALSE)&amp;" "&amp;VLOOKUP(VLOOKUP(A2016,'[1]Sales Order'!A:C,3,FALSE),[1]Employee!A:B,2,FALSE),"Not Specified")</f>
        <v>Dr. Don Funk</v>
      </c>
      <c r="I2016" t="str">
        <f>IFERROR(VLOOKUP(VLOOKUP(A2016,'[1]Sales Order'!A:C,3,FALSE),[1]Employee!A:J,10,FALSE),"Not Specified")</f>
        <v>WA</v>
      </c>
      <c r="J2016" t="str">
        <f>VLOOKUP(B2016,[1]Product!A:B,2,FALSE)</f>
        <v>Product UKXRI</v>
      </c>
      <c r="K2016" t="str">
        <f>VLOOKUP(VLOOKUP(B2016,[1]Product!A:D,4,FALSE),[1]Category!A:B,2,FALSE)</f>
        <v>Dairy Product</v>
      </c>
      <c r="L2016" s="10">
        <f>IFERROR(VLOOKUP(A2016,'[1]Sales Order'!A:D,4,FALSE),"")</f>
        <v>39554</v>
      </c>
      <c r="M2016" s="10">
        <f>IFERROR(VLOOKUP(A2016,'[1]Sales Order'!A:F,6,FALSE),"")</f>
        <v>39560</v>
      </c>
      <c r="N2016" t="str">
        <f>IFERROR(VLOOKUP(VLOOKUP(A2016,'[1]Sales Order'!A:G,7,FALSE),[1]Shipper!A:B,2,FALSE),"Not Specified")</f>
        <v>Shipper GVSUA</v>
      </c>
      <c r="O2016" t="str">
        <f>IFERROR(VLOOKUP(A2016,'[1]Sales Order'!A:I,9,FALSE),"Not Specified")</f>
        <v>Destination DKMQA</v>
      </c>
      <c r="P2016" t="str">
        <f>IFERROR(VLOOKUP(A2016,'[1]Sales Order'!A:N,14,FALSE),"Not Specified")</f>
        <v>Germany</v>
      </c>
      <c r="Q2016" t="str">
        <f>VLOOKUP(VLOOKUP(B2016,[1]Product!A:C,3,FALSE),[1]Supplier!A:B,2,FALSE)</f>
        <v>Supplier OAVQT</v>
      </c>
      <c r="R2016" t="str">
        <f>VLOOKUP(VLOOKUP(B2016,[1]Product!A:C,3,FALSE),[1]Supplier!A:I,9,FALSE)</f>
        <v>France</v>
      </c>
      <c r="S2016" t="str">
        <f>IFERROR(IF(VLOOKUP(A2016,'[1]Sales Order'!A:H,8,FALSE)&gt;100,"High Freight","Low Freight"),"Not Specified")</f>
        <v>Low Freight</v>
      </c>
      <c r="T2016">
        <f t="shared" si="63"/>
        <v>1320</v>
      </c>
    </row>
    <row r="2017" spans="1:20">
      <c r="A2017" s="1">
        <v>11029</v>
      </c>
      <c r="B2017" s="2">
        <v>56</v>
      </c>
      <c r="C2017" s="2">
        <v>38</v>
      </c>
      <c r="D2017" s="2">
        <v>20</v>
      </c>
      <c r="E2017" s="3">
        <v>0</v>
      </c>
      <c r="F2017" s="2" t="str">
        <f>IFERROR(VLOOKUP(VLOOKUP(A2017,'[1]Sales Order'!A:B,2,FALSE),[1]Customer!A:C,3,FALSE),"Not Specified")</f>
        <v>Jelitto, Jacek</v>
      </c>
      <c r="G2017" s="2" t="str">
        <f t="shared" si="62"/>
        <v>Jelitto Jacek</v>
      </c>
      <c r="H2017" s="8" t="str">
        <f>IFERROR(VLOOKUP(VLOOKUP(A2017,'[1]Sales Order'!A:C,3,FALSE),[1]Employee!A:E,5,FALSE)&amp;" "&amp;VLOOKUP(VLOOKUP(A2017,'[1]Sales Order'!A:C,3,FALSE),[1]Employee!A:C,3,FALSE)&amp;" "&amp;VLOOKUP(VLOOKUP(A2017,'[1]Sales Order'!A:C,3,FALSE),[1]Employee!A:B,2,FALSE),"Not Specified")</f>
        <v>Mrs. Yael Peled</v>
      </c>
      <c r="I2017" t="str">
        <f>IFERROR(VLOOKUP(VLOOKUP(A2017,'[1]Sales Order'!A:C,3,FALSE),[1]Employee!A:J,10,FALSE),"Not Specified")</f>
        <v>WA</v>
      </c>
      <c r="J2017" t="str">
        <f>VLOOKUP(B2017,[1]Product!A:B,2,FALSE)</f>
        <v>Product VKCMF</v>
      </c>
      <c r="K2017" t="str">
        <f>VLOOKUP(VLOOKUP(B2017,[1]Product!A:D,4,FALSE),[1]Category!A:B,2,FALSE)</f>
        <v>Grains/Cereals</v>
      </c>
      <c r="L2017" s="10">
        <f>IFERROR(VLOOKUP(A2017,'[1]Sales Order'!A:D,4,FALSE),"")</f>
        <v>39554</v>
      </c>
      <c r="M2017" s="10">
        <f>IFERROR(VLOOKUP(A2017,'[1]Sales Order'!A:F,6,FALSE),"")</f>
        <v>39565</v>
      </c>
      <c r="N2017" t="str">
        <f>IFERROR(VLOOKUP(VLOOKUP(A2017,'[1]Sales Order'!A:G,7,FALSE),[1]Shipper!A:B,2,FALSE),"Not Specified")</f>
        <v>Shipper GVSUA</v>
      </c>
      <c r="O2017" t="str">
        <f>IFERROR(VLOOKUP(A2017,'[1]Sales Order'!A:I,9,FALSE),"Not Specified")</f>
        <v>Destination YUJRD</v>
      </c>
      <c r="P2017" t="str">
        <f>IFERROR(VLOOKUP(A2017,'[1]Sales Order'!A:N,14,FALSE),"Not Specified")</f>
        <v>Switzerland</v>
      </c>
      <c r="Q2017" t="str">
        <f>VLOOKUP(VLOOKUP(B2017,[1]Product!A:C,3,FALSE),[1]Supplier!A:B,2,FALSE)</f>
        <v>Supplier ZWZDM</v>
      </c>
      <c r="R2017" t="str">
        <f>VLOOKUP(VLOOKUP(B2017,[1]Product!A:C,3,FALSE),[1]Supplier!A:I,9,FALSE)</f>
        <v>Italy</v>
      </c>
      <c r="S2017" t="str">
        <f>IFERROR(IF(VLOOKUP(A2017,'[1]Sales Order'!A:H,8,FALSE)&gt;100,"High Freight","Low Freight"),"Not Specified")</f>
        <v>Low Freight</v>
      </c>
      <c r="T2017">
        <f t="shared" si="63"/>
        <v>760</v>
      </c>
    </row>
    <row r="2018" spans="1:20">
      <c r="A2018" s="1">
        <v>11029</v>
      </c>
      <c r="B2018" s="2">
        <v>63</v>
      </c>
      <c r="C2018" s="2">
        <v>43.9</v>
      </c>
      <c r="D2018" s="2">
        <v>12</v>
      </c>
      <c r="E2018" s="3">
        <v>0</v>
      </c>
      <c r="F2018" s="2" t="str">
        <f>IFERROR(VLOOKUP(VLOOKUP(A2018,'[1]Sales Order'!A:B,2,FALSE),[1]Customer!A:C,3,FALSE),"Not Specified")</f>
        <v>Jelitto, Jacek</v>
      </c>
      <c r="G2018" s="2" t="str">
        <f t="shared" si="62"/>
        <v>Jelitto Jacek</v>
      </c>
      <c r="H2018" s="8" t="str">
        <f>IFERROR(VLOOKUP(VLOOKUP(A2018,'[1]Sales Order'!A:C,3,FALSE),[1]Employee!A:E,5,FALSE)&amp;" "&amp;VLOOKUP(VLOOKUP(A2018,'[1]Sales Order'!A:C,3,FALSE),[1]Employee!A:C,3,FALSE)&amp;" "&amp;VLOOKUP(VLOOKUP(A2018,'[1]Sales Order'!A:C,3,FALSE),[1]Employee!A:B,2,FALSE),"Not Specified")</f>
        <v>Mrs. Yael Peled</v>
      </c>
      <c r="I2018" t="str">
        <f>IFERROR(VLOOKUP(VLOOKUP(A2018,'[1]Sales Order'!A:C,3,FALSE),[1]Employee!A:J,10,FALSE),"Not Specified")</f>
        <v>WA</v>
      </c>
      <c r="J2018" t="str">
        <f>VLOOKUP(B2018,[1]Product!A:B,2,FALSE)</f>
        <v>Product ICKNK</v>
      </c>
      <c r="K2018" t="str">
        <f>VLOOKUP(VLOOKUP(B2018,[1]Product!A:D,4,FALSE),[1]Category!A:B,2,FALSE)</f>
        <v>Condiments</v>
      </c>
      <c r="L2018" s="10">
        <f>IFERROR(VLOOKUP(A2018,'[1]Sales Order'!A:D,4,FALSE),"")</f>
        <v>39554</v>
      </c>
      <c r="M2018" s="10">
        <f>IFERROR(VLOOKUP(A2018,'[1]Sales Order'!A:F,6,FALSE),"")</f>
        <v>39565</v>
      </c>
      <c r="N2018" t="str">
        <f>IFERROR(VLOOKUP(VLOOKUP(A2018,'[1]Sales Order'!A:G,7,FALSE),[1]Shipper!A:B,2,FALSE),"Not Specified")</f>
        <v>Shipper GVSUA</v>
      </c>
      <c r="O2018" t="str">
        <f>IFERROR(VLOOKUP(A2018,'[1]Sales Order'!A:I,9,FALSE),"Not Specified")</f>
        <v>Destination YUJRD</v>
      </c>
      <c r="P2018" t="str">
        <f>IFERROR(VLOOKUP(A2018,'[1]Sales Order'!A:N,14,FALSE),"Not Specified")</f>
        <v>Switzerland</v>
      </c>
      <c r="Q2018" t="str">
        <f>VLOOKUP(VLOOKUP(B2018,[1]Product!A:C,3,FALSE),[1]Supplier!A:B,2,FALSE)</f>
        <v>Supplier GQRCV</v>
      </c>
      <c r="R2018" t="str">
        <f>VLOOKUP(VLOOKUP(B2018,[1]Product!A:C,3,FALSE),[1]Supplier!A:I,9,FALSE)</f>
        <v>Australia</v>
      </c>
      <c r="S2018" t="str">
        <f>IFERROR(IF(VLOOKUP(A2018,'[1]Sales Order'!A:H,8,FALSE)&gt;100,"High Freight","Low Freight"),"Not Specified")</f>
        <v>Low Freight</v>
      </c>
      <c r="T2018">
        <f t="shared" si="63"/>
        <v>526.79999999999995</v>
      </c>
    </row>
    <row r="2019" spans="1:20">
      <c r="A2019" s="1">
        <v>11030</v>
      </c>
      <c r="B2019" s="2">
        <v>2</v>
      </c>
      <c r="C2019" s="2">
        <v>19</v>
      </c>
      <c r="D2019" s="2">
        <v>100</v>
      </c>
      <c r="E2019" s="3">
        <v>0.25</v>
      </c>
      <c r="F2019" s="2" t="str">
        <f>IFERROR(VLOOKUP(VLOOKUP(A2019,'[1]Sales Order'!A:B,2,FALSE),[1]Customer!A:C,3,FALSE),"Not Specified")</f>
        <v>Navarro, Tomás</v>
      </c>
      <c r="G2019" s="2" t="str">
        <f t="shared" si="62"/>
        <v>Navarro Tomás</v>
      </c>
      <c r="H2019" s="8" t="str">
        <f>IFERROR(VLOOKUP(VLOOKUP(A2019,'[1]Sales Order'!A:C,3,FALSE),[1]Employee!A:E,5,FALSE)&amp;" "&amp;VLOOKUP(VLOOKUP(A2019,'[1]Sales Order'!A:C,3,FALSE),[1]Employee!A:C,3,FALSE)&amp;" "&amp;VLOOKUP(VLOOKUP(A2019,'[1]Sales Order'!A:C,3,FALSE),[1]Employee!A:B,2,FALSE),"Not Specified")</f>
        <v>Mr. Russell King</v>
      </c>
      <c r="I2019">
        <f>IFERROR(VLOOKUP(VLOOKUP(A2019,'[1]Sales Order'!A:C,3,FALSE),[1]Employee!A:J,10,FALSE),"Not Specified")</f>
        <v>0</v>
      </c>
      <c r="J2019" t="str">
        <f>VLOOKUP(B2019,[1]Product!A:B,2,FALSE)</f>
        <v>Product RECZE</v>
      </c>
      <c r="K2019" t="str">
        <f>VLOOKUP(VLOOKUP(B2019,[1]Product!A:D,4,FALSE),[1]Category!A:B,2,FALSE)</f>
        <v>Beverages</v>
      </c>
      <c r="L2019" s="10">
        <f>IFERROR(VLOOKUP(A2019,'[1]Sales Order'!A:D,4,FALSE),"")</f>
        <v>39555</v>
      </c>
      <c r="M2019" s="10">
        <f>IFERROR(VLOOKUP(A2019,'[1]Sales Order'!A:F,6,FALSE),"")</f>
        <v>39565</v>
      </c>
      <c r="N2019" t="str">
        <f>IFERROR(VLOOKUP(VLOOKUP(A2019,'[1]Sales Order'!A:G,7,FALSE),[1]Shipper!A:B,2,FALSE),"Not Specified")</f>
        <v>Shipper ETYNR</v>
      </c>
      <c r="O2019" t="str">
        <f>IFERROR(VLOOKUP(A2019,'[1]Sales Order'!A:I,9,FALSE),"Not Specified")</f>
        <v>Ship to 71-C</v>
      </c>
      <c r="P2019" t="str">
        <f>IFERROR(VLOOKUP(A2019,'[1]Sales Order'!A:N,14,FALSE),"Not Specified")</f>
        <v>USA</v>
      </c>
      <c r="Q2019" t="str">
        <f>VLOOKUP(VLOOKUP(B2019,[1]Product!A:C,3,FALSE),[1]Supplier!A:B,2,FALSE)</f>
        <v>Supplier SWRXU</v>
      </c>
      <c r="R2019" t="str">
        <f>VLOOKUP(VLOOKUP(B2019,[1]Product!A:C,3,FALSE),[1]Supplier!A:I,9,FALSE)</f>
        <v>UK</v>
      </c>
      <c r="S2019" t="str">
        <f>IFERROR(IF(VLOOKUP(A2019,'[1]Sales Order'!A:H,8,FALSE)&gt;100,"High Freight","Low Freight"),"Not Specified")</f>
        <v>High Freight</v>
      </c>
      <c r="T2019">
        <f t="shared" si="63"/>
        <v>1425</v>
      </c>
    </row>
    <row r="2020" spans="1:20">
      <c r="A2020" s="1">
        <v>11030</v>
      </c>
      <c r="B2020" s="2">
        <v>5</v>
      </c>
      <c r="C2020" s="2">
        <v>21.35</v>
      </c>
      <c r="D2020" s="2">
        <v>70</v>
      </c>
      <c r="E2020" s="3">
        <v>0</v>
      </c>
      <c r="F2020" s="2" t="str">
        <f>IFERROR(VLOOKUP(VLOOKUP(A2020,'[1]Sales Order'!A:B,2,FALSE),[1]Customer!A:C,3,FALSE),"Not Specified")</f>
        <v>Navarro, Tomás</v>
      </c>
      <c r="G2020" s="2" t="str">
        <f t="shared" si="62"/>
        <v>Navarro Tomás</v>
      </c>
      <c r="H2020" s="8" t="str">
        <f>IFERROR(VLOOKUP(VLOOKUP(A2020,'[1]Sales Order'!A:C,3,FALSE),[1]Employee!A:E,5,FALSE)&amp;" "&amp;VLOOKUP(VLOOKUP(A2020,'[1]Sales Order'!A:C,3,FALSE),[1]Employee!A:C,3,FALSE)&amp;" "&amp;VLOOKUP(VLOOKUP(A2020,'[1]Sales Order'!A:C,3,FALSE),[1]Employee!A:B,2,FALSE),"Not Specified")</f>
        <v>Mr. Russell King</v>
      </c>
      <c r="I2020">
        <f>IFERROR(VLOOKUP(VLOOKUP(A2020,'[1]Sales Order'!A:C,3,FALSE),[1]Employee!A:J,10,FALSE),"Not Specified")</f>
        <v>0</v>
      </c>
      <c r="J2020" t="str">
        <f>VLOOKUP(B2020,[1]Product!A:B,2,FALSE)</f>
        <v>Product EPEIM</v>
      </c>
      <c r="K2020" t="str">
        <f>VLOOKUP(VLOOKUP(B2020,[1]Product!A:D,4,FALSE),[1]Category!A:B,2,FALSE)</f>
        <v>Condiments</v>
      </c>
      <c r="L2020" s="10">
        <f>IFERROR(VLOOKUP(A2020,'[1]Sales Order'!A:D,4,FALSE),"")</f>
        <v>39555</v>
      </c>
      <c r="M2020" s="10">
        <f>IFERROR(VLOOKUP(A2020,'[1]Sales Order'!A:F,6,FALSE),"")</f>
        <v>39565</v>
      </c>
      <c r="N2020" t="str">
        <f>IFERROR(VLOOKUP(VLOOKUP(A2020,'[1]Sales Order'!A:G,7,FALSE),[1]Shipper!A:B,2,FALSE),"Not Specified")</f>
        <v>Shipper ETYNR</v>
      </c>
      <c r="O2020" t="str">
        <f>IFERROR(VLOOKUP(A2020,'[1]Sales Order'!A:I,9,FALSE),"Not Specified")</f>
        <v>Ship to 71-C</v>
      </c>
      <c r="P2020" t="str">
        <f>IFERROR(VLOOKUP(A2020,'[1]Sales Order'!A:N,14,FALSE),"Not Specified")</f>
        <v>USA</v>
      </c>
      <c r="Q2020" t="str">
        <f>VLOOKUP(VLOOKUP(B2020,[1]Product!A:C,3,FALSE),[1]Supplier!A:B,2,FALSE)</f>
        <v>Supplier VHQZD</v>
      </c>
      <c r="R2020" t="str">
        <f>VLOOKUP(VLOOKUP(B2020,[1]Product!A:C,3,FALSE),[1]Supplier!A:I,9,FALSE)</f>
        <v>USA</v>
      </c>
      <c r="S2020" t="str">
        <f>IFERROR(IF(VLOOKUP(A2020,'[1]Sales Order'!A:H,8,FALSE)&gt;100,"High Freight","Low Freight"),"Not Specified")</f>
        <v>High Freight</v>
      </c>
      <c r="T2020">
        <f t="shared" si="63"/>
        <v>1494.5</v>
      </c>
    </row>
    <row r="2021" spans="1:20">
      <c r="A2021" s="1">
        <v>11030</v>
      </c>
      <c r="B2021" s="2">
        <v>29</v>
      </c>
      <c r="C2021" s="2">
        <v>123.79</v>
      </c>
      <c r="D2021" s="2">
        <v>60</v>
      </c>
      <c r="E2021" s="3">
        <v>0.25</v>
      </c>
      <c r="F2021" s="2" t="str">
        <f>IFERROR(VLOOKUP(VLOOKUP(A2021,'[1]Sales Order'!A:B,2,FALSE),[1]Customer!A:C,3,FALSE),"Not Specified")</f>
        <v>Navarro, Tomás</v>
      </c>
      <c r="G2021" s="2" t="str">
        <f t="shared" si="62"/>
        <v>Navarro Tomás</v>
      </c>
      <c r="H2021" s="8" t="str">
        <f>IFERROR(VLOOKUP(VLOOKUP(A2021,'[1]Sales Order'!A:C,3,FALSE),[1]Employee!A:E,5,FALSE)&amp;" "&amp;VLOOKUP(VLOOKUP(A2021,'[1]Sales Order'!A:C,3,FALSE),[1]Employee!A:C,3,FALSE)&amp;" "&amp;VLOOKUP(VLOOKUP(A2021,'[1]Sales Order'!A:C,3,FALSE),[1]Employee!A:B,2,FALSE),"Not Specified")</f>
        <v>Mr. Russell King</v>
      </c>
      <c r="I2021">
        <f>IFERROR(VLOOKUP(VLOOKUP(A2021,'[1]Sales Order'!A:C,3,FALSE),[1]Employee!A:J,10,FALSE),"Not Specified")</f>
        <v>0</v>
      </c>
      <c r="J2021" t="str">
        <f>VLOOKUP(B2021,[1]Product!A:B,2,FALSE)</f>
        <v>Product VJXYN</v>
      </c>
      <c r="K2021" t="str">
        <f>VLOOKUP(VLOOKUP(B2021,[1]Product!A:D,4,FALSE),[1]Category!A:B,2,FALSE)</f>
        <v>Meat/Poultry</v>
      </c>
      <c r="L2021" s="10">
        <f>IFERROR(VLOOKUP(A2021,'[1]Sales Order'!A:D,4,FALSE),"")</f>
        <v>39555</v>
      </c>
      <c r="M2021" s="10">
        <f>IFERROR(VLOOKUP(A2021,'[1]Sales Order'!A:F,6,FALSE),"")</f>
        <v>39565</v>
      </c>
      <c r="N2021" t="str">
        <f>IFERROR(VLOOKUP(VLOOKUP(A2021,'[1]Sales Order'!A:G,7,FALSE),[1]Shipper!A:B,2,FALSE),"Not Specified")</f>
        <v>Shipper ETYNR</v>
      </c>
      <c r="O2021" t="str">
        <f>IFERROR(VLOOKUP(A2021,'[1]Sales Order'!A:I,9,FALSE),"Not Specified")</f>
        <v>Ship to 71-C</v>
      </c>
      <c r="P2021" t="str">
        <f>IFERROR(VLOOKUP(A2021,'[1]Sales Order'!A:N,14,FALSE),"Not Specified")</f>
        <v>USA</v>
      </c>
      <c r="Q2021" t="str">
        <f>VLOOKUP(VLOOKUP(B2021,[1]Product!A:C,3,FALSE),[1]Supplier!A:B,2,FALSE)</f>
        <v>Supplier SVIYA</v>
      </c>
      <c r="R2021" t="str">
        <f>VLOOKUP(VLOOKUP(B2021,[1]Product!A:C,3,FALSE),[1]Supplier!A:I,9,FALSE)</f>
        <v>Germany</v>
      </c>
      <c r="S2021" t="str">
        <f>IFERROR(IF(VLOOKUP(A2021,'[1]Sales Order'!A:H,8,FALSE)&gt;100,"High Freight","Low Freight"),"Not Specified")</f>
        <v>High Freight</v>
      </c>
      <c r="T2021">
        <f t="shared" si="63"/>
        <v>5570.55</v>
      </c>
    </row>
    <row r="2022" spans="1:20">
      <c r="A2022" s="1">
        <v>11030</v>
      </c>
      <c r="B2022" s="2">
        <v>59</v>
      </c>
      <c r="C2022" s="2">
        <v>55</v>
      </c>
      <c r="D2022" s="2">
        <v>100</v>
      </c>
      <c r="E2022" s="3">
        <v>0.25</v>
      </c>
      <c r="F2022" s="2" t="str">
        <f>IFERROR(VLOOKUP(VLOOKUP(A2022,'[1]Sales Order'!A:B,2,FALSE),[1]Customer!A:C,3,FALSE),"Not Specified")</f>
        <v>Navarro, Tomás</v>
      </c>
      <c r="G2022" s="2" t="str">
        <f t="shared" si="62"/>
        <v>Navarro Tomás</v>
      </c>
      <c r="H2022" s="8" t="str">
        <f>IFERROR(VLOOKUP(VLOOKUP(A2022,'[1]Sales Order'!A:C,3,FALSE),[1]Employee!A:E,5,FALSE)&amp;" "&amp;VLOOKUP(VLOOKUP(A2022,'[1]Sales Order'!A:C,3,FALSE),[1]Employee!A:C,3,FALSE)&amp;" "&amp;VLOOKUP(VLOOKUP(A2022,'[1]Sales Order'!A:C,3,FALSE),[1]Employee!A:B,2,FALSE),"Not Specified")</f>
        <v>Mr. Russell King</v>
      </c>
      <c r="I2022">
        <f>IFERROR(VLOOKUP(VLOOKUP(A2022,'[1]Sales Order'!A:C,3,FALSE),[1]Employee!A:J,10,FALSE),"Not Specified")</f>
        <v>0</v>
      </c>
      <c r="J2022" t="str">
        <f>VLOOKUP(B2022,[1]Product!A:B,2,FALSE)</f>
        <v>Product UKXRI</v>
      </c>
      <c r="K2022" t="str">
        <f>VLOOKUP(VLOOKUP(B2022,[1]Product!A:D,4,FALSE),[1]Category!A:B,2,FALSE)</f>
        <v>Dairy Product</v>
      </c>
      <c r="L2022" s="10">
        <f>IFERROR(VLOOKUP(A2022,'[1]Sales Order'!A:D,4,FALSE),"")</f>
        <v>39555</v>
      </c>
      <c r="M2022" s="10">
        <f>IFERROR(VLOOKUP(A2022,'[1]Sales Order'!A:F,6,FALSE),"")</f>
        <v>39565</v>
      </c>
      <c r="N2022" t="str">
        <f>IFERROR(VLOOKUP(VLOOKUP(A2022,'[1]Sales Order'!A:G,7,FALSE),[1]Shipper!A:B,2,FALSE),"Not Specified")</f>
        <v>Shipper ETYNR</v>
      </c>
      <c r="O2022" t="str">
        <f>IFERROR(VLOOKUP(A2022,'[1]Sales Order'!A:I,9,FALSE),"Not Specified")</f>
        <v>Ship to 71-C</v>
      </c>
      <c r="P2022" t="str">
        <f>IFERROR(VLOOKUP(A2022,'[1]Sales Order'!A:N,14,FALSE),"Not Specified")</f>
        <v>USA</v>
      </c>
      <c r="Q2022" t="str">
        <f>VLOOKUP(VLOOKUP(B2022,[1]Product!A:C,3,FALSE),[1]Supplier!A:B,2,FALSE)</f>
        <v>Supplier OAVQT</v>
      </c>
      <c r="R2022" t="str">
        <f>VLOOKUP(VLOOKUP(B2022,[1]Product!A:C,3,FALSE),[1]Supplier!A:I,9,FALSE)</f>
        <v>France</v>
      </c>
      <c r="S2022" t="str">
        <f>IFERROR(IF(VLOOKUP(A2022,'[1]Sales Order'!A:H,8,FALSE)&gt;100,"High Freight","Low Freight"),"Not Specified")</f>
        <v>High Freight</v>
      </c>
      <c r="T2022">
        <f t="shared" si="63"/>
        <v>4125</v>
      </c>
    </row>
    <row r="2023" spans="1:20">
      <c r="A2023" s="1">
        <v>11031</v>
      </c>
      <c r="B2023" s="2">
        <v>1</v>
      </c>
      <c r="C2023" s="2">
        <v>18</v>
      </c>
      <c r="D2023" s="2">
        <v>45</v>
      </c>
      <c r="E2023" s="3">
        <v>0</v>
      </c>
      <c r="F2023" s="2" t="str">
        <f>IFERROR(VLOOKUP(VLOOKUP(A2023,'[1]Sales Order'!A:B,2,FALSE),[1]Customer!A:C,3,FALSE),"Not Specified")</f>
        <v>Navarro, Tomás</v>
      </c>
      <c r="G2023" s="2" t="str">
        <f t="shared" si="62"/>
        <v>Navarro Tomás</v>
      </c>
      <c r="H2023" s="8" t="str">
        <f>IFERROR(VLOOKUP(VLOOKUP(A2023,'[1]Sales Order'!A:C,3,FALSE),[1]Employee!A:E,5,FALSE)&amp;" "&amp;VLOOKUP(VLOOKUP(A2023,'[1]Sales Order'!A:C,3,FALSE),[1]Employee!A:C,3,FALSE)&amp;" "&amp;VLOOKUP(VLOOKUP(A2023,'[1]Sales Order'!A:C,3,FALSE),[1]Employee!A:B,2,FALSE),"Not Specified")</f>
        <v>Mr. Paul Suurs</v>
      </c>
      <c r="I2023">
        <f>IFERROR(VLOOKUP(VLOOKUP(A2023,'[1]Sales Order'!A:C,3,FALSE),[1]Employee!A:J,10,FALSE),"Not Specified")</f>
        <v>0</v>
      </c>
      <c r="J2023" t="str">
        <f>VLOOKUP(B2023,[1]Product!A:B,2,FALSE)</f>
        <v>Product HHYDP</v>
      </c>
      <c r="K2023" t="str">
        <f>VLOOKUP(VLOOKUP(B2023,[1]Product!A:D,4,FALSE),[1]Category!A:B,2,FALSE)</f>
        <v>Beverages</v>
      </c>
      <c r="L2023" s="10">
        <f>IFERROR(VLOOKUP(A2023,'[1]Sales Order'!A:D,4,FALSE),"")</f>
        <v>39555</v>
      </c>
      <c r="M2023" s="10">
        <f>IFERROR(VLOOKUP(A2023,'[1]Sales Order'!A:F,6,FALSE),"")</f>
        <v>39562</v>
      </c>
      <c r="N2023" t="str">
        <f>IFERROR(VLOOKUP(VLOOKUP(A2023,'[1]Sales Order'!A:G,7,FALSE),[1]Shipper!A:B,2,FALSE),"Not Specified")</f>
        <v>Shipper ETYNR</v>
      </c>
      <c r="O2023" t="str">
        <f>IFERROR(VLOOKUP(A2023,'[1]Sales Order'!A:I,9,FALSE),"Not Specified")</f>
        <v>Ship to 71-C</v>
      </c>
      <c r="P2023" t="str">
        <f>IFERROR(VLOOKUP(A2023,'[1]Sales Order'!A:N,14,FALSE),"Not Specified")</f>
        <v>USA</v>
      </c>
      <c r="Q2023" t="str">
        <f>VLOOKUP(VLOOKUP(B2023,[1]Product!A:C,3,FALSE),[1]Supplier!A:B,2,FALSE)</f>
        <v>Supplier SWRXU</v>
      </c>
      <c r="R2023" t="str">
        <f>VLOOKUP(VLOOKUP(B2023,[1]Product!A:C,3,FALSE),[1]Supplier!A:I,9,FALSE)</f>
        <v>UK</v>
      </c>
      <c r="S2023" t="str">
        <f>IFERROR(IF(VLOOKUP(A2023,'[1]Sales Order'!A:H,8,FALSE)&gt;100,"High Freight","Low Freight"),"Not Specified")</f>
        <v>High Freight</v>
      </c>
      <c r="T2023">
        <f t="shared" si="63"/>
        <v>810</v>
      </c>
    </row>
    <row r="2024" spans="1:20">
      <c r="A2024" s="1">
        <v>11031</v>
      </c>
      <c r="B2024" s="2">
        <v>13</v>
      </c>
      <c r="C2024" s="2">
        <v>6</v>
      </c>
      <c r="D2024" s="2">
        <v>80</v>
      </c>
      <c r="E2024" s="3">
        <v>0</v>
      </c>
      <c r="F2024" s="2" t="str">
        <f>IFERROR(VLOOKUP(VLOOKUP(A2024,'[1]Sales Order'!A:B,2,FALSE),[1]Customer!A:C,3,FALSE),"Not Specified")</f>
        <v>Navarro, Tomás</v>
      </c>
      <c r="G2024" s="2" t="str">
        <f t="shared" si="62"/>
        <v>Navarro Tomás</v>
      </c>
      <c r="H2024" s="8" t="str">
        <f>IFERROR(VLOOKUP(VLOOKUP(A2024,'[1]Sales Order'!A:C,3,FALSE),[1]Employee!A:E,5,FALSE)&amp;" "&amp;VLOOKUP(VLOOKUP(A2024,'[1]Sales Order'!A:C,3,FALSE),[1]Employee!A:C,3,FALSE)&amp;" "&amp;VLOOKUP(VLOOKUP(A2024,'[1]Sales Order'!A:C,3,FALSE),[1]Employee!A:B,2,FALSE),"Not Specified")</f>
        <v>Mr. Paul Suurs</v>
      </c>
      <c r="I2024">
        <f>IFERROR(VLOOKUP(VLOOKUP(A2024,'[1]Sales Order'!A:C,3,FALSE),[1]Employee!A:J,10,FALSE),"Not Specified")</f>
        <v>0</v>
      </c>
      <c r="J2024" t="str">
        <f>VLOOKUP(B2024,[1]Product!A:B,2,FALSE)</f>
        <v>Product POXFU</v>
      </c>
      <c r="K2024" t="str">
        <f>VLOOKUP(VLOOKUP(B2024,[1]Product!A:D,4,FALSE),[1]Category!A:B,2,FALSE)</f>
        <v>Seafood</v>
      </c>
      <c r="L2024" s="10">
        <f>IFERROR(VLOOKUP(A2024,'[1]Sales Order'!A:D,4,FALSE),"")</f>
        <v>39555</v>
      </c>
      <c r="M2024" s="10">
        <f>IFERROR(VLOOKUP(A2024,'[1]Sales Order'!A:F,6,FALSE),"")</f>
        <v>39562</v>
      </c>
      <c r="N2024" t="str">
        <f>IFERROR(VLOOKUP(VLOOKUP(A2024,'[1]Sales Order'!A:G,7,FALSE),[1]Shipper!A:B,2,FALSE),"Not Specified")</f>
        <v>Shipper ETYNR</v>
      </c>
      <c r="O2024" t="str">
        <f>IFERROR(VLOOKUP(A2024,'[1]Sales Order'!A:I,9,FALSE),"Not Specified")</f>
        <v>Ship to 71-C</v>
      </c>
      <c r="P2024" t="str">
        <f>IFERROR(VLOOKUP(A2024,'[1]Sales Order'!A:N,14,FALSE),"Not Specified")</f>
        <v>USA</v>
      </c>
      <c r="Q2024" t="str">
        <f>VLOOKUP(VLOOKUP(B2024,[1]Product!A:C,3,FALSE),[1]Supplier!A:B,2,FALSE)</f>
        <v>Supplier QWUSF</v>
      </c>
      <c r="R2024" t="str">
        <f>VLOOKUP(VLOOKUP(B2024,[1]Product!A:C,3,FALSE),[1]Supplier!A:I,9,FALSE)</f>
        <v>Japan</v>
      </c>
      <c r="S2024" t="str">
        <f>IFERROR(IF(VLOOKUP(A2024,'[1]Sales Order'!A:H,8,FALSE)&gt;100,"High Freight","Low Freight"),"Not Specified")</f>
        <v>High Freight</v>
      </c>
      <c r="T2024">
        <f t="shared" si="63"/>
        <v>480</v>
      </c>
    </row>
    <row r="2025" spans="1:20">
      <c r="A2025" s="1">
        <v>11031</v>
      </c>
      <c r="B2025" s="2">
        <v>24</v>
      </c>
      <c r="C2025" s="2">
        <v>4.5</v>
      </c>
      <c r="D2025" s="2">
        <v>21</v>
      </c>
      <c r="E2025" s="3">
        <v>0</v>
      </c>
      <c r="F2025" s="2" t="str">
        <f>IFERROR(VLOOKUP(VLOOKUP(A2025,'[1]Sales Order'!A:B,2,FALSE),[1]Customer!A:C,3,FALSE),"Not Specified")</f>
        <v>Navarro, Tomás</v>
      </c>
      <c r="G2025" s="2" t="str">
        <f t="shared" si="62"/>
        <v>Navarro Tomás</v>
      </c>
      <c r="H2025" s="8" t="str">
        <f>IFERROR(VLOOKUP(VLOOKUP(A2025,'[1]Sales Order'!A:C,3,FALSE),[1]Employee!A:E,5,FALSE)&amp;" "&amp;VLOOKUP(VLOOKUP(A2025,'[1]Sales Order'!A:C,3,FALSE),[1]Employee!A:C,3,FALSE)&amp;" "&amp;VLOOKUP(VLOOKUP(A2025,'[1]Sales Order'!A:C,3,FALSE),[1]Employee!A:B,2,FALSE),"Not Specified")</f>
        <v>Mr. Paul Suurs</v>
      </c>
      <c r="I2025">
        <f>IFERROR(VLOOKUP(VLOOKUP(A2025,'[1]Sales Order'!A:C,3,FALSE),[1]Employee!A:J,10,FALSE),"Not Specified")</f>
        <v>0</v>
      </c>
      <c r="J2025" t="str">
        <f>VLOOKUP(B2025,[1]Product!A:B,2,FALSE)</f>
        <v>Product QOGNU</v>
      </c>
      <c r="K2025" t="str">
        <f>VLOOKUP(VLOOKUP(B2025,[1]Product!A:D,4,FALSE),[1]Category!A:B,2,FALSE)</f>
        <v>Beverages</v>
      </c>
      <c r="L2025" s="10">
        <f>IFERROR(VLOOKUP(A2025,'[1]Sales Order'!A:D,4,FALSE),"")</f>
        <v>39555</v>
      </c>
      <c r="M2025" s="10">
        <f>IFERROR(VLOOKUP(A2025,'[1]Sales Order'!A:F,6,FALSE),"")</f>
        <v>39562</v>
      </c>
      <c r="N2025" t="str">
        <f>IFERROR(VLOOKUP(VLOOKUP(A2025,'[1]Sales Order'!A:G,7,FALSE),[1]Shipper!A:B,2,FALSE),"Not Specified")</f>
        <v>Shipper ETYNR</v>
      </c>
      <c r="O2025" t="str">
        <f>IFERROR(VLOOKUP(A2025,'[1]Sales Order'!A:I,9,FALSE),"Not Specified")</f>
        <v>Ship to 71-C</v>
      </c>
      <c r="P2025" t="str">
        <f>IFERROR(VLOOKUP(A2025,'[1]Sales Order'!A:N,14,FALSE),"Not Specified")</f>
        <v>USA</v>
      </c>
      <c r="Q2025" t="str">
        <f>VLOOKUP(VLOOKUP(B2025,[1]Product!A:C,3,FALSE),[1]Supplier!A:B,2,FALSE)</f>
        <v>Supplier UNAHG</v>
      </c>
      <c r="R2025" t="str">
        <f>VLOOKUP(VLOOKUP(B2025,[1]Product!A:C,3,FALSE),[1]Supplier!A:I,9,FALSE)</f>
        <v>Brazil</v>
      </c>
      <c r="S2025" t="str">
        <f>IFERROR(IF(VLOOKUP(A2025,'[1]Sales Order'!A:H,8,FALSE)&gt;100,"High Freight","Low Freight"),"Not Specified")</f>
        <v>High Freight</v>
      </c>
      <c r="T2025">
        <f t="shared" si="63"/>
        <v>94.5</v>
      </c>
    </row>
    <row r="2026" spans="1:20">
      <c r="A2026" s="1">
        <v>11031</v>
      </c>
      <c r="B2026" s="2">
        <v>64</v>
      </c>
      <c r="C2026" s="2">
        <v>33.25</v>
      </c>
      <c r="D2026" s="2">
        <v>20</v>
      </c>
      <c r="E2026" s="3">
        <v>0</v>
      </c>
      <c r="F2026" s="2" t="str">
        <f>IFERROR(VLOOKUP(VLOOKUP(A2026,'[1]Sales Order'!A:B,2,FALSE),[1]Customer!A:C,3,FALSE),"Not Specified")</f>
        <v>Navarro, Tomás</v>
      </c>
      <c r="G2026" s="2" t="str">
        <f t="shared" si="62"/>
        <v>Navarro Tomás</v>
      </c>
      <c r="H2026" s="8" t="str">
        <f>IFERROR(VLOOKUP(VLOOKUP(A2026,'[1]Sales Order'!A:C,3,FALSE),[1]Employee!A:E,5,FALSE)&amp;" "&amp;VLOOKUP(VLOOKUP(A2026,'[1]Sales Order'!A:C,3,FALSE),[1]Employee!A:C,3,FALSE)&amp;" "&amp;VLOOKUP(VLOOKUP(A2026,'[1]Sales Order'!A:C,3,FALSE),[1]Employee!A:B,2,FALSE),"Not Specified")</f>
        <v>Mr. Paul Suurs</v>
      </c>
      <c r="I2026">
        <f>IFERROR(VLOOKUP(VLOOKUP(A2026,'[1]Sales Order'!A:C,3,FALSE),[1]Employee!A:J,10,FALSE),"Not Specified")</f>
        <v>0</v>
      </c>
      <c r="J2026" t="str">
        <f>VLOOKUP(B2026,[1]Product!A:B,2,FALSE)</f>
        <v>Product HCQDE</v>
      </c>
      <c r="K2026" t="str">
        <f>VLOOKUP(VLOOKUP(B2026,[1]Product!A:D,4,FALSE),[1]Category!A:B,2,FALSE)</f>
        <v>Grains/Cereals</v>
      </c>
      <c r="L2026" s="10">
        <f>IFERROR(VLOOKUP(A2026,'[1]Sales Order'!A:D,4,FALSE),"")</f>
        <v>39555</v>
      </c>
      <c r="M2026" s="10">
        <f>IFERROR(VLOOKUP(A2026,'[1]Sales Order'!A:F,6,FALSE),"")</f>
        <v>39562</v>
      </c>
      <c r="N2026" t="str">
        <f>IFERROR(VLOOKUP(VLOOKUP(A2026,'[1]Sales Order'!A:G,7,FALSE),[1]Shipper!A:B,2,FALSE),"Not Specified")</f>
        <v>Shipper ETYNR</v>
      </c>
      <c r="O2026" t="str">
        <f>IFERROR(VLOOKUP(A2026,'[1]Sales Order'!A:I,9,FALSE),"Not Specified")</f>
        <v>Ship to 71-C</v>
      </c>
      <c r="P2026" t="str">
        <f>IFERROR(VLOOKUP(A2026,'[1]Sales Order'!A:N,14,FALSE),"Not Specified")</f>
        <v>USA</v>
      </c>
      <c r="Q2026" t="str">
        <f>VLOOKUP(VLOOKUP(B2026,[1]Product!A:C,3,FALSE),[1]Supplier!A:B,2,FALSE)</f>
        <v>Supplier SVIYA</v>
      </c>
      <c r="R2026" t="str">
        <f>VLOOKUP(VLOOKUP(B2026,[1]Product!A:C,3,FALSE),[1]Supplier!A:I,9,FALSE)</f>
        <v>Germany</v>
      </c>
      <c r="S2026" t="str">
        <f>IFERROR(IF(VLOOKUP(A2026,'[1]Sales Order'!A:H,8,FALSE)&gt;100,"High Freight","Low Freight"),"Not Specified")</f>
        <v>High Freight</v>
      </c>
      <c r="T2026">
        <f t="shared" si="63"/>
        <v>665</v>
      </c>
    </row>
    <row r="2027" spans="1:20">
      <c r="A2027" s="1">
        <v>11031</v>
      </c>
      <c r="B2027" s="2">
        <v>71</v>
      </c>
      <c r="C2027" s="2">
        <v>21.5</v>
      </c>
      <c r="D2027" s="2">
        <v>16</v>
      </c>
      <c r="E2027" s="3">
        <v>0</v>
      </c>
      <c r="F2027" s="2" t="str">
        <f>IFERROR(VLOOKUP(VLOOKUP(A2027,'[1]Sales Order'!A:B,2,FALSE),[1]Customer!A:C,3,FALSE),"Not Specified")</f>
        <v>Navarro, Tomás</v>
      </c>
      <c r="G2027" s="2" t="str">
        <f t="shared" si="62"/>
        <v>Navarro Tomás</v>
      </c>
      <c r="H2027" s="8" t="str">
        <f>IFERROR(VLOOKUP(VLOOKUP(A2027,'[1]Sales Order'!A:C,3,FALSE),[1]Employee!A:E,5,FALSE)&amp;" "&amp;VLOOKUP(VLOOKUP(A2027,'[1]Sales Order'!A:C,3,FALSE),[1]Employee!A:C,3,FALSE)&amp;" "&amp;VLOOKUP(VLOOKUP(A2027,'[1]Sales Order'!A:C,3,FALSE),[1]Employee!A:B,2,FALSE),"Not Specified")</f>
        <v>Mr. Paul Suurs</v>
      </c>
      <c r="I2027">
        <f>IFERROR(VLOOKUP(VLOOKUP(A2027,'[1]Sales Order'!A:C,3,FALSE),[1]Employee!A:J,10,FALSE),"Not Specified")</f>
        <v>0</v>
      </c>
      <c r="J2027" t="str">
        <f>VLOOKUP(B2027,[1]Product!A:B,2,FALSE)</f>
        <v>Product MYMOI</v>
      </c>
      <c r="K2027" t="str">
        <f>VLOOKUP(VLOOKUP(B2027,[1]Product!A:D,4,FALSE),[1]Category!A:B,2,FALSE)</f>
        <v>Dairy Product</v>
      </c>
      <c r="L2027" s="10">
        <f>IFERROR(VLOOKUP(A2027,'[1]Sales Order'!A:D,4,FALSE),"")</f>
        <v>39555</v>
      </c>
      <c r="M2027" s="10">
        <f>IFERROR(VLOOKUP(A2027,'[1]Sales Order'!A:F,6,FALSE),"")</f>
        <v>39562</v>
      </c>
      <c r="N2027" t="str">
        <f>IFERROR(VLOOKUP(VLOOKUP(A2027,'[1]Sales Order'!A:G,7,FALSE),[1]Shipper!A:B,2,FALSE),"Not Specified")</f>
        <v>Shipper ETYNR</v>
      </c>
      <c r="O2027" t="str">
        <f>IFERROR(VLOOKUP(A2027,'[1]Sales Order'!A:I,9,FALSE),"Not Specified")</f>
        <v>Ship to 71-C</v>
      </c>
      <c r="P2027" t="str">
        <f>IFERROR(VLOOKUP(A2027,'[1]Sales Order'!A:N,14,FALSE),"Not Specified")</f>
        <v>USA</v>
      </c>
      <c r="Q2027" t="str">
        <f>VLOOKUP(VLOOKUP(B2027,[1]Product!A:C,3,FALSE),[1]Supplier!A:B,2,FALSE)</f>
        <v>Supplier NZLIF</v>
      </c>
      <c r="R2027" t="str">
        <f>VLOOKUP(VLOOKUP(B2027,[1]Product!A:C,3,FALSE),[1]Supplier!A:I,9,FALSE)</f>
        <v>Norway</v>
      </c>
      <c r="S2027" t="str">
        <f>IFERROR(IF(VLOOKUP(A2027,'[1]Sales Order'!A:H,8,FALSE)&gt;100,"High Freight","Low Freight"),"Not Specified")</f>
        <v>High Freight</v>
      </c>
      <c r="T2027">
        <f t="shared" si="63"/>
        <v>344</v>
      </c>
    </row>
    <row r="2028" spans="1:20">
      <c r="A2028" s="1">
        <v>11032</v>
      </c>
      <c r="B2028" s="2">
        <v>36</v>
      </c>
      <c r="C2028" s="2">
        <v>19</v>
      </c>
      <c r="D2028" s="2">
        <v>35</v>
      </c>
      <c r="E2028" s="3">
        <v>0</v>
      </c>
      <c r="F2028" s="2" t="str">
        <f>IFERROR(VLOOKUP(VLOOKUP(A2028,'[1]Sales Order'!A:B,2,FALSE),[1]Customer!A:C,3,FALSE),"Not Specified")</f>
        <v>Smith Jr., Ronaldo</v>
      </c>
      <c r="G2028" s="2" t="str">
        <f t="shared" si="62"/>
        <v>Smith Jr. Ronaldo</v>
      </c>
      <c r="H2028" s="8" t="str">
        <f>IFERROR(VLOOKUP(VLOOKUP(A2028,'[1]Sales Order'!A:C,3,FALSE),[1]Employee!A:E,5,FALSE)&amp;" "&amp;VLOOKUP(VLOOKUP(A2028,'[1]Sales Order'!A:C,3,FALSE),[1]Employee!A:C,3,FALSE)&amp;" "&amp;VLOOKUP(VLOOKUP(A2028,'[1]Sales Order'!A:C,3,FALSE),[1]Employee!A:B,2,FALSE),"Not Specified")</f>
        <v>Dr. Don Funk</v>
      </c>
      <c r="I2028" t="str">
        <f>IFERROR(VLOOKUP(VLOOKUP(A2028,'[1]Sales Order'!A:C,3,FALSE),[1]Employee!A:J,10,FALSE),"Not Specified")</f>
        <v>WA</v>
      </c>
      <c r="J2028" t="str">
        <f>VLOOKUP(B2028,[1]Product!A:B,2,FALSE)</f>
        <v>Product GMKIJ</v>
      </c>
      <c r="K2028" t="str">
        <f>VLOOKUP(VLOOKUP(B2028,[1]Product!A:D,4,FALSE),[1]Category!A:B,2,FALSE)</f>
        <v>Seafood</v>
      </c>
      <c r="L2028" s="10">
        <f>IFERROR(VLOOKUP(A2028,'[1]Sales Order'!A:D,4,FALSE),"")</f>
        <v>39555</v>
      </c>
      <c r="M2028" s="10">
        <f>IFERROR(VLOOKUP(A2028,'[1]Sales Order'!A:F,6,FALSE),"")</f>
        <v>39561</v>
      </c>
      <c r="N2028" t="str">
        <f>IFERROR(VLOOKUP(VLOOKUP(A2028,'[1]Sales Order'!A:G,7,FALSE),[1]Shipper!A:B,2,FALSE),"Not Specified")</f>
        <v>Shipper ZHISN</v>
      </c>
      <c r="O2028" t="str">
        <f>IFERROR(VLOOKUP(A2028,'[1]Sales Order'!A:I,9,FALSE),"Not Specified")</f>
        <v>Ship to 89-B</v>
      </c>
      <c r="P2028" t="str">
        <f>IFERROR(VLOOKUP(A2028,'[1]Sales Order'!A:N,14,FALSE),"Not Specified")</f>
        <v>USA</v>
      </c>
      <c r="Q2028" t="str">
        <f>VLOOKUP(VLOOKUP(B2028,[1]Product!A:C,3,FALSE),[1]Supplier!A:B,2,FALSE)</f>
        <v>Supplier QZGUF</v>
      </c>
      <c r="R2028" t="str">
        <f>VLOOKUP(VLOOKUP(B2028,[1]Product!A:C,3,FALSE),[1]Supplier!A:I,9,FALSE)</f>
        <v>Sweden</v>
      </c>
      <c r="S2028" t="str">
        <f>IFERROR(IF(VLOOKUP(A2028,'[1]Sales Order'!A:H,8,FALSE)&gt;100,"High Freight","Low Freight"),"Not Specified")</f>
        <v>High Freight</v>
      </c>
      <c r="T2028">
        <f t="shared" si="63"/>
        <v>665</v>
      </c>
    </row>
    <row r="2029" spans="1:20">
      <c r="A2029" s="1">
        <v>11032</v>
      </c>
      <c r="B2029" s="2">
        <v>38</v>
      </c>
      <c r="C2029" s="2">
        <v>263.5</v>
      </c>
      <c r="D2029" s="2">
        <v>25</v>
      </c>
      <c r="E2029" s="3">
        <v>0</v>
      </c>
      <c r="F2029" s="2" t="str">
        <f>IFERROR(VLOOKUP(VLOOKUP(A2029,'[1]Sales Order'!A:B,2,FALSE),[1]Customer!A:C,3,FALSE),"Not Specified")</f>
        <v>Smith Jr., Ronaldo</v>
      </c>
      <c r="G2029" s="2" t="str">
        <f t="shared" si="62"/>
        <v>Smith Jr. Ronaldo</v>
      </c>
      <c r="H2029" s="8" t="str">
        <f>IFERROR(VLOOKUP(VLOOKUP(A2029,'[1]Sales Order'!A:C,3,FALSE),[1]Employee!A:E,5,FALSE)&amp;" "&amp;VLOOKUP(VLOOKUP(A2029,'[1]Sales Order'!A:C,3,FALSE),[1]Employee!A:C,3,FALSE)&amp;" "&amp;VLOOKUP(VLOOKUP(A2029,'[1]Sales Order'!A:C,3,FALSE),[1]Employee!A:B,2,FALSE),"Not Specified")</f>
        <v>Dr. Don Funk</v>
      </c>
      <c r="I2029" t="str">
        <f>IFERROR(VLOOKUP(VLOOKUP(A2029,'[1]Sales Order'!A:C,3,FALSE),[1]Employee!A:J,10,FALSE),"Not Specified")</f>
        <v>WA</v>
      </c>
      <c r="J2029" t="str">
        <f>VLOOKUP(B2029,[1]Product!A:B,2,FALSE)</f>
        <v>Product QDOMO</v>
      </c>
      <c r="K2029" t="str">
        <f>VLOOKUP(VLOOKUP(B2029,[1]Product!A:D,4,FALSE),[1]Category!A:B,2,FALSE)</f>
        <v>Beverages</v>
      </c>
      <c r="L2029" s="10">
        <f>IFERROR(VLOOKUP(A2029,'[1]Sales Order'!A:D,4,FALSE),"")</f>
        <v>39555</v>
      </c>
      <c r="M2029" s="10">
        <f>IFERROR(VLOOKUP(A2029,'[1]Sales Order'!A:F,6,FALSE),"")</f>
        <v>39561</v>
      </c>
      <c r="N2029" t="str">
        <f>IFERROR(VLOOKUP(VLOOKUP(A2029,'[1]Sales Order'!A:G,7,FALSE),[1]Shipper!A:B,2,FALSE),"Not Specified")</f>
        <v>Shipper ZHISN</v>
      </c>
      <c r="O2029" t="str">
        <f>IFERROR(VLOOKUP(A2029,'[1]Sales Order'!A:I,9,FALSE),"Not Specified")</f>
        <v>Ship to 89-B</v>
      </c>
      <c r="P2029" t="str">
        <f>IFERROR(VLOOKUP(A2029,'[1]Sales Order'!A:N,14,FALSE),"Not Specified")</f>
        <v>USA</v>
      </c>
      <c r="Q2029" t="str">
        <f>VLOOKUP(VLOOKUP(B2029,[1]Product!A:C,3,FALSE),[1]Supplier!A:B,2,FALSE)</f>
        <v>Supplier LVJUA</v>
      </c>
      <c r="R2029" t="str">
        <f>VLOOKUP(VLOOKUP(B2029,[1]Product!A:C,3,FALSE),[1]Supplier!A:I,9,FALSE)</f>
        <v>France</v>
      </c>
      <c r="S2029" t="str">
        <f>IFERROR(IF(VLOOKUP(A2029,'[1]Sales Order'!A:H,8,FALSE)&gt;100,"High Freight","Low Freight"),"Not Specified")</f>
        <v>High Freight</v>
      </c>
      <c r="T2029">
        <f t="shared" si="63"/>
        <v>6587.5</v>
      </c>
    </row>
    <row r="2030" spans="1:20">
      <c r="A2030" s="1">
        <v>11032</v>
      </c>
      <c r="B2030" s="2">
        <v>59</v>
      </c>
      <c r="C2030" s="2">
        <v>55</v>
      </c>
      <c r="D2030" s="2">
        <v>30</v>
      </c>
      <c r="E2030" s="3">
        <v>0</v>
      </c>
      <c r="F2030" s="2" t="str">
        <f>IFERROR(VLOOKUP(VLOOKUP(A2030,'[1]Sales Order'!A:B,2,FALSE),[1]Customer!A:C,3,FALSE),"Not Specified")</f>
        <v>Smith Jr., Ronaldo</v>
      </c>
      <c r="G2030" s="2" t="str">
        <f t="shared" si="62"/>
        <v>Smith Jr. Ronaldo</v>
      </c>
      <c r="H2030" s="8" t="str">
        <f>IFERROR(VLOOKUP(VLOOKUP(A2030,'[1]Sales Order'!A:C,3,FALSE),[1]Employee!A:E,5,FALSE)&amp;" "&amp;VLOOKUP(VLOOKUP(A2030,'[1]Sales Order'!A:C,3,FALSE),[1]Employee!A:C,3,FALSE)&amp;" "&amp;VLOOKUP(VLOOKUP(A2030,'[1]Sales Order'!A:C,3,FALSE),[1]Employee!A:B,2,FALSE),"Not Specified")</f>
        <v>Dr. Don Funk</v>
      </c>
      <c r="I2030" t="str">
        <f>IFERROR(VLOOKUP(VLOOKUP(A2030,'[1]Sales Order'!A:C,3,FALSE),[1]Employee!A:J,10,FALSE),"Not Specified")</f>
        <v>WA</v>
      </c>
      <c r="J2030" t="str">
        <f>VLOOKUP(B2030,[1]Product!A:B,2,FALSE)</f>
        <v>Product UKXRI</v>
      </c>
      <c r="K2030" t="str">
        <f>VLOOKUP(VLOOKUP(B2030,[1]Product!A:D,4,FALSE),[1]Category!A:B,2,FALSE)</f>
        <v>Dairy Product</v>
      </c>
      <c r="L2030" s="10">
        <f>IFERROR(VLOOKUP(A2030,'[1]Sales Order'!A:D,4,FALSE),"")</f>
        <v>39555</v>
      </c>
      <c r="M2030" s="10">
        <f>IFERROR(VLOOKUP(A2030,'[1]Sales Order'!A:F,6,FALSE),"")</f>
        <v>39561</v>
      </c>
      <c r="N2030" t="str">
        <f>IFERROR(VLOOKUP(VLOOKUP(A2030,'[1]Sales Order'!A:G,7,FALSE),[1]Shipper!A:B,2,FALSE),"Not Specified")</f>
        <v>Shipper ZHISN</v>
      </c>
      <c r="O2030" t="str">
        <f>IFERROR(VLOOKUP(A2030,'[1]Sales Order'!A:I,9,FALSE),"Not Specified")</f>
        <v>Ship to 89-B</v>
      </c>
      <c r="P2030" t="str">
        <f>IFERROR(VLOOKUP(A2030,'[1]Sales Order'!A:N,14,FALSE),"Not Specified")</f>
        <v>USA</v>
      </c>
      <c r="Q2030" t="str">
        <f>VLOOKUP(VLOOKUP(B2030,[1]Product!A:C,3,FALSE),[1]Supplier!A:B,2,FALSE)</f>
        <v>Supplier OAVQT</v>
      </c>
      <c r="R2030" t="str">
        <f>VLOOKUP(VLOOKUP(B2030,[1]Product!A:C,3,FALSE),[1]Supplier!A:I,9,FALSE)</f>
        <v>France</v>
      </c>
      <c r="S2030" t="str">
        <f>IFERROR(IF(VLOOKUP(A2030,'[1]Sales Order'!A:H,8,FALSE)&gt;100,"High Freight","Low Freight"),"Not Specified")</f>
        <v>High Freight</v>
      </c>
      <c r="T2030">
        <f t="shared" si="63"/>
        <v>1650</v>
      </c>
    </row>
    <row r="2031" spans="1:20">
      <c r="A2031" s="1">
        <v>11033</v>
      </c>
      <c r="B2031" s="2">
        <v>53</v>
      </c>
      <c r="C2031" s="2">
        <v>32.799999999999997</v>
      </c>
      <c r="D2031" s="2">
        <v>70</v>
      </c>
      <c r="E2031" s="3">
        <v>0.1</v>
      </c>
      <c r="F2031" s="2" t="str">
        <f>IFERROR(VLOOKUP(VLOOKUP(A2031,'[1]Sales Order'!A:B,2,FALSE),[1]Customer!A:C,3,FALSE),"Not Specified")</f>
        <v>Myrcha, Jacek</v>
      </c>
      <c r="G2031" s="2" t="str">
        <f t="shared" si="62"/>
        <v>Myrcha Jacek</v>
      </c>
      <c r="H2031" s="8" t="str">
        <f>IFERROR(VLOOKUP(VLOOKUP(A2031,'[1]Sales Order'!A:C,3,FALSE),[1]Employee!A:E,5,FALSE)&amp;" "&amp;VLOOKUP(VLOOKUP(A2031,'[1]Sales Order'!A:C,3,FALSE),[1]Employee!A:C,3,FALSE)&amp;" "&amp;VLOOKUP(VLOOKUP(A2031,'[1]Sales Order'!A:C,3,FALSE),[1]Employee!A:B,2,FALSE),"Not Specified")</f>
        <v>Mr. Russell King</v>
      </c>
      <c r="I2031">
        <f>IFERROR(VLOOKUP(VLOOKUP(A2031,'[1]Sales Order'!A:C,3,FALSE),[1]Employee!A:J,10,FALSE),"Not Specified")</f>
        <v>0</v>
      </c>
      <c r="J2031" t="str">
        <f>VLOOKUP(B2031,[1]Product!A:B,2,FALSE)</f>
        <v>Product BKGEA</v>
      </c>
      <c r="K2031" t="str">
        <f>VLOOKUP(VLOOKUP(B2031,[1]Product!A:D,4,FALSE),[1]Category!A:B,2,FALSE)</f>
        <v>Meat/Poultry</v>
      </c>
      <c r="L2031" s="10">
        <f>IFERROR(VLOOKUP(A2031,'[1]Sales Order'!A:D,4,FALSE),"")</f>
        <v>39555</v>
      </c>
      <c r="M2031" s="10">
        <f>IFERROR(VLOOKUP(A2031,'[1]Sales Order'!A:F,6,FALSE),"")</f>
        <v>39561</v>
      </c>
      <c r="N2031" t="str">
        <f>IFERROR(VLOOKUP(VLOOKUP(A2031,'[1]Sales Order'!A:G,7,FALSE),[1]Shipper!A:B,2,FALSE),"Not Specified")</f>
        <v>Shipper ZHISN</v>
      </c>
      <c r="O2031" t="str">
        <f>IFERROR(VLOOKUP(A2031,'[1]Sales Order'!A:I,9,FALSE),"Not Specified")</f>
        <v>Ship to 68-A</v>
      </c>
      <c r="P2031" t="str">
        <f>IFERROR(VLOOKUP(A2031,'[1]Sales Order'!A:N,14,FALSE),"Not Specified")</f>
        <v>Switzerland</v>
      </c>
      <c r="Q2031" t="str">
        <f>VLOOKUP(VLOOKUP(B2031,[1]Product!A:C,3,FALSE),[1]Supplier!A:B,2,FALSE)</f>
        <v>Supplier JNNES</v>
      </c>
      <c r="R2031" t="str">
        <f>VLOOKUP(VLOOKUP(B2031,[1]Product!A:C,3,FALSE),[1]Supplier!A:I,9,FALSE)</f>
        <v>Australia</v>
      </c>
      <c r="S2031" t="str">
        <f>IFERROR(IF(VLOOKUP(A2031,'[1]Sales Order'!A:H,8,FALSE)&gt;100,"High Freight","Low Freight"),"Not Specified")</f>
        <v>Low Freight</v>
      </c>
      <c r="T2031">
        <f t="shared" si="63"/>
        <v>2066.4</v>
      </c>
    </row>
    <row r="2032" spans="1:20">
      <c r="A2032" s="1">
        <v>11033</v>
      </c>
      <c r="B2032" s="2">
        <v>69</v>
      </c>
      <c r="C2032" s="2">
        <v>36</v>
      </c>
      <c r="D2032" s="2">
        <v>36</v>
      </c>
      <c r="E2032" s="3">
        <v>0.1</v>
      </c>
      <c r="F2032" s="2" t="str">
        <f>IFERROR(VLOOKUP(VLOOKUP(A2032,'[1]Sales Order'!A:B,2,FALSE),[1]Customer!A:C,3,FALSE),"Not Specified")</f>
        <v>Myrcha, Jacek</v>
      </c>
      <c r="G2032" s="2" t="str">
        <f t="shared" si="62"/>
        <v>Myrcha Jacek</v>
      </c>
      <c r="H2032" s="8" t="str">
        <f>IFERROR(VLOOKUP(VLOOKUP(A2032,'[1]Sales Order'!A:C,3,FALSE),[1]Employee!A:E,5,FALSE)&amp;" "&amp;VLOOKUP(VLOOKUP(A2032,'[1]Sales Order'!A:C,3,FALSE),[1]Employee!A:C,3,FALSE)&amp;" "&amp;VLOOKUP(VLOOKUP(A2032,'[1]Sales Order'!A:C,3,FALSE),[1]Employee!A:B,2,FALSE),"Not Specified")</f>
        <v>Mr. Russell King</v>
      </c>
      <c r="I2032">
        <f>IFERROR(VLOOKUP(VLOOKUP(A2032,'[1]Sales Order'!A:C,3,FALSE),[1]Employee!A:J,10,FALSE),"Not Specified")</f>
        <v>0</v>
      </c>
      <c r="J2032" t="str">
        <f>VLOOKUP(B2032,[1]Product!A:B,2,FALSE)</f>
        <v>Product COAXA</v>
      </c>
      <c r="K2032" t="str">
        <f>VLOOKUP(VLOOKUP(B2032,[1]Product!A:D,4,FALSE),[1]Category!A:B,2,FALSE)</f>
        <v>Dairy Product</v>
      </c>
      <c r="L2032" s="10">
        <f>IFERROR(VLOOKUP(A2032,'[1]Sales Order'!A:D,4,FALSE),"")</f>
        <v>39555</v>
      </c>
      <c r="M2032" s="10">
        <f>IFERROR(VLOOKUP(A2032,'[1]Sales Order'!A:F,6,FALSE),"")</f>
        <v>39561</v>
      </c>
      <c r="N2032" t="str">
        <f>IFERROR(VLOOKUP(VLOOKUP(A2032,'[1]Sales Order'!A:G,7,FALSE),[1]Shipper!A:B,2,FALSE),"Not Specified")</f>
        <v>Shipper ZHISN</v>
      </c>
      <c r="O2032" t="str">
        <f>IFERROR(VLOOKUP(A2032,'[1]Sales Order'!A:I,9,FALSE),"Not Specified")</f>
        <v>Ship to 68-A</v>
      </c>
      <c r="P2032" t="str">
        <f>IFERROR(VLOOKUP(A2032,'[1]Sales Order'!A:N,14,FALSE),"Not Specified")</f>
        <v>Switzerland</v>
      </c>
      <c r="Q2032" t="str">
        <f>VLOOKUP(VLOOKUP(B2032,[1]Product!A:C,3,FALSE),[1]Supplier!A:B,2,FALSE)</f>
        <v>Supplier NZLIF</v>
      </c>
      <c r="R2032" t="str">
        <f>VLOOKUP(VLOOKUP(B2032,[1]Product!A:C,3,FALSE),[1]Supplier!A:I,9,FALSE)</f>
        <v>Norway</v>
      </c>
      <c r="S2032" t="str">
        <f>IFERROR(IF(VLOOKUP(A2032,'[1]Sales Order'!A:H,8,FALSE)&gt;100,"High Freight","Low Freight"),"Not Specified")</f>
        <v>Low Freight</v>
      </c>
      <c r="T2032">
        <f t="shared" si="63"/>
        <v>1166.4000000000001</v>
      </c>
    </row>
    <row r="2033" spans="1:20">
      <c r="A2033" s="1">
        <v>11034</v>
      </c>
      <c r="B2033" s="2">
        <v>21</v>
      </c>
      <c r="C2033" s="2">
        <v>10</v>
      </c>
      <c r="D2033" s="2">
        <v>15</v>
      </c>
      <c r="E2033" s="3">
        <v>0.1</v>
      </c>
      <c r="F2033" s="2" t="str">
        <f>IFERROR(VLOOKUP(VLOOKUP(A2033,'[1]Sales Order'!A:B,2,FALSE),[1]Customer!A:C,3,FALSE),"Not Specified")</f>
        <v>Egelund-Muller, Anja</v>
      </c>
      <c r="G2033" s="2" t="str">
        <f t="shared" si="62"/>
        <v>Egelund-Muller Anja</v>
      </c>
      <c r="H2033" s="8" t="str">
        <f>IFERROR(VLOOKUP(VLOOKUP(A2033,'[1]Sales Order'!A:C,3,FALSE),[1]Employee!A:E,5,FALSE)&amp;" "&amp;VLOOKUP(VLOOKUP(A2033,'[1]Sales Order'!A:C,3,FALSE),[1]Employee!A:C,3,FALSE)&amp;" "&amp;VLOOKUP(VLOOKUP(A2033,'[1]Sales Order'!A:C,3,FALSE),[1]Employee!A:B,2,FALSE),"Not Specified")</f>
        <v>Ms. Maria Cameron</v>
      </c>
      <c r="I2033" t="str">
        <f>IFERROR(VLOOKUP(VLOOKUP(A2033,'[1]Sales Order'!A:C,3,FALSE),[1]Employee!A:J,10,FALSE),"Not Specified")</f>
        <v>WA</v>
      </c>
      <c r="J2033" t="str">
        <f>VLOOKUP(B2033,[1]Product!A:B,2,FALSE)</f>
        <v>Product VJZZH</v>
      </c>
      <c r="K2033" t="str">
        <f>VLOOKUP(VLOOKUP(B2033,[1]Product!A:D,4,FALSE),[1]Category!A:B,2,FALSE)</f>
        <v>Confections</v>
      </c>
      <c r="L2033" s="10">
        <f>IFERROR(VLOOKUP(A2033,'[1]Sales Order'!A:D,4,FALSE),"")</f>
        <v>39558</v>
      </c>
      <c r="M2033" s="10">
        <f>IFERROR(VLOOKUP(A2033,'[1]Sales Order'!A:F,6,FALSE),"")</f>
        <v>39565</v>
      </c>
      <c r="N2033" t="str">
        <f>IFERROR(VLOOKUP(VLOOKUP(A2033,'[1]Sales Order'!A:G,7,FALSE),[1]Shipper!A:B,2,FALSE),"Not Specified")</f>
        <v>Shipper GVSUA</v>
      </c>
      <c r="O2033" t="str">
        <f>IFERROR(VLOOKUP(A2033,'[1]Sales Order'!A:I,9,FALSE),"Not Specified")</f>
        <v>Ship to 55-B</v>
      </c>
      <c r="P2033" t="str">
        <f>IFERROR(VLOOKUP(A2033,'[1]Sales Order'!A:N,14,FALSE),"Not Specified")</f>
        <v>USA</v>
      </c>
      <c r="Q2033" t="str">
        <f>VLOOKUP(VLOOKUP(B2033,[1]Product!A:C,3,FALSE),[1]Supplier!A:B,2,FALSE)</f>
        <v>Supplier BWGYE</v>
      </c>
      <c r="R2033" t="str">
        <f>VLOOKUP(VLOOKUP(B2033,[1]Product!A:C,3,FALSE),[1]Supplier!A:I,9,FALSE)</f>
        <v>UK</v>
      </c>
      <c r="S2033" t="str">
        <f>IFERROR(IF(VLOOKUP(A2033,'[1]Sales Order'!A:H,8,FALSE)&gt;100,"High Freight","Low Freight"),"Not Specified")</f>
        <v>Low Freight</v>
      </c>
      <c r="T2033">
        <f t="shared" si="63"/>
        <v>135</v>
      </c>
    </row>
    <row r="2034" spans="1:20">
      <c r="A2034" s="1">
        <v>11034</v>
      </c>
      <c r="B2034" s="2">
        <v>44</v>
      </c>
      <c r="C2034" s="2">
        <v>19.45</v>
      </c>
      <c r="D2034" s="2">
        <v>12</v>
      </c>
      <c r="E2034" s="3">
        <v>0</v>
      </c>
      <c r="F2034" s="2" t="str">
        <f>IFERROR(VLOOKUP(VLOOKUP(A2034,'[1]Sales Order'!A:B,2,FALSE),[1]Customer!A:C,3,FALSE),"Not Specified")</f>
        <v>Egelund-Muller, Anja</v>
      </c>
      <c r="G2034" s="2" t="str">
        <f t="shared" si="62"/>
        <v>Egelund-Muller Anja</v>
      </c>
      <c r="H2034" s="8" t="str">
        <f>IFERROR(VLOOKUP(VLOOKUP(A2034,'[1]Sales Order'!A:C,3,FALSE),[1]Employee!A:E,5,FALSE)&amp;" "&amp;VLOOKUP(VLOOKUP(A2034,'[1]Sales Order'!A:C,3,FALSE),[1]Employee!A:C,3,FALSE)&amp;" "&amp;VLOOKUP(VLOOKUP(A2034,'[1]Sales Order'!A:C,3,FALSE),[1]Employee!A:B,2,FALSE),"Not Specified")</f>
        <v>Ms. Maria Cameron</v>
      </c>
      <c r="I2034" t="str">
        <f>IFERROR(VLOOKUP(VLOOKUP(A2034,'[1]Sales Order'!A:C,3,FALSE),[1]Employee!A:J,10,FALSE),"Not Specified")</f>
        <v>WA</v>
      </c>
      <c r="J2034" t="str">
        <f>VLOOKUP(B2034,[1]Product!A:B,2,FALSE)</f>
        <v>Product VJIEO</v>
      </c>
      <c r="K2034" t="str">
        <f>VLOOKUP(VLOOKUP(B2034,[1]Product!A:D,4,FALSE),[1]Category!A:B,2,FALSE)</f>
        <v>Condiments</v>
      </c>
      <c r="L2034" s="10">
        <f>IFERROR(VLOOKUP(A2034,'[1]Sales Order'!A:D,4,FALSE),"")</f>
        <v>39558</v>
      </c>
      <c r="M2034" s="10">
        <f>IFERROR(VLOOKUP(A2034,'[1]Sales Order'!A:F,6,FALSE),"")</f>
        <v>39565</v>
      </c>
      <c r="N2034" t="str">
        <f>IFERROR(VLOOKUP(VLOOKUP(A2034,'[1]Sales Order'!A:G,7,FALSE),[1]Shipper!A:B,2,FALSE),"Not Specified")</f>
        <v>Shipper GVSUA</v>
      </c>
      <c r="O2034" t="str">
        <f>IFERROR(VLOOKUP(A2034,'[1]Sales Order'!A:I,9,FALSE),"Not Specified")</f>
        <v>Ship to 55-B</v>
      </c>
      <c r="P2034" t="str">
        <f>IFERROR(VLOOKUP(A2034,'[1]Sales Order'!A:N,14,FALSE),"Not Specified")</f>
        <v>USA</v>
      </c>
      <c r="Q2034" t="str">
        <f>VLOOKUP(VLOOKUP(B2034,[1]Product!A:C,3,FALSE),[1]Supplier!A:B,2,FALSE)</f>
        <v>Supplier CIYNM</v>
      </c>
      <c r="R2034" t="str">
        <f>VLOOKUP(VLOOKUP(B2034,[1]Product!A:C,3,FALSE),[1]Supplier!A:I,9,FALSE)</f>
        <v>Singapore</v>
      </c>
      <c r="S2034" t="str">
        <f>IFERROR(IF(VLOOKUP(A2034,'[1]Sales Order'!A:H,8,FALSE)&gt;100,"High Freight","Low Freight"),"Not Specified")</f>
        <v>Low Freight</v>
      </c>
      <c r="T2034">
        <f t="shared" si="63"/>
        <v>233.39999999999998</v>
      </c>
    </row>
    <row r="2035" spans="1:20">
      <c r="A2035" s="1">
        <v>11034</v>
      </c>
      <c r="B2035" s="2">
        <v>61</v>
      </c>
      <c r="C2035" s="2">
        <v>28.5</v>
      </c>
      <c r="D2035" s="2">
        <v>6</v>
      </c>
      <c r="E2035" s="3">
        <v>0</v>
      </c>
      <c r="F2035" s="2" t="str">
        <f>IFERROR(VLOOKUP(VLOOKUP(A2035,'[1]Sales Order'!A:B,2,FALSE),[1]Customer!A:C,3,FALSE),"Not Specified")</f>
        <v>Egelund-Muller, Anja</v>
      </c>
      <c r="G2035" s="2" t="str">
        <f t="shared" si="62"/>
        <v>Egelund-Muller Anja</v>
      </c>
      <c r="H2035" s="8" t="str">
        <f>IFERROR(VLOOKUP(VLOOKUP(A2035,'[1]Sales Order'!A:C,3,FALSE),[1]Employee!A:E,5,FALSE)&amp;" "&amp;VLOOKUP(VLOOKUP(A2035,'[1]Sales Order'!A:C,3,FALSE),[1]Employee!A:C,3,FALSE)&amp;" "&amp;VLOOKUP(VLOOKUP(A2035,'[1]Sales Order'!A:C,3,FALSE),[1]Employee!A:B,2,FALSE),"Not Specified")</f>
        <v>Ms. Maria Cameron</v>
      </c>
      <c r="I2035" t="str">
        <f>IFERROR(VLOOKUP(VLOOKUP(A2035,'[1]Sales Order'!A:C,3,FALSE),[1]Employee!A:J,10,FALSE),"Not Specified")</f>
        <v>WA</v>
      </c>
      <c r="J2035" t="str">
        <f>VLOOKUP(B2035,[1]Product!A:B,2,FALSE)</f>
        <v>Product XYZPE</v>
      </c>
      <c r="K2035" t="str">
        <f>VLOOKUP(VLOOKUP(B2035,[1]Product!A:D,4,FALSE),[1]Category!A:B,2,FALSE)</f>
        <v>Condiments</v>
      </c>
      <c r="L2035" s="10">
        <f>IFERROR(VLOOKUP(A2035,'[1]Sales Order'!A:D,4,FALSE),"")</f>
        <v>39558</v>
      </c>
      <c r="M2035" s="10">
        <f>IFERROR(VLOOKUP(A2035,'[1]Sales Order'!A:F,6,FALSE),"")</f>
        <v>39565</v>
      </c>
      <c r="N2035" t="str">
        <f>IFERROR(VLOOKUP(VLOOKUP(A2035,'[1]Sales Order'!A:G,7,FALSE),[1]Shipper!A:B,2,FALSE),"Not Specified")</f>
        <v>Shipper GVSUA</v>
      </c>
      <c r="O2035" t="str">
        <f>IFERROR(VLOOKUP(A2035,'[1]Sales Order'!A:I,9,FALSE),"Not Specified")</f>
        <v>Ship to 55-B</v>
      </c>
      <c r="P2035" t="str">
        <f>IFERROR(VLOOKUP(A2035,'[1]Sales Order'!A:N,14,FALSE),"Not Specified")</f>
        <v>USA</v>
      </c>
      <c r="Q2035" t="str">
        <f>VLOOKUP(VLOOKUP(B2035,[1]Product!A:C,3,FALSE),[1]Supplier!A:B,2,FALSE)</f>
        <v>Supplier OGLRK</v>
      </c>
      <c r="R2035" t="str">
        <f>VLOOKUP(VLOOKUP(B2035,[1]Product!A:C,3,FALSE),[1]Supplier!A:I,9,FALSE)</f>
        <v>Canada</v>
      </c>
      <c r="S2035" t="str">
        <f>IFERROR(IF(VLOOKUP(A2035,'[1]Sales Order'!A:H,8,FALSE)&gt;100,"High Freight","Low Freight"),"Not Specified")</f>
        <v>Low Freight</v>
      </c>
      <c r="T2035">
        <f t="shared" si="63"/>
        <v>171</v>
      </c>
    </row>
    <row r="2036" spans="1:20">
      <c r="A2036" s="1">
        <v>11035</v>
      </c>
      <c r="B2036" s="2">
        <v>1</v>
      </c>
      <c r="C2036" s="2">
        <v>18</v>
      </c>
      <c r="D2036" s="2">
        <v>10</v>
      </c>
      <c r="E2036" s="3">
        <v>0</v>
      </c>
      <c r="F2036" s="2" t="str">
        <f>IFERROR(VLOOKUP(VLOOKUP(A2036,'[1]Sales Order'!A:B,2,FALSE),[1]Customer!A:C,3,FALSE),"Not Specified")</f>
        <v>Gulbis, Katrin</v>
      </c>
      <c r="G2036" s="2" t="str">
        <f t="shared" si="62"/>
        <v>Gulbis Katrin</v>
      </c>
      <c r="H2036" s="8" t="str">
        <f>IFERROR(VLOOKUP(VLOOKUP(A2036,'[1]Sales Order'!A:C,3,FALSE),[1]Employee!A:E,5,FALSE)&amp;" "&amp;VLOOKUP(VLOOKUP(A2036,'[1]Sales Order'!A:C,3,FALSE),[1]Employee!A:C,3,FALSE)&amp;" "&amp;VLOOKUP(VLOOKUP(A2036,'[1]Sales Order'!A:C,3,FALSE),[1]Employee!A:B,2,FALSE),"Not Specified")</f>
        <v>Dr. Don Funk</v>
      </c>
      <c r="I2036" t="str">
        <f>IFERROR(VLOOKUP(VLOOKUP(A2036,'[1]Sales Order'!A:C,3,FALSE),[1]Employee!A:J,10,FALSE),"Not Specified")</f>
        <v>WA</v>
      </c>
      <c r="J2036" t="str">
        <f>VLOOKUP(B2036,[1]Product!A:B,2,FALSE)</f>
        <v>Product HHYDP</v>
      </c>
      <c r="K2036" t="str">
        <f>VLOOKUP(VLOOKUP(B2036,[1]Product!A:D,4,FALSE),[1]Category!A:B,2,FALSE)</f>
        <v>Beverages</v>
      </c>
      <c r="L2036" s="10">
        <f>IFERROR(VLOOKUP(A2036,'[1]Sales Order'!A:D,4,FALSE),"")</f>
        <v>39558</v>
      </c>
      <c r="M2036" s="10">
        <f>IFERROR(VLOOKUP(A2036,'[1]Sales Order'!A:F,6,FALSE),"")</f>
        <v>39562</v>
      </c>
      <c r="N2036" t="str">
        <f>IFERROR(VLOOKUP(VLOOKUP(A2036,'[1]Sales Order'!A:G,7,FALSE),[1]Shipper!A:B,2,FALSE),"Not Specified")</f>
        <v>Shipper ETYNR</v>
      </c>
      <c r="O2036" t="str">
        <f>IFERROR(VLOOKUP(A2036,'[1]Sales Order'!A:I,9,FALSE),"Not Specified")</f>
        <v>Ship to 76-B</v>
      </c>
      <c r="P2036" t="str">
        <f>IFERROR(VLOOKUP(A2036,'[1]Sales Order'!A:N,14,FALSE),"Not Specified")</f>
        <v>Belgium</v>
      </c>
      <c r="Q2036" t="str">
        <f>VLOOKUP(VLOOKUP(B2036,[1]Product!A:C,3,FALSE),[1]Supplier!A:B,2,FALSE)</f>
        <v>Supplier SWRXU</v>
      </c>
      <c r="R2036" t="str">
        <f>VLOOKUP(VLOOKUP(B2036,[1]Product!A:C,3,FALSE),[1]Supplier!A:I,9,FALSE)</f>
        <v>UK</v>
      </c>
      <c r="S2036" t="str">
        <f>IFERROR(IF(VLOOKUP(A2036,'[1]Sales Order'!A:H,8,FALSE)&gt;100,"High Freight","Low Freight"),"Not Specified")</f>
        <v>Low Freight</v>
      </c>
      <c r="T2036">
        <f t="shared" si="63"/>
        <v>180</v>
      </c>
    </row>
    <row r="2037" spans="1:20">
      <c r="A2037" s="1">
        <v>11035</v>
      </c>
      <c r="B2037" s="2">
        <v>35</v>
      </c>
      <c r="C2037" s="2">
        <v>18</v>
      </c>
      <c r="D2037" s="2">
        <v>60</v>
      </c>
      <c r="E2037" s="3">
        <v>0</v>
      </c>
      <c r="F2037" s="2" t="str">
        <f>IFERROR(VLOOKUP(VLOOKUP(A2037,'[1]Sales Order'!A:B,2,FALSE),[1]Customer!A:C,3,FALSE),"Not Specified")</f>
        <v>Gulbis, Katrin</v>
      </c>
      <c r="G2037" s="2" t="str">
        <f t="shared" si="62"/>
        <v>Gulbis Katrin</v>
      </c>
      <c r="H2037" s="8" t="str">
        <f>IFERROR(VLOOKUP(VLOOKUP(A2037,'[1]Sales Order'!A:C,3,FALSE),[1]Employee!A:E,5,FALSE)&amp;" "&amp;VLOOKUP(VLOOKUP(A2037,'[1]Sales Order'!A:C,3,FALSE),[1]Employee!A:C,3,FALSE)&amp;" "&amp;VLOOKUP(VLOOKUP(A2037,'[1]Sales Order'!A:C,3,FALSE),[1]Employee!A:B,2,FALSE),"Not Specified")</f>
        <v>Dr. Don Funk</v>
      </c>
      <c r="I2037" t="str">
        <f>IFERROR(VLOOKUP(VLOOKUP(A2037,'[1]Sales Order'!A:C,3,FALSE),[1]Employee!A:J,10,FALSE),"Not Specified")</f>
        <v>WA</v>
      </c>
      <c r="J2037" t="str">
        <f>VLOOKUP(B2037,[1]Product!A:B,2,FALSE)</f>
        <v>Product NEVTJ</v>
      </c>
      <c r="K2037" t="str">
        <f>VLOOKUP(VLOOKUP(B2037,[1]Product!A:D,4,FALSE),[1]Category!A:B,2,FALSE)</f>
        <v>Beverages</v>
      </c>
      <c r="L2037" s="10">
        <f>IFERROR(VLOOKUP(A2037,'[1]Sales Order'!A:D,4,FALSE),"")</f>
        <v>39558</v>
      </c>
      <c r="M2037" s="10">
        <f>IFERROR(VLOOKUP(A2037,'[1]Sales Order'!A:F,6,FALSE),"")</f>
        <v>39562</v>
      </c>
      <c r="N2037" t="str">
        <f>IFERROR(VLOOKUP(VLOOKUP(A2037,'[1]Sales Order'!A:G,7,FALSE),[1]Shipper!A:B,2,FALSE),"Not Specified")</f>
        <v>Shipper ETYNR</v>
      </c>
      <c r="O2037" t="str">
        <f>IFERROR(VLOOKUP(A2037,'[1]Sales Order'!A:I,9,FALSE),"Not Specified")</f>
        <v>Ship to 76-B</v>
      </c>
      <c r="P2037" t="str">
        <f>IFERROR(VLOOKUP(A2037,'[1]Sales Order'!A:N,14,FALSE),"Not Specified")</f>
        <v>Belgium</v>
      </c>
      <c r="Q2037" t="str">
        <f>VLOOKUP(VLOOKUP(B2037,[1]Product!A:C,3,FALSE),[1]Supplier!A:B,2,FALSE)</f>
        <v>Supplier UHZRG</v>
      </c>
      <c r="R2037" t="str">
        <f>VLOOKUP(VLOOKUP(B2037,[1]Product!A:C,3,FALSE),[1]Supplier!A:I,9,FALSE)</f>
        <v>USA</v>
      </c>
      <c r="S2037" t="str">
        <f>IFERROR(IF(VLOOKUP(A2037,'[1]Sales Order'!A:H,8,FALSE)&gt;100,"High Freight","Low Freight"),"Not Specified")</f>
        <v>Low Freight</v>
      </c>
      <c r="T2037">
        <f t="shared" si="63"/>
        <v>1080</v>
      </c>
    </row>
    <row r="2038" spans="1:20">
      <c r="A2038" s="1">
        <v>11035</v>
      </c>
      <c r="B2038" s="2">
        <v>42</v>
      </c>
      <c r="C2038" s="2">
        <v>14</v>
      </c>
      <c r="D2038" s="2">
        <v>30</v>
      </c>
      <c r="E2038" s="3">
        <v>0</v>
      </c>
      <c r="F2038" s="2" t="str">
        <f>IFERROR(VLOOKUP(VLOOKUP(A2038,'[1]Sales Order'!A:B,2,FALSE),[1]Customer!A:C,3,FALSE),"Not Specified")</f>
        <v>Gulbis, Katrin</v>
      </c>
      <c r="G2038" s="2" t="str">
        <f t="shared" si="62"/>
        <v>Gulbis Katrin</v>
      </c>
      <c r="H2038" s="8" t="str">
        <f>IFERROR(VLOOKUP(VLOOKUP(A2038,'[1]Sales Order'!A:C,3,FALSE),[1]Employee!A:E,5,FALSE)&amp;" "&amp;VLOOKUP(VLOOKUP(A2038,'[1]Sales Order'!A:C,3,FALSE),[1]Employee!A:C,3,FALSE)&amp;" "&amp;VLOOKUP(VLOOKUP(A2038,'[1]Sales Order'!A:C,3,FALSE),[1]Employee!A:B,2,FALSE),"Not Specified")</f>
        <v>Dr. Don Funk</v>
      </c>
      <c r="I2038" t="str">
        <f>IFERROR(VLOOKUP(VLOOKUP(A2038,'[1]Sales Order'!A:C,3,FALSE),[1]Employee!A:J,10,FALSE),"Not Specified")</f>
        <v>WA</v>
      </c>
      <c r="J2038" t="str">
        <f>VLOOKUP(B2038,[1]Product!A:B,2,FALSE)</f>
        <v>Product RJVNM</v>
      </c>
      <c r="K2038" t="str">
        <f>VLOOKUP(VLOOKUP(B2038,[1]Product!A:D,4,FALSE),[1]Category!A:B,2,FALSE)</f>
        <v>Grains/Cereals</v>
      </c>
      <c r="L2038" s="10">
        <f>IFERROR(VLOOKUP(A2038,'[1]Sales Order'!A:D,4,FALSE),"")</f>
        <v>39558</v>
      </c>
      <c r="M2038" s="10">
        <f>IFERROR(VLOOKUP(A2038,'[1]Sales Order'!A:F,6,FALSE),"")</f>
        <v>39562</v>
      </c>
      <c r="N2038" t="str">
        <f>IFERROR(VLOOKUP(VLOOKUP(A2038,'[1]Sales Order'!A:G,7,FALSE),[1]Shipper!A:B,2,FALSE),"Not Specified")</f>
        <v>Shipper ETYNR</v>
      </c>
      <c r="O2038" t="str">
        <f>IFERROR(VLOOKUP(A2038,'[1]Sales Order'!A:I,9,FALSE),"Not Specified")</f>
        <v>Ship to 76-B</v>
      </c>
      <c r="P2038" t="str">
        <f>IFERROR(VLOOKUP(A2038,'[1]Sales Order'!A:N,14,FALSE),"Not Specified")</f>
        <v>Belgium</v>
      </c>
      <c r="Q2038" t="str">
        <f>VLOOKUP(VLOOKUP(B2038,[1]Product!A:C,3,FALSE),[1]Supplier!A:B,2,FALSE)</f>
        <v>Supplier CIYNM</v>
      </c>
      <c r="R2038" t="str">
        <f>VLOOKUP(VLOOKUP(B2038,[1]Product!A:C,3,FALSE),[1]Supplier!A:I,9,FALSE)</f>
        <v>Singapore</v>
      </c>
      <c r="S2038" t="str">
        <f>IFERROR(IF(VLOOKUP(A2038,'[1]Sales Order'!A:H,8,FALSE)&gt;100,"High Freight","Low Freight"),"Not Specified")</f>
        <v>Low Freight</v>
      </c>
      <c r="T2038">
        <f t="shared" si="63"/>
        <v>420</v>
      </c>
    </row>
    <row r="2039" spans="1:20">
      <c r="A2039" s="1">
        <v>11035</v>
      </c>
      <c r="B2039" s="2">
        <v>54</v>
      </c>
      <c r="C2039" s="2">
        <v>7.45</v>
      </c>
      <c r="D2039" s="2">
        <v>10</v>
      </c>
      <c r="E2039" s="3">
        <v>0</v>
      </c>
      <c r="F2039" s="2" t="str">
        <f>IFERROR(VLOOKUP(VLOOKUP(A2039,'[1]Sales Order'!A:B,2,FALSE),[1]Customer!A:C,3,FALSE),"Not Specified")</f>
        <v>Gulbis, Katrin</v>
      </c>
      <c r="G2039" s="2" t="str">
        <f t="shared" si="62"/>
        <v>Gulbis Katrin</v>
      </c>
      <c r="H2039" s="8" t="str">
        <f>IFERROR(VLOOKUP(VLOOKUP(A2039,'[1]Sales Order'!A:C,3,FALSE),[1]Employee!A:E,5,FALSE)&amp;" "&amp;VLOOKUP(VLOOKUP(A2039,'[1]Sales Order'!A:C,3,FALSE),[1]Employee!A:C,3,FALSE)&amp;" "&amp;VLOOKUP(VLOOKUP(A2039,'[1]Sales Order'!A:C,3,FALSE),[1]Employee!A:B,2,FALSE),"Not Specified")</f>
        <v>Dr. Don Funk</v>
      </c>
      <c r="I2039" t="str">
        <f>IFERROR(VLOOKUP(VLOOKUP(A2039,'[1]Sales Order'!A:C,3,FALSE),[1]Employee!A:J,10,FALSE),"Not Specified")</f>
        <v>WA</v>
      </c>
      <c r="J2039" t="str">
        <f>VLOOKUP(B2039,[1]Product!A:B,2,FALSE)</f>
        <v>Product QAQRL</v>
      </c>
      <c r="K2039" t="str">
        <f>VLOOKUP(VLOOKUP(B2039,[1]Product!A:D,4,FALSE),[1]Category!A:B,2,FALSE)</f>
        <v>Meat/Poultry</v>
      </c>
      <c r="L2039" s="10">
        <f>IFERROR(VLOOKUP(A2039,'[1]Sales Order'!A:D,4,FALSE),"")</f>
        <v>39558</v>
      </c>
      <c r="M2039" s="10">
        <f>IFERROR(VLOOKUP(A2039,'[1]Sales Order'!A:F,6,FALSE),"")</f>
        <v>39562</v>
      </c>
      <c r="N2039" t="str">
        <f>IFERROR(VLOOKUP(VLOOKUP(A2039,'[1]Sales Order'!A:G,7,FALSE),[1]Shipper!A:B,2,FALSE),"Not Specified")</f>
        <v>Shipper ETYNR</v>
      </c>
      <c r="O2039" t="str">
        <f>IFERROR(VLOOKUP(A2039,'[1]Sales Order'!A:I,9,FALSE),"Not Specified")</f>
        <v>Ship to 76-B</v>
      </c>
      <c r="P2039" t="str">
        <f>IFERROR(VLOOKUP(A2039,'[1]Sales Order'!A:N,14,FALSE),"Not Specified")</f>
        <v>Belgium</v>
      </c>
      <c r="Q2039" t="str">
        <f>VLOOKUP(VLOOKUP(B2039,[1]Product!A:C,3,FALSE),[1]Supplier!A:B,2,FALSE)</f>
        <v>Supplier ERVYZ</v>
      </c>
      <c r="R2039" t="str">
        <f>VLOOKUP(VLOOKUP(B2039,[1]Product!A:C,3,FALSE),[1]Supplier!A:I,9,FALSE)</f>
        <v>Canada</v>
      </c>
      <c r="S2039" t="str">
        <f>IFERROR(IF(VLOOKUP(A2039,'[1]Sales Order'!A:H,8,FALSE)&gt;100,"High Freight","Low Freight"),"Not Specified")</f>
        <v>Low Freight</v>
      </c>
      <c r="T2039">
        <f t="shared" si="63"/>
        <v>74.5</v>
      </c>
    </row>
    <row r="2040" spans="1:20">
      <c r="A2040" s="1">
        <v>11036</v>
      </c>
      <c r="B2040" s="2">
        <v>13</v>
      </c>
      <c r="C2040" s="2">
        <v>6</v>
      </c>
      <c r="D2040" s="2">
        <v>7</v>
      </c>
      <c r="E2040" s="3">
        <v>0</v>
      </c>
      <c r="F2040" s="2" t="str">
        <f>IFERROR(VLOOKUP(VLOOKUP(A2040,'[1]Sales Order'!A:B,2,FALSE),[1]Customer!A:C,3,FALSE),"Not Specified")</f>
        <v>Jones, TiAnna</v>
      </c>
      <c r="G2040" s="2" t="str">
        <f t="shared" si="62"/>
        <v>Jones TiAnna</v>
      </c>
      <c r="H2040" s="8" t="str">
        <f>IFERROR(VLOOKUP(VLOOKUP(A2040,'[1]Sales Order'!A:C,3,FALSE),[1]Employee!A:E,5,FALSE)&amp;" "&amp;VLOOKUP(VLOOKUP(A2040,'[1]Sales Order'!A:C,3,FALSE),[1]Employee!A:C,3,FALSE)&amp;" "&amp;VLOOKUP(VLOOKUP(A2040,'[1]Sales Order'!A:C,3,FALSE),[1]Employee!A:B,2,FALSE),"Not Specified")</f>
        <v>Ms. Maria Cameron</v>
      </c>
      <c r="I2040" t="str">
        <f>IFERROR(VLOOKUP(VLOOKUP(A2040,'[1]Sales Order'!A:C,3,FALSE),[1]Employee!A:J,10,FALSE),"Not Specified")</f>
        <v>WA</v>
      </c>
      <c r="J2040" t="str">
        <f>VLOOKUP(B2040,[1]Product!A:B,2,FALSE)</f>
        <v>Product POXFU</v>
      </c>
      <c r="K2040" t="str">
        <f>VLOOKUP(VLOOKUP(B2040,[1]Product!A:D,4,FALSE),[1]Category!A:B,2,FALSE)</f>
        <v>Seafood</v>
      </c>
      <c r="L2040" s="10">
        <f>IFERROR(VLOOKUP(A2040,'[1]Sales Order'!A:D,4,FALSE),"")</f>
        <v>39558</v>
      </c>
      <c r="M2040" s="10">
        <f>IFERROR(VLOOKUP(A2040,'[1]Sales Order'!A:F,6,FALSE),"")</f>
        <v>39560</v>
      </c>
      <c r="N2040" t="str">
        <f>IFERROR(VLOOKUP(VLOOKUP(A2040,'[1]Sales Order'!A:G,7,FALSE),[1]Shipper!A:B,2,FALSE),"Not Specified")</f>
        <v>Shipper ZHISN</v>
      </c>
      <c r="O2040" t="str">
        <f>IFERROR(VLOOKUP(A2040,'[1]Sales Order'!A:I,9,FALSE),"Not Specified")</f>
        <v>Destination YPUYI</v>
      </c>
      <c r="P2040" t="str">
        <f>IFERROR(VLOOKUP(A2040,'[1]Sales Order'!A:N,14,FALSE),"Not Specified")</f>
        <v>Germany</v>
      </c>
      <c r="Q2040" t="str">
        <f>VLOOKUP(VLOOKUP(B2040,[1]Product!A:C,3,FALSE),[1]Supplier!A:B,2,FALSE)</f>
        <v>Supplier QWUSF</v>
      </c>
      <c r="R2040" t="str">
        <f>VLOOKUP(VLOOKUP(B2040,[1]Product!A:C,3,FALSE),[1]Supplier!A:I,9,FALSE)</f>
        <v>Japan</v>
      </c>
      <c r="S2040" t="str">
        <f>IFERROR(IF(VLOOKUP(A2040,'[1]Sales Order'!A:H,8,FALSE)&gt;100,"High Freight","Low Freight"),"Not Specified")</f>
        <v>High Freight</v>
      </c>
      <c r="T2040">
        <f t="shared" si="63"/>
        <v>42</v>
      </c>
    </row>
    <row r="2041" spans="1:20">
      <c r="A2041" s="1">
        <v>11036</v>
      </c>
      <c r="B2041" s="2">
        <v>59</v>
      </c>
      <c r="C2041" s="2">
        <v>55</v>
      </c>
      <c r="D2041" s="2">
        <v>30</v>
      </c>
      <c r="E2041" s="3">
        <v>0</v>
      </c>
      <c r="F2041" s="2" t="str">
        <f>IFERROR(VLOOKUP(VLOOKUP(A2041,'[1]Sales Order'!A:B,2,FALSE),[1]Customer!A:C,3,FALSE),"Not Specified")</f>
        <v>Jones, TiAnna</v>
      </c>
      <c r="G2041" s="2" t="str">
        <f t="shared" si="62"/>
        <v>Jones TiAnna</v>
      </c>
      <c r="H2041" s="8" t="str">
        <f>IFERROR(VLOOKUP(VLOOKUP(A2041,'[1]Sales Order'!A:C,3,FALSE),[1]Employee!A:E,5,FALSE)&amp;" "&amp;VLOOKUP(VLOOKUP(A2041,'[1]Sales Order'!A:C,3,FALSE),[1]Employee!A:C,3,FALSE)&amp;" "&amp;VLOOKUP(VLOOKUP(A2041,'[1]Sales Order'!A:C,3,FALSE),[1]Employee!A:B,2,FALSE),"Not Specified")</f>
        <v>Ms. Maria Cameron</v>
      </c>
      <c r="I2041" t="str">
        <f>IFERROR(VLOOKUP(VLOOKUP(A2041,'[1]Sales Order'!A:C,3,FALSE),[1]Employee!A:J,10,FALSE),"Not Specified")</f>
        <v>WA</v>
      </c>
      <c r="J2041" t="str">
        <f>VLOOKUP(B2041,[1]Product!A:B,2,FALSE)</f>
        <v>Product UKXRI</v>
      </c>
      <c r="K2041" t="str">
        <f>VLOOKUP(VLOOKUP(B2041,[1]Product!A:D,4,FALSE),[1]Category!A:B,2,FALSE)</f>
        <v>Dairy Product</v>
      </c>
      <c r="L2041" s="10">
        <f>IFERROR(VLOOKUP(A2041,'[1]Sales Order'!A:D,4,FALSE),"")</f>
        <v>39558</v>
      </c>
      <c r="M2041" s="10">
        <f>IFERROR(VLOOKUP(A2041,'[1]Sales Order'!A:F,6,FALSE),"")</f>
        <v>39560</v>
      </c>
      <c r="N2041" t="str">
        <f>IFERROR(VLOOKUP(VLOOKUP(A2041,'[1]Sales Order'!A:G,7,FALSE),[1]Shipper!A:B,2,FALSE),"Not Specified")</f>
        <v>Shipper ZHISN</v>
      </c>
      <c r="O2041" t="str">
        <f>IFERROR(VLOOKUP(A2041,'[1]Sales Order'!A:I,9,FALSE),"Not Specified")</f>
        <v>Destination YPUYI</v>
      </c>
      <c r="P2041" t="str">
        <f>IFERROR(VLOOKUP(A2041,'[1]Sales Order'!A:N,14,FALSE),"Not Specified")</f>
        <v>Germany</v>
      </c>
      <c r="Q2041" t="str">
        <f>VLOOKUP(VLOOKUP(B2041,[1]Product!A:C,3,FALSE),[1]Supplier!A:B,2,FALSE)</f>
        <v>Supplier OAVQT</v>
      </c>
      <c r="R2041" t="str">
        <f>VLOOKUP(VLOOKUP(B2041,[1]Product!A:C,3,FALSE),[1]Supplier!A:I,9,FALSE)</f>
        <v>France</v>
      </c>
      <c r="S2041" t="str">
        <f>IFERROR(IF(VLOOKUP(A2041,'[1]Sales Order'!A:H,8,FALSE)&gt;100,"High Freight","Low Freight"),"Not Specified")</f>
        <v>High Freight</v>
      </c>
      <c r="T2041">
        <f t="shared" si="63"/>
        <v>1650</v>
      </c>
    </row>
    <row r="2042" spans="1:20">
      <c r="A2042" s="1">
        <v>11037</v>
      </c>
      <c r="B2042" s="2">
        <v>70</v>
      </c>
      <c r="C2042" s="2">
        <v>15</v>
      </c>
      <c r="D2042" s="2">
        <v>4</v>
      </c>
      <c r="E2042" s="3">
        <v>0</v>
      </c>
      <c r="F2042" s="2" t="str">
        <f>IFERROR(VLOOKUP(VLOOKUP(A2042,'[1]Sales Order'!A:B,2,FALSE),[1]Customer!A:C,3,FALSE),"Not Specified")</f>
        <v>Shabalin, Rostislav</v>
      </c>
      <c r="G2042" s="2" t="str">
        <f t="shared" si="62"/>
        <v>Shabalin Rostislav</v>
      </c>
      <c r="H2042" s="8" t="str">
        <f>IFERROR(VLOOKUP(VLOOKUP(A2042,'[1]Sales Order'!A:C,3,FALSE),[1]Employee!A:E,5,FALSE)&amp;" "&amp;VLOOKUP(VLOOKUP(A2042,'[1]Sales Order'!A:C,3,FALSE),[1]Employee!A:C,3,FALSE)&amp;" "&amp;VLOOKUP(VLOOKUP(A2042,'[1]Sales Order'!A:C,3,FALSE),[1]Employee!A:B,2,FALSE),"Not Specified")</f>
        <v>Mr. Russell King</v>
      </c>
      <c r="I2042">
        <f>IFERROR(VLOOKUP(VLOOKUP(A2042,'[1]Sales Order'!A:C,3,FALSE),[1]Employee!A:J,10,FALSE),"Not Specified")</f>
        <v>0</v>
      </c>
      <c r="J2042" t="str">
        <f>VLOOKUP(B2042,[1]Product!A:B,2,FALSE)</f>
        <v>Product TOONT</v>
      </c>
      <c r="K2042" t="str">
        <f>VLOOKUP(VLOOKUP(B2042,[1]Product!A:D,4,FALSE),[1]Category!A:B,2,FALSE)</f>
        <v>Beverages</v>
      </c>
      <c r="L2042" s="10">
        <f>IFERROR(VLOOKUP(A2042,'[1]Sales Order'!A:D,4,FALSE),"")</f>
        <v>39559</v>
      </c>
      <c r="M2042" s="10">
        <f>IFERROR(VLOOKUP(A2042,'[1]Sales Order'!A:F,6,FALSE),"")</f>
        <v>39565</v>
      </c>
      <c r="N2042" t="str">
        <f>IFERROR(VLOOKUP(VLOOKUP(A2042,'[1]Sales Order'!A:G,7,FALSE),[1]Shipper!A:B,2,FALSE),"Not Specified")</f>
        <v>Shipper GVSUA</v>
      </c>
      <c r="O2042" t="str">
        <f>IFERROR(VLOOKUP(A2042,'[1]Sales Order'!A:I,9,FALSE),"Not Specified")</f>
        <v>Destination GGQIR</v>
      </c>
      <c r="P2042" t="str">
        <f>IFERROR(VLOOKUP(A2042,'[1]Sales Order'!A:N,14,FALSE),"Not Specified")</f>
        <v>Spain</v>
      </c>
      <c r="Q2042" t="str">
        <f>VLOOKUP(VLOOKUP(B2042,[1]Product!A:C,3,FALSE),[1]Supplier!A:B,2,FALSE)</f>
        <v>Supplier GQRCV</v>
      </c>
      <c r="R2042" t="str">
        <f>VLOOKUP(VLOOKUP(B2042,[1]Product!A:C,3,FALSE),[1]Supplier!A:I,9,FALSE)</f>
        <v>Australia</v>
      </c>
      <c r="S2042" t="str">
        <f>IFERROR(IF(VLOOKUP(A2042,'[1]Sales Order'!A:H,8,FALSE)&gt;100,"High Freight","Low Freight"),"Not Specified")</f>
        <v>Low Freight</v>
      </c>
      <c r="T2042">
        <f t="shared" si="63"/>
        <v>60</v>
      </c>
    </row>
    <row r="2043" spans="1:20">
      <c r="A2043" s="1">
        <v>11038</v>
      </c>
      <c r="B2043" s="2">
        <v>40</v>
      </c>
      <c r="C2043" s="2">
        <v>18.399999999999999</v>
      </c>
      <c r="D2043" s="2">
        <v>5</v>
      </c>
      <c r="E2043" s="3">
        <v>0.2</v>
      </c>
      <c r="F2043" s="2" t="str">
        <f>IFERROR(VLOOKUP(VLOOKUP(A2043,'[1]Sales Order'!A:B,2,FALSE),[1]Customer!A:C,3,FALSE),"Not Specified")</f>
        <v>Gulbis, Katrin</v>
      </c>
      <c r="G2043" s="2" t="str">
        <f t="shared" si="62"/>
        <v>Gulbis Katrin</v>
      </c>
      <c r="H2043" s="8" t="str">
        <f>IFERROR(VLOOKUP(VLOOKUP(A2043,'[1]Sales Order'!A:C,3,FALSE),[1]Employee!A:E,5,FALSE)&amp;" "&amp;VLOOKUP(VLOOKUP(A2043,'[1]Sales Order'!A:C,3,FALSE),[1]Employee!A:C,3,FALSE)&amp;" "&amp;VLOOKUP(VLOOKUP(A2043,'[1]Sales Order'!A:C,3,FALSE),[1]Employee!A:B,2,FALSE),"Not Specified")</f>
        <v>Ms. Sara Davis</v>
      </c>
      <c r="I2043" t="str">
        <f>IFERROR(VLOOKUP(VLOOKUP(A2043,'[1]Sales Order'!A:C,3,FALSE),[1]Employee!A:J,10,FALSE),"Not Specified")</f>
        <v>WA</v>
      </c>
      <c r="J2043" t="str">
        <f>VLOOKUP(B2043,[1]Product!A:B,2,FALSE)</f>
        <v>Product YZIXQ</v>
      </c>
      <c r="K2043" t="str">
        <f>VLOOKUP(VLOOKUP(B2043,[1]Product!A:D,4,FALSE),[1]Category!A:B,2,FALSE)</f>
        <v>Seafood</v>
      </c>
      <c r="L2043" s="10">
        <f>IFERROR(VLOOKUP(A2043,'[1]Sales Order'!A:D,4,FALSE),"")</f>
        <v>39559</v>
      </c>
      <c r="M2043" s="10">
        <f>IFERROR(VLOOKUP(A2043,'[1]Sales Order'!A:F,6,FALSE),"")</f>
        <v>39568</v>
      </c>
      <c r="N2043" t="str">
        <f>IFERROR(VLOOKUP(VLOOKUP(A2043,'[1]Sales Order'!A:G,7,FALSE),[1]Shipper!A:B,2,FALSE),"Not Specified")</f>
        <v>Shipper ETYNR</v>
      </c>
      <c r="O2043" t="str">
        <f>IFERROR(VLOOKUP(A2043,'[1]Sales Order'!A:I,9,FALSE),"Not Specified")</f>
        <v>Ship to 76-A</v>
      </c>
      <c r="P2043" t="str">
        <f>IFERROR(VLOOKUP(A2043,'[1]Sales Order'!A:N,14,FALSE),"Not Specified")</f>
        <v>Belgium</v>
      </c>
      <c r="Q2043" t="str">
        <f>VLOOKUP(VLOOKUP(B2043,[1]Product!A:C,3,FALSE),[1]Supplier!A:B,2,FALSE)</f>
        <v>Supplier JDNUG</v>
      </c>
      <c r="R2043" t="str">
        <f>VLOOKUP(VLOOKUP(B2043,[1]Product!A:C,3,FALSE),[1]Supplier!A:I,9,FALSE)</f>
        <v>USA</v>
      </c>
      <c r="S2043" t="str">
        <f>IFERROR(IF(VLOOKUP(A2043,'[1]Sales Order'!A:H,8,FALSE)&gt;100,"High Freight","Low Freight"),"Not Specified")</f>
        <v>Low Freight</v>
      </c>
      <c r="T2043">
        <f t="shared" si="63"/>
        <v>73.600000000000009</v>
      </c>
    </row>
    <row r="2044" spans="1:20">
      <c r="A2044" s="1">
        <v>11038</v>
      </c>
      <c r="B2044" s="2">
        <v>52</v>
      </c>
      <c r="C2044" s="2">
        <v>7</v>
      </c>
      <c r="D2044" s="2">
        <v>2</v>
      </c>
      <c r="E2044" s="3">
        <v>0</v>
      </c>
      <c r="F2044" s="2" t="str">
        <f>IFERROR(VLOOKUP(VLOOKUP(A2044,'[1]Sales Order'!A:B,2,FALSE),[1]Customer!A:C,3,FALSE),"Not Specified")</f>
        <v>Gulbis, Katrin</v>
      </c>
      <c r="G2044" s="2" t="str">
        <f t="shared" si="62"/>
        <v>Gulbis Katrin</v>
      </c>
      <c r="H2044" s="8" t="str">
        <f>IFERROR(VLOOKUP(VLOOKUP(A2044,'[1]Sales Order'!A:C,3,FALSE),[1]Employee!A:E,5,FALSE)&amp;" "&amp;VLOOKUP(VLOOKUP(A2044,'[1]Sales Order'!A:C,3,FALSE),[1]Employee!A:C,3,FALSE)&amp;" "&amp;VLOOKUP(VLOOKUP(A2044,'[1]Sales Order'!A:C,3,FALSE),[1]Employee!A:B,2,FALSE),"Not Specified")</f>
        <v>Ms. Sara Davis</v>
      </c>
      <c r="I2044" t="str">
        <f>IFERROR(VLOOKUP(VLOOKUP(A2044,'[1]Sales Order'!A:C,3,FALSE),[1]Employee!A:J,10,FALSE),"Not Specified")</f>
        <v>WA</v>
      </c>
      <c r="J2044" t="str">
        <f>VLOOKUP(B2044,[1]Product!A:B,2,FALSE)</f>
        <v>Product QSRXF</v>
      </c>
      <c r="K2044" t="str">
        <f>VLOOKUP(VLOOKUP(B2044,[1]Product!A:D,4,FALSE),[1]Category!A:B,2,FALSE)</f>
        <v>Grains/Cereals</v>
      </c>
      <c r="L2044" s="10">
        <f>IFERROR(VLOOKUP(A2044,'[1]Sales Order'!A:D,4,FALSE),"")</f>
        <v>39559</v>
      </c>
      <c r="M2044" s="10">
        <f>IFERROR(VLOOKUP(A2044,'[1]Sales Order'!A:F,6,FALSE),"")</f>
        <v>39568</v>
      </c>
      <c r="N2044" t="str">
        <f>IFERROR(VLOOKUP(VLOOKUP(A2044,'[1]Sales Order'!A:G,7,FALSE),[1]Shipper!A:B,2,FALSE),"Not Specified")</f>
        <v>Shipper ETYNR</v>
      </c>
      <c r="O2044" t="str">
        <f>IFERROR(VLOOKUP(A2044,'[1]Sales Order'!A:I,9,FALSE),"Not Specified")</f>
        <v>Ship to 76-A</v>
      </c>
      <c r="P2044" t="str">
        <f>IFERROR(VLOOKUP(A2044,'[1]Sales Order'!A:N,14,FALSE),"Not Specified")</f>
        <v>Belgium</v>
      </c>
      <c r="Q2044" t="str">
        <f>VLOOKUP(VLOOKUP(B2044,[1]Product!A:C,3,FALSE),[1]Supplier!A:B,2,FALSE)</f>
        <v>Supplier JNNES</v>
      </c>
      <c r="R2044" t="str">
        <f>VLOOKUP(VLOOKUP(B2044,[1]Product!A:C,3,FALSE),[1]Supplier!A:I,9,FALSE)</f>
        <v>Australia</v>
      </c>
      <c r="S2044" t="str">
        <f>IFERROR(IF(VLOOKUP(A2044,'[1]Sales Order'!A:H,8,FALSE)&gt;100,"High Freight","Low Freight"),"Not Specified")</f>
        <v>Low Freight</v>
      </c>
      <c r="T2044">
        <f t="shared" si="63"/>
        <v>14</v>
      </c>
    </row>
    <row r="2045" spans="1:20">
      <c r="A2045" s="1">
        <v>11038</v>
      </c>
      <c r="B2045" s="2">
        <v>71</v>
      </c>
      <c r="C2045" s="2">
        <v>21.5</v>
      </c>
      <c r="D2045" s="2">
        <v>30</v>
      </c>
      <c r="E2045" s="3">
        <v>0</v>
      </c>
      <c r="F2045" s="2" t="str">
        <f>IFERROR(VLOOKUP(VLOOKUP(A2045,'[1]Sales Order'!A:B,2,FALSE),[1]Customer!A:C,3,FALSE),"Not Specified")</f>
        <v>Gulbis, Katrin</v>
      </c>
      <c r="G2045" s="2" t="str">
        <f t="shared" si="62"/>
        <v>Gulbis Katrin</v>
      </c>
      <c r="H2045" s="8" t="str">
        <f>IFERROR(VLOOKUP(VLOOKUP(A2045,'[1]Sales Order'!A:C,3,FALSE),[1]Employee!A:E,5,FALSE)&amp;" "&amp;VLOOKUP(VLOOKUP(A2045,'[1]Sales Order'!A:C,3,FALSE),[1]Employee!A:C,3,FALSE)&amp;" "&amp;VLOOKUP(VLOOKUP(A2045,'[1]Sales Order'!A:C,3,FALSE),[1]Employee!A:B,2,FALSE),"Not Specified")</f>
        <v>Ms. Sara Davis</v>
      </c>
      <c r="I2045" t="str">
        <f>IFERROR(VLOOKUP(VLOOKUP(A2045,'[1]Sales Order'!A:C,3,FALSE),[1]Employee!A:J,10,FALSE),"Not Specified")</f>
        <v>WA</v>
      </c>
      <c r="J2045" t="str">
        <f>VLOOKUP(B2045,[1]Product!A:B,2,FALSE)</f>
        <v>Product MYMOI</v>
      </c>
      <c r="K2045" t="str">
        <f>VLOOKUP(VLOOKUP(B2045,[1]Product!A:D,4,FALSE),[1]Category!A:B,2,FALSE)</f>
        <v>Dairy Product</v>
      </c>
      <c r="L2045" s="10">
        <f>IFERROR(VLOOKUP(A2045,'[1]Sales Order'!A:D,4,FALSE),"")</f>
        <v>39559</v>
      </c>
      <c r="M2045" s="10">
        <f>IFERROR(VLOOKUP(A2045,'[1]Sales Order'!A:F,6,FALSE),"")</f>
        <v>39568</v>
      </c>
      <c r="N2045" t="str">
        <f>IFERROR(VLOOKUP(VLOOKUP(A2045,'[1]Sales Order'!A:G,7,FALSE),[1]Shipper!A:B,2,FALSE),"Not Specified")</f>
        <v>Shipper ETYNR</v>
      </c>
      <c r="O2045" t="str">
        <f>IFERROR(VLOOKUP(A2045,'[1]Sales Order'!A:I,9,FALSE),"Not Specified")</f>
        <v>Ship to 76-A</v>
      </c>
      <c r="P2045" t="str">
        <f>IFERROR(VLOOKUP(A2045,'[1]Sales Order'!A:N,14,FALSE),"Not Specified")</f>
        <v>Belgium</v>
      </c>
      <c r="Q2045" t="str">
        <f>VLOOKUP(VLOOKUP(B2045,[1]Product!A:C,3,FALSE),[1]Supplier!A:B,2,FALSE)</f>
        <v>Supplier NZLIF</v>
      </c>
      <c r="R2045" t="str">
        <f>VLOOKUP(VLOOKUP(B2045,[1]Product!A:C,3,FALSE),[1]Supplier!A:I,9,FALSE)</f>
        <v>Norway</v>
      </c>
      <c r="S2045" t="str">
        <f>IFERROR(IF(VLOOKUP(A2045,'[1]Sales Order'!A:H,8,FALSE)&gt;100,"High Freight","Low Freight"),"Not Specified")</f>
        <v>Low Freight</v>
      </c>
      <c r="T2045">
        <f t="shared" si="63"/>
        <v>645</v>
      </c>
    </row>
    <row r="2046" spans="1:20">
      <c r="A2046" s="1">
        <v>11039</v>
      </c>
      <c r="B2046" s="2">
        <v>28</v>
      </c>
      <c r="C2046" s="2">
        <v>45.6</v>
      </c>
      <c r="D2046" s="2">
        <v>20</v>
      </c>
      <c r="E2046" s="3">
        <v>0</v>
      </c>
      <c r="F2046" s="2" t="str">
        <f>IFERROR(VLOOKUP(VLOOKUP(A2046,'[1]Sales Order'!A:B,2,FALSE),[1]Customer!A:C,3,FALSE),"Not Specified")</f>
        <v>Lupu, Cornel</v>
      </c>
      <c r="G2046" s="2" t="str">
        <f t="shared" si="62"/>
        <v>Lupu Cornel</v>
      </c>
      <c r="H2046" s="8" t="str">
        <f>IFERROR(VLOOKUP(VLOOKUP(A2046,'[1]Sales Order'!A:C,3,FALSE),[1]Employee!A:E,5,FALSE)&amp;" "&amp;VLOOKUP(VLOOKUP(A2046,'[1]Sales Order'!A:C,3,FALSE),[1]Employee!A:C,3,FALSE)&amp;" "&amp;VLOOKUP(VLOOKUP(A2046,'[1]Sales Order'!A:C,3,FALSE),[1]Employee!A:B,2,FALSE),"Not Specified")</f>
        <v>Ms. Sara Davis</v>
      </c>
      <c r="I2046" t="str">
        <f>IFERROR(VLOOKUP(VLOOKUP(A2046,'[1]Sales Order'!A:C,3,FALSE),[1]Employee!A:J,10,FALSE),"Not Specified")</f>
        <v>WA</v>
      </c>
      <c r="J2046" t="str">
        <f>VLOOKUP(B2046,[1]Product!A:B,2,FALSE)</f>
        <v>Product OFBNT</v>
      </c>
      <c r="K2046" t="str">
        <f>VLOOKUP(VLOOKUP(B2046,[1]Product!A:D,4,FALSE),[1]Category!A:B,2,FALSE)</f>
        <v>Produce</v>
      </c>
      <c r="L2046" s="10">
        <f>IFERROR(VLOOKUP(A2046,'[1]Sales Order'!A:D,4,FALSE),"")</f>
        <v>39559</v>
      </c>
      <c r="M2046" s="10">
        <f>IFERROR(VLOOKUP(A2046,'[1]Sales Order'!A:F,6,FALSE),"")</f>
        <v>0</v>
      </c>
      <c r="N2046" t="str">
        <f>IFERROR(VLOOKUP(VLOOKUP(A2046,'[1]Sales Order'!A:G,7,FALSE),[1]Shipper!A:B,2,FALSE),"Not Specified")</f>
        <v>Shipper ETYNR</v>
      </c>
      <c r="O2046" t="str">
        <f>IFERROR(VLOOKUP(A2046,'[1]Sales Order'!A:I,9,FALSE),"Not Specified")</f>
        <v>Ship to 47-C</v>
      </c>
      <c r="P2046" t="str">
        <f>IFERROR(VLOOKUP(A2046,'[1]Sales Order'!A:N,14,FALSE),"Not Specified")</f>
        <v>Venezuela</v>
      </c>
      <c r="Q2046" t="str">
        <f>VLOOKUP(VLOOKUP(B2046,[1]Product!A:C,3,FALSE),[1]Supplier!A:B,2,FALSE)</f>
        <v>Supplier SVIYA</v>
      </c>
      <c r="R2046" t="str">
        <f>VLOOKUP(VLOOKUP(B2046,[1]Product!A:C,3,FALSE),[1]Supplier!A:I,9,FALSE)</f>
        <v>Germany</v>
      </c>
      <c r="S2046" t="str">
        <f>IFERROR(IF(VLOOKUP(A2046,'[1]Sales Order'!A:H,8,FALSE)&gt;100,"High Freight","Low Freight"),"Not Specified")</f>
        <v>Low Freight</v>
      </c>
      <c r="T2046">
        <f t="shared" si="63"/>
        <v>912</v>
      </c>
    </row>
    <row r="2047" spans="1:20">
      <c r="A2047" s="1">
        <v>11039</v>
      </c>
      <c r="B2047" s="2">
        <v>35</v>
      </c>
      <c r="C2047" s="2">
        <v>18</v>
      </c>
      <c r="D2047" s="2">
        <v>24</v>
      </c>
      <c r="E2047" s="3">
        <v>0</v>
      </c>
      <c r="F2047" s="2" t="str">
        <f>IFERROR(VLOOKUP(VLOOKUP(A2047,'[1]Sales Order'!A:B,2,FALSE),[1]Customer!A:C,3,FALSE),"Not Specified")</f>
        <v>Lupu, Cornel</v>
      </c>
      <c r="G2047" s="2" t="str">
        <f t="shared" si="62"/>
        <v>Lupu Cornel</v>
      </c>
      <c r="H2047" s="8" t="str">
        <f>IFERROR(VLOOKUP(VLOOKUP(A2047,'[1]Sales Order'!A:C,3,FALSE),[1]Employee!A:E,5,FALSE)&amp;" "&amp;VLOOKUP(VLOOKUP(A2047,'[1]Sales Order'!A:C,3,FALSE),[1]Employee!A:C,3,FALSE)&amp;" "&amp;VLOOKUP(VLOOKUP(A2047,'[1]Sales Order'!A:C,3,FALSE),[1]Employee!A:B,2,FALSE),"Not Specified")</f>
        <v>Ms. Sara Davis</v>
      </c>
      <c r="I2047" t="str">
        <f>IFERROR(VLOOKUP(VLOOKUP(A2047,'[1]Sales Order'!A:C,3,FALSE),[1]Employee!A:J,10,FALSE),"Not Specified")</f>
        <v>WA</v>
      </c>
      <c r="J2047" t="str">
        <f>VLOOKUP(B2047,[1]Product!A:B,2,FALSE)</f>
        <v>Product NEVTJ</v>
      </c>
      <c r="K2047" t="str">
        <f>VLOOKUP(VLOOKUP(B2047,[1]Product!A:D,4,FALSE),[1]Category!A:B,2,FALSE)</f>
        <v>Beverages</v>
      </c>
      <c r="L2047" s="10">
        <f>IFERROR(VLOOKUP(A2047,'[1]Sales Order'!A:D,4,FALSE),"")</f>
        <v>39559</v>
      </c>
      <c r="M2047" s="10">
        <f>IFERROR(VLOOKUP(A2047,'[1]Sales Order'!A:F,6,FALSE),"")</f>
        <v>0</v>
      </c>
      <c r="N2047" t="str">
        <f>IFERROR(VLOOKUP(VLOOKUP(A2047,'[1]Sales Order'!A:G,7,FALSE),[1]Shipper!A:B,2,FALSE),"Not Specified")</f>
        <v>Shipper ETYNR</v>
      </c>
      <c r="O2047" t="str">
        <f>IFERROR(VLOOKUP(A2047,'[1]Sales Order'!A:I,9,FALSE),"Not Specified")</f>
        <v>Ship to 47-C</v>
      </c>
      <c r="P2047" t="str">
        <f>IFERROR(VLOOKUP(A2047,'[1]Sales Order'!A:N,14,FALSE),"Not Specified")</f>
        <v>Venezuela</v>
      </c>
      <c r="Q2047" t="str">
        <f>VLOOKUP(VLOOKUP(B2047,[1]Product!A:C,3,FALSE),[1]Supplier!A:B,2,FALSE)</f>
        <v>Supplier UHZRG</v>
      </c>
      <c r="R2047" t="str">
        <f>VLOOKUP(VLOOKUP(B2047,[1]Product!A:C,3,FALSE),[1]Supplier!A:I,9,FALSE)</f>
        <v>USA</v>
      </c>
      <c r="S2047" t="str">
        <f>IFERROR(IF(VLOOKUP(A2047,'[1]Sales Order'!A:H,8,FALSE)&gt;100,"High Freight","Low Freight"),"Not Specified")</f>
        <v>Low Freight</v>
      </c>
      <c r="T2047">
        <f t="shared" si="63"/>
        <v>432</v>
      </c>
    </row>
    <row r="2048" spans="1:20">
      <c r="A2048" s="1">
        <v>11039</v>
      </c>
      <c r="B2048" s="2">
        <v>49</v>
      </c>
      <c r="C2048" s="2">
        <v>20</v>
      </c>
      <c r="D2048" s="2">
        <v>60</v>
      </c>
      <c r="E2048" s="3">
        <v>0</v>
      </c>
      <c r="F2048" s="2" t="str">
        <f>IFERROR(VLOOKUP(VLOOKUP(A2048,'[1]Sales Order'!A:B,2,FALSE),[1]Customer!A:C,3,FALSE),"Not Specified")</f>
        <v>Lupu, Cornel</v>
      </c>
      <c r="G2048" s="2" t="str">
        <f t="shared" si="62"/>
        <v>Lupu Cornel</v>
      </c>
      <c r="H2048" s="8" t="str">
        <f>IFERROR(VLOOKUP(VLOOKUP(A2048,'[1]Sales Order'!A:C,3,FALSE),[1]Employee!A:E,5,FALSE)&amp;" "&amp;VLOOKUP(VLOOKUP(A2048,'[1]Sales Order'!A:C,3,FALSE),[1]Employee!A:C,3,FALSE)&amp;" "&amp;VLOOKUP(VLOOKUP(A2048,'[1]Sales Order'!A:C,3,FALSE),[1]Employee!A:B,2,FALSE),"Not Specified")</f>
        <v>Ms. Sara Davis</v>
      </c>
      <c r="I2048" t="str">
        <f>IFERROR(VLOOKUP(VLOOKUP(A2048,'[1]Sales Order'!A:C,3,FALSE),[1]Employee!A:J,10,FALSE),"Not Specified")</f>
        <v>WA</v>
      </c>
      <c r="J2048" t="str">
        <f>VLOOKUP(B2048,[1]Product!A:B,2,FALSE)</f>
        <v>Product FPYPN</v>
      </c>
      <c r="K2048" t="str">
        <f>VLOOKUP(VLOOKUP(B2048,[1]Product!A:D,4,FALSE),[1]Category!A:B,2,FALSE)</f>
        <v>Confections</v>
      </c>
      <c r="L2048" s="10">
        <f>IFERROR(VLOOKUP(A2048,'[1]Sales Order'!A:D,4,FALSE),"")</f>
        <v>39559</v>
      </c>
      <c r="M2048" s="10">
        <f>IFERROR(VLOOKUP(A2048,'[1]Sales Order'!A:F,6,FALSE),"")</f>
        <v>0</v>
      </c>
      <c r="N2048" t="str">
        <f>IFERROR(VLOOKUP(VLOOKUP(A2048,'[1]Sales Order'!A:G,7,FALSE),[1]Shipper!A:B,2,FALSE),"Not Specified")</f>
        <v>Shipper ETYNR</v>
      </c>
      <c r="O2048" t="str">
        <f>IFERROR(VLOOKUP(A2048,'[1]Sales Order'!A:I,9,FALSE),"Not Specified")</f>
        <v>Ship to 47-C</v>
      </c>
      <c r="P2048" t="str">
        <f>IFERROR(VLOOKUP(A2048,'[1]Sales Order'!A:N,14,FALSE),"Not Specified")</f>
        <v>Venezuela</v>
      </c>
      <c r="Q2048" t="str">
        <f>VLOOKUP(VLOOKUP(B2048,[1]Product!A:C,3,FALSE),[1]Supplier!A:B,2,FALSE)</f>
        <v>Supplier ELCRN</v>
      </c>
      <c r="R2048" t="str">
        <f>VLOOKUP(VLOOKUP(B2048,[1]Product!A:C,3,FALSE),[1]Supplier!A:I,9,FALSE)</f>
        <v>Finland</v>
      </c>
      <c r="S2048" t="str">
        <f>IFERROR(IF(VLOOKUP(A2048,'[1]Sales Order'!A:H,8,FALSE)&gt;100,"High Freight","Low Freight"),"Not Specified")</f>
        <v>Low Freight</v>
      </c>
      <c r="T2048">
        <f t="shared" si="63"/>
        <v>1200</v>
      </c>
    </row>
    <row r="2049" spans="1:20">
      <c r="A2049" s="1">
        <v>11039</v>
      </c>
      <c r="B2049" s="2">
        <v>57</v>
      </c>
      <c r="C2049" s="2">
        <v>19.5</v>
      </c>
      <c r="D2049" s="2">
        <v>28</v>
      </c>
      <c r="E2049" s="3">
        <v>0</v>
      </c>
      <c r="F2049" s="2" t="str">
        <f>IFERROR(VLOOKUP(VLOOKUP(A2049,'[1]Sales Order'!A:B,2,FALSE),[1]Customer!A:C,3,FALSE),"Not Specified")</f>
        <v>Lupu, Cornel</v>
      </c>
      <c r="G2049" s="2" t="str">
        <f t="shared" si="62"/>
        <v>Lupu Cornel</v>
      </c>
      <c r="H2049" s="8" t="str">
        <f>IFERROR(VLOOKUP(VLOOKUP(A2049,'[1]Sales Order'!A:C,3,FALSE),[1]Employee!A:E,5,FALSE)&amp;" "&amp;VLOOKUP(VLOOKUP(A2049,'[1]Sales Order'!A:C,3,FALSE),[1]Employee!A:C,3,FALSE)&amp;" "&amp;VLOOKUP(VLOOKUP(A2049,'[1]Sales Order'!A:C,3,FALSE),[1]Employee!A:B,2,FALSE),"Not Specified")</f>
        <v>Ms. Sara Davis</v>
      </c>
      <c r="I2049" t="str">
        <f>IFERROR(VLOOKUP(VLOOKUP(A2049,'[1]Sales Order'!A:C,3,FALSE),[1]Employee!A:J,10,FALSE),"Not Specified")</f>
        <v>WA</v>
      </c>
      <c r="J2049" t="str">
        <f>VLOOKUP(B2049,[1]Product!A:B,2,FALSE)</f>
        <v>Product OVLQI</v>
      </c>
      <c r="K2049" t="str">
        <f>VLOOKUP(VLOOKUP(B2049,[1]Product!A:D,4,FALSE),[1]Category!A:B,2,FALSE)</f>
        <v>Grains/Cereals</v>
      </c>
      <c r="L2049" s="10">
        <f>IFERROR(VLOOKUP(A2049,'[1]Sales Order'!A:D,4,FALSE),"")</f>
        <v>39559</v>
      </c>
      <c r="M2049" s="10">
        <f>IFERROR(VLOOKUP(A2049,'[1]Sales Order'!A:F,6,FALSE),"")</f>
        <v>0</v>
      </c>
      <c r="N2049" t="str">
        <f>IFERROR(VLOOKUP(VLOOKUP(A2049,'[1]Sales Order'!A:G,7,FALSE),[1]Shipper!A:B,2,FALSE),"Not Specified")</f>
        <v>Shipper ETYNR</v>
      </c>
      <c r="O2049" t="str">
        <f>IFERROR(VLOOKUP(A2049,'[1]Sales Order'!A:I,9,FALSE),"Not Specified")</f>
        <v>Ship to 47-C</v>
      </c>
      <c r="P2049" t="str">
        <f>IFERROR(VLOOKUP(A2049,'[1]Sales Order'!A:N,14,FALSE),"Not Specified")</f>
        <v>Venezuela</v>
      </c>
      <c r="Q2049" t="str">
        <f>VLOOKUP(VLOOKUP(B2049,[1]Product!A:C,3,FALSE),[1]Supplier!A:B,2,FALSE)</f>
        <v>Supplier ZWZDM</v>
      </c>
      <c r="R2049" t="str">
        <f>VLOOKUP(VLOOKUP(B2049,[1]Product!A:C,3,FALSE),[1]Supplier!A:I,9,FALSE)</f>
        <v>Italy</v>
      </c>
      <c r="S2049" t="str">
        <f>IFERROR(IF(VLOOKUP(A2049,'[1]Sales Order'!A:H,8,FALSE)&gt;100,"High Freight","Low Freight"),"Not Specified")</f>
        <v>Low Freight</v>
      </c>
      <c r="T2049">
        <f t="shared" si="63"/>
        <v>546</v>
      </c>
    </row>
    <row r="2050" spans="1:20">
      <c r="A2050" s="1">
        <v>11040</v>
      </c>
      <c r="B2050" s="2">
        <v>21</v>
      </c>
      <c r="C2050" s="2">
        <v>10</v>
      </c>
      <c r="D2050" s="2">
        <v>20</v>
      </c>
      <c r="E2050" s="3">
        <v>0</v>
      </c>
      <c r="F2050" s="2" t="str">
        <f>IFERROR(VLOOKUP(VLOOKUP(A2050,'[1]Sales Order'!A:B,2,FALSE),[1]Customer!A:C,3,FALSE),"Not Specified")</f>
        <v>Krishnan, Venky</v>
      </c>
      <c r="G2050" s="2" t="str">
        <f t="shared" si="62"/>
        <v>Krishnan Venky</v>
      </c>
      <c r="H2050" s="8" t="str">
        <f>IFERROR(VLOOKUP(VLOOKUP(A2050,'[1]Sales Order'!A:C,3,FALSE),[1]Employee!A:E,5,FALSE)&amp;" "&amp;VLOOKUP(VLOOKUP(A2050,'[1]Sales Order'!A:C,3,FALSE),[1]Employee!A:C,3,FALSE)&amp;" "&amp;VLOOKUP(VLOOKUP(A2050,'[1]Sales Order'!A:C,3,FALSE),[1]Employee!A:B,2,FALSE),"Not Specified")</f>
        <v>Mrs. Yael Peled</v>
      </c>
      <c r="I2050" t="str">
        <f>IFERROR(VLOOKUP(VLOOKUP(A2050,'[1]Sales Order'!A:C,3,FALSE),[1]Employee!A:J,10,FALSE),"Not Specified")</f>
        <v>WA</v>
      </c>
      <c r="J2050" t="str">
        <f>VLOOKUP(B2050,[1]Product!A:B,2,FALSE)</f>
        <v>Product VJZZH</v>
      </c>
      <c r="K2050" t="str">
        <f>VLOOKUP(VLOOKUP(B2050,[1]Product!A:D,4,FALSE),[1]Category!A:B,2,FALSE)</f>
        <v>Confections</v>
      </c>
      <c r="L2050" s="10">
        <f>IFERROR(VLOOKUP(A2050,'[1]Sales Order'!A:D,4,FALSE),"")</f>
        <v>39560</v>
      </c>
      <c r="M2050" s="10">
        <f>IFERROR(VLOOKUP(A2050,'[1]Sales Order'!A:F,6,FALSE),"")</f>
        <v>0</v>
      </c>
      <c r="N2050" t="str">
        <f>IFERROR(VLOOKUP(VLOOKUP(A2050,'[1]Sales Order'!A:G,7,FALSE),[1]Shipper!A:B,2,FALSE),"Not Specified")</f>
        <v>Shipper ZHISN</v>
      </c>
      <c r="O2050" t="str">
        <f>IFERROR(VLOOKUP(A2050,'[1]Sales Order'!A:I,9,FALSE),"Not Specified")</f>
        <v>Destination VYOBK</v>
      </c>
      <c r="P2050" t="str">
        <f>IFERROR(VLOOKUP(A2050,'[1]Sales Order'!A:N,14,FALSE),"Not Specified")</f>
        <v>USA</v>
      </c>
      <c r="Q2050" t="str">
        <f>VLOOKUP(VLOOKUP(B2050,[1]Product!A:C,3,FALSE),[1]Supplier!A:B,2,FALSE)</f>
        <v>Supplier BWGYE</v>
      </c>
      <c r="R2050" t="str">
        <f>VLOOKUP(VLOOKUP(B2050,[1]Product!A:C,3,FALSE),[1]Supplier!A:I,9,FALSE)</f>
        <v>UK</v>
      </c>
      <c r="S2050" t="str">
        <f>IFERROR(IF(VLOOKUP(A2050,'[1]Sales Order'!A:H,8,FALSE)&gt;100,"High Freight","Low Freight"),"Not Specified")</f>
        <v>Low Freight</v>
      </c>
      <c r="T2050">
        <f t="shared" si="63"/>
        <v>200</v>
      </c>
    </row>
    <row r="2051" spans="1:20">
      <c r="A2051" s="1">
        <v>11041</v>
      </c>
      <c r="B2051" s="2">
        <v>2</v>
      </c>
      <c r="C2051" s="2">
        <v>19</v>
      </c>
      <c r="D2051" s="2">
        <v>30</v>
      </c>
      <c r="E2051" s="3">
        <v>0.2</v>
      </c>
      <c r="F2051" s="2" t="str">
        <f>IFERROR(VLOOKUP(VLOOKUP(A2051,'[1]Sales Order'!A:B,2,FALSE),[1]Customer!A:C,3,FALSE),"Not Specified")</f>
        <v>Jelitto, Jacek</v>
      </c>
      <c r="G2051" s="2" t="str">
        <f t="shared" ref="G2051:G2114" si="64">SUBSTITUTE(F2051,",","",1)</f>
        <v>Jelitto Jacek</v>
      </c>
      <c r="H2051" s="8" t="str">
        <f>IFERROR(VLOOKUP(VLOOKUP(A2051,'[1]Sales Order'!A:C,3,FALSE),[1]Employee!A:E,5,FALSE)&amp;" "&amp;VLOOKUP(VLOOKUP(A2051,'[1]Sales Order'!A:C,3,FALSE),[1]Employee!A:C,3,FALSE)&amp;" "&amp;VLOOKUP(VLOOKUP(A2051,'[1]Sales Order'!A:C,3,FALSE),[1]Employee!A:B,2,FALSE),"Not Specified")</f>
        <v>Ms. Judy Lew</v>
      </c>
      <c r="I2051" t="str">
        <f>IFERROR(VLOOKUP(VLOOKUP(A2051,'[1]Sales Order'!A:C,3,FALSE),[1]Employee!A:J,10,FALSE),"Not Specified")</f>
        <v>WA</v>
      </c>
      <c r="J2051" t="str">
        <f>VLOOKUP(B2051,[1]Product!A:B,2,FALSE)</f>
        <v>Product RECZE</v>
      </c>
      <c r="K2051" t="str">
        <f>VLOOKUP(VLOOKUP(B2051,[1]Product!A:D,4,FALSE),[1]Category!A:B,2,FALSE)</f>
        <v>Beverages</v>
      </c>
      <c r="L2051" s="10">
        <f>IFERROR(VLOOKUP(A2051,'[1]Sales Order'!A:D,4,FALSE),"")</f>
        <v>39560</v>
      </c>
      <c r="M2051" s="10">
        <f>IFERROR(VLOOKUP(A2051,'[1]Sales Order'!A:F,6,FALSE),"")</f>
        <v>39566</v>
      </c>
      <c r="N2051" t="str">
        <f>IFERROR(VLOOKUP(VLOOKUP(A2051,'[1]Sales Order'!A:G,7,FALSE),[1]Shipper!A:B,2,FALSE),"Not Specified")</f>
        <v>Shipper ETYNR</v>
      </c>
      <c r="O2051" t="str">
        <f>IFERROR(VLOOKUP(A2051,'[1]Sales Order'!A:I,9,FALSE),"Not Specified")</f>
        <v>Destination YUJRD</v>
      </c>
      <c r="P2051" t="str">
        <f>IFERROR(VLOOKUP(A2051,'[1]Sales Order'!A:N,14,FALSE),"Not Specified")</f>
        <v>Switzerland</v>
      </c>
      <c r="Q2051" t="str">
        <f>VLOOKUP(VLOOKUP(B2051,[1]Product!A:C,3,FALSE),[1]Supplier!A:B,2,FALSE)</f>
        <v>Supplier SWRXU</v>
      </c>
      <c r="R2051" t="str">
        <f>VLOOKUP(VLOOKUP(B2051,[1]Product!A:C,3,FALSE),[1]Supplier!A:I,9,FALSE)</f>
        <v>UK</v>
      </c>
      <c r="S2051" t="str">
        <f>IFERROR(IF(VLOOKUP(A2051,'[1]Sales Order'!A:H,8,FALSE)&gt;100,"High Freight","Low Freight"),"Not Specified")</f>
        <v>Low Freight</v>
      </c>
      <c r="T2051">
        <f t="shared" ref="T2051:T2114" si="65">C2051*D2051*(1-E2051)</f>
        <v>456</v>
      </c>
    </row>
    <row r="2052" spans="1:20">
      <c r="A2052" s="1">
        <v>11041</v>
      </c>
      <c r="B2052" s="2">
        <v>63</v>
      </c>
      <c r="C2052" s="2">
        <v>43.9</v>
      </c>
      <c r="D2052" s="2">
        <v>30</v>
      </c>
      <c r="E2052" s="3">
        <v>0</v>
      </c>
      <c r="F2052" s="2" t="str">
        <f>IFERROR(VLOOKUP(VLOOKUP(A2052,'[1]Sales Order'!A:B,2,FALSE),[1]Customer!A:C,3,FALSE),"Not Specified")</f>
        <v>Jelitto, Jacek</v>
      </c>
      <c r="G2052" s="2" t="str">
        <f t="shared" si="64"/>
        <v>Jelitto Jacek</v>
      </c>
      <c r="H2052" s="8" t="str">
        <f>IFERROR(VLOOKUP(VLOOKUP(A2052,'[1]Sales Order'!A:C,3,FALSE),[1]Employee!A:E,5,FALSE)&amp;" "&amp;VLOOKUP(VLOOKUP(A2052,'[1]Sales Order'!A:C,3,FALSE),[1]Employee!A:C,3,FALSE)&amp;" "&amp;VLOOKUP(VLOOKUP(A2052,'[1]Sales Order'!A:C,3,FALSE),[1]Employee!A:B,2,FALSE),"Not Specified")</f>
        <v>Ms. Judy Lew</v>
      </c>
      <c r="I2052" t="str">
        <f>IFERROR(VLOOKUP(VLOOKUP(A2052,'[1]Sales Order'!A:C,3,FALSE),[1]Employee!A:J,10,FALSE),"Not Specified")</f>
        <v>WA</v>
      </c>
      <c r="J2052" t="str">
        <f>VLOOKUP(B2052,[1]Product!A:B,2,FALSE)</f>
        <v>Product ICKNK</v>
      </c>
      <c r="K2052" t="str">
        <f>VLOOKUP(VLOOKUP(B2052,[1]Product!A:D,4,FALSE),[1]Category!A:B,2,FALSE)</f>
        <v>Condiments</v>
      </c>
      <c r="L2052" s="10">
        <f>IFERROR(VLOOKUP(A2052,'[1]Sales Order'!A:D,4,FALSE),"")</f>
        <v>39560</v>
      </c>
      <c r="M2052" s="10">
        <f>IFERROR(VLOOKUP(A2052,'[1]Sales Order'!A:F,6,FALSE),"")</f>
        <v>39566</v>
      </c>
      <c r="N2052" t="str">
        <f>IFERROR(VLOOKUP(VLOOKUP(A2052,'[1]Sales Order'!A:G,7,FALSE),[1]Shipper!A:B,2,FALSE),"Not Specified")</f>
        <v>Shipper ETYNR</v>
      </c>
      <c r="O2052" t="str">
        <f>IFERROR(VLOOKUP(A2052,'[1]Sales Order'!A:I,9,FALSE),"Not Specified")</f>
        <v>Destination YUJRD</v>
      </c>
      <c r="P2052" t="str">
        <f>IFERROR(VLOOKUP(A2052,'[1]Sales Order'!A:N,14,FALSE),"Not Specified")</f>
        <v>Switzerland</v>
      </c>
      <c r="Q2052" t="str">
        <f>VLOOKUP(VLOOKUP(B2052,[1]Product!A:C,3,FALSE),[1]Supplier!A:B,2,FALSE)</f>
        <v>Supplier GQRCV</v>
      </c>
      <c r="R2052" t="str">
        <f>VLOOKUP(VLOOKUP(B2052,[1]Product!A:C,3,FALSE),[1]Supplier!A:I,9,FALSE)</f>
        <v>Australia</v>
      </c>
      <c r="S2052" t="str">
        <f>IFERROR(IF(VLOOKUP(A2052,'[1]Sales Order'!A:H,8,FALSE)&gt;100,"High Freight","Low Freight"),"Not Specified")</f>
        <v>Low Freight</v>
      </c>
      <c r="T2052">
        <f t="shared" si="65"/>
        <v>1317</v>
      </c>
    </row>
    <row r="2053" spans="1:20">
      <c r="A2053" s="1">
        <v>11042</v>
      </c>
      <c r="B2053" s="2">
        <v>44</v>
      </c>
      <c r="C2053" s="2">
        <v>19.45</v>
      </c>
      <c r="D2053" s="2">
        <v>15</v>
      </c>
      <c r="E2053" s="3">
        <v>0</v>
      </c>
      <c r="F2053" s="2" t="str">
        <f>IFERROR(VLOOKUP(VLOOKUP(A2053,'[1]Sales Order'!A:B,2,FALSE),[1]Customer!A:C,3,FALSE),"Not Specified")</f>
        <v>Richardson, Shawn</v>
      </c>
      <c r="G2053" s="2" t="str">
        <f t="shared" si="64"/>
        <v>Richardson Shawn</v>
      </c>
      <c r="H2053" s="8" t="str">
        <f>IFERROR(VLOOKUP(VLOOKUP(A2053,'[1]Sales Order'!A:C,3,FALSE),[1]Employee!A:E,5,FALSE)&amp;" "&amp;VLOOKUP(VLOOKUP(A2053,'[1]Sales Order'!A:C,3,FALSE),[1]Employee!A:C,3,FALSE)&amp;" "&amp;VLOOKUP(VLOOKUP(A2053,'[1]Sales Order'!A:C,3,FALSE),[1]Employee!A:B,2,FALSE),"Not Specified")</f>
        <v>Dr. Don Funk</v>
      </c>
      <c r="I2053" t="str">
        <f>IFERROR(VLOOKUP(VLOOKUP(A2053,'[1]Sales Order'!A:C,3,FALSE),[1]Employee!A:J,10,FALSE),"Not Specified")</f>
        <v>WA</v>
      </c>
      <c r="J2053" t="str">
        <f>VLOOKUP(B2053,[1]Product!A:B,2,FALSE)</f>
        <v>Product VJIEO</v>
      </c>
      <c r="K2053" t="str">
        <f>VLOOKUP(VLOOKUP(B2053,[1]Product!A:D,4,FALSE),[1]Category!A:B,2,FALSE)</f>
        <v>Condiments</v>
      </c>
      <c r="L2053" s="10">
        <f>IFERROR(VLOOKUP(A2053,'[1]Sales Order'!A:D,4,FALSE),"")</f>
        <v>39560</v>
      </c>
      <c r="M2053" s="10">
        <f>IFERROR(VLOOKUP(A2053,'[1]Sales Order'!A:F,6,FALSE),"")</f>
        <v>39569</v>
      </c>
      <c r="N2053" t="str">
        <f>IFERROR(VLOOKUP(VLOOKUP(A2053,'[1]Sales Order'!A:G,7,FALSE),[1]Shipper!A:B,2,FALSE),"Not Specified")</f>
        <v>Shipper GVSUA</v>
      </c>
      <c r="O2053" t="str">
        <f>IFERROR(VLOOKUP(A2053,'[1]Sales Order'!A:I,9,FALSE),"Not Specified")</f>
        <v>Destination EVHYA</v>
      </c>
      <c r="P2053" t="str">
        <f>IFERROR(VLOOKUP(A2053,'[1]Sales Order'!A:N,14,FALSE),"Not Specified")</f>
        <v>Brazil</v>
      </c>
      <c r="Q2053" t="str">
        <f>VLOOKUP(VLOOKUP(B2053,[1]Product!A:C,3,FALSE),[1]Supplier!A:B,2,FALSE)</f>
        <v>Supplier CIYNM</v>
      </c>
      <c r="R2053" t="str">
        <f>VLOOKUP(VLOOKUP(B2053,[1]Product!A:C,3,FALSE),[1]Supplier!A:I,9,FALSE)</f>
        <v>Singapore</v>
      </c>
      <c r="S2053" t="str">
        <f>IFERROR(IF(VLOOKUP(A2053,'[1]Sales Order'!A:H,8,FALSE)&gt;100,"High Freight","Low Freight"),"Not Specified")</f>
        <v>Low Freight</v>
      </c>
      <c r="T2053">
        <f t="shared" si="65"/>
        <v>291.75</v>
      </c>
    </row>
    <row r="2054" spans="1:20">
      <c r="A2054" s="1">
        <v>11042</v>
      </c>
      <c r="B2054" s="2">
        <v>61</v>
      </c>
      <c r="C2054" s="2">
        <v>28.5</v>
      </c>
      <c r="D2054" s="2">
        <v>4</v>
      </c>
      <c r="E2054" s="3">
        <v>0</v>
      </c>
      <c r="F2054" s="2" t="str">
        <f>IFERROR(VLOOKUP(VLOOKUP(A2054,'[1]Sales Order'!A:B,2,FALSE),[1]Customer!A:C,3,FALSE),"Not Specified")</f>
        <v>Richardson, Shawn</v>
      </c>
      <c r="G2054" s="2" t="str">
        <f t="shared" si="64"/>
        <v>Richardson Shawn</v>
      </c>
      <c r="H2054" s="8" t="str">
        <f>IFERROR(VLOOKUP(VLOOKUP(A2054,'[1]Sales Order'!A:C,3,FALSE),[1]Employee!A:E,5,FALSE)&amp;" "&amp;VLOOKUP(VLOOKUP(A2054,'[1]Sales Order'!A:C,3,FALSE),[1]Employee!A:C,3,FALSE)&amp;" "&amp;VLOOKUP(VLOOKUP(A2054,'[1]Sales Order'!A:C,3,FALSE),[1]Employee!A:B,2,FALSE),"Not Specified")</f>
        <v>Dr. Don Funk</v>
      </c>
      <c r="I2054" t="str">
        <f>IFERROR(VLOOKUP(VLOOKUP(A2054,'[1]Sales Order'!A:C,3,FALSE),[1]Employee!A:J,10,FALSE),"Not Specified")</f>
        <v>WA</v>
      </c>
      <c r="J2054" t="str">
        <f>VLOOKUP(B2054,[1]Product!A:B,2,FALSE)</f>
        <v>Product XYZPE</v>
      </c>
      <c r="K2054" t="str">
        <f>VLOOKUP(VLOOKUP(B2054,[1]Product!A:D,4,FALSE),[1]Category!A:B,2,FALSE)</f>
        <v>Condiments</v>
      </c>
      <c r="L2054" s="10">
        <f>IFERROR(VLOOKUP(A2054,'[1]Sales Order'!A:D,4,FALSE),"")</f>
        <v>39560</v>
      </c>
      <c r="M2054" s="10">
        <f>IFERROR(VLOOKUP(A2054,'[1]Sales Order'!A:F,6,FALSE),"")</f>
        <v>39569</v>
      </c>
      <c r="N2054" t="str">
        <f>IFERROR(VLOOKUP(VLOOKUP(A2054,'[1]Sales Order'!A:G,7,FALSE),[1]Shipper!A:B,2,FALSE),"Not Specified")</f>
        <v>Shipper GVSUA</v>
      </c>
      <c r="O2054" t="str">
        <f>IFERROR(VLOOKUP(A2054,'[1]Sales Order'!A:I,9,FALSE),"Not Specified")</f>
        <v>Destination EVHYA</v>
      </c>
      <c r="P2054" t="str">
        <f>IFERROR(VLOOKUP(A2054,'[1]Sales Order'!A:N,14,FALSE),"Not Specified")</f>
        <v>Brazil</v>
      </c>
      <c r="Q2054" t="str">
        <f>VLOOKUP(VLOOKUP(B2054,[1]Product!A:C,3,FALSE),[1]Supplier!A:B,2,FALSE)</f>
        <v>Supplier OGLRK</v>
      </c>
      <c r="R2054" t="str">
        <f>VLOOKUP(VLOOKUP(B2054,[1]Product!A:C,3,FALSE),[1]Supplier!A:I,9,FALSE)</f>
        <v>Canada</v>
      </c>
      <c r="S2054" t="str">
        <f>IFERROR(IF(VLOOKUP(A2054,'[1]Sales Order'!A:H,8,FALSE)&gt;100,"High Freight","Low Freight"),"Not Specified")</f>
        <v>Low Freight</v>
      </c>
      <c r="T2054">
        <f t="shared" si="65"/>
        <v>114</v>
      </c>
    </row>
    <row r="2055" spans="1:20">
      <c r="A2055" s="1">
        <v>11043</v>
      </c>
      <c r="B2055" s="2">
        <v>11</v>
      </c>
      <c r="C2055" s="2">
        <v>21</v>
      </c>
      <c r="D2055" s="2">
        <v>10</v>
      </c>
      <c r="E2055" s="3">
        <v>0</v>
      </c>
      <c r="F2055" s="2" t="str">
        <f>IFERROR(VLOOKUP(VLOOKUP(A2055,'[1]Sales Order'!A:B,2,FALSE),[1]Customer!A:C,3,FALSE),"Not Specified")</f>
        <v>O’Brien, Dave</v>
      </c>
      <c r="G2055" s="2" t="str">
        <f t="shared" si="64"/>
        <v>O’Brien Dave</v>
      </c>
      <c r="H2055" s="8" t="str">
        <f>IFERROR(VLOOKUP(VLOOKUP(A2055,'[1]Sales Order'!A:C,3,FALSE),[1]Employee!A:E,5,FALSE)&amp;" "&amp;VLOOKUP(VLOOKUP(A2055,'[1]Sales Order'!A:C,3,FALSE),[1]Employee!A:C,3,FALSE)&amp;" "&amp;VLOOKUP(VLOOKUP(A2055,'[1]Sales Order'!A:C,3,FALSE),[1]Employee!A:B,2,FALSE),"Not Specified")</f>
        <v>Mr. Sven Buck</v>
      </c>
      <c r="I2055">
        <f>IFERROR(VLOOKUP(VLOOKUP(A2055,'[1]Sales Order'!A:C,3,FALSE),[1]Employee!A:J,10,FALSE),"Not Specified")</f>
        <v>0</v>
      </c>
      <c r="J2055" t="str">
        <f>VLOOKUP(B2055,[1]Product!A:B,2,FALSE)</f>
        <v>Product QMVUN</v>
      </c>
      <c r="K2055" t="str">
        <f>VLOOKUP(VLOOKUP(B2055,[1]Product!A:D,4,FALSE),[1]Category!A:B,2,FALSE)</f>
        <v>Dairy Product</v>
      </c>
      <c r="L2055" s="10">
        <f>IFERROR(VLOOKUP(A2055,'[1]Sales Order'!A:D,4,FALSE),"")</f>
        <v>39560</v>
      </c>
      <c r="M2055" s="10">
        <f>IFERROR(VLOOKUP(A2055,'[1]Sales Order'!A:F,6,FALSE),"")</f>
        <v>39567</v>
      </c>
      <c r="N2055" t="str">
        <f>IFERROR(VLOOKUP(VLOOKUP(A2055,'[1]Sales Order'!A:G,7,FALSE),[1]Shipper!A:B,2,FALSE),"Not Specified")</f>
        <v>Shipper ETYNR</v>
      </c>
      <c r="O2055" t="str">
        <f>IFERROR(VLOOKUP(A2055,'[1]Sales Order'!A:I,9,FALSE),"Not Specified")</f>
        <v>Ship to 74-B</v>
      </c>
      <c r="P2055" t="str">
        <f>IFERROR(VLOOKUP(A2055,'[1]Sales Order'!A:N,14,FALSE),"Not Specified")</f>
        <v>France</v>
      </c>
      <c r="Q2055" t="str">
        <f>VLOOKUP(VLOOKUP(B2055,[1]Product!A:C,3,FALSE),[1]Supplier!A:B,2,FALSE)</f>
        <v>Supplier EQPNC</v>
      </c>
      <c r="R2055" t="str">
        <f>VLOOKUP(VLOOKUP(B2055,[1]Product!A:C,3,FALSE),[1]Supplier!A:I,9,FALSE)</f>
        <v>Spain</v>
      </c>
      <c r="S2055" t="str">
        <f>IFERROR(IF(VLOOKUP(A2055,'[1]Sales Order'!A:H,8,FALSE)&gt;100,"High Freight","Low Freight"),"Not Specified")</f>
        <v>Low Freight</v>
      </c>
      <c r="T2055">
        <f t="shared" si="65"/>
        <v>210</v>
      </c>
    </row>
    <row r="2056" spans="1:20">
      <c r="A2056" s="1">
        <v>11044</v>
      </c>
      <c r="B2056" s="2">
        <v>62</v>
      </c>
      <c r="C2056" s="2">
        <v>49.3</v>
      </c>
      <c r="D2056" s="2">
        <v>12</v>
      </c>
      <c r="E2056" s="3">
        <v>0</v>
      </c>
      <c r="F2056" s="2" t="str">
        <f>IFERROR(VLOOKUP(VLOOKUP(A2056,'[1]Sales Order'!A:B,2,FALSE),[1]Customer!A:C,3,FALSE),"Not Specified")</f>
        <v>Conn, Steve</v>
      </c>
      <c r="G2056" s="2" t="str">
        <f t="shared" si="64"/>
        <v>Conn Steve</v>
      </c>
      <c r="H2056" s="8" t="str">
        <f>IFERROR(VLOOKUP(VLOOKUP(A2056,'[1]Sales Order'!A:C,3,FALSE),[1]Employee!A:E,5,FALSE)&amp;" "&amp;VLOOKUP(VLOOKUP(A2056,'[1]Sales Order'!A:C,3,FALSE),[1]Employee!A:C,3,FALSE)&amp;" "&amp;VLOOKUP(VLOOKUP(A2056,'[1]Sales Order'!A:C,3,FALSE),[1]Employee!A:B,2,FALSE),"Not Specified")</f>
        <v>Mrs. Yael Peled</v>
      </c>
      <c r="I2056" t="str">
        <f>IFERROR(VLOOKUP(VLOOKUP(A2056,'[1]Sales Order'!A:C,3,FALSE),[1]Employee!A:J,10,FALSE),"Not Specified")</f>
        <v>WA</v>
      </c>
      <c r="J2056" t="str">
        <f>VLOOKUP(B2056,[1]Product!A:B,2,FALSE)</f>
        <v>Product WUXYK</v>
      </c>
      <c r="K2056" t="str">
        <f>VLOOKUP(VLOOKUP(B2056,[1]Product!A:D,4,FALSE),[1]Category!A:B,2,FALSE)</f>
        <v>Confections</v>
      </c>
      <c r="L2056" s="10">
        <f>IFERROR(VLOOKUP(A2056,'[1]Sales Order'!A:D,4,FALSE),"")</f>
        <v>39561</v>
      </c>
      <c r="M2056" s="10">
        <f>IFERROR(VLOOKUP(A2056,'[1]Sales Order'!A:F,6,FALSE),"")</f>
        <v>39569</v>
      </c>
      <c r="N2056" t="str">
        <f>IFERROR(VLOOKUP(VLOOKUP(A2056,'[1]Sales Order'!A:G,7,FALSE),[1]Shipper!A:B,2,FALSE),"Not Specified")</f>
        <v>Shipper GVSUA</v>
      </c>
      <c r="O2056" t="str">
        <f>IFERROR(VLOOKUP(A2056,'[1]Sales Order'!A:I,9,FALSE),"Not Specified")</f>
        <v>Ship to 91-B</v>
      </c>
      <c r="P2056" t="str">
        <f>IFERROR(VLOOKUP(A2056,'[1]Sales Order'!A:N,14,FALSE),"Not Specified")</f>
        <v>Poland</v>
      </c>
      <c r="Q2056" t="str">
        <f>VLOOKUP(VLOOKUP(B2056,[1]Product!A:C,3,FALSE),[1]Supplier!A:B,2,FALSE)</f>
        <v>Supplier OGLRK</v>
      </c>
      <c r="R2056" t="str">
        <f>VLOOKUP(VLOOKUP(B2056,[1]Product!A:C,3,FALSE),[1]Supplier!A:I,9,FALSE)</f>
        <v>Canada</v>
      </c>
      <c r="S2056" t="str">
        <f>IFERROR(IF(VLOOKUP(A2056,'[1]Sales Order'!A:H,8,FALSE)&gt;100,"High Freight","Low Freight"),"Not Specified")</f>
        <v>Low Freight</v>
      </c>
      <c r="T2056">
        <f t="shared" si="65"/>
        <v>591.59999999999991</v>
      </c>
    </row>
    <row r="2057" spans="1:20">
      <c r="A2057" s="1">
        <v>11045</v>
      </c>
      <c r="B2057" s="2">
        <v>33</v>
      </c>
      <c r="C2057" s="2">
        <v>2.5</v>
      </c>
      <c r="D2057" s="2">
        <v>15</v>
      </c>
      <c r="E2057" s="3">
        <v>0</v>
      </c>
      <c r="F2057" s="2" t="str">
        <f>IFERROR(VLOOKUP(VLOOKUP(A2057,'[1]Sales Order'!A:B,2,FALSE),[1]Customer!A:C,3,FALSE),"Not Specified")</f>
        <v>Bassols, Pilar Colome</v>
      </c>
      <c r="G2057" s="2" t="str">
        <f t="shared" si="64"/>
        <v>Bassols Pilar Colome</v>
      </c>
      <c r="H2057" s="8" t="str">
        <f>IFERROR(VLOOKUP(VLOOKUP(A2057,'[1]Sales Order'!A:C,3,FALSE),[1]Employee!A:E,5,FALSE)&amp;" "&amp;VLOOKUP(VLOOKUP(A2057,'[1]Sales Order'!A:C,3,FALSE),[1]Employee!A:C,3,FALSE)&amp;" "&amp;VLOOKUP(VLOOKUP(A2057,'[1]Sales Order'!A:C,3,FALSE),[1]Employee!A:B,2,FALSE),"Not Specified")</f>
        <v>Mr. Paul Suurs</v>
      </c>
      <c r="I2057">
        <f>IFERROR(VLOOKUP(VLOOKUP(A2057,'[1]Sales Order'!A:C,3,FALSE),[1]Employee!A:J,10,FALSE),"Not Specified")</f>
        <v>0</v>
      </c>
      <c r="J2057" t="str">
        <f>VLOOKUP(B2057,[1]Product!A:B,2,FALSE)</f>
        <v>Product ASTMN</v>
      </c>
      <c r="K2057" t="str">
        <f>VLOOKUP(VLOOKUP(B2057,[1]Product!A:D,4,FALSE),[1]Category!A:B,2,FALSE)</f>
        <v>Dairy Product</v>
      </c>
      <c r="L2057" s="10">
        <f>IFERROR(VLOOKUP(A2057,'[1]Sales Order'!A:D,4,FALSE),"")</f>
        <v>39561</v>
      </c>
      <c r="M2057" s="10">
        <f>IFERROR(VLOOKUP(A2057,'[1]Sales Order'!A:F,6,FALSE),"")</f>
        <v>0</v>
      </c>
      <c r="N2057" t="str">
        <f>IFERROR(VLOOKUP(VLOOKUP(A2057,'[1]Sales Order'!A:G,7,FALSE),[1]Shipper!A:B,2,FALSE),"Not Specified")</f>
        <v>Shipper ETYNR</v>
      </c>
      <c r="O2057" t="str">
        <f>IFERROR(VLOOKUP(A2057,'[1]Sales Order'!A:I,9,FALSE),"Not Specified")</f>
        <v>Destination LPHSI</v>
      </c>
      <c r="P2057" t="str">
        <f>IFERROR(VLOOKUP(A2057,'[1]Sales Order'!A:N,14,FALSE),"Not Specified")</f>
        <v>Canada</v>
      </c>
      <c r="Q2057" t="str">
        <f>VLOOKUP(VLOOKUP(B2057,[1]Product!A:C,3,FALSE),[1]Supplier!A:B,2,FALSE)</f>
        <v>Supplier NZLIF</v>
      </c>
      <c r="R2057" t="str">
        <f>VLOOKUP(VLOOKUP(B2057,[1]Product!A:C,3,FALSE),[1]Supplier!A:I,9,FALSE)</f>
        <v>Norway</v>
      </c>
      <c r="S2057" t="str">
        <f>IFERROR(IF(VLOOKUP(A2057,'[1]Sales Order'!A:H,8,FALSE)&gt;100,"High Freight","Low Freight"),"Not Specified")</f>
        <v>Low Freight</v>
      </c>
      <c r="T2057">
        <f t="shared" si="65"/>
        <v>37.5</v>
      </c>
    </row>
    <row r="2058" spans="1:20">
      <c r="A2058" s="1">
        <v>11045</v>
      </c>
      <c r="B2058" s="2">
        <v>51</v>
      </c>
      <c r="C2058" s="2">
        <v>53</v>
      </c>
      <c r="D2058" s="2">
        <v>24</v>
      </c>
      <c r="E2058" s="3">
        <v>0</v>
      </c>
      <c r="F2058" s="2" t="str">
        <f>IFERROR(VLOOKUP(VLOOKUP(A2058,'[1]Sales Order'!A:B,2,FALSE),[1]Customer!A:C,3,FALSE),"Not Specified")</f>
        <v>Bassols, Pilar Colome</v>
      </c>
      <c r="G2058" s="2" t="str">
        <f t="shared" si="64"/>
        <v>Bassols Pilar Colome</v>
      </c>
      <c r="H2058" s="8" t="str">
        <f>IFERROR(VLOOKUP(VLOOKUP(A2058,'[1]Sales Order'!A:C,3,FALSE),[1]Employee!A:E,5,FALSE)&amp;" "&amp;VLOOKUP(VLOOKUP(A2058,'[1]Sales Order'!A:C,3,FALSE),[1]Employee!A:C,3,FALSE)&amp;" "&amp;VLOOKUP(VLOOKUP(A2058,'[1]Sales Order'!A:C,3,FALSE),[1]Employee!A:B,2,FALSE),"Not Specified")</f>
        <v>Mr. Paul Suurs</v>
      </c>
      <c r="I2058">
        <f>IFERROR(VLOOKUP(VLOOKUP(A2058,'[1]Sales Order'!A:C,3,FALSE),[1]Employee!A:J,10,FALSE),"Not Specified")</f>
        <v>0</v>
      </c>
      <c r="J2058" t="str">
        <f>VLOOKUP(B2058,[1]Product!A:B,2,FALSE)</f>
        <v>Product APITJ</v>
      </c>
      <c r="K2058" t="str">
        <f>VLOOKUP(VLOOKUP(B2058,[1]Product!A:D,4,FALSE),[1]Category!A:B,2,FALSE)</f>
        <v>Produce</v>
      </c>
      <c r="L2058" s="10">
        <f>IFERROR(VLOOKUP(A2058,'[1]Sales Order'!A:D,4,FALSE),"")</f>
        <v>39561</v>
      </c>
      <c r="M2058" s="10">
        <f>IFERROR(VLOOKUP(A2058,'[1]Sales Order'!A:F,6,FALSE),"")</f>
        <v>0</v>
      </c>
      <c r="N2058" t="str">
        <f>IFERROR(VLOOKUP(VLOOKUP(A2058,'[1]Sales Order'!A:G,7,FALSE),[1]Shipper!A:B,2,FALSE),"Not Specified")</f>
        <v>Shipper ETYNR</v>
      </c>
      <c r="O2058" t="str">
        <f>IFERROR(VLOOKUP(A2058,'[1]Sales Order'!A:I,9,FALSE),"Not Specified")</f>
        <v>Destination LPHSI</v>
      </c>
      <c r="P2058" t="str">
        <f>IFERROR(VLOOKUP(A2058,'[1]Sales Order'!A:N,14,FALSE),"Not Specified")</f>
        <v>Canada</v>
      </c>
      <c r="Q2058" t="str">
        <f>VLOOKUP(VLOOKUP(B2058,[1]Product!A:C,3,FALSE),[1]Supplier!A:B,2,FALSE)</f>
        <v>Supplier JNNES</v>
      </c>
      <c r="R2058" t="str">
        <f>VLOOKUP(VLOOKUP(B2058,[1]Product!A:C,3,FALSE),[1]Supplier!A:I,9,FALSE)</f>
        <v>Australia</v>
      </c>
      <c r="S2058" t="str">
        <f>IFERROR(IF(VLOOKUP(A2058,'[1]Sales Order'!A:H,8,FALSE)&gt;100,"High Freight","Low Freight"),"Not Specified")</f>
        <v>Low Freight</v>
      </c>
      <c r="T2058">
        <f t="shared" si="65"/>
        <v>1272</v>
      </c>
    </row>
    <row r="2059" spans="1:20">
      <c r="A2059" s="1">
        <v>11046</v>
      </c>
      <c r="B2059" s="2">
        <v>12</v>
      </c>
      <c r="C2059" s="2">
        <v>38</v>
      </c>
      <c r="D2059" s="2">
        <v>20</v>
      </c>
      <c r="E2059" s="3">
        <v>0.05</v>
      </c>
      <c r="F2059" s="2" t="str">
        <f>IFERROR(VLOOKUP(VLOOKUP(A2059,'[1]Sales Order'!A:B,2,FALSE),[1]Customer!A:C,3,FALSE),"Not Specified")</f>
        <v>Syamala, Manoj</v>
      </c>
      <c r="G2059" s="2" t="str">
        <f t="shared" si="64"/>
        <v>Syamala Manoj</v>
      </c>
      <c r="H2059" s="8" t="str">
        <f>IFERROR(VLOOKUP(VLOOKUP(A2059,'[1]Sales Order'!A:C,3,FALSE),[1]Employee!A:E,5,FALSE)&amp;" "&amp;VLOOKUP(VLOOKUP(A2059,'[1]Sales Order'!A:C,3,FALSE),[1]Employee!A:C,3,FALSE)&amp;" "&amp;VLOOKUP(VLOOKUP(A2059,'[1]Sales Order'!A:C,3,FALSE),[1]Employee!A:B,2,FALSE),"Not Specified")</f>
        <v>Ms. Maria Cameron</v>
      </c>
      <c r="I2059" t="str">
        <f>IFERROR(VLOOKUP(VLOOKUP(A2059,'[1]Sales Order'!A:C,3,FALSE),[1]Employee!A:J,10,FALSE),"Not Specified")</f>
        <v>WA</v>
      </c>
      <c r="J2059" t="str">
        <f>VLOOKUP(B2059,[1]Product!A:B,2,FALSE)</f>
        <v>Product OSFNS</v>
      </c>
      <c r="K2059" t="str">
        <f>VLOOKUP(VLOOKUP(B2059,[1]Product!A:D,4,FALSE),[1]Category!A:B,2,FALSE)</f>
        <v>Dairy Product</v>
      </c>
      <c r="L2059" s="10">
        <f>IFERROR(VLOOKUP(A2059,'[1]Sales Order'!A:D,4,FALSE),"")</f>
        <v>39561</v>
      </c>
      <c r="M2059" s="10">
        <f>IFERROR(VLOOKUP(A2059,'[1]Sales Order'!A:F,6,FALSE),"")</f>
        <v>39562</v>
      </c>
      <c r="N2059" t="str">
        <f>IFERROR(VLOOKUP(VLOOKUP(A2059,'[1]Sales Order'!A:G,7,FALSE),[1]Shipper!A:B,2,FALSE),"Not Specified")</f>
        <v>Shipper ETYNR</v>
      </c>
      <c r="O2059" t="str">
        <f>IFERROR(VLOOKUP(A2059,'[1]Sales Order'!A:I,9,FALSE),"Not Specified")</f>
        <v>Ship to 86-C</v>
      </c>
      <c r="P2059" t="str">
        <f>IFERROR(VLOOKUP(A2059,'[1]Sales Order'!A:N,14,FALSE),"Not Specified")</f>
        <v>Germany</v>
      </c>
      <c r="Q2059" t="str">
        <f>VLOOKUP(VLOOKUP(B2059,[1]Product!A:C,3,FALSE),[1]Supplier!A:B,2,FALSE)</f>
        <v>Supplier EQPNC</v>
      </c>
      <c r="R2059" t="str">
        <f>VLOOKUP(VLOOKUP(B2059,[1]Product!A:C,3,FALSE),[1]Supplier!A:I,9,FALSE)</f>
        <v>Spain</v>
      </c>
      <c r="S2059" t="str">
        <f>IFERROR(IF(VLOOKUP(A2059,'[1]Sales Order'!A:H,8,FALSE)&gt;100,"High Freight","Low Freight"),"Not Specified")</f>
        <v>Low Freight</v>
      </c>
      <c r="T2059">
        <f t="shared" si="65"/>
        <v>722</v>
      </c>
    </row>
    <row r="2060" spans="1:20">
      <c r="A2060" s="1">
        <v>11046</v>
      </c>
      <c r="B2060" s="2">
        <v>32</v>
      </c>
      <c r="C2060" s="2">
        <v>32</v>
      </c>
      <c r="D2060" s="2">
        <v>15</v>
      </c>
      <c r="E2060" s="3">
        <v>0.05</v>
      </c>
      <c r="F2060" s="2" t="str">
        <f>IFERROR(VLOOKUP(VLOOKUP(A2060,'[1]Sales Order'!A:B,2,FALSE),[1]Customer!A:C,3,FALSE),"Not Specified")</f>
        <v>Syamala, Manoj</v>
      </c>
      <c r="G2060" s="2" t="str">
        <f t="shared" si="64"/>
        <v>Syamala Manoj</v>
      </c>
      <c r="H2060" s="8" t="str">
        <f>IFERROR(VLOOKUP(VLOOKUP(A2060,'[1]Sales Order'!A:C,3,FALSE),[1]Employee!A:E,5,FALSE)&amp;" "&amp;VLOOKUP(VLOOKUP(A2060,'[1]Sales Order'!A:C,3,FALSE),[1]Employee!A:C,3,FALSE)&amp;" "&amp;VLOOKUP(VLOOKUP(A2060,'[1]Sales Order'!A:C,3,FALSE),[1]Employee!A:B,2,FALSE),"Not Specified")</f>
        <v>Ms. Maria Cameron</v>
      </c>
      <c r="I2060" t="str">
        <f>IFERROR(VLOOKUP(VLOOKUP(A2060,'[1]Sales Order'!A:C,3,FALSE),[1]Employee!A:J,10,FALSE),"Not Specified")</f>
        <v>WA</v>
      </c>
      <c r="J2060" t="str">
        <f>VLOOKUP(B2060,[1]Product!A:B,2,FALSE)</f>
        <v>Product NUNAW</v>
      </c>
      <c r="K2060" t="str">
        <f>VLOOKUP(VLOOKUP(B2060,[1]Product!A:D,4,FALSE),[1]Category!A:B,2,FALSE)</f>
        <v>Dairy Product</v>
      </c>
      <c r="L2060" s="10">
        <f>IFERROR(VLOOKUP(A2060,'[1]Sales Order'!A:D,4,FALSE),"")</f>
        <v>39561</v>
      </c>
      <c r="M2060" s="10">
        <f>IFERROR(VLOOKUP(A2060,'[1]Sales Order'!A:F,6,FALSE),"")</f>
        <v>39562</v>
      </c>
      <c r="N2060" t="str">
        <f>IFERROR(VLOOKUP(VLOOKUP(A2060,'[1]Sales Order'!A:G,7,FALSE),[1]Shipper!A:B,2,FALSE),"Not Specified")</f>
        <v>Shipper ETYNR</v>
      </c>
      <c r="O2060" t="str">
        <f>IFERROR(VLOOKUP(A2060,'[1]Sales Order'!A:I,9,FALSE),"Not Specified")</f>
        <v>Ship to 86-C</v>
      </c>
      <c r="P2060" t="str">
        <f>IFERROR(VLOOKUP(A2060,'[1]Sales Order'!A:N,14,FALSE),"Not Specified")</f>
        <v>Germany</v>
      </c>
      <c r="Q2060" t="str">
        <f>VLOOKUP(VLOOKUP(B2060,[1]Product!A:C,3,FALSE),[1]Supplier!A:B,2,FALSE)</f>
        <v>Supplier KEREV</v>
      </c>
      <c r="R2060" t="str">
        <f>VLOOKUP(VLOOKUP(B2060,[1]Product!A:C,3,FALSE),[1]Supplier!A:I,9,FALSE)</f>
        <v>Italy</v>
      </c>
      <c r="S2060" t="str">
        <f>IFERROR(IF(VLOOKUP(A2060,'[1]Sales Order'!A:H,8,FALSE)&gt;100,"High Freight","Low Freight"),"Not Specified")</f>
        <v>Low Freight</v>
      </c>
      <c r="T2060">
        <f t="shared" si="65"/>
        <v>456</v>
      </c>
    </row>
    <row r="2061" spans="1:20">
      <c r="A2061" s="1">
        <v>11046</v>
      </c>
      <c r="B2061" s="2">
        <v>35</v>
      </c>
      <c r="C2061" s="2">
        <v>18</v>
      </c>
      <c r="D2061" s="2">
        <v>18</v>
      </c>
      <c r="E2061" s="3">
        <v>0.05</v>
      </c>
      <c r="F2061" s="2" t="str">
        <f>IFERROR(VLOOKUP(VLOOKUP(A2061,'[1]Sales Order'!A:B,2,FALSE),[1]Customer!A:C,3,FALSE),"Not Specified")</f>
        <v>Syamala, Manoj</v>
      </c>
      <c r="G2061" s="2" t="str">
        <f t="shared" si="64"/>
        <v>Syamala Manoj</v>
      </c>
      <c r="H2061" s="8" t="str">
        <f>IFERROR(VLOOKUP(VLOOKUP(A2061,'[1]Sales Order'!A:C,3,FALSE),[1]Employee!A:E,5,FALSE)&amp;" "&amp;VLOOKUP(VLOOKUP(A2061,'[1]Sales Order'!A:C,3,FALSE),[1]Employee!A:C,3,FALSE)&amp;" "&amp;VLOOKUP(VLOOKUP(A2061,'[1]Sales Order'!A:C,3,FALSE),[1]Employee!A:B,2,FALSE),"Not Specified")</f>
        <v>Ms. Maria Cameron</v>
      </c>
      <c r="I2061" t="str">
        <f>IFERROR(VLOOKUP(VLOOKUP(A2061,'[1]Sales Order'!A:C,3,FALSE),[1]Employee!A:J,10,FALSE),"Not Specified")</f>
        <v>WA</v>
      </c>
      <c r="J2061" t="str">
        <f>VLOOKUP(B2061,[1]Product!A:B,2,FALSE)</f>
        <v>Product NEVTJ</v>
      </c>
      <c r="K2061" t="str">
        <f>VLOOKUP(VLOOKUP(B2061,[1]Product!A:D,4,FALSE),[1]Category!A:B,2,FALSE)</f>
        <v>Beverages</v>
      </c>
      <c r="L2061" s="10">
        <f>IFERROR(VLOOKUP(A2061,'[1]Sales Order'!A:D,4,FALSE),"")</f>
        <v>39561</v>
      </c>
      <c r="M2061" s="10">
        <f>IFERROR(VLOOKUP(A2061,'[1]Sales Order'!A:F,6,FALSE),"")</f>
        <v>39562</v>
      </c>
      <c r="N2061" t="str">
        <f>IFERROR(VLOOKUP(VLOOKUP(A2061,'[1]Sales Order'!A:G,7,FALSE),[1]Shipper!A:B,2,FALSE),"Not Specified")</f>
        <v>Shipper ETYNR</v>
      </c>
      <c r="O2061" t="str">
        <f>IFERROR(VLOOKUP(A2061,'[1]Sales Order'!A:I,9,FALSE),"Not Specified")</f>
        <v>Ship to 86-C</v>
      </c>
      <c r="P2061" t="str">
        <f>IFERROR(VLOOKUP(A2061,'[1]Sales Order'!A:N,14,FALSE),"Not Specified")</f>
        <v>Germany</v>
      </c>
      <c r="Q2061" t="str">
        <f>VLOOKUP(VLOOKUP(B2061,[1]Product!A:C,3,FALSE),[1]Supplier!A:B,2,FALSE)</f>
        <v>Supplier UHZRG</v>
      </c>
      <c r="R2061" t="str">
        <f>VLOOKUP(VLOOKUP(B2061,[1]Product!A:C,3,FALSE),[1]Supplier!A:I,9,FALSE)</f>
        <v>USA</v>
      </c>
      <c r="S2061" t="str">
        <f>IFERROR(IF(VLOOKUP(A2061,'[1]Sales Order'!A:H,8,FALSE)&gt;100,"High Freight","Low Freight"),"Not Specified")</f>
        <v>Low Freight</v>
      </c>
      <c r="T2061">
        <f t="shared" si="65"/>
        <v>307.8</v>
      </c>
    </row>
    <row r="2062" spans="1:20">
      <c r="A2062" s="1">
        <v>11047</v>
      </c>
      <c r="B2062" s="2">
        <v>1</v>
      </c>
      <c r="C2062" s="2">
        <v>18</v>
      </c>
      <c r="D2062" s="2">
        <v>25</v>
      </c>
      <c r="E2062" s="3">
        <v>0.25</v>
      </c>
      <c r="F2062" s="2" t="str">
        <f>IFERROR(VLOOKUP(VLOOKUP(A2062,'[1]Sales Order'!A:B,2,FALSE),[1]Customer!A:C,3,FALSE),"Not Specified")</f>
        <v>Boseman, Randall</v>
      </c>
      <c r="G2062" s="2" t="str">
        <f t="shared" si="64"/>
        <v>Boseman Randall</v>
      </c>
      <c r="H2062" s="8" t="str">
        <f>IFERROR(VLOOKUP(VLOOKUP(A2062,'[1]Sales Order'!A:C,3,FALSE),[1]Employee!A:E,5,FALSE)&amp;" "&amp;VLOOKUP(VLOOKUP(A2062,'[1]Sales Order'!A:C,3,FALSE),[1]Employee!A:C,3,FALSE)&amp;" "&amp;VLOOKUP(VLOOKUP(A2062,'[1]Sales Order'!A:C,3,FALSE),[1]Employee!A:B,2,FALSE),"Not Specified")</f>
        <v>Mr. Russell King</v>
      </c>
      <c r="I2062">
        <f>IFERROR(VLOOKUP(VLOOKUP(A2062,'[1]Sales Order'!A:C,3,FALSE),[1]Employee!A:J,10,FALSE),"Not Specified")</f>
        <v>0</v>
      </c>
      <c r="J2062" t="str">
        <f>VLOOKUP(B2062,[1]Product!A:B,2,FALSE)</f>
        <v>Product HHYDP</v>
      </c>
      <c r="K2062" t="str">
        <f>VLOOKUP(VLOOKUP(B2062,[1]Product!A:D,4,FALSE),[1]Category!A:B,2,FALSE)</f>
        <v>Beverages</v>
      </c>
      <c r="L2062" s="10">
        <f>IFERROR(VLOOKUP(A2062,'[1]Sales Order'!A:D,4,FALSE),"")</f>
        <v>39562</v>
      </c>
      <c r="M2062" s="10">
        <f>IFERROR(VLOOKUP(A2062,'[1]Sales Order'!A:F,6,FALSE),"")</f>
        <v>39569</v>
      </c>
      <c r="N2062" t="str">
        <f>IFERROR(VLOOKUP(VLOOKUP(A2062,'[1]Sales Order'!A:G,7,FALSE),[1]Shipper!A:B,2,FALSE),"Not Specified")</f>
        <v>Shipper ZHISN</v>
      </c>
      <c r="O2062" t="str">
        <f>IFERROR(VLOOKUP(A2062,'[1]Sales Order'!A:I,9,FALSE),"Not Specified")</f>
        <v>Destination FRCGJ</v>
      </c>
      <c r="P2062" t="str">
        <f>IFERROR(VLOOKUP(A2062,'[1]Sales Order'!A:N,14,FALSE),"Not Specified")</f>
        <v>UK</v>
      </c>
      <c r="Q2062" t="str">
        <f>VLOOKUP(VLOOKUP(B2062,[1]Product!A:C,3,FALSE),[1]Supplier!A:B,2,FALSE)</f>
        <v>Supplier SWRXU</v>
      </c>
      <c r="R2062" t="str">
        <f>VLOOKUP(VLOOKUP(B2062,[1]Product!A:C,3,FALSE),[1]Supplier!A:I,9,FALSE)</f>
        <v>UK</v>
      </c>
      <c r="S2062" t="str">
        <f>IFERROR(IF(VLOOKUP(A2062,'[1]Sales Order'!A:H,8,FALSE)&gt;100,"High Freight","Low Freight"),"Not Specified")</f>
        <v>Low Freight</v>
      </c>
      <c r="T2062">
        <f t="shared" si="65"/>
        <v>337.5</v>
      </c>
    </row>
    <row r="2063" spans="1:20">
      <c r="A2063" s="1">
        <v>11047</v>
      </c>
      <c r="B2063" s="2">
        <v>5</v>
      </c>
      <c r="C2063" s="2">
        <v>21.35</v>
      </c>
      <c r="D2063" s="2">
        <v>30</v>
      </c>
      <c r="E2063" s="3">
        <v>0.25</v>
      </c>
      <c r="F2063" s="2" t="str">
        <f>IFERROR(VLOOKUP(VLOOKUP(A2063,'[1]Sales Order'!A:B,2,FALSE),[1]Customer!A:C,3,FALSE),"Not Specified")</f>
        <v>Boseman, Randall</v>
      </c>
      <c r="G2063" s="2" t="str">
        <f t="shared" si="64"/>
        <v>Boseman Randall</v>
      </c>
      <c r="H2063" s="8" t="str">
        <f>IFERROR(VLOOKUP(VLOOKUP(A2063,'[1]Sales Order'!A:C,3,FALSE),[1]Employee!A:E,5,FALSE)&amp;" "&amp;VLOOKUP(VLOOKUP(A2063,'[1]Sales Order'!A:C,3,FALSE),[1]Employee!A:C,3,FALSE)&amp;" "&amp;VLOOKUP(VLOOKUP(A2063,'[1]Sales Order'!A:C,3,FALSE),[1]Employee!A:B,2,FALSE),"Not Specified")</f>
        <v>Mr. Russell King</v>
      </c>
      <c r="I2063">
        <f>IFERROR(VLOOKUP(VLOOKUP(A2063,'[1]Sales Order'!A:C,3,FALSE),[1]Employee!A:J,10,FALSE),"Not Specified")</f>
        <v>0</v>
      </c>
      <c r="J2063" t="str">
        <f>VLOOKUP(B2063,[1]Product!A:B,2,FALSE)</f>
        <v>Product EPEIM</v>
      </c>
      <c r="K2063" t="str">
        <f>VLOOKUP(VLOOKUP(B2063,[1]Product!A:D,4,FALSE),[1]Category!A:B,2,FALSE)</f>
        <v>Condiments</v>
      </c>
      <c r="L2063" s="10">
        <f>IFERROR(VLOOKUP(A2063,'[1]Sales Order'!A:D,4,FALSE),"")</f>
        <v>39562</v>
      </c>
      <c r="M2063" s="10">
        <f>IFERROR(VLOOKUP(A2063,'[1]Sales Order'!A:F,6,FALSE),"")</f>
        <v>39569</v>
      </c>
      <c r="N2063" t="str">
        <f>IFERROR(VLOOKUP(VLOOKUP(A2063,'[1]Sales Order'!A:G,7,FALSE),[1]Shipper!A:B,2,FALSE),"Not Specified")</f>
        <v>Shipper ZHISN</v>
      </c>
      <c r="O2063" t="str">
        <f>IFERROR(VLOOKUP(A2063,'[1]Sales Order'!A:I,9,FALSE),"Not Specified")</f>
        <v>Destination FRCGJ</v>
      </c>
      <c r="P2063" t="str">
        <f>IFERROR(VLOOKUP(A2063,'[1]Sales Order'!A:N,14,FALSE),"Not Specified")</f>
        <v>UK</v>
      </c>
      <c r="Q2063" t="str">
        <f>VLOOKUP(VLOOKUP(B2063,[1]Product!A:C,3,FALSE),[1]Supplier!A:B,2,FALSE)</f>
        <v>Supplier VHQZD</v>
      </c>
      <c r="R2063" t="str">
        <f>VLOOKUP(VLOOKUP(B2063,[1]Product!A:C,3,FALSE),[1]Supplier!A:I,9,FALSE)</f>
        <v>USA</v>
      </c>
      <c r="S2063" t="str">
        <f>IFERROR(IF(VLOOKUP(A2063,'[1]Sales Order'!A:H,8,FALSE)&gt;100,"High Freight","Low Freight"),"Not Specified")</f>
        <v>Low Freight</v>
      </c>
      <c r="T2063">
        <f t="shared" si="65"/>
        <v>480.375</v>
      </c>
    </row>
    <row r="2064" spans="1:20">
      <c r="A2064" s="1">
        <v>11048</v>
      </c>
      <c r="B2064" s="2">
        <v>68</v>
      </c>
      <c r="C2064" s="2">
        <v>12.5</v>
      </c>
      <c r="D2064" s="2">
        <v>42</v>
      </c>
      <c r="E2064" s="3">
        <v>0</v>
      </c>
      <c r="F2064" s="2" t="str">
        <f>IFERROR(VLOOKUP(VLOOKUP(A2064,'[1]Sales Order'!A:B,2,FALSE),[1]Customer!A:C,3,FALSE),"Not Specified")</f>
        <v>Bassols, Pilar Colome</v>
      </c>
      <c r="G2064" s="2" t="str">
        <f t="shared" si="64"/>
        <v>Bassols Pilar Colome</v>
      </c>
      <c r="H2064" s="8" t="str">
        <f>IFERROR(VLOOKUP(VLOOKUP(A2064,'[1]Sales Order'!A:C,3,FALSE),[1]Employee!A:E,5,FALSE)&amp;" "&amp;VLOOKUP(VLOOKUP(A2064,'[1]Sales Order'!A:C,3,FALSE),[1]Employee!A:C,3,FALSE)&amp;" "&amp;VLOOKUP(VLOOKUP(A2064,'[1]Sales Order'!A:C,3,FALSE),[1]Employee!A:B,2,FALSE),"Not Specified")</f>
        <v>Mr. Russell King</v>
      </c>
      <c r="I2064">
        <f>IFERROR(VLOOKUP(VLOOKUP(A2064,'[1]Sales Order'!A:C,3,FALSE),[1]Employee!A:J,10,FALSE),"Not Specified")</f>
        <v>0</v>
      </c>
      <c r="J2064" t="str">
        <f>VLOOKUP(B2064,[1]Product!A:B,2,FALSE)</f>
        <v>Product TBTBL</v>
      </c>
      <c r="K2064" t="str">
        <f>VLOOKUP(VLOOKUP(B2064,[1]Product!A:D,4,FALSE),[1]Category!A:B,2,FALSE)</f>
        <v>Confections</v>
      </c>
      <c r="L2064" s="10">
        <f>IFERROR(VLOOKUP(A2064,'[1]Sales Order'!A:D,4,FALSE),"")</f>
        <v>39562</v>
      </c>
      <c r="M2064" s="10">
        <f>IFERROR(VLOOKUP(A2064,'[1]Sales Order'!A:F,6,FALSE),"")</f>
        <v>39568</v>
      </c>
      <c r="N2064" t="str">
        <f>IFERROR(VLOOKUP(VLOOKUP(A2064,'[1]Sales Order'!A:G,7,FALSE),[1]Shipper!A:B,2,FALSE),"Not Specified")</f>
        <v>Shipper ZHISN</v>
      </c>
      <c r="O2064" t="str">
        <f>IFERROR(VLOOKUP(A2064,'[1]Sales Order'!A:I,9,FALSE),"Not Specified")</f>
        <v>Destination XJIBQ</v>
      </c>
      <c r="P2064" t="str">
        <f>IFERROR(VLOOKUP(A2064,'[1]Sales Order'!A:N,14,FALSE),"Not Specified")</f>
        <v>Canada</v>
      </c>
      <c r="Q2064" t="str">
        <f>VLOOKUP(VLOOKUP(B2064,[1]Product!A:C,3,FALSE),[1]Supplier!A:B,2,FALSE)</f>
        <v>Supplier BWGYE</v>
      </c>
      <c r="R2064" t="str">
        <f>VLOOKUP(VLOOKUP(B2064,[1]Product!A:C,3,FALSE),[1]Supplier!A:I,9,FALSE)</f>
        <v>UK</v>
      </c>
      <c r="S2064" t="str">
        <f>IFERROR(IF(VLOOKUP(A2064,'[1]Sales Order'!A:H,8,FALSE)&gt;100,"High Freight","Low Freight"),"Not Specified")</f>
        <v>Low Freight</v>
      </c>
      <c r="T2064">
        <f t="shared" si="65"/>
        <v>525</v>
      </c>
    </row>
    <row r="2065" spans="1:20">
      <c r="A2065" s="1">
        <v>11049</v>
      </c>
      <c r="B2065" s="2">
        <v>2</v>
      </c>
      <c r="C2065" s="2">
        <v>19</v>
      </c>
      <c r="D2065" s="2">
        <v>10</v>
      </c>
      <c r="E2065" s="3">
        <v>0.2</v>
      </c>
      <c r="F2065" s="2" t="str">
        <f>IFERROR(VLOOKUP(VLOOKUP(A2065,'[1]Sales Order'!A:B,2,FALSE),[1]Customer!A:C,3,FALSE),"Not Specified")</f>
        <v>Cheng, Yao-Qiang</v>
      </c>
      <c r="G2065" s="2" t="str">
        <f t="shared" si="64"/>
        <v>Cheng Yao-Qiang</v>
      </c>
      <c r="H2065" s="8" t="str">
        <f>IFERROR(VLOOKUP(VLOOKUP(A2065,'[1]Sales Order'!A:C,3,FALSE),[1]Employee!A:E,5,FALSE)&amp;" "&amp;VLOOKUP(VLOOKUP(A2065,'[1]Sales Order'!A:C,3,FALSE),[1]Employee!A:C,3,FALSE)&amp;" "&amp;VLOOKUP(VLOOKUP(A2065,'[1]Sales Order'!A:C,3,FALSE),[1]Employee!A:B,2,FALSE),"Not Specified")</f>
        <v>Ms. Judy Lew</v>
      </c>
      <c r="I2065" t="str">
        <f>IFERROR(VLOOKUP(VLOOKUP(A2065,'[1]Sales Order'!A:C,3,FALSE),[1]Employee!A:J,10,FALSE),"Not Specified")</f>
        <v>WA</v>
      </c>
      <c r="J2065" t="str">
        <f>VLOOKUP(B2065,[1]Product!A:B,2,FALSE)</f>
        <v>Product RECZE</v>
      </c>
      <c r="K2065" t="str">
        <f>VLOOKUP(VLOOKUP(B2065,[1]Product!A:D,4,FALSE),[1]Category!A:B,2,FALSE)</f>
        <v>Beverages</v>
      </c>
      <c r="L2065" s="10">
        <f>IFERROR(VLOOKUP(A2065,'[1]Sales Order'!A:D,4,FALSE),"")</f>
        <v>39562</v>
      </c>
      <c r="M2065" s="10">
        <f>IFERROR(VLOOKUP(A2065,'[1]Sales Order'!A:F,6,FALSE),"")</f>
        <v>39572</v>
      </c>
      <c r="N2065" t="str">
        <f>IFERROR(VLOOKUP(VLOOKUP(A2065,'[1]Sales Order'!A:G,7,FALSE),[1]Shipper!A:B,2,FALSE),"Not Specified")</f>
        <v>Shipper GVSUA</v>
      </c>
      <c r="O2065" t="str">
        <f>IFERROR(VLOOKUP(A2065,'[1]Sales Order'!A:I,9,FALSE),"Not Specified")</f>
        <v>Destination XOIGC</v>
      </c>
      <c r="P2065" t="str">
        <f>IFERROR(VLOOKUP(A2065,'[1]Sales Order'!A:N,14,FALSE),"Not Specified")</f>
        <v>Brazil</v>
      </c>
      <c r="Q2065" t="str">
        <f>VLOOKUP(VLOOKUP(B2065,[1]Product!A:C,3,FALSE),[1]Supplier!A:B,2,FALSE)</f>
        <v>Supplier SWRXU</v>
      </c>
      <c r="R2065" t="str">
        <f>VLOOKUP(VLOOKUP(B2065,[1]Product!A:C,3,FALSE),[1]Supplier!A:I,9,FALSE)</f>
        <v>UK</v>
      </c>
      <c r="S2065" t="str">
        <f>IFERROR(IF(VLOOKUP(A2065,'[1]Sales Order'!A:H,8,FALSE)&gt;100,"High Freight","Low Freight"),"Not Specified")</f>
        <v>Low Freight</v>
      </c>
      <c r="T2065">
        <f t="shared" si="65"/>
        <v>152</v>
      </c>
    </row>
    <row r="2066" spans="1:20">
      <c r="A2066" s="1">
        <v>11049</v>
      </c>
      <c r="B2066" s="2">
        <v>12</v>
      </c>
      <c r="C2066" s="2">
        <v>38</v>
      </c>
      <c r="D2066" s="2">
        <v>4</v>
      </c>
      <c r="E2066" s="3">
        <v>0.2</v>
      </c>
      <c r="F2066" s="2" t="str">
        <f>IFERROR(VLOOKUP(VLOOKUP(A2066,'[1]Sales Order'!A:B,2,FALSE),[1]Customer!A:C,3,FALSE),"Not Specified")</f>
        <v>Cheng, Yao-Qiang</v>
      </c>
      <c r="G2066" s="2" t="str">
        <f t="shared" si="64"/>
        <v>Cheng Yao-Qiang</v>
      </c>
      <c r="H2066" s="8" t="str">
        <f>IFERROR(VLOOKUP(VLOOKUP(A2066,'[1]Sales Order'!A:C,3,FALSE),[1]Employee!A:E,5,FALSE)&amp;" "&amp;VLOOKUP(VLOOKUP(A2066,'[1]Sales Order'!A:C,3,FALSE),[1]Employee!A:C,3,FALSE)&amp;" "&amp;VLOOKUP(VLOOKUP(A2066,'[1]Sales Order'!A:C,3,FALSE),[1]Employee!A:B,2,FALSE),"Not Specified")</f>
        <v>Ms. Judy Lew</v>
      </c>
      <c r="I2066" t="str">
        <f>IFERROR(VLOOKUP(VLOOKUP(A2066,'[1]Sales Order'!A:C,3,FALSE),[1]Employee!A:J,10,FALSE),"Not Specified")</f>
        <v>WA</v>
      </c>
      <c r="J2066" t="str">
        <f>VLOOKUP(B2066,[1]Product!A:B,2,FALSE)</f>
        <v>Product OSFNS</v>
      </c>
      <c r="K2066" t="str">
        <f>VLOOKUP(VLOOKUP(B2066,[1]Product!A:D,4,FALSE),[1]Category!A:B,2,FALSE)</f>
        <v>Dairy Product</v>
      </c>
      <c r="L2066" s="10">
        <f>IFERROR(VLOOKUP(A2066,'[1]Sales Order'!A:D,4,FALSE),"")</f>
        <v>39562</v>
      </c>
      <c r="M2066" s="10">
        <f>IFERROR(VLOOKUP(A2066,'[1]Sales Order'!A:F,6,FALSE),"")</f>
        <v>39572</v>
      </c>
      <c r="N2066" t="str">
        <f>IFERROR(VLOOKUP(VLOOKUP(A2066,'[1]Sales Order'!A:G,7,FALSE),[1]Shipper!A:B,2,FALSE),"Not Specified")</f>
        <v>Shipper GVSUA</v>
      </c>
      <c r="O2066" t="str">
        <f>IFERROR(VLOOKUP(A2066,'[1]Sales Order'!A:I,9,FALSE),"Not Specified")</f>
        <v>Destination XOIGC</v>
      </c>
      <c r="P2066" t="str">
        <f>IFERROR(VLOOKUP(A2066,'[1]Sales Order'!A:N,14,FALSE),"Not Specified")</f>
        <v>Brazil</v>
      </c>
      <c r="Q2066" t="str">
        <f>VLOOKUP(VLOOKUP(B2066,[1]Product!A:C,3,FALSE),[1]Supplier!A:B,2,FALSE)</f>
        <v>Supplier EQPNC</v>
      </c>
      <c r="R2066" t="str">
        <f>VLOOKUP(VLOOKUP(B2066,[1]Product!A:C,3,FALSE),[1]Supplier!A:I,9,FALSE)</f>
        <v>Spain</v>
      </c>
      <c r="S2066" t="str">
        <f>IFERROR(IF(VLOOKUP(A2066,'[1]Sales Order'!A:H,8,FALSE)&gt;100,"High Freight","Low Freight"),"Not Specified")</f>
        <v>Low Freight</v>
      </c>
      <c r="T2066">
        <f t="shared" si="65"/>
        <v>121.60000000000001</v>
      </c>
    </row>
    <row r="2067" spans="1:20">
      <c r="A2067" s="1">
        <v>11050</v>
      </c>
      <c r="B2067" s="2">
        <v>76</v>
      </c>
      <c r="C2067" s="2">
        <v>18</v>
      </c>
      <c r="D2067" s="2">
        <v>50</v>
      </c>
      <c r="E2067" s="3">
        <v>0.1</v>
      </c>
      <c r="F2067" s="2" t="str">
        <f>IFERROR(VLOOKUP(VLOOKUP(A2067,'[1]Sales Order'!A:B,2,FALSE),[1]Customer!A:C,3,FALSE),"Not Specified")</f>
        <v>San Juan, Patricia</v>
      </c>
      <c r="G2067" s="2" t="str">
        <f t="shared" si="64"/>
        <v>San Juan Patricia</v>
      </c>
      <c r="H2067" s="8" t="str">
        <f>IFERROR(VLOOKUP(VLOOKUP(A2067,'[1]Sales Order'!A:C,3,FALSE),[1]Employee!A:E,5,FALSE)&amp;" "&amp;VLOOKUP(VLOOKUP(A2067,'[1]Sales Order'!A:C,3,FALSE),[1]Employee!A:C,3,FALSE)&amp;" "&amp;VLOOKUP(VLOOKUP(A2067,'[1]Sales Order'!A:C,3,FALSE),[1]Employee!A:B,2,FALSE),"Not Specified")</f>
        <v>Ms. Maria Cameron</v>
      </c>
      <c r="I2067" t="str">
        <f>IFERROR(VLOOKUP(VLOOKUP(A2067,'[1]Sales Order'!A:C,3,FALSE),[1]Employee!A:J,10,FALSE),"Not Specified")</f>
        <v>WA</v>
      </c>
      <c r="J2067" t="str">
        <f>VLOOKUP(B2067,[1]Product!A:B,2,FALSE)</f>
        <v>Product JYGFE</v>
      </c>
      <c r="K2067" t="str">
        <f>VLOOKUP(VLOOKUP(B2067,[1]Product!A:D,4,FALSE),[1]Category!A:B,2,FALSE)</f>
        <v>Beverages</v>
      </c>
      <c r="L2067" s="10">
        <f>IFERROR(VLOOKUP(A2067,'[1]Sales Order'!A:D,4,FALSE),"")</f>
        <v>39565</v>
      </c>
      <c r="M2067" s="10">
        <f>IFERROR(VLOOKUP(A2067,'[1]Sales Order'!A:F,6,FALSE),"")</f>
        <v>39573</v>
      </c>
      <c r="N2067" t="str">
        <f>IFERROR(VLOOKUP(VLOOKUP(A2067,'[1]Sales Order'!A:G,7,FALSE),[1]Shipper!A:B,2,FALSE),"Not Specified")</f>
        <v>Shipper ETYNR</v>
      </c>
      <c r="O2067" t="str">
        <f>IFERROR(VLOOKUP(A2067,'[1]Sales Order'!A:I,9,FALSE),"Not Specified")</f>
        <v>Destination YCMPK</v>
      </c>
      <c r="P2067" t="str">
        <f>IFERROR(VLOOKUP(A2067,'[1]Sales Order'!A:N,14,FALSE),"Not Specified")</f>
        <v>Sweden</v>
      </c>
      <c r="Q2067" t="str">
        <f>VLOOKUP(VLOOKUP(B2067,[1]Product!A:C,3,FALSE),[1]Supplier!A:B,2,FALSE)</f>
        <v>Supplier ELCRN</v>
      </c>
      <c r="R2067" t="str">
        <f>VLOOKUP(VLOOKUP(B2067,[1]Product!A:C,3,FALSE),[1]Supplier!A:I,9,FALSE)</f>
        <v>Finland</v>
      </c>
      <c r="S2067" t="str">
        <f>IFERROR(IF(VLOOKUP(A2067,'[1]Sales Order'!A:H,8,FALSE)&gt;100,"High Freight","Low Freight"),"Not Specified")</f>
        <v>Low Freight</v>
      </c>
      <c r="T2067">
        <f t="shared" si="65"/>
        <v>810</v>
      </c>
    </row>
    <row r="2068" spans="1:20">
      <c r="A2068" s="1">
        <v>11051</v>
      </c>
      <c r="B2068" s="2">
        <v>24</v>
      </c>
      <c r="C2068" s="2">
        <v>4.5</v>
      </c>
      <c r="D2068" s="2">
        <v>10</v>
      </c>
      <c r="E2068" s="3">
        <v>0.2</v>
      </c>
      <c r="F2068" s="2" t="str">
        <f>IFERROR(VLOOKUP(VLOOKUP(A2068,'[1]Sales Order'!A:B,2,FALSE),[1]Customer!A:C,3,FALSE),"Not Specified")</f>
        <v>Litton, Tim</v>
      </c>
      <c r="G2068" s="2" t="str">
        <f t="shared" si="64"/>
        <v>Litton Tim</v>
      </c>
      <c r="H2068" s="8" t="str">
        <f>IFERROR(VLOOKUP(VLOOKUP(A2068,'[1]Sales Order'!A:C,3,FALSE),[1]Employee!A:E,5,FALSE)&amp;" "&amp;VLOOKUP(VLOOKUP(A2068,'[1]Sales Order'!A:C,3,FALSE),[1]Employee!A:C,3,FALSE)&amp;" "&amp;VLOOKUP(VLOOKUP(A2068,'[1]Sales Order'!A:C,3,FALSE),[1]Employee!A:B,2,FALSE),"Not Specified")</f>
        <v>Mr. Russell King</v>
      </c>
      <c r="I2068">
        <f>IFERROR(VLOOKUP(VLOOKUP(A2068,'[1]Sales Order'!A:C,3,FALSE),[1]Employee!A:J,10,FALSE),"Not Specified")</f>
        <v>0</v>
      </c>
      <c r="J2068" t="str">
        <f>VLOOKUP(B2068,[1]Product!A:B,2,FALSE)</f>
        <v>Product QOGNU</v>
      </c>
      <c r="K2068" t="str">
        <f>VLOOKUP(VLOOKUP(B2068,[1]Product!A:D,4,FALSE),[1]Category!A:B,2,FALSE)</f>
        <v>Beverages</v>
      </c>
      <c r="L2068" s="10">
        <f>IFERROR(VLOOKUP(A2068,'[1]Sales Order'!A:D,4,FALSE),"")</f>
        <v>39565</v>
      </c>
      <c r="M2068" s="10">
        <f>IFERROR(VLOOKUP(A2068,'[1]Sales Order'!A:F,6,FALSE),"")</f>
        <v>0</v>
      </c>
      <c r="N2068" t="str">
        <f>IFERROR(VLOOKUP(VLOOKUP(A2068,'[1]Sales Order'!A:G,7,FALSE),[1]Shipper!A:B,2,FALSE),"Not Specified")</f>
        <v>Shipper ZHISN</v>
      </c>
      <c r="O2068" t="str">
        <f>IFERROR(VLOOKUP(A2068,'[1]Sales Order'!A:I,9,FALSE),"Not Specified")</f>
        <v>Destination OLJND</v>
      </c>
      <c r="P2068" t="str">
        <f>IFERROR(VLOOKUP(A2068,'[1]Sales Order'!A:N,14,FALSE),"Not Specified")</f>
        <v>France</v>
      </c>
      <c r="Q2068" t="str">
        <f>VLOOKUP(VLOOKUP(B2068,[1]Product!A:C,3,FALSE),[1]Supplier!A:B,2,FALSE)</f>
        <v>Supplier UNAHG</v>
      </c>
      <c r="R2068" t="str">
        <f>VLOOKUP(VLOOKUP(B2068,[1]Product!A:C,3,FALSE),[1]Supplier!A:I,9,FALSE)</f>
        <v>Brazil</v>
      </c>
      <c r="S2068" t="str">
        <f>IFERROR(IF(VLOOKUP(A2068,'[1]Sales Order'!A:H,8,FALSE)&gt;100,"High Freight","Low Freight"),"Not Specified")</f>
        <v>Low Freight</v>
      </c>
      <c r="T2068">
        <f t="shared" si="65"/>
        <v>36</v>
      </c>
    </row>
    <row r="2069" spans="1:20">
      <c r="A2069" s="1">
        <v>11052</v>
      </c>
      <c r="B2069" s="2">
        <v>43</v>
      </c>
      <c r="C2069" s="2">
        <v>46</v>
      </c>
      <c r="D2069" s="2">
        <v>30</v>
      </c>
      <c r="E2069" s="3">
        <v>0.2</v>
      </c>
      <c r="F2069" s="2" t="str">
        <f>IFERROR(VLOOKUP(VLOOKUP(A2069,'[1]Sales Order'!A:B,2,FALSE),[1]Customer!A:C,3,FALSE),"Not Specified")</f>
        <v>Cohen, Shy</v>
      </c>
      <c r="G2069" s="2" t="str">
        <f t="shared" si="64"/>
        <v>Cohen Shy</v>
      </c>
      <c r="H2069" s="8" t="str">
        <f>IFERROR(VLOOKUP(VLOOKUP(A2069,'[1]Sales Order'!A:C,3,FALSE),[1]Employee!A:E,5,FALSE)&amp;" "&amp;VLOOKUP(VLOOKUP(A2069,'[1]Sales Order'!A:C,3,FALSE),[1]Employee!A:C,3,FALSE)&amp;" "&amp;VLOOKUP(VLOOKUP(A2069,'[1]Sales Order'!A:C,3,FALSE),[1]Employee!A:B,2,FALSE),"Not Specified")</f>
        <v>Ms. Judy Lew</v>
      </c>
      <c r="I2069" t="str">
        <f>IFERROR(VLOOKUP(VLOOKUP(A2069,'[1]Sales Order'!A:C,3,FALSE),[1]Employee!A:J,10,FALSE),"Not Specified")</f>
        <v>WA</v>
      </c>
      <c r="J2069" t="str">
        <f>VLOOKUP(B2069,[1]Product!A:B,2,FALSE)</f>
        <v>Product ZZZHR</v>
      </c>
      <c r="K2069" t="str">
        <f>VLOOKUP(VLOOKUP(B2069,[1]Product!A:D,4,FALSE),[1]Category!A:B,2,FALSE)</f>
        <v>Beverages</v>
      </c>
      <c r="L2069" s="10">
        <f>IFERROR(VLOOKUP(A2069,'[1]Sales Order'!A:D,4,FALSE),"")</f>
        <v>39565</v>
      </c>
      <c r="M2069" s="10">
        <f>IFERROR(VLOOKUP(A2069,'[1]Sales Order'!A:F,6,FALSE),"")</f>
        <v>39569</v>
      </c>
      <c r="N2069" t="str">
        <f>IFERROR(VLOOKUP(VLOOKUP(A2069,'[1]Sales Order'!A:G,7,FALSE),[1]Shipper!A:B,2,FALSE),"Not Specified")</f>
        <v>Shipper GVSUA</v>
      </c>
      <c r="O2069" t="str">
        <f>IFERROR(VLOOKUP(A2069,'[1]Sales Order'!A:I,9,FALSE),"Not Specified")</f>
        <v>Destination DPCVR</v>
      </c>
      <c r="P2069" t="str">
        <f>IFERROR(VLOOKUP(A2069,'[1]Sales Order'!A:N,14,FALSE),"Not Specified")</f>
        <v>Brazil</v>
      </c>
      <c r="Q2069" t="str">
        <f>VLOOKUP(VLOOKUP(B2069,[1]Product!A:C,3,FALSE),[1]Supplier!A:B,2,FALSE)</f>
        <v>Supplier CIYNM</v>
      </c>
      <c r="R2069" t="str">
        <f>VLOOKUP(VLOOKUP(B2069,[1]Product!A:C,3,FALSE),[1]Supplier!A:I,9,FALSE)</f>
        <v>Singapore</v>
      </c>
      <c r="S2069" t="str">
        <f>IFERROR(IF(VLOOKUP(A2069,'[1]Sales Order'!A:H,8,FALSE)&gt;100,"High Freight","Low Freight"),"Not Specified")</f>
        <v>Low Freight</v>
      </c>
      <c r="T2069">
        <f t="shared" si="65"/>
        <v>1104</v>
      </c>
    </row>
    <row r="2070" spans="1:20">
      <c r="A2070" s="1">
        <v>11052</v>
      </c>
      <c r="B2070" s="2">
        <v>61</v>
      </c>
      <c r="C2070" s="2">
        <v>28.5</v>
      </c>
      <c r="D2070" s="2">
        <v>10</v>
      </c>
      <c r="E2070" s="3">
        <v>0.2</v>
      </c>
      <c r="F2070" s="2" t="str">
        <f>IFERROR(VLOOKUP(VLOOKUP(A2070,'[1]Sales Order'!A:B,2,FALSE),[1]Customer!A:C,3,FALSE),"Not Specified")</f>
        <v>Cohen, Shy</v>
      </c>
      <c r="G2070" s="2" t="str">
        <f t="shared" si="64"/>
        <v>Cohen Shy</v>
      </c>
      <c r="H2070" s="8" t="str">
        <f>IFERROR(VLOOKUP(VLOOKUP(A2070,'[1]Sales Order'!A:C,3,FALSE),[1]Employee!A:E,5,FALSE)&amp;" "&amp;VLOOKUP(VLOOKUP(A2070,'[1]Sales Order'!A:C,3,FALSE),[1]Employee!A:C,3,FALSE)&amp;" "&amp;VLOOKUP(VLOOKUP(A2070,'[1]Sales Order'!A:C,3,FALSE),[1]Employee!A:B,2,FALSE),"Not Specified")</f>
        <v>Ms. Judy Lew</v>
      </c>
      <c r="I2070" t="str">
        <f>IFERROR(VLOOKUP(VLOOKUP(A2070,'[1]Sales Order'!A:C,3,FALSE),[1]Employee!A:J,10,FALSE),"Not Specified")</f>
        <v>WA</v>
      </c>
      <c r="J2070" t="str">
        <f>VLOOKUP(B2070,[1]Product!A:B,2,FALSE)</f>
        <v>Product XYZPE</v>
      </c>
      <c r="K2070" t="str">
        <f>VLOOKUP(VLOOKUP(B2070,[1]Product!A:D,4,FALSE),[1]Category!A:B,2,FALSE)</f>
        <v>Condiments</v>
      </c>
      <c r="L2070" s="10">
        <f>IFERROR(VLOOKUP(A2070,'[1]Sales Order'!A:D,4,FALSE),"")</f>
        <v>39565</v>
      </c>
      <c r="M2070" s="10">
        <f>IFERROR(VLOOKUP(A2070,'[1]Sales Order'!A:F,6,FALSE),"")</f>
        <v>39569</v>
      </c>
      <c r="N2070" t="str">
        <f>IFERROR(VLOOKUP(VLOOKUP(A2070,'[1]Sales Order'!A:G,7,FALSE),[1]Shipper!A:B,2,FALSE),"Not Specified")</f>
        <v>Shipper GVSUA</v>
      </c>
      <c r="O2070" t="str">
        <f>IFERROR(VLOOKUP(A2070,'[1]Sales Order'!A:I,9,FALSE),"Not Specified")</f>
        <v>Destination DPCVR</v>
      </c>
      <c r="P2070" t="str">
        <f>IFERROR(VLOOKUP(A2070,'[1]Sales Order'!A:N,14,FALSE),"Not Specified")</f>
        <v>Brazil</v>
      </c>
      <c r="Q2070" t="str">
        <f>VLOOKUP(VLOOKUP(B2070,[1]Product!A:C,3,FALSE),[1]Supplier!A:B,2,FALSE)</f>
        <v>Supplier OGLRK</v>
      </c>
      <c r="R2070" t="str">
        <f>VLOOKUP(VLOOKUP(B2070,[1]Product!A:C,3,FALSE),[1]Supplier!A:I,9,FALSE)</f>
        <v>Canada</v>
      </c>
      <c r="S2070" t="str">
        <f>IFERROR(IF(VLOOKUP(A2070,'[1]Sales Order'!A:H,8,FALSE)&gt;100,"High Freight","Low Freight"),"Not Specified")</f>
        <v>Low Freight</v>
      </c>
      <c r="T2070">
        <f t="shared" si="65"/>
        <v>228</v>
      </c>
    </row>
    <row r="2071" spans="1:20">
      <c r="A2071" s="1">
        <v>11053</v>
      </c>
      <c r="B2071" s="2">
        <v>18</v>
      </c>
      <c r="C2071" s="2">
        <v>62.5</v>
      </c>
      <c r="D2071" s="2">
        <v>35</v>
      </c>
      <c r="E2071" s="3">
        <v>0.2</v>
      </c>
      <c r="F2071" s="2" t="str">
        <f>IFERROR(VLOOKUP(VLOOKUP(A2071,'[1]Sales Order'!A:B,2,FALSE),[1]Customer!A:C,3,FALSE),"Not Specified")</f>
        <v>Meston, Tosh</v>
      </c>
      <c r="G2071" s="2" t="str">
        <f t="shared" si="64"/>
        <v>Meston Tosh</v>
      </c>
      <c r="H2071" s="8" t="str">
        <f>IFERROR(VLOOKUP(VLOOKUP(A2071,'[1]Sales Order'!A:C,3,FALSE),[1]Employee!A:E,5,FALSE)&amp;" "&amp;VLOOKUP(VLOOKUP(A2071,'[1]Sales Order'!A:C,3,FALSE),[1]Employee!A:C,3,FALSE)&amp;" "&amp;VLOOKUP(VLOOKUP(A2071,'[1]Sales Order'!A:C,3,FALSE),[1]Employee!A:B,2,FALSE),"Not Specified")</f>
        <v>Dr. Don Funk</v>
      </c>
      <c r="I2071" t="str">
        <f>IFERROR(VLOOKUP(VLOOKUP(A2071,'[1]Sales Order'!A:C,3,FALSE),[1]Employee!A:J,10,FALSE),"Not Specified")</f>
        <v>WA</v>
      </c>
      <c r="J2071" t="str">
        <f>VLOOKUP(B2071,[1]Product!A:B,2,FALSE)</f>
        <v>Product CKEDC</v>
      </c>
      <c r="K2071" t="str">
        <f>VLOOKUP(VLOOKUP(B2071,[1]Product!A:D,4,FALSE),[1]Category!A:B,2,FALSE)</f>
        <v>Seafood</v>
      </c>
      <c r="L2071" s="10">
        <f>IFERROR(VLOOKUP(A2071,'[1]Sales Order'!A:D,4,FALSE),"")</f>
        <v>39565</v>
      </c>
      <c r="M2071" s="10">
        <f>IFERROR(VLOOKUP(A2071,'[1]Sales Order'!A:F,6,FALSE),"")</f>
        <v>39567</v>
      </c>
      <c r="N2071" t="str">
        <f>IFERROR(VLOOKUP(VLOOKUP(A2071,'[1]Sales Order'!A:G,7,FALSE),[1]Shipper!A:B,2,FALSE),"Not Specified")</f>
        <v>Shipper ETYNR</v>
      </c>
      <c r="O2071" t="str">
        <f>IFERROR(VLOOKUP(A2071,'[1]Sales Order'!A:I,9,FALSE),"Not Specified")</f>
        <v>Ship to 59-A</v>
      </c>
      <c r="P2071" t="str">
        <f>IFERROR(VLOOKUP(A2071,'[1]Sales Order'!A:N,14,FALSE),"Not Specified")</f>
        <v>Austria</v>
      </c>
      <c r="Q2071" t="str">
        <f>VLOOKUP(VLOOKUP(B2071,[1]Product!A:C,3,FALSE),[1]Supplier!A:B,2,FALSE)</f>
        <v>Supplier GQRCV</v>
      </c>
      <c r="R2071" t="str">
        <f>VLOOKUP(VLOOKUP(B2071,[1]Product!A:C,3,FALSE),[1]Supplier!A:I,9,FALSE)</f>
        <v>Australia</v>
      </c>
      <c r="S2071" t="str">
        <f>IFERROR(IF(VLOOKUP(A2071,'[1]Sales Order'!A:H,8,FALSE)&gt;100,"High Freight","Low Freight"),"Not Specified")</f>
        <v>Low Freight</v>
      </c>
      <c r="T2071">
        <f t="shared" si="65"/>
        <v>1750</v>
      </c>
    </row>
    <row r="2072" spans="1:20">
      <c r="A2072" s="1">
        <v>11053</v>
      </c>
      <c r="B2072" s="2">
        <v>32</v>
      </c>
      <c r="C2072" s="2">
        <v>32</v>
      </c>
      <c r="D2072" s="2">
        <v>20</v>
      </c>
      <c r="E2072" s="3">
        <v>0</v>
      </c>
      <c r="F2072" s="2" t="str">
        <f>IFERROR(VLOOKUP(VLOOKUP(A2072,'[1]Sales Order'!A:B,2,FALSE),[1]Customer!A:C,3,FALSE),"Not Specified")</f>
        <v>Meston, Tosh</v>
      </c>
      <c r="G2072" s="2" t="str">
        <f t="shared" si="64"/>
        <v>Meston Tosh</v>
      </c>
      <c r="H2072" s="8" t="str">
        <f>IFERROR(VLOOKUP(VLOOKUP(A2072,'[1]Sales Order'!A:C,3,FALSE),[1]Employee!A:E,5,FALSE)&amp;" "&amp;VLOOKUP(VLOOKUP(A2072,'[1]Sales Order'!A:C,3,FALSE),[1]Employee!A:C,3,FALSE)&amp;" "&amp;VLOOKUP(VLOOKUP(A2072,'[1]Sales Order'!A:C,3,FALSE),[1]Employee!A:B,2,FALSE),"Not Specified")</f>
        <v>Dr. Don Funk</v>
      </c>
      <c r="I2072" t="str">
        <f>IFERROR(VLOOKUP(VLOOKUP(A2072,'[1]Sales Order'!A:C,3,FALSE),[1]Employee!A:J,10,FALSE),"Not Specified")</f>
        <v>WA</v>
      </c>
      <c r="J2072" t="str">
        <f>VLOOKUP(B2072,[1]Product!A:B,2,FALSE)</f>
        <v>Product NUNAW</v>
      </c>
      <c r="K2072" t="str">
        <f>VLOOKUP(VLOOKUP(B2072,[1]Product!A:D,4,FALSE),[1]Category!A:B,2,FALSE)</f>
        <v>Dairy Product</v>
      </c>
      <c r="L2072" s="10">
        <f>IFERROR(VLOOKUP(A2072,'[1]Sales Order'!A:D,4,FALSE),"")</f>
        <v>39565</v>
      </c>
      <c r="M2072" s="10">
        <f>IFERROR(VLOOKUP(A2072,'[1]Sales Order'!A:F,6,FALSE),"")</f>
        <v>39567</v>
      </c>
      <c r="N2072" t="str">
        <f>IFERROR(VLOOKUP(VLOOKUP(A2072,'[1]Sales Order'!A:G,7,FALSE),[1]Shipper!A:B,2,FALSE),"Not Specified")</f>
        <v>Shipper ETYNR</v>
      </c>
      <c r="O2072" t="str">
        <f>IFERROR(VLOOKUP(A2072,'[1]Sales Order'!A:I,9,FALSE),"Not Specified")</f>
        <v>Ship to 59-A</v>
      </c>
      <c r="P2072" t="str">
        <f>IFERROR(VLOOKUP(A2072,'[1]Sales Order'!A:N,14,FALSE),"Not Specified")</f>
        <v>Austria</v>
      </c>
      <c r="Q2072" t="str">
        <f>VLOOKUP(VLOOKUP(B2072,[1]Product!A:C,3,FALSE),[1]Supplier!A:B,2,FALSE)</f>
        <v>Supplier KEREV</v>
      </c>
      <c r="R2072" t="str">
        <f>VLOOKUP(VLOOKUP(B2072,[1]Product!A:C,3,FALSE),[1]Supplier!A:I,9,FALSE)</f>
        <v>Italy</v>
      </c>
      <c r="S2072" t="str">
        <f>IFERROR(IF(VLOOKUP(A2072,'[1]Sales Order'!A:H,8,FALSE)&gt;100,"High Freight","Low Freight"),"Not Specified")</f>
        <v>Low Freight</v>
      </c>
      <c r="T2072">
        <f t="shared" si="65"/>
        <v>640</v>
      </c>
    </row>
    <row r="2073" spans="1:20">
      <c r="A2073" s="1">
        <v>11053</v>
      </c>
      <c r="B2073" s="2">
        <v>64</v>
      </c>
      <c r="C2073" s="2">
        <v>33.25</v>
      </c>
      <c r="D2073" s="2">
        <v>25</v>
      </c>
      <c r="E2073" s="3">
        <v>0.2</v>
      </c>
      <c r="F2073" s="2" t="str">
        <f>IFERROR(VLOOKUP(VLOOKUP(A2073,'[1]Sales Order'!A:B,2,FALSE),[1]Customer!A:C,3,FALSE),"Not Specified")</f>
        <v>Meston, Tosh</v>
      </c>
      <c r="G2073" s="2" t="str">
        <f t="shared" si="64"/>
        <v>Meston Tosh</v>
      </c>
      <c r="H2073" s="8" t="str">
        <f>IFERROR(VLOOKUP(VLOOKUP(A2073,'[1]Sales Order'!A:C,3,FALSE),[1]Employee!A:E,5,FALSE)&amp;" "&amp;VLOOKUP(VLOOKUP(A2073,'[1]Sales Order'!A:C,3,FALSE),[1]Employee!A:C,3,FALSE)&amp;" "&amp;VLOOKUP(VLOOKUP(A2073,'[1]Sales Order'!A:C,3,FALSE),[1]Employee!A:B,2,FALSE),"Not Specified")</f>
        <v>Dr. Don Funk</v>
      </c>
      <c r="I2073" t="str">
        <f>IFERROR(VLOOKUP(VLOOKUP(A2073,'[1]Sales Order'!A:C,3,FALSE),[1]Employee!A:J,10,FALSE),"Not Specified")</f>
        <v>WA</v>
      </c>
      <c r="J2073" t="str">
        <f>VLOOKUP(B2073,[1]Product!A:B,2,FALSE)</f>
        <v>Product HCQDE</v>
      </c>
      <c r="K2073" t="str">
        <f>VLOOKUP(VLOOKUP(B2073,[1]Product!A:D,4,FALSE),[1]Category!A:B,2,FALSE)</f>
        <v>Grains/Cereals</v>
      </c>
      <c r="L2073" s="10">
        <f>IFERROR(VLOOKUP(A2073,'[1]Sales Order'!A:D,4,FALSE),"")</f>
        <v>39565</v>
      </c>
      <c r="M2073" s="10">
        <f>IFERROR(VLOOKUP(A2073,'[1]Sales Order'!A:F,6,FALSE),"")</f>
        <v>39567</v>
      </c>
      <c r="N2073" t="str">
        <f>IFERROR(VLOOKUP(VLOOKUP(A2073,'[1]Sales Order'!A:G,7,FALSE),[1]Shipper!A:B,2,FALSE),"Not Specified")</f>
        <v>Shipper ETYNR</v>
      </c>
      <c r="O2073" t="str">
        <f>IFERROR(VLOOKUP(A2073,'[1]Sales Order'!A:I,9,FALSE),"Not Specified")</f>
        <v>Ship to 59-A</v>
      </c>
      <c r="P2073" t="str">
        <f>IFERROR(VLOOKUP(A2073,'[1]Sales Order'!A:N,14,FALSE),"Not Specified")</f>
        <v>Austria</v>
      </c>
      <c r="Q2073" t="str">
        <f>VLOOKUP(VLOOKUP(B2073,[1]Product!A:C,3,FALSE),[1]Supplier!A:B,2,FALSE)</f>
        <v>Supplier SVIYA</v>
      </c>
      <c r="R2073" t="str">
        <f>VLOOKUP(VLOOKUP(B2073,[1]Product!A:C,3,FALSE),[1]Supplier!A:I,9,FALSE)</f>
        <v>Germany</v>
      </c>
      <c r="S2073" t="str">
        <f>IFERROR(IF(VLOOKUP(A2073,'[1]Sales Order'!A:H,8,FALSE)&gt;100,"High Freight","Low Freight"),"Not Specified")</f>
        <v>Low Freight</v>
      </c>
      <c r="T2073">
        <f t="shared" si="65"/>
        <v>665</v>
      </c>
    </row>
    <row r="2074" spans="1:20">
      <c r="A2074" s="1">
        <v>11054</v>
      </c>
      <c r="B2074" s="2">
        <v>33</v>
      </c>
      <c r="C2074" s="2">
        <v>2.5</v>
      </c>
      <c r="D2074" s="2">
        <v>10</v>
      </c>
      <c r="E2074" s="3">
        <v>0</v>
      </c>
      <c r="F2074" s="2" t="str">
        <f>IFERROR(VLOOKUP(VLOOKUP(A2074,'[1]Sales Order'!A:B,2,FALSE),[1]Customer!A:C,3,FALSE),"Not Specified")</f>
        <v>Ray, Mike</v>
      </c>
      <c r="G2074" s="2" t="str">
        <f t="shared" si="64"/>
        <v>Ray Mike</v>
      </c>
      <c r="H2074" s="8" t="str">
        <f>IFERROR(VLOOKUP(VLOOKUP(A2074,'[1]Sales Order'!A:C,3,FALSE),[1]Employee!A:E,5,FALSE)&amp;" "&amp;VLOOKUP(VLOOKUP(A2074,'[1]Sales Order'!A:C,3,FALSE),[1]Employee!A:C,3,FALSE)&amp;" "&amp;VLOOKUP(VLOOKUP(A2074,'[1]Sales Order'!A:C,3,FALSE),[1]Employee!A:B,2,FALSE),"Not Specified")</f>
        <v>Ms. Maria Cameron</v>
      </c>
      <c r="I2074" t="str">
        <f>IFERROR(VLOOKUP(VLOOKUP(A2074,'[1]Sales Order'!A:C,3,FALSE),[1]Employee!A:J,10,FALSE),"Not Specified")</f>
        <v>WA</v>
      </c>
      <c r="J2074" t="str">
        <f>VLOOKUP(B2074,[1]Product!A:B,2,FALSE)</f>
        <v>Product ASTMN</v>
      </c>
      <c r="K2074" t="str">
        <f>VLOOKUP(VLOOKUP(B2074,[1]Product!A:D,4,FALSE),[1]Category!A:B,2,FALSE)</f>
        <v>Dairy Product</v>
      </c>
      <c r="L2074" s="10">
        <f>IFERROR(VLOOKUP(A2074,'[1]Sales Order'!A:D,4,FALSE),"")</f>
        <v>39566</v>
      </c>
      <c r="M2074" s="10">
        <f>IFERROR(VLOOKUP(A2074,'[1]Sales Order'!A:F,6,FALSE),"")</f>
        <v>0</v>
      </c>
      <c r="N2074" t="str">
        <f>IFERROR(VLOOKUP(VLOOKUP(A2074,'[1]Sales Order'!A:G,7,FALSE),[1]Shipper!A:B,2,FALSE),"Not Specified")</f>
        <v>Shipper GVSUA</v>
      </c>
      <c r="O2074" t="str">
        <f>IFERROR(VLOOKUP(A2074,'[1]Sales Order'!A:I,9,FALSE),"Not Specified")</f>
        <v>Destination QTHBC</v>
      </c>
      <c r="P2074" t="str">
        <f>IFERROR(VLOOKUP(A2074,'[1]Sales Order'!A:N,14,FALSE),"Not Specified")</f>
        <v>Argentina</v>
      </c>
      <c r="Q2074" t="str">
        <f>VLOOKUP(VLOOKUP(B2074,[1]Product!A:C,3,FALSE),[1]Supplier!A:B,2,FALSE)</f>
        <v>Supplier NZLIF</v>
      </c>
      <c r="R2074" t="str">
        <f>VLOOKUP(VLOOKUP(B2074,[1]Product!A:C,3,FALSE),[1]Supplier!A:I,9,FALSE)</f>
        <v>Norway</v>
      </c>
      <c r="S2074" t="str">
        <f>IFERROR(IF(VLOOKUP(A2074,'[1]Sales Order'!A:H,8,FALSE)&gt;100,"High Freight","Low Freight"),"Not Specified")</f>
        <v>Low Freight</v>
      </c>
      <c r="T2074">
        <f t="shared" si="65"/>
        <v>25</v>
      </c>
    </row>
    <row r="2075" spans="1:20">
      <c r="A2075" s="1">
        <v>11054</v>
      </c>
      <c r="B2075" s="2">
        <v>67</v>
      </c>
      <c r="C2075" s="2">
        <v>14</v>
      </c>
      <c r="D2075" s="2">
        <v>20</v>
      </c>
      <c r="E2075" s="3">
        <v>0</v>
      </c>
      <c r="F2075" s="2" t="str">
        <f>IFERROR(VLOOKUP(VLOOKUP(A2075,'[1]Sales Order'!A:B,2,FALSE),[1]Customer!A:C,3,FALSE),"Not Specified")</f>
        <v>Ray, Mike</v>
      </c>
      <c r="G2075" s="2" t="str">
        <f t="shared" si="64"/>
        <v>Ray Mike</v>
      </c>
      <c r="H2075" s="8" t="str">
        <f>IFERROR(VLOOKUP(VLOOKUP(A2075,'[1]Sales Order'!A:C,3,FALSE),[1]Employee!A:E,5,FALSE)&amp;" "&amp;VLOOKUP(VLOOKUP(A2075,'[1]Sales Order'!A:C,3,FALSE),[1]Employee!A:C,3,FALSE)&amp;" "&amp;VLOOKUP(VLOOKUP(A2075,'[1]Sales Order'!A:C,3,FALSE),[1]Employee!A:B,2,FALSE),"Not Specified")</f>
        <v>Ms. Maria Cameron</v>
      </c>
      <c r="I2075" t="str">
        <f>IFERROR(VLOOKUP(VLOOKUP(A2075,'[1]Sales Order'!A:C,3,FALSE),[1]Employee!A:J,10,FALSE),"Not Specified")</f>
        <v>WA</v>
      </c>
      <c r="J2075" t="str">
        <f>VLOOKUP(B2075,[1]Product!A:B,2,FALSE)</f>
        <v>Product XLXQF</v>
      </c>
      <c r="K2075" t="str">
        <f>VLOOKUP(VLOOKUP(B2075,[1]Product!A:D,4,FALSE),[1]Category!A:B,2,FALSE)</f>
        <v>Beverages</v>
      </c>
      <c r="L2075" s="10">
        <f>IFERROR(VLOOKUP(A2075,'[1]Sales Order'!A:D,4,FALSE),"")</f>
        <v>39566</v>
      </c>
      <c r="M2075" s="10">
        <f>IFERROR(VLOOKUP(A2075,'[1]Sales Order'!A:F,6,FALSE),"")</f>
        <v>0</v>
      </c>
      <c r="N2075" t="str">
        <f>IFERROR(VLOOKUP(VLOOKUP(A2075,'[1]Sales Order'!A:G,7,FALSE),[1]Shipper!A:B,2,FALSE),"Not Specified")</f>
        <v>Shipper GVSUA</v>
      </c>
      <c r="O2075" t="str">
        <f>IFERROR(VLOOKUP(A2075,'[1]Sales Order'!A:I,9,FALSE),"Not Specified")</f>
        <v>Destination QTHBC</v>
      </c>
      <c r="P2075" t="str">
        <f>IFERROR(VLOOKUP(A2075,'[1]Sales Order'!A:N,14,FALSE),"Not Specified")</f>
        <v>Argentina</v>
      </c>
      <c r="Q2075" t="str">
        <f>VLOOKUP(VLOOKUP(B2075,[1]Product!A:C,3,FALSE),[1]Supplier!A:B,2,FALSE)</f>
        <v>Supplier UHZRG</v>
      </c>
      <c r="R2075" t="str">
        <f>VLOOKUP(VLOOKUP(B2075,[1]Product!A:C,3,FALSE),[1]Supplier!A:I,9,FALSE)</f>
        <v>USA</v>
      </c>
      <c r="S2075" t="str">
        <f>IFERROR(IF(VLOOKUP(A2075,'[1]Sales Order'!A:H,8,FALSE)&gt;100,"High Freight","Low Freight"),"Not Specified")</f>
        <v>Low Freight</v>
      </c>
      <c r="T2075">
        <f t="shared" si="65"/>
        <v>280</v>
      </c>
    </row>
    <row r="2076" spans="1:20">
      <c r="A2076" s="1">
        <v>11055</v>
      </c>
      <c r="B2076" s="2">
        <v>24</v>
      </c>
      <c r="C2076" s="2">
        <v>4.5</v>
      </c>
      <c r="D2076" s="2">
        <v>15</v>
      </c>
      <c r="E2076" s="3">
        <v>0</v>
      </c>
      <c r="F2076" s="2" t="str">
        <f>IFERROR(VLOOKUP(VLOOKUP(A2076,'[1]Sales Order'!A:B,2,FALSE),[1]Customer!A:C,3,FALSE),"Not Specified")</f>
        <v>Langohr, Kris</v>
      </c>
      <c r="G2076" s="2" t="str">
        <f t="shared" si="64"/>
        <v>Langohr Kris</v>
      </c>
      <c r="H2076" s="8" t="str">
        <f>IFERROR(VLOOKUP(VLOOKUP(A2076,'[1]Sales Order'!A:C,3,FALSE),[1]Employee!A:E,5,FALSE)&amp;" "&amp;VLOOKUP(VLOOKUP(A2076,'[1]Sales Order'!A:C,3,FALSE),[1]Employee!A:C,3,FALSE)&amp;" "&amp;VLOOKUP(VLOOKUP(A2076,'[1]Sales Order'!A:C,3,FALSE),[1]Employee!A:B,2,FALSE),"Not Specified")</f>
        <v>Mr. Russell King</v>
      </c>
      <c r="I2076">
        <f>IFERROR(VLOOKUP(VLOOKUP(A2076,'[1]Sales Order'!A:C,3,FALSE),[1]Employee!A:J,10,FALSE),"Not Specified")</f>
        <v>0</v>
      </c>
      <c r="J2076" t="str">
        <f>VLOOKUP(B2076,[1]Product!A:B,2,FALSE)</f>
        <v>Product QOGNU</v>
      </c>
      <c r="K2076" t="str">
        <f>VLOOKUP(VLOOKUP(B2076,[1]Product!A:D,4,FALSE),[1]Category!A:B,2,FALSE)</f>
        <v>Beverages</v>
      </c>
      <c r="L2076" s="10">
        <f>IFERROR(VLOOKUP(A2076,'[1]Sales Order'!A:D,4,FALSE),"")</f>
        <v>39566</v>
      </c>
      <c r="M2076" s="10">
        <f>IFERROR(VLOOKUP(A2076,'[1]Sales Order'!A:F,6,FALSE),"")</f>
        <v>39573</v>
      </c>
      <c r="N2076" t="str">
        <f>IFERROR(VLOOKUP(VLOOKUP(A2076,'[1]Sales Order'!A:G,7,FALSE),[1]Shipper!A:B,2,FALSE),"Not Specified")</f>
        <v>Shipper ETYNR</v>
      </c>
      <c r="O2076" t="str">
        <f>IFERROR(VLOOKUP(A2076,'[1]Sales Order'!A:I,9,FALSE),"Not Specified")</f>
        <v>Destination JYDLM</v>
      </c>
      <c r="P2076" t="str">
        <f>IFERROR(VLOOKUP(A2076,'[1]Sales Order'!A:N,14,FALSE),"Not Specified")</f>
        <v>Venezuela</v>
      </c>
      <c r="Q2076" t="str">
        <f>VLOOKUP(VLOOKUP(B2076,[1]Product!A:C,3,FALSE),[1]Supplier!A:B,2,FALSE)</f>
        <v>Supplier UNAHG</v>
      </c>
      <c r="R2076" t="str">
        <f>VLOOKUP(VLOOKUP(B2076,[1]Product!A:C,3,FALSE),[1]Supplier!A:I,9,FALSE)</f>
        <v>Brazil</v>
      </c>
      <c r="S2076" t="str">
        <f>IFERROR(IF(VLOOKUP(A2076,'[1]Sales Order'!A:H,8,FALSE)&gt;100,"High Freight","Low Freight"),"Not Specified")</f>
        <v>High Freight</v>
      </c>
      <c r="T2076">
        <f t="shared" si="65"/>
        <v>67.5</v>
      </c>
    </row>
    <row r="2077" spans="1:20">
      <c r="A2077" s="1">
        <v>11055</v>
      </c>
      <c r="B2077" s="2">
        <v>25</v>
      </c>
      <c r="C2077" s="2">
        <v>14</v>
      </c>
      <c r="D2077" s="2">
        <v>15</v>
      </c>
      <c r="E2077" s="3">
        <v>0</v>
      </c>
      <c r="F2077" s="2" t="str">
        <f>IFERROR(VLOOKUP(VLOOKUP(A2077,'[1]Sales Order'!A:B,2,FALSE),[1]Customer!A:C,3,FALSE),"Not Specified")</f>
        <v>Langohr, Kris</v>
      </c>
      <c r="G2077" s="2" t="str">
        <f t="shared" si="64"/>
        <v>Langohr Kris</v>
      </c>
      <c r="H2077" s="8" t="str">
        <f>IFERROR(VLOOKUP(VLOOKUP(A2077,'[1]Sales Order'!A:C,3,FALSE),[1]Employee!A:E,5,FALSE)&amp;" "&amp;VLOOKUP(VLOOKUP(A2077,'[1]Sales Order'!A:C,3,FALSE),[1]Employee!A:C,3,FALSE)&amp;" "&amp;VLOOKUP(VLOOKUP(A2077,'[1]Sales Order'!A:C,3,FALSE),[1]Employee!A:B,2,FALSE),"Not Specified")</f>
        <v>Mr. Russell King</v>
      </c>
      <c r="I2077">
        <f>IFERROR(VLOOKUP(VLOOKUP(A2077,'[1]Sales Order'!A:C,3,FALSE),[1]Employee!A:J,10,FALSE),"Not Specified")</f>
        <v>0</v>
      </c>
      <c r="J2077" t="str">
        <f>VLOOKUP(B2077,[1]Product!A:B,2,FALSE)</f>
        <v>Product LYLNI</v>
      </c>
      <c r="K2077" t="str">
        <f>VLOOKUP(VLOOKUP(B2077,[1]Product!A:D,4,FALSE),[1]Category!A:B,2,FALSE)</f>
        <v>Confections</v>
      </c>
      <c r="L2077" s="10">
        <f>IFERROR(VLOOKUP(A2077,'[1]Sales Order'!A:D,4,FALSE),"")</f>
        <v>39566</v>
      </c>
      <c r="M2077" s="10">
        <f>IFERROR(VLOOKUP(A2077,'[1]Sales Order'!A:F,6,FALSE),"")</f>
        <v>39573</v>
      </c>
      <c r="N2077" t="str">
        <f>IFERROR(VLOOKUP(VLOOKUP(A2077,'[1]Sales Order'!A:G,7,FALSE),[1]Shipper!A:B,2,FALSE),"Not Specified")</f>
        <v>Shipper ETYNR</v>
      </c>
      <c r="O2077" t="str">
        <f>IFERROR(VLOOKUP(A2077,'[1]Sales Order'!A:I,9,FALSE),"Not Specified")</f>
        <v>Destination JYDLM</v>
      </c>
      <c r="P2077" t="str">
        <f>IFERROR(VLOOKUP(A2077,'[1]Sales Order'!A:N,14,FALSE),"Not Specified")</f>
        <v>Venezuela</v>
      </c>
      <c r="Q2077" t="str">
        <f>VLOOKUP(VLOOKUP(B2077,[1]Product!A:C,3,FALSE),[1]Supplier!A:B,2,FALSE)</f>
        <v>Supplier ZPYVS</v>
      </c>
      <c r="R2077" t="str">
        <f>VLOOKUP(VLOOKUP(B2077,[1]Product!A:C,3,FALSE),[1]Supplier!A:I,9,FALSE)</f>
        <v>Germany</v>
      </c>
      <c r="S2077" t="str">
        <f>IFERROR(IF(VLOOKUP(A2077,'[1]Sales Order'!A:H,8,FALSE)&gt;100,"High Freight","Low Freight"),"Not Specified")</f>
        <v>High Freight</v>
      </c>
      <c r="T2077">
        <f t="shared" si="65"/>
        <v>210</v>
      </c>
    </row>
    <row r="2078" spans="1:20">
      <c r="A2078" s="1">
        <v>11055</v>
      </c>
      <c r="B2078" s="2">
        <v>51</v>
      </c>
      <c r="C2078" s="2">
        <v>53</v>
      </c>
      <c r="D2078" s="2">
        <v>20</v>
      </c>
      <c r="E2078" s="3">
        <v>0</v>
      </c>
      <c r="F2078" s="2" t="str">
        <f>IFERROR(VLOOKUP(VLOOKUP(A2078,'[1]Sales Order'!A:B,2,FALSE),[1]Customer!A:C,3,FALSE),"Not Specified")</f>
        <v>Langohr, Kris</v>
      </c>
      <c r="G2078" s="2" t="str">
        <f t="shared" si="64"/>
        <v>Langohr Kris</v>
      </c>
      <c r="H2078" s="8" t="str">
        <f>IFERROR(VLOOKUP(VLOOKUP(A2078,'[1]Sales Order'!A:C,3,FALSE),[1]Employee!A:E,5,FALSE)&amp;" "&amp;VLOOKUP(VLOOKUP(A2078,'[1]Sales Order'!A:C,3,FALSE),[1]Employee!A:C,3,FALSE)&amp;" "&amp;VLOOKUP(VLOOKUP(A2078,'[1]Sales Order'!A:C,3,FALSE),[1]Employee!A:B,2,FALSE),"Not Specified")</f>
        <v>Mr. Russell King</v>
      </c>
      <c r="I2078">
        <f>IFERROR(VLOOKUP(VLOOKUP(A2078,'[1]Sales Order'!A:C,3,FALSE),[1]Employee!A:J,10,FALSE),"Not Specified")</f>
        <v>0</v>
      </c>
      <c r="J2078" t="str">
        <f>VLOOKUP(B2078,[1]Product!A:B,2,FALSE)</f>
        <v>Product APITJ</v>
      </c>
      <c r="K2078" t="str">
        <f>VLOOKUP(VLOOKUP(B2078,[1]Product!A:D,4,FALSE),[1]Category!A:B,2,FALSE)</f>
        <v>Produce</v>
      </c>
      <c r="L2078" s="10">
        <f>IFERROR(VLOOKUP(A2078,'[1]Sales Order'!A:D,4,FALSE),"")</f>
        <v>39566</v>
      </c>
      <c r="M2078" s="10">
        <f>IFERROR(VLOOKUP(A2078,'[1]Sales Order'!A:F,6,FALSE),"")</f>
        <v>39573</v>
      </c>
      <c r="N2078" t="str">
        <f>IFERROR(VLOOKUP(VLOOKUP(A2078,'[1]Sales Order'!A:G,7,FALSE),[1]Shipper!A:B,2,FALSE),"Not Specified")</f>
        <v>Shipper ETYNR</v>
      </c>
      <c r="O2078" t="str">
        <f>IFERROR(VLOOKUP(A2078,'[1]Sales Order'!A:I,9,FALSE),"Not Specified")</f>
        <v>Destination JYDLM</v>
      </c>
      <c r="P2078" t="str">
        <f>IFERROR(VLOOKUP(A2078,'[1]Sales Order'!A:N,14,FALSE),"Not Specified")</f>
        <v>Venezuela</v>
      </c>
      <c r="Q2078" t="str">
        <f>VLOOKUP(VLOOKUP(B2078,[1]Product!A:C,3,FALSE),[1]Supplier!A:B,2,FALSE)</f>
        <v>Supplier JNNES</v>
      </c>
      <c r="R2078" t="str">
        <f>VLOOKUP(VLOOKUP(B2078,[1]Product!A:C,3,FALSE),[1]Supplier!A:I,9,FALSE)</f>
        <v>Australia</v>
      </c>
      <c r="S2078" t="str">
        <f>IFERROR(IF(VLOOKUP(A2078,'[1]Sales Order'!A:H,8,FALSE)&gt;100,"High Freight","Low Freight"),"Not Specified")</f>
        <v>High Freight</v>
      </c>
      <c r="T2078">
        <f t="shared" si="65"/>
        <v>1060</v>
      </c>
    </row>
    <row r="2079" spans="1:20">
      <c r="A2079" s="1">
        <v>11055</v>
      </c>
      <c r="B2079" s="2">
        <v>57</v>
      </c>
      <c r="C2079" s="2">
        <v>19.5</v>
      </c>
      <c r="D2079" s="2">
        <v>20</v>
      </c>
      <c r="E2079" s="3">
        <v>0</v>
      </c>
      <c r="F2079" s="2" t="str">
        <f>IFERROR(VLOOKUP(VLOOKUP(A2079,'[1]Sales Order'!A:B,2,FALSE),[1]Customer!A:C,3,FALSE),"Not Specified")</f>
        <v>Langohr, Kris</v>
      </c>
      <c r="G2079" s="2" t="str">
        <f t="shared" si="64"/>
        <v>Langohr Kris</v>
      </c>
      <c r="H2079" s="8" t="str">
        <f>IFERROR(VLOOKUP(VLOOKUP(A2079,'[1]Sales Order'!A:C,3,FALSE),[1]Employee!A:E,5,FALSE)&amp;" "&amp;VLOOKUP(VLOOKUP(A2079,'[1]Sales Order'!A:C,3,FALSE),[1]Employee!A:C,3,FALSE)&amp;" "&amp;VLOOKUP(VLOOKUP(A2079,'[1]Sales Order'!A:C,3,FALSE),[1]Employee!A:B,2,FALSE),"Not Specified")</f>
        <v>Mr. Russell King</v>
      </c>
      <c r="I2079">
        <f>IFERROR(VLOOKUP(VLOOKUP(A2079,'[1]Sales Order'!A:C,3,FALSE),[1]Employee!A:J,10,FALSE),"Not Specified")</f>
        <v>0</v>
      </c>
      <c r="J2079" t="str">
        <f>VLOOKUP(B2079,[1]Product!A:B,2,FALSE)</f>
        <v>Product OVLQI</v>
      </c>
      <c r="K2079" t="str">
        <f>VLOOKUP(VLOOKUP(B2079,[1]Product!A:D,4,FALSE),[1]Category!A:B,2,FALSE)</f>
        <v>Grains/Cereals</v>
      </c>
      <c r="L2079" s="10">
        <f>IFERROR(VLOOKUP(A2079,'[1]Sales Order'!A:D,4,FALSE),"")</f>
        <v>39566</v>
      </c>
      <c r="M2079" s="10">
        <f>IFERROR(VLOOKUP(A2079,'[1]Sales Order'!A:F,6,FALSE),"")</f>
        <v>39573</v>
      </c>
      <c r="N2079" t="str">
        <f>IFERROR(VLOOKUP(VLOOKUP(A2079,'[1]Sales Order'!A:G,7,FALSE),[1]Shipper!A:B,2,FALSE),"Not Specified")</f>
        <v>Shipper ETYNR</v>
      </c>
      <c r="O2079" t="str">
        <f>IFERROR(VLOOKUP(A2079,'[1]Sales Order'!A:I,9,FALSE),"Not Specified")</f>
        <v>Destination JYDLM</v>
      </c>
      <c r="P2079" t="str">
        <f>IFERROR(VLOOKUP(A2079,'[1]Sales Order'!A:N,14,FALSE),"Not Specified")</f>
        <v>Venezuela</v>
      </c>
      <c r="Q2079" t="str">
        <f>VLOOKUP(VLOOKUP(B2079,[1]Product!A:C,3,FALSE),[1]Supplier!A:B,2,FALSE)</f>
        <v>Supplier ZWZDM</v>
      </c>
      <c r="R2079" t="str">
        <f>VLOOKUP(VLOOKUP(B2079,[1]Product!A:C,3,FALSE),[1]Supplier!A:I,9,FALSE)</f>
        <v>Italy</v>
      </c>
      <c r="S2079" t="str">
        <f>IFERROR(IF(VLOOKUP(A2079,'[1]Sales Order'!A:H,8,FALSE)&gt;100,"High Freight","Low Freight"),"Not Specified")</f>
        <v>High Freight</v>
      </c>
      <c r="T2079">
        <f t="shared" si="65"/>
        <v>390</v>
      </c>
    </row>
    <row r="2080" spans="1:20">
      <c r="A2080" s="1">
        <v>11056</v>
      </c>
      <c r="B2080" s="2">
        <v>7</v>
      </c>
      <c r="C2080" s="2">
        <v>30</v>
      </c>
      <c r="D2080" s="2">
        <v>40</v>
      </c>
      <c r="E2080" s="3">
        <v>0</v>
      </c>
      <c r="F2080" s="2" t="str">
        <f>IFERROR(VLOOKUP(VLOOKUP(A2080,'[1]Sales Order'!A:B,2,FALSE),[1]Customer!A:C,3,FALSE),"Not Specified")</f>
        <v>Boseman, Randall</v>
      </c>
      <c r="G2080" s="2" t="str">
        <f t="shared" si="64"/>
        <v>Boseman Randall</v>
      </c>
      <c r="H2080" s="8" t="str">
        <f>IFERROR(VLOOKUP(VLOOKUP(A2080,'[1]Sales Order'!A:C,3,FALSE),[1]Employee!A:E,5,FALSE)&amp;" "&amp;VLOOKUP(VLOOKUP(A2080,'[1]Sales Order'!A:C,3,FALSE),[1]Employee!A:C,3,FALSE)&amp;" "&amp;VLOOKUP(VLOOKUP(A2080,'[1]Sales Order'!A:C,3,FALSE),[1]Employee!A:B,2,FALSE),"Not Specified")</f>
        <v>Ms. Maria Cameron</v>
      </c>
      <c r="I2080" t="str">
        <f>IFERROR(VLOOKUP(VLOOKUP(A2080,'[1]Sales Order'!A:C,3,FALSE),[1]Employee!A:J,10,FALSE),"Not Specified")</f>
        <v>WA</v>
      </c>
      <c r="J2080" t="str">
        <f>VLOOKUP(B2080,[1]Product!A:B,2,FALSE)</f>
        <v>Product HMLNI</v>
      </c>
      <c r="K2080" t="str">
        <f>VLOOKUP(VLOOKUP(B2080,[1]Product!A:D,4,FALSE),[1]Category!A:B,2,FALSE)</f>
        <v>Produce</v>
      </c>
      <c r="L2080" s="10">
        <f>IFERROR(VLOOKUP(A2080,'[1]Sales Order'!A:D,4,FALSE),"")</f>
        <v>39566</v>
      </c>
      <c r="M2080" s="10">
        <f>IFERROR(VLOOKUP(A2080,'[1]Sales Order'!A:F,6,FALSE),"")</f>
        <v>39569</v>
      </c>
      <c r="N2080" t="str">
        <f>IFERROR(VLOOKUP(VLOOKUP(A2080,'[1]Sales Order'!A:G,7,FALSE),[1]Shipper!A:B,2,FALSE),"Not Specified")</f>
        <v>Shipper ETYNR</v>
      </c>
      <c r="O2080" t="str">
        <f>IFERROR(VLOOKUP(A2080,'[1]Sales Order'!A:I,9,FALSE),"Not Specified")</f>
        <v>Destination QTKCU</v>
      </c>
      <c r="P2080" t="str">
        <f>IFERROR(VLOOKUP(A2080,'[1]Sales Order'!A:N,14,FALSE),"Not Specified")</f>
        <v>UK</v>
      </c>
      <c r="Q2080" t="str">
        <f>VLOOKUP(VLOOKUP(B2080,[1]Product!A:C,3,FALSE),[1]Supplier!A:B,2,FALSE)</f>
        <v>Supplier STUAZ</v>
      </c>
      <c r="R2080" t="str">
        <f>VLOOKUP(VLOOKUP(B2080,[1]Product!A:C,3,FALSE),[1]Supplier!A:I,9,FALSE)</f>
        <v>USA</v>
      </c>
      <c r="S2080" t="str">
        <f>IFERROR(IF(VLOOKUP(A2080,'[1]Sales Order'!A:H,8,FALSE)&gt;100,"High Freight","Low Freight"),"Not Specified")</f>
        <v>High Freight</v>
      </c>
      <c r="T2080">
        <f t="shared" si="65"/>
        <v>1200</v>
      </c>
    </row>
    <row r="2081" spans="1:20">
      <c r="A2081" s="1">
        <v>11056</v>
      </c>
      <c r="B2081" s="2">
        <v>55</v>
      </c>
      <c r="C2081" s="2">
        <v>24</v>
      </c>
      <c r="D2081" s="2">
        <v>35</v>
      </c>
      <c r="E2081" s="3">
        <v>0</v>
      </c>
      <c r="F2081" s="2" t="str">
        <f>IFERROR(VLOOKUP(VLOOKUP(A2081,'[1]Sales Order'!A:B,2,FALSE),[1]Customer!A:C,3,FALSE),"Not Specified")</f>
        <v>Boseman, Randall</v>
      </c>
      <c r="G2081" s="2" t="str">
        <f t="shared" si="64"/>
        <v>Boseman Randall</v>
      </c>
      <c r="H2081" s="8" t="str">
        <f>IFERROR(VLOOKUP(VLOOKUP(A2081,'[1]Sales Order'!A:C,3,FALSE),[1]Employee!A:E,5,FALSE)&amp;" "&amp;VLOOKUP(VLOOKUP(A2081,'[1]Sales Order'!A:C,3,FALSE),[1]Employee!A:C,3,FALSE)&amp;" "&amp;VLOOKUP(VLOOKUP(A2081,'[1]Sales Order'!A:C,3,FALSE),[1]Employee!A:B,2,FALSE),"Not Specified")</f>
        <v>Ms. Maria Cameron</v>
      </c>
      <c r="I2081" t="str">
        <f>IFERROR(VLOOKUP(VLOOKUP(A2081,'[1]Sales Order'!A:C,3,FALSE),[1]Employee!A:J,10,FALSE),"Not Specified")</f>
        <v>WA</v>
      </c>
      <c r="J2081" t="str">
        <f>VLOOKUP(B2081,[1]Product!A:B,2,FALSE)</f>
        <v>Product YYWRT</v>
      </c>
      <c r="K2081" t="str">
        <f>VLOOKUP(VLOOKUP(B2081,[1]Product!A:D,4,FALSE),[1]Category!A:B,2,FALSE)</f>
        <v>Meat/Poultry</v>
      </c>
      <c r="L2081" s="10">
        <f>IFERROR(VLOOKUP(A2081,'[1]Sales Order'!A:D,4,FALSE),"")</f>
        <v>39566</v>
      </c>
      <c r="M2081" s="10">
        <f>IFERROR(VLOOKUP(A2081,'[1]Sales Order'!A:F,6,FALSE),"")</f>
        <v>39569</v>
      </c>
      <c r="N2081" t="str">
        <f>IFERROR(VLOOKUP(VLOOKUP(A2081,'[1]Sales Order'!A:G,7,FALSE),[1]Shipper!A:B,2,FALSE),"Not Specified")</f>
        <v>Shipper ETYNR</v>
      </c>
      <c r="O2081" t="str">
        <f>IFERROR(VLOOKUP(A2081,'[1]Sales Order'!A:I,9,FALSE),"Not Specified")</f>
        <v>Destination QTKCU</v>
      </c>
      <c r="P2081" t="str">
        <f>IFERROR(VLOOKUP(A2081,'[1]Sales Order'!A:N,14,FALSE),"Not Specified")</f>
        <v>UK</v>
      </c>
      <c r="Q2081" t="str">
        <f>VLOOKUP(VLOOKUP(B2081,[1]Product!A:C,3,FALSE),[1]Supplier!A:B,2,FALSE)</f>
        <v>Supplier ERVYZ</v>
      </c>
      <c r="R2081" t="str">
        <f>VLOOKUP(VLOOKUP(B2081,[1]Product!A:C,3,FALSE),[1]Supplier!A:I,9,FALSE)</f>
        <v>Canada</v>
      </c>
      <c r="S2081" t="str">
        <f>IFERROR(IF(VLOOKUP(A2081,'[1]Sales Order'!A:H,8,FALSE)&gt;100,"High Freight","Low Freight"),"Not Specified")</f>
        <v>High Freight</v>
      </c>
      <c r="T2081">
        <f t="shared" si="65"/>
        <v>840</v>
      </c>
    </row>
    <row r="2082" spans="1:20">
      <c r="A2082" s="1">
        <v>11056</v>
      </c>
      <c r="B2082" s="2">
        <v>60</v>
      </c>
      <c r="C2082" s="2">
        <v>34</v>
      </c>
      <c r="D2082" s="2">
        <v>50</v>
      </c>
      <c r="E2082" s="3">
        <v>0</v>
      </c>
      <c r="F2082" s="2" t="str">
        <f>IFERROR(VLOOKUP(VLOOKUP(A2082,'[1]Sales Order'!A:B,2,FALSE),[1]Customer!A:C,3,FALSE),"Not Specified")</f>
        <v>Boseman, Randall</v>
      </c>
      <c r="G2082" s="2" t="str">
        <f t="shared" si="64"/>
        <v>Boseman Randall</v>
      </c>
      <c r="H2082" s="8" t="str">
        <f>IFERROR(VLOOKUP(VLOOKUP(A2082,'[1]Sales Order'!A:C,3,FALSE),[1]Employee!A:E,5,FALSE)&amp;" "&amp;VLOOKUP(VLOOKUP(A2082,'[1]Sales Order'!A:C,3,FALSE),[1]Employee!A:C,3,FALSE)&amp;" "&amp;VLOOKUP(VLOOKUP(A2082,'[1]Sales Order'!A:C,3,FALSE),[1]Employee!A:B,2,FALSE),"Not Specified")</f>
        <v>Ms. Maria Cameron</v>
      </c>
      <c r="I2082" t="str">
        <f>IFERROR(VLOOKUP(VLOOKUP(A2082,'[1]Sales Order'!A:C,3,FALSE),[1]Employee!A:J,10,FALSE),"Not Specified")</f>
        <v>WA</v>
      </c>
      <c r="J2082" t="str">
        <f>VLOOKUP(B2082,[1]Product!A:B,2,FALSE)</f>
        <v>Product WHBYK</v>
      </c>
      <c r="K2082" t="str">
        <f>VLOOKUP(VLOOKUP(B2082,[1]Product!A:D,4,FALSE),[1]Category!A:B,2,FALSE)</f>
        <v>Dairy Product</v>
      </c>
      <c r="L2082" s="10">
        <f>IFERROR(VLOOKUP(A2082,'[1]Sales Order'!A:D,4,FALSE),"")</f>
        <v>39566</v>
      </c>
      <c r="M2082" s="10">
        <f>IFERROR(VLOOKUP(A2082,'[1]Sales Order'!A:F,6,FALSE),"")</f>
        <v>39569</v>
      </c>
      <c r="N2082" t="str">
        <f>IFERROR(VLOOKUP(VLOOKUP(A2082,'[1]Sales Order'!A:G,7,FALSE),[1]Shipper!A:B,2,FALSE),"Not Specified")</f>
        <v>Shipper ETYNR</v>
      </c>
      <c r="O2082" t="str">
        <f>IFERROR(VLOOKUP(A2082,'[1]Sales Order'!A:I,9,FALSE),"Not Specified")</f>
        <v>Destination QTKCU</v>
      </c>
      <c r="P2082" t="str">
        <f>IFERROR(VLOOKUP(A2082,'[1]Sales Order'!A:N,14,FALSE),"Not Specified")</f>
        <v>UK</v>
      </c>
      <c r="Q2082" t="str">
        <f>VLOOKUP(VLOOKUP(B2082,[1]Product!A:C,3,FALSE),[1]Supplier!A:B,2,FALSE)</f>
        <v>Supplier OAVQT</v>
      </c>
      <c r="R2082" t="str">
        <f>VLOOKUP(VLOOKUP(B2082,[1]Product!A:C,3,FALSE),[1]Supplier!A:I,9,FALSE)</f>
        <v>France</v>
      </c>
      <c r="S2082" t="str">
        <f>IFERROR(IF(VLOOKUP(A2082,'[1]Sales Order'!A:H,8,FALSE)&gt;100,"High Freight","Low Freight"),"Not Specified")</f>
        <v>High Freight</v>
      </c>
      <c r="T2082">
        <f t="shared" si="65"/>
        <v>1700</v>
      </c>
    </row>
    <row r="2083" spans="1:20">
      <c r="A2083" s="1">
        <v>11057</v>
      </c>
      <c r="B2083" s="2">
        <v>70</v>
      </c>
      <c r="C2083" s="2">
        <v>15</v>
      </c>
      <c r="D2083" s="2">
        <v>3</v>
      </c>
      <c r="E2083" s="3">
        <v>0</v>
      </c>
      <c r="F2083" s="2" t="str">
        <f>IFERROR(VLOOKUP(VLOOKUP(A2083,'[1]Sales Order'!A:B,2,FALSE),[1]Customer!A:C,3,FALSE),"Not Specified")</f>
        <v>Mallit, Ken</v>
      </c>
      <c r="G2083" s="2" t="str">
        <f t="shared" si="64"/>
        <v>Mallit Ken</v>
      </c>
      <c r="H2083" s="8" t="str">
        <f>IFERROR(VLOOKUP(VLOOKUP(A2083,'[1]Sales Order'!A:C,3,FALSE),[1]Employee!A:E,5,FALSE)&amp;" "&amp;VLOOKUP(VLOOKUP(A2083,'[1]Sales Order'!A:C,3,FALSE),[1]Employee!A:C,3,FALSE)&amp;" "&amp;VLOOKUP(VLOOKUP(A2083,'[1]Sales Order'!A:C,3,FALSE),[1]Employee!A:B,2,FALSE),"Not Specified")</f>
        <v>Ms. Judy Lew</v>
      </c>
      <c r="I2083" t="str">
        <f>IFERROR(VLOOKUP(VLOOKUP(A2083,'[1]Sales Order'!A:C,3,FALSE),[1]Employee!A:J,10,FALSE),"Not Specified")</f>
        <v>WA</v>
      </c>
      <c r="J2083" t="str">
        <f>VLOOKUP(B2083,[1]Product!A:B,2,FALSE)</f>
        <v>Product TOONT</v>
      </c>
      <c r="K2083" t="str">
        <f>VLOOKUP(VLOOKUP(B2083,[1]Product!A:D,4,FALSE),[1]Category!A:B,2,FALSE)</f>
        <v>Beverages</v>
      </c>
      <c r="L2083" s="10">
        <f>IFERROR(VLOOKUP(A2083,'[1]Sales Order'!A:D,4,FALSE),"")</f>
        <v>39567</v>
      </c>
      <c r="M2083" s="10">
        <f>IFERROR(VLOOKUP(A2083,'[1]Sales Order'!A:F,6,FALSE),"")</f>
        <v>39569</v>
      </c>
      <c r="N2083" t="str">
        <f>IFERROR(VLOOKUP(VLOOKUP(A2083,'[1]Sales Order'!A:G,7,FALSE),[1]Shipper!A:B,2,FALSE),"Not Specified")</f>
        <v>Shipper ZHISN</v>
      </c>
      <c r="O2083" t="str">
        <f>IFERROR(VLOOKUP(A2083,'[1]Sales Order'!A:I,9,FALSE),"Not Specified")</f>
        <v>Ship to 53-C</v>
      </c>
      <c r="P2083" t="str">
        <f>IFERROR(VLOOKUP(A2083,'[1]Sales Order'!A:N,14,FALSE),"Not Specified")</f>
        <v>UK</v>
      </c>
      <c r="Q2083" t="str">
        <f>VLOOKUP(VLOOKUP(B2083,[1]Product!A:C,3,FALSE),[1]Supplier!A:B,2,FALSE)</f>
        <v>Supplier GQRCV</v>
      </c>
      <c r="R2083" t="str">
        <f>VLOOKUP(VLOOKUP(B2083,[1]Product!A:C,3,FALSE),[1]Supplier!A:I,9,FALSE)</f>
        <v>Australia</v>
      </c>
      <c r="S2083" t="str">
        <f>IFERROR(IF(VLOOKUP(A2083,'[1]Sales Order'!A:H,8,FALSE)&gt;100,"High Freight","Low Freight"),"Not Specified")</f>
        <v>Low Freight</v>
      </c>
      <c r="T2083">
        <f t="shared" si="65"/>
        <v>45</v>
      </c>
    </row>
    <row r="2084" spans="1:20">
      <c r="A2084" s="1">
        <v>11058</v>
      </c>
      <c r="B2084" s="2">
        <v>21</v>
      </c>
      <c r="C2084" s="2">
        <v>10</v>
      </c>
      <c r="D2084" s="2">
        <v>3</v>
      </c>
      <c r="E2084" s="3">
        <v>0</v>
      </c>
      <c r="F2084" s="2" t="str">
        <f>IFERROR(VLOOKUP(VLOOKUP(A2084,'[1]Sales Order'!A:B,2,FALSE),[1]Customer!A:C,3,FALSE),"Not Specified")</f>
        <v>Poland, Carole</v>
      </c>
      <c r="G2084" s="2" t="str">
        <f t="shared" si="64"/>
        <v>Poland Carole</v>
      </c>
      <c r="H2084" s="8" t="str">
        <f>IFERROR(VLOOKUP(VLOOKUP(A2084,'[1]Sales Order'!A:C,3,FALSE),[1]Employee!A:E,5,FALSE)&amp;" "&amp;VLOOKUP(VLOOKUP(A2084,'[1]Sales Order'!A:C,3,FALSE),[1]Employee!A:C,3,FALSE)&amp;" "&amp;VLOOKUP(VLOOKUP(A2084,'[1]Sales Order'!A:C,3,FALSE),[1]Employee!A:B,2,FALSE),"Not Specified")</f>
        <v>Ms. Zoya Dolgopyatova</v>
      </c>
      <c r="I2084">
        <f>IFERROR(VLOOKUP(VLOOKUP(A2084,'[1]Sales Order'!A:C,3,FALSE),[1]Employee!A:J,10,FALSE),"Not Specified")</f>
        <v>0</v>
      </c>
      <c r="J2084" t="str">
        <f>VLOOKUP(B2084,[1]Product!A:B,2,FALSE)</f>
        <v>Product VJZZH</v>
      </c>
      <c r="K2084" t="str">
        <f>VLOOKUP(VLOOKUP(B2084,[1]Product!A:D,4,FALSE),[1]Category!A:B,2,FALSE)</f>
        <v>Confections</v>
      </c>
      <c r="L2084" s="10">
        <f>IFERROR(VLOOKUP(A2084,'[1]Sales Order'!A:D,4,FALSE),"")</f>
        <v>39567</v>
      </c>
      <c r="M2084" s="10">
        <f>IFERROR(VLOOKUP(A2084,'[1]Sales Order'!A:F,6,FALSE),"")</f>
        <v>0</v>
      </c>
      <c r="N2084" t="str">
        <f>IFERROR(VLOOKUP(VLOOKUP(A2084,'[1]Sales Order'!A:G,7,FALSE),[1]Shipper!A:B,2,FALSE),"Not Specified")</f>
        <v>Shipper ZHISN</v>
      </c>
      <c r="O2084" t="str">
        <f>IFERROR(VLOOKUP(A2084,'[1]Sales Order'!A:I,9,FALSE),"Not Specified")</f>
        <v>Ship to 6-A</v>
      </c>
      <c r="P2084" t="str">
        <f>IFERROR(VLOOKUP(A2084,'[1]Sales Order'!A:N,14,FALSE),"Not Specified")</f>
        <v>Germany</v>
      </c>
      <c r="Q2084" t="str">
        <f>VLOOKUP(VLOOKUP(B2084,[1]Product!A:C,3,FALSE),[1]Supplier!A:B,2,FALSE)</f>
        <v>Supplier BWGYE</v>
      </c>
      <c r="R2084" t="str">
        <f>VLOOKUP(VLOOKUP(B2084,[1]Product!A:C,3,FALSE),[1]Supplier!A:I,9,FALSE)</f>
        <v>UK</v>
      </c>
      <c r="S2084" t="str">
        <f>IFERROR(IF(VLOOKUP(A2084,'[1]Sales Order'!A:H,8,FALSE)&gt;100,"High Freight","Low Freight"),"Not Specified")</f>
        <v>Low Freight</v>
      </c>
      <c r="T2084">
        <f t="shared" si="65"/>
        <v>30</v>
      </c>
    </row>
    <row r="2085" spans="1:20">
      <c r="A2085" s="1">
        <v>11058</v>
      </c>
      <c r="B2085" s="2">
        <v>60</v>
      </c>
      <c r="C2085" s="2">
        <v>34</v>
      </c>
      <c r="D2085" s="2">
        <v>21</v>
      </c>
      <c r="E2085" s="3">
        <v>0</v>
      </c>
      <c r="F2085" s="2" t="str">
        <f>IFERROR(VLOOKUP(VLOOKUP(A2085,'[1]Sales Order'!A:B,2,FALSE),[1]Customer!A:C,3,FALSE),"Not Specified")</f>
        <v>Poland, Carole</v>
      </c>
      <c r="G2085" s="2" t="str">
        <f t="shared" si="64"/>
        <v>Poland Carole</v>
      </c>
      <c r="H2085" s="8" t="str">
        <f>IFERROR(VLOOKUP(VLOOKUP(A2085,'[1]Sales Order'!A:C,3,FALSE),[1]Employee!A:E,5,FALSE)&amp;" "&amp;VLOOKUP(VLOOKUP(A2085,'[1]Sales Order'!A:C,3,FALSE),[1]Employee!A:C,3,FALSE)&amp;" "&amp;VLOOKUP(VLOOKUP(A2085,'[1]Sales Order'!A:C,3,FALSE),[1]Employee!A:B,2,FALSE),"Not Specified")</f>
        <v>Ms. Zoya Dolgopyatova</v>
      </c>
      <c r="I2085">
        <f>IFERROR(VLOOKUP(VLOOKUP(A2085,'[1]Sales Order'!A:C,3,FALSE),[1]Employee!A:J,10,FALSE),"Not Specified")</f>
        <v>0</v>
      </c>
      <c r="J2085" t="str">
        <f>VLOOKUP(B2085,[1]Product!A:B,2,FALSE)</f>
        <v>Product WHBYK</v>
      </c>
      <c r="K2085" t="str">
        <f>VLOOKUP(VLOOKUP(B2085,[1]Product!A:D,4,FALSE),[1]Category!A:B,2,FALSE)</f>
        <v>Dairy Product</v>
      </c>
      <c r="L2085" s="10">
        <f>IFERROR(VLOOKUP(A2085,'[1]Sales Order'!A:D,4,FALSE),"")</f>
        <v>39567</v>
      </c>
      <c r="M2085" s="10">
        <f>IFERROR(VLOOKUP(A2085,'[1]Sales Order'!A:F,6,FALSE),"")</f>
        <v>0</v>
      </c>
      <c r="N2085" t="str">
        <f>IFERROR(VLOOKUP(VLOOKUP(A2085,'[1]Sales Order'!A:G,7,FALSE),[1]Shipper!A:B,2,FALSE),"Not Specified")</f>
        <v>Shipper ZHISN</v>
      </c>
      <c r="O2085" t="str">
        <f>IFERROR(VLOOKUP(A2085,'[1]Sales Order'!A:I,9,FALSE),"Not Specified")</f>
        <v>Ship to 6-A</v>
      </c>
      <c r="P2085" t="str">
        <f>IFERROR(VLOOKUP(A2085,'[1]Sales Order'!A:N,14,FALSE),"Not Specified")</f>
        <v>Germany</v>
      </c>
      <c r="Q2085" t="str">
        <f>VLOOKUP(VLOOKUP(B2085,[1]Product!A:C,3,FALSE),[1]Supplier!A:B,2,FALSE)</f>
        <v>Supplier OAVQT</v>
      </c>
      <c r="R2085" t="str">
        <f>VLOOKUP(VLOOKUP(B2085,[1]Product!A:C,3,FALSE),[1]Supplier!A:I,9,FALSE)</f>
        <v>France</v>
      </c>
      <c r="S2085" t="str">
        <f>IFERROR(IF(VLOOKUP(A2085,'[1]Sales Order'!A:H,8,FALSE)&gt;100,"High Freight","Low Freight"),"Not Specified")</f>
        <v>Low Freight</v>
      </c>
      <c r="T2085">
        <f t="shared" si="65"/>
        <v>714</v>
      </c>
    </row>
    <row r="2086" spans="1:20">
      <c r="A2086" s="1">
        <v>11058</v>
      </c>
      <c r="B2086" s="2">
        <v>61</v>
      </c>
      <c r="C2086" s="2">
        <v>28.5</v>
      </c>
      <c r="D2086" s="2">
        <v>4</v>
      </c>
      <c r="E2086" s="3">
        <v>0</v>
      </c>
      <c r="F2086" s="2" t="str">
        <f>IFERROR(VLOOKUP(VLOOKUP(A2086,'[1]Sales Order'!A:B,2,FALSE),[1]Customer!A:C,3,FALSE),"Not Specified")</f>
        <v>Poland, Carole</v>
      </c>
      <c r="G2086" s="2" t="str">
        <f t="shared" si="64"/>
        <v>Poland Carole</v>
      </c>
      <c r="H2086" s="8" t="str">
        <f>IFERROR(VLOOKUP(VLOOKUP(A2086,'[1]Sales Order'!A:C,3,FALSE),[1]Employee!A:E,5,FALSE)&amp;" "&amp;VLOOKUP(VLOOKUP(A2086,'[1]Sales Order'!A:C,3,FALSE),[1]Employee!A:C,3,FALSE)&amp;" "&amp;VLOOKUP(VLOOKUP(A2086,'[1]Sales Order'!A:C,3,FALSE),[1]Employee!A:B,2,FALSE),"Not Specified")</f>
        <v>Ms. Zoya Dolgopyatova</v>
      </c>
      <c r="I2086">
        <f>IFERROR(VLOOKUP(VLOOKUP(A2086,'[1]Sales Order'!A:C,3,FALSE),[1]Employee!A:J,10,FALSE),"Not Specified")</f>
        <v>0</v>
      </c>
      <c r="J2086" t="str">
        <f>VLOOKUP(B2086,[1]Product!A:B,2,FALSE)</f>
        <v>Product XYZPE</v>
      </c>
      <c r="K2086" t="str">
        <f>VLOOKUP(VLOOKUP(B2086,[1]Product!A:D,4,FALSE),[1]Category!A:B,2,FALSE)</f>
        <v>Condiments</v>
      </c>
      <c r="L2086" s="10">
        <f>IFERROR(VLOOKUP(A2086,'[1]Sales Order'!A:D,4,FALSE),"")</f>
        <v>39567</v>
      </c>
      <c r="M2086" s="10">
        <f>IFERROR(VLOOKUP(A2086,'[1]Sales Order'!A:F,6,FALSE),"")</f>
        <v>0</v>
      </c>
      <c r="N2086" t="str">
        <f>IFERROR(VLOOKUP(VLOOKUP(A2086,'[1]Sales Order'!A:G,7,FALSE),[1]Shipper!A:B,2,FALSE),"Not Specified")</f>
        <v>Shipper ZHISN</v>
      </c>
      <c r="O2086" t="str">
        <f>IFERROR(VLOOKUP(A2086,'[1]Sales Order'!A:I,9,FALSE),"Not Specified")</f>
        <v>Ship to 6-A</v>
      </c>
      <c r="P2086" t="str">
        <f>IFERROR(VLOOKUP(A2086,'[1]Sales Order'!A:N,14,FALSE),"Not Specified")</f>
        <v>Germany</v>
      </c>
      <c r="Q2086" t="str">
        <f>VLOOKUP(VLOOKUP(B2086,[1]Product!A:C,3,FALSE),[1]Supplier!A:B,2,FALSE)</f>
        <v>Supplier OGLRK</v>
      </c>
      <c r="R2086" t="str">
        <f>VLOOKUP(VLOOKUP(B2086,[1]Product!A:C,3,FALSE),[1]Supplier!A:I,9,FALSE)</f>
        <v>Canada</v>
      </c>
      <c r="S2086" t="str">
        <f>IFERROR(IF(VLOOKUP(A2086,'[1]Sales Order'!A:H,8,FALSE)&gt;100,"High Freight","Low Freight"),"Not Specified")</f>
        <v>Low Freight</v>
      </c>
      <c r="T2086">
        <f t="shared" si="65"/>
        <v>114</v>
      </c>
    </row>
    <row r="2087" spans="1:20">
      <c r="A2087" s="1">
        <v>11059</v>
      </c>
      <c r="B2087" s="2">
        <v>13</v>
      </c>
      <c r="C2087" s="2">
        <v>6</v>
      </c>
      <c r="D2087" s="2">
        <v>30</v>
      </c>
      <c r="E2087" s="3">
        <v>0</v>
      </c>
      <c r="F2087" s="2" t="str">
        <f>IFERROR(VLOOKUP(VLOOKUP(A2087,'[1]Sales Order'!A:B,2,FALSE),[1]Customer!A:C,3,FALSE),"Not Specified")</f>
        <v>Garden, Euan</v>
      </c>
      <c r="G2087" s="2" t="str">
        <f t="shared" si="64"/>
        <v>Garden Euan</v>
      </c>
      <c r="H2087" s="8" t="str">
        <f>IFERROR(VLOOKUP(VLOOKUP(A2087,'[1]Sales Order'!A:C,3,FALSE),[1]Employee!A:E,5,FALSE)&amp;" "&amp;VLOOKUP(VLOOKUP(A2087,'[1]Sales Order'!A:C,3,FALSE),[1]Employee!A:C,3,FALSE)&amp;" "&amp;VLOOKUP(VLOOKUP(A2087,'[1]Sales Order'!A:C,3,FALSE),[1]Employee!A:B,2,FALSE),"Not Specified")</f>
        <v>Dr. Don Funk</v>
      </c>
      <c r="I2087" t="str">
        <f>IFERROR(VLOOKUP(VLOOKUP(A2087,'[1]Sales Order'!A:C,3,FALSE),[1]Employee!A:J,10,FALSE),"Not Specified")</f>
        <v>WA</v>
      </c>
      <c r="J2087" t="str">
        <f>VLOOKUP(B2087,[1]Product!A:B,2,FALSE)</f>
        <v>Product POXFU</v>
      </c>
      <c r="K2087" t="str">
        <f>VLOOKUP(VLOOKUP(B2087,[1]Product!A:D,4,FALSE),[1]Category!A:B,2,FALSE)</f>
        <v>Seafood</v>
      </c>
      <c r="L2087" s="10">
        <f>IFERROR(VLOOKUP(A2087,'[1]Sales Order'!A:D,4,FALSE),"")</f>
        <v>39567</v>
      </c>
      <c r="M2087" s="10">
        <f>IFERROR(VLOOKUP(A2087,'[1]Sales Order'!A:F,6,FALSE),"")</f>
        <v>0</v>
      </c>
      <c r="N2087" t="str">
        <f>IFERROR(VLOOKUP(VLOOKUP(A2087,'[1]Sales Order'!A:G,7,FALSE),[1]Shipper!A:B,2,FALSE),"Not Specified")</f>
        <v>Shipper ETYNR</v>
      </c>
      <c r="O2087" t="str">
        <f>IFERROR(VLOOKUP(A2087,'[1]Sales Order'!A:I,9,FALSE),"Not Specified")</f>
        <v>Ship to 67-A</v>
      </c>
      <c r="P2087" t="str">
        <f>IFERROR(VLOOKUP(A2087,'[1]Sales Order'!A:N,14,FALSE),"Not Specified")</f>
        <v>Brazil</v>
      </c>
      <c r="Q2087" t="str">
        <f>VLOOKUP(VLOOKUP(B2087,[1]Product!A:C,3,FALSE),[1]Supplier!A:B,2,FALSE)</f>
        <v>Supplier QWUSF</v>
      </c>
      <c r="R2087" t="str">
        <f>VLOOKUP(VLOOKUP(B2087,[1]Product!A:C,3,FALSE),[1]Supplier!A:I,9,FALSE)</f>
        <v>Japan</v>
      </c>
      <c r="S2087" t="str">
        <f>IFERROR(IF(VLOOKUP(A2087,'[1]Sales Order'!A:H,8,FALSE)&gt;100,"High Freight","Low Freight"),"Not Specified")</f>
        <v>Low Freight</v>
      </c>
      <c r="T2087">
        <f t="shared" si="65"/>
        <v>180</v>
      </c>
    </row>
    <row r="2088" spans="1:20">
      <c r="A2088" s="1">
        <v>11059</v>
      </c>
      <c r="B2088" s="2">
        <v>17</v>
      </c>
      <c r="C2088" s="2">
        <v>39</v>
      </c>
      <c r="D2088" s="2">
        <v>12</v>
      </c>
      <c r="E2088" s="3">
        <v>0</v>
      </c>
      <c r="F2088" s="2" t="str">
        <f>IFERROR(VLOOKUP(VLOOKUP(A2088,'[1]Sales Order'!A:B,2,FALSE),[1]Customer!A:C,3,FALSE),"Not Specified")</f>
        <v>Garden, Euan</v>
      </c>
      <c r="G2088" s="2" t="str">
        <f t="shared" si="64"/>
        <v>Garden Euan</v>
      </c>
      <c r="H2088" s="8" t="str">
        <f>IFERROR(VLOOKUP(VLOOKUP(A2088,'[1]Sales Order'!A:C,3,FALSE),[1]Employee!A:E,5,FALSE)&amp;" "&amp;VLOOKUP(VLOOKUP(A2088,'[1]Sales Order'!A:C,3,FALSE),[1]Employee!A:C,3,FALSE)&amp;" "&amp;VLOOKUP(VLOOKUP(A2088,'[1]Sales Order'!A:C,3,FALSE),[1]Employee!A:B,2,FALSE),"Not Specified")</f>
        <v>Dr. Don Funk</v>
      </c>
      <c r="I2088" t="str">
        <f>IFERROR(VLOOKUP(VLOOKUP(A2088,'[1]Sales Order'!A:C,3,FALSE),[1]Employee!A:J,10,FALSE),"Not Specified")</f>
        <v>WA</v>
      </c>
      <c r="J2088" t="str">
        <f>VLOOKUP(B2088,[1]Product!A:B,2,FALSE)</f>
        <v>Product BLCAX</v>
      </c>
      <c r="K2088" t="str">
        <f>VLOOKUP(VLOOKUP(B2088,[1]Product!A:D,4,FALSE),[1]Category!A:B,2,FALSE)</f>
        <v>Meat/Poultry</v>
      </c>
      <c r="L2088" s="10">
        <f>IFERROR(VLOOKUP(A2088,'[1]Sales Order'!A:D,4,FALSE),"")</f>
        <v>39567</v>
      </c>
      <c r="M2088" s="10">
        <f>IFERROR(VLOOKUP(A2088,'[1]Sales Order'!A:F,6,FALSE),"")</f>
        <v>0</v>
      </c>
      <c r="N2088" t="str">
        <f>IFERROR(VLOOKUP(VLOOKUP(A2088,'[1]Sales Order'!A:G,7,FALSE),[1]Shipper!A:B,2,FALSE),"Not Specified")</f>
        <v>Shipper ETYNR</v>
      </c>
      <c r="O2088" t="str">
        <f>IFERROR(VLOOKUP(A2088,'[1]Sales Order'!A:I,9,FALSE),"Not Specified")</f>
        <v>Ship to 67-A</v>
      </c>
      <c r="P2088" t="str">
        <f>IFERROR(VLOOKUP(A2088,'[1]Sales Order'!A:N,14,FALSE),"Not Specified")</f>
        <v>Brazil</v>
      </c>
      <c r="Q2088" t="str">
        <f>VLOOKUP(VLOOKUP(B2088,[1]Product!A:C,3,FALSE),[1]Supplier!A:B,2,FALSE)</f>
        <v>Supplier GQRCV</v>
      </c>
      <c r="R2088" t="str">
        <f>VLOOKUP(VLOOKUP(B2088,[1]Product!A:C,3,FALSE),[1]Supplier!A:I,9,FALSE)</f>
        <v>Australia</v>
      </c>
      <c r="S2088" t="str">
        <f>IFERROR(IF(VLOOKUP(A2088,'[1]Sales Order'!A:H,8,FALSE)&gt;100,"High Freight","Low Freight"),"Not Specified")</f>
        <v>Low Freight</v>
      </c>
      <c r="T2088">
        <f t="shared" si="65"/>
        <v>468</v>
      </c>
    </row>
    <row r="2089" spans="1:20">
      <c r="A2089" s="1">
        <v>11059</v>
      </c>
      <c r="B2089" s="2">
        <v>60</v>
      </c>
      <c r="C2089" s="2">
        <v>34</v>
      </c>
      <c r="D2089" s="2">
        <v>35</v>
      </c>
      <c r="E2089" s="3">
        <v>0</v>
      </c>
      <c r="F2089" s="2" t="str">
        <f>IFERROR(VLOOKUP(VLOOKUP(A2089,'[1]Sales Order'!A:B,2,FALSE),[1]Customer!A:C,3,FALSE),"Not Specified")</f>
        <v>Garden, Euan</v>
      </c>
      <c r="G2089" s="2" t="str">
        <f t="shared" si="64"/>
        <v>Garden Euan</v>
      </c>
      <c r="H2089" s="8" t="str">
        <f>IFERROR(VLOOKUP(VLOOKUP(A2089,'[1]Sales Order'!A:C,3,FALSE),[1]Employee!A:E,5,FALSE)&amp;" "&amp;VLOOKUP(VLOOKUP(A2089,'[1]Sales Order'!A:C,3,FALSE),[1]Employee!A:C,3,FALSE)&amp;" "&amp;VLOOKUP(VLOOKUP(A2089,'[1]Sales Order'!A:C,3,FALSE),[1]Employee!A:B,2,FALSE),"Not Specified")</f>
        <v>Dr. Don Funk</v>
      </c>
      <c r="I2089" t="str">
        <f>IFERROR(VLOOKUP(VLOOKUP(A2089,'[1]Sales Order'!A:C,3,FALSE),[1]Employee!A:J,10,FALSE),"Not Specified")</f>
        <v>WA</v>
      </c>
      <c r="J2089" t="str">
        <f>VLOOKUP(B2089,[1]Product!A:B,2,FALSE)</f>
        <v>Product WHBYK</v>
      </c>
      <c r="K2089" t="str">
        <f>VLOOKUP(VLOOKUP(B2089,[1]Product!A:D,4,FALSE),[1]Category!A:B,2,FALSE)</f>
        <v>Dairy Product</v>
      </c>
      <c r="L2089" s="10">
        <f>IFERROR(VLOOKUP(A2089,'[1]Sales Order'!A:D,4,FALSE),"")</f>
        <v>39567</v>
      </c>
      <c r="M2089" s="10">
        <f>IFERROR(VLOOKUP(A2089,'[1]Sales Order'!A:F,6,FALSE),"")</f>
        <v>0</v>
      </c>
      <c r="N2089" t="str">
        <f>IFERROR(VLOOKUP(VLOOKUP(A2089,'[1]Sales Order'!A:G,7,FALSE),[1]Shipper!A:B,2,FALSE),"Not Specified")</f>
        <v>Shipper ETYNR</v>
      </c>
      <c r="O2089" t="str">
        <f>IFERROR(VLOOKUP(A2089,'[1]Sales Order'!A:I,9,FALSE),"Not Specified")</f>
        <v>Ship to 67-A</v>
      </c>
      <c r="P2089" t="str">
        <f>IFERROR(VLOOKUP(A2089,'[1]Sales Order'!A:N,14,FALSE),"Not Specified")</f>
        <v>Brazil</v>
      </c>
      <c r="Q2089" t="str">
        <f>VLOOKUP(VLOOKUP(B2089,[1]Product!A:C,3,FALSE),[1]Supplier!A:B,2,FALSE)</f>
        <v>Supplier OAVQT</v>
      </c>
      <c r="R2089" t="str">
        <f>VLOOKUP(VLOOKUP(B2089,[1]Product!A:C,3,FALSE),[1]Supplier!A:I,9,FALSE)</f>
        <v>France</v>
      </c>
      <c r="S2089" t="str">
        <f>IFERROR(IF(VLOOKUP(A2089,'[1]Sales Order'!A:H,8,FALSE)&gt;100,"High Freight","Low Freight"),"Not Specified")</f>
        <v>Low Freight</v>
      </c>
      <c r="T2089">
        <f t="shared" si="65"/>
        <v>1190</v>
      </c>
    </row>
    <row r="2090" spans="1:20">
      <c r="A2090" s="1">
        <v>11060</v>
      </c>
      <c r="B2090" s="2">
        <v>60</v>
      </c>
      <c r="C2090" s="2">
        <v>34</v>
      </c>
      <c r="D2090" s="2">
        <v>4</v>
      </c>
      <c r="E2090" s="3">
        <v>0</v>
      </c>
      <c r="F2090" s="2" t="str">
        <f>IFERROR(VLOOKUP(VLOOKUP(A2090,'[1]Sales Order'!A:B,2,FALSE),[1]Customer!A:C,3,FALSE),"Not Specified")</f>
        <v>Schmöllerl, Martin</v>
      </c>
      <c r="G2090" s="2" t="str">
        <f t="shared" si="64"/>
        <v>Schmöllerl Martin</v>
      </c>
      <c r="H2090" s="8" t="str">
        <f>IFERROR(VLOOKUP(VLOOKUP(A2090,'[1]Sales Order'!A:C,3,FALSE),[1]Employee!A:E,5,FALSE)&amp;" "&amp;VLOOKUP(VLOOKUP(A2090,'[1]Sales Order'!A:C,3,FALSE),[1]Employee!A:C,3,FALSE)&amp;" "&amp;VLOOKUP(VLOOKUP(A2090,'[1]Sales Order'!A:C,3,FALSE),[1]Employee!A:B,2,FALSE),"Not Specified")</f>
        <v>Dr. Don Funk</v>
      </c>
      <c r="I2090" t="str">
        <f>IFERROR(VLOOKUP(VLOOKUP(A2090,'[1]Sales Order'!A:C,3,FALSE),[1]Employee!A:J,10,FALSE),"Not Specified")</f>
        <v>WA</v>
      </c>
      <c r="J2090" t="str">
        <f>VLOOKUP(B2090,[1]Product!A:B,2,FALSE)</f>
        <v>Product WHBYK</v>
      </c>
      <c r="K2090" t="str">
        <f>VLOOKUP(VLOOKUP(B2090,[1]Product!A:D,4,FALSE),[1]Category!A:B,2,FALSE)</f>
        <v>Dairy Product</v>
      </c>
      <c r="L2090" s="10">
        <f>IFERROR(VLOOKUP(A2090,'[1]Sales Order'!A:D,4,FALSE),"")</f>
        <v>39568</v>
      </c>
      <c r="M2090" s="10">
        <f>IFERROR(VLOOKUP(A2090,'[1]Sales Order'!A:F,6,FALSE),"")</f>
        <v>39572</v>
      </c>
      <c r="N2090" t="str">
        <f>IFERROR(VLOOKUP(VLOOKUP(A2090,'[1]Sales Order'!A:G,7,FALSE),[1]Shipper!A:B,2,FALSE),"Not Specified")</f>
        <v>Shipper ETYNR</v>
      </c>
      <c r="O2090" t="str">
        <f>IFERROR(VLOOKUP(A2090,'[1]Sales Order'!A:I,9,FALSE),"Not Specified")</f>
        <v>Destination DICGM</v>
      </c>
      <c r="P2090" t="str">
        <f>IFERROR(VLOOKUP(A2090,'[1]Sales Order'!A:N,14,FALSE),"Not Specified")</f>
        <v>Italy</v>
      </c>
      <c r="Q2090" t="str">
        <f>VLOOKUP(VLOOKUP(B2090,[1]Product!A:C,3,FALSE),[1]Supplier!A:B,2,FALSE)</f>
        <v>Supplier OAVQT</v>
      </c>
      <c r="R2090" t="str">
        <f>VLOOKUP(VLOOKUP(B2090,[1]Product!A:C,3,FALSE),[1]Supplier!A:I,9,FALSE)</f>
        <v>France</v>
      </c>
      <c r="S2090" t="str">
        <f>IFERROR(IF(VLOOKUP(A2090,'[1]Sales Order'!A:H,8,FALSE)&gt;100,"High Freight","Low Freight"),"Not Specified")</f>
        <v>Low Freight</v>
      </c>
      <c r="T2090">
        <f t="shared" si="65"/>
        <v>136</v>
      </c>
    </row>
    <row r="2091" spans="1:20">
      <c r="A2091" s="1">
        <v>11060</v>
      </c>
      <c r="B2091" s="2">
        <v>77</v>
      </c>
      <c r="C2091" s="2">
        <v>13</v>
      </c>
      <c r="D2091" s="2">
        <v>10</v>
      </c>
      <c r="E2091" s="3">
        <v>0</v>
      </c>
      <c r="F2091" s="2" t="str">
        <f>IFERROR(VLOOKUP(VLOOKUP(A2091,'[1]Sales Order'!A:B,2,FALSE),[1]Customer!A:C,3,FALSE),"Not Specified")</f>
        <v>Schmöllerl, Martin</v>
      </c>
      <c r="G2091" s="2" t="str">
        <f t="shared" si="64"/>
        <v>Schmöllerl Martin</v>
      </c>
      <c r="H2091" s="8" t="str">
        <f>IFERROR(VLOOKUP(VLOOKUP(A2091,'[1]Sales Order'!A:C,3,FALSE),[1]Employee!A:E,5,FALSE)&amp;" "&amp;VLOOKUP(VLOOKUP(A2091,'[1]Sales Order'!A:C,3,FALSE),[1]Employee!A:C,3,FALSE)&amp;" "&amp;VLOOKUP(VLOOKUP(A2091,'[1]Sales Order'!A:C,3,FALSE),[1]Employee!A:B,2,FALSE),"Not Specified")</f>
        <v>Dr. Don Funk</v>
      </c>
      <c r="I2091" t="str">
        <f>IFERROR(VLOOKUP(VLOOKUP(A2091,'[1]Sales Order'!A:C,3,FALSE),[1]Employee!A:J,10,FALSE),"Not Specified")</f>
        <v>WA</v>
      </c>
      <c r="J2091" t="str">
        <f>VLOOKUP(B2091,[1]Product!A:B,2,FALSE)</f>
        <v>Product LUNZZ</v>
      </c>
      <c r="K2091" t="str">
        <f>VLOOKUP(VLOOKUP(B2091,[1]Product!A:D,4,FALSE),[1]Category!A:B,2,FALSE)</f>
        <v>Condiments</v>
      </c>
      <c r="L2091" s="10">
        <f>IFERROR(VLOOKUP(A2091,'[1]Sales Order'!A:D,4,FALSE),"")</f>
        <v>39568</v>
      </c>
      <c r="M2091" s="10">
        <f>IFERROR(VLOOKUP(A2091,'[1]Sales Order'!A:F,6,FALSE),"")</f>
        <v>39572</v>
      </c>
      <c r="N2091" t="str">
        <f>IFERROR(VLOOKUP(VLOOKUP(A2091,'[1]Sales Order'!A:G,7,FALSE),[1]Shipper!A:B,2,FALSE),"Not Specified")</f>
        <v>Shipper ETYNR</v>
      </c>
      <c r="O2091" t="str">
        <f>IFERROR(VLOOKUP(A2091,'[1]Sales Order'!A:I,9,FALSE),"Not Specified")</f>
        <v>Destination DICGM</v>
      </c>
      <c r="P2091" t="str">
        <f>IFERROR(VLOOKUP(A2091,'[1]Sales Order'!A:N,14,FALSE),"Not Specified")</f>
        <v>Italy</v>
      </c>
      <c r="Q2091" t="str">
        <f>VLOOKUP(VLOOKUP(B2091,[1]Product!A:C,3,FALSE),[1]Supplier!A:B,2,FALSE)</f>
        <v>Supplier SVIYA</v>
      </c>
      <c r="R2091" t="str">
        <f>VLOOKUP(VLOOKUP(B2091,[1]Product!A:C,3,FALSE),[1]Supplier!A:I,9,FALSE)</f>
        <v>Germany</v>
      </c>
      <c r="S2091" t="str">
        <f>IFERROR(IF(VLOOKUP(A2091,'[1]Sales Order'!A:H,8,FALSE)&gt;100,"High Freight","Low Freight"),"Not Specified")</f>
        <v>Low Freight</v>
      </c>
      <c r="T2091">
        <f t="shared" si="65"/>
        <v>130</v>
      </c>
    </row>
    <row r="2092" spans="1:20">
      <c r="A2092" s="1">
        <v>11061</v>
      </c>
      <c r="B2092" s="2">
        <v>60</v>
      </c>
      <c r="C2092" s="2">
        <v>34</v>
      </c>
      <c r="D2092" s="2">
        <v>15</v>
      </c>
      <c r="E2092" s="3">
        <v>0</v>
      </c>
      <c r="F2092" s="2" t="str">
        <f>IFERROR(VLOOKUP(VLOOKUP(A2092,'[1]Sales Order'!A:B,2,FALSE),[1]Customer!A:C,3,FALSE),"Not Specified")</f>
        <v>Krishnan, Venky</v>
      </c>
      <c r="G2092" s="2" t="str">
        <f t="shared" si="64"/>
        <v>Krishnan Venky</v>
      </c>
      <c r="H2092" s="8" t="str">
        <f>IFERROR(VLOOKUP(VLOOKUP(A2092,'[1]Sales Order'!A:C,3,FALSE),[1]Employee!A:E,5,FALSE)&amp;" "&amp;VLOOKUP(VLOOKUP(A2092,'[1]Sales Order'!A:C,3,FALSE),[1]Employee!A:C,3,FALSE)&amp;" "&amp;VLOOKUP(VLOOKUP(A2092,'[1]Sales Order'!A:C,3,FALSE),[1]Employee!A:B,2,FALSE),"Not Specified")</f>
        <v>Mrs. Yael Peled</v>
      </c>
      <c r="I2092" t="str">
        <f>IFERROR(VLOOKUP(VLOOKUP(A2092,'[1]Sales Order'!A:C,3,FALSE),[1]Employee!A:J,10,FALSE),"Not Specified")</f>
        <v>WA</v>
      </c>
      <c r="J2092" t="str">
        <f>VLOOKUP(B2092,[1]Product!A:B,2,FALSE)</f>
        <v>Product WHBYK</v>
      </c>
      <c r="K2092" t="str">
        <f>VLOOKUP(VLOOKUP(B2092,[1]Product!A:D,4,FALSE),[1]Category!A:B,2,FALSE)</f>
        <v>Dairy Product</v>
      </c>
      <c r="L2092" s="10">
        <f>IFERROR(VLOOKUP(A2092,'[1]Sales Order'!A:D,4,FALSE),"")</f>
        <v>39568</v>
      </c>
      <c r="M2092" s="10">
        <f>IFERROR(VLOOKUP(A2092,'[1]Sales Order'!A:F,6,FALSE),"")</f>
        <v>0</v>
      </c>
      <c r="N2092" t="str">
        <f>IFERROR(VLOOKUP(VLOOKUP(A2092,'[1]Sales Order'!A:G,7,FALSE),[1]Shipper!A:B,2,FALSE),"Not Specified")</f>
        <v>Shipper ZHISN</v>
      </c>
      <c r="O2092" t="str">
        <f>IFERROR(VLOOKUP(A2092,'[1]Sales Order'!A:I,9,FALSE),"Not Specified")</f>
        <v>Destination VYOBK</v>
      </c>
      <c r="P2092" t="str">
        <f>IFERROR(VLOOKUP(A2092,'[1]Sales Order'!A:N,14,FALSE),"Not Specified")</f>
        <v>USA</v>
      </c>
      <c r="Q2092" t="str">
        <f>VLOOKUP(VLOOKUP(B2092,[1]Product!A:C,3,FALSE),[1]Supplier!A:B,2,FALSE)</f>
        <v>Supplier OAVQT</v>
      </c>
      <c r="R2092" t="str">
        <f>VLOOKUP(VLOOKUP(B2092,[1]Product!A:C,3,FALSE),[1]Supplier!A:I,9,FALSE)</f>
        <v>France</v>
      </c>
      <c r="S2092" t="str">
        <f>IFERROR(IF(VLOOKUP(A2092,'[1]Sales Order'!A:H,8,FALSE)&gt;100,"High Freight","Low Freight"),"Not Specified")</f>
        <v>Low Freight</v>
      </c>
      <c r="T2092">
        <f t="shared" si="65"/>
        <v>510</v>
      </c>
    </row>
    <row r="2093" spans="1:20">
      <c r="A2093" s="1">
        <v>11062</v>
      </c>
      <c r="B2093" s="2">
        <v>53</v>
      </c>
      <c r="C2093" s="2">
        <v>32.799999999999997</v>
      </c>
      <c r="D2093" s="2">
        <v>10</v>
      </c>
      <c r="E2093" s="3">
        <v>0.2</v>
      </c>
      <c r="F2093" s="2" t="str">
        <f>IFERROR(VLOOKUP(VLOOKUP(A2093,'[1]Sales Order'!A:B,2,FALSE),[1]Customer!A:C,3,FALSE),"Not Specified")</f>
        <v>Voss, Florian</v>
      </c>
      <c r="G2093" s="2" t="str">
        <f t="shared" si="64"/>
        <v>Voss Florian</v>
      </c>
      <c r="H2093" s="8" t="str">
        <f>IFERROR(VLOOKUP(VLOOKUP(A2093,'[1]Sales Order'!A:C,3,FALSE),[1]Employee!A:E,5,FALSE)&amp;" "&amp;VLOOKUP(VLOOKUP(A2093,'[1]Sales Order'!A:C,3,FALSE),[1]Employee!A:C,3,FALSE)&amp;" "&amp;VLOOKUP(VLOOKUP(A2093,'[1]Sales Order'!A:C,3,FALSE),[1]Employee!A:B,2,FALSE),"Not Specified")</f>
        <v>Mrs. Yael Peled</v>
      </c>
      <c r="I2093" t="str">
        <f>IFERROR(VLOOKUP(VLOOKUP(A2093,'[1]Sales Order'!A:C,3,FALSE),[1]Employee!A:J,10,FALSE),"Not Specified")</f>
        <v>WA</v>
      </c>
      <c r="J2093" t="str">
        <f>VLOOKUP(B2093,[1]Product!A:B,2,FALSE)</f>
        <v>Product BKGEA</v>
      </c>
      <c r="K2093" t="str">
        <f>VLOOKUP(VLOOKUP(B2093,[1]Product!A:D,4,FALSE),[1]Category!A:B,2,FALSE)</f>
        <v>Meat/Poultry</v>
      </c>
      <c r="L2093" s="10">
        <f>IFERROR(VLOOKUP(A2093,'[1]Sales Order'!A:D,4,FALSE),"")</f>
        <v>39568</v>
      </c>
      <c r="M2093" s="10">
        <f>IFERROR(VLOOKUP(A2093,'[1]Sales Order'!A:F,6,FALSE),"")</f>
        <v>0</v>
      </c>
      <c r="N2093" t="str">
        <f>IFERROR(VLOOKUP(VLOOKUP(A2093,'[1]Sales Order'!A:G,7,FALSE),[1]Shipper!A:B,2,FALSE),"Not Specified")</f>
        <v>Shipper ETYNR</v>
      </c>
      <c r="O2093" t="str">
        <f>IFERROR(VLOOKUP(A2093,'[1]Sales Order'!A:I,9,FALSE),"Not Specified")</f>
        <v>Ship to 66-B</v>
      </c>
      <c r="P2093" t="str">
        <f>IFERROR(VLOOKUP(A2093,'[1]Sales Order'!A:N,14,FALSE),"Not Specified")</f>
        <v>Italy</v>
      </c>
      <c r="Q2093" t="str">
        <f>VLOOKUP(VLOOKUP(B2093,[1]Product!A:C,3,FALSE),[1]Supplier!A:B,2,FALSE)</f>
        <v>Supplier JNNES</v>
      </c>
      <c r="R2093" t="str">
        <f>VLOOKUP(VLOOKUP(B2093,[1]Product!A:C,3,FALSE),[1]Supplier!A:I,9,FALSE)</f>
        <v>Australia</v>
      </c>
      <c r="S2093" t="str">
        <f>IFERROR(IF(VLOOKUP(A2093,'[1]Sales Order'!A:H,8,FALSE)&gt;100,"High Freight","Low Freight"),"Not Specified")</f>
        <v>Low Freight</v>
      </c>
      <c r="T2093">
        <f t="shared" si="65"/>
        <v>262.40000000000003</v>
      </c>
    </row>
    <row r="2094" spans="1:20">
      <c r="A2094" s="1">
        <v>11062</v>
      </c>
      <c r="B2094" s="2">
        <v>70</v>
      </c>
      <c r="C2094" s="2">
        <v>15</v>
      </c>
      <c r="D2094" s="2">
        <v>12</v>
      </c>
      <c r="E2094" s="3">
        <v>0.2</v>
      </c>
      <c r="F2094" s="2" t="str">
        <f>IFERROR(VLOOKUP(VLOOKUP(A2094,'[1]Sales Order'!A:B,2,FALSE),[1]Customer!A:C,3,FALSE),"Not Specified")</f>
        <v>Voss, Florian</v>
      </c>
      <c r="G2094" s="2" t="str">
        <f t="shared" si="64"/>
        <v>Voss Florian</v>
      </c>
      <c r="H2094" s="8" t="str">
        <f>IFERROR(VLOOKUP(VLOOKUP(A2094,'[1]Sales Order'!A:C,3,FALSE),[1]Employee!A:E,5,FALSE)&amp;" "&amp;VLOOKUP(VLOOKUP(A2094,'[1]Sales Order'!A:C,3,FALSE),[1]Employee!A:C,3,FALSE)&amp;" "&amp;VLOOKUP(VLOOKUP(A2094,'[1]Sales Order'!A:C,3,FALSE),[1]Employee!A:B,2,FALSE),"Not Specified")</f>
        <v>Mrs. Yael Peled</v>
      </c>
      <c r="I2094" t="str">
        <f>IFERROR(VLOOKUP(VLOOKUP(A2094,'[1]Sales Order'!A:C,3,FALSE),[1]Employee!A:J,10,FALSE),"Not Specified")</f>
        <v>WA</v>
      </c>
      <c r="J2094" t="str">
        <f>VLOOKUP(B2094,[1]Product!A:B,2,FALSE)</f>
        <v>Product TOONT</v>
      </c>
      <c r="K2094" t="str">
        <f>VLOOKUP(VLOOKUP(B2094,[1]Product!A:D,4,FALSE),[1]Category!A:B,2,FALSE)</f>
        <v>Beverages</v>
      </c>
      <c r="L2094" s="10">
        <f>IFERROR(VLOOKUP(A2094,'[1]Sales Order'!A:D,4,FALSE),"")</f>
        <v>39568</v>
      </c>
      <c r="M2094" s="10">
        <f>IFERROR(VLOOKUP(A2094,'[1]Sales Order'!A:F,6,FALSE),"")</f>
        <v>0</v>
      </c>
      <c r="N2094" t="str">
        <f>IFERROR(VLOOKUP(VLOOKUP(A2094,'[1]Sales Order'!A:G,7,FALSE),[1]Shipper!A:B,2,FALSE),"Not Specified")</f>
        <v>Shipper ETYNR</v>
      </c>
      <c r="O2094" t="str">
        <f>IFERROR(VLOOKUP(A2094,'[1]Sales Order'!A:I,9,FALSE),"Not Specified")</f>
        <v>Ship to 66-B</v>
      </c>
      <c r="P2094" t="str">
        <f>IFERROR(VLOOKUP(A2094,'[1]Sales Order'!A:N,14,FALSE),"Not Specified")</f>
        <v>Italy</v>
      </c>
      <c r="Q2094" t="str">
        <f>VLOOKUP(VLOOKUP(B2094,[1]Product!A:C,3,FALSE),[1]Supplier!A:B,2,FALSE)</f>
        <v>Supplier GQRCV</v>
      </c>
      <c r="R2094" t="str">
        <f>VLOOKUP(VLOOKUP(B2094,[1]Product!A:C,3,FALSE),[1]Supplier!A:I,9,FALSE)</f>
        <v>Australia</v>
      </c>
      <c r="S2094" t="str">
        <f>IFERROR(IF(VLOOKUP(A2094,'[1]Sales Order'!A:H,8,FALSE)&gt;100,"High Freight","Low Freight"),"Not Specified")</f>
        <v>Low Freight</v>
      </c>
      <c r="T2094">
        <f t="shared" si="65"/>
        <v>144</v>
      </c>
    </row>
    <row r="2095" spans="1:20">
      <c r="A2095" s="1">
        <v>11063</v>
      </c>
      <c r="B2095" s="2">
        <v>34</v>
      </c>
      <c r="C2095" s="2">
        <v>14</v>
      </c>
      <c r="D2095" s="2">
        <v>30</v>
      </c>
      <c r="E2095" s="3">
        <v>0</v>
      </c>
      <c r="F2095" s="2" t="str">
        <f>IFERROR(VLOOKUP(VLOOKUP(A2095,'[1]Sales Order'!A:B,2,FALSE),[1]Customer!A:C,3,FALSE),"Not Specified")</f>
        <v>Crăciun, Ovidiu V.</v>
      </c>
      <c r="G2095" s="2" t="str">
        <f t="shared" si="64"/>
        <v>Crăciun Ovidiu V.</v>
      </c>
      <c r="H2095" s="8" t="str">
        <f>IFERROR(VLOOKUP(VLOOKUP(A2095,'[1]Sales Order'!A:C,3,FALSE),[1]Employee!A:E,5,FALSE)&amp;" "&amp;VLOOKUP(VLOOKUP(A2095,'[1]Sales Order'!A:C,3,FALSE),[1]Employee!A:C,3,FALSE)&amp;" "&amp;VLOOKUP(VLOOKUP(A2095,'[1]Sales Order'!A:C,3,FALSE),[1]Employee!A:B,2,FALSE),"Not Specified")</f>
        <v>Ms. Judy Lew</v>
      </c>
      <c r="I2095" t="str">
        <f>IFERROR(VLOOKUP(VLOOKUP(A2095,'[1]Sales Order'!A:C,3,FALSE),[1]Employee!A:J,10,FALSE),"Not Specified")</f>
        <v>WA</v>
      </c>
      <c r="J2095" t="str">
        <f>VLOOKUP(B2095,[1]Product!A:B,2,FALSE)</f>
        <v>Product SWNJY</v>
      </c>
      <c r="K2095" t="str">
        <f>VLOOKUP(VLOOKUP(B2095,[1]Product!A:D,4,FALSE),[1]Category!A:B,2,FALSE)</f>
        <v>Beverages</v>
      </c>
      <c r="L2095" s="10">
        <f>IFERROR(VLOOKUP(A2095,'[1]Sales Order'!A:D,4,FALSE),"")</f>
        <v>39568</v>
      </c>
      <c r="M2095" s="10">
        <f>IFERROR(VLOOKUP(A2095,'[1]Sales Order'!A:F,6,FALSE),"")</f>
        <v>39574</v>
      </c>
      <c r="N2095" t="str">
        <f>IFERROR(VLOOKUP(VLOOKUP(A2095,'[1]Sales Order'!A:G,7,FALSE),[1]Shipper!A:B,2,FALSE),"Not Specified")</f>
        <v>Shipper ETYNR</v>
      </c>
      <c r="O2095" t="str">
        <f>IFERROR(VLOOKUP(A2095,'[1]Sales Order'!A:I,9,FALSE),"Not Specified")</f>
        <v>Destination KPVYJ</v>
      </c>
      <c r="P2095" t="str">
        <f>IFERROR(VLOOKUP(A2095,'[1]Sales Order'!A:N,14,FALSE),"Not Specified")</f>
        <v>Ireland</v>
      </c>
      <c r="Q2095" t="str">
        <f>VLOOKUP(VLOOKUP(B2095,[1]Product!A:C,3,FALSE),[1]Supplier!A:B,2,FALSE)</f>
        <v>Supplier UHZRG</v>
      </c>
      <c r="R2095" t="str">
        <f>VLOOKUP(VLOOKUP(B2095,[1]Product!A:C,3,FALSE),[1]Supplier!A:I,9,FALSE)</f>
        <v>USA</v>
      </c>
      <c r="S2095" t="str">
        <f>IFERROR(IF(VLOOKUP(A2095,'[1]Sales Order'!A:H,8,FALSE)&gt;100,"High Freight","Low Freight"),"Not Specified")</f>
        <v>Low Freight</v>
      </c>
      <c r="T2095">
        <f t="shared" si="65"/>
        <v>420</v>
      </c>
    </row>
    <row r="2096" spans="1:20">
      <c r="A2096" s="1">
        <v>11063</v>
      </c>
      <c r="B2096" s="2">
        <v>40</v>
      </c>
      <c r="C2096" s="2">
        <v>18.399999999999999</v>
      </c>
      <c r="D2096" s="2">
        <v>40</v>
      </c>
      <c r="E2096" s="3">
        <v>0.1</v>
      </c>
      <c r="F2096" s="2" t="str">
        <f>IFERROR(VLOOKUP(VLOOKUP(A2096,'[1]Sales Order'!A:B,2,FALSE),[1]Customer!A:C,3,FALSE),"Not Specified")</f>
        <v>Crăciun, Ovidiu V.</v>
      </c>
      <c r="G2096" s="2" t="str">
        <f t="shared" si="64"/>
        <v>Crăciun Ovidiu V.</v>
      </c>
      <c r="H2096" s="8" t="str">
        <f>IFERROR(VLOOKUP(VLOOKUP(A2096,'[1]Sales Order'!A:C,3,FALSE),[1]Employee!A:E,5,FALSE)&amp;" "&amp;VLOOKUP(VLOOKUP(A2096,'[1]Sales Order'!A:C,3,FALSE),[1]Employee!A:C,3,FALSE)&amp;" "&amp;VLOOKUP(VLOOKUP(A2096,'[1]Sales Order'!A:C,3,FALSE),[1]Employee!A:B,2,FALSE),"Not Specified")</f>
        <v>Ms. Judy Lew</v>
      </c>
      <c r="I2096" t="str">
        <f>IFERROR(VLOOKUP(VLOOKUP(A2096,'[1]Sales Order'!A:C,3,FALSE),[1]Employee!A:J,10,FALSE),"Not Specified")</f>
        <v>WA</v>
      </c>
      <c r="J2096" t="str">
        <f>VLOOKUP(B2096,[1]Product!A:B,2,FALSE)</f>
        <v>Product YZIXQ</v>
      </c>
      <c r="K2096" t="str">
        <f>VLOOKUP(VLOOKUP(B2096,[1]Product!A:D,4,FALSE),[1]Category!A:B,2,FALSE)</f>
        <v>Seafood</v>
      </c>
      <c r="L2096" s="10">
        <f>IFERROR(VLOOKUP(A2096,'[1]Sales Order'!A:D,4,FALSE),"")</f>
        <v>39568</v>
      </c>
      <c r="M2096" s="10">
        <f>IFERROR(VLOOKUP(A2096,'[1]Sales Order'!A:F,6,FALSE),"")</f>
        <v>39574</v>
      </c>
      <c r="N2096" t="str">
        <f>IFERROR(VLOOKUP(VLOOKUP(A2096,'[1]Sales Order'!A:G,7,FALSE),[1]Shipper!A:B,2,FALSE),"Not Specified")</f>
        <v>Shipper ETYNR</v>
      </c>
      <c r="O2096" t="str">
        <f>IFERROR(VLOOKUP(A2096,'[1]Sales Order'!A:I,9,FALSE),"Not Specified")</f>
        <v>Destination KPVYJ</v>
      </c>
      <c r="P2096" t="str">
        <f>IFERROR(VLOOKUP(A2096,'[1]Sales Order'!A:N,14,FALSE),"Not Specified")</f>
        <v>Ireland</v>
      </c>
      <c r="Q2096" t="str">
        <f>VLOOKUP(VLOOKUP(B2096,[1]Product!A:C,3,FALSE),[1]Supplier!A:B,2,FALSE)</f>
        <v>Supplier JDNUG</v>
      </c>
      <c r="R2096" t="str">
        <f>VLOOKUP(VLOOKUP(B2096,[1]Product!A:C,3,FALSE),[1]Supplier!A:I,9,FALSE)</f>
        <v>USA</v>
      </c>
      <c r="S2096" t="str">
        <f>IFERROR(IF(VLOOKUP(A2096,'[1]Sales Order'!A:H,8,FALSE)&gt;100,"High Freight","Low Freight"),"Not Specified")</f>
        <v>Low Freight</v>
      </c>
      <c r="T2096">
        <f t="shared" si="65"/>
        <v>662.4</v>
      </c>
    </row>
    <row r="2097" spans="1:20">
      <c r="A2097" s="1">
        <v>11063</v>
      </c>
      <c r="B2097" s="2">
        <v>41</v>
      </c>
      <c r="C2097" s="2">
        <v>9.65</v>
      </c>
      <c r="D2097" s="2">
        <v>30</v>
      </c>
      <c r="E2097" s="3">
        <v>0.1</v>
      </c>
      <c r="F2097" s="2" t="str">
        <f>IFERROR(VLOOKUP(VLOOKUP(A2097,'[1]Sales Order'!A:B,2,FALSE),[1]Customer!A:C,3,FALSE),"Not Specified")</f>
        <v>Crăciun, Ovidiu V.</v>
      </c>
      <c r="G2097" s="2" t="str">
        <f t="shared" si="64"/>
        <v>Crăciun Ovidiu V.</v>
      </c>
      <c r="H2097" s="8" t="str">
        <f>IFERROR(VLOOKUP(VLOOKUP(A2097,'[1]Sales Order'!A:C,3,FALSE),[1]Employee!A:E,5,FALSE)&amp;" "&amp;VLOOKUP(VLOOKUP(A2097,'[1]Sales Order'!A:C,3,FALSE),[1]Employee!A:C,3,FALSE)&amp;" "&amp;VLOOKUP(VLOOKUP(A2097,'[1]Sales Order'!A:C,3,FALSE),[1]Employee!A:B,2,FALSE),"Not Specified")</f>
        <v>Ms. Judy Lew</v>
      </c>
      <c r="I2097" t="str">
        <f>IFERROR(VLOOKUP(VLOOKUP(A2097,'[1]Sales Order'!A:C,3,FALSE),[1]Employee!A:J,10,FALSE),"Not Specified")</f>
        <v>WA</v>
      </c>
      <c r="J2097" t="str">
        <f>VLOOKUP(B2097,[1]Product!A:B,2,FALSE)</f>
        <v>Product TTEEX</v>
      </c>
      <c r="K2097" t="str">
        <f>VLOOKUP(VLOOKUP(B2097,[1]Product!A:D,4,FALSE),[1]Category!A:B,2,FALSE)</f>
        <v>Seafood</v>
      </c>
      <c r="L2097" s="10">
        <f>IFERROR(VLOOKUP(A2097,'[1]Sales Order'!A:D,4,FALSE),"")</f>
        <v>39568</v>
      </c>
      <c r="M2097" s="10">
        <f>IFERROR(VLOOKUP(A2097,'[1]Sales Order'!A:F,6,FALSE),"")</f>
        <v>39574</v>
      </c>
      <c r="N2097" t="str">
        <f>IFERROR(VLOOKUP(VLOOKUP(A2097,'[1]Sales Order'!A:G,7,FALSE),[1]Shipper!A:B,2,FALSE),"Not Specified")</f>
        <v>Shipper ETYNR</v>
      </c>
      <c r="O2097" t="str">
        <f>IFERROR(VLOOKUP(A2097,'[1]Sales Order'!A:I,9,FALSE),"Not Specified")</f>
        <v>Destination KPVYJ</v>
      </c>
      <c r="P2097" t="str">
        <f>IFERROR(VLOOKUP(A2097,'[1]Sales Order'!A:N,14,FALSE),"Not Specified")</f>
        <v>Ireland</v>
      </c>
      <c r="Q2097" t="str">
        <f>VLOOKUP(VLOOKUP(B2097,[1]Product!A:C,3,FALSE),[1]Supplier!A:B,2,FALSE)</f>
        <v>Supplier JDNUG</v>
      </c>
      <c r="R2097" t="str">
        <f>VLOOKUP(VLOOKUP(B2097,[1]Product!A:C,3,FALSE),[1]Supplier!A:I,9,FALSE)</f>
        <v>USA</v>
      </c>
      <c r="S2097" t="str">
        <f>IFERROR(IF(VLOOKUP(A2097,'[1]Sales Order'!A:H,8,FALSE)&gt;100,"High Freight","Low Freight"),"Not Specified")</f>
        <v>Low Freight</v>
      </c>
      <c r="T2097">
        <f t="shared" si="65"/>
        <v>260.55</v>
      </c>
    </row>
    <row r="2098" spans="1:20">
      <c r="A2098" s="1">
        <v>11064</v>
      </c>
      <c r="B2098" s="2">
        <v>17</v>
      </c>
      <c r="C2098" s="2">
        <v>39</v>
      </c>
      <c r="D2098" s="2">
        <v>77</v>
      </c>
      <c r="E2098" s="3">
        <v>0.1</v>
      </c>
      <c r="F2098" s="2" t="str">
        <f>IFERROR(VLOOKUP(VLOOKUP(A2098,'[1]Sales Order'!A:B,2,FALSE),[1]Customer!A:C,3,FALSE),"Not Specified")</f>
        <v>Navarro, Tomás</v>
      </c>
      <c r="G2098" s="2" t="str">
        <f t="shared" si="64"/>
        <v>Navarro Tomás</v>
      </c>
      <c r="H2098" s="8" t="str">
        <f>IFERROR(VLOOKUP(VLOOKUP(A2098,'[1]Sales Order'!A:C,3,FALSE),[1]Employee!A:E,5,FALSE)&amp;" "&amp;VLOOKUP(VLOOKUP(A2098,'[1]Sales Order'!A:C,3,FALSE),[1]Employee!A:C,3,FALSE)&amp;" "&amp;VLOOKUP(VLOOKUP(A2098,'[1]Sales Order'!A:C,3,FALSE),[1]Employee!A:B,2,FALSE),"Not Specified")</f>
        <v>Ms. Sara Davis</v>
      </c>
      <c r="I2098" t="str">
        <f>IFERROR(VLOOKUP(VLOOKUP(A2098,'[1]Sales Order'!A:C,3,FALSE),[1]Employee!A:J,10,FALSE),"Not Specified")</f>
        <v>WA</v>
      </c>
      <c r="J2098" t="str">
        <f>VLOOKUP(B2098,[1]Product!A:B,2,FALSE)</f>
        <v>Product BLCAX</v>
      </c>
      <c r="K2098" t="str">
        <f>VLOOKUP(VLOOKUP(B2098,[1]Product!A:D,4,FALSE),[1]Category!A:B,2,FALSE)</f>
        <v>Meat/Poultry</v>
      </c>
      <c r="L2098" s="10">
        <f>IFERROR(VLOOKUP(A2098,'[1]Sales Order'!A:D,4,FALSE),"")</f>
        <v>39569</v>
      </c>
      <c r="M2098" s="10">
        <f>IFERROR(VLOOKUP(A2098,'[1]Sales Order'!A:F,6,FALSE),"")</f>
        <v>39572</v>
      </c>
      <c r="N2098" t="str">
        <f>IFERROR(VLOOKUP(VLOOKUP(A2098,'[1]Sales Order'!A:G,7,FALSE),[1]Shipper!A:B,2,FALSE),"Not Specified")</f>
        <v>Shipper GVSUA</v>
      </c>
      <c r="O2098" t="str">
        <f>IFERROR(VLOOKUP(A2098,'[1]Sales Order'!A:I,9,FALSE),"Not Specified")</f>
        <v>Ship to 71-C</v>
      </c>
      <c r="P2098" t="str">
        <f>IFERROR(VLOOKUP(A2098,'[1]Sales Order'!A:N,14,FALSE),"Not Specified")</f>
        <v>USA</v>
      </c>
      <c r="Q2098" t="str">
        <f>VLOOKUP(VLOOKUP(B2098,[1]Product!A:C,3,FALSE),[1]Supplier!A:B,2,FALSE)</f>
        <v>Supplier GQRCV</v>
      </c>
      <c r="R2098" t="str">
        <f>VLOOKUP(VLOOKUP(B2098,[1]Product!A:C,3,FALSE),[1]Supplier!A:I,9,FALSE)</f>
        <v>Australia</v>
      </c>
      <c r="S2098" t="str">
        <f>IFERROR(IF(VLOOKUP(A2098,'[1]Sales Order'!A:H,8,FALSE)&gt;100,"High Freight","Low Freight"),"Not Specified")</f>
        <v>Low Freight</v>
      </c>
      <c r="T2098">
        <f t="shared" si="65"/>
        <v>2702.7000000000003</v>
      </c>
    </row>
    <row r="2099" spans="1:20">
      <c r="A2099" s="1">
        <v>11064</v>
      </c>
      <c r="B2099" s="2">
        <v>41</v>
      </c>
      <c r="C2099" s="2">
        <v>9.65</v>
      </c>
      <c r="D2099" s="2">
        <v>12</v>
      </c>
      <c r="E2099" s="3">
        <v>0</v>
      </c>
      <c r="F2099" s="2" t="str">
        <f>IFERROR(VLOOKUP(VLOOKUP(A2099,'[1]Sales Order'!A:B,2,FALSE),[1]Customer!A:C,3,FALSE),"Not Specified")</f>
        <v>Navarro, Tomás</v>
      </c>
      <c r="G2099" s="2" t="str">
        <f t="shared" si="64"/>
        <v>Navarro Tomás</v>
      </c>
      <c r="H2099" s="8" t="str">
        <f>IFERROR(VLOOKUP(VLOOKUP(A2099,'[1]Sales Order'!A:C,3,FALSE),[1]Employee!A:E,5,FALSE)&amp;" "&amp;VLOOKUP(VLOOKUP(A2099,'[1]Sales Order'!A:C,3,FALSE),[1]Employee!A:C,3,FALSE)&amp;" "&amp;VLOOKUP(VLOOKUP(A2099,'[1]Sales Order'!A:C,3,FALSE),[1]Employee!A:B,2,FALSE),"Not Specified")</f>
        <v>Ms. Sara Davis</v>
      </c>
      <c r="I2099" t="str">
        <f>IFERROR(VLOOKUP(VLOOKUP(A2099,'[1]Sales Order'!A:C,3,FALSE),[1]Employee!A:J,10,FALSE),"Not Specified")</f>
        <v>WA</v>
      </c>
      <c r="J2099" t="str">
        <f>VLOOKUP(B2099,[1]Product!A:B,2,FALSE)</f>
        <v>Product TTEEX</v>
      </c>
      <c r="K2099" t="str">
        <f>VLOOKUP(VLOOKUP(B2099,[1]Product!A:D,4,FALSE),[1]Category!A:B,2,FALSE)</f>
        <v>Seafood</v>
      </c>
      <c r="L2099" s="10">
        <f>IFERROR(VLOOKUP(A2099,'[1]Sales Order'!A:D,4,FALSE),"")</f>
        <v>39569</v>
      </c>
      <c r="M2099" s="10">
        <f>IFERROR(VLOOKUP(A2099,'[1]Sales Order'!A:F,6,FALSE),"")</f>
        <v>39572</v>
      </c>
      <c r="N2099" t="str">
        <f>IFERROR(VLOOKUP(VLOOKUP(A2099,'[1]Sales Order'!A:G,7,FALSE),[1]Shipper!A:B,2,FALSE),"Not Specified")</f>
        <v>Shipper GVSUA</v>
      </c>
      <c r="O2099" t="str">
        <f>IFERROR(VLOOKUP(A2099,'[1]Sales Order'!A:I,9,FALSE),"Not Specified")</f>
        <v>Ship to 71-C</v>
      </c>
      <c r="P2099" t="str">
        <f>IFERROR(VLOOKUP(A2099,'[1]Sales Order'!A:N,14,FALSE),"Not Specified")</f>
        <v>USA</v>
      </c>
      <c r="Q2099" t="str">
        <f>VLOOKUP(VLOOKUP(B2099,[1]Product!A:C,3,FALSE),[1]Supplier!A:B,2,FALSE)</f>
        <v>Supplier JDNUG</v>
      </c>
      <c r="R2099" t="str">
        <f>VLOOKUP(VLOOKUP(B2099,[1]Product!A:C,3,FALSE),[1]Supplier!A:I,9,FALSE)</f>
        <v>USA</v>
      </c>
      <c r="S2099" t="str">
        <f>IFERROR(IF(VLOOKUP(A2099,'[1]Sales Order'!A:H,8,FALSE)&gt;100,"High Freight","Low Freight"),"Not Specified")</f>
        <v>Low Freight</v>
      </c>
      <c r="T2099">
        <f t="shared" si="65"/>
        <v>115.80000000000001</v>
      </c>
    </row>
    <row r="2100" spans="1:20">
      <c r="A2100" s="1">
        <v>11064</v>
      </c>
      <c r="B2100" s="2">
        <v>53</v>
      </c>
      <c r="C2100" s="2">
        <v>32.799999999999997</v>
      </c>
      <c r="D2100" s="2">
        <v>25</v>
      </c>
      <c r="E2100" s="3">
        <v>0.1</v>
      </c>
      <c r="F2100" s="2" t="str">
        <f>IFERROR(VLOOKUP(VLOOKUP(A2100,'[1]Sales Order'!A:B,2,FALSE),[1]Customer!A:C,3,FALSE),"Not Specified")</f>
        <v>Navarro, Tomás</v>
      </c>
      <c r="G2100" s="2" t="str">
        <f t="shared" si="64"/>
        <v>Navarro Tomás</v>
      </c>
      <c r="H2100" s="8" t="str">
        <f>IFERROR(VLOOKUP(VLOOKUP(A2100,'[1]Sales Order'!A:C,3,FALSE),[1]Employee!A:E,5,FALSE)&amp;" "&amp;VLOOKUP(VLOOKUP(A2100,'[1]Sales Order'!A:C,3,FALSE),[1]Employee!A:C,3,FALSE)&amp;" "&amp;VLOOKUP(VLOOKUP(A2100,'[1]Sales Order'!A:C,3,FALSE),[1]Employee!A:B,2,FALSE),"Not Specified")</f>
        <v>Ms. Sara Davis</v>
      </c>
      <c r="I2100" t="str">
        <f>IFERROR(VLOOKUP(VLOOKUP(A2100,'[1]Sales Order'!A:C,3,FALSE),[1]Employee!A:J,10,FALSE),"Not Specified")</f>
        <v>WA</v>
      </c>
      <c r="J2100" t="str">
        <f>VLOOKUP(B2100,[1]Product!A:B,2,FALSE)</f>
        <v>Product BKGEA</v>
      </c>
      <c r="K2100" t="str">
        <f>VLOOKUP(VLOOKUP(B2100,[1]Product!A:D,4,FALSE),[1]Category!A:B,2,FALSE)</f>
        <v>Meat/Poultry</v>
      </c>
      <c r="L2100" s="10">
        <f>IFERROR(VLOOKUP(A2100,'[1]Sales Order'!A:D,4,FALSE),"")</f>
        <v>39569</v>
      </c>
      <c r="M2100" s="10">
        <f>IFERROR(VLOOKUP(A2100,'[1]Sales Order'!A:F,6,FALSE),"")</f>
        <v>39572</v>
      </c>
      <c r="N2100" t="str">
        <f>IFERROR(VLOOKUP(VLOOKUP(A2100,'[1]Sales Order'!A:G,7,FALSE),[1]Shipper!A:B,2,FALSE),"Not Specified")</f>
        <v>Shipper GVSUA</v>
      </c>
      <c r="O2100" t="str">
        <f>IFERROR(VLOOKUP(A2100,'[1]Sales Order'!A:I,9,FALSE),"Not Specified")</f>
        <v>Ship to 71-C</v>
      </c>
      <c r="P2100" t="str">
        <f>IFERROR(VLOOKUP(A2100,'[1]Sales Order'!A:N,14,FALSE),"Not Specified")</f>
        <v>USA</v>
      </c>
      <c r="Q2100" t="str">
        <f>VLOOKUP(VLOOKUP(B2100,[1]Product!A:C,3,FALSE),[1]Supplier!A:B,2,FALSE)</f>
        <v>Supplier JNNES</v>
      </c>
      <c r="R2100" t="str">
        <f>VLOOKUP(VLOOKUP(B2100,[1]Product!A:C,3,FALSE),[1]Supplier!A:I,9,FALSE)</f>
        <v>Australia</v>
      </c>
      <c r="S2100" t="str">
        <f>IFERROR(IF(VLOOKUP(A2100,'[1]Sales Order'!A:H,8,FALSE)&gt;100,"High Freight","Low Freight"),"Not Specified")</f>
        <v>Low Freight</v>
      </c>
      <c r="T2100">
        <f t="shared" si="65"/>
        <v>737.99999999999989</v>
      </c>
    </row>
    <row r="2101" spans="1:20">
      <c r="A2101" s="1">
        <v>11064</v>
      </c>
      <c r="B2101" s="2">
        <v>55</v>
      </c>
      <c r="C2101" s="2">
        <v>24</v>
      </c>
      <c r="D2101" s="2">
        <v>4</v>
      </c>
      <c r="E2101" s="3">
        <v>0.1</v>
      </c>
      <c r="F2101" s="2" t="str">
        <f>IFERROR(VLOOKUP(VLOOKUP(A2101,'[1]Sales Order'!A:B,2,FALSE),[1]Customer!A:C,3,FALSE),"Not Specified")</f>
        <v>Navarro, Tomás</v>
      </c>
      <c r="G2101" s="2" t="str">
        <f t="shared" si="64"/>
        <v>Navarro Tomás</v>
      </c>
      <c r="H2101" s="8" t="str">
        <f>IFERROR(VLOOKUP(VLOOKUP(A2101,'[1]Sales Order'!A:C,3,FALSE),[1]Employee!A:E,5,FALSE)&amp;" "&amp;VLOOKUP(VLOOKUP(A2101,'[1]Sales Order'!A:C,3,FALSE),[1]Employee!A:C,3,FALSE)&amp;" "&amp;VLOOKUP(VLOOKUP(A2101,'[1]Sales Order'!A:C,3,FALSE),[1]Employee!A:B,2,FALSE),"Not Specified")</f>
        <v>Ms. Sara Davis</v>
      </c>
      <c r="I2101" t="str">
        <f>IFERROR(VLOOKUP(VLOOKUP(A2101,'[1]Sales Order'!A:C,3,FALSE),[1]Employee!A:J,10,FALSE),"Not Specified")</f>
        <v>WA</v>
      </c>
      <c r="J2101" t="str">
        <f>VLOOKUP(B2101,[1]Product!A:B,2,FALSE)</f>
        <v>Product YYWRT</v>
      </c>
      <c r="K2101" t="str">
        <f>VLOOKUP(VLOOKUP(B2101,[1]Product!A:D,4,FALSE),[1]Category!A:B,2,FALSE)</f>
        <v>Meat/Poultry</v>
      </c>
      <c r="L2101" s="10">
        <f>IFERROR(VLOOKUP(A2101,'[1]Sales Order'!A:D,4,FALSE),"")</f>
        <v>39569</v>
      </c>
      <c r="M2101" s="10">
        <f>IFERROR(VLOOKUP(A2101,'[1]Sales Order'!A:F,6,FALSE),"")</f>
        <v>39572</v>
      </c>
      <c r="N2101" t="str">
        <f>IFERROR(VLOOKUP(VLOOKUP(A2101,'[1]Sales Order'!A:G,7,FALSE),[1]Shipper!A:B,2,FALSE),"Not Specified")</f>
        <v>Shipper GVSUA</v>
      </c>
      <c r="O2101" t="str">
        <f>IFERROR(VLOOKUP(A2101,'[1]Sales Order'!A:I,9,FALSE),"Not Specified")</f>
        <v>Ship to 71-C</v>
      </c>
      <c r="P2101" t="str">
        <f>IFERROR(VLOOKUP(A2101,'[1]Sales Order'!A:N,14,FALSE),"Not Specified")</f>
        <v>USA</v>
      </c>
      <c r="Q2101" t="str">
        <f>VLOOKUP(VLOOKUP(B2101,[1]Product!A:C,3,FALSE),[1]Supplier!A:B,2,FALSE)</f>
        <v>Supplier ERVYZ</v>
      </c>
      <c r="R2101" t="str">
        <f>VLOOKUP(VLOOKUP(B2101,[1]Product!A:C,3,FALSE),[1]Supplier!A:I,9,FALSE)</f>
        <v>Canada</v>
      </c>
      <c r="S2101" t="str">
        <f>IFERROR(IF(VLOOKUP(A2101,'[1]Sales Order'!A:H,8,FALSE)&gt;100,"High Freight","Low Freight"),"Not Specified")</f>
        <v>Low Freight</v>
      </c>
      <c r="T2101">
        <f t="shared" si="65"/>
        <v>86.4</v>
      </c>
    </row>
    <row r="2102" spans="1:20">
      <c r="A2102" s="1">
        <v>11064</v>
      </c>
      <c r="B2102" s="2">
        <v>68</v>
      </c>
      <c r="C2102" s="2">
        <v>12.5</v>
      </c>
      <c r="D2102" s="2">
        <v>55</v>
      </c>
      <c r="E2102" s="3">
        <v>0</v>
      </c>
      <c r="F2102" s="2" t="str">
        <f>IFERROR(VLOOKUP(VLOOKUP(A2102,'[1]Sales Order'!A:B,2,FALSE),[1]Customer!A:C,3,FALSE),"Not Specified")</f>
        <v>Navarro, Tomás</v>
      </c>
      <c r="G2102" s="2" t="str">
        <f t="shared" si="64"/>
        <v>Navarro Tomás</v>
      </c>
      <c r="H2102" s="8" t="str">
        <f>IFERROR(VLOOKUP(VLOOKUP(A2102,'[1]Sales Order'!A:C,3,FALSE),[1]Employee!A:E,5,FALSE)&amp;" "&amp;VLOOKUP(VLOOKUP(A2102,'[1]Sales Order'!A:C,3,FALSE),[1]Employee!A:C,3,FALSE)&amp;" "&amp;VLOOKUP(VLOOKUP(A2102,'[1]Sales Order'!A:C,3,FALSE),[1]Employee!A:B,2,FALSE),"Not Specified")</f>
        <v>Ms. Sara Davis</v>
      </c>
      <c r="I2102" t="str">
        <f>IFERROR(VLOOKUP(VLOOKUP(A2102,'[1]Sales Order'!A:C,3,FALSE),[1]Employee!A:J,10,FALSE),"Not Specified")</f>
        <v>WA</v>
      </c>
      <c r="J2102" t="str">
        <f>VLOOKUP(B2102,[1]Product!A:B,2,FALSE)</f>
        <v>Product TBTBL</v>
      </c>
      <c r="K2102" t="str">
        <f>VLOOKUP(VLOOKUP(B2102,[1]Product!A:D,4,FALSE),[1]Category!A:B,2,FALSE)</f>
        <v>Confections</v>
      </c>
      <c r="L2102" s="10">
        <f>IFERROR(VLOOKUP(A2102,'[1]Sales Order'!A:D,4,FALSE),"")</f>
        <v>39569</v>
      </c>
      <c r="M2102" s="10">
        <f>IFERROR(VLOOKUP(A2102,'[1]Sales Order'!A:F,6,FALSE),"")</f>
        <v>39572</v>
      </c>
      <c r="N2102" t="str">
        <f>IFERROR(VLOOKUP(VLOOKUP(A2102,'[1]Sales Order'!A:G,7,FALSE),[1]Shipper!A:B,2,FALSE),"Not Specified")</f>
        <v>Shipper GVSUA</v>
      </c>
      <c r="O2102" t="str">
        <f>IFERROR(VLOOKUP(A2102,'[1]Sales Order'!A:I,9,FALSE),"Not Specified")</f>
        <v>Ship to 71-C</v>
      </c>
      <c r="P2102" t="str">
        <f>IFERROR(VLOOKUP(A2102,'[1]Sales Order'!A:N,14,FALSE),"Not Specified")</f>
        <v>USA</v>
      </c>
      <c r="Q2102" t="str">
        <f>VLOOKUP(VLOOKUP(B2102,[1]Product!A:C,3,FALSE),[1]Supplier!A:B,2,FALSE)</f>
        <v>Supplier BWGYE</v>
      </c>
      <c r="R2102" t="str">
        <f>VLOOKUP(VLOOKUP(B2102,[1]Product!A:C,3,FALSE),[1]Supplier!A:I,9,FALSE)</f>
        <v>UK</v>
      </c>
      <c r="S2102" t="str">
        <f>IFERROR(IF(VLOOKUP(A2102,'[1]Sales Order'!A:H,8,FALSE)&gt;100,"High Freight","Low Freight"),"Not Specified")</f>
        <v>Low Freight</v>
      </c>
      <c r="T2102">
        <f t="shared" si="65"/>
        <v>687.5</v>
      </c>
    </row>
    <row r="2103" spans="1:20">
      <c r="A2103" s="1">
        <v>11065</v>
      </c>
      <c r="B2103" s="2">
        <v>30</v>
      </c>
      <c r="C2103" s="2">
        <v>25.89</v>
      </c>
      <c r="D2103" s="2">
        <v>4</v>
      </c>
      <c r="E2103" s="3">
        <v>0.25</v>
      </c>
      <c r="F2103" s="2" t="str">
        <f>IFERROR(VLOOKUP(VLOOKUP(A2103,'[1]Sales Order'!A:B,2,FALSE),[1]Customer!A:C,3,FALSE),"Not Specified")</f>
        <v>Dressler, Marlies</v>
      </c>
      <c r="G2103" s="2" t="str">
        <f t="shared" si="64"/>
        <v>Dressler Marlies</v>
      </c>
      <c r="H2103" s="8" t="str">
        <f>IFERROR(VLOOKUP(VLOOKUP(A2103,'[1]Sales Order'!A:C,3,FALSE),[1]Employee!A:E,5,FALSE)&amp;" "&amp;VLOOKUP(VLOOKUP(A2103,'[1]Sales Order'!A:C,3,FALSE),[1]Employee!A:C,3,FALSE)&amp;" "&amp;VLOOKUP(VLOOKUP(A2103,'[1]Sales Order'!A:C,3,FALSE),[1]Employee!A:B,2,FALSE),"Not Specified")</f>
        <v>Ms. Maria Cameron</v>
      </c>
      <c r="I2103" t="str">
        <f>IFERROR(VLOOKUP(VLOOKUP(A2103,'[1]Sales Order'!A:C,3,FALSE),[1]Employee!A:J,10,FALSE),"Not Specified")</f>
        <v>WA</v>
      </c>
      <c r="J2103" t="str">
        <f>VLOOKUP(B2103,[1]Product!A:B,2,FALSE)</f>
        <v>Product LYERX</v>
      </c>
      <c r="K2103" t="str">
        <f>VLOOKUP(VLOOKUP(B2103,[1]Product!A:D,4,FALSE),[1]Category!A:B,2,FALSE)</f>
        <v>Seafood</v>
      </c>
      <c r="L2103" s="10">
        <f>IFERROR(VLOOKUP(A2103,'[1]Sales Order'!A:D,4,FALSE),"")</f>
        <v>39569</v>
      </c>
      <c r="M2103" s="10">
        <f>IFERROR(VLOOKUP(A2103,'[1]Sales Order'!A:F,6,FALSE),"")</f>
        <v>0</v>
      </c>
      <c r="N2103" t="str">
        <f>IFERROR(VLOOKUP(VLOOKUP(A2103,'[1]Sales Order'!A:G,7,FALSE),[1]Shipper!A:B,2,FALSE),"Not Specified")</f>
        <v>Shipper GVSUA</v>
      </c>
      <c r="O2103" t="str">
        <f>IFERROR(VLOOKUP(A2103,'[1]Sales Order'!A:I,9,FALSE),"Not Specified")</f>
        <v>Ship to 46-C</v>
      </c>
      <c r="P2103" t="str">
        <f>IFERROR(VLOOKUP(A2103,'[1]Sales Order'!A:N,14,FALSE),"Not Specified")</f>
        <v>Venezuela</v>
      </c>
      <c r="Q2103" t="str">
        <f>VLOOKUP(VLOOKUP(B2103,[1]Product!A:C,3,FALSE),[1]Supplier!A:B,2,FALSE)</f>
        <v>Supplier TEGSC</v>
      </c>
      <c r="R2103" t="str">
        <f>VLOOKUP(VLOOKUP(B2103,[1]Product!A:C,3,FALSE),[1]Supplier!A:I,9,FALSE)</f>
        <v>Germany</v>
      </c>
      <c r="S2103" t="str">
        <f>IFERROR(IF(VLOOKUP(A2103,'[1]Sales Order'!A:H,8,FALSE)&gt;100,"High Freight","Low Freight"),"Not Specified")</f>
        <v>Low Freight</v>
      </c>
      <c r="T2103">
        <f t="shared" si="65"/>
        <v>77.67</v>
      </c>
    </row>
    <row r="2104" spans="1:20">
      <c r="A2104" s="1">
        <v>11065</v>
      </c>
      <c r="B2104" s="2">
        <v>54</v>
      </c>
      <c r="C2104" s="2">
        <v>7.45</v>
      </c>
      <c r="D2104" s="2">
        <v>20</v>
      </c>
      <c r="E2104" s="3">
        <v>0.25</v>
      </c>
      <c r="F2104" s="2" t="str">
        <f>IFERROR(VLOOKUP(VLOOKUP(A2104,'[1]Sales Order'!A:B,2,FALSE),[1]Customer!A:C,3,FALSE),"Not Specified")</f>
        <v>Dressler, Marlies</v>
      </c>
      <c r="G2104" s="2" t="str">
        <f t="shared" si="64"/>
        <v>Dressler Marlies</v>
      </c>
      <c r="H2104" s="8" t="str">
        <f>IFERROR(VLOOKUP(VLOOKUP(A2104,'[1]Sales Order'!A:C,3,FALSE),[1]Employee!A:E,5,FALSE)&amp;" "&amp;VLOOKUP(VLOOKUP(A2104,'[1]Sales Order'!A:C,3,FALSE),[1]Employee!A:C,3,FALSE)&amp;" "&amp;VLOOKUP(VLOOKUP(A2104,'[1]Sales Order'!A:C,3,FALSE),[1]Employee!A:B,2,FALSE),"Not Specified")</f>
        <v>Ms. Maria Cameron</v>
      </c>
      <c r="I2104" t="str">
        <f>IFERROR(VLOOKUP(VLOOKUP(A2104,'[1]Sales Order'!A:C,3,FALSE),[1]Employee!A:J,10,FALSE),"Not Specified")</f>
        <v>WA</v>
      </c>
      <c r="J2104" t="str">
        <f>VLOOKUP(B2104,[1]Product!A:B,2,FALSE)</f>
        <v>Product QAQRL</v>
      </c>
      <c r="K2104" t="str">
        <f>VLOOKUP(VLOOKUP(B2104,[1]Product!A:D,4,FALSE),[1]Category!A:B,2,FALSE)</f>
        <v>Meat/Poultry</v>
      </c>
      <c r="L2104" s="10">
        <f>IFERROR(VLOOKUP(A2104,'[1]Sales Order'!A:D,4,FALSE),"")</f>
        <v>39569</v>
      </c>
      <c r="M2104" s="10">
        <f>IFERROR(VLOOKUP(A2104,'[1]Sales Order'!A:F,6,FALSE),"")</f>
        <v>0</v>
      </c>
      <c r="N2104" t="str">
        <f>IFERROR(VLOOKUP(VLOOKUP(A2104,'[1]Sales Order'!A:G,7,FALSE),[1]Shipper!A:B,2,FALSE),"Not Specified")</f>
        <v>Shipper GVSUA</v>
      </c>
      <c r="O2104" t="str">
        <f>IFERROR(VLOOKUP(A2104,'[1]Sales Order'!A:I,9,FALSE),"Not Specified")</f>
        <v>Ship to 46-C</v>
      </c>
      <c r="P2104" t="str">
        <f>IFERROR(VLOOKUP(A2104,'[1]Sales Order'!A:N,14,FALSE),"Not Specified")</f>
        <v>Venezuela</v>
      </c>
      <c r="Q2104" t="str">
        <f>VLOOKUP(VLOOKUP(B2104,[1]Product!A:C,3,FALSE),[1]Supplier!A:B,2,FALSE)</f>
        <v>Supplier ERVYZ</v>
      </c>
      <c r="R2104" t="str">
        <f>VLOOKUP(VLOOKUP(B2104,[1]Product!A:C,3,FALSE),[1]Supplier!A:I,9,FALSE)</f>
        <v>Canada</v>
      </c>
      <c r="S2104" t="str">
        <f>IFERROR(IF(VLOOKUP(A2104,'[1]Sales Order'!A:H,8,FALSE)&gt;100,"High Freight","Low Freight"),"Not Specified")</f>
        <v>Low Freight</v>
      </c>
      <c r="T2104">
        <f t="shared" si="65"/>
        <v>111.75</v>
      </c>
    </row>
    <row r="2105" spans="1:20">
      <c r="A2105" s="1">
        <v>11066</v>
      </c>
      <c r="B2105" s="2">
        <v>16</v>
      </c>
      <c r="C2105" s="2">
        <v>17.45</v>
      </c>
      <c r="D2105" s="2">
        <v>3</v>
      </c>
      <c r="E2105" s="3">
        <v>0</v>
      </c>
      <c r="F2105" s="2" t="str">
        <f>IFERROR(VLOOKUP(VLOOKUP(A2105,'[1]Sales Order'!A:B,2,FALSE),[1]Customer!A:C,3,FALSE),"Not Specified")</f>
        <v>Smith Jr., Ronaldo</v>
      </c>
      <c r="G2105" s="2" t="str">
        <f t="shared" si="64"/>
        <v>Smith Jr. Ronaldo</v>
      </c>
      <c r="H2105" s="8" t="str">
        <f>IFERROR(VLOOKUP(VLOOKUP(A2105,'[1]Sales Order'!A:C,3,FALSE),[1]Employee!A:E,5,FALSE)&amp;" "&amp;VLOOKUP(VLOOKUP(A2105,'[1]Sales Order'!A:C,3,FALSE),[1]Employee!A:C,3,FALSE)&amp;" "&amp;VLOOKUP(VLOOKUP(A2105,'[1]Sales Order'!A:C,3,FALSE),[1]Employee!A:B,2,FALSE),"Not Specified")</f>
        <v>Mr. Russell King</v>
      </c>
      <c r="I2105">
        <f>IFERROR(VLOOKUP(VLOOKUP(A2105,'[1]Sales Order'!A:C,3,FALSE),[1]Employee!A:J,10,FALSE),"Not Specified")</f>
        <v>0</v>
      </c>
      <c r="J2105" t="str">
        <f>VLOOKUP(B2105,[1]Product!A:B,2,FALSE)</f>
        <v>Product PAFRH</v>
      </c>
      <c r="K2105" t="str">
        <f>VLOOKUP(VLOOKUP(B2105,[1]Product!A:D,4,FALSE),[1]Category!A:B,2,FALSE)</f>
        <v>Confections</v>
      </c>
      <c r="L2105" s="10">
        <f>IFERROR(VLOOKUP(A2105,'[1]Sales Order'!A:D,4,FALSE),"")</f>
        <v>39569</v>
      </c>
      <c r="M2105" s="10">
        <f>IFERROR(VLOOKUP(A2105,'[1]Sales Order'!A:F,6,FALSE),"")</f>
        <v>39572</v>
      </c>
      <c r="N2105" t="str">
        <f>IFERROR(VLOOKUP(VLOOKUP(A2105,'[1]Sales Order'!A:G,7,FALSE),[1]Shipper!A:B,2,FALSE),"Not Specified")</f>
        <v>Shipper ETYNR</v>
      </c>
      <c r="O2105" t="str">
        <f>IFERROR(VLOOKUP(A2105,'[1]Sales Order'!A:I,9,FALSE),"Not Specified")</f>
        <v>Ship to 89-A</v>
      </c>
      <c r="P2105" t="str">
        <f>IFERROR(VLOOKUP(A2105,'[1]Sales Order'!A:N,14,FALSE),"Not Specified")</f>
        <v>USA</v>
      </c>
      <c r="Q2105" t="str">
        <f>VLOOKUP(VLOOKUP(B2105,[1]Product!A:C,3,FALSE),[1]Supplier!A:B,2,FALSE)</f>
        <v>Supplier GQRCV</v>
      </c>
      <c r="R2105" t="str">
        <f>VLOOKUP(VLOOKUP(B2105,[1]Product!A:C,3,FALSE),[1]Supplier!A:I,9,FALSE)</f>
        <v>Australia</v>
      </c>
      <c r="S2105" t="str">
        <f>IFERROR(IF(VLOOKUP(A2105,'[1]Sales Order'!A:H,8,FALSE)&gt;100,"High Freight","Low Freight"),"Not Specified")</f>
        <v>Low Freight</v>
      </c>
      <c r="T2105">
        <f t="shared" si="65"/>
        <v>52.349999999999994</v>
      </c>
    </row>
    <row r="2106" spans="1:20">
      <c r="A2106" s="1">
        <v>11066</v>
      </c>
      <c r="B2106" s="2">
        <v>19</v>
      </c>
      <c r="C2106" s="2">
        <v>9.1999999999999993</v>
      </c>
      <c r="D2106" s="2">
        <v>42</v>
      </c>
      <c r="E2106" s="3">
        <v>0</v>
      </c>
      <c r="F2106" s="2" t="str">
        <f>IFERROR(VLOOKUP(VLOOKUP(A2106,'[1]Sales Order'!A:B,2,FALSE),[1]Customer!A:C,3,FALSE),"Not Specified")</f>
        <v>Smith Jr., Ronaldo</v>
      </c>
      <c r="G2106" s="2" t="str">
        <f t="shared" si="64"/>
        <v>Smith Jr. Ronaldo</v>
      </c>
      <c r="H2106" s="8" t="str">
        <f>IFERROR(VLOOKUP(VLOOKUP(A2106,'[1]Sales Order'!A:C,3,FALSE),[1]Employee!A:E,5,FALSE)&amp;" "&amp;VLOOKUP(VLOOKUP(A2106,'[1]Sales Order'!A:C,3,FALSE),[1]Employee!A:C,3,FALSE)&amp;" "&amp;VLOOKUP(VLOOKUP(A2106,'[1]Sales Order'!A:C,3,FALSE),[1]Employee!A:B,2,FALSE),"Not Specified")</f>
        <v>Mr. Russell King</v>
      </c>
      <c r="I2106">
        <f>IFERROR(VLOOKUP(VLOOKUP(A2106,'[1]Sales Order'!A:C,3,FALSE),[1]Employee!A:J,10,FALSE),"Not Specified")</f>
        <v>0</v>
      </c>
      <c r="J2106" t="str">
        <f>VLOOKUP(B2106,[1]Product!A:B,2,FALSE)</f>
        <v>Product XKXDO</v>
      </c>
      <c r="K2106" t="str">
        <f>VLOOKUP(VLOOKUP(B2106,[1]Product!A:D,4,FALSE),[1]Category!A:B,2,FALSE)</f>
        <v>Confections</v>
      </c>
      <c r="L2106" s="10">
        <f>IFERROR(VLOOKUP(A2106,'[1]Sales Order'!A:D,4,FALSE),"")</f>
        <v>39569</v>
      </c>
      <c r="M2106" s="10">
        <f>IFERROR(VLOOKUP(A2106,'[1]Sales Order'!A:F,6,FALSE),"")</f>
        <v>39572</v>
      </c>
      <c r="N2106" t="str">
        <f>IFERROR(VLOOKUP(VLOOKUP(A2106,'[1]Sales Order'!A:G,7,FALSE),[1]Shipper!A:B,2,FALSE),"Not Specified")</f>
        <v>Shipper ETYNR</v>
      </c>
      <c r="O2106" t="str">
        <f>IFERROR(VLOOKUP(A2106,'[1]Sales Order'!A:I,9,FALSE),"Not Specified")</f>
        <v>Ship to 89-A</v>
      </c>
      <c r="P2106" t="str">
        <f>IFERROR(VLOOKUP(A2106,'[1]Sales Order'!A:N,14,FALSE),"Not Specified")</f>
        <v>USA</v>
      </c>
      <c r="Q2106" t="str">
        <f>VLOOKUP(VLOOKUP(B2106,[1]Product!A:C,3,FALSE),[1]Supplier!A:B,2,FALSE)</f>
        <v>Supplier BWGYE</v>
      </c>
      <c r="R2106" t="str">
        <f>VLOOKUP(VLOOKUP(B2106,[1]Product!A:C,3,FALSE),[1]Supplier!A:I,9,FALSE)</f>
        <v>UK</v>
      </c>
      <c r="S2106" t="str">
        <f>IFERROR(IF(VLOOKUP(A2106,'[1]Sales Order'!A:H,8,FALSE)&gt;100,"High Freight","Low Freight"),"Not Specified")</f>
        <v>Low Freight</v>
      </c>
      <c r="T2106">
        <f t="shared" si="65"/>
        <v>386.4</v>
      </c>
    </row>
    <row r="2107" spans="1:20">
      <c r="A2107" s="1">
        <v>11066</v>
      </c>
      <c r="B2107" s="2">
        <v>34</v>
      </c>
      <c r="C2107" s="2">
        <v>14</v>
      </c>
      <c r="D2107" s="2">
        <v>35</v>
      </c>
      <c r="E2107" s="3">
        <v>0</v>
      </c>
      <c r="F2107" s="2" t="str">
        <f>IFERROR(VLOOKUP(VLOOKUP(A2107,'[1]Sales Order'!A:B,2,FALSE),[1]Customer!A:C,3,FALSE),"Not Specified")</f>
        <v>Smith Jr., Ronaldo</v>
      </c>
      <c r="G2107" s="2" t="str">
        <f t="shared" si="64"/>
        <v>Smith Jr. Ronaldo</v>
      </c>
      <c r="H2107" s="8" t="str">
        <f>IFERROR(VLOOKUP(VLOOKUP(A2107,'[1]Sales Order'!A:C,3,FALSE),[1]Employee!A:E,5,FALSE)&amp;" "&amp;VLOOKUP(VLOOKUP(A2107,'[1]Sales Order'!A:C,3,FALSE),[1]Employee!A:C,3,FALSE)&amp;" "&amp;VLOOKUP(VLOOKUP(A2107,'[1]Sales Order'!A:C,3,FALSE),[1]Employee!A:B,2,FALSE),"Not Specified")</f>
        <v>Mr. Russell King</v>
      </c>
      <c r="I2107">
        <f>IFERROR(VLOOKUP(VLOOKUP(A2107,'[1]Sales Order'!A:C,3,FALSE),[1]Employee!A:J,10,FALSE),"Not Specified")</f>
        <v>0</v>
      </c>
      <c r="J2107" t="str">
        <f>VLOOKUP(B2107,[1]Product!A:B,2,FALSE)</f>
        <v>Product SWNJY</v>
      </c>
      <c r="K2107" t="str">
        <f>VLOOKUP(VLOOKUP(B2107,[1]Product!A:D,4,FALSE),[1]Category!A:B,2,FALSE)</f>
        <v>Beverages</v>
      </c>
      <c r="L2107" s="10">
        <f>IFERROR(VLOOKUP(A2107,'[1]Sales Order'!A:D,4,FALSE),"")</f>
        <v>39569</v>
      </c>
      <c r="M2107" s="10">
        <f>IFERROR(VLOOKUP(A2107,'[1]Sales Order'!A:F,6,FALSE),"")</f>
        <v>39572</v>
      </c>
      <c r="N2107" t="str">
        <f>IFERROR(VLOOKUP(VLOOKUP(A2107,'[1]Sales Order'!A:G,7,FALSE),[1]Shipper!A:B,2,FALSE),"Not Specified")</f>
        <v>Shipper ETYNR</v>
      </c>
      <c r="O2107" t="str">
        <f>IFERROR(VLOOKUP(A2107,'[1]Sales Order'!A:I,9,FALSE),"Not Specified")</f>
        <v>Ship to 89-A</v>
      </c>
      <c r="P2107" t="str">
        <f>IFERROR(VLOOKUP(A2107,'[1]Sales Order'!A:N,14,FALSE),"Not Specified")</f>
        <v>USA</v>
      </c>
      <c r="Q2107" t="str">
        <f>VLOOKUP(VLOOKUP(B2107,[1]Product!A:C,3,FALSE),[1]Supplier!A:B,2,FALSE)</f>
        <v>Supplier UHZRG</v>
      </c>
      <c r="R2107" t="str">
        <f>VLOOKUP(VLOOKUP(B2107,[1]Product!A:C,3,FALSE),[1]Supplier!A:I,9,FALSE)</f>
        <v>USA</v>
      </c>
      <c r="S2107" t="str">
        <f>IFERROR(IF(VLOOKUP(A2107,'[1]Sales Order'!A:H,8,FALSE)&gt;100,"High Freight","Low Freight"),"Not Specified")</f>
        <v>Low Freight</v>
      </c>
      <c r="T2107">
        <f t="shared" si="65"/>
        <v>490</v>
      </c>
    </row>
    <row r="2108" spans="1:20">
      <c r="A2108" s="1">
        <v>11067</v>
      </c>
      <c r="B2108" s="2">
        <v>41</v>
      </c>
      <c r="C2108" s="2">
        <v>9.65</v>
      </c>
      <c r="D2108" s="2">
        <v>9</v>
      </c>
      <c r="E2108" s="3">
        <v>0</v>
      </c>
      <c r="F2108" s="2" t="str">
        <f>IFERROR(VLOOKUP(VLOOKUP(A2108,'[1]Sales Order'!A:B,2,FALSE),[1]Customer!A:C,3,FALSE),"Not Specified")</f>
        <v>Jones, TiAnna</v>
      </c>
      <c r="G2108" s="2" t="str">
        <f t="shared" si="64"/>
        <v>Jones TiAnna</v>
      </c>
      <c r="H2108" s="8" t="str">
        <f>IFERROR(VLOOKUP(VLOOKUP(A2108,'[1]Sales Order'!A:C,3,FALSE),[1]Employee!A:E,5,FALSE)&amp;" "&amp;VLOOKUP(VLOOKUP(A2108,'[1]Sales Order'!A:C,3,FALSE),[1]Employee!A:C,3,FALSE)&amp;" "&amp;VLOOKUP(VLOOKUP(A2108,'[1]Sales Order'!A:C,3,FALSE),[1]Employee!A:B,2,FALSE),"Not Specified")</f>
        <v>Ms. Sara Davis</v>
      </c>
      <c r="I2108" t="str">
        <f>IFERROR(VLOOKUP(VLOOKUP(A2108,'[1]Sales Order'!A:C,3,FALSE),[1]Employee!A:J,10,FALSE),"Not Specified")</f>
        <v>WA</v>
      </c>
      <c r="J2108" t="str">
        <f>VLOOKUP(B2108,[1]Product!A:B,2,FALSE)</f>
        <v>Product TTEEX</v>
      </c>
      <c r="K2108" t="str">
        <f>VLOOKUP(VLOOKUP(B2108,[1]Product!A:D,4,FALSE),[1]Category!A:B,2,FALSE)</f>
        <v>Seafood</v>
      </c>
      <c r="L2108" s="10">
        <f>IFERROR(VLOOKUP(A2108,'[1]Sales Order'!A:D,4,FALSE),"")</f>
        <v>39572</v>
      </c>
      <c r="M2108" s="10">
        <f>IFERROR(VLOOKUP(A2108,'[1]Sales Order'!A:F,6,FALSE),"")</f>
        <v>39574</v>
      </c>
      <c r="N2108" t="str">
        <f>IFERROR(VLOOKUP(VLOOKUP(A2108,'[1]Sales Order'!A:G,7,FALSE),[1]Shipper!A:B,2,FALSE),"Not Specified")</f>
        <v>Shipper ETYNR</v>
      </c>
      <c r="O2108" t="str">
        <f>IFERROR(VLOOKUP(A2108,'[1]Sales Order'!A:I,9,FALSE),"Not Specified")</f>
        <v>Destination BJCXA</v>
      </c>
      <c r="P2108" t="str">
        <f>IFERROR(VLOOKUP(A2108,'[1]Sales Order'!A:N,14,FALSE),"Not Specified")</f>
        <v>Germany</v>
      </c>
      <c r="Q2108" t="str">
        <f>VLOOKUP(VLOOKUP(B2108,[1]Product!A:C,3,FALSE),[1]Supplier!A:B,2,FALSE)</f>
        <v>Supplier JDNUG</v>
      </c>
      <c r="R2108" t="str">
        <f>VLOOKUP(VLOOKUP(B2108,[1]Product!A:C,3,FALSE),[1]Supplier!A:I,9,FALSE)</f>
        <v>USA</v>
      </c>
      <c r="S2108" t="str">
        <f>IFERROR(IF(VLOOKUP(A2108,'[1]Sales Order'!A:H,8,FALSE)&gt;100,"High Freight","Low Freight"),"Not Specified")</f>
        <v>Low Freight</v>
      </c>
      <c r="T2108">
        <f t="shared" si="65"/>
        <v>86.850000000000009</v>
      </c>
    </row>
    <row r="2109" spans="1:20">
      <c r="A2109" s="1">
        <v>11068</v>
      </c>
      <c r="B2109" s="2">
        <v>28</v>
      </c>
      <c r="C2109" s="2">
        <v>45.6</v>
      </c>
      <c r="D2109" s="2">
        <v>8</v>
      </c>
      <c r="E2109" s="3">
        <v>0.15</v>
      </c>
      <c r="F2109" s="2" t="str">
        <f>IFERROR(VLOOKUP(VLOOKUP(A2109,'[1]Sales Order'!A:B,2,FALSE),[1]Customer!A:C,3,FALSE),"Not Specified")</f>
        <v>Misiec, Anna</v>
      </c>
      <c r="G2109" s="2" t="str">
        <f t="shared" si="64"/>
        <v>Misiec Anna</v>
      </c>
      <c r="H2109" s="8" t="str">
        <f>IFERROR(VLOOKUP(VLOOKUP(A2109,'[1]Sales Order'!A:C,3,FALSE),[1]Employee!A:E,5,FALSE)&amp;" "&amp;VLOOKUP(VLOOKUP(A2109,'[1]Sales Order'!A:C,3,FALSE),[1]Employee!A:C,3,FALSE)&amp;" "&amp;VLOOKUP(VLOOKUP(A2109,'[1]Sales Order'!A:C,3,FALSE),[1]Employee!A:B,2,FALSE),"Not Specified")</f>
        <v>Ms. Maria Cameron</v>
      </c>
      <c r="I2109" t="str">
        <f>IFERROR(VLOOKUP(VLOOKUP(A2109,'[1]Sales Order'!A:C,3,FALSE),[1]Employee!A:J,10,FALSE),"Not Specified")</f>
        <v>WA</v>
      </c>
      <c r="J2109" t="str">
        <f>VLOOKUP(B2109,[1]Product!A:B,2,FALSE)</f>
        <v>Product OFBNT</v>
      </c>
      <c r="K2109" t="str">
        <f>VLOOKUP(VLOOKUP(B2109,[1]Product!A:D,4,FALSE),[1]Category!A:B,2,FALSE)</f>
        <v>Produce</v>
      </c>
      <c r="L2109" s="10">
        <f>IFERROR(VLOOKUP(A2109,'[1]Sales Order'!A:D,4,FALSE),"")</f>
        <v>39572</v>
      </c>
      <c r="M2109" s="10">
        <f>IFERROR(VLOOKUP(A2109,'[1]Sales Order'!A:F,6,FALSE),"")</f>
        <v>0</v>
      </c>
      <c r="N2109" t="str">
        <f>IFERROR(VLOOKUP(VLOOKUP(A2109,'[1]Sales Order'!A:G,7,FALSE),[1]Shipper!A:B,2,FALSE),"Not Specified")</f>
        <v>Shipper ETYNR</v>
      </c>
      <c r="O2109" t="str">
        <f>IFERROR(VLOOKUP(A2109,'[1]Sales Order'!A:I,9,FALSE),"Not Specified")</f>
        <v>Ship to 62-A</v>
      </c>
      <c r="P2109" t="str">
        <f>IFERROR(VLOOKUP(A2109,'[1]Sales Order'!A:N,14,FALSE),"Not Specified")</f>
        <v>Brazil</v>
      </c>
      <c r="Q2109" t="str">
        <f>VLOOKUP(VLOOKUP(B2109,[1]Product!A:C,3,FALSE),[1]Supplier!A:B,2,FALSE)</f>
        <v>Supplier SVIYA</v>
      </c>
      <c r="R2109" t="str">
        <f>VLOOKUP(VLOOKUP(B2109,[1]Product!A:C,3,FALSE),[1]Supplier!A:I,9,FALSE)</f>
        <v>Germany</v>
      </c>
      <c r="S2109" t="str">
        <f>IFERROR(IF(VLOOKUP(A2109,'[1]Sales Order'!A:H,8,FALSE)&gt;100,"High Freight","Low Freight"),"Not Specified")</f>
        <v>Low Freight</v>
      </c>
      <c r="T2109">
        <f t="shared" si="65"/>
        <v>310.08</v>
      </c>
    </row>
    <row r="2110" spans="1:20">
      <c r="A2110" s="1">
        <v>11068</v>
      </c>
      <c r="B2110" s="2">
        <v>43</v>
      </c>
      <c r="C2110" s="2">
        <v>46</v>
      </c>
      <c r="D2110" s="2">
        <v>36</v>
      </c>
      <c r="E2110" s="3">
        <v>0.15</v>
      </c>
      <c r="F2110" s="2" t="str">
        <f>IFERROR(VLOOKUP(VLOOKUP(A2110,'[1]Sales Order'!A:B,2,FALSE),[1]Customer!A:C,3,FALSE),"Not Specified")</f>
        <v>Misiec, Anna</v>
      </c>
      <c r="G2110" s="2" t="str">
        <f t="shared" si="64"/>
        <v>Misiec Anna</v>
      </c>
      <c r="H2110" s="8" t="str">
        <f>IFERROR(VLOOKUP(VLOOKUP(A2110,'[1]Sales Order'!A:C,3,FALSE),[1]Employee!A:E,5,FALSE)&amp;" "&amp;VLOOKUP(VLOOKUP(A2110,'[1]Sales Order'!A:C,3,FALSE),[1]Employee!A:C,3,FALSE)&amp;" "&amp;VLOOKUP(VLOOKUP(A2110,'[1]Sales Order'!A:C,3,FALSE),[1]Employee!A:B,2,FALSE),"Not Specified")</f>
        <v>Ms. Maria Cameron</v>
      </c>
      <c r="I2110" t="str">
        <f>IFERROR(VLOOKUP(VLOOKUP(A2110,'[1]Sales Order'!A:C,3,FALSE),[1]Employee!A:J,10,FALSE),"Not Specified")</f>
        <v>WA</v>
      </c>
      <c r="J2110" t="str">
        <f>VLOOKUP(B2110,[1]Product!A:B,2,FALSE)</f>
        <v>Product ZZZHR</v>
      </c>
      <c r="K2110" t="str">
        <f>VLOOKUP(VLOOKUP(B2110,[1]Product!A:D,4,FALSE),[1]Category!A:B,2,FALSE)</f>
        <v>Beverages</v>
      </c>
      <c r="L2110" s="10">
        <f>IFERROR(VLOOKUP(A2110,'[1]Sales Order'!A:D,4,FALSE),"")</f>
        <v>39572</v>
      </c>
      <c r="M2110" s="10">
        <f>IFERROR(VLOOKUP(A2110,'[1]Sales Order'!A:F,6,FALSE),"")</f>
        <v>0</v>
      </c>
      <c r="N2110" t="str">
        <f>IFERROR(VLOOKUP(VLOOKUP(A2110,'[1]Sales Order'!A:G,7,FALSE),[1]Shipper!A:B,2,FALSE),"Not Specified")</f>
        <v>Shipper ETYNR</v>
      </c>
      <c r="O2110" t="str">
        <f>IFERROR(VLOOKUP(A2110,'[1]Sales Order'!A:I,9,FALSE),"Not Specified")</f>
        <v>Ship to 62-A</v>
      </c>
      <c r="P2110" t="str">
        <f>IFERROR(VLOOKUP(A2110,'[1]Sales Order'!A:N,14,FALSE),"Not Specified")</f>
        <v>Brazil</v>
      </c>
      <c r="Q2110" t="str">
        <f>VLOOKUP(VLOOKUP(B2110,[1]Product!A:C,3,FALSE),[1]Supplier!A:B,2,FALSE)</f>
        <v>Supplier CIYNM</v>
      </c>
      <c r="R2110" t="str">
        <f>VLOOKUP(VLOOKUP(B2110,[1]Product!A:C,3,FALSE),[1]Supplier!A:I,9,FALSE)</f>
        <v>Singapore</v>
      </c>
      <c r="S2110" t="str">
        <f>IFERROR(IF(VLOOKUP(A2110,'[1]Sales Order'!A:H,8,FALSE)&gt;100,"High Freight","Low Freight"),"Not Specified")</f>
        <v>Low Freight</v>
      </c>
      <c r="T2110">
        <f t="shared" si="65"/>
        <v>1407.6</v>
      </c>
    </row>
    <row r="2111" spans="1:20">
      <c r="A2111" s="1">
        <v>11068</v>
      </c>
      <c r="B2111" s="2">
        <v>77</v>
      </c>
      <c r="C2111" s="2">
        <v>13</v>
      </c>
      <c r="D2111" s="2">
        <v>28</v>
      </c>
      <c r="E2111" s="3">
        <v>0.15</v>
      </c>
      <c r="F2111" s="2" t="str">
        <f>IFERROR(VLOOKUP(VLOOKUP(A2111,'[1]Sales Order'!A:B,2,FALSE),[1]Customer!A:C,3,FALSE),"Not Specified")</f>
        <v>Misiec, Anna</v>
      </c>
      <c r="G2111" s="2" t="str">
        <f t="shared" si="64"/>
        <v>Misiec Anna</v>
      </c>
      <c r="H2111" s="8" t="str">
        <f>IFERROR(VLOOKUP(VLOOKUP(A2111,'[1]Sales Order'!A:C,3,FALSE),[1]Employee!A:E,5,FALSE)&amp;" "&amp;VLOOKUP(VLOOKUP(A2111,'[1]Sales Order'!A:C,3,FALSE),[1]Employee!A:C,3,FALSE)&amp;" "&amp;VLOOKUP(VLOOKUP(A2111,'[1]Sales Order'!A:C,3,FALSE),[1]Employee!A:B,2,FALSE),"Not Specified")</f>
        <v>Ms. Maria Cameron</v>
      </c>
      <c r="I2111" t="str">
        <f>IFERROR(VLOOKUP(VLOOKUP(A2111,'[1]Sales Order'!A:C,3,FALSE),[1]Employee!A:J,10,FALSE),"Not Specified")</f>
        <v>WA</v>
      </c>
      <c r="J2111" t="str">
        <f>VLOOKUP(B2111,[1]Product!A:B,2,FALSE)</f>
        <v>Product LUNZZ</v>
      </c>
      <c r="K2111" t="str">
        <f>VLOOKUP(VLOOKUP(B2111,[1]Product!A:D,4,FALSE),[1]Category!A:B,2,FALSE)</f>
        <v>Condiments</v>
      </c>
      <c r="L2111" s="10">
        <f>IFERROR(VLOOKUP(A2111,'[1]Sales Order'!A:D,4,FALSE),"")</f>
        <v>39572</v>
      </c>
      <c r="M2111" s="10">
        <f>IFERROR(VLOOKUP(A2111,'[1]Sales Order'!A:F,6,FALSE),"")</f>
        <v>0</v>
      </c>
      <c r="N2111" t="str">
        <f>IFERROR(VLOOKUP(VLOOKUP(A2111,'[1]Sales Order'!A:G,7,FALSE),[1]Shipper!A:B,2,FALSE),"Not Specified")</f>
        <v>Shipper ETYNR</v>
      </c>
      <c r="O2111" t="str">
        <f>IFERROR(VLOOKUP(A2111,'[1]Sales Order'!A:I,9,FALSE),"Not Specified")</f>
        <v>Ship to 62-A</v>
      </c>
      <c r="P2111" t="str">
        <f>IFERROR(VLOOKUP(A2111,'[1]Sales Order'!A:N,14,FALSE),"Not Specified")</f>
        <v>Brazil</v>
      </c>
      <c r="Q2111" t="str">
        <f>VLOOKUP(VLOOKUP(B2111,[1]Product!A:C,3,FALSE),[1]Supplier!A:B,2,FALSE)</f>
        <v>Supplier SVIYA</v>
      </c>
      <c r="R2111" t="str">
        <f>VLOOKUP(VLOOKUP(B2111,[1]Product!A:C,3,FALSE),[1]Supplier!A:I,9,FALSE)</f>
        <v>Germany</v>
      </c>
      <c r="S2111" t="str">
        <f>IFERROR(IF(VLOOKUP(A2111,'[1]Sales Order'!A:H,8,FALSE)&gt;100,"High Freight","Low Freight"),"Not Specified")</f>
        <v>Low Freight</v>
      </c>
      <c r="T2111">
        <f t="shared" si="65"/>
        <v>309.39999999999998</v>
      </c>
    </row>
    <row r="2112" spans="1:20">
      <c r="A2112" s="1">
        <v>11069</v>
      </c>
      <c r="B2112" s="2">
        <v>39</v>
      </c>
      <c r="C2112" s="2">
        <v>18</v>
      </c>
      <c r="D2112" s="2">
        <v>20</v>
      </c>
      <c r="E2112" s="3">
        <v>0</v>
      </c>
      <c r="F2112" s="2" t="str">
        <f>IFERROR(VLOOKUP(VLOOKUP(A2112,'[1]Sales Order'!A:B,2,FALSE),[1]Customer!A:C,3,FALSE),"Not Specified")</f>
        <v>Geschwandtner, Jens</v>
      </c>
      <c r="G2112" s="2" t="str">
        <f t="shared" si="64"/>
        <v>Geschwandtner Jens</v>
      </c>
      <c r="H2112" s="8" t="str">
        <f>IFERROR(VLOOKUP(VLOOKUP(A2112,'[1]Sales Order'!A:C,3,FALSE),[1]Employee!A:E,5,FALSE)&amp;" "&amp;VLOOKUP(VLOOKUP(A2112,'[1]Sales Order'!A:C,3,FALSE),[1]Employee!A:C,3,FALSE)&amp;" "&amp;VLOOKUP(VLOOKUP(A2112,'[1]Sales Order'!A:C,3,FALSE),[1]Employee!A:B,2,FALSE),"Not Specified")</f>
        <v>Ms. Sara Davis</v>
      </c>
      <c r="I2112" t="str">
        <f>IFERROR(VLOOKUP(VLOOKUP(A2112,'[1]Sales Order'!A:C,3,FALSE),[1]Employee!A:J,10,FALSE),"Not Specified")</f>
        <v>WA</v>
      </c>
      <c r="J2112" t="str">
        <f>VLOOKUP(B2112,[1]Product!A:B,2,FALSE)</f>
        <v>Product LSOFL</v>
      </c>
      <c r="K2112" t="str">
        <f>VLOOKUP(VLOOKUP(B2112,[1]Product!A:D,4,FALSE),[1]Category!A:B,2,FALSE)</f>
        <v>Beverages</v>
      </c>
      <c r="L2112" s="10">
        <f>IFERROR(VLOOKUP(A2112,'[1]Sales Order'!A:D,4,FALSE),"")</f>
        <v>39572</v>
      </c>
      <c r="M2112" s="10">
        <f>IFERROR(VLOOKUP(A2112,'[1]Sales Order'!A:F,6,FALSE),"")</f>
        <v>39574</v>
      </c>
      <c r="N2112" t="str">
        <f>IFERROR(VLOOKUP(VLOOKUP(A2112,'[1]Sales Order'!A:G,7,FALSE),[1]Shipper!A:B,2,FALSE),"Not Specified")</f>
        <v>Shipper ETYNR</v>
      </c>
      <c r="O2112" t="str">
        <f>IFERROR(VLOOKUP(A2112,'[1]Sales Order'!A:I,9,FALSE),"Not Specified")</f>
        <v>Ship to 80-B</v>
      </c>
      <c r="P2112" t="str">
        <f>IFERROR(VLOOKUP(A2112,'[1]Sales Order'!A:N,14,FALSE),"Not Specified")</f>
        <v>Mexico</v>
      </c>
      <c r="Q2112" t="str">
        <f>VLOOKUP(VLOOKUP(B2112,[1]Product!A:C,3,FALSE),[1]Supplier!A:B,2,FALSE)</f>
        <v>Supplier LVJUA</v>
      </c>
      <c r="R2112" t="str">
        <f>VLOOKUP(VLOOKUP(B2112,[1]Product!A:C,3,FALSE),[1]Supplier!A:I,9,FALSE)</f>
        <v>France</v>
      </c>
      <c r="S2112" t="str">
        <f>IFERROR(IF(VLOOKUP(A2112,'[1]Sales Order'!A:H,8,FALSE)&gt;100,"High Freight","Low Freight"),"Not Specified")</f>
        <v>Low Freight</v>
      </c>
      <c r="T2112">
        <f t="shared" si="65"/>
        <v>360</v>
      </c>
    </row>
    <row r="2113" spans="1:20">
      <c r="A2113" s="1">
        <v>11070</v>
      </c>
      <c r="B2113" s="2">
        <v>1</v>
      </c>
      <c r="C2113" s="2">
        <v>18</v>
      </c>
      <c r="D2113" s="2">
        <v>40</v>
      </c>
      <c r="E2113" s="3">
        <v>0.15</v>
      </c>
      <c r="F2113" s="2" t="str">
        <f>IFERROR(VLOOKUP(VLOOKUP(A2113,'[1]Sales Order'!A:B,2,FALSE),[1]Customer!A:C,3,FALSE),"Not Specified")</f>
        <v>Louverdis, George</v>
      </c>
      <c r="G2113" s="2" t="str">
        <f t="shared" si="64"/>
        <v>Louverdis George</v>
      </c>
      <c r="H2113" s="8" t="str">
        <f>IFERROR(VLOOKUP(VLOOKUP(A2113,'[1]Sales Order'!A:C,3,FALSE),[1]Employee!A:E,5,FALSE)&amp;" "&amp;VLOOKUP(VLOOKUP(A2113,'[1]Sales Order'!A:C,3,FALSE),[1]Employee!A:C,3,FALSE)&amp;" "&amp;VLOOKUP(VLOOKUP(A2113,'[1]Sales Order'!A:C,3,FALSE),[1]Employee!A:B,2,FALSE),"Not Specified")</f>
        <v>Dr. Don Funk</v>
      </c>
      <c r="I2113" t="str">
        <f>IFERROR(VLOOKUP(VLOOKUP(A2113,'[1]Sales Order'!A:C,3,FALSE),[1]Employee!A:J,10,FALSE),"Not Specified")</f>
        <v>WA</v>
      </c>
      <c r="J2113" t="str">
        <f>VLOOKUP(B2113,[1]Product!A:B,2,FALSE)</f>
        <v>Product HHYDP</v>
      </c>
      <c r="K2113" t="str">
        <f>VLOOKUP(VLOOKUP(B2113,[1]Product!A:D,4,FALSE),[1]Category!A:B,2,FALSE)</f>
        <v>Beverages</v>
      </c>
      <c r="L2113" s="10">
        <f>IFERROR(VLOOKUP(A2113,'[1]Sales Order'!A:D,4,FALSE),"")</f>
        <v>39573</v>
      </c>
      <c r="M2113" s="10">
        <f>IFERROR(VLOOKUP(A2113,'[1]Sales Order'!A:F,6,FALSE),"")</f>
        <v>0</v>
      </c>
      <c r="N2113" t="str">
        <f>IFERROR(VLOOKUP(VLOOKUP(A2113,'[1]Sales Order'!A:G,7,FALSE),[1]Shipper!A:B,2,FALSE),"Not Specified")</f>
        <v>Shipper GVSUA</v>
      </c>
      <c r="O2113" t="str">
        <f>IFERROR(VLOOKUP(A2113,'[1]Sales Order'!A:I,9,FALSE),"Not Specified")</f>
        <v>Ship to 44-A</v>
      </c>
      <c r="P2113" t="str">
        <f>IFERROR(VLOOKUP(A2113,'[1]Sales Order'!A:N,14,FALSE),"Not Specified")</f>
        <v>Germany</v>
      </c>
      <c r="Q2113" t="str">
        <f>VLOOKUP(VLOOKUP(B2113,[1]Product!A:C,3,FALSE),[1]Supplier!A:B,2,FALSE)</f>
        <v>Supplier SWRXU</v>
      </c>
      <c r="R2113" t="str">
        <f>VLOOKUP(VLOOKUP(B2113,[1]Product!A:C,3,FALSE),[1]Supplier!A:I,9,FALSE)</f>
        <v>UK</v>
      </c>
      <c r="S2113" t="str">
        <f>IFERROR(IF(VLOOKUP(A2113,'[1]Sales Order'!A:H,8,FALSE)&gt;100,"High Freight","Low Freight"),"Not Specified")</f>
        <v>High Freight</v>
      </c>
      <c r="T2113">
        <f t="shared" si="65"/>
        <v>612</v>
      </c>
    </row>
    <row r="2114" spans="1:20">
      <c r="A2114" s="1">
        <v>11070</v>
      </c>
      <c r="B2114" s="2">
        <v>2</v>
      </c>
      <c r="C2114" s="2">
        <v>19</v>
      </c>
      <c r="D2114" s="2">
        <v>20</v>
      </c>
      <c r="E2114" s="3">
        <v>0.15</v>
      </c>
      <c r="F2114" s="2" t="str">
        <f>IFERROR(VLOOKUP(VLOOKUP(A2114,'[1]Sales Order'!A:B,2,FALSE),[1]Customer!A:C,3,FALSE),"Not Specified")</f>
        <v>Louverdis, George</v>
      </c>
      <c r="G2114" s="2" t="str">
        <f t="shared" si="64"/>
        <v>Louverdis George</v>
      </c>
      <c r="H2114" s="8" t="str">
        <f>IFERROR(VLOOKUP(VLOOKUP(A2114,'[1]Sales Order'!A:C,3,FALSE),[1]Employee!A:E,5,FALSE)&amp;" "&amp;VLOOKUP(VLOOKUP(A2114,'[1]Sales Order'!A:C,3,FALSE),[1]Employee!A:C,3,FALSE)&amp;" "&amp;VLOOKUP(VLOOKUP(A2114,'[1]Sales Order'!A:C,3,FALSE),[1]Employee!A:B,2,FALSE),"Not Specified")</f>
        <v>Dr. Don Funk</v>
      </c>
      <c r="I2114" t="str">
        <f>IFERROR(VLOOKUP(VLOOKUP(A2114,'[1]Sales Order'!A:C,3,FALSE),[1]Employee!A:J,10,FALSE),"Not Specified")</f>
        <v>WA</v>
      </c>
      <c r="J2114" t="str">
        <f>VLOOKUP(B2114,[1]Product!A:B,2,FALSE)</f>
        <v>Product RECZE</v>
      </c>
      <c r="K2114" t="str">
        <f>VLOOKUP(VLOOKUP(B2114,[1]Product!A:D,4,FALSE),[1]Category!A:B,2,FALSE)</f>
        <v>Beverages</v>
      </c>
      <c r="L2114" s="10">
        <f>IFERROR(VLOOKUP(A2114,'[1]Sales Order'!A:D,4,FALSE),"")</f>
        <v>39573</v>
      </c>
      <c r="M2114" s="10">
        <f>IFERROR(VLOOKUP(A2114,'[1]Sales Order'!A:F,6,FALSE),"")</f>
        <v>0</v>
      </c>
      <c r="N2114" t="str">
        <f>IFERROR(VLOOKUP(VLOOKUP(A2114,'[1]Sales Order'!A:G,7,FALSE),[1]Shipper!A:B,2,FALSE),"Not Specified")</f>
        <v>Shipper GVSUA</v>
      </c>
      <c r="O2114" t="str">
        <f>IFERROR(VLOOKUP(A2114,'[1]Sales Order'!A:I,9,FALSE),"Not Specified")</f>
        <v>Ship to 44-A</v>
      </c>
      <c r="P2114" t="str">
        <f>IFERROR(VLOOKUP(A2114,'[1]Sales Order'!A:N,14,FALSE),"Not Specified")</f>
        <v>Germany</v>
      </c>
      <c r="Q2114" t="str">
        <f>VLOOKUP(VLOOKUP(B2114,[1]Product!A:C,3,FALSE),[1]Supplier!A:B,2,FALSE)</f>
        <v>Supplier SWRXU</v>
      </c>
      <c r="R2114" t="str">
        <f>VLOOKUP(VLOOKUP(B2114,[1]Product!A:C,3,FALSE),[1]Supplier!A:I,9,FALSE)</f>
        <v>UK</v>
      </c>
      <c r="S2114" t="str">
        <f>IFERROR(IF(VLOOKUP(A2114,'[1]Sales Order'!A:H,8,FALSE)&gt;100,"High Freight","Low Freight"),"Not Specified")</f>
        <v>High Freight</v>
      </c>
      <c r="T2114">
        <f t="shared" si="65"/>
        <v>323</v>
      </c>
    </row>
    <row r="2115" spans="1:20">
      <c r="A2115" s="1">
        <v>11070</v>
      </c>
      <c r="B2115" s="2">
        <v>16</v>
      </c>
      <c r="C2115" s="2">
        <v>17.45</v>
      </c>
      <c r="D2115" s="2">
        <v>30</v>
      </c>
      <c r="E2115" s="3">
        <v>0.15</v>
      </c>
      <c r="F2115" s="2" t="str">
        <f>IFERROR(VLOOKUP(VLOOKUP(A2115,'[1]Sales Order'!A:B,2,FALSE),[1]Customer!A:C,3,FALSE),"Not Specified")</f>
        <v>Louverdis, George</v>
      </c>
      <c r="G2115" s="2" t="str">
        <f t="shared" ref="G2115:G2156" si="66">SUBSTITUTE(F2115,",","",1)</f>
        <v>Louverdis George</v>
      </c>
      <c r="H2115" s="8" t="str">
        <f>IFERROR(VLOOKUP(VLOOKUP(A2115,'[1]Sales Order'!A:C,3,FALSE),[1]Employee!A:E,5,FALSE)&amp;" "&amp;VLOOKUP(VLOOKUP(A2115,'[1]Sales Order'!A:C,3,FALSE),[1]Employee!A:C,3,FALSE)&amp;" "&amp;VLOOKUP(VLOOKUP(A2115,'[1]Sales Order'!A:C,3,FALSE),[1]Employee!A:B,2,FALSE),"Not Specified")</f>
        <v>Dr. Don Funk</v>
      </c>
      <c r="I2115" t="str">
        <f>IFERROR(VLOOKUP(VLOOKUP(A2115,'[1]Sales Order'!A:C,3,FALSE),[1]Employee!A:J,10,FALSE),"Not Specified")</f>
        <v>WA</v>
      </c>
      <c r="J2115" t="str">
        <f>VLOOKUP(B2115,[1]Product!A:B,2,FALSE)</f>
        <v>Product PAFRH</v>
      </c>
      <c r="K2115" t="str">
        <f>VLOOKUP(VLOOKUP(B2115,[1]Product!A:D,4,FALSE),[1]Category!A:B,2,FALSE)</f>
        <v>Confections</v>
      </c>
      <c r="L2115" s="10">
        <f>IFERROR(VLOOKUP(A2115,'[1]Sales Order'!A:D,4,FALSE),"")</f>
        <v>39573</v>
      </c>
      <c r="M2115" s="10">
        <f>IFERROR(VLOOKUP(A2115,'[1]Sales Order'!A:F,6,FALSE),"")</f>
        <v>0</v>
      </c>
      <c r="N2115" t="str">
        <f>IFERROR(VLOOKUP(VLOOKUP(A2115,'[1]Sales Order'!A:G,7,FALSE),[1]Shipper!A:B,2,FALSE),"Not Specified")</f>
        <v>Shipper GVSUA</v>
      </c>
      <c r="O2115" t="str">
        <f>IFERROR(VLOOKUP(A2115,'[1]Sales Order'!A:I,9,FALSE),"Not Specified")</f>
        <v>Ship to 44-A</v>
      </c>
      <c r="P2115" t="str">
        <f>IFERROR(VLOOKUP(A2115,'[1]Sales Order'!A:N,14,FALSE),"Not Specified")</f>
        <v>Germany</v>
      </c>
      <c r="Q2115" t="str">
        <f>VLOOKUP(VLOOKUP(B2115,[1]Product!A:C,3,FALSE),[1]Supplier!A:B,2,FALSE)</f>
        <v>Supplier GQRCV</v>
      </c>
      <c r="R2115" t="str">
        <f>VLOOKUP(VLOOKUP(B2115,[1]Product!A:C,3,FALSE),[1]Supplier!A:I,9,FALSE)</f>
        <v>Australia</v>
      </c>
      <c r="S2115" t="str">
        <f>IFERROR(IF(VLOOKUP(A2115,'[1]Sales Order'!A:H,8,FALSE)&gt;100,"High Freight","Low Freight"),"Not Specified")</f>
        <v>High Freight</v>
      </c>
      <c r="T2115">
        <f t="shared" ref="T2115:T2156" si="67">C2115*D2115*(1-E2115)</f>
        <v>444.97499999999997</v>
      </c>
    </row>
    <row r="2116" spans="1:20">
      <c r="A2116" s="1">
        <v>11070</v>
      </c>
      <c r="B2116" s="2">
        <v>31</v>
      </c>
      <c r="C2116" s="2">
        <v>12.5</v>
      </c>
      <c r="D2116" s="2">
        <v>20</v>
      </c>
      <c r="E2116" s="3">
        <v>0</v>
      </c>
      <c r="F2116" s="2" t="str">
        <f>IFERROR(VLOOKUP(VLOOKUP(A2116,'[1]Sales Order'!A:B,2,FALSE),[1]Customer!A:C,3,FALSE),"Not Specified")</f>
        <v>Louverdis, George</v>
      </c>
      <c r="G2116" s="2" t="str">
        <f t="shared" si="66"/>
        <v>Louverdis George</v>
      </c>
      <c r="H2116" s="8" t="str">
        <f>IFERROR(VLOOKUP(VLOOKUP(A2116,'[1]Sales Order'!A:C,3,FALSE),[1]Employee!A:E,5,FALSE)&amp;" "&amp;VLOOKUP(VLOOKUP(A2116,'[1]Sales Order'!A:C,3,FALSE),[1]Employee!A:C,3,FALSE)&amp;" "&amp;VLOOKUP(VLOOKUP(A2116,'[1]Sales Order'!A:C,3,FALSE),[1]Employee!A:B,2,FALSE),"Not Specified")</f>
        <v>Dr. Don Funk</v>
      </c>
      <c r="I2116" t="str">
        <f>IFERROR(VLOOKUP(VLOOKUP(A2116,'[1]Sales Order'!A:C,3,FALSE),[1]Employee!A:J,10,FALSE),"Not Specified")</f>
        <v>WA</v>
      </c>
      <c r="J2116" t="str">
        <f>VLOOKUP(B2116,[1]Product!A:B,2,FALSE)</f>
        <v>Product XWOXC</v>
      </c>
      <c r="K2116" t="str">
        <f>VLOOKUP(VLOOKUP(B2116,[1]Product!A:D,4,FALSE),[1]Category!A:B,2,FALSE)</f>
        <v>Dairy Product</v>
      </c>
      <c r="L2116" s="10">
        <f>IFERROR(VLOOKUP(A2116,'[1]Sales Order'!A:D,4,FALSE),"")</f>
        <v>39573</v>
      </c>
      <c r="M2116" s="10">
        <f>IFERROR(VLOOKUP(A2116,'[1]Sales Order'!A:F,6,FALSE),"")</f>
        <v>0</v>
      </c>
      <c r="N2116" t="str">
        <f>IFERROR(VLOOKUP(VLOOKUP(A2116,'[1]Sales Order'!A:G,7,FALSE),[1]Shipper!A:B,2,FALSE),"Not Specified")</f>
        <v>Shipper GVSUA</v>
      </c>
      <c r="O2116" t="str">
        <f>IFERROR(VLOOKUP(A2116,'[1]Sales Order'!A:I,9,FALSE),"Not Specified")</f>
        <v>Ship to 44-A</v>
      </c>
      <c r="P2116" t="str">
        <f>IFERROR(VLOOKUP(A2116,'[1]Sales Order'!A:N,14,FALSE),"Not Specified")</f>
        <v>Germany</v>
      </c>
      <c r="Q2116" t="str">
        <f>VLOOKUP(VLOOKUP(B2116,[1]Product!A:C,3,FALSE),[1]Supplier!A:B,2,FALSE)</f>
        <v>Supplier KEREV</v>
      </c>
      <c r="R2116" t="str">
        <f>VLOOKUP(VLOOKUP(B2116,[1]Product!A:C,3,FALSE),[1]Supplier!A:I,9,FALSE)</f>
        <v>Italy</v>
      </c>
      <c r="S2116" t="str">
        <f>IFERROR(IF(VLOOKUP(A2116,'[1]Sales Order'!A:H,8,FALSE)&gt;100,"High Freight","Low Freight"),"Not Specified")</f>
        <v>High Freight</v>
      </c>
      <c r="T2116">
        <f t="shared" si="67"/>
        <v>250</v>
      </c>
    </row>
    <row r="2117" spans="1:20">
      <c r="A2117" s="1">
        <v>11071</v>
      </c>
      <c r="B2117" s="2">
        <v>7</v>
      </c>
      <c r="C2117" s="2">
        <v>30</v>
      </c>
      <c r="D2117" s="2">
        <v>15</v>
      </c>
      <c r="E2117" s="3">
        <v>0.05</v>
      </c>
      <c r="F2117" s="2" t="str">
        <f>IFERROR(VLOOKUP(VLOOKUP(A2117,'[1]Sales Order'!A:B,2,FALSE),[1]Customer!A:C,3,FALSE),"Not Specified")</f>
        <v>Dressler, Marlies</v>
      </c>
      <c r="G2117" s="2" t="str">
        <f t="shared" si="66"/>
        <v>Dressler Marlies</v>
      </c>
      <c r="H2117" s="8" t="str">
        <f>IFERROR(VLOOKUP(VLOOKUP(A2117,'[1]Sales Order'!A:C,3,FALSE),[1]Employee!A:E,5,FALSE)&amp;" "&amp;VLOOKUP(VLOOKUP(A2117,'[1]Sales Order'!A:C,3,FALSE),[1]Employee!A:C,3,FALSE)&amp;" "&amp;VLOOKUP(VLOOKUP(A2117,'[1]Sales Order'!A:C,3,FALSE),[1]Employee!A:B,2,FALSE),"Not Specified")</f>
        <v>Ms. Sara Davis</v>
      </c>
      <c r="I2117" t="str">
        <f>IFERROR(VLOOKUP(VLOOKUP(A2117,'[1]Sales Order'!A:C,3,FALSE),[1]Employee!A:J,10,FALSE),"Not Specified")</f>
        <v>WA</v>
      </c>
      <c r="J2117" t="str">
        <f>VLOOKUP(B2117,[1]Product!A:B,2,FALSE)</f>
        <v>Product HMLNI</v>
      </c>
      <c r="K2117" t="str">
        <f>VLOOKUP(VLOOKUP(B2117,[1]Product!A:D,4,FALSE),[1]Category!A:B,2,FALSE)</f>
        <v>Produce</v>
      </c>
      <c r="L2117" s="10">
        <f>IFERROR(VLOOKUP(A2117,'[1]Sales Order'!A:D,4,FALSE),"")</f>
        <v>39573</v>
      </c>
      <c r="M2117" s="10">
        <f>IFERROR(VLOOKUP(A2117,'[1]Sales Order'!A:F,6,FALSE),"")</f>
        <v>0</v>
      </c>
      <c r="N2117" t="str">
        <f>IFERROR(VLOOKUP(VLOOKUP(A2117,'[1]Sales Order'!A:G,7,FALSE),[1]Shipper!A:B,2,FALSE),"Not Specified")</f>
        <v>Shipper GVSUA</v>
      </c>
      <c r="O2117" t="str">
        <f>IFERROR(VLOOKUP(A2117,'[1]Sales Order'!A:I,9,FALSE),"Not Specified")</f>
        <v>Ship to 46-B</v>
      </c>
      <c r="P2117" t="str">
        <f>IFERROR(VLOOKUP(A2117,'[1]Sales Order'!A:N,14,FALSE),"Not Specified")</f>
        <v>Venezuela</v>
      </c>
      <c r="Q2117" t="str">
        <f>VLOOKUP(VLOOKUP(B2117,[1]Product!A:C,3,FALSE),[1]Supplier!A:B,2,FALSE)</f>
        <v>Supplier STUAZ</v>
      </c>
      <c r="R2117" t="str">
        <f>VLOOKUP(VLOOKUP(B2117,[1]Product!A:C,3,FALSE),[1]Supplier!A:I,9,FALSE)</f>
        <v>USA</v>
      </c>
      <c r="S2117" t="str">
        <f>IFERROR(IF(VLOOKUP(A2117,'[1]Sales Order'!A:H,8,FALSE)&gt;100,"High Freight","Low Freight"),"Not Specified")</f>
        <v>Low Freight</v>
      </c>
      <c r="T2117">
        <f t="shared" si="67"/>
        <v>427.5</v>
      </c>
    </row>
    <row r="2118" spans="1:20">
      <c r="A2118" s="1">
        <v>11071</v>
      </c>
      <c r="B2118" s="2">
        <v>13</v>
      </c>
      <c r="C2118" s="2">
        <v>6</v>
      </c>
      <c r="D2118" s="2">
        <v>10</v>
      </c>
      <c r="E2118" s="3">
        <v>0.05</v>
      </c>
      <c r="F2118" s="2" t="str">
        <f>IFERROR(VLOOKUP(VLOOKUP(A2118,'[1]Sales Order'!A:B,2,FALSE),[1]Customer!A:C,3,FALSE),"Not Specified")</f>
        <v>Dressler, Marlies</v>
      </c>
      <c r="G2118" s="2" t="str">
        <f t="shared" si="66"/>
        <v>Dressler Marlies</v>
      </c>
      <c r="H2118" s="8" t="str">
        <f>IFERROR(VLOOKUP(VLOOKUP(A2118,'[1]Sales Order'!A:C,3,FALSE),[1]Employee!A:E,5,FALSE)&amp;" "&amp;VLOOKUP(VLOOKUP(A2118,'[1]Sales Order'!A:C,3,FALSE),[1]Employee!A:C,3,FALSE)&amp;" "&amp;VLOOKUP(VLOOKUP(A2118,'[1]Sales Order'!A:C,3,FALSE),[1]Employee!A:B,2,FALSE),"Not Specified")</f>
        <v>Ms. Sara Davis</v>
      </c>
      <c r="I2118" t="str">
        <f>IFERROR(VLOOKUP(VLOOKUP(A2118,'[1]Sales Order'!A:C,3,FALSE),[1]Employee!A:J,10,FALSE),"Not Specified")</f>
        <v>WA</v>
      </c>
      <c r="J2118" t="str">
        <f>VLOOKUP(B2118,[1]Product!A:B,2,FALSE)</f>
        <v>Product POXFU</v>
      </c>
      <c r="K2118" t="str">
        <f>VLOOKUP(VLOOKUP(B2118,[1]Product!A:D,4,FALSE),[1]Category!A:B,2,FALSE)</f>
        <v>Seafood</v>
      </c>
      <c r="L2118" s="10">
        <f>IFERROR(VLOOKUP(A2118,'[1]Sales Order'!A:D,4,FALSE),"")</f>
        <v>39573</v>
      </c>
      <c r="M2118" s="10">
        <f>IFERROR(VLOOKUP(A2118,'[1]Sales Order'!A:F,6,FALSE),"")</f>
        <v>0</v>
      </c>
      <c r="N2118" t="str">
        <f>IFERROR(VLOOKUP(VLOOKUP(A2118,'[1]Sales Order'!A:G,7,FALSE),[1]Shipper!A:B,2,FALSE),"Not Specified")</f>
        <v>Shipper GVSUA</v>
      </c>
      <c r="O2118" t="str">
        <f>IFERROR(VLOOKUP(A2118,'[1]Sales Order'!A:I,9,FALSE),"Not Specified")</f>
        <v>Ship to 46-B</v>
      </c>
      <c r="P2118" t="str">
        <f>IFERROR(VLOOKUP(A2118,'[1]Sales Order'!A:N,14,FALSE),"Not Specified")</f>
        <v>Venezuela</v>
      </c>
      <c r="Q2118" t="str">
        <f>VLOOKUP(VLOOKUP(B2118,[1]Product!A:C,3,FALSE),[1]Supplier!A:B,2,FALSE)</f>
        <v>Supplier QWUSF</v>
      </c>
      <c r="R2118" t="str">
        <f>VLOOKUP(VLOOKUP(B2118,[1]Product!A:C,3,FALSE),[1]Supplier!A:I,9,FALSE)</f>
        <v>Japan</v>
      </c>
      <c r="S2118" t="str">
        <f>IFERROR(IF(VLOOKUP(A2118,'[1]Sales Order'!A:H,8,FALSE)&gt;100,"High Freight","Low Freight"),"Not Specified")</f>
        <v>Low Freight</v>
      </c>
      <c r="T2118">
        <f t="shared" si="67"/>
        <v>57</v>
      </c>
    </row>
    <row r="2119" spans="1:20">
      <c r="A2119" s="1">
        <v>11072</v>
      </c>
      <c r="B2119" s="2">
        <v>2</v>
      </c>
      <c r="C2119" s="2">
        <v>19</v>
      </c>
      <c r="D2119" s="2">
        <v>8</v>
      </c>
      <c r="E2119" s="3">
        <v>0</v>
      </c>
      <c r="F2119" s="2" t="str">
        <f>IFERROR(VLOOKUP(VLOOKUP(A2119,'[1]Sales Order'!A:B,2,FALSE),[1]Customer!A:C,3,FALSE),"Not Specified")</f>
        <v>Kane, John</v>
      </c>
      <c r="G2119" s="2" t="str">
        <f t="shared" si="66"/>
        <v>Kane John</v>
      </c>
      <c r="H2119" s="8" t="str">
        <f>IFERROR(VLOOKUP(VLOOKUP(A2119,'[1]Sales Order'!A:C,3,FALSE),[1]Employee!A:E,5,FALSE)&amp;" "&amp;VLOOKUP(VLOOKUP(A2119,'[1]Sales Order'!A:C,3,FALSE),[1]Employee!A:C,3,FALSE)&amp;" "&amp;VLOOKUP(VLOOKUP(A2119,'[1]Sales Order'!A:C,3,FALSE),[1]Employee!A:B,2,FALSE),"Not Specified")</f>
        <v>Mrs. Yael Peled</v>
      </c>
      <c r="I2119" t="str">
        <f>IFERROR(VLOOKUP(VLOOKUP(A2119,'[1]Sales Order'!A:C,3,FALSE),[1]Employee!A:J,10,FALSE),"Not Specified")</f>
        <v>WA</v>
      </c>
      <c r="J2119" t="str">
        <f>VLOOKUP(B2119,[1]Product!A:B,2,FALSE)</f>
        <v>Product RECZE</v>
      </c>
      <c r="K2119" t="str">
        <f>VLOOKUP(VLOOKUP(B2119,[1]Product!A:D,4,FALSE),[1]Category!A:B,2,FALSE)</f>
        <v>Beverages</v>
      </c>
      <c r="L2119" s="10">
        <f>IFERROR(VLOOKUP(A2119,'[1]Sales Order'!A:D,4,FALSE),"")</f>
        <v>39573</v>
      </c>
      <c r="M2119" s="10">
        <f>IFERROR(VLOOKUP(A2119,'[1]Sales Order'!A:F,6,FALSE),"")</f>
        <v>0</v>
      </c>
      <c r="N2119" t="str">
        <f>IFERROR(VLOOKUP(VLOOKUP(A2119,'[1]Sales Order'!A:G,7,FALSE),[1]Shipper!A:B,2,FALSE),"Not Specified")</f>
        <v>Shipper ETYNR</v>
      </c>
      <c r="O2119" t="str">
        <f>IFERROR(VLOOKUP(A2119,'[1]Sales Order'!A:I,9,FALSE),"Not Specified")</f>
        <v>Destination RVDMF</v>
      </c>
      <c r="P2119" t="str">
        <f>IFERROR(VLOOKUP(A2119,'[1]Sales Order'!A:N,14,FALSE),"Not Specified")</f>
        <v>Austria</v>
      </c>
      <c r="Q2119" t="str">
        <f>VLOOKUP(VLOOKUP(B2119,[1]Product!A:C,3,FALSE),[1]Supplier!A:B,2,FALSE)</f>
        <v>Supplier SWRXU</v>
      </c>
      <c r="R2119" t="str">
        <f>VLOOKUP(VLOOKUP(B2119,[1]Product!A:C,3,FALSE),[1]Supplier!A:I,9,FALSE)</f>
        <v>UK</v>
      </c>
      <c r="S2119" t="str">
        <f>IFERROR(IF(VLOOKUP(A2119,'[1]Sales Order'!A:H,8,FALSE)&gt;100,"High Freight","Low Freight"),"Not Specified")</f>
        <v>High Freight</v>
      </c>
      <c r="T2119">
        <f t="shared" si="67"/>
        <v>152</v>
      </c>
    </row>
    <row r="2120" spans="1:20">
      <c r="A2120" s="1">
        <v>11072</v>
      </c>
      <c r="B2120" s="2">
        <v>41</v>
      </c>
      <c r="C2120" s="2">
        <v>9.65</v>
      </c>
      <c r="D2120" s="2">
        <v>40</v>
      </c>
      <c r="E2120" s="3">
        <v>0</v>
      </c>
      <c r="F2120" s="2" t="str">
        <f>IFERROR(VLOOKUP(VLOOKUP(A2120,'[1]Sales Order'!A:B,2,FALSE),[1]Customer!A:C,3,FALSE),"Not Specified")</f>
        <v>Kane, John</v>
      </c>
      <c r="G2120" s="2" t="str">
        <f t="shared" si="66"/>
        <v>Kane John</v>
      </c>
      <c r="H2120" s="8" t="str">
        <f>IFERROR(VLOOKUP(VLOOKUP(A2120,'[1]Sales Order'!A:C,3,FALSE),[1]Employee!A:E,5,FALSE)&amp;" "&amp;VLOOKUP(VLOOKUP(A2120,'[1]Sales Order'!A:C,3,FALSE),[1]Employee!A:C,3,FALSE)&amp;" "&amp;VLOOKUP(VLOOKUP(A2120,'[1]Sales Order'!A:C,3,FALSE),[1]Employee!A:B,2,FALSE),"Not Specified")</f>
        <v>Mrs. Yael Peled</v>
      </c>
      <c r="I2120" t="str">
        <f>IFERROR(VLOOKUP(VLOOKUP(A2120,'[1]Sales Order'!A:C,3,FALSE),[1]Employee!A:J,10,FALSE),"Not Specified")</f>
        <v>WA</v>
      </c>
      <c r="J2120" t="str">
        <f>VLOOKUP(B2120,[1]Product!A:B,2,FALSE)</f>
        <v>Product TTEEX</v>
      </c>
      <c r="K2120" t="str">
        <f>VLOOKUP(VLOOKUP(B2120,[1]Product!A:D,4,FALSE),[1]Category!A:B,2,FALSE)</f>
        <v>Seafood</v>
      </c>
      <c r="L2120" s="10">
        <f>IFERROR(VLOOKUP(A2120,'[1]Sales Order'!A:D,4,FALSE),"")</f>
        <v>39573</v>
      </c>
      <c r="M2120" s="10">
        <f>IFERROR(VLOOKUP(A2120,'[1]Sales Order'!A:F,6,FALSE),"")</f>
        <v>0</v>
      </c>
      <c r="N2120" t="str">
        <f>IFERROR(VLOOKUP(VLOOKUP(A2120,'[1]Sales Order'!A:G,7,FALSE),[1]Shipper!A:B,2,FALSE),"Not Specified")</f>
        <v>Shipper ETYNR</v>
      </c>
      <c r="O2120" t="str">
        <f>IFERROR(VLOOKUP(A2120,'[1]Sales Order'!A:I,9,FALSE),"Not Specified")</f>
        <v>Destination RVDMF</v>
      </c>
      <c r="P2120" t="str">
        <f>IFERROR(VLOOKUP(A2120,'[1]Sales Order'!A:N,14,FALSE),"Not Specified")</f>
        <v>Austria</v>
      </c>
      <c r="Q2120" t="str">
        <f>VLOOKUP(VLOOKUP(B2120,[1]Product!A:C,3,FALSE),[1]Supplier!A:B,2,FALSE)</f>
        <v>Supplier JDNUG</v>
      </c>
      <c r="R2120" t="str">
        <f>VLOOKUP(VLOOKUP(B2120,[1]Product!A:C,3,FALSE),[1]Supplier!A:I,9,FALSE)</f>
        <v>USA</v>
      </c>
      <c r="S2120" t="str">
        <f>IFERROR(IF(VLOOKUP(A2120,'[1]Sales Order'!A:H,8,FALSE)&gt;100,"High Freight","Low Freight"),"Not Specified")</f>
        <v>High Freight</v>
      </c>
      <c r="T2120">
        <f t="shared" si="67"/>
        <v>386</v>
      </c>
    </row>
    <row r="2121" spans="1:20">
      <c r="A2121" s="1">
        <v>11072</v>
      </c>
      <c r="B2121" s="2">
        <v>50</v>
      </c>
      <c r="C2121" s="2">
        <v>16.25</v>
      </c>
      <c r="D2121" s="2">
        <v>22</v>
      </c>
      <c r="E2121" s="3">
        <v>0</v>
      </c>
      <c r="F2121" s="2" t="str">
        <f>IFERROR(VLOOKUP(VLOOKUP(A2121,'[1]Sales Order'!A:B,2,FALSE),[1]Customer!A:C,3,FALSE),"Not Specified")</f>
        <v>Kane, John</v>
      </c>
      <c r="G2121" s="2" t="str">
        <f t="shared" si="66"/>
        <v>Kane John</v>
      </c>
      <c r="H2121" s="8" t="str">
        <f>IFERROR(VLOOKUP(VLOOKUP(A2121,'[1]Sales Order'!A:C,3,FALSE),[1]Employee!A:E,5,FALSE)&amp;" "&amp;VLOOKUP(VLOOKUP(A2121,'[1]Sales Order'!A:C,3,FALSE),[1]Employee!A:C,3,FALSE)&amp;" "&amp;VLOOKUP(VLOOKUP(A2121,'[1]Sales Order'!A:C,3,FALSE),[1]Employee!A:B,2,FALSE),"Not Specified")</f>
        <v>Mrs. Yael Peled</v>
      </c>
      <c r="I2121" t="str">
        <f>IFERROR(VLOOKUP(VLOOKUP(A2121,'[1]Sales Order'!A:C,3,FALSE),[1]Employee!A:J,10,FALSE),"Not Specified")</f>
        <v>WA</v>
      </c>
      <c r="J2121" t="str">
        <f>VLOOKUP(B2121,[1]Product!A:B,2,FALSE)</f>
        <v>Product BIUDV</v>
      </c>
      <c r="K2121" t="str">
        <f>VLOOKUP(VLOOKUP(B2121,[1]Product!A:D,4,FALSE),[1]Category!A:B,2,FALSE)</f>
        <v>Confections</v>
      </c>
      <c r="L2121" s="10">
        <f>IFERROR(VLOOKUP(A2121,'[1]Sales Order'!A:D,4,FALSE),"")</f>
        <v>39573</v>
      </c>
      <c r="M2121" s="10">
        <f>IFERROR(VLOOKUP(A2121,'[1]Sales Order'!A:F,6,FALSE),"")</f>
        <v>0</v>
      </c>
      <c r="N2121" t="str">
        <f>IFERROR(VLOOKUP(VLOOKUP(A2121,'[1]Sales Order'!A:G,7,FALSE),[1]Shipper!A:B,2,FALSE),"Not Specified")</f>
        <v>Shipper ETYNR</v>
      </c>
      <c r="O2121" t="str">
        <f>IFERROR(VLOOKUP(A2121,'[1]Sales Order'!A:I,9,FALSE),"Not Specified")</f>
        <v>Destination RVDMF</v>
      </c>
      <c r="P2121" t="str">
        <f>IFERROR(VLOOKUP(A2121,'[1]Sales Order'!A:N,14,FALSE),"Not Specified")</f>
        <v>Austria</v>
      </c>
      <c r="Q2121" t="str">
        <f>VLOOKUP(VLOOKUP(B2121,[1]Product!A:C,3,FALSE),[1]Supplier!A:B,2,FALSE)</f>
        <v>Supplier ELCRN</v>
      </c>
      <c r="R2121" t="str">
        <f>VLOOKUP(VLOOKUP(B2121,[1]Product!A:C,3,FALSE),[1]Supplier!A:I,9,FALSE)</f>
        <v>Finland</v>
      </c>
      <c r="S2121" t="str">
        <f>IFERROR(IF(VLOOKUP(A2121,'[1]Sales Order'!A:H,8,FALSE)&gt;100,"High Freight","Low Freight"),"Not Specified")</f>
        <v>High Freight</v>
      </c>
      <c r="T2121">
        <f t="shared" si="67"/>
        <v>357.5</v>
      </c>
    </row>
    <row r="2122" spans="1:20">
      <c r="A2122" s="1">
        <v>11072</v>
      </c>
      <c r="B2122" s="2">
        <v>64</v>
      </c>
      <c r="C2122" s="2">
        <v>33.25</v>
      </c>
      <c r="D2122" s="2">
        <v>130</v>
      </c>
      <c r="E2122" s="3">
        <v>0</v>
      </c>
      <c r="F2122" s="2" t="str">
        <f>IFERROR(VLOOKUP(VLOOKUP(A2122,'[1]Sales Order'!A:B,2,FALSE),[1]Customer!A:C,3,FALSE),"Not Specified")</f>
        <v>Kane, John</v>
      </c>
      <c r="G2122" s="2" t="str">
        <f t="shared" si="66"/>
        <v>Kane John</v>
      </c>
      <c r="H2122" s="8" t="str">
        <f>IFERROR(VLOOKUP(VLOOKUP(A2122,'[1]Sales Order'!A:C,3,FALSE),[1]Employee!A:E,5,FALSE)&amp;" "&amp;VLOOKUP(VLOOKUP(A2122,'[1]Sales Order'!A:C,3,FALSE),[1]Employee!A:C,3,FALSE)&amp;" "&amp;VLOOKUP(VLOOKUP(A2122,'[1]Sales Order'!A:C,3,FALSE),[1]Employee!A:B,2,FALSE),"Not Specified")</f>
        <v>Mrs. Yael Peled</v>
      </c>
      <c r="I2122" t="str">
        <f>IFERROR(VLOOKUP(VLOOKUP(A2122,'[1]Sales Order'!A:C,3,FALSE),[1]Employee!A:J,10,FALSE),"Not Specified")</f>
        <v>WA</v>
      </c>
      <c r="J2122" t="str">
        <f>VLOOKUP(B2122,[1]Product!A:B,2,FALSE)</f>
        <v>Product HCQDE</v>
      </c>
      <c r="K2122" t="str">
        <f>VLOOKUP(VLOOKUP(B2122,[1]Product!A:D,4,FALSE),[1]Category!A:B,2,FALSE)</f>
        <v>Grains/Cereals</v>
      </c>
      <c r="L2122" s="10">
        <f>IFERROR(VLOOKUP(A2122,'[1]Sales Order'!A:D,4,FALSE),"")</f>
        <v>39573</v>
      </c>
      <c r="M2122" s="10">
        <f>IFERROR(VLOOKUP(A2122,'[1]Sales Order'!A:F,6,FALSE),"")</f>
        <v>0</v>
      </c>
      <c r="N2122" t="str">
        <f>IFERROR(VLOOKUP(VLOOKUP(A2122,'[1]Sales Order'!A:G,7,FALSE),[1]Shipper!A:B,2,FALSE),"Not Specified")</f>
        <v>Shipper ETYNR</v>
      </c>
      <c r="O2122" t="str">
        <f>IFERROR(VLOOKUP(A2122,'[1]Sales Order'!A:I,9,FALSE),"Not Specified")</f>
        <v>Destination RVDMF</v>
      </c>
      <c r="P2122" t="str">
        <f>IFERROR(VLOOKUP(A2122,'[1]Sales Order'!A:N,14,FALSE),"Not Specified")</f>
        <v>Austria</v>
      </c>
      <c r="Q2122" t="str">
        <f>VLOOKUP(VLOOKUP(B2122,[1]Product!A:C,3,FALSE),[1]Supplier!A:B,2,FALSE)</f>
        <v>Supplier SVIYA</v>
      </c>
      <c r="R2122" t="str">
        <f>VLOOKUP(VLOOKUP(B2122,[1]Product!A:C,3,FALSE),[1]Supplier!A:I,9,FALSE)</f>
        <v>Germany</v>
      </c>
      <c r="S2122" t="str">
        <f>IFERROR(IF(VLOOKUP(A2122,'[1]Sales Order'!A:H,8,FALSE)&gt;100,"High Freight","Low Freight"),"Not Specified")</f>
        <v>High Freight</v>
      </c>
      <c r="T2122">
        <f t="shared" si="67"/>
        <v>4322.5</v>
      </c>
    </row>
    <row r="2123" spans="1:20">
      <c r="A2123" s="1">
        <v>11073</v>
      </c>
      <c r="B2123" s="2">
        <v>11</v>
      </c>
      <c r="C2123" s="2">
        <v>21</v>
      </c>
      <c r="D2123" s="2">
        <v>10</v>
      </c>
      <c r="E2123" s="3">
        <v>0</v>
      </c>
      <c r="F2123" s="2" t="str">
        <f>IFERROR(VLOOKUP(VLOOKUP(A2123,'[1]Sales Order'!A:B,2,FALSE),[1]Customer!A:C,3,FALSE),"Not Specified")</f>
        <v>Fakhouri, Fadi</v>
      </c>
      <c r="G2123" s="2" t="str">
        <f t="shared" si="66"/>
        <v>Fakhouri Fadi</v>
      </c>
      <c r="H2123" s="8" t="str">
        <f>IFERROR(VLOOKUP(VLOOKUP(A2123,'[1]Sales Order'!A:C,3,FALSE),[1]Employee!A:E,5,FALSE)&amp;" "&amp;VLOOKUP(VLOOKUP(A2123,'[1]Sales Order'!A:C,3,FALSE),[1]Employee!A:C,3,FALSE)&amp;" "&amp;VLOOKUP(VLOOKUP(A2123,'[1]Sales Order'!A:C,3,FALSE),[1]Employee!A:B,2,FALSE),"Not Specified")</f>
        <v>Dr. Don Funk</v>
      </c>
      <c r="I2123" t="str">
        <f>IFERROR(VLOOKUP(VLOOKUP(A2123,'[1]Sales Order'!A:C,3,FALSE),[1]Employee!A:J,10,FALSE),"Not Specified")</f>
        <v>WA</v>
      </c>
      <c r="J2123" t="str">
        <f>VLOOKUP(B2123,[1]Product!A:B,2,FALSE)</f>
        <v>Product QMVUN</v>
      </c>
      <c r="K2123" t="str">
        <f>VLOOKUP(VLOOKUP(B2123,[1]Product!A:D,4,FALSE),[1]Category!A:B,2,FALSE)</f>
        <v>Dairy Product</v>
      </c>
      <c r="L2123" s="10">
        <f>IFERROR(VLOOKUP(A2123,'[1]Sales Order'!A:D,4,FALSE),"")</f>
        <v>39573</v>
      </c>
      <c r="M2123" s="10">
        <f>IFERROR(VLOOKUP(A2123,'[1]Sales Order'!A:F,6,FALSE),"")</f>
        <v>0</v>
      </c>
      <c r="N2123" t="str">
        <f>IFERROR(VLOOKUP(VLOOKUP(A2123,'[1]Sales Order'!A:G,7,FALSE),[1]Shipper!A:B,2,FALSE),"Not Specified")</f>
        <v>Shipper ETYNR</v>
      </c>
      <c r="O2123" t="str">
        <f>IFERROR(VLOOKUP(A2123,'[1]Sales Order'!A:I,9,FALSE),"Not Specified")</f>
        <v>Ship to 58-B</v>
      </c>
      <c r="P2123" t="str">
        <f>IFERROR(VLOOKUP(A2123,'[1]Sales Order'!A:N,14,FALSE),"Not Specified")</f>
        <v>Mexico</v>
      </c>
      <c r="Q2123" t="str">
        <f>VLOOKUP(VLOOKUP(B2123,[1]Product!A:C,3,FALSE),[1]Supplier!A:B,2,FALSE)</f>
        <v>Supplier EQPNC</v>
      </c>
      <c r="R2123" t="str">
        <f>VLOOKUP(VLOOKUP(B2123,[1]Product!A:C,3,FALSE),[1]Supplier!A:I,9,FALSE)</f>
        <v>Spain</v>
      </c>
      <c r="S2123" t="str">
        <f>IFERROR(IF(VLOOKUP(A2123,'[1]Sales Order'!A:H,8,FALSE)&gt;100,"High Freight","Low Freight"),"Not Specified")</f>
        <v>Low Freight</v>
      </c>
      <c r="T2123">
        <f t="shared" si="67"/>
        <v>210</v>
      </c>
    </row>
    <row r="2124" spans="1:20">
      <c r="A2124" s="1">
        <v>11073</v>
      </c>
      <c r="B2124" s="2">
        <v>24</v>
      </c>
      <c r="C2124" s="2">
        <v>4.5</v>
      </c>
      <c r="D2124" s="2">
        <v>20</v>
      </c>
      <c r="E2124" s="3">
        <v>0</v>
      </c>
      <c r="F2124" s="2" t="str">
        <f>IFERROR(VLOOKUP(VLOOKUP(A2124,'[1]Sales Order'!A:B,2,FALSE),[1]Customer!A:C,3,FALSE),"Not Specified")</f>
        <v>Fakhouri, Fadi</v>
      </c>
      <c r="G2124" s="2" t="str">
        <f t="shared" si="66"/>
        <v>Fakhouri Fadi</v>
      </c>
      <c r="H2124" s="8" t="str">
        <f>IFERROR(VLOOKUP(VLOOKUP(A2124,'[1]Sales Order'!A:C,3,FALSE),[1]Employee!A:E,5,FALSE)&amp;" "&amp;VLOOKUP(VLOOKUP(A2124,'[1]Sales Order'!A:C,3,FALSE),[1]Employee!A:C,3,FALSE)&amp;" "&amp;VLOOKUP(VLOOKUP(A2124,'[1]Sales Order'!A:C,3,FALSE),[1]Employee!A:B,2,FALSE),"Not Specified")</f>
        <v>Dr. Don Funk</v>
      </c>
      <c r="I2124" t="str">
        <f>IFERROR(VLOOKUP(VLOOKUP(A2124,'[1]Sales Order'!A:C,3,FALSE),[1]Employee!A:J,10,FALSE),"Not Specified")</f>
        <v>WA</v>
      </c>
      <c r="J2124" t="str">
        <f>VLOOKUP(B2124,[1]Product!A:B,2,FALSE)</f>
        <v>Product QOGNU</v>
      </c>
      <c r="K2124" t="str">
        <f>VLOOKUP(VLOOKUP(B2124,[1]Product!A:D,4,FALSE),[1]Category!A:B,2,FALSE)</f>
        <v>Beverages</v>
      </c>
      <c r="L2124" s="10">
        <f>IFERROR(VLOOKUP(A2124,'[1]Sales Order'!A:D,4,FALSE),"")</f>
        <v>39573</v>
      </c>
      <c r="M2124" s="10">
        <f>IFERROR(VLOOKUP(A2124,'[1]Sales Order'!A:F,6,FALSE),"")</f>
        <v>0</v>
      </c>
      <c r="N2124" t="str">
        <f>IFERROR(VLOOKUP(VLOOKUP(A2124,'[1]Sales Order'!A:G,7,FALSE),[1]Shipper!A:B,2,FALSE),"Not Specified")</f>
        <v>Shipper ETYNR</v>
      </c>
      <c r="O2124" t="str">
        <f>IFERROR(VLOOKUP(A2124,'[1]Sales Order'!A:I,9,FALSE),"Not Specified")</f>
        <v>Ship to 58-B</v>
      </c>
      <c r="P2124" t="str">
        <f>IFERROR(VLOOKUP(A2124,'[1]Sales Order'!A:N,14,FALSE),"Not Specified")</f>
        <v>Mexico</v>
      </c>
      <c r="Q2124" t="str">
        <f>VLOOKUP(VLOOKUP(B2124,[1]Product!A:C,3,FALSE),[1]Supplier!A:B,2,FALSE)</f>
        <v>Supplier UNAHG</v>
      </c>
      <c r="R2124" t="str">
        <f>VLOOKUP(VLOOKUP(B2124,[1]Product!A:C,3,FALSE),[1]Supplier!A:I,9,FALSE)</f>
        <v>Brazil</v>
      </c>
      <c r="S2124" t="str">
        <f>IFERROR(IF(VLOOKUP(A2124,'[1]Sales Order'!A:H,8,FALSE)&gt;100,"High Freight","Low Freight"),"Not Specified")</f>
        <v>Low Freight</v>
      </c>
      <c r="T2124">
        <f t="shared" si="67"/>
        <v>90</v>
      </c>
    </row>
    <row r="2125" spans="1:20">
      <c r="A2125" s="1">
        <v>11074</v>
      </c>
      <c r="B2125" s="2">
        <v>16</v>
      </c>
      <c r="C2125" s="2">
        <v>17.45</v>
      </c>
      <c r="D2125" s="2">
        <v>14</v>
      </c>
      <c r="E2125" s="3">
        <v>0.05</v>
      </c>
      <c r="F2125" s="2" t="str">
        <f>IFERROR(VLOOKUP(VLOOKUP(A2125,'[1]Sales Order'!A:B,2,FALSE),[1]Customer!A:C,3,FALSE),"Not Specified")</f>
        <v>Gonzalez, Nuria</v>
      </c>
      <c r="G2125" s="2" t="str">
        <f t="shared" si="66"/>
        <v>Gonzalez Nuria</v>
      </c>
      <c r="H2125" s="8" t="str">
        <f>IFERROR(VLOOKUP(VLOOKUP(A2125,'[1]Sales Order'!A:C,3,FALSE),[1]Employee!A:E,5,FALSE)&amp;" "&amp;VLOOKUP(VLOOKUP(A2125,'[1]Sales Order'!A:C,3,FALSE),[1]Employee!A:C,3,FALSE)&amp;" "&amp;VLOOKUP(VLOOKUP(A2125,'[1]Sales Order'!A:C,3,FALSE),[1]Employee!A:B,2,FALSE),"Not Specified")</f>
        <v>Mr. Russell King</v>
      </c>
      <c r="I2125">
        <f>IFERROR(VLOOKUP(VLOOKUP(A2125,'[1]Sales Order'!A:C,3,FALSE),[1]Employee!A:J,10,FALSE),"Not Specified")</f>
        <v>0</v>
      </c>
      <c r="J2125" t="str">
        <f>VLOOKUP(B2125,[1]Product!A:B,2,FALSE)</f>
        <v>Product PAFRH</v>
      </c>
      <c r="K2125" t="str">
        <f>VLOOKUP(VLOOKUP(B2125,[1]Product!A:D,4,FALSE),[1]Category!A:B,2,FALSE)</f>
        <v>Confections</v>
      </c>
      <c r="L2125" s="10">
        <f>IFERROR(VLOOKUP(A2125,'[1]Sales Order'!A:D,4,FALSE),"")</f>
        <v>39574</v>
      </c>
      <c r="M2125" s="10">
        <f>IFERROR(VLOOKUP(A2125,'[1]Sales Order'!A:F,6,FALSE),"")</f>
        <v>0</v>
      </c>
      <c r="N2125" t="str">
        <f>IFERROR(VLOOKUP(VLOOKUP(A2125,'[1]Sales Order'!A:G,7,FALSE),[1]Shipper!A:B,2,FALSE),"Not Specified")</f>
        <v>Shipper ETYNR</v>
      </c>
      <c r="O2125" t="str">
        <f>IFERROR(VLOOKUP(A2125,'[1]Sales Order'!A:I,9,FALSE),"Not Specified")</f>
        <v>Ship to 73-A</v>
      </c>
      <c r="P2125" t="str">
        <f>IFERROR(VLOOKUP(A2125,'[1]Sales Order'!A:N,14,FALSE),"Not Specified")</f>
        <v>Denmark</v>
      </c>
      <c r="Q2125" t="str">
        <f>VLOOKUP(VLOOKUP(B2125,[1]Product!A:C,3,FALSE),[1]Supplier!A:B,2,FALSE)</f>
        <v>Supplier GQRCV</v>
      </c>
      <c r="R2125" t="str">
        <f>VLOOKUP(VLOOKUP(B2125,[1]Product!A:C,3,FALSE),[1]Supplier!A:I,9,FALSE)</f>
        <v>Australia</v>
      </c>
      <c r="S2125" t="str">
        <f>IFERROR(IF(VLOOKUP(A2125,'[1]Sales Order'!A:H,8,FALSE)&gt;100,"High Freight","Low Freight"),"Not Specified")</f>
        <v>Low Freight</v>
      </c>
      <c r="T2125">
        <f t="shared" si="67"/>
        <v>232.08499999999998</v>
      </c>
    </row>
    <row r="2126" spans="1:20">
      <c r="A2126" s="1">
        <v>11075</v>
      </c>
      <c r="B2126" s="2">
        <v>2</v>
      </c>
      <c r="C2126" s="2">
        <v>19</v>
      </c>
      <c r="D2126" s="2">
        <v>10</v>
      </c>
      <c r="E2126" s="3">
        <v>0.15</v>
      </c>
      <c r="F2126" s="2" t="str">
        <f>IFERROR(VLOOKUP(VLOOKUP(A2126,'[1]Sales Order'!A:B,2,FALSE),[1]Customer!A:C,3,FALSE),"Not Specified")</f>
        <v>Myrcha, Jacek</v>
      </c>
      <c r="G2126" s="2" t="str">
        <f t="shared" si="66"/>
        <v>Myrcha Jacek</v>
      </c>
      <c r="H2126" s="8" t="str">
        <f>IFERROR(VLOOKUP(VLOOKUP(A2126,'[1]Sales Order'!A:C,3,FALSE),[1]Employee!A:E,5,FALSE)&amp;" "&amp;VLOOKUP(VLOOKUP(A2126,'[1]Sales Order'!A:C,3,FALSE),[1]Employee!A:C,3,FALSE)&amp;" "&amp;VLOOKUP(VLOOKUP(A2126,'[1]Sales Order'!A:C,3,FALSE),[1]Employee!A:B,2,FALSE),"Not Specified")</f>
        <v>Ms. Maria Cameron</v>
      </c>
      <c r="I2126" t="str">
        <f>IFERROR(VLOOKUP(VLOOKUP(A2126,'[1]Sales Order'!A:C,3,FALSE),[1]Employee!A:J,10,FALSE),"Not Specified")</f>
        <v>WA</v>
      </c>
      <c r="J2126" t="str">
        <f>VLOOKUP(B2126,[1]Product!A:B,2,FALSE)</f>
        <v>Product RECZE</v>
      </c>
      <c r="K2126" t="str">
        <f>VLOOKUP(VLOOKUP(B2126,[1]Product!A:D,4,FALSE),[1]Category!A:B,2,FALSE)</f>
        <v>Beverages</v>
      </c>
      <c r="L2126" s="10">
        <f>IFERROR(VLOOKUP(A2126,'[1]Sales Order'!A:D,4,FALSE),"")</f>
        <v>39574</v>
      </c>
      <c r="M2126" s="10">
        <f>IFERROR(VLOOKUP(A2126,'[1]Sales Order'!A:F,6,FALSE),"")</f>
        <v>0</v>
      </c>
      <c r="N2126" t="str">
        <f>IFERROR(VLOOKUP(VLOOKUP(A2126,'[1]Sales Order'!A:G,7,FALSE),[1]Shipper!A:B,2,FALSE),"Not Specified")</f>
        <v>Shipper ETYNR</v>
      </c>
      <c r="O2126" t="str">
        <f>IFERROR(VLOOKUP(A2126,'[1]Sales Order'!A:I,9,FALSE),"Not Specified")</f>
        <v>Ship to 68-A</v>
      </c>
      <c r="P2126" t="str">
        <f>IFERROR(VLOOKUP(A2126,'[1]Sales Order'!A:N,14,FALSE),"Not Specified")</f>
        <v>Switzerland</v>
      </c>
      <c r="Q2126" t="str">
        <f>VLOOKUP(VLOOKUP(B2126,[1]Product!A:C,3,FALSE),[1]Supplier!A:B,2,FALSE)</f>
        <v>Supplier SWRXU</v>
      </c>
      <c r="R2126" t="str">
        <f>VLOOKUP(VLOOKUP(B2126,[1]Product!A:C,3,FALSE),[1]Supplier!A:I,9,FALSE)</f>
        <v>UK</v>
      </c>
      <c r="S2126" t="str">
        <f>IFERROR(IF(VLOOKUP(A2126,'[1]Sales Order'!A:H,8,FALSE)&gt;100,"High Freight","Low Freight"),"Not Specified")</f>
        <v>Low Freight</v>
      </c>
      <c r="T2126">
        <f t="shared" si="67"/>
        <v>161.5</v>
      </c>
    </row>
    <row r="2127" spans="1:20">
      <c r="A2127" s="1">
        <v>11075</v>
      </c>
      <c r="B2127" s="2">
        <v>46</v>
      </c>
      <c r="C2127" s="2">
        <v>12</v>
      </c>
      <c r="D2127" s="2">
        <v>30</v>
      </c>
      <c r="E2127" s="3">
        <v>0.15</v>
      </c>
      <c r="F2127" s="2" t="str">
        <f>IFERROR(VLOOKUP(VLOOKUP(A2127,'[1]Sales Order'!A:B,2,FALSE),[1]Customer!A:C,3,FALSE),"Not Specified")</f>
        <v>Myrcha, Jacek</v>
      </c>
      <c r="G2127" s="2" t="str">
        <f t="shared" si="66"/>
        <v>Myrcha Jacek</v>
      </c>
      <c r="H2127" s="8" t="str">
        <f>IFERROR(VLOOKUP(VLOOKUP(A2127,'[1]Sales Order'!A:C,3,FALSE),[1]Employee!A:E,5,FALSE)&amp;" "&amp;VLOOKUP(VLOOKUP(A2127,'[1]Sales Order'!A:C,3,FALSE),[1]Employee!A:C,3,FALSE)&amp;" "&amp;VLOOKUP(VLOOKUP(A2127,'[1]Sales Order'!A:C,3,FALSE),[1]Employee!A:B,2,FALSE),"Not Specified")</f>
        <v>Ms. Maria Cameron</v>
      </c>
      <c r="I2127" t="str">
        <f>IFERROR(VLOOKUP(VLOOKUP(A2127,'[1]Sales Order'!A:C,3,FALSE),[1]Employee!A:J,10,FALSE),"Not Specified")</f>
        <v>WA</v>
      </c>
      <c r="J2127" t="str">
        <f>VLOOKUP(B2127,[1]Product!A:B,2,FALSE)</f>
        <v>Product CBRRL</v>
      </c>
      <c r="K2127" t="str">
        <f>VLOOKUP(VLOOKUP(B2127,[1]Product!A:D,4,FALSE),[1]Category!A:B,2,FALSE)</f>
        <v>Seafood</v>
      </c>
      <c r="L2127" s="10">
        <f>IFERROR(VLOOKUP(A2127,'[1]Sales Order'!A:D,4,FALSE),"")</f>
        <v>39574</v>
      </c>
      <c r="M2127" s="10">
        <f>IFERROR(VLOOKUP(A2127,'[1]Sales Order'!A:F,6,FALSE),"")</f>
        <v>0</v>
      </c>
      <c r="N2127" t="str">
        <f>IFERROR(VLOOKUP(VLOOKUP(A2127,'[1]Sales Order'!A:G,7,FALSE),[1]Shipper!A:B,2,FALSE),"Not Specified")</f>
        <v>Shipper ETYNR</v>
      </c>
      <c r="O2127" t="str">
        <f>IFERROR(VLOOKUP(A2127,'[1]Sales Order'!A:I,9,FALSE),"Not Specified")</f>
        <v>Ship to 68-A</v>
      </c>
      <c r="P2127" t="str">
        <f>IFERROR(VLOOKUP(A2127,'[1]Sales Order'!A:N,14,FALSE),"Not Specified")</f>
        <v>Switzerland</v>
      </c>
      <c r="Q2127" t="str">
        <f>VLOOKUP(VLOOKUP(B2127,[1]Product!A:C,3,FALSE),[1]Supplier!A:B,2,FALSE)</f>
        <v>Supplier XOXZA</v>
      </c>
      <c r="R2127" t="str">
        <f>VLOOKUP(VLOOKUP(B2127,[1]Product!A:C,3,FALSE),[1]Supplier!A:I,9,FALSE)</f>
        <v>Denmark</v>
      </c>
      <c r="S2127" t="str">
        <f>IFERROR(IF(VLOOKUP(A2127,'[1]Sales Order'!A:H,8,FALSE)&gt;100,"High Freight","Low Freight"),"Not Specified")</f>
        <v>Low Freight</v>
      </c>
      <c r="T2127">
        <f t="shared" si="67"/>
        <v>306</v>
      </c>
    </row>
    <row r="2128" spans="1:20">
      <c r="A2128" s="1">
        <v>11075</v>
      </c>
      <c r="B2128" s="2">
        <v>76</v>
      </c>
      <c r="C2128" s="2">
        <v>18</v>
      </c>
      <c r="D2128" s="2">
        <v>2</v>
      </c>
      <c r="E2128" s="3">
        <v>0.15</v>
      </c>
      <c r="F2128" s="2" t="str">
        <f>IFERROR(VLOOKUP(VLOOKUP(A2128,'[1]Sales Order'!A:B,2,FALSE),[1]Customer!A:C,3,FALSE),"Not Specified")</f>
        <v>Myrcha, Jacek</v>
      </c>
      <c r="G2128" s="2" t="str">
        <f t="shared" si="66"/>
        <v>Myrcha Jacek</v>
      </c>
      <c r="H2128" s="8" t="str">
        <f>IFERROR(VLOOKUP(VLOOKUP(A2128,'[1]Sales Order'!A:C,3,FALSE),[1]Employee!A:E,5,FALSE)&amp;" "&amp;VLOOKUP(VLOOKUP(A2128,'[1]Sales Order'!A:C,3,FALSE),[1]Employee!A:C,3,FALSE)&amp;" "&amp;VLOOKUP(VLOOKUP(A2128,'[1]Sales Order'!A:C,3,FALSE),[1]Employee!A:B,2,FALSE),"Not Specified")</f>
        <v>Ms. Maria Cameron</v>
      </c>
      <c r="I2128" t="str">
        <f>IFERROR(VLOOKUP(VLOOKUP(A2128,'[1]Sales Order'!A:C,3,FALSE),[1]Employee!A:J,10,FALSE),"Not Specified")</f>
        <v>WA</v>
      </c>
      <c r="J2128" t="str">
        <f>VLOOKUP(B2128,[1]Product!A:B,2,FALSE)</f>
        <v>Product JYGFE</v>
      </c>
      <c r="K2128" t="str">
        <f>VLOOKUP(VLOOKUP(B2128,[1]Product!A:D,4,FALSE),[1]Category!A:B,2,FALSE)</f>
        <v>Beverages</v>
      </c>
      <c r="L2128" s="10">
        <f>IFERROR(VLOOKUP(A2128,'[1]Sales Order'!A:D,4,FALSE),"")</f>
        <v>39574</v>
      </c>
      <c r="M2128" s="10">
        <f>IFERROR(VLOOKUP(A2128,'[1]Sales Order'!A:F,6,FALSE),"")</f>
        <v>0</v>
      </c>
      <c r="N2128" t="str">
        <f>IFERROR(VLOOKUP(VLOOKUP(A2128,'[1]Sales Order'!A:G,7,FALSE),[1]Shipper!A:B,2,FALSE),"Not Specified")</f>
        <v>Shipper ETYNR</v>
      </c>
      <c r="O2128" t="str">
        <f>IFERROR(VLOOKUP(A2128,'[1]Sales Order'!A:I,9,FALSE),"Not Specified")</f>
        <v>Ship to 68-A</v>
      </c>
      <c r="P2128" t="str">
        <f>IFERROR(VLOOKUP(A2128,'[1]Sales Order'!A:N,14,FALSE),"Not Specified")</f>
        <v>Switzerland</v>
      </c>
      <c r="Q2128" t="str">
        <f>VLOOKUP(VLOOKUP(B2128,[1]Product!A:C,3,FALSE),[1]Supplier!A:B,2,FALSE)</f>
        <v>Supplier ELCRN</v>
      </c>
      <c r="R2128" t="str">
        <f>VLOOKUP(VLOOKUP(B2128,[1]Product!A:C,3,FALSE),[1]Supplier!A:I,9,FALSE)</f>
        <v>Finland</v>
      </c>
      <c r="S2128" t="str">
        <f>IFERROR(IF(VLOOKUP(A2128,'[1]Sales Order'!A:H,8,FALSE)&gt;100,"High Freight","Low Freight"),"Not Specified")</f>
        <v>Low Freight</v>
      </c>
      <c r="T2128">
        <f t="shared" si="67"/>
        <v>30.599999999999998</v>
      </c>
    </row>
    <row r="2129" spans="1:20">
      <c r="A2129" s="1">
        <v>11076</v>
      </c>
      <c r="B2129" s="2">
        <v>6</v>
      </c>
      <c r="C2129" s="2">
        <v>25</v>
      </c>
      <c r="D2129" s="2">
        <v>20</v>
      </c>
      <c r="E2129" s="3">
        <v>0.25</v>
      </c>
      <c r="F2129" s="2" t="str">
        <f>IFERROR(VLOOKUP(VLOOKUP(A2129,'[1]Sales Order'!A:B,2,FALSE),[1]Customer!A:C,3,FALSE),"Not Specified")</f>
        <v>Raghav, Amritansh</v>
      </c>
      <c r="G2129" s="2" t="str">
        <f t="shared" si="66"/>
        <v>Raghav Amritansh</v>
      </c>
      <c r="H2129" s="8" t="str">
        <f>IFERROR(VLOOKUP(VLOOKUP(A2129,'[1]Sales Order'!A:C,3,FALSE),[1]Employee!A:E,5,FALSE)&amp;" "&amp;VLOOKUP(VLOOKUP(A2129,'[1]Sales Order'!A:C,3,FALSE),[1]Employee!A:C,3,FALSE)&amp;" "&amp;VLOOKUP(VLOOKUP(A2129,'[1]Sales Order'!A:C,3,FALSE),[1]Employee!A:B,2,FALSE),"Not Specified")</f>
        <v>Mrs. Yael Peled</v>
      </c>
      <c r="I2129" t="str">
        <f>IFERROR(VLOOKUP(VLOOKUP(A2129,'[1]Sales Order'!A:C,3,FALSE),[1]Employee!A:J,10,FALSE),"Not Specified")</f>
        <v>WA</v>
      </c>
      <c r="J2129" t="str">
        <f>VLOOKUP(B2129,[1]Product!A:B,2,FALSE)</f>
        <v>Product VAIIV</v>
      </c>
      <c r="K2129" t="str">
        <f>VLOOKUP(VLOOKUP(B2129,[1]Product!A:D,4,FALSE),[1]Category!A:B,2,FALSE)</f>
        <v>Condiments</v>
      </c>
      <c r="L2129" s="10">
        <f>IFERROR(VLOOKUP(A2129,'[1]Sales Order'!A:D,4,FALSE),"")</f>
        <v>39574</v>
      </c>
      <c r="M2129" s="10">
        <f>IFERROR(VLOOKUP(A2129,'[1]Sales Order'!A:F,6,FALSE),"")</f>
        <v>0</v>
      </c>
      <c r="N2129" t="str">
        <f>IFERROR(VLOOKUP(VLOOKUP(A2129,'[1]Sales Order'!A:G,7,FALSE),[1]Shipper!A:B,2,FALSE),"Not Specified")</f>
        <v>Shipper ETYNR</v>
      </c>
      <c r="O2129" t="str">
        <f>IFERROR(VLOOKUP(A2129,'[1]Sales Order'!A:I,9,FALSE),"Not Specified")</f>
        <v>Ship to 9-A</v>
      </c>
      <c r="P2129" t="str">
        <f>IFERROR(VLOOKUP(A2129,'[1]Sales Order'!A:N,14,FALSE),"Not Specified")</f>
        <v>France</v>
      </c>
      <c r="Q2129" t="str">
        <f>VLOOKUP(VLOOKUP(B2129,[1]Product!A:C,3,FALSE),[1]Supplier!A:B,2,FALSE)</f>
        <v>Supplier STUAZ</v>
      </c>
      <c r="R2129" t="str">
        <f>VLOOKUP(VLOOKUP(B2129,[1]Product!A:C,3,FALSE),[1]Supplier!A:I,9,FALSE)</f>
        <v>USA</v>
      </c>
      <c r="S2129" t="str">
        <f>IFERROR(IF(VLOOKUP(A2129,'[1]Sales Order'!A:H,8,FALSE)&gt;100,"High Freight","Low Freight"),"Not Specified")</f>
        <v>Low Freight</v>
      </c>
      <c r="T2129">
        <f t="shared" si="67"/>
        <v>375</v>
      </c>
    </row>
    <row r="2130" spans="1:20">
      <c r="A2130" s="1">
        <v>11076</v>
      </c>
      <c r="B2130" s="2">
        <v>14</v>
      </c>
      <c r="C2130" s="2">
        <v>23.25</v>
      </c>
      <c r="D2130" s="2">
        <v>20</v>
      </c>
      <c r="E2130" s="3">
        <v>0.25</v>
      </c>
      <c r="F2130" s="2" t="str">
        <f>IFERROR(VLOOKUP(VLOOKUP(A2130,'[1]Sales Order'!A:B,2,FALSE),[1]Customer!A:C,3,FALSE),"Not Specified")</f>
        <v>Raghav, Amritansh</v>
      </c>
      <c r="G2130" s="2" t="str">
        <f t="shared" si="66"/>
        <v>Raghav Amritansh</v>
      </c>
      <c r="H2130" s="8" t="str">
        <f>IFERROR(VLOOKUP(VLOOKUP(A2130,'[1]Sales Order'!A:C,3,FALSE),[1]Employee!A:E,5,FALSE)&amp;" "&amp;VLOOKUP(VLOOKUP(A2130,'[1]Sales Order'!A:C,3,FALSE),[1]Employee!A:C,3,FALSE)&amp;" "&amp;VLOOKUP(VLOOKUP(A2130,'[1]Sales Order'!A:C,3,FALSE),[1]Employee!A:B,2,FALSE),"Not Specified")</f>
        <v>Mrs. Yael Peled</v>
      </c>
      <c r="I2130" t="str">
        <f>IFERROR(VLOOKUP(VLOOKUP(A2130,'[1]Sales Order'!A:C,3,FALSE),[1]Employee!A:J,10,FALSE),"Not Specified")</f>
        <v>WA</v>
      </c>
      <c r="J2130" t="str">
        <f>VLOOKUP(B2130,[1]Product!A:B,2,FALSE)</f>
        <v>Product PWCJB</v>
      </c>
      <c r="K2130" t="str">
        <f>VLOOKUP(VLOOKUP(B2130,[1]Product!A:D,4,FALSE),[1]Category!A:B,2,FALSE)</f>
        <v>Produce</v>
      </c>
      <c r="L2130" s="10">
        <f>IFERROR(VLOOKUP(A2130,'[1]Sales Order'!A:D,4,FALSE),"")</f>
        <v>39574</v>
      </c>
      <c r="M2130" s="10">
        <f>IFERROR(VLOOKUP(A2130,'[1]Sales Order'!A:F,6,FALSE),"")</f>
        <v>0</v>
      </c>
      <c r="N2130" t="str">
        <f>IFERROR(VLOOKUP(VLOOKUP(A2130,'[1]Sales Order'!A:G,7,FALSE),[1]Shipper!A:B,2,FALSE),"Not Specified")</f>
        <v>Shipper ETYNR</v>
      </c>
      <c r="O2130" t="str">
        <f>IFERROR(VLOOKUP(A2130,'[1]Sales Order'!A:I,9,FALSE),"Not Specified")</f>
        <v>Ship to 9-A</v>
      </c>
      <c r="P2130" t="str">
        <f>IFERROR(VLOOKUP(A2130,'[1]Sales Order'!A:N,14,FALSE),"Not Specified")</f>
        <v>France</v>
      </c>
      <c r="Q2130" t="str">
        <f>VLOOKUP(VLOOKUP(B2130,[1]Product!A:C,3,FALSE),[1]Supplier!A:B,2,FALSE)</f>
        <v>Supplier QWUSF</v>
      </c>
      <c r="R2130" t="str">
        <f>VLOOKUP(VLOOKUP(B2130,[1]Product!A:C,3,FALSE),[1]Supplier!A:I,9,FALSE)</f>
        <v>Japan</v>
      </c>
      <c r="S2130" t="str">
        <f>IFERROR(IF(VLOOKUP(A2130,'[1]Sales Order'!A:H,8,FALSE)&gt;100,"High Freight","Low Freight"),"Not Specified")</f>
        <v>Low Freight</v>
      </c>
      <c r="T2130">
        <f t="shared" si="67"/>
        <v>348.75</v>
      </c>
    </row>
    <row r="2131" spans="1:20">
      <c r="A2131" s="1">
        <v>11076</v>
      </c>
      <c r="B2131" s="2">
        <v>19</v>
      </c>
      <c r="C2131" s="2">
        <v>9.1999999999999993</v>
      </c>
      <c r="D2131" s="2">
        <v>10</v>
      </c>
      <c r="E2131" s="3">
        <v>0.25</v>
      </c>
      <c r="F2131" s="2" t="str">
        <f>IFERROR(VLOOKUP(VLOOKUP(A2131,'[1]Sales Order'!A:B,2,FALSE),[1]Customer!A:C,3,FALSE),"Not Specified")</f>
        <v>Raghav, Amritansh</v>
      </c>
      <c r="G2131" s="2" t="str">
        <f t="shared" si="66"/>
        <v>Raghav Amritansh</v>
      </c>
      <c r="H2131" s="8" t="str">
        <f>IFERROR(VLOOKUP(VLOOKUP(A2131,'[1]Sales Order'!A:C,3,FALSE),[1]Employee!A:E,5,FALSE)&amp;" "&amp;VLOOKUP(VLOOKUP(A2131,'[1]Sales Order'!A:C,3,FALSE),[1]Employee!A:C,3,FALSE)&amp;" "&amp;VLOOKUP(VLOOKUP(A2131,'[1]Sales Order'!A:C,3,FALSE),[1]Employee!A:B,2,FALSE),"Not Specified")</f>
        <v>Mrs. Yael Peled</v>
      </c>
      <c r="I2131" t="str">
        <f>IFERROR(VLOOKUP(VLOOKUP(A2131,'[1]Sales Order'!A:C,3,FALSE),[1]Employee!A:J,10,FALSE),"Not Specified")</f>
        <v>WA</v>
      </c>
      <c r="J2131" t="str">
        <f>VLOOKUP(B2131,[1]Product!A:B,2,FALSE)</f>
        <v>Product XKXDO</v>
      </c>
      <c r="K2131" t="str">
        <f>VLOOKUP(VLOOKUP(B2131,[1]Product!A:D,4,FALSE),[1]Category!A:B,2,FALSE)</f>
        <v>Confections</v>
      </c>
      <c r="L2131" s="10">
        <f>IFERROR(VLOOKUP(A2131,'[1]Sales Order'!A:D,4,FALSE),"")</f>
        <v>39574</v>
      </c>
      <c r="M2131" s="10">
        <f>IFERROR(VLOOKUP(A2131,'[1]Sales Order'!A:F,6,FALSE),"")</f>
        <v>0</v>
      </c>
      <c r="N2131" t="str">
        <f>IFERROR(VLOOKUP(VLOOKUP(A2131,'[1]Sales Order'!A:G,7,FALSE),[1]Shipper!A:B,2,FALSE),"Not Specified")</f>
        <v>Shipper ETYNR</v>
      </c>
      <c r="O2131" t="str">
        <f>IFERROR(VLOOKUP(A2131,'[1]Sales Order'!A:I,9,FALSE),"Not Specified")</f>
        <v>Ship to 9-A</v>
      </c>
      <c r="P2131" t="str">
        <f>IFERROR(VLOOKUP(A2131,'[1]Sales Order'!A:N,14,FALSE),"Not Specified")</f>
        <v>France</v>
      </c>
      <c r="Q2131" t="str">
        <f>VLOOKUP(VLOOKUP(B2131,[1]Product!A:C,3,FALSE),[1]Supplier!A:B,2,FALSE)</f>
        <v>Supplier BWGYE</v>
      </c>
      <c r="R2131" t="str">
        <f>VLOOKUP(VLOOKUP(B2131,[1]Product!A:C,3,FALSE),[1]Supplier!A:I,9,FALSE)</f>
        <v>UK</v>
      </c>
      <c r="S2131" t="str">
        <f>IFERROR(IF(VLOOKUP(A2131,'[1]Sales Order'!A:H,8,FALSE)&gt;100,"High Freight","Low Freight"),"Not Specified")</f>
        <v>Low Freight</v>
      </c>
      <c r="T2131">
        <f t="shared" si="67"/>
        <v>69</v>
      </c>
    </row>
    <row r="2132" spans="1:20">
      <c r="A2132" s="1">
        <v>11077</v>
      </c>
      <c r="B2132" s="2">
        <v>2</v>
      </c>
      <c r="C2132" s="2">
        <v>19</v>
      </c>
      <c r="D2132" s="2">
        <v>24</v>
      </c>
      <c r="E2132" s="3">
        <v>0.2</v>
      </c>
      <c r="F2132" s="2" t="str">
        <f>IFERROR(VLOOKUP(VLOOKUP(A2132,'[1]Sales Order'!A:B,2,FALSE),[1]Customer!A:C,3,FALSE),"Not Specified")</f>
        <v>Moore, Michael</v>
      </c>
      <c r="G2132" s="2" t="str">
        <f t="shared" si="66"/>
        <v>Moore Michael</v>
      </c>
      <c r="H2132" s="8" t="str">
        <f>IFERROR(VLOOKUP(VLOOKUP(A2132,'[1]Sales Order'!A:C,3,FALSE),[1]Employee!A:E,5,FALSE)&amp;" "&amp;VLOOKUP(VLOOKUP(A2132,'[1]Sales Order'!A:C,3,FALSE),[1]Employee!A:C,3,FALSE)&amp;" "&amp;VLOOKUP(VLOOKUP(A2132,'[1]Sales Order'!A:C,3,FALSE),[1]Employee!A:B,2,FALSE),"Not Specified")</f>
        <v>Ms. Sara Davis</v>
      </c>
      <c r="I2132" t="str">
        <f>IFERROR(VLOOKUP(VLOOKUP(A2132,'[1]Sales Order'!A:C,3,FALSE),[1]Employee!A:J,10,FALSE),"Not Specified")</f>
        <v>WA</v>
      </c>
      <c r="J2132" t="str">
        <f>VLOOKUP(B2132,[1]Product!A:B,2,FALSE)</f>
        <v>Product RECZE</v>
      </c>
      <c r="K2132" t="str">
        <f>VLOOKUP(VLOOKUP(B2132,[1]Product!A:D,4,FALSE),[1]Category!A:B,2,FALSE)</f>
        <v>Beverages</v>
      </c>
      <c r="L2132" s="10">
        <f>IFERROR(VLOOKUP(A2132,'[1]Sales Order'!A:D,4,FALSE),"")</f>
        <v>39574</v>
      </c>
      <c r="M2132" s="10">
        <f>IFERROR(VLOOKUP(A2132,'[1]Sales Order'!A:F,6,FALSE),"")</f>
        <v>0</v>
      </c>
      <c r="N2132" t="str">
        <f>IFERROR(VLOOKUP(VLOOKUP(A2132,'[1]Sales Order'!A:G,7,FALSE),[1]Shipper!A:B,2,FALSE),"Not Specified")</f>
        <v>Shipper ETYNR</v>
      </c>
      <c r="O2132" t="str">
        <f>IFERROR(VLOOKUP(A2132,'[1]Sales Order'!A:I,9,FALSE),"Not Specified")</f>
        <v>Ship to 65-A</v>
      </c>
      <c r="P2132" t="str">
        <f>IFERROR(VLOOKUP(A2132,'[1]Sales Order'!A:N,14,FALSE),"Not Specified")</f>
        <v>USA</v>
      </c>
      <c r="Q2132" t="str">
        <f>VLOOKUP(VLOOKUP(B2132,[1]Product!A:C,3,FALSE),[1]Supplier!A:B,2,FALSE)</f>
        <v>Supplier SWRXU</v>
      </c>
      <c r="R2132" t="str">
        <f>VLOOKUP(VLOOKUP(B2132,[1]Product!A:C,3,FALSE),[1]Supplier!A:I,9,FALSE)</f>
        <v>UK</v>
      </c>
      <c r="S2132" t="str">
        <f>IFERROR(IF(VLOOKUP(A2132,'[1]Sales Order'!A:H,8,FALSE)&gt;100,"High Freight","Low Freight"),"Not Specified")</f>
        <v>Low Freight</v>
      </c>
      <c r="T2132">
        <f t="shared" si="67"/>
        <v>364.8</v>
      </c>
    </row>
    <row r="2133" spans="1:20">
      <c r="A2133" s="1">
        <v>11077</v>
      </c>
      <c r="B2133" s="2">
        <v>3</v>
      </c>
      <c r="C2133" s="2">
        <v>10</v>
      </c>
      <c r="D2133" s="2">
        <v>4</v>
      </c>
      <c r="E2133" s="3">
        <v>0</v>
      </c>
      <c r="F2133" s="2" t="str">
        <f>IFERROR(VLOOKUP(VLOOKUP(A2133,'[1]Sales Order'!A:B,2,FALSE),[1]Customer!A:C,3,FALSE),"Not Specified")</f>
        <v>Moore, Michael</v>
      </c>
      <c r="G2133" s="2" t="str">
        <f t="shared" si="66"/>
        <v>Moore Michael</v>
      </c>
      <c r="H2133" s="8" t="str">
        <f>IFERROR(VLOOKUP(VLOOKUP(A2133,'[1]Sales Order'!A:C,3,FALSE),[1]Employee!A:E,5,FALSE)&amp;" "&amp;VLOOKUP(VLOOKUP(A2133,'[1]Sales Order'!A:C,3,FALSE),[1]Employee!A:C,3,FALSE)&amp;" "&amp;VLOOKUP(VLOOKUP(A2133,'[1]Sales Order'!A:C,3,FALSE),[1]Employee!A:B,2,FALSE),"Not Specified")</f>
        <v>Ms. Sara Davis</v>
      </c>
      <c r="I2133" t="str">
        <f>IFERROR(VLOOKUP(VLOOKUP(A2133,'[1]Sales Order'!A:C,3,FALSE),[1]Employee!A:J,10,FALSE),"Not Specified")</f>
        <v>WA</v>
      </c>
      <c r="J2133" t="str">
        <f>VLOOKUP(B2133,[1]Product!A:B,2,FALSE)</f>
        <v>Product IMEHJ</v>
      </c>
      <c r="K2133" t="str">
        <f>VLOOKUP(VLOOKUP(B2133,[1]Product!A:D,4,FALSE),[1]Category!A:B,2,FALSE)</f>
        <v>Condiments</v>
      </c>
      <c r="L2133" s="10">
        <f>IFERROR(VLOOKUP(A2133,'[1]Sales Order'!A:D,4,FALSE),"")</f>
        <v>39574</v>
      </c>
      <c r="M2133" s="10">
        <f>IFERROR(VLOOKUP(A2133,'[1]Sales Order'!A:F,6,FALSE),"")</f>
        <v>0</v>
      </c>
      <c r="N2133" t="str">
        <f>IFERROR(VLOOKUP(VLOOKUP(A2133,'[1]Sales Order'!A:G,7,FALSE),[1]Shipper!A:B,2,FALSE),"Not Specified")</f>
        <v>Shipper ETYNR</v>
      </c>
      <c r="O2133" t="str">
        <f>IFERROR(VLOOKUP(A2133,'[1]Sales Order'!A:I,9,FALSE),"Not Specified")</f>
        <v>Ship to 65-A</v>
      </c>
      <c r="P2133" t="str">
        <f>IFERROR(VLOOKUP(A2133,'[1]Sales Order'!A:N,14,FALSE),"Not Specified")</f>
        <v>USA</v>
      </c>
      <c r="Q2133" t="str">
        <f>VLOOKUP(VLOOKUP(B2133,[1]Product!A:C,3,FALSE),[1]Supplier!A:B,2,FALSE)</f>
        <v>Supplier SWRXU</v>
      </c>
      <c r="R2133" t="str">
        <f>VLOOKUP(VLOOKUP(B2133,[1]Product!A:C,3,FALSE),[1]Supplier!A:I,9,FALSE)</f>
        <v>UK</v>
      </c>
      <c r="S2133" t="str">
        <f>IFERROR(IF(VLOOKUP(A2133,'[1]Sales Order'!A:H,8,FALSE)&gt;100,"High Freight","Low Freight"),"Not Specified")</f>
        <v>Low Freight</v>
      </c>
      <c r="T2133">
        <f t="shared" si="67"/>
        <v>40</v>
      </c>
    </row>
    <row r="2134" spans="1:20">
      <c r="A2134" s="1">
        <v>11077</v>
      </c>
      <c r="B2134" s="2">
        <v>4</v>
      </c>
      <c r="C2134" s="2">
        <v>22</v>
      </c>
      <c r="D2134" s="2">
        <v>1</v>
      </c>
      <c r="E2134" s="3">
        <v>0</v>
      </c>
      <c r="F2134" s="2" t="str">
        <f>IFERROR(VLOOKUP(VLOOKUP(A2134,'[1]Sales Order'!A:B,2,FALSE),[1]Customer!A:C,3,FALSE),"Not Specified")</f>
        <v>Moore, Michael</v>
      </c>
      <c r="G2134" s="2" t="str">
        <f t="shared" si="66"/>
        <v>Moore Michael</v>
      </c>
      <c r="H2134" s="8" t="str">
        <f>IFERROR(VLOOKUP(VLOOKUP(A2134,'[1]Sales Order'!A:C,3,FALSE),[1]Employee!A:E,5,FALSE)&amp;" "&amp;VLOOKUP(VLOOKUP(A2134,'[1]Sales Order'!A:C,3,FALSE),[1]Employee!A:C,3,FALSE)&amp;" "&amp;VLOOKUP(VLOOKUP(A2134,'[1]Sales Order'!A:C,3,FALSE),[1]Employee!A:B,2,FALSE),"Not Specified")</f>
        <v>Ms. Sara Davis</v>
      </c>
      <c r="I2134" t="str">
        <f>IFERROR(VLOOKUP(VLOOKUP(A2134,'[1]Sales Order'!A:C,3,FALSE),[1]Employee!A:J,10,FALSE),"Not Specified")</f>
        <v>WA</v>
      </c>
      <c r="J2134" t="str">
        <f>VLOOKUP(B2134,[1]Product!A:B,2,FALSE)</f>
        <v>Product KSBRM</v>
      </c>
      <c r="K2134" t="str">
        <f>VLOOKUP(VLOOKUP(B2134,[1]Product!A:D,4,FALSE),[1]Category!A:B,2,FALSE)</f>
        <v>Condiments</v>
      </c>
      <c r="L2134" s="10">
        <f>IFERROR(VLOOKUP(A2134,'[1]Sales Order'!A:D,4,FALSE),"")</f>
        <v>39574</v>
      </c>
      <c r="M2134" s="10">
        <f>IFERROR(VLOOKUP(A2134,'[1]Sales Order'!A:F,6,FALSE),"")</f>
        <v>0</v>
      </c>
      <c r="N2134" t="str">
        <f>IFERROR(VLOOKUP(VLOOKUP(A2134,'[1]Sales Order'!A:G,7,FALSE),[1]Shipper!A:B,2,FALSE),"Not Specified")</f>
        <v>Shipper ETYNR</v>
      </c>
      <c r="O2134" t="str">
        <f>IFERROR(VLOOKUP(A2134,'[1]Sales Order'!A:I,9,FALSE),"Not Specified")</f>
        <v>Ship to 65-A</v>
      </c>
      <c r="P2134" t="str">
        <f>IFERROR(VLOOKUP(A2134,'[1]Sales Order'!A:N,14,FALSE),"Not Specified")</f>
        <v>USA</v>
      </c>
      <c r="Q2134" t="str">
        <f>VLOOKUP(VLOOKUP(B2134,[1]Product!A:C,3,FALSE),[1]Supplier!A:B,2,FALSE)</f>
        <v>Supplier VHQZD</v>
      </c>
      <c r="R2134" t="str">
        <f>VLOOKUP(VLOOKUP(B2134,[1]Product!A:C,3,FALSE),[1]Supplier!A:I,9,FALSE)</f>
        <v>USA</v>
      </c>
      <c r="S2134" t="str">
        <f>IFERROR(IF(VLOOKUP(A2134,'[1]Sales Order'!A:H,8,FALSE)&gt;100,"High Freight","Low Freight"),"Not Specified")</f>
        <v>Low Freight</v>
      </c>
      <c r="T2134">
        <f t="shared" si="67"/>
        <v>22</v>
      </c>
    </row>
    <row r="2135" spans="1:20">
      <c r="A2135" s="1">
        <v>11077</v>
      </c>
      <c r="B2135" s="2">
        <v>6</v>
      </c>
      <c r="C2135" s="2">
        <v>25</v>
      </c>
      <c r="D2135" s="2">
        <v>1</v>
      </c>
      <c r="E2135" s="3">
        <v>0.02</v>
      </c>
      <c r="F2135" s="2" t="str">
        <f>IFERROR(VLOOKUP(VLOOKUP(A2135,'[1]Sales Order'!A:B,2,FALSE),[1]Customer!A:C,3,FALSE),"Not Specified")</f>
        <v>Moore, Michael</v>
      </c>
      <c r="G2135" s="2" t="str">
        <f t="shared" si="66"/>
        <v>Moore Michael</v>
      </c>
      <c r="H2135" s="8" t="str">
        <f>IFERROR(VLOOKUP(VLOOKUP(A2135,'[1]Sales Order'!A:C,3,FALSE),[1]Employee!A:E,5,FALSE)&amp;" "&amp;VLOOKUP(VLOOKUP(A2135,'[1]Sales Order'!A:C,3,FALSE),[1]Employee!A:C,3,FALSE)&amp;" "&amp;VLOOKUP(VLOOKUP(A2135,'[1]Sales Order'!A:C,3,FALSE),[1]Employee!A:B,2,FALSE),"Not Specified")</f>
        <v>Ms. Sara Davis</v>
      </c>
      <c r="I2135" t="str">
        <f>IFERROR(VLOOKUP(VLOOKUP(A2135,'[1]Sales Order'!A:C,3,FALSE),[1]Employee!A:J,10,FALSE),"Not Specified")</f>
        <v>WA</v>
      </c>
      <c r="J2135" t="str">
        <f>VLOOKUP(B2135,[1]Product!A:B,2,FALSE)</f>
        <v>Product VAIIV</v>
      </c>
      <c r="K2135" t="str">
        <f>VLOOKUP(VLOOKUP(B2135,[1]Product!A:D,4,FALSE),[1]Category!A:B,2,FALSE)</f>
        <v>Condiments</v>
      </c>
      <c r="L2135" s="10">
        <f>IFERROR(VLOOKUP(A2135,'[1]Sales Order'!A:D,4,FALSE),"")</f>
        <v>39574</v>
      </c>
      <c r="M2135" s="10">
        <f>IFERROR(VLOOKUP(A2135,'[1]Sales Order'!A:F,6,FALSE),"")</f>
        <v>0</v>
      </c>
      <c r="N2135" t="str">
        <f>IFERROR(VLOOKUP(VLOOKUP(A2135,'[1]Sales Order'!A:G,7,FALSE),[1]Shipper!A:B,2,FALSE),"Not Specified")</f>
        <v>Shipper ETYNR</v>
      </c>
      <c r="O2135" t="str">
        <f>IFERROR(VLOOKUP(A2135,'[1]Sales Order'!A:I,9,FALSE),"Not Specified")</f>
        <v>Ship to 65-A</v>
      </c>
      <c r="P2135" t="str">
        <f>IFERROR(VLOOKUP(A2135,'[1]Sales Order'!A:N,14,FALSE),"Not Specified")</f>
        <v>USA</v>
      </c>
      <c r="Q2135" t="str">
        <f>VLOOKUP(VLOOKUP(B2135,[1]Product!A:C,3,FALSE),[1]Supplier!A:B,2,FALSE)</f>
        <v>Supplier STUAZ</v>
      </c>
      <c r="R2135" t="str">
        <f>VLOOKUP(VLOOKUP(B2135,[1]Product!A:C,3,FALSE),[1]Supplier!A:I,9,FALSE)</f>
        <v>USA</v>
      </c>
      <c r="S2135" t="str">
        <f>IFERROR(IF(VLOOKUP(A2135,'[1]Sales Order'!A:H,8,FALSE)&gt;100,"High Freight","Low Freight"),"Not Specified")</f>
        <v>Low Freight</v>
      </c>
      <c r="T2135">
        <f t="shared" si="67"/>
        <v>24.5</v>
      </c>
    </row>
    <row r="2136" spans="1:20">
      <c r="A2136" s="1">
        <v>11077</v>
      </c>
      <c r="B2136" s="2">
        <v>7</v>
      </c>
      <c r="C2136" s="2">
        <v>30</v>
      </c>
      <c r="D2136" s="2">
        <v>1</v>
      </c>
      <c r="E2136" s="3">
        <v>0.05</v>
      </c>
      <c r="F2136" s="2" t="str">
        <f>IFERROR(VLOOKUP(VLOOKUP(A2136,'[1]Sales Order'!A:B,2,FALSE),[1]Customer!A:C,3,FALSE),"Not Specified")</f>
        <v>Moore, Michael</v>
      </c>
      <c r="G2136" s="2" t="str">
        <f t="shared" si="66"/>
        <v>Moore Michael</v>
      </c>
      <c r="H2136" s="8" t="str">
        <f>IFERROR(VLOOKUP(VLOOKUP(A2136,'[1]Sales Order'!A:C,3,FALSE),[1]Employee!A:E,5,FALSE)&amp;" "&amp;VLOOKUP(VLOOKUP(A2136,'[1]Sales Order'!A:C,3,FALSE),[1]Employee!A:C,3,FALSE)&amp;" "&amp;VLOOKUP(VLOOKUP(A2136,'[1]Sales Order'!A:C,3,FALSE),[1]Employee!A:B,2,FALSE),"Not Specified")</f>
        <v>Ms. Sara Davis</v>
      </c>
      <c r="I2136" t="str">
        <f>IFERROR(VLOOKUP(VLOOKUP(A2136,'[1]Sales Order'!A:C,3,FALSE),[1]Employee!A:J,10,FALSE),"Not Specified")</f>
        <v>WA</v>
      </c>
      <c r="J2136" t="str">
        <f>VLOOKUP(B2136,[1]Product!A:B,2,FALSE)</f>
        <v>Product HMLNI</v>
      </c>
      <c r="K2136" t="str">
        <f>VLOOKUP(VLOOKUP(B2136,[1]Product!A:D,4,FALSE),[1]Category!A:B,2,FALSE)</f>
        <v>Produce</v>
      </c>
      <c r="L2136" s="10">
        <f>IFERROR(VLOOKUP(A2136,'[1]Sales Order'!A:D,4,FALSE),"")</f>
        <v>39574</v>
      </c>
      <c r="M2136" s="10">
        <f>IFERROR(VLOOKUP(A2136,'[1]Sales Order'!A:F,6,FALSE),"")</f>
        <v>0</v>
      </c>
      <c r="N2136" t="str">
        <f>IFERROR(VLOOKUP(VLOOKUP(A2136,'[1]Sales Order'!A:G,7,FALSE),[1]Shipper!A:B,2,FALSE),"Not Specified")</f>
        <v>Shipper ETYNR</v>
      </c>
      <c r="O2136" t="str">
        <f>IFERROR(VLOOKUP(A2136,'[1]Sales Order'!A:I,9,FALSE),"Not Specified")</f>
        <v>Ship to 65-A</v>
      </c>
      <c r="P2136" t="str">
        <f>IFERROR(VLOOKUP(A2136,'[1]Sales Order'!A:N,14,FALSE),"Not Specified")</f>
        <v>USA</v>
      </c>
      <c r="Q2136" t="str">
        <f>VLOOKUP(VLOOKUP(B2136,[1]Product!A:C,3,FALSE),[1]Supplier!A:B,2,FALSE)</f>
        <v>Supplier STUAZ</v>
      </c>
      <c r="R2136" t="str">
        <f>VLOOKUP(VLOOKUP(B2136,[1]Product!A:C,3,FALSE),[1]Supplier!A:I,9,FALSE)</f>
        <v>USA</v>
      </c>
      <c r="S2136" t="str">
        <f>IFERROR(IF(VLOOKUP(A2136,'[1]Sales Order'!A:H,8,FALSE)&gt;100,"High Freight","Low Freight"),"Not Specified")</f>
        <v>Low Freight</v>
      </c>
      <c r="T2136">
        <f t="shared" si="67"/>
        <v>28.5</v>
      </c>
    </row>
    <row r="2137" spans="1:20">
      <c r="A2137" s="1">
        <v>11077</v>
      </c>
      <c r="B2137" s="2">
        <v>8</v>
      </c>
      <c r="C2137" s="2">
        <v>40</v>
      </c>
      <c r="D2137" s="2">
        <v>2</v>
      </c>
      <c r="E2137" s="3">
        <v>0.1</v>
      </c>
      <c r="F2137" s="2" t="str">
        <f>IFERROR(VLOOKUP(VLOOKUP(A2137,'[1]Sales Order'!A:B,2,FALSE),[1]Customer!A:C,3,FALSE),"Not Specified")</f>
        <v>Moore, Michael</v>
      </c>
      <c r="G2137" s="2" t="str">
        <f t="shared" si="66"/>
        <v>Moore Michael</v>
      </c>
      <c r="H2137" s="8" t="str">
        <f>IFERROR(VLOOKUP(VLOOKUP(A2137,'[1]Sales Order'!A:C,3,FALSE),[1]Employee!A:E,5,FALSE)&amp;" "&amp;VLOOKUP(VLOOKUP(A2137,'[1]Sales Order'!A:C,3,FALSE),[1]Employee!A:C,3,FALSE)&amp;" "&amp;VLOOKUP(VLOOKUP(A2137,'[1]Sales Order'!A:C,3,FALSE),[1]Employee!A:B,2,FALSE),"Not Specified")</f>
        <v>Ms. Sara Davis</v>
      </c>
      <c r="I2137" t="str">
        <f>IFERROR(VLOOKUP(VLOOKUP(A2137,'[1]Sales Order'!A:C,3,FALSE),[1]Employee!A:J,10,FALSE),"Not Specified")</f>
        <v>WA</v>
      </c>
      <c r="J2137" t="str">
        <f>VLOOKUP(B2137,[1]Product!A:B,2,FALSE)</f>
        <v>Product WVJFP</v>
      </c>
      <c r="K2137" t="str">
        <f>VLOOKUP(VLOOKUP(B2137,[1]Product!A:D,4,FALSE),[1]Category!A:B,2,FALSE)</f>
        <v>Condiments</v>
      </c>
      <c r="L2137" s="10">
        <f>IFERROR(VLOOKUP(A2137,'[1]Sales Order'!A:D,4,FALSE),"")</f>
        <v>39574</v>
      </c>
      <c r="M2137" s="10">
        <f>IFERROR(VLOOKUP(A2137,'[1]Sales Order'!A:F,6,FALSE),"")</f>
        <v>0</v>
      </c>
      <c r="N2137" t="str">
        <f>IFERROR(VLOOKUP(VLOOKUP(A2137,'[1]Sales Order'!A:G,7,FALSE),[1]Shipper!A:B,2,FALSE),"Not Specified")</f>
        <v>Shipper ETYNR</v>
      </c>
      <c r="O2137" t="str">
        <f>IFERROR(VLOOKUP(A2137,'[1]Sales Order'!A:I,9,FALSE),"Not Specified")</f>
        <v>Ship to 65-A</v>
      </c>
      <c r="P2137" t="str">
        <f>IFERROR(VLOOKUP(A2137,'[1]Sales Order'!A:N,14,FALSE),"Not Specified")</f>
        <v>USA</v>
      </c>
      <c r="Q2137" t="str">
        <f>VLOOKUP(VLOOKUP(B2137,[1]Product!A:C,3,FALSE),[1]Supplier!A:B,2,FALSE)</f>
        <v>Supplier STUAZ</v>
      </c>
      <c r="R2137" t="str">
        <f>VLOOKUP(VLOOKUP(B2137,[1]Product!A:C,3,FALSE),[1]Supplier!A:I,9,FALSE)</f>
        <v>USA</v>
      </c>
      <c r="S2137" t="str">
        <f>IFERROR(IF(VLOOKUP(A2137,'[1]Sales Order'!A:H,8,FALSE)&gt;100,"High Freight","Low Freight"),"Not Specified")</f>
        <v>Low Freight</v>
      </c>
      <c r="T2137">
        <f t="shared" si="67"/>
        <v>72</v>
      </c>
    </row>
    <row r="2138" spans="1:20">
      <c r="A2138" s="1">
        <v>11077</v>
      </c>
      <c r="B2138" s="2">
        <v>10</v>
      </c>
      <c r="C2138" s="2">
        <v>31</v>
      </c>
      <c r="D2138" s="2">
        <v>1</v>
      </c>
      <c r="E2138" s="3">
        <v>0</v>
      </c>
      <c r="F2138" s="2" t="str">
        <f>IFERROR(VLOOKUP(VLOOKUP(A2138,'[1]Sales Order'!A:B,2,FALSE),[1]Customer!A:C,3,FALSE),"Not Specified")</f>
        <v>Moore, Michael</v>
      </c>
      <c r="G2138" s="2" t="str">
        <f t="shared" si="66"/>
        <v>Moore Michael</v>
      </c>
      <c r="H2138" s="8" t="str">
        <f>IFERROR(VLOOKUP(VLOOKUP(A2138,'[1]Sales Order'!A:C,3,FALSE),[1]Employee!A:E,5,FALSE)&amp;" "&amp;VLOOKUP(VLOOKUP(A2138,'[1]Sales Order'!A:C,3,FALSE),[1]Employee!A:C,3,FALSE)&amp;" "&amp;VLOOKUP(VLOOKUP(A2138,'[1]Sales Order'!A:C,3,FALSE),[1]Employee!A:B,2,FALSE),"Not Specified")</f>
        <v>Ms. Sara Davis</v>
      </c>
      <c r="I2138" t="str">
        <f>IFERROR(VLOOKUP(VLOOKUP(A2138,'[1]Sales Order'!A:C,3,FALSE),[1]Employee!A:J,10,FALSE),"Not Specified")</f>
        <v>WA</v>
      </c>
      <c r="J2138" t="str">
        <f>VLOOKUP(B2138,[1]Product!A:B,2,FALSE)</f>
        <v>Product YHXGE</v>
      </c>
      <c r="K2138" t="str">
        <f>VLOOKUP(VLOOKUP(B2138,[1]Product!A:D,4,FALSE),[1]Category!A:B,2,FALSE)</f>
        <v>Seafood</v>
      </c>
      <c r="L2138" s="10">
        <f>IFERROR(VLOOKUP(A2138,'[1]Sales Order'!A:D,4,FALSE),"")</f>
        <v>39574</v>
      </c>
      <c r="M2138" s="10">
        <f>IFERROR(VLOOKUP(A2138,'[1]Sales Order'!A:F,6,FALSE),"")</f>
        <v>0</v>
      </c>
      <c r="N2138" t="str">
        <f>IFERROR(VLOOKUP(VLOOKUP(A2138,'[1]Sales Order'!A:G,7,FALSE),[1]Shipper!A:B,2,FALSE),"Not Specified")</f>
        <v>Shipper ETYNR</v>
      </c>
      <c r="O2138" t="str">
        <f>IFERROR(VLOOKUP(A2138,'[1]Sales Order'!A:I,9,FALSE),"Not Specified")</f>
        <v>Ship to 65-A</v>
      </c>
      <c r="P2138" t="str">
        <f>IFERROR(VLOOKUP(A2138,'[1]Sales Order'!A:N,14,FALSE),"Not Specified")</f>
        <v>USA</v>
      </c>
      <c r="Q2138" t="str">
        <f>VLOOKUP(VLOOKUP(B2138,[1]Product!A:C,3,FALSE),[1]Supplier!A:B,2,FALSE)</f>
        <v>Supplier QOVFD</v>
      </c>
      <c r="R2138" t="str">
        <f>VLOOKUP(VLOOKUP(B2138,[1]Product!A:C,3,FALSE),[1]Supplier!A:I,9,FALSE)</f>
        <v>Japan</v>
      </c>
      <c r="S2138" t="str">
        <f>IFERROR(IF(VLOOKUP(A2138,'[1]Sales Order'!A:H,8,FALSE)&gt;100,"High Freight","Low Freight"),"Not Specified")</f>
        <v>Low Freight</v>
      </c>
      <c r="T2138">
        <f t="shared" si="67"/>
        <v>31</v>
      </c>
    </row>
    <row r="2139" spans="1:20">
      <c r="A2139" s="1">
        <v>11077</v>
      </c>
      <c r="B2139" s="2">
        <v>12</v>
      </c>
      <c r="C2139" s="2">
        <v>38</v>
      </c>
      <c r="D2139" s="2">
        <v>2</v>
      </c>
      <c r="E2139" s="3">
        <v>0.05</v>
      </c>
      <c r="F2139" s="2" t="str">
        <f>IFERROR(VLOOKUP(VLOOKUP(A2139,'[1]Sales Order'!A:B,2,FALSE),[1]Customer!A:C,3,FALSE),"Not Specified")</f>
        <v>Moore, Michael</v>
      </c>
      <c r="G2139" s="2" t="str">
        <f t="shared" si="66"/>
        <v>Moore Michael</v>
      </c>
      <c r="H2139" s="8" t="str">
        <f>IFERROR(VLOOKUP(VLOOKUP(A2139,'[1]Sales Order'!A:C,3,FALSE),[1]Employee!A:E,5,FALSE)&amp;" "&amp;VLOOKUP(VLOOKUP(A2139,'[1]Sales Order'!A:C,3,FALSE),[1]Employee!A:C,3,FALSE)&amp;" "&amp;VLOOKUP(VLOOKUP(A2139,'[1]Sales Order'!A:C,3,FALSE),[1]Employee!A:B,2,FALSE),"Not Specified")</f>
        <v>Ms. Sara Davis</v>
      </c>
      <c r="I2139" t="str">
        <f>IFERROR(VLOOKUP(VLOOKUP(A2139,'[1]Sales Order'!A:C,3,FALSE),[1]Employee!A:J,10,FALSE),"Not Specified")</f>
        <v>WA</v>
      </c>
      <c r="J2139" t="str">
        <f>VLOOKUP(B2139,[1]Product!A:B,2,FALSE)</f>
        <v>Product OSFNS</v>
      </c>
      <c r="K2139" t="str">
        <f>VLOOKUP(VLOOKUP(B2139,[1]Product!A:D,4,FALSE),[1]Category!A:B,2,FALSE)</f>
        <v>Dairy Product</v>
      </c>
      <c r="L2139" s="10">
        <f>IFERROR(VLOOKUP(A2139,'[1]Sales Order'!A:D,4,FALSE),"")</f>
        <v>39574</v>
      </c>
      <c r="M2139" s="10">
        <f>IFERROR(VLOOKUP(A2139,'[1]Sales Order'!A:F,6,FALSE),"")</f>
        <v>0</v>
      </c>
      <c r="N2139" t="str">
        <f>IFERROR(VLOOKUP(VLOOKUP(A2139,'[1]Sales Order'!A:G,7,FALSE),[1]Shipper!A:B,2,FALSE),"Not Specified")</f>
        <v>Shipper ETYNR</v>
      </c>
      <c r="O2139" t="str">
        <f>IFERROR(VLOOKUP(A2139,'[1]Sales Order'!A:I,9,FALSE),"Not Specified")</f>
        <v>Ship to 65-A</v>
      </c>
      <c r="P2139" t="str">
        <f>IFERROR(VLOOKUP(A2139,'[1]Sales Order'!A:N,14,FALSE),"Not Specified")</f>
        <v>USA</v>
      </c>
      <c r="Q2139" t="str">
        <f>VLOOKUP(VLOOKUP(B2139,[1]Product!A:C,3,FALSE),[1]Supplier!A:B,2,FALSE)</f>
        <v>Supplier EQPNC</v>
      </c>
      <c r="R2139" t="str">
        <f>VLOOKUP(VLOOKUP(B2139,[1]Product!A:C,3,FALSE),[1]Supplier!A:I,9,FALSE)</f>
        <v>Spain</v>
      </c>
      <c r="S2139" t="str">
        <f>IFERROR(IF(VLOOKUP(A2139,'[1]Sales Order'!A:H,8,FALSE)&gt;100,"High Freight","Low Freight"),"Not Specified")</f>
        <v>Low Freight</v>
      </c>
      <c r="T2139">
        <f t="shared" si="67"/>
        <v>72.2</v>
      </c>
    </row>
    <row r="2140" spans="1:20">
      <c r="A2140" s="1">
        <v>11077</v>
      </c>
      <c r="B2140" s="2">
        <v>13</v>
      </c>
      <c r="C2140" s="2">
        <v>6</v>
      </c>
      <c r="D2140" s="2">
        <v>4</v>
      </c>
      <c r="E2140" s="3">
        <v>0</v>
      </c>
      <c r="F2140" s="2" t="str">
        <f>IFERROR(VLOOKUP(VLOOKUP(A2140,'[1]Sales Order'!A:B,2,FALSE),[1]Customer!A:C,3,FALSE),"Not Specified")</f>
        <v>Moore, Michael</v>
      </c>
      <c r="G2140" s="2" t="str">
        <f t="shared" si="66"/>
        <v>Moore Michael</v>
      </c>
      <c r="H2140" s="8" t="str">
        <f>IFERROR(VLOOKUP(VLOOKUP(A2140,'[1]Sales Order'!A:C,3,FALSE),[1]Employee!A:E,5,FALSE)&amp;" "&amp;VLOOKUP(VLOOKUP(A2140,'[1]Sales Order'!A:C,3,FALSE),[1]Employee!A:C,3,FALSE)&amp;" "&amp;VLOOKUP(VLOOKUP(A2140,'[1]Sales Order'!A:C,3,FALSE),[1]Employee!A:B,2,FALSE),"Not Specified")</f>
        <v>Ms. Sara Davis</v>
      </c>
      <c r="I2140" t="str">
        <f>IFERROR(VLOOKUP(VLOOKUP(A2140,'[1]Sales Order'!A:C,3,FALSE),[1]Employee!A:J,10,FALSE),"Not Specified")</f>
        <v>WA</v>
      </c>
      <c r="J2140" t="str">
        <f>VLOOKUP(B2140,[1]Product!A:B,2,FALSE)</f>
        <v>Product POXFU</v>
      </c>
      <c r="K2140" t="str">
        <f>VLOOKUP(VLOOKUP(B2140,[1]Product!A:D,4,FALSE),[1]Category!A:B,2,FALSE)</f>
        <v>Seafood</v>
      </c>
      <c r="L2140" s="10">
        <f>IFERROR(VLOOKUP(A2140,'[1]Sales Order'!A:D,4,FALSE),"")</f>
        <v>39574</v>
      </c>
      <c r="M2140" s="10">
        <f>IFERROR(VLOOKUP(A2140,'[1]Sales Order'!A:F,6,FALSE),"")</f>
        <v>0</v>
      </c>
      <c r="N2140" t="str">
        <f>IFERROR(VLOOKUP(VLOOKUP(A2140,'[1]Sales Order'!A:G,7,FALSE),[1]Shipper!A:B,2,FALSE),"Not Specified")</f>
        <v>Shipper ETYNR</v>
      </c>
      <c r="O2140" t="str">
        <f>IFERROR(VLOOKUP(A2140,'[1]Sales Order'!A:I,9,FALSE),"Not Specified")</f>
        <v>Ship to 65-A</v>
      </c>
      <c r="P2140" t="str">
        <f>IFERROR(VLOOKUP(A2140,'[1]Sales Order'!A:N,14,FALSE),"Not Specified")</f>
        <v>USA</v>
      </c>
      <c r="Q2140" t="str">
        <f>VLOOKUP(VLOOKUP(B2140,[1]Product!A:C,3,FALSE),[1]Supplier!A:B,2,FALSE)</f>
        <v>Supplier QWUSF</v>
      </c>
      <c r="R2140" t="str">
        <f>VLOOKUP(VLOOKUP(B2140,[1]Product!A:C,3,FALSE),[1]Supplier!A:I,9,FALSE)</f>
        <v>Japan</v>
      </c>
      <c r="S2140" t="str">
        <f>IFERROR(IF(VLOOKUP(A2140,'[1]Sales Order'!A:H,8,FALSE)&gt;100,"High Freight","Low Freight"),"Not Specified")</f>
        <v>Low Freight</v>
      </c>
      <c r="T2140">
        <f t="shared" si="67"/>
        <v>24</v>
      </c>
    </row>
    <row r="2141" spans="1:20">
      <c r="A2141" s="1">
        <v>11077</v>
      </c>
      <c r="B2141" s="2">
        <v>14</v>
      </c>
      <c r="C2141" s="2">
        <v>23.25</v>
      </c>
      <c r="D2141" s="2">
        <v>1</v>
      </c>
      <c r="E2141" s="3">
        <v>0.03</v>
      </c>
      <c r="F2141" s="2" t="str">
        <f>IFERROR(VLOOKUP(VLOOKUP(A2141,'[1]Sales Order'!A:B,2,FALSE),[1]Customer!A:C,3,FALSE),"Not Specified")</f>
        <v>Moore, Michael</v>
      </c>
      <c r="G2141" s="2" t="str">
        <f t="shared" si="66"/>
        <v>Moore Michael</v>
      </c>
      <c r="H2141" s="8" t="str">
        <f>IFERROR(VLOOKUP(VLOOKUP(A2141,'[1]Sales Order'!A:C,3,FALSE),[1]Employee!A:E,5,FALSE)&amp;" "&amp;VLOOKUP(VLOOKUP(A2141,'[1]Sales Order'!A:C,3,FALSE),[1]Employee!A:C,3,FALSE)&amp;" "&amp;VLOOKUP(VLOOKUP(A2141,'[1]Sales Order'!A:C,3,FALSE),[1]Employee!A:B,2,FALSE),"Not Specified")</f>
        <v>Ms. Sara Davis</v>
      </c>
      <c r="I2141" t="str">
        <f>IFERROR(VLOOKUP(VLOOKUP(A2141,'[1]Sales Order'!A:C,3,FALSE),[1]Employee!A:J,10,FALSE),"Not Specified")</f>
        <v>WA</v>
      </c>
      <c r="J2141" t="str">
        <f>VLOOKUP(B2141,[1]Product!A:B,2,FALSE)</f>
        <v>Product PWCJB</v>
      </c>
      <c r="K2141" t="str">
        <f>VLOOKUP(VLOOKUP(B2141,[1]Product!A:D,4,FALSE),[1]Category!A:B,2,FALSE)</f>
        <v>Produce</v>
      </c>
      <c r="L2141" s="10">
        <f>IFERROR(VLOOKUP(A2141,'[1]Sales Order'!A:D,4,FALSE),"")</f>
        <v>39574</v>
      </c>
      <c r="M2141" s="10">
        <f>IFERROR(VLOOKUP(A2141,'[1]Sales Order'!A:F,6,FALSE),"")</f>
        <v>0</v>
      </c>
      <c r="N2141" t="str">
        <f>IFERROR(VLOOKUP(VLOOKUP(A2141,'[1]Sales Order'!A:G,7,FALSE),[1]Shipper!A:B,2,FALSE),"Not Specified")</f>
        <v>Shipper ETYNR</v>
      </c>
      <c r="O2141" t="str">
        <f>IFERROR(VLOOKUP(A2141,'[1]Sales Order'!A:I,9,FALSE),"Not Specified")</f>
        <v>Ship to 65-A</v>
      </c>
      <c r="P2141" t="str">
        <f>IFERROR(VLOOKUP(A2141,'[1]Sales Order'!A:N,14,FALSE),"Not Specified")</f>
        <v>USA</v>
      </c>
      <c r="Q2141" t="str">
        <f>VLOOKUP(VLOOKUP(B2141,[1]Product!A:C,3,FALSE),[1]Supplier!A:B,2,FALSE)</f>
        <v>Supplier QWUSF</v>
      </c>
      <c r="R2141" t="str">
        <f>VLOOKUP(VLOOKUP(B2141,[1]Product!A:C,3,FALSE),[1]Supplier!A:I,9,FALSE)</f>
        <v>Japan</v>
      </c>
      <c r="S2141" t="str">
        <f>IFERROR(IF(VLOOKUP(A2141,'[1]Sales Order'!A:H,8,FALSE)&gt;100,"High Freight","Low Freight"),"Not Specified")</f>
        <v>Low Freight</v>
      </c>
      <c r="T2141">
        <f t="shared" si="67"/>
        <v>22.552499999999998</v>
      </c>
    </row>
    <row r="2142" spans="1:20">
      <c r="A2142" s="1">
        <v>11077</v>
      </c>
      <c r="B2142" s="2">
        <v>16</v>
      </c>
      <c r="C2142" s="2">
        <v>17.45</v>
      </c>
      <c r="D2142" s="2">
        <v>2</v>
      </c>
      <c r="E2142" s="3">
        <v>0.03</v>
      </c>
      <c r="F2142" s="2" t="str">
        <f>IFERROR(VLOOKUP(VLOOKUP(A2142,'[1]Sales Order'!A:B,2,FALSE),[1]Customer!A:C,3,FALSE),"Not Specified")</f>
        <v>Moore, Michael</v>
      </c>
      <c r="G2142" s="2" t="str">
        <f t="shared" si="66"/>
        <v>Moore Michael</v>
      </c>
      <c r="H2142" s="8" t="str">
        <f>IFERROR(VLOOKUP(VLOOKUP(A2142,'[1]Sales Order'!A:C,3,FALSE),[1]Employee!A:E,5,FALSE)&amp;" "&amp;VLOOKUP(VLOOKUP(A2142,'[1]Sales Order'!A:C,3,FALSE),[1]Employee!A:C,3,FALSE)&amp;" "&amp;VLOOKUP(VLOOKUP(A2142,'[1]Sales Order'!A:C,3,FALSE),[1]Employee!A:B,2,FALSE),"Not Specified")</f>
        <v>Ms. Sara Davis</v>
      </c>
      <c r="I2142" t="str">
        <f>IFERROR(VLOOKUP(VLOOKUP(A2142,'[1]Sales Order'!A:C,3,FALSE),[1]Employee!A:J,10,FALSE),"Not Specified")</f>
        <v>WA</v>
      </c>
      <c r="J2142" t="str">
        <f>VLOOKUP(B2142,[1]Product!A:B,2,FALSE)</f>
        <v>Product PAFRH</v>
      </c>
      <c r="K2142" t="str">
        <f>VLOOKUP(VLOOKUP(B2142,[1]Product!A:D,4,FALSE),[1]Category!A:B,2,FALSE)</f>
        <v>Confections</v>
      </c>
      <c r="L2142" s="10">
        <f>IFERROR(VLOOKUP(A2142,'[1]Sales Order'!A:D,4,FALSE),"")</f>
        <v>39574</v>
      </c>
      <c r="M2142" s="10">
        <f>IFERROR(VLOOKUP(A2142,'[1]Sales Order'!A:F,6,FALSE),"")</f>
        <v>0</v>
      </c>
      <c r="N2142" t="str">
        <f>IFERROR(VLOOKUP(VLOOKUP(A2142,'[1]Sales Order'!A:G,7,FALSE),[1]Shipper!A:B,2,FALSE),"Not Specified")</f>
        <v>Shipper ETYNR</v>
      </c>
      <c r="O2142" t="str">
        <f>IFERROR(VLOOKUP(A2142,'[1]Sales Order'!A:I,9,FALSE),"Not Specified")</f>
        <v>Ship to 65-A</v>
      </c>
      <c r="P2142" t="str">
        <f>IFERROR(VLOOKUP(A2142,'[1]Sales Order'!A:N,14,FALSE),"Not Specified")</f>
        <v>USA</v>
      </c>
      <c r="Q2142" t="str">
        <f>VLOOKUP(VLOOKUP(B2142,[1]Product!A:C,3,FALSE),[1]Supplier!A:B,2,FALSE)</f>
        <v>Supplier GQRCV</v>
      </c>
      <c r="R2142" t="str">
        <f>VLOOKUP(VLOOKUP(B2142,[1]Product!A:C,3,FALSE),[1]Supplier!A:I,9,FALSE)</f>
        <v>Australia</v>
      </c>
      <c r="S2142" t="str">
        <f>IFERROR(IF(VLOOKUP(A2142,'[1]Sales Order'!A:H,8,FALSE)&gt;100,"High Freight","Low Freight"),"Not Specified")</f>
        <v>Low Freight</v>
      </c>
      <c r="T2142">
        <f t="shared" si="67"/>
        <v>33.852999999999994</v>
      </c>
    </row>
    <row r="2143" spans="1:20">
      <c r="A2143" s="1">
        <v>11077</v>
      </c>
      <c r="B2143" s="2">
        <v>20</v>
      </c>
      <c r="C2143" s="2">
        <v>81</v>
      </c>
      <c r="D2143" s="2">
        <v>1</v>
      </c>
      <c r="E2143" s="3">
        <v>0.04</v>
      </c>
      <c r="F2143" s="2" t="str">
        <f>IFERROR(VLOOKUP(VLOOKUP(A2143,'[1]Sales Order'!A:B,2,FALSE),[1]Customer!A:C,3,FALSE),"Not Specified")</f>
        <v>Moore, Michael</v>
      </c>
      <c r="G2143" s="2" t="str">
        <f t="shared" si="66"/>
        <v>Moore Michael</v>
      </c>
      <c r="H2143" s="8" t="str">
        <f>IFERROR(VLOOKUP(VLOOKUP(A2143,'[1]Sales Order'!A:C,3,FALSE),[1]Employee!A:E,5,FALSE)&amp;" "&amp;VLOOKUP(VLOOKUP(A2143,'[1]Sales Order'!A:C,3,FALSE),[1]Employee!A:C,3,FALSE)&amp;" "&amp;VLOOKUP(VLOOKUP(A2143,'[1]Sales Order'!A:C,3,FALSE),[1]Employee!A:B,2,FALSE),"Not Specified")</f>
        <v>Ms. Sara Davis</v>
      </c>
      <c r="I2143" t="str">
        <f>IFERROR(VLOOKUP(VLOOKUP(A2143,'[1]Sales Order'!A:C,3,FALSE),[1]Employee!A:J,10,FALSE),"Not Specified")</f>
        <v>WA</v>
      </c>
      <c r="J2143" t="str">
        <f>VLOOKUP(B2143,[1]Product!A:B,2,FALSE)</f>
        <v>Product QHFFP</v>
      </c>
      <c r="K2143" t="str">
        <f>VLOOKUP(VLOOKUP(B2143,[1]Product!A:D,4,FALSE),[1]Category!A:B,2,FALSE)</f>
        <v>Confections</v>
      </c>
      <c r="L2143" s="10">
        <f>IFERROR(VLOOKUP(A2143,'[1]Sales Order'!A:D,4,FALSE),"")</f>
        <v>39574</v>
      </c>
      <c r="M2143" s="10">
        <f>IFERROR(VLOOKUP(A2143,'[1]Sales Order'!A:F,6,FALSE),"")</f>
        <v>0</v>
      </c>
      <c r="N2143" t="str">
        <f>IFERROR(VLOOKUP(VLOOKUP(A2143,'[1]Sales Order'!A:G,7,FALSE),[1]Shipper!A:B,2,FALSE),"Not Specified")</f>
        <v>Shipper ETYNR</v>
      </c>
      <c r="O2143" t="str">
        <f>IFERROR(VLOOKUP(A2143,'[1]Sales Order'!A:I,9,FALSE),"Not Specified")</f>
        <v>Ship to 65-A</v>
      </c>
      <c r="P2143" t="str">
        <f>IFERROR(VLOOKUP(A2143,'[1]Sales Order'!A:N,14,FALSE),"Not Specified")</f>
        <v>USA</v>
      </c>
      <c r="Q2143" t="str">
        <f>VLOOKUP(VLOOKUP(B2143,[1]Product!A:C,3,FALSE),[1]Supplier!A:B,2,FALSE)</f>
        <v>Supplier BWGYE</v>
      </c>
      <c r="R2143" t="str">
        <f>VLOOKUP(VLOOKUP(B2143,[1]Product!A:C,3,FALSE),[1]Supplier!A:I,9,FALSE)</f>
        <v>UK</v>
      </c>
      <c r="S2143" t="str">
        <f>IFERROR(IF(VLOOKUP(A2143,'[1]Sales Order'!A:H,8,FALSE)&gt;100,"High Freight","Low Freight"),"Not Specified")</f>
        <v>Low Freight</v>
      </c>
      <c r="T2143">
        <f t="shared" si="67"/>
        <v>77.759999999999991</v>
      </c>
    </row>
    <row r="2144" spans="1:20">
      <c r="A2144" s="1">
        <v>11077</v>
      </c>
      <c r="B2144" s="2">
        <v>23</v>
      </c>
      <c r="C2144" s="2">
        <v>9</v>
      </c>
      <c r="D2144" s="2">
        <v>2</v>
      </c>
      <c r="E2144" s="3">
        <v>0</v>
      </c>
      <c r="F2144" s="2" t="str">
        <f>IFERROR(VLOOKUP(VLOOKUP(A2144,'[1]Sales Order'!A:B,2,FALSE),[1]Customer!A:C,3,FALSE),"Not Specified")</f>
        <v>Moore, Michael</v>
      </c>
      <c r="G2144" s="2" t="str">
        <f t="shared" si="66"/>
        <v>Moore Michael</v>
      </c>
      <c r="H2144" s="8" t="str">
        <f>IFERROR(VLOOKUP(VLOOKUP(A2144,'[1]Sales Order'!A:C,3,FALSE),[1]Employee!A:E,5,FALSE)&amp;" "&amp;VLOOKUP(VLOOKUP(A2144,'[1]Sales Order'!A:C,3,FALSE),[1]Employee!A:C,3,FALSE)&amp;" "&amp;VLOOKUP(VLOOKUP(A2144,'[1]Sales Order'!A:C,3,FALSE),[1]Employee!A:B,2,FALSE),"Not Specified")</f>
        <v>Ms. Sara Davis</v>
      </c>
      <c r="I2144" t="str">
        <f>IFERROR(VLOOKUP(VLOOKUP(A2144,'[1]Sales Order'!A:C,3,FALSE),[1]Employee!A:J,10,FALSE),"Not Specified")</f>
        <v>WA</v>
      </c>
      <c r="J2144" t="str">
        <f>VLOOKUP(B2144,[1]Product!A:B,2,FALSE)</f>
        <v>Product JLUDZ</v>
      </c>
      <c r="K2144" t="str">
        <f>VLOOKUP(VLOOKUP(B2144,[1]Product!A:D,4,FALSE),[1]Category!A:B,2,FALSE)</f>
        <v>Grains/Cereals</v>
      </c>
      <c r="L2144" s="10">
        <f>IFERROR(VLOOKUP(A2144,'[1]Sales Order'!A:D,4,FALSE),"")</f>
        <v>39574</v>
      </c>
      <c r="M2144" s="10">
        <f>IFERROR(VLOOKUP(A2144,'[1]Sales Order'!A:F,6,FALSE),"")</f>
        <v>0</v>
      </c>
      <c r="N2144" t="str">
        <f>IFERROR(VLOOKUP(VLOOKUP(A2144,'[1]Sales Order'!A:G,7,FALSE),[1]Shipper!A:B,2,FALSE),"Not Specified")</f>
        <v>Shipper ETYNR</v>
      </c>
      <c r="O2144" t="str">
        <f>IFERROR(VLOOKUP(A2144,'[1]Sales Order'!A:I,9,FALSE),"Not Specified")</f>
        <v>Ship to 65-A</v>
      </c>
      <c r="P2144" t="str">
        <f>IFERROR(VLOOKUP(A2144,'[1]Sales Order'!A:N,14,FALSE),"Not Specified")</f>
        <v>USA</v>
      </c>
      <c r="Q2144" t="str">
        <f>VLOOKUP(VLOOKUP(B2144,[1]Product!A:C,3,FALSE),[1]Supplier!A:B,2,FALSE)</f>
        <v>Supplier QQYEU</v>
      </c>
      <c r="R2144" t="str">
        <f>VLOOKUP(VLOOKUP(B2144,[1]Product!A:C,3,FALSE),[1]Supplier!A:I,9,FALSE)</f>
        <v>Sweden</v>
      </c>
      <c r="S2144" t="str">
        <f>IFERROR(IF(VLOOKUP(A2144,'[1]Sales Order'!A:H,8,FALSE)&gt;100,"High Freight","Low Freight"),"Not Specified")</f>
        <v>Low Freight</v>
      </c>
      <c r="T2144">
        <f t="shared" si="67"/>
        <v>18</v>
      </c>
    </row>
    <row r="2145" spans="1:20">
      <c r="A2145" s="1">
        <v>11077</v>
      </c>
      <c r="B2145" s="2">
        <v>32</v>
      </c>
      <c r="C2145" s="2">
        <v>32</v>
      </c>
      <c r="D2145" s="2">
        <v>1</v>
      </c>
      <c r="E2145" s="3">
        <v>0</v>
      </c>
      <c r="F2145" s="2" t="str">
        <f>IFERROR(VLOOKUP(VLOOKUP(A2145,'[1]Sales Order'!A:B,2,FALSE),[1]Customer!A:C,3,FALSE),"Not Specified")</f>
        <v>Moore, Michael</v>
      </c>
      <c r="G2145" s="2" t="str">
        <f t="shared" si="66"/>
        <v>Moore Michael</v>
      </c>
      <c r="H2145" s="8" t="str">
        <f>IFERROR(VLOOKUP(VLOOKUP(A2145,'[1]Sales Order'!A:C,3,FALSE),[1]Employee!A:E,5,FALSE)&amp;" "&amp;VLOOKUP(VLOOKUP(A2145,'[1]Sales Order'!A:C,3,FALSE),[1]Employee!A:C,3,FALSE)&amp;" "&amp;VLOOKUP(VLOOKUP(A2145,'[1]Sales Order'!A:C,3,FALSE),[1]Employee!A:B,2,FALSE),"Not Specified")</f>
        <v>Ms. Sara Davis</v>
      </c>
      <c r="I2145" t="str">
        <f>IFERROR(VLOOKUP(VLOOKUP(A2145,'[1]Sales Order'!A:C,3,FALSE),[1]Employee!A:J,10,FALSE),"Not Specified")</f>
        <v>WA</v>
      </c>
      <c r="J2145" t="str">
        <f>VLOOKUP(B2145,[1]Product!A:B,2,FALSE)</f>
        <v>Product NUNAW</v>
      </c>
      <c r="K2145" t="str">
        <f>VLOOKUP(VLOOKUP(B2145,[1]Product!A:D,4,FALSE),[1]Category!A:B,2,FALSE)</f>
        <v>Dairy Product</v>
      </c>
      <c r="L2145" s="10">
        <f>IFERROR(VLOOKUP(A2145,'[1]Sales Order'!A:D,4,FALSE),"")</f>
        <v>39574</v>
      </c>
      <c r="M2145" s="10">
        <f>IFERROR(VLOOKUP(A2145,'[1]Sales Order'!A:F,6,FALSE),"")</f>
        <v>0</v>
      </c>
      <c r="N2145" t="str">
        <f>IFERROR(VLOOKUP(VLOOKUP(A2145,'[1]Sales Order'!A:G,7,FALSE),[1]Shipper!A:B,2,FALSE),"Not Specified")</f>
        <v>Shipper ETYNR</v>
      </c>
      <c r="O2145" t="str">
        <f>IFERROR(VLOOKUP(A2145,'[1]Sales Order'!A:I,9,FALSE),"Not Specified")</f>
        <v>Ship to 65-A</v>
      </c>
      <c r="P2145" t="str">
        <f>IFERROR(VLOOKUP(A2145,'[1]Sales Order'!A:N,14,FALSE),"Not Specified")</f>
        <v>USA</v>
      </c>
      <c r="Q2145" t="str">
        <f>VLOOKUP(VLOOKUP(B2145,[1]Product!A:C,3,FALSE),[1]Supplier!A:B,2,FALSE)</f>
        <v>Supplier KEREV</v>
      </c>
      <c r="R2145" t="str">
        <f>VLOOKUP(VLOOKUP(B2145,[1]Product!A:C,3,FALSE),[1]Supplier!A:I,9,FALSE)</f>
        <v>Italy</v>
      </c>
      <c r="S2145" t="str">
        <f>IFERROR(IF(VLOOKUP(A2145,'[1]Sales Order'!A:H,8,FALSE)&gt;100,"High Freight","Low Freight"),"Not Specified")</f>
        <v>Low Freight</v>
      </c>
      <c r="T2145">
        <f t="shared" si="67"/>
        <v>32</v>
      </c>
    </row>
    <row r="2146" spans="1:20">
      <c r="A2146" s="1">
        <v>11077</v>
      </c>
      <c r="B2146" s="2">
        <v>39</v>
      </c>
      <c r="C2146" s="2">
        <v>18</v>
      </c>
      <c r="D2146" s="2">
        <v>2</v>
      </c>
      <c r="E2146" s="3">
        <v>0.05</v>
      </c>
      <c r="F2146" s="2" t="str">
        <f>IFERROR(VLOOKUP(VLOOKUP(A2146,'[1]Sales Order'!A:B,2,FALSE),[1]Customer!A:C,3,FALSE),"Not Specified")</f>
        <v>Moore, Michael</v>
      </c>
      <c r="G2146" s="2" t="str">
        <f t="shared" si="66"/>
        <v>Moore Michael</v>
      </c>
      <c r="H2146" s="8" t="str">
        <f>IFERROR(VLOOKUP(VLOOKUP(A2146,'[1]Sales Order'!A:C,3,FALSE),[1]Employee!A:E,5,FALSE)&amp;" "&amp;VLOOKUP(VLOOKUP(A2146,'[1]Sales Order'!A:C,3,FALSE),[1]Employee!A:C,3,FALSE)&amp;" "&amp;VLOOKUP(VLOOKUP(A2146,'[1]Sales Order'!A:C,3,FALSE),[1]Employee!A:B,2,FALSE),"Not Specified")</f>
        <v>Ms. Sara Davis</v>
      </c>
      <c r="I2146" t="str">
        <f>IFERROR(VLOOKUP(VLOOKUP(A2146,'[1]Sales Order'!A:C,3,FALSE),[1]Employee!A:J,10,FALSE),"Not Specified")</f>
        <v>WA</v>
      </c>
      <c r="J2146" t="str">
        <f>VLOOKUP(B2146,[1]Product!A:B,2,FALSE)</f>
        <v>Product LSOFL</v>
      </c>
      <c r="K2146" t="str">
        <f>VLOOKUP(VLOOKUP(B2146,[1]Product!A:D,4,FALSE),[1]Category!A:B,2,FALSE)</f>
        <v>Beverages</v>
      </c>
      <c r="L2146" s="10">
        <f>IFERROR(VLOOKUP(A2146,'[1]Sales Order'!A:D,4,FALSE),"")</f>
        <v>39574</v>
      </c>
      <c r="M2146" s="10">
        <f>IFERROR(VLOOKUP(A2146,'[1]Sales Order'!A:F,6,FALSE),"")</f>
        <v>0</v>
      </c>
      <c r="N2146" t="str">
        <f>IFERROR(VLOOKUP(VLOOKUP(A2146,'[1]Sales Order'!A:G,7,FALSE),[1]Shipper!A:B,2,FALSE),"Not Specified")</f>
        <v>Shipper ETYNR</v>
      </c>
      <c r="O2146" t="str">
        <f>IFERROR(VLOOKUP(A2146,'[1]Sales Order'!A:I,9,FALSE),"Not Specified")</f>
        <v>Ship to 65-A</v>
      </c>
      <c r="P2146" t="str">
        <f>IFERROR(VLOOKUP(A2146,'[1]Sales Order'!A:N,14,FALSE),"Not Specified")</f>
        <v>USA</v>
      </c>
      <c r="Q2146" t="str">
        <f>VLOOKUP(VLOOKUP(B2146,[1]Product!A:C,3,FALSE),[1]Supplier!A:B,2,FALSE)</f>
        <v>Supplier LVJUA</v>
      </c>
      <c r="R2146" t="str">
        <f>VLOOKUP(VLOOKUP(B2146,[1]Product!A:C,3,FALSE),[1]Supplier!A:I,9,FALSE)</f>
        <v>France</v>
      </c>
      <c r="S2146" t="str">
        <f>IFERROR(IF(VLOOKUP(A2146,'[1]Sales Order'!A:H,8,FALSE)&gt;100,"High Freight","Low Freight"),"Not Specified")</f>
        <v>Low Freight</v>
      </c>
      <c r="T2146">
        <f t="shared" si="67"/>
        <v>34.199999999999996</v>
      </c>
    </row>
    <row r="2147" spans="1:20">
      <c r="A2147" s="1">
        <v>11077</v>
      </c>
      <c r="B2147" s="2">
        <v>41</v>
      </c>
      <c r="C2147" s="2">
        <v>9.65</v>
      </c>
      <c r="D2147" s="2">
        <v>3</v>
      </c>
      <c r="E2147" s="3">
        <v>0</v>
      </c>
      <c r="F2147" s="2" t="str">
        <f>IFERROR(VLOOKUP(VLOOKUP(A2147,'[1]Sales Order'!A:B,2,FALSE),[1]Customer!A:C,3,FALSE),"Not Specified")</f>
        <v>Moore, Michael</v>
      </c>
      <c r="G2147" s="2" t="str">
        <f t="shared" si="66"/>
        <v>Moore Michael</v>
      </c>
      <c r="H2147" s="8" t="str">
        <f>IFERROR(VLOOKUP(VLOOKUP(A2147,'[1]Sales Order'!A:C,3,FALSE),[1]Employee!A:E,5,FALSE)&amp;" "&amp;VLOOKUP(VLOOKUP(A2147,'[1]Sales Order'!A:C,3,FALSE),[1]Employee!A:C,3,FALSE)&amp;" "&amp;VLOOKUP(VLOOKUP(A2147,'[1]Sales Order'!A:C,3,FALSE),[1]Employee!A:B,2,FALSE),"Not Specified")</f>
        <v>Ms. Sara Davis</v>
      </c>
      <c r="I2147" t="str">
        <f>IFERROR(VLOOKUP(VLOOKUP(A2147,'[1]Sales Order'!A:C,3,FALSE),[1]Employee!A:J,10,FALSE),"Not Specified")</f>
        <v>WA</v>
      </c>
      <c r="J2147" t="str">
        <f>VLOOKUP(B2147,[1]Product!A:B,2,FALSE)</f>
        <v>Product TTEEX</v>
      </c>
      <c r="K2147" t="str">
        <f>VLOOKUP(VLOOKUP(B2147,[1]Product!A:D,4,FALSE),[1]Category!A:B,2,FALSE)</f>
        <v>Seafood</v>
      </c>
      <c r="L2147" s="10">
        <f>IFERROR(VLOOKUP(A2147,'[1]Sales Order'!A:D,4,FALSE),"")</f>
        <v>39574</v>
      </c>
      <c r="M2147" s="10">
        <f>IFERROR(VLOOKUP(A2147,'[1]Sales Order'!A:F,6,FALSE),"")</f>
        <v>0</v>
      </c>
      <c r="N2147" t="str">
        <f>IFERROR(VLOOKUP(VLOOKUP(A2147,'[1]Sales Order'!A:G,7,FALSE),[1]Shipper!A:B,2,FALSE),"Not Specified")</f>
        <v>Shipper ETYNR</v>
      </c>
      <c r="O2147" t="str">
        <f>IFERROR(VLOOKUP(A2147,'[1]Sales Order'!A:I,9,FALSE),"Not Specified")</f>
        <v>Ship to 65-A</v>
      </c>
      <c r="P2147" t="str">
        <f>IFERROR(VLOOKUP(A2147,'[1]Sales Order'!A:N,14,FALSE),"Not Specified")</f>
        <v>USA</v>
      </c>
      <c r="Q2147" t="str">
        <f>VLOOKUP(VLOOKUP(B2147,[1]Product!A:C,3,FALSE),[1]Supplier!A:B,2,FALSE)</f>
        <v>Supplier JDNUG</v>
      </c>
      <c r="R2147" t="str">
        <f>VLOOKUP(VLOOKUP(B2147,[1]Product!A:C,3,FALSE),[1]Supplier!A:I,9,FALSE)</f>
        <v>USA</v>
      </c>
      <c r="S2147" t="str">
        <f>IFERROR(IF(VLOOKUP(A2147,'[1]Sales Order'!A:H,8,FALSE)&gt;100,"High Freight","Low Freight"),"Not Specified")</f>
        <v>Low Freight</v>
      </c>
      <c r="T2147">
        <f t="shared" si="67"/>
        <v>28.950000000000003</v>
      </c>
    </row>
    <row r="2148" spans="1:20">
      <c r="A2148" s="1">
        <v>11077</v>
      </c>
      <c r="B2148" s="2">
        <v>46</v>
      </c>
      <c r="C2148" s="2">
        <v>12</v>
      </c>
      <c r="D2148" s="2">
        <v>3</v>
      </c>
      <c r="E2148" s="3">
        <v>0.02</v>
      </c>
      <c r="F2148" s="2" t="str">
        <f>IFERROR(VLOOKUP(VLOOKUP(A2148,'[1]Sales Order'!A:B,2,FALSE),[1]Customer!A:C,3,FALSE),"Not Specified")</f>
        <v>Moore, Michael</v>
      </c>
      <c r="G2148" s="2" t="str">
        <f t="shared" si="66"/>
        <v>Moore Michael</v>
      </c>
      <c r="H2148" s="8" t="str">
        <f>IFERROR(VLOOKUP(VLOOKUP(A2148,'[1]Sales Order'!A:C,3,FALSE),[1]Employee!A:E,5,FALSE)&amp;" "&amp;VLOOKUP(VLOOKUP(A2148,'[1]Sales Order'!A:C,3,FALSE),[1]Employee!A:C,3,FALSE)&amp;" "&amp;VLOOKUP(VLOOKUP(A2148,'[1]Sales Order'!A:C,3,FALSE),[1]Employee!A:B,2,FALSE),"Not Specified")</f>
        <v>Ms. Sara Davis</v>
      </c>
      <c r="I2148" t="str">
        <f>IFERROR(VLOOKUP(VLOOKUP(A2148,'[1]Sales Order'!A:C,3,FALSE),[1]Employee!A:J,10,FALSE),"Not Specified")</f>
        <v>WA</v>
      </c>
      <c r="J2148" t="str">
        <f>VLOOKUP(B2148,[1]Product!A:B,2,FALSE)</f>
        <v>Product CBRRL</v>
      </c>
      <c r="K2148" t="str">
        <f>VLOOKUP(VLOOKUP(B2148,[1]Product!A:D,4,FALSE),[1]Category!A:B,2,FALSE)</f>
        <v>Seafood</v>
      </c>
      <c r="L2148" s="10">
        <f>IFERROR(VLOOKUP(A2148,'[1]Sales Order'!A:D,4,FALSE),"")</f>
        <v>39574</v>
      </c>
      <c r="M2148" s="10">
        <f>IFERROR(VLOOKUP(A2148,'[1]Sales Order'!A:F,6,FALSE),"")</f>
        <v>0</v>
      </c>
      <c r="N2148" t="str">
        <f>IFERROR(VLOOKUP(VLOOKUP(A2148,'[1]Sales Order'!A:G,7,FALSE),[1]Shipper!A:B,2,FALSE),"Not Specified")</f>
        <v>Shipper ETYNR</v>
      </c>
      <c r="O2148" t="str">
        <f>IFERROR(VLOOKUP(A2148,'[1]Sales Order'!A:I,9,FALSE),"Not Specified")</f>
        <v>Ship to 65-A</v>
      </c>
      <c r="P2148" t="str">
        <f>IFERROR(VLOOKUP(A2148,'[1]Sales Order'!A:N,14,FALSE),"Not Specified")</f>
        <v>USA</v>
      </c>
      <c r="Q2148" t="str">
        <f>VLOOKUP(VLOOKUP(B2148,[1]Product!A:C,3,FALSE),[1]Supplier!A:B,2,FALSE)</f>
        <v>Supplier XOXZA</v>
      </c>
      <c r="R2148" t="str">
        <f>VLOOKUP(VLOOKUP(B2148,[1]Product!A:C,3,FALSE),[1]Supplier!A:I,9,FALSE)</f>
        <v>Denmark</v>
      </c>
      <c r="S2148" t="str">
        <f>IFERROR(IF(VLOOKUP(A2148,'[1]Sales Order'!A:H,8,FALSE)&gt;100,"High Freight","Low Freight"),"Not Specified")</f>
        <v>Low Freight</v>
      </c>
      <c r="T2148">
        <f t="shared" si="67"/>
        <v>35.28</v>
      </c>
    </row>
    <row r="2149" spans="1:20">
      <c r="A2149" s="1">
        <v>11077</v>
      </c>
      <c r="B2149" s="2">
        <v>52</v>
      </c>
      <c r="C2149" s="2">
        <v>7</v>
      </c>
      <c r="D2149" s="2">
        <v>2</v>
      </c>
      <c r="E2149" s="3">
        <v>0</v>
      </c>
      <c r="F2149" s="2" t="str">
        <f>IFERROR(VLOOKUP(VLOOKUP(A2149,'[1]Sales Order'!A:B,2,FALSE),[1]Customer!A:C,3,FALSE),"Not Specified")</f>
        <v>Moore, Michael</v>
      </c>
      <c r="G2149" s="2" t="str">
        <f t="shared" si="66"/>
        <v>Moore Michael</v>
      </c>
      <c r="H2149" s="8" t="str">
        <f>IFERROR(VLOOKUP(VLOOKUP(A2149,'[1]Sales Order'!A:C,3,FALSE),[1]Employee!A:E,5,FALSE)&amp;" "&amp;VLOOKUP(VLOOKUP(A2149,'[1]Sales Order'!A:C,3,FALSE),[1]Employee!A:C,3,FALSE)&amp;" "&amp;VLOOKUP(VLOOKUP(A2149,'[1]Sales Order'!A:C,3,FALSE),[1]Employee!A:B,2,FALSE),"Not Specified")</f>
        <v>Ms. Sara Davis</v>
      </c>
      <c r="I2149" t="str">
        <f>IFERROR(VLOOKUP(VLOOKUP(A2149,'[1]Sales Order'!A:C,3,FALSE),[1]Employee!A:J,10,FALSE),"Not Specified")</f>
        <v>WA</v>
      </c>
      <c r="J2149" t="str">
        <f>VLOOKUP(B2149,[1]Product!A:B,2,FALSE)</f>
        <v>Product QSRXF</v>
      </c>
      <c r="K2149" t="str">
        <f>VLOOKUP(VLOOKUP(B2149,[1]Product!A:D,4,FALSE),[1]Category!A:B,2,FALSE)</f>
        <v>Grains/Cereals</v>
      </c>
      <c r="L2149" s="10">
        <f>IFERROR(VLOOKUP(A2149,'[1]Sales Order'!A:D,4,FALSE),"")</f>
        <v>39574</v>
      </c>
      <c r="M2149" s="10">
        <f>IFERROR(VLOOKUP(A2149,'[1]Sales Order'!A:F,6,FALSE),"")</f>
        <v>0</v>
      </c>
      <c r="N2149" t="str">
        <f>IFERROR(VLOOKUP(VLOOKUP(A2149,'[1]Sales Order'!A:G,7,FALSE),[1]Shipper!A:B,2,FALSE),"Not Specified")</f>
        <v>Shipper ETYNR</v>
      </c>
      <c r="O2149" t="str">
        <f>IFERROR(VLOOKUP(A2149,'[1]Sales Order'!A:I,9,FALSE),"Not Specified")</f>
        <v>Ship to 65-A</v>
      </c>
      <c r="P2149" t="str">
        <f>IFERROR(VLOOKUP(A2149,'[1]Sales Order'!A:N,14,FALSE),"Not Specified")</f>
        <v>USA</v>
      </c>
      <c r="Q2149" t="str">
        <f>VLOOKUP(VLOOKUP(B2149,[1]Product!A:C,3,FALSE),[1]Supplier!A:B,2,FALSE)</f>
        <v>Supplier JNNES</v>
      </c>
      <c r="R2149" t="str">
        <f>VLOOKUP(VLOOKUP(B2149,[1]Product!A:C,3,FALSE),[1]Supplier!A:I,9,FALSE)</f>
        <v>Australia</v>
      </c>
      <c r="S2149" t="str">
        <f>IFERROR(IF(VLOOKUP(A2149,'[1]Sales Order'!A:H,8,FALSE)&gt;100,"High Freight","Low Freight"),"Not Specified")</f>
        <v>Low Freight</v>
      </c>
      <c r="T2149">
        <f t="shared" si="67"/>
        <v>14</v>
      </c>
    </row>
    <row r="2150" spans="1:20">
      <c r="A2150" s="1">
        <v>11077</v>
      </c>
      <c r="B2150" s="2">
        <v>55</v>
      </c>
      <c r="C2150" s="2">
        <v>24</v>
      </c>
      <c r="D2150" s="2">
        <v>2</v>
      </c>
      <c r="E2150" s="3">
        <v>0</v>
      </c>
      <c r="F2150" s="2" t="str">
        <f>IFERROR(VLOOKUP(VLOOKUP(A2150,'[1]Sales Order'!A:B,2,FALSE),[1]Customer!A:C,3,FALSE),"Not Specified")</f>
        <v>Moore, Michael</v>
      </c>
      <c r="G2150" s="2" t="str">
        <f t="shared" si="66"/>
        <v>Moore Michael</v>
      </c>
      <c r="H2150" s="8" t="str">
        <f>IFERROR(VLOOKUP(VLOOKUP(A2150,'[1]Sales Order'!A:C,3,FALSE),[1]Employee!A:E,5,FALSE)&amp;" "&amp;VLOOKUP(VLOOKUP(A2150,'[1]Sales Order'!A:C,3,FALSE),[1]Employee!A:C,3,FALSE)&amp;" "&amp;VLOOKUP(VLOOKUP(A2150,'[1]Sales Order'!A:C,3,FALSE),[1]Employee!A:B,2,FALSE),"Not Specified")</f>
        <v>Ms. Sara Davis</v>
      </c>
      <c r="I2150" t="str">
        <f>IFERROR(VLOOKUP(VLOOKUP(A2150,'[1]Sales Order'!A:C,3,FALSE),[1]Employee!A:J,10,FALSE),"Not Specified")</f>
        <v>WA</v>
      </c>
      <c r="J2150" t="str">
        <f>VLOOKUP(B2150,[1]Product!A:B,2,FALSE)</f>
        <v>Product YYWRT</v>
      </c>
      <c r="K2150" t="str">
        <f>VLOOKUP(VLOOKUP(B2150,[1]Product!A:D,4,FALSE),[1]Category!A:B,2,FALSE)</f>
        <v>Meat/Poultry</v>
      </c>
      <c r="L2150" s="10">
        <f>IFERROR(VLOOKUP(A2150,'[1]Sales Order'!A:D,4,FALSE),"")</f>
        <v>39574</v>
      </c>
      <c r="M2150" s="10">
        <f>IFERROR(VLOOKUP(A2150,'[1]Sales Order'!A:F,6,FALSE),"")</f>
        <v>0</v>
      </c>
      <c r="N2150" t="str">
        <f>IFERROR(VLOOKUP(VLOOKUP(A2150,'[1]Sales Order'!A:G,7,FALSE),[1]Shipper!A:B,2,FALSE),"Not Specified")</f>
        <v>Shipper ETYNR</v>
      </c>
      <c r="O2150" t="str">
        <f>IFERROR(VLOOKUP(A2150,'[1]Sales Order'!A:I,9,FALSE),"Not Specified")</f>
        <v>Ship to 65-A</v>
      </c>
      <c r="P2150" t="str">
        <f>IFERROR(VLOOKUP(A2150,'[1]Sales Order'!A:N,14,FALSE),"Not Specified")</f>
        <v>USA</v>
      </c>
      <c r="Q2150" t="str">
        <f>VLOOKUP(VLOOKUP(B2150,[1]Product!A:C,3,FALSE),[1]Supplier!A:B,2,FALSE)</f>
        <v>Supplier ERVYZ</v>
      </c>
      <c r="R2150" t="str">
        <f>VLOOKUP(VLOOKUP(B2150,[1]Product!A:C,3,FALSE),[1]Supplier!A:I,9,FALSE)</f>
        <v>Canada</v>
      </c>
      <c r="S2150" t="str">
        <f>IFERROR(IF(VLOOKUP(A2150,'[1]Sales Order'!A:H,8,FALSE)&gt;100,"High Freight","Low Freight"),"Not Specified")</f>
        <v>Low Freight</v>
      </c>
      <c r="T2150">
        <f t="shared" si="67"/>
        <v>48</v>
      </c>
    </row>
    <row r="2151" spans="1:20">
      <c r="A2151" s="1">
        <v>11077</v>
      </c>
      <c r="B2151" s="2">
        <v>60</v>
      </c>
      <c r="C2151" s="2">
        <v>34</v>
      </c>
      <c r="D2151" s="2">
        <v>2</v>
      </c>
      <c r="E2151" s="3">
        <v>0.06</v>
      </c>
      <c r="F2151" s="2" t="str">
        <f>IFERROR(VLOOKUP(VLOOKUP(A2151,'[1]Sales Order'!A:B,2,FALSE),[1]Customer!A:C,3,FALSE),"Not Specified")</f>
        <v>Moore, Michael</v>
      </c>
      <c r="G2151" s="2" t="str">
        <f t="shared" si="66"/>
        <v>Moore Michael</v>
      </c>
      <c r="H2151" s="8" t="str">
        <f>IFERROR(VLOOKUP(VLOOKUP(A2151,'[1]Sales Order'!A:C,3,FALSE),[1]Employee!A:E,5,FALSE)&amp;" "&amp;VLOOKUP(VLOOKUP(A2151,'[1]Sales Order'!A:C,3,FALSE),[1]Employee!A:C,3,FALSE)&amp;" "&amp;VLOOKUP(VLOOKUP(A2151,'[1]Sales Order'!A:C,3,FALSE),[1]Employee!A:B,2,FALSE),"Not Specified")</f>
        <v>Ms. Sara Davis</v>
      </c>
      <c r="I2151" t="str">
        <f>IFERROR(VLOOKUP(VLOOKUP(A2151,'[1]Sales Order'!A:C,3,FALSE),[1]Employee!A:J,10,FALSE),"Not Specified")</f>
        <v>WA</v>
      </c>
      <c r="J2151" t="str">
        <f>VLOOKUP(B2151,[1]Product!A:B,2,FALSE)</f>
        <v>Product WHBYK</v>
      </c>
      <c r="K2151" t="str">
        <f>VLOOKUP(VLOOKUP(B2151,[1]Product!A:D,4,FALSE),[1]Category!A:B,2,FALSE)</f>
        <v>Dairy Product</v>
      </c>
      <c r="L2151" s="10">
        <f>IFERROR(VLOOKUP(A2151,'[1]Sales Order'!A:D,4,FALSE),"")</f>
        <v>39574</v>
      </c>
      <c r="M2151" s="10">
        <f>IFERROR(VLOOKUP(A2151,'[1]Sales Order'!A:F,6,FALSE),"")</f>
        <v>0</v>
      </c>
      <c r="N2151" t="str">
        <f>IFERROR(VLOOKUP(VLOOKUP(A2151,'[1]Sales Order'!A:G,7,FALSE),[1]Shipper!A:B,2,FALSE),"Not Specified")</f>
        <v>Shipper ETYNR</v>
      </c>
      <c r="O2151" t="str">
        <f>IFERROR(VLOOKUP(A2151,'[1]Sales Order'!A:I,9,FALSE),"Not Specified")</f>
        <v>Ship to 65-A</v>
      </c>
      <c r="P2151" t="str">
        <f>IFERROR(VLOOKUP(A2151,'[1]Sales Order'!A:N,14,FALSE),"Not Specified")</f>
        <v>USA</v>
      </c>
      <c r="Q2151" t="str">
        <f>VLOOKUP(VLOOKUP(B2151,[1]Product!A:C,3,FALSE),[1]Supplier!A:B,2,FALSE)</f>
        <v>Supplier OAVQT</v>
      </c>
      <c r="R2151" t="str">
        <f>VLOOKUP(VLOOKUP(B2151,[1]Product!A:C,3,FALSE),[1]Supplier!A:I,9,FALSE)</f>
        <v>France</v>
      </c>
      <c r="S2151" t="str">
        <f>IFERROR(IF(VLOOKUP(A2151,'[1]Sales Order'!A:H,8,FALSE)&gt;100,"High Freight","Low Freight"),"Not Specified")</f>
        <v>Low Freight</v>
      </c>
      <c r="T2151">
        <f t="shared" si="67"/>
        <v>63.919999999999995</v>
      </c>
    </row>
    <row r="2152" spans="1:20">
      <c r="A2152" s="1">
        <v>11077</v>
      </c>
      <c r="B2152" s="2">
        <v>64</v>
      </c>
      <c r="C2152" s="2">
        <v>33.25</v>
      </c>
      <c r="D2152" s="2">
        <v>2</v>
      </c>
      <c r="E2152" s="3">
        <v>0.03</v>
      </c>
      <c r="F2152" s="2" t="str">
        <f>IFERROR(VLOOKUP(VLOOKUP(A2152,'[1]Sales Order'!A:B,2,FALSE),[1]Customer!A:C,3,FALSE),"Not Specified")</f>
        <v>Moore, Michael</v>
      </c>
      <c r="G2152" s="2" t="str">
        <f t="shared" si="66"/>
        <v>Moore Michael</v>
      </c>
      <c r="H2152" s="8" t="str">
        <f>IFERROR(VLOOKUP(VLOOKUP(A2152,'[1]Sales Order'!A:C,3,FALSE),[1]Employee!A:E,5,FALSE)&amp;" "&amp;VLOOKUP(VLOOKUP(A2152,'[1]Sales Order'!A:C,3,FALSE),[1]Employee!A:C,3,FALSE)&amp;" "&amp;VLOOKUP(VLOOKUP(A2152,'[1]Sales Order'!A:C,3,FALSE),[1]Employee!A:B,2,FALSE),"Not Specified")</f>
        <v>Ms. Sara Davis</v>
      </c>
      <c r="I2152" t="str">
        <f>IFERROR(VLOOKUP(VLOOKUP(A2152,'[1]Sales Order'!A:C,3,FALSE),[1]Employee!A:J,10,FALSE),"Not Specified")</f>
        <v>WA</v>
      </c>
      <c r="J2152" t="str">
        <f>VLOOKUP(B2152,[1]Product!A:B,2,FALSE)</f>
        <v>Product HCQDE</v>
      </c>
      <c r="K2152" t="str">
        <f>VLOOKUP(VLOOKUP(B2152,[1]Product!A:D,4,FALSE),[1]Category!A:B,2,FALSE)</f>
        <v>Grains/Cereals</v>
      </c>
      <c r="L2152" s="10">
        <f>IFERROR(VLOOKUP(A2152,'[1]Sales Order'!A:D,4,FALSE),"")</f>
        <v>39574</v>
      </c>
      <c r="M2152" s="10">
        <f>IFERROR(VLOOKUP(A2152,'[1]Sales Order'!A:F,6,FALSE),"")</f>
        <v>0</v>
      </c>
      <c r="N2152" t="str">
        <f>IFERROR(VLOOKUP(VLOOKUP(A2152,'[1]Sales Order'!A:G,7,FALSE),[1]Shipper!A:B,2,FALSE),"Not Specified")</f>
        <v>Shipper ETYNR</v>
      </c>
      <c r="O2152" t="str">
        <f>IFERROR(VLOOKUP(A2152,'[1]Sales Order'!A:I,9,FALSE),"Not Specified")</f>
        <v>Ship to 65-A</v>
      </c>
      <c r="P2152" t="str">
        <f>IFERROR(VLOOKUP(A2152,'[1]Sales Order'!A:N,14,FALSE),"Not Specified")</f>
        <v>USA</v>
      </c>
      <c r="Q2152" t="str">
        <f>VLOOKUP(VLOOKUP(B2152,[1]Product!A:C,3,FALSE),[1]Supplier!A:B,2,FALSE)</f>
        <v>Supplier SVIYA</v>
      </c>
      <c r="R2152" t="str">
        <f>VLOOKUP(VLOOKUP(B2152,[1]Product!A:C,3,FALSE),[1]Supplier!A:I,9,FALSE)</f>
        <v>Germany</v>
      </c>
      <c r="S2152" t="str">
        <f>IFERROR(IF(VLOOKUP(A2152,'[1]Sales Order'!A:H,8,FALSE)&gt;100,"High Freight","Low Freight"),"Not Specified")</f>
        <v>Low Freight</v>
      </c>
      <c r="T2152">
        <f t="shared" si="67"/>
        <v>64.504999999999995</v>
      </c>
    </row>
    <row r="2153" spans="1:20">
      <c r="A2153" s="1">
        <v>11077</v>
      </c>
      <c r="B2153" s="2">
        <v>66</v>
      </c>
      <c r="C2153" s="2">
        <v>17</v>
      </c>
      <c r="D2153" s="2">
        <v>1</v>
      </c>
      <c r="E2153" s="3">
        <v>0</v>
      </c>
      <c r="F2153" s="2" t="str">
        <f>IFERROR(VLOOKUP(VLOOKUP(A2153,'[1]Sales Order'!A:B,2,FALSE),[1]Customer!A:C,3,FALSE),"Not Specified")</f>
        <v>Moore, Michael</v>
      </c>
      <c r="G2153" s="2" t="str">
        <f t="shared" si="66"/>
        <v>Moore Michael</v>
      </c>
      <c r="H2153" s="8" t="str">
        <f>IFERROR(VLOOKUP(VLOOKUP(A2153,'[1]Sales Order'!A:C,3,FALSE),[1]Employee!A:E,5,FALSE)&amp;" "&amp;VLOOKUP(VLOOKUP(A2153,'[1]Sales Order'!A:C,3,FALSE),[1]Employee!A:C,3,FALSE)&amp;" "&amp;VLOOKUP(VLOOKUP(A2153,'[1]Sales Order'!A:C,3,FALSE),[1]Employee!A:B,2,FALSE),"Not Specified")</f>
        <v>Ms. Sara Davis</v>
      </c>
      <c r="I2153" t="str">
        <f>IFERROR(VLOOKUP(VLOOKUP(A2153,'[1]Sales Order'!A:C,3,FALSE),[1]Employee!A:J,10,FALSE),"Not Specified")</f>
        <v>WA</v>
      </c>
      <c r="J2153" t="str">
        <f>VLOOKUP(B2153,[1]Product!A:B,2,FALSE)</f>
        <v>Product LQMGN</v>
      </c>
      <c r="K2153" t="str">
        <f>VLOOKUP(VLOOKUP(B2153,[1]Product!A:D,4,FALSE),[1]Category!A:B,2,FALSE)</f>
        <v>Condiments</v>
      </c>
      <c r="L2153" s="10">
        <f>IFERROR(VLOOKUP(A2153,'[1]Sales Order'!A:D,4,FALSE),"")</f>
        <v>39574</v>
      </c>
      <c r="M2153" s="10">
        <f>IFERROR(VLOOKUP(A2153,'[1]Sales Order'!A:F,6,FALSE),"")</f>
        <v>0</v>
      </c>
      <c r="N2153" t="str">
        <f>IFERROR(VLOOKUP(VLOOKUP(A2153,'[1]Sales Order'!A:G,7,FALSE),[1]Shipper!A:B,2,FALSE),"Not Specified")</f>
        <v>Shipper ETYNR</v>
      </c>
      <c r="O2153" t="str">
        <f>IFERROR(VLOOKUP(A2153,'[1]Sales Order'!A:I,9,FALSE),"Not Specified")</f>
        <v>Ship to 65-A</v>
      </c>
      <c r="P2153" t="str">
        <f>IFERROR(VLOOKUP(A2153,'[1]Sales Order'!A:N,14,FALSE),"Not Specified")</f>
        <v>USA</v>
      </c>
      <c r="Q2153" t="str">
        <f>VLOOKUP(VLOOKUP(B2153,[1]Product!A:C,3,FALSE),[1]Supplier!A:B,2,FALSE)</f>
        <v>Supplier VHQZD</v>
      </c>
      <c r="R2153" t="str">
        <f>VLOOKUP(VLOOKUP(B2153,[1]Product!A:C,3,FALSE),[1]Supplier!A:I,9,FALSE)</f>
        <v>USA</v>
      </c>
      <c r="S2153" t="str">
        <f>IFERROR(IF(VLOOKUP(A2153,'[1]Sales Order'!A:H,8,FALSE)&gt;100,"High Freight","Low Freight"),"Not Specified")</f>
        <v>Low Freight</v>
      </c>
      <c r="T2153">
        <f t="shared" si="67"/>
        <v>17</v>
      </c>
    </row>
    <row r="2154" spans="1:20">
      <c r="A2154" s="1">
        <v>11077</v>
      </c>
      <c r="B2154" s="2">
        <v>73</v>
      </c>
      <c r="C2154" s="2">
        <v>15</v>
      </c>
      <c r="D2154" s="2">
        <v>2</v>
      </c>
      <c r="E2154" s="3">
        <v>0.01</v>
      </c>
      <c r="F2154" s="2" t="str">
        <f>IFERROR(VLOOKUP(VLOOKUP(A2154,'[1]Sales Order'!A:B,2,FALSE),[1]Customer!A:C,3,FALSE),"Not Specified")</f>
        <v>Moore, Michael</v>
      </c>
      <c r="G2154" s="2" t="str">
        <f t="shared" si="66"/>
        <v>Moore Michael</v>
      </c>
      <c r="H2154" s="8" t="str">
        <f>IFERROR(VLOOKUP(VLOOKUP(A2154,'[1]Sales Order'!A:C,3,FALSE),[1]Employee!A:E,5,FALSE)&amp;" "&amp;VLOOKUP(VLOOKUP(A2154,'[1]Sales Order'!A:C,3,FALSE),[1]Employee!A:C,3,FALSE)&amp;" "&amp;VLOOKUP(VLOOKUP(A2154,'[1]Sales Order'!A:C,3,FALSE),[1]Employee!A:B,2,FALSE),"Not Specified")</f>
        <v>Ms. Sara Davis</v>
      </c>
      <c r="I2154" t="str">
        <f>IFERROR(VLOOKUP(VLOOKUP(A2154,'[1]Sales Order'!A:C,3,FALSE),[1]Employee!A:J,10,FALSE),"Not Specified")</f>
        <v>WA</v>
      </c>
      <c r="J2154" t="str">
        <f>VLOOKUP(B2154,[1]Product!A:B,2,FALSE)</f>
        <v>Product WEUJZ</v>
      </c>
      <c r="K2154" t="str">
        <f>VLOOKUP(VLOOKUP(B2154,[1]Product!A:D,4,FALSE),[1]Category!A:B,2,FALSE)</f>
        <v>Seafood</v>
      </c>
      <c r="L2154" s="10">
        <f>IFERROR(VLOOKUP(A2154,'[1]Sales Order'!A:D,4,FALSE),"")</f>
        <v>39574</v>
      </c>
      <c r="M2154" s="10">
        <f>IFERROR(VLOOKUP(A2154,'[1]Sales Order'!A:F,6,FALSE),"")</f>
        <v>0</v>
      </c>
      <c r="N2154" t="str">
        <f>IFERROR(VLOOKUP(VLOOKUP(A2154,'[1]Sales Order'!A:G,7,FALSE),[1]Shipper!A:B,2,FALSE),"Not Specified")</f>
        <v>Shipper ETYNR</v>
      </c>
      <c r="O2154" t="str">
        <f>IFERROR(VLOOKUP(A2154,'[1]Sales Order'!A:I,9,FALSE),"Not Specified")</f>
        <v>Ship to 65-A</v>
      </c>
      <c r="P2154" t="str">
        <f>IFERROR(VLOOKUP(A2154,'[1]Sales Order'!A:N,14,FALSE),"Not Specified")</f>
        <v>USA</v>
      </c>
      <c r="Q2154" t="str">
        <f>VLOOKUP(VLOOKUP(B2154,[1]Product!A:C,3,FALSE),[1]Supplier!A:B,2,FALSE)</f>
        <v>Supplier QZGUF</v>
      </c>
      <c r="R2154" t="str">
        <f>VLOOKUP(VLOOKUP(B2154,[1]Product!A:C,3,FALSE),[1]Supplier!A:I,9,FALSE)</f>
        <v>Sweden</v>
      </c>
      <c r="S2154" t="str">
        <f>IFERROR(IF(VLOOKUP(A2154,'[1]Sales Order'!A:H,8,FALSE)&gt;100,"High Freight","Low Freight"),"Not Specified")</f>
        <v>Low Freight</v>
      </c>
      <c r="T2154">
        <f t="shared" si="67"/>
        <v>29.7</v>
      </c>
    </row>
    <row r="2155" spans="1:20">
      <c r="A2155" s="1">
        <v>11077</v>
      </c>
      <c r="B2155" s="2">
        <v>75</v>
      </c>
      <c r="C2155" s="2">
        <v>7.75</v>
      </c>
      <c r="D2155" s="2">
        <v>4</v>
      </c>
      <c r="E2155" s="3">
        <v>0</v>
      </c>
      <c r="F2155" s="2" t="str">
        <f>IFERROR(VLOOKUP(VLOOKUP(A2155,'[1]Sales Order'!A:B,2,FALSE),[1]Customer!A:C,3,FALSE),"Not Specified")</f>
        <v>Moore, Michael</v>
      </c>
      <c r="G2155" s="2" t="str">
        <f t="shared" si="66"/>
        <v>Moore Michael</v>
      </c>
      <c r="H2155" s="8" t="str">
        <f>IFERROR(VLOOKUP(VLOOKUP(A2155,'[1]Sales Order'!A:C,3,FALSE),[1]Employee!A:E,5,FALSE)&amp;" "&amp;VLOOKUP(VLOOKUP(A2155,'[1]Sales Order'!A:C,3,FALSE),[1]Employee!A:C,3,FALSE)&amp;" "&amp;VLOOKUP(VLOOKUP(A2155,'[1]Sales Order'!A:C,3,FALSE),[1]Employee!A:B,2,FALSE),"Not Specified")</f>
        <v>Ms. Sara Davis</v>
      </c>
      <c r="I2155" t="str">
        <f>IFERROR(VLOOKUP(VLOOKUP(A2155,'[1]Sales Order'!A:C,3,FALSE),[1]Employee!A:J,10,FALSE),"Not Specified")</f>
        <v>WA</v>
      </c>
      <c r="J2155" t="str">
        <f>VLOOKUP(B2155,[1]Product!A:B,2,FALSE)</f>
        <v>Product BWRLG</v>
      </c>
      <c r="K2155" t="str">
        <f>VLOOKUP(VLOOKUP(B2155,[1]Product!A:D,4,FALSE),[1]Category!A:B,2,FALSE)</f>
        <v>Beverages</v>
      </c>
      <c r="L2155" s="10">
        <f>IFERROR(VLOOKUP(A2155,'[1]Sales Order'!A:D,4,FALSE),"")</f>
        <v>39574</v>
      </c>
      <c r="M2155" s="10">
        <f>IFERROR(VLOOKUP(A2155,'[1]Sales Order'!A:F,6,FALSE),"")</f>
        <v>0</v>
      </c>
      <c r="N2155" t="str">
        <f>IFERROR(VLOOKUP(VLOOKUP(A2155,'[1]Sales Order'!A:G,7,FALSE),[1]Shipper!A:B,2,FALSE),"Not Specified")</f>
        <v>Shipper ETYNR</v>
      </c>
      <c r="O2155" t="str">
        <f>IFERROR(VLOOKUP(A2155,'[1]Sales Order'!A:I,9,FALSE),"Not Specified")</f>
        <v>Ship to 65-A</v>
      </c>
      <c r="P2155" t="str">
        <f>IFERROR(VLOOKUP(A2155,'[1]Sales Order'!A:N,14,FALSE),"Not Specified")</f>
        <v>USA</v>
      </c>
      <c r="Q2155" t="str">
        <f>VLOOKUP(VLOOKUP(B2155,[1]Product!A:C,3,FALSE),[1]Supplier!A:B,2,FALSE)</f>
        <v>Supplier SVIYA</v>
      </c>
      <c r="R2155" t="str">
        <f>VLOOKUP(VLOOKUP(B2155,[1]Product!A:C,3,FALSE),[1]Supplier!A:I,9,FALSE)</f>
        <v>Germany</v>
      </c>
      <c r="S2155" t="str">
        <f>IFERROR(IF(VLOOKUP(A2155,'[1]Sales Order'!A:H,8,FALSE)&gt;100,"High Freight","Low Freight"),"Not Specified")</f>
        <v>Low Freight</v>
      </c>
      <c r="T2155">
        <f t="shared" si="67"/>
        <v>31</v>
      </c>
    </row>
    <row r="2156" spans="1:20">
      <c r="A2156" s="1">
        <v>11077</v>
      </c>
      <c r="B2156" s="2">
        <v>77</v>
      </c>
      <c r="C2156" s="2">
        <v>13</v>
      </c>
      <c r="D2156" s="2">
        <v>2</v>
      </c>
      <c r="E2156" s="3">
        <v>0</v>
      </c>
      <c r="F2156" s="2" t="str">
        <f>IFERROR(VLOOKUP(VLOOKUP(A2156,'[1]Sales Order'!A:B,2,FALSE),[1]Customer!A:C,3,FALSE),"Not Specified")</f>
        <v>Moore, Michael</v>
      </c>
      <c r="G2156" s="2" t="str">
        <f t="shared" si="66"/>
        <v>Moore Michael</v>
      </c>
      <c r="H2156" s="8" t="str">
        <f>IFERROR(VLOOKUP(VLOOKUP(A2156,'[1]Sales Order'!A:C,3,FALSE),[1]Employee!A:E,5,FALSE)&amp;" "&amp;VLOOKUP(VLOOKUP(A2156,'[1]Sales Order'!A:C,3,FALSE),[1]Employee!A:C,3,FALSE)&amp;" "&amp;VLOOKUP(VLOOKUP(A2156,'[1]Sales Order'!A:C,3,FALSE),[1]Employee!A:B,2,FALSE),"Not Specified")</f>
        <v>Ms. Sara Davis</v>
      </c>
      <c r="I2156" t="str">
        <f>IFERROR(VLOOKUP(VLOOKUP(A2156,'[1]Sales Order'!A:C,3,FALSE),[1]Employee!A:J,10,FALSE),"Not Specified")</f>
        <v>WA</v>
      </c>
      <c r="J2156" t="str">
        <f>VLOOKUP(B2156,[1]Product!A:B,2,FALSE)</f>
        <v>Product LUNZZ</v>
      </c>
      <c r="K2156" t="str">
        <f>VLOOKUP(VLOOKUP(B2156,[1]Product!A:D,4,FALSE),[1]Category!A:B,2,FALSE)</f>
        <v>Condiments</v>
      </c>
      <c r="L2156" s="10">
        <f>IFERROR(VLOOKUP(A2156,'[1]Sales Order'!A:D,4,FALSE),"")</f>
        <v>39574</v>
      </c>
      <c r="M2156" s="10">
        <f>IFERROR(VLOOKUP(A2156,'[1]Sales Order'!A:F,6,FALSE),"")</f>
        <v>0</v>
      </c>
      <c r="N2156" t="str">
        <f>IFERROR(VLOOKUP(VLOOKUP(A2156,'[1]Sales Order'!A:G,7,FALSE),[1]Shipper!A:B,2,FALSE),"Not Specified")</f>
        <v>Shipper ETYNR</v>
      </c>
      <c r="O2156" t="str">
        <f>IFERROR(VLOOKUP(A2156,'[1]Sales Order'!A:I,9,FALSE),"Not Specified")</f>
        <v>Ship to 65-A</v>
      </c>
      <c r="P2156" t="str">
        <f>IFERROR(VLOOKUP(A2156,'[1]Sales Order'!A:N,14,FALSE),"Not Specified")</f>
        <v>USA</v>
      </c>
      <c r="Q2156" t="str">
        <f>VLOOKUP(VLOOKUP(B2156,[1]Product!A:C,3,FALSE),[1]Supplier!A:B,2,FALSE)</f>
        <v>Supplier SVIYA</v>
      </c>
      <c r="R2156" t="str">
        <f>VLOOKUP(VLOOKUP(B2156,[1]Product!A:C,3,FALSE),[1]Supplier!A:I,9,FALSE)</f>
        <v>Germany</v>
      </c>
      <c r="S2156" t="str">
        <f>IFERROR(IF(VLOOKUP(A2156,'[1]Sales Order'!A:H,8,FALSE)&gt;100,"High Freight","Low Freight"),"Not Specified")</f>
        <v>Low Freight</v>
      </c>
      <c r="T2156">
        <f t="shared" si="67"/>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5BC41-D42D-4676-9BDB-7FB155A7C38E}">
  <dimension ref="A1:F70"/>
  <sheetViews>
    <sheetView workbookViewId="0">
      <selection activeCell="K8" sqref="K8:K15"/>
    </sheetView>
  </sheetViews>
  <sheetFormatPr defaultRowHeight="14.4"/>
  <cols>
    <col min="1" max="1" width="12.5546875" bestFit="1" customWidth="1"/>
    <col min="2" max="2" width="15" bestFit="1" customWidth="1"/>
    <col min="5" max="5" width="12.5546875" bestFit="1" customWidth="1"/>
    <col min="6" max="6" width="15.33203125" bestFit="1" customWidth="1"/>
  </cols>
  <sheetData>
    <row r="1" spans="1:6">
      <c r="A1" s="17" t="s">
        <v>23</v>
      </c>
      <c r="B1" t="s">
        <v>24</v>
      </c>
      <c r="E1" s="17" t="s">
        <v>23</v>
      </c>
      <c r="F1" t="s">
        <v>24</v>
      </c>
    </row>
    <row r="2" spans="1:6">
      <c r="A2" s="13" t="s">
        <v>33</v>
      </c>
      <c r="B2" s="18">
        <v>95744.587500000009</v>
      </c>
      <c r="E2" s="13" t="s">
        <v>26</v>
      </c>
      <c r="F2" s="14">
        <v>205780.57000000004</v>
      </c>
    </row>
    <row r="3" spans="1:6">
      <c r="A3" s="13" t="s">
        <v>37</v>
      </c>
      <c r="B3" s="18">
        <v>99984.579999999987</v>
      </c>
      <c r="E3" s="13" t="s">
        <v>28</v>
      </c>
      <c r="F3" s="14">
        <v>617085.20349999995</v>
      </c>
    </row>
    <row r="4" spans="1:6">
      <c r="A4" s="13" t="s">
        <v>27</v>
      </c>
      <c r="B4" s="18">
        <v>106047.08500000002</v>
      </c>
      <c r="E4" s="13" t="s">
        <v>30</v>
      </c>
      <c r="F4" s="14">
        <v>440623.86599999992</v>
      </c>
    </row>
    <row r="5" spans="1:6">
      <c r="A5" s="13" t="s">
        <v>38</v>
      </c>
      <c r="B5" s="18">
        <v>131261.73750000002</v>
      </c>
      <c r="E5" s="13" t="s">
        <v>32</v>
      </c>
      <c r="F5" s="19">
        <v>2303.4</v>
      </c>
    </row>
    <row r="6" spans="1:6">
      <c r="A6" s="13" t="s">
        <v>35</v>
      </c>
      <c r="B6" s="18">
        <v>163022.35949999999</v>
      </c>
      <c r="E6" s="15" t="s">
        <v>34</v>
      </c>
      <c r="F6" s="19">
        <v>2303.4</v>
      </c>
    </row>
    <row r="7" spans="1:6">
      <c r="A7" s="13" t="s">
        <v>29</v>
      </c>
      <c r="B7" s="18">
        <v>167357.22499999995</v>
      </c>
      <c r="E7" s="13" t="s">
        <v>36</v>
      </c>
      <c r="F7" s="19">
        <v>1265793.0395</v>
      </c>
    </row>
    <row r="8" spans="1:6">
      <c r="A8" s="13" t="s">
        <v>31</v>
      </c>
      <c r="B8" s="18">
        <v>234507.285</v>
      </c>
    </row>
    <row r="9" spans="1:6">
      <c r="A9" s="13" t="s">
        <v>25</v>
      </c>
      <c r="B9" s="18">
        <v>267868.17999999993</v>
      </c>
    </row>
    <row r="10" spans="1:6">
      <c r="A10" s="13" t="s">
        <v>36</v>
      </c>
      <c r="B10" s="18">
        <v>1265793.0395</v>
      </c>
    </row>
    <row r="11" spans="1:6">
      <c r="A11" s="16" t="s">
        <v>39</v>
      </c>
      <c r="B11" s="16"/>
      <c r="C11" s="16"/>
      <c r="D11" s="16"/>
    </row>
    <row r="13" spans="1:6">
      <c r="A13" s="17" t="s">
        <v>23</v>
      </c>
      <c r="B13" t="s">
        <v>24</v>
      </c>
    </row>
    <row r="14" spans="1:6">
      <c r="A14" s="13" t="s">
        <v>49</v>
      </c>
      <c r="B14" s="18">
        <v>2303.4</v>
      </c>
    </row>
    <row r="15" spans="1:6">
      <c r="A15" s="13" t="s">
        <v>43</v>
      </c>
      <c r="B15" s="18">
        <v>68352.282500000001</v>
      </c>
    </row>
    <row r="16" spans="1:6">
      <c r="A16" s="13" t="s">
        <v>41</v>
      </c>
      <c r="B16" s="18">
        <v>72049.729500000001</v>
      </c>
    </row>
    <row r="17" spans="1:2">
      <c r="A17" s="13" t="s">
        <v>48</v>
      </c>
      <c r="B17" s="18">
        <v>77308.066500000015</v>
      </c>
    </row>
    <row r="18" spans="1:2">
      <c r="A18" s="13" t="s">
        <v>42</v>
      </c>
      <c r="B18" s="18">
        <v>124568.23500000002</v>
      </c>
    </row>
    <row r="19" spans="1:2">
      <c r="A19" s="13" t="s">
        <v>46</v>
      </c>
      <c r="B19" s="18">
        <v>126862.27749999995</v>
      </c>
    </row>
    <row r="20" spans="1:2">
      <c r="A20" s="13" t="s">
        <v>40</v>
      </c>
      <c r="B20" s="18">
        <v>166537.755</v>
      </c>
    </row>
    <row r="21" spans="1:2">
      <c r="A21" s="13" t="s">
        <v>47</v>
      </c>
      <c r="B21" s="18">
        <v>192107.60450000007</v>
      </c>
    </row>
    <row r="22" spans="1:2">
      <c r="A22" s="13" t="s">
        <v>45</v>
      </c>
      <c r="B22" s="18">
        <v>202812.84299999996</v>
      </c>
    </row>
    <row r="23" spans="1:2">
      <c r="A23" s="13" t="s">
        <v>44</v>
      </c>
      <c r="B23" s="18">
        <v>232890.84600000005</v>
      </c>
    </row>
    <row r="24" spans="1:2">
      <c r="A24" s="13" t="s">
        <v>36</v>
      </c>
      <c r="B24" s="18">
        <v>1265793.0395</v>
      </c>
    </row>
    <row r="25" spans="1:2">
      <c r="A25" s="16" t="s">
        <v>50</v>
      </c>
    </row>
    <row r="29" spans="1:2">
      <c r="A29" s="17" t="s">
        <v>23</v>
      </c>
      <c r="B29" t="s">
        <v>24</v>
      </c>
    </row>
    <row r="30" spans="1:2">
      <c r="A30" s="13" t="s">
        <v>49</v>
      </c>
      <c r="B30" s="18">
        <v>2303.4</v>
      </c>
    </row>
    <row r="31" spans="1:2">
      <c r="A31" s="13" t="s">
        <v>64</v>
      </c>
      <c r="B31" s="18">
        <v>3531.95</v>
      </c>
    </row>
    <row r="32" spans="1:2">
      <c r="A32" s="13" t="s">
        <v>63</v>
      </c>
      <c r="B32" s="18">
        <v>5735.1500000000005</v>
      </c>
    </row>
    <row r="33" spans="1:2">
      <c r="A33" s="13" t="s">
        <v>51</v>
      </c>
      <c r="B33" s="18">
        <v>8119.0999999999995</v>
      </c>
    </row>
    <row r="34" spans="1:2">
      <c r="A34" s="13" t="s">
        <v>65</v>
      </c>
      <c r="B34" s="18">
        <v>11472.362499999999</v>
      </c>
    </row>
    <row r="35" spans="1:2">
      <c r="A35" s="13" t="s">
        <v>61</v>
      </c>
      <c r="B35" s="18">
        <v>15770.155000000001</v>
      </c>
    </row>
    <row r="36" spans="1:2">
      <c r="A36" s="13" t="s">
        <v>66</v>
      </c>
      <c r="B36" s="18">
        <v>17983.2</v>
      </c>
    </row>
    <row r="37" spans="1:2">
      <c r="A37" s="13" t="s">
        <v>57</v>
      </c>
      <c r="B37" s="18">
        <v>18810.052499999998</v>
      </c>
    </row>
    <row r="38" spans="1:2">
      <c r="A38" s="13" t="s">
        <v>62</v>
      </c>
      <c r="B38" s="18">
        <v>23582.077500000003</v>
      </c>
    </row>
    <row r="39" spans="1:2">
      <c r="A39" s="13" t="s">
        <v>68</v>
      </c>
      <c r="B39" s="18">
        <v>31692.659</v>
      </c>
    </row>
    <row r="40" spans="1:2">
      <c r="A40" s="13" t="s">
        <v>56</v>
      </c>
      <c r="B40" s="18">
        <v>32661.022500000003</v>
      </c>
    </row>
    <row r="41" spans="1:2">
      <c r="A41" s="13" t="s">
        <v>53</v>
      </c>
      <c r="B41" s="18">
        <v>33824.855000000003</v>
      </c>
    </row>
    <row r="42" spans="1:2">
      <c r="A42" s="13" t="s">
        <v>60</v>
      </c>
      <c r="B42" s="18">
        <v>49979.905000000006</v>
      </c>
    </row>
    <row r="43" spans="1:2">
      <c r="A43" s="13" t="s">
        <v>55</v>
      </c>
      <c r="B43" s="18">
        <v>50196.29</v>
      </c>
    </row>
    <row r="44" spans="1:2">
      <c r="A44" s="13" t="s">
        <v>67</v>
      </c>
      <c r="B44" s="18">
        <v>54495.139999999992</v>
      </c>
    </row>
    <row r="45" spans="1:2">
      <c r="A45" s="13" t="s">
        <v>71</v>
      </c>
      <c r="B45" s="18">
        <v>56810.628999999986</v>
      </c>
    </row>
    <row r="46" spans="1:2">
      <c r="A46" s="13" t="s">
        <v>69</v>
      </c>
      <c r="B46" s="18">
        <v>58971.310000000005</v>
      </c>
    </row>
    <row r="47" spans="1:2">
      <c r="A47" s="13" t="s">
        <v>58</v>
      </c>
      <c r="B47" s="18">
        <v>80918.32249999998</v>
      </c>
    </row>
    <row r="48" spans="1:2">
      <c r="A48" s="13" t="s">
        <v>54</v>
      </c>
      <c r="B48" s="18">
        <v>106925.77650000002</v>
      </c>
    </row>
    <row r="49" spans="1:2">
      <c r="A49" s="13" t="s">
        <v>52</v>
      </c>
      <c r="B49" s="18">
        <v>128003.83850000001</v>
      </c>
    </row>
    <row r="50" spans="1:2">
      <c r="A50" s="13" t="s">
        <v>59</v>
      </c>
      <c r="B50" s="18">
        <v>228421.2335</v>
      </c>
    </row>
    <row r="51" spans="1:2">
      <c r="A51" s="13" t="s">
        <v>70</v>
      </c>
      <c r="B51" s="18">
        <v>245584.61050000007</v>
      </c>
    </row>
    <row r="52" spans="1:2">
      <c r="A52" s="13" t="s">
        <v>36</v>
      </c>
      <c r="B52" s="18">
        <v>1265793.0395000002</v>
      </c>
    </row>
    <row r="53" spans="1:2">
      <c r="A53" s="16" t="s">
        <v>72</v>
      </c>
    </row>
    <row r="56" spans="1:2">
      <c r="A56" s="17" t="s">
        <v>23</v>
      </c>
      <c r="B56" t="s">
        <v>24</v>
      </c>
    </row>
    <row r="57" spans="1:2">
      <c r="A57" s="13" t="s">
        <v>49</v>
      </c>
      <c r="B57" s="14">
        <v>2303.4</v>
      </c>
    </row>
    <row r="58" spans="1:2">
      <c r="A58" s="13" t="s">
        <v>74</v>
      </c>
      <c r="B58" s="14">
        <v>346976.53749999992</v>
      </c>
    </row>
    <row r="59" spans="1:2">
      <c r="A59" s="13" t="s">
        <v>75</v>
      </c>
      <c r="B59" s="14">
        <v>382965.46799999994</v>
      </c>
    </row>
    <row r="60" spans="1:2">
      <c r="A60" s="13" t="s">
        <v>73</v>
      </c>
      <c r="B60" s="14">
        <v>533547.63399999996</v>
      </c>
    </row>
    <row r="61" spans="1:2">
      <c r="A61" s="13" t="s">
        <v>36</v>
      </c>
      <c r="B61" s="19">
        <v>1265793.0394999997</v>
      </c>
    </row>
    <row r="62" spans="1:2">
      <c r="A62" s="16" t="s">
        <v>76</v>
      </c>
    </row>
    <row r="65" spans="1:2">
      <c r="A65" s="17" t="s">
        <v>23</v>
      </c>
      <c r="B65" t="s">
        <v>77</v>
      </c>
    </row>
    <row r="66" spans="1:2">
      <c r="A66" s="13" t="s">
        <v>49</v>
      </c>
      <c r="B66" s="19">
        <v>5</v>
      </c>
    </row>
    <row r="67" spans="1:2">
      <c r="A67" s="13" t="s">
        <v>78</v>
      </c>
      <c r="B67" s="19">
        <v>620</v>
      </c>
    </row>
    <row r="68" spans="1:2">
      <c r="A68" s="13" t="s">
        <v>79</v>
      </c>
      <c r="B68" s="19">
        <v>1530</v>
      </c>
    </row>
    <row r="69" spans="1:2">
      <c r="A69" s="13" t="s">
        <v>36</v>
      </c>
      <c r="B69" s="19">
        <v>2155</v>
      </c>
    </row>
    <row r="70" spans="1:2">
      <c r="A70" s="16" t="s">
        <v>80</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8C6D6-A2C5-4E40-A473-1E896FF203AD}">
  <dimension ref="A1"/>
  <sheetViews>
    <sheetView tabSelected="1" zoomScale="79" zoomScaleNormal="79" workbookViewId="0">
      <selection sqref="A1:XFD1048576"/>
    </sheetView>
  </sheetViews>
  <sheetFormatPr defaultRowHeight="14.4"/>
  <cols>
    <col min="1" max="16384" width="8.88671875" style="20"/>
  </cols>
  <sheetData>
    <row r="1" s="20" customFormat="1"/>
  </sheetData>
  <mergeCells count="1">
    <mergeCell ref="A1:XFD104857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Order_Details</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Oladipo Oluwatoni</dc:creator>
  <cp:lastModifiedBy>Oladipo Oluwatoni</cp:lastModifiedBy>
  <dcterms:created xsi:type="dcterms:W3CDTF">2026-08-03T22:05:57Z</dcterms:created>
  <dcterms:modified xsi:type="dcterms:W3CDTF">2026-08-04T22:01:33Z</dcterms:modified>
</cp:coreProperties>
</file>